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bilin\Desktop\Programy\TOYOTA\"/>
    </mc:Choice>
  </mc:AlternateContent>
  <xr:revisionPtr revIDLastSave="0" documentId="13_ncr:1_{38B2F526-D9B3-442B-A041-8BE3E734E41C}" xr6:coauthVersionLast="46" xr6:coauthVersionMax="46" xr10:uidLastSave="{00000000-0000-0000-0000-000000000000}"/>
  <bookViews>
    <workbookView xWindow="-108" yWindow="-108" windowWidth="23256" windowHeight="12576" tabRatio="906" activeTab="5" xr2:uid="{00000000-000D-0000-FFFF-FFFF00000000}"/>
  </bookViews>
  <sheets>
    <sheet name="TRANSFERY od 01.2019" sheetId="42" r:id="rId1"/>
    <sheet name="TRANSFERY od 01.2020" sheetId="60" r:id="rId2"/>
    <sheet name="LISTA 12" sheetId="61" r:id="rId3"/>
    <sheet name="lista 1" sheetId="5" r:id="rId4"/>
    <sheet name="lista 3" sheetId="6" r:id="rId5"/>
    <sheet name="lista obszary" sheetId="56" r:id="rId6"/>
  </sheets>
  <definedNames>
    <definedName name="_xlnm._FilterDatabase" localSheetId="3" hidden="1">'lista 1'!$A$1:$E$1738</definedName>
    <definedName name="_xlnm._FilterDatabase" localSheetId="2" hidden="1">'LISTA 12'!$A$1:$H$2042</definedName>
    <definedName name="_xlnm._FilterDatabase" localSheetId="4" hidden="1">'lista 3'!$A$1:$C$398</definedName>
    <definedName name="_xlnm._FilterDatabase" localSheetId="5" hidden="1">'lista obszary'!$A$1:$C$404</definedName>
    <definedName name="_xlnm._FilterDatabase" localSheetId="0" hidden="1">'TRANSFERY od 01.2019'!$A$1:$L$1216</definedName>
    <definedName name="_xlnm._FilterDatabase" localSheetId="1" hidden="1">'TRANSFERY od 01.2020'!$A$1:$K$3691</definedName>
    <definedName name="_xlnm.Print_Area" localSheetId="1">'TRANSFERY od 01.2020'!$A$1:$K$3689</definedName>
    <definedName name="Z_0DCF9168_36D2_4781_A6C3_DB2E129ADDEB_.wvu.Cols" localSheetId="0" hidden="1">'TRANSFERY od 01.2019'!#REF!</definedName>
    <definedName name="Z_0DCF9168_36D2_4781_A6C3_DB2E129ADDEB_.wvu.Cols" localSheetId="1" hidden="1">'TRANSFERY od 01.2020'!#REF!</definedName>
    <definedName name="Z_0DCF9168_36D2_4781_A6C3_DB2E129ADDEB_.wvu.FilterData" localSheetId="3" hidden="1">'lista 1'!$A$1:$F$1583</definedName>
    <definedName name="Z_0DCF9168_36D2_4781_A6C3_DB2E129ADDEB_.wvu.FilterData" localSheetId="0" hidden="1">'TRANSFERY od 01.2019'!$A$1:$P$1173</definedName>
    <definedName name="Z_0DCF9168_36D2_4781_A6C3_DB2E129ADDEB_.wvu.FilterData" localSheetId="1" hidden="1">'TRANSFERY od 01.2020'!$A$1:$K$372</definedName>
    <definedName name="Z_1E6F0AD5_3EB2_42ED_9753_83AEF08F1160_.wvu.FilterData" localSheetId="0" hidden="1">'TRANSFERY od 01.2019'!$A$1:$W$1173</definedName>
    <definedName name="Z_1E6F0AD5_3EB2_42ED_9753_83AEF08F1160_.wvu.FilterData" localSheetId="1" hidden="1">'TRANSFERY od 01.2020'!$A$1:$K$372</definedName>
    <definedName name="Z_655702CC_F041_41A7_A50D_EA8025373CC9_.wvu.FilterData" localSheetId="0" hidden="1">'TRANSFERY od 01.2019'!$A$1:$W$1173</definedName>
    <definedName name="Z_655702CC_F041_41A7_A50D_EA8025373CC9_.wvu.FilterData" localSheetId="1" hidden="1">'TRANSFERY od 01.2020'!$A$1:$K$372</definedName>
    <definedName name="Z_8159545F_1D15_48BC_B10A_2F5C280D069A_.wvu.Cols" localSheetId="0" hidden="1">'TRANSFERY od 01.2019'!#REF!,'TRANSFERY od 01.2019'!#REF!</definedName>
    <definedName name="Z_8159545F_1D15_48BC_B10A_2F5C280D069A_.wvu.Cols" localSheetId="1" hidden="1">'TRANSFERY od 01.2020'!#REF!,'TRANSFERY od 01.2020'!#REF!</definedName>
    <definedName name="Z_8159545F_1D15_48BC_B10A_2F5C280D069A_.wvu.FilterData" localSheetId="3" hidden="1">'lista 1'!$A$1:$F$1817</definedName>
    <definedName name="Z_8159545F_1D15_48BC_B10A_2F5C280D069A_.wvu.FilterData" localSheetId="4" hidden="1">'lista 3'!$A$1:$C$398</definedName>
    <definedName name="Z_8159545F_1D15_48BC_B10A_2F5C280D069A_.wvu.FilterData" localSheetId="5" hidden="1">'lista obszary'!$A$1:$C$316</definedName>
    <definedName name="Z_8159545F_1D15_48BC_B10A_2F5C280D069A_.wvu.FilterData" localSheetId="0" hidden="1">'TRANSFERY od 01.2019'!$A$1:$W$1173</definedName>
    <definedName name="Z_8159545F_1D15_48BC_B10A_2F5C280D069A_.wvu.FilterData" localSheetId="1" hidden="1">'TRANSFERY od 01.2020'!$A$1:$K$372</definedName>
    <definedName name="Z_CFC4CAFC_BC4C_4F46_9B82_13449557B064_.wvu.Cols" localSheetId="0" hidden="1">'TRANSFERY od 01.2019'!#REF!,'TRANSFERY od 01.2019'!#REF!</definedName>
    <definedName name="Z_CFC4CAFC_BC4C_4F46_9B82_13449557B064_.wvu.Cols" localSheetId="1" hidden="1">'TRANSFERY od 01.2020'!#REF!,'TRANSFERY od 01.2020'!#REF!</definedName>
    <definedName name="Z_CFC4CAFC_BC4C_4F46_9B82_13449557B064_.wvu.FilterData" localSheetId="3" hidden="1">'lista 1'!$A$1:$F$1817</definedName>
    <definedName name="Z_CFC4CAFC_BC4C_4F46_9B82_13449557B064_.wvu.FilterData" localSheetId="4" hidden="1">'lista 3'!$A$1:$C$398</definedName>
    <definedName name="Z_CFC4CAFC_BC4C_4F46_9B82_13449557B064_.wvu.FilterData" localSheetId="5" hidden="1">'lista obszary'!$A$1:$C$316</definedName>
    <definedName name="Z_CFC4CAFC_BC4C_4F46_9B82_13449557B064_.wvu.FilterData" localSheetId="0" hidden="1">'TRANSFERY od 01.2019'!$A$1:$W$1173</definedName>
    <definedName name="Z_CFC4CAFC_BC4C_4F46_9B82_13449557B064_.wvu.FilterData" localSheetId="1" hidden="1">'TRANSFERY od 01.2020'!$A$1:$K$372</definedName>
  </definedNames>
  <calcPr calcId="191029"/>
  <customWorkbookViews>
    <customWorkbookView name="TME - Widok osobisty" guid="{CFC4CAFC-BC4C-4F46-9B82-13449557B064}" mergeInterval="0" personalView="1" maximized="1" windowWidth="1276" windowHeight="798" tabRatio="549" activeSheetId="3"/>
    <customWorkbookView name="Rafal Czapski - Widok osobisty" guid="{0DCF9168-36D2-4781-A6C3-DB2E129ADDEB}" mergeInterval="0" personalView="1" maximized="1" windowWidth="1276" windowHeight="832" tabRatio="735" activeSheetId="3"/>
    <customWorkbookView name="Magda Ogrodnik - Widok osobisty" guid="{8159545F-1D15-48BC-B10A-2F5C280D069A}" mergeInterval="0" personalView="1" maximized="1" windowWidth="1276" windowHeight="799" tabRatio="549" activeSheetId="2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61" l="1"/>
  <c r="M28" i="61"/>
  <c r="M26" i="61"/>
  <c r="A1438" i="60" l="1"/>
  <c r="C1438" i="60"/>
  <c r="E1438" i="60"/>
  <c r="D1438" i="60" s="1"/>
  <c r="F1438" i="60"/>
  <c r="G1438" i="60"/>
  <c r="A1439" i="60"/>
  <c r="C1439" i="60"/>
  <c r="E1439" i="60"/>
  <c r="D1439" i="60" s="1"/>
  <c r="F1439" i="60"/>
  <c r="G1439" i="60"/>
  <c r="A1440" i="60"/>
  <c r="C1440" i="60"/>
  <c r="E1440" i="60"/>
  <c r="D1440" i="60" s="1"/>
  <c r="F1440" i="60"/>
  <c r="G1440" i="60"/>
  <c r="A1441" i="60"/>
  <c r="C1441" i="60"/>
  <c r="E1441" i="60"/>
  <c r="D1441" i="60" s="1"/>
  <c r="F1441" i="60"/>
  <c r="G1441" i="60"/>
  <c r="A1442" i="60"/>
  <c r="C1442" i="60"/>
  <c r="E1442" i="60"/>
  <c r="D1442" i="60" s="1"/>
  <c r="F1442" i="60"/>
  <c r="G1442" i="60"/>
  <c r="A1443" i="60"/>
  <c r="C1443" i="60"/>
  <c r="E1443" i="60"/>
  <c r="D1443" i="60" s="1"/>
  <c r="F1443" i="60"/>
  <c r="G1443" i="60"/>
  <c r="A1444" i="60"/>
  <c r="C1444" i="60"/>
  <c r="E1444" i="60"/>
  <c r="D1444" i="60" s="1"/>
  <c r="F1444" i="60"/>
  <c r="G1444" i="60"/>
  <c r="A1445" i="60"/>
  <c r="C1445" i="60"/>
  <c r="E1445" i="60"/>
  <c r="D1445" i="60" s="1"/>
  <c r="F1445" i="60"/>
  <c r="G1445" i="60"/>
  <c r="A1446" i="60"/>
  <c r="C1446" i="60"/>
  <c r="E1446" i="60"/>
  <c r="D1446" i="60" s="1"/>
  <c r="F1446" i="60"/>
  <c r="G1446" i="60"/>
  <c r="A1447" i="60"/>
  <c r="C1447" i="60"/>
  <c r="E1447" i="60"/>
  <c r="D1447" i="60" s="1"/>
  <c r="F1447" i="60"/>
  <c r="G1447" i="60"/>
  <c r="A1448" i="60"/>
  <c r="C1448" i="60"/>
  <c r="E1448" i="60"/>
  <c r="D1448" i="60" s="1"/>
  <c r="F1448" i="60"/>
  <c r="G1448" i="60"/>
  <c r="A1449" i="60"/>
  <c r="C1449" i="60"/>
  <c r="E1449" i="60"/>
  <c r="D1449" i="60" s="1"/>
  <c r="F1449" i="60"/>
  <c r="G1449" i="60"/>
  <c r="A1450" i="60"/>
  <c r="C1450" i="60"/>
  <c r="E1450" i="60"/>
  <c r="D1450" i="60" s="1"/>
  <c r="F1450" i="60"/>
  <c r="G1450" i="60"/>
  <c r="A1451" i="60"/>
  <c r="C1451" i="60"/>
  <c r="E1451" i="60"/>
  <c r="D1451" i="60" s="1"/>
  <c r="F1451" i="60"/>
  <c r="G1451" i="60"/>
  <c r="A1452" i="60"/>
  <c r="C1452" i="60"/>
  <c r="E1452" i="60"/>
  <c r="D1452" i="60" s="1"/>
  <c r="F1452" i="60"/>
  <c r="G1452" i="60"/>
  <c r="A1453" i="60"/>
  <c r="C1453" i="60"/>
  <c r="E1453" i="60"/>
  <c r="D1453" i="60" s="1"/>
  <c r="F1453" i="60"/>
  <c r="G1453" i="60"/>
  <c r="A1454" i="60"/>
  <c r="C1454" i="60"/>
  <c r="E1454" i="60"/>
  <c r="D1454" i="60" s="1"/>
  <c r="F1454" i="60"/>
  <c r="G1454" i="60"/>
  <c r="A1455" i="60"/>
  <c r="C1455" i="60"/>
  <c r="E1455" i="60"/>
  <c r="D1455" i="60" s="1"/>
  <c r="F1455" i="60"/>
  <c r="G1455" i="60"/>
  <c r="A1456" i="60"/>
  <c r="C1456" i="60"/>
  <c r="E1456" i="60"/>
  <c r="D1456" i="60" s="1"/>
  <c r="F1456" i="60"/>
  <c r="G1456" i="60"/>
  <c r="A1457" i="60"/>
  <c r="C1457" i="60"/>
  <c r="E1457" i="60"/>
  <c r="D1457" i="60" s="1"/>
  <c r="F1457" i="60"/>
  <c r="G1457" i="60"/>
  <c r="A1458" i="60"/>
  <c r="C1458" i="60"/>
  <c r="E1458" i="60"/>
  <c r="D1458" i="60" s="1"/>
  <c r="F1458" i="60"/>
  <c r="G1458" i="60"/>
  <c r="A1459" i="60"/>
  <c r="C1459" i="60"/>
  <c r="E1459" i="60"/>
  <c r="D1459" i="60" s="1"/>
  <c r="F1459" i="60"/>
  <c r="G1459" i="60"/>
  <c r="A1460" i="60"/>
  <c r="C1460" i="60"/>
  <c r="E1460" i="60"/>
  <c r="D1460" i="60" s="1"/>
  <c r="F1460" i="60"/>
  <c r="G1460" i="60"/>
  <c r="A1461" i="60"/>
  <c r="C1461" i="60"/>
  <c r="E1461" i="60"/>
  <c r="D1461" i="60" s="1"/>
  <c r="F1461" i="60"/>
  <c r="G1461" i="60"/>
  <c r="A1462" i="60"/>
  <c r="C1462" i="60"/>
  <c r="E1462" i="60"/>
  <c r="D1462" i="60" s="1"/>
  <c r="F1462" i="60"/>
  <c r="G1462" i="60"/>
  <c r="A1463" i="60"/>
  <c r="C1463" i="60"/>
  <c r="E1463" i="60"/>
  <c r="D1463" i="60" s="1"/>
  <c r="F1463" i="60"/>
  <c r="G1463" i="60"/>
  <c r="A1464" i="60"/>
  <c r="C1464" i="60"/>
  <c r="E1464" i="60"/>
  <c r="D1464" i="60" s="1"/>
  <c r="F1464" i="60"/>
  <c r="G1464" i="60"/>
  <c r="A1465" i="60"/>
  <c r="C1465" i="60"/>
  <c r="E1465" i="60"/>
  <c r="D1465" i="60" s="1"/>
  <c r="F1465" i="60"/>
  <c r="G1465" i="60"/>
  <c r="A1466" i="60"/>
  <c r="C1466" i="60"/>
  <c r="E1466" i="60"/>
  <c r="D1466" i="60" s="1"/>
  <c r="F1466" i="60"/>
  <c r="G1466" i="60"/>
  <c r="A1467" i="60"/>
  <c r="C1467" i="60"/>
  <c r="E1467" i="60"/>
  <c r="D1467" i="60" s="1"/>
  <c r="F1467" i="60"/>
  <c r="G1467" i="60"/>
  <c r="A1468" i="60"/>
  <c r="C1468" i="60"/>
  <c r="E1468" i="60"/>
  <c r="D1468" i="60" s="1"/>
  <c r="F1468" i="60"/>
  <c r="G1468" i="60"/>
  <c r="A1469" i="60"/>
  <c r="C1469" i="60"/>
  <c r="E1469" i="60"/>
  <c r="D1469" i="60" s="1"/>
  <c r="F1469" i="60"/>
  <c r="G1469" i="60"/>
  <c r="A1470" i="60"/>
  <c r="C1470" i="60"/>
  <c r="E1470" i="60"/>
  <c r="D1470" i="60" s="1"/>
  <c r="F1470" i="60"/>
  <c r="G1470" i="60"/>
  <c r="A1471" i="60"/>
  <c r="C1471" i="60"/>
  <c r="E1471" i="60"/>
  <c r="D1471" i="60" s="1"/>
  <c r="F1471" i="60"/>
  <c r="G1471" i="60"/>
  <c r="A1472" i="60"/>
  <c r="C1472" i="60"/>
  <c r="E1472" i="60"/>
  <c r="D1472" i="60" s="1"/>
  <c r="F1472" i="60"/>
  <c r="G1472" i="60"/>
  <c r="A1473" i="60"/>
  <c r="C1473" i="60"/>
  <c r="E1473" i="60"/>
  <c r="D1473" i="60" s="1"/>
  <c r="F1473" i="60"/>
  <c r="G1473" i="60"/>
  <c r="A1474" i="60"/>
  <c r="C1474" i="60"/>
  <c r="E1474" i="60"/>
  <c r="D1474" i="60" s="1"/>
  <c r="F1474" i="60"/>
  <c r="G1474" i="60"/>
  <c r="A1475" i="60"/>
  <c r="C1475" i="60"/>
  <c r="E1475" i="60"/>
  <c r="D1475" i="60" s="1"/>
  <c r="F1475" i="60"/>
  <c r="G1475" i="60"/>
  <c r="A1476" i="60"/>
  <c r="C1476" i="60"/>
  <c r="E1476" i="60"/>
  <c r="D1476" i="60" s="1"/>
  <c r="F1476" i="60"/>
  <c r="G1476" i="60"/>
  <c r="A1477" i="60"/>
  <c r="C1477" i="60"/>
  <c r="E1477" i="60"/>
  <c r="D1477" i="60" s="1"/>
  <c r="F1477" i="60"/>
  <c r="G1477" i="60"/>
  <c r="A1478" i="60"/>
  <c r="C1478" i="60"/>
  <c r="E1478" i="60"/>
  <c r="D1478" i="60" s="1"/>
  <c r="F1478" i="60"/>
  <c r="G1478" i="60"/>
  <c r="A1479" i="60"/>
  <c r="C1479" i="60"/>
  <c r="E1479" i="60"/>
  <c r="D1479" i="60" s="1"/>
  <c r="F1479" i="60"/>
  <c r="G1479" i="60"/>
  <c r="A1480" i="60"/>
  <c r="C1480" i="60"/>
  <c r="E1480" i="60"/>
  <c r="D1480" i="60" s="1"/>
  <c r="F1480" i="60"/>
  <c r="G1480" i="60"/>
  <c r="A1481" i="60"/>
  <c r="C1481" i="60"/>
  <c r="E1481" i="60"/>
  <c r="D1481" i="60" s="1"/>
  <c r="F1481" i="60"/>
  <c r="G1481" i="60"/>
  <c r="A1482" i="60"/>
  <c r="C1482" i="60"/>
  <c r="E1482" i="60"/>
  <c r="D1482" i="60" s="1"/>
  <c r="F1482" i="60"/>
  <c r="G1482" i="60"/>
  <c r="A1483" i="60"/>
  <c r="C1483" i="60"/>
  <c r="E1483" i="60"/>
  <c r="D1483" i="60" s="1"/>
  <c r="F1483" i="60"/>
  <c r="G1483" i="60"/>
  <c r="A1484" i="60"/>
  <c r="C1484" i="60"/>
  <c r="E1484" i="60"/>
  <c r="D1484" i="60" s="1"/>
  <c r="F1484" i="60"/>
  <c r="G1484" i="60"/>
  <c r="A1485" i="60"/>
  <c r="C1485" i="60"/>
  <c r="E1485" i="60"/>
  <c r="D1485" i="60" s="1"/>
  <c r="F1485" i="60"/>
  <c r="G1485" i="60"/>
  <c r="A1486" i="60"/>
  <c r="C1486" i="60"/>
  <c r="E1486" i="60"/>
  <c r="D1486" i="60" s="1"/>
  <c r="F1486" i="60"/>
  <c r="G1486" i="60"/>
  <c r="A1487" i="60"/>
  <c r="C1487" i="60"/>
  <c r="E1487" i="60"/>
  <c r="D1487" i="60" s="1"/>
  <c r="F1487" i="60"/>
  <c r="G1487" i="60"/>
  <c r="A1488" i="60"/>
  <c r="C1488" i="60"/>
  <c r="E1488" i="60"/>
  <c r="D1488" i="60" s="1"/>
  <c r="F1488" i="60"/>
  <c r="G1488" i="60"/>
  <c r="A1489" i="60"/>
  <c r="C1489" i="60"/>
  <c r="E1489" i="60"/>
  <c r="D1489" i="60" s="1"/>
  <c r="F1489" i="60"/>
  <c r="G1489" i="60"/>
  <c r="A1490" i="60"/>
  <c r="C1490" i="60"/>
  <c r="E1490" i="60"/>
  <c r="D1490" i="60" s="1"/>
  <c r="F1490" i="60"/>
  <c r="G1490" i="60"/>
  <c r="A1491" i="60"/>
  <c r="C1491" i="60"/>
  <c r="E1491" i="60"/>
  <c r="D1491" i="60" s="1"/>
  <c r="F1491" i="60"/>
  <c r="G1491" i="60"/>
  <c r="A1492" i="60"/>
  <c r="C1492" i="60"/>
  <c r="E1492" i="60"/>
  <c r="D1492" i="60" s="1"/>
  <c r="F1492" i="60"/>
  <c r="G1492" i="60"/>
  <c r="A1493" i="60"/>
  <c r="C1493" i="60"/>
  <c r="E1493" i="60"/>
  <c r="D1493" i="60" s="1"/>
  <c r="F1493" i="60"/>
  <c r="G1493" i="60"/>
  <c r="A1494" i="60"/>
  <c r="C1494" i="60"/>
  <c r="E1494" i="60"/>
  <c r="D1494" i="60" s="1"/>
  <c r="F1494" i="60"/>
  <c r="G1494" i="60"/>
  <c r="A1495" i="60"/>
  <c r="C1495" i="60"/>
  <c r="E1495" i="60"/>
  <c r="D1495" i="60" s="1"/>
  <c r="F1495" i="60"/>
  <c r="G1495" i="60"/>
  <c r="A1496" i="60"/>
  <c r="C1496" i="60"/>
  <c r="E1496" i="60"/>
  <c r="D1496" i="60" s="1"/>
  <c r="F1496" i="60"/>
  <c r="G1496" i="60"/>
  <c r="A1497" i="60"/>
  <c r="C1497" i="60"/>
  <c r="E1497" i="60"/>
  <c r="D1497" i="60" s="1"/>
  <c r="F1497" i="60"/>
  <c r="G1497" i="60"/>
  <c r="A1498" i="60"/>
  <c r="C1498" i="60"/>
  <c r="E1498" i="60"/>
  <c r="D1498" i="60" s="1"/>
  <c r="F1498" i="60"/>
  <c r="G1498" i="60"/>
  <c r="A1499" i="60"/>
  <c r="C1499" i="60"/>
  <c r="E1499" i="60"/>
  <c r="D1499" i="60" s="1"/>
  <c r="F1499" i="60"/>
  <c r="G1499" i="60"/>
  <c r="A1500" i="60"/>
  <c r="C1500" i="60"/>
  <c r="E1500" i="60"/>
  <c r="D1500" i="60" s="1"/>
  <c r="F1500" i="60"/>
  <c r="G1500" i="60"/>
  <c r="A1501" i="60"/>
  <c r="C1501" i="60"/>
  <c r="E1501" i="60"/>
  <c r="D1501" i="60" s="1"/>
  <c r="F1501" i="60"/>
  <c r="G1501" i="60"/>
  <c r="A1502" i="60"/>
  <c r="C1502" i="60"/>
  <c r="E1502" i="60"/>
  <c r="D1502" i="60" s="1"/>
  <c r="F1502" i="60"/>
  <c r="G1502" i="60"/>
  <c r="A1503" i="60"/>
  <c r="C1503" i="60"/>
  <c r="E1503" i="60"/>
  <c r="D1503" i="60" s="1"/>
  <c r="F1503" i="60"/>
  <c r="G1503" i="60"/>
  <c r="A1504" i="60"/>
  <c r="C1504" i="60"/>
  <c r="E1504" i="60"/>
  <c r="D1504" i="60" s="1"/>
  <c r="F1504" i="60"/>
  <c r="G1504" i="60"/>
  <c r="A1505" i="60"/>
  <c r="C1505" i="60"/>
  <c r="E1505" i="60"/>
  <c r="D1505" i="60" s="1"/>
  <c r="F1505" i="60"/>
  <c r="G1505" i="60"/>
  <c r="A1506" i="60"/>
  <c r="C1506" i="60"/>
  <c r="D1506" i="60"/>
  <c r="E1506" i="60"/>
  <c r="F1506" i="60"/>
  <c r="G1506" i="60"/>
  <c r="A1507" i="60"/>
  <c r="C1507" i="60"/>
  <c r="D1507" i="60"/>
  <c r="E1507" i="60"/>
  <c r="F1507" i="60"/>
  <c r="G1507" i="60"/>
  <c r="A1508" i="60"/>
  <c r="C1508" i="60"/>
  <c r="D1508" i="60"/>
  <c r="E1508" i="60"/>
  <c r="F1508" i="60"/>
  <c r="G1508" i="60"/>
  <c r="A1509" i="60"/>
  <c r="C1509" i="60"/>
  <c r="D1509" i="60"/>
  <c r="E1509" i="60"/>
  <c r="F1509" i="60"/>
  <c r="G1509" i="60"/>
  <c r="A1510" i="60"/>
  <c r="C1510" i="60"/>
  <c r="D1510" i="60"/>
  <c r="E1510" i="60"/>
  <c r="F1510" i="60"/>
  <c r="G1510" i="60"/>
  <c r="A1511" i="60"/>
  <c r="C1511" i="60"/>
  <c r="D1511" i="60"/>
  <c r="E1511" i="60"/>
  <c r="F1511" i="60"/>
  <c r="G1511" i="60"/>
  <c r="A1512" i="60"/>
  <c r="C1512" i="60"/>
  <c r="D1512" i="60"/>
  <c r="E1512" i="60"/>
  <c r="F1512" i="60"/>
  <c r="G1512" i="60"/>
  <c r="A1513" i="60"/>
  <c r="C1513" i="60"/>
  <c r="D1513" i="60"/>
  <c r="E1513" i="60"/>
  <c r="F1513" i="60"/>
  <c r="G1513" i="60"/>
  <c r="A1514" i="60"/>
  <c r="C1514" i="60"/>
  <c r="D1514" i="60"/>
  <c r="E1514" i="60"/>
  <c r="F1514" i="60"/>
  <c r="G1514" i="60"/>
  <c r="A1515" i="60"/>
  <c r="C1515" i="60"/>
  <c r="D1515" i="60"/>
  <c r="E1515" i="60"/>
  <c r="F1515" i="60"/>
  <c r="G1515" i="60"/>
  <c r="A1516" i="60"/>
  <c r="C1516" i="60"/>
  <c r="D1516" i="60"/>
  <c r="E1516" i="60"/>
  <c r="F1516" i="60"/>
  <c r="G1516" i="60"/>
  <c r="A1517" i="60"/>
  <c r="C1517" i="60"/>
  <c r="D1517" i="60"/>
  <c r="E1517" i="60"/>
  <c r="F1517" i="60"/>
  <c r="G1517" i="60"/>
  <c r="A1518" i="60"/>
  <c r="C1518" i="60"/>
  <c r="D1518" i="60"/>
  <c r="E1518" i="60"/>
  <c r="F1518" i="60"/>
  <c r="G1518" i="60"/>
  <c r="A1519" i="60"/>
  <c r="C1519" i="60"/>
  <c r="D1519" i="60"/>
  <c r="E1519" i="60"/>
  <c r="F1519" i="60"/>
  <c r="G1519" i="60"/>
  <c r="A1520" i="60"/>
  <c r="C1520" i="60"/>
  <c r="D1520" i="60"/>
  <c r="E1520" i="60"/>
  <c r="F1520" i="60"/>
  <c r="G1520" i="60"/>
  <c r="A1521" i="60"/>
  <c r="C1521" i="60"/>
  <c r="D1521" i="60"/>
  <c r="E1521" i="60"/>
  <c r="F1521" i="60"/>
  <c r="G1521" i="60"/>
  <c r="A1522" i="60"/>
  <c r="C1522" i="60"/>
  <c r="D1522" i="60"/>
  <c r="E1522" i="60"/>
  <c r="F1522" i="60"/>
  <c r="G1522" i="60"/>
  <c r="A1523" i="60"/>
  <c r="C1523" i="60"/>
  <c r="D1523" i="60"/>
  <c r="E1523" i="60"/>
  <c r="F1523" i="60"/>
  <c r="G1523" i="60"/>
  <c r="A1524" i="60"/>
  <c r="C1524" i="60"/>
  <c r="D1524" i="60"/>
  <c r="E1524" i="60"/>
  <c r="F1524" i="60"/>
  <c r="G1524" i="60"/>
  <c r="A1525" i="60"/>
  <c r="C1525" i="60"/>
  <c r="D1525" i="60"/>
  <c r="E1525" i="60"/>
  <c r="F1525" i="60"/>
  <c r="G1525" i="60"/>
  <c r="A1526" i="60"/>
  <c r="C1526" i="60"/>
  <c r="D1526" i="60"/>
  <c r="E1526" i="60"/>
  <c r="F1526" i="60"/>
  <c r="G1526" i="60"/>
  <c r="A1527" i="60"/>
  <c r="C1527" i="60"/>
  <c r="D1527" i="60"/>
  <c r="E1527" i="60"/>
  <c r="F1527" i="60"/>
  <c r="G1527" i="60"/>
  <c r="A1528" i="60"/>
  <c r="C1528" i="60"/>
  <c r="D1528" i="60"/>
  <c r="E1528" i="60"/>
  <c r="F1528" i="60"/>
  <c r="G1528" i="60"/>
  <c r="A1529" i="60"/>
  <c r="C1529" i="60"/>
  <c r="D1529" i="60"/>
  <c r="E1529" i="60"/>
  <c r="F1529" i="60"/>
  <c r="G1529" i="60"/>
  <c r="A1530" i="60"/>
  <c r="C1530" i="60"/>
  <c r="D1530" i="60"/>
  <c r="E1530" i="60"/>
  <c r="F1530" i="60"/>
  <c r="G1530" i="60"/>
  <c r="A1531" i="60"/>
  <c r="C1531" i="60"/>
  <c r="D1531" i="60"/>
  <c r="E1531" i="60"/>
  <c r="F1531" i="60"/>
  <c r="G1531" i="60"/>
  <c r="A1532" i="60"/>
  <c r="C1532" i="60"/>
  <c r="D1532" i="60"/>
  <c r="E1532" i="60"/>
  <c r="F1532" i="60"/>
  <c r="G1532" i="60"/>
  <c r="A1533" i="60"/>
  <c r="C1533" i="60"/>
  <c r="D1533" i="60"/>
  <c r="E1533" i="60"/>
  <c r="F1533" i="60"/>
  <c r="G1533" i="60"/>
  <c r="A1534" i="60"/>
  <c r="C1534" i="60"/>
  <c r="D1534" i="60"/>
  <c r="E1534" i="60"/>
  <c r="F1534" i="60"/>
  <c r="G1534" i="60"/>
  <c r="A1535" i="60"/>
  <c r="C1535" i="60"/>
  <c r="D1535" i="60"/>
  <c r="E1535" i="60"/>
  <c r="F1535" i="60"/>
  <c r="G1535" i="60"/>
  <c r="A1536" i="60"/>
  <c r="C1536" i="60"/>
  <c r="D1536" i="60"/>
  <c r="E1536" i="60"/>
  <c r="F1536" i="60"/>
  <c r="G1536" i="60"/>
  <c r="A1537" i="60"/>
  <c r="C1537" i="60"/>
  <c r="D1537" i="60"/>
  <c r="E1537" i="60"/>
  <c r="F1537" i="60"/>
  <c r="G1537" i="60"/>
  <c r="A1538" i="60"/>
  <c r="C1538" i="60"/>
  <c r="D1538" i="60"/>
  <c r="E1538" i="60"/>
  <c r="F1538" i="60"/>
  <c r="G1538" i="60"/>
  <c r="A1539" i="60"/>
  <c r="C1539" i="60"/>
  <c r="D1539" i="60"/>
  <c r="E1539" i="60"/>
  <c r="F1539" i="60"/>
  <c r="G1539" i="60"/>
  <c r="A1540" i="60"/>
  <c r="C1540" i="60"/>
  <c r="D1540" i="60"/>
  <c r="E1540" i="60"/>
  <c r="F1540" i="60"/>
  <c r="G1540" i="60"/>
  <c r="A1541" i="60"/>
  <c r="C1541" i="60"/>
  <c r="D1541" i="60"/>
  <c r="E1541" i="60"/>
  <c r="F1541" i="60"/>
  <c r="G1541" i="60"/>
  <c r="A1542" i="60"/>
  <c r="C1542" i="60"/>
  <c r="D1542" i="60"/>
  <c r="E1542" i="60"/>
  <c r="F1542" i="60"/>
  <c r="G1542" i="60"/>
  <c r="A1543" i="60"/>
  <c r="C1543" i="60"/>
  <c r="D1543" i="60"/>
  <c r="E1543" i="60"/>
  <c r="F1543" i="60"/>
  <c r="G1543" i="60"/>
  <c r="A1544" i="60"/>
  <c r="C1544" i="60"/>
  <c r="D1544" i="60"/>
  <c r="E1544" i="60"/>
  <c r="F1544" i="60"/>
  <c r="G1544" i="60"/>
  <c r="A1545" i="60"/>
  <c r="C1545" i="60"/>
  <c r="D1545" i="60"/>
  <c r="E1545" i="60"/>
  <c r="F1545" i="60"/>
  <c r="G1545" i="60"/>
  <c r="A1546" i="60"/>
  <c r="C1546" i="60"/>
  <c r="D1546" i="60"/>
  <c r="E1546" i="60"/>
  <c r="F1546" i="60"/>
  <c r="G1546" i="60"/>
  <c r="A1547" i="60"/>
  <c r="C1547" i="60"/>
  <c r="D1547" i="60"/>
  <c r="E1547" i="60"/>
  <c r="F1547" i="60"/>
  <c r="G1547" i="60"/>
  <c r="A1548" i="60"/>
  <c r="C1548" i="60"/>
  <c r="D1548" i="60"/>
  <c r="E1548" i="60"/>
  <c r="F1548" i="60"/>
  <c r="G1548" i="60"/>
  <c r="A1549" i="60"/>
  <c r="C1549" i="60"/>
  <c r="D1549" i="60"/>
  <c r="E1549" i="60"/>
  <c r="F1549" i="60"/>
  <c r="G1549" i="60"/>
  <c r="A1550" i="60"/>
  <c r="C1550" i="60"/>
  <c r="D1550" i="60"/>
  <c r="E1550" i="60"/>
  <c r="F1550" i="60"/>
  <c r="G1550" i="60"/>
  <c r="A1551" i="60"/>
  <c r="C1551" i="60"/>
  <c r="D1551" i="60"/>
  <c r="E1551" i="60"/>
  <c r="F1551" i="60"/>
  <c r="G1551" i="60"/>
  <c r="A1552" i="60"/>
  <c r="C1552" i="60"/>
  <c r="D1552" i="60"/>
  <c r="E1552" i="60"/>
  <c r="F1552" i="60"/>
  <c r="G1552" i="60"/>
  <c r="A1553" i="60"/>
  <c r="C1553" i="60"/>
  <c r="D1553" i="60"/>
  <c r="E1553" i="60"/>
  <c r="F1553" i="60"/>
  <c r="G1553" i="60"/>
  <c r="A1554" i="60"/>
  <c r="C1554" i="60"/>
  <c r="D1554" i="60"/>
  <c r="E1554" i="60"/>
  <c r="F1554" i="60"/>
  <c r="G1554" i="60"/>
  <c r="A1555" i="60"/>
  <c r="C1555" i="60"/>
  <c r="D1555" i="60"/>
  <c r="E1555" i="60"/>
  <c r="F1555" i="60"/>
  <c r="G1555" i="60"/>
  <c r="A1556" i="60"/>
  <c r="C1556" i="60"/>
  <c r="D1556" i="60"/>
  <c r="E1556" i="60"/>
  <c r="F1556" i="60"/>
  <c r="G1556" i="60"/>
  <c r="A1557" i="60"/>
  <c r="C1557" i="60"/>
  <c r="D1557" i="60"/>
  <c r="E1557" i="60"/>
  <c r="F1557" i="60"/>
  <c r="G1557" i="60"/>
  <c r="A1558" i="60"/>
  <c r="C1558" i="60"/>
  <c r="D1558" i="60"/>
  <c r="E1558" i="60"/>
  <c r="F1558" i="60"/>
  <c r="G1558" i="60"/>
  <c r="A1559" i="60"/>
  <c r="C1559" i="60"/>
  <c r="D1559" i="60"/>
  <c r="E1559" i="60"/>
  <c r="F1559" i="60"/>
  <c r="G1559" i="60"/>
  <c r="A1560" i="60"/>
  <c r="C1560" i="60"/>
  <c r="D1560" i="60"/>
  <c r="E1560" i="60"/>
  <c r="F1560" i="60"/>
  <c r="G1560" i="60"/>
  <c r="A1561" i="60"/>
  <c r="C1561" i="60"/>
  <c r="D1561" i="60"/>
  <c r="E1561" i="60"/>
  <c r="F1561" i="60"/>
  <c r="G1561" i="60"/>
  <c r="A1562" i="60"/>
  <c r="C1562" i="60"/>
  <c r="D1562" i="60"/>
  <c r="E1562" i="60"/>
  <c r="F1562" i="60"/>
  <c r="G1562" i="60"/>
  <c r="A1563" i="60"/>
  <c r="C1563" i="60"/>
  <c r="D1563" i="60"/>
  <c r="E1563" i="60"/>
  <c r="F1563" i="60"/>
  <c r="G1563" i="60"/>
  <c r="A1564" i="60"/>
  <c r="C1564" i="60"/>
  <c r="D1564" i="60"/>
  <c r="E1564" i="60"/>
  <c r="F1564" i="60"/>
  <c r="G1564" i="60"/>
  <c r="A1565" i="60"/>
  <c r="C1565" i="60"/>
  <c r="D1565" i="60"/>
  <c r="E1565" i="60"/>
  <c r="F1565" i="60"/>
  <c r="G1565" i="60"/>
  <c r="A1566" i="60"/>
  <c r="C1566" i="60"/>
  <c r="D1566" i="60"/>
  <c r="E1566" i="60"/>
  <c r="F1566" i="60"/>
  <c r="G1566" i="60"/>
  <c r="A1567" i="60"/>
  <c r="C1567" i="60"/>
  <c r="D1567" i="60"/>
  <c r="E1567" i="60"/>
  <c r="F1567" i="60"/>
  <c r="G1567" i="60"/>
  <c r="A1568" i="60"/>
  <c r="C1568" i="60"/>
  <c r="D1568" i="60"/>
  <c r="E1568" i="60"/>
  <c r="F1568" i="60"/>
  <c r="G1568" i="60"/>
  <c r="A1569" i="60"/>
  <c r="C1569" i="60"/>
  <c r="D1569" i="60"/>
  <c r="E1569" i="60"/>
  <c r="F1569" i="60"/>
  <c r="G1569" i="60"/>
  <c r="A1570" i="60"/>
  <c r="C1570" i="60"/>
  <c r="D1570" i="60"/>
  <c r="E1570" i="60"/>
  <c r="F1570" i="60"/>
  <c r="G1570" i="60"/>
  <c r="A1571" i="60"/>
  <c r="C1571" i="60"/>
  <c r="D1571" i="60"/>
  <c r="E1571" i="60"/>
  <c r="F1571" i="60"/>
  <c r="G1571" i="60"/>
  <c r="A1572" i="60"/>
  <c r="C1572" i="60"/>
  <c r="D1572" i="60"/>
  <c r="E1572" i="60"/>
  <c r="F1572" i="60"/>
  <c r="G1572" i="60"/>
  <c r="A1573" i="60"/>
  <c r="C1573" i="60"/>
  <c r="D1573" i="60"/>
  <c r="E1573" i="60"/>
  <c r="F1573" i="60"/>
  <c r="G1573" i="60"/>
  <c r="A1574" i="60"/>
  <c r="C1574" i="60"/>
  <c r="D1574" i="60"/>
  <c r="E1574" i="60"/>
  <c r="F1574" i="60"/>
  <c r="G1574" i="60"/>
  <c r="A1575" i="60"/>
  <c r="C1575" i="60"/>
  <c r="D1575" i="60"/>
  <c r="E1575" i="60"/>
  <c r="F1575" i="60"/>
  <c r="G1575" i="60"/>
  <c r="A1576" i="60"/>
  <c r="C1576" i="60"/>
  <c r="D1576" i="60"/>
  <c r="E1576" i="60"/>
  <c r="F1576" i="60"/>
  <c r="G1576" i="60"/>
  <c r="A1577" i="60"/>
  <c r="C1577" i="60"/>
  <c r="D1577" i="60"/>
  <c r="E1577" i="60"/>
  <c r="F1577" i="60"/>
  <c r="G1577" i="60"/>
  <c r="A1578" i="60"/>
  <c r="C1578" i="60"/>
  <c r="D1578" i="60"/>
  <c r="E1578" i="60"/>
  <c r="F1578" i="60"/>
  <c r="G1578" i="60"/>
  <c r="A1579" i="60"/>
  <c r="C1579" i="60"/>
  <c r="D1579" i="60"/>
  <c r="E1579" i="60"/>
  <c r="F1579" i="60"/>
  <c r="G1579" i="60"/>
  <c r="A1580" i="60"/>
  <c r="C1580" i="60"/>
  <c r="D1580" i="60"/>
  <c r="E1580" i="60"/>
  <c r="F1580" i="60"/>
  <c r="G1580" i="60"/>
  <c r="A1581" i="60"/>
  <c r="C1581" i="60"/>
  <c r="D1581" i="60"/>
  <c r="E1581" i="60"/>
  <c r="F1581" i="60"/>
  <c r="G1581" i="60"/>
  <c r="A1582" i="60"/>
  <c r="C1582" i="60"/>
  <c r="D1582" i="60"/>
  <c r="E1582" i="60"/>
  <c r="F1582" i="60"/>
  <c r="G1582" i="60"/>
  <c r="A1583" i="60"/>
  <c r="C1583" i="60"/>
  <c r="D1583" i="60"/>
  <c r="E1583" i="60"/>
  <c r="F1583" i="60"/>
  <c r="G1583" i="60"/>
  <c r="A1584" i="60"/>
  <c r="C1584" i="60"/>
  <c r="D1584" i="60"/>
  <c r="E1584" i="60"/>
  <c r="F1584" i="60"/>
  <c r="G1584" i="60"/>
  <c r="A1585" i="60"/>
  <c r="C1585" i="60"/>
  <c r="D1585" i="60"/>
  <c r="E1585" i="60"/>
  <c r="F1585" i="60"/>
  <c r="G1585" i="60"/>
  <c r="A1586" i="60"/>
  <c r="C1586" i="60"/>
  <c r="D1586" i="60"/>
  <c r="E1586" i="60"/>
  <c r="F1586" i="60"/>
  <c r="G1586" i="60"/>
  <c r="A1587" i="60"/>
  <c r="C1587" i="60"/>
  <c r="D1587" i="60"/>
  <c r="E1587" i="60"/>
  <c r="F1587" i="60"/>
  <c r="G1587" i="60"/>
  <c r="A1588" i="60"/>
  <c r="C1588" i="60"/>
  <c r="D1588" i="60"/>
  <c r="E1588" i="60"/>
  <c r="F1588" i="60"/>
  <c r="G1588" i="60"/>
  <c r="A1589" i="60"/>
  <c r="C1589" i="60"/>
  <c r="D1589" i="60"/>
  <c r="E1589" i="60"/>
  <c r="F1589" i="60"/>
  <c r="G1589" i="60"/>
  <c r="A1590" i="60"/>
  <c r="C1590" i="60"/>
  <c r="D1590" i="60"/>
  <c r="E1590" i="60"/>
  <c r="F1590" i="60"/>
  <c r="G1590" i="60"/>
  <c r="A1591" i="60"/>
  <c r="C1591" i="60"/>
  <c r="D1591" i="60"/>
  <c r="E1591" i="60"/>
  <c r="F1591" i="60"/>
  <c r="G1591" i="60"/>
  <c r="A1592" i="60"/>
  <c r="C1592" i="60"/>
  <c r="D1592" i="60"/>
  <c r="E1592" i="60"/>
  <c r="F1592" i="60"/>
  <c r="G1592" i="60"/>
  <c r="A1593" i="60"/>
  <c r="C1593" i="60"/>
  <c r="D1593" i="60"/>
  <c r="E1593" i="60"/>
  <c r="F1593" i="60"/>
  <c r="G1593" i="60"/>
  <c r="A1594" i="60"/>
  <c r="C1594" i="60"/>
  <c r="D1594" i="60"/>
  <c r="E1594" i="60"/>
  <c r="F1594" i="60"/>
  <c r="G1594" i="60"/>
  <c r="A1595" i="60"/>
  <c r="C1595" i="60"/>
  <c r="D1595" i="60"/>
  <c r="E1595" i="60"/>
  <c r="F1595" i="60"/>
  <c r="G1595" i="60"/>
  <c r="A1596" i="60"/>
  <c r="C1596" i="60"/>
  <c r="D1596" i="60"/>
  <c r="E1596" i="60"/>
  <c r="F1596" i="60"/>
  <c r="G1596" i="60"/>
  <c r="A1597" i="60"/>
  <c r="C1597" i="60"/>
  <c r="D1597" i="60"/>
  <c r="E1597" i="60"/>
  <c r="F1597" i="60"/>
  <c r="G1597" i="60"/>
  <c r="A1598" i="60"/>
  <c r="C1598" i="60"/>
  <c r="D1598" i="60"/>
  <c r="E1598" i="60"/>
  <c r="F1598" i="60"/>
  <c r="G1598" i="60"/>
  <c r="A1599" i="60"/>
  <c r="C1599" i="60"/>
  <c r="D1599" i="60"/>
  <c r="E1599" i="60"/>
  <c r="F1599" i="60"/>
  <c r="G1599" i="60"/>
  <c r="A1600" i="60"/>
  <c r="C1600" i="60"/>
  <c r="D1600" i="60"/>
  <c r="E1600" i="60"/>
  <c r="F1600" i="60"/>
  <c r="G1600" i="60"/>
  <c r="A1601" i="60"/>
  <c r="C1601" i="60"/>
  <c r="D1601" i="60"/>
  <c r="E1601" i="60"/>
  <c r="F1601" i="60"/>
  <c r="G1601" i="60"/>
  <c r="A1602" i="60"/>
  <c r="C1602" i="60"/>
  <c r="D1602" i="60"/>
  <c r="E1602" i="60"/>
  <c r="F1602" i="60"/>
  <c r="G1602" i="60"/>
  <c r="A1603" i="60"/>
  <c r="C1603" i="60"/>
  <c r="D1603" i="60"/>
  <c r="E1603" i="60"/>
  <c r="F1603" i="60"/>
  <c r="G1603" i="60"/>
  <c r="A1604" i="60"/>
  <c r="C1604" i="60"/>
  <c r="D1604" i="60"/>
  <c r="E1604" i="60"/>
  <c r="F1604" i="60"/>
  <c r="G1604" i="60"/>
  <c r="A1605" i="60"/>
  <c r="C1605" i="60"/>
  <c r="D1605" i="60"/>
  <c r="E1605" i="60"/>
  <c r="F1605" i="60"/>
  <c r="G1605" i="60"/>
  <c r="A1606" i="60"/>
  <c r="C1606" i="60"/>
  <c r="D1606" i="60"/>
  <c r="E1606" i="60"/>
  <c r="F1606" i="60"/>
  <c r="G1606" i="60"/>
  <c r="A1607" i="60"/>
  <c r="C1607" i="60"/>
  <c r="D1607" i="60"/>
  <c r="E1607" i="60"/>
  <c r="F1607" i="60"/>
  <c r="G1607" i="60"/>
  <c r="A1608" i="60"/>
  <c r="C1608" i="60"/>
  <c r="D1608" i="60"/>
  <c r="E1608" i="60"/>
  <c r="F1608" i="60"/>
  <c r="G1608" i="60"/>
  <c r="A1609" i="60"/>
  <c r="C1609" i="60"/>
  <c r="D1609" i="60"/>
  <c r="E1609" i="60"/>
  <c r="F1609" i="60"/>
  <c r="G1609" i="60"/>
  <c r="A1610" i="60"/>
  <c r="C1610" i="60"/>
  <c r="D1610" i="60"/>
  <c r="E1610" i="60"/>
  <c r="F1610" i="60"/>
  <c r="G1610" i="60"/>
  <c r="A1611" i="60"/>
  <c r="C1611" i="60"/>
  <c r="D1611" i="60"/>
  <c r="E1611" i="60"/>
  <c r="F1611" i="60"/>
  <c r="G1611" i="60"/>
  <c r="A1612" i="60"/>
  <c r="C1612" i="60"/>
  <c r="D1612" i="60"/>
  <c r="E1612" i="60"/>
  <c r="F1612" i="60"/>
  <c r="G1612" i="60"/>
  <c r="A1613" i="60"/>
  <c r="C1613" i="60"/>
  <c r="D1613" i="60"/>
  <c r="E1613" i="60"/>
  <c r="F1613" i="60"/>
  <c r="G1613" i="60"/>
  <c r="A1614" i="60"/>
  <c r="C1614" i="60"/>
  <c r="D1614" i="60"/>
  <c r="E1614" i="60"/>
  <c r="F1614" i="60"/>
  <c r="G1614" i="60"/>
  <c r="A1615" i="60"/>
  <c r="C1615" i="60"/>
  <c r="D1615" i="60"/>
  <c r="E1615" i="60"/>
  <c r="F1615" i="60"/>
  <c r="G1615" i="60"/>
  <c r="A1616" i="60"/>
  <c r="C1616" i="60"/>
  <c r="D1616" i="60"/>
  <c r="E1616" i="60"/>
  <c r="F1616" i="60"/>
  <c r="G1616" i="60"/>
  <c r="A1617" i="60"/>
  <c r="C1617" i="60"/>
  <c r="D1617" i="60"/>
  <c r="E1617" i="60"/>
  <c r="F1617" i="60"/>
  <c r="G1617" i="60"/>
  <c r="A1618" i="60"/>
  <c r="C1618" i="60"/>
  <c r="D1618" i="60"/>
  <c r="E1618" i="60"/>
  <c r="F1618" i="60"/>
  <c r="G1618" i="60"/>
  <c r="A1619" i="60"/>
  <c r="C1619" i="60"/>
  <c r="D1619" i="60"/>
  <c r="E1619" i="60"/>
  <c r="F1619" i="60"/>
  <c r="G1619" i="60"/>
  <c r="A1620" i="60"/>
  <c r="C1620" i="60"/>
  <c r="D1620" i="60"/>
  <c r="E1620" i="60"/>
  <c r="F1620" i="60"/>
  <c r="G1620" i="60"/>
  <c r="A1621" i="60"/>
  <c r="C1621" i="60"/>
  <c r="D1621" i="60"/>
  <c r="E1621" i="60"/>
  <c r="F1621" i="60"/>
  <c r="G1621" i="60"/>
  <c r="A1622" i="60"/>
  <c r="C1622" i="60"/>
  <c r="D1622" i="60"/>
  <c r="E1622" i="60"/>
  <c r="F1622" i="60"/>
  <c r="G1622" i="60"/>
  <c r="A1623" i="60"/>
  <c r="C1623" i="60"/>
  <c r="D1623" i="60"/>
  <c r="E1623" i="60"/>
  <c r="F1623" i="60"/>
  <c r="G1623" i="60"/>
  <c r="A1624" i="60"/>
  <c r="C1624" i="60"/>
  <c r="D1624" i="60"/>
  <c r="E1624" i="60"/>
  <c r="F1624" i="60"/>
  <c r="G1624" i="60"/>
  <c r="A1625" i="60"/>
  <c r="C1625" i="60"/>
  <c r="D1625" i="60"/>
  <c r="E1625" i="60"/>
  <c r="F1625" i="60"/>
  <c r="G1625" i="60"/>
  <c r="A1626" i="60"/>
  <c r="C1626" i="60"/>
  <c r="D1626" i="60"/>
  <c r="E1626" i="60"/>
  <c r="F1626" i="60"/>
  <c r="G1626" i="60"/>
  <c r="A1627" i="60"/>
  <c r="C1627" i="60"/>
  <c r="D1627" i="60"/>
  <c r="E1627" i="60"/>
  <c r="F1627" i="60"/>
  <c r="G1627" i="60"/>
  <c r="A1628" i="60"/>
  <c r="C1628" i="60"/>
  <c r="D1628" i="60"/>
  <c r="E1628" i="60"/>
  <c r="F1628" i="60"/>
  <c r="G1628" i="60"/>
  <c r="A1629" i="60"/>
  <c r="C1629" i="60"/>
  <c r="D1629" i="60"/>
  <c r="E1629" i="60"/>
  <c r="F1629" i="60"/>
  <c r="G1629" i="60"/>
  <c r="A1630" i="60"/>
  <c r="C1630" i="60"/>
  <c r="D1630" i="60"/>
  <c r="E1630" i="60"/>
  <c r="F1630" i="60"/>
  <c r="G1630" i="60"/>
  <c r="A1631" i="60"/>
  <c r="C1631" i="60"/>
  <c r="D1631" i="60"/>
  <c r="E1631" i="60"/>
  <c r="F1631" i="60"/>
  <c r="G1631" i="60"/>
  <c r="A1632" i="60"/>
  <c r="C1632" i="60"/>
  <c r="D1632" i="60"/>
  <c r="E1632" i="60"/>
  <c r="F1632" i="60"/>
  <c r="G1632" i="60"/>
  <c r="A1633" i="60"/>
  <c r="C1633" i="60"/>
  <c r="D1633" i="60"/>
  <c r="E1633" i="60"/>
  <c r="F1633" i="60"/>
  <c r="G1633" i="60"/>
  <c r="A1634" i="60"/>
  <c r="C1634" i="60"/>
  <c r="D1634" i="60"/>
  <c r="E1634" i="60"/>
  <c r="F1634" i="60"/>
  <c r="G1634" i="60"/>
  <c r="A1635" i="60"/>
  <c r="C1635" i="60"/>
  <c r="D1635" i="60"/>
  <c r="E1635" i="60"/>
  <c r="F1635" i="60"/>
  <c r="G1635" i="60"/>
  <c r="A1636" i="60"/>
  <c r="C1636" i="60"/>
  <c r="D1636" i="60"/>
  <c r="E1636" i="60"/>
  <c r="F1636" i="60"/>
  <c r="G1636" i="60"/>
  <c r="A1637" i="60"/>
  <c r="C1637" i="60"/>
  <c r="D1637" i="60"/>
  <c r="E1637" i="60"/>
  <c r="F1637" i="60"/>
  <c r="G1637" i="60"/>
  <c r="A1638" i="60"/>
  <c r="C1638" i="60"/>
  <c r="D1638" i="60"/>
  <c r="E1638" i="60"/>
  <c r="F1638" i="60"/>
  <c r="G1638" i="60"/>
  <c r="A1639" i="60"/>
  <c r="C1639" i="60"/>
  <c r="D1639" i="60"/>
  <c r="E1639" i="60"/>
  <c r="F1639" i="60"/>
  <c r="G1639" i="60"/>
  <c r="A1640" i="60"/>
  <c r="C1640" i="60"/>
  <c r="D1640" i="60"/>
  <c r="E1640" i="60"/>
  <c r="F1640" i="60"/>
  <c r="G1640" i="60"/>
  <c r="A1641" i="60"/>
  <c r="C1641" i="60"/>
  <c r="D1641" i="60"/>
  <c r="E1641" i="60"/>
  <c r="F1641" i="60"/>
  <c r="G1641" i="60"/>
  <c r="A1642" i="60"/>
  <c r="C1642" i="60"/>
  <c r="D1642" i="60"/>
  <c r="E1642" i="60"/>
  <c r="F1642" i="60"/>
  <c r="G1642" i="60"/>
  <c r="A1643" i="60"/>
  <c r="C1643" i="60"/>
  <c r="D1643" i="60"/>
  <c r="E1643" i="60"/>
  <c r="F1643" i="60"/>
  <c r="G1643" i="60"/>
  <c r="A1644" i="60"/>
  <c r="C1644" i="60"/>
  <c r="D1644" i="60"/>
  <c r="E1644" i="60"/>
  <c r="F1644" i="60"/>
  <c r="G1644" i="60"/>
  <c r="A1645" i="60"/>
  <c r="C1645" i="60"/>
  <c r="D1645" i="60"/>
  <c r="E1645" i="60"/>
  <c r="F1645" i="60"/>
  <c r="G1645" i="60"/>
  <c r="A1646" i="60"/>
  <c r="C1646" i="60"/>
  <c r="D1646" i="60"/>
  <c r="E1646" i="60"/>
  <c r="F1646" i="60"/>
  <c r="G1646" i="60"/>
  <c r="A1647" i="60"/>
  <c r="C1647" i="60"/>
  <c r="D1647" i="60"/>
  <c r="E1647" i="60"/>
  <c r="F1647" i="60"/>
  <c r="G1647" i="60"/>
  <c r="A1648" i="60"/>
  <c r="C1648" i="60"/>
  <c r="D1648" i="60"/>
  <c r="E1648" i="60"/>
  <c r="F1648" i="60"/>
  <c r="G1648" i="60"/>
  <c r="A1649" i="60"/>
  <c r="C1649" i="60"/>
  <c r="D1649" i="60"/>
  <c r="E1649" i="60"/>
  <c r="F1649" i="60"/>
  <c r="G1649" i="60"/>
  <c r="A1650" i="60"/>
  <c r="C1650" i="60"/>
  <c r="D1650" i="60"/>
  <c r="E1650" i="60"/>
  <c r="F1650" i="60"/>
  <c r="G1650" i="60"/>
  <c r="A1651" i="60"/>
  <c r="C1651" i="60"/>
  <c r="D1651" i="60"/>
  <c r="E1651" i="60"/>
  <c r="F1651" i="60"/>
  <c r="G1651" i="60"/>
  <c r="A1652" i="60"/>
  <c r="C1652" i="60"/>
  <c r="D1652" i="60"/>
  <c r="E1652" i="60"/>
  <c r="F1652" i="60"/>
  <c r="G1652" i="60"/>
  <c r="A1653" i="60"/>
  <c r="C1653" i="60"/>
  <c r="D1653" i="60"/>
  <c r="E1653" i="60"/>
  <c r="F1653" i="60"/>
  <c r="G1653" i="60"/>
  <c r="A1654" i="60"/>
  <c r="C1654" i="60"/>
  <c r="D1654" i="60"/>
  <c r="E1654" i="60"/>
  <c r="F1654" i="60"/>
  <c r="G1654" i="60"/>
  <c r="A1655" i="60"/>
  <c r="C1655" i="60"/>
  <c r="D1655" i="60"/>
  <c r="E1655" i="60"/>
  <c r="F1655" i="60"/>
  <c r="G1655" i="60"/>
  <c r="A1656" i="60"/>
  <c r="C1656" i="60"/>
  <c r="D1656" i="60"/>
  <c r="E1656" i="60"/>
  <c r="F1656" i="60"/>
  <c r="G1656" i="60"/>
  <c r="A1657" i="60"/>
  <c r="C1657" i="60"/>
  <c r="D1657" i="60"/>
  <c r="E1657" i="60"/>
  <c r="F1657" i="60"/>
  <c r="G1657" i="60"/>
  <c r="A1658" i="60"/>
  <c r="C1658" i="60"/>
  <c r="D1658" i="60"/>
  <c r="E1658" i="60"/>
  <c r="F1658" i="60"/>
  <c r="G1658" i="60"/>
  <c r="A1659" i="60"/>
  <c r="C1659" i="60"/>
  <c r="D1659" i="60"/>
  <c r="E1659" i="60"/>
  <c r="F1659" i="60"/>
  <c r="G1659" i="60"/>
  <c r="A1660" i="60"/>
  <c r="C1660" i="60"/>
  <c r="D1660" i="60"/>
  <c r="E1660" i="60"/>
  <c r="F1660" i="60"/>
  <c r="G1660" i="60"/>
  <c r="A1661" i="60"/>
  <c r="C1661" i="60"/>
  <c r="D1661" i="60"/>
  <c r="E1661" i="60"/>
  <c r="F1661" i="60"/>
  <c r="G1661" i="60"/>
  <c r="A1662" i="60"/>
  <c r="C1662" i="60"/>
  <c r="D1662" i="60"/>
  <c r="E1662" i="60"/>
  <c r="F1662" i="60"/>
  <c r="G1662" i="60"/>
  <c r="A1663" i="60"/>
  <c r="C1663" i="60"/>
  <c r="D1663" i="60"/>
  <c r="E1663" i="60"/>
  <c r="F1663" i="60"/>
  <c r="G1663" i="60"/>
  <c r="A1664" i="60"/>
  <c r="C1664" i="60"/>
  <c r="D1664" i="60"/>
  <c r="E1664" i="60"/>
  <c r="F1664" i="60"/>
  <c r="G1664" i="60"/>
  <c r="A1665" i="60"/>
  <c r="C1665" i="60"/>
  <c r="D1665" i="60"/>
  <c r="E1665" i="60"/>
  <c r="F1665" i="60"/>
  <c r="G1665" i="60"/>
  <c r="A1666" i="60"/>
  <c r="C1666" i="60"/>
  <c r="D1666" i="60"/>
  <c r="E1666" i="60"/>
  <c r="F1666" i="60"/>
  <c r="G1666" i="60"/>
  <c r="A1667" i="60"/>
  <c r="C1667" i="60"/>
  <c r="D1667" i="60"/>
  <c r="E1667" i="60"/>
  <c r="F1667" i="60"/>
  <c r="G1667" i="60"/>
  <c r="A1668" i="60"/>
  <c r="C1668" i="60"/>
  <c r="D1668" i="60"/>
  <c r="E1668" i="60"/>
  <c r="F1668" i="60"/>
  <c r="G1668" i="60"/>
  <c r="A1669" i="60"/>
  <c r="C1669" i="60"/>
  <c r="D1669" i="60"/>
  <c r="E1669" i="60"/>
  <c r="F1669" i="60"/>
  <c r="G1669" i="60"/>
  <c r="A1670" i="60"/>
  <c r="C1670" i="60"/>
  <c r="D1670" i="60"/>
  <c r="E1670" i="60"/>
  <c r="F1670" i="60"/>
  <c r="G1670" i="60"/>
  <c r="A1671" i="60"/>
  <c r="C1671" i="60"/>
  <c r="D1671" i="60"/>
  <c r="E1671" i="60"/>
  <c r="F1671" i="60"/>
  <c r="G1671" i="60"/>
  <c r="A1672" i="60"/>
  <c r="C1672" i="60"/>
  <c r="D1672" i="60"/>
  <c r="E1672" i="60"/>
  <c r="F1672" i="60"/>
  <c r="G1672" i="60"/>
  <c r="A1673" i="60"/>
  <c r="C1673" i="60"/>
  <c r="D1673" i="60"/>
  <c r="E1673" i="60"/>
  <c r="F1673" i="60"/>
  <c r="G1673" i="60"/>
  <c r="A1674" i="60"/>
  <c r="C1674" i="60"/>
  <c r="D1674" i="60"/>
  <c r="E1674" i="60"/>
  <c r="F1674" i="60"/>
  <c r="G1674" i="60"/>
  <c r="A1675" i="60"/>
  <c r="C1675" i="60"/>
  <c r="D1675" i="60"/>
  <c r="E1675" i="60"/>
  <c r="F1675" i="60"/>
  <c r="G1675" i="60"/>
  <c r="A1676" i="60"/>
  <c r="C1676" i="60"/>
  <c r="D1676" i="60"/>
  <c r="E1676" i="60"/>
  <c r="F1676" i="60"/>
  <c r="G1676" i="60"/>
  <c r="A1677" i="60"/>
  <c r="C1677" i="60"/>
  <c r="D1677" i="60"/>
  <c r="E1677" i="60"/>
  <c r="F1677" i="60"/>
  <c r="G1677" i="60"/>
  <c r="A1678" i="60"/>
  <c r="C1678" i="60"/>
  <c r="D1678" i="60"/>
  <c r="E1678" i="60"/>
  <c r="F1678" i="60"/>
  <c r="G1678" i="60"/>
  <c r="A1679" i="60"/>
  <c r="C1679" i="60"/>
  <c r="D1679" i="60"/>
  <c r="E1679" i="60"/>
  <c r="F1679" i="60"/>
  <c r="G1679" i="60"/>
  <c r="A1680" i="60"/>
  <c r="C1680" i="60"/>
  <c r="D1680" i="60"/>
  <c r="E1680" i="60"/>
  <c r="F1680" i="60"/>
  <c r="G1680" i="60"/>
  <c r="A1681" i="60"/>
  <c r="C1681" i="60"/>
  <c r="D1681" i="60"/>
  <c r="E1681" i="60"/>
  <c r="F1681" i="60"/>
  <c r="G1681" i="60"/>
  <c r="A1682" i="60"/>
  <c r="C1682" i="60"/>
  <c r="D1682" i="60"/>
  <c r="E1682" i="60"/>
  <c r="F1682" i="60"/>
  <c r="G1682" i="60"/>
  <c r="A1683" i="60"/>
  <c r="C1683" i="60"/>
  <c r="D1683" i="60"/>
  <c r="E1683" i="60"/>
  <c r="F1683" i="60"/>
  <c r="G1683" i="60"/>
  <c r="A1684" i="60"/>
  <c r="C1684" i="60"/>
  <c r="D1684" i="60"/>
  <c r="E1684" i="60"/>
  <c r="F1684" i="60"/>
  <c r="G1684" i="60"/>
  <c r="A1685" i="60"/>
  <c r="C1685" i="60"/>
  <c r="D1685" i="60"/>
  <c r="E1685" i="60"/>
  <c r="F1685" i="60"/>
  <c r="G1685" i="60"/>
  <c r="A1686" i="60"/>
  <c r="C1686" i="60"/>
  <c r="D1686" i="60"/>
  <c r="E1686" i="60"/>
  <c r="F1686" i="60"/>
  <c r="G1686" i="60"/>
  <c r="A1687" i="60"/>
  <c r="C1687" i="60"/>
  <c r="D1687" i="60"/>
  <c r="E1687" i="60"/>
  <c r="F1687" i="60"/>
  <c r="G1687" i="60"/>
  <c r="A1688" i="60"/>
  <c r="C1688" i="60"/>
  <c r="D1688" i="60"/>
  <c r="E1688" i="60"/>
  <c r="F1688" i="60"/>
  <c r="G1688" i="60"/>
  <c r="A1689" i="60"/>
  <c r="C1689" i="60"/>
  <c r="D1689" i="60"/>
  <c r="E1689" i="60"/>
  <c r="F1689" i="60"/>
  <c r="G1689" i="60"/>
  <c r="A1690" i="60"/>
  <c r="C1690" i="60"/>
  <c r="D1690" i="60"/>
  <c r="E1690" i="60"/>
  <c r="F1690" i="60"/>
  <c r="G1690" i="60"/>
  <c r="A1691" i="60"/>
  <c r="C1691" i="60"/>
  <c r="D1691" i="60"/>
  <c r="E1691" i="60"/>
  <c r="F1691" i="60"/>
  <c r="G1691" i="60"/>
  <c r="A1692" i="60"/>
  <c r="C1692" i="60"/>
  <c r="D1692" i="60"/>
  <c r="E1692" i="60"/>
  <c r="F1692" i="60"/>
  <c r="G1692" i="60"/>
  <c r="A1693" i="60"/>
  <c r="C1693" i="60"/>
  <c r="D1693" i="60"/>
  <c r="E1693" i="60"/>
  <c r="F1693" i="60"/>
  <c r="G1693" i="60"/>
  <c r="A1694" i="60"/>
  <c r="C1694" i="60"/>
  <c r="D1694" i="60"/>
  <c r="E1694" i="60"/>
  <c r="F1694" i="60"/>
  <c r="G1694" i="60"/>
  <c r="A1695" i="60"/>
  <c r="C1695" i="60"/>
  <c r="D1695" i="60"/>
  <c r="E1695" i="60"/>
  <c r="F1695" i="60"/>
  <c r="G1695" i="60"/>
  <c r="A1696" i="60"/>
  <c r="C1696" i="60"/>
  <c r="D1696" i="60"/>
  <c r="E1696" i="60"/>
  <c r="F1696" i="60"/>
  <c r="G1696" i="60"/>
  <c r="A1697" i="60"/>
  <c r="C1697" i="60"/>
  <c r="D1697" i="60"/>
  <c r="E1697" i="60"/>
  <c r="F1697" i="60"/>
  <c r="G1697" i="60"/>
  <c r="A1698" i="60"/>
  <c r="C1698" i="60"/>
  <c r="D1698" i="60"/>
  <c r="E1698" i="60"/>
  <c r="F1698" i="60"/>
  <c r="G1698" i="60"/>
  <c r="A1699" i="60"/>
  <c r="C1699" i="60"/>
  <c r="D1699" i="60"/>
  <c r="E1699" i="60"/>
  <c r="F1699" i="60"/>
  <c r="G1699" i="60"/>
  <c r="A1700" i="60"/>
  <c r="C1700" i="60"/>
  <c r="D1700" i="60"/>
  <c r="E1700" i="60"/>
  <c r="F1700" i="60"/>
  <c r="G1700" i="60"/>
  <c r="A1701" i="60"/>
  <c r="C1701" i="60"/>
  <c r="D1701" i="60"/>
  <c r="E1701" i="60"/>
  <c r="F1701" i="60"/>
  <c r="G1701" i="60"/>
  <c r="A1702" i="60"/>
  <c r="C1702" i="60"/>
  <c r="D1702" i="60"/>
  <c r="E1702" i="60"/>
  <c r="F1702" i="60"/>
  <c r="G1702" i="60"/>
  <c r="A1703" i="60"/>
  <c r="C1703" i="60"/>
  <c r="D1703" i="60"/>
  <c r="E1703" i="60"/>
  <c r="F1703" i="60"/>
  <c r="G1703" i="60"/>
  <c r="A1704" i="60"/>
  <c r="C1704" i="60"/>
  <c r="D1704" i="60"/>
  <c r="E1704" i="60"/>
  <c r="F1704" i="60"/>
  <c r="G1704" i="60"/>
  <c r="A1705" i="60"/>
  <c r="C1705" i="60"/>
  <c r="D1705" i="60"/>
  <c r="E1705" i="60"/>
  <c r="F1705" i="60"/>
  <c r="G1705" i="60"/>
  <c r="A1706" i="60"/>
  <c r="C1706" i="60"/>
  <c r="D1706" i="60"/>
  <c r="E1706" i="60"/>
  <c r="F1706" i="60"/>
  <c r="G1706" i="60"/>
  <c r="A1707" i="60"/>
  <c r="C1707" i="60"/>
  <c r="D1707" i="60"/>
  <c r="E1707" i="60"/>
  <c r="F1707" i="60"/>
  <c r="G1707" i="60"/>
  <c r="A1708" i="60"/>
  <c r="C1708" i="60"/>
  <c r="D1708" i="60"/>
  <c r="E1708" i="60"/>
  <c r="F1708" i="60"/>
  <c r="G1708" i="60"/>
  <c r="A1709" i="60"/>
  <c r="C1709" i="60"/>
  <c r="D1709" i="60"/>
  <c r="E1709" i="60"/>
  <c r="F1709" i="60"/>
  <c r="G1709" i="60"/>
  <c r="A1710" i="60"/>
  <c r="C1710" i="60"/>
  <c r="D1710" i="60"/>
  <c r="E1710" i="60"/>
  <c r="F1710" i="60"/>
  <c r="G1710" i="60"/>
  <c r="A1711" i="60"/>
  <c r="C1711" i="60"/>
  <c r="D1711" i="60"/>
  <c r="E1711" i="60"/>
  <c r="F1711" i="60"/>
  <c r="G1711" i="60"/>
  <c r="A1712" i="60"/>
  <c r="C1712" i="60"/>
  <c r="D1712" i="60"/>
  <c r="E1712" i="60"/>
  <c r="F1712" i="60"/>
  <c r="G1712" i="60"/>
  <c r="A1713" i="60"/>
  <c r="C1713" i="60"/>
  <c r="D1713" i="60"/>
  <c r="E1713" i="60"/>
  <c r="F1713" i="60"/>
  <c r="G1713" i="60"/>
  <c r="A1714" i="60"/>
  <c r="C1714" i="60"/>
  <c r="D1714" i="60"/>
  <c r="E1714" i="60"/>
  <c r="F1714" i="60"/>
  <c r="G1714" i="60"/>
  <c r="A1715" i="60"/>
  <c r="C1715" i="60"/>
  <c r="D1715" i="60"/>
  <c r="E1715" i="60"/>
  <c r="F1715" i="60"/>
  <c r="G1715" i="60"/>
  <c r="A1716" i="60"/>
  <c r="C1716" i="60"/>
  <c r="D1716" i="60"/>
  <c r="E1716" i="60"/>
  <c r="F1716" i="60"/>
  <c r="G1716" i="60"/>
  <c r="A1717" i="60"/>
  <c r="C1717" i="60"/>
  <c r="D1717" i="60"/>
  <c r="E1717" i="60"/>
  <c r="F1717" i="60"/>
  <c r="G1717" i="60"/>
  <c r="A1718" i="60"/>
  <c r="C1718" i="60"/>
  <c r="D1718" i="60"/>
  <c r="E1718" i="60"/>
  <c r="F1718" i="60"/>
  <c r="G1718" i="60"/>
  <c r="A1719" i="60"/>
  <c r="C1719" i="60"/>
  <c r="D1719" i="60"/>
  <c r="E1719" i="60"/>
  <c r="F1719" i="60"/>
  <c r="G1719" i="60"/>
  <c r="A1720" i="60"/>
  <c r="C1720" i="60"/>
  <c r="D1720" i="60"/>
  <c r="E1720" i="60"/>
  <c r="F1720" i="60"/>
  <c r="G1720" i="60"/>
  <c r="A1721" i="60"/>
  <c r="C1721" i="60"/>
  <c r="D1721" i="60"/>
  <c r="E1721" i="60"/>
  <c r="F1721" i="60"/>
  <c r="G1721" i="60"/>
  <c r="A1722" i="60"/>
  <c r="C1722" i="60"/>
  <c r="D1722" i="60"/>
  <c r="E1722" i="60"/>
  <c r="F1722" i="60"/>
  <c r="G1722" i="60"/>
  <c r="A1723" i="60"/>
  <c r="C1723" i="60"/>
  <c r="D1723" i="60"/>
  <c r="E1723" i="60"/>
  <c r="F1723" i="60"/>
  <c r="G1723" i="60"/>
  <c r="A1724" i="60"/>
  <c r="C1724" i="60"/>
  <c r="D1724" i="60"/>
  <c r="E1724" i="60"/>
  <c r="F1724" i="60"/>
  <c r="G1724" i="60"/>
  <c r="A1725" i="60"/>
  <c r="C1725" i="60"/>
  <c r="D1725" i="60"/>
  <c r="E1725" i="60"/>
  <c r="F1725" i="60"/>
  <c r="G1725" i="60"/>
  <c r="A1726" i="60"/>
  <c r="C1726" i="60"/>
  <c r="D1726" i="60"/>
  <c r="E1726" i="60"/>
  <c r="F1726" i="60"/>
  <c r="G1726" i="60"/>
  <c r="A1727" i="60"/>
  <c r="C1727" i="60"/>
  <c r="D1727" i="60"/>
  <c r="E1727" i="60"/>
  <c r="F1727" i="60"/>
  <c r="G1727" i="60"/>
  <c r="A1728" i="60"/>
  <c r="C1728" i="60"/>
  <c r="D1728" i="60"/>
  <c r="E1728" i="60"/>
  <c r="F1728" i="60"/>
  <c r="G1728" i="60"/>
  <c r="A1729" i="60"/>
  <c r="C1729" i="60"/>
  <c r="D1729" i="60"/>
  <c r="E1729" i="60"/>
  <c r="F1729" i="60"/>
  <c r="G1729" i="60"/>
  <c r="A1730" i="60"/>
  <c r="C1730" i="60"/>
  <c r="D1730" i="60"/>
  <c r="E1730" i="60"/>
  <c r="F1730" i="60"/>
  <c r="G1730" i="60"/>
  <c r="A1731" i="60"/>
  <c r="C1731" i="60"/>
  <c r="D1731" i="60"/>
  <c r="E1731" i="60"/>
  <c r="F1731" i="60"/>
  <c r="G1731" i="60"/>
  <c r="A1732" i="60"/>
  <c r="C1732" i="60"/>
  <c r="D1732" i="60"/>
  <c r="E1732" i="60"/>
  <c r="F1732" i="60"/>
  <c r="G1732" i="60"/>
  <c r="A1733" i="60"/>
  <c r="C1733" i="60"/>
  <c r="D1733" i="60"/>
  <c r="E1733" i="60"/>
  <c r="F1733" i="60"/>
  <c r="G1733" i="60"/>
  <c r="A1734" i="60"/>
  <c r="C1734" i="60"/>
  <c r="D1734" i="60"/>
  <c r="E1734" i="60"/>
  <c r="F1734" i="60"/>
  <c r="G1734" i="60"/>
  <c r="A1735" i="60"/>
  <c r="C1735" i="60"/>
  <c r="D1735" i="60"/>
  <c r="E1735" i="60"/>
  <c r="F1735" i="60"/>
  <c r="G1735" i="60"/>
  <c r="A1736" i="60"/>
  <c r="C1736" i="60"/>
  <c r="D1736" i="60"/>
  <c r="E1736" i="60"/>
  <c r="F1736" i="60"/>
  <c r="G1736" i="60"/>
  <c r="A1737" i="60"/>
  <c r="C1737" i="60"/>
  <c r="D1737" i="60"/>
  <c r="E1737" i="60"/>
  <c r="F1737" i="60"/>
  <c r="G1737" i="60"/>
  <c r="A1738" i="60"/>
  <c r="C1738" i="60"/>
  <c r="D1738" i="60"/>
  <c r="E1738" i="60"/>
  <c r="F1738" i="60"/>
  <c r="G1738" i="60"/>
  <c r="A1739" i="60"/>
  <c r="C1739" i="60"/>
  <c r="D1739" i="60"/>
  <c r="E1739" i="60"/>
  <c r="F1739" i="60"/>
  <c r="G1739" i="60"/>
  <c r="A1740" i="60"/>
  <c r="C1740" i="60"/>
  <c r="D1740" i="60"/>
  <c r="E1740" i="60"/>
  <c r="F1740" i="60"/>
  <c r="G1740" i="60"/>
  <c r="A1741" i="60"/>
  <c r="C1741" i="60"/>
  <c r="D1741" i="60"/>
  <c r="E1741" i="60"/>
  <c r="F1741" i="60"/>
  <c r="G1741" i="60"/>
  <c r="A1742" i="60"/>
  <c r="C1742" i="60"/>
  <c r="D1742" i="60"/>
  <c r="E1742" i="60"/>
  <c r="F1742" i="60"/>
  <c r="G1742" i="60"/>
  <c r="A1743" i="60"/>
  <c r="C1743" i="60"/>
  <c r="D1743" i="60"/>
  <c r="E1743" i="60"/>
  <c r="F1743" i="60"/>
  <c r="G1743" i="60"/>
  <c r="A1744" i="60"/>
  <c r="C1744" i="60"/>
  <c r="D1744" i="60"/>
  <c r="E1744" i="60"/>
  <c r="F1744" i="60"/>
  <c r="G1744" i="60"/>
  <c r="A1745" i="60"/>
  <c r="C1745" i="60"/>
  <c r="D1745" i="60"/>
  <c r="E1745" i="60"/>
  <c r="F1745" i="60"/>
  <c r="G1745" i="60"/>
  <c r="A1746" i="60"/>
  <c r="C1746" i="60"/>
  <c r="D1746" i="60"/>
  <c r="E1746" i="60"/>
  <c r="F1746" i="60"/>
  <c r="G1746" i="60"/>
  <c r="A1747" i="60"/>
  <c r="C1747" i="60"/>
  <c r="D1747" i="60"/>
  <c r="E1747" i="60"/>
  <c r="F1747" i="60"/>
  <c r="G1747" i="60"/>
  <c r="A1748" i="60"/>
  <c r="C1748" i="60"/>
  <c r="D1748" i="60"/>
  <c r="E1748" i="60"/>
  <c r="F1748" i="60"/>
  <c r="G1748" i="60"/>
  <c r="A1749" i="60"/>
  <c r="C1749" i="60"/>
  <c r="D1749" i="60"/>
  <c r="E1749" i="60"/>
  <c r="F1749" i="60"/>
  <c r="G1749" i="60"/>
  <c r="A1750" i="60"/>
  <c r="C1750" i="60"/>
  <c r="D1750" i="60"/>
  <c r="E1750" i="60"/>
  <c r="F1750" i="60"/>
  <c r="G1750" i="60"/>
  <c r="A1751" i="60"/>
  <c r="C1751" i="60"/>
  <c r="D1751" i="60"/>
  <c r="E1751" i="60"/>
  <c r="F1751" i="60"/>
  <c r="G1751" i="60"/>
  <c r="A1752" i="60"/>
  <c r="C1752" i="60"/>
  <c r="D1752" i="60"/>
  <c r="E1752" i="60"/>
  <c r="F1752" i="60"/>
  <c r="G1752" i="60"/>
  <c r="A1753" i="60"/>
  <c r="C1753" i="60"/>
  <c r="D1753" i="60"/>
  <c r="E1753" i="60"/>
  <c r="F1753" i="60"/>
  <c r="G1753" i="60"/>
  <c r="A1754" i="60"/>
  <c r="C1754" i="60"/>
  <c r="D1754" i="60"/>
  <c r="E1754" i="60"/>
  <c r="F1754" i="60"/>
  <c r="G1754" i="60"/>
  <c r="A1755" i="60"/>
  <c r="C1755" i="60"/>
  <c r="D1755" i="60"/>
  <c r="E1755" i="60"/>
  <c r="F1755" i="60"/>
  <c r="G1755" i="60"/>
  <c r="A1756" i="60"/>
  <c r="C1756" i="60"/>
  <c r="D1756" i="60"/>
  <c r="E1756" i="60"/>
  <c r="F1756" i="60"/>
  <c r="G1756" i="60"/>
  <c r="A1757" i="60"/>
  <c r="C1757" i="60"/>
  <c r="D1757" i="60"/>
  <c r="E1757" i="60"/>
  <c r="F1757" i="60"/>
  <c r="G1757" i="60"/>
  <c r="A1758" i="60"/>
  <c r="C1758" i="60"/>
  <c r="D1758" i="60"/>
  <c r="E1758" i="60"/>
  <c r="F1758" i="60"/>
  <c r="G1758" i="60"/>
  <c r="A1759" i="60"/>
  <c r="C1759" i="60"/>
  <c r="D1759" i="60"/>
  <c r="E1759" i="60"/>
  <c r="F1759" i="60"/>
  <c r="G1759" i="60"/>
  <c r="A1760" i="60"/>
  <c r="C1760" i="60"/>
  <c r="D1760" i="60"/>
  <c r="E1760" i="60"/>
  <c r="F1760" i="60"/>
  <c r="G1760" i="60"/>
  <c r="A1761" i="60"/>
  <c r="C1761" i="60"/>
  <c r="D1761" i="60"/>
  <c r="E1761" i="60"/>
  <c r="F1761" i="60"/>
  <c r="G1761" i="60"/>
  <c r="A1762" i="60"/>
  <c r="C1762" i="60"/>
  <c r="D1762" i="60"/>
  <c r="E1762" i="60"/>
  <c r="F1762" i="60"/>
  <c r="G1762" i="60"/>
  <c r="A1763" i="60"/>
  <c r="C1763" i="60"/>
  <c r="D1763" i="60"/>
  <c r="E1763" i="60"/>
  <c r="F1763" i="60"/>
  <c r="G1763" i="60"/>
  <c r="A1764" i="60"/>
  <c r="C1764" i="60"/>
  <c r="D1764" i="60"/>
  <c r="E1764" i="60"/>
  <c r="F1764" i="60"/>
  <c r="G1764" i="60"/>
  <c r="A1765" i="60"/>
  <c r="C1765" i="60"/>
  <c r="D1765" i="60"/>
  <c r="E1765" i="60"/>
  <c r="F1765" i="60"/>
  <c r="G1765" i="60"/>
  <c r="A1766" i="60"/>
  <c r="C1766" i="60"/>
  <c r="D1766" i="60"/>
  <c r="E1766" i="60"/>
  <c r="F1766" i="60"/>
  <c r="G1766" i="60"/>
  <c r="A1767" i="60"/>
  <c r="C1767" i="60"/>
  <c r="D1767" i="60"/>
  <c r="E1767" i="60"/>
  <c r="F1767" i="60"/>
  <c r="G1767" i="60"/>
  <c r="A1768" i="60"/>
  <c r="C1768" i="60"/>
  <c r="D1768" i="60"/>
  <c r="E1768" i="60"/>
  <c r="F1768" i="60"/>
  <c r="G1768" i="60"/>
  <c r="A1769" i="60"/>
  <c r="C1769" i="60"/>
  <c r="D1769" i="60"/>
  <c r="E1769" i="60"/>
  <c r="F1769" i="60"/>
  <c r="G1769" i="60"/>
  <c r="A1770" i="60"/>
  <c r="C1770" i="60"/>
  <c r="D1770" i="60"/>
  <c r="E1770" i="60"/>
  <c r="F1770" i="60"/>
  <c r="G1770" i="60"/>
  <c r="A1771" i="60"/>
  <c r="C1771" i="60"/>
  <c r="D1771" i="60"/>
  <c r="E1771" i="60"/>
  <c r="F1771" i="60"/>
  <c r="G1771" i="60"/>
  <c r="A1772" i="60"/>
  <c r="C1772" i="60"/>
  <c r="D1772" i="60"/>
  <c r="E1772" i="60"/>
  <c r="F1772" i="60"/>
  <c r="G1772" i="60"/>
  <c r="A1773" i="60"/>
  <c r="C1773" i="60"/>
  <c r="D1773" i="60"/>
  <c r="E1773" i="60"/>
  <c r="F1773" i="60"/>
  <c r="G1773" i="60"/>
  <c r="A1774" i="60"/>
  <c r="C1774" i="60"/>
  <c r="D1774" i="60"/>
  <c r="E1774" i="60"/>
  <c r="F1774" i="60"/>
  <c r="G1774" i="60"/>
  <c r="A1775" i="60"/>
  <c r="C1775" i="60"/>
  <c r="D1775" i="60"/>
  <c r="E1775" i="60"/>
  <c r="F1775" i="60"/>
  <c r="G1775" i="60"/>
  <c r="A1776" i="60"/>
  <c r="C1776" i="60"/>
  <c r="D1776" i="60"/>
  <c r="E1776" i="60"/>
  <c r="F1776" i="60"/>
  <c r="G1776" i="60"/>
  <c r="A1777" i="60"/>
  <c r="C1777" i="60"/>
  <c r="D1777" i="60"/>
  <c r="E1777" i="60"/>
  <c r="F1777" i="60"/>
  <c r="G1777" i="60"/>
  <c r="A1778" i="60"/>
  <c r="C1778" i="60"/>
  <c r="D1778" i="60"/>
  <c r="E1778" i="60"/>
  <c r="F1778" i="60"/>
  <c r="G1778" i="60"/>
  <c r="A1779" i="60"/>
  <c r="C1779" i="60"/>
  <c r="D1779" i="60"/>
  <c r="E1779" i="60"/>
  <c r="F1779" i="60"/>
  <c r="G1779" i="60"/>
  <c r="A1780" i="60"/>
  <c r="C1780" i="60"/>
  <c r="D1780" i="60"/>
  <c r="E1780" i="60"/>
  <c r="F1780" i="60"/>
  <c r="G1780" i="60"/>
  <c r="A1781" i="60"/>
  <c r="C1781" i="60"/>
  <c r="D1781" i="60"/>
  <c r="E1781" i="60"/>
  <c r="F1781" i="60"/>
  <c r="G1781" i="60"/>
  <c r="A1782" i="60"/>
  <c r="C1782" i="60"/>
  <c r="D1782" i="60"/>
  <c r="E1782" i="60"/>
  <c r="F1782" i="60"/>
  <c r="G1782" i="60"/>
  <c r="A1783" i="60"/>
  <c r="C1783" i="60"/>
  <c r="D1783" i="60"/>
  <c r="E1783" i="60"/>
  <c r="F1783" i="60"/>
  <c r="G1783" i="60"/>
  <c r="A1784" i="60"/>
  <c r="C1784" i="60"/>
  <c r="D1784" i="60"/>
  <c r="E1784" i="60"/>
  <c r="F1784" i="60"/>
  <c r="G1784" i="60"/>
  <c r="A1785" i="60"/>
  <c r="C1785" i="60"/>
  <c r="D1785" i="60"/>
  <c r="E1785" i="60"/>
  <c r="F1785" i="60"/>
  <c r="G1785" i="60"/>
  <c r="A1786" i="60"/>
  <c r="C1786" i="60"/>
  <c r="D1786" i="60"/>
  <c r="E1786" i="60"/>
  <c r="F1786" i="60"/>
  <c r="G1786" i="60"/>
  <c r="A1787" i="60"/>
  <c r="C1787" i="60"/>
  <c r="D1787" i="60"/>
  <c r="E1787" i="60"/>
  <c r="F1787" i="60"/>
  <c r="G1787" i="60"/>
  <c r="A1788" i="60"/>
  <c r="C1788" i="60"/>
  <c r="D1788" i="60"/>
  <c r="E1788" i="60"/>
  <c r="F1788" i="60"/>
  <c r="G1788" i="60"/>
  <c r="A1789" i="60"/>
  <c r="C1789" i="60"/>
  <c r="D1789" i="60"/>
  <c r="E1789" i="60"/>
  <c r="F1789" i="60"/>
  <c r="G1789" i="60"/>
  <c r="A1790" i="60"/>
  <c r="C1790" i="60"/>
  <c r="D1790" i="60"/>
  <c r="E1790" i="60"/>
  <c r="F1790" i="60"/>
  <c r="G1790" i="60"/>
  <c r="A1791" i="60"/>
  <c r="C1791" i="60"/>
  <c r="D1791" i="60"/>
  <c r="E1791" i="60"/>
  <c r="F1791" i="60"/>
  <c r="G1791" i="60"/>
  <c r="A1792" i="60"/>
  <c r="C1792" i="60"/>
  <c r="D1792" i="60"/>
  <c r="E1792" i="60"/>
  <c r="F1792" i="60"/>
  <c r="G1792" i="60"/>
  <c r="A1793" i="60"/>
  <c r="C1793" i="60"/>
  <c r="D1793" i="60"/>
  <c r="E1793" i="60"/>
  <c r="F1793" i="60"/>
  <c r="G1793" i="60"/>
  <c r="A1794" i="60"/>
  <c r="C1794" i="60"/>
  <c r="D1794" i="60"/>
  <c r="E1794" i="60"/>
  <c r="F1794" i="60"/>
  <c r="G1794" i="60"/>
  <c r="A1795" i="60"/>
  <c r="C1795" i="60"/>
  <c r="D1795" i="60"/>
  <c r="E1795" i="60"/>
  <c r="F1795" i="60"/>
  <c r="G1795" i="60"/>
  <c r="A1796" i="60"/>
  <c r="C1796" i="60"/>
  <c r="D1796" i="60"/>
  <c r="E1796" i="60"/>
  <c r="F1796" i="60"/>
  <c r="G1796" i="60"/>
  <c r="A1797" i="60"/>
  <c r="C1797" i="60"/>
  <c r="D1797" i="60"/>
  <c r="E1797" i="60"/>
  <c r="F1797" i="60"/>
  <c r="G1797" i="60"/>
  <c r="A1798" i="60"/>
  <c r="C1798" i="60"/>
  <c r="D1798" i="60"/>
  <c r="E1798" i="60"/>
  <c r="F1798" i="60"/>
  <c r="G1798" i="60"/>
  <c r="A1799" i="60"/>
  <c r="C1799" i="60"/>
  <c r="D1799" i="60"/>
  <c r="E1799" i="60"/>
  <c r="F1799" i="60"/>
  <c r="G1799" i="60"/>
  <c r="A1800" i="60"/>
  <c r="C1800" i="60"/>
  <c r="D1800" i="60"/>
  <c r="E1800" i="60"/>
  <c r="F1800" i="60"/>
  <c r="G1800" i="60"/>
  <c r="A1801" i="60"/>
  <c r="C1801" i="60"/>
  <c r="D1801" i="60"/>
  <c r="E1801" i="60"/>
  <c r="F1801" i="60"/>
  <c r="G1801" i="60"/>
  <c r="A1802" i="60"/>
  <c r="C1802" i="60"/>
  <c r="D1802" i="60"/>
  <c r="E1802" i="60"/>
  <c r="F1802" i="60"/>
  <c r="G1802" i="60"/>
  <c r="A1803" i="60"/>
  <c r="C1803" i="60"/>
  <c r="D1803" i="60"/>
  <c r="E1803" i="60"/>
  <c r="F1803" i="60"/>
  <c r="G1803" i="60"/>
  <c r="A1804" i="60"/>
  <c r="C1804" i="60"/>
  <c r="D1804" i="60"/>
  <c r="E1804" i="60"/>
  <c r="F1804" i="60"/>
  <c r="G1804" i="60"/>
  <c r="A1805" i="60"/>
  <c r="C1805" i="60"/>
  <c r="D1805" i="60"/>
  <c r="E1805" i="60"/>
  <c r="F1805" i="60"/>
  <c r="G1805" i="60"/>
  <c r="A1806" i="60"/>
  <c r="C1806" i="60"/>
  <c r="D1806" i="60"/>
  <c r="E1806" i="60"/>
  <c r="F1806" i="60"/>
  <c r="G1806" i="60"/>
  <c r="A1807" i="60"/>
  <c r="C1807" i="60"/>
  <c r="D1807" i="60"/>
  <c r="E1807" i="60"/>
  <c r="F1807" i="60"/>
  <c r="G1807" i="60"/>
  <c r="A1808" i="60"/>
  <c r="C1808" i="60"/>
  <c r="D1808" i="60"/>
  <c r="E1808" i="60"/>
  <c r="F1808" i="60"/>
  <c r="G1808" i="60"/>
  <c r="A1809" i="60"/>
  <c r="C1809" i="60"/>
  <c r="D1809" i="60"/>
  <c r="E1809" i="60"/>
  <c r="F1809" i="60"/>
  <c r="G1809" i="60"/>
  <c r="A1810" i="60"/>
  <c r="C1810" i="60"/>
  <c r="D1810" i="60"/>
  <c r="E1810" i="60"/>
  <c r="F1810" i="60"/>
  <c r="G1810" i="60"/>
  <c r="A1811" i="60"/>
  <c r="C1811" i="60"/>
  <c r="D1811" i="60"/>
  <c r="E1811" i="60"/>
  <c r="F1811" i="60"/>
  <c r="G1811" i="60"/>
  <c r="A1812" i="60"/>
  <c r="C1812" i="60"/>
  <c r="D1812" i="60"/>
  <c r="E1812" i="60"/>
  <c r="F1812" i="60"/>
  <c r="G1812" i="60"/>
  <c r="A1813" i="60"/>
  <c r="C1813" i="60"/>
  <c r="D1813" i="60"/>
  <c r="E1813" i="60"/>
  <c r="F1813" i="60"/>
  <c r="G1813" i="60"/>
  <c r="A1814" i="60"/>
  <c r="C1814" i="60"/>
  <c r="D1814" i="60"/>
  <c r="E1814" i="60"/>
  <c r="F1814" i="60"/>
  <c r="G1814" i="60"/>
  <c r="A1815" i="60"/>
  <c r="C1815" i="60"/>
  <c r="D1815" i="60"/>
  <c r="E1815" i="60"/>
  <c r="F1815" i="60"/>
  <c r="G1815" i="60"/>
  <c r="A1816" i="60"/>
  <c r="C1816" i="60"/>
  <c r="D1816" i="60"/>
  <c r="E1816" i="60"/>
  <c r="F1816" i="60"/>
  <c r="G1816" i="60"/>
  <c r="A1817" i="60"/>
  <c r="C1817" i="60"/>
  <c r="D1817" i="60"/>
  <c r="E1817" i="60"/>
  <c r="F1817" i="60"/>
  <c r="G1817" i="60"/>
  <c r="A1818" i="60"/>
  <c r="C1818" i="60"/>
  <c r="D1818" i="60"/>
  <c r="E1818" i="60"/>
  <c r="F1818" i="60"/>
  <c r="G1818" i="60"/>
  <c r="A1819" i="60"/>
  <c r="C1819" i="60"/>
  <c r="D1819" i="60"/>
  <c r="E1819" i="60"/>
  <c r="F1819" i="60"/>
  <c r="G1819" i="60"/>
  <c r="A1820" i="60"/>
  <c r="C1820" i="60"/>
  <c r="D1820" i="60"/>
  <c r="E1820" i="60"/>
  <c r="F1820" i="60"/>
  <c r="G1820" i="60"/>
  <c r="A1821" i="60"/>
  <c r="C1821" i="60"/>
  <c r="D1821" i="60"/>
  <c r="E1821" i="60"/>
  <c r="F1821" i="60"/>
  <c r="G1821" i="60"/>
  <c r="A1822" i="60"/>
  <c r="C1822" i="60"/>
  <c r="D1822" i="60"/>
  <c r="E1822" i="60"/>
  <c r="F1822" i="60"/>
  <c r="G1822" i="60"/>
  <c r="A1823" i="60"/>
  <c r="C1823" i="60"/>
  <c r="D1823" i="60"/>
  <c r="E1823" i="60"/>
  <c r="F1823" i="60"/>
  <c r="G1823" i="60"/>
  <c r="A1824" i="60"/>
  <c r="C1824" i="60"/>
  <c r="D1824" i="60"/>
  <c r="E1824" i="60"/>
  <c r="F1824" i="60"/>
  <c r="G1824" i="60"/>
  <c r="A1825" i="60"/>
  <c r="C1825" i="60"/>
  <c r="D1825" i="60"/>
  <c r="E1825" i="60"/>
  <c r="F1825" i="60"/>
  <c r="G1825" i="60"/>
  <c r="A1826" i="60"/>
  <c r="C1826" i="60"/>
  <c r="D1826" i="60"/>
  <c r="E1826" i="60"/>
  <c r="F1826" i="60"/>
  <c r="G1826" i="60"/>
  <c r="A1827" i="60"/>
  <c r="C1827" i="60"/>
  <c r="D1827" i="60"/>
  <c r="E1827" i="60"/>
  <c r="F1827" i="60"/>
  <c r="G1827" i="60"/>
  <c r="A1828" i="60"/>
  <c r="C1828" i="60"/>
  <c r="D1828" i="60"/>
  <c r="E1828" i="60"/>
  <c r="F1828" i="60"/>
  <c r="G1828" i="60"/>
  <c r="A1829" i="60"/>
  <c r="C1829" i="60"/>
  <c r="D1829" i="60"/>
  <c r="E1829" i="60"/>
  <c r="F1829" i="60"/>
  <c r="G1829" i="60"/>
  <c r="A1830" i="60"/>
  <c r="C1830" i="60"/>
  <c r="D1830" i="60"/>
  <c r="E1830" i="60"/>
  <c r="F1830" i="60"/>
  <c r="G1830" i="60"/>
  <c r="A1831" i="60"/>
  <c r="C1831" i="60"/>
  <c r="D1831" i="60"/>
  <c r="E1831" i="60"/>
  <c r="F1831" i="60"/>
  <c r="G1831" i="60"/>
  <c r="A1832" i="60"/>
  <c r="C1832" i="60"/>
  <c r="D1832" i="60"/>
  <c r="E1832" i="60"/>
  <c r="F1832" i="60"/>
  <c r="G1832" i="60"/>
  <c r="A1833" i="60"/>
  <c r="C1833" i="60"/>
  <c r="D1833" i="60"/>
  <c r="E1833" i="60"/>
  <c r="F1833" i="60"/>
  <c r="G1833" i="60"/>
  <c r="A1834" i="60"/>
  <c r="C1834" i="60"/>
  <c r="D1834" i="60"/>
  <c r="E1834" i="60"/>
  <c r="F1834" i="60"/>
  <c r="G1834" i="60"/>
  <c r="A1835" i="60"/>
  <c r="C1835" i="60"/>
  <c r="D1835" i="60"/>
  <c r="E1835" i="60"/>
  <c r="F1835" i="60"/>
  <c r="G1835" i="60"/>
  <c r="A1836" i="60"/>
  <c r="C1836" i="60"/>
  <c r="D1836" i="60"/>
  <c r="E1836" i="60"/>
  <c r="F1836" i="60"/>
  <c r="G1836" i="60"/>
  <c r="A1837" i="60"/>
  <c r="C1837" i="60"/>
  <c r="D1837" i="60"/>
  <c r="E1837" i="60"/>
  <c r="F1837" i="60"/>
  <c r="G1837" i="60"/>
  <c r="A1838" i="60"/>
  <c r="C1838" i="60"/>
  <c r="D1838" i="60"/>
  <c r="E1838" i="60"/>
  <c r="F1838" i="60"/>
  <c r="G1838" i="60"/>
  <c r="A1839" i="60"/>
  <c r="C1839" i="60"/>
  <c r="D1839" i="60"/>
  <c r="E1839" i="60"/>
  <c r="F1839" i="60"/>
  <c r="G1839" i="60"/>
  <c r="A1840" i="60"/>
  <c r="C1840" i="60"/>
  <c r="D1840" i="60"/>
  <c r="E1840" i="60"/>
  <c r="F1840" i="60"/>
  <c r="G1840" i="60"/>
  <c r="A1841" i="60"/>
  <c r="C1841" i="60"/>
  <c r="D1841" i="60"/>
  <c r="E1841" i="60"/>
  <c r="F1841" i="60"/>
  <c r="G1841" i="60"/>
  <c r="A1842" i="60"/>
  <c r="C1842" i="60"/>
  <c r="D1842" i="60"/>
  <c r="E1842" i="60"/>
  <c r="F1842" i="60"/>
  <c r="G1842" i="60"/>
  <c r="A1843" i="60"/>
  <c r="C1843" i="60"/>
  <c r="D1843" i="60"/>
  <c r="E1843" i="60"/>
  <c r="F1843" i="60"/>
  <c r="G1843" i="60"/>
  <c r="A1844" i="60"/>
  <c r="C1844" i="60"/>
  <c r="D1844" i="60"/>
  <c r="E1844" i="60"/>
  <c r="F1844" i="60"/>
  <c r="G1844" i="60"/>
  <c r="A1845" i="60"/>
  <c r="C1845" i="60"/>
  <c r="D1845" i="60"/>
  <c r="E1845" i="60"/>
  <c r="F1845" i="60"/>
  <c r="G1845" i="60"/>
  <c r="A1846" i="60"/>
  <c r="C1846" i="60"/>
  <c r="D1846" i="60"/>
  <c r="E1846" i="60"/>
  <c r="F1846" i="60"/>
  <c r="G1846" i="60"/>
  <c r="A1847" i="60"/>
  <c r="C1847" i="60"/>
  <c r="D1847" i="60"/>
  <c r="E1847" i="60"/>
  <c r="F1847" i="60"/>
  <c r="G1847" i="60"/>
  <c r="A1848" i="60"/>
  <c r="C1848" i="60"/>
  <c r="D1848" i="60"/>
  <c r="E1848" i="60"/>
  <c r="F1848" i="60"/>
  <c r="G1848" i="60"/>
  <c r="A1849" i="60"/>
  <c r="C1849" i="60"/>
  <c r="D1849" i="60"/>
  <c r="E1849" i="60"/>
  <c r="F1849" i="60"/>
  <c r="G1849" i="60"/>
  <c r="A1850" i="60"/>
  <c r="C1850" i="60"/>
  <c r="D1850" i="60"/>
  <c r="E1850" i="60"/>
  <c r="F1850" i="60"/>
  <c r="G1850" i="60"/>
  <c r="A1851" i="60"/>
  <c r="C1851" i="60"/>
  <c r="D1851" i="60"/>
  <c r="E1851" i="60"/>
  <c r="F1851" i="60"/>
  <c r="G1851" i="60"/>
  <c r="A1852" i="60"/>
  <c r="C1852" i="60"/>
  <c r="D1852" i="60"/>
  <c r="E1852" i="60"/>
  <c r="F1852" i="60"/>
  <c r="G1852" i="60"/>
  <c r="A1853" i="60"/>
  <c r="C1853" i="60"/>
  <c r="D1853" i="60"/>
  <c r="E1853" i="60"/>
  <c r="F1853" i="60"/>
  <c r="G1853" i="60"/>
  <c r="A1854" i="60"/>
  <c r="C1854" i="60"/>
  <c r="D1854" i="60"/>
  <c r="E1854" i="60"/>
  <c r="F1854" i="60"/>
  <c r="G1854" i="60"/>
  <c r="A1855" i="60"/>
  <c r="C1855" i="60"/>
  <c r="D1855" i="60"/>
  <c r="E1855" i="60"/>
  <c r="F1855" i="60"/>
  <c r="G1855" i="60"/>
  <c r="A1856" i="60"/>
  <c r="C1856" i="60"/>
  <c r="D1856" i="60"/>
  <c r="E1856" i="60"/>
  <c r="F1856" i="60"/>
  <c r="G1856" i="60"/>
  <c r="A1857" i="60"/>
  <c r="C1857" i="60"/>
  <c r="D1857" i="60"/>
  <c r="E1857" i="60"/>
  <c r="F1857" i="60"/>
  <c r="G1857" i="60"/>
  <c r="A1858" i="60"/>
  <c r="C1858" i="60"/>
  <c r="D1858" i="60"/>
  <c r="E1858" i="60"/>
  <c r="F1858" i="60"/>
  <c r="G1858" i="60"/>
  <c r="A1859" i="60"/>
  <c r="C1859" i="60"/>
  <c r="D1859" i="60"/>
  <c r="E1859" i="60"/>
  <c r="F1859" i="60"/>
  <c r="G1859" i="60"/>
  <c r="A1860" i="60"/>
  <c r="C1860" i="60"/>
  <c r="D1860" i="60"/>
  <c r="E1860" i="60"/>
  <c r="F1860" i="60"/>
  <c r="G1860" i="60"/>
  <c r="A1861" i="60"/>
  <c r="C1861" i="60"/>
  <c r="D1861" i="60"/>
  <c r="E1861" i="60"/>
  <c r="F1861" i="60"/>
  <c r="G1861" i="60"/>
  <c r="A1862" i="60"/>
  <c r="C1862" i="60"/>
  <c r="D1862" i="60"/>
  <c r="E1862" i="60"/>
  <c r="F1862" i="60"/>
  <c r="G1862" i="60"/>
  <c r="A1863" i="60"/>
  <c r="C1863" i="60"/>
  <c r="D1863" i="60"/>
  <c r="E1863" i="60"/>
  <c r="F1863" i="60"/>
  <c r="G1863" i="60"/>
  <c r="A1864" i="60"/>
  <c r="C1864" i="60"/>
  <c r="D1864" i="60"/>
  <c r="E1864" i="60"/>
  <c r="F1864" i="60"/>
  <c r="G1864" i="60"/>
  <c r="A1865" i="60"/>
  <c r="C1865" i="60"/>
  <c r="D1865" i="60"/>
  <c r="E1865" i="60"/>
  <c r="F1865" i="60"/>
  <c r="G1865" i="60"/>
  <c r="A1866" i="60"/>
  <c r="C1866" i="60"/>
  <c r="D1866" i="60"/>
  <c r="E1866" i="60"/>
  <c r="F1866" i="60"/>
  <c r="G1866" i="60"/>
  <c r="A1867" i="60"/>
  <c r="C1867" i="60"/>
  <c r="D1867" i="60"/>
  <c r="E1867" i="60"/>
  <c r="F1867" i="60"/>
  <c r="G1867" i="60"/>
  <c r="A1868" i="60"/>
  <c r="C1868" i="60"/>
  <c r="D1868" i="60"/>
  <c r="E1868" i="60"/>
  <c r="F1868" i="60"/>
  <c r="G1868" i="60"/>
  <c r="A1869" i="60"/>
  <c r="C1869" i="60"/>
  <c r="D1869" i="60"/>
  <c r="E1869" i="60"/>
  <c r="F1869" i="60"/>
  <c r="G1869" i="60"/>
  <c r="A1870" i="60"/>
  <c r="C1870" i="60"/>
  <c r="D1870" i="60"/>
  <c r="E1870" i="60"/>
  <c r="F1870" i="60"/>
  <c r="G1870" i="60"/>
  <c r="A1871" i="60"/>
  <c r="C1871" i="60"/>
  <c r="D1871" i="60"/>
  <c r="E1871" i="60"/>
  <c r="F1871" i="60"/>
  <c r="G1871" i="60"/>
  <c r="A1872" i="60"/>
  <c r="C1872" i="60"/>
  <c r="D1872" i="60"/>
  <c r="E1872" i="60"/>
  <c r="F1872" i="60"/>
  <c r="G1872" i="60"/>
  <c r="A1873" i="60"/>
  <c r="C1873" i="60"/>
  <c r="D1873" i="60"/>
  <c r="E1873" i="60"/>
  <c r="F1873" i="60"/>
  <c r="G1873" i="60"/>
  <c r="A1874" i="60"/>
  <c r="C1874" i="60"/>
  <c r="D1874" i="60"/>
  <c r="E1874" i="60"/>
  <c r="F1874" i="60"/>
  <c r="G1874" i="60"/>
  <c r="A1875" i="60"/>
  <c r="C1875" i="60"/>
  <c r="D1875" i="60"/>
  <c r="E1875" i="60"/>
  <c r="F1875" i="60"/>
  <c r="G1875" i="60"/>
  <c r="A1876" i="60"/>
  <c r="C1876" i="60"/>
  <c r="D1876" i="60"/>
  <c r="E1876" i="60"/>
  <c r="F1876" i="60"/>
  <c r="G1876" i="60"/>
  <c r="A1877" i="60"/>
  <c r="C1877" i="60"/>
  <c r="D1877" i="60"/>
  <c r="E1877" i="60"/>
  <c r="F1877" i="60"/>
  <c r="G1877" i="60"/>
  <c r="A1878" i="60"/>
  <c r="C1878" i="60"/>
  <c r="D1878" i="60"/>
  <c r="E1878" i="60"/>
  <c r="F1878" i="60"/>
  <c r="G1878" i="60"/>
  <c r="A1879" i="60"/>
  <c r="C1879" i="60"/>
  <c r="D1879" i="60"/>
  <c r="E1879" i="60"/>
  <c r="F1879" i="60"/>
  <c r="G1879" i="60"/>
  <c r="A1880" i="60"/>
  <c r="C1880" i="60"/>
  <c r="D1880" i="60"/>
  <c r="E1880" i="60"/>
  <c r="F1880" i="60"/>
  <c r="G1880" i="60"/>
  <c r="A1881" i="60"/>
  <c r="C1881" i="60"/>
  <c r="D1881" i="60"/>
  <c r="E1881" i="60"/>
  <c r="F1881" i="60"/>
  <c r="G1881" i="60"/>
  <c r="A1882" i="60"/>
  <c r="C1882" i="60"/>
  <c r="D1882" i="60"/>
  <c r="E1882" i="60"/>
  <c r="F1882" i="60"/>
  <c r="G1882" i="60"/>
  <c r="A1883" i="60"/>
  <c r="C1883" i="60"/>
  <c r="D1883" i="60"/>
  <c r="E1883" i="60"/>
  <c r="F1883" i="60"/>
  <c r="G1883" i="60"/>
  <c r="A1884" i="60"/>
  <c r="C1884" i="60"/>
  <c r="D1884" i="60"/>
  <c r="E1884" i="60"/>
  <c r="F1884" i="60"/>
  <c r="G1884" i="60"/>
  <c r="A1885" i="60"/>
  <c r="C1885" i="60"/>
  <c r="D1885" i="60"/>
  <c r="E1885" i="60"/>
  <c r="F1885" i="60"/>
  <c r="G1885" i="60"/>
  <c r="A1886" i="60"/>
  <c r="C1886" i="60"/>
  <c r="D1886" i="60"/>
  <c r="E1886" i="60"/>
  <c r="F1886" i="60"/>
  <c r="G1886" i="60"/>
  <c r="A1887" i="60"/>
  <c r="C1887" i="60"/>
  <c r="D1887" i="60"/>
  <c r="E1887" i="60"/>
  <c r="F1887" i="60"/>
  <c r="G1887" i="60"/>
  <c r="A1888" i="60"/>
  <c r="C1888" i="60"/>
  <c r="D1888" i="60"/>
  <c r="E1888" i="60"/>
  <c r="F1888" i="60"/>
  <c r="G1888" i="60"/>
  <c r="A1889" i="60"/>
  <c r="C1889" i="60"/>
  <c r="D1889" i="60"/>
  <c r="E1889" i="60"/>
  <c r="F1889" i="60"/>
  <c r="G1889" i="60"/>
  <c r="A1890" i="60"/>
  <c r="C1890" i="60"/>
  <c r="D1890" i="60"/>
  <c r="E1890" i="60"/>
  <c r="F1890" i="60"/>
  <c r="G1890" i="60"/>
  <c r="A1891" i="60"/>
  <c r="C1891" i="60"/>
  <c r="D1891" i="60"/>
  <c r="E1891" i="60"/>
  <c r="F1891" i="60"/>
  <c r="G1891" i="60"/>
  <c r="A1892" i="60"/>
  <c r="C1892" i="60"/>
  <c r="D1892" i="60"/>
  <c r="E1892" i="60"/>
  <c r="F1892" i="60"/>
  <c r="G1892" i="60"/>
  <c r="A1893" i="60"/>
  <c r="C1893" i="60"/>
  <c r="D1893" i="60"/>
  <c r="E1893" i="60"/>
  <c r="F1893" i="60"/>
  <c r="G1893" i="60"/>
  <c r="A1894" i="60"/>
  <c r="C1894" i="60"/>
  <c r="D1894" i="60"/>
  <c r="E1894" i="60"/>
  <c r="F1894" i="60"/>
  <c r="G1894" i="60"/>
  <c r="A1895" i="60"/>
  <c r="C1895" i="60"/>
  <c r="D1895" i="60"/>
  <c r="E1895" i="60"/>
  <c r="F1895" i="60"/>
  <c r="G1895" i="60"/>
  <c r="A1896" i="60"/>
  <c r="C1896" i="60"/>
  <c r="D1896" i="60"/>
  <c r="E1896" i="60"/>
  <c r="F1896" i="60"/>
  <c r="G1896" i="60"/>
  <c r="A1897" i="60"/>
  <c r="C1897" i="60"/>
  <c r="D1897" i="60"/>
  <c r="E1897" i="60"/>
  <c r="F1897" i="60"/>
  <c r="G1897" i="60"/>
  <c r="A1898" i="60"/>
  <c r="C1898" i="60"/>
  <c r="D1898" i="60"/>
  <c r="E1898" i="60"/>
  <c r="F1898" i="60"/>
  <c r="G1898" i="60"/>
  <c r="A1899" i="60"/>
  <c r="C1899" i="60"/>
  <c r="D1899" i="60"/>
  <c r="E1899" i="60"/>
  <c r="F1899" i="60"/>
  <c r="G1899" i="60"/>
  <c r="A1900" i="60"/>
  <c r="C1900" i="60"/>
  <c r="D1900" i="60"/>
  <c r="E1900" i="60"/>
  <c r="F1900" i="60"/>
  <c r="G1900" i="60"/>
  <c r="A1901" i="60"/>
  <c r="C1901" i="60"/>
  <c r="D1901" i="60"/>
  <c r="E1901" i="60"/>
  <c r="F1901" i="60"/>
  <c r="G1901" i="60"/>
  <c r="A1902" i="60"/>
  <c r="C1902" i="60"/>
  <c r="D1902" i="60"/>
  <c r="E1902" i="60"/>
  <c r="F1902" i="60"/>
  <c r="G1902" i="60"/>
  <c r="A1903" i="60"/>
  <c r="C1903" i="60"/>
  <c r="D1903" i="60"/>
  <c r="E1903" i="60"/>
  <c r="F1903" i="60"/>
  <c r="G1903" i="60"/>
  <c r="A1904" i="60"/>
  <c r="C1904" i="60"/>
  <c r="D1904" i="60"/>
  <c r="E1904" i="60"/>
  <c r="F1904" i="60"/>
  <c r="G1904" i="60"/>
  <c r="A1905" i="60"/>
  <c r="C1905" i="60"/>
  <c r="D1905" i="60"/>
  <c r="E1905" i="60"/>
  <c r="F1905" i="60"/>
  <c r="G1905" i="60"/>
  <c r="A1906" i="60"/>
  <c r="C1906" i="60"/>
  <c r="D1906" i="60"/>
  <c r="E1906" i="60"/>
  <c r="F1906" i="60"/>
  <c r="G1906" i="60"/>
  <c r="A1907" i="60"/>
  <c r="C1907" i="60"/>
  <c r="D1907" i="60"/>
  <c r="E1907" i="60"/>
  <c r="F1907" i="60"/>
  <c r="G1907" i="60"/>
  <c r="A1908" i="60"/>
  <c r="C1908" i="60"/>
  <c r="D1908" i="60"/>
  <c r="E1908" i="60"/>
  <c r="F1908" i="60"/>
  <c r="G1908" i="60"/>
  <c r="A1909" i="60"/>
  <c r="C1909" i="60"/>
  <c r="D1909" i="60"/>
  <c r="E1909" i="60"/>
  <c r="F1909" i="60"/>
  <c r="G1909" i="60"/>
  <c r="A1910" i="60"/>
  <c r="C1910" i="60"/>
  <c r="D1910" i="60"/>
  <c r="E1910" i="60"/>
  <c r="F1910" i="60"/>
  <c r="G1910" i="60"/>
  <c r="A1911" i="60"/>
  <c r="C1911" i="60"/>
  <c r="D1911" i="60"/>
  <c r="E1911" i="60"/>
  <c r="F1911" i="60"/>
  <c r="G1911" i="60"/>
  <c r="A1912" i="60"/>
  <c r="C1912" i="60"/>
  <c r="D1912" i="60"/>
  <c r="E1912" i="60"/>
  <c r="F1912" i="60"/>
  <c r="G1912" i="60"/>
  <c r="A1913" i="60"/>
  <c r="C1913" i="60"/>
  <c r="D1913" i="60"/>
  <c r="E1913" i="60"/>
  <c r="F1913" i="60"/>
  <c r="G1913" i="60"/>
  <c r="A1914" i="60"/>
  <c r="C1914" i="60"/>
  <c r="D1914" i="60"/>
  <c r="E1914" i="60"/>
  <c r="F1914" i="60"/>
  <c r="G1914" i="60"/>
  <c r="A1915" i="60"/>
  <c r="C1915" i="60"/>
  <c r="D1915" i="60"/>
  <c r="E1915" i="60"/>
  <c r="F1915" i="60"/>
  <c r="G1915" i="60"/>
  <c r="A1916" i="60"/>
  <c r="C1916" i="60"/>
  <c r="D1916" i="60"/>
  <c r="E1916" i="60"/>
  <c r="F1916" i="60"/>
  <c r="G1916" i="60"/>
  <c r="A1917" i="60"/>
  <c r="C1917" i="60"/>
  <c r="D1917" i="60"/>
  <c r="E1917" i="60"/>
  <c r="F1917" i="60"/>
  <c r="G1917" i="60"/>
  <c r="A1918" i="60"/>
  <c r="C1918" i="60"/>
  <c r="D1918" i="60"/>
  <c r="E1918" i="60"/>
  <c r="F1918" i="60"/>
  <c r="G1918" i="60"/>
  <c r="A1919" i="60"/>
  <c r="C1919" i="60"/>
  <c r="D1919" i="60"/>
  <c r="E1919" i="60"/>
  <c r="F1919" i="60"/>
  <c r="G1919" i="60"/>
  <c r="A1920" i="60"/>
  <c r="C1920" i="60"/>
  <c r="D1920" i="60"/>
  <c r="E1920" i="60"/>
  <c r="F1920" i="60"/>
  <c r="G1920" i="60"/>
  <c r="A1921" i="60"/>
  <c r="C1921" i="60"/>
  <c r="D1921" i="60"/>
  <c r="E1921" i="60"/>
  <c r="F1921" i="60"/>
  <c r="G1921" i="60"/>
  <c r="A1922" i="60"/>
  <c r="C1922" i="60"/>
  <c r="D1922" i="60"/>
  <c r="E1922" i="60"/>
  <c r="F1922" i="60"/>
  <c r="G1922" i="60"/>
  <c r="A1923" i="60"/>
  <c r="C1923" i="60"/>
  <c r="D1923" i="60"/>
  <c r="E1923" i="60"/>
  <c r="F1923" i="60"/>
  <c r="G1923" i="60"/>
  <c r="A1924" i="60"/>
  <c r="C1924" i="60"/>
  <c r="D1924" i="60"/>
  <c r="E1924" i="60"/>
  <c r="F1924" i="60"/>
  <c r="G1924" i="60"/>
  <c r="A1925" i="60"/>
  <c r="C1925" i="60"/>
  <c r="D1925" i="60"/>
  <c r="E1925" i="60"/>
  <c r="F1925" i="60"/>
  <c r="G1925" i="60"/>
  <c r="A1926" i="60"/>
  <c r="C1926" i="60"/>
  <c r="D1926" i="60"/>
  <c r="E1926" i="60"/>
  <c r="F1926" i="60"/>
  <c r="G1926" i="60"/>
  <c r="A1927" i="60"/>
  <c r="C1927" i="60"/>
  <c r="D1927" i="60"/>
  <c r="E1927" i="60"/>
  <c r="F1927" i="60"/>
  <c r="G1927" i="60"/>
  <c r="A1928" i="60"/>
  <c r="C1928" i="60"/>
  <c r="D1928" i="60"/>
  <c r="E1928" i="60"/>
  <c r="F1928" i="60"/>
  <c r="G1928" i="60"/>
  <c r="A1929" i="60"/>
  <c r="C1929" i="60"/>
  <c r="D1929" i="60"/>
  <c r="E1929" i="60"/>
  <c r="F1929" i="60"/>
  <c r="G1929" i="60"/>
  <c r="A1930" i="60"/>
  <c r="C1930" i="60"/>
  <c r="D1930" i="60"/>
  <c r="E1930" i="60"/>
  <c r="F1930" i="60"/>
  <c r="G1930" i="60"/>
  <c r="A1931" i="60"/>
  <c r="C1931" i="60"/>
  <c r="D1931" i="60"/>
  <c r="E1931" i="60"/>
  <c r="F1931" i="60"/>
  <c r="G1931" i="60"/>
  <c r="A1932" i="60"/>
  <c r="C1932" i="60"/>
  <c r="D1932" i="60"/>
  <c r="E1932" i="60"/>
  <c r="F1932" i="60"/>
  <c r="G1932" i="60"/>
  <c r="A1933" i="60"/>
  <c r="C1933" i="60"/>
  <c r="D1933" i="60"/>
  <c r="E1933" i="60"/>
  <c r="F1933" i="60"/>
  <c r="G1933" i="60"/>
  <c r="A1934" i="60"/>
  <c r="C1934" i="60"/>
  <c r="D1934" i="60"/>
  <c r="E1934" i="60"/>
  <c r="F1934" i="60"/>
  <c r="G1934" i="60"/>
  <c r="A1935" i="60"/>
  <c r="C1935" i="60"/>
  <c r="D1935" i="60"/>
  <c r="E1935" i="60"/>
  <c r="F1935" i="60"/>
  <c r="G1935" i="60"/>
  <c r="A1936" i="60"/>
  <c r="C1936" i="60"/>
  <c r="D1936" i="60"/>
  <c r="E1936" i="60"/>
  <c r="F1936" i="60"/>
  <c r="G1936" i="60"/>
  <c r="A1937" i="60"/>
  <c r="C1937" i="60"/>
  <c r="D1937" i="60"/>
  <c r="E1937" i="60"/>
  <c r="F1937" i="60"/>
  <c r="G1937" i="60"/>
  <c r="A1938" i="60"/>
  <c r="C1938" i="60"/>
  <c r="D1938" i="60"/>
  <c r="E1938" i="60"/>
  <c r="F1938" i="60"/>
  <c r="G1938" i="60"/>
  <c r="A1939" i="60"/>
  <c r="C1939" i="60"/>
  <c r="D1939" i="60"/>
  <c r="E1939" i="60"/>
  <c r="F1939" i="60"/>
  <c r="G1939" i="60"/>
  <c r="A1940" i="60"/>
  <c r="C1940" i="60"/>
  <c r="D1940" i="60"/>
  <c r="E1940" i="60"/>
  <c r="F1940" i="60"/>
  <c r="G1940" i="60"/>
  <c r="A1941" i="60"/>
  <c r="C1941" i="60"/>
  <c r="D1941" i="60"/>
  <c r="E1941" i="60"/>
  <c r="F1941" i="60"/>
  <c r="G1941" i="60"/>
  <c r="A1942" i="60"/>
  <c r="C1942" i="60"/>
  <c r="D1942" i="60"/>
  <c r="E1942" i="60"/>
  <c r="F1942" i="60"/>
  <c r="G1942" i="60"/>
  <c r="A1943" i="60"/>
  <c r="C1943" i="60"/>
  <c r="D1943" i="60"/>
  <c r="E1943" i="60"/>
  <c r="F1943" i="60"/>
  <c r="G1943" i="60"/>
  <c r="A1944" i="60"/>
  <c r="C1944" i="60"/>
  <c r="D1944" i="60"/>
  <c r="E1944" i="60"/>
  <c r="F1944" i="60"/>
  <c r="G1944" i="60"/>
  <c r="A1945" i="60"/>
  <c r="C1945" i="60"/>
  <c r="D1945" i="60"/>
  <c r="E1945" i="60"/>
  <c r="F1945" i="60"/>
  <c r="G1945" i="60"/>
  <c r="A1946" i="60"/>
  <c r="C1946" i="60"/>
  <c r="D1946" i="60"/>
  <c r="E1946" i="60"/>
  <c r="F1946" i="60"/>
  <c r="G1946" i="60"/>
  <c r="A1947" i="60"/>
  <c r="C1947" i="60"/>
  <c r="D1947" i="60"/>
  <c r="E1947" i="60"/>
  <c r="F1947" i="60"/>
  <c r="G1947" i="60"/>
  <c r="A1948" i="60"/>
  <c r="C1948" i="60"/>
  <c r="D1948" i="60"/>
  <c r="E1948" i="60"/>
  <c r="F1948" i="60"/>
  <c r="G1948" i="60"/>
  <c r="A1949" i="60"/>
  <c r="C1949" i="60"/>
  <c r="D1949" i="60"/>
  <c r="E1949" i="60"/>
  <c r="F1949" i="60"/>
  <c r="G1949" i="60"/>
  <c r="A1950" i="60"/>
  <c r="C1950" i="60"/>
  <c r="D1950" i="60"/>
  <c r="E1950" i="60"/>
  <c r="F1950" i="60"/>
  <c r="G1950" i="60"/>
  <c r="A1951" i="60"/>
  <c r="C1951" i="60"/>
  <c r="D1951" i="60"/>
  <c r="E1951" i="60"/>
  <c r="F1951" i="60"/>
  <c r="G1951" i="60"/>
  <c r="A1952" i="60"/>
  <c r="C1952" i="60"/>
  <c r="D1952" i="60"/>
  <c r="E1952" i="60"/>
  <c r="F1952" i="60"/>
  <c r="G1952" i="60"/>
  <c r="A1953" i="60"/>
  <c r="C1953" i="60"/>
  <c r="D1953" i="60"/>
  <c r="E1953" i="60"/>
  <c r="F1953" i="60"/>
  <c r="G1953" i="60"/>
  <c r="A1954" i="60"/>
  <c r="C1954" i="60"/>
  <c r="D1954" i="60"/>
  <c r="E1954" i="60"/>
  <c r="F1954" i="60"/>
  <c r="G1954" i="60"/>
  <c r="A1955" i="60"/>
  <c r="C1955" i="60"/>
  <c r="D1955" i="60"/>
  <c r="E1955" i="60"/>
  <c r="F1955" i="60"/>
  <c r="G1955" i="60"/>
  <c r="A1956" i="60"/>
  <c r="C1956" i="60"/>
  <c r="D1956" i="60"/>
  <c r="E1956" i="60"/>
  <c r="F1956" i="60"/>
  <c r="G1956" i="60"/>
  <c r="A1957" i="60"/>
  <c r="C1957" i="60"/>
  <c r="D1957" i="60"/>
  <c r="E1957" i="60"/>
  <c r="F1957" i="60"/>
  <c r="G1957" i="60"/>
  <c r="A1958" i="60"/>
  <c r="C1958" i="60"/>
  <c r="D1958" i="60"/>
  <c r="E1958" i="60"/>
  <c r="F1958" i="60"/>
  <c r="G1958" i="60"/>
  <c r="A1959" i="60"/>
  <c r="C1959" i="60"/>
  <c r="D1959" i="60"/>
  <c r="E1959" i="60"/>
  <c r="F1959" i="60"/>
  <c r="G1959" i="60"/>
  <c r="A1960" i="60"/>
  <c r="C1960" i="60"/>
  <c r="D1960" i="60"/>
  <c r="E1960" i="60"/>
  <c r="F1960" i="60"/>
  <c r="G1960" i="60"/>
  <c r="A1961" i="60"/>
  <c r="C1961" i="60"/>
  <c r="D1961" i="60"/>
  <c r="E1961" i="60"/>
  <c r="F1961" i="60"/>
  <c r="G1961" i="60"/>
  <c r="A1962" i="60"/>
  <c r="C1962" i="60"/>
  <c r="D1962" i="60"/>
  <c r="E1962" i="60"/>
  <c r="F1962" i="60"/>
  <c r="G1962" i="60"/>
  <c r="A1963" i="60"/>
  <c r="C1963" i="60"/>
  <c r="D1963" i="60"/>
  <c r="E1963" i="60"/>
  <c r="F1963" i="60"/>
  <c r="G1963" i="60"/>
  <c r="A1964" i="60"/>
  <c r="C1964" i="60"/>
  <c r="D1964" i="60"/>
  <c r="E1964" i="60"/>
  <c r="F1964" i="60"/>
  <c r="G1964" i="60"/>
  <c r="A1965" i="60"/>
  <c r="C1965" i="60"/>
  <c r="D1965" i="60"/>
  <c r="E1965" i="60"/>
  <c r="F1965" i="60"/>
  <c r="G1965" i="60"/>
  <c r="A1966" i="60"/>
  <c r="C1966" i="60"/>
  <c r="D1966" i="60"/>
  <c r="E1966" i="60"/>
  <c r="F1966" i="60"/>
  <c r="G1966" i="60"/>
  <c r="A1967" i="60"/>
  <c r="C1967" i="60"/>
  <c r="D1967" i="60"/>
  <c r="E1967" i="60"/>
  <c r="F1967" i="60"/>
  <c r="G1967" i="60"/>
  <c r="A1968" i="60"/>
  <c r="C1968" i="60"/>
  <c r="D1968" i="60"/>
  <c r="E1968" i="60"/>
  <c r="F1968" i="60"/>
  <c r="G1968" i="60"/>
  <c r="A1969" i="60"/>
  <c r="C1969" i="60"/>
  <c r="D1969" i="60"/>
  <c r="E1969" i="60"/>
  <c r="F1969" i="60"/>
  <c r="G1969" i="60"/>
  <c r="A1970" i="60"/>
  <c r="C1970" i="60"/>
  <c r="D1970" i="60"/>
  <c r="E1970" i="60"/>
  <c r="F1970" i="60"/>
  <c r="G1970" i="60"/>
  <c r="A1971" i="60"/>
  <c r="C1971" i="60"/>
  <c r="D1971" i="60"/>
  <c r="E1971" i="60"/>
  <c r="F1971" i="60"/>
  <c r="G1971" i="60"/>
  <c r="A1972" i="60"/>
  <c r="C1972" i="60"/>
  <c r="D1972" i="60"/>
  <c r="E1972" i="60"/>
  <c r="F1972" i="60"/>
  <c r="G1972" i="60"/>
  <c r="A1973" i="60"/>
  <c r="C1973" i="60"/>
  <c r="D1973" i="60"/>
  <c r="E1973" i="60"/>
  <c r="F1973" i="60"/>
  <c r="G1973" i="60"/>
  <c r="A1974" i="60"/>
  <c r="C1974" i="60"/>
  <c r="D1974" i="60"/>
  <c r="E1974" i="60"/>
  <c r="F1974" i="60"/>
  <c r="G1974" i="60"/>
  <c r="A1975" i="60"/>
  <c r="C1975" i="60"/>
  <c r="D1975" i="60"/>
  <c r="E1975" i="60"/>
  <c r="F1975" i="60"/>
  <c r="G1975" i="60"/>
  <c r="A1976" i="60"/>
  <c r="C1976" i="60"/>
  <c r="D1976" i="60"/>
  <c r="E1976" i="60"/>
  <c r="F1976" i="60"/>
  <c r="G1976" i="60"/>
  <c r="A1977" i="60"/>
  <c r="C1977" i="60"/>
  <c r="D1977" i="60"/>
  <c r="E1977" i="60"/>
  <c r="F1977" i="60"/>
  <c r="G1977" i="60"/>
  <c r="A1978" i="60"/>
  <c r="C1978" i="60"/>
  <c r="D1978" i="60"/>
  <c r="E1978" i="60"/>
  <c r="F1978" i="60"/>
  <c r="G1978" i="60"/>
  <c r="A1979" i="60"/>
  <c r="C1979" i="60"/>
  <c r="D1979" i="60"/>
  <c r="E1979" i="60"/>
  <c r="F1979" i="60"/>
  <c r="G1979" i="60"/>
  <c r="A1980" i="60"/>
  <c r="C1980" i="60"/>
  <c r="D1980" i="60"/>
  <c r="E1980" i="60"/>
  <c r="F1980" i="60"/>
  <c r="G1980" i="60"/>
  <c r="A1981" i="60"/>
  <c r="C1981" i="60"/>
  <c r="D1981" i="60"/>
  <c r="E1981" i="60"/>
  <c r="F1981" i="60"/>
  <c r="G1981" i="60"/>
  <c r="A1982" i="60"/>
  <c r="C1982" i="60"/>
  <c r="D1982" i="60"/>
  <c r="E1982" i="60"/>
  <c r="F1982" i="60"/>
  <c r="G1982" i="60"/>
  <c r="A1983" i="60"/>
  <c r="C1983" i="60"/>
  <c r="D1983" i="60"/>
  <c r="E1983" i="60"/>
  <c r="F1983" i="60"/>
  <c r="G1983" i="60"/>
  <c r="A1984" i="60"/>
  <c r="C1984" i="60"/>
  <c r="D1984" i="60"/>
  <c r="E1984" i="60"/>
  <c r="F1984" i="60"/>
  <c r="G1984" i="60"/>
  <c r="A1985" i="60"/>
  <c r="C1985" i="60"/>
  <c r="D1985" i="60"/>
  <c r="E1985" i="60"/>
  <c r="F1985" i="60"/>
  <c r="G1985" i="60"/>
  <c r="A1986" i="60"/>
  <c r="C1986" i="60"/>
  <c r="D1986" i="60"/>
  <c r="E1986" i="60"/>
  <c r="F1986" i="60"/>
  <c r="G1986" i="60"/>
  <c r="A1987" i="60"/>
  <c r="C1987" i="60"/>
  <c r="D1987" i="60"/>
  <c r="E1987" i="60"/>
  <c r="F1987" i="60"/>
  <c r="G1987" i="60"/>
  <c r="A1988" i="60"/>
  <c r="C1988" i="60"/>
  <c r="D1988" i="60"/>
  <c r="E1988" i="60"/>
  <c r="F1988" i="60"/>
  <c r="G1988" i="60"/>
  <c r="A1989" i="60"/>
  <c r="C1989" i="60"/>
  <c r="D1989" i="60"/>
  <c r="E1989" i="60"/>
  <c r="F1989" i="60"/>
  <c r="G1989" i="60"/>
  <c r="A1990" i="60"/>
  <c r="C1990" i="60"/>
  <c r="D1990" i="60"/>
  <c r="E1990" i="60"/>
  <c r="F1990" i="60"/>
  <c r="G1990" i="60"/>
  <c r="A1991" i="60"/>
  <c r="C1991" i="60"/>
  <c r="D1991" i="60"/>
  <c r="E1991" i="60"/>
  <c r="F1991" i="60"/>
  <c r="G1991" i="60"/>
  <c r="A1992" i="60"/>
  <c r="C1992" i="60"/>
  <c r="D1992" i="60"/>
  <c r="E1992" i="60"/>
  <c r="F1992" i="60"/>
  <c r="G1992" i="60"/>
  <c r="A1993" i="60"/>
  <c r="C1993" i="60"/>
  <c r="D1993" i="60"/>
  <c r="E1993" i="60"/>
  <c r="F1993" i="60"/>
  <c r="G1993" i="60"/>
  <c r="A1994" i="60"/>
  <c r="C1994" i="60"/>
  <c r="D1994" i="60"/>
  <c r="E1994" i="60"/>
  <c r="F1994" i="60"/>
  <c r="G1994" i="60"/>
  <c r="A1995" i="60"/>
  <c r="C1995" i="60"/>
  <c r="D1995" i="60"/>
  <c r="E1995" i="60"/>
  <c r="F1995" i="60"/>
  <c r="G1995" i="60"/>
  <c r="A1996" i="60"/>
  <c r="C1996" i="60"/>
  <c r="D1996" i="60"/>
  <c r="E1996" i="60"/>
  <c r="F1996" i="60"/>
  <c r="G1996" i="60"/>
  <c r="A1997" i="60"/>
  <c r="C1997" i="60"/>
  <c r="D1997" i="60"/>
  <c r="E1997" i="60"/>
  <c r="F1997" i="60"/>
  <c r="G1997" i="60"/>
  <c r="A1998" i="60"/>
  <c r="C1998" i="60"/>
  <c r="D1998" i="60"/>
  <c r="E1998" i="60"/>
  <c r="F1998" i="60"/>
  <c r="G1998" i="60"/>
  <c r="A1999" i="60"/>
  <c r="C1999" i="60"/>
  <c r="D1999" i="60"/>
  <c r="E1999" i="60"/>
  <c r="F1999" i="60"/>
  <c r="G1999" i="60"/>
  <c r="A2000" i="60"/>
  <c r="C2000" i="60"/>
  <c r="D2000" i="60"/>
  <c r="E2000" i="60"/>
  <c r="F2000" i="60"/>
  <c r="G2000" i="60"/>
  <c r="A2001" i="60"/>
  <c r="C2001" i="60"/>
  <c r="D2001" i="60"/>
  <c r="E2001" i="60"/>
  <c r="F2001" i="60"/>
  <c r="G2001" i="60"/>
  <c r="A2002" i="60"/>
  <c r="C2002" i="60"/>
  <c r="D2002" i="60"/>
  <c r="E2002" i="60"/>
  <c r="F2002" i="60"/>
  <c r="G2002" i="60"/>
  <c r="A2003" i="60"/>
  <c r="C2003" i="60"/>
  <c r="D2003" i="60"/>
  <c r="E2003" i="60"/>
  <c r="F2003" i="60"/>
  <c r="G2003" i="60"/>
  <c r="A2004" i="60"/>
  <c r="C2004" i="60"/>
  <c r="D2004" i="60"/>
  <c r="E2004" i="60"/>
  <c r="F2004" i="60"/>
  <c r="G2004" i="60"/>
  <c r="A2005" i="60"/>
  <c r="C2005" i="60"/>
  <c r="D2005" i="60"/>
  <c r="E2005" i="60"/>
  <c r="F2005" i="60"/>
  <c r="G2005" i="60"/>
  <c r="A2006" i="60"/>
  <c r="C2006" i="60"/>
  <c r="D2006" i="60"/>
  <c r="E2006" i="60"/>
  <c r="F2006" i="60"/>
  <c r="G2006" i="60"/>
  <c r="A2007" i="60"/>
  <c r="C2007" i="60"/>
  <c r="D2007" i="60"/>
  <c r="E2007" i="60"/>
  <c r="F2007" i="60"/>
  <c r="G2007" i="60"/>
  <c r="A2008" i="60"/>
  <c r="C2008" i="60"/>
  <c r="D2008" i="60"/>
  <c r="E2008" i="60"/>
  <c r="F2008" i="60"/>
  <c r="G2008" i="60"/>
  <c r="A2009" i="60"/>
  <c r="C2009" i="60"/>
  <c r="D2009" i="60"/>
  <c r="E2009" i="60"/>
  <c r="F2009" i="60"/>
  <c r="G2009" i="60"/>
  <c r="A2010" i="60"/>
  <c r="C2010" i="60"/>
  <c r="D2010" i="60"/>
  <c r="E2010" i="60"/>
  <c r="F2010" i="60"/>
  <c r="G2010" i="60"/>
  <c r="A2011" i="60"/>
  <c r="C2011" i="60"/>
  <c r="D2011" i="60"/>
  <c r="E2011" i="60"/>
  <c r="F2011" i="60"/>
  <c r="G2011" i="60"/>
  <c r="A2012" i="60"/>
  <c r="C2012" i="60"/>
  <c r="D2012" i="60"/>
  <c r="E2012" i="60"/>
  <c r="F2012" i="60"/>
  <c r="G2012" i="60"/>
  <c r="A2013" i="60"/>
  <c r="C2013" i="60"/>
  <c r="D2013" i="60"/>
  <c r="E2013" i="60"/>
  <c r="F2013" i="60"/>
  <c r="G2013" i="60"/>
  <c r="A2014" i="60"/>
  <c r="C2014" i="60"/>
  <c r="D2014" i="60"/>
  <c r="E2014" i="60"/>
  <c r="F2014" i="60"/>
  <c r="G2014" i="60"/>
  <c r="A2015" i="60"/>
  <c r="C2015" i="60"/>
  <c r="D2015" i="60"/>
  <c r="E2015" i="60"/>
  <c r="F2015" i="60"/>
  <c r="G2015" i="60"/>
  <c r="A2016" i="60"/>
  <c r="C2016" i="60"/>
  <c r="D2016" i="60"/>
  <c r="E2016" i="60"/>
  <c r="F2016" i="60"/>
  <c r="G2016" i="60"/>
  <c r="A2017" i="60"/>
  <c r="C2017" i="60"/>
  <c r="D2017" i="60"/>
  <c r="E2017" i="60"/>
  <c r="F2017" i="60"/>
  <c r="G2017" i="60"/>
  <c r="A2018" i="60"/>
  <c r="C2018" i="60"/>
  <c r="D2018" i="60"/>
  <c r="E2018" i="60"/>
  <c r="F2018" i="60"/>
  <c r="G2018" i="60"/>
  <c r="A2019" i="60"/>
  <c r="C2019" i="60"/>
  <c r="D2019" i="60"/>
  <c r="E2019" i="60"/>
  <c r="F2019" i="60"/>
  <c r="G2019" i="60"/>
  <c r="A2020" i="60"/>
  <c r="C2020" i="60"/>
  <c r="D2020" i="60"/>
  <c r="E2020" i="60"/>
  <c r="F2020" i="60"/>
  <c r="G2020" i="60"/>
  <c r="A2021" i="60"/>
  <c r="C2021" i="60"/>
  <c r="D2021" i="60"/>
  <c r="E2021" i="60"/>
  <c r="F2021" i="60"/>
  <c r="G2021" i="60"/>
  <c r="A2022" i="60"/>
  <c r="C2022" i="60"/>
  <c r="D2022" i="60"/>
  <c r="E2022" i="60"/>
  <c r="F2022" i="60"/>
  <c r="G2022" i="60"/>
  <c r="A2023" i="60"/>
  <c r="C2023" i="60"/>
  <c r="D2023" i="60"/>
  <c r="E2023" i="60"/>
  <c r="F2023" i="60"/>
  <c r="G2023" i="60"/>
  <c r="A2024" i="60"/>
  <c r="C2024" i="60"/>
  <c r="D2024" i="60"/>
  <c r="E2024" i="60"/>
  <c r="F2024" i="60"/>
  <c r="G2024" i="60"/>
  <c r="A2025" i="60"/>
  <c r="C2025" i="60"/>
  <c r="D2025" i="60"/>
  <c r="E2025" i="60"/>
  <c r="F2025" i="60"/>
  <c r="G2025" i="60"/>
  <c r="A2026" i="60"/>
  <c r="C2026" i="60"/>
  <c r="D2026" i="60"/>
  <c r="E2026" i="60"/>
  <c r="F2026" i="60"/>
  <c r="G2026" i="60"/>
  <c r="A2027" i="60"/>
  <c r="C2027" i="60"/>
  <c r="D2027" i="60"/>
  <c r="E2027" i="60"/>
  <c r="F2027" i="60"/>
  <c r="G2027" i="60"/>
  <c r="A2028" i="60"/>
  <c r="C2028" i="60"/>
  <c r="D2028" i="60"/>
  <c r="E2028" i="60"/>
  <c r="F2028" i="60"/>
  <c r="G2028" i="60"/>
  <c r="A2029" i="60"/>
  <c r="C2029" i="60"/>
  <c r="D2029" i="60"/>
  <c r="E2029" i="60"/>
  <c r="F2029" i="60"/>
  <c r="G2029" i="60"/>
  <c r="A2030" i="60"/>
  <c r="C2030" i="60"/>
  <c r="D2030" i="60"/>
  <c r="E2030" i="60"/>
  <c r="F2030" i="60"/>
  <c r="G2030" i="60"/>
  <c r="A2031" i="60"/>
  <c r="C2031" i="60"/>
  <c r="D2031" i="60"/>
  <c r="E2031" i="60"/>
  <c r="F2031" i="60"/>
  <c r="G2031" i="60"/>
  <c r="A2032" i="60"/>
  <c r="C2032" i="60"/>
  <c r="D2032" i="60"/>
  <c r="E2032" i="60"/>
  <c r="F2032" i="60"/>
  <c r="G2032" i="60"/>
  <c r="A2033" i="60"/>
  <c r="C2033" i="60"/>
  <c r="D2033" i="60"/>
  <c r="E2033" i="60"/>
  <c r="F2033" i="60"/>
  <c r="G2033" i="60"/>
  <c r="A2034" i="60"/>
  <c r="C2034" i="60"/>
  <c r="D2034" i="60"/>
  <c r="E2034" i="60"/>
  <c r="F2034" i="60"/>
  <c r="G2034" i="60"/>
  <c r="A2035" i="60"/>
  <c r="C2035" i="60"/>
  <c r="D2035" i="60"/>
  <c r="E2035" i="60"/>
  <c r="F2035" i="60"/>
  <c r="G2035" i="60"/>
  <c r="A2036" i="60"/>
  <c r="C2036" i="60"/>
  <c r="D2036" i="60"/>
  <c r="E2036" i="60"/>
  <c r="F2036" i="60"/>
  <c r="G2036" i="60"/>
  <c r="A2037" i="60"/>
  <c r="C2037" i="60"/>
  <c r="D2037" i="60"/>
  <c r="E2037" i="60"/>
  <c r="F2037" i="60"/>
  <c r="G2037" i="60"/>
  <c r="A2038" i="60"/>
  <c r="C2038" i="60"/>
  <c r="D2038" i="60"/>
  <c r="E2038" i="60"/>
  <c r="F2038" i="60"/>
  <c r="G2038" i="60"/>
  <c r="A2039" i="60"/>
  <c r="C2039" i="60"/>
  <c r="D2039" i="60"/>
  <c r="E2039" i="60"/>
  <c r="F2039" i="60"/>
  <c r="G2039" i="60"/>
  <c r="A2040" i="60"/>
  <c r="C2040" i="60"/>
  <c r="D2040" i="60"/>
  <c r="E2040" i="60"/>
  <c r="F2040" i="60"/>
  <c r="G2040" i="60"/>
  <c r="A2041" i="60"/>
  <c r="C2041" i="60"/>
  <c r="D2041" i="60"/>
  <c r="E2041" i="60"/>
  <c r="F2041" i="60"/>
  <c r="G2041" i="60"/>
  <c r="A2042" i="60"/>
  <c r="C2042" i="60"/>
  <c r="D2042" i="60"/>
  <c r="E2042" i="60"/>
  <c r="F2042" i="60"/>
  <c r="G2042" i="60"/>
  <c r="A2043" i="60"/>
  <c r="C2043" i="60"/>
  <c r="D2043" i="60"/>
  <c r="E2043" i="60"/>
  <c r="F2043" i="60"/>
  <c r="G2043" i="60"/>
  <c r="A2044" i="60"/>
  <c r="C2044" i="60"/>
  <c r="D2044" i="60"/>
  <c r="E2044" i="60"/>
  <c r="F2044" i="60"/>
  <c r="G2044" i="60"/>
  <c r="A2045" i="60"/>
  <c r="C2045" i="60"/>
  <c r="D2045" i="60"/>
  <c r="E2045" i="60"/>
  <c r="F2045" i="60"/>
  <c r="G2045" i="60"/>
  <c r="A2046" i="60"/>
  <c r="C2046" i="60"/>
  <c r="D2046" i="60"/>
  <c r="E2046" i="60"/>
  <c r="F2046" i="60"/>
  <c r="G2046" i="60"/>
  <c r="A2047" i="60"/>
  <c r="C2047" i="60"/>
  <c r="D2047" i="60"/>
  <c r="E2047" i="60"/>
  <c r="F2047" i="60"/>
  <c r="G2047" i="60"/>
  <c r="A2048" i="60"/>
  <c r="C2048" i="60"/>
  <c r="D2048" i="60"/>
  <c r="E2048" i="60"/>
  <c r="F2048" i="60"/>
  <c r="G2048" i="60"/>
  <c r="A2049" i="60"/>
  <c r="C2049" i="60"/>
  <c r="D2049" i="60"/>
  <c r="E2049" i="60"/>
  <c r="F2049" i="60"/>
  <c r="G2049" i="60"/>
  <c r="A2050" i="60"/>
  <c r="C2050" i="60"/>
  <c r="D2050" i="60"/>
  <c r="E2050" i="60"/>
  <c r="F2050" i="60"/>
  <c r="G2050" i="60"/>
  <c r="A2051" i="60"/>
  <c r="C2051" i="60"/>
  <c r="D2051" i="60"/>
  <c r="E2051" i="60"/>
  <c r="F2051" i="60"/>
  <c r="G2051" i="60"/>
  <c r="A2052" i="60"/>
  <c r="C2052" i="60"/>
  <c r="D2052" i="60"/>
  <c r="E2052" i="60"/>
  <c r="F2052" i="60"/>
  <c r="G2052" i="60"/>
  <c r="A2053" i="60"/>
  <c r="C2053" i="60"/>
  <c r="D2053" i="60"/>
  <c r="E2053" i="60"/>
  <c r="F2053" i="60"/>
  <c r="G2053" i="60"/>
  <c r="A2054" i="60"/>
  <c r="C2054" i="60"/>
  <c r="D2054" i="60"/>
  <c r="E2054" i="60"/>
  <c r="F2054" i="60"/>
  <c r="G2054" i="60"/>
  <c r="A2055" i="60"/>
  <c r="C2055" i="60"/>
  <c r="D2055" i="60"/>
  <c r="E2055" i="60"/>
  <c r="F2055" i="60"/>
  <c r="G2055" i="60"/>
  <c r="A2056" i="60"/>
  <c r="C2056" i="60"/>
  <c r="D2056" i="60"/>
  <c r="E2056" i="60"/>
  <c r="F2056" i="60"/>
  <c r="G2056" i="60"/>
  <c r="A2057" i="60"/>
  <c r="C2057" i="60"/>
  <c r="D2057" i="60"/>
  <c r="E2057" i="60"/>
  <c r="F2057" i="60"/>
  <c r="G2057" i="60"/>
  <c r="A2058" i="60"/>
  <c r="C2058" i="60"/>
  <c r="D2058" i="60"/>
  <c r="E2058" i="60"/>
  <c r="F2058" i="60"/>
  <c r="G2058" i="60"/>
  <c r="A2059" i="60"/>
  <c r="C2059" i="60"/>
  <c r="D2059" i="60"/>
  <c r="E2059" i="60"/>
  <c r="F2059" i="60"/>
  <c r="G2059" i="60"/>
  <c r="A2060" i="60"/>
  <c r="C2060" i="60"/>
  <c r="D2060" i="60"/>
  <c r="E2060" i="60"/>
  <c r="F2060" i="60"/>
  <c r="G2060" i="60"/>
  <c r="A2061" i="60"/>
  <c r="C2061" i="60"/>
  <c r="D2061" i="60"/>
  <c r="E2061" i="60"/>
  <c r="F2061" i="60"/>
  <c r="G2061" i="60"/>
  <c r="A2062" i="60"/>
  <c r="C2062" i="60"/>
  <c r="D2062" i="60"/>
  <c r="E2062" i="60"/>
  <c r="F2062" i="60"/>
  <c r="G2062" i="60"/>
  <c r="A2063" i="60"/>
  <c r="C2063" i="60"/>
  <c r="D2063" i="60"/>
  <c r="E2063" i="60"/>
  <c r="F2063" i="60"/>
  <c r="G2063" i="60"/>
  <c r="A2064" i="60"/>
  <c r="C2064" i="60"/>
  <c r="D2064" i="60"/>
  <c r="E2064" i="60"/>
  <c r="F2064" i="60"/>
  <c r="G2064" i="60"/>
  <c r="A2065" i="60"/>
  <c r="C2065" i="60"/>
  <c r="D2065" i="60"/>
  <c r="E2065" i="60"/>
  <c r="F2065" i="60"/>
  <c r="G2065" i="60"/>
  <c r="A2066" i="60"/>
  <c r="C2066" i="60"/>
  <c r="D2066" i="60"/>
  <c r="E2066" i="60"/>
  <c r="F2066" i="60"/>
  <c r="G2066" i="60"/>
  <c r="A2067" i="60"/>
  <c r="C2067" i="60"/>
  <c r="D2067" i="60"/>
  <c r="E2067" i="60"/>
  <c r="F2067" i="60"/>
  <c r="G2067" i="60"/>
  <c r="A2068" i="60"/>
  <c r="C2068" i="60"/>
  <c r="D2068" i="60"/>
  <c r="E2068" i="60"/>
  <c r="F2068" i="60"/>
  <c r="G2068" i="60"/>
  <c r="A2069" i="60"/>
  <c r="C2069" i="60"/>
  <c r="D2069" i="60"/>
  <c r="E2069" i="60"/>
  <c r="F2069" i="60"/>
  <c r="G2069" i="60"/>
  <c r="A2070" i="60"/>
  <c r="C2070" i="60"/>
  <c r="D2070" i="60"/>
  <c r="E2070" i="60"/>
  <c r="F2070" i="60"/>
  <c r="G2070" i="60"/>
  <c r="A2071" i="60"/>
  <c r="C2071" i="60"/>
  <c r="D2071" i="60"/>
  <c r="E2071" i="60"/>
  <c r="F2071" i="60"/>
  <c r="G2071" i="60"/>
  <c r="A2072" i="60"/>
  <c r="C2072" i="60"/>
  <c r="D2072" i="60"/>
  <c r="E2072" i="60"/>
  <c r="F2072" i="60"/>
  <c r="G2072" i="60"/>
  <c r="A2073" i="60"/>
  <c r="C2073" i="60"/>
  <c r="D2073" i="60"/>
  <c r="E2073" i="60"/>
  <c r="F2073" i="60"/>
  <c r="G2073" i="60"/>
  <c r="A2074" i="60"/>
  <c r="C2074" i="60"/>
  <c r="D2074" i="60"/>
  <c r="E2074" i="60"/>
  <c r="F2074" i="60"/>
  <c r="G2074" i="60"/>
  <c r="A2075" i="60"/>
  <c r="C2075" i="60"/>
  <c r="D2075" i="60"/>
  <c r="E2075" i="60"/>
  <c r="F2075" i="60"/>
  <c r="G2075" i="60"/>
  <c r="A2076" i="60"/>
  <c r="C2076" i="60"/>
  <c r="D2076" i="60"/>
  <c r="E2076" i="60"/>
  <c r="F2076" i="60"/>
  <c r="G2076" i="60"/>
  <c r="A2077" i="60"/>
  <c r="C2077" i="60"/>
  <c r="D2077" i="60"/>
  <c r="E2077" i="60"/>
  <c r="F2077" i="60"/>
  <c r="G2077" i="60"/>
  <c r="A2078" i="60"/>
  <c r="C2078" i="60"/>
  <c r="D2078" i="60"/>
  <c r="E2078" i="60"/>
  <c r="F2078" i="60"/>
  <c r="G2078" i="60"/>
  <c r="A2079" i="60"/>
  <c r="C2079" i="60"/>
  <c r="D2079" i="60"/>
  <c r="E2079" i="60"/>
  <c r="F2079" i="60"/>
  <c r="G2079" i="60"/>
  <c r="A2080" i="60"/>
  <c r="C2080" i="60"/>
  <c r="D2080" i="60"/>
  <c r="E2080" i="60"/>
  <c r="F2080" i="60"/>
  <c r="G2080" i="60"/>
  <c r="A2081" i="60"/>
  <c r="C2081" i="60"/>
  <c r="D2081" i="60"/>
  <c r="E2081" i="60"/>
  <c r="F2081" i="60"/>
  <c r="G2081" i="60"/>
  <c r="A2082" i="60"/>
  <c r="C2082" i="60"/>
  <c r="D2082" i="60"/>
  <c r="E2082" i="60"/>
  <c r="F2082" i="60"/>
  <c r="G2082" i="60"/>
  <c r="A2083" i="60"/>
  <c r="C2083" i="60"/>
  <c r="D2083" i="60"/>
  <c r="E2083" i="60"/>
  <c r="F2083" i="60"/>
  <c r="G2083" i="60"/>
  <c r="A2084" i="60"/>
  <c r="C2084" i="60"/>
  <c r="D2084" i="60"/>
  <c r="E2084" i="60"/>
  <c r="F2084" i="60"/>
  <c r="G2084" i="60"/>
  <c r="A2085" i="60"/>
  <c r="C2085" i="60"/>
  <c r="D2085" i="60"/>
  <c r="E2085" i="60"/>
  <c r="F2085" i="60"/>
  <c r="G2085" i="60"/>
  <c r="A2086" i="60"/>
  <c r="C2086" i="60"/>
  <c r="D2086" i="60"/>
  <c r="E2086" i="60"/>
  <c r="F2086" i="60"/>
  <c r="G2086" i="60"/>
  <c r="A2087" i="60"/>
  <c r="C2087" i="60"/>
  <c r="D2087" i="60"/>
  <c r="E2087" i="60"/>
  <c r="F2087" i="60"/>
  <c r="G2087" i="60"/>
  <c r="A2088" i="60"/>
  <c r="C2088" i="60"/>
  <c r="D2088" i="60"/>
  <c r="E2088" i="60"/>
  <c r="F2088" i="60"/>
  <c r="G2088" i="60"/>
  <c r="A2089" i="60"/>
  <c r="C2089" i="60"/>
  <c r="D2089" i="60"/>
  <c r="E2089" i="60"/>
  <c r="F2089" i="60"/>
  <c r="G2089" i="60"/>
  <c r="A2090" i="60"/>
  <c r="C2090" i="60"/>
  <c r="D2090" i="60"/>
  <c r="E2090" i="60"/>
  <c r="F2090" i="60"/>
  <c r="G2090" i="60"/>
  <c r="A2091" i="60"/>
  <c r="C2091" i="60"/>
  <c r="D2091" i="60"/>
  <c r="E2091" i="60"/>
  <c r="F2091" i="60"/>
  <c r="G2091" i="60"/>
  <c r="A2092" i="60"/>
  <c r="C2092" i="60"/>
  <c r="D2092" i="60"/>
  <c r="E2092" i="60"/>
  <c r="F2092" i="60"/>
  <c r="G2092" i="60"/>
  <c r="A2093" i="60"/>
  <c r="C2093" i="60"/>
  <c r="D2093" i="60"/>
  <c r="E2093" i="60"/>
  <c r="F2093" i="60"/>
  <c r="G2093" i="60"/>
  <c r="A2094" i="60"/>
  <c r="C2094" i="60"/>
  <c r="D2094" i="60"/>
  <c r="E2094" i="60"/>
  <c r="F2094" i="60"/>
  <c r="G2094" i="60"/>
  <c r="A2095" i="60"/>
  <c r="C2095" i="60"/>
  <c r="D2095" i="60"/>
  <c r="E2095" i="60"/>
  <c r="F2095" i="60"/>
  <c r="G2095" i="60"/>
  <c r="A2096" i="60"/>
  <c r="C2096" i="60"/>
  <c r="D2096" i="60"/>
  <c r="E2096" i="60"/>
  <c r="F2096" i="60"/>
  <c r="G2096" i="60"/>
  <c r="A2097" i="60"/>
  <c r="C2097" i="60"/>
  <c r="D2097" i="60"/>
  <c r="E2097" i="60"/>
  <c r="F2097" i="60"/>
  <c r="G2097" i="60"/>
  <c r="A2098" i="60"/>
  <c r="C2098" i="60"/>
  <c r="D2098" i="60"/>
  <c r="E2098" i="60"/>
  <c r="F2098" i="60"/>
  <c r="G2098" i="60"/>
  <c r="A2099" i="60"/>
  <c r="C2099" i="60"/>
  <c r="D2099" i="60"/>
  <c r="E2099" i="60"/>
  <c r="F2099" i="60"/>
  <c r="G2099" i="60"/>
  <c r="A2100" i="60"/>
  <c r="C2100" i="60"/>
  <c r="D2100" i="60"/>
  <c r="E2100" i="60"/>
  <c r="F2100" i="60"/>
  <c r="G2100" i="60"/>
  <c r="A2101" i="60"/>
  <c r="C2101" i="60"/>
  <c r="D2101" i="60"/>
  <c r="E2101" i="60"/>
  <c r="F2101" i="60"/>
  <c r="G2101" i="60"/>
  <c r="A2102" i="60"/>
  <c r="C2102" i="60"/>
  <c r="D2102" i="60"/>
  <c r="E2102" i="60"/>
  <c r="F2102" i="60"/>
  <c r="G2102" i="60"/>
  <c r="A2103" i="60"/>
  <c r="C2103" i="60"/>
  <c r="D2103" i="60"/>
  <c r="E2103" i="60"/>
  <c r="F2103" i="60"/>
  <c r="G2103" i="60"/>
  <c r="A2104" i="60"/>
  <c r="C2104" i="60"/>
  <c r="D2104" i="60"/>
  <c r="E2104" i="60"/>
  <c r="F2104" i="60"/>
  <c r="G2104" i="60"/>
  <c r="A2105" i="60"/>
  <c r="C2105" i="60"/>
  <c r="D2105" i="60"/>
  <c r="E2105" i="60"/>
  <c r="F2105" i="60"/>
  <c r="G2105" i="60"/>
  <c r="A2106" i="60"/>
  <c r="C2106" i="60"/>
  <c r="D2106" i="60"/>
  <c r="E2106" i="60"/>
  <c r="F2106" i="60"/>
  <c r="G2106" i="60"/>
  <c r="A2107" i="60"/>
  <c r="C2107" i="60"/>
  <c r="D2107" i="60"/>
  <c r="E2107" i="60"/>
  <c r="F2107" i="60"/>
  <c r="G2107" i="60"/>
  <c r="A2108" i="60"/>
  <c r="C2108" i="60"/>
  <c r="D2108" i="60"/>
  <c r="E2108" i="60"/>
  <c r="F2108" i="60"/>
  <c r="G2108" i="60"/>
  <c r="A2109" i="60"/>
  <c r="C2109" i="60"/>
  <c r="D2109" i="60"/>
  <c r="E2109" i="60"/>
  <c r="F2109" i="60"/>
  <c r="G2109" i="60"/>
  <c r="A2110" i="60"/>
  <c r="C2110" i="60"/>
  <c r="D2110" i="60"/>
  <c r="E2110" i="60"/>
  <c r="F2110" i="60"/>
  <c r="G2110" i="60"/>
  <c r="A2111" i="60"/>
  <c r="C2111" i="60"/>
  <c r="D2111" i="60"/>
  <c r="E2111" i="60"/>
  <c r="F2111" i="60"/>
  <c r="G2111" i="60"/>
  <c r="A2112" i="60"/>
  <c r="C2112" i="60"/>
  <c r="D2112" i="60"/>
  <c r="E2112" i="60"/>
  <c r="F2112" i="60"/>
  <c r="G2112" i="60"/>
  <c r="A2113" i="60"/>
  <c r="C2113" i="60"/>
  <c r="D2113" i="60"/>
  <c r="E2113" i="60"/>
  <c r="F2113" i="60"/>
  <c r="G2113" i="60"/>
  <c r="A2114" i="60"/>
  <c r="C2114" i="60"/>
  <c r="D2114" i="60"/>
  <c r="E2114" i="60"/>
  <c r="F2114" i="60"/>
  <c r="G2114" i="60"/>
  <c r="A2115" i="60"/>
  <c r="C2115" i="60"/>
  <c r="D2115" i="60"/>
  <c r="E2115" i="60"/>
  <c r="F2115" i="60"/>
  <c r="G2115" i="60"/>
  <c r="A2116" i="60"/>
  <c r="C2116" i="60"/>
  <c r="D2116" i="60"/>
  <c r="E2116" i="60"/>
  <c r="F2116" i="60"/>
  <c r="G2116" i="60"/>
  <c r="A2117" i="60"/>
  <c r="C2117" i="60"/>
  <c r="D2117" i="60"/>
  <c r="E2117" i="60"/>
  <c r="F2117" i="60"/>
  <c r="G2117" i="60"/>
  <c r="A2118" i="60"/>
  <c r="C2118" i="60"/>
  <c r="D2118" i="60"/>
  <c r="E2118" i="60"/>
  <c r="F2118" i="60"/>
  <c r="G2118" i="60"/>
  <c r="A2119" i="60"/>
  <c r="C2119" i="60"/>
  <c r="D2119" i="60"/>
  <c r="E2119" i="60"/>
  <c r="F2119" i="60"/>
  <c r="G2119" i="60"/>
  <c r="A2120" i="60"/>
  <c r="C2120" i="60"/>
  <c r="D2120" i="60"/>
  <c r="E2120" i="60"/>
  <c r="F2120" i="60"/>
  <c r="G2120" i="60"/>
  <c r="A2121" i="60"/>
  <c r="C2121" i="60"/>
  <c r="D2121" i="60"/>
  <c r="E2121" i="60"/>
  <c r="F2121" i="60"/>
  <c r="G2121" i="60"/>
  <c r="A2122" i="60"/>
  <c r="C2122" i="60"/>
  <c r="D2122" i="60"/>
  <c r="E2122" i="60"/>
  <c r="F2122" i="60"/>
  <c r="G2122" i="60"/>
  <c r="A2123" i="60"/>
  <c r="C2123" i="60"/>
  <c r="D2123" i="60"/>
  <c r="E2123" i="60"/>
  <c r="F2123" i="60"/>
  <c r="G2123" i="60"/>
  <c r="A2124" i="60"/>
  <c r="C2124" i="60"/>
  <c r="D2124" i="60"/>
  <c r="E2124" i="60"/>
  <c r="F2124" i="60"/>
  <c r="G2124" i="60"/>
  <c r="A2125" i="60"/>
  <c r="C2125" i="60"/>
  <c r="D2125" i="60"/>
  <c r="E2125" i="60"/>
  <c r="F2125" i="60"/>
  <c r="G2125" i="60"/>
  <c r="A2126" i="60"/>
  <c r="C2126" i="60"/>
  <c r="D2126" i="60"/>
  <c r="E2126" i="60"/>
  <c r="F2126" i="60"/>
  <c r="G2126" i="60"/>
  <c r="A2127" i="60"/>
  <c r="C2127" i="60"/>
  <c r="D2127" i="60"/>
  <c r="E2127" i="60"/>
  <c r="F2127" i="60"/>
  <c r="G2127" i="60"/>
  <c r="A2128" i="60"/>
  <c r="C2128" i="60"/>
  <c r="D2128" i="60"/>
  <c r="E2128" i="60"/>
  <c r="F2128" i="60"/>
  <c r="G2128" i="60"/>
  <c r="A2129" i="60"/>
  <c r="C2129" i="60"/>
  <c r="D2129" i="60"/>
  <c r="E2129" i="60"/>
  <c r="F2129" i="60"/>
  <c r="G2129" i="60"/>
  <c r="A2130" i="60"/>
  <c r="C2130" i="60"/>
  <c r="D2130" i="60"/>
  <c r="E2130" i="60"/>
  <c r="F2130" i="60"/>
  <c r="G2130" i="60"/>
  <c r="A2131" i="60"/>
  <c r="C2131" i="60"/>
  <c r="D2131" i="60"/>
  <c r="E2131" i="60"/>
  <c r="F2131" i="60"/>
  <c r="G2131" i="60"/>
  <c r="A2132" i="60"/>
  <c r="C2132" i="60"/>
  <c r="D2132" i="60"/>
  <c r="E2132" i="60"/>
  <c r="F2132" i="60"/>
  <c r="G2132" i="60"/>
  <c r="A2133" i="60"/>
  <c r="C2133" i="60"/>
  <c r="D2133" i="60"/>
  <c r="E2133" i="60"/>
  <c r="F2133" i="60"/>
  <c r="G2133" i="60"/>
  <c r="A2134" i="60"/>
  <c r="C2134" i="60"/>
  <c r="D2134" i="60"/>
  <c r="E2134" i="60"/>
  <c r="F2134" i="60"/>
  <c r="G2134" i="60"/>
  <c r="A2135" i="60"/>
  <c r="C2135" i="60"/>
  <c r="D2135" i="60"/>
  <c r="E2135" i="60"/>
  <c r="F2135" i="60"/>
  <c r="G2135" i="60"/>
  <c r="A2136" i="60"/>
  <c r="C2136" i="60"/>
  <c r="D2136" i="60"/>
  <c r="E2136" i="60"/>
  <c r="F2136" i="60"/>
  <c r="G2136" i="60"/>
  <c r="A2137" i="60"/>
  <c r="C2137" i="60"/>
  <c r="D2137" i="60"/>
  <c r="E2137" i="60"/>
  <c r="F2137" i="60"/>
  <c r="G2137" i="60"/>
  <c r="A2138" i="60"/>
  <c r="C2138" i="60"/>
  <c r="D2138" i="60"/>
  <c r="E2138" i="60"/>
  <c r="F2138" i="60"/>
  <c r="G2138" i="60"/>
  <c r="A2139" i="60"/>
  <c r="C2139" i="60"/>
  <c r="D2139" i="60"/>
  <c r="E2139" i="60"/>
  <c r="F2139" i="60"/>
  <c r="G2139" i="60"/>
  <c r="A2140" i="60"/>
  <c r="C2140" i="60"/>
  <c r="D2140" i="60"/>
  <c r="E2140" i="60"/>
  <c r="F2140" i="60"/>
  <c r="G2140" i="60"/>
  <c r="A2141" i="60"/>
  <c r="C2141" i="60"/>
  <c r="D2141" i="60"/>
  <c r="E2141" i="60"/>
  <c r="F2141" i="60"/>
  <c r="G2141" i="60"/>
  <c r="A2142" i="60"/>
  <c r="C2142" i="60"/>
  <c r="D2142" i="60"/>
  <c r="E2142" i="60"/>
  <c r="F2142" i="60"/>
  <c r="G2142" i="60"/>
  <c r="A2143" i="60"/>
  <c r="C2143" i="60"/>
  <c r="D2143" i="60"/>
  <c r="E2143" i="60"/>
  <c r="F2143" i="60"/>
  <c r="G2143" i="60"/>
  <c r="A2144" i="60"/>
  <c r="C2144" i="60"/>
  <c r="D2144" i="60"/>
  <c r="E2144" i="60"/>
  <c r="F2144" i="60"/>
  <c r="G2144" i="60"/>
  <c r="A2145" i="60"/>
  <c r="C2145" i="60"/>
  <c r="D2145" i="60"/>
  <c r="E2145" i="60"/>
  <c r="F2145" i="60"/>
  <c r="G2145" i="60"/>
  <c r="A2146" i="60"/>
  <c r="C2146" i="60"/>
  <c r="D2146" i="60"/>
  <c r="E2146" i="60"/>
  <c r="F2146" i="60"/>
  <c r="G2146" i="60"/>
  <c r="A2147" i="60"/>
  <c r="C2147" i="60"/>
  <c r="D2147" i="60"/>
  <c r="E2147" i="60"/>
  <c r="F2147" i="60"/>
  <c r="G2147" i="60"/>
  <c r="A2148" i="60"/>
  <c r="C2148" i="60"/>
  <c r="D2148" i="60"/>
  <c r="E2148" i="60"/>
  <c r="F2148" i="60"/>
  <c r="G2148" i="60"/>
  <c r="A2149" i="60"/>
  <c r="C2149" i="60"/>
  <c r="D2149" i="60"/>
  <c r="E2149" i="60"/>
  <c r="F2149" i="60"/>
  <c r="G2149" i="60"/>
  <c r="A2150" i="60"/>
  <c r="C2150" i="60"/>
  <c r="D2150" i="60"/>
  <c r="E2150" i="60"/>
  <c r="F2150" i="60"/>
  <c r="G2150" i="60"/>
  <c r="A2151" i="60"/>
  <c r="C2151" i="60"/>
  <c r="D2151" i="60"/>
  <c r="E2151" i="60"/>
  <c r="F2151" i="60"/>
  <c r="G2151" i="60"/>
  <c r="A2152" i="60"/>
  <c r="C2152" i="60"/>
  <c r="D2152" i="60"/>
  <c r="E2152" i="60"/>
  <c r="F2152" i="60"/>
  <c r="G2152" i="60"/>
  <c r="A2153" i="60"/>
  <c r="C2153" i="60"/>
  <c r="D2153" i="60"/>
  <c r="E2153" i="60"/>
  <c r="F2153" i="60"/>
  <c r="G2153" i="60"/>
  <c r="A2154" i="60"/>
  <c r="C2154" i="60"/>
  <c r="D2154" i="60"/>
  <c r="E2154" i="60"/>
  <c r="F2154" i="60"/>
  <c r="G2154" i="60"/>
  <c r="A2155" i="60"/>
  <c r="C2155" i="60"/>
  <c r="D2155" i="60"/>
  <c r="E2155" i="60"/>
  <c r="F2155" i="60"/>
  <c r="G2155" i="60"/>
  <c r="A2156" i="60"/>
  <c r="C2156" i="60"/>
  <c r="D2156" i="60"/>
  <c r="E2156" i="60"/>
  <c r="F2156" i="60"/>
  <c r="G2156" i="60"/>
  <c r="A2157" i="60"/>
  <c r="C2157" i="60"/>
  <c r="D2157" i="60"/>
  <c r="E2157" i="60"/>
  <c r="F2157" i="60"/>
  <c r="G2157" i="60"/>
  <c r="A2158" i="60"/>
  <c r="C2158" i="60"/>
  <c r="D2158" i="60"/>
  <c r="E2158" i="60"/>
  <c r="F2158" i="60"/>
  <c r="G2158" i="60"/>
  <c r="A2159" i="60"/>
  <c r="C2159" i="60"/>
  <c r="D2159" i="60"/>
  <c r="E2159" i="60"/>
  <c r="F2159" i="60"/>
  <c r="G2159" i="60"/>
  <c r="A2160" i="60"/>
  <c r="C2160" i="60"/>
  <c r="D2160" i="60"/>
  <c r="E2160" i="60"/>
  <c r="F2160" i="60"/>
  <c r="G2160" i="60"/>
  <c r="A2161" i="60"/>
  <c r="C2161" i="60"/>
  <c r="D2161" i="60"/>
  <c r="E2161" i="60"/>
  <c r="F2161" i="60"/>
  <c r="G2161" i="60"/>
  <c r="A2162" i="60"/>
  <c r="C2162" i="60"/>
  <c r="D2162" i="60"/>
  <c r="E2162" i="60"/>
  <c r="F2162" i="60"/>
  <c r="G2162" i="60"/>
  <c r="A2163" i="60"/>
  <c r="C2163" i="60"/>
  <c r="D2163" i="60"/>
  <c r="E2163" i="60"/>
  <c r="F2163" i="60"/>
  <c r="G2163" i="60"/>
  <c r="A2164" i="60"/>
  <c r="C2164" i="60"/>
  <c r="D2164" i="60"/>
  <c r="E2164" i="60"/>
  <c r="F2164" i="60"/>
  <c r="G2164" i="60"/>
  <c r="A2165" i="60"/>
  <c r="C2165" i="60"/>
  <c r="D2165" i="60"/>
  <c r="E2165" i="60"/>
  <c r="F2165" i="60"/>
  <c r="G2165" i="60"/>
  <c r="A2166" i="60"/>
  <c r="C2166" i="60"/>
  <c r="D2166" i="60"/>
  <c r="E2166" i="60"/>
  <c r="F2166" i="60"/>
  <c r="G2166" i="60"/>
  <c r="A2167" i="60"/>
  <c r="C2167" i="60"/>
  <c r="D2167" i="60"/>
  <c r="E2167" i="60"/>
  <c r="F2167" i="60"/>
  <c r="G2167" i="60"/>
  <c r="A2168" i="60"/>
  <c r="C2168" i="60"/>
  <c r="D2168" i="60"/>
  <c r="E2168" i="60"/>
  <c r="F2168" i="60"/>
  <c r="G2168" i="60"/>
  <c r="A2169" i="60"/>
  <c r="C2169" i="60"/>
  <c r="D2169" i="60"/>
  <c r="E2169" i="60"/>
  <c r="F2169" i="60"/>
  <c r="G2169" i="60"/>
  <c r="A2170" i="60"/>
  <c r="C2170" i="60"/>
  <c r="D2170" i="60"/>
  <c r="E2170" i="60"/>
  <c r="F2170" i="60"/>
  <c r="G2170" i="60"/>
  <c r="A2171" i="60"/>
  <c r="C2171" i="60"/>
  <c r="D2171" i="60"/>
  <c r="E2171" i="60"/>
  <c r="F2171" i="60"/>
  <c r="G2171" i="60"/>
  <c r="A2172" i="60"/>
  <c r="C2172" i="60"/>
  <c r="D2172" i="60"/>
  <c r="E2172" i="60"/>
  <c r="F2172" i="60"/>
  <c r="G2172" i="60"/>
  <c r="A2173" i="60"/>
  <c r="C2173" i="60"/>
  <c r="D2173" i="60"/>
  <c r="E2173" i="60"/>
  <c r="F2173" i="60"/>
  <c r="G2173" i="60"/>
  <c r="A2174" i="60"/>
  <c r="C2174" i="60"/>
  <c r="D2174" i="60"/>
  <c r="E2174" i="60"/>
  <c r="F2174" i="60"/>
  <c r="G2174" i="60"/>
  <c r="A2175" i="60"/>
  <c r="C2175" i="60"/>
  <c r="D2175" i="60"/>
  <c r="E2175" i="60"/>
  <c r="F2175" i="60"/>
  <c r="G2175" i="60"/>
  <c r="A2176" i="60"/>
  <c r="C2176" i="60"/>
  <c r="D2176" i="60"/>
  <c r="E2176" i="60"/>
  <c r="F2176" i="60"/>
  <c r="G2176" i="60"/>
  <c r="A2177" i="60"/>
  <c r="C2177" i="60"/>
  <c r="D2177" i="60"/>
  <c r="E2177" i="60"/>
  <c r="F2177" i="60"/>
  <c r="G2177" i="60"/>
  <c r="A2178" i="60"/>
  <c r="C2178" i="60"/>
  <c r="D2178" i="60"/>
  <c r="E2178" i="60"/>
  <c r="F2178" i="60"/>
  <c r="G2178" i="60"/>
  <c r="A2179" i="60"/>
  <c r="C2179" i="60"/>
  <c r="D2179" i="60"/>
  <c r="E2179" i="60"/>
  <c r="F2179" i="60"/>
  <c r="G2179" i="60"/>
  <c r="A2180" i="60"/>
  <c r="C2180" i="60"/>
  <c r="D2180" i="60"/>
  <c r="E2180" i="60"/>
  <c r="F2180" i="60"/>
  <c r="G2180" i="60"/>
  <c r="A2181" i="60"/>
  <c r="C2181" i="60"/>
  <c r="D2181" i="60"/>
  <c r="E2181" i="60"/>
  <c r="F2181" i="60"/>
  <c r="G2181" i="60"/>
  <c r="A2182" i="60"/>
  <c r="C2182" i="60"/>
  <c r="D2182" i="60"/>
  <c r="E2182" i="60"/>
  <c r="F2182" i="60"/>
  <c r="G2182" i="60"/>
  <c r="A2183" i="60"/>
  <c r="C2183" i="60"/>
  <c r="D2183" i="60"/>
  <c r="E2183" i="60"/>
  <c r="F2183" i="60"/>
  <c r="G2183" i="60"/>
  <c r="A2184" i="60"/>
  <c r="C2184" i="60"/>
  <c r="D2184" i="60"/>
  <c r="E2184" i="60"/>
  <c r="F2184" i="60"/>
  <c r="G2184" i="60"/>
  <c r="A2185" i="60"/>
  <c r="C2185" i="60"/>
  <c r="D2185" i="60"/>
  <c r="E2185" i="60"/>
  <c r="F2185" i="60"/>
  <c r="G2185" i="60"/>
  <c r="A2186" i="60"/>
  <c r="C2186" i="60"/>
  <c r="D2186" i="60"/>
  <c r="E2186" i="60"/>
  <c r="F2186" i="60"/>
  <c r="G2186" i="60"/>
  <c r="A2187" i="60"/>
  <c r="C2187" i="60"/>
  <c r="D2187" i="60"/>
  <c r="E2187" i="60"/>
  <c r="F2187" i="60"/>
  <c r="G2187" i="60"/>
  <c r="A2188" i="60"/>
  <c r="C2188" i="60"/>
  <c r="D2188" i="60"/>
  <c r="E2188" i="60"/>
  <c r="F2188" i="60"/>
  <c r="G2188" i="60"/>
  <c r="A2189" i="60"/>
  <c r="C2189" i="60"/>
  <c r="D2189" i="60"/>
  <c r="E2189" i="60"/>
  <c r="F2189" i="60"/>
  <c r="G2189" i="60"/>
  <c r="A2190" i="60"/>
  <c r="C2190" i="60"/>
  <c r="D2190" i="60"/>
  <c r="E2190" i="60"/>
  <c r="F2190" i="60"/>
  <c r="G2190" i="60"/>
  <c r="A2191" i="60"/>
  <c r="C2191" i="60"/>
  <c r="D2191" i="60"/>
  <c r="E2191" i="60"/>
  <c r="F2191" i="60"/>
  <c r="G2191" i="60"/>
  <c r="A2192" i="60"/>
  <c r="C2192" i="60"/>
  <c r="D2192" i="60"/>
  <c r="E2192" i="60"/>
  <c r="F2192" i="60"/>
  <c r="G2192" i="60"/>
  <c r="A2193" i="60"/>
  <c r="C2193" i="60"/>
  <c r="D2193" i="60"/>
  <c r="E2193" i="60"/>
  <c r="F2193" i="60"/>
  <c r="G2193" i="60"/>
  <c r="A2194" i="60"/>
  <c r="C2194" i="60"/>
  <c r="D2194" i="60"/>
  <c r="E2194" i="60"/>
  <c r="F2194" i="60"/>
  <c r="G2194" i="60"/>
  <c r="A2195" i="60"/>
  <c r="C2195" i="60"/>
  <c r="D2195" i="60"/>
  <c r="E2195" i="60"/>
  <c r="F2195" i="60"/>
  <c r="G2195" i="60"/>
  <c r="A2196" i="60"/>
  <c r="C2196" i="60"/>
  <c r="D2196" i="60"/>
  <c r="E2196" i="60"/>
  <c r="F2196" i="60"/>
  <c r="G2196" i="60"/>
  <c r="A2197" i="60"/>
  <c r="C2197" i="60"/>
  <c r="D2197" i="60"/>
  <c r="E2197" i="60"/>
  <c r="F2197" i="60"/>
  <c r="G2197" i="60"/>
  <c r="A2198" i="60"/>
  <c r="C2198" i="60"/>
  <c r="D2198" i="60"/>
  <c r="E2198" i="60"/>
  <c r="F2198" i="60"/>
  <c r="G2198" i="60"/>
  <c r="A2199" i="60"/>
  <c r="C2199" i="60"/>
  <c r="D2199" i="60"/>
  <c r="E2199" i="60"/>
  <c r="F2199" i="60"/>
  <c r="G2199" i="60"/>
  <c r="A2200" i="60"/>
  <c r="C2200" i="60"/>
  <c r="D2200" i="60"/>
  <c r="E2200" i="60"/>
  <c r="F2200" i="60"/>
  <c r="G2200" i="60"/>
  <c r="A2201" i="60"/>
  <c r="C2201" i="60"/>
  <c r="D2201" i="60"/>
  <c r="E2201" i="60"/>
  <c r="F2201" i="60"/>
  <c r="G2201" i="60"/>
  <c r="A2202" i="60"/>
  <c r="C2202" i="60"/>
  <c r="D2202" i="60"/>
  <c r="E2202" i="60"/>
  <c r="F2202" i="60"/>
  <c r="G2202" i="60"/>
  <c r="A2203" i="60"/>
  <c r="C2203" i="60"/>
  <c r="D2203" i="60"/>
  <c r="E2203" i="60"/>
  <c r="F2203" i="60"/>
  <c r="G2203" i="60"/>
  <c r="A2204" i="60"/>
  <c r="C2204" i="60"/>
  <c r="D2204" i="60"/>
  <c r="E2204" i="60"/>
  <c r="F2204" i="60"/>
  <c r="G2204" i="60"/>
  <c r="A2205" i="60"/>
  <c r="C2205" i="60"/>
  <c r="D2205" i="60"/>
  <c r="E2205" i="60"/>
  <c r="F2205" i="60"/>
  <c r="G2205" i="60"/>
  <c r="A2206" i="60"/>
  <c r="C2206" i="60"/>
  <c r="D2206" i="60"/>
  <c r="E2206" i="60"/>
  <c r="F2206" i="60"/>
  <c r="G2206" i="60"/>
  <c r="A2207" i="60"/>
  <c r="C2207" i="60"/>
  <c r="D2207" i="60"/>
  <c r="E2207" i="60"/>
  <c r="F2207" i="60"/>
  <c r="G2207" i="60"/>
  <c r="A2208" i="60"/>
  <c r="C2208" i="60"/>
  <c r="D2208" i="60"/>
  <c r="E2208" i="60"/>
  <c r="F2208" i="60"/>
  <c r="G2208" i="60"/>
  <c r="A2209" i="60"/>
  <c r="C2209" i="60"/>
  <c r="D2209" i="60"/>
  <c r="E2209" i="60"/>
  <c r="F2209" i="60"/>
  <c r="G2209" i="60"/>
  <c r="A2210" i="60"/>
  <c r="C2210" i="60"/>
  <c r="D2210" i="60"/>
  <c r="E2210" i="60"/>
  <c r="F2210" i="60"/>
  <c r="G2210" i="60"/>
  <c r="A2211" i="60"/>
  <c r="C2211" i="60"/>
  <c r="D2211" i="60"/>
  <c r="E2211" i="60"/>
  <c r="F2211" i="60"/>
  <c r="G2211" i="60"/>
  <c r="A2212" i="60"/>
  <c r="C2212" i="60"/>
  <c r="D2212" i="60"/>
  <c r="E2212" i="60"/>
  <c r="F2212" i="60"/>
  <c r="G2212" i="60"/>
  <c r="A2213" i="60"/>
  <c r="C2213" i="60"/>
  <c r="D2213" i="60"/>
  <c r="E2213" i="60"/>
  <c r="F2213" i="60"/>
  <c r="G2213" i="60"/>
  <c r="A2214" i="60"/>
  <c r="C2214" i="60"/>
  <c r="D2214" i="60"/>
  <c r="E2214" i="60"/>
  <c r="F2214" i="60"/>
  <c r="G2214" i="60"/>
  <c r="A2215" i="60"/>
  <c r="C2215" i="60"/>
  <c r="D2215" i="60"/>
  <c r="E2215" i="60"/>
  <c r="F2215" i="60"/>
  <c r="G2215" i="60"/>
  <c r="A2216" i="60"/>
  <c r="C2216" i="60"/>
  <c r="D2216" i="60"/>
  <c r="E2216" i="60"/>
  <c r="F2216" i="60"/>
  <c r="G2216" i="60"/>
  <c r="A2217" i="60"/>
  <c r="C2217" i="60"/>
  <c r="D2217" i="60"/>
  <c r="E2217" i="60"/>
  <c r="F2217" i="60"/>
  <c r="G2217" i="60"/>
  <c r="A2218" i="60"/>
  <c r="C2218" i="60"/>
  <c r="D2218" i="60"/>
  <c r="E2218" i="60"/>
  <c r="F2218" i="60"/>
  <c r="G2218" i="60"/>
  <c r="A2219" i="60"/>
  <c r="C2219" i="60"/>
  <c r="D2219" i="60"/>
  <c r="E2219" i="60"/>
  <c r="F2219" i="60"/>
  <c r="G2219" i="60"/>
  <c r="A2220" i="60"/>
  <c r="C2220" i="60"/>
  <c r="D2220" i="60"/>
  <c r="E2220" i="60"/>
  <c r="F2220" i="60"/>
  <c r="G2220" i="60"/>
  <c r="A2221" i="60"/>
  <c r="C2221" i="60"/>
  <c r="D2221" i="60"/>
  <c r="E2221" i="60"/>
  <c r="F2221" i="60"/>
  <c r="G2221" i="60"/>
  <c r="A2222" i="60"/>
  <c r="C2222" i="60"/>
  <c r="D2222" i="60"/>
  <c r="E2222" i="60"/>
  <c r="F2222" i="60"/>
  <c r="G2222" i="60"/>
  <c r="A2223" i="60"/>
  <c r="C2223" i="60"/>
  <c r="D2223" i="60"/>
  <c r="E2223" i="60"/>
  <c r="F2223" i="60"/>
  <c r="G2223" i="60"/>
  <c r="A2224" i="60"/>
  <c r="C2224" i="60"/>
  <c r="D2224" i="60"/>
  <c r="E2224" i="60"/>
  <c r="F2224" i="60"/>
  <c r="G2224" i="60"/>
  <c r="A2225" i="60"/>
  <c r="C2225" i="60"/>
  <c r="D2225" i="60"/>
  <c r="E2225" i="60"/>
  <c r="F2225" i="60"/>
  <c r="G2225" i="60"/>
  <c r="A2226" i="60"/>
  <c r="C2226" i="60"/>
  <c r="D2226" i="60"/>
  <c r="E2226" i="60"/>
  <c r="F2226" i="60"/>
  <c r="G2226" i="60"/>
  <c r="A2227" i="60"/>
  <c r="C2227" i="60"/>
  <c r="D2227" i="60"/>
  <c r="E2227" i="60"/>
  <c r="F2227" i="60"/>
  <c r="G2227" i="60"/>
  <c r="A2228" i="60"/>
  <c r="C2228" i="60"/>
  <c r="D2228" i="60"/>
  <c r="E2228" i="60"/>
  <c r="F2228" i="60"/>
  <c r="G2228" i="60"/>
  <c r="A2229" i="60"/>
  <c r="C2229" i="60"/>
  <c r="D2229" i="60"/>
  <c r="E2229" i="60"/>
  <c r="F2229" i="60"/>
  <c r="G2229" i="60"/>
  <c r="A2230" i="60"/>
  <c r="C2230" i="60"/>
  <c r="D2230" i="60"/>
  <c r="E2230" i="60"/>
  <c r="F2230" i="60"/>
  <c r="G2230" i="60"/>
  <c r="A2231" i="60"/>
  <c r="C2231" i="60"/>
  <c r="D2231" i="60"/>
  <c r="E2231" i="60"/>
  <c r="F2231" i="60"/>
  <c r="G2231" i="60"/>
  <c r="A2232" i="60"/>
  <c r="C2232" i="60"/>
  <c r="D2232" i="60"/>
  <c r="E2232" i="60"/>
  <c r="F2232" i="60"/>
  <c r="G2232" i="60"/>
  <c r="A2233" i="60"/>
  <c r="C2233" i="60"/>
  <c r="D2233" i="60"/>
  <c r="E2233" i="60"/>
  <c r="F2233" i="60"/>
  <c r="G2233" i="60"/>
  <c r="A2234" i="60"/>
  <c r="C2234" i="60"/>
  <c r="D2234" i="60"/>
  <c r="E2234" i="60"/>
  <c r="F2234" i="60"/>
  <c r="G2234" i="60"/>
  <c r="A2235" i="60"/>
  <c r="C2235" i="60"/>
  <c r="D2235" i="60"/>
  <c r="E2235" i="60"/>
  <c r="F2235" i="60"/>
  <c r="G2235" i="60"/>
  <c r="A2236" i="60"/>
  <c r="C2236" i="60"/>
  <c r="D2236" i="60"/>
  <c r="E2236" i="60"/>
  <c r="F2236" i="60"/>
  <c r="G2236" i="60"/>
  <c r="A2237" i="60"/>
  <c r="C2237" i="60"/>
  <c r="D2237" i="60"/>
  <c r="E2237" i="60"/>
  <c r="F2237" i="60"/>
  <c r="G2237" i="60"/>
  <c r="A2238" i="60"/>
  <c r="C2238" i="60"/>
  <c r="D2238" i="60"/>
  <c r="E2238" i="60"/>
  <c r="F2238" i="60"/>
  <c r="G2238" i="60"/>
  <c r="A2239" i="60"/>
  <c r="C2239" i="60"/>
  <c r="D2239" i="60"/>
  <c r="E2239" i="60"/>
  <c r="F2239" i="60"/>
  <c r="G2239" i="60"/>
  <c r="A2240" i="60"/>
  <c r="C2240" i="60"/>
  <c r="D2240" i="60"/>
  <c r="E2240" i="60"/>
  <c r="F2240" i="60"/>
  <c r="G2240" i="60"/>
  <c r="A2241" i="60"/>
  <c r="C2241" i="60"/>
  <c r="D2241" i="60"/>
  <c r="E2241" i="60"/>
  <c r="F2241" i="60"/>
  <c r="G2241" i="60"/>
  <c r="A2242" i="60"/>
  <c r="C2242" i="60"/>
  <c r="D2242" i="60"/>
  <c r="E2242" i="60"/>
  <c r="F2242" i="60"/>
  <c r="G2242" i="60"/>
  <c r="A2243" i="60"/>
  <c r="C2243" i="60"/>
  <c r="D2243" i="60"/>
  <c r="E2243" i="60"/>
  <c r="F2243" i="60"/>
  <c r="G2243" i="60"/>
  <c r="A2244" i="60"/>
  <c r="C2244" i="60"/>
  <c r="D2244" i="60"/>
  <c r="E2244" i="60"/>
  <c r="F2244" i="60"/>
  <c r="G2244" i="60"/>
  <c r="A2245" i="60"/>
  <c r="C2245" i="60"/>
  <c r="D2245" i="60"/>
  <c r="E2245" i="60"/>
  <c r="F2245" i="60"/>
  <c r="G2245" i="60"/>
  <c r="A2246" i="60"/>
  <c r="C2246" i="60"/>
  <c r="D2246" i="60"/>
  <c r="E2246" i="60"/>
  <c r="F2246" i="60"/>
  <c r="G2246" i="60"/>
  <c r="A2247" i="60"/>
  <c r="C2247" i="60"/>
  <c r="D2247" i="60"/>
  <c r="E2247" i="60"/>
  <c r="F2247" i="60"/>
  <c r="G2247" i="60"/>
  <c r="A2248" i="60"/>
  <c r="C2248" i="60"/>
  <c r="D2248" i="60"/>
  <c r="E2248" i="60"/>
  <c r="F2248" i="60"/>
  <c r="G2248" i="60"/>
  <c r="A2249" i="60"/>
  <c r="C2249" i="60"/>
  <c r="D2249" i="60"/>
  <c r="E2249" i="60"/>
  <c r="F2249" i="60"/>
  <c r="G2249" i="60"/>
  <c r="A2250" i="60"/>
  <c r="C2250" i="60"/>
  <c r="D2250" i="60"/>
  <c r="E2250" i="60"/>
  <c r="F2250" i="60"/>
  <c r="G2250" i="60"/>
  <c r="A2251" i="60"/>
  <c r="C2251" i="60"/>
  <c r="D2251" i="60"/>
  <c r="E2251" i="60"/>
  <c r="F2251" i="60"/>
  <c r="G2251" i="60"/>
  <c r="A2252" i="60"/>
  <c r="C2252" i="60"/>
  <c r="D2252" i="60"/>
  <c r="E2252" i="60"/>
  <c r="F2252" i="60"/>
  <c r="G2252" i="60"/>
  <c r="A2253" i="60"/>
  <c r="C2253" i="60"/>
  <c r="D2253" i="60"/>
  <c r="E2253" i="60"/>
  <c r="F2253" i="60"/>
  <c r="G2253" i="60"/>
  <c r="A2254" i="60"/>
  <c r="C2254" i="60"/>
  <c r="D2254" i="60"/>
  <c r="E2254" i="60"/>
  <c r="F2254" i="60"/>
  <c r="G2254" i="60"/>
  <c r="A2255" i="60"/>
  <c r="C2255" i="60"/>
  <c r="D2255" i="60"/>
  <c r="E2255" i="60"/>
  <c r="F2255" i="60"/>
  <c r="G2255" i="60"/>
  <c r="A2256" i="60"/>
  <c r="C2256" i="60"/>
  <c r="D2256" i="60"/>
  <c r="E2256" i="60"/>
  <c r="F2256" i="60"/>
  <c r="G2256" i="60"/>
  <c r="A2257" i="60"/>
  <c r="C2257" i="60"/>
  <c r="D2257" i="60"/>
  <c r="E2257" i="60"/>
  <c r="F2257" i="60"/>
  <c r="G2257" i="60"/>
  <c r="A2258" i="60"/>
  <c r="C2258" i="60"/>
  <c r="D2258" i="60"/>
  <c r="E2258" i="60"/>
  <c r="F2258" i="60"/>
  <c r="G2258" i="60"/>
  <c r="A2259" i="60"/>
  <c r="C2259" i="60"/>
  <c r="D2259" i="60"/>
  <c r="E2259" i="60"/>
  <c r="F2259" i="60"/>
  <c r="G2259" i="60"/>
  <c r="A2260" i="60"/>
  <c r="C2260" i="60"/>
  <c r="D2260" i="60"/>
  <c r="E2260" i="60"/>
  <c r="F2260" i="60"/>
  <c r="G2260" i="60"/>
  <c r="A2261" i="60"/>
  <c r="C2261" i="60"/>
  <c r="D2261" i="60"/>
  <c r="E2261" i="60"/>
  <c r="F2261" i="60"/>
  <c r="G2261" i="60"/>
  <c r="A2262" i="60"/>
  <c r="C2262" i="60"/>
  <c r="D2262" i="60"/>
  <c r="E2262" i="60"/>
  <c r="F2262" i="60"/>
  <c r="G2262" i="60"/>
  <c r="A2263" i="60"/>
  <c r="C2263" i="60"/>
  <c r="D2263" i="60"/>
  <c r="E2263" i="60"/>
  <c r="F2263" i="60"/>
  <c r="G2263" i="60"/>
  <c r="A2264" i="60"/>
  <c r="C2264" i="60"/>
  <c r="D2264" i="60"/>
  <c r="E2264" i="60"/>
  <c r="F2264" i="60"/>
  <c r="G2264" i="60"/>
  <c r="A2265" i="60"/>
  <c r="C2265" i="60"/>
  <c r="D2265" i="60"/>
  <c r="E2265" i="60"/>
  <c r="F2265" i="60"/>
  <c r="G2265" i="60"/>
  <c r="A2266" i="60"/>
  <c r="C2266" i="60"/>
  <c r="D2266" i="60"/>
  <c r="E2266" i="60"/>
  <c r="F2266" i="60"/>
  <c r="G2266" i="60"/>
  <c r="A2267" i="60"/>
  <c r="C2267" i="60"/>
  <c r="D2267" i="60"/>
  <c r="E2267" i="60"/>
  <c r="F2267" i="60"/>
  <c r="G2267" i="60"/>
  <c r="A2268" i="60"/>
  <c r="C2268" i="60"/>
  <c r="D2268" i="60"/>
  <c r="E2268" i="60"/>
  <c r="F2268" i="60"/>
  <c r="G2268" i="60"/>
  <c r="A2269" i="60"/>
  <c r="C2269" i="60"/>
  <c r="D2269" i="60"/>
  <c r="E2269" i="60"/>
  <c r="F2269" i="60"/>
  <c r="G2269" i="60"/>
  <c r="A2270" i="60"/>
  <c r="C2270" i="60"/>
  <c r="D2270" i="60"/>
  <c r="E2270" i="60"/>
  <c r="F2270" i="60"/>
  <c r="G2270" i="60"/>
  <c r="A2271" i="60"/>
  <c r="C2271" i="60"/>
  <c r="D2271" i="60"/>
  <c r="E2271" i="60"/>
  <c r="F2271" i="60"/>
  <c r="G2271" i="60"/>
  <c r="A2272" i="60"/>
  <c r="C2272" i="60"/>
  <c r="D2272" i="60"/>
  <c r="E2272" i="60"/>
  <c r="F2272" i="60"/>
  <c r="G2272" i="60"/>
  <c r="A2273" i="60"/>
  <c r="C2273" i="60"/>
  <c r="D2273" i="60"/>
  <c r="E2273" i="60"/>
  <c r="F2273" i="60"/>
  <c r="G2273" i="60"/>
  <c r="A2274" i="60"/>
  <c r="C2274" i="60"/>
  <c r="D2274" i="60"/>
  <c r="E2274" i="60"/>
  <c r="F2274" i="60"/>
  <c r="G2274" i="60"/>
  <c r="A2275" i="60"/>
  <c r="C2275" i="60"/>
  <c r="D2275" i="60"/>
  <c r="E2275" i="60"/>
  <c r="F2275" i="60"/>
  <c r="G2275" i="60"/>
  <c r="A2276" i="60"/>
  <c r="C2276" i="60"/>
  <c r="D2276" i="60"/>
  <c r="E2276" i="60"/>
  <c r="F2276" i="60"/>
  <c r="G2276" i="60"/>
  <c r="A2277" i="60"/>
  <c r="C2277" i="60"/>
  <c r="D2277" i="60"/>
  <c r="E2277" i="60"/>
  <c r="F2277" i="60"/>
  <c r="G2277" i="60"/>
  <c r="A2278" i="60"/>
  <c r="C2278" i="60"/>
  <c r="D2278" i="60"/>
  <c r="E2278" i="60"/>
  <c r="F2278" i="60"/>
  <c r="G2278" i="60"/>
  <c r="A2279" i="60"/>
  <c r="C2279" i="60"/>
  <c r="D2279" i="60"/>
  <c r="E2279" i="60"/>
  <c r="F2279" i="60"/>
  <c r="G2279" i="60"/>
  <c r="A2280" i="60"/>
  <c r="C2280" i="60"/>
  <c r="D2280" i="60"/>
  <c r="E2280" i="60"/>
  <c r="F2280" i="60"/>
  <c r="G2280" i="60"/>
  <c r="A2281" i="60"/>
  <c r="C2281" i="60"/>
  <c r="D2281" i="60"/>
  <c r="E2281" i="60"/>
  <c r="F2281" i="60"/>
  <c r="G2281" i="60"/>
  <c r="A2282" i="60"/>
  <c r="C2282" i="60"/>
  <c r="D2282" i="60"/>
  <c r="E2282" i="60"/>
  <c r="F2282" i="60"/>
  <c r="G2282" i="60"/>
  <c r="A2283" i="60"/>
  <c r="C2283" i="60"/>
  <c r="D2283" i="60"/>
  <c r="E2283" i="60"/>
  <c r="F2283" i="60"/>
  <c r="G2283" i="60"/>
  <c r="A2284" i="60"/>
  <c r="C2284" i="60"/>
  <c r="D2284" i="60"/>
  <c r="E2284" i="60"/>
  <c r="F2284" i="60"/>
  <c r="G2284" i="60"/>
  <c r="A2285" i="60"/>
  <c r="C2285" i="60"/>
  <c r="D2285" i="60"/>
  <c r="E2285" i="60"/>
  <c r="F2285" i="60"/>
  <c r="G2285" i="60"/>
  <c r="A2286" i="60"/>
  <c r="C2286" i="60"/>
  <c r="D2286" i="60"/>
  <c r="E2286" i="60"/>
  <c r="F2286" i="60"/>
  <c r="G2286" i="60"/>
  <c r="A2287" i="60"/>
  <c r="C2287" i="60"/>
  <c r="D2287" i="60"/>
  <c r="E2287" i="60"/>
  <c r="F2287" i="60"/>
  <c r="G2287" i="60"/>
  <c r="A2288" i="60"/>
  <c r="C2288" i="60"/>
  <c r="D2288" i="60"/>
  <c r="E2288" i="60"/>
  <c r="F2288" i="60"/>
  <c r="G2288" i="60"/>
  <c r="A2289" i="60"/>
  <c r="C2289" i="60"/>
  <c r="D2289" i="60"/>
  <c r="E2289" i="60"/>
  <c r="F2289" i="60"/>
  <c r="G2289" i="60"/>
  <c r="A2290" i="60"/>
  <c r="C2290" i="60"/>
  <c r="D2290" i="60"/>
  <c r="E2290" i="60"/>
  <c r="F2290" i="60"/>
  <c r="G2290" i="60"/>
  <c r="A2291" i="60"/>
  <c r="C2291" i="60"/>
  <c r="D2291" i="60"/>
  <c r="E2291" i="60"/>
  <c r="F2291" i="60"/>
  <c r="G2291" i="60"/>
  <c r="A2292" i="60"/>
  <c r="C2292" i="60"/>
  <c r="D2292" i="60"/>
  <c r="E2292" i="60"/>
  <c r="F2292" i="60"/>
  <c r="G2292" i="60"/>
  <c r="A2293" i="60"/>
  <c r="C2293" i="60"/>
  <c r="D2293" i="60"/>
  <c r="E2293" i="60"/>
  <c r="F2293" i="60"/>
  <c r="G2293" i="60"/>
  <c r="A2294" i="60"/>
  <c r="C2294" i="60"/>
  <c r="D2294" i="60"/>
  <c r="E2294" i="60"/>
  <c r="F2294" i="60"/>
  <c r="G2294" i="60"/>
  <c r="A2295" i="60"/>
  <c r="C2295" i="60"/>
  <c r="D2295" i="60"/>
  <c r="E2295" i="60"/>
  <c r="F2295" i="60"/>
  <c r="G2295" i="60"/>
  <c r="A2296" i="60"/>
  <c r="C2296" i="60"/>
  <c r="D2296" i="60"/>
  <c r="E2296" i="60"/>
  <c r="F2296" i="60"/>
  <c r="G2296" i="60"/>
  <c r="A2297" i="60"/>
  <c r="C2297" i="60"/>
  <c r="D2297" i="60"/>
  <c r="E2297" i="60"/>
  <c r="F2297" i="60"/>
  <c r="G2297" i="60"/>
  <c r="A2298" i="60"/>
  <c r="C2298" i="60"/>
  <c r="D2298" i="60"/>
  <c r="E2298" i="60"/>
  <c r="F2298" i="60"/>
  <c r="G2298" i="60"/>
  <c r="A2299" i="60"/>
  <c r="C2299" i="60"/>
  <c r="D2299" i="60"/>
  <c r="E2299" i="60"/>
  <c r="F2299" i="60"/>
  <c r="G2299" i="60"/>
  <c r="A2300" i="60"/>
  <c r="C2300" i="60"/>
  <c r="D2300" i="60"/>
  <c r="E2300" i="60"/>
  <c r="F2300" i="60"/>
  <c r="G2300" i="60"/>
  <c r="A2301" i="60"/>
  <c r="C2301" i="60"/>
  <c r="D2301" i="60"/>
  <c r="E2301" i="60"/>
  <c r="F2301" i="60"/>
  <c r="G2301" i="60"/>
  <c r="A2302" i="60"/>
  <c r="C2302" i="60"/>
  <c r="D2302" i="60"/>
  <c r="E2302" i="60"/>
  <c r="F2302" i="60"/>
  <c r="G2302" i="60"/>
  <c r="A2303" i="60"/>
  <c r="C2303" i="60"/>
  <c r="D2303" i="60"/>
  <c r="E2303" i="60"/>
  <c r="F2303" i="60"/>
  <c r="G2303" i="60"/>
  <c r="A2304" i="60"/>
  <c r="C2304" i="60"/>
  <c r="D2304" i="60"/>
  <c r="E2304" i="60"/>
  <c r="F2304" i="60"/>
  <c r="G2304" i="60"/>
  <c r="A2305" i="60"/>
  <c r="C2305" i="60"/>
  <c r="D2305" i="60"/>
  <c r="E2305" i="60"/>
  <c r="F2305" i="60"/>
  <c r="G2305" i="60"/>
  <c r="A2306" i="60"/>
  <c r="C2306" i="60"/>
  <c r="D2306" i="60"/>
  <c r="E2306" i="60"/>
  <c r="F2306" i="60"/>
  <c r="G2306" i="60"/>
  <c r="A2307" i="60"/>
  <c r="C2307" i="60"/>
  <c r="D2307" i="60"/>
  <c r="E2307" i="60"/>
  <c r="F2307" i="60"/>
  <c r="G2307" i="60"/>
  <c r="A2308" i="60"/>
  <c r="C2308" i="60"/>
  <c r="D2308" i="60"/>
  <c r="E2308" i="60"/>
  <c r="F2308" i="60"/>
  <c r="G2308" i="60"/>
  <c r="A2309" i="60"/>
  <c r="C2309" i="60"/>
  <c r="D2309" i="60"/>
  <c r="E2309" i="60"/>
  <c r="F2309" i="60"/>
  <c r="G2309" i="60"/>
  <c r="A2310" i="60"/>
  <c r="C2310" i="60"/>
  <c r="D2310" i="60"/>
  <c r="E2310" i="60"/>
  <c r="F2310" i="60"/>
  <c r="G2310" i="60"/>
  <c r="A2311" i="60"/>
  <c r="C2311" i="60"/>
  <c r="D2311" i="60"/>
  <c r="E2311" i="60"/>
  <c r="F2311" i="60"/>
  <c r="G2311" i="60"/>
  <c r="A2312" i="60"/>
  <c r="C2312" i="60"/>
  <c r="D2312" i="60"/>
  <c r="E2312" i="60"/>
  <c r="F2312" i="60"/>
  <c r="G2312" i="60"/>
  <c r="A2313" i="60"/>
  <c r="C2313" i="60"/>
  <c r="D2313" i="60"/>
  <c r="E2313" i="60"/>
  <c r="F2313" i="60"/>
  <c r="G2313" i="60"/>
  <c r="A2314" i="60"/>
  <c r="C2314" i="60"/>
  <c r="D2314" i="60"/>
  <c r="E2314" i="60"/>
  <c r="F2314" i="60"/>
  <c r="G2314" i="60"/>
  <c r="A2315" i="60"/>
  <c r="C2315" i="60"/>
  <c r="D2315" i="60"/>
  <c r="E2315" i="60"/>
  <c r="F2315" i="60"/>
  <c r="G2315" i="60"/>
  <c r="A2316" i="60"/>
  <c r="C2316" i="60"/>
  <c r="D2316" i="60"/>
  <c r="E2316" i="60"/>
  <c r="F2316" i="60"/>
  <c r="G2316" i="60"/>
  <c r="A2317" i="60"/>
  <c r="C2317" i="60"/>
  <c r="D2317" i="60"/>
  <c r="E2317" i="60"/>
  <c r="F2317" i="60"/>
  <c r="G2317" i="60"/>
  <c r="A2318" i="60"/>
  <c r="C2318" i="60"/>
  <c r="D2318" i="60"/>
  <c r="E2318" i="60"/>
  <c r="F2318" i="60"/>
  <c r="G2318" i="60"/>
  <c r="A2319" i="60"/>
  <c r="C2319" i="60"/>
  <c r="D2319" i="60"/>
  <c r="E2319" i="60"/>
  <c r="F2319" i="60"/>
  <c r="G2319" i="60"/>
  <c r="A2320" i="60"/>
  <c r="C2320" i="60"/>
  <c r="D2320" i="60"/>
  <c r="E2320" i="60"/>
  <c r="F2320" i="60"/>
  <c r="G2320" i="60"/>
  <c r="A2321" i="60"/>
  <c r="C2321" i="60"/>
  <c r="D2321" i="60"/>
  <c r="E2321" i="60"/>
  <c r="F2321" i="60"/>
  <c r="G2321" i="60"/>
  <c r="A2322" i="60"/>
  <c r="C2322" i="60"/>
  <c r="D2322" i="60"/>
  <c r="E2322" i="60"/>
  <c r="F2322" i="60"/>
  <c r="G2322" i="60"/>
  <c r="A2323" i="60"/>
  <c r="C2323" i="60"/>
  <c r="D2323" i="60"/>
  <c r="E2323" i="60"/>
  <c r="F2323" i="60"/>
  <c r="G2323" i="60"/>
  <c r="A2324" i="60"/>
  <c r="C2324" i="60"/>
  <c r="D2324" i="60"/>
  <c r="E2324" i="60"/>
  <c r="F2324" i="60"/>
  <c r="G2324" i="60"/>
  <c r="A2325" i="60"/>
  <c r="C2325" i="60"/>
  <c r="D2325" i="60"/>
  <c r="E2325" i="60"/>
  <c r="F2325" i="60"/>
  <c r="G2325" i="60"/>
  <c r="A2326" i="60"/>
  <c r="C2326" i="60"/>
  <c r="D2326" i="60"/>
  <c r="E2326" i="60"/>
  <c r="F2326" i="60"/>
  <c r="G2326" i="60"/>
  <c r="A2327" i="60"/>
  <c r="C2327" i="60"/>
  <c r="D2327" i="60"/>
  <c r="E2327" i="60"/>
  <c r="F2327" i="60"/>
  <c r="G2327" i="60"/>
  <c r="A2328" i="60"/>
  <c r="C2328" i="60"/>
  <c r="D2328" i="60"/>
  <c r="E2328" i="60"/>
  <c r="F2328" i="60"/>
  <c r="G2328" i="60"/>
  <c r="A2329" i="60"/>
  <c r="C2329" i="60"/>
  <c r="D2329" i="60"/>
  <c r="E2329" i="60"/>
  <c r="F2329" i="60"/>
  <c r="G2329" i="60"/>
  <c r="A2330" i="60"/>
  <c r="C2330" i="60"/>
  <c r="D2330" i="60"/>
  <c r="E2330" i="60"/>
  <c r="F2330" i="60"/>
  <c r="G2330" i="60"/>
  <c r="A2331" i="60"/>
  <c r="C2331" i="60"/>
  <c r="D2331" i="60"/>
  <c r="E2331" i="60"/>
  <c r="F2331" i="60"/>
  <c r="G2331" i="60"/>
  <c r="A2332" i="60"/>
  <c r="C2332" i="60"/>
  <c r="D2332" i="60"/>
  <c r="E2332" i="60"/>
  <c r="F2332" i="60"/>
  <c r="G2332" i="60"/>
  <c r="A2333" i="60"/>
  <c r="C2333" i="60"/>
  <c r="D2333" i="60"/>
  <c r="E2333" i="60"/>
  <c r="F2333" i="60"/>
  <c r="G2333" i="60"/>
  <c r="A2334" i="60"/>
  <c r="C2334" i="60"/>
  <c r="D2334" i="60"/>
  <c r="E2334" i="60"/>
  <c r="F2334" i="60"/>
  <c r="G2334" i="60"/>
  <c r="A2335" i="60"/>
  <c r="C2335" i="60"/>
  <c r="D2335" i="60"/>
  <c r="E2335" i="60"/>
  <c r="F2335" i="60"/>
  <c r="G2335" i="60"/>
  <c r="A2336" i="60"/>
  <c r="C2336" i="60"/>
  <c r="D2336" i="60"/>
  <c r="E2336" i="60"/>
  <c r="F2336" i="60"/>
  <c r="G2336" i="60"/>
  <c r="A2337" i="60"/>
  <c r="C2337" i="60"/>
  <c r="D2337" i="60"/>
  <c r="E2337" i="60"/>
  <c r="F2337" i="60"/>
  <c r="G2337" i="60"/>
  <c r="A2338" i="60"/>
  <c r="C2338" i="60"/>
  <c r="D2338" i="60"/>
  <c r="E2338" i="60"/>
  <c r="F2338" i="60"/>
  <c r="G2338" i="60"/>
  <c r="A2339" i="60"/>
  <c r="C2339" i="60"/>
  <c r="D2339" i="60"/>
  <c r="E2339" i="60"/>
  <c r="F2339" i="60"/>
  <c r="G2339" i="60"/>
  <c r="A2340" i="60"/>
  <c r="C2340" i="60"/>
  <c r="D2340" i="60"/>
  <c r="E2340" i="60"/>
  <c r="F2340" i="60"/>
  <c r="G2340" i="60"/>
  <c r="A2341" i="60"/>
  <c r="C2341" i="60"/>
  <c r="D2341" i="60"/>
  <c r="E2341" i="60"/>
  <c r="F2341" i="60"/>
  <c r="G2341" i="60"/>
  <c r="A2342" i="60"/>
  <c r="C2342" i="60"/>
  <c r="D2342" i="60"/>
  <c r="E2342" i="60"/>
  <c r="F2342" i="60"/>
  <c r="G2342" i="60"/>
  <c r="A2343" i="60"/>
  <c r="C2343" i="60"/>
  <c r="D2343" i="60"/>
  <c r="E2343" i="60"/>
  <c r="F2343" i="60"/>
  <c r="G2343" i="60"/>
  <c r="A2344" i="60"/>
  <c r="C2344" i="60"/>
  <c r="D2344" i="60"/>
  <c r="E2344" i="60"/>
  <c r="F2344" i="60"/>
  <c r="G2344" i="60"/>
  <c r="A2345" i="60"/>
  <c r="C2345" i="60"/>
  <c r="D2345" i="60"/>
  <c r="E2345" i="60"/>
  <c r="F2345" i="60"/>
  <c r="G2345" i="60"/>
  <c r="A2346" i="60"/>
  <c r="C2346" i="60"/>
  <c r="D2346" i="60"/>
  <c r="E2346" i="60"/>
  <c r="F2346" i="60"/>
  <c r="G2346" i="60"/>
  <c r="A2347" i="60"/>
  <c r="C2347" i="60"/>
  <c r="D2347" i="60"/>
  <c r="E2347" i="60"/>
  <c r="F2347" i="60"/>
  <c r="G2347" i="60"/>
  <c r="A2348" i="60"/>
  <c r="C2348" i="60"/>
  <c r="D2348" i="60"/>
  <c r="E2348" i="60"/>
  <c r="F2348" i="60"/>
  <c r="G2348" i="60"/>
  <c r="A2349" i="60"/>
  <c r="C2349" i="60"/>
  <c r="D2349" i="60"/>
  <c r="E2349" i="60"/>
  <c r="F2349" i="60"/>
  <c r="G2349" i="60"/>
  <c r="A2350" i="60"/>
  <c r="C2350" i="60"/>
  <c r="D2350" i="60"/>
  <c r="E2350" i="60"/>
  <c r="F2350" i="60"/>
  <c r="G2350" i="60"/>
  <c r="A2351" i="60"/>
  <c r="C2351" i="60"/>
  <c r="D2351" i="60"/>
  <c r="E2351" i="60"/>
  <c r="F2351" i="60"/>
  <c r="G2351" i="60"/>
  <c r="A2352" i="60"/>
  <c r="C2352" i="60"/>
  <c r="D2352" i="60"/>
  <c r="E2352" i="60"/>
  <c r="F2352" i="60"/>
  <c r="G2352" i="60"/>
  <c r="A2353" i="60"/>
  <c r="C2353" i="60"/>
  <c r="D2353" i="60"/>
  <c r="E2353" i="60"/>
  <c r="F2353" i="60"/>
  <c r="G2353" i="60"/>
  <c r="A2354" i="60"/>
  <c r="C2354" i="60"/>
  <c r="D2354" i="60"/>
  <c r="E2354" i="60"/>
  <c r="F2354" i="60"/>
  <c r="G2354" i="60"/>
  <c r="A2355" i="60"/>
  <c r="C2355" i="60"/>
  <c r="D2355" i="60"/>
  <c r="E2355" i="60"/>
  <c r="F2355" i="60"/>
  <c r="G2355" i="60"/>
  <c r="A2356" i="60"/>
  <c r="C2356" i="60"/>
  <c r="D2356" i="60"/>
  <c r="E2356" i="60"/>
  <c r="F2356" i="60"/>
  <c r="G2356" i="60"/>
  <c r="A2357" i="60"/>
  <c r="C2357" i="60"/>
  <c r="D2357" i="60"/>
  <c r="E2357" i="60"/>
  <c r="F2357" i="60"/>
  <c r="G2357" i="60"/>
  <c r="A2358" i="60"/>
  <c r="C2358" i="60"/>
  <c r="D2358" i="60"/>
  <c r="E2358" i="60"/>
  <c r="F2358" i="60"/>
  <c r="G2358" i="60"/>
  <c r="A2359" i="60"/>
  <c r="C2359" i="60"/>
  <c r="D2359" i="60"/>
  <c r="E2359" i="60"/>
  <c r="F2359" i="60"/>
  <c r="G2359" i="60"/>
  <c r="A2360" i="60"/>
  <c r="C2360" i="60"/>
  <c r="D2360" i="60"/>
  <c r="E2360" i="60"/>
  <c r="F2360" i="60"/>
  <c r="G2360" i="60"/>
  <c r="A2361" i="60"/>
  <c r="C2361" i="60"/>
  <c r="D2361" i="60"/>
  <c r="E2361" i="60"/>
  <c r="F2361" i="60"/>
  <c r="G2361" i="60"/>
  <c r="A2362" i="60"/>
  <c r="C2362" i="60"/>
  <c r="D2362" i="60"/>
  <c r="E2362" i="60"/>
  <c r="F2362" i="60"/>
  <c r="G2362" i="60"/>
  <c r="A2363" i="60"/>
  <c r="C2363" i="60"/>
  <c r="D2363" i="60"/>
  <c r="E2363" i="60"/>
  <c r="F2363" i="60"/>
  <c r="G2363" i="60"/>
  <c r="A2364" i="60"/>
  <c r="C2364" i="60"/>
  <c r="D2364" i="60"/>
  <c r="E2364" i="60"/>
  <c r="F2364" i="60"/>
  <c r="G2364" i="60"/>
  <c r="A2365" i="60"/>
  <c r="C2365" i="60"/>
  <c r="D2365" i="60"/>
  <c r="E2365" i="60"/>
  <c r="F2365" i="60"/>
  <c r="G2365" i="60"/>
  <c r="A2366" i="60"/>
  <c r="C2366" i="60"/>
  <c r="D2366" i="60"/>
  <c r="E2366" i="60"/>
  <c r="F2366" i="60"/>
  <c r="G2366" i="60"/>
  <c r="A2367" i="60"/>
  <c r="C2367" i="60"/>
  <c r="D2367" i="60"/>
  <c r="E2367" i="60"/>
  <c r="F2367" i="60"/>
  <c r="G2367" i="60"/>
  <c r="A2368" i="60"/>
  <c r="C2368" i="60"/>
  <c r="D2368" i="60"/>
  <c r="E2368" i="60"/>
  <c r="F2368" i="60"/>
  <c r="G2368" i="60"/>
  <c r="A2369" i="60"/>
  <c r="C2369" i="60"/>
  <c r="D2369" i="60"/>
  <c r="E2369" i="60"/>
  <c r="F2369" i="60"/>
  <c r="G2369" i="60"/>
  <c r="A2370" i="60"/>
  <c r="C2370" i="60"/>
  <c r="D2370" i="60"/>
  <c r="E2370" i="60"/>
  <c r="F2370" i="60"/>
  <c r="G2370" i="60"/>
  <c r="A2371" i="60"/>
  <c r="C2371" i="60"/>
  <c r="D2371" i="60"/>
  <c r="E2371" i="60"/>
  <c r="F2371" i="60"/>
  <c r="G2371" i="60"/>
  <c r="A2372" i="60"/>
  <c r="C2372" i="60"/>
  <c r="D2372" i="60"/>
  <c r="E2372" i="60"/>
  <c r="F2372" i="60"/>
  <c r="G2372" i="60"/>
  <c r="A2373" i="60"/>
  <c r="C2373" i="60"/>
  <c r="D2373" i="60"/>
  <c r="E2373" i="60"/>
  <c r="F2373" i="60"/>
  <c r="G2373" i="60"/>
  <c r="A2374" i="60"/>
  <c r="C2374" i="60"/>
  <c r="D2374" i="60"/>
  <c r="E2374" i="60"/>
  <c r="F2374" i="60"/>
  <c r="G2374" i="60"/>
  <c r="A2375" i="60"/>
  <c r="C2375" i="60"/>
  <c r="D2375" i="60"/>
  <c r="E2375" i="60"/>
  <c r="F2375" i="60"/>
  <c r="G2375" i="60"/>
  <c r="A2376" i="60"/>
  <c r="C2376" i="60"/>
  <c r="D2376" i="60"/>
  <c r="E2376" i="60"/>
  <c r="F2376" i="60"/>
  <c r="G2376" i="60"/>
  <c r="A2377" i="60"/>
  <c r="C2377" i="60"/>
  <c r="D2377" i="60"/>
  <c r="E2377" i="60"/>
  <c r="F2377" i="60"/>
  <c r="G2377" i="60"/>
  <c r="A2378" i="60"/>
  <c r="C2378" i="60"/>
  <c r="D2378" i="60"/>
  <c r="E2378" i="60"/>
  <c r="F2378" i="60"/>
  <c r="G2378" i="60"/>
  <c r="A2379" i="60"/>
  <c r="C2379" i="60"/>
  <c r="D2379" i="60"/>
  <c r="E2379" i="60"/>
  <c r="F2379" i="60"/>
  <c r="G2379" i="60"/>
  <c r="A2380" i="60"/>
  <c r="C2380" i="60"/>
  <c r="D2380" i="60"/>
  <c r="E2380" i="60"/>
  <c r="F2380" i="60"/>
  <c r="G2380" i="60"/>
  <c r="A2381" i="60"/>
  <c r="C2381" i="60"/>
  <c r="D2381" i="60"/>
  <c r="E2381" i="60"/>
  <c r="F2381" i="60"/>
  <c r="G2381" i="60"/>
  <c r="A2382" i="60"/>
  <c r="C2382" i="60"/>
  <c r="D2382" i="60"/>
  <c r="E2382" i="60"/>
  <c r="F2382" i="60"/>
  <c r="G2382" i="60"/>
  <c r="A2383" i="60"/>
  <c r="C2383" i="60"/>
  <c r="D2383" i="60"/>
  <c r="E2383" i="60"/>
  <c r="F2383" i="60"/>
  <c r="G2383" i="60"/>
  <c r="A2384" i="60"/>
  <c r="C2384" i="60"/>
  <c r="D2384" i="60"/>
  <c r="E2384" i="60"/>
  <c r="F2384" i="60"/>
  <c r="G2384" i="60"/>
  <c r="A2385" i="60"/>
  <c r="C2385" i="60"/>
  <c r="D2385" i="60"/>
  <c r="E2385" i="60"/>
  <c r="F2385" i="60"/>
  <c r="G2385" i="60"/>
  <c r="A2386" i="60"/>
  <c r="C2386" i="60"/>
  <c r="D2386" i="60"/>
  <c r="E2386" i="60"/>
  <c r="F2386" i="60"/>
  <c r="G2386" i="60"/>
  <c r="A2387" i="60"/>
  <c r="C2387" i="60"/>
  <c r="D2387" i="60"/>
  <c r="E2387" i="60"/>
  <c r="F2387" i="60"/>
  <c r="G2387" i="60"/>
  <c r="A2388" i="60"/>
  <c r="C2388" i="60"/>
  <c r="D2388" i="60"/>
  <c r="E2388" i="60"/>
  <c r="F2388" i="60"/>
  <c r="G2388" i="60"/>
  <c r="A2389" i="60"/>
  <c r="C2389" i="60"/>
  <c r="D2389" i="60"/>
  <c r="E2389" i="60"/>
  <c r="F2389" i="60"/>
  <c r="G2389" i="60"/>
  <c r="A2390" i="60"/>
  <c r="C2390" i="60"/>
  <c r="D2390" i="60"/>
  <c r="E2390" i="60"/>
  <c r="F2390" i="60"/>
  <c r="G2390" i="60"/>
  <c r="A2391" i="60"/>
  <c r="C2391" i="60"/>
  <c r="D2391" i="60"/>
  <c r="E2391" i="60"/>
  <c r="F2391" i="60"/>
  <c r="G2391" i="60"/>
  <c r="A2392" i="60"/>
  <c r="C2392" i="60"/>
  <c r="D2392" i="60"/>
  <c r="E2392" i="60"/>
  <c r="F2392" i="60"/>
  <c r="G2392" i="60"/>
  <c r="A2393" i="60"/>
  <c r="C2393" i="60"/>
  <c r="D2393" i="60"/>
  <c r="E2393" i="60"/>
  <c r="F2393" i="60"/>
  <c r="G2393" i="60"/>
  <c r="A2394" i="60"/>
  <c r="C2394" i="60"/>
  <c r="D2394" i="60"/>
  <c r="E2394" i="60"/>
  <c r="F2394" i="60"/>
  <c r="G2394" i="60"/>
  <c r="A2395" i="60"/>
  <c r="C2395" i="60"/>
  <c r="D2395" i="60"/>
  <c r="E2395" i="60"/>
  <c r="F2395" i="60"/>
  <c r="G2395" i="60"/>
  <c r="A2396" i="60"/>
  <c r="C2396" i="60"/>
  <c r="D2396" i="60"/>
  <c r="E2396" i="60"/>
  <c r="F2396" i="60"/>
  <c r="G2396" i="60"/>
  <c r="A2397" i="60"/>
  <c r="C2397" i="60"/>
  <c r="D2397" i="60"/>
  <c r="E2397" i="60"/>
  <c r="F2397" i="60"/>
  <c r="G2397" i="60"/>
  <c r="A2398" i="60"/>
  <c r="C2398" i="60"/>
  <c r="D2398" i="60"/>
  <c r="E2398" i="60"/>
  <c r="F2398" i="60"/>
  <c r="G2398" i="60"/>
  <c r="A2399" i="60"/>
  <c r="C2399" i="60"/>
  <c r="D2399" i="60"/>
  <c r="E2399" i="60"/>
  <c r="F2399" i="60"/>
  <c r="G2399" i="60"/>
  <c r="A2400" i="60"/>
  <c r="C2400" i="60"/>
  <c r="D2400" i="60"/>
  <c r="E2400" i="60"/>
  <c r="F2400" i="60"/>
  <c r="G2400" i="60"/>
  <c r="A2401" i="60"/>
  <c r="C2401" i="60"/>
  <c r="D2401" i="60"/>
  <c r="E2401" i="60"/>
  <c r="F2401" i="60"/>
  <c r="G2401" i="60"/>
  <c r="A2402" i="60"/>
  <c r="C2402" i="60"/>
  <c r="D2402" i="60"/>
  <c r="E2402" i="60"/>
  <c r="F2402" i="60"/>
  <c r="G2402" i="60"/>
  <c r="A2403" i="60"/>
  <c r="C2403" i="60"/>
  <c r="D2403" i="60"/>
  <c r="E2403" i="60"/>
  <c r="F2403" i="60"/>
  <c r="G2403" i="60"/>
  <c r="A2404" i="60"/>
  <c r="C2404" i="60"/>
  <c r="D2404" i="60"/>
  <c r="E2404" i="60"/>
  <c r="F2404" i="60"/>
  <c r="G2404" i="60"/>
  <c r="A2405" i="60"/>
  <c r="C2405" i="60"/>
  <c r="D2405" i="60"/>
  <c r="E2405" i="60"/>
  <c r="F2405" i="60"/>
  <c r="G2405" i="60"/>
  <c r="A2406" i="60"/>
  <c r="C2406" i="60"/>
  <c r="D2406" i="60"/>
  <c r="E2406" i="60"/>
  <c r="F2406" i="60"/>
  <c r="G2406" i="60"/>
  <c r="A2407" i="60"/>
  <c r="C2407" i="60"/>
  <c r="D2407" i="60"/>
  <c r="E2407" i="60"/>
  <c r="F2407" i="60"/>
  <c r="G2407" i="60"/>
  <c r="A2408" i="60"/>
  <c r="C2408" i="60"/>
  <c r="D2408" i="60"/>
  <c r="E2408" i="60"/>
  <c r="F2408" i="60"/>
  <c r="G2408" i="60"/>
  <c r="A2409" i="60"/>
  <c r="C2409" i="60"/>
  <c r="D2409" i="60"/>
  <c r="E2409" i="60"/>
  <c r="F2409" i="60"/>
  <c r="G2409" i="60"/>
  <c r="A2410" i="60"/>
  <c r="C2410" i="60"/>
  <c r="D2410" i="60"/>
  <c r="E2410" i="60"/>
  <c r="F2410" i="60"/>
  <c r="G2410" i="60"/>
  <c r="A2411" i="60"/>
  <c r="C2411" i="60"/>
  <c r="D2411" i="60"/>
  <c r="E2411" i="60"/>
  <c r="F2411" i="60"/>
  <c r="G2411" i="60"/>
  <c r="A2412" i="60"/>
  <c r="C2412" i="60"/>
  <c r="D2412" i="60"/>
  <c r="E2412" i="60"/>
  <c r="F2412" i="60"/>
  <c r="G2412" i="60"/>
  <c r="A2413" i="60"/>
  <c r="C2413" i="60"/>
  <c r="D2413" i="60"/>
  <c r="E2413" i="60"/>
  <c r="F2413" i="60"/>
  <c r="G2413" i="60"/>
  <c r="A2414" i="60"/>
  <c r="C2414" i="60"/>
  <c r="D2414" i="60"/>
  <c r="E2414" i="60"/>
  <c r="F2414" i="60"/>
  <c r="G2414" i="60"/>
  <c r="A2415" i="60"/>
  <c r="C2415" i="60"/>
  <c r="D2415" i="60"/>
  <c r="E2415" i="60"/>
  <c r="F2415" i="60"/>
  <c r="G2415" i="60"/>
  <c r="A2416" i="60"/>
  <c r="C2416" i="60"/>
  <c r="D2416" i="60"/>
  <c r="E2416" i="60"/>
  <c r="F2416" i="60"/>
  <c r="G2416" i="60"/>
  <c r="A2417" i="60"/>
  <c r="C2417" i="60"/>
  <c r="D2417" i="60"/>
  <c r="E2417" i="60"/>
  <c r="F2417" i="60"/>
  <c r="G2417" i="60"/>
  <c r="A2418" i="60"/>
  <c r="C2418" i="60"/>
  <c r="D2418" i="60"/>
  <c r="E2418" i="60"/>
  <c r="F2418" i="60"/>
  <c r="G2418" i="60"/>
  <c r="A2419" i="60"/>
  <c r="C2419" i="60"/>
  <c r="D2419" i="60"/>
  <c r="E2419" i="60"/>
  <c r="F2419" i="60"/>
  <c r="G2419" i="60"/>
  <c r="A2420" i="60"/>
  <c r="C2420" i="60"/>
  <c r="D2420" i="60"/>
  <c r="E2420" i="60"/>
  <c r="F2420" i="60"/>
  <c r="G2420" i="60"/>
  <c r="A2421" i="60"/>
  <c r="C2421" i="60"/>
  <c r="D2421" i="60"/>
  <c r="E2421" i="60"/>
  <c r="F2421" i="60"/>
  <c r="G2421" i="60"/>
  <c r="A2422" i="60"/>
  <c r="C2422" i="60"/>
  <c r="D2422" i="60"/>
  <c r="E2422" i="60"/>
  <c r="F2422" i="60"/>
  <c r="G2422" i="60"/>
  <c r="A2423" i="60"/>
  <c r="C2423" i="60"/>
  <c r="D2423" i="60"/>
  <c r="E2423" i="60"/>
  <c r="F2423" i="60"/>
  <c r="G2423" i="60"/>
  <c r="A2424" i="60"/>
  <c r="C2424" i="60"/>
  <c r="D2424" i="60"/>
  <c r="E2424" i="60"/>
  <c r="F2424" i="60"/>
  <c r="G2424" i="60"/>
  <c r="A2425" i="60"/>
  <c r="C2425" i="60"/>
  <c r="D2425" i="60"/>
  <c r="E2425" i="60"/>
  <c r="F2425" i="60"/>
  <c r="G2425" i="60"/>
  <c r="A2426" i="60"/>
  <c r="C2426" i="60"/>
  <c r="D2426" i="60"/>
  <c r="E2426" i="60"/>
  <c r="F2426" i="60"/>
  <c r="G2426" i="60"/>
  <c r="A2427" i="60"/>
  <c r="C2427" i="60"/>
  <c r="D2427" i="60"/>
  <c r="E2427" i="60"/>
  <c r="F2427" i="60"/>
  <c r="G2427" i="60"/>
  <c r="A2428" i="60"/>
  <c r="C2428" i="60"/>
  <c r="D2428" i="60"/>
  <c r="E2428" i="60"/>
  <c r="F2428" i="60"/>
  <c r="G2428" i="60"/>
  <c r="A2429" i="60"/>
  <c r="C2429" i="60"/>
  <c r="D2429" i="60"/>
  <c r="E2429" i="60"/>
  <c r="F2429" i="60"/>
  <c r="G2429" i="60"/>
  <c r="A2430" i="60"/>
  <c r="C2430" i="60"/>
  <c r="D2430" i="60"/>
  <c r="E2430" i="60"/>
  <c r="F2430" i="60"/>
  <c r="G2430" i="60"/>
  <c r="A2431" i="60"/>
  <c r="C2431" i="60"/>
  <c r="D2431" i="60"/>
  <c r="E2431" i="60"/>
  <c r="F2431" i="60"/>
  <c r="G2431" i="60"/>
  <c r="A2432" i="60"/>
  <c r="C2432" i="60"/>
  <c r="D2432" i="60"/>
  <c r="E2432" i="60"/>
  <c r="F2432" i="60"/>
  <c r="G2432" i="60"/>
  <c r="A2433" i="60"/>
  <c r="C2433" i="60"/>
  <c r="D2433" i="60"/>
  <c r="E2433" i="60"/>
  <c r="F2433" i="60"/>
  <c r="G2433" i="60"/>
  <c r="A2434" i="60"/>
  <c r="C2434" i="60"/>
  <c r="D2434" i="60"/>
  <c r="E2434" i="60"/>
  <c r="F2434" i="60"/>
  <c r="G2434" i="60"/>
  <c r="A2435" i="60"/>
  <c r="C2435" i="60"/>
  <c r="D2435" i="60"/>
  <c r="E2435" i="60"/>
  <c r="F2435" i="60"/>
  <c r="G2435" i="60"/>
  <c r="A2436" i="60"/>
  <c r="C2436" i="60"/>
  <c r="D2436" i="60"/>
  <c r="E2436" i="60"/>
  <c r="F2436" i="60"/>
  <c r="G2436" i="60"/>
  <c r="A2437" i="60"/>
  <c r="C2437" i="60"/>
  <c r="D2437" i="60"/>
  <c r="E2437" i="60"/>
  <c r="F2437" i="60"/>
  <c r="G2437" i="60"/>
  <c r="A2438" i="60"/>
  <c r="C2438" i="60"/>
  <c r="D2438" i="60"/>
  <c r="E2438" i="60"/>
  <c r="F2438" i="60"/>
  <c r="G2438" i="60"/>
  <c r="A2439" i="60"/>
  <c r="C2439" i="60"/>
  <c r="D2439" i="60"/>
  <c r="E2439" i="60"/>
  <c r="F2439" i="60"/>
  <c r="G2439" i="60"/>
  <c r="A2440" i="60"/>
  <c r="C2440" i="60"/>
  <c r="D2440" i="60"/>
  <c r="E2440" i="60"/>
  <c r="F2440" i="60"/>
  <c r="G2440" i="60"/>
  <c r="A2441" i="60"/>
  <c r="C2441" i="60"/>
  <c r="D2441" i="60"/>
  <c r="E2441" i="60"/>
  <c r="F2441" i="60"/>
  <c r="G2441" i="60"/>
  <c r="A2442" i="60"/>
  <c r="C2442" i="60"/>
  <c r="D2442" i="60"/>
  <c r="E2442" i="60"/>
  <c r="F2442" i="60"/>
  <c r="G2442" i="60"/>
  <c r="A2443" i="60"/>
  <c r="C2443" i="60"/>
  <c r="D2443" i="60"/>
  <c r="E2443" i="60"/>
  <c r="F2443" i="60"/>
  <c r="G2443" i="60"/>
  <c r="A2444" i="60"/>
  <c r="C2444" i="60"/>
  <c r="D2444" i="60"/>
  <c r="E2444" i="60"/>
  <c r="F2444" i="60"/>
  <c r="G2444" i="60"/>
  <c r="A2445" i="60"/>
  <c r="C2445" i="60"/>
  <c r="D2445" i="60"/>
  <c r="E2445" i="60"/>
  <c r="F2445" i="60"/>
  <c r="G2445" i="60"/>
  <c r="A2446" i="60"/>
  <c r="C2446" i="60"/>
  <c r="D2446" i="60"/>
  <c r="E2446" i="60"/>
  <c r="F2446" i="60"/>
  <c r="G2446" i="60"/>
  <c r="A2447" i="60"/>
  <c r="C2447" i="60"/>
  <c r="D2447" i="60"/>
  <c r="E2447" i="60"/>
  <c r="F2447" i="60"/>
  <c r="G2447" i="60"/>
  <c r="A2448" i="60"/>
  <c r="C2448" i="60"/>
  <c r="D2448" i="60"/>
  <c r="E2448" i="60"/>
  <c r="F2448" i="60"/>
  <c r="G2448" i="60"/>
  <c r="A2449" i="60"/>
  <c r="C2449" i="60"/>
  <c r="D2449" i="60"/>
  <c r="E2449" i="60"/>
  <c r="F2449" i="60"/>
  <c r="G2449" i="60"/>
  <c r="A2450" i="60"/>
  <c r="C2450" i="60"/>
  <c r="D2450" i="60"/>
  <c r="E2450" i="60"/>
  <c r="F2450" i="60"/>
  <c r="G2450" i="60"/>
  <c r="A2451" i="60"/>
  <c r="C2451" i="60"/>
  <c r="D2451" i="60"/>
  <c r="E2451" i="60"/>
  <c r="F2451" i="60"/>
  <c r="G2451" i="60"/>
  <c r="A2452" i="60"/>
  <c r="C2452" i="60"/>
  <c r="D2452" i="60"/>
  <c r="E2452" i="60"/>
  <c r="F2452" i="60"/>
  <c r="G2452" i="60"/>
  <c r="A2453" i="60"/>
  <c r="C2453" i="60"/>
  <c r="D2453" i="60"/>
  <c r="E2453" i="60"/>
  <c r="F2453" i="60"/>
  <c r="G2453" i="60"/>
  <c r="A2454" i="60"/>
  <c r="C2454" i="60"/>
  <c r="D2454" i="60"/>
  <c r="E2454" i="60"/>
  <c r="F2454" i="60"/>
  <c r="G2454" i="60"/>
  <c r="A2455" i="60"/>
  <c r="C2455" i="60"/>
  <c r="D2455" i="60"/>
  <c r="E2455" i="60"/>
  <c r="F2455" i="60"/>
  <c r="G2455" i="60"/>
  <c r="A2456" i="60"/>
  <c r="C2456" i="60"/>
  <c r="D2456" i="60"/>
  <c r="E2456" i="60"/>
  <c r="F2456" i="60"/>
  <c r="G2456" i="60"/>
  <c r="A2457" i="60"/>
  <c r="C2457" i="60"/>
  <c r="D2457" i="60"/>
  <c r="E2457" i="60"/>
  <c r="F2457" i="60"/>
  <c r="G2457" i="60"/>
  <c r="A2458" i="60"/>
  <c r="C2458" i="60"/>
  <c r="D2458" i="60"/>
  <c r="E2458" i="60"/>
  <c r="F2458" i="60"/>
  <c r="G2458" i="60"/>
  <c r="A2459" i="60"/>
  <c r="C2459" i="60"/>
  <c r="D2459" i="60"/>
  <c r="E2459" i="60"/>
  <c r="F2459" i="60"/>
  <c r="G2459" i="60"/>
  <c r="A2460" i="60"/>
  <c r="C2460" i="60"/>
  <c r="D2460" i="60"/>
  <c r="E2460" i="60"/>
  <c r="F2460" i="60"/>
  <c r="G2460" i="60"/>
  <c r="A2461" i="60"/>
  <c r="C2461" i="60"/>
  <c r="D2461" i="60"/>
  <c r="E2461" i="60"/>
  <c r="F2461" i="60"/>
  <c r="G2461" i="60"/>
  <c r="A2462" i="60"/>
  <c r="C2462" i="60"/>
  <c r="D2462" i="60"/>
  <c r="E2462" i="60"/>
  <c r="F2462" i="60"/>
  <c r="G2462" i="60"/>
  <c r="A2463" i="60"/>
  <c r="C2463" i="60"/>
  <c r="D2463" i="60"/>
  <c r="E2463" i="60"/>
  <c r="F2463" i="60"/>
  <c r="G2463" i="60"/>
  <c r="A2464" i="60"/>
  <c r="C2464" i="60"/>
  <c r="D2464" i="60"/>
  <c r="E2464" i="60"/>
  <c r="F2464" i="60"/>
  <c r="G2464" i="60"/>
  <c r="A2465" i="60"/>
  <c r="C2465" i="60"/>
  <c r="D2465" i="60"/>
  <c r="E2465" i="60"/>
  <c r="F2465" i="60"/>
  <c r="G2465" i="60"/>
  <c r="A2466" i="60"/>
  <c r="C2466" i="60"/>
  <c r="D2466" i="60"/>
  <c r="E2466" i="60"/>
  <c r="F2466" i="60"/>
  <c r="G2466" i="60"/>
  <c r="A2467" i="60"/>
  <c r="C2467" i="60"/>
  <c r="D2467" i="60"/>
  <c r="E2467" i="60"/>
  <c r="F2467" i="60"/>
  <c r="G2467" i="60"/>
  <c r="A2468" i="60"/>
  <c r="C2468" i="60"/>
  <c r="D2468" i="60"/>
  <c r="E2468" i="60"/>
  <c r="F2468" i="60"/>
  <c r="G2468" i="60"/>
  <c r="A2469" i="60"/>
  <c r="C2469" i="60"/>
  <c r="D2469" i="60"/>
  <c r="E2469" i="60"/>
  <c r="F2469" i="60"/>
  <c r="G2469" i="60"/>
  <c r="A2470" i="60"/>
  <c r="C2470" i="60"/>
  <c r="D2470" i="60"/>
  <c r="E2470" i="60"/>
  <c r="F2470" i="60"/>
  <c r="G2470" i="60"/>
  <c r="A2471" i="60"/>
  <c r="C2471" i="60"/>
  <c r="D2471" i="60"/>
  <c r="E2471" i="60"/>
  <c r="F2471" i="60"/>
  <c r="G2471" i="60"/>
  <c r="A2472" i="60"/>
  <c r="C2472" i="60"/>
  <c r="D2472" i="60"/>
  <c r="E2472" i="60"/>
  <c r="F2472" i="60"/>
  <c r="G2472" i="60"/>
  <c r="A2473" i="60"/>
  <c r="C2473" i="60"/>
  <c r="D2473" i="60"/>
  <c r="E2473" i="60"/>
  <c r="F2473" i="60"/>
  <c r="G2473" i="60"/>
  <c r="A2474" i="60"/>
  <c r="C2474" i="60"/>
  <c r="D2474" i="60"/>
  <c r="E2474" i="60"/>
  <c r="F2474" i="60"/>
  <c r="G2474" i="60"/>
  <c r="A2475" i="60"/>
  <c r="C2475" i="60"/>
  <c r="D2475" i="60"/>
  <c r="E2475" i="60"/>
  <c r="F2475" i="60"/>
  <c r="G2475" i="60"/>
  <c r="A2476" i="60"/>
  <c r="C2476" i="60"/>
  <c r="D2476" i="60"/>
  <c r="E2476" i="60"/>
  <c r="F2476" i="60"/>
  <c r="G2476" i="60"/>
  <c r="A2477" i="60"/>
  <c r="C2477" i="60"/>
  <c r="D2477" i="60"/>
  <c r="E2477" i="60"/>
  <c r="F2477" i="60"/>
  <c r="G2477" i="60"/>
  <c r="A2478" i="60"/>
  <c r="C2478" i="60"/>
  <c r="D2478" i="60"/>
  <c r="E2478" i="60"/>
  <c r="F2478" i="60"/>
  <c r="G2478" i="60"/>
  <c r="A2479" i="60"/>
  <c r="C2479" i="60"/>
  <c r="D2479" i="60"/>
  <c r="E2479" i="60"/>
  <c r="F2479" i="60"/>
  <c r="G2479" i="60"/>
  <c r="A2480" i="60"/>
  <c r="C2480" i="60"/>
  <c r="D2480" i="60"/>
  <c r="E2480" i="60"/>
  <c r="F2480" i="60"/>
  <c r="G2480" i="60"/>
  <c r="A2481" i="60"/>
  <c r="C2481" i="60"/>
  <c r="D2481" i="60"/>
  <c r="E2481" i="60"/>
  <c r="F2481" i="60"/>
  <c r="G2481" i="60"/>
  <c r="A2482" i="60"/>
  <c r="C2482" i="60"/>
  <c r="D2482" i="60"/>
  <c r="E2482" i="60"/>
  <c r="F2482" i="60"/>
  <c r="G2482" i="60"/>
  <c r="A2483" i="60"/>
  <c r="C2483" i="60"/>
  <c r="D2483" i="60"/>
  <c r="E2483" i="60"/>
  <c r="F2483" i="60"/>
  <c r="G2483" i="60"/>
  <c r="A2484" i="60"/>
  <c r="C2484" i="60"/>
  <c r="D2484" i="60"/>
  <c r="E2484" i="60"/>
  <c r="F2484" i="60"/>
  <c r="G2484" i="60"/>
  <c r="A2485" i="60"/>
  <c r="C2485" i="60"/>
  <c r="D2485" i="60"/>
  <c r="E2485" i="60"/>
  <c r="F2485" i="60"/>
  <c r="G2485" i="60"/>
  <c r="A2486" i="60"/>
  <c r="C2486" i="60"/>
  <c r="D2486" i="60"/>
  <c r="E2486" i="60"/>
  <c r="F2486" i="60"/>
  <c r="G2486" i="60"/>
  <c r="A2487" i="60"/>
  <c r="C2487" i="60"/>
  <c r="D2487" i="60"/>
  <c r="E2487" i="60"/>
  <c r="F2487" i="60"/>
  <c r="G2487" i="60"/>
  <c r="A2488" i="60"/>
  <c r="C2488" i="60"/>
  <c r="D2488" i="60"/>
  <c r="E2488" i="60"/>
  <c r="F2488" i="60"/>
  <c r="G2488" i="60"/>
  <c r="A2489" i="60"/>
  <c r="C2489" i="60"/>
  <c r="D2489" i="60"/>
  <c r="E2489" i="60"/>
  <c r="F2489" i="60"/>
  <c r="G2489" i="60"/>
  <c r="A2490" i="60"/>
  <c r="C2490" i="60"/>
  <c r="D2490" i="60"/>
  <c r="E2490" i="60"/>
  <c r="F2490" i="60"/>
  <c r="G2490" i="60"/>
  <c r="A2491" i="60"/>
  <c r="C2491" i="60"/>
  <c r="D2491" i="60"/>
  <c r="E2491" i="60"/>
  <c r="F2491" i="60"/>
  <c r="G2491" i="60"/>
  <c r="A2492" i="60"/>
  <c r="C2492" i="60"/>
  <c r="D2492" i="60"/>
  <c r="E2492" i="60"/>
  <c r="F2492" i="60"/>
  <c r="G2492" i="60"/>
  <c r="A2493" i="60"/>
  <c r="C2493" i="60"/>
  <c r="D2493" i="60"/>
  <c r="E2493" i="60"/>
  <c r="F2493" i="60"/>
  <c r="G2493" i="60"/>
  <c r="A2494" i="60"/>
  <c r="C2494" i="60"/>
  <c r="D2494" i="60"/>
  <c r="E2494" i="60"/>
  <c r="F2494" i="60"/>
  <c r="G2494" i="60"/>
  <c r="A2495" i="60"/>
  <c r="C2495" i="60"/>
  <c r="D2495" i="60"/>
  <c r="E2495" i="60"/>
  <c r="F2495" i="60"/>
  <c r="G2495" i="60"/>
  <c r="A2496" i="60"/>
  <c r="C2496" i="60"/>
  <c r="D2496" i="60"/>
  <c r="E2496" i="60"/>
  <c r="F2496" i="60"/>
  <c r="G2496" i="60"/>
  <c r="A2497" i="60"/>
  <c r="C2497" i="60"/>
  <c r="D2497" i="60"/>
  <c r="E2497" i="60"/>
  <c r="F2497" i="60"/>
  <c r="G2497" i="60"/>
  <c r="A2498" i="60"/>
  <c r="C2498" i="60"/>
  <c r="D2498" i="60"/>
  <c r="E2498" i="60"/>
  <c r="F2498" i="60"/>
  <c r="G2498" i="60"/>
  <c r="A2499" i="60"/>
  <c r="C2499" i="60"/>
  <c r="D2499" i="60"/>
  <c r="E2499" i="60"/>
  <c r="F2499" i="60"/>
  <c r="G2499" i="60"/>
  <c r="A2500" i="60"/>
  <c r="C2500" i="60"/>
  <c r="D2500" i="60"/>
  <c r="E2500" i="60"/>
  <c r="F2500" i="60"/>
  <c r="G2500" i="60"/>
  <c r="A2501" i="60"/>
  <c r="C2501" i="60"/>
  <c r="D2501" i="60"/>
  <c r="E2501" i="60"/>
  <c r="F2501" i="60"/>
  <c r="G2501" i="60"/>
  <c r="A2502" i="60"/>
  <c r="C2502" i="60"/>
  <c r="D2502" i="60"/>
  <c r="E2502" i="60"/>
  <c r="F2502" i="60"/>
  <c r="G2502" i="60"/>
  <c r="A2503" i="60"/>
  <c r="C2503" i="60"/>
  <c r="D2503" i="60"/>
  <c r="E2503" i="60"/>
  <c r="F2503" i="60"/>
  <c r="G2503" i="60"/>
  <c r="A2504" i="60"/>
  <c r="C2504" i="60"/>
  <c r="D2504" i="60"/>
  <c r="E2504" i="60"/>
  <c r="F2504" i="60"/>
  <c r="G2504" i="60"/>
  <c r="A2505" i="60"/>
  <c r="C2505" i="60"/>
  <c r="D2505" i="60"/>
  <c r="E2505" i="60"/>
  <c r="F2505" i="60"/>
  <c r="G2505" i="60"/>
  <c r="A2506" i="60"/>
  <c r="C2506" i="60"/>
  <c r="D2506" i="60"/>
  <c r="E2506" i="60"/>
  <c r="F2506" i="60"/>
  <c r="G2506" i="60"/>
  <c r="A2507" i="60"/>
  <c r="C2507" i="60"/>
  <c r="D2507" i="60"/>
  <c r="E2507" i="60"/>
  <c r="F2507" i="60"/>
  <c r="G2507" i="60"/>
  <c r="A2508" i="60"/>
  <c r="C2508" i="60"/>
  <c r="D2508" i="60"/>
  <c r="E2508" i="60"/>
  <c r="F2508" i="60"/>
  <c r="G2508" i="60"/>
  <c r="A2509" i="60"/>
  <c r="C2509" i="60"/>
  <c r="D2509" i="60"/>
  <c r="E2509" i="60"/>
  <c r="F2509" i="60"/>
  <c r="G2509" i="60"/>
  <c r="A2510" i="60"/>
  <c r="C2510" i="60"/>
  <c r="D2510" i="60"/>
  <c r="E2510" i="60"/>
  <c r="F2510" i="60"/>
  <c r="G2510" i="60"/>
  <c r="A2511" i="60"/>
  <c r="C2511" i="60"/>
  <c r="D2511" i="60"/>
  <c r="E2511" i="60"/>
  <c r="F2511" i="60"/>
  <c r="G2511" i="60"/>
  <c r="A2512" i="60"/>
  <c r="C2512" i="60"/>
  <c r="D2512" i="60"/>
  <c r="E2512" i="60"/>
  <c r="F2512" i="60"/>
  <c r="G2512" i="60"/>
  <c r="A2513" i="60"/>
  <c r="C2513" i="60"/>
  <c r="D2513" i="60"/>
  <c r="E2513" i="60"/>
  <c r="F2513" i="60"/>
  <c r="G2513" i="60"/>
  <c r="A2514" i="60"/>
  <c r="C2514" i="60"/>
  <c r="D2514" i="60"/>
  <c r="E2514" i="60"/>
  <c r="F2514" i="60"/>
  <c r="G2514" i="60"/>
  <c r="A2515" i="60"/>
  <c r="C2515" i="60"/>
  <c r="D2515" i="60"/>
  <c r="E2515" i="60"/>
  <c r="F2515" i="60"/>
  <c r="G2515" i="60"/>
  <c r="A2516" i="60"/>
  <c r="C2516" i="60"/>
  <c r="D2516" i="60"/>
  <c r="E2516" i="60"/>
  <c r="F2516" i="60"/>
  <c r="G2516" i="60"/>
  <c r="A2517" i="60"/>
  <c r="C2517" i="60"/>
  <c r="D2517" i="60"/>
  <c r="E2517" i="60"/>
  <c r="F2517" i="60"/>
  <c r="G2517" i="60"/>
  <c r="A2518" i="60"/>
  <c r="C2518" i="60"/>
  <c r="D2518" i="60"/>
  <c r="E2518" i="60"/>
  <c r="F2518" i="60"/>
  <c r="G2518" i="60"/>
  <c r="A2519" i="60"/>
  <c r="C2519" i="60"/>
  <c r="D2519" i="60"/>
  <c r="E2519" i="60"/>
  <c r="F2519" i="60"/>
  <c r="G2519" i="60"/>
  <c r="A2520" i="60"/>
  <c r="C2520" i="60"/>
  <c r="D2520" i="60"/>
  <c r="E2520" i="60"/>
  <c r="F2520" i="60"/>
  <c r="G2520" i="60"/>
  <c r="A2521" i="60"/>
  <c r="C2521" i="60"/>
  <c r="D2521" i="60"/>
  <c r="E2521" i="60"/>
  <c r="F2521" i="60"/>
  <c r="G2521" i="60"/>
  <c r="A2522" i="60"/>
  <c r="C2522" i="60"/>
  <c r="D2522" i="60"/>
  <c r="E2522" i="60"/>
  <c r="F2522" i="60"/>
  <c r="G2522" i="60"/>
  <c r="A2523" i="60"/>
  <c r="C2523" i="60"/>
  <c r="D2523" i="60"/>
  <c r="E2523" i="60"/>
  <c r="F2523" i="60"/>
  <c r="G2523" i="60"/>
  <c r="A2524" i="60"/>
  <c r="C2524" i="60"/>
  <c r="D2524" i="60"/>
  <c r="E2524" i="60"/>
  <c r="F2524" i="60"/>
  <c r="G2524" i="60"/>
  <c r="A2525" i="60"/>
  <c r="C2525" i="60"/>
  <c r="D2525" i="60"/>
  <c r="E2525" i="60"/>
  <c r="F2525" i="60"/>
  <c r="G2525" i="60"/>
  <c r="A2526" i="60"/>
  <c r="C2526" i="60"/>
  <c r="D2526" i="60"/>
  <c r="E2526" i="60"/>
  <c r="F2526" i="60"/>
  <c r="G2526" i="60"/>
  <c r="A2527" i="60"/>
  <c r="C2527" i="60"/>
  <c r="D2527" i="60"/>
  <c r="E2527" i="60"/>
  <c r="F2527" i="60"/>
  <c r="G2527" i="60"/>
  <c r="A2528" i="60"/>
  <c r="C2528" i="60"/>
  <c r="D2528" i="60"/>
  <c r="E2528" i="60"/>
  <c r="F2528" i="60"/>
  <c r="G2528" i="60"/>
  <c r="A2529" i="60"/>
  <c r="C2529" i="60"/>
  <c r="D2529" i="60"/>
  <c r="E2529" i="60"/>
  <c r="F2529" i="60"/>
  <c r="G2529" i="60"/>
  <c r="A2530" i="60"/>
  <c r="C2530" i="60"/>
  <c r="D2530" i="60"/>
  <c r="E2530" i="60"/>
  <c r="F2530" i="60"/>
  <c r="G2530" i="60"/>
  <c r="A2531" i="60"/>
  <c r="C2531" i="60"/>
  <c r="D2531" i="60"/>
  <c r="E2531" i="60"/>
  <c r="F2531" i="60"/>
  <c r="G2531" i="60"/>
  <c r="A2532" i="60"/>
  <c r="C2532" i="60"/>
  <c r="D2532" i="60"/>
  <c r="E2532" i="60"/>
  <c r="F2532" i="60"/>
  <c r="G2532" i="60"/>
  <c r="A2533" i="60"/>
  <c r="C2533" i="60"/>
  <c r="D2533" i="60"/>
  <c r="E2533" i="60"/>
  <c r="F2533" i="60"/>
  <c r="G2533" i="60"/>
  <c r="A2534" i="60"/>
  <c r="C2534" i="60"/>
  <c r="D2534" i="60"/>
  <c r="E2534" i="60"/>
  <c r="F2534" i="60"/>
  <c r="G2534" i="60"/>
  <c r="A2535" i="60"/>
  <c r="C2535" i="60"/>
  <c r="D2535" i="60"/>
  <c r="E2535" i="60"/>
  <c r="F2535" i="60"/>
  <c r="G2535" i="60"/>
  <c r="A2536" i="60"/>
  <c r="C2536" i="60"/>
  <c r="D2536" i="60"/>
  <c r="E2536" i="60"/>
  <c r="F2536" i="60"/>
  <c r="G2536" i="60"/>
  <c r="A2537" i="60"/>
  <c r="C2537" i="60"/>
  <c r="D2537" i="60"/>
  <c r="E2537" i="60"/>
  <c r="F2537" i="60"/>
  <c r="G2537" i="60"/>
  <c r="A2538" i="60"/>
  <c r="C2538" i="60"/>
  <c r="D2538" i="60"/>
  <c r="E2538" i="60"/>
  <c r="F2538" i="60"/>
  <c r="G2538" i="60"/>
  <c r="A2539" i="60"/>
  <c r="C2539" i="60"/>
  <c r="D2539" i="60"/>
  <c r="E2539" i="60"/>
  <c r="F2539" i="60"/>
  <c r="G2539" i="60"/>
  <c r="A2540" i="60"/>
  <c r="C2540" i="60"/>
  <c r="D2540" i="60"/>
  <c r="E2540" i="60"/>
  <c r="F2540" i="60"/>
  <c r="G2540" i="60"/>
  <c r="A2541" i="60"/>
  <c r="C2541" i="60"/>
  <c r="D2541" i="60"/>
  <c r="E2541" i="60"/>
  <c r="F2541" i="60"/>
  <c r="G2541" i="60"/>
  <c r="A2542" i="60"/>
  <c r="C2542" i="60"/>
  <c r="D2542" i="60"/>
  <c r="E2542" i="60"/>
  <c r="F2542" i="60"/>
  <c r="G2542" i="60"/>
  <c r="A2543" i="60"/>
  <c r="C2543" i="60"/>
  <c r="D2543" i="60"/>
  <c r="E2543" i="60"/>
  <c r="F2543" i="60"/>
  <c r="G2543" i="60"/>
  <c r="A2544" i="60"/>
  <c r="C2544" i="60"/>
  <c r="D2544" i="60"/>
  <c r="E2544" i="60"/>
  <c r="F2544" i="60"/>
  <c r="G2544" i="60"/>
  <c r="A2545" i="60"/>
  <c r="C2545" i="60"/>
  <c r="D2545" i="60"/>
  <c r="E2545" i="60"/>
  <c r="F2545" i="60"/>
  <c r="G2545" i="60"/>
  <c r="A2546" i="60"/>
  <c r="C2546" i="60"/>
  <c r="D2546" i="60"/>
  <c r="E2546" i="60"/>
  <c r="F2546" i="60"/>
  <c r="G2546" i="60"/>
  <c r="A2547" i="60"/>
  <c r="C2547" i="60"/>
  <c r="D2547" i="60"/>
  <c r="E2547" i="60"/>
  <c r="F2547" i="60"/>
  <c r="G2547" i="60"/>
  <c r="A2548" i="60"/>
  <c r="C2548" i="60"/>
  <c r="D2548" i="60"/>
  <c r="E2548" i="60"/>
  <c r="F2548" i="60"/>
  <c r="G2548" i="60"/>
  <c r="A2549" i="60"/>
  <c r="C2549" i="60"/>
  <c r="D2549" i="60"/>
  <c r="E2549" i="60"/>
  <c r="F2549" i="60"/>
  <c r="G2549" i="60"/>
  <c r="A2550" i="60"/>
  <c r="C2550" i="60"/>
  <c r="D2550" i="60"/>
  <c r="E2550" i="60"/>
  <c r="F2550" i="60"/>
  <c r="G2550" i="60"/>
  <c r="A2551" i="60"/>
  <c r="C2551" i="60"/>
  <c r="D2551" i="60"/>
  <c r="E2551" i="60"/>
  <c r="F2551" i="60"/>
  <c r="G2551" i="60"/>
  <c r="A2552" i="60"/>
  <c r="C2552" i="60"/>
  <c r="D2552" i="60"/>
  <c r="E2552" i="60"/>
  <c r="F2552" i="60"/>
  <c r="G2552" i="60"/>
  <c r="A2553" i="60"/>
  <c r="C2553" i="60"/>
  <c r="D2553" i="60"/>
  <c r="E2553" i="60"/>
  <c r="F2553" i="60"/>
  <c r="G2553" i="60"/>
  <c r="A2554" i="60"/>
  <c r="C2554" i="60"/>
  <c r="D2554" i="60"/>
  <c r="E2554" i="60"/>
  <c r="F2554" i="60"/>
  <c r="G2554" i="60"/>
  <c r="A2555" i="60"/>
  <c r="C2555" i="60"/>
  <c r="D2555" i="60"/>
  <c r="E2555" i="60"/>
  <c r="F2555" i="60"/>
  <c r="G2555" i="60"/>
  <c r="A2556" i="60"/>
  <c r="C2556" i="60"/>
  <c r="D2556" i="60"/>
  <c r="E2556" i="60"/>
  <c r="F2556" i="60"/>
  <c r="G2556" i="60"/>
  <c r="A2557" i="60"/>
  <c r="C2557" i="60"/>
  <c r="D2557" i="60"/>
  <c r="E2557" i="60"/>
  <c r="F2557" i="60"/>
  <c r="G2557" i="60"/>
  <c r="A2558" i="60"/>
  <c r="C2558" i="60"/>
  <c r="D2558" i="60"/>
  <c r="E2558" i="60"/>
  <c r="F2558" i="60"/>
  <c r="G2558" i="60"/>
  <c r="A2559" i="60"/>
  <c r="C2559" i="60"/>
  <c r="D2559" i="60"/>
  <c r="E2559" i="60"/>
  <c r="F2559" i="60"/>
  <c r="G2559" i="60"/>
  <c r="A2560" i="60"/>
  <c r="C2560" i="60"/>
  <c r="D2560" i="60"/>
  <c r="E2560" i="60"/>
  <c r="F2560" i="60"/>
  <c r="G2560" i="60"/>
  <c r="A2561" i="60"/>
  <c r="C2561" i="60"/>
  <c r="D2561" i="60"/>
  <c r="E2561" i="60"/>
  <c r="F2561" i="60"/>
  <c r="G2561" i="60"/>
  <c r="A2562" i="60"/>
  <c r="C2562" i="60"/>
  <c r="D2562" i="60"/>
  <c r="E2562" i="60"/>
  <c r="F2562" i="60"/>
  <c r="G2562" i="60"/>
  <c r="A2563" i="60"/>
  <c r="C2563" i="60"/>
  <c r="D2563" i="60"/>
  <c r="E2563" i="60"/>
  <c r="F2563" i="60"/>
  <c r="G2563" i="60"/>
  <c r="A2564" i="60"/>
  <c r="C2564" i="60"/>
  <c r="D2564" i="60"/>
  <c r="E2564" i="60"/>
  <c r="F2564" i="60"/>
  <c r="G2564" i="60"/>
  <c r="A2565" i="60"/>
  <c r="C2565" i="60"/>
  <c r="D2565" i="60"/>
  <c r="E2565" i="60"/>
  <c r="F2565" i="60"/>
  <c r="G2565" i="60"/>
  <c r="A2566" i="60"/>
  <c r="C2566" i="60"/>
  <c r="D2566" i="60"/>
  <c r="E2566" i="60"/>
  <c r="F2566" i="60"/>
  <c r="G2566" i="60"/>
  <c r="A2567" i="60"/>
  <c r="C2567" i="60"/>
  <c r="D2567" i="60"/>
  <c r="E2567" i="60"/>
  <c r="F2567" i="60"/>
  <c r="G2567" i="60"/>
  <c r="A2568" i="60"/>
  <c r="C2568" i="60"/>
  <c r="D2568" i="60"/>
  <c r="E2568" i="60"/>
  <c r="F2568" i="60"/>
  <c r="G2568" i="60"/>
  <c r="A2569" i="60"/>
  <c r="C2569" i="60"/>
  <c r="D2569" i="60"/>
  <c r="E2569" i="60"/>
  <c r="F2569" i="60"/>
  <c r="G2569" i="60"/>
  <c r="A2570" i="60"/>
  <c r="C2570" i="60"/>
  <c r="D2570" i="60"/>
  <c r="E2570" i="60"/>
  <c r="F2570" i="60"/>
  <c r="G2570" i="60"/>
  <c r="A2571" i="60"/>
  <c r="C2571" i="60"/>
  <c r="D2571" i="60"/>
  <c r="E2571" i="60"/>
  <c r="F2571" i="60"/>
  <c r="G2571" i="60"/>
  <c r="A2572" i="60"/>
  <c r="C2572" i="60"/>
  <c r="D2572" i="60"/>
  <c r="E2572" i="60"/>
  <c r="F2572" i="60"/>
  <c r="G2572" i="60"/>
  <c r="A2573" i="60"/>
  <c r="C2573" i="60"/>
  <c r="D2573" i="60"/>
  <c r="E2573" i="60"/>
  <c r="F2573" i="60"/>
  <c r="G2573" i="60"/>
  <c r="A2574" i="60"/>
  <c r="C2574" i="60"/>
  <c r="D2574" i="60"/>
  <c r="E2574" i="60"/>
  <c r="F2574" i="60"/>
  <c r="G2574" i="60"/>
  <c r="A2575" i="60"/>
  <c r="C2575" i="60"/>
  <c r="D2575" i="60"/>
  <c r="E2575" i="60"/>
  <c r="F2575" i="60"/>
  <c r="G2575" i="60"/>
  <c r="A2576" i="60"/>
  <c r="C2576" i="60"/>
  <c r="D2576" i="60"/>
  <c r="E2576" i="60"/>
  <c r="F2576" i="60"/>
  <c r="G2576" i="60"/>
  <c r="A2577" i="60"/>
  <c r="C2577" i="60"/>
  <c r="D2577" i="60"/>
  <c r="E2577" i="60"/>
  <c r="F2577" i="60"/>
  <c r="G2577" i="60"/>
  <c r="A2578" i="60"/>
  <c r="C2578" i="60"/>
  <c r="D2578" i="60"/>
  <c r="E2578" i="60"/>
  <c r="F2578" i="60"/>
  <c r="G2578" i="60"/>
  <c r="A2579" i="60"/>
  <c r="C2579" i="60"/>
  <c r="D2579" i="60"/>
  <c r="E2579" i="60"/>
  <c r="F2579" i="60"/>
  <c r="G2579" i="60"/>
  <c r="A2580" i="60"/>
  <c r="C2580" i="60"/>
  <c r="D2580" i="60"/>
  <c r="E2580" i="60"/>
  <c r="F2580" i="60"/>
  <c r="G2580" i="60"/>
  <c r="A2581" i="60"/>
  <c r="C2581" i="60"/>
  <c r="D2581" i="60"/>
  <c r="E2581" i="60"/>
  <c r="F2581" i="60"/>
  <c r="G2581" i="60"/>
  <c r="A2582" i="60"/>
  <c r="C2582" i="60"/>
  <c r="D2582" i="60"/>
  <c r="E2582" i="60"/>
  <c r="F2582" i="60"/>
  <c r="G2582" i="60"/>
  <c r="A2583" i="60"/>
  <c r="C2583" i="60"/>
  <c r="D2583" i="60"/>
  <c r="E2583" i="60"/>
  <c r="F2583" i="60"/>
  <c r="G2583" i="60"/>
  <c r="A2584" i="60"/>
  <c r="C2584" i="60"/>
  <c r="D2584" i="60"/>
  <c r="E2584" i="60"/>
  <c r="F2584" i="60"/>
  <c r="G2584" i="60"/>
  <c r="A2585" i="60"/>
  <c r="C2585" i="60"/>
  <c r="D2585" i="60"/>
  <c r="E2585" i="60"/>
  <c r="F2585" i="60"/>
  <c r="G2585" i="60"/>
  <c r="A2586" i="60"/>
  <c r="C2586" i="60"/>
  <c r="D2586" i="60"/>
  <c r="E2586" i="60"/>
  <c r="F2586" i="60"/>
  <c r="G2586" i="60"/>
  <c r="A2587" i="60"/>
  <c r="C2587" i="60"/>
  <c r="D2587" i="60"/>
  <c r="E2587" i="60"/>
  <c r="F2587" i="60"/>
  <c r="G2587" i="60"/>
  <c r="A2588" i="60"/>
  <c r="C2588" i="60"/>
  <c r="D2588" i="60"/>
  <c r="E2588" i="60"/>
  <c r="F2588" i="60"/>
  <c r="G2588" i="60"/>
  <c r="A2589" i="60"/>
  <c r="C2589" i="60"/>
  <c r="D2589" i="60"/>
  <c r="E2589" i="60"/>
  <c r="F2589" i="60"/>
  <c r="G2589" i="60"/>
  <c r="A2590" i="60"/>
  <c r="C2590" i="60"/>
  <c r="D2590" i="60"/>
  <c r="E2590" i="60"/>
  <c r="F2590" i="60"/>
  <c r="G2590" i="60"/>
  <c r="A2591" i="60"/>
  <c r="C2591" i="60"/>
  <c r="D2591" i="60"/>
  <c r="E2591" i="60"/>
  <c r="F2591" i="60"/>
  <c r="G2591" i="60"/>
  <c r="A2592" i="60"/>
  <c r="C2592" i="60"/>
  <c r="D2592" i="60"/>
  <c r="E2592" i="60"/>
  <c r="F2592" i="60"/>
  <c r="G2592" i="60"/>
  <c r="A2593" i="60"/>
  <c r="C2593" i="60"/>
  <c r="D2593" i="60"/>
  <c r="E2593" i="60"/>
  <c r="F2593" i="60"/>
  <c r="G2593" i="60"/>
  <c r="A2594" i="60"/>
  <c r="C2594" i="60"/>
  <c r="D2594" i="60"/>
  <c r="E2594" i="60"/>
  <c r="F2594" i="60"/>
  <c r="G2594" i="60"/>
  <c r="A2595" i="60"/>
  <c r="C2595" i="60"/>
  <c r="D2595" i="60"/>
  <c r="E2595" i="60"/>
  <c r="F2595" i="60"/>
  <c r="G2595" i="60"/>
  <c r="A2596" i="60"/>
  <c r="C2596" i="60"/>
  <c r="D2596" i="60"/>
  <c r="E2596" i="60"/>
  <c r="F2596" i="60"/>
  <c r="G2596" i="60"/>
  <c r="A2597" i="60"/>
  <c r="C2597" i="60"/>
  <c r="D2597" i="60"/>
  <c r="E2597" i="60"/>
  <c r="F2597" i="60"/>
  <c r="G2597" i="60"/>
  <c r="A2598" i="60"/>
  <c r="C2598" i="60"/>
  <c r="D2598" i="60"/>
  <c r="E2598" i="60"/>
  <c r="F2598" i="60"/>
  <c r="G2598" i="60"/>
  <c r="A2599" i="60"/>
  <c r="C2599" i="60"/>
  <c r="D2599" i="60"/>
  <c r="E2599" i="60"/>
  <c r="F2599" i="60"/>
  <c r="G2599" i="60"/>
  <c r="A2600" i="60"/>
  <c r="C2600" i="60"/>
  <c r="D2600" i="60"/>
  <c r="E2600" i="60"/>
  <c r="F2600" i="60"/>
  <c r="G2600" i="60"/>
  <c r="A2601" i="60"/>
  <c r="C2601" i="60"/>
  <c r="D2601" i="60"/>
  <c r="E2601" i="60"/>
  <c r="F2601" i="60"/>
  <c r="G2601" i="60"/>
  <c r="A2602" i="60"/>
  <c r="C2602" i="60"/>
  <c r="D2602" i="60"/>
  <c r="E2602" i="60"/>
  <c r="F2602" i="60"/>
  <c r="G2602" i="60"/>
  <c r="A2603" i="60"/>
  <c r="C2603" i="60"/>
  <c r="D2603" i="60"/>
  <c r="E2603" i="60"/>
  <c r="F2603" i="60"/>
  <c r="G2603" i="60"/>
  <c r="A2604" i="60"/>
  <c r="C2604" i="60"/>
  <c r="D2604" i="60"/>
  <c r="E2604" i="60"/>
  <c r="F2604" i="60"/>
  <c r="G2604" i="60"/>
  <c r="A2605" i="60"/>
  <c r="C2605" i="60"/>
  <c r="D2605" i="60"/>
  <c r="E2605" i="60"/>
  <c r="F2605" i="60"/>
  <c r="G2605" i="60"/>
  <c r="A2606" i="60"/>
  <c r="C2606" i="60"/>
  <c r="D2606" i="60"/>
  <c r="E2606" i="60"/>
  <c r="F2606" i="60"/>
  <c r="G2606" i="60"/>
  <c r="A2607" i="60"/>
  <c r="C2607" i="60"/>
  <c r="D2607" i="60"/>
  <c r="E2607" i="60"/>
  <c r="F2607" i="60"/>
  <c r="G2607" i="60"/>
  <c r="A2608" i="60"/>
  <c r="C2608" i="60"/>
  <c r="D2608" i="60"/>
  <c r="E2608" i="60"/>
  <c r="F2608" i="60"/>
  <c r="G2608" i="60"/>
  <c r="A2609" i="60"/>
  <c r="C2609" i="60"/>
  <c r="D2609" i="60"/>
  <c r="E2609" i="60"/>
  <c r="F2609" i="60"/>
  <c r="G2609" i="60"/>
  <c r="A2610" i="60"/>
  <c r="C2610" i="60"/>
  <c r="D2610" i="60"/>
  <c r="E2610" i="60"/>
  <c r="F2610" i="60"/>
  <c r="G2610" i="60"/>
  <c r="A2611" i="60"/>
  <c r="C2611" i="60"/>
  <c r="D2611" i="60"/>
  <c r="E2611" i="60"/>
  <c r="F2611" i="60"/>
  <c r="G2611" i="60"/>
  <c r="A2612" i="60"/>
  <c r="C2612" i="60"/>
  <c r="D2612" i="60"/>
  <c r="E2612" i="60"/>
  <c r="F2612" i="60"/>
  <c r="G2612" i="60"/>
  <c r="A2613" i="60"/>
  <c r="C2613" i="60"/>
  <c r="D2613" i="60"/>
  <c r="E2613" i="60"/>
  <c r="F2613" i="60"/>
  <c r="G2613" i="60"/>
  <c r="A2614" i="60"/>
  <c r="C2614" i="60"/>
  <c r="D2614" i="60"/>
  <c r="E2614" i="60"/>
  <c r="F2614" i="60"/>
  <c r="G2614" i="60"/>
  <c r="A2615" i="60"/>
  <c r="C2615" i="60"/>
  <c r="D2615" i="60"/>
  <c r="E2615" i="60"/>
  <c r="F2615" i="60"/>
  <c r="G2615" i="60"/>
  <c r="A2616" i="60"/>
  <c r="C2616" i="60"/>
  <c r="D2616" i="60"/>
  <c r="E2616" i="60"/>
  <c r="F2616" i="60"/>
  <c r="G2616" i="60"/>
  <c r="A2617" i="60"/>
  <c r="C2617" i="60"/>
  <c r="D2617" i="60"/>
  <c r="E2617" i="60"/>
  <c r="F2617" i="60"/>
  <c r="G2617" i="60"/>
  <c r="A2618" i="60"/>
  <c r="C2618" i="60"/>
  <c r="D2618" i="60"/>
  <c r="E2618" i="60"/>
  <c r="F2618" i="60"/>
  <c r="G2618" i="60"/>
  <c r="A2619" i="60"/>
  <c r="C2619" i="60"/>
  <c r="D2619" i="60"/>
  <c r="E2619" i="60"/>
  <c r="F2619" i="60"/>
  <c r="G2619" i="60"/>
  <c r="A2620" i="60"/>
  <c r="C2620" i="60"/>
  <c r="D2620" i="60"/>
  <c r="E2620" i="60"/>
  <c r="F2620" i="60"/>
  <c r="G2620" i="60"/>
  <c r="A2621" i="60"/>
  <c r="C2621" i="60"/>
  <c r="D2621" i="60"/>
  <c r="E2621" i="60"/>
  <c r="F2621" i="60"/>
  <c r="G2621" i="60"/>
  <c r="A2622" i="60"/>
  <c r="C2622" i="60"/>
  <c r="D2622" i="60"/>
  <c r="E2622" i="60"/>
  <c r="F2622" i="60"/>
  <c r="G2622" i="60"/>
  <c r="A2623" i="60"/>
  <c r="C2623" i="60"/>
  <c r="D2623" i="60"/>
  <c r="E2623" i="60"/>
  <c r="F2623" i="60"/>
  <c r="G2623" i="60"/>
  <c r="A2624" i="60"/>
  <c r="C2624" i="60"/>
  <c r="D2624" i="60"/>
  <c r="E2624" i="60"/>
  <c r="F2624" i="60"/>
  <c r="G2624" i="60"/>
  <c r="A2625" i="60"/>
  <c r="C2625" i="60"/>
  <c r="D2625" i="60"/>
  <c r="E2625" i="60"/>
  <c r="F2625" i="60"/>
  <c r="G2625" i="60"/>
  <c r="A2626" i="60"/>
  <c r="C2626" i="60"/>
  <c r="D2626" i="60"/>
  <c r="E2626" i="60"/>
  <c r="F2626" i="60"/>
  <c r="G2626" i="60"/>
  <c r="A2627" i="60"/>
  <c r="C2627" i="60"/>
  <c r="D2627" i="60"/>
  <c r="E2627" i="60"/>
  <c r="F2627" i="60"/>
  <c r="G2627" i="60"/>
  <c r="A2628" i="60"/>
  <c r="C2628" i="60"/>
  <c r="D2628" i="60"/>
  <c r="E2628" i="60"/>
  <c r="F2628" i="60"/>
  <c r="G2628" i="60"/>
  <c r="A2629" i="60"/>
  <c r="C2629" i="60"/>
  <c r="D2629" i="60"/>
  <c r="E2629" i="60"/>
  <c r="F2629" i="60"/>
  <c r="G2629" i="60"/>
  <c r="A2630" i="60"/>
  <c r="C2630" i="60"/>
  <c r="D2630" i="60"/>
  <c r="E2630" i="60"/>
  <c r="F2630" i="60"/>
  <c r="G2630" i="60"/>
  <c r="A2631" i="60"/>
  <c r="C2631" i="60"/>
  <c r="D2631" i="60"/>
  <c r="E2631" i="60"/>
  <c r="F2631" i="60"/>
  <c r="G2631" i="60"/>
  <c r="A2632" i="60"/>
  <c r="C2632" i="60"/>
  <c r="D2632" i="60"/>
  <c r="E2632" i="60"/>
  <c r="F2632" i="60"/>
  <c r="G2632" i="60"/>
  <c r="A2633" i="60"/>
  <c r="C2633" i="60"/>
  <c r="D2633" i="60"/>
  <c r="E2633" i="60"/>
  <c r="F2633" i="60"/>
  <c r="G2633" i="60"/>
  <c r="A2634" i="60"/>
  <c r="C2634" i="60"/>
  <c r="D2634" i="60"/>
  <c r="E2634" i="60"/>
  <c r="F2634" i="60"/>
  <c r="G2634" i="60"/>
  <c r="A2635" i="60"/>
  <c r="C2635" i="60"/>
  <c r="D2635" i="60"/>
  <c r="E2635" i="60"/>
  <c r="F2635" i="60"/>
  <c r="G2635" i="60"/>
  <c r="A2636" i="60"/>
  <c r="C2636" i="60"/>
  <c r="D2636" i="60"/>
  <c r="E2636" i="60"/>
  <c r="F2636" i="60"/>
  <c r="G2636" i="60"/>
  <c r="A2637" i="60"/>
  <c r="C2637" i="60"/>
  <c r="D2637" i="60"/>
  <c r="E2637" i="60"/>
  <c r="F2637" i="60"/>
  <c r="G2637" i="60"/>
  <c r="A2638" i="60"/>
  <c r="C2638" i="60"/>
  <c r="D2638" i="60"/>
  <c r="E2638" i="60"/>
  <c r="F2638" i="60"/>
  <c r="G2638" i="60"/>
  <c r="A2639" i="60"/>
  <c r="C2639" i="60"/>
  <c r="D2639" i="60"/>
  <c r="E2639" i="60"/>
  <c r="F2639" i="60"/>
  <c r="G2639" i="60"/>
  <c r="A2640" i="60"/>
  <c r="C2640" i="60"/>
  <c r="D2640" i="60"/>
  <c r="E2640" i="60"/>
  <c r="F2640" i="60"/>
  <c r="G2640" i="60"/>
  <c r="A2641" i="60"/>
  <c r="C2641" i="60"/>
  <c r="D2641" i="60"/>
  <c r="E2641" i="60"/>
  <c r="F2641" i="60"/>
  <c r="G2641" i="60"/>
  <c r="A2642" i="60"/>
  <c r="C2642" i="60"/>
  <c r="D2642" i="60"/>
  <c r="E2642" i="60"/>
  <c r="F2642" i="60"/>
  <c r="G2642" i="60"/>
  <c r="A2643" i="60"/>
  <c r="C2643" i="60"/>
  <c r="D2643" i="60"/>
  <c r="E2643" i="60"/>
  <c r="F2643" i="60"/>
  <c r="G2643" i="60"/>
  <c r="A2644" i="60"/>
  <c r="C2644" i="60"/>
  <c r="D2644" i="60"/>
  <c r="E2644" i="60"/>
  <c r="F2644" i="60"/>
  <c r="G2644" i="60"/>
  <c r="A2645" i="60"/>
  <c r="C2645" i="60"/>
  <c r="D2645" i="60"/>
  <c r="E2645" i="60"/>
  <c r="F2645" i="60"/>
  <c r="G2645" i="60"/>
  <c r="A2646" i="60"/>
  <c r="C2646" i="60"/>
  <c r="D2646" i="60"/>
  <c r="E2646" i="60"/>
  <c r="F2646" i="60"/>
  <c r="G2646" i="60"/>
  <c r="A2647" i="60"/>
  <c r="C2647" i="60"/>
  <c r="D2647" i="60"/>
  <c r="E2647" i="60"/>
  <c r="F2647" i="60"/>
  <c r="G2647" i="60"/>
  <c r="A2648" i="60"/>
  <c r="C2648" i="60"/>
  <c r="D2648" i="60"/>
  <c r="E2648" i="60"/>
  <c r="F2648" i="60"/>
  <c r="G2648" i="60"/>
  <c r="A2649" i="60"/>
  <c r="C2649" i="60"/>
  <c r="D2649" i="60"/>
  <c r="E2649" i="60"/>
  <c r="F2649" i="60"/>
  <c r="G2649" i="60"/>
  <c r="A2650" i="60"/>
  <c r="C2650" i="60"/>
  <c r="D2650" i="60"/>
  <c r="E2650" i="60"/>
  <c r="F2650" i="60"/>
  <c r="G2650" i="60"/>
  <c r="A2651" i="60"/>
  <c r="C2651" i="60"/>
  <c r="D2651" i="60"/>
  <c r="E2651" i="60"/>
  <c r="F2651" i="60"/>
  <c r="G2651" i="60"/>
  <c r="A2652" i="60"/>
  <c r="C2652" i="60"/>
  <c r="D2652" i="60"/>
  <c r="E2652" i="60"/>
  <c r="F2652" i="60"/>
  <c r="G2652" i="60"/>
  <c r="A2653" i="60"/>
  <c r="C2653" i="60"/>
  <c r="D2653" i="60"/>
  <c r="E2653" i="60"/>
  <c r="F2653" i="60"/>
  <c r="G2653" i="60"/>
  <c r="A2654" i="60"/>
  <c r="C2654" i="60"/>
  <c r="D2654" i="60"/>
  <c r="E2654" i="60"/>
  <c r="F2654" i="60"/>
  <c r="G2654" i="60"/>
  <c r="A2655" i="60"/>
  <c r="C2655" i="60"/>
  <c r="D2655" i="60"/>
  <c r="E2655" i="60"/>
  <c r="F2655" i="60"/>
  <c r="G2655" i="60"/>
  <c r="A2656" i="60"/>
  <c r="C2656" i="60"/>
  <c r="D2656" i="60"/>
  <c r="E2656" i="60"/>
  <c r="F2656" i="60"/>
  <c r="G2656" i="60"/>
  <c r="A2657" i="60"/>
  <c r="C2657" i="60"/>
  <c r="D2657" i="60"/>
  <c r="E2657" i="60"/>
  <c r="F2657" i="60"/>
  <c r="G2657" i="60"/>
  <c r="A2658" i="60"/>
  <c r="C2658" i="60"/>
  <c r="D2658" i="60"/>
  <c r="E2658" i="60"/>
  <c r="F2658" i="60"/>
  <c r="G2658" i="60"/>
  <c r="A2659" i="60"/>
  <c r="C2659" i="60"/>
  <c r="D2659" i="60"/>
  <c r="E2659" i="60"/>
  <c r="F2659" i="60"/>
  <c r="G2659" i="60"/>
  <c r="A2660" i="60"/>
  <c r="C2660" i="60"/>
  <c r="D2660" i="60"/>
  <c r="E2660" i="60"/>
  <c r="F2660" i="60"/>
  <c r="G2660" i="60"/>
  <c r="A2661" i="60"/>
  <c r="C2661" i="60"/>
  <c r="D2661" i="60"/>
  <c r="E2661" i="60"/>
  <c r="F2661" i="60"/>
  <c r="G2661" i="60"/>
  <c r="A2662" i="60"/>
  <c r="C2662" i="60"/>
  <c r="D2662" i="60"/>
  <c r="E2662" i="60"/>
  <c r="F2662" i="60"/>
  <c r="G2662" i="60"/>
  <c r="A2663" i="60"/>
  <c r="C2663" i="60"/>
  <c r="D2663" i="60"/>
  <c r="E2663" i="60"/>
  <c r="F2663" i="60"/>
  <c r="G2663" i="60"/>
  <c r="A2664" i="60"/>
  <c r="C2664" i="60"/>
  <c r="D2664" i="60"/>
  <c r="E2664" i="60"/>
  <c r="F2664" i="60"/>
  <c r="G2664" i="60"/>
  <c r="A2665" i="60"/>
  <c r="C2665" i="60"/>
  <c r="D2665" i="60"/>
  <c r="E2665" i="60"/>
  <c r="F2665" i="60"/>
  <c r="G2665" i="60"/>
  <c r="A2666" i="60"/>
  <c r="C2666" i="60"/>
  <c r="D2666" i="60"/>
  <c r="E2666" i="60"/>
  <c r="F2666" i="60"/>
  <c r="G2666" i="60"/>
  <c r="A2667" i="60"/>
  <c r="C2667" i="60"/>
  <c r="D2667" i="60"/>
  <c r="E2667" i="60"/>
  <c r="F2667" i="60"/>
  <c r="G2667" i="60"/>
  <c r="A2668" i="60"/>
  <c r="C2668" i="60"/>
  <c r="D2668" i="60"/>
  <c r="E2668" i="60"/>
  <c r="F2668" i="60"/>
  <c r="G2668" i="60"/>
  <c r="A2669" i="60"/>
  <c r="C2669" i="60"/>
  <c r="D2669" i="60"/>
  <c r="E2669" i="60"/>
  <c r="F2669" i="60"/>
  <c r="G2669" i="60"/>
  <c r="A2670" i="60"/>
  <c r="C2670" i="60"/>
  <c r="D2670" i="60"/>
  <c r="E2670" i="60"/>
  <c r="F2670" i="60"/>
  <c r="G2670" i="60"/>
  <c r="A2671" i="60"/>
  <c r="C2671" i="60"/>
  <c r="D2671" i="60"/>
  <c r="E2671" i="60"/>
  <c r="F2671" i="60"/>
  <c r="G2671" i="60"/>
  <c r="A2672" i="60"/>
  <c r="C2672" i="60"/>
  <c r="D2672" i="60"/>
  <c r="E2672" i="60"/>
  <c r="F2672" i="60"/>
  <c r="G2672" i="60"/>
  <c r="A2673" i="60"/>
  <c r="C2673" i="60"/>
  <c r="D2673" i="60"/>
  <c r="E2673" i="60"/>
  <c r="F2673" i="60"/>
  <c r="G2673" i="60"/>
  <c r="A2674" i="60"/>
  <c r="C2674" i="60"/>
  <c r="D2674" i="60"/>
  <c r="E2674" i="60"/>
  <c r="F2674" i="60"/>
  <c r="G2674" i="60"/>
  <c r="A2675" i="60"/>
  <c r="C2675" i="60"/>
  <c r="D2675" i="60"/>
  <c r="E2675" i="60"/>
  <c r="F2675" i="60"/>
  <c r="G2675" i="60"/>
  <c r="A2676" i="60"/>
  <c r="C2676" i="60"/>
  <c r="D2676" i="60"/>
  <c r="E2676" i="60"/>
  <c r="F2676" i="60"/>
  <c r="G2676" i="60"/>
  <c r="A2677" i="60"/>
  <c r="C2677" i="60"/>
  <c r="D2677" i="60"/>
  <c r="E2677" i="60"/>
  <c r="F2677" i="60"/>
  <c r="G2677" i="60"/>
  <c r="A2678" i="60"/>
  <c r="C2678" i="60"/>
  <c r="D2678" i="60"/>
  <c r="E2678" i="60"/>
  <c r="F2678" i="60"/>
  <c r="G2678" i="60"/>
  <c r="A2679" i="60"/>
  <c r="C2679" i="60"/>
  <c r="D2679" i="60"/>
  <c r="E2679" i="60"/>
  <c r="F2679" i="60"/>
  <c r="G2679" i="60"/>
  <c r="A2680" i="60"/>
  <c r="C2680" i="60"/>
  <c r="D2680" i="60"/>
  <c r="E2680" i="60"/>
  <c r="F2680" i="60"/>
  <c r="G2680" i="60"/>
  <c r="A2681" i="60"/>
  <c r="C2681" i="60"/>
  <c r="D2681" i="60"/>
  <c r="E2681" i="60"/>
  <c r="F2681" i="60"/>
  <c r="G2681" i="60"/>
  <c r="A2682" i="60"/>
  <c r="C2682" i="60"/>
  <c r="D2682" i="60"/>
  <c r="E2682" i="60"/>
  <c r="F2682" i="60"/>
  <c r="G2682" i="60"/>
  <c r="A2683" i="60"/>
  <c r="C2683" i="60"/>
  <c r="D2683" i="60"/>
  <c r="E2683" i="60"/>
  <c r="F2683" i="60"/>
  <c r="G2683" i="60"/>
  <c r="A2684" i="60"/>
  <c r="C2684" i="60"/>
  <c r="D2684" i="60"/>
  <c r="E2684" i="60"/>
  <c r="F2684" i="60"/>
  <c r="G2684" i="60"/>
  <c r="A2685" i="60"/>
  <c r="C2685" i="60"/>
  <c r="D2685" i="60"/>
  <c r="E2685" i="60"/>
  <c r="F2685" i="60"/>
  <c r="G2685" i="60"/>
  <c r="A2686" i="60"/>
  <c r="C2686" i="60"/>
  <c r="D2686" i="60"/>
  <c r="E2686" i="60"/>
  <c r="F2686" i="60"/>
  <c r="G2686" i="60"/>
  <c r="A2687" i="60"/>
  <c r="C2687" i="60"/>
  <c r="D2687" i="60"/>
  <c r="E2687" i="60"/>
  <c r="F2687" i="60"/>
  <c r="G2687" i="60"/>
  <c r="A2688" i="60"/>
  <c r="C2688" i="60"/>
  <c r="D2688" i="60"/>
  <c r="E2688" i="60"/>
  <c r="F2688" i="60"/>
  <c r="G2688" i="60"/>
  <c r="A2689" i="60"/>
  <c r="C2689" i="60"/>
  <c r="D2689" i="60"/>
  <c r="E2689" i="60"/>
  <c r="F2689" i="60"/>
  <c r="G2689" i="60"/>
  <c r="A2690" i="60"/>
  <c r="C2690" i="60"/>
  <c r="D2690" i="60"/>
  <c r="E2690" i="60"/>
  <c r="F2690" i="60"/>
  <c r="G2690" i="60"/>
  <c r="A2691" i="60"/>
  <c r="C2691" i="60"/>
  <c r="D2691" i="60"/>
  <c r="E2691" i="60"/>
  <c r="F2691" i="60"/>
  <c r="G2691" i="60"/>
  <c r="A2692" i="60"/>
  <c r="C2692" i="60"/>
  <c r="D2692" i="60"/>
  <c r="E2692" i="60"/>
  <c r="F2692" i="60"/>
  <c r="G2692" i="60"/>
  <c r="A2693" i="60"/>
  <c r="C2693" i="60"/>
  <c r="D2693" i="60"/>
  <c r="E2693" i="60"/>
  <c r="F2693" i="60"/>
  <c r="G2693" i="60"/>
  <c r="A2694" i="60"/>
  <c r="C2694" i="60"/>
  <c r="D2694" i="60"/>
  <c r="E2694" i="60"/>
  <c r="F2694" i="60"/>
  <c r="G2694" i="60"/>
  <c r="A2695" i="60"/>
  <c r="C2695" i="60"/>
  <c r="D2695" i="60"/>
  <c r="E2695" i="60"/>
  <c r="F2695" i="60"/>
  <c r="G2695" i="60"/>
  <c r="A2696" i="60"/>
  <c r="C2696" i="60"/>
  <c r="D2696" i="60"/>
  <c r="E2696" i="60"/>
  <c r="F2696" i="60"/>
  <c r="G2696" i="60"/>
  <c r="A2697" i="60"/>
  <c r="C2697" i="60"/>
  <c r="D2697" i="60"/>
  <c r="E2697" i="60"/>
  <c r="F2697" i="60"/>
  <c r="G2697" i="60"/>
  <c r="A2698" i="60"/>
  <c r="C2698" i="60"/>
  <c r="D2698" i="60"/>
  <c r="E2698" i="60"/>
  <c r="F2698" i="60"/>
  <c r="G2698" i="60"/>
  <c r="A2699" i="60"/>
  <c r="C2699" i="60"/>
  <c r="D2699" i="60"/>
  <c r="E2699" i="60"/>
  <c r="F2699" i="60"/>
  <c r="G2699" i="60"/>
  <c r="A2700" i="60"/>
  <c r="C2700" i="60"/>
  <c r="D2700" i="60"/>
  <c r="E2700" i="60"/>
  <c r="F2700" i="60"/>
  <c r="G2700" i="60"/>
  <c r="A2701" i="60"/>
  <c r="C2701" i="60"/>
  <c r="D2701" i="60"/>
  <c r="E2701" i="60"/>
  <c r="F2701" i="60"/>
  <c r="G2701" i="60"/>
  <c r="A2702" i="60"/>
  <c r="C2702" i="60"/>
  <c r="D2702" i="60"/>
  <c r="E2702" i="60"/>
  <c r="F2702" i="60"/>
  <c r="G2702" i="60"/>
  <c r="A2703" i="60"/>
  <c r="C2703" i="60"/>
  <c r="D2703" i="60"/>
  <c r="E2703" i="60"/>
  <c r="F2703" i="60"/>
  <c r="G2703" i="60"/>
  <c r="A2704" i="60"/>
  <c r="C2704" i="60"/>
  <c r="D2704" i="60"/>
  <c r="E2704" i="60"/>
  <c r="F2704" i="60"/>
  <c r="G2704" i="60"/>
  <c r="A2705" i="60"/>
  <c r="C2705" i="60"/>
  <c r="D2705" i="60"/>
  <c r="E2705" i="60"/>
  <c r="F2705" i="60"/>
  <c r="G2705" i="60"/>
  <c r="A2706" i="60"/>
  <c r="C2706" i="60"/>
  <c r="D2706" i="60"/>
  <c r="E2706" i="60"/>
  <c r="F2706" i="60"/>
  <c r="G2706" i="60"/>
  <c r="A2707" i="60"/>
  <c r="C2707" i="60"/>
  <c r="D2707" i="60"/>
  <c r="E2707" i="60"/>
  <c r="F2707" i="60"/>
  <c r="G2707" i="60"/>
  <c r="A2708" i="60"/>
  <c r="C2708" i="60"/>
  <c r="D2708" i="60"/>
  <c r="E2708" i="60"/>
  <c r="F2708" i="60"/>
  <c r="G2708" i="60"/>
  <c r="A2709" i="60"/>
  <c r="C2709" i="60"/>
  <c r="D2709" i="60"/>
  <c r="E2709" i="60"/>
  <c r="F2709" i="60"/>
  <c r="G2709" i="60"/>
  <c r="A2710" i="60"/>
  <c r="C2710" i="60"/>
  <c r="D2710" i="60"/>
  <c r="E2710" i="60"/>
  <c r="F2710" i="60"/>
  <c r="G2710" i="60"/>
  <c r="A2711" i="60"/>
  <c r="C2711" i="60"/>
  <c r="D2711" i="60"/>
  <c r="E2711" i="60"/>
  <c r="F2711" i="60"/>
  <c r="G2711" i="60"/>
  <c r="A2712" i="60"/>
  <c r="C2712" i="60"/>
  <c r="D2712" i="60"/>
  <c r="E2712" i="60"/>
  <c r="F2712" i="60"/>
  <c r="G2712" i="60"/>
  <c r="A2713" i="60"/>
  <c r="C2713" i="60"/>
  <c r="D2713" i="60"/>
  <c r="E2713" i="60"/>
  <c r="F2713" i="60"/>
  <c r="G2713" i="60"/>
  <c r="A2714" i="60"/>
  <c r="C2714" i="60"/>
  <c r="D2714" i="60"/>
  <c r="E2714" i="60"/>
  <c r="F2714" i="60"/>
  <c r="G2714" i="60"/>
  <c r="A2715" i="60"/>
  <c r="C2715" i="60"/>
  <c r="D2715" i="60"/>
  <c r="E2715" i="60"/>
  <c r="F2715" i="60"/>
  <c r="G2715" i="60"/>
  <c r="A2716" i="60"/>
  <c r="C2716" i="60"/>
  <c r="D2716" i="60"/>
  <c r="E2716" i="60"/>
  <c r="F2716" i="60"/>
  <c r="G2716" i="60"/>
  <c r="A2717" i="60"/>
  <c r="C2717" i="60"/>
  <c r="D2717" i="60"/>
  <c r="E2717" i="60"/>
  <c r="F2717" i="60"/>
  <c r="G2717" i="60"/>
  <c r="A2718" i="60"/>
  <c r="C2718" i="60"/>
  <c r="D2718" i="60"/>
  <c r="E2718" i="60"/>
  <c r="F2718" i="60"/>
  <c r="G2718" i="60"/>
  <c r="A2719" i="60"/>
  <c r="C2719" i="60"/>
  <c r="D2719" i="60"/>
  <c r="E2719" i="60"/>
  <c r="F2719" i="60"/>
  <c r="G2719" i="60"/>
  <c r="A2720" i="60"/>
  <c r="C2720" i="60"/>
  <c r="D2720" i="60"/>
  <c r="E2720" i="60"/>
  <c r="F2720" i="60"/>
  <c r="G2720" i="60"/>
  <c r="A2721" i="60"/>
  <c r="C2721" i="60"/>
  <c r="D2721" i="60"/>
  <c r="E2721" i="60"/>
  <c r="F2721" i="60"/>
  <c r="G2721" i="60"/>
  <c r="A2722" i="60"/>
  <c r="C2722" i="60"/>
  <c r="D2722" i="60"/>
  <c r="E2722" i="60"/>
  <c r="F2722" i="60"/>
  <c r="G2722" i="60"/>
  <c r="A2723" i="60"/>
  <c r="C2723" i="60"/>
  <c r="D2723" i="60"/>
  <c r="E2723" i="60"/>
  <c r="F2723" i="60"/>
  <c r="G2723" i="60"/>
  <c r="A2724" i="60"/>
  <c r="C2724" i="60"/>
  <c r="D2724" i="60"/>
  <c r="E2724" i="60"/>
  <c r="F2724" i="60"/>
  <c r="G2724" i="60"/>
  <c r="A2725" i="60"/>
  <c r="C2725" i="60"/>
  <c r="D2725" i="60"/>
  <c r="E2725" i="60"/>
  <c r="F2725" i="60"/>
  <c r="G2725" i="60"/>
  <c r="A2726" i="60"/>
  <c r="C2726" i="60"/>
  <c r="D2726" i="60"/>
  <c r="E2726" i="60"/>
  <c r="F2726" i="60"/>
  <c r="G2726" i="60"/>
  <c r="A2727" i="60"/>
  <c r="C2727" i="60"/>
  <c r="D2727" i="60"/>
  <c r="E2727" i="60"/>
  <c r="F2727" i="60"/>
  <c r="G2727" i="60"/>
  <c r="A2728" i="60"/>
  <c r="C2728" i="60"/>
  <c r="D2728" i="60"/>
  <c r="E2728" i="60"/>
  <c r="F2728" i="60"/>
  <c r="G2728" i="60"/>
  <c r="A2729" i="60"/>
  <c r="C2729" i="60"/>
  <c r="D2729" i="60"/>
  <c r="E2729" i="60"/>
  <c r="F2729" i="60"/>
  <c r="G2729" i="60"/>
  <c r="A2730" i="60"/>
  <c r="C2730" i="60"/>
  <c r="D2730" i="60"/>
  <c r="E2730" i="60"/>
  <c r="F2730" i="60"/>
  <c r="G2730" i="60"/>
  <c r="A2731" i="60"/>
  <c r="C2731" i="60"/>
  <c r="D2731" i="60"/>
  <c r="E2731" i="60"/>
  <c r="F2731" i="60"/>
  <c r="G2731" i="60"/>
  <c r="A2732" i="60"/>
  <c r="C2732" i="60"/>
  <c r="D2732" i="60"/>
  <c r="E2732" i="60"/>
  <c r="F2732" i="60"/>
  <c r="G2732" i="60"/>
  <c r="A2733" i="60"/>
  <c r="C2733" i="60"/>
  <c r="D2733" i="60"/>
  <c r="E2733" i="60"/>
  <c r="F2733" i="60"/>
  <c r="G2733" i="60"/>
  <c r="A2734" i="60"/>
  <c r="C2734" i="60"/>
  <c r="D2734" i="60"/>
  <c r="E2734" i="60"/>
  <c r="F2734" i="60"/>
  <c r="G2734" i="60"/>
  <c r="A2735" i="60"/>
  <c r="C2735" i="60"/>
  <c r="D2735" i="60"/>
  <c r="E2735" i="60"/>
  <c r="F2735" i="60"/>
  <c r="G2735" i="60"/>
  <c r="A2736" i="60"/>
  <c r="C2736" i="60"/>
  <c r="D2736" i="60"/>
  <c r="E2736" i="60"/>
  <c r="F2736" i="60"/>
  <c r="G2736" i="60"/>
  <c r="A2737" i="60"/>
  <c r="C2737" i="60"/>
  <c r="D2737" i="60"/>
  <c r="E2737" i="60"/>
  <c r="F2737" i="60"/>
  <c r="G2737" i="60"/>
  <c r="A2738" i="60"/>
  <c r="C2738" i="60"/>
  <c r="D2738" i="60"/>
  <c r="E2738" i="60"/>
  <c r="F2738" i="60"/>
  <c r="G2738" i="60"/>
  <c r="A2739" i="60"/>
  <c r="C2739" i="60"/>
  <c r="D2739" i="60"/>
  <c r="E2739" i="60"/>
  <c r="F2739" i="60"/>
  <c r="G2739" i="60"/>
  <c r="A2740" i="60"/>
  <c r="C2740" i="60"/>
  <c r="D2740" i="60"/>
  <c r="E2740" i="60"/>
  <c r="F2740" i="60"/>
  <c r="G2740" i="60"/>
  <c r="A2741" i="60"/>
  <c r="C2741" i="60"/>
  <c r="D2741" i="60"/>
  <c r="E2741" i="60"/>
  <c r="F2741" i="60"/>
  <c r="G2741" i="60"/>
  <c r="A2742" i="60"/>
  <c r="C2742" i="60"/>
  <c r="D2742" i="60"/>
  <c r="E2742" i="60"/>
  <c r="F2742" i="60"/>
  <c r="G2742" i="60"/>
  <c r="A2743" i="60"/>
  <c r="C2743" i="60"/>
  <c r="D2743" i="60"/>
  <c r="E2743" i="60"/>
  <c r="F2743" i="60"/>
  <c r="G2743" i="60"/>
  <c r="A2744" i="60"/>
  <c r="C2744" i="60"/>
  <c r="D2744" i="60"/>
  <c r="E2744" i="60"/>
  <c r="F2744" i="60"/>
  <c r="G2744" i="60"/>
  <c r="A2745" i="60"/>
  <c r="C2745" i="60"/>
  <c r="D2745" i="60"/>
  <c r="E2745" i="60"/>
  <c r="F2745" i="60"/>
  <c r="G2745" i="60"/>
  <c r="A2746" i="60"/>
  <c r="C2746" i="60"/>
  <c r="D2746" i="60"/>
  <c r="E2746" i="60"/>
  <c r="F2746" i="60"/>
  <c r="G2746" i="60"/>
  <c r="A2747" i="60"/>
  <c r="C2747" i="60"/>
  <c r="D2747" i="60"/>
  <c r="E2747" i="60"/>
  <c r="F2747" i="60"/>
  <c r="G2747" i="60"/>
  <c r="A2748" i="60"/>
  <c r="C2748" i="60"/>
  <c r="D2748" i="60"/>
  <c r="E2748" i="60"/>
  <c r="F2748" i="60"/>
  <c r="G2748" i="60"/>
  <c r="A2749" i="60"/>
  <c r="C2749" i="60"/>
  <c r="D2749" i="60"/>
  <c r="E2749" i="60"/>
  <c r="F2749" i="60"/>
  <c r="G2749" i="60"/>
  <c r="A2750" i="60"/>
  <c r="C2750" i="60"/>
  <c r="D2750" i="60"/>
  <c r="E2750" i="60"/>
  <c r="F2750" i="60"/>
  <c r="G2750" i="60"/>
  <c r="A2751" i="60"/>
  <c r="C2751" i="60"/>
  <c r="D2751" i="60"/>
  <c r="E2751" i="60"/>
  <c r="F2751" i="60"/>
  <c r="G2751" i="60"/>
  <c r="A2752" i="60"/>
  <c r="C2752" i="60"/>
  <c r="D2752" i="60"/>
  <c r="E2752" i="60"/>
  <c r="F2752" i="60"/>
  <c r="G2752" i="60"/>
  <c r="A2753" i="60"/>
  <c r="C2753" i="60"/>
  <c r="D2753" i="60"/>
  <c r="E2753" i="60"/>
  <c r="F2753" i="60"/>
  <c r="G2753" i="60"/>
  <c r="A2754" i="60"/>
  <c r="C2754" i="60"/>
  <c r="D2754" i="60"/>
  <c r="E2754" i="60"/>
  <c r="F2754" i="60"/>
  <c r="G2754" i="60"/>
  <c r="A2755" i="60"/>
  <c r="C2755" i="60"/>
  <c r="D2755" i="60"/>
  <c r="E2755" i="60"/>
  <c r="F2755" i="60"/>
  <c r="G2755" i="60"/>
  <c r="A2756" i="60"/>
  <c r="C2756" i="60"/>
  <c r="D2756" i="60"/>
  <c r="E2756" i="60"/>
  <c r="F2756" i="60"/>
  <c r="G2756" i="60"/>
  <c r="A2757" i="60"/>
  <c r="C2757" i="60"/>
  <c r="D2757" i="60"/>
  <c r="E2757" i="60"/>
  <c r="F2757" i="60"/>
  <c r="G2757" i="60"/>
  <c r="A2758" i="60"/>
  <c r="C2758" i="60"/>
  <c r="D2758" i="60"/>
  <c r="E2758" i="60"/>
  <c r="F2758" i="60"/>
  <c r="G2758" i="60"/>
  <c r="A2759" i="60"/>
  <c r="C2759" i="60"/>
  <c r="D2759" i="60"/>
  <c r="E2759" i="60"/>
  <c r="F2759" i="60"/>
  <c r="G2759" i="60"/>
  <c r="A2760" i="60"/>
  <c r="C2760" i="60"/>
  <c r="D2760" i="60"/>
  <c r="E2760" i="60"/>
  <c r="F2760" i="60"/>
  <c r="G2760" i="60"/>
  <c r="A2761" i="60"/>
  <c r="C2761" i="60"/>
  <c r="D2761" i="60"/>
  <c r="E2761" i="60"/>
  <c r="F2761" i="60"/>
  <c r="G2761" i="60"/>
  <c r="A2762" i="60"/>
  <c r="C2762" i="60"/>
  <c r="D2762" i="60"/>
  <c r="E2762" i="60"/>
  <c r="F2762" i="60"/>
  <c r="G2762" i="60"/>
  <c r="A2763" i="60"/>
  <c r="C2763" i="60"/>
  <c r="D2763" i="60"/>
  <c r="E2763" i="60"/>
  <c r="F2763" i="60"/>
  <c r="G2763" i="60"/>
  <c r="A2764" i="60"/>
  <c r="C2764" i="60"/>
  <c r="D2764" i="60"/>
  <c r="E2764" i="60"/>
  <c r="F2764" i="60"/>
  <c r="G2764" i="60"/>
  <c r="A2765" i="60"/>
  <c r="C2765" i="60"/>
  <c r="D2765" i="60"/>
  <c r="E2765" i="60"/>
  <c r="F2765" i="60"/>
  <c r="G2765" i="60"/>
  <c r="A2766" i="60"/>
  <c r="C2766" i="60"/>
  <c r="D2766" i="60"/>
  <c r="E2766" i="60"/>
  <c r="F2766" i="60"/>
  <c r="G2766" i="60"/>
  <c r="A2767" i="60"/>
  <c r="C2767" i="60"/>
  <c r="D2767" i="60"/>
  <c r="E2767" i="60"/>
  <c r="F2767" i="60"/>
  <c r="G2767" i="60"/>
  <c r="A2768" i="60"/>
  <c r="C2768" i="60"/>
  <c r="D2768" i="60"/>
  <c r="E2768" i="60"/>
  <c r="F2768" i="60"/>
  <c r="G2768" i="60"/>
  <c r="A2769" i="60"/>
  <c r="C2769" i="60"/>
  <c r="D2769" i="60"/>
  <c r="E2769" i="60"/>
  <c r="F2769" i="60"/>
  <c r="G2769" i="60"/>
  <c r="A2770" i="60"/>
  <c r="C2770" i="60"/>
  <c r="D2770" i="60"/>
  <c r="E2770" i="60"/>
  <c r="F2770" i="60"/>
  <c r="G2770" i="60"/>
  <c r="A2771" i="60"/>
  <c r="C2771" i="60"/>
  <c r="D2771" i="60"/>
  <c r="E2771" i="60"/>
  <c r="F2771" i="60"/>
  <c r="G2771" i="60"/>
  <c r="A2772" i="60"/>
  <c r="C2772" i="60"/>
  <c r="D2772" i="60"/>
  <c r="E2772" i="60"/>
  <c r="F2772" i="60"/>
  <c r="G2772" i="60"/>
  <c r="A2773" i="60"/>
  <c r="C2773" i="60"/>
  <c r="D2773" i="60"/>
  <c r="E2773" i="60"/>
  <c r="F2773" i="60"/>
  <c r="G2773" i="60"/>
  <c r="A2774" i="60"/>
  <c r="C2774" i="60"/>
  <c r="D2774" i="60"/>
  <c r="E2774" i="60"/>
  <c r="F2774" i="60"/>
  <c r="G2774" i="60"/>
  <c r="A2775" i="60"/>
  <c r="C2775" i="60"/>
  <c r="D2775" i="60"/>
  <c r="E2775" i="60"/>
  <c r="F2775" i="60"/>
  <c r="G2775" i="60"/>
  <c r="A2776" i="60"/>
  <c r="C2776" i="60"/>
  <c r="D2776" i="60"/>
  <c r="E2776" i="60"/>
  <c r="F2776" i="60"/>
  <c r="G2776" i="60"/>
  <c r="A2777" i="60"/>
  <c r="C2777" i="60"/>
  <c r="D2777" i="60"/>
  <c r="E2777" i="60"/>
  <c r="F2777" i="60"/>
  <c r="G2777" i="60"/>
  <c r="A2778" i="60"/>
  <c r="C2778" i="60"/>
  <c r="D2778" i="60"/>
  <c r="E2778" i="60"/>
  <c r="F2778" i="60"/>
  <c r="G2778" i="60"/>
  <c r="A2779" i="60"/>
  <c r="C2779" i="60"/>
  <c r="D2779" i="60"/>
  <c r="E2779" i="60"/>
  <c r="F2779" i="60"/>
  <c r="G2779" i="60"/>
  <c r="A2780" i="60"/>
  <c r="C2780" i="60"/>
  <c r="D2780" i="60"/>
  <c r="E2780" i="60"/>
  <c r="F2780" i="60"/>
  <c r="G2780" i="60"/>
  <c r="A2781" i="60"/>
  <c r="C2781" i="60"/>
  <c r="D2781" i="60"/>
  <c r="E2781" i="60"/>
  <c r="F2781" i="60"/>
  <c r="G2781" i="60"/>
  <c r="A2782" i="60"/>
  <c r="C2782" i="60"/>
  <c r="D2782" i="60"/>
  <c r="E2782" i="60"/>
  <c r="F2782" i="60"/>
  <c r="G2782" i="60"/>
  <c r="A2783" i="60"/>
  <c r="C2783" i="60"/>
  <c r="D2783" i="60"/>
  <c r="E2783" i="60"/>
  <c r="F2783" i="60"/>
  <c r="G2783" i="60"/>
  <c r="A2784" i="60"/>
  <c r="C2784" i="60"/>
  <c r="D2784" i="60"/>
  <c r="E2784" i="60"/>
  <c r="F2784" i="60"/>
  <c r="G2784" i="60"/>
  <c r="A2785" i="60"/>
  <c r="C2785" i="60"/>
  <c r="D2785" i="60"/>
  <c r="E2785" i="60"/>
  <c r="F2785" i="60"/>
  <c r="G2785" i="60"/>
  <c r="A2786" i="60"/>
  <c r="C2786" i="60"/>
  <c r="D2786" i="60"/>
  <c r="E2786" i="60"/>
  <c r="F2786" i="60"/>
  <c r="G2786" i="60"/>
  <c r="A2787" i="60"/>
  <c r="C2787" i="60"/>
  <c r="D2787" i="60"/>
  <c r="E2787" i="60"/>
  <c r="F2787" i="60"/>
  <c r="G2787" i="60"/>
  <c r="A2788" i="60"/>
  <c r="C2788" i="60"/>
  <c r="D2788" i="60"/>
  <c r="E2788" i="60"/>
  <c r="F2788" i="60"/>
  <c r="G2788" i="60"/>
  <c r="A2789" i="60"/>
  <c r="C2789" i="60"/>
  <c r="D2789" i="60"/>
  <c r="E2789" i="60"/>
  <c r="F2789" i="60"/>
  <c r="G2789" i="60"/>
  <c r="A2790" i="60"/>
  <c r="C2790" i="60"/>
  <c r="D2790" i="60"/>
  <c r="E2790" i="60"/>
  <c r="F2790" i="60"/>
  <c r="G2790" i="60"/>
  <c r="A2791" i="60"/>
  <c r="C2791" i="60"/>
  <c r="D2791" i="60"/>
  <c r="E2791" i="60"/>
  <c r="F2791" i="60"/>
  <c r="G2791" i="60"/>
  <c r="A2792" i="60"/>
  <c r="C2792" i="60"/>
  <c r="D2792" i="60"/>
  <c r="E2792" i="60"/>
  <c r="F2792" i="60"/>
  <c r="G2792" i="60"/>
  <c r="A2793" i="60"/>
  <c r="C2793" i="60"/>
  <c r="D2793" i="60"/>
  <c r="E2793" i="60"/>
  <c r="F2793" i="60"/>
  <c r="G2793" i="60"/>
  <c r="A2794" i="60"/>
  <c r="C2794" i="60"/>
  <c r="D2794" i="60"/>
  <c r="E2794" i="60"/>
  <c r="F2794" i="60"/>
  <c r="G2794" i="60"/>
  <c r="A2795" i="60"/>
  <c r="C2795" i="60"/>
  <c r="D2795" i="60"/>
  <c r="E2795" i="60"/>
  <c r="F2795" i="60"/>
  <c r="G2795" i="60"/>
  <c r="A2796" i="60"/>
  <c r="C2796" i="60"/>
  <c r="D2796" i="60"/>
  <c r="E2796" i="60"/>
  <c r="F2796" i="60"/>
  <c r="G2796" i="60"/>
  <c r="A2797" i="60"/>
  <c r="C2797" i="60"/>
  <c r="D2797" i="60"/>
  <c r="E2797" i="60"/>
  <c r="F2797" i="60"/>
  <c r="G2797" i="60"/>
  <c r="A2798" i="60"/>
  <c r="C2798" i="60"/>
  <c r="D2798" i="60"/>
  <c r="E2798" i="60"/>
  <c r="F2798" i="60"/>
  <c r="G2798" i="60"/>
  <c r="A2799" i="60"/>
  <c r="C2799" i="60"/>
  <c r="D2799" i="60"/>
  <c r="E2799" i="60"/>
  <c r="F2799" i="60"/>
  <c r="G2799" i="60"/>
  <c r="A2800" i="60"/>
  <c r="C2800" i="60"/>
  <c r="D2800" i="60"/>
  <c r="E2800" i="60"/>
  <c r="F2800" i="60"/>
  <c r="G2800" i="60"/>
  <c r="A2801" i="60"/>
  <c r="C2801" i="60"/>
  <c r="D2801" i="60"/>
  <c r="E2801" i="60"/>
  <c r="F2801" i="60"/>
  <c r="G2801" i="60"/>
  <c r="A2802" i="60"/>
  <c r="C2802" i="60"/>
  <c r="D2802" i="60"/>
  <c r="E2802" i="60"/>
  <c r="F2802" i="60"/>
  <c r="G2802" i="60"/>
  <c r="A2803" i="60"/>
  <c r="C2803" i="60"/>
  <c r="D2803" i="60"/>
  <c r="E2803" i="60"/>
  <c r="F2803" i="60"/>
  <c r="G2803" i="60"/>
  <c r="A2804" i="60"/>
  <c r="C2804" i="60"/>
  <c r="D2804" i="60"/>
  <c r="E2804" i="60"/>
  <c r="F2804" i="60"/>
  <c r="G2804" i="60"/>
  <c r="A2805" i="60"/>
  <c r="C2805" i="60"/>
  <c r="D2805" i="60"/>
  <c r="E2805" i="60"/>
  <c r="F2805" i="60"/>
  <c r="G2805" i="60"/>
  <c r="A2806" i="60"/>
  <c r="C2806" i="60"/>
  <c r="D2806" i="60"/>
  <c r="E2806" i="60"/>
  <c r="F2806" i="60"/>
  <c r="G2806" i="60"/>
  <c r="A2807" i="60"/>
  <c r="C2807" i="60"/>
  <c r="D2807" i="60"/>
  <c r="E2807" i="60"/>
  <c r="F2807" i="60"/>
  <c r="G2807" i="60"/>
  <c r="A2808" i="60"/>
  <c r="C2808" i="60"/>
  <c r="D2808" i="60"/>
  <c r="E2808" i="60"/>
  <c r="F2808" i="60"/>
  <c r="G2808" i="60"/>
  <c r="A2809" i="60"/>
  <c r="C2809" i="60"/>
  <c r="D2809" i="60"/>
  <c r="E2809" i="60"/>
  <c r="F2809" i="60"/>
  <c r="G2809" i="60"/>
  <c r="A2810" i="60"/>
  <c r="C2810" i="60"/>
  <c r="D2810" i="60"/>
  <c r="E2810" i="60"/>
  <c r="F2810" i="60"/>
  <c r="G2810" i="60"/>
  <c r="A2811" i="60"/>
  <c r="C2811" i="60"/>
  <c r="D2811" i="60"/>
  <c r="E2811" i="60"/>
  <c r="F2811" i="60"/>
  <c r="G2811" i="60"/>
  <c r="A2812" i="60"/>
  <c r="C2812" i="60"/>
  <c r="D2812" i="60"/>
  <c r="E2812" i="60"/>
  <c r="F2812" i="60"/>
  <c r="G2812" i="60"/>
  <c r="A2813" i="60"/>
  <c r="C2813" i="60"/>
  <c r="D2813" i="60"/>
  <c r="E2813" i="60"/>
  <c r="F2813" i="60"/>
  <c r="G2813" i="60"/>
  <c r="A2814" i="60"/>
  <c r="C2814" i="60"/>
  <c r="D2814" i="60"/>
  <c r="E2814" i="60"/>
  <c r="F2814" i="60"/>
  <c r="G2814" i="60"/>
  <c r="A2815" i="60"/>
  <c r="C2815" i="60"/>
  <c r="D2815" i="60"/>
  <c r="E2815" i="60"/>
  <c r="F2815" i="60"/>
  <c r="G2815" i="60"/>
  <c r="A2816" i="60"/>
  <c r="C2816" i="60"/>
  <c r="D2816" i="60"/>
  <c r="E2816" i="60"/>
  <c r="F2816" i="60"/>
  <c r="G2816" i="60"/>
  <c r="A2817" i="60"/>
  <c r="C2817" i="60"/>
  <c r="D2817" i="60"/>
  <c r="E2817" i="60"/>
  <c r="F2817" i="60"/>
  <c r="G2817" i="60"/>
  <c r="A2818" i="60"/>
  <c r="C2818" i="60"/>
  <c r="D2818" i="60"/>
  <c r="E2818" i="60"/>
  <c r="F2818" i="60"/>
  <c r="G2818" i="60"/>
  <c r="A2819" i="60"/>
  <c r="C2819" i="60"/>
  <c r="D2819" i="60"/>
  <c r="E2819" i="60"/>
  <c r="F2819" i="60"/>
  <c r="G2819" i="60"/>
  <c r="A2820" i="60"/>
  <c r="C2820" i="60"/>
  <c r="D2820" i="60"/>
  <c r="E2820" i="60"/>
  <c r="F2820" i="60"/>
  <c r="G2820" i="60"/>
  <c r="A2821" i="60"/>
  <c r="C2821" i="60"/>
  <c r="D2821" i="60"/>
  <c r="E2821" i="60"/>
  <c r="F2821" i="60"/>
  <c r="G2821" i="60"/>
  <c r="A2822" i="60"/>
  <c r="C2822" i="60"/>
  <c r="D2822" i="60"/>
  <c r="E2822" i="60"/>
  <c r="F2822" i="60"/>
  <c r="G2822" i="60"/>
  <c r="A2823" i="60"/>
  <c r="C2823" i="60"/>
  <c r="D2823" i="60"/>
  <c r="E2823" i="60"/>
  <c r="F2823" i="60"/>
  <c r="G2823" i="60"/>
  <c r="A2824" i="60"/>
  <c r="C2824" i="60"/>
  <c r="D2824" i="60"/>
  <c r="E2824" i="60"/>
  <c r="F2824" i="60"/>
  <c r="G2824" i="60"/>
  <c r="A2825" i="60"/>
  <c r="C2825" i="60"/>
  <c r="D2825" i="60"/>
  <c r="E2825" i="60"/>
  <c r="F2825" i="60"/>
  <c r="G2825" i="60"/>
  <c r="A2826" i="60"/>
  <c r="C2826" i="60"/>
  <c r="D2826" i="60"/>
  <c r="E2826" i="60"/>
  <c r="F2826" i="60"/>
  <c r="G2826" i="60"/>
  <c r="A2827" i="60"/>
  <c r="C2827" i="60"/>
  <c r="D2827" i="60"/>
  <c r="E2827" i="60"/>
  <c r="F2827" i="60"/>
  <c r="G2827" i="60"/>
  <c r="A2828" i="60"/>
  <c r="C2828" i="60"/>
  <c r="D2828" i="60"/>
  <c r="E2828" i="60"/>
  <c r="F2828" i="60"/>
  <c r="G2828" i="60"/>
  <c r="A2829" i="60"/>
  <c r="C2829" i="60"/>
  <c r="D2829" i="60"/>
  <c r="E2829" i="60"/>
  <c r="F2829" i="60"/>
  <c r="G2829" i="60"/>
  <c r="A2830" i="60"/>
  <c r="C2830" i="60"/>
  <c r="D2830" i="60"/>
  <c r="E2830" i="60"/>
  <c r="F2830" i="60"/>
  <c r="G2830" i="60"/>
  <c r="A2831" i="60"/>
  <c r="C2831" i="60"/>
  <c r="D2831" i="60"/>
  <c r="E2831" i="60"/>
  <c r="F2831" i="60"/>
  <c r="G2831" i="60"/>
  <c r="A2832" i="60"/>
  <c r="C2832" i="60"/>
  <c r="D2832" i="60"/>
  <c r="E2832" i="60"/>
  <c r="F2832" i="60"/>
  <c r="G2832" i="60"/>
  <c r="A2833" i="60"/>
  <c r="C2833" i="60"/>
  <c r="D2833" i="60"/>
  <c r="E2833" i="60"/>
  <c r="F2833" i="60"/>
  <c r="G2833" i="60"/>
  <c r="A2834" i="60"/>
  <c r="C2834" i="60"/>
  <c r="D2834" i="60"/>
  <c r="E2834" i="60"/>
  <c r="F2834" i="60"/>
  <c r="G2834" i="60"/>
  <c r="A2835" i="60"/>
  <c r="C2835" i="60"/>
  <c r="D2835" i="60"/>
  <c r="E2835" i="60"/>
  <c r="F2835" i="60"/>
  <c r="G2835" i="60"/>
  <c r="A2836" i="60"/>
  <c r="C2836" i="60"/>
  <c r="D2836" i="60"/>
  <c r="E2836" i="60"/>
  <c r="F2836" i="60"/>
  <c r="G2836" i="60"/>
  <c r="A2837" i="60"/>
  <c r="C2837" i="60"/>
  <c r="D2837" i="60"/>
  <c r="E2837" i="60"/>
  <c r="F2837" i="60"/>
  <c r="G2837" i="60"/>
  <c r="A2838" i="60"/>
  <c r="C2838" i="60"/>
  <c r="D2838" i="60"/>
  <c r="E2838" i="60"/>
  <c r="F2838" i="60"/>
  <c r="G2838" i="60"/>
  <c r="A2839" i="60"/>
  <c r="C2839" i="60"/>
  <c r="D2839" i="60"/>
  <c r="E2839" i="60"/>
  <c r="F2839" i="60"/>
  <c r="G2839" i="60"/>
  <c r="A2840" i="60"/>
  <c r="C2840" i="60"/>
  <c r="D2840" i="60"/>
  <c r="E2840" i="60"/>
  <c r="F2840" i="60"/>
  <c r="G2840" i="60"/>
  <c r="A2841" i="60"/>
  <c r="C2841" i="60"/>
  <c r="D2841" i="60"/>
  <c r="E2841" i="60"/>
  <c r="F2841" i="60"/>
  <c r="G2841" i="60"/>
  <c r="A2842" i="60"/>
  <c r="C2842" i="60"/>
  <c r="D2842" i="60"/>
  <c r="E2842" i="60"/>
  <c r="F2842" i="60"/>
  <c r="G2842" i="60"/>
  <c r="A2843" i="60"/>
  <c r="C2843" i="60"/>
  <c r="D2843" i="60"/>
  <c r="E2843" i="60"/>
  <c r="F2843" i="60"/>
  <c r="G2843" i="60"/>
  <c r="A2844" i="60"/>
  <c r="C2844" i="60"/>
  <c r="D2844" i="60"/>
  <c r="E2844" i="60"/>
  <c r="F2844" i="60"/>
  <c r="G2844" i="60"/>
  <c r="A2845" i="60"/>
  <c r="C2845" i="60"/>
  <c r="D2845" i="60"/>
  <c r="E2845" i="60"/>
  <c r="F2845" i="60"/>
  <c r="G2845" i="60"/>
  <c r="A2846" i="60"/>
  <c r="C2846" i="60"/>
  <c r="D2846" i="60"/>
  <c r="E2846" i="60"/>
  <c r="F2846" i="60"/>
  <c r="G2846" i="60"/>
  <c r="A2847" i="60"/>
  <c r="C2847" i="60"/>
  <c r="D2847" i="60"/>
  <c r="E2847" i="60"/>
  <c r="F2847" i="60"/>
  <c r="G2847" i="60"/>
  <c r="A2848" i="60"/>
  <c r="C2848" i="60"/>
  <c r="D2848" i="60"/>
  <c r="E2848" i="60"/>
  <c r="F2848" i="60"/>
  <c r="G2848" i="60"/>
  <c r="A2849" i="60"/>
  <c r="C2849" i="60"/>
  <c r="D2849" i="60"/>
  <c r="E2849" i="60"/>
  <c r="F2849" i="60"/>
  <c r="G2849" i="60"/>
  <c r="A2850" i="60"/>
  <c r="C2850" i="60"/>
  <c r="D2850" i="60"/>
  <c r="E2850" i="60"/>
  <c r="F2850" i="60"/>
  <c r="G2850" i="60"/>
  <c r="A2851" i="60"/>
  <c r="C2851" i="60"/>
  <c r="D2851" i="60"/>
  <c r="E2851" i="60"/>
  <c r="F2851" i="60"/>
  <c r="G2851" i="60"/>
  <c r="A2852" i="60"/>
  <c r="C2852" i="60"/>
  <c r="D2852" i="60"/>
  <c r="E2852" i="60"/>
  <c r="F2852" i="60"/>
  <c r="G2852" i="60"/>
  <c r="A2853" i="60"/>
  <c r="C2853" i="60"/>
  <c r="D2853" i="60"/>
  <c r="E2853" i="60"/>
  <c r="F2853" i="60"/>
  <c r="G2853" i="60"/>
  <c r="A2854" i="60"/>
  <c r="C2854" i="60"/>
  <c r="D2854" i="60"/>
  <c r="E2854" i="60"/>
  <c r="F2854" i="60"/>
  <c r="G2854" i="60"/>
  <c r="A2855" i="60"/>
  <c r="C2855" i="60"/>
  <c r="D2855" i="60"/>
  <c r="E2855" i="60"/>
  <c r="F2855" i="60"/>
  <c r="G2855" i="60"/>
  <c r="A2856" i="60"/>
  <c r="C2856" i="60"/>
  <c r="D2856" i="60"/>
  <c r="E2856" i="60"/>
  <c r="F2856" i="60"/>
  <c r="G2856" i="60"/>
  <c r="A2857" i="60"/>
  <c r="C2857" i="60"/>
  <c r="D2857" i="60"/>
  <c r="E2857" i="60"/>
  <c r="F2857" i="60"/>
  <c r="G2857" i="60"/>
  <c r="A2858" i="60"/>
  <c r="C2858" i="60"/>
  <c r="D2858" i="60"/>
  <c r="E2858" i="60"/>
  <c r="F2858" i="60"/>
  <c r="G2858" i="60"/>
  <c r="A2859" i="60"/>
  <c r="C2859" i="60"/>
  <c r="D2859" i="60"/>
  <c r="E2859" i="60"/>
  <c r="F2859" i="60"/>
  <c r="G2859" i="60"/>
  <c r="A2860" i="60"/>
  <c r="C2860" i="60"/>
  <c r="D2860" i="60"/>
  <c r="E2860" i="60"/>
  <c r="F2860" i="60"/>
  <c r="G2860" i="60"/>
  <c r="A2861" i="60"/>
  <c r="C2861" i="60"/>
  <c r="D2861" i="60"/>
  <c r="E2861" i="60"/>
  <c r="F2861" i="60"/>
  <c r="G2861" i="60"/>
  <c r="A2862" i="60"/>
  <c r="C2862" i="60"/>
  <c r="D2862" i="60"/>
  <c r="E2862" i="60"/>
  <c r="F2862" i="60"/>
  <c r="G2862" i="60"/>
  <c r="A2863" i="60"/>
  <c r="C2863" i="60"/>
  <c r="D2863" i="60"/>
  <c r="E2863" i="60"/>
  <c r="F2863" i="60"/>
  <c r="G2863" i="60"/>
  <c r="A2864" i="60"/>
  <c r="C2864" i="60"/>
  <c r="D2864" i="60"/>
  <c r="E2864" i="60"/>
  <c r="F2864" i="60"/>
  <c r="G2864" i="60"/>
  <c r="A2865" i="60"/>
  <c r="C2865" i="60"/>
  <c r="D2865" i="60"/>
  <c r="E2865" i="60"/>
  <c r="F2865" i="60"/>
  <c r="G2865" i="60"/>
  <c r="A2866" i="60"/>
  <c r="C2866" i="60"/>
  <c r="D2866" i="60"/>
  <c r="E2866" i="60"/>
  <c r="F2866" i="60"/>
  <c r="G2866" i="60"/>
  <c r="A2867" i="60"/>
  <c r="C2867" i="60"/>
  <c r="D2867" i="60"/>
  <c r="E2867" i="60"/>
  <c r="F2867" i="60"/>
  <c r="G2867" i="60"/>
  <c r="A2868" i="60"/>
  <c r="C2868" i="60"/>
  <c r="D2868" i="60"/>
  <c r="E2868" i="60"/>
  <c r="F2868" i="60"/>
  <c r="G2868" i="60"/>
  <c r="A2869" i="60"/>
  <c r="C2869" i="60"/>
  <c r="D2869" i="60"/>
  <c r="E2869" i="60"/>
  <c r="F2869" i="60"/>
  <c r="G2869" i="60"/>
  <c r="A2870" i="60"/>
  <c r="C2870" i="60"/>
  <c r="D2870" i="60"/>
  <c r="E2870" i="60"/>
  <c r="F2870" i="60"/>
  <c r="G2870" i="60"/>
  <c r="A2871" i="60"/>
  <c r="C2871" i="60"/>
  <c r="D2871" i="60"/>
  <c r="E2871" i="60"/>
  <c r="F2871" i="60"/>
  <c r="G2871" i="60"/>
  <c r="A2872" i="60"/>
  <c r="C2872" i="60"/>
  <c r="D2872" i="60"/>
  <c r="E2872" i="60"/>
  <c r="F2872" i="60"/>
  <c r="G2872" i="60"/>
  <c r="A2873" i="60"/>
  <c r="C2873" i="60"/>
  <c r="D2873" i="60"/>
  <c r="E2873" i="60"/>
  <c r="F2873" i="60"/>
  <c r="G2873" i="60"/>
  <c r="A2874" i="60"/>
  <c r="C2874" i="60"/>
  <c r="D2874" i="60"/>
  <c r="E2874" i="60"/>
  <c r="F2874" i="60"/>
  <c r="G2874" i="60"/>
  <c r="A2875" i="60"/>
  <c r="C2875" i="60"/>
  <c r="D2875" i="60"/>
  <c r="E2875" i="60"/>
  <c r="F2875" i="60"/>
  <c r="G2875" i="60"/>
  <c r="A2876" i="60"/>
  <c r="C2876" i="60"/>
  <c r="D2876" i="60"/>
  <c r="E2876" i="60"/>
  <c r="F2876" i="60"/>
  <c r="G2876" i="60"/>
  <c r="A2877" i="60"/>
  <c r="C2877" i="60"/>
  <c r="D2877" i="60"/>
  <c r="E2877" i="60"/>
  <c r="F2877" i="60"/>
  <c r="G2877" i="60"/>
  <c r="A2878" i="60"/>
  <c r="C2878" i="60"/>
  <c r="D2878" i="60"/>
  <c r="E2878" i="60"/>
  <c r="F2878" i="60"/>
  <c r="G2878" i="60"/>
  <c r="A2879" i="60"/>
  <c r="C2879" i="60"/>
  <c r="D2879" i="60"/>
  <c r="E2879" i="60"/>
  <c r="F2879" i="60"/>
  <c r="G2879" i="60"/>
  <c r="A2880" i="60"/>
  <c r="C2880" i="60"/>
  <c r="D2880" i="60"/>
  <c r="E2880" i="60"/>
  <c r="F2880" i="60"/>
  <c r="G2880" i="60"/>
  <c r="A2881" i="60"/>
  <c r="C2881" i="60"/>
  <c r="D2881" i="60"/>
  <c r="E2881" i="60"/>
  <c r="F2881" i="60"/>
  <c r="G2881" i="60"/>
  <c r="A2882" i="60"/>
  <c r="C2882" i="60"/>
  <c r="D2882" i="60"/>
  <c r="E2882" i="60"/>
  <c r="F2882" i="60"/>
  <c r="G2882" i="60"/>
  <c r="A2883" i="60"/>
  <c r="C2883" i="60"/>
  <c r="D2883" i="60"/>
  <c r="E2883" i="60"/>
  <c r="F2883" i="60"/>
  <c r="G2883" i="60"/>
  <c r="A2884" i="60"/>
  <c r="C2884" i="60"/>
  <c r="D2884" i="60"/>
  <c r="E2884" i="60"/>
  <c r="F2884" i="60"/>
  <c r="G2884" i="60"/>
  <c r="A2885" i="60"/>
  <c r="C2885" i="60"/>
  <c r="D2885" i="60"/>
  <c r="E2885" i="60"/>
  <c r="F2885" i="60"/>
  <c r="G2885" i="60"/>
  <c r="A2886" i="60"/>
  <c r="C2886" i="60"/>
  <c r="D2886" i="60"/>
  <c r="E2886" i="60"/>
  <c r="F2886" i="60"/>
  <c r="G2886" i="60"/>
  <c r="A2887" i="60"/>
  <c r="C2887" i="60"/>
  <c r="D2887" i="60"/>
  <c r="E2887" i="60"/>
  <c r="F2887" i="60"/>
  <c r="G2887" i="60"/>
  <c r="A2888" i="60"/>
  <c r="C2888" i="60"/>
  <c r="D2888" i="60"/>
  <c r="E2888" i="60"/>
  <c r="F2888" i="60"/>
  <c r="G2888" i="60"/>
  <c r="A2889" i="60"/>
  <c r="C2889" i="60"/>
  <c r="D2889" i="60"/>
  <c r="E2889" i="60"/>
  <c r="F2889" i="60"/>
  <c r="G2889" i="60"/>
  <c r="A2890" i="60"/>
  <c r="C2890" i="60"/>
  <c r="D2890" i="60"/>
  <c r="E2890" i="60"/>
  <c r="F2890" i="60"/>
  <c r="G2890" i="60"/>
  <c r="A2891" i="60"/>
  <c r="C2891" i="60"/>
  <c r="D2891" i="60"/>
  <c r="E2891" i="60"/>
  <c r="F2891" i="60"/>
  <c r="G2891" i="60"/>
  <c r="A2892" i="60"/>
  <c r="C2892" i="60"/>
  <c r="D2892" i="60"/>
  <c r="E2892" i="60"/>
  <c r="F2892" i="60"/>
  <c r="G2892" i="60"/>
  <c r="A2893" i="60"/>
  <c r="C2893" i="60"/>
  <c r="D2893" i="60"/>
  <c r="E2893" i="60"/>
  <c r="F2893" i="60"/>
  <c r="G2893" i="60"/>
  <c r="A2894" i="60"/>
  <c r="C2894" i="60"/>
  <c r="D2894" i="60"/>
  <c r="E2894" i="60"/>
  <c r="F2894" i="60"/>
  <c r="G2894" i="60"/>
  <c r="A2895" i="60"/>
  <c r="C2895" i="60"/>
  <c r="D2895" i="60"/>
  <c r="E2895" i="60"/>
  <c r="F2895" i="60"/>
  <c r="G2895" i="60"/>
  <c r="A2896" i="60"/>
  <c r="C2896" i="60"/>
  <c r="D2896" i="60"/>
  <c r="E2896" i="60"/>
  <c r="F2896" i="60"/>
  <c r="G2896" i="60"/>
  <c r="A2897" i="60"/>
  <c r="C2897" i="60"/>
  <c r="D2897" i="60"/>
  <c r="E2897" i="60"/>
  <c r="F2897" i="60"/>
  <c r="G2897" i="60"/>
  <c r="A2898" i="60"/>
  <c r="C2898" i="60"/>
  <c r="D2898" i="60"/>
  <c r="E2898" i="60"/>
  <c r="F2898" i="60"/>
  <c r="G2898" i="60"/>
  <c r="A2899" i="60"/>
  <c r="C2899" i="60"/>
  <c r="D2899" i="60"/>
  <c r="E2899" i="60"/>
  <c r="F2899" i="60"/>
  <c r="G2899" i="60"/>
  <c r="A2900" i="60"/>
  <c r="C2900" i="60"/>
  <c r="D2900" i="60"/>
  <c r="E2900" i="60"/>
  <c r="F2900" i="60"/>
  <c r="G2900" i="60"/>
  <c r="A2901" i="60"/>
  <c r="C2901" i="60"/>
  <c r="D2901" i="60"/>
  <c r="E2901" i="60"/>
  <c r="F2901" i="60"/>
  <c r="G2901" i="60"/>
  <c r="A2902" i="60"/>
  <c r="C2902" i="60"/>
  <c r="D2902" i="60"/>
  <c r="E2902" i="60"/>
  <c r="F2902" i="60"/>
  <c r="G2902" i="60"/>
  <c r="A2903" i="60"/>
  <c r="C2903" i="60"/>
  <c r="D2903" i="60"/>
  <c r="E2903" i="60"/>
  <c r="F2903" i="60"/>
  <c r="G2903" i="60"/>
  <c r="A2904" i="60"/>
  <c r="C2904" i="60"/>
  <c r="D2904" i="60"/>
  <c r="E2904" i="60"/>
  <c r="F2904" i="60"/>
  <c r="G2904" i="60"/>
  <c r="A2905" i="60"/>
  <c r="C2905" i="60"/>
  <c r="D2905" i="60"/>
  <c r="E2905" i="60"/>
  <c r="F2905" i="60"/>
  <c r="G2905" i="60"/>
  <c r="A2906" i="60"/>
  <c r="C2906" i="60"/>
  <c r="D2906" i="60"/>
  <c r="E2906" i="60"/>
  <c r="F2906" i="60"/>
  <c r="G2906" i="60"/>
  <c r="A2907" i="60"/>
  <c r="C2907" i="60"/>
  <c r="D2907" i="60"/>
  <c r="E2907" i="60"/>
  <c r="F2907" i="60"/>
  <c r="G2907" i="60"/>
  <c r="A2908" i="60"/>
  <c r="C2908" i="60"/>
  <c r="D2908" i="60"/>
  <c r="E2908" i="60"/>
  <c r="F2908" i="60"/>
  <c r="G2908" i="60"/>
  <c r="A2909" i="60"/>
  <c r="C2909" i="60"/>
  <c r="D2909" i="60"/>
  <c r="E2909" i="60"/>
  <c r="F2909" i="60"/>
  <c r="G2909" i="60"/>
  <c r="A2910" i="60"/>
  <c r="C2910" i="60"/>
  <c r="D2910" i="60"/>
  <c r="E2910" i="60"/>
  <c r="F2910" i="60"/>
  <c r="G2910" i="60"/>
  <c r="A2911" i="60"/>
  <c r="C2911" i="60"/>
  <c r="D2911" i="60"/>
  <c r="E2911" i="60"/>
  <c r="F2911" i="60"/>
  <c r="G2911" i="60"/>
  <c r="A2912" i="60"/>
  <c r="C2912" i="60"/>
  <c r="D2912" i="60"/>
  <c r="E2912" i="60"/>
  <c r="F2912" i="60"/>
  <c r="G2912" i="60"/>
  <c r="A2913" i="60"/>
  <c r="C2913" i="60"/>
  <c r="D2913" i="60"/>
  <c r="E2913" i="60"/>
  <c r="F2913" i="60"/>
  <c r="G2913" i="60"/>
  <c r="A2914" i="60"/>
  <c r="C2914" i="60"/>
  <c r="D2914" i="60"/>
  <c r="E2914" i="60"/>
  <c r="F2914" i="60"/>
  <c r="G2914" i="60"/>
  <c r="A2915" i="60"/>
  <c r="C2915" i="60"/>
  <c r="D2915" i="60"/>
  <c r="E2915" i="60"/>
  <c r="F2915" i="60"/>
  <c r="G2915" i="60"/>
  <c r="A2916" i="60"/>
  <c r="C2916" i="60"/>
  <c r="D2916" i="60"/>
  <c r="E2916" i="60"/>
  <c r="F2916" i="60"/>
  <c r="G2916" i="60"/>
  <c r="A2917" i="60"/>
  <c r="C2917" i="60"/>
  <c r="D2917" i="60"/>
  <c r="E2917" i="60"/>
  <c r="F2917" i="60"/>
  <c r="G2917" i="60"/>
  <c r="A2918" i="60"/>
  <c r="C2918" i="60"/>
  <c r="D2918" i="60"/>
  <c r="E2918" i="60"/>
  <c r="F2918" i="60"/>
  <c r="G2918" i="60"/>
  <c r="A2919" i="60"/>
  <c r="C2919" i="60"/>
  <c r="D2919" i="60"/>
  <c r="E2919" i="60"/>
  <c r="F2919" i="60"/>
  <c r="G2919" i="60"/>
  <c r="A2920" i="60"/>
  <c r="C2920" i="60"/>
  <c r="D2920" i="60"/>
  <c r="E2920" i="60"/>
  <c r="F2920" i="60"/>
  <c r="G2920" i="60"/>
  <c r="A2921" i="60"/>
  <c r="C2921" i="60"/>
  <c r="D2921" i="60"/>
  <c r="E2921" i="60"/>
  <c r="F2921" i="60"/>
  <c r="G2921" i="60"/>
  <c r="A2922" i="60"/>
  <c r="C2922" i="60"/>
  <c r="D2922" i="60"/>
  <c r="E2922" i="60"/>
  <c r="F2922" i="60"/>
  <c r="G2922" i="60"/>
  <c r="A2923" i="60"/>
  <c r="C2923" i="60"/>
  <c r="D2923" i="60"/>
  <c r="E2923" i="60"/>
  <c r="F2923" i="60"/>
  <c r="G2923" i="60"/>
  <c r="A2924" i="60"/>
  <c r="C2924" i="60"/>
  <c r="D2924" i="60"/>
  <c r="E2924" i="60"/>
  <c r="F2924" i="60"/>
  <c r="G2924" i="60"/>
  <c r="A2925" i="60"/>
  <c r="C2925" i="60"/>
  <c r="D2925" i="60"/>
  <c r="E2925" i="60"/>
  <c r="F2925" i="60"/>
  <c r="G2925" i="60"/>
  <c r="A2926" i="60"/>
  <c r="C2926" i="60"/>
  <c r="D2926" i="60"/>
  <c r="E2926" i="60"/>
  <c r="F2926" i="60"/>
  <c r="G2926" i="60"/>
  <c r="A2927" i="60"/>
  <c r="C2927" i="60"/>
  <c r="D2927" i="60"/>
  <c r="E2927" i="60"/>
  <c r="F2927" i="60"/>
  <c r="G2927" i="60"/>
  <c r="A2928" i="60"/>
  <c r="C2928" i="60"/>
  <c r="D2928" i="60"/>
  <c r="E2928" i="60"/>
  <c r="F2928" i="60"/>
  <c r="G2928" i="60"/>
  <c r="A2929" i="60"/>
  <c r="C2929" i="60"/>
  <c r="D2929" i="60"/>
  <c r="E2929" i="60"/>
  <c r="F2929" i="60"/>
  <c r="G2929" i="60"/>
  <c r="A2930" i="60"/>
  <c r="C2930" i="60"/>
  <c r="D2930" i="60"/>
  <c r="E2930" i="60"/>
  <c r="F2930" i="60"/>
  <c r="G2930" i="60"/>
  <c r="A2931" i="60"/>
  <c r="C2931" i="60"/>
  <c r="D2931" i="60"/>
  <c r="E2931" i="60"/>
  <c r="F2931" i="60"/>
  <c r="G2931" i="60"/>
  <c r="A2932" i="60"/>
  <c r="C2932" i="60"/>
  <c r="D2932" i="60"/>
  <c r="E2932" i="60"/>
  <c r="F2932" i="60"/>
  <c r="G2932" i="60"/>
  <c r="A2933" i="60"/>
  <c r="C2933" i="60"/>
  <c r="D2933" i="60"/>
  <c r="E2933" i="60"/>
  <c r="F2933" i="60"/>
  <c r="G2933" i="60"/>
  <c r="A2934" i="60"/>
  <c r="C2934" i="60"/>
  <c r="D2934" i="60"/>
  <c r="E2934" i="60"/>
  <c r="F2934" i="60"/>
  <c r="G2934" i="60"/>
  <c r="A2935" i="60"/>
  <c r="C2935" i="60"/>
  <c r="D2935" i="60"/>
  <c r="E2935" i="60"/>
  <c r="F2935" i="60"/>
  <c r="G2935" i="60"/>
  <c r="A2936" i="60"/>
  <c r="C2936" i="60"/>
  <c r="D2936" i="60"/>
  <c r="E2936" i="60"/>
  <c r="F2936" i="60"/>
  <c r="G2936" i="60"/>
  <c r="A2937" i="60"/>
  <c r="C2937" i="60"/>
  <c r="D2937" i="60"/>
  <c r="E2937" i="60"/>
  <c r="F2937" i="60"/>
  <c r="G2937" i="60"/>
  <c r="A2938" i="60"/>
  <c r="C2938" i="60"/>
  <c r="D2938" i="60"/>
  <c r="E2938" i="60"/>
  <c r="F2938" i="60"/>
  <c r="G2938" i="60"/>
  <c r="A2939" i="60"/>
  <c r="C2939" i="60"/>
  <c r="D2939" i="60"/>
  <c r="E2939" i="60"/>
  <c r="F2939" i="60"/>
  <c r="G2939" i="60"/>
  <c r="A2940" i="60"/>
  <c r="C2940" i="60"/>
  <c r="D2940" i="60"/>
  <c r="E2940" i="60"/>
  <c r="F2940" i="60"/>
  <c r="G2940" i="60"/>
  <c r="A2941" i="60"/>
  <c r="C2941" i="60"/>
  <c r="D2941" i="60"/>
  <c r="E2941" i="60"/>
  <c r="F2941" i="60"/>
  <c r="G2941" i="60"/>
  <c r="A2942" i="60"/>
  <c r="C2942" i="60"/>
  <c r="D2942" i="60"/>
  <c r="E2942" i="60"/>
  <c r="F2942" i="60"/>
  <c r="G2942" i="60"/>
  <c r="A2943" i="60"/>
  <c r="C2943" i="60"/>
  <c r="D2943" i="60"/>
  <c r="E2943" i="60"/>
  <c r="F2943" i="60"/>
  <c r="G2943" i="60"/>
  <c r="A2944" i="60"/>
  <c r="C2944" i="60"/>
  <c r="D2944" i="60"/>
  <c r="E2944" i="60"/>
  <c r="F2944" i="60"/>
  <c r="G2944" i="60"/>
  <c r="A2945" i="60"/>
  <c r="C2945" i="60"/>
  <c r="D2945" i="60"/>
  <c r="E2945" i="60"/>
  <c r="F2945" i="60"/>
  <c r="G2945" i="60"/>
  <c r="A2946" i="60"/>
  <c r="C2946" i="60"/>
  <c r="D2946" i="60"/>
  <c r="E2946" i="60"/>
  <c r="F2946" i="60"/>
  <c r="G2946" i="60"/>
  <c r="A2947" i="60"/>
  <c r="C2947" i="60"/>
  <c r="D2947" i="60"/>
  <c r="E2947" i="60"/>
  <c r="F2947" i="60"/>
  <c r="G2947" i="60"/>
  <c r="A2948" i="60"/>
  <c r="C2948" i="60"/>
  <c r="D2948" i="60"/>
  <c r="E2948" i="60"/>
  <c r="F2948" i="60"/>
  <c r="G2948" i="60"/>
  <c r="A2949" i="60"/>
  <c r="C2949" i="60"/>
  <c r="D2949" i="60"/>
  <c r="E2949" i="60"/>
  <c r="F2949" i="60"/>
  <c r="G2949" i="60"/>
  <c r="A2950" i="60"/>
  <c r="C2950" i="60"/>
  <c r="D2950" i="60"/>
  <c r="E2950" i="60"/>
  <c r="F2950" i="60"/>
  <c r="G2950" i="60"/>
  <c r="A2951" i="60"/>
  <c r="C2951" i="60"/>
  <c r="D2951" i="60"/>
  <c r="E2951" i="60"/>
  <c r="F2951" i="60"/>
  <c r="G2951" i="60"/>
  <c r="A2952" i="60"/>
  <c r="C2952" i="60"/>
  <c r="D2952" i="60"/>
  <c r="E2952" i="60"/>
  <c r="F2952" i="60"/>
  <c r="G2952" i="60"/>
  <c r="A2953" i="60"/>
  <c r="C2953" i="60"/>
  <c r="D2953" i="60"/>
  <c r="E2953" i="60"/>
  <c r="F2953" i="60"/>
  <c r="G2953" i="60"/>
  <c r="A2954" i="60"/>
  <c r="C2954" i="60"/>
  <c r="D2954" i="60"/>
  <c r="E2954" i="60"/>
  <c r="F2954" i="60"/>
  <c r="G2954" i="60"/>
  <c r="A2955" i="60"/>
  <c r="C2955" i="60"/>
  <c r="D2955" i="60"/>
  <c r="E2955" i="60"/>
  <c r="F2955" i="60"/>
  <c r="G2955" i="60"/>
  <c r="A2956" i="60"/>
  <c r="C2956" i="60"/>
  <c r="D2956" i="60"/>
  <c r="E2956" i="60"/>
  <c r="F2956" i="60"/>
  <c r="G2956" i="60"/>
  <c r="A2957" i="60"/>
  <c r="C2957" i="60"/>
  <c r="D2957" i="60"/>
  <c r="E2957" i="60"/>
  <c r="F2957" i="60"/>
  <c r="G2957" i="60"/>
  <c r="A2958" i="60"/>
  <c r="C2958" i="60"/>
  <c r="D2958" i="60"/>
  <c r="E2958" i="60"/>
  <c r="F2958" i="60"/>
  <c r="G2958" i="60"/>
  <c r="A2959" i="60"/>
  <c r="C2959" i="60"/>
  <c r="D2959" i="60"/>
  <c r="E2959" i="60"/>
  <c r="F2959" i="60"/>
  <c r="G2959" i="60"/>
  <c r="A2960" i="60"/>
  <c r="C2960" i="60"/>
  <c r="D2960" i="60"/>
  <c r="E2960" i="60"/>
  <c r="F2960" i="60"/>
  <c r="G2960" i="60"/>
  <c r="A2961" i="60"/>
  <c r="C2961" i="60"/>
  <c r="D2961" i="60"/>
  <c r="E2961" i="60"/>
  <c r="F2961" i="60"/>
  <c r="G2961" i="60"/>
  <c r="A2962" i="60"/>
  <c r="C2962" i="60"/>
  <c r="D2962" i="60"/>
  <c r="E2962" i="60"/>
  <c r="F2962" i="60"/>
  <c r="G2962" i="60"/>
  <c r="A2963" i="60"/>
  <c r="C2963" i="60"/>
  <c r="D2963" i="60"/>
  <c r="E2963" i="60"/>
  <c r="F2963" i="60"/>
  <c r="G2963" i="60"/>
  <c r="A2964" i="60"/>
  <c r="C2964" i="60"/>
  <c r="D2964" i="60"/>
  <c r="E2964" i="60"/>
  <c r="F2964" i="60"/>
  <c r="G2964" i="60"/>
  <c r="A2965" i="60"/>
  <c r="C2965" i="60"/>
  <c r="D2965" i="60"/>
  <c r="E2965" i="60"/>
  <c r="F2965" i="60"/>
  <c r="G2965" i="60"/>
  <c r="A2966" i="60"/>
  <c r="C2966" i="60"/>
  <c r="D2966" i="60"/>
  <c r="E2966" i="60"/>
  <c r="F2966" i="60"/>
  <c r="G2966" i="60"/>
  <c r="A2967" i="60"/>
  <c r="C2967" i="60"/>
  <c r="D2967" i="60"/>
  <c r="E2967" i="60"/>
  <c r="F2967" i="60"/>
  <c r="G2967" i="60"/>
  <c r="A2968" i="60"/>
  <c r="C2968" i="60"/>
  <c r="D2968" i="60"/>
  <c r="E2968" i="60"/>
  <c r="F2968" i="60"/>
  <c r="G2968" i="60"/>
  <c r="A2969" i="60"/>
  <c r="C2969" i="60"/>
  <c r="D2969" i="60"/>
  <c r="E2969" i="60"/>
  <c r="F2969" i="60"/>
  <c r="G2969" i="60"/>
  <c r="A2970" i="60"/>
  <c r="C2970" i="60"/>
  <c r="D2970" i="60"/>
  <c r="E2970" i="60"/>
  <c r="F2970" i="60"/>
  <c r="G2970" i="60"/>
  <c r="A2971" i="60"/>
  <c r="C2971" i="60"/>
  <c r="D2971" i="60"/>
  <c r="E2971" i="60"/>
  <c r="F2971" i="60"/>
  <c r="G2971" i="60"/>
  <c r="A2972" i="60"/>
  <c r="C2972" i="60"/>
  <c r="D2972" i="60"/>
  <c r="E2972" i="60"/>
  <c r="F2972" i="60"/>
  <c r="G2972" i="60"/>
  <c r="A2973" i="60"/>
  <c r="C2973" i="60"/>
  <c r="D2973" i="60"/>
  <c r="E2973" i="60"/>
  <c r="F2973" i="60"/>
  <c r="G2973" i="60"/>
  <c r="A2974" i="60"/>
  <c r="C2974" i="60"/>
  <c r="D2974" i="60"/>
  <c r="E2974" i="60"/>
  <c r="F2974" i="60"/>
  <c r="G2974" i="60"/>
  <c r="A2975" i="60"/>
  <c r="C2975" i="60"/>
  <c r="D2975" i="60"/>
  <c r="E2975" i="60"/>
  <c r="F2975" i="60"/>
  <c r="G2975" i="60"/>
  <c r="A2976" i="60"/>
  <c r="C2976" i="60"/>
  <c r="D2976" i="60"/>
  <c r="E2976" i="60"/>
  <c r="F2976" i="60"/>
  <c r="G2976" i="60"/>
  <c r="A2977" i="60"/>
  <c r="C2977" i="60"/>
  <c r="D2977" i="60"/>
  <c r="E2977" i="60"/>
  <c r="F2977" i="60"/>
  <c r="G2977" i="60"/>
  <c r="A2978" i="60"/>
  <c r="C2978" i="60"/>
  <c r="D2978" i="60"/>
  <c r="E2978" i="60"/>
  <c r="F2978" i="60"/>
  <c r="G2978" i="60"/>
  <c r="A2979" i="60"/>
  <c r="C2979" i="60"/>
  <c r="D2979" i="60"/>
  <c r="E2979" i="60"/>
  <c r="F2979" i="60"/>
  <c r="G2979" i="60"/>
  <c r="A2980" i="60"/>
  <c r="C2980" i="60"/>
  <c r="D2980" i="60"/>
  <c r="E2980" i="60"/>
  <c r="F2980" i="60"/>
  <c r="G2980" i="60"/>
  <c r="A2981" i="60"/>
  <c r="C2981" i="60"/>
  <c r="D2981" i="60"/>
  <c r="E2981" i="60"/>
  <c r="F2981" i="60"/>
  <c r="G2981" i="60"/>
  <c r="A2982" i="60"/>
  <c r="C2982" i="60"/>
  <c r="D2982" i="60"/>
  <c r="E2982" i="60"/>
  <c r="F2982" i="60"/>
  <c r="G2982" i="60"/>
  <c r="A2983" i="60"/>
  <c r="C2983" i="60"/>
  <c r="D2983" i="60"/>
  <c r="E2983" i="60"/>
  <c r="F2983" i="60"/>
  <c r="G2983" i="60"/>
  <c r="A2984" i="60"/>
  <c r="C2984" i="60"/>
  <c r="D2984" i="60"/>
  <c r="E2984" i="60"/>
  <c r="F2984" i="60"/>
  <c r="G2984" i="60"/>
  <c r="A2985" i="60"/>
  <c r="C2985" i="60"/>
  <c r="D2985" i="60"/>
  <c r="E2985" i="60"/>
  <c r="F2985" i="60"/>
  <c r="G2985" i="60"/>
  <c r="A2986" i="60"/>
  <c r="C2986" i="60"/>
  <c r="D2986" i="60"/>
  <c r="E2986" i="60"/>
  <c r="F2986" i="60"/>
  <c r="G2986" i="60"/>
  <c r="A2987" i="60"/>
  <c r="C2987" i="60"/>
  <c r="D2987" i="60"/>
  <c r="E2987" i="60"/>
  <c r="F2987" i="60"/>
  <c r="G2987" i="60"/>
  <c r="A2988" i="60"/>
  <c r="C2988" i="60"/>
  <c r="D2988" i="60"/>
  <c r="E2988" i="60"/>
  <c r="F2988" i="60"/>
  <c r="G2988" i="60"/>
  <c r="A2989" i="60"/>
  <c r="C2989" i="60"/>
  <c r="D2989" i="60"/>
  <c r="E2989" i="60"/>
  <c r="F2989" i="60"/>
  <c r="G2989" i="60"/>
  <c r="A2990" i="60"/>
  <c r="C2990" i="60"/>
  <c r="D2990" i="60"/>
  <c r="E2990" i="60"/>
  <c r="F2990" i="60"/>
  <c r="G2990" i="60"/>
  <c r="A2991" i="60"/>
  <c r="C2991" i="60"/>
  <c r="D2991" i="60"/>
  <c r="E2991" i="60"/>
  <c r="F2991" i="60"/>
  <c r="G2991" i="60"/>
  <c r="A2992" i="60"/>
  <c r="C2992" i="60"/>
  <c r="D2992" i="60"/>
  <c r="E2992" i="60"/>
  <c r="F2992" i="60"/>
  <c r="G2992" i="60"/>
  <c r="A2993" i="60"/>
  <c r="C2993" i="60"/>
  <c r="D2993" i="60"/>
  <c r="E2993" i="60"/>
  <c r="F2993" i="60"/>
  <c r="G2993" i="60"/>
  <c r="A2994" i="60"/>
  <c r="C2994" i="60"/>
  <c r="D2994" i="60"/>
  <c r="E2994" i="60"/>
  <c r="F2994" i="60"/>
  <c r="G2994" i="60"/>
  <c r="A2995" i="60"/>
  <c r="C2995" i="60"/>
  <c r="D2995" i="60"/>
  <c r="E2995" i="60"/>
  <c r="F2995" i="60"/>
  <c r="G2995" i="60"/>
  <c r="A2996" i="60"/>
  <c r="C2996" i="60"/>
  <c r="D2996" i="60"/>
  <c r="E2996" i="60"/>
  <c r="F2996" i="60"/>
  <c r="G2996" i="60"/>
  <c r="A2997" i="60"/>
  <c r="C2997" i="60"/>
  <c r="D2997" i="60"/>
  <c r="E2997" i="60"/>
  <c r="F2997" i="60"/>
  <c r="G2997" i="60"/>
  <c r="A2998" i="60"/>
  <c r="C2998" i="60"/>
  <c r="D2998" i="60"/>
  <c r="E2998" i="60"/>
  <c r="F2998" i="60"/>
  <c r="G2998" i="60"/>
  <c r="A2999" i="60"/>
  <c r="C2999" i="60"/>
  <c r="D2999" i="60"/>
  <c r="E2999" i="60"/>
  <c r="F2999" i="60"/>
  <c r="G2999" i="60"/>
  <c r="A3000" i="60"/>
  <c r="C3000" i="60"/>
  <c r="D3000" i="60"/>
  <c r="E3000" i="60"/>
  <c r="F3000" i="60"/>
  <c r="G3000" i="60"/>
  <c r="A3001" i="60"/>
  <c r="C3001" i="60"/>
  <c r="D3001" i="60"/>
  <c r="E3001" i="60"/>
  <c r="F3001" i="60"/>
  <c r="G3001" i="60"/>
  <c r="A3002" i="60"/>
  <c r="C3002" i="60"/>
  <c r="D3002" i="60"/>
  <c r="E3002" i="60"/>
  <c r="F3002" i="60"/>
  <c r="G3002" i="60"/>
  <c r="A3003" i="60"/>
  <c r="C3003" i="60"/>
  <c r="D3003" i="60"/>
  <c r="E3003" i="60"/>
  <c r="F3003" i="60"/>
  <c r="G3003" i="60"/>
  <c r="A3004" i="60"/>
  <c r="C3004" i="60"/>
  <c r="D3004" i="60"/>
  <c r="E3004" i="60"/>
  <c r="F3004" i="60"/>
  <c r="G3004" i="60"/>
  <c r="A3005" i="60"/>
  <c r="C3005" i="60"/>
  <c r="D3005" i="60"/>
  <c r="E3005" i="60"/>
  <c r="F3005" i="60"/>
  <c r="G3005" i="60"/>
  <c r="A3006" i="60"/>
  <c r="C3006" i="60"/>
  <c r="D3006" i="60"/>
  <c r="E3006" i="60"/>
  <c r="F3006" i="60"/>
  <c r="G3006" i="60"/>
  <c r="A3007" i="60"/>
  <c r="C3007" i="60"/>
  <c r="D3007" i="60"/>
  <c r="E3007" i="60"/>
  <c r="F3007" i="60"/>
  <c r="G3007" i="60"/>
  <c r="A3008" i="60"/>
  <c r="C3008" i="60"/>
  <c r="D3008" i="60"/>
  <c r="E3008" i="60"/>
  <c r="F3008" i="60"/>
  <c r="G3008" i="60"/>
  <c r="A3009" i="60"/>
  <c r="C3009" i="60"/>
  <c r="D3009" i="60"/>
  <c r="E3009" i="60"/>
  <c r="F3009" i="60"/>
  <c r="G3009" i="60"/>
  <c r="A3010" i="60"/>
  <c r="C3010" i="60"/>
  <c r="D3010" i="60"/>
  <c r="E3010" i="60"/>
  <c r="F3010" i="60"/>
  <c r="G3010" i="60"/>
  <c r="A3011" i="60"/>
  <c r="C3011" i="60"/>
  <c r="D3011" i="60"/>
  <c r="E3011" i="60"/>
  <c r="F3011" i="60"/>
  <c r="G3011" i="60"/>
  <c r="A3012" i="60"/>
  <c r="C3012" i="60"/>
  <c r="D3012" i="60"/>
  <c r="E3012" i="60"/>
  <c r="F3012" i="60"/>
  <c r="G3012" i="60"/>
  <c r="A3013" i="60"/>
  <c r="C3013" i="60"/>
  <c r="D3013" i="60"/>
  <c r="E3013" i="60"/>
  <c r="F3013" i="60"/>
  <c r="G3013" i="60"/>
  <c r="A3014" i="60"/>
  <c r="C3014" i="60"/>
  <c r="D3014" i="60"/>
  <c r="E3014" i="60"/>
  <c r="F3014" i="60"/>
  <c r="G3014" i="60"/>
  <c r="A3015" i="60"/>
  <c r="C3015" i="60"/>
  <c r="D3015" i="60"/>
  <c r="E3015" i="60"/>
  <c r="F3015" i="60"/>
  <c r="G3015" i="60"/>
  <c r="A3016" i="60"/>
  <c r="C3016" i="60"/>
  <c r="D3016" i="60"/>
  <c r="E3016" i="60"/>
  <c r="F3016" i="60"/>
  <c r="G3016" i="60"/>
  <c r="A3017" i="60"/>
  <c r="C3017" i="60"/>
  <c r="D3017" i="60"/>
  <c r="E3017" i="60"/>
  <c r="F3017" i="60"/>
  <c r="G3017" i="60"/>
  <c r="A3018" i="60"/>
  <c r="C3018" i="60"/>
  <c r="D3018" i="60"/>
  <c r="E3018" i="60"/>
  <c r="F3018" i="60"/>
  <c r="G3018" i="60"/>
  <c r="A3019" i="60"/>
  <c r="C3019" i="60"/>
  <c r="D3019" i="60"/>
  <c r="E3019" i="60"/>
  <c r="F3019" i="60"/>
  <c r="G3019" i="60"/>
  <c r="A3020" i="60"/>
  <c r="C3020" i="60"/>
  <c r="D3020" i="60"/>
  <c r="E3020" i="60"/>
  <c r="F3020" i="60"/>
  <c r="G3020" i="60"/>
  <c r="A3021" i="60"/>
  <c r="C3021" i="60"/>
  <c r="D3021" i="60"/>
  <c r="E3021" i="60"/>
  <c r="F3021" i="60"/>
  <c r="G3021" i="60"/>
  <c r="A3022" i="60"/>
  <c r="C3022" i="60"/>
  <c r="D3022" i="60"/>
  <c r="E3022" i="60"/>
  <c r="F3022" i="60"/>
  <c r="G3022" i="60"/>
  <c r="A3023" i="60"/>
  <c r="C3023" i="60"/>
  <c r="D3023" i="60"/>
  <c r="E3023" i="60"/>
  <c r="F3023" i="60"/>
  <c r="G3023" i="60"/>
  <c r="A3024" i="60"/>
  <c r="C3024" i="60"/>
  <c r="D3024" i="60"/>
  <c r="E3024" i="60"/>
  <c r="F3024" i="60"/>
  <c r="G3024" i="60"/>
  <c r="A3025" i="60"/>
  <c r="C3025" i="60"/>
  <c r="D3025" i="60"/>
  <c r="E3025" i="60"/>
  <c r="F3025" i="60"/>
  <c r="G3025" i="60"/>
  <c r="A3026" i="60"/>
  <c r="C3026" i="60"/>
  <c r="D3026" i="60"/>
  <c r="E3026" i="60"/>
  <c r="F3026" i="60"/>
  <c r="G3026" i="60"/>
  <c r="A3027" i="60"/>
  <c r="C3027" i="60"/>
  <c r="D3027" i="60"/>
  <c r="E3027" i="60"/>
  <c r="F3027" i="60"/>
  <c r="G3027" i="60"/>
  <c r="A3028" i="60"/>
  <c r="C3028" i="60"/>
  <c r="D3028" i="60"/>
  <c r="E3028" i="60"/>
  <c r="F3028" i="60"/>
  <c r="G3028" i="60"/>
  <c r="A3029" i="60"/>
  <c r="C3029" i="60"/>
  <c r="D3029" i="60"/>
  <c r="E3029" i="60"/>
  <c r="F3029" i="60"/>
  <c r="G3029" i="60"/>
  <c r="A3030" i="60"/>
  <c r="C3030" i="60"/>
  <c r="D3030" i="60"/>
  <c r="E3030" i="60"/>
  <c r="F3030" i="60"/>
  <c r="G3030" i="60"/>
  <c r="A3031" i="60"/>
  <c r="C3031" i="60"/>
  <c r="D3031" i="60"/>
  <c r="E3031" i="60"/>
  <c r="F3031" i="60"/>
  <c r="G3031" i="60"/>
  <c r="A3032" i="60"/>
  <c r="C3032" i="60"/>
  <c r="D3032" i="60"/>
  <c r="E3032" i="60"/>
  <c r="F3032" i="60"/>
  <c r="G3032" i="60"/>
  <c r="A3033" i="60"/>
  <c r="C3033" i="60"/>
  <c r="D3033" i="60"/>
  <c r="E3033" i="60"/>
  <c r="F3033" i="60"/>
  <c r="G3033" i="60"/>
  <c r="A3034" i="60"/>
  <c r="C3034" i="60"/>
  <c r="D3034" i="60"/>
  <c r="E3034" i="60"/>
  <c r="F3034" i="60"/>
  <c r="G3034" i="60"/>
  <c r="A3035" i="60"/>
  <c r="C3035" i="60"/>
  <c r="D3035" i="60"/>
  <c r="E3035" i="60"/>
  <c r="F3035" i="60"/>
  <c r="G3035" i="60"/>
  <c r="A3036" i="60"/>
  <c r="C3036" i="60"/>
  <c r="D3036" i="60"/>
  <c r="E3036" i="60"/>
  <c r="F3036" i="60"/>
  <c r="G3036" i="60"/>
  <c r="A3037" i="60"/>
  <c r="C3037" i="60"/>
  <c r="D3037" i="60"/>
  <c r="E3037" i="60"/>
  <c r="F3037" i="60"/>
  <c r="G3037" i="60"/>
  <c r="A3038" i="60"/>
  <c r="C3038" i="60"/>
  <c r="D3038" i="60"/>
  <c r="E3038" i="60"/>
  <c r="F3038" i="60"/>
  <c r="G3038" i="60"/>
  <c r="A3039" i="60"/>
  <c r="C3039" i="60"/>
  <c r="D3039" i="60"/>
  <c r="E3039" i="60"/>
  <c r="F3039" i="60"/>
  <c r="G3039" i="60"/>
  <c r="A3040" i="60"/>
  <c r="C3040" i="60"/>
  <c r="D3040" i="60"/>
  <c r="E3040" i="60"/>
  <c r="F3040" i="60"/>
  <c r="G3040" i="60"/>
  <c r="A3041" i="60"/>
  <c r="C3041" i="60"/>
  <c r="D3041" i="60"/>
  <c r="E3041" i="60"/>
  <c r="F3041" i="60"/>
  <c r="G3041" i="60"/>
  <c r="A3042" i="60"/>
  <c r="C3042" i="60"/>
  <c r="D3042" i="60"/>
  <c r="E3042" i="60"/>
  <c r="F3042" i="60"/>
  <c r="G3042" i="60"/>
  <c r="A3043" i="60"/>
  <c r="C3043" i="60"/>
  <c r="D3043" i="60"/>
  <c r="E3043" i="60"/>
  <c r="F3043" i="60"/>
  <c r="G3043" i="60"/>
  <c r="A3044" i="60"/>
  <c r="C3044" i="60"/>
  <c r="D3044" i="60"/>
  <c r="E3044" i="60"/>
  <c r="F3044" i="60"/>
  <c r="G3044" i="60"/>
  <c r="A3045" i="60"/>
  <c r="C3045" i="60"/>
  <c r="D3045" i="60"/>
  <c r="E3045" i="60"/>
  <c r="F3045" i="60"/>
  <c r="G3045" i="60"/>
  <c r="A3046" i="60"/>
  <c r="C3046" i="60"/>
  <c r="D3046" i="60"/>
  <c r="E3046" i="60"/>
  <c r="F3046" i="60"/>
  <c r="G3046" i="60"/>
  <c r="A3047" i="60"/>
  <c r="C3047" i="60"/>
  <c r="D3047" i="60"/>
  <c r="E3047" i="60"/>
  <c r="F3047" i="60"/>
  <c r="G3047" i="60"/>
  <c r="A3048" i="60"/>
  <c r="C3048" i="60"/>
  <c r="D3048" i="60"/>
  <c r="E3048" i="60"/>
  <c r="F3048" i="60"/>
  <c r="G3048" i="60"/>
  <c r="A3049" i="60"/>
  <c r="C3049" i="60"/>
  <c r="D3049" i="60"/>
  <c r="E3049" i="60"/>
  <c r="F3049" i="60"/>
  <c r="G3049" i="60"/>
  <c r="A3050" i="60"/>
  <c r="C3050" i="60"/>
  <c r="D3050" i="60"/>
  <c r="E3050" i="60"/>
  <c r="F3050" i="60"/>
  <c r="G3050" i="60"/>
  <c r="A3051" i="60"/>
  <c r="C3051" i="60"/>
  <c r="D3051" i="60"/>
  <c r="E3051" i="60"/>
  <c r="F3051" i="60"/>
  <c r="G3051" i="60"/>
  <c r="A3052" i="60"/>
  <c r="C3052" i="60"/>
  <c r="D3052" i="60"/>
  <c r="E3052" i="60"/>
  <c r="F3052" i="60"/>
  <c r="G3052" i="60"/>
  <c r="A3053" i="60"/>
  <c r="C3053" i="60"/>
  <c r="D3053" i="60"/>
  <c r="E3053" i="60"/>
  <c r="F3053" i="60"/>
  <c r="G3053" i="60"/>
  <c r="A3054" i="60"/>
  <c r="C3054" i="60"/>
  <c r="D3054" i="60"/>
  <c r="E3054" i="60"/>
  <c r="F3054" i="60"/>
  <c r="G3054" i="60"/>
  <c r="A3055" i="60"/>
  <c r="C3055" i="60"/>
  <c r="D3055" i="60"/>
  <c r="E3055" i="60"/>
  <c r="F3055" i="60"/>
  <c r="G3055" i="60"/>
  <c r="A3056" i="60"/>
  <c r="C3056" i="60"/>
  <c r="D3056" i="60"/>
  <c r="E3056" i="60"/>
  <c r="F3056" i="60"/>
  <c r="G3056" i="60"/>
  <c r="A3057" i="60"/>
  <c r="C3057" i="60"/>
  <c r="D3057" i="60"/>
  <c r="E3057" i="60"/>
  <c r="F3057" i="60"/>
  <c r="G3057" i="60"/>
  <c r="A3058" i="60"/>
  <c r="C3058" i="60"/>
  <c r="D3058" i="60"/>
  <c r="E3058" i="60"/>
  <c r="F3058" i="60"/>
  <c r="G3058" i="60"/>
  <c r="A3059" i="60"/>
  <c r="C3059" i="60"/>
  <c r="D3059" i="60"/>
  <c r="E3059" i="60"/>
  <c r="F3059" i="60"/>
  <c r="G3059" i="60"/>
  <c r="A3060" i="60"/>
  <c r="C3060" i="60"/>
  <c r="D3060" i="60"/>
  <c r="E3060" i="60"/>
  <c r="F3060" i="60"/>
  <c r="G3060" i="60"/>
  <c r="A3061" i="60"/>
  <c r="C3061" i="60"/>
  <c r="D3061" i="60"/>
  <c r="E3061" i="60"/>
  <c r="F3061" i="60"/>
  <c r="G3061" i="60"/>
  <c r="A3062" i="60"/>
  <c r="C3062" i="60"/>
  <c r="D3062" i="60"/>
  <c r="E3062" i="60"/>
  <c r="F3062" i="60"/>
  <c r="G3062" i="60"/>
  <c r="A3063" i="60"/>
  <c r="C3063" i="60"/>
  <c r="D3063" i="60"/>
  <c r="E3063" i="60"/>
  <c r="F3063" i="60"/>
  <c r="G3063" i="60"/>
  <c r="A3064" i="60"/>
  <c r="C3064" i="60"/>
  <c r="D3064" i="60"/>
  <c r="E3064" i="60"/>
  <c r="F3064" i="60"/>
  <c r="G3064" i="60"/>
  <c r="A3065" i="60"/>
  <c r="C3065" i="60"/>
  <c r="D3065" i="60"/>
  <c r="E3065" i="60"/>
  <c r="F3065" i="60"/>
  <c r="G3065" i="60"/>
  <c r="A3066" i="60"/>
  <c r="C3066" i="60"/>
  <c r="D3066" i="60"/>
  <c r="E3066" i="60"/>
  <c r="F3066" i="60"/>
  <c r="G3066" i="60"/>
  <c r="A3067" i="60"/>
  <c r="C3067" i="60"/>
  <c r="D3067" i="60"/>
  <c r="E3067" i="60"/>
  <c r="F3067" i="60"/>
  <c r="G3067" i="60"/>
  <c r="A3068" i="60"/>
  <c r="C3068" i="60"/>
  <c r="D3068" i="60"/>
  <c r="E3068" i="60"/>
  <c r="F3068" i="60"/>
  <c r="G3068" i="60"/>
  <c r="A3069" i="60"/>
  <c r="C3069" i="60"/>
  <c r="D3069" i="60"/>
  <c r="E3069" i="60"/>
  <c r="F3069" i="60"/>
  <c r="G3069" i="60"/>
  <c r="A3070" i="60"/>
  <c r="C3070" i="60"/>
  <c r="D3070" i="60"/>
  <c r="E3070" i="60"/>
  <c r="F3070" i="60"/>
  <c r="G3070" i="60"/>
  <c r="A3071" i="60"/>
  <c r="C3071" i="60"/>
  <c r="D3071" i="60"/>
  <c r="E3071" i="60"/>
  <c r="F3071" i="60"/>
  <c r="G3071" i="60"/>
  <c r="A3072" i="60"/>
  <c r="C3072" i="60"/>
  <c r="D3072" i="60"/>
  <c r="E3072" i="60"/>
  <c r="F3072" i="60"/>
  <c r="G3072" i="60"/>
  <c r="A3073" i="60"/>
  <c r="C3073" i="60"/>
  <c r="D3073" i="60"/>
  <c r="E3073" i="60"/>
  <c r="F3073" i="60"/>
  <c r="G3073" i="60"/>
  <c r="A3074" i="60"/>
  <c r="C3074" i="60"/>
  <c r="D3074" i="60"/>
  <c r="E3074" i="60"/>
  <c r="F3074" i="60"/>
  <c r="G3074" i="60"/>
  <c r="A3075" i="60"/>
  <c r="C3075" i="60"/>
  <c r="D3075" i="60"/>
  <c r="E3075" i="60"/>
  <c r="F3075" i="60"/>
  <c r="G3075" i="60"/>
  <c r="A3076" i="60"/>
  <c r="C3076" i="60"/>
  <c r="D3076" i="60"/>
  <c r="E3076" i="60"/>
  <c r="F3076" i="60"/>
  <c r="G3076" i="60"/>
  <c r="A3077" i="60"/>
  <c r="C3077" i="60"/>
  <c r="D3077" i="60"/>
  <c r="E3077" i="60"/>
  <c r="F3077" i="60"/>
  <c r="G3077" i="60"/>
  <c r="A3078" i="60"/>
  <c r="C3078" i="60"/>
  <c r="D3078" i="60"/>
  <c r="E3078" i="60"/>
  <c r="F3078" i="60"/>
  <c r="G3078" i="60"/>
  <c r="A3079" i="60"/>
  <c r="C3079" i="60"/>
  <c r="D3079" i="60"/>
  <c r="E3079" i="60"/>
  <c r="F3079" i="60"/>
  <c r="G3079" i="60"/>
  <c r="A3080" i="60"/>
  <c r="C3080" i="60"/>
  <c r="D3080" i="60"/>
  <c r="E3080" i="60"/>
  <c r="F3080" i="60"/>
  <c r="G3080" i="60"/>
  <c r="A3081" i="60"/>
  <c r="C3081" i="60"/>
  <c r="D3081" i="60"/>
  <c r="E3081" i="60"/>
  <c r="F3081" i="60"/>
  <c r="G3081" i="60"/>
  <c r="A3082" i="60"/>
  <c r="C3082" i="60"/>
  <c r="D3082" i="60"/>
  <c r="E3082" i="60"/>
  <c r="F3082" i="60"/>
  <c r="G3082" i="60"/>
  <c r="A3083" i="60"/>
  <c r="C3083" i="60"/>
  <c r="D3083" i="60"/>
  <c r="E3083" i="60"/>
  <c r="F3083" i="60"/>
  <c r="G3083" i="60"/>
  <c r="A3084" i="60"/>
  <c r="C3084" i="60"/>
  <c r="D3084" i="60"/>
  <c r="E3084" i="60"/>
  <c r="F3084" i="60"/>
  <c r="G3084" i="60"/>
  <c r="A3085" i="60"/>
  <c r="C3085" i="60"/>
  <c r="D3085" i="60"/>
  <c r="E3085" i="60"/>
  <c r="F3085" i="60"/>
  <c r="G3085" i="60"/>
  <c r="A3086" i="60"/>
  <c r="C3086" i="60"/>
  <c r="D3086" i="60"/>
  <c r="E3086" i="60"/>
  <c r="F3086" i="60"/>
  <c r="G3086" i="60"/>
  <c r="A3087" i="60"/>
  <c r="C3087" i="60"/>
  <c r="D3087" i="60"/>
  <c r="E3087" i="60"/>
  <c r="F3087" i="60"/>
  <c r="G3087" i="60"/>
  <c r="A3088" i="60"/>
  <c r="C3088" i="60"/>
  <c r="D3088" i="60"/>
  <c r="E3088" i="60"/>
  <c r="F3088" i="60"/>
  <c r="G3088" i="60"/>
  <c r="A3089" i="60"/>
  <c r="C3089" i="60"/>
  <c r="D3089" i="60"/>
  <c r="E3089" i="60"/>
  <c r="F3089" i="60"/>
  <c r="G3089" i="60"/>
  <c r="A3090" i="60"/>
  <c r="C3090" i="60"/>
  <c r="D3090" i="60"/>
  <c r="E3090" i="60"/>
  <c r="F3090" i="60"/>
  <c r="G3090" i="60"/>
  <c r="A3091" i="60"/>
  <c r="C3091" i="60"/>
  <c r="D3091" i="60"/>
  <c r="E3091" i="60"/>
  <c r="F3091" i="60"/>
  <c r="G3091" i="60"/>
  <c r="A3092" i="60"/>
  <c r="C3092" i="60"/>
  <c r="D3092" i="60"/>
  <c r="E3092" i="60"/>
  <c r="F3092" i="60"/>
  <c r="G3092" i="60"/>
  <c r="A3093" i="60"/>
  <c r="C3093" i="60"/>
  <c r="D3093" i="60"/>
  <c r="E3093" i="60"/>
  <c r="F3093" i="60"/>
  <c r="G3093" i="60"/>
  <c r="A3094" i="60"/>
  <c r="C3094" i="60"/>
  <c r="D3094" i="60"/>
  <c r="E3094" i="60"/>
  <c r="F3094" i="60"/>
  <c r="G3094" i="60"/>
  <c r="A3095" i="60"/>
  <c r="C3095" i="60"/>
  <c r="D3095" i="60"/>
  <c r="E3095" i="60"/>
  <c r="F3095" i="60"/>
  <c r="G3095" i="60"/>
  <c r="A3096" i="60"/>
  <c r="C3096" i="60"/>
  <c r="D3096" i="60"/>
  <c r="E3096" i="60"/>
  <c r="F3096" i="60"/>
  <c r="G3096" i="60"/>
  <c r="A3097" i="60"/>
  <c r="C3097" i="60"/>
  <c r="D3097" i="60"/>
  <c r="E3097" i="60"/>
  <c r="F3097" i="60"/>
  <c r="G3097" i="60"/>
  <c r="A3098" i="60"/>
  <c r="C3098" i="60"/>
  <c r="D3098" i="60"/>
  <c r="E3098" i="60"/>
  <c r="F3098" i="60"/>
  <c r="G3098" i="60"/>
  <c r="A3099" i="60"/>
  <c r="C3099" i="60"/>
  <c r="D3099" i="60"/>
  <c r="E3099" i="60"/>
  <c r="F3099" i="60"/>
  <c r="G3099" i="60"/>
  <c r="A3100" i="60"/>
  <c r="C3100" i="60"/>
  <c r="D3100" i="60"/>
  <c r="E3100" i="60"/>
  <c r="F3100" i="60"/>
  <c r="G3100" i="60"/>
  <c r="A3101" i="60"/>
  <c r="C3101" i="60"/>
  <c r="D3101" i="60"/>
  <c r="E3101" i="60"/>
  <c r="F3101" i="60"/>
  <c r="G3101" i="60"/>
  <c r="A3102" i="60"/>
  <c r="C3102" i="60"/>
  <c r="D3102" i="60"/>
  <c r="E3102" i="60"/>
  <c r="F3102" i="60"/>
  <c r="G3102" i="60"/>
  <c r="A3103" i="60"/>
  <c r="C3103" i="60"/>
  <c r="D3103" i="60"/>
  <c r="E3103" i="60"/>
  <c r="F3103" i="60"/>
  <c r="G3103" i="60"/>
  <c r="A3104" i="60"/>
  <c r="C3104" i="60"/>
  <c r="D3104" i="60"/>
  <c r="E3104" i="60"/>
  <c r="F3104" i="60"/>
  <c r="G3104" i="60"/>
  <c r="A3105" i="60"/>
  <c r="C3105" i="60"/>
  <c r="D3105" i="60"/>
  <c r="E3105" i="60"/>
  <c r="F3105" i="60"/>
  <c r="G3105" i="60"/>
  <c r="A3106" i="60"/>
  <c r="C3106" i="60"/>
  <c r="D3106" i="60"/>
  <c r="E3106" i="60"/>
  <c r="F3106" i="60"/>
  <c r="G3106" i="60"/>
  <c r="A3107" i="60"/>
  <c r="C3107" i="60"/>
  <c r="D3107" i="60"/>
  <c r="E3107" i="60"/>
  <c r="F3107" i="60"/>
  <c r="G3107" i="60"/>
  <c r="A3108" i="60"/>
  <c r="C3108" i="60"/>
  <c r="D3108" i="60"/>
  <c r="E3108" i="60"/>
  <c r="F3108" i="60"/>
  <c r="G3108" i="60"/>
  <c r="A3109" i="60"/>
  <c r="C3109" i="60"/>
  <c r="D3109" i="60"/>
  <c r="E3109" i="60"/>
  <c r="F3109" i="60"/>
  <c r="G3109" i="60"/>
  <c r="A3110" i="60"/>
  <c r="C3110" i="60"/>
  <c r="D3110" i="60"/>
  <c r="E3110" i="60"/>
  <c r="F3110" i="60"/>
  <c r="G3110" i="60"/>
  <c r="A3111" i="60"/>
  <c r="C3111" i="60"/>
  <c r="D3111" i="60"/>
  <c r="E3111" i="60"/>
  <c r="F3111" i="60"/>
  <c r="G3111" i="60"/>
  <c r="A3112" i="60"/>
  <c r="C3112" i="60"/>
  <c r="D3112" i="60"/>
  <c r="E3112" i="60"/>
  <c r="F3112" i="60"/>
  <c r="G3112" i="60"/>
  <c r="A3113" i="60"/>
  <c r="C3113" i="60"/>
  <c r="D3113" i="60"/>
  <c r="E3113" i="60"/>
  <c r="F3113" i="60"/>
  <c r="G3113" i="60"/>
  <c r="A3114" i="60"/>
  <c r="C3114" i="60"/>
  <c r="D3114" i="60"/>
  <c r="E3114" i="60"/>
  <c r="F3114" i="60"/>
  <c r="G3114" i="60"/>
  <c r="A3115" i="60"/>
  <c r="C3115" i="60"/>
  <c r="D3115" i="60"/>
  <c r="E3115" i="60"/>
  <c r="F3115" i="60"/>
  <c r="G3115" i="60"/>
  <c r="A3116" i="60"/>
  <c r="C3116" i="60"/>
  <c r="D3116" i="60"/>
  <c r="E3116" i="60"/>
  <c r="F3116" i="60"/>
  <c r="G3116" i="60"/>
  <c r="A3117" i="60"/>
  <c r="C3117" i="60"/>
  <c r="D3117" i="60"/>
  <c r="E3117" i="60"/>
  <c r="F3117" i="60"/>
  <c r="G3117" i="60"/>
  <c r="A3118" i="60"/>
  <c r="C3118" i="60"/>
  <c r="D3118" i="60"/>
  <c r="E3118" i="60"/>
  <c r="F3118" i="60"/>
  <c r="G3118" i="60"/>
  <c r="A3119" i="60"/>
  <c r="C3119" i="60"/>
  <c r="D3119" i="60"/>
  <c r="E3119" i="60"/>
  <c r="F3119" i="60"/>
  <c r="G3119" i="60"/>
  <c r="A3120" i="60"/>
  <c r="C3120" i="60"/>
  <c r="D3120" i="60"/>
  <c r="E3120" i="60"/>
  <c r="F3120" i="60"/>
  <c r="G3120" i="60"/>
  <c r="A3121" i="60"/>
  <c r="C3121" i="60"/>
  <c r="D3121" i="60"/>
  <c r="E3121" i="60"/>
  <c r="F3121" i="60"/>
  <c r="G3121" i="60"/>
  <c r="A3122" i="60"/>
  <c r="C3122" i="60"/>
  <c r="D3122" i="60"/>
  <c r="E3122" i="60"/>
  <c r="F3122" i="60"/>
  <c r="G3122" i="60"/>
  <c r="A3123" i="60"/>
  <c r="C3123" i="60"/>
  <c r="D3123" i="60"/>
  <c r="E3123" i="60"/>
  <c r="F3123" i="60"/>
  <c r="G3123" i="60"/>
  <c r="A3124" i="60"/>
  <c r="C3124" i="60"/>
  <c r="D3124" i="60"/>
  <c r="E3124" i="60"/>
  <c r="F3124" i="60"/>
  <c r="G3124" i="60"/>
  <c r="A3125" i="60"/>
  <c r="C3125" i="60"/>
  <c r="D3125" i="60"/>
  <c r="E3125" i="60"/>
  <c r="F3125" i="60"/>
  <c r="G3125" i="60"/>
  <c r="A3126" i="60"/>
  <c r="C3126" i="60"/>
  <c r="D3126" i="60"/>
  <c r="E3126" i="60"/>
  <c r="F3126" i="60"/>
  <c r="G3126" i="60"/>
  <c r="A3127" i="60"/>
  <c r="C3127" i="60"/>
  <c r="D3127" i="60"/>
  <c r="E3127" i="60"/>
  <c r="F3127" i="60"/>
  <c r="G3127" i="60"/>
  <c r="A3128" i="60"/>
  <c r="C3128" i="60"/>
  <c r="D3128" i="60"/>
  <c r="E3128" i="60"/>
  <c r="F3128" i="60"/>
  <c r="G3128" i="60"/>
  <c r="A3129" i="60"/>
  <c r="C3129" i="60"/>
  <c r="D3129" i="60"/>
  <c r="E3129" i="60"/>
  <c r="F3129" i="60"/>
  <c r="G3129" i="60"/>
  <c r="A3130" i="60"/>
  <c r="C3130" i="60"/>
  <c r="D3130" i="60"/>
  <c r="E3130" i="60"/>
  <c r="F3130" i="60"/>
  <c r="G3130" i="60"/>
  <c r="A3131" i="60"/>
  <c r="C3131" i="60"/>
  <c r="D3131" i="60"/>
  <c r="E3131" i="60"/>
  <c r="F3131" i="60"/>
  <c r="G3131" i="60"/>
  <c r="A3132" i="60"/>
  <c r="C3132" i="60"/>
  <c r="D3132" i="60"/>
  <c r="E3132" i="60"/>
  <c r="F3132" i="60"/>
  <c r="G3132" i="60"/>
  <c r="A3133" i="60"/>
  <c r="C3133" i="60"/>
  <c r="D3133" i="60"/>
  <c r="E3133" i="60"/>
  <c r="F3133" i="60"/>
  <c r="G3133" i="60"/>
  <c r="A3134" i="60"/>
  <c r="C3134" i="60"/>
  <c r="D3134" i="60"/>
  <c r="E3134" i="60"/>
  <c r="F3134" i="60"/>
  <c r="G3134" i="60"/>
  <c r="A3135" i="60"/>
  <c r="C3135" i="60"/>
  <c r="D3135" i="60"/>
  <c r="E3135" i="60"/>
  <c r="F3135" i="60"/>
  <c r="G3135" i="60"/>
  <c r="A3136" i="60"/>
  <c r="C3136" i="60"/>
  <c r="D3136" i="60"/>
  <c r="E3136" i="60"/>
  <c r="F3136" i="60"/>
  <c r="G3136" i="60"/>
  <c r="A3137" i="60"/>
  <c r="C3137" i="60"/>
  <c r="D3137" i="60"/>
  <c r="E3137" i="60"/>
  <c r="F3137" i="60"/>
  <c r="G3137" i="60"/>
  <c r="A3138" i="60"/>
  <c r="C3138" i="60"/>
  <c r="D3138" i="60"/>
  <c r="E3138" i="60"/>
  <c r="F3138" i="60"/>
  <c r="G3138" i="60"/>
  <c r="A3139" i="60"/>
  <c r="C3139" i="60"/>
  <c r="D3139" i="60"/>
  <c r="E3139" i="60"/>
  <c r="F3139" i="60"/>
  <c r="G3139" i="60"/>
  <c r="A3140" i="60"/>
  <c r="C3140" i="60"/>
  <c r="D3140" i="60"/>
  <c r="E3140" i="60"/>
  <c r="F3140" i="60"/>
  <c r="G3140" i="60"/>
  <c r="A3141" i="60"/>
  <c r="C3141" i="60"/>
  <c r="D3141" i="60"/>
  <c r="E3141" i="60"/>
  <c r="F3141" i="60"/>
  <c r="G3141" i="60"/>
  <c r="A3142" i="60"/>
  <c r="C3142" i="60"/>
  <c r="D3142" i="60"/>
  <c r="E3142" i="60"/>
  <c r="F3142" i="60"/>
  <c r="G3142" i="60"/>
  <c r="A3143" i="60"/>
  <c r="C3143" i="60"/>
  <c r="D3143" i="60"/>
  <c r="E3143" i="60"/>
  <c r="F3143" i="60"/>
  <c r="G3143" i="60"/>
  <c r="A3144" i="60"/>
  <c r="C3144" i="60"/>
  <c r="D3144" i="60"/>
  <c r="E3144" i="60"/>
  <c r="F3144" i="60"/>
  <c r="G3144" i="60"/>
  <c r="A3145" i="60"/>
  <c r="C3145" i="60"/>
  <c r="D3145" i="60"/>
  <c r="E3145" i="60"/>
  <c r="F3145" i="60"/>
  <c r="G3145" i="60"/>
  <c r="A3146" i="60"/>
  <c r="C3146" i="60"/>
  <c r="D3146" i="60"/>
  <c r="E3146" i="60"/>
  <c r="F3146" i="60"/>
  <c r="G3146" i="60"/>
  <c r="A3147" i="60"/>
  <c r="C3147" i="60"/>
  <c r="D3147" i="60"/>
  <c r="E3147" i="60"/>
  <c r="F3147" i="60"/>
  <c r="G3147" i="60"/>
  <c r="A3148" i="60"/>
  <c r="C3148" i="60"/>
  <c r="D3148" i="60"/>
  <c r="E3148" i="60"/>
  <c r="F3148" i="60"/>
  <c r="G3148" i="60"/>
  <c r="A3149" i="60"/>
  <c r="C3149" i="60"/>
  <c r="D3149" i="60"/>
  <c r="E3149" i="60"/>
  <c r="F3149" i="60"/>
  <c r="G3149" i="60"/>
  <c r="A3150" i="60"/>
  <c r="C3150" i="60"/>
  <c r="D3150" i="60"/>
  <c r="E3150" i="60"/>
  <c r="F3150" i="60"/>
  <c r="G3150" i="60"/>
  <c r="A3151" i="60"/>
  <c r="C3151" i="60"/>
  <c r="D3151" i="60"/>
  <c r="E3151" i="60"/>
  <c r="F3151" i="60"/>
  <c r="G3151" i="60"/>
  <c r="A3152" i="60"/>
  <c r="C3152" i="60"/>
  <c r="D3152" i="60"/>
  <c r="E3152" i="60"/>
  <c r="F3152" i="60"/>
  <c r="G3152" i="60"/>
  <c r="A3153" i="60"/>
  <c r="C3153" i="60"/>
  <c r="D3153" i="60"/>
  <c r="E3153" i="60"/>
  <c r="F3153" i="60"/>
  <c r="G3153" i="60"/>
  <c r="A3154" i="60"/>
  <c r="C3154" i="60"/>
  <c r="D3154" i="60"/>
  <c r="E3154" i="60"/>
  <c r="F3154" i="60"/>
  <c r="G3154" i="60"/>
  <c r="A3155" i="60"/>
  <c r="C3155" i="60"/>
  <c r="D3155" i="60"/>
  <c r="E3155" i="60"/>
  <c r="F3155" i="60"/>
  <c r="G3155" i="60"/>
  <c r="A3156" i="60"/>
  <c r="C3156" i="60"/>
  <c r="D3156" i="60"/>
  <c r="E3156" i="60"/>
  <c r="F3156" i="60"/>
  <c r="G3156" i="60"/>
  <c r="A3157" i="60"/>
  <c r="C3157" i="60"/>
  <c r="D3157" i="60"/>
  <c r="E3157" i="60"/>
  <c r="F3157" i="60"/>
  <c r="G3157" i="60"/>
  <c r="A3158" i="60"/>
  <c r="C3158" i="60"/>
  <c r="D3158" i="60"/>
  <c r="E3158" i="60"/>
  <c r="F3158" i="60"/>
  <c r="G3158" i="60"/>
  <c r="A3159" i="60"/>
  <c r="C3159" i="60"/>
  <c r="D3159" i="60"/>
  <c r="E3159" i="60"/>
  <c r="F3159" i="60"/>
  <c r="G3159" i="60"/>
  <c r="A3160" i="60"/>
  <c r="C3160" i="60"/>
  <c r="D3160" i="60"/>
  <c r="E3160" i="60"/>
  <c r="F3160" i="60"/>
  <c r="G3160" i="60"/>
  <c r="A3161" i="60"/>
  <c r="C3161" i="60"/>
  <c r="D3161" i="60"/>
  <c r="E3161" i="60"/>
  <c r="F3161" i="60"/>
  <c r="G3161" i="60"/>
  <c r="A3162" i="60"/>
  <c r="C3162" i="60"/>
  <c r="D3162" i="60"/>
  <c r="E3162" i="60"/>
  <c r="F3162" i="60"/>
  <c r="G3162" i="60"/>
  <c r="A3163" i="60"/>
  <c r="C3163" i="60"/>
  <c r="D3163" i="60"/>
  <c r="E3163" i="60"/>
  <c r="F3163" i="60"/>
  <c r="G3163" i="60"/>
  <c r="A3164" i="60"/>
  <c r="C3164" i="60"/>
  <c r="D3164" i="60"/>
  <c r="E3164" i="60"/>
  <c r="F3164" i="60"/>
  <c r="G3164" i="60"/>
  <c r="A3165" i="60"/>
  <c r="C3165" i="60"/>
  <c r="D3165" i="60"/>
  <c r="E3165" i="60"/>
  <c r="F3165" i="60"/>
  <c r="G3165" i="60"/>
  <c r="A3166" i="60"/>
  <c r="C3166" i="60"/>
  <c r="D3166" i="60"/>
  <c r="E3166" i="60"/>
  <c r="F3166" i="60"/>
  <c r="G3166" i="60"/>
  <c r="A3167" i="60"/>
  <c r="C3167" i="60"/>
  <c r="D3167" i="60"/>
  <c r="E3167" i="60"/>
  <c r="F3167" i="60"/>
  <c r="G3167" i="60"/>
  <c r="A3168" i="60"/>
  <c r="C3168" i="60"/>
  <c r="D3168" i="60"/>
  <c r="E3168" i="60"/>
  <c r="F3168" i="60"/>
  <c r="G3168" i="60"/>
  <c r="A3169" i="60"/>
  <c r="C3169" i="60"/>
  <c r="D3169" i="60"/>
  <c r="E3169" i="60"/>
  <c r="F3169" i="60"/>
  <c r="G3169" i="60"/>
  <c r="A3170" i="60"/>
  <c r="C3170" i="60"/>
  <c r="D3170" i="60"/>
  <c r="E3170" i="60"/>
  <c r="F3170" i="60"/>
  <c r="G3170" i="60"/>
  <c r="A3171" i="60"/>
  <c r="C3171" i="60"/>
  <c r="D3171" i="60"/>
  <c r="E3171" i="60"/>
  <c r="F3171" i="60"/>
  <c r="G3171" i="60"/>
  <c r="A3172" i="60"/>
  <c r="C3172" i="60"/>
  <c r="D3172" i="60"/>
  <c r="E3172" i="60"/>
  <c r="F3172" i="60"/>
  <c r="G3172" i="60"/>
  <c r="A3173" i="60"/>
  <c r="C3173" i="60"/>
  <c r="D3173" i="60"/>
  <c r="E3173" i="60"/>
  <c r="F3173" i="60"/>
  <c r="G3173" i="60"/>
  <c r="A3174" i="60"/>
  <c r="C3174" i="60"/>
  <c r="D3174" i="60"/>
  <c r="E3174" i="60"/>
  <c r="F3174" i="60"/>
  <c r="G3174" i="60"/>
  <c r="A3175" i="60"/>
  <c r="C3175" i="60"/>
  <c r="D3175" i="60"/>
  <c r="E3175" i="60"/>
  <c r="F3175" i="60"/>
  <c r="G3175" i="60"/>
  <c r="A3176" i="60"/>
  <c r="C3176" i="60"/>
  <c r="D3176" i="60"/>
  <c r="E3176" i="60"/>
  <c r="F3176" i="60"/>
  <c r="G3176" i="60"/>
  <c r="A3177" i="60"/>
  <c r="C3177" i="60"/>
  <c r="D3177" i="60"/>
  <c r="E3177" i="60"/>
  <c r="F3177" i="60"/>
  <c r="G3177" i="60"/>
  <c r="A3178" i="60"/>
  <c r="C3178" i="60"/>
  <c r="D3178" i="60"/>
  <c r="E3178" i="60"/>
  <c r="F3178" i="60"/>
  <c r="G3178" i="60"/>
  <c r="A3179" i="60"/>
  <c r="C3179" i="60"/>
  <c r="D3179" i="60"/>
  <c r="E3179" i="60"/>
  <c r="F3179" i="60"/>
  <c r="G3179" i="60"/>
  <c r="A3180" i="60"/>
  <c r="C3180" i="60"/>
  <c r="D3180" i="60"/>
  <c r="E3180" i="60"/>
  <c r="F3180" i="60"/>
  <c r="G3180" i="60"/>
  <c r="A3181" i="60"/>
  <c r="C3181" i="60"/>
  <c r="D3181" i="60"/>
  <c r="E3181" i="60"/>
  <c r="F3181" i="60"/>
  <c r="G3181" i="60"/>
  <c r="A3182" i="60"/>
  <c r="C3182" i="60"/>
  <c r="D3182" i="60"/>
  <c r="E3182" i="60"/>
  <c r="F3182" i="60"/>
  <c r="G3182" i="60"/>
  <c r="A3183" i="60"/>
  <c r="C3183" i="60"/>
  <c r="D3183" i="60"/>
  <c r="E3183" i="60"/>
  <c r="F3183" i="60"/>
  <c r="G3183" i="60"/>
  <c r="A3184" i="60"/>
  <c r="C3184" i="60"/>
  <c r="D3184" i="60"/>
  <c r="E3184" i="60"/>
  <c r="F3184" i="60"/>
  <c r="G3184" i="60"/>
  <c r="A3185" i="60"/>
  <c r="C3185" i="60"/>
  <c r="D3185" i="60"/>
  <c r="E3185" i="60"/>
  <c r="F3185" i="60"/>
  <c r="G3185" i="60"/>
  <c r="A3186" i="60"/>
  <c r="C3186" i="60"/>
  <c r="D3186" i="60"/>
  <c r="E3186" i="60"/>
  <c r="F3186" i="60"/>
  <c r="G3186" i="60"/>
  <c r="A3187" i="60"/>
  <c r="C3187" i="60"/>
  <c r="D3187" i="60"/>
  <c r="E3187" i="60"/>
  <c r="F3187" i="60"/>
  <c r="G3187" i="60"/>
  <c r="A3188" i="60"/>
  <c r="C3188" i="60"/>
  <c r="D3188" i="60"/>
  <c r="E3188" i="60"/>
  <c r="F3188" i="60"/>
  <c r="G3188" i="60"/>
  <c r="A3189" i="60"/>
  <c r="C3189" i="60"/>
  <c r="D3189" i="60"/>
  <c r="E3189" i="60"/>
  <c r="F3189" i="60"/>
  <c r="G3189" i="60"/>
  <c r="A3190" i="60"/>
  <c r="C3190" i="60"/>
  <c r="D3190" i="60"/>
  <c r="E3190" i="60"/>
  <c r="F3190" i="60"/>
  <c r="G3190" i="60"/>
  <c r="A3191" i="60"/>
  <c r="C3191" i="60"/>
  <c r="D3191" i="60"/>
  <c r="E3191" i="60"/>
  <c r="F3191" i="60"/>
  <c r="G3191" i="60"/>
  <c r="A3192" i="60"/>
  <c r="C3192" i="60"/>
  <c r="D3192" i="60"/>
  <c r="E3192" i="60"/>
  <c r="F3192" i="60"/>
  <c r="G3192" i="60"/>
  <c r="A3193" i="60"/>
  <c r="C3193" i="60"/>
  <c r="D3193" i="60"/>
  <c r="E3193" i="60"/>
  <c r="F3193" i="60"/>
  <c r="G3193" i="60"/>
  <c r="A3194" i="60"/>
  <c r="C3194" i="60"/>
  <c r="D3194" i="60"/>
  <c r="E3194" i="60"/>
  <c r="F3194" i="60"/>
  <c r="G3194" i="60"/>
  <c r="A3195" i="60"/>
  <c r="C3195" i="60"/>
  <c r="D3195" i="60"/>
  <c r="E3195" i="60"/>
  <c r="F3195" i="60"/>
  <c r="G3195" i="60"/>
  <c r="A3196" i="60"/>
  <c r="C3196" i="60"/>
  <c r="D3196" i="60"/>
  <c r="E3196" i="60"/>
  <c r="F3196" i="60"/>
  <c r="G3196" i="60"/>
  <c r="A3197" i="60"/>
  <c r="C3197" i="60"/>
  <c r="D3197" i="60"/>
  <c r="E3197" i="60"/>
  <c r="F3197" i="60"/>
  <c r="G3197" i="60"/>
  <c r="A3198" i="60"/>
  <c r="C3198" i="60"/>
  <c r="D3198" i="60"/>
  <c r="E3198" i="60"/>
  <c r="F3198" i="60"/>
  <c r="G3198" i="60"/>
  <c r="A3199" i="60"/>
  <c r="C3199" i="60"/>
  <c r="D3199" i="60"/>
  <c r="E3199" i="60"/>
  <c r="F3199" i="60"/>
  <c r="G3199" i="60"/>
  <c r="A3200" i="60"/>
  <c r="C3200" i="60"/>
  <c r="D3200" i="60"/>
  <c r="E3200" i="60"/>
  <c r="F3200" i="60"/>
  <c r="G3200" i="60"/>
  <c r="A3201" i="60"/>
  <c r="C3201" i="60"/>
  <c r="D3201" i="60"/>
  <c r="E3201" i="60"/>
  <c r="F3201" i="60"/>
  <c r="G3201" i="60"/>
  <c r="A3202" i="60"/>
  <c r="C3202" i="60"/>
  <c r="D3202" i="60"/>
  <c r="E3202" i="60"/>
  <c r="F3202" i="60"/>
  <c r="G3202" i="60"/>
  <c r="A3203" i="60"/>
  <c r="C3203" i="60"/>
  <c r="D3203" i="60"/>
  <c r="E3203" i="60"/>
  <c r="F3203" i="60"/>
  <c r="G3203" i="60"/>
  <c r="A3204" i="60"/>
  <c r="C3204" i="60"/>
  <c r="D3204" i="60"/>
  <c r="E3204" i="60"/>
  <c r="F3204" i="60"/>
  <c r="G3204" i="60"/>
  <c r="A3205" i="60"/>
  <c r="C3205" i="60"/>
  <c r="D3205" i="60"/>
  <c r="E3205" i="60"/>
  <c r="F3205" i="60"/>
  <c r="G3205" i="60"/>
  <c r="A3206" i="60"/>
  <c r="C3206" i="60"/>
  <c r="D3206" i="60"/>
  <c r="E3206" i="60"/>
  <c r="F3206" i="60"/>
  <c r="G3206" i="60"/>
  <c r="A3207" i="60"/>
  <c r="C3207" i="60"/>
  <c r="D3207" i="60"/>
  <c r="E3207" i="60"/>
  <c r="F3207" i="60"/>
  <c r="G3207" i="60"/>
  <c r="A3208" i="60"/>
  <c r="C3208" i="60"/>
  <c r="D3208" i="60"/>
  <c r="E3208" i="60"/>
  <c r="F3208" i="60"/>
  <c r="G3208" i="60"/>
  <c r="A3209" i="60"/>
  <c r="C3209" i="60"/>
  <c r="D3209" i="60"/>
  <c r="E3209" i="60"/>
  <c r="F3209" i="60"/>
  <c r="G3209" i="60"/>
  <c r="A3210" i="60"/>
  <c r="C3210" i="60"/>
  <c r="D3210" i="60"/>
  <c r="E3210" i="60"/>
  <c r="F3210" i="60"/>
  <c r="G3210" i="60"/>
  <c r="A3211" i="60"/>
  <c r="C3211" i="60"/>
  <c r="D3211" i="60"/>
  <c r="E3211" i="60"/>
  <c r="F3211" i="60"/>
  <c r="G3211" i="60"/>
  <c r="A3212" i="60"/>
  <c r="C3212" i="60"/>
  <c r="D3212" i="60"/>
  <c r="E3212" i="60"/>
  <c r="F3212" i="60"/>
  <c r="G3212" i="60"/>
  <c r="A3213" i="60"/>
  <c r="C3213" i="60"/>
  <c r="D3213" i="60"/>
  <c r="E3213" i="60"/>
  <c r="F3213" i="60"/>
  <c r="G3213" i="60"/>
  <c r="A3214" i="60"/>
  <c r="C3214" i="60"/>
  <c r="D3214" i="60"/>
  <c r="E3214" i="60"/>
  <c r="F3214" i="60"/>
  <c r="G3214" i="60"/>
  <c r="A3215" i="60"/>
  <c r="C3215" i="60"/>
  <c r="D3215" i="60"/>
  <c r="E3215" i="60"/>
  <c r="F3215" i="60"/>
  <c r="G3215" i="60"/>
  <c r="A3216" i="60"/>
  <c r="C3216" i="60"/>
  <c r="D3216" i="60"/>
  <c r="E3216" i="60"/>
  <c r="F3216" i="60"/>
  <c r="G3216" i="60"/>
  <c r="A3217" i="60"/>
  <c r="C3217" i="60"/>
  <c r="D3217" i="60"/>
  <c r="E3217" i="60"/>
  <c r="F3217" i="60"/>
  <c r="G3217" i="60"/>
  <c r="A3218" i="60"/>
  <c r="C3218" i="60"/>
  <c r="D3218" i="60"/>
  <c r="E3218" i="60"/>
  <c r="F3218" i="60"/>
  <c r="G3218" i="60"/>
  <c r="A3219" i="60"/>
  <c r="C3219" i="60"/>
  <c r="D3219" i="60"/>
  <c r="E3219" i="60"/>
  <c r="F3219" i="60"/>
  <c r="G3219" i="60"/>
  <c r="A3220" i="60"/>
  <c r="C3220" i="60"/>
  <c r="D3220" i="60"/>
  <c r="E3220" i="60"/>
  <c r="F3220" i="60"/>
  <c r="G3220" i="60"/>
  <c r="A3221" i="60"/>
  <c r="C3221" i="60"/>
  <c r="D3221" i="60"/>
  <c r="E3221" i="60"/>
  <c r="F3221" i="60"/>
  <c r="G3221" i="60"/>
  <c r="A3222" i="60"/>
  <c r="C3222" i="60"/>
  <c r="D3222" i="60"/>
  <c r="E3222" i="60"/>
  <c r="F3222" i="60"/>
  <c r="G3222" i="60"/>
  <c r="A3223" i="60"/>
  <c r="C3223" i="60"/>
  <c r="D3223" i="60"/>
  <c r="E3223" i="60"/>
  <c r="F3223" i="60"/>
  <c r="G3223" i="60"/>
  <c r="A3224" i="60"/>
  <c r="C3224" i="60"/>
  <c r="D3224" i="60"/>
  <c r="E3224" i="60"/>
  <c r="F3224" i="60"/>
  <c r="G3224" i="60"/>
  <c r="A3225" i="60"/>
  <c r="C3225" i="60"/>
  <c r="D3225" i="60"/>
  <c r="E3225" i="60"/>
  <c r="F3225" i="60"/>
  <c r="G3225" i="60"/>
  <c r="A3226" i="60"/>
  <c r="C3226" i="60"/>
  <c r="D3226" i="60"/>
  <c r="E3226" i="60"/>
  <c r="F3226" i="60"/>
  <c r="G3226" i="60"/>
  <c r="A3227" i="60"/>
  <c r="C3227" i="60"/>
  <c r="D3227" i="60"/>
  <c r="E3227" i="60"/>
  <c r="F3227" i="60"/>
  <c r="G3227" i="60"/>
  <c r="A3228" i="60"/>
  <c r="C3228" i="60"/>
  <c r="D3228" i="60"/>
  <c r="E3228" i="60"/>
  <c r="F3228" i="60"/>
  <c r="G3228" i="60"/>
  <c r="A3229" i="60"/>
  <c r="C3229" i="60"/>
  <c r="D3229" i="60"/>
  <c r="E3229" i="60"/>
  <c r="F3229" i="60"/>
  <c r="G3229" i="60"/>
  <c r="A3230" i="60"/>
  <c r="C3230" i="60"/>
  <c r="D3230" i="60"/>
  <c r="E3230" i="60"/>
  <c r="F3230" i="60"/>
  <c r="G3230" i="60"/>
  <c r="A3231" i="60"/>
  <c r="C3231" i="60"/>
  <c r="D3231" i="60"/>
  <c r="E3231" i="60"/>
  <c r="F3231" i="60"/>
  <c r="G3231" i="60"/>
  <c r="A3232" i="60"/>
  <c r="C3232" i="60"/>
  <c r="D3232" i="60"/>
  <c r="E3232" i="60"/>
  <c r="F3232" i="60"/>
  <c r="G3232" i="60"/>
  <c r="A3233" i="60"/>
  <c r="C3233" i="60"/>
  <c r="D3233" i="60"/>
  <c r="E3233" i="60"/>
  <c r="F3233" i="60"/>
  <c r="G3233" i="60"/>
  <c r="A3234" i="60"/>
  <c r="C3234" i="60"/>
  <c r="D3234" i="60"/>
  <c r="E3234" i="60"/>
  <c r="F3234" i="60"/>
  <c r="G3234" i="60"/>
  <c r="A3235" i="60"/>
  <c r="C3235" i="60"/>
  <c r="D3235" i="60"/>
  <c r="E3235" i="60"/>
  <c r="F3235" i="60"/>
  <c r="G3235" i="60"/>
  <c r="A3236" i="60"/>
  <c r="C3236" i="60"/>
  <c r="D3236" i="60"/>
  <c r="E3236" i="60"/>
  <c r="F3236" i="60"/>
  <c r="G3236" i="60"/>
  <c r="A3237" i="60"/>
  <c r="C3237" i="60"/>
  <c r="D3237" i="60"/>
  <c r="E3237" i="60"/>
  <c r="F3237" i="60"/>
  <c r="G3237" i="60"/>
  <c r="A3238" i="60"/>
  <c r="C3238" i="60"/>
  <c r="D3238" i="60"/>
  <c r="E3238" i="60"/>
  <c r="F3238" i="60"/>
  <c r="G3238" i="60"/>
  <c r="A3239" i="60"/>
  <c r="C3239" i="60"/>
  <c r="D3239" i="60"/>
  <c r="E3239" i="60"/>
  <c r="F3239" i="60"/>
  <c r="G3239" i="60"/>
  <c r="A3240" i="60"/>
  <c r="C3240" i="60"/>
  <c r="D3240" i="60"/>
  <c r="E3240" i="60"/>
  <c r="F3240" i="60"/>
  <c r="G3240" i="60"/>
  <c r="A3241" i="60"/>
  <c r="C3241" i="60"/>
  <c r="D3241" i="60"/>
  <c r="E3241" i="60"/>
  <c r="F3241" i="60"/>
  <c r="G3241" i="60"/>
  <c r="A3242" i="60"/>
  <c r="C3242" i="60"/>
  <c r="D3242" i="60"/>
  <c r="E3242" i="60"/>
  <c r="F3242" i="60"/>
  <c r="G3242" i="60"/>
  <c r="A3243" i="60"/>
  <c r="C3243" i="60"/>
  <c r="D3243" i="60"/>
  <c r="E3243" i="60"/>
  <c r="F3243" i="60"/>
  <c r="G3243" i="60"/>
  <c r="A3244" i="60"/>
  <c r="C3244" i="60"/>
  <c r="D3244" i="60"/>
  <c r="E3244" i="60"/>
  <c r="F3244" i="60"/>
  <c r="G3244" i="60"/>
  <c r="A3245" i="60"/>
  <c r="C3245" i="60"/>
  <c r="D3245" i="60"/>
  <c r="E3245" i="60"/>
  <c r="F3245" i="60"/>
  <c r="G3245" i="60"/>
  <c r="A3246" i="60"/>
  <c r="C3246" i="60"/>
  <c r="D3246" i="60"/>
  <c r="E3246" i="60"/>
  <c r="F3246" i="60"/>
  <c r="G3246" i="60"/>
  <c r="A3247" i="60"/>
  <c r="C3247" i="60"/>
  <c r="D3247" i="60"/>
  <c r="E3247" i="60"/>
  <c r="F3247" i="60"/>
  <c r="G3247" i="60"/>
  <c r="A3248" i="60"/>
  <c r="C3248" i="60"/>
  <c r="D3248" i="60"/>
  <c r="E3248" i="60"/>
  <c r="F3248" i="60"/>
  <c r="G3248" i="60"/>
  <c r="A3249" i="60"/>
  <c r="C3249" i="60"/>
  <c r="D3249" i="60"/>
  <c r="E3249" i="60"/>
  <c r="F3249" i="60"/>
  <c r="G3249" i="60"/>
  <c r="A3250" i="60"/>
  <c r="C3250" i="60"/>
  <c r="D3250" i="60"/>
  <c r="E3250" i="60"/>
  <c r="F3250" i="60"/>
  <c r="G3250" i="60"/>
  <c r="A3251" i="60"/>
  <c r="C3251" i="60"/>
  <c r="D3251" i="60"/>
  <c r="E3251" i="60"/>
  <c r="F3251" i="60"/>
  <c r="G3251" i="60"/>
  <c r="A3252" i="60"/>
  <c r="C3252" i="60"/>
  <c r="D3252" i="60"/>
  <c r="E3252" i="60"/>
  <c r="F3252" i="60"/>
  <c r="G3252" i="60"/>
  <c r="A3253" i="60"/>
  <c r="C3253" i="60"/>
  <c r="D3253" i="60"/>
  <c r="E3253" i="60"/>
  <c r="F3253" i="60"/>
  <c r="G3253" i="60"/>
  <c r="A3254" i="60"/>
  <c r="C3254" i="60"/>
  <c r="D3254" i="60"/>
  <c r="E3254" i="60"/>
  <c r="F3254" i="60"/>
  <c r="G3254" i="60"/>
  <c r="A3255" i="60"/>
  <c r="C3255" i="60"/>
  <c r="D3255" i="60"/>
  <c r="E3255" i="60"/>
  <c r="F3255" i="60"/>
  <c r="G3255" i="60"/>
  <c r="A3256" i="60"/>
  <c r="C3256" i="60"/>
  <c r="D3256" i="60"/>
  <c r="E3256" i="60"/>
  <c r="F3256" i="60"/>
  <c r="G3256" i="60"/>
  <c r="A3257" i="60"/>
  <c r="C3257" i="60"/>
  <c r="D3257" i="60"/>
  <c r="E3257" i="60"/>
  <c r="F3257" i="60"/>
  <c r="G3257" i="60"/>
  <c r="A3258" i="60"/>
  <c r="C3258" i="60"/>
  <c r="D3258" i="60"/>
  <c r="E3258" i="60"/>
  <c r="F3258" i="60"/>
  <c r="G3258" i="60"/>
  <c r="A3259" i="60"/>
  <c r="C3259" i="60"/>
  <c r="D3259" i="60"/>
  <c r="E3259" i="60"/>
  <c r="F3259" i="60"/>
  <c r="G3259" i="60"/>
  <c r="A3260" i="60"/>
  <c r="C3260" i="60"/>
  <c r="D3260" i="60"/>
  <c r="E3260" i="60"/>
  <c r="F3260" i="60"/>
  <c r="G3260" i="60"/>
  <c r="A3261" i="60"/>
  <c r="C3261" i="60"/>
  <c r="D3261" i="60"/>
  <c r="E3261" i="60"/>
  <c r="F3261" i="60"/>
  <c r="G3261" i="60"/>
  <c r="A3262" i="60"/>
  <c r="C3262" i="60"/>
  <c r="D3262" i="60"/>
  <c r="E3262" i="60"/>
  <c r="F3262" i="60"/>
  <c r="G3262" i="60"/>
  <c r="A3263" i="60"/>
  <c r="C3263" i="60"/>
  <c r="D3263" i="60"/>
  <c r="E3263" i="60"/>
  <c r="F3263" i="60"/>
  <c r="G3263" i="60"/>
  <c r="A3264" i="60"/>
  <c r="C3264" i="60"/>
  <c r="D3264" i="60"/>
  <c r="E3264" i="60"/>
  <c r="F3264" i="60"/>
  <c r="G3264" i="60"/>
  <c r="A3265" i="60"/>
  <c r="C3265" i="60"/>
  <c r="D3265" i="60"/>
  <c r="E3265" i="60"/>
  <c r="F3265" i="60"/>
  <c r="G3265" i="60"/>
  <c r="A3266" i="60"/>
  <c r="C3266" i="60"/>
  <c r="D3266" i="60"/>
  <c r="E3266" i="60"/>
  <c r="F3266" i="60"/>
  <c r="G3266" i="60"/>
  <c r="A3267" i="60"/>
  <c r="C3267" i="60"/>
  <c r="D3267" i="60"/>
  <c r="E3267" i="60"/>
  <c r="F3267" i="60"/>
  <c r="G3267" i="60"/>
  <c r="A3268" i="60"/>
  <c r="C3268" i="60"/>
  <c r="D3268" i="60"/>
  <c r="E3268" i="60"/>
  <c r="F3268" i="60"/>
  <c r="G3268" i="60"/>
  <c r="A3269" i="60"/>
  <c r="C3269" i="60"/>
  <c r="D3269" i="60"/>
  <c r="E3269" i="60"/>
  <c r="F3269" i="60"/>
  <c r="G3269" i="60"/>
  <c r="A3270" i="60"/>
  <c r="C3270" i="60"/>
  <c r="D3270" i="60"/>
  <c r="E3270" i="60"/>
  <c r="F3270" i="60"/>
  <c r="G3270" i="60"/>
  <c r="A3271" i="60"/>
  <c r="C3271" i="60"/>
  <c r="D3271" i="60"/>
  <c r="E3271" i="60"/>
  <c r="F3271" i="60"/>
  <c r="G3271" i="60"/>
  <c r="A3272" i="60"/>
  <c r="C3272" i="60"/>
  <c r="D3272" i="60"/>
  <c r="E3272" i="60"/>
  <c r="F3272" i="60"/>
  <c r="G3272" i="60"/>
  <c r="A3273" i="60"/>
  <c r="C3273" i="60"/>
  <c r="D3273" i="60"/>
  <c r="E3273" i="60"/>
  <c r="F3273" i="60"/>
  <c r="G3273" i="60"/>
  <c r="A3274" i="60"/>
  <c r="C3274" i="60"/>
  <c r="D3274" i="60"/>
  <c r="E3274" i="60"/>
  <c r="F3274" i="60"/>
  <c r="G3274" i="60"/>
  <c r="A3275" i="60"/>
  <c r="C3275" i="60"/>
  <c r="D3275" i="60"/>
  <c r="E3275" i="60"/>
  <c r="F3275" i="60"/>
  <c r="G3275" i="60"/>
  <c r="A3276" i="60"/>
  <c r="C3276" i="60"/>
  <c r="D3276" i="60"/>
  <c r="E3276" i="60"/>
  <c r="F3276" i="60"/>
  <c r="G3276" i="60"/>
  <c r="A3277" i="60"/>
  <c r="C3277" i="60"/>
  <c r="D3277" i="60"/>
  <c r="E3277" i="60"/>
  <c r="F3277" i="60"/>
  <c r="G3277" i="60"/>
  <c r="A3278" i="60"/>
  <c r="C3278" i="60"/>
  <c r="D3278" i="60"/>
  <c r="E3278" i="60"/>
  <c r="F3278" i="60"/>
  <c r="G3278" i="60"/>
  <c r="A3279" i="60"/>
  <c r="C3279" i="60"/>
  <c r="D3279" i="60"/>
  <c r="E3279" i="60"/>
  <c r="F3279" i="60"/>
  <c r="G3279" i="60"/>
  <c r="A3280" i="60"/>
  <c r="C3280" i="60"/>
  <c r="D3280" i="60"/>
  <c r="E3280" i="60"/>
  <c r="F3280" i="60"/>
  <c r="G3280" i="60"/>
  <c r="A3281" i="60"/>
  <c r="C3281" i="60"/>
  <c r="D3281" i="60"/>
  <c r="E3281" i="60"/>
  <c r="F3281" i="60"/>
  <c r="G3281" i="60"/>
  <c r="A3282" i="60"/>
  <c r="C3282" i="60"/>
  <c r="D3282" i="60"/>
  <c r="E3282" i="60"/>
  <c r="F3282" i="60"/>
  <c r="G3282" i="60"/>
  <c r="A3283" i="60"/>
  <c r="C3283" i="60"/>
  <c r="D3283" i="60"/>
  <c r="E3283" i="60"/>
  <c r="F3283" i="60"/>
  <c r="G3283" i="60"/>
  <c r="A3284" i="60"/>
  <c r="C3284" i="60"/>
  <c r="D3284" i="60"/>
  <c r="E3284" i="60"/>
  <c r="F3284" i="60"/>
  <c r="G3284" i="60"/>
  <c r="A3285" i="60"/>
  <c r="C3285" i="60"/>
  <c r="D3285" i="60"/>
  <c r="E3285" i="60"/>
  <c r="F3285" i="60"/>
  <c r="G3285" i="60"/>
  <c r="A3286" i="60"/>
  <c r="C3286" i="60"/>
  <c r="D3286" i="60"/>
  <c r="E3286" i="60"/>
  <c r="F3286" i="60"/>
  <c r="G3286" i="60"/>
  <c r="A3287" i="60"/>
  <c r="C3287" i="60"/>
  <c r="D3287" i="60"/>
  <c r="E3287" i="60"/>
  <c r="F3287" i="60"/>
  <c r="G3287" i="60"/>
  <c r="A3288" i="60"/>
  <c r="C3288" i="60"/>
  <c r="D3288" i="60"/>
  <c r="E3288" i="60"/>
  <c r="F3288" i="60"/>
  <c r="G3288" i="60"/>
  <c r="A3289" i="60"/>
  <c r="C3289" i="60"/>
  <c r="D3289" i="60"/>
  <c r="E3289" i="60"/>
  <c r="F3289" i="60"/>
  <c r="G3289" i="60"/>
  <c r="A3290" i="60"/>
  <c r="C3290" i="60"/>
  <c r="D3290" i="60"/>
  <c r="E3290" i="60"/>
  <c r="F3290" i="60"/>
  <c r="G3290" i="60"/>
  <c r="A3291" i="60"/>
  <c r="C3291" i="60"/>
  <c r="D3291" i="60"/>
  <c r="E3291" i="60"/>
  <c r="F3291" i="60"/>
  <c r="G3291" i="60"/>
  <c r="A3292" i="60"/>
  <c r="C3292" i="60"/>
  <c r="D3292" i="60"/>
  <c r="E3292" i="60"/>
  <c r="F3292" i="60"/>
  <c r="G3292" i="60"/>
  <c r="A3293" i="60"/>
  <c r="C3293" i="60"/>
  <c r="D3293" i="60"/>
  <c r="E3293" i="60"/>
  <c r="F3293" i="60"/>
  <c r="G3293" i="60"/>
  <c r="A3294" i="60"/>
  <c r="C3294" i="60"/>
  <c r="D3294" i="60"/>
  <c r="E3294" i="60"/>
  <c r="F3294" i="60"/>
  <c r="G3294" i="60"/>
  <c r="A3295" i="60"/>
  <c r="C3295" i="60"/>
  <c r="D3295" i="60"/>
  <c r="E3295" i="60"/>
  <c r="F3295" i="60"/>
  <c r="G3295" i="60"/>
  <c r="A3296" i="60"/>
  <c r="C3296" i="60"/>
  <c r="D3296" i="60"/>
  <c r="E3296" i="60"/>
  <c r="F3296" i="60"/>
  <c r="G3296" i="60"/>
  <c r="A3297" i="60"/>
  <c r="C3297" i="60"/>
  <c r="D3297" i="60"/>
  <c r="E3297" i="60"/>
  <c r="F3297" i="60"/>
  <c r="G3297" i="60"/>
  <c r="A3298" i="60"/>
  <c r="C3298" i="60"/>
  <c r="D3298" i="60"/>
  <c r="E3298" i="60"/>
  <c r="F3298" i="60"/>
  <c r="G3298" i="60"/>
  <c r="A3299" i="60"/>
  <c r="C3299" i="60"/>
  <c r="D3299" i="60"/>
  <c r="E3299" i="60"/>
  <c r="F3299" i="60"/>
  <c r="G3299" i="60"/>
  <c r="A3300" i="60"/>
  <c r="C3300" i="60"/>
  <c r="D3300" i="60"/>
  <c r="E3300" i="60"/>
  <c r="F3300" i="60"/>
  <c r="G3300" i="60"/>
  <c r="A3301" i="60"/>
  <c r="C3301" i="60"/>
  <c r="D3301" i="60"/>
  <c r="E3301" i="60"/>
  <c r="F3301" i="60"/>
  <c r="G3301" i="60"/>
  <c r="A3302" i="60"/>
  <c r="C3302" i="60"/>
  <c r="D3302" i="60"/>
  <c r="E3302" i="60"/>
  <c r="F3302" i="60"/>
  <c r="G3302" i="60"/>
  <c r="A3303" i="60"/>
  <c r="C3303" i="60"/>
  <c r="D3303" i="60"/>
  <c r="E3303" i="60"/>
  <c r="F3303" i="60"/>
  <c r="G3303" i="60"/>
  <c r="A3304" i="60"/>
  <c r="C3304" i="60"/>
  <c r="D3304" i="60"/>
  <c r="E3304" i="60"/>
  <c r="F3304" i="60"/>
  <c r="G3304" i="60"/>
  <c r="A3305" i="60"/>
  <c r="C3305" i="60"/>
  <c r="D3305" i="60"/>
  <c r="E3305" i="60"/>
  <c r="F3305" i="60"/>
  <c r="G3305" i="60"/>
  <c r="A3306" i="60"/>
  <c r="C3306" i="60"/>
  <c r="D3306" i="60"/>
  <c r="E3306" i="60"/>
  <c r="F3306" i="60"/>
  <c r="G3306" i="60"/>
  <c r="A3307" i="60"/>
  <c r="C3307" i="60"/>
  <c r="D3307" i="60"/>
  <c r="E3307" i="60"/>
  <c r="F3307" i="60"/>
  <c r="G3307" i="60"/>
  <c r="A3308" i="60"/>
  <c r="C3308" i="60"/>
  <c r="D3308" i="60"/>
  <c r="E3308" i="60"/>
  <c r="F3308" i="60"/>
  <c r="G3308" i="60"/>
  <c r="A3309" i="60"/>
  <c r="C3309" i="60"/>
  <c r="D3309" i="60"/>
  <c r="E3309" i="60"/>
  <c r="F3309" i="60"/>
  <c r="G3309" i="60"/>
  <c r="A3310" i="60"/>
  <c r="C3310" i="60"/>
  <c r="D3310" i="60"/>
  <c r="E3310" i="60"/>
  <c r="F3310" i="60"/>
  <c r="G3310" i="60"/>
  <c r="A3311" i="60"/>
  <c r="C3311" i="60"/>
  <c r="D3311" i="60"/>
  <c r="E3311" i="60"/>
  <c r="F3311" i="60"/>
  <c r="G3311" i="60"/>
  <c r="A3312" i="60"/>
  <c r="C3312" i="60"/>
  <c r="D3312" i="60"/>
  <c r="E3312" i="60"/>
  <c r="F3312" i="60"/>
  <c r="G3312" i="60"/>
  <c r="A3313" i="60"/>
  <c r="C3313" i="60"/>
  <c r="D3313" i="60"/>
  <c r="E3313" i="60"/>
  <c r="F3313" i="60"/>
  <c r="G3313" i="60"/>
  <c r="A3314" i="60"/>
  <c r="C3314" i="60"/>
  <c r="D3314" i="60"/>
  <c r="E3314" i="60"/>
  <c r="F3314" i="60"/>
  <c r="G3314" i="60"/>
  <c r="A3315" i="60"/>
  <c r="C3315" i="60"/>
  <c r="D3315" i="60"/>
  <c r="E3315" i="60"/>
  <c r="F3315" i="60"/>
  <c r="G3315" i="60"/>
  <c r="A3316" i="60"/>
  <c r="C3316" i="60"/>
  <c r="D3316" i="60"/>
  <c r="E3316" i="60"/>
  <c r="F3316" i="60"/>
  <c r="G3316" i="60"/>
  <c r="A3317" i="60"/>
  <c r="C3317" i="60"/>
  <c r="D3317" i="60"/>
  <c r="E3317" i="60"/>
  <c r="F3317" i="60"/>
  <c r="G3317" i="60"/>
  <c r="A3318" i="60"/>
  <c r="C3318" i="60"/>
  <c r="D3318" i="60"/>
  <c r="E3318" i="60"/>
  <c r="F3318" i="60"/>
  <c r="G3318" i="60"/>
  <c r="A3319" i="60"/>
  <c r="C3319" i="60"/>
  <c r="D3319" i="60"/>
  <c r="E3319" i="60"/>
  <c r="F3319" i="60"/>
  <c r="G3319" i="60"/>
  <c r="A3320" i="60"/>
  <c r="C3320" i="60"/>
  <c r="D3320" i="60"/>
  <c r="E3320" i="60"/>
  <c r="F3320" i="60"/>
  <c r="G3320" i="60"/>
  <c r="A3321" i="60"/>
  <c r="C3321" i="60"/>
  <c r="D3321" i="60"/>
  <c r="E3321" i="60"/>
  <c r="F3321" i="60"/>
  <c r="G3321" i="60"/>
  <c r="A3322" i="60"/>
  <c r="C3322" i="60"/>
  <c r="D3322" i="60"/>
  <c r="E3322" i="60"/>
  <c r="F3322" i="60"/>
  <c r="G3322" i="60"/>
  <c r="A3323" i="60"/>
  <c r="C3323" i="60"/>
  <c r="D3323" i="60"/>
  <c r="E3323" i="60"/>
  <c r="F3323" i="60"/>
  <c r="G3323" i="60"/>
  <c r="A3324" i="60"/>
  <c r="C3324" i="60"/>
  <c r="D3324" i="60"/>
  <c r="E3324" i="60"/>
  <c r="F3324" i="60"/>
  <c r="G3324" i="60"/>
  <c r="A3325" i="60"/>
  <c r="C3325" i="60"/>
  <c r="D3325" i="60"/>
  <c r="E3325" i="60"/>
  <c r="F3325" i="60"/>
  <c r="G3325" i="60"/>
  <c r="A3326" i="60"/>
  <c r="C3326" i="60"/>
  <c r="D3326" i="60"/>
  <c r="E3326" i="60"/>
  <c r="F3326" i="60"/>
  <c r="G3326" i="60"/>
  <c r="A3327" i="60"/>
  <c r="C3327" i="60"/>
  <c r="D3327" i="60"/>
  <c r="E3327" i="60"/>
  <c r="F3327" i="60"/>
  <c r="G3327" i="60"/>
  <c r="A3328" i="60"/>
  <c r="C3328" i="60"/>
  <c r="D3328" i="60"/>
  <c r="E3328" i="60"/>
  <c r="F3328" i="60"/>
  <c r="G3328" i="60"/>
  <c r="A3329" i="60"/>
  <c r="C3329" i="60"/>
  <c r="D3329" i="60"/>
  <c r="E3329" i="60"/>
  <c r="F3329" i="60"/>
  <c r="G3329" i="60"/>
  <c r="A3330" i="60"/>
  <c r="C3330" i="60"/>
  <c r="D3330" i="60"/>
  <c r="E3330" i="60"/>
  <c r="F3330" i="60"/>
  <c r="G3330" i="60"/>
  <c r="A3331" i="60"/>
  <c r="C3331" i="60"/>
  <c r="D3331" i="60"/>
  <c r="E3331" i="60"/>
  <c r="F3331" i="60"/>
  <c r="G3331" i="60"/>
  <c r="A3332" i="60"/>
  <c r="C3332" i="60"/>
  <c r="D3332" i="60"/>
  <c r="E3332" i="60"/>
  <c r="F3332" i="60"/>
  <c r="G3332" i="60"/>
  <c r="A3333" i="60"/>
  <c r="C3333" i="60"/>
  <c r="D3333" i="60"/>
  <c r="E3333" i="60"/>
  <c r="F3333" i="60"/>
  <c r="G3333" i="60"/>
  <c r="A3334" i="60"/>
  <c r="C3334" i="60"/>
  <c r="D3334" i="60"/>
  <c r="E3334" i="60"/>
  <c r="F3334" i="60"/>
  <c r="G3334" i="60"/>
  <c r="A3335" i="60"/>
  <c r="C3335" i="60"/>
  <c r="D3335" i="60"/>
  <c r="E3335" i="60"/>
  <c r="F3335" i="60"/>
  <c r="G3335" i="60"/>
  <c r="A3336" i="60"/>
  <c r="C3336" i="60"/>
  <c r="D3336" i="60"/>
  <c r="E3336" i="60"/>
  <c r="F3336" i="60"/>
  <c r="G3336" i="60"/>
  <c r="A3337" i="60"/>
  <c r="C3337" i="60"/>
  <c r="D3337" i="60"/>
  <c r="E3337" i="60"/>
  <c r="F3337" i="60"/>
  <c r="G3337" i="60"/>
  <c r="A3338" i="60"/>
  <c r="C3338" i="60"/>
  <c r="D3338" i="60"/>
  <c r="E3338" i="60"/>
  <c r="F3338" i="60"/>
  <c r="G3338" i="60"/>
  <c r="A3339" i="60"/>
  <c r="C3339" i="60"/>
  <c r="D3339" i="60"/>
  <c r="E3339" i="60"/>
  <c r="F3339" i="60"/>
  <c r="G3339" i="60"/>
  <c r="A3340" i="60"/>
  <c r="C3340" i="60"/>
  <c r="D3340" i="60"/>
  <c r="E3340" i="60"/>
  <c r="F3340" i="60"/>
  <c r="G3340" i="60"/>
  <c r="A3341" i="60"/>
  <c r="C3341" i="60"/>
  <c r="D3341" i="60"/>
  <c r="E3341" i="60"/>
  <c r="F3341" i="60"/>
  <c r="G3341" i="60"/>
  <c r="A3342" i="60"/>
  <c r="C3342" i="60"/>
  <c r="D3342" i="60"/>
  <c r="E3342" i="60"/>
  <c r="F3342" i="60"/>
  <c r="G3342" i="60"/>
  <c r="A3343" i="60"/>
  <c r="C3343" i="60"/>
  <c r="D3343" i="60"/>
  <c r="E3343" i="60"/>
  <c r="F3343" i="60"/>
  <c r="G3343" i="60"/>
  <c r="A3344" i="60"/>
  <c r="C3344" i="60"/>
  <c r="D3344" i="60"/>
  <c r="E3344" i="60"/>
  <c r="F3344" i="60"/>
  <c r="G3344" i="60"/>
  <c r="A3345" i="60"/>
  <c r="C3345" i="60"/>
  <c r="D3345" i="60"/>
  <c r="E3345" i="60"/>
  <c r="F3345" i="60"/>
  <c r="G3345" i="60"/>
  <c r="A3346" i="60"/>
  <c r="C3346" i="60"/>
  <c r="D3346" i="60"/>
  <c r="E3346" i="60"/>
  <c r="F3346" i="60"/>
  <c r="G3346" i="60"/>
  <c r="A3347" i="60"/>
  <c r="C3347" i="60"/>
  <c r="D3347" i="60"/>
  <c r="E3347" i="60"/>
  <c r="F3347" i="60"/>
  <c r="G3347" i="60"/>
  <c r="A3348" i="60"/>
  <c r="C3348" i="60"/>
  <c r="D3348" i="60"/>
  <c r="E3348" i="60"/>
  <c r="F3348" i="60"/>
  <c r="G3348" i="60"/>
  <c r="A3349" i="60"/>
  <c r="C3349" i="60"/>
  <c r="D3349" i="60"/>
  <c r="E3349" i="60"/>
  <c r="F3349" i="60"/>
  <c r="G3349" i="60"/>
  <c r="A3350" i="60"/>
  <c r="C3350" i="60"/>
  <c r="D3350" i="60"/>
  <c r="E3350" i="60"/>
  <c r="F3350" i="60"/>
  <c r="G3350" i="60"/>
  <c r="A3351" i="60"/>
  <c r="C3351" i="60"/>
  <c r="D3351" i="60"/>
  <c r="E3351" i="60"/>
  <c r="F3351" i="60"/>
  <c r="G3351" i="60"/>
  <c r="A3352" i="60"/>
  <c r="C3352" i="60"/>
  <c r="D3352" i="60"/>
  <c r="E3352" i="60"/>
  <c r="F3352" i="60"/>
  <c r="G3352" i="60"/>
  <c r="A3353" i="60"/>
  <c r="C3353" i="60"/>
  <c r="D3353" i="60"/>
  <c r="E3353" i="60"/>
  <c r="F3353" i="60"/>
  <c r="G3353" i="60"/>
  <c r="A3354" i="60"/>
  <c r="C3354" i="60"/>
  <c r="D3354" i="60"/>
  <c r="E3354" i="60"/>
  <c r="F3354" i="60"/>
  <c r="G3354" i="60"/>
  <c r="A3355" i="60"/>
  <c r="C3355" i="60"/>
  <c r="D3355" i="60"/>
  <c r="E3355" i="60"/>
  <c r="F3355" i="60"/>
  <c r="G3355" i="60"/>
  <c r="A3356" i="60"/>
  <c r="C3356" i="60"/>
  <c r="D3356" i="60"/>
  <c r="E3356" i="60"/>
  <c r="F3356" i="60"/>
  <c r="G3356" i="60"/>
  <c r="A3357" i="60"/>
  <c r="C3357" i="60"/>
  <c r="D3357" i="60"/>
  <c r="E3357" i="60"/>
  <c r="F3357" i="60"/>
  <c r="G3357" i="60"/>
  <c r="A3358" i="60"/>
  <c r="C3358" i="60"/>
  <c r="D3358" i="60"/>
  <c r="E3358" i="60"/>
  <c r="F3358" i="60"/>
  <c r="G3358" i="60"/>
  <c r="A3359" i="60"/>
  <c r="C3359" i="60"/>
  <c r="D3359" i="60"/>
  <c r="E3359" i="60"/>
  <c r="F3359" i="60"/>
  <c r="G3359" i="60"/>
  <c r="A3360" i="60"/>
  <c r="C3360" i="60"/>
  <c r="D3360" i="60"/>
  <c r="E3360" i="60"/>
  <c r="F3360" i="60"/>
  <c r="G3360" i="60"/>
  <c r="A3361" i="60"/>
  <c r="C3361" i="60"/>
  <c r="D3361" i="60"/>
  <c r="E3361" i="60"/>
  <c r="F3361" i="60"/>
  <c r="G3361" i="60"/>
  <c r="A3362" i="60"/>
  <c r="C3362" i="60"/>
  <c r="D3362" i="60"/>
  <c r="E3362" i="60"/>
  <c r="F3362" i="60"/>
  <c r="G3362" i="60"/>
  <c r="A3363" i="60"/>
  <c r="C3363" i="60"/>
  <c r="D3363" i="60"/>
  <c r="E3363" i="60"/>
  <c r="F3363" i="60"/>
  <c r="G3363" i="60"/>
  <c r="A3364" i="60"/>
  <c r="C3364" i="60"/>
  <c r="D3364" i="60"/>
  <c r="E3364" i="60"/>
  <c r="F3364" i="60"/>
  <c r="G3364" i="60"/>
  <c r="A3365" i="60"/>
  <c r="C3365" i="60"/>
  <c r="D3365" i="60"/>
  <c r="E3365" i="60"/>
  <c r="F3365" i="60"/>
  <c r="G3365" i="60"/>
  <c r="A3366" i="60"/>
  <c r="C3366" i="60"/>
  <c r="D3366" i="60"/>
  <c r="E3366" i="60"/>
  <c r="F3366" i="60"/>
  <c r="G3366" i="60"/>
  <c r="A3367" i="60"/>
  <c r="C3367" i="60"/>
  <c r="D3367" i="60"/>
  <c r="E3367" i="60"/>
  <c r="F3367" i="60"/>
  <c r="G3367" i="60"/>
  <c r="A3368" i="60"/>
  <c r="C3368" i="60"/>
  <c r="D3368" i="60"/>
  <c r="E3368" i="60"/>
  <c r="F3368" i="60"/>
  <c r="G3368" i="60"/>
  <c r="A3369" i="60"/>
  <c r="C3369" i="60"/>
  <c r="D3369" i="60"/>
  <c r="E3369" i="60"/>
  <c r="F3369" i="60"/>
  <c r="G3369" i="60"/>
  <c r="A3370" i="60"/>
  <c r="C3370" i="60"/>
  <c r="D3370" i="60"/>
  <c r="E3370" i="60"/>
  <c r="F3370" i="60"/>
  <c r="G3370" i="60"/>
  <c r="A3371" i="60"/>
  <c r="C3371" i="60"/>
  <c r="D3371" i="60"/>
  <c r="E3371" i="60"/>
  <c r="F3371" i="60"/>
  <c r="G3371" i="60"/>
  <c r="A3372" i="60"/>
  <c r="C3372" i="60"/>
  <c r="D3372" i="60"/>
  <c r="E3372" i="60"/>
  <c r="F3372" i="60"/>
  <c r="G3372" i="60"/>
  <c r="A3373" i="60"/>
  <c r="C3373" i="60"/>
  <c r="D3373" i="60"/>
  <c r="E3373" i="60"/>
  <c r="F3373" i="60"/>
  <c r="G3373" i="60"/>
  <c r="A3374" i="60"/>
  <c r="C3374" i="60"/>
  <c r="D3374" i="60"/>
  <c r="E3374" i="60"/>
  <c r="F3374" i="60"/>
  <c r="G3374" i="60"/>
  <c r="A3375" i="60"/>
  <c r="C3375" i="60"/>
  <c r="D3375" i="60"/>
  <c r="E3375" i="60"/>
  <c r="F3375" i="60"/>
  <c r="G3375" i="60"/>
  <c r="A3376" i="60"/>
  <c r="C3376" i="60"/>
  <c r="D3376" i="60"/>
  <c r="E3376" i="60"/>
  <c r="F3376" i="60"/>
  <c r="G3376" i="60"/>
  <c r="A3377" i="60"/>
  <c r="C3377" i="60"/>
  <c r="D3377" i="60"/>
  <c r="E3377" i="60"/>
  <c r="F3377" i="60"/>
  <c r="G3377" i="60"/>
  <c r="A3378" i="60"/>
  <c r="C3378" i="60"/>
  <c r="D3378" i="60"/>
  <c r="E3378" i="60"/>
  <c r="F3378" i="60"/>
  <c r="G3378" i="60"/>
  <c r="A3379" i="60"/>
  <c r="C3379" i="60"/>
  <c r="D3379" i="60"/>
  <c r="E3379" i="60"/>
  <c r="F3379" i="60"/>
  <c r="G3379" i="60"/>
  <c r="A3380" i="60"/>
  <c r="C3380" i="60"/>
  <c r="D3380" i="60"/>
  <c r="E3380" i="60"/>
  <c r="F3380" i="60"/>
  <c r="G3380" i="60"/>
  <c r="A3381" i="60"/>
  <c r="C3381" i="60"/>
  <c r="D3381" i="60"/>
  <c r="E3381" i="60"/>
  <c r="F3381" i="60"/>
  <c r="G3381" i="60"/>
  <c r="A3382" i="60"/>
  <c r="C3382" i="60"/>
  <c r="D3382" i="60"/>
  <c r="E3382" i="60"/>
  <c r="F3382" i="60"/>
  <c r="G3382" i="60"/>
  <c r="A3383" i="60"/>
  <c r="C3383" i="60"/>
  <c r="D3383" i="60"/>
  <c r="E3383" i="60"/>
  <c r="F3383" i="60"/>
  <c r="G3383" i="60"/>
  <c r="A3384" i="60"/>
  <c r="C3384" i="60"/>
  <c r="D3384" i="60"/>
  <c r="E3384" i="60"/>
  <c r="F3384" i="60"/>
  <c r="G3384" i="60"/>
  <c r="A3385" i="60"/>
  <c r="C3385" i="60"/>
  <c r="D3385" i="60"/>
  <c r="E3385" i="60"/>
  <c r="F3385" i="60"/>
  <c r="G3385" i="60"/>
  <c r="A3386" i="60"/>
  <c r="C3386" i="60"/>
  <c r="D3386" i="60"/>
  <c r="E3386" i="60"/>
  <c r="F3386" i="60"/>
  <c r="G3386" i="60"/>
  <c r="A3387" i="60"/>
  <c r="C3387" i="60"/>
  <c r="D3387" i="60"/>
  <c r="E3387" i="60"/>
  <c r="F3387" i="60"/>
  <c r="G3387" i="60"/>
  <c r="A3388" i="60"/>
  <c r="C3388" i="60"/>
  <c r="D3388" i="60"/>
  <c r="E3388" i="60"/>
  <c r="F3388" i="60"/>
  <c r="G3388" i="60"/>
  <c r="A3389" i="60"/>
  <c r="C3389" i="60"/>
  <c r="D3389" i="60"/>
  <c r="E3389" i="60"/>
  <c r="F3389" i="60"/>
  <c r="G3389" i="60"/>
  <c r="A3390" i="60"/>
  <c r="C3390" i="60"/>
  <c r="D3390" i="60"/>
  <c r="E3390" i="60"/>
  <c r="F3390" i="60"/>
  <c r="G3390" i="60"/>
  <c r="A3391" i="60"/>
  <c r="C3391" i="60"/>
  <c r="D3391" i="60"/>
  <c r="E3391" i="60"/>
  <c r="F3391" i="60"/>
  <c r="G3391" i="60"/>
  <c r="A3392" i="60"/>
  <c r="C3392" i="60"/>
  <c r="D3392" i="60"/>
  <c r="E3392" i="60"/>
  <c r="F3392" i="60"/>
  <c r="G3392" i="60"/>
  <c r="A3393" i="60"/>
  <c r="C3393" i="60"/>
  <c r="D3393" i="60"/>
  <c r="E3393" i="60"/>
  <c r="F3393" i="60"/>
  <c r="G3393" i="60"/>
  <c r="A3394" i="60"/>
  <c r="C3394" i="60"/>
  <c r="D3394" i="60"/>
  <c r="E3394" i="60"/>
  <c r="F3394" i="60"/>
  <c r="G3394" i="60"/>
  <c r="A3395" i="60"/>
  <c r="C3395" i="60"/>
  <c r="D3395" i="60"/>
  <c r="E3395" i="60"/>
  <c r="F3395" i="60"/>
  <c r="G3395" i="60"/>
  <c r="A3396" i="60"/>
  <c r="C3396" i="60"/>
  <c r="D3396" i="60"/>
  <c r="E3396" i="60"/>
  <c r="F3396" i="60"/>
  <c r="G3396" i="60"/>
  <c r="A3397" i="60"/>
  <c r="C3397" i="60"/>
  <c r="D3397" i="60"/>
  <c r="E3397" i="60"/>
  <c r="F3397" i="60"/>
  <c r="G3397" i="60"/>
  <c r="A3398" i="60"/>
  <c r="C3398" i="60"/>
  <c r="D3398" i="60"/>
  <c r="E3398" i="60"/>
  <c r="F3398" i="60"/>
  <c r="G3398" i="60"/>
  <c r="A3399" i="60"/>
  <c r="C3399" i="60"/>
  <c r="D3399" i="60"/>
  <c r="E3399" i="60"/>
  <c r="F3399" i="60"/>
  <c r="G3399" i="60"/>
  <c r="A3400" i="60"/>
  <c r="C3400" i="60"/>
  <c r="D3400" i="60"/>
  <c r="E3400" i="60"/>
  <c r="F3400" i="60"/>
  <c r="G3400" i="60"/>
  <c r="A3401" i="60"/>
  <c r="C3401" i="60"/>
  <c r="D3401" i="60"/>
  <c r="E3401" i="60"/>
  <c r="F3401" i="60"/>
  <c r="G3401" i="60"/>
  <c r="A3402" i="60"/>
  <c r="C3402" i="60"/>
  <c r="D3402" i="60"/>
  <c r="E3402" i="60"/>
  <c r="F3402" i="60"/>
  <c r="G3402" i="60"/>
  <c r="A3403" i="60"/>
  <c r="C3403" i="60"/>
  <c r="D3403" i="60"/>
  <c r="E3403" i="60"/>
  <c r="F3403" i="60"/>
  <c r="G3403" i="60"/>
  <c r="A3404" i="60"/>
  <c r="C3404" i="60"/>
  <c r="D3404" i="60"/>
  <c r="E3404" i="60"/>
  <c r="F3404" i="60"/>
  <c r="G3404" i="60"/>
  <c r="A3405" i="60"/>
  <c r="C3405" i="60"/>
  <c r="D3405" i="60"/>
  <c r="E3405" i="60"/>
  <c r="F3405" i="60"/>
  <c r="G3405" i="60"/>
  <c r="A3406" i="60"/>
  <c r="C3406" i="60"/>
  <c r="D3406" i="60"/>
  <c r="E3406" i="60"/>
  <c r="F3406" i="60"/>
  <c r="G3406" i="60"/>
  <c r="A3407" i="60"/>
  <c r="C3407" i="60"/>
  <c r="D3407" i="60"/>
  <c r="E3407" i="60"/>
  <c r="F3407" i="60"/>
  <c r="G3407" i="60"/>
  <c r="A3408" i="60"/>
  <c r="C3408" i="60"/>
  <c r="D3408" i="60"/>
  <c r="E3408" i="60"/>
  <c r="F3408" i="60"/>
  <c r="G3408" i="60"/>
  <c r="A3409" i="60"/>
  <c r="C3409" i="60"/>
  <c r="D3409" i="60"/>
  <c r="E3409" i="60"/>
  <c r="F3409" i="60"/>
  <c r="G3409" i="60"/>
  <c r="A3410" i="60"/>
  <c r="C3410" i="60"/>
  <c r="D3410" i="60"/>
  <c r="E3410" i="60"/>
  <c r="F3410" i="60"/>
  <c r="G3410" i="60"/>
  <c r="A3411" i="60"/>
  <c r="C3411" i="60"/>
  <c r="D3411" i="60"/>
  <c r="E3411" i="60"/>
  <c r="F3411" i="60"/>
  <c r="G3411" i="60"/>
  <c r="A3412" i="60"/>
  <c r="C3412" i="60"/>
  <c r="D3412" i="60"/>
  <c r="E3412" i="60"/>
  <c r="F3412" i="60"/>
  <c r="G3412" i="60"/>
  <c r="A3413" i="60"/>
  <c r="C3413" i="60"/>
  <c r="D3413" i="60"/>
  <c r="E3413" i="60"/>
  <c r="F3413" i="60"/>
  <c r="G3413" i="60"/>
  <c r="A3414" i="60"/>
  <c r="C3414" i="60"/>
  <c r="D3414" i="60"/>
  <c r="E3414" i="60"/>
  <c r="F3414" i="60"/>
  <c r="G3414" i="60"/>
  <c r="A3415" i="60"/>
  <c r="C3415" i="60"/>
  <c r="D3415" i="60"/>
  <c r="E3415" i="60"/>
  <c r="F3415" i="60"/>
  <c r="G3415" i="60"/>
  <c r="A3416" i="60"/>
  <c r="C3416" i="60"/>
  <c r="D3416" i="60"/>
  <c r="E3416" i="60"/>
  <c r="F3416" i="60"/>
  <c r="G3416" i="60"/>
  <c r="A3417" i="60"/>
  <c r="C3417" i="60"/>
  <c r="D3417" i="60"/>
  <c r="E3417" i="60"/>
  <c r="F3417" i="60"/>
  <c r="G3417" i="60"/>
  <c r="A3418" i="60"/>
  <c r="C3418" i="60"/>
  <c r="D3418" i="60"/>
  <c r="E3418" i="60"/>
  <c r="F3418" i="60"/>
  <c r="G3418" i="60"/>
  <c r="A3419" i="60"/>
  <c r="C3419" i="60"/>
  <c r="D3419" i="60"/>
  <c r="E3419" i="60"/>
  <c r="F3419" i="60"/>
  <c r="G3419" i="60"/>
  <c r="A3420" i="60"/>
  <c r="C3420" i="60"/>
  <c r="D3420" i="60"/>
  <c r="E3420" i="60"/>
  <c r="F3420" i="60"/>
  <c r="G3420" i="60"/>
  <c r="A3421" i="60"/>
  <c r="C3421" i="60"/>
  <c r="D3421" i="60"/>
  <c r="E3421" i="60"/>
  <c r="F3421" i="60"/>
  <c r="G3421" i="60"/>
  <c r="A3422" i="60"/>
  <c r="C3422" i="60"/>
  <c r="D3422" i="60"/>
  <c r="E3422" i="60"/>
  <c r="F3422" i="60"/>
  <c r="G3422" i="60"/>
  <c r="A3423" i="60"/>
  <c r="C3423" i="60"/>
  <c r="D3423" i="60"/>
  <c r="E3423" i="60"/>
  <c r="F3423" i="60"/>
  <c r="G3423" i="60"/>
  <c r="A3424" i="60"/>
  <c r="C3424" i="60"/>
  <c r="D3424" i="60"/>
  <c r="E3424" i="60"/>
  <c r="F3424" i="60"/>
  <c r="G3424" i="60"/>
  <c r="A3425" i="60"/>
  <c r="C3425" i="60"/>
  <c r="D3425" i="60"/>
  <c r="E3425" i="60"/>
  <c r="F3425" i="60"/>
  <c r="G3425" i="60"/>
  <c r="A3426" i="60"/>
  <c r="C3426" i="60"/>
  <c r="D3426" i="60"/>
  <c r="E3426" i="60"/>
  <c r="F3426" i="60"/>
  <c r="G3426" i="60"/>
  <c r="A3427" i="60"/>
  <c r="C3427" i="60"/>
  <c r="D3427" i="60"/>
  <c r="E3427" i="60"/>
  <c r="F3427" i="60"/>
  <c r="G3427" i="60"/>
  <c r="A3428" i="60"/>
  <c r="C3428" i="60"/>
  <c r="D3428" i="60"/>
  <c r="E3428" i="60"/>
  <c r="F3428" i="60"/>
  <c r="G3428" i="60"/>
  <c r="A3429" i="60"/>
  <c r="C3429" i="60"/>
  <c r="D3429" i="60"/>
  <c r="E3429" i="60"/>
  <c r="F3429" i="60"/>
  <c r="G3429" i="60"/>
  <c r="A3430" i="60"/>
  <c r="C3430" i="60"/>
  <c r="D3430" i="60"/>
  <c r="E3430" i="60"/>
  <c r="F3430" i="60"/>
  <c r="G3430" i="60"/>
  <c r="A3431" i="60"/>
  <c r="C3431" i="60"/>
  <c r="D3431" i="60"/>
  <c r="E3431" i="60"/>
  <c r="F3431" i="60"/>
  <c r="G3431" i="60"/>
  <c r="A3432" i="60"/>
  <c r="C3432" i="60"/>
  <c r="D3432" i="60"/>
  <c r="E3432" i="60"/>
  <c r="F3432" i="60"/>
  <c r="G3432" i="60"/>
  <c r="A3433" i="60"/>
  <c r="C3433" i="60"/>
  <c r="D3433" i="60"/>
  <c r="E3433" i="60"/>
  <c r="F3433" i="60"/>
  <c r="G3433" i="60"/>
  <c r="A3434" i="60"/>
  <c r="C3434" i="60"/>
  <c r="D3434" i="60"/>
  <c r="E3434" i="60"/>
  <c r="F3434" i="60"/>
  <c r="G3434" i="60"/>
  <c r="A3435" i="60"/>
  <c r="C3435" i="60"/>
  <c r="D3435" i="60"/>
  <c r="E3435" i="60"/>
  <c r="F3435" i="60"/>
  <c r="G3435" i="60"/>
  <c r="A3436" i="60"/>
  <c r="C3436" i="60"/>
  <c r="D3436" i="60"/>
  <c r="E3436" i="60"/>
  <c r="F3436" i="60"/>
  <c r="G3436" i="60"/>
  <c r="A3437" i="60"/>
  <c r="C3437" i="60"/>
  <c r="D3437" i="60"/>
  <c r="E3437" i="60"/>
  <c r="F3437" i="60"/>
  <c r="G3437" i="60"/>
  <c r="A3438" i="60"/>
  <c r="C3438" i="60"/>
  <c r="D3438" i="60"/>
  <c r="E3438" i="60"/>
  <c r="F3438" i="60"/>
  <c r="G3438" i="60"/>
  <c r="A3439" i="60"/>
  <c r="C3439" i="60"/>
  <c r="D3439" i="60"/>
  <c r="E3439" i="60"/>
  <c r="F3439" i="60"/>
  <c r="G3439" i="60"/>
  <c r="A3440" i="60"/>
  <c r="C3440" i="60"/>
  <c r="D3440" i="60"/>
  <c r="E3440" i="60"/>
  <c r="F3440" i="60"/>
  <c r="G3440" i="60"/>
  <c r="A3441" i="60"/>
  <c r="C3441" i="60"/>
  <c r="D3441" i="60"/>
  <c r="E3441" i="60"/>
  <c r="F3441" i="60"/>
  <c r="G3441" i="60"/>
  <c r="A3442" i="60"/>
  <c r="C3442" i="60"/>
  <c r="D3442" i="60"/>
  <c r="E3442" i="60"/>
  <c r="F3442" i="60"/>
  <c r="G3442" i="60"/>
  <c r="A3443" i="60"/>
  <c r="C3443" i="60"/>
  <c r="D3443" i="60"/>
  <c r="E3443" i="60"/>
  <c r="F3443" i="60"/>
  <c r="G3443" i="60"/>
  <c r="A3444" i="60"/>
  <c r="C3444" i="60"/>
  <c r="D3444" i="60"/>
  <c r="E3444" i="60"/>
  <c r="F3444" i="60"/>
  <c r="G3444" i="60"/>
  <c r="A3445" i="60"/>
  <c r="C3445" i="60"/>
  <c r="D3445" i="60"/>
  <c r="E3445" i="60"/>
  <c r="F3445" i="60"/>
  <c r="G3445" i="60"/>
  <c r="A3446" i="60"/>
  <c r="C3446" i="60"/>
  <c r="D3446" i="60"/>
  <c r="E3446" i="60"/>
  <c r="F3446" i="60"/>
  <c r="G3446" i="60"/>
  <c r="A3447" i="60"/>
  <c r="C3447" i="60"/>
  <c r="D3447" i="60"/>
  <c r="E3447" i="60"/>
  <c r="F3447" i="60"/>
  <c r="G3447" i="60"/>
  <c r="A3448" i="60"/>
  <c r="C3448" i="60"/>
  <c r="D3448" i="60"/>
  <c r="E3448" i="60"/>
  <c r="F3448" i="60"/>
  <c r="G3448" i="60"/>
  <c r="A3449" i="60"/>
  <c r="C3449" i="60"/>
  <c r="D3449" i="60"/>
  <c r="E3449" i="60"/>
  <c r="F3449" i="60"/>
  <c r="G3449" i="60"/>
  <c r="A3450" i="60"/>
  <c r="C3450" i="60"/>
  <c r="D3450" i="60"/>
  <c r="E3450" i="60"/>
  <c r="F3450" i="60"/>
  <c r="G3450" i="60"/>
  <c r="A3451" i="60"/>
  <c r="C3451" i="60"/>
  <c r="D3451" i="60"/>
  <c r="E3451" i="60"/>
  <c r="F3451" i="60"/>
  <c r="G3451" i="60"/>
  <c r="A3452" i="60"/>
  <c r="C3452" i="60"/>
  <c r="D3452" i="60"/>
  <c r="E3452" i="60"/>
  <c r="F3452" i="60"/>
  <c r="G3452" i="60"/>
  <c r="A3453" i="60"/>
  <c r="C3453" i="60"/>
  <c r="D3453" i="60"/>
  <c r="E3453" i="60"/>
  <c r="F3453" i="60"/>
  <c r="G3453" i="60"/>
  <c r="A3454" i="60"/>
  <c r="C3454" i="60"/>
  <c r="D3454" i="60"/>
  <c r="E3454" i="60"/>
  <c r="F3454" i="60"/>
  <c r="G3454" i="60"/>
  <c r="A3455" i="60"/>
  <c r="C3455" i="60"/>
  <c r="D3455" i="60"/>
  <c r="E3455" i="60"/>
  <c r="F3455" i="60"/>
  <c r="G3455" i="60"/>
  <c r="A3456" i="60"/>
  <c r="C3456" i="60"/>
  <c r="D3456" i="60"/>
  <c r="E3456" i="60"/>
  <c r="F3456" i="60"/>
  <c r="G3456" i="60"/>
  <c r="A3457" i="60"/>
  <c r="C3457" i="60"/>
  <c r="D3457" i="60"/>
  <c r="E3457" i="60"/>
  <c r="F3457" i="60"/>
  <c r="G3457" i="60"/>
  <c r="A3458" i="60"/>
  <c r="C3458" i="60"/>
  <c r="D3458" i="60"/>
  <c r="E3458" i="60"/>
  <c r="F3458" i="60"/>
  <c r="G3458" i="60"/>
  <c r="A3459" i="60"/>
  <c r="C3459" i="60"/>
  <c r="D3459" i="60"/>
  <c r="E3459" i="60"/>
  <c r="F3459" i="60"/>
  <c r="G3459" i="60"/>
  <c r="A3460" i="60"/>
  <c r="C3460" i="60"/>
  <c r="D3460" i="60"/>
  <c r="E3460" i="60"/>
  <c r="F3460" i="60"/>
  <c r="G3460" i="60"/>
  <c r="A3461" i="60"/>
  <c r="C3461" i="60"/>
  <c r="D3461" i="60"/>
  <c r="E3461" i="60"/>
  <c r="F3461" i="60"/>
  <c r="G3461" i="60"/>
  <c r="A3462" i="60"/>
  <c r="C3462" i="60"/>
  <c r="D3462" i="60"/>
  <c r="E3462" i="60"/>
  <c r="F3462" i="60"/>
  <c r="G3462" i="60"/>
  <c r="A3463" i="60"/>
  <c r="C3463" i="60"/>
  <c r="D3463" i="60"/>
  <c r="E3463" i="60"/>
  <c r="F3463" i="60"/>
  <c r="G3463" i="60"/>
  <c r="A3464" i="60"/>
  <c r="C3464" i="60"/>
  <c r="D3464" i="60"/>
  <c r="E3464" i="60"/>
  <c r="F3464" i="60"/>
  <c r="G3464" i="60"/>
  <c r="A3465" i="60"/>
  <c r="C3465" i="60"/>
  <c r="D3465" i="60"/>
  <c r="E3465" i="60"/>
  <c r="F3465" i="60"/>
  <c r="G3465" i="60"/>
  <c r="A3466" i="60"/>
  <c r="C3466" i="60"/>
  <c r="D3466" i="60"/>
  <c r="E3466" i="60"/>
  <c r="F3466" i="60"/>
  <c r="G3466" i="60"/>
  <c r="A3467" i="60"/>
  <c r="C3467" i="60"/>
  <c r="D3467" i="60"/>
  <c r="E3467" i="60"/>
  <c r="F3467" i="60"/>
  <c r="G3467" i="60"/>
  <c r="A3468" i="60"/>
  <c r="C3468" i="60"/>
  <c r="D3468" i="60"/>
  <c r="E3468" i="60"/>
  <c r="F3468" i="60"/>
  <c r="G3468" i="60"/>
  <c r="A3469" i="60"/>
  <c r="C3469" i="60"/>
  <c r="D3469" i="60"/>
  <c r="E3469" i="60"/>
  <c r="F3469" i="60"/>
  <c r="G3469" i="60"/>
  <c r="A3470" i="60"/>
  <c r="C3470" i="60"/>
  <c r="D3470" i="60"/>
  <c r="E3470" i="60"/>
  <c r="F3470" i="60"/>
  <c r="G3470" i="60"/>
  <c r="A3471" i="60"/>
  <c r="C3471" i="60"/>
  <c r="D3471" i="60"/>
  <c r="E3471" i="60"/>
  <c r="F3471" i="60"/>
  <c r="G3471" i="60"/>
  <c r="A3472" i="60"/>
  <c r="C3472" i="60"/>
  <c r="D3472" i="60"/>
  <c r="E3472" i="60"/>
  <c r="F3472" i="60"/>
  <c r="G3472" i="60"/>
  <c r="A3473" i="60"/>
  <c r="C3473" i="60"/>
  <c r="D3473" i="60"/>
  <c r="E3473" i="60"/>
  <c r="F3473" i="60"/>
  <c r="G3473" i="60"/>
  <c r="A3474" i="60"/>
  <c r="C3474" i="60"/>
  <c r="D3474" i="60"/>
  <c r="E3474" i="60"/>
  <c r="F3474" i="60"/>
  <c r="G3474" i="60"/>
  <c r="A3475" i="60"/>
  <c r="C3475" i="60"/>
  <c r="D3475" i="60"/>
  <c r="E3475" i="60"/>
  <c r="F3475" i="60"/>
  <c r="G3475" i="60"/>
  <c r="A3476" i="60"/>
  <c r="C3476" i="60"/>
  <c r="D3476" i="60"/>
  <c r="E3476" i="60"/>
  <c r="F3476" i="60"/>
  <c r="G3476" i="60"/>
  <c r="A3477" i="60"/>
  <c r="C3477" i="60"/>
  <c r="D3477" i="60"/>
  <c r="E3477" i="60"/>
  <c r="F3477" i="60"/>
  <c r="G3477" i="60"/>
  <c r="A3478" i="60"/>
  <c r="C3478" i="60"/>
  <c r="D3478" i="60"/>
  <c r="E3478" i="60"/>
  <c r="F3478" i="60"/>
  <c r="G3478" i="60"/>
  <c r="A3479" i="60"/>
  <c r="C3479" i="60"/>
  <c r="D3479" i="60"/>
  <c r="E3479" i="60"/>
  <c r="F3479" i="60"/>
  <c r="G3479" i="60"/>
  <c r="A3480" i="60"/>
  <c r="C3480" i="60"/>
  <c r="D3480" i="60"/>
  <c r="E3480" i="60"/>
  <c r="F3480" i="60"/>
  <c r="G3480" i="60"/>
  <c r="A3481" i="60"/>
  <c r="C3481" i="60"/>
  <c r="D3481" i="60"/>
  <c r="E3481" i="60"/>
  <c r="F3481" i="60"/>
  <c r="G3481" i="60"/>
  <c r="A3482" i="60"/>
  <c r="C3482" i="60"/>
  <c r="D3482" i="60"/>
  <c r="E3482" i="60"/>
  <c r="F3482" i="60"/>
  <c r="G3482" i="60"/>
  <c r="A3483" i="60"/>
  <c r="C3483" i="60"/>
  <c r="D3483" i="60"/>
  <c r="E3483" i="60"/>
  <c r="F3483" i="60"/>
  <c r="G3483" i="60"/>
  <c r="A3484" i="60"/>
  <c r="C3484" i="60"/>
  <c r="D3484" i="60"/>
  <c r="E3484" i="60"/>
  <c r="F3484" i="60"/>
  <c r="G3484" i="60"/>
  <c r="A3485" i="60"/>
  <c r="C3485" i="60"/>
  <c r="D3485" i="60"/>
  <c r="E3485" i="60"/>
  <c r="F3485" i="60"/>
  <c r="G3485" i="60"/>
  <c r="A3486" i="60"/>
  <c r="C3486" i="60"/>
  <c r="D3486" i="60"/>
  <c r="E3486" i="60"/>
  <c r="F3486" i="60"/>
  <c r="G3486" i="60"/>
  <c r="A3487" i="60"/>
  <c r="C3487" i="60"/>
  <c r="D3487" i="60"/>
  <c r="E3487" i="60"/>
  <c r="F3487" i="60"/>
  <c r="G3487" i="60"/>
  <c r="A3488" i="60"/>
  <c r="C3488" i="60"/>
  <c r="D3488" i="60"/>
  <c r="E3488" i="60"/>
  <c r="F3488" i="60"/>
  <c r="G3488" i="60"/>
  <c r="A3489" i="60"/>
  <c r="C3489" i="60"/>
  <c r="D3489" i="60"/>
  <c r="E3489" i="60"/>
  <c r="F3489" i="60"/>
  <c r="G3489" i="60"/>
  <c r="A3490" i="60"/>
  <c r="C3490" i="60"/>
  <c r="D3490" i="60"/>
  <c r="E3490" i="60"/>
  <c r="F3490" i="60"/>
  <c r="G3490" i="60"/>
  <c r="A3491" i="60"/>
  <c r="C3491" i="60"/>
  <c r="D3491" i="60"/>
  <c r="E3491" i="60"/>
  <c r="F3491" i="60"/>
  <c r="G3491" i="60"/>
  <c r="A3492" i="60"/>
  <c r="C3492" i="60"/>
  <c r="D3492" i="60"/>
  <c r="E3492" i="60"/>
  <c r="F3492" i="60"/>
  <c r="G3492" i="60"/>
  <c r="A3493" i="60"/>
  <c r="C3493" i="60"/>
  <c r="D3493" i="60"/>
  <c r="E3493" i="60"/>
  <c r="F3493" i="60"/>
  <c r="G3493" i="60"/>
  <c r="A3494" i="60"/>
  <c r="C3494" i="60"/>
  <c r="D3494" i="60"/>
  <c r="E3494" i="60"/>
  <c r="F3494" i="60"/>
  <c r="G3494" i="60"/>
  <c r="A3495" i="60"/>
  <c r="C3495" i="60"/>
  <c r="D3495" i="60"/>
  <c r="E3495" i="60"/>
  <c r="F3495" i="60"/>
  <c r="G3495" i="60"/>
  <c r="A3496" i="60"/>
  <c r="C3496" i="60"/>
  <c r="D3496" i="60"/>
  <c r="E3496" i="60"/>
  <c r="F3496" i="60"/>
  <c r="G3496" i="60"/>
  <c r="A3497" i="60"/>
  <c r="C3497" i="60"/>
  <c r="D3497" i="60"/>
  <c r="E3497" i="60"/>
  <c r="F3497" i="60"/>
  <c r="G3497" i="60"/>
  <c r="A3498" i="60"/>
  <c r="C3498" i="60"/>
  <c r="D3498" i="60"/>
  <c r="E3498" i="60"/>
  <c r="F3498" i="60"/>
  <c r="G3498" i="60"/>
  <c r="A3499" i="60"/>
  <c r="C3499" i="60"/>
  <c r="D3499" i="60"/>
  <c r="E3499" i="60"/>
  <c r="F3499" i="60"/>
  <c r="G3499" i="60"/>
  <c r="A3500" i="60"/>
  <c r="C3500" i="60"/>
  <c r="D3500" i="60"/>
  <c r="E3500" i="60"/>
  <c r="F3500" i="60"/>
  <c r="G3500" i="60"/>
  <c r="A3501" i="60"/>
  <c r="C3501" i="60"/>
  <c r="D3501" i="60"/>
  <c r="E3501" i="60"/>
  <c r="F3501" i="60"/>
  <c r="G3501" i="60"/>
  <c r="A3502" i="60"/>
  <c r="C3502" i="60"/>
  <c r="D3502" i="60"/>
  <c r="E3502" i="60"/>
  <c r="F3502" i="60"/>
  <c r="G3502" i="60"/>
  <c r="A3503" i="60"/>
  <c r="C3503" i="60"/>
  <c r="D3503" i="60"/>
  <c r="E3503" i="60"/>
  <c r="F3503" i="60"/>
  <c r="G3503" i="60"/>
  <c r="A3504" i="60"/>
  <c r="C3504" i="60"/>
  <c r="D3504" i="60"/>
  <c r="E3504" i="60"/>
  <c r="F3504" i="60"/>
  <c r="G3504" i="60"/>
  <c r="A3505" i="60"/>
  <c r="C3505" i="60"/>
  <c r="D3505" i="60"/>
  <c r="E3505" i="60"/>
  <c r="F3505" i="60"/>
  <c r="G3505" i="60"/>
  <c r="A3506" i="60"/>
  <c r="C3506" i="60"/>
  <c r="D3506" i="60"/>
  <c r="E3506" i="60"/>
  <c r="F3506" i="60"/>
  <c r="G3506" i="60"/>
  <c r="A3507" i="60"/>
  <c r="C3507" i="60"/>
  <c r="D3507" i="60"/>
  <c r="E3507" i="60"/>
  <c r="F3507" i="60"/>
  <c r="G3507" i="60"/>
  <c r="A3508" i="60"/>
  <c r="C3508" i="60"/>
  <c r="D3508" i="60"/>
  <c r="E3508" i="60"/>
  <c r="F3508" i="60"/>
  <c r="G3508" i="60"/>
  <c r="A3509" i="60"/>
  <c r="C3509" i="60"/>
  <c r="D3509" i="60"/>
  <c r="E3509" i="60"/>
  <c r="F3509" i="60"/>
  <c r="G3509" i="60"/>
  <c r="A3510" i="60"/>
  <c r="C3510" i="60"/>
  <c r="D3510" i="60"/>
  <c r="E3510" i="60"/>
  <c r="F3510" i="60"/>
  <c r="G3510" i="60"/>
  <c r="A3511" i="60"/>
  <c r="C3511" i="60"/>
  <c r="D3511" i="60"/>
  <c r="E3511" i="60"/>
  <c r="F3511" i="60"/>
  <c r="G3511" i="60"/>
  <c r="A3512" i="60"/>
  <c r="C3512" i="60"/>
  <c r="D3512" i="60"/>
  <c r="E3512" i="60"/>
  <c r="F3512" i="60"/>
  <c r="G3512" i="60"/>
  <c r="A3513" i="60"/>
  <c r="C3513" i="60"/>
  <c r="D3513" i="60"/>
  <c r="E3513" i="60"/>
  <c r="F3513" i="60"/>
  <c r="G3513" i="60"/>
  <c r="A3514" i="60"/>
  <c r="C3514" i="60"/>
  <c r="D3514" i="60"/>
  <c r="E3514" i="60"/>
  <c r="F3514" i="60"/>
  <c r="G3514" i="60"/>
  <c r="A3515" i="60"/>
  <c r="C3515" i="60"/>
  <c r="D3515" i="60"/>
  <c r="E3515" i="60"/>
  <c r="F3515" i="60"/>
  <c r="G3515" i="60"/>
  <c r="A3516" i="60"/>
  <c r="C3516" i="60"/>
  <c r="D3516" i="60"/>
  <c r="E3516" i="60"/>
  <c r="F3516" i="60"/>
  <c r="G3516" i="60"/>
  <c r="A3517" i="60"/>
  <c r="C3517" i="60"/>
  <c r="D3517" i="60"/>
  <c r="E3517" i="60"/>
  <c r="F3517" i="60"/>
  <c r="G3517" i="60"/>
  <c r="A3518" i="60"/>
  <c r="C3518" i="60"/>
  <c r="D3518" i="60"/>
  <c r="E3518" i="60"/>
  <c r="F3518" i="60"/>
  <c r="G3518" i="60"/>
  <c r="A3519" i="60"/>
  <c r="C3519" i="60"/>
  <c r="D3519" i="60"/>
  <c r="E3519" i="60"/>
  <c r="F3519" i="60"/>
  <c r="G3519" i="60"/>
  <c r="A3520" i="60"/>
  <c r="C3520" i="60"/>
  <c r="D3520" i="60"/>
  <c r="E3520" i="60"/>
  <c r="F3520" i="60"/>
  <c r="G3520" i="60"/>
  <c r="A3521" i="60"/>
  <c r="C3521" i="60"/>
  <c r="D3521" i="60"/>
  <c r="E3521" i="60"/>
  <c r="F3521" i="60"/>
  <c r="G3521" i="60"/>
  <c r="A3522" i="60"/>
  <c r="C3522" i="60"/>
  <c r="D3522" i="60"/>
  <c r="E3522" i="60"/>
  <c r="F3522" i="60"/>
  <c r="G3522" i="60"/>
  <c r="A3523" i="60"/>
  <c r="C3523" i="60"/>
  <c r="D3523" i="60"/>
  <c r="E3523" i="60"/>
  <c r="F3523" i="60"/>
  <c r="G3523" i="60"/>
  <c r="A3524" i="60"/>
  <c r="C3524" i="60"/>
  <c r="D3524" i="60"/>
  <c r="E3524" i="60"/>
  <c r="F3524" i="60"/>
  <c r="G3524" i="60"/>
  <c r="A3525" i="60"/>
  <c r="C3525" i="60"/>
  <c r="D3525" i="60"/>
  <c r="E3525" i="60"/>
  <c r="F3525" i="60"/>
  <c r="G3525" i="60"/>
  <c r="A3526" i="60"/>
  <c r="C3526" i="60"/>
  <c r="D3526" i="60"/>
  <c r="E3526" i="60"/>
  <c r="F3526" i="60"/>
  <c r="G3526" i="60"/>
  <c r="A3527" i="60"/>
  <c r="C3527" i="60"/>
  <c r="D3527" i="60"/>
  <c r="E3527" i="60"/>
  <c r="F3527" i="60"/>
  <c r="G3527" i="60"/>
  <c r="A3528" i="60"/>
  <c r="C3528" i="60"/>
  <c r="D3528" i="60"/>
  <c r="E3528" i="60"/>
  <c r="F3528" i="60"/>
  <c r="G3528" i="60"/>
  <c r="A3529" i="60"/>
  <c r="C3529" i="60"/>
  <c r="D3529" i="60"/>
  <c r="E3529" i="60"/>
  <c r="F3529" i="60"/>
  <c r="G3529" i="60"/>
  <c r="A3530" i="60"/>
  <c r="C3530" i="60"/>
  <c r="D3530" i="60"/>
  <c r="E3530" i="60"/>
  <c r="F3530" i="60"/>
  <c r="G3530" i="60"/>
  <c r="A3531" i="60"/>
  <c r="C3531" i="60"/>
  <c r="D3531" i="60"/>
  <c r="E3531" i="60"/>
  <c r="F3531" i="60"/>
  <c r="G3531" i="60"/>
  <c r="A3532" i="60"/>
  <c r="C3532" i="60"/>
  <c r="D3532" i="60"/>
  <c r="E3532" i="60"/>
  <c r="F3532" i="60"/>
  <c r="G3532" i="60"/>
  <c r="A3533" i="60"/>
  <c r="C3533" i="60"/>
  <c r="D3533" i="60"/>
  <c r="E3533" i="60"/>
  <c r="F3533" i="60"/>
  <c r="G3533" i="60"/>
  <c r="A3534" i="60"/>
  <c r="C3534" i="60"/>
  <c r="D3534" i="60"/>
  <c r="E3534" i="60"/>
  <c r="F3534" i="60"/>
  <c r="G3534" i="60"/>
  <c r="A3535" i="60"/>
  <c r="C3535" i="60"/>
  <c r="D3535" i="60"/>
  <c r="E3535" i="60"/>
  <c r="F3535" i="60"/>
  <c r="G3535" i="60"/>
  <c r="A3536" i="60"/>
  <c r="C3536" i="60"/>
  <c r="D3536" i="60"/>
  <c r="E3536" i="60"/>
  <c r="F3536" i="60"/>
  <c r="G3536" i="60"/>
  <c r="A3537" i="60"/>
  <c r="C3537" i="60"/>
  <c r="D3537" i="60"/>
  <c r="E3537" i="60"/>
  <c r="F3537" i="60"/>
  <c r="G3537" i="60"/>
  <c r="A3538" i="60"/>
  <c r="C3538" i="60"/>
  <c r="D3538" i="60"/>
  <c r="E3538" i="60"/>
  <c r="F3538" i="60"/>
  <c r="G3538" i="60"/>
  <c r="A3539" i="60"/>
  <c r="C3539" i="60"/>
  <c r="D3539" i="60"/>
  <c r="E3539" i="60"/>
  <c r="F3539" i="60"/>
  <c r="G3539" i="60"/>
  <c r="A3540" i="60"/>
  <c r="C3540" i="60"/>
  <c r="D3540" i="60"/>
  <c r="E3540" i="60"/>
  <c r="F3540" i="60"/>
  <c r="G3540" i="60"/>
  <c r="A3541" i="60"/>
  <c r="C3541" i="60"/>
  <c r="D3541" i="60"/>
  <c r="E3541" i="60"/>
  <c r="F3541" i="60"/>
  <c r="G3541" i="60"/>
  <c r="A3542" i="60"/>
  <c r="C3542" i="60"/>
  <c r="D3542" i="60"/>
  <c r="E3542" i="60"/>
  <c r="F3542" i="60"/>
  <c r="G3542" i="60"/>
  <c r="A3543" i="60"/>
  <c r="C3543" i="60"/>
  <c r="D3543" i="60"/>
  <c r="E3543" i="60"/>
  <c r="F3543" i="60"/>
  <c r="G3543" i="60"/>
  <c r="A3544" i="60"/>
  <c r="C3544" i="60"/>
  <c r="D3544" i="60"/>
  <c r="E3544" i="60"/>
  <c r="F3544" i="60"/>
  <c r="G3544" i="60"/>
  <c r="A3545" i="60"/>
  <c r="C3545" i="60"/>
  <c r="D3545" i="60"/>
  <c r="E3545" i="60"/>
  <c r="F3545" i="60"/>
  <c r="G3545" i="60"/>
  <c r="A3546" i="60"/>
  <c r="C3546" i="60"/>
  <c r="D3546" i="60"/>
  <c r="E3546" i="60"/>
  <c r="F3546" i="60"/>
  <c r="G3546" i="60"/>
  <c r="A3547" i="60"/>
  <c r="C3547" i="60"/>
  <c r="D3547" i="60"/>
  <c r="E3547" i="60"/>
  <c r="F3547" i="60"/>
  <c r="G3547" i="60"/>
  <c r="A3548" i="60"/>
  <c r="C3548" i="60"/>
  <c r="D3548" i="60"/>
  <c r="E3548" i="60"/>
  <c r="F3548" i="60"/>
  <c r="G3548" i="60"/>
  <c r="A3549" i="60"/>
  <c r="C3549" i="60"/>
  <c r="D3549" i="60"/>
  <c r="E3549" i="60"/>
  <c r="F3549" i="60"/>
  <c r="G3549" i="60"/>
  <c r="A3550" i="60"/>
  <c r="C3550" i="60"/>
  <c r="D3550" i="60"/>
  <c r="E3550" i="60"/>
  <c r="F3550" i="60"/>
  <c r="G3550" i="60"/>
  <c r="A3551" i="60"/>
  <c r="C3551" i="60"/>
  <c r="D3551" i="60"/>
  <c r="E3551" i="60"/>
  <c r="F3551" i="60"/>
  <c r="G3551" i="60"/>
  <c r="A3552" i="60"/>
  <c r="C3552" i="60"/>
  <c r="D3552" i="60"/>
  <c r="E3552" i="60"/>
  <c r="F3552" i="60"/>
  <c r="G3552" i="60"/>
  <c r="A3553" i="60"/>
  <c r="C3553" i="60"/>
  <c r="D3553" i="60"/>
  <c r="E3553" i="60"/>
  <c r="F3553" i="60"/>
  <c r="G3553" i="60"/>
  <c r="A3554" i="60"/>
  <c r="C3554" i="60"/>
  <c r="D3554" i="60"/>
  <c r="E3554" i="60"/>
  <c r="F3554" i="60"/>
  <c r="G3554" i="60"/>
  <c r="A3555" i="60"/>
  <c r="C3555" i="60"/>
  <c r="D3555" i="60"/>
  <c r="E3555" i="60"/>
  <c r="F3555" i="60"/>
  <c r="G3555" i="60"/>
  <c r="A3556" i="60"/>
  <c r="C3556" i="60"/>
  <c r="D3556" i="60"/>
  <c r="E3556" i="60"/>
  <c r="F3556" i="60"/>
  <c r="G3556" i="60"/>
  <c r="A3557" i="60"/>
  <c r="C3557" i="60"/>
  <c r="D3557" i="60"/>
  <c r="E3557" i="60"/>
  <c r="F3557" i="60"/>
  <c r="G3557" i="60"/>
  <c r="A3558" i="60"/>
  <c r="C3558" i="60"/>
  <c r="D3558" i="60"/>
  <c r="E3558" i="60"/>
  <c r="F3558" i="60"/>
  <c r="G3558" i="60"/>
  <c r="A3559" i="60"/>
  <c r="C3559" i="60"/>
  <c r="D3559" i="60"/>
  <c r="E3559" i="60"/>
  <c r="F3559" i="60"/>
  <c r="G3559" i="60"/>
  <c r="A3560" i="60"/>
  <c r="C3560" i="60"/>
  <c r="D3560" i="60"/>
  <c r="E3560" i="60"/>
  <c r="F3560" i="60"/>
  <c r="G3560" i="60"/>
  <c r="A3561" i="60"/>
  <c r="C3561" i="60"/>
  <c r="D3561" i="60"/>
  <c r="E3561" i="60"/>
  <c r="F3561" i="60"/>
  <c r="G3561" i="60"/>
  <c r="A3562" i="60"/>
  <c r="C3562" i="60"/>
  <c r="D3562" i="60"/>
  <c r="E3562" i="60"/>
  <c r="F3562" i="60"/>
  <c r="G3562" i="60"/>
  <c r="A3563" i="60"/>
  <c r="C3563" i="60"/>
  <c r="D3563" i="60"/>
  <c r="E3563" i="60"/>
  <c r="F3563" i="60"/>
  <c r="G3563" i="60"/>
  <c r="A3564" i="60"/>
  <c r="C3564" i="60"/>
  <c r="D3564" i="60"/>
  <c r="E3564" i="60"/>
  <c r="F3564" i="60"/>
  <c r="G3564" i="60"/>
  <c r="A3565" i="60"/>
  <c r="C3565" i="60"/>
  <c r="D3565" i="60"/>
  <c r="E3565" i="60"/>
  <c r="F3565" i="60"/>
  <c r="G3565" i="60"/>
  <c r="A3566" i="60"/>
  <c r="C3566" i="60"/>
  <c r="D3566" i="60"/>
  <c r="E3566" i="60"/>
  <c r="F3566" i="60"/>
  <c r="G3566" i="60"/>
  <c r="A3567" i="60"/>
  <c r="C3567" i="60"/>
  <c r="D3567" i="60"/>
  <c r="E3567" i="60"/>
  <c r="F3567" i="60"/>
  <c r="G3567" i="60"/>
  <c r="A3568" i="60"/>
  <c r="C3568" i="60"/>
  <c r="D3568" i="60"/>
  <c r="E3568" i="60"/>
  <c r="F3568" i="60"/>
  <c r="G3568" i="60"/>
  <c r="A3569" i="60"/>
  <c r="C3569" i="60"/>
  <c r="D3569" i="60"/>
  <c r="E3569" i="60"/>
  <c r="F3569" i="60"/>
  <c r="G3569" i="60"/>
  <c r="A3570" i="60"/>
  <c r="C3570" i="60"/>
  <c r="D3570" i="60"/>
  <c r="E3570" i="60"/>
  <c r="F3570" i="60"/>
  <c r="G3570" i="60"/>
  <c r="A3571" i="60"/>
  <c r="C3571" i="60"/>
  <c r="D3571" i="60"/>
  <c r="E3571" i="60"/>
  <c r="F3571" i="60"/>
  <c r="G3571" i="60"/>
  <c r="A3572" i="60"/>
  <c r="C3572" i="60"/>
  <c r="D3572" i="60"/>
  <c r="E3572" i="60"/>
  <c r="F3572" i="60"/>
  <c r="G3572" i="60"/>
  <c r="A3573" i="60"/>
  <c r="C3573" i="60"/>
  <c r="D3573" i="60"/>
  <c r="E3573" i="60"/>
  <c r="F3573" i="60"/>
  <c r="G3573" i="60"/>
  <c r="A3574" i="60"/>
  <c r="C3574" i="60"/>
  <c r="D3574" i="60"/>
  <c r="E3574" i="60"/>
  <c r="F3574" i="60"/>
  <c r="G3574" i="60"/>
  <c r="A3575" i="60"/>
  <c r="C3575" i="60"/>
  <c r="D3575" i="60"/>
  <c r="E3575" i="60"/>
  <c r="F3575" i="60"/>
  <c r="G3575" i="60"/>
  <c r="A3576" i="60"/>
  <c r="C3576" i="60"/>
  <c r="D3576" i="60"/>
  <c r="E3576" i="60"/>
  <c r="F3576" i="60"/>
  <c r="G3576" i="60"/>
  <c r="A3577" i="60"/>
  <c r="C3577" i="60"/>
  <c r="D3577" i="60"/>
  <c r="E3577" i="60"/>
  <c r="F3577" i="60"/>
  <c r="G3577" i="60"/>
  <c r="A3578" i="60"/>
  <c r="C3578" i="60"/>
  <c r="D3578" i="60"/>
  <c r="E3578" i="60"/>
  <c r="F3578" i="60"/>
  <c r="G3578" i="60"/>
  <c r="A3579" i="60"/>
  <c r="C3579" i="60"/>
  <c r="D3579" i="60"/>
  <c r="E3579" i="60"/>
  <c r="F3579" i="60"/>
  <c r="G3579" i="60"/>
  <c r="A3580" i="60"/>
  <c r="C3580" i="60"/>
  <c r="D3580" i="60"/>
  <c r="E3580" i="60"/>
  <c r="F3580" i="60"/>
  <c r="G3580" i="60"/>
  <c r="A3581" i="60"/>
  <c r="C3581" i="60"/>
  <c r="D3581" i="60"/>
  <c r="E3581" i="60"/>
  <c r="F3581" i="60"/>
  <c r="G3581" i="60"/>
  <c r="A3582" i="60"/>
  <c r="C3582" i="60"/>
  <c r="D3582" i="60"/>
  <c r="E3582" i="60"/>
  <c r="F3582" i="60"/>
  <c r="G3582" i="60"/>
  <c r="A3583" i="60"/>
  <c r="C3583" i="60"/>
  <c r="D3583" i="60"/>
  <c r="E3583" i="60"/>
  <c r="F3583" i="60"/>
  <c r="G3583" i="60"/>
  <c r="A3584" i="60"/>
  <c r="C3584" i="60"/>
  <c r="D3584" i="60"/>
  <c r="E3584" i="60"/>
  <c r="F3584" i="60"/>
  <c r="G3584" i="60"/>
  <c r="A3585" i="60"/>
  <c r="C3585" i="60"/>
  <c r="D3585" i="60"/>
  <c r="E3585" i="60"/>
  <c r="F3585" i="60"/>
  <c r="G3585" i="60"/>
  <c r="A3586" i="60"/>
  <c r="C3586" i="60"/>
  <c r="D3586" i="60"/>
  <c r="E3586" i="60"/>
  <c r="F3586" i="60"/>
  <c r="G3586" i="60"/>
  <c r="A3587" i="60"/>
  <c r="C3587" i="60"/>
  <c r="D3587" i="60"/>
  <c r="E3587" i="60"/>
  <c r="F3587" i="60"/>
  <c r="G3587" i="60"/>
  <c r="A3588" i="60"/>
  <c r="C3588" i="60"/>
  <c r="D3588" i="60"/>
  <c r="E3588" i="60"/>
  <c r="F3588" i="60"/>
  <c r="G3588" i="60"/>
  <c r="A3589" i="60"/>
  <c r="C3589" i="60"/>
  <c r="D3589" i="60"/>
  <c r="E3589" i="60"/>
  <c r="F3589" i="60"/>
  <c r="G3589" i="60"/>
  <c r="A3590" i="60"/>
  <c r="C3590" i="60"/>
  <c r="D3590" i="60"/>
  <c r="E3590" i="60"/>
  <c r="F3590" i="60"/>
  <c r="G3590" i="60"/>
  <c r="A3591" i="60"/>
  <c r="C3591" i="60"/>
  <c r="D3591" i="60"/>
  <c r="E3591" i="60"/>
  <c r="F3591" i="60"/>
  <c r="G3591" i="60"/>
  <c r="A3592" i="60"/>
  <c r="C3592" i="60"/>
  <c r="D3592" i="60"/>
  <c r="E3592" i="60"/>
  <c r="F3592" i="60"/>
  <c r="G3592" i="60"/>
  <c r="A3593" i="60"/>
  <c r="C3593" i="60"/>
  <c r="D3593" i="60"/>
  <c r="E3593" i="60"/>
  <c r="F3593" i="60"/>
  <c r="G3593" i="60"/>
  <c r="A3594" i="60"/>
  <c r="C3594" i="60"/>
  <c r="D3594" i="60"/>
  <c r="E3594" i="60"/>
  <c r="F3594" i="60"/>
  <c r="G3594" i="60"/>
  <c r="A3595" i="60"/>
  <c r="C3595" i="60"/>
  <c r="D3595" i="60"/>
  <c r="E3595" i="60"/>
  <c r="F3595" i="60"/>
  <c r="G3595" i="60"/>
  <c r="A3596" i="60"/>
  <c r="C3596" i="60"/>
  <c r="D3596" i="60"/>
  <c r="E3596" i="60"/>
  <c r="F3596" i="60"/>
  <c r="G3596" i="60"/>
  <c r="A3597" i="60"/>
  <c r="C3597" i="60"/>
  <c r="D3597" i="60"/>
  <c r="E3597" i="60"/>
  <c r="F3597" i="60"/>
  <c r="G3597" i="60"/>
  <c r="A3598" i="60"/>
  <c r="C3598" i="60"/>
  <c r="D3598" i="60"/>
  <c r="E3598" i="60"/>
  <c r="F3598" i="60"/>
  <c r="G3598" i="60"/>
  <c r="A3599" i="60"/>
  <c r="C3599" i="60"/>
  <c r="D3599" i="60"/>
  <c r="E3599" i="60"/>
  <c r="F3599" i="60"/>
  <c r="G3599" i="60"/>
  <c r="A3600" i="60"/>
  <c r="C3600" i="60"/>
  <c r="D3600" i="60"/>
  <c r="E3600" i="60"/>
  <c r="F3600" i="60"/>
  <c r="G3600" i="60"/>
  <c r="A3601" i="60"/>
  <c r="C3601" i="60"/>
  <c r="D3601" i="60"/>
  <c r="E3601" i="60"/>
  <c r="F3601" i="60"/>
  <c r="G3601" i="60"/>
  <c r="A3602" i="60"/>
  <c r="C3602" i="60"/>
  <c r="D3602" i="60"/>
  <c r="E3602" i="60"/>
  <c r="F3602" i="60"/>
  <c r="G3602" i="60"/>
  <c r="A3603" i="60"/>
  <c r="C3603" i="60"/>
  <c r="D3603" i="60"/>
  <c r="E3603" i="60"/>
  <c r="F3603" i="60"/>
  <c r="G3603" i="60"/>
  <c r="A3604" i="60"/>
  <c r="C3604" i="60"/>
  <c r="D3604" i="60"/>
  <c r="E3604" i="60"/>
  <c r="F3604" i="60"/>
  <c r="G3604" i="60"/>
  <c r="A3605" i="60"/>
  <c r="C3605" i="60"/>
  <c r="D3605" i="60"/>
  <c r="E3605" i="60"/>
  <c r="F3605" i="60"/>
  <c r="G3605" i="60"/>
  <c r="A3606" i="60"/>
  <c r="C3606" i="60"/>
  <c r="D3606" i="60"/>
  <c r="E3606" i="60"/>
  <c r="F3606" i="60"/>
  <c r="G3606" i="60"/>
  <c r="A3607" i="60"/>
  <c r="C3607" i="60"/>
  <c r="D3607" i="60"/>
  <c r="E3607" i="60"/>
  <c r="F3607" i="60"/>
  <c r="G3607" i="60"/>
  <c r="A3608" i="60"/>
  <c r="C3608" i="60"/>
  <c r="D3608" i="60"/>
  <c r="E3608" i="60"/>
  <c r="F3608" i="60"/>
  <c r="G3608" i="60"/>
  <c r="A3609" i="60"/>
  <c r="C3609" i="60"/>
  <c r="D3609" i="60"/>
  <c r="E3609" i="60"/>
  <c r="F3609" i="60"/>
  <c r="G3609" i="60"/>
  <c r="A3610" i="60"/>
  <c r="C3610" i="60"/>
  <c r="D3610" i="60"/>
  <c r="E3610" i="60"/>
  <c r="F3610" i="60"/>
  <c r="G3610" i="60"/>
  <c r="A3611" i="60"/>
  <c r="C3611" i="60"/>
  <c r="D3611" i="60"/>
  <c r="E3611" i="60"/>
  <c r="F3611" i="60"/>
  <c r="G3611" i="60"/>
  <c r="A3612" i="60"/>
  <c r="C3612" i="60"/>
  <c r="D3612" i="60"/>
  <c r="E3612" i="60"/>
  <c r="F3612" i="60"/>
  <c r="G3612" i="60"/>
  <c r="A3613" i="60"/>
  <c r="C3613" i="60"/>
  <c r="D3613" i="60"/>
  <c r="E3613" i="60"/>
  <c r="F3613" i="60"/>
  <c r="G3613" i="60"/>
  <c r="A3614" i="60"/>
  <c r="C3614" i="60"/>
  <c r="D3614" i="60"/>
  <c r="E3614" i="60"/>
  <c r="F3614" i="60"/>
  <c r="G3614" i="60"/>
  <c r="A3615" i="60"/>
  <c r="C3615" i="60"/>
  <c r="D3615" i="60"/>
  <c r="E3615" i="60"/>
  <c r="F3615" i="60"/>
  <c r="G3615" i="60"/>
  <c r="A3616" i="60"/>
  <c r="C3616" i="60"/>
  <c r="D3616" i="60"/>
  <c r="E3616" i="60"/>
  <c r="F3616" i="60"/>
  <c r="G3616" i="60"/>
  <c r="A3617" i="60"/>
  <c r="C3617" i="60"/>
  <c r="D3617" i="60"/>
  <c r="E3617" i="60"/>
  <c r="F3617" i="60"/>
  <c r="G3617" i="60"/>
  <c r="A3618" i="60"/>
  <c r="C3618" i="60"/>
  <c r="D3618" i="60"/>
  <c r="E3618" i="60"/>
  <c r="F3618" i="60"/>
  <c r="G3618" i="60"/>
  <c r="A3619" i="60"/>
  <c r="C3619" i="60"/>
  <c r="D3619" i="60"/>
  <c r="E3619" i="60"/>
  <c r="F3619" i="60"/>
  <c r="G3619" i="60"/>
  <c r="A3620" i="60"/>
  <c r="C3620" i="60"/>
  <c r="D3620" i="60"/>
  <c r="E3620" i="60"/>
  <c r="F3620" i="60"/>
  <c r="G3620" i="60"/>
  <c r="A3621" i="60"/>
  <c r="C3621" i="60"/>
  <c r="D3621" i="60"/>
  <c r="E3621" i="60"/>
  <c r="F3621" i="60"/>
  <c r="G3621" i="60"/>
  <c r="A3622" i="60"/>
  <c r="C3622" i="60"/>
  <c r="D3622" i="60"/>
  <c r="E3622" i="60"/>
  <c r="F3622" i="60"/>
  <c r="G3622" i="60"/>
  <c r="A3623" i="60"/>
  <c r="C3623" i="60"/>
  <c r="D3623" i="60"/>
  <c r="E3623" i="60"/>
  <c r="F3623" i="60"/>
  <c r="G3623" i="60"/>
  <c r="A3624" i="60"/>
  <c r="C3624" i="60"/>
  <c r="D3624" i="60"/>
  <c r="E3624" i="60"/>
  <c r="F3624" i="60"/>
  <c r="G3624" i="60"/>
  <c r="A3625" i="60"/>
  <c r="C3625" i="60"/>
  <c r="D3625" i="60"/>
  <c r="E3625" i="60"/>
  <c r="F3625" i="60"/>
  <c r="G3625" i="60"/>
  <c r="A3626" i="60"/>
  <c r="C3626" i="60"/>
  <c r="D3626" i="60"/>
  <c r="E3626" i="60"/>
  <c r="F3626" i="60"/>
  <c r="G3626" i="60"/>
  <c r="A3627" i="60"/>
  <c r="C3627" i="60"/>
  <c r="D3627" i="60"/>
  <c r="E3627" i="60"/>
  <c r="F3627" i="60"/>
  <c r="G3627" i="60"/>
  <c r="A3628" i="60"/>
  <c r="C3628" i="60"/>
  <c r="D3628" i="60"/>
  <c r="E3628" i="60"/>
  <c r="F3628" i="60"/>
  <c r="G3628" i="60"/>
  <c r="A3629" i="60"/>
  <c r="C3629" i="60"/>
  <c r="D3629" i="60"/>
  <c r="E3629" i="60"/>
  <c r="F3629" i="60"/>
  <c r="G3629" i="60"/>
  <c r="A3630" i="60"/>
  <c r="C3630" i="60"/>
  <c r="D3630" i="60"/>
  <c r="E3630" i="60"/>
  <c r="F3630" i="60"/>
  <c r="G3630" i="60"/>
  <c r="A3631" i="60"/>
  <c r="C3631" i="60"/>
  <c r="D3631" i="60"/>
  <c r="E3631" i="60"/>
  <c r="F3631" i="60"/>
  <c r="G3631" i="60"/>
  <c r="A3632" i="60"/>
  <c r="C3632" i="60"/>
  <c r="D3632" i="60"/>
  <c r="E3632" i="60"/>
  <c r="F3632" i="60"/>
  <c r="G3632" i="60"/>
  <c r="A3633" i="60"/>
  <c r="C3633" i="60"/>
  <c r="D3633" i="60"/>
  <c r="E3633" i="60"/>
  <c r="F3633" i="60"/>
  <c r="G3633" i="60"/>
  <c r="A3634" i="60"/>
  <c r="C3634" i="60"/>
  <c r="D3634" i="60"/>
  <c r="E3634" i="60"/>
  <c r="F3634" i="60"/>
  <c r="G3634" i="60"/>
  <c r="A3635" i="60"/>
  <c r="C3635" i="60"/>
  <c r="D3635" i="60"/>
  <c r="E3635" i="60"/>
  <c r="F3635" i="60"/>
  <c r="G3635" i="60"/>
  <c r="A3636" i="60"/>
  <c r="C3636" i="60"/>
  <c r="D3636" i="60"/>
  <c r="E3636" i="60"/>
  <c r="F3636" i="60"/>
  <c r="G3636" i="60"/>
  <c r="A3637" i="60"/>
  <c r="C3637" i="60"/>
  <c r="D3637" i="60"/>
  <c r="E3637" i="60"/>
  <c r="F3637" i="60"/>
  <c r="G3637" i="60"/>
  <c r="A3638" i="60"/>
  <c r="C3638" i="60"/>
  <c r="D3638" i="60"/>
  <c r="E3638" i="60"/>
  <c r="F3638" i="60"/>
  <c r="G3638" i="60"/>
  <c r="A3639" i="60"/>
  <c r="C3639" i="60"/>
  <c r="D3639" i="60"/>
  <c r="E3639" i="60"/>
  <c r="F3639" i="60"/>
  <c r="G3639" i="60"/>
  <c r="A3640" i="60"/>
  <c r="C3640" i="60"/>
  <c r="D3640" i="60"/>
  <c r="E3640" i="60"/>
  <c r="F3640" i="60"/>
  <c r="G3640" i="60"/>
  <c r="A3641" i="60"/>
  <c r="C3641" i="60"/>
  <c r="D3641" i="60"/>
  <c r="E3641" i="60"/>
  <c r="F3641" i="60"/>
  <c r="G3641" i="60"/>
  <c r="A3642" i="60"/>
  <c r="C3642" i="60"/>
  <c r="D3642" i="60"/>
  <c r="E3642" i="60"/>
  <c r="F3642" i="60"/>
  <c r="G3642" i="60"/>
  <c r="A3643" i="60"/>
  <c r="C3643" i="60"/>
  <c r="D3643" i="60"/>
  <c r="E3643" i="60"/>
  <c r="F3643" i="60"/>
  <c r="G3643" i="60"/>
  <c r="A3644" i="60"/>
  <c r="C3644" i="60"/>
  <c r="D3644" i="60"/>
  <c r="E3644" i="60"/>
  <c r="F3644" i="60"/>
  <c r="G3644" i="60"/>
  <c r="A3645" i="60"/>
  <c r="C3645" i="60"/>
  <c r="D3645" i="60"/>
  <c r="E3645" i="60"/>
  <c r="F3645" i="60"/>
  <c r="G3645" i="60"/>
  <c r="A3646" i="60"/>
  <c r="C3646" i="60"/>
  <c r="D3646" i="60"/>
  <c r="E3646" i="60"/>
  <c r="F3646" i="60"/>
  <c r="G3646" i="60"/>
  <c r="A3647" i="60"/>
  <c r="C3647" i="60"/>
  <c r="D3647" i="60"/>
  <c r="E3647" i="60"/>
  <c r="F3647" i="60"/>
  <c r="G3647" i="60"/>
  <c r="A3648" i="60"/>
  <c r="C3648" i="60"/>
  <c r="D3648" i="60"/>
  <c r="E3648" i="60"/>
  <c r="F3648" i="60"/>
  <c r="G3648" i="60"/>
  <c r="A3649" i="60"/>
  <c r="C3649" i="60"/>
  <c r="D3649" i="60"/>
  <c r="E3649" i="60"/>
  <c r="F3649" i="60"/>
  <c r="G3649" i="60"/>
  <c r="A3650" i="60"/>
  <c r="C3650" i="60"/>
  <c r="D3650" i="60"/>
  <c r="E3650" i="60"/>
  <c r="F3650" i="60"/>
  <c r="G3650" i="60"/>
  <c r="A3651" i="60"/>
  <c r="C3651" i="60"/>
  <c r="D3651" i="60"/>
  <c r="E3651" i="60"/>
  <c r="F3651" i="60"/>
  <c r="G3651" i="60"/>
  <c r="A3652" i="60"/>
  <c r="C3652" i="60"/>
  <c r="D3652" i="60"/>
  <c r="E3652" i="60"/>
  <c r="F3652" i="60"/>
  <c r="G3652" i="60"/>
  <c r="A3653" i="60"/>
  <c r="C3653" i="60"/>
  <c r="D3653" i="60"/>
  <c r="E3653" i="60"/>
  <c r="F3653" i="60"/>
  <c r="G3653" i="60"/>
  <c r="A3654" i="60"/>
  <c r="C3654" i="60"/>
  <c r="D3654" i="60"/>
  <c r="E3654" i="60"/>
  <c r="F3654" i="60"/>
  <c r="G3654" i="60"/>
  <c r="A3655" i="60"/>
  <c r="C3655" i="60"/>
  <c r="D3655" i="60"/>
  <c r="E3655" i="60"/>
  <c r="F3655" i="60"/>
  <c r="G3655" i="60"/>
  <c r="A3656" i="60"/>
  <c r="C3656" i="60"/>
  <c r="D3656" i="60"/>
  <c r="E3656" i="60"/>
  <c r="F3656" i="60"/>
  <c r="G3656" i="60"/>
  <c r="A3657" i="60"/>
  <c r="C3657" i="60"/>
  <c r="D3657" i="60"/>
  <c r="E3657" i="60"/>
  <c r="F3657" i="60"/>
  <c r="G3657" i="60"/>
  <c r="A3658" i="60"/>
  <c r="C3658" i="60"/>
  <c r="D3658" i="60"/>
  <c r="E3658" i="60"/>
  <c r="F3658" i="60"/>
  <c r="G3658" i="60"/>
  <c r="A3659" i="60"/>
  <c r="C3659" i="60"/>
  <c r="D3659" i="60"/>
  <c r="E3659" i="60"/>
  <c r="F3659" i="60"/>
  <c r="G3659" i="60"/>
  <c r="A3660" i="60"/>
  <c r="C3660" i="60"/>
  <c r="D3660" i="60"/>
  <c r="E3660" i="60"/>
  <c r="F3660" i="60"/>
  <c r="G3660" i="60"/>
  <c r="A3661" i="60"/>
  <c r="C3661" i="60"/>
  <c r="D3661" i="60"/>
  <c r="E3661" i="60"/>
  <c r="F3661" i="60"/>
  <c r="G3661" i="60"/>
  <c r="A3662" i="60"/>
  <c r="C3662" i="60"/>
  <c r="D3662" i="60"/>
  <c r="E3662" i="60"/>
  <c r="F3662" i="60"/>
  <c r="G3662" i="60"/>
  <c r="A3663" i="60"/>
  <c r="C3663" i="60"/>
  <c r="D3663" i="60"/>
  <c r="E3663" i="60"/>
  <c r="F3663" i="60"/>
  <c r="G3663" i="60"/>
  <c r="A3664" i="60"/>
  <c r="C3664" i="60"/>
  <c r="D3664" i="60"/>
  <c r="E3664" i="60"/>
  <c r="F3664" i="60"/>
  <c r="G3664" i="60"/>
  <c r="A3665" i="60"/>
  <c r="C3665" i="60"/>
  <c r="D3665" i="60"/>
  <c r="E3665" i="60"/>
  <c r="F3665" i="60"/>
  <c r="G3665" i="60"/>
  <c r="A3666" i="60"/>
  <c r="C3666" i="60"/>
  <c r="D3666" i="60"/>
  <c r="E3666" i="60"/>
  <c r="F3666" i="60"/>
  <c r="G3666" i="60"/>
  <c r="A3667" i="60"/>
  <c r="C3667" i="60"/>
  <c r="D3667" i="60"/>
  <c r="E3667" i="60"/>
  <c r="F3667" i="60"/>
  <c r="G3667" i="60"/>
  <c r="A3668" i="60"/>
  <c r="C3668" i="60"/>
  <c r="D3668" i="60"/>
  <c r="E3668" i="60"/>
  <c r="F3668" i="60"/>
  <c r="G3668" i="60"/>
  <c r="A3669" i="60"/>
  <c r="C3669" i="60"/>
  <c r="D3669" i="60"/>
  <c r="E3669" i="60"/>
  <c r="F3669" i="60"/>
  <c r="G3669" i="60"/>
  <c r="A3670" i="60"/>
  <c r="C3670" i="60"/>
  <c r="D3670" i="60"/>
  <c r="E3670" i="60"/>
  <c r="F3670" i="60"/>
  <c r="G3670" i="60"/>
  <c r="A3671" i="60"/>
  <c r="C3671" i="60"/>
  <c r="D3671" i="60"/>
  <c r="E3671" i="60"/>
  <c r="F3671" i="60"/>
  <c r="G3671" i="60"/>
  <c r="A3672" i="60"/>
  <c r="C3672" i="60"/>
  <c r="D3672" i="60"/>
  <c r="E3672" i="60"/>
  <c r="F3672" i="60"/>
  <c r="G3672" i="60"/>
  <c r="A3673" i="60"/>
  <c r="C3673" i="60"/>
  <c r="D3673" i="60"/>
  <c r="E3673" i="60"/>
  <c r="F3673" i="60"/>
  <c r="G3673" i="60"/>
  <c r="A3674" i="60"/>
  <c r="C3674" i="60"/>
  <c r="D3674" i="60"/>
  <c r="E3674" i="60"/>
  <c r="F3674" i="60"/>
  <c r="G3674" i="60"/>
  <c r="A3675" i="60"/>
  <c r="C3675" i="60"/>
  <c r="D3675" i="60"/>
  <c r="E3675" i="60"/>
  <c r="F3675" i="60"/>
  <c r="G3675" i="60"/>
  <c r="A3676" i="60"/>
  <c r="C3676" i="60"/>
  <c r="D3676" i="60"/>
  <c r="E3676" i="60"/>
  <c r="F3676" i="60"/>
  <c r="G3676" i="60"/>
  <c r="A3677" i="60"/>
  <c r="C3677" i="60"/>
  <c r="D3677" i="60"/>
  <c r="E3677" i="60"/>
  <c r="F3677" i="60"/>
  <c r="G3677" i="60"/>
  <c r="A3678" i="60"/>
  <c r="C3678" i="60"/>
  <c r="D3678" i="60"/>
  <c r="E3678" i="60"/>
  <c r="F3678" i="60"/>
  <c r="G3678" i="60"/>
  <c r="A3679" i="60"/>
  <c r="C3679" i="60"/>
  <c r="D3679" i="60"/>
  <c r="E3679" i="60"/>
  <c r="F3679" i="60"/>
  <c r="G3679" i="60"/>
  <c r="A3680" i="60"/>
  <c r="C3680" i="60"/>
  <c r="D3680" i="60"/>
  <c r="E3680" i="60"/>
  <c r="F3680" i="60"/>
  <c r="G3680" i="60"/>
  <c r="A3681" i="60"/>
  <c r="C3681" i="60"/>
  <c r="D3681" i="60"/>
  <c r="E3681" i="60"/>
  <c r="F3681" i="60"/>
  <c r="G3681" i="60"/>
  <c r="A3682" i="60"/>
  <c r="C3682" i="60"/>
  <c r="D3682" i="60"/>
  <c r="E3682" i="60"/>
  <c r="F3682" i="60"/>
  <c r="G3682" i="60"/>
  <c r="A3683" i="60"/>
  <c r="C3683" i="60"/>
  <c r="D3683" i="60"/>
  <c r="E3683" i="60"/>
  <c r="F3683" i="60"/>
  <c r="G3683" i="60"/>
  <c r="G1306" i="60" l="1"/>
  <c r="C1286" i="60" l="1"/>
  <c r="A1245" i="60" l="1"/>
  <c r="A1246" i="60"/>
  <c r="A1278" i="60"/>
  <c r="A1247" i="60"/>
  <c r="A1232" i="60"/>
  <c r="A1279" i="60"/>
  <c r="A1280" i="60"/>
  <c r="A1281" i="60"/>
  <c r="A1282" i="60"/>
  <c r="A1283" i="60"/>
  <c r="A1284" i="60"/>
  <c r="A1285" i="60"/>
  <c r="A1237" i="60"/>
  <c r="A1233" i="60"/>
  <c r="A1234" i="60"/>
  <c r="A1238" i="60"/>
  <c r="A1305" i="60"/>
  <c r="A1306" i="60"/>
  <c r="A1235" i="60"/>
  <c r="A1286" i="60"/>
  <c r="A1287" i="60"/>
  <c r="A1288" i="60"/>
  <c r="A1289" i="60"/>
  <c r="A1290" i="60"/>
  <c r="A1248" i="60"/>
  <c r="A1249" i="60"/>
  <c r="A1291" i="60"/>
  <c r="A1292" i="60"/>
  <c r="A1293" i="60"/>
  <c r="C1221" i="60" l="1"/>
  <c r="E1221" i="60"/>
  <c r="D1221" i="60" s="1"/>
  <c r="F1221" i="60"/>
  <c r="G1221" i="60"/>
  <c r="C1222" i="60"/>
  <c r="E1222" i="60"/>
  <c r="D1222" i="60" s="1"/>
  <c r="F1222" i="60"/>
  <c r="G1222" i="60"/>
  <c r="C1223" i="60"/>
  <c r="E1223" i="60"/>
  <c r="D1223" i="60" s="1"/>
  <c r="F1223" i="60"/>
  <c r="G1223" i="60"/>
  <c r="C1227" i="60"/>
  <c r="E1227" i="60"/>
  <c r="D1227" i="60" s="1"/>
  <c r="F1227" i="60"/>
  <c r="G1227" i="60"/>
  <c r="C1225" i="60"/>
  <c r="E1225" i="60"/>
  <c r="D1225" i="60" s="1"/>
  <c r="F1225" i="60"/>
  <c r="G1225" i="60"/>
  <c r="C1226" i="60"/>
  <c r="E1226" i="60"/>
  <c r="D1226" i="60" s="1"/>
  <c r="F1226" i="60"/>
  <c r="G1226" i="60"/>
  <c r="A1221" i="60"/>
  <c r="A1223" i="60"/>
  <c r="A1227" i="60"/>
  <c r="A1225" i="60"/>
  <c r="A1226" i="60"/>
  <c r="A1222" i="60"/>
  <c r="A1307" i="60"/>
  <c r="D1" i="5" l="1"/>
  <c r="G1293" i="60"/>
  <c r="F1293" i="60"/>
  <c r="E1293" i="60"/>
  <c r="D1293" i="60" s="1"/>
  <c r="C1293" i="60"/>
  <c r="F1292" i="60"/>
  <c r="E1292" i="60"/>
  <c r="D1292" i="60" s="1"/>
  <c r="C1292" i="60"/>
  <c r="F1291" i="60"/>
  <c r="E1291" i="60"/>
  <c r="D1291" i="60" s="1"/>
  <c r="C1291" i="60"/>
  <c r="F1249" i="60"/>
  <c r="E1249" i="60"/>
  <c r="D1249" i="60" s="1"/>
  <c r="C1249" i="60"/>
  <c r="F1248" i="60"/>
  <c r="E1248" i="60"/>
  <c r="D1248" i="60" s="1"/>
  <c r="C1248" i="60"/>
  <c r="F1290" i="60"/>
  <c r="E1290" i="60"/>
  <c r="D1290" i="60" s="1"/>
  <c r="C1290" i="60"/>
  <c r="F1289" i="60"/>
  <c r="E1289" i="60"/>
  <c r="D1289" i="60" s="1"/>
  <c r="C1289" i="60"/>
  <c r="F1288" i="60"/>
  <c r="E1288" i="60"/>
  <c r="D1288" i="60" s="1"/>
  <c r="C1288" i="60"/>
  <c r="F1287" i="60"/>
  <c r="E1287" i="60"/>
  <c r="D1287" i="60" s="1"/>
  <c r="C1287" i="60"/>
  <c r="F1286" i="60"/>
  <c r="E1286" i="60"/>
  <c r="D1286" i="60" s="1"/>
  <c r="G1235" i="60"/>
  <c r="F1235" i="60"/>
  <c r="E1235" i="60"/>
  <c r="D1235" i="60" s="1"/>
  <c r="C1235" i="60"/>
  <c r="F1306" i="60"/>
  <c r="E1306" i="60"/>
  <c r="D1306" i="60" s="1"/>
  <c r="C1306" i="60"/>
  <c r="G1305" i="60"/>
  <c r="F1305" i="60"/>
  <c r="E1305" i="60"/>
  <c r="D1305" i="60" s="1"/>
  <c r="C1305" i="60"/>
  <c r="G1238" i="60"/>
  <c r="F1238" i="60"/>
  <c r="E1238" i="60"/>
  <c r="D1238" i="60" s="1"/>
  <c r="C1238" i="60"/>
  <c r="F1234" i="60"/>
  <c r="E1234" i="60"/>
  <c r="D1234" i="60" s="1"/>
  <c r="C1234" i="60"/>
  <c r="F1233" i="60"/>
  <c r="E1233" i="60"/>
  <c r="D1233" i="60" s="1"/>
  <c r="C1233" i="60"/>
  <c r="G1237" i="60"/>
  <c r="F1237" i="60"/>
  <c r="E1237" i="60"/>
  <c r="D1237" i="60" s="1"/>
  <c r="C1237" i="60"/>
  <c r="G1285" i="60"/>
  <c r="F1285" i="60"/>
  <c r="E1285" i="60"/>
  <c r="D1285" i="60" s="1"/>
  <c r="C1285" i="60"/>
  <c r="G1284" i="60"/>
  <c r="F1284" i="60"/>
  <c r="E1284" i="60"/>
  <c r="D1284" i="60" s="1"/>
  <c r="C1284" i="60"/>
  <c r="G1283" i="60"/>
  <c r="F1283" i="60"/>
  <c r="E1283" i="60"/>
  <c r="D1283" i="60" s="1"/>
  <c r="C1283" i="60"/>
  <c r="G1282" i="60"/>
  <c r="F1282" i="60"/>
  <c r="E1282" i="60"/>
  <c r="D1282" i="60" s="1"/>
  <c r="C1282" i="60"/>
  <c r="G1281" i="60"/>
  <c r="F1281" i="60"/>
  <c r="E1281" i="60"/>
  <c r="D1281" i="60" s="1"/>
  <c r="C1281" i="60"/>
  <c r="G1280" i="60"/>
  <c r="F1280" i="60"/>
  <c r="E1280" i="60"/>
  <c r="D1280" i="60" s="1"/>
  <c r="C1280" i="60"/>
  <c r="G1279" i="60"/>
  <c r="F1279" i="60"/>
  <c r="E1279" i="60"/>
  <c r="D1279" i="60" s="1"/>
  <c r="C1279" i="60"/>
  <c r="G1232" i="60"/>
  <c r="F1232" i="60"/>
  <c r="E1232" i="60"/>
  <c r="D1232" i="60" s="1"/>
  <c r="C1232" i="60"/>
  <c r="F1247" i="60"/>
  <c r="E1247" i="60"/>
  <c r="D1247" i="60" s="1"/>
  <c r="C1247" i="60"/>
  <c r="G1278" i="60"/>
  <c r="F1278" i="60"/>
  <c r="E1278" i="60"/>
  <c r="D1278" i="60" s="1"/>
  <c r="C1278" i="60"/>
  <c r="F1246" i="60"/>
  <c r="E1246" i="60"/>
  <c r="D1246" i="60" s="1"/>
  <c r="C1246" i="60"/>
  <c r="F1245" i="60"/>
  <c r="E1245" i="60"/>
  <c r="D1245" i="60" s="1"/>
  <c r="C1245" i="60"/>
  <c r="F1307" i="60"/>
  <c r="E1307" i="60"/>
  <c r="D1307" i="60" s="1"/>
  <c r="C1307" i="60"/>
  <c r="X1216" i="42"/>
  <c r="T1216" i="42"/>
  <c r="U1216" i="42" s="1"/>
  <c r="I1216" i="42"/>
  <c r="F1216" i="42"/>
  <c r="E1216" i="42"/>
  <c r="C1216" i="42"/>
  <c r="X1215" i="42"/>
  <c r="T1215" i="42"/>
  <c r="U1215" i="42" s="1"/>
  <c r="I1215" i="42"/>
  <c r="F1215" i="42"/>
  <c r="E1215" i="42"/>
  <c r="C1215" i="42"/>
  <c r="X1214" i="42"/>
  <c r="T1214" i="42"/>
  <c r="U1214" i="42" s="1"/>
  <c r="I1214" i="42"/>
  <c r="F1214" i="42"/>
  <c r="E1214" i="42"/>
  <c r="C1214" i="42"/>
  <c r="X1213" i="42"/>
  <c r="T1213" i="42"/>
  <c r="U1213" i="42" s="1"/>
  <c r="I1213" i="42"/>
  <c r="F1213" i="42"/>
  <c r="E1213" i="42"/>
  <c r="C1213" i="42"/>
  <c r="X1212" i="42"/>
  <c r="T1212" i="42"/>
  <c r="U1212" i="42" s="1"/>
  <c r="I1212" i="42"/>
  <c r="F1212" i="42"/>
  <c r="E1212" i="42"/>
  <c r="C1212" i="42"/>
  <c r="X1211" i="42"/>
  <c r="T1211" i="42"/>
  <c r="U1211" i="42" s="1"/>
  <c r="I1211" i="42"/>
  <c r="F1211" i="42"/>
  <c r="E1211" i="42"/>
  <c r="C1211" i="42"/>
  <c r="X1210" i="42"/>
  <c r="T1210" i="42"/>
  <c r="U1210" i="42" s="1"/>
  <c r="I1210" i="42"/>
  <c r="F1210" i="42"/>
  <c r="E1210" i="42"/>
  <c r="C1210" i="42"/>
  <c r="X1209" i="42"/>
  <c r="T1209" i="42"/>
  <c r="U1209" i="42" s="1"/>
  <c r="I1209" i="42"/>
  <c r="F1209" i="42"/>
  <c r="E1209" i="42"/>
  <c r="C1209" i="42"/>
  <c r="X1208" i="42"/>
  <c r="T1208" i="42"/>
  <c r="U1208" i="42" s="1"/>
  <c r="I1208" i="42"/>
  <c r="F1208" i="42"/>
  <c r="E1208" i="42"/>
  <c r="C1208" i="42"/>
  <c r="X1207" i="42"/>
  <c r="T1207" i="42"/>
  <c r="U1207" i="42" s="1"/>
  <c r="I1207" i="42"/>
  <c r="F1207" i="42"/>
  <c r="E1207" i="42"/>
  <c r="C1207" i="42"/>
  <c r="X1206" i="42"/>
  <c r="T1206" i="42"/>
  <c r="U1206" i="42" s="1"/>
  <c r="I1206" i="42"/>
  <c r="F1206" i="42"/>
  <c r="E1206" i="42"/>
  <c r="C1206" i="42"/>
  <c r="X1205" i="42"/>
  <c r="T1205" i="42"/>
  <c r="U1205" i="42" s="1"/>
  <c r="I1205" i="42"/>
  <c r="F1205" i="42"/>
  <c r="E1205" i="42"/>
  <c r="C1205" i="42"/>
  <c r="X1204" i="42"/>
  <c r="T1204" i="42"/>
  <c r="U1204" i="42" s="1"/>
  <c r="I1204" i="42"/>
  <c r="F1204" i="42"/>
  <c r="E1204" i="42"/>
  <c r="C1204" i="42"/>
  <c r="X1203" i="42"/>
  <c r="T1203" i="42"/>
  <c r="U1203" i="42" s="1"/>
  <c r="I1203" i="42"/>
  <c r="F1203" i="42"/>
  <c r="E1203" i="42"/>
  <c r="C1203" i="42"/>
  <c r="X1202" i="42"/>
  <c r="T1202" i="42"/>
  <c r="U1202" i="42" s="1"/>
  <c r="I1202" i="42"/>
  <c r="F1202" i="42"/>
  <c r="E1202" i="42"/>
  <c r="C1202" i="42"/>
  <c r="X1201" i="42"/>
  <c r="T1201" i="42"/>
  <c r="U1201" i="42" s="1"/>
  <c r="I1201" i="42"/>
  <c r="F1201" i="42"/>
  <c r="E1201" i="42"/>
  <c r="C1201" i="42"/>
  <c r="X1200" i="42"/>
  <c r="T1200" i="42"/>
  <c r="U1200" i="42" s="1"/>
  <c r="I1200" i="42"/>
  <c r="F1200" i="42"/>
  <c r="E1200" i="42"/>
  <c r="C1200" i="42"/>
  <c r="X1199" i="42"/>
  <c r="T1199" i="42"/>
  <c r="U1199" i="42" s="1"/>
  <c r="I1199" i="42"/>
  <c r="F1199" i="42"/>
  <c r="E1199" i="42"/>
  <c r="C1199" i="42"/>
  <c r="X1198" i="42"/>
  <c r="T1198" i="42"/>
  <c r="U1198" i="42" s="1"/>
  <c r="I1198" i="42"/>
  <c r="F1198" i="42"/>
  <c r="E1198" i="42"/>
  <c r="C1198" i="42"/>
  <c r="X1197" i="42"/>
  <c r="T1197" i="42"/>
  <c r="U1197" i="42" s="1"/>
  <c r="I1197" i="42"/>
  <c r="F1197" i="42"/>
  <c r="E1197" i="42"/>
  <c r="C1197" i="42"/>
  <c r="X1196" i="42"/>
  <c r="T1196" i="42"/>
  <c r="U1196" i="42" s="1"/>
  <c r="I1196" i="42"/>
  <c r="F1196" i="42"/>
  <c r="E1196" i="42"/>
  <c r="C1196" i="42"/>
  <c r="X1195" i="42"/>
  <c r="T1195" i="42"/>
  <c r="U1195" i="42" s="1"/>
  <c r="I1195" i="42"/>
  <c r="F1195" i="42"/>
  <c r="E1195" i="42"/>
  <c r="C1195" i="42"/>
  <c r="X1194" i="42"/>
  <c r="T1194" i="42"/>
  <c r="U1194" i="42" s="1"/>
  <c r="I1194" i="42"/>
  <c r="F1194" i="42"/>
  <c r="E1194" i="42"/>
  <c r="C1194" i="42"/>
  <c r="X1193" i="42"/>
  <c r="T1193" i="42"/>
  <c r="U1193" i="42" s="1"/>
  <c r="I1193" i="42"/>
  <c r="F1193" i="42"/>
  <c r="E1193" i="42"/>
  <c r="C1193" i="42"/>
  <c r="X1192" i="42"/>
  <c r="T1192" i="42"/>
  <c r="U1192" i="42" s="1"/>
  <c r="I1192" i="42"/>
  <c r="F1192" i="42"/>
  <c r="E1192" i="42"/>
  <c r="C1192" i="42"/>
  <c r="X1191" i="42"/>
  <c r="T1191" i="42"/>
  <c r="U1191" i="42" s="1"/>
  <c r="I1191" i="42"/>
  <c r="F1191" i="42"/>
  <c r="E1191" i="42"/>
  <c r="C1191" i="42"/>
  <c r="X1190" i="42"/>
  <c r="T1190" i="42"/>
  <c r="U1190" i="42" s="1"/>
  <c r="I1190" i="42"/>
  <c r="F1190" i="42"/>
  <c r="E1190" i="42"/>
  <c r="C1190" i="42"/>
  <c r="X1189" i="42"/>
  <c r="T1189" i="42"/>
  <c r="U1189" i="42" s="1"/>
  <c r="I1189" i="42"/>
  <c r="F1189" i="42"/>
  <c r="E1189" i="42"/>
  <c r="C1189" i="42"/>
  <c r="X1188" i="42"/>
  <c r="T1188" i="42"/>
  <c r="U1188" i="42" s="1"/>
  <c r="I1188" i="42"/>
  <c r="F1188" i="42"/>
  <c r="E1188" i="42"/>
  <c r="C1188" i="42"/>
  <c r="X1187" i="42"/>
  <c r="T1187" i="42"/>
  <c r="U1187" i="42" s="1"/>
  <c r="I1187" i="42"/>
  <c r="F1187" i="42"/>
  <c r="E1187" i="42"/>
  <c r="C1187" i="42"/>
  <c r="X1186" i="42"/>
  <c r="T1186" i="42"/>
  <c r="U1186" i="42" s="1"/>
  <c r="I1186" i="42"/>
  <c r="F1186" i="42"/>
  <c r="E1186" i="42"/>
  <c r="C1186" i="42"/>
  <c r="X1185" i="42"/>
  <c r="T1185" i="42"/>
  <c r="U1185" i="42" s="1"/>
  <c r="I1185" i="42"/>
  <c r="F1185" i="42"/>
  <c r="E1185" i="42"/>
  <c r="C1185" i="42"/>
  <c r="X1184" i="42"/>
  <c r="T1184" i="42"/>
  <c r="U1184" i="42" s="1"/>
  <c r="I1184" i="42"/>
  <c r="F1184" i="42"/>
  <c r="E1184" i="42"/>
  <c r="C1184" i="42"/>
  <c r="X1183" i="42"/>
  <c r="T1183" i="42"/>
  <c r="U1183" i="42" s="1"/>
  <c r="I1183" i="42"/>
  <c r="F1183" i="42"/>
  <c r="E1183" i="42"/>
  <c r="C1183" i="42"/>
  <c r="X1182" i="42"/>
  <c r="T1182" i="42"/>
  <c r="U1182" i="42" s="1"/>
  <c r="I1182" i="42"/>
  <c r="F1182" i="42"/>
  <c r="E1182" i="42"/>
  <c r="C1182" i="42"/>
  <c r="X1181" i="42"/>
  <c r="T1181" i="42"/>
  <c r="U1181" i="42" s="1"/>
  <c r="I1181" i="42"/>
  <c r="F1181" i="42"/>
  <c r="E1181" i="42"/>
  <c r="C1181" i="42"/>
  <c r="X1180" i="42"/>
  <c r="T1180" i="42"/>
  <c r="U1180" i="42" s="1"/>
  <c r="I1180" i="42"/>
  <c r="F1180" i="42"/>
  <c r="E1180" i="42"/>
  <c r="C1180" i="42"/>
  <c r="X1179" i="42"/>
  <c r="T1179" i="42"/>
  <c r="U1179" i="42" s="1"/>
  <c r="I1179" i="42"/>
  <c r="F1179" i="42"/>
  <c r="E1179" i="42"/>
  <c r="C1179" i="42"/>
  <c r="X1178" i="42"/>
  <c r="T1178" i="42"/>
  <c r="U1178" i="42" s="1"/>
  <c r="I1178" i="42"/>
  <c r="F1178" i="42"/>
  <c r="E1178" i="42"/>
  <c r="C1178" i="42"/>
  <c r="X1177" i="42"/>
  <c r="T1177" i="42"/>
  <c r="U1177" i="42" s="1"/>
  <c r="I1177" i="42"/>
  <c r="F1177" i="42"/>
  <c r="E1177" i="42"/>
  <c r="C1177" i="42"/>
  <c r="X1176" i="42"/>
  <c r="T1176" i="42"/>
  <c r="U1176" i="42" s="1"/>
  <c r="I1176" i="42"/>
  <c r="F1176" i="42"/>
  <c r="E1176" i="42"/>
  <c r="C1176" i="42"/>
  <c r="X1175" i="42"/>
  <c r="T1175" i="42"/>
  <c r="U1175" i="42" s="1"/>
  <c r="I1175" i="42"/>
  <c r="F1175" i="42"/>
  <c r="E1175" i="42"/>
  <c r="C1175" i="42"/>
  <c r="X1174" i="42"/>
  <c r="T1174" i="42"/>
  <c r="U1174" i="42" s="1"/>
  <c r="I1174" i="42"/>
  <c r="F1174" i="42"/>
  <c r="E1174" i="42"/>
  <c r="C1174" i="42"/>
  <c r="X1173" i="42"/>
  <c r="T1173" i="42"/>
  <c r="U1173" i="42" s="1"/>
  <c r="I1173" i="42"/>
  <c r="F1173" i="42"/>
  <c r="E1173" i="42"/>
  <c r="C1173" i="42"/>
  <c r="X1172" i="42"/>
  <c r="T1172" i="42"/>
  <c r="U1172" i="42" s="1"/>
  <c r="I1172" i="42"/>
  <c r="F1172" i="42"/>
  <c r="E1172" i="42"/>
  <c r="C1172" i="42"/>
  <c r="X1171" i="42"/>
  <c r="T1171" i="42"/>
  <c r="U1171" i="42" s="1"/>
  <c r="I1171" i="42"/>
  <c r="F1171" i="42"/>
  <c r="E1171" i="42"/>
  <c r="C1171" i="42"/>
  <c r="X1170" i="42"/>
  <c r="T1170" i="42"/>
  <c r="U1170" i="42" s="1"/>
  <c r="I1170" i="42"/>
  <c r="F1170" i="42"/>
  <c r="E1170" i="42"/>
  <c r="C1170" i="42"/>
  <c r="X1169" i="42"/>
  <c r="T1169" i="42"/>
  <c r="U1169" i="42" s="1"/>
  <c r="I1169" i="42"/>
  <c r="F1169" i="42"/>
  <c r="E1169" i="42"/>
  <c r="C1169" i="42"/>
  <c r="X1168" i="42"/>
  <c r="T1168" i="42"/>
  <c r="U1168" i="42" s="1"/>
  <c r="I1168" i="42"/>
  <c r="F1168" i="42"/>
  <c r="E1168" i="42"/>
  <c r="C1168" i="42"/>
  <c r="X1167" i="42"/>
  <c r="T1167" i="42"/>
  <c r="U1167" i="42" s="1"/>
  <c r="I1167" i="42"/>
  <c r="F1167" i="42"/>
  <c r="E1167" i="42"/>
  <c r="C1167" i="42"/>
  <c r="X1166" i="42"/>
  <c r="T1166" i="42"/>
  <c r="U1166" i="42" s="1"/>
  <c r="I1166" i="42"/>
  <c r="F1166" i="42"/>
  <c r="E1166" i="42"/>
  <c r="C1166" i="42"/>
  <c r="X1165" i="42"/>
  <c r="T1165" i="42"/>
  <c r="U1165" i="42" s="1"/>
  <c r="I1165" i="42"/>
  <c r="F1165" i="42"/>
  <c r="E1165" i="42"/>
  <c r="C1165" i="42"/>
  <c r="X1164" i="42"/>
  <c r="T1164" i="42"/>
  <c r="U1164" i="42" s="1"/>
  <c r="I1164" i="42"/>
  <c r="F1164" i="42"/>
  <c r="E1164" i="42"/>
  <c r="C1164" i="42"/>
  <c r="X1163" i="42"/>
  <c r="T1163" i="42"/>
  <c r="U1163" i="42" s="1"/>
  <c r="I1163" i="42"/>
  <c r="F1163" i="42"/>
  <c r="E1163" i="42"/>
  <c r="C1163" i="42"/>
  <c r="X1162" i="42"/>
  <c r="T1162" i="42"/>
  <c r="U1162" i="42" s="1"/>
  <c r="I1162" i="42"/>
  <c r="F1162" i="42"/>
  <c r="E1162" i="42"/>
  <c r="C1162" i="42"/>
  <c r="X1161" i="42"/>
  <c r="T1161" i="42"/>
  <c r="U1161" i="42" s="1"/>
  <c r="I1161" i="42"/>
  <c r="F1161" i="42"/>
  <c r="E1161" i="42"/>
  <c r="C1161" i="42"/>
  <c r="X1160" i="42"/>
  <c r="T1160" i="42"/>
  <c r="U1160" i="42" s="1"/>
  <c r="I1160" i="42"/>
  <c r="F1160" i="42"/>
  <c r="E1160" i="42"/>
  <c r="C1160" i="42"/>
  <c r="X1159" i="42"/>
  <c r="T1159" i="42"/>
  <c r="U1159" i="42" s="1"/>
  <c r="I1159" i="42"/>
  <c r="F1159" i="42"/>
  <c r="E1159" i="42"/>
  <c r="C1159" i="42"/>
  <c r="X1158" i="42"/>
  <c r="T1158" i="42"/>
  <c r="U1158" i="42" s="1"/>
  <c r="I1158" i="42"/>
  <c r="F1158" i="42"/>
  <c r="E1158" i="42"/>
  <c r="C1158" i="42"/>
  <c r="X1157" i="42"/>
  <c r="T1157" i="42"/>
  <c r="U1157" i="42" s="1"/>
  <c r="I1157" i="42"/>
  <c r="F1157" i="42"/>
  <c r="E1157" i="42"/>
  <c r="C1157" i="42"/>
  <c r="X1156" i="42"/>
  <c r="T1156" i="42"/>
  <c r="U1156" i="42" s="1"/>
  <c r="I1156" i="42"/>
  <c r="F1156" i="42"/>
  <c r="E1156" i="42"/>
  <c r="C1156" i="42"/>
  <c r="X1155" i="42"/>
  <c r="T1155" i="42"/>
  <c r="U1155" i="42" s="1"/>
  <c r="I1155" i="42"/>
  <c r="F1155" i="42"/>
  <c r="E1155" i="42"/>
  <c r="C1155" i="42"/>
  <c r="X1154" i="42"/>
  <c r="T1154" i="42"/>
  <c r="U1154" i="42" s="1"/>
  <c r="I1154" i="42"/>
  <c r="F1154" i="42"/>
  <c r="E1154" i="42"/>
  <c r="C1154" i="42"/>
  <c r="X1153" i="42"/>
  <c r="T1153" i="42"/>
  <c r="U1153" i="42" s="1"/>
  <c r="I1153" i="42"/>
  <c r="F1153" i="42"/>
  <c r="E1153" i="42"/>
  <c r="C1153" i="42"/>
  <c r="X1152" i="42"/>
  <c r="T1152" i="42"/>
  <c r="U1152" i="42" s="1"/>
  <c r="I1152" i="42"/>
  <c r="F1152" i="42"/>
  <c r="E1152" i="42"/>
  <c r="C1152" i="42"/>
  <c r="X1151" i="42"/>
  <c r="T1151" i="42"/>
  <c r="U1151" i="42" s="1"/>
  <c r="I1151" i="42"/>
  <c r="F1151" i="42"/>
  <c r="E1151" i="42"/>
  <c r="C1151" i="42"/>
  <c r="X1150" i="42"/>
  <c r="T1150" i="42"/>
  <c r="U1150" i="42" s="1"/>
  <c r="I1150" i="42"/>
  <c r="F1150" i="42"/>
  <c r="E1150" i="42"/>
  <c r="C1150" i="42"/>
  <c r="X1149" i="42"/>
  <c r="T1149" i="42"/>
  <c r="U1149" i="42" s="1"/>
  <c r="I1149" i="42"/>
  <c r="F1149" i="42"/>
  <c r="E1149" i="42"/>
  <c r="C1149" i="42"/>
  <c r="X1148" i="42"/>
  <c r="T1148" i="42"/>
  <c r="U1148" i="42" s="1"/>
  <c r="I1148" i="42"/>
  <c r="F1148" i="42"/>
  <c r="E1148" i="42"/>
  <c r="C1148" i="42"/>
  <c r="X1147" i="42"/>
  <c r="T1147" i="42"/>
  <c r="U1147" i="42" s="1"/>
  <c r="I1147" i="42"/>
  <c r="F1147" i="42"/>
  <c r="E1147" i="42"/>
  <c r="C1147" i="42"/>
  <c r="X1146" i="42"/>
  <c r="T1146" i="42"/>
  <c r="U1146" i="42" s="1"/>
  <c r="I1146" i="42"/>
  <c r="F1146" i="42"/>
  <c r="E1146" i="42"/>
  <c r="C1146" i="42"/>
  <c r="X1145" i="42"/>
  <c r="T1145" i="42"/>
  <c r="U1145" i="42" s="1"/>
  <c r="I1145" i="42"/>
  <c r="F1145" i="42"/>
  <c r="E1145" i="42"/>
  <c r="C1145" i="42"/>
  <c r="X1144" i="42"/>
  <c r="T1144" i="42"/>
  <c r="U1144" i="42" s="1"/>
  <c r="I1144" i="42"/>
  <c r="F1144" i="42"/>
  <c r="E1144" i="42"/>
  <c r="C1144" i="42"/>
  <c r="X1143" i="42"/>
  <c r="T1143" i="42"/>
  <c r="U1143" i="42" s="1"/>
  <c r="I1143" i="42"/>
  <c r="F1143" i="42"/>
  <c r="E1143" i="42"/>
  <c r="C1143" i="42"/>
  <c r="X1142" i="42"/>
  <c r="T1142" i="42"/>
  <c r="U1142" i="42" s="1"/>
  <c r="I1142" i="42"/>
  <c r="F1142" i="42"/>
  <c r="E1142" i="42"/>
  <c r="C1142" i="42"/>
  <c r="X1141" i="42"/>
  <c r="T1141" i="42"/>
  <c r="U1141" i="42" s="1"/>
  <c r="I1141" i="42"/>
  <c r="F1141" i="42"/>
  <c r="E1141" i="42"/>
  <c r="C1141" i="42"/>
  <c r="X1140" i="42"/>
  <c r="T1140" i="42"/>
  <c r="U1140" i="42" s="1"/>
  <c r="I1140" i="42"/>
  <c r="F1140" i="42"/>
  <c r="E1140" i="42"/>
  <c r="C1140" i="42"/>
  <c r="X1139" i="42"/>
  <c r="T1139" i="42"/>
  <c r="U1139" i="42" s="1"/>
  <c r="I1139" i="42"/>
  <c r="F1139" i="42"/>
  <c r="E1139" i="42"/>
  <c r="C1139" i="42"/>
  <c r="X1138" i="42"/>
  <c r="T1138" i="42"/>
  <c r="U1138" i="42" s="1"/>
  <c r="I1138" i="42"/>
  <c r="F1138" i="42"/>
  <c r="E1138" i="42"/>
  <c r="C1138" i="42"/>
  <c r="X1137" i="42"/>
  <c r="T1137" i="42"/>
  <c r="U1137" i="42" s="1"/>
  <c r="I1137" i="42"/>
  <c r="F1137" i="42"/>
  <c r="E1137" i="42"/>
  <c r="C1137" i="42"/>
  <c r="X1136" i="42"/>
  <c r="T1136" i="42"/>
  <c r="U1136" i="42" s="1"/>
  <c r="I1136" i="42"/>
  <c r="F1136" i="42"/>
  <c r="E1136" i="42"/>
  <c r="C1136" i="42"/>
  <c r="X1135" i="42"/>
  <c r="T1135" i="42"/>
  <c r="U1135" i="42" s="1"/>
  <c r="I1135" i="42"/>
  <c r="F1135" i="42"/>
  <c r="E1135" i="42"/>
  <c r="C1135" i="42"/>
  <c r="X1134" i="42"/>
  <c r="T1134" i="42"/>
  <c r="U1134" i="42" s="1"/>
  <c r="I1134" i="42"/>
  <c r="F1134" i="42"/>
  <c r="E1134" i="42"/>
  <c r="C1134" i="42"/>
  <c r="X1133" i="42"/>
  <c r="T1133" i="42"/>
  <c r="U1133" i="42" s="1"/>
  <c r="I1133" i="42"/>
  <c r="F1133" i="42"/>
  <c r="E1133" i="42"/>
  <c r="C1133" i="42"/>
  <c r="X1132" i="42"/>
  <c r="T1132" i="42"/>
  <c r="U1132" i="42" s="1"/>
  <c r="I1132" i="42"/>
  <c r="F1132" i="42"/>
  <c r="E1132" i="42"/>
  <c r="C1132" i="42"/>
  <c r="X1131" i="42"/>
  <c r="T1131" i="42"/>
  <c r="U1131" i="42" s="1"/>
  <c r="I1131" i="42"/>
  <c r="F1131" i="42"/>
  <c r="E1131" i="42"/>
  <c r="C1131" i="42"/>
  <c r="X1130" i="42"/>
  <c r="T1130" i="42"/>
  <c r="U1130" i="42" s="1"/>
  <c r="I1130" i="42"/>
  <c r="F1130" i="42"/>
  <c r="E1130" i="42"/>
  <c r="C1130" i="42"/>
  <c r="X1129" i="42"/>
  <c r="T1129" i="42"/>
  <c r="U1129" i="42" s="1"/>
  <c r="I1129" i="42"/>
  <c r="F1129" i="42"/>
  <c r="E1129" i="42"/>
  <c r="C1129" i="42"/>
  <c r="X1128" i="42"/>
  <c r="T1128" i="42"/>
  <c r="U1128" i="42" s="1"/>
  <c r="I1128" i="42"/>
  <c r="F1128" i="42"/>
  <c r="E1128" i="42"/>
  <c r="C1128" i="42"/>
  <c r="X1127" i="42"/>
  <c r="T1127" i="42"/>
  <c r="U1127" i="42" s="1"/>
  <c r="I1127" i="42"/>
  <c r="F1127" i="42"/>
  <c r="E1127" i="42"/>
  <c r="C1127" i="42"/>
  <c r="X1126" i="42"/>
  <c r="T1126" i="42"/>
  <c r="U1126" i="42" s="1"/>
  <c r="I1126" i="42"/>
  <c r="F1126" i="42"/>
  <c r="E1126" i="42"/>
  <c r="C1126" i="42"/>
  <c r="T1125" i="42"/>
  <c r="U1125" i="42" s="1"/>
  <c r="I1125" i="42"/>
  <c r="F1125" i="42"/>
  <c r="E1125" i="42"/>
  <c r="C1125" i="42"/>
  <c r="T1124" i="42"/>
  <c r="U1124" i="42" s="1"/>
  <c r="I1124" i="42"/>
  <c r="F1124" i="42"/>
  <c r="E1124" i="42"/>
  <c r="C1124" i="42"/>
  <c r="T1123" i="42"/>
  <c r="U1123" i="42" s="1"/>
  <c r="I1123" i="42"/>
  <c r="F1123" i="42"/>
  <c r="E1123" i="42"/>
  <c r="C1123" i="42"/>
  <c r="T1122" i="42"/>
  <c r="U1122" i="42" s="1"/>
  <c r="I1122" i="42"/>
  <c r="F1122" i="42"/>
  <c r="E1122" i="42"/>
  <c r="C1122" i="42"/>
  <c r="T1121" i="42"/>
  <c r="U1121" i="42" s="1"/>
  <c r="I1121" i="42"/>
  <c r="F1121" i="42"/>
  <c r="E1121" i="42"/>
  <c r="C1121" i="42"/>
  <c r="T1120" i="42"/>
  <c r="U1120" i="42" s="1"/>
  <c r="I1120" i="42"/>
  <c r="F1120" i="42"/>
  <c r="E1120" i="42"/>
  <c r="C1120" i="42"/>
  <c r="T1119" i="42"/>
  <c r="U1119" i="42" s="1"/>
  <c r="I1119" i="42"/>
  <c r="F1119" i="42"/>
  <c r="E1119" i="42"/>
  <c r="C1119" i="42"/>
  <c r="T1118" i="42"/>
  <c r="U1118" i="42" s="1"/>
  <c r="I1118" i="42"/>
  <c r="F1118" i="42"/>
  <c r="E1118" i="42"/>
  <c r="C1118" i="42"/>
  <c r="T1117" i="42"/>
  <c r="U1117" i="42" s="1"/>
  <c r="I1117" i="42"/>
  <c r="F1117" i="42"/>
  <c r="E1117" i="42"/>
  <c r="C1117" i="42"/>
  <c r="T1116" i="42"/>
  <c r="U1116" i="42" s="1"/>
  <c r="I1116" i="42"/>
  <c r="F1116" i="42"/>
  <c r="E1116" i="42"/>
  <c r="C1116" i="42"/>
  <c r="T1115" i="42"/>
  <c r="U1115" i="42" s="1"/>
  <c r="I1115" i="42"/>
  <c r="F1115" i="42"/>
  <c r="E1115" i="42"/>
  <c r="C1115" i="42"/>
  <c r="T1114" i="42"/>
  <c r="U1114" i="42" s="1"/>
  <c r="I1114" i="42"/>
  <c r="F1114" i="42"/>
  <c r="E1114" i="42"/>
  <c r="C1114" i="42"/>
  <c r="T1113" i="42"/>
  <c r="U1113" i="42" s="1"/>
  <c r="I1113" i="42"/>
  <c r="F1113" i="42"/>
  <c r="E1113" i="42"/>
  <c r="C1113" i="42"/>
  <c r="T1112" i="42"/>
  <c r="U1112" i="42" s="1"/>
  <c r="I1112" i="42"/>
  <c r="F1112" i="42"/>
  <c r="E1112" i="42"/>
  <c r="C1112" i="42"/>
  <c r="T1111" i="42"/>
  <c r="U1111" i="42" s="1"/>
  <c r="I1111" i="42"/>
  <c r="F1111" i="42"/>
  <c r="E1111" i="42"/>
  <c r="C1111" i="42"/>
  <c r="T1110" i="42"/>
  <c r="U1110" i="42" s="1"/>
  <c r="I1110" i="42"/>
  <c r="F1110" i="42"/>
  <c r="E1110" i="42"/>
  <c r="C1110" i="42"/>
  <c r="T1109" i="42"/>
  <c r="U1109" i="42" s="1"/>
  <c r="I1109" i="42"/>
  <c r="F1109" i="42"/>
  <c r="E1109" i="42"/>
  <c r="C1109" i="42"/>
  <c r="T1108" i="42"/>
  <c r="U1108" i="42" s="1"/>
  <c r="I1108" i="42"/>
  <c r="F1108" i="42"/>
  <c r="E1108" i="42"/>
  <c r="C1108" i="42"/>
  <c r="T1107" i="42"/>
  <c r="U1107" i="42" s="1"/>
  <c r="I1107" i="42"/>
  <c r="F1107" i="42"/>
  <c r="E1107" i="42"/>
  <c r="C1107" i="42"/>
  <c r="T1106" i="42"/>
  <c r="U1106" i="42" s="1"/>
  <c r="I1106" i="42"/>
  <c r="F1106" i="42"/>
  <c r="E1106" i="42"/>
  <c r="C1106" i="42"/>
  <c r="T1105" i="42"/>
  <c r="U1105" i="42" s="1"/>
  <c r="I1105" i="42"/>
  <c r="F1105" i="42"/>
  <c r="E1105" i="42"/>
  <c r="C1105" i="42"/>
  <c r="T1104" i="42"/>
  <c r="U1104" i="42" s="1"/>
  <c r="I1104" i="42"/>
  <c r="F1104" i="42"/>
  <c r="E1104" i="42"/>
  <c r="C1104" i="42"/>
  <c r="T1103" i="42"/>
  <c r="U1103" i="42" s="1"/>
  <c r="I1103" i="42"/>
  <c r="F1103" i="42"/>
  <c r="E1103" i="42"/>
  <c r="C1103" i="42"/>
  <c r="T1102" i="42"/>
  <c r="U1102" i="42" s="1"/>
  <c r="I1102" i="42"/>
  <c r="F1102" i="42"/>
  <c r="E1102" i="42"/>
  <c r="C1102" i="42"/>
  <c r="T1101" i="42"/>
  <c r="U1101" i="42" s="1"/>
  <c r="I1101" i="42"/>
  <c r="F1101" i="42"/>
  <c r="E1101" i="42"/>
  <c r="C1101" i="42"/>
  <c r="T1100" i="42"/>
  <c r="U1100" i="42" s="1"/>
  <c r="I1100" i="42"/>
  <c r="F1100" i="42"/>
  <c r="E1100" i="42"/>
  <c r="C1100" i="42"/>
  <c r="T1099" i="42"/>
  <c r="U1099" i="42" s="1"/>
  <c r="I1099" i="42"/>
  <c r="F1099" i="42"/>
  <c r="E1099" i="42"/>
  <c r="C1099" i="42"/>
  <c r="T1098" i="42"/>
  <c r="U1098" i="42" s="1"/>
  <c r="I1098" i="42"/>
  <c r="F1098" i="42"/>
  <c r="E1098" i="42"/>
  <c r="C1098" i="42"/>
  <c r="T1097" i="42"/>
  <c r="U1097" i="42" s="1"/>
  <c r="I1097" i="42"/>
  <c r="F1097" i="42"/>
  <c r="E1097" i="42"/>
  <c r="C1097" i="42"/>
  <c r="T1096" i="42"/>
  <c r="U1096" i="42" s="1"/>
  <c r="I1096" i="42"/>
  <c r="F1096" i="42"/>
  <c r="E1096" i="42"/>
  <c r="C1096" i="42"/>
  <c r="T1095" i="42"/>
  <c r="U1095" i="42" s="1"/>
  <c r="I1095" i="42"/>
  <c r="F1095" i="42"/>
  <c r="E1095" i="42"/>
  <c r="C1095" i="42"/>
  <c r="T1094" i="42"/>
  <c r="U1094" i="42" s="1"/>
  <c r="I1094" i="42"/>
  <c r="F1094" i="42"/>
  <c r="E1094" i="42"/>
  <c r="C1094" i="42"/>
  <c r="T1093" i="42"/>
  <c r="U1093" i="42" s="1"/>
  <c r="I1093" i="42"/>
  <c r="F1093" i="42"/>
  <c r="E1093" i="42"/>
  <c r="C1093" i="42"/>
  <c r="T1092" i="42"/>
  <c r="U1092" i="42" s="1"/>
  <c r="I1092" i="42"/>
  <c r="F1092" i="42"/>
  <c r="E1092" i="42"/>
  <c r="C1092" i="42"/>
  <c r="T1091" i="42"/>
  <c r="U1091" i="42" s="1"/>
  <c r="I1091" i="42"/>
  <c r="F1091" i="42"/>
  <c r="E1091" i="42"/>
  <c r="C1091" i="42"/>
  <c r="T1090" i="42"/>
  <c r="U1090" i="42" s="1"/>
  <c r="I1090" i="42"/>
  <c r="F1090" i="42"/>
  <c r="E1090" i="42"/>
  <c r="C1090" i="42"/>
  <c r="T1089" i="42"/>
  <c r="U1089" i="42" s="1"/>
  <c r="I1089" i="42"/>
  <c r="F1089" i="42"/>
  <c r="E1089" i="42"/>
  <c r="C1089" i="42"/>
  <c r="T1088" i="42"/>
  <c r="U1088" i="42" s="1"/>
  <c r="I1088" i="42"/>
  <c r="F1088" i="42"/>
  <c r="E1088" i="42"/>
  <c r="C1088" i="42"/>
  <c r="T1087" i="42"/>
  <c r="U1087" i="42" s="1"/>
  <c r="I1087" i="42"/>
  <c r="F1087" i="42"/>
  <c r="E1087" i="42"/>
  <c r="C1087" i="42"/>
  <c r="T1086" i="42"/>
  <c r="U1086" i="42" s="1"/>
  <c r="I1086" i="42"/>
  <c r="F1086" i="42"/>
  <c r="E1086" i="42"/>
  <c r="C1086" i="42"/>
  <c r="T1085" i="42"/>
  <c r="U1085" i="42" s="1"/>
  <c r="I1085" i="42"/>
  <c r="F1085" i="42"/>
  <c r="E1085" i="42"/>
  <c r="C1085" i="42"/>
  <c r="T1084" i="42"/>
  <c r="U1084" i="42" s="1"/>
  <c r="I1084" i="42"/>
  <c r="F1084" i="42"/>
  <c r="E1084" i="42"/>
  <c r="C1084" i="42"/>
  <c r="T1083" i="42"/>
  <c r="U1083" i="42" s="1"/>
  <c r="I1083" i="42"/>
  <c r="F1083" i="42"/>
  <c r="E1083" i="42"/>
  <c r="C1083" i="42"/>
  <c r="T1082" i="42"/>
  <c r="U1082" i="42" s="1"/>
  <c r="I1082" i="42"/>
  <c r="F1082" i="42"/>
  <c r="E1082" i="42"/>
  <c r="C1082" i="42"/>
  <c r="T1081" i="42"/>
  <c r="U1081" i="42" s="1"/>
  <c r="I1081" i="42"/>
  <c r="F1081" i="42"/>
  <c r="E1081" i="42"/>
  <c r="C1081" i="42"/>
  <c r="T1080" i="42"/>
  <c r="U1080" i="42" s="1"/>
  <c r="I1080" i="42"/>
  <c r="F1080" i="42"/>
  <c r="E1080" i="42"/>
  <c r="C1080" i="42"/>
  <c r="T1079" i="42"/>
  <c r="U1079" i="42" s="1"/>
  <c r="I1079" i="42"/>
  <c r="F1079" i="42"/>
  <c r="E1079" i="42"/>
  <c r="C1079" i="42"/>
  <c r="T1078" i="42"/>
  <c r="U1078" i="42" s="1"/>
  <c r="I1078" i="42"/>
  <c r="F1078" i="42"/>
  <c r="E1078" i="42"/>
  <c r="C1078" i="42"/>
  <c r="T1077" i="42"/>
  <c r="U1077" i="42" s="1"/>
  <c r="I1077" i="42"/>
  <c r="F1077" i="42"/>
  <c r="E1077" i="42"/>
  <c r="C1077" i="42"/>
  <c r="T1076" i="42"/>
  <c r="U1076" i="42" s="1"/>
  <c r="I1076" i="42"/>
  <c r="F1076" i="42"/>
  <c r="E1076" i="42"/>
  <c r="C1076" i="42"/>
  <c r="T1075" i="42"/>
  <c r="U1075" i="42" s="1"/>
  <c r="I1075" i="42"/>
  <c r="F1075" i="42"/>
  <c r="E1075" i="42"/>
  <c r="C1075" i="42"/>
  <c r="T1074" i="42"/>
  <c r="U1074" i="42" s="1"/>
  <c r="I1074" i="42"/>
  <c r="F1074" i="42"/>
  <c r="E1074" i="42"/>
  <c r="C1074" i="42"/>
  <c r="T1073" i="42"/>
  <c r="U1073" i="42" s="1"/>
  <c r="I1073" i="42"/>
  <c r="F1073" i="42"/>
  <c r="E1073" i="42"/>
  <c r="C1073" i="42"/>
  <c r="T1072" i="42"/>
  <c r="U1072" i="42" s="1"/>
  <c r="I1072" i="42"/>
  <c r="F1072" i="42"/>
  <c r="E1072" i="42"/>
  <c r="C1072" i="42"/>
  <c r="T1071" i="42"/>
  <c r="U1071" i="42" s="1"/>
  <c r="I1071" i="42"/>
  <c r="F1071" i="42"/>
  <c r="E1071" i="42"/>
  <c r="C1071" i="42"/>
  <c r="T1070" i="42"/>
  <c r="U1070" i="42" s="1"/>
  <c r="I1070" i="42"/>
  <c r="F1070" i="42"/>
  <c r="E1070" i="42"/>
  <c r="C1070" i="42"/>
  <c r="T1069" i="42"/>
  <c r="U1069" i="42" s="1"/>
  <c r="I1069" i="42"/>
  <c r="F1069" i="42"/>
  <c r="E1069" i="42"/>
  <c r="C1069" i="42"/>
  <c r="T1068" i="42"/>
  <c r="U1068" i="42" s="1"/>
  <c r="I1068" i="42"/>
  <c r="F1068" i="42"/>
  <c r="E1068" i="42"/>
  <c r="C1068" i="42"/>
  <c r="T1067" i="42"/>
  <c r="U1067" i="42" s="1"/>
  <c r="I1067" i="42"/>
  <c r="F1067" i="42"/>
  <c r="E1067" i="42"/>
  <c r="C1067" i="42"/>
  <c r="T1066" i="42"/>
  <c r="U1066" i="42" s="1"/>
  <c r="I1066" i="42"/>
  <c r="F1066" i="42"/>
  <c r="E1066" i="42"/>
  <c r="C1066" i="42"/>
  <c r="T1065" i="42"/>
  <c r="U1065" i="42" s="1"/>
  <c r="I1065" i="42"/>
  <c r="F1065" i="42"/>
  <c r="E1065" i="42"/>
  <c r="C1065" i="42"/>
  <c r="T1064" i="42"/>
  <c r="U1064" i="42" s="1"/>
  <c r="I1064" i="42"/>
  <c r="F1064" i="42"/>
  <c r="E1064" i="42"/>
  <c r="C1064" i="42"/>
  <c r="T1063" i="42"/>
  <c r="U1063" i="42" s="1"/>
  <c r="I1063" i="42"/>
  <c r="F1063" i="42"/>
  <c r="E1063" i="42"/>
  <c r="C1063" i="42"/>
  <c r="T1062" i="42"/>
  <c r="U1062" i="42" s="1"/>
  <c r="I1062" i="42"/>
  <c r="F1062" i="42"/>
  <c r="E1062" i="42"/>
  <c r="C1062" i="42"/>
  <c r="T1061" i="42"/>
  <c r="U1061" i="42" s="1"/>
  <c r="I1061" i="42"/>
  <c r="F1061" i="42"/>
  <c r="E1061" i="42"/>
  <c r="C1061" i="42"/>
  <c r="T1060" i="42"/>
  <c r="U1060" i="42" s="1"/>
  <c r="I1060" i="42"/>
  <c r="F1060" i="42"/>
  <c r="E1060" i="42"/>
  <c r="C1060" i="42"/>
  <c r="T1059" i="42"/>
  <c r="U1059" i="42" s="1"/>
  <c r="I1059" i="42"/>
  <c r="F1059" i="42"/>
  <c r="E1059" i="42"/>
  <c r="C1059" i="42"/>
  <c r="T1058" i="42"/>
  <c r="U1058" i="42" s="1"/>
  <c r="I1058" i="42"/>
  <c r="F1058" i="42"/>
  <c r="E1058" i="42"/>
  <c r="C1058" i="42"/>
  <c r="T1057" i="42"/>
  <c r="U1057" i="42" s="1"/>
  <c r="I1057" i="42"/>
  <c r="F1057" i="42"/>
  <c r="E1057" i="42"/>
  <c r="C1057" i="42"/>
  <c r="T1056" i="42"/>
  <c r="U1056" i="42" s="1"/>
  <c r="I1056" i="42"/>
  <c r="F1056" i="42"/>
  <c r="E1056" i="42"/>
  <c r="C1056" i="42"/>
  <c r="T1055" i="42"/>
  <c r="U1055" i="42" s="1"/>
  <c r="I1055" i="42"/>
  <c r="F1055" i="42"/>
  <c r="E1055" i="42"/>
  <c r="C1055" i="42"/>
  <c r="T1054" i="42"/>
  <c r="U1054" i="42" s="1"/>
  <c r="I1054" i="42"/>
  <c r="F1054" i="42"/>
  <c r="E1054" i="42"/>
  <c r="C1054" i="42"/>
  <c r="T1053" i="42"/>
  <c r="U1053" i="42" s="1"/>
  <c r="I1053" i="42"/>
  <c r="F1053" i="42"/>
  <c r="E1053" i="42"/>
  <c r="C1053" i="42"/>
  <c r="T1052" i="42"/>
  <c r="U1052" i="42" s="1"/>
  <c r="I1052" i="42"/>
  <c r="F1052" i="42"/>
  <c r="E1052" i="42"/>
  <c r="C1052" i="42"/>
  <c r="T1051" i="42"/>
  <c r="U1051" i="42" s="1"/>
  <c r="I1051" i="42"/>
  <c r="F1051" i="42"/>
  <c r="E1051" i="42"/>
  <c r="C1051" i="42"/>
  <c r="T1050" i="42"/>
  <c r="U1050" i="42" s="1"/>
  <c r="I1050" i="42"/>
  <c r="F1050" i="42"/>
  <c r="E1050" i="42"/>
  <c r="C1050" i="42"/>
  <c r="T1049" i="42"/>
  <c r="U1049" i="42" s="1"/>
  <c r="I1049" i="42"/>
  <c r="F1049" i="42"/>
  <c r="E1049" i="42"/>
  <c r="C1049" i="42"/>
  <c r="T1048" i="42"/>
  <c r="U1048" i="42" s="1"/>
  <c r="I1048" i="42"/>
  <c r="F1048" i="42"/>
  <c r="E1048" i="42"/>
  <c r="C1048" i="42"/>
  <c r="T1047" i="42"/>
  <c r="U1047" i="42" s="1"/>
  <c r="I1047" i="42"/>
  <c r="F1047" i="42"/>
  <c r="E1047" i="42"/>
  <c r="C1047" i="42"/>
  <c r="T1046" i="42"/>
  <c r="U1046" i="42" s="1"/>
  <c r="I1046" i="42"/>
  <c r="F1046" i="42"/>
  <c r="E1046" i="42"/>
  <c r="C1046" i="42"/>
  <c r="T1045" i="42"/>
  <c r="U1045" i="42" s="1"/>
  <c r="I1045" i="42"/>
  <c r="F1045" i="42"/>
  <c r="E1045" i="42"/>
  <c r="C1045" i="42"/>
  <c r="T1044" i="42"/>
  <c r="U1044" i="42" s="1"/>
  <c r="I1044" i="42"/>
  <c r="F1044" i="42"/>
  <c r="E1044" i="42"/>
  <c r="C1044" i="42"/>
  <c r="T1043" i="42"/>
  <c r="U1043" i="42" s="1"/>
  <c r="I1043" i="42"/>
  <c r="F1043" i="42"/>
  <c r="E1043" i="42"/>
  <c r="C1043" i="42"/>
  <c r="T1042" i="42"/>
  <c r="U1042" i="42" s="1"/>
  <c r="I1042" i="42"/>
  <c r="F1042" i="42"/>
  <c r="E1042" i="42"/>
  <c r="C1042" i="42"/>
  <c r="T1041" i="42"/>
  <c r="U1041" i="42" s="1"/>
  <c r="I1041" i="42"/>
  <c r="F1041" i="42"/>
  <c r="E1041" i="42"/>
  <c r="C1041" i="42"/>
  <c r="T1040" i="42"/>
  <c r="U1040" i="42" s="1"/>
  <c r="I1040" i="42"/>
  <c r="F1040" i="42"/>
  <c r="E1040" i="42"/>
  <c r="C1040" i="42"/>
  <c r="T1039" i="42"/>
  <c r="U1039" i="42" s="1"/>
  <c r="I1039" i="42"/>
  <c r="F1039" i="42"/>
  <c r="E1039" i="42"/>
  <c r="C1039" i="42"/>
  <c r="T1038" i="42"/>
  <c r="U1038" i="42" s="1"/>
  <c r="I1038" i="42"/>
  <c r="F1038" i="42"/>
  <c r="E1038" i="42"/>
  <c r="C1038" i="42"/>
  <c r="T1037" i="42"/>
  <c r="U1037" i="42" s="1"/>
  <c r="I1037" i="42"/>
  <c r="F1037" i="42"/>
  <c r="E1037" i="42"/>
  <c r="C1037" i="42"/>
  <c r="T1036" i="42"/>
  <c r="U1036" i="42" s="1"/>
  <c r="I1036" i="42"/>
  <c r="F1036" i="42"/>
  <c r="E1036" i="42"/>
  <c r="C1036" i="42"/>
  <c r="T1035" i="42"/>
  <c r="U1035" i="42" s="1"/>
  <c r="I1035" i="42"/>
  <c r="F1035" i="42"/>
  <c r="E1035" i="42"/>
  <c r="C1035" i="42"/>
  <c r="T1034" i="42"/>
  <c r="U1034" i="42" s="1"/>
  <c r="I1034" i="42"/>
  <c r="F1034" i="42"/>
  <c r="E1034" i="42"/>
  <c r="C1034" i="42"/>
  <c r="T1033" i="42"/>
  <c r="U1033" i="42" s="1"/>
  <c r="I1033" i="42"/>
  <c r="F1033" i="42"/>
  <c r="E1033" i="42"/>
  <c r="C1033" i="42"/>
  <c r="T1032" i="42"/>
  <c r="U1032" i="42" s="1"/>
  <c r="I1032" i="42"/>
  <c r="F1032" i="42"/>
  <c r="E1032" i="42"/>
  <c r="C1032" i="42"/>
  <c r="T1031" i="42"/>
  <c r="U1031" i="42" s="1"/>
  <c r="I1031" i="42"/>
  <c r="F1031" i="42"/>
  <c r="E1031" i="42"/>
  <c r="C1031" i="42"/>
  <c r="T1030" i="42"/>
  <c r="U1030" i="42" s="1"/>
  <c r="I1030" i="42"/>
  <c r="F1030" i="42"/>
  <c r="E1030" i="42"/>
  <c r="C1030" i="42"/>
  <c r="T1029" i="42"/>
  <c r="U1029" i="42" s="1"/>
  <c r="I1029" i="42"/>
  <c r="F1029" i="42"/>
  <c r="E1029" i="42"/>
  <c r="C1029" i="42"/>
  <c r="T1028" i="42"/>
  <c r="U1028" i="42" s="1"/>
  <c r="I1028" i="42"/>
  <c r="F1028" i="42"/>
  <c r="E1028" i="42"/>
  <c r="C1028" i="42"/>
  <c r="T1027" i="42"/>
  <c r="U1027" i="42" s="1"/>
  <c r="I1027" i="42"/>
  <c r="F1027" i="42"/>
  <c r="E1027" i="42"/>
  <c r="C1027" i="42"/>
  <c r="T1026" i="42"/>
  <c r="U1026" i="42" s="1"/>
  <c r="I1026" i="42"/>
  <c r="F1026" i="42"/>
  <c r="E1026" i="42"/>
  <c r="C1026" i="42"/>
  <c r="T1025" i="42"/>
  <c r="U1025" i="42" s="1"/>
  <c r="I1025" i="42"/>
  <c r="F1025" i="42"/>
  <c r="E1025" i="42"/>
  <c r="C1025" i="42"/>
  <c r="T1024" i="42"/>
  <c r="U1024" i="42" s="1"/>
  <c r="I1024" i="42"/>
  <c r="F1024" i="42"/>
  <c r="E1024" i="42"/>
  <c r="C1024" i="42"/>
  <c r="T1023" i="42"/>
  <c r="U1023" i="42" s="1"/>
  <c r="I1023" i="42"/>
  <c r="F1023" i="42"/>
  <c r="E1023" i="42"/>
  <c r="C1023" i="42"/>
  <c r="T1022" i="42"/>
  <c r="U1022" i="42" s="1"/>
  <c r="I1022" i="42"/>
  <c r="F1022" i="42"/>
  <c r="E1022" i="42"/>
  <c r="C1022" i="42"/>
  <c r="T1021" i="42"/>
  <c r="U1021" i="42" s="1"/>
  <c r="I1021" i="42"/>
  <c r="F1021" i="42"/>
  <c r="E1021" i="42"/>
  <c r="C1021" i="42"/>
  <c r="T1020" i="42"/>
  <c r="U1020" i="42" s="1"/>
  <c r="I1020" i="42"/>
  <c r="F1020" i="42"/>
  <c r="E1020" i="42"/>
  <c r="C1020" i="42"/>
  <c r="T1019" i="42"/>
  <c r="U1019" i="42" s="1"/>
  <c r="I1019" i="42"/>
  <c r="F1019" i="42"/>
  <c r="E1019" i="42"/>
  <c r="C1019" i="42"/>
  <c r="T1018" i="42"/>
  <c r="U1018" i="42" s="1"/>
  <c r="I1018" i="42"/>
  <c r="F1018" i="42"/>
  <c r="E1018" i="42"/>
  <c r="C1018" i="42"/>
  <c r="T1017" i="42"/>
  <c r="U1017" i="42" s="1"/>
  <c r="I1017" i="42"/>
  <c r="F1017" i="42"/>
  <c r="E1017" i="42"/>
  <c r="C1017" i="42"/>
  <c r="T1016" i="42"/>
  <c r="U1016" i="42" s="1"/>
  <c r="I1016" i="42"/>
  <c r="F1016" i="42"/>
  <c r="E1016" i="42"/>
  <c r="C1016" i="42"/>
  <c r="T1015" i="42"/>
  <c r="U1015" i="42" s="1"/>
  <c r="I1015" i="42"/>
  <c r="F1015" i="42"/>
  <c r="E1015" i="42"/>
  <c r="C1015" i="42"/>
  <c r="T1014" i="42"/>
  <c r="U1014" i="42" s="1"/>
  <c r="I1014" i="42"/>
  <c r="F1014" i="42"/>
  <c r="E1014" i="42"/>
  <c r="C1014" i="42"/>
  <c r="T1013" i="42"/>
  <c r="U1013" i="42" s="1"/>
  <c r="I1013" i="42"/>
  <c r="F1013" i="42"/>
  <c r="E1013" i="42"/>
  <c r="C1013" i="42"/>
  <c r="T1012" i="42"/>
  <c r="U1012" i="42" s="1"/>
  <c r="I1012" i="42"/>
  <c r="F1012" i="42"/>
  <c r="E1012" i="42"/>
  <c r="C1012" i="42"/>
  <c r="T1011" i="42"/>
  <c r="U1011" i="42" s="1"/>
  <c r="I1011" i="42"/>
  <c r="F1011" i="42"/>
  <c r="E1011" i="42"/>
  <c r="C1011" i="42"/>
  <c r="T1010" i="42"/>
  <c r="U1010" i="42" s="1"/>
  <c r="I1010" i="42"/>
  <c r="F1010" i="42"/>
  <c r="E1010" i="42"/>
  <c r="C1010" i="42"/>
  <c r="T1009" i="42"/>
  <c r="U1009" i="42" s="1"/>
  <c r="I1009" i="42"/>
  <c r="F1009" i="42"/>
  <c r="E1009" i="42"/>
  <c r="C1009" i="42"/>
  <c r="T1008" i="42"/>
  <c r="U1008" i="42" s="1"/>
  <c r="I1008" i="42"/>
  <c r="F1008" i="42"/>
  <c r="E1008" i="42"/>
  <c r="C1008" i="42"/>
  <c r="T1007" i="42"/>
  <c r="U1007" i="42" s="1"/>
  <c r="I1007" i="42"/>
  <c r="F1007" i="42"/>
  <c r="E1007" i="42"/>
  <c r="C1007" i="42"/>
  <c r="T1006" i="42"/>
  <c r="U1006" i="42" s="1"/>
  <c r="I1006" i="42"/>
  <c r="F1006" i="42"/>
  <c r="E1006" i="42"/>
  <c r="C1006" i="42"/>
  <c r="T1005" i="42"/>
  <c r="U1005" i="42" s="1"/>
  <c r="I1005" i="42"/>
  <c r="F1005" i="42"/>
  <c r="E1005" i="42"/>
  <c r="C1005" i="42"/>
  <c r="T1004" i="42"/>
  <c r="U1004" i="42" s="1"/>
  <c r="I1004" i="42"/>
  <c r="F1004" i="42"/>
  <c r="E1004" i="42"/>
  <c r="C1004" i="42"/>
  <c r="T1003" i="42"/>
  <c r="U1003" i="42" s="1"/>
  <c r="I1003" i="42"/>
  <c r="F1003" i="42"/>
  <c r="E1003" i="42"/>
  <c r="C1003" i="42"/>
  <c r="T1002" i="42"/>
  <c r="U1002" i="42" s="1"/>
  <c r="I1002" i="42"/>
  <c r="F1002" i="42"/>
  <c r="E1002" i="42"/>
  <c r="C1002" i="42"/>
  <c r="T1001" i="42"/>
  <c r="U1001" i="42" s="1"/>
  <c r="I1001" i="42"/>
  <c r="F1001" i="42"/>
  <c r="E1001" i="42"/>
  <c r="C1001" i="42"/>
  <c r="T1000" i="42"/>
  <c r="U1000" i="42" s="1"/>
  <c r="I1000" i="42"/>
  <c r="F1000" i="42"/>
  <c r="E1000" i="42"/>
  <c r="C1000" i="42"/>
  <c r="T999" i="42"/>
  <c r="U999" i="42" s="1"/>
  <c r="I999" i="42"/>
  <c r="F999" i="42"/>
  <c r="E999" i="42"/>
  <c r="C999" i="42"/>
  <c r="T998" i="42"/>
  <c r="U998" i="42" s="1"/>
  <c r="I998" i="42"/>
  <c r="F998" i="42"/>
  <c r="E998" i="42"/>
  <c r="C998" i="42"/>
  <c r="T997" i="42"/>
  <c r="U997" i="42" s="1"/>
  <c r="I997" i="42"/>
  <c r="F997" i="42"/>
  <c r="E997" i="42"/>
  <c r="C997" i="42"/>
  <c r="T996" i="42"/>
  <c r="U996" i="42" s="1"/>
  <c r="I996" i="42"/>
  <c r="F996" i="42"/>
  <c r="E996" i="42"/>
  <c r="C996" i="42"/>
  <c r="T995" i="42"/>
  <c r="U995" i="42" s="1"/>
  <c r="I995" i="42"/>
  <c r="F995" i="42"/>
  <c r="E995" i="42"/>
  <c r="C995" i="42"/>
  <c r="T994" i="42"/>
  <c r="U994" i="42" s="1"/>
  <c r="I994" i="42"/>
  <c r="F994" i="42"/>
  <c r="E994" i="42"/>
  <c r="C994" i="42"/>
  <c r="T993" i="42"/>
  <c r="U993" i="42" s="1"/>
  <c r="I993" i="42"/>
  <c r="F993" i="42"/>
  <c r="E993" i="42"/>
  <c r="C993" i="42"/>
  <c r="T992" i="42"/>
  <c r="U992" i="42" s="1"/>
  <c r="I992" i="42"/>
  <c r="F992" i="42"/>
  <c r="E992" i="42"/>
  <c r="C992" i="42"/>
  <c r="T991" i="42"/>
  <c r="U991" i="42" s="1"/>
  <c r="I991" i="42"/>
  <c r="F991" i="42"/>
  <c r="E991" i="42"/>
  <c r="C991" i="42"/>
  <c r="T990" i="42"/>
  <c r="U990" i="42" s="1"/>
  <c r="I990" i="42"/>
  <c r="F990" i="42"/>
  <c r="E990" i="42"/>
  <c r="C990" i="42"/>
  <c r="T989" i="42"/>
  <c r="U989" i="42" s="1"/>
  <c r="I989" i="42"/>
  <c r="F989" i="42"/>
  <c r="E989" i="42"/>
  <c r="C989" i="42"/>
  <c r="T988" i="42"/>
  <c r="U988" i="42" s="1"/>
  <c r="I988" i="42"/>
  <c r="F988" i="42"/>
  <c r="E988" i="42"/>
  <c r="C988" i="42"/>
  <c r="T987" i="42"/>
  <c r="U987" i="42" s="1"/>
  <c r="I987" i="42"/>
  <c r="F987" i="42"/>
  <c r="E987" i="42"/>
  <c r="C987" i="42"/>
  <c r="T986" i="42"/>
  <c r="U986" i="42" s="1"/>
  <c r="I986" i="42"/>
  <c r="F986" i="42"/>
  <c r="E986" i="42"/>
  <c r="C986" i="42"/>
  <c r="T985" i="42"/>
  <c r="U985" i="42" s="1"/>
  <c r="I985" i="42"/>
  <c r="F985" i="42"/>
  <c r="E985" i="42"/>
  <c r="C985" i="42"/>
  <c r="T984" i="42"/>
  <c r="U984" i="42" s="1"/>
  <c r="I984" i="42"/>
  <c r="F984" i="42"/>
  <c r="E984" i="42"/>
  <c r="C984" i="42"/>
  <c r="T983" i="42"/>
  <c r="U983" i="42" s="1"/>
  <c r="I983" i="42"/>
  <c r="F983" i="42"/>
  <c r="E983" i="42"/>
  <c r="C983" i="42"/>
  <c r="T982" i="42"/>
  <c r="U982" i="42" s="1"/>
  <c r="I982" i="42"/>
  <c r="F982" i="42"/>
  <c r="E982" i="42"/>
  <c r="C982" i="42"/>
  <c r="T981" i="42"/>
  <c r="U981" i="42" s="1"/>
  <c r="I981" i="42"/>
  <c r="F981" i="42"/>
  <c r="E981" i="42"/>
  <c r="C981" i="42"/>
  <c r="T980" i="42"/>
  <c r="U980" i="42" s="1"/>
  <c r="I980" i="42"/>
  <c r="F980" i="42"/>
  <c r="E980" i="42"/>
  <c r="C980" i="42"/>
  <c r="T979" i="42"/>
  <c r="U979" i="42" s="1"/>
  <c r="I979" i="42"/>
  <c r="F979" i="42"/>
  <c r="E979" i="42"/>
  <c r="C979" i="42"/>
  <c r="T978" i="42"/>
  <c r="U978" i="42" s="1"/>
  <c r="I978" i="42"/>
  <c r="F978" i="42"/>
  <c r="E978" i="42"/>
  <c r="C978" i="42"/>
  <c r="T977" i="42"/>
  <c r="U977" i="42" s="1"/>
  <c r="I977" i="42"/>
  <c r="F977" i="42"/>
  <c r="E977" i="42"/>
  <c r="C977" i="42"/>
  <c r="T976" i="42"/>
  <c r="U976" i="42" s="1"/>
  <c r="I976" i="42"/>
  <c r="F976" i="42"/>
  <c r="E976" i="42"/>
  <c r="C976" i="42"/>
  <c r="T975" i="42"/>
  <c r="U975" i="42" s="1"/>
  <c r="I975" i="42"/>
  <c r="F975" i="42"/>
  <c r="E975" i="42"/>
  <c r="C975" i="42"/>
  <c r="T974" i="42"/>
  <c r="U974" i="42" s="1"/>
  <c r="I974" i="42"/>
  <c r="F974" i="42"/>
  <c r="E974" i="42"/>
  <c r="C974" i="42"/>
  <c r="T973" i="42"/>
  <c r="U973" i="42" s="1"/>
  <c r="I973" i="42"/>
  <c r="F973" i="42"/>
  <c r="E973" i="42"/>
  <c r="C973" i="42"/>
  <c r="T972" i="42"/>
  <c r="U972" i="42" s="1"/>
  <c r="I972" i="42"/>
  <c r="F972" i="42"/>
  <c r="E972" i="42"/>
  <c r="C972" i="42"/>
  <c r="T971" i="42"/>
  <c r="U971" i="42" s="1"/>
  <c r="I971" i="42"/>
  <c r="F971" i="42"/>
  <c r="E971" i="42"/>
  <c r="C971" i="42"/>
  <c r="T970" i="42"/>
  <c r="U970" i="42" s="1"/>
  <c r="I970" i="42"/>
  <c r="F970" i="42"/>
  <c r="E970" i="42"/>
  <c r="C970" i="42"/>
  <c r="T969" i="42"/>
  <c r="U969" i="42" s="1"/>
  <c r="I969" i="42"/>
  <c r="F969" i="42"/>
  <c r="E969" i="42"/>
  <c r="C969" i="42"/>
  <c r="T968" i="42"/>
  <c r="U968" i="42" s="1"/>
  <c r="I968" i="42"/>
  <c r="F968" i="42"/>
  <c r="E968" i="42"/>
  <c r="C968" i="42"/>
  <c r="T967" i="42"/>
  <c r="U967" i="42" s="1"/>
  <c r="I967" i="42"/>
  <c r="F967" i="42"/>
  <c r="E967" i="42"/>
  <c r="C967" i="42"/>
  <c r="T966" i="42"/>
  <c r="U966" i="42" s="1"/>
  <c r="I966" i="42"/>
  <c r="F966" i="42"/>
  <c r="E966" i="42"/>
  <c r="C966" i="42"/>
  <c r="T965" i="42"/>
  <c r="U965" i="42" s="1"/>
  <c r="I965" i="42"/>
  <c r="F965" i="42"/>
  <c r="E965" i="42"/>
  <c r="C965" i="42"/>
  <c r="T964" i="42"/>
  <c r="U964" i="42" s="1"/>
  <c r="I964" i="42"/>
  <c r="F964" i="42"/>
  <c r="E964" i="42"/>
  <c r="C964" i="42"/>
  <c r="T963" i="42"/>
  <c r="U963" i="42" s="1"/>
  <c r="I963" i="42"/>
  <c r="F963" i="42"/>
  <c r="E963" i="42"/>
  <c r="C963" i="42"/>
  <c r="T962" i="42"/>
  <c r="U962" i="42" s="1"/>
  <c r="I962" i="42"/>
  <c r="F962" i="42"/>
  <c r="E962" i="42"/>
  <c r="C962" i="42"/>
  <c r="T961" i="42"/>
  <c r="U961" i="42" s="1"/>
  <c r="I961" i="42"/>
  <c r="F961" i="42"/>
  <c r="E961" i="42"/>
  <c r="C961" i="42"/>
  <c r="T960" i="42"/>
  <c r="U960" i="42" s="1"/>
  <c r="I960" i="42"/>
  <c r="F960" i="42"/>
  <c r="E960" i="42"/>
  <c r="C960" i="42"/>
  <c r="T959" i="42"/>
  <c r="U959" i="42" s="1"/>
  <c r="I959" i="42"/>
  <c r="F959" i="42"/>
  <c r="E959" i="42"/>
  <c r="C959" i="42"/>
  <c r="T958" i="42"/>
  <c r="U958" i="42" s="1"/>
  <c r="I958" i="42"/>
  <c r="F958" i="42"/>
  <c r="E958" i="42"/>
  <c r="C958" i="42"/>
  <c r="T957" i="42"/>
  <c r="U957" i="42" s="1"/>
  <c r="I957" i="42"/>
  <c r="F957" i="42"/>
  <c r="E957" i="42"/>
  <c r="C957" i="42"/>
  <c r="T956" i="42"/>
  <c r="U956" i="42" s="1"/>
  <c r="I956" i="42"/>
  <c r="F956" i="42"/>
  <c r="E956" i="42"/>
  <c r="C956" i="42"/>
  <c r="T955" i="42"/>
  <c r="U955" i="42" s="1"/>
  <c r="I955" i="42"/>
  <c r="F955" i="42"/>
  <c r="E955" i="42"/>
  <c r="C955" i="42"/>
  <c r="T954" i="42"/>
  <c r="U954" i="42" s="1"/>
  <c r="I954" i="42"/>
  <c r="F954" i="42"/>
  <c r="E954" i="42"/>
  <c r="C954" i="42"/>
  <c r="T953" i="42"/>
  <c r="U953" i="42" s="1"/>
  <c r="I953" i="42"/>
  <c r="F953" i="42"/>
  <c r="E953" i="42"/>
  <c r="C953" i="42"/>
  <c r="T952" i="42"/>
  <c r="U952" i="42" s="1"/>
  <c r="I952" i="42"/>
  <c r="F952" i="42"/>
  <c r="E952" i="42"/>
  <c r="C952" i="42"/>
  <c r="T951" i="42"/>
  <c r="U951" i="42" s="1"/>
  <c r="I951" i="42"/>
  <c r="F951" i="42"/>
  <c r="E951" i="42"/>
  <c r="C951" i="42"/>
  <c r="T950" i="42"/>
  <c r="U950" i="42" s="1"/>
  <c r="I950" i="42"/>
  <c r="F950" i="42"/>
  <c r="E950" i="42"/>
  <c r="C950" i="42"/>
  <c r="T949" i="42"/>
  <c r="U949" i="42" s="1"/>
  <c r="I949" i="42"/>
  <c r="F949" i="42"/>
  <c r="E949" i="42"/>
  <c r="C949" i="42"/>
  <c r="T948" i="42"/>
  <c r="U948" i="42" s="1"/>
  <c r="I948" i="42"/>
  <c r="F948" i="42"/>
  <c r="E948" i="42"/>
  <c r="C948" i="42"/>
  <c r="T947" i="42"/>
  <c r="U947" i="42" s="1"/>
  <c r="I947" i="42"/>
  <c r="F947" i="42"/>
  <c r="E947" i="42"/>
  <c r="C947" i="42"/>
  <c r="T946" i="42"/>
  <c r="U946" i="42" s="1"/>
  <c r="I946" i="42"/>
  <c r="F946" i="42"/>
  <c r="E946" i="42"/>
  <c r="C946" i="42"/>
  <c r="T945" i="42"/>
  <c r="U945" i="42" s="1"/>
  <c r="I945" i="42"/>
  <c r="F945" i="42"/>
  <c r="E945" i="42"/>
  <c r="C945" i="42"/>
  <c r="T944" i="42"/>
  <c r="U944" i="42" s="1"/>
  <c r="I944" i="42"/>
  <c r="F944" i="42"/>
  <c r="E944" i="42"/>
  <c r="C944" i="42"/>
  <c r="T943" i="42"/>
  <c r="U943" i="42" s="1"/>
  <c r="I943" i="42"/>
  <c r="F943" i="42"/>
  <c r="E943" i="42"/>
  <c r="C943" i="42"/>
  <c r="T942" i="42"/>
  <c r="U942" i="42" s="1"/>
  <c r="I942" i="42"/>
  <c r="F942" i="42"/>
  <c r="E942" i="42"/>
  <c r="C942" i="42"/>
  <c r="T941" i="42"/>
  <c r="U941" i="42" s="1"/>
  <c r="I941" i="42"/>
  <c r="F941" i="42"/>
  <c r="E941" i="42"/>
  <c r="C941" i="42"/>
  <c r="T940" i="42"/>
  <c r="U940" i="42" s="1"/>
  <c r="I940" i="42"/>
  <c r="F940" i="42"/>
  <c r="E940" i="42"/>
  <c r="C940" i="42"/>
  <c r="T939" i="42"/>
  <c r="U939" i="42" s="1"/>
  <c r="I939" i="42"/>
  <c r="F939" i="42"/>
  <c r="E939" i="42"/>
  <c r="C939" i="42"/>
  <c r="T938" i="42"/>
  <c r="U938" i="42" s="1"/>
  <c r="I938" i="42"/>
  <c r="F938" i="42"/>
  <c r="E938" i="42"/>
  <c r="C938" i="42"/>
  <c r="T937" i="42"/>
  <c r="U937" i="42" s="1"/>
  <c r="I937" i="42"/>
  <c r="F937" i="42"/>
  <c r="E937" i="42"/>
  <c r="C937" i="42"/>
  <c r="T936" i="42"/>
  <c r="U936" i="42" s="1"/>
  <c r="I936" i="42"/>
  <c r="F936" i="42"/>
  <c r="E936" i="42"/>
  <c r="C936" i="42"/>
  <c r="T935" i="42"/>
  <c r="U935" i="42" s="1"/>
  <c r="I935" i="42"/>
  <c r="F935" i="42"/>
  <c r="E935" i="42"/>
  <c r="C935" i="42"/>
  <c r="T934" i="42"/>
  <c r="U934" i="42" s="1"/>
  <c r="I934" i="42"/>
  <c r="F934" i="42"/>
  <c r="E934" i="42"/>
  <c r="C934" i="42"/>
  <c r="T933" i="42"/>
  <c r="U933" i="42" s="1"/>
  <c r="I933" i="42"/>
  <c r="F933" i="42"/>
  <c r="E933" i="42"/>
  <c r="C933" i="42"/>
  <c r="T932" i="42"/>
  <c r="U932" i="42" s="1"/>
  <c r="I932" i="42"/>
  <c r="F932" i="42"/>
  <c r="E932" i="42"/>
  <c r="C932" i="42"/>
  <c r="T931" i="42"/>
  <c r="U931" i="42" s="1"/>
  <c r="I931" i="42"/>
  <c r="F931" i="42"/>
  <c r="E931" i="42"/>
  <c r="C931" i="42"/>
  <c r="T930" i="42"/>
  <c r="U930" i="42" s="1"/>
  <c r="I930" i="42"/>
  <c r="F930" i="42"/>
  <c r="E930" i="42"/>
  <c r="C930" i="42"/>
  <c r="T929" i="42"/>
  <c r="U929" i="42" s="1"/>
  <c r="I929" i="42"/>
  <c r="F929" i="42"/>
  <c r="E929" i="42"/>
  <c r="C929" i="42"/>
  <c r="T928" i="42"/>
  <c r="U928" i="42" s="1"/>
  <c r="I928" i="42"/>
  <c r="F928" i="42"/>
  <c r="E928" i="42"/>
  <c r="C928" i="42"/>
  <c r="T927" i="42"/>
  <c r="U927" i="42" s="1"/>
  <c r="I927" i="42"/>
  <c r="F927" i="42"/>
  <c r="E927" i="42"/>
  <c r="C927" i="42"/>
  <c r="T926" i="42"/>
  <c r="U926" i="42" s="1"/>
  <c r="I926" i="42"/>
  <c r="F926" i="42"/>
  <c r="E926" i="42"/>
  <c r="C926" i="42"/>
  <c r="T925" i="42"/>
  <c r="U925" i="42" s="1"/>
  <c r="I925" i="42"/>
  <c r="F925" i="42"/>
  <c r="E925" i="42"/>
  <c r="C925" i="42"/>
  <c r="T924" i="42"/>
  <c r="U924" i="42" s="1"/>
  <c r="I924" i="42"/>
  <c r="F924" i="42"/>
  <c r="E924" i="42"/>
  <c r="C924" i="42"/>
  <c r="T923" i="42"/>
  <c r="U923" i="42" s="1"/>
  <c r="I923" i="42"/>
  <c r="F923" i="42"/>
  <c r="E923" i="42"/>
  <c r="C923" i="42"/>
  <c r="T922" i="42"/>
  <c r="U922" i="42" s="1"/>
  <c r="I922" i="42"/>
  <c r="F922" i="42"/>
  <c r="E922" i="42"/>
  <c r="C922" i="42"/>
  <c r="T921" i="42"/>
  <c r="U921" i="42" s="1"/>
  <c r="I921" i="42"/>
  <c r="F921" i="42"/>
  <c r="E921" i="42"/>
  <c r="C921" i="42"/>
  <c r="T920" i="42"/>
  <c r="U920" i="42" s="1"/>
  <c r="I920" i="42"/>
  <c r="F920" i="42"/>
  <c r="E920" i="42"/>
  <c r="C920" i="42"/>
  <c r="T919" i="42"/>
  <c r="U919" i="42" s="1"/>
  <c r="I919" i="42"/>
  <c r="F919" i="42"/>
  <c r="E919" i="42"/>
  <c r="C919" i="42"/>
  <c r="T918" i="42"/>
  <c r="U918" i="42" s="1"/>
  <c r="I918" i="42"/>
  <c r="F918" i="42"/>
  <c r="E918" i="42"/>
  <c r="C918" i="42"/>
  <c r="T917" i="42"/>
  <c r="U917" i="42" s="1"/>
  <c r="I917" i="42"/>
  <c r="F917" i="42"/>
  <c r="E917" i="42"/>
  <c r="C917" i="42"/>
  <c r="T916" i="42"/>
  <c r="U916" i="42" s="1"/>
  <c r="I916" i="42"/>
  <c r="F916" i="42"/>
  <c r="E916" i="42"/>
  <c r="C916" i="42"/>
  <c r="T915" i="42"/>
  <c r="U915" i="42" s="1"/>
  <c r="I915" i="42"/>
  <c r="F915" i="42"/>
  <c r="E915" i="42"/>
  <c r="C915" i="42"/>
  <c r="T914" i="42"/>
  <c r="U914" i="42" s="1"/>
  <c r="I914" i="42"/>
  <c r="F914" i="42"/>
  <c r="E914" i="42"/>
  <c r="C914" i="42"/>
  <c r="T913" i="42"/>
  <c r="U913" i="42" s="1"/>
  <c r="I913" i="42"/>
  <c r="F913" i="42"/>
  <c r="E913" i="42"/>
  <c r="C913" i="42"/>
  <c r="T912" i="42"/>
  <c r="U912" i="42" s="1"/>
  <c r="I912" i="42"/>
  <c r="F912" i="42"/>
  <c r="E912" i="42"/>
  <c r="C912" i="42"/>
  <c r="T911" i="42"/>
  <c r="U911" i="42" s="1"/>
  <c r="I911" i="42"/>
  <c r="F911" i="42"/>
  <c r="E911" i="42"/>
  <c r="C911" i="42"/>
  <c r="T910" i="42"/>
  <c r="U910" i="42" s="1"/>
  <c r="I910" i="42"/>
  <c r="F910" i="42"/>
  <c r="E910" i="42"/>
  <c r="C910" i="42"/>
  <c r="T909" i="42"/>
  <c r="U909" i="42" s="1"/>
  <c r="I909" i="42"/>
  <c r="F909" i="42"/>
  <c r="E909" i="42"/>
  <c r="C909" i="42"/>
  <c r="T908" i="42"/>
  <c r="U908" i="42" s="1"/>
  <c r="I908" i="42"/>
  <c r="F908" i="42"/>
  <c r="E908" i="42"/>
  <c r="C908" i="42"/>
  <c r="T907" i="42"/>
  <c r="U907" i="42" s="1"/>
  <c r="I907" i="42"/>
  <c r="F907" i="42"/>
  <c r="E907" i="42"/>
  <c r="C907" i="42"/>
  <c r="T906" i="42"/>
  <c r="U906" i="42" s="1"/>
  <c r="I906" i="42"/>
  <c r="F906" i="42"/>
  <c r="E906" i="42"/>
  <c r="C906" i="42"/>
  <c r="T905" i="42"/>
  <c r="U905" i="42" s="1"/>
  <c r="I905" i="42"/>
  <c r="F905" i="42"/>
  <c r="E905" i="42"/>
  <c r="C905" i="42"/>
  <c r="T904" i="42"/>
  <c r="U904" i="42" s="1"/>
  <c r="I904" i="42"/>
  <c r="F904" i="42"/>
  <c r="E904" i="42"/>
  <c r="C904" i="42"/>
  <c r="T903" i="42"/>
  <c r="U903" i="42" s="1"/>
  <c r="I903" i="42"/>
  <c r="F903" i="42"/>
  <c r="E903" i="42"/>
  <c r="C903" i="42"/>
  <c r="T902" i="42"/>
  <c r="U902" i="42" s="1"/>
  <c r="I902" i="42"/>
  <c r="F902" i="42"/>
  <c r="E902" i="42"/>
  <c r="C902" i="42"/>
  <c r="T901" i="42"/>
  <c r="U901" i="42" s="1"/>
  <c r="I901" i="42"/>
  <c r="F901" i="42"/>
  <c r="E901" i="42"/>
  <c r="C901" i="42"/>
  <c r="T900" i="42"/>
  <c r="U900" i="42" s="1"/>
  <c r="I900" i="42"/>
  <c r="F900" i="42"/>
  <c r="E900" i="42"/>
  <c r="C900" i="42"/>
  <c r="T899" i="42"/>
  <c r="U899" i="42" s="1"/>
  <c r="I899" i="42"/>
  <c r="F899" i="42"/>
  <c r="E899" i="42"/>
  <c r="C899" i="42"/>
  <c r="T898" i="42"/>
  <c r="U898" i="42" s="1"/>
  <c r="I898" i="42"/>
  <c r="F898" i="42"/>
  <c r="E898" i="42"/>
  <c r="C898" i="42"/>
  <c r="T897" i="42"/>
  <c r="U897" i="42" s="1"/>
  <c r="I897" i="42"/>
  <c r="F897" i="42"/>
  <c r="E897" i="42"/>
  <c r="C897" i="42"/>
  <c r="T896" i="42"/>
  <c r="U896" i="42" s="1"/>
  <c r="I896" i="42"/>
  <c r="F896" i="42"/>
  <c r="E896" i="42"/>
  <c r="C896" i="42"/>
  <c r="T895" i="42"/>
  <c r="U895" i="42" s="1"/>
  <c r="I895" i="42"/>
  <c r="F895" i="42"/>
  <c r="E895" i="42"/>
  <c r="C895" i="42"/>
  <c r="T894" i="42"/>
  <c r="U894" i="42" s="1"/>
  <c r="I894" i="42"/>
  <c r="F894" i="42"/>
  <c r="E894" i="42"/>
  <c r="C894" i="42"/>
  <c r="T893" i="42"/>
  <c r="U893" i="42" s="1"/>
  <c r="I893" i="42"/>
  <c r="F893" i="42"/>
  <c r="E893" i="42"/>
  <c r="C893" i="42"/>
  <c r="T892" i="42"/>
  <c r="U892" i="42" s="1"/>
  <c r="I892" i="42"/>
  <c r="F892" i="42"/>
  <c r="E892" i="42"/>
  <c r="C892" i="42"/>
  <c r="T891" i="42"/>
  <c r="U891" i="42" s="1"/>
  <c r="I891" i="42"/>
  <c r="F891" i="42"/>
  <c r="E891" i="42"/>
  <c r="C891" i="42"/>
  <c r="T890" i="42"/>
  <c r="U890" i="42" s="1"/>
  <c r="I890" i="42"/>
  <c r="F890" i="42"/>
  <c r="E890" i="42"/>
  <c r="C890" i="42"/>
  <c r="T889" i="42"/>
  <c r="U889" i="42" s="1"/>
  <c r="I889" i="42"/>
  <c r="F889" i="42"/>
  <c r="E889" i="42"/>
  <c r="C889" i="42"/>
  <c r="T888" i="42"/>
  <c r="U888" i="42" s="1"/>
  <c r="I888" i="42"/>
  <c r="F888" i="42"/>
  <c r="E888" i="42"/>
  <c r="C888" i="42"/>
  <c r="T887" i="42"/>
  <c r="U887" i="42" s="1"/>
  <c r="I887" i="42"/>
  <c r="F887" i="42"/>
  <c r="E887" i="42"/>
  <c r="C887" i="42"/>
  <c r="T886" i="42"/>
  <c r="U886" i="42" s="1"/>
  <c r="I886" i="42"/>
  <c r="F886" i="42"/>
  <c r="E886" i="42"/>
  <c r="C886" i="42"/>
  <c r="T885" i="42"/>
  <c r="U885" i="42" s="1"/>
  <c r="I885" i="42"/>
  <c r="F885" i="42"/>
  <c r="E885" i="42"/>
  <c r="C885" i="42"/>
  <c r="T884" i="42"/>
  <c r="U884" i="42" s="1"/>
  <c r="I884" i="42"/>
  <c r="F884" i="42"/>
  <c r="E884" i="42"/>
  <c r="C884" i="42"/>
  <c r="T883" i="42"/>
  <c r="U883" i="42" s="1"/>
  <c r="I883" i="42"/>
  <c r="F883" i="42"/>
  <c r="E883" i="42"/>
  <c r="C883" i="42"/>
  <c r="T882" i="42"/>
  <c r="U882" i="42" s="1"/>
  <c r="I882" i="42"/>
  <c r="F882" i="42"/>
  <c r="E882" i="42"/>
  <c r="C882" i="42"/>
  <c r="T881" i="42"/>
  <c r="U881" i="42" s="1"/>
  <c r="I881" i="42"/>
  <c r="F881" i="42"/>
  <c r="E881" i="42"/>
  <c r="C881" i="42"/>
  <c r="T880" i="42"/>
  <c r="U880" i="42" s="1"/>
  <c r="I880" i="42"/>
  <c r="F880" i="42"/>
  <c r="E880" i="42"/>
  <c r="C880" i="42"/>
  <c r="T879" i="42"/>
  <c r="U879" i="42" s="1"/>
  <c r="I879" i="42"/>
  <c r="F879" i="42"/>
  <c r="E879" i="42"/>
  <c r="C879" i="42"/>
  <c r="T878" i="42"/>
  <c r="U878" i="42" s="1"/>
  <c r="I878" i="42"/>
  <c r="F878" i="42"/>
  <c r="E878" i="42"/>
  <c r="C878" i="42"/>
  <c r="T877" i="42"/>
  <c r="U877" i="42" s="1"/>
  <c r="I877" i="42"/>
  <c r="F877" i="42"/>
  <c r="E877" i="42"/>
  <c r="C877" i="42"/>
  <c r="T876" i="42"/>
  <c r="U876" i="42" s="1"/>
  <c r="I876" i="42"/>
  <c r="F876" i="42"/>
  <c r="E876" i="42"/>
  <c r="C876" i="42"/>
  <c r="T875" i="42"/>
  <c r="U875" i="42" s="1"/>
  <c r="I875" i="42"/>
  <c r="F875" i="42"/>
  <c r="E875" i="42"/>
  <c r="C875" i="42"/>
  <c r="T874" i="42"/>
  <c r="U874" i="42" s="1"/>
  <c r="I874" i="42"/>
  <c r="F874" i="42"/>
  <c r="E874" i="42"/>
  <c r="C874" i="42"/>
  <c r="T873" i="42"/>
  <c r="U873" i="42" s="1"/>
  <c r="I873" i="42"/>
  <c r="F873" i="42"/>
  <c r="E873" i="42"/>
  <c r="C873" i="42"/>
  <c r="T872" i="42"/>
  <c r="U872" i="42" s="1"/>
  <c r="I872" i="42"/>
  <c r="F872" i="42"/>
  <c r="E872" i="42"/>
  <c r="C872" i="42"/>
  <c r="T871" i="42"/>
  <c r="U871" i="42" s="1"/>
  <c r="I871" i="42"/>
  <c r="F871" i="42"/>
  <c r="E871" i="42"/>
  <c r="C871" i="42"/>
  <c r="T870" i="42"/>
  <c r="U870" i="42" s="1"/>
  <c r="I870" i="42"/>
  <c r="F870" i="42"/>
  <c r="E870" i="42"/>
  <c r="C870" i="42"/>
  <c r="T869" i="42"/>
  <c r="U869" i="42" s="1"/>
  <c r="I869" i="42"/>
  <c r="F869" i="42"/>
  <c r="E869" i="42"/>
  <c r="C869" i="42"/>
  <c r="T868" i="42"/>
  <c r="U868" i="42" s="1"/>
  <c r="I868" i="42"/>
  <c r="F868" i="42"/>
  <c r="E868" i="42"/>
  <c r="C868" i="42"/>
  <c r="T867" i="42"/>
  <c r="U867" i="42" s="1"/>
  <c r="I867" i="42"/>
  <c r="F867" i="42"/>
  <c r="E867" i="42"/>
  <c r="C867" i="42"/>
  <c r="T866" i="42"/>
  <c r="U866" i="42" s="1"/>
  <c r="I866" i="42"/>
  <c r="F866" i="42"/>
  <c r="E866" i="42"/>
  <c r="C866" i="42"/>
  <c r="T865" i="42"/>
  <c r="U865" i="42" s="1"/>
  <c r="I865" i="42"/>
  <c r="F865" i="42"/>
  <c r="E865" i="42"/>
  <c r="C865" i="42"/>
  <c r="T864" i="42"/>
  <c r="U864" i="42" s="1"/>
  <c r="I864" i="42"/>
  <c r="F864" i="42"/>
  <c r="E864" i="42"/>
  <c r="C864" i="42"/>
  <c r="T863" i="42"/>
  <c r="U863" i="42" s="1"/>
  <c r="I863" i="42"/>
  <c r="F863" i="42"/>
  <c r="E863" i="42"/>
  <c r="C863" i="42"/>
  <c r="T862" i="42"/>
  <c r="U862" i="42" s="1"/>
  <c r="I862" i="42"/>
  <c r="F862" i="42"/>
  <c r="E862" i="42"/>
  <c r="C862" i="42"/>
  <c r="T861" i="42"/>
  <c r="U861" i="42" s="1"/>
  <c r="I861" i="42"/>
  <c r="F861" i="42"/>
  <c r="E861" i="42"/>
  <c r="C861" i="42"/>
  <c r="T860" i="42"/>
  <c r="U860" i="42" s="1"/>
  <c r="I860" i="42"/>
  <c r="F860" i="42"/>
  <c r="E860" i="42"/>
  <c r="C860" i="42"/>
  <c r="T859" i="42"/>
  <c r="U859" i="42" s="1"/>
  <c r="I859" i="42"/>
  <c r="F859" i="42"/>
  <c r="E859" i="42"/>
  <c r="C859" i="42"/>
  <c r="T858" i="42"/>
  <c r="U858" i="42" s="1"/>
  <c r="I858" i="42"/>
  <c r="F858" i="42"/>
  <c r="E858" i="42"/>
  <c r="C858" i="42"/>
  <c r="T857" i="42"/>
  <c r="U857" i="42" s="1"/>
  <c r="I857" i="42"/>
  <c r="F857" i="42"/>
  <c r="E857" i="42"/>
  <c r="C857" i="42"/>
  <c r="T856" i="42"/>
  <c r="U856" i="42" s="1"/>
  <c r="I856" i="42"/>
  <c r="F856" i="42"/>
  <c r="E856" i="42"/>
  <c r="C856" i="42"/>
  <c r="T855" i="42"/>
  <c r="U855" i="42" s="1"/>
  <c r="I855" i="42"/>
  <c r="F855" i="42"/>
  <c r="E855" i="42"/>
  <c r="C855" i="42"/>
  <c r="X854" i="42"/>
  <c r="T854" i="42"/>
  <c r="U854" i="42" s="1"/>
  <c r="I854" i="42"/>
  <c r="F854" i="42"/>
  <c r="E854" i="42"/>
  <c r="C854" i="42"/>
  <c r="X853" i="42"/>
  <c r="T853" i="42"/>
  <c r="U853" i="42" s="1"/>
  <c r="I853" i="42"/>
  <c r="F853" i="42"/>
  <c r="E853" i="42"/>
  <c r="C853" i="42"/>
  <c r="X852" i="42"/>
  <c r="T852" i="42"/>
  <c r="U852" i="42" s="1"/>
  <c r="I852" i="42"/>
  <c r="F852" i="42"/>
  <c r="E852" i="42"/>
  <c r="C852" i="42"/>
  <c r="X851" i="42"/>
  <c r="T851" i="42"/>
  <c r="U851" i="42" s="1"/>
  <c r="I851" i="42"/>
  <c r="F851" i="42"/>
  <c r="E851" i="42"/>
  <c r="C851" i="42"/>
  <c r="X850" i="42"/>
  <c r="T850" i="42"/>
  <c r="U850" i="42" s="1"/>
  <c r="I850" i="42"/>
  <c r="F850" i="42"/>
  <c r="E850" i="42"/>
  <c r="C850" i="42"/>
  <c r="X849" i="42"/>
  <c r="T849" i="42"/>
  <c r="U849" i="42" s="1"/>
  <c r="I849" i="42"/>
  <c r="F849" i="42"/>
  <c r="E849" i="42"/>
  <c r="C849" i="42"/>
  <c r="X848" i="42"/>
  <c r="T848" i="42"/>
  <c r="U848" i="42" s="1"/>
  <c r="I848" i="42"/>
  <c r="F848" i="42"/>
  <c r="E848" i="42"/>
  <c r="C848" i="42"/>
  <c r="X847" i="42"/>
  <c r="T847" i="42"/>
  <c r="U847" i="42" s="1"/>
  <c r="I847" i="42"/>
  <c r="F847" i="42"/>
  <c r="E847" i="42"/>
  <c r="C847" i="42"/>
  <c r="X846" i="42"/>
  <c r="T846" i="42"/>
  <c r="U846" i="42" s="1"/>
  <c r="I846" i="42"/>
  <c r="F846" i="42"/>
  <c r="E846" i="42"/>
  <c r="C846" i="42"/>
  <c r="X845" i="42"/>
  <c r="T845" i="42"/>
  <c r="U845" i="42" s="1"/>
  <c r="I845" i="42"/>
  <c r="F845" i="42"/>
  <c r="E845" i="42"/>
  <c r="C845" i="42"/>
  <c r="X844" i="42"/>
  <c r="T844" i="42"/>
  <c r="U844" i="42" s="1"/>
  <c r="I844" i="42"/>
  <c r="F844" i="42"/>
  <c r="E844" i="42"/>
  <c r="C844" i="42"/>
  <c r="X843" i="42"/>
  <c r="T843" i="42"/>
  <c r="U843" i="42" s="1"/>
  <c r="I843" i="42"/>
  <c r="F843" i="42"/>
  <c r="E843" i="42"/>
  <c r="C843" i="42"/>
  <c r="X842" i="42"/>
  <c r="T842" i="42"/>
  <c r="U842" i="42" s="1"/>
  <c r="I842" i="42"/>
  <c r="F842" i="42"/>
  <c r="E842" i="42"/>
  <c r="C842" i="42"/>
  <c r="X841" i="42"/>
  <c r="T841" i="42"/>
  <c r="U841" i="42" s="1"/>
  <c r="I841" i="42"/>
  <c r="F841" i="42"/>
  <c r="E841" i="42"/>
  <c r="C841" i="42"/>
  <c r="X840" i="42"/>
  <c r="T840" i="42"/>
  <c r="U840" i="42" s="1"/>
  <c r="I840" i="42"/>
  <c r="F840" i="42"/>
  <c r="E840" i="42"/>
  <c r="C840" i="42"/>
  <c r="X839" i="42"/>
  <c r="T839" i="42"/>
  <c r="U839" i="42" s="1"/>
  <c r="I839" i="42"/>
  <c r="F839" i="42"/>
  <c r="E839" i="42"/>
  <c r="C839" i="42"/>
  <c r="X838" i="42"/>
  <c r="T838" i="42"/>
  <c r="U838" i="42" s="1"/>
  <c r="I838" i="42"/>
  <c r="F838" i="42"/>
  <c r="E838" i="42"/>
  <c r="C838" i="42"/>
  <c r="X837" i="42"/>
  <c r="T837" i="42"/>
  <c r="U837" i="42" s="1"/>
  <c r="I837" i="42"/>
  <c r="F837" i="42"/>
  <c r="E837" i="42"/>
  <c r="C837" i="42"/>
  <c r="X836" i="42"/>
  <c r="T836" i="42"/>
  <c r="U836" i="42" s="1"/>
  <c r="I836" i="42"/>
  <c r="F836" i="42"/>
  <c r="E836" i="42"/>
  <c r="C836" i="42"/>
  <c r="X835" i="42"/>
  <c r="T835" i="42"/>
  <c r="U835" i="42" s="1"/>
  <c r="I835" i="42"/>
  <c r="F835" i="42"/>
  <c r="E835" i="42"/>
  <c r="C835" i="42"/>
  <c r="X834" i="42"/>
  <c r="T834" i="42"/>
  <c r="U834" i="42" s="1"/>
  <c r="I834" i="42"/>
  <c r="F834" i="42"/>
  <c r="E834" i="42"/>
  <c r="C834" i="42"/>
  <c r="X833" i="42"/>
  <c r="T833" i="42"/>
  <c r="U833" i="42" s="1"/>
  <c r="I833" i="42"/>
  <c r="F833" i="42"/>
  <c r="E833" i="42"/>
  <c r="C833" i="42"/>
  <c r="X832" i="42"/>
  <c r="T832" i="42"/>
  <c r="U832" i="42" s="1"/>
  <c r="I832" i="42"/>
  <c r="F832" i="42"/>
  <c r="E832" i="42"/>
  <c r="C832" i="42"/>
  <c r="X831" i="42"/>
  <c r="T831" i="42"/>
  <c r="U831" i="42" s="1"/>
  <c r="I831" i="42"/>
  <c r="F831" i="42"/>
  <c r="E831" i="42"/>
  <c r="C831" i="42"/>
  <c r="X830" i="42"/>
  <c r="T830" i="42"/>
  <c r="U830" i="42" s="1"/>
  <c r="I830" i="42"/>
  <c r="F830" i="42"/>
  <c r="E830" i="42"/>
  <c r="C830" i="42"/>
  <c r="X829" i="42"/>
  <c r="T829" i="42"/>
  <c r="U829" i="42" s="1"/>
  <c r="I829" i="42"/>
  <c r="F829" i="42"/>
  <c r="E829" i="42"/>
  <c r="C829" i="42"/>
  <c r="X828" i="42"/>
  <c r="T828" i="42"/>
  <c r="U828" i="42" s="1"/>
  <c r="I828" i="42"/>
  <c r="F828" i="42"/>
  <c r="E828" i="42"/>
  <c r="C828" i="42"/>
  <c r="X827" i="42"/>
  <c r="T827" i="42"/>
  <c r="U827" i="42" s="1"/>
  <c r="I827" i="42"/>
  <c r="F827" i="42"/>
  <c r="E827" i="42"/>
  <c r="C827" i="42"/>
  <c r="X826" i="42"/>
  <c r="T826" i="42"/>
  <c r="U826" i="42" s="1"/>
  <c r="I826" i="42"/>
  <c r="F826" i="42"/>
  <c r="E826" i="42"/>
  <c r="C826" i="42"/>
  <c r="X825" i="42"/>
  <c r="T825" i="42"/>
  <c r="U825" i="42" s="1"/>
  <c r="I825" i="42"/>
  <c r="F825" i="42"/>
  <c r="E825" i="42"/>
  <c r="C825" i="42"/>
  <c r="X824" i="42"/>
  <c r="T824" i="42"/>
  <c r="U824" i="42" s="1"/>
  <c r="I824" i="42"/>
  <c r="F824" i="42"/>
  <c r="E824" i="42"/>
  <c r="C824" i="42"/>
  <c r="X823" i="42"/>
  <c r="T823" i="42"/>
  <c r="U823" i="42" s="1"/>
  <c r="I823" i="42"/>
  <c r="F823" i="42"/>
  <c r="E823" i="42"/>
  <c r="C823" i="42"/>
  <c r="X822" i="42"/>
  <c r="T822" i="42"/>
  <c r="U822" i="42" s="1"/>
  <c r="I822" i="42"/>
  <c r="F822" i="42"/>
  <c r="E822" i="42"/>
  <c r="C822" i="42"/>
  <c r="X821" i="42"/>
  <c r="T821" i="42"/>
  <c r="U821" i="42" s="1"/>
  <c r="I821" i="42"/>
  <c r="F821" i="42"/>
  <c r="E821" i="42"/>
  <c r="C821" i="42"/>
  <c r="X820" i="42"/>
  <c r="T820" i="42"/>
  <c r="U820" i="42" s="1"/>
  <c r="I820" i="42"/>
  <c r="F820" i="42"/>
  <c r="E820" i="42"/>
  <c r="C820" i="42"/>
  <c r="X819" i="42"/>
  <c r="T819" i="42"/>
  <c r="U819" i="42" s="1"/>
  <c r="I819" i="42"/>
  <c r="F819" i="42"/>
  <c r="E819" i="42"/>
  <c r="C819" i="42"/>
  <c r="X818" i="42"/>
  <c r="T818" i="42"/>
  <c r="U818" i="42" s="1"/>
  <c r="I818" i="42"/>
  <c r="F818" i="42"/>
  <c r="E818" i="42"/>
  <c r="C818" i="42"/>
  <c r="X817" i="42"/>
  <c r="T817" i="42"/>
  <c r="U817" i="42" s="1"/>
  <c r="I817" i="42"/>
  <c r="F817" i="42"/>
  <c r="E817" i="42"/>
  <c r="C817" i="42"/>
  <c r="X816" i="42"/>
  <c r="T816" i="42"/>
  <c r="U816" i="42" s="1"/>
  <c r="I816" i="42"/>
  <c r="F816" i="42"/>
  <c r="E816" i="42"/>
  <c r="C816" i="42"/>
  <c r="X815" i="42"/>
  <c r="T815" i="42"/>
  <c r="U815" i="42" s="1"/>
  <c r="I815" i="42"/>
  <c r="F815" i="42"/>
  <c r="E815" i="42"/>
  <c r="C815" i="42"/>
  <c r="X814" i="42"/>
  <c r="T814" i="42"/>
  <c r="U814" i="42" s="1"/>
  <c r="I814" i="42"/>
  <c r="F814" i="42"/>
  <c r="E814" i="42"/>
  <c r="C814" i="42"/>
  <c r="X813" i="42"/>
  <c r="T813" i="42"/>
  <c r="U813" i="42" s="1"/>
  <c r="I813" i="42"/>
  <c r="F813" i="42"/>
  <c r="E813" i="42"/>
  <c r="C813" i="42"/>
  <c r="X812" i="42"/>
  <c r="T812" i="42"/>
  <c r="U812" i="42" s="1"/>
  <c r="I812" i="42"/>
  <c r="F812" i="42"/>
  <c r="E812" i="42"/>
  <c r="C812" i="42"/>
  <c r="X811" i="42"/>
  <c r="T811" i="42"/>
  <c r="U811" i="42" s="1"/>
  <c r="I811" i="42"/>
  <c r="F811" i="42"/>
  <c r="E811" i="42"/>
  <c r="C811" i="42"/>
  <c r="X810" i="42"/>
  <c r="T810" i="42"/>
  <c r="U810" i="42" s="1"/>
  <c r="I810" i="42"/>
  <c r="F810" i="42"/>
  <c r="E810" i="42"/>
  <c r="C810" i="42"/>
  <c r="X809" i="42"/>
  <c r="T809" i="42"/>
  <c r="U809" i="42" s="1"/>
  <c r="I809" i="42"/>
  <c r="F809" i="42"/>
  <c r="E809" i="42"/>
  <c r="C809" i="42"/>
  <c r="X808" i="42"/>
  <c r="T808" i="42"/>
  <c r="U808" i="42" s="1"/>
  <c r="I808" i="42"/>
  <c r="F808" i="42"/>
  <c r="E808" i="42"/>
  <c r="C808" i="42"/>
  <c r="X807" i="42"/>
  <c r="T807" i="42"/>
  <c r="U807" i="42" s="1"/>
  <c r="I807" i="42"/>
  <c r="F807" i="42"/>
  <c r="E807" i="42"/>
  <c r="C807" i="42"/>
  <c r="X806" i="42"/>
  <c r="T806" i="42"/>
  <c r="U806" i="42" s="1"/>
  <c r="I806" i="42"/>
  <c r="F806" i="42"/>
  <c r="E806" i="42"/>
  <c r="C806" i="42"/>
  <c r="X805" i="42"/>
  <c r="T805" i="42"/>
  <c r="U805" i="42" s="1"/>
  <c r="I805" i="42"/>
  <c r="F805" i="42"/>
  <c r="E805" i="42"/>
  <c r="C805" i="42"/>
  <c r="X804" i="42"/>
  <c r="T804" i="42"/>
  <c r="U804" i="42" s="1"/>
  <c r="I804" i="42"/>
  <c r="F804" i="42"/>
  <c r="E804" i="42"/>
  <c r="C804" i="42"/>
  <c r="X803" i="42"/>
  <c r="T803" i="42"/>
  <c r="U803" i="42" s="1"/>
  <c r="I803" i="42"/>
  <c r="F803" i="42"/>
  <c r="E803" i="42"/>
  <c r="C803" i="42"/>
  <c r="X802" i="42"/>
  <c r="T802" i="42"/>
  <c r="U802" i="42" s="1"/>
  <c r="I802" i="42"/>
  <c r="F802" i="42"/>
  <c r="E802" i="42"/>
  <c r="C802" i="42"/>
  <c r="X801" i="42"/>
  <c r="T801" i="42"/>
  <c r="U801" i="42" s="1"/>
  <c r="I801" i="42"/>
  <c r="F801" i="42"/>
  <c r="E801" i="42"/>
  <c r="C801" i="42"/>
  <c r="X800" i="42"/>
  <c r="T800" i="42"/>
  <c r="U800" i="42" s="1"/>
  <c r="I800" i="42"/>
  <c r="F800" i="42"/>
  <c r="E800" i="42"/>
  <c r="C800" i="42"/>
  <c r="X799" i="42"/>
  <c r="T799" i="42"/>
  <c r="U799" i="42" s="1"/>
  <c r="I799" i="42"/>
  <c r="F799" i="42"/>
  <c r="E799" i="42"/>
  <c r="C799" i="42"/>
  <c r="X798" i="42"/>
  <c r="T798" i="42"/>
  <c r="U798" i="42" s="1"/>
  <c r="I798" i="42"/>
  <c r="F798" i="42"/>
  <c r="E798" i="42"/>
  <c r="C798" i="42"/>
  <c r="X797" i="42"/>
  <c r="T797" i="42"/>
  <c r="U797" i="42" s="1"/>
  <c r="I797" i="42"/>
  <c r="F797" i="42"/>
  <c r="E797" i="42"/>
  <c r="C797" i="42"/>
  <c r="X796" i="42"/>
  <c r="T796" i="42"/>
  <c r="U796" i="42" s="1"/>
  <c r="I796" i="42"/>
  <c r="F796" i="42"/>
  <c r="E796" i="42"/>
  <c r="C796" i="42"/>
  <c r="X795" i="42"/>
  <c r="T795" i="42"/>
  <c r="U795" i="42" s="1"/>
  <c r="I795" i="42"/>
  <c r="F795" i="42"/>
  <c r="E795" i="42"/>
  <c r="C795" i="42"/>
  <c r="X794" i="42"/>
  <c r="T794" i="42"/>
  <c r="U794" i="42" s="1"/>
  <c r="I794" i="42"/>
  <c r="F794" i="42"/>
  <c r="E794" i="42"/>
  <c r="C794" i="42"/>
  <c r="X793" i="42"/>
  <c r="T793" i="42"/>
  <c r="U793" i="42" s="1"/>
  <c r="I793" i="42"/>
  <c r="F793" i="42"/>
  <c r="E793" i="42"/>
  <c r="C793" i="42"/>
  <c r="X792" i="42"/>
  <c r="T792" i="42"/>
  <c r="U792" i="42" s="1"/>
  <c r="I792" i="42"/>
  <c r="F792" i="42"/>
  <c r="E792" i="42"/>
  <c r="C792" i="42"/>
  <c r="X791" i="42"/>
  <c r="T791" i="42"/>
  <c r="U791" i="42" s="1"/>
  <c r="I791" i="42"/>
  <c r="F791" i="42"/>
  <c r="E791" i="42"/>
  <c r="C791" i="42"/>
  <c r="X790" i="42"/>
  <c r="T790" i="42"/>
  <c r="U790" i="42" s="1"/>
  <c r="I790" i="42"/>
  <c r="F790" i="42"/>
  <c r="E790" i="42"/>
  <c r="C790" i="42"/>
  <c r="X789" i="42"/>
  <c r="T789" i="42"/>
  <c r="U789" i="42" s="1"/>
  <c r="I789" i="42"/>
  <c r="F789" i="42"/>
  <c r="E789" i="42"/>
  <c r="C789" i="42"/>
  <c r="X788" i="42"/>
  <c r="T788" i="42"/>
  <c r="U788" i="42" s="1"/>
  <c r="I788" i="42"/>
  <c r="F788" i="42"/>
  <c r="E788" i="42"/>
  <c r="C788" i="42"/>
  <c r="X787" i="42"/>
  <c r="T787" i="42"/>
  <c r="U787" i="42" s="1"/>
  <c r="I787" i="42"/>
  <c r="F787" i="42"/>
  <c r="E787" i="42"/>
  <c r="C787" i="42"/>
  <c r="X786" i="42"/>
  <c r="T786" i="42"/>
  <c r="U786" i="42" s="1"/>
  <c r="I786" i="42"/>
  <c r="F786" i="42"/>
  <c r="E786" i="42"/>
  <c r="C786" i="42"/>
  <c r="X785" i="42"/>
  <c r="T785" i="42"/>
  <c r="U785" i="42" s="1"/>
  <c r="I785" i="42"/>
  <c r="F785" i="42"/>
  <c r="E785" i="42"/>
  <c r="C785" i="42"/>
  <c r="X784" i="42"/>
  <c r="T784" i="42"/>
  <c r="U784" i="42" s="1"/>
  <c r="I784" i="42"/>
  <c r="F784" i="42"/>
  <c r="E784" i="42"/>
  <c r="C784" i="42"/>
  <c r="X783" i="42"/>
  <c r="T783" i="42"/>
  <c r="U783" i="42" s="1"/>
  <c r="I783" i="42"/>
  <c r="F783" i="42"/>
  <c r="E783" i="42"/>
  <c r="C783" i="42"/>
  <c r="X782" i="42"/>
  <c r="T782" i="42"/>
  <c r="U782" i="42" s="1"/>
  <c r="I782" i="42"/>
  <c r="F782" i="42"/>
  <c r="E782" i="42"/>
  <c r="C782" i="42"/>
  <c r="X781" i="42"/>
  <c r="T781" i="42"/>
  <c r="U781" i="42" s="1"/>
  <c r="I781" i="42"/>
  <c r="F781" i="42"/>
  <c r="E781" i="42"/>
  <c r="C781" i="42"/>
  <c r="X780" i="42"/>
  <c r="T780" i="42"/>
  <c r="U780" i="42" s="1"/>
  <c r="I780" i="42"/>
  <c r="F780" i="42"/>
  <c r="E780" i="42"/>
  <c r="C780" i="42"/>
  <c r="X779" i="42"/>
  <c r="T779" i="42"/>
  <c r="U779" i="42" s="1"/>
  <c r="I779" i="42"/>
  <c r="F779" i="42"/>
  <c r="E779" i="42"/>
  <c r="C779" i="42"/>
  <c r="X778" i="42"/>
  <c r="T778" i="42"/>
  <c r="U778" i="42" s="1"/>
  <c r="I778" i="42"/>
  <c r="F778" i="42"/>
  <c r="E778" i="42"/>
  <c r="C778" i="42"/>
  <c r="X777" i="42"/>
  <c r="T777" i="42"/>
  <c r="U777" i="42" s="1"/>
  <c r="I777" i="42"/>
  <c r="F777" i="42"/>
  <c r="E777" i="42"/>
  <c r="C777" i="42"/>
  <c r="X776" i="42"/>
  <c r="T776" i="42"/>
  <c r="U776" i="42" s="1"/>
  <c r="I776" i="42"/>
  <c r="F776" i="42"/>
  <c r="E776" i="42"/>
  <c r="C776" i="42"/>
  <c r="X775" i="42"/>
  <c r="T775" i="42"/>
  <c r="U775" i="42" s="1"/>
  <c r="I775" i="42"/>
  <c r="F775" i="42"/>
  <c r="E775" i="42"/>
  <c r="C775" i="42"/>
  <c r="X774" i="42"/>
  <c r="T774" i="42"/>
  <c r="U774" i="42" s="1"/>
  <c r="I774" i="42"/>
  <c r="F774" i="42"/>
  <c r="E774" i="42"/>
  <c r="C774" i="42"/>
  <c r="X773" i="42"/>
  <c r="T773" i="42"/>
  <c r="U773" i="42" s="1"/>
  <c r="I773" i="42"/>
  <c r="F773" i="42"/>
  <c r="E773" i="42"/>
  <c r="C773" i="42"/>
  <c r="X772" i="42"/>
  <c r="T772" i="42"/>
  <c r="U772" i="42" s="1"/>
  <c r="I772" i="42"/>
  <c r="F772" i="42"/>
  <c r="E772" i="42"/>
  <c r="C772" i="42"/>
  <c r="X771" i="42"/>
  <c r="T771" i="42"/>
  <c r="U771" i="42" s="1"/>
  <c r="I771" i="42"/>
  <c r="F771" i="42"/>
  <c r="E771" i="42"/>
  <c r="C771" i="42"/>
  <c r="X770" i="42"/>
  <c r="T770" i="42"/>
  <c r="U770" i="42" s="1"/>
  <c r="I770" i="42"/>
  <c r="F770" i="42"/>
  <c r="E770" i="42"/>
  <c r="C770" i="42"/>
  <c r="X769" i="42"/>
  <c r="T769" i="42"/>
  <c r="U769" i="42" s="1"/>
  <c r="I769" i="42"/>
  <c r="F769" i="42"/>
  <c r="E769" i="42"/>
  <c r="C769" i="42"/>
  <c r="X768" i="42"/>
  <c r="T768" i="42"/>
  <c r="U768" i="42" s="1"/>
  <c r="I768" i="42"/>
  <c r="F768" i="42"/>
  <c r="E768" i="42"/>
  <c r="C768" i="42"/>
  <c r="X767" i="42"/>
  <c r="T767" i="42"/>
  <c r="U767" i="42" s="1"/>
  <c r="I767" i="42"/>
  <c r="F767" i="42"/>
  <c r="E767" i="42"/>
  <c r="C767" i="42"/>
  <c r="X766" i="42"/>
  <c r="T766" i="42"/>
  <c r="U766" i="42" s="1"/>
  <c r="I766" i="42"/>
  <c r="F766" i="42"/>
  <c r="E766" i="42"/>
  <c r="C766" i="42"/>
  <c r="X765" i="42"/>
  <c r="T765" i="42"/>
  <c r="U765" i="42" s="1"/>
  <c r="I765" i="42"/>
  <c r="F765" i="42"/>
  <c r="E765" i="42"/>
  <c r="C765" i="42"/>
  <c r="X764" i="42"/>
  <c r="T764" i="42"/>
  <c r="U764" i="42" s="1"/>
  <c r="I764" i="42"/>
  <c r="F764" i="42"/>
  <c r="E764" i="42"/>
  <c r="C764" i="42"/>
  <c r="X763" i="42"/>
  <c r="T763" i="42"/>
  <c r="U763" i="42" s="1"/>
  <c r="I763" i="42"/>
  <c r="F763" i="42"/>
  <c r="E763" i="42"/>
  <c r="C763" i="42"/>
  <c r="X762" i="42"/>
  <c r="T762" i="42"/>
  <c r="U762" i="42" s="1"/>
  <c r="I762" i="42"/>
  <c r="F762" i="42"/>
  <c r="E762" i="42"/>
  <c r="C762" i="42"/>
  <c r="X761" i="42"/>
  <c r="T761" i="42"/>
  <c r="U761" i="42" s="1"/>
  <c r="I761" i="42"/>
  <c r="F761" i="42"/>
  <c r="E761" i="42"/>
  <c r="C761" i="42"/>
  <c r="X760" i="42"/>
  <c r="T760" i="42"/>
  <c r="U760" i="42" s="1"/>
  <c r="I760" i="42"/>
  <c r="F760" i="42"/>
  <c r="E760" i="42"/>
  <c r="C760" i="42"/>
  <c r="X759" i="42"/>
  <c r="T759" i="42"/>
  <c r="U759" i="42" s="1"/>
  <c r="I759" i="42"/>
  <c r="F759" i="42"/>
  <c r="E759" i="42"/>
  <c r="C759" i="42"/>
  <c r="X758" i="42"/>
  <c r="T758" i="42"/>
  <c r="U758" i="42" s="1"/>
  <c r="I758" i="42"/>
  <c r="F758" i="42"/>
  <c r="E758" i="42"/>
  <c r="C758" i="42"/>
  <c r="X757" i="42"/>
  <c r="T757" i="42"/>
  <c r="U757" i="42" s="1"/>
  <c r="I757" i="42"/>
  <c r="F757" i="42"/>
  <c r="E757" i="42"/>
  <c r="C757" i="42"/>
  <c r="X756" i="42"/>
  <c r="T756" i="42"/>
  <c r="U756" i="42" s="1"/>
  <c r="I756" i="42"/>
  <c r="F756" i="42"/>
  <c r="E756" i="42"/>
  <c r="C756" i="42"/>
  <c r="X755" i="42"/>
  <c r="T755" i="42"/>
  <c r="U755" i="42" s="1"/>
  <c r="I755" i="42"/>
  <c r="F755" i="42"/>
  <c r="E755" i="42"/>
  <c r="C755" i="42"/>
  <c r="X754" i="42"/>
  <c r="T754" i="42"/>
  <c r="U754" i="42" s="1"/>
  <c r="I754" i="42"/>
  <c r="F754" i="42"/>
  <c r="E754" i="42"/>
  <c r="C754" i="42"/>
  <c r="X753" i="42"/>
  <c r="T753" i="42"/>
  <c r="U753" i="42" s="1"/>
  <c r="I753" i="42"/>
  <c r="F753" i="42"/>
  <c r="E753" i="42"/>
  <c r="C753" i="42"/>
  <c r="X752" i="42"/>
  <c r="T752" i="42"/>
  <c r="U752" i="42" s="1"/>
  <c r="I752" i="42"/>
  <c r="F752" i="42"/>
  <c r="E752" i="42"/>
  <c r="C752" i="42"/>
  <c r="X751" i="42"/>
  <c r="T751" i="42"/>
  <c r="U751" i="42" s="1"/>
  <c r="I751" i="42"/>
  <c r="F751" i="42"/>
  <c r="E751" i="42"/>
  <c r="C751" i="42"/>
  <c r="X750" i="42"/>
  <c r="T750" i="42"/>
  <c r="U750" i="42" s="1"/>
  <c r="I750" i="42"/>
  <c r="F750" i="42"/>
  <c r="E750" i="42"/>
  <c r="C750" i="42"/>
  <c r="X749" i="42"/>
  <c r="T749" i="42"/>
  <c r="U749" i="42" s="1"/>
  <c r="I749" i="42"/>
  <c r="F749" i="42"/>
  <c r="E749" i="42"/>
  <c r="C749" i="42"/>
  <c r="X748" i="42"/>
  <c r="T748" i="42"/>
  <c r="U748" i="42" s="1"/>
  <c r="I748" i="42"/>
  <c r="F748" i="42"/>
  <c r="E748" i="42"/>
  <c r="C748" i="42"/>
  <c r="X747" i="42"/>
  <c r="T747" i="42"/>
  <c r="U747" i="42" s="1"/>
  <c r="I747" i="42"/>
  <c r="F747" i="42"/>
  <c r="E747" i="42"/>
  <c r="C747" i="42"/>
  <c r="X746" i="42"/>
  <c r="T746" i="42"/>
  <c r="U746" i="42" s="1"/>
  <c r="I746" i="42"/>
  <c r="F746" i="42"/>
  <c r="E746" i="42"/>
  <c r="C746" i="42"/>
  <c r="X745" i="42"/>
  <c r="T745" i="42"/>
  <c r="U745" i="42" s="1"/>
  <c r="I745" i="42"/>
  <c r="F745" i="42"/>
  <c r="E745" i="42"/>
  <c r="C745" i="42"/>
  <c r="X744" i="42"/>
  <c r="T744" i="42"/>
  <c r="U744" i="42" s="1"/>
  <c r="I744" i="42"/>
  <c r="F744" i="42"/>
  <c r="E744" i="42"/>
  <c r="C744" i="42"/>
  <c r="X743" i="42"/>
  <c r="T743" i="42"/>
  <c r="U743" i="42" s="1"/>
  <c r="I743" i="42"/>
  <c r="F743" i="42"/>
  <c r="E743" i="42"/>
  <c r="C743" i="42"/>
  <c r="X742" i="42"/>
  <c r="T742" i="42"/>
  <c r="U742" i="42" s="1"/>
  <c r="I742" i="42"/>
  <c r="F742" i="42"/>
  <c r="E742" i="42"/>
  <c r="C742" i="42"/>
  <c r="X741" i="42"/>
  <c r="T741" i="42"/>
  <c r="U741" i="42" s="1"/>
  <c r="I741" i="42"/>
  <c r="F741" i="42"/>
  <c r="E741" i="42"/>
  <c r="C741" i="42"/>
  <c r="X740" i="42"/>
  <c r="T740" i="42"/>
  <c r="U740" i="42" s="1"/>
  <c r="I740" i="42"/>
  <c r="F740" i="42"/>
  <c r="E740" i="42"/>
  <c r="C740" i="42"/>
  <c r="X739" i="42"/>
  <c r="T739" i="42"/>
  <c r="U739" i="42" s="1"/>
  <c r="I739" i="42"/>
  <c r="F739" i="42"/>
  <c r="E739" i="42"/>
  <c r="C739" i="42"/>
  <c r="X738" i="42"/>
  <c r="T738" i="42"/>
  <c r="U738" i="42" s="1"/>
  <c r="I738" i="42"/>
  <c r="F738" i="42"/>
  <c r="E738" i="42"/>
  <c r="C738" i="42"/>
  <c r="X737" i="42"/>
  <c r="T737" i="42"/>
  <c r="U737" i="42" s="1"/>
  <c r="I737" i="42"/>
  <c r="F737" i="42"/>
  <c r="E737" i="42"/>
  <c r="C737" i="42"/>
  <c r="X736" i="42"/>
  <c r="T736" i="42"/>
  <c r="U736" i="42" s="1"/>
  <c r="I736" i="42"/>
  <c r="F736" i="42"/>
  <c r="E736" i="42"/>
  <c r="C736" i="42"/>
  <c r="X735" i="42"/>
  <c r="T735" i="42"/>
  <c r="U735" i="42" s="1"/>
  <c r="I735" i="42"/>
  <c r="F735" i="42"/>
  <c r="E735" i="42"/>
  <c r="C735" i="42"/>
  <c r="X734" i="42"/>
  <c r="T734" i="42"/>
  <c r="U734" i="42" s="1"/>
  <c r="I734" i="42"/>
  <c r="F734" i="42"/>
  <c r="E734" i="42"/>
  <c r="C734" i="42"/>
  <c r="X733" i="42"/>
  <c r="T733" i="42"/>
  <c r="U733" i="42" s="1"/>
  <c r="I733" i="42"/>
  <c r="F733" i="42"/>
  <c r="E733" i="42"/>
  <c r="C733" i="42"/>
  <c r="X732" i="42"/>
  <c r="T732" i="42"/>
  <c r="U732" i="42" s="1"/>
  <c r="I732" i="42"/>
  <c r="F732" i="42"/>
  <c r="E732" i="42"/>
  <c r="C732" i="42"/>
  <c r="X731" i="42"/>
  <c r="T731" i="42"/>
  <c r="U731" i="42" s="1"/>
  <c r="I731" i="42"/>
  <c r="F731" i="42"/>
  <c r="E731" i="42"/>
  <c r="C731" i="42"/>
  <c r="X730" i="42"/>
  <c r="T730" i="42"/>
  <c r="U730" i="42" s="1"/>
  <c r="I730" i="42"/>
  <c r="F730" i="42"/>
  <c r="E730" i="42"/>
  <c r="C730" i="42"/>
  <c r="X729" i="42"/>
  <c r="T729" i="42"/>
  <c r="U729" i="42" s="1"/>
  <c r="I729" i="42"/>
  <c r="F729" i="42"/>
  <c r="E729" i="42"/>
  <c r="C729" i="42"/>
  <c r="X728" i="42"/>
  <c r="T728" i="42"/>
  <c r="U728" i="42" s="1"/>
  <c r="I728" i="42"/>
  <c r="F728" i="42"/>
  <c r="E728" i="42"/>
  <c r="C728" i="42"/>
  <c r="X727" i="42"/>
  <c r="T727" i="42"/>
  <c r="U727" i="42" s="1"/>
  <c r="I727" i="42"/>
  <c r="F727" i="42"/>
  <c r="E727" i="42"/>
  <c r="C727" i="42"/>
  <c r="X726" i="42"/>
  <c r="T726" i="42"/>
  <c r="U726" i="42" s="1"/>
  <c r="I726" i="42"/>
  <c r="F726" i="42"/>
  <c r="E726" i="42"/>
  <c r="C726" i="42"/>
  <c r="X725" i="42"/>
  <c r="T725" i="42"/>
  <c r="U725" i="42" s="1"/>
  <c r="I725" i="42"/>
  <c r="F725" i="42"/>
  <c r="E725" i="42"/>
  <c r="C725" i="42"/>
  <c r="X724" i="42"/>
  <c r="T724" i="42"/>
  <c r="U724" i="42" s="1"/>
  <c r="I724" i="42"/>
  <c r="F724" i="42"/>
  <c r="E724" i="42"/>
  <c r="C724" i="42"/>
  <c r="X723" i="42"/>
  <c r="T723" i="42"/>
  <c r="U723" i="42" s="1"/>
  <c r="I723" i="42"/>
  <c r="F723" i="42"/>
  <c r="E723" i="42"/>
  <c r="C723" i="42"/>
  <c r="X722" i="42"/>
  <c r="T722" i="42"/>
  <c r="U722" i="42" s="1"/>
  <c r="I722" i="42"/>
  <c r="F722" i="42"/>
  <c r="E722" i="42"/>
  <c r="C722" i="42"/>
  <c r="X721" i="42"/>
  <c r="T721" i="42"/>
  <c r="U721" i="42" s="1"/>
  <c r="I721" i="42"/>
  <c r="F721" i="42"/>
  <c r="E721" i="42"/>
  <c r="C721" i="42"/>
  <c r="X720" i="42"/>
  <c r="T720" i="42"/>
  <c r="U720" i="42" s="1"/>
  <c r="I720" i="42"/>
  <c r="F720" i="42"/>
  <c r="E720" i="42"/>
  <c r="C720" i="42"/>
  <c r="X719" i="42"/>
  <c r="T719" i="42"/>
  <c r="U719" i="42" s="1"/>
  <c r="I719" i="42"/>
  <c r="F719" i="42"/>
  <c r="E719" i="42"/>
  <c r="C719" i="42"/>
  <c r="X718" i="42"/>
  <c r="T718" i="42"/>
  <c r="U718" i="42" s="1"/>
  <c r="I718" i="42"/>
  <c r="F718" i="42"/>
  <c r="E718" i="42"/>
  <c r="C718" i="42"/>
  <c r="X717" i="42"/>
  <c r="T717" i="42"/>
  <c r="U717" i="42" s="1"/>
  <c r="I717" i="42"/>
  <c r="F717" i="42"/>
  <c r="E717" i="42"/>
  <c r="C717" i="42"/>
  <c r="X716" i="42"/>
  <c r="T716" i="42"/>
  <c r="U716" i="42" s="1"/>
  <c r="I716" i="42"/>
  <c r="F716" i="42"/>
  <c r="E716" i="42"/>
  <c r="C716" i="42"/>
  <c r="X715" i="42"/>
  <c r="T715" i="42"/>
  <c r="U715" i="42" s="1"/>
  <c r="I715" i="42"/>
  <c r="F715" i="42"/>
  <c r="E715" i="42"/>
  <c r="C715" i="42"/>
  <c r="X714" i="42"/>
  <c r="T714" i="42"/>
  <c r="U714" i="42" s="1"/>
  <c r="I714" i="42"/>
  <c r="F714" i="42"/>
  <c r="E714" i="42"/>
  <c r="C714" i="42"/>
  <c r="X713" i="42"/>
  <c r="T713" i="42"/>
  <c r="U713" i="42" s="1"/>
  <c r="I713" i="42"/>
  <c r="F713" i="42"/>
  <c r="E713" i="42"/>
  <c r="C713" i="42"/>
  <c r="X712" i="42"/>
  <c r="T712" i="42"/>
  <c r="U712" i="42" s="1"/>
  <c r="I712" i="42"/>
  <c r="F712" i="42"/>
  <c r="E712" i="42"/>
  <c r="C712" i="42"/>
  <c r="X711" i="42"/>
  <c r="T711" i="42"/>
  <c r="U711" i="42" s="1"/>
  <c r="I711" i="42"/>
  <c r="F711" i="42"/>
  <c r="E711" i="42"/>
  <c r="C711" i="42"/>
  <c r="X710" i="42"/>
  <c r="T710" i="42"/>
  <c r="U710" i="42" s="1"/>
  <c r="I710" i="42"/>
  <c r="F710" i="42"/>
  <c r="E710" i="42"/>
  <c r="C710" i="42"/>
  <c r="X709" i="42"/>
  <c r="T709" i="42"/>
  <c r="U709" i="42" s="1"/>
  <c r="I709" i="42"/>
  <c r="F709" i="42"/>
  <c r="E709" i="42"/>
  <c r="C709" i="42"/>
  <c r="X708" i="42"/>
  <c r="T708" i="42"/>
  <c r="U708" i="42" s="1"/>
  <c r="I708" i="42"/>
  <c r="F708" i="42"/>
  <c r="E708" i="42"/>
  <c r="C708" i="42"/>
  <c r="X707" i="42"/>
  <c r="T707" i="42"/>
  <c r="U707" i="42" s="1"/>
  <c r="I707" i="42"/>
  <c r="F707" i="42"/>
  <c r="E707" i="42"/>
  <c r="C707" i="42"/>
  <c r="X706" i="42"/>
  <c r="T706" i="42"/>
  <c r="U706" i="42" s="1"/>
  <c r="I706" i="42"/>
  <c r="F706" i="42"/>
  <c r="E706" i="42"/>
  <c r="C706" i="42"/>
  <c r="X705" i="42"/>
  <c r="T705" i="42"/>
  <c r="U705" i="42" s="1"/>
  <c r="I705" i="42"/>
  <c r="F705" i="42"/>
  <c r="E705" i="42"/>
  <c r="C705" i="42"/>
  <c r="X704" i="42"/>
  <c r="T704" i="42"/>
  <c r="U704" i="42" s="1"/>
  <c r="I704" i="42"/>
  <c r="F704" i="42"/>
  <c r="E704" i="42"/>
  <c r="C704" i="42"/>
  <c r="X703" i="42"/>
  <c r="T703" i="42"/>
  <c r="U703" i="42" s="1"/>
  <c r="I703" i="42"/>
  <c r="F703" i="42"/>
  <c r="E703" i="42"/>
  <c r="C703" i="42"/>
  <c r="X702" i="42"/>
  <c r="T702" i="42"/>
  <c r="U702" i="42" s="1"/>
  <c r="I702" i="42"/>
  <c r="F702" i="42"/>
  <c r="E702" i="42"/>
  <c r="C702" i="42"/>
  <c r="X701" i="42"/>
  <c r="T701" i="42"/>
  <c r="U701" i="42" s="1"/>
  <c r="I701" i="42"/>
  <c r="F701" i="42"/>
  <c r="E701" i="42"/>
  <c r="C701" i="42"/>
  <c r="X700" i="42"/>
  <c r="T700" i="42"/>
  <c r="U700" i="42" s="1"/>
  <c r="I700" i="42"/>
  <c r="F700" i="42"/>
  <c r="E700" i="42"/>
  <c r="C700" i="42"/>
  <c r="X699" i="42"/>
  <c r="T699" i="42"/>
  <c r="U699" i="42" s="1"/>
  <c r="I699" i="42"/>
  <c r="F699" i="42"/>
  <c r="E699" i="42"/>
  <c r="C699" i="42"/>
  <c r="X698" i="42"/>
  <c r="T698" i="42"/>
  <c r="U698" i="42" s="1"/>
  <c r="I698" i="42"/>
  <c r="F698" i="42"/>
  <c r="E698" i="42"/>
  <c r="C698" i="42"/>
  <c r="X697" i="42"/>
  <c r="T697" i="42"/>
  <c r="U697" i="42" s="1"/>
  <c r="I697" i="42"/>
  <c r="F697" i="42"/>
  <c r="E697" i="42"/>
  <c r="C697" i="42"/>
  <c r="X696" i="42"/>
  <c r="T696" i="42"/>
  <c r="U696" i="42" s="1"/>
  <c r="I696" i="42"/>
  <c r="F696" i="42"/>
  <c r="E696" i="42"/>
  <c r="C696" i="42"/>
  <c r="X695" i="42"/>
  <c r="T695" i="42"/>
  <c r="U695" i="42" s="1"/>
  <c r="I695" i="42"/>
  <c r="F695" i="42"/>
  <c r="E695" i="42"/>
  <c r="C695" i="42"/>
  <c r="X694" i="42"/>
  <c r="T694" i="42"/>
  <c r="U694" i="42" s="1"/>
  <c r="I694" i="42"/>
  <c r="F694" i="42"/>
  <c r="E694" i="42"/>
  <c r="C694" i="42"/>
  <c r="X693" i="42"/>
  <c r="T693" i="42"/>
  <c r="U693" i="42" s="1"/>
  <c r="I693" i="42"/>
  <c r="F693" i="42"/>
  <c r="E693" i="42"/>
  <c r="C693" i="42"/>
  <c r="X692" i="42"/>
  <c r="T692" i="42"/>
  <c r="U692" i="42" s="1"/>
  <c r="I692" i="42"/>
  <c r="F692" i="42"/>
  <c r="E692" i="42"/>
  <c r="C692" i="42"/>
  <c r="X691" i="42"/>
  <c r="T691" i="42"/>
  <c r="U691" i="42" s="1"/>
  <c r="I691" i="42"/>
  <c r="F691" i="42"/>
  <c r="E691" i="42"/>
  <c r="C691" i="42"/>
  <c r="X690" i="42"/>
  <c r="T690" i="42"/>
  <c r="U690" i="42" s="1"/>
  <c r="I690" i="42"/>
  <c r="F690" i="42"/>
  <c r="E690" i="42"/>
  <c r="C690" i="42"/>
  <c r="X689" i="42"/>
  <c r="T689" i="42"/>
  <c r="U689" i="42" s="1"/>
  <c r="I689" i="42"/>
  <c r="F689" i="42"/>
  <c r="E689" i="42"/>
  <c r="C689" i="42"/>
  <c r="X688" i="42"/>
  <c r="T688" i="42"/>
  <c r="U688" i="42" s="1"/>
  <c r="I688" i="42"/>
  <c r="F688" i="42"/>
  <c r="E688" i="42"/>
  <c r="C688" i="42"/>
  <c r="X687" i="42"/>
  <c r="T687" i="42"/>
  <c r="U687" i="42" s="1"/>
  <c r="I687" i="42"/>
  <c r="F687" i="42"/>
  <c r="E687" i="42"/>
  <c r="C687" i="42"/>
  <c r="X686" i="42"/>
  <c r="T686" i="42"/>
  <c r="U686" i="42" s="1"/>
  <c r="I686" i="42"/>
  <c r="F686" i="42"/>
  <c r="E686" i="42"/>
  <c r="C686" i="42"/>
  <c r="X685" i="42"/>
  <c r="T685" i="42"/>
  <c r="U685" i="42" s="1"/>
  <c r="I685" i="42"/>
  <c r="F685" i="42"/>
  <c r="E685" i="42"/>
  <c r="C685" i="42"/>
  <c r="X684" i="42"/>
  <c r="T684" i="42"/>
  <c r="U684" i="42" s="1"/>
  <c r="I684" i="42"/>
  <c r="F684" i="42"/>
  <c r="E684" i="42"/>
  <c r="C684" i="42"/>
  <c r="X683" i="42"/>
  <c r="T683" i="42"/>
  <c r="U683" i="42" s="1"/>
  <c r="I683" i="42"/>
  <c r="F683" i="42"/>
  <c r="E683" i="42"/>
  <c r="C683" i="42"/>
  <c r="X682" i="42"/>
  <c r="T682" i="42"/>
  <c r="U682" i="42" s="1"/>
  <c r="I682" i="42"/>
  <c r="F682" i="42"/>
  <c r="E682" i="42"/>
  <c r="C682" i="42"/>
  <c r="X681" i="42"/>
  <c r="T681" i="42"/>
  <c r="U681" i="42" s="1"/>
  <c r="I681" i="42"/>
  <c r="F681" i="42"/>
  <c r="E681" i="42"/>
  <c r="C681" i="42"/>
  <c r="A681" i="42"/>
  <c r="A682" i="42" s="1"/>
  <c r="A683" i="42" s="1"/>
  <c r="A684" i="42" s="1"/>
  <c r="A685" i="42" s="1"/>
  <c r="A686" i="42" s="1"/>
  <c r="A687" i="42" s="1"/>
  <c r="A688" i="42" s="1"/>
  <c r="A689" i="42" s="1"/>
  <c r="A690" i="42" s="1"/>
  <c r="A691" i="42" s="1"/>
  <c r="A692" i="42" s="1"/>
  <c r="A693" i="42" s="1"/>
  <c r="A694" i="42" s="1"/>
  <c r="A695" i="42" s="1"/>
  <c r="A696" i="42" s="1"/>
  <c r="A697" i="42" s="1"/>
  <c r="A698" i="42" s="1"/>
  <c r="A699" i="42" s="1"/>
  <c r="A700" i="42" s="1"/>
  <c r="A701" i="42" s="1"/>
  <c r="A702" i="42" s="1"/>
  <c r="A703" i="42" s="1"/>
  <c r="A704" i="42" s="1"/>
  <c r="A705" i="42" s="1"/>
  <c r="A706" i="42" s="1"/>
  <c r="A707" i="42" s="1"/>
  <c r="A708" i="42" s="1"/>
  <c r="A709" i="42" s="1"/>
  <c r="A710" i="42" s="1"/>
  <c r="A711" i="42" s="1"/>
  <c r="A712" i="42" s="1"/>
  <c r="A713" i="42" s="1"/>
  <c r="A714" i="42" s="1"/>
  <c r="A715" i="42" s="1"/>
  <c r="A716" i="42" s="1"/>
  <c r="A717" i="42" s="1"/>
  <c r="A718" i="42" s="1"/>
  <c r="A719" i="42" s="1"/>
  <c r="A720" i="42" s="1"/>
  <c r="A721" i="42" s="1"/>
  <c r="A722" i="42" s="1"/>
  <c r="A723" i="42" s="1"/>
  <c r="A724" i="42" s="1"/>
  <c r="A725" i="42" s="1"/>
  <c r="A726" i="42" s="1"/>
  <c r="A727" i="42" s="1"/>
  <c r="A728" i="42" s="1"/>
  <c r="A729" i="42" s="1"/>
  <c r="A730" i="42" s="1"/>
  <c r="A731" i="42" s="1"/>
  <c r="A732" i="42" s="1"/>
  <c r="A733" i="42" s="1"/>
  <c r="A734" i="42" s="1"/>
  <c r="A735" i="42" s="1"/>
  <c r="A736" i="42" s="1"/>
  <c r="A737" i="42" s="1"/>
  <c r="A738" i="42" s="1"/>
  <c r="A739" i="42" s="1"/>
  <c r="A740" i="42" s="1"/>
  <c r="A741" i="42" s="1"/>
  <c r="A742" i="42" s="1"/>
  <c r="A743" i="42" s="1"/>
  <c r="A744" i="42" s="1"/>
  <c r="A745" i="42" s="1"/>
  <c r="A746" i="42" s="1"/>
  <c r="A747" i="42" s="1"/>
  <c r="A748" i="42" s="1"/>
  <c r="A749" i="42" s="1"/>
  <c r="A750" i="42" s="1"/>
  <c r="A751" i="42" s="1"/>
  <c r="A752" i="42" s="1"/>
  <c r="A753" i="42" s="1"/>
  <c r="A754" i="42" s="1"/>
  <c r="A755" i="42" s="1"/>
  <c r="A756" i="42" s="1"/>
  <c r="A757" i="42" s="1"/>
  <c r="A758" i="42" s="1"/>
  <c r="A759" i="42" s="1"/>
  <c r="A760" i="42" s="1"/>
  <c r="A761" i="42" s="1"/>
  <c r="A762" i="42" s="1"/>
  <c r="A763" i="42" s="1"/>
  <c r="A764" i="42" s="1"/>
  <c r="A765" i="42" s="1"/>
  <c r="A766" i="42" s="1"/>
  <c r="A767" i="42" s="1"/>
  <c r="A768" i="42" s="1"/>
  <c r="A769" i="42" s="1"/>
  <c r="A770" i="42" s="1"/>
  <c r="A771" i="42" s="1"/>
  <c r="A772" i="42" s="1"/>
  <c r="A773" i="42" s="1"/>
  <c r="A774" i="42" s="1"/>
  <c r="A775" i="42" s="1"/>
  <c r="A776" i="42" s="1"/>
  <c r="A777" i="42" s="1"/>
  <c r="A778" i="42" s="1"/>
  <c r="A779" i="42" s="1"/>
  <c r="A780" i="42" s="1"/>
  <c r="A781" i="42" s="1"/>
  <c r="A782" i="42" s="1"/>
  <c r="A783" i="42" s="1"/>
  <c r="A784" i="42" s="1"/>
  <c r="A785" i="42" s="1"/>
  <c r="A786" i="42" s="1"/>
  <c r="A787" i="42" s="1"/>
  <c r="A788" i="42" s="1"/>
  <c r="A789" i="42" s="1"/>
  <c r="A790" i="42" s="1"/>
  <c r="A791" i="42" s="1"/>
  <c r="A792" i="42" s="1"/>
  <c r="A793" i="42" s="1"/>
  <c r="A794" i="42" s="1"/>
  <c r="A795" i="42" s="1"/>
  <c r="A796" i="42" s="1"/>
  <c r="A797" i="42" s="1"/>
  <c r="A798" i="42" s="1"/>
  <c r="A799" i="42" s="1"/>
  <c r="A800" i="42" s="1"/>
  <c r="A801" i="42" s="1"/>
  <c r="A802" i="42" s="1"/>
  <c r="A803" i="42" s="1"/>
  <c r="A804" i="42" s="1"/>
  <c r="A805" i="42" s="1"/>
  <c r="A806" i="42" s="1"/>
  <c r="A807" i="42" s="1"/>
  <c r="A808" i="42" s="1"/>
  <c r="A809" i="42" s="1"/>
  <c r="A810" i="42" s="1"/>
  <c r="A811" i="42" s="1"/>
  <c r="A812" i="42" s="1"/>
  <c r="A813" i="42" s="1"/>
  <c r="A814" i="42" s="1"/>
  <c r="A815" i="42" s="1"/>
  <c r="A816" i="42" s="1"/>
  <c r="A817" i="42" s="1"/>
  <c r="A818" i="42" s="1"/>
  <c r="A819" i="42" s="1"/>
  <c r="A820" i="42" s="1"/>
  <c r="A821" i="42" s="1"/>
  <c r="A822" i="42" s="1"/>
  <c r="A823" i="42" s="1"/>
  <c r="A824" i="42" s="1"/>
  <c r="A825" i="42" s="1"/>
  <c r="A826" i="42" s="1"/>
  <c r="A827" i="42" s="1"/>
  <c r="A828" i="42" s="1"/>
  <c r="A829" i="42" s="1"/>
  <c r="A830" i="42" s="1"/>
  <c r="A831" i="42" s="1"/>
  <c r="A832" i="42" s="1"/>
  <c r="A833" i="42" s="1"/>
  <c r="A834" i="42" s="1"/>
  <c r="A835" i="42" s="1"/>
  <c r="A836" i="42" s="1"/>
  <c r="A837" i="42" s="1"/>
  <c r="A838" i="42" s="1"/>
  <c r="A839" i="42" s="1"/>
  <c r="A840" i="42" s="1"/>
  <c r="A841" i="42" s="1"/>
  <c r="A842" i="42" s="1"/>
  <c r="A843" i="42" s="1"/>
  <c r="A844" i="42" s="1"/>
  <c r="A845" i="42" s="1"/>
  <c r="A846" i="42" s="1"/>
  <c r="A847" i="42" s="1"/>
  <c r="A848" i="42" s="1"/>
  <c r="A849" i="42" s="1"/>
  <c r="A850" i="42" s="1"/>
  <c r="A851" i="42" s="1"/>
  <c r="A852" i="42" s="1"/>
  <c r="A853" i="42" s="1"/>
  <c r="A854" i="42" s="1"/>
  <c r="X680" i="42"/>
  <c r="T680" i="42"/>
  <c r="U680" i="42" s="1"/>
  <c r="I680" i="42"/>
  <c r="F680" i="42"/>
  <c r="E680" i="42"/>
  <c r="C680" i="42"/>
  <c r="X679" i="42"/>
  <c r="T679" i="42"/>
  <c r="U679" i="42" s="1"/>
  <c r="I679" i="42"/>
  <c r="F679" i="42"/>
  <c r="E679" i="42"/>
  <c r="C679" i="42"/>
  <c r="X678" i="42"/>
  <c r="T678" i="42"/>
  <c r="U678" i="42" s="1"/>
  <c r="I678" i="42"/>
  <c r="F678" i="42"/>
  <c r="E678" i="42"/>
  <c r="C678" i="42"/>
  <c r="X677" i="42"/>
  <c r="T677" i="42"/>
  <c r="U677" i="42" s="1"/>
  <c r="I677" i="42"/>
  <c r="F677" i="42"/>
  <c r="E677" i="42"/>
  <c r="C677" i="42"/>
  <c r="X676" i="42"/>
  <c r="T676" i="42"/>
  <c r="U676" i="42" s="1"/>
  <c r="I676" i="42"/>
  <c r="F676" i="42"/>
  <c r="E676" i="42"/>
  <c r="C676" i="42"/>
  <c r="X675" i="42"/>
  <c r="T675" i="42"/>
  <c r="U675" i="42" s="1"/>
  <c r="I675" i="42"/>
  <c r="F675" i="42"/>
  <c r="E675" i="42"/>
  <c r="C675" i="42"/>
  <c r="A675" i="42"/>
  <c r="A676" i="42" s="1"/>
  <c r="A677" i="42" s="1"/>
  <c r="A678" i="42" s="1"/>
  <c r="A679" i="42" s="1"/>
  <c r="A680" i="42" s="1"/>
  <c r="T674" i="42"/>
  <c r="U674" i="42" s="1"/>
  <c r="I674" i="42"/>
  <c r="F674" i="42"/>
  <c r="E674" i="42"/>
  <c r="C674" i="42"/>
  <c r="T673" i="42"/>
  <c r="U673" i="42" s="1"/>
  <c r="I673" i="42"/>
  <c r="F673" i="42"/>
  <c r="C673" i="42"/>
  <c r="Y672" i="42"/>
  <c r="T672" i="42"/>
  <c r="U672" i="42" s="1"/>
  <c r="C672" i="42"/>
  <c r="T671" i="42"/>
  <c r="U671" i="42" s="1"/>
  <c r="I671" i="42"/>
  <c r="F671" i="42"/>
  <c r="E671" i="42"/>
  <c r="T670" i="42"/>
  <c r="U670" i="42" s="1"/>
  <c r="I670" i="42"/>
  <c r="F670" i="42"/>
  <c r="E670" i="42"/>
  <c r="C670" i="42"/>
  <c r="X669" i="42"/>
  <c r="T669" i="42"/>
  <c r="U669" i="42" s="1"/>
  <c r="I669" i="42"/>
  <c r="F669" i="42"/>
  <c r="E669" i="42"/>
  <c r="C669" i="42"/>
  <c r="X668" i="42"/>
  <c r="T668" i="42"/>
  <c r="U668" i="42" s="1"/>
  <c r="I668" i="42"/>
  <c r="F668" i="42"/>
  <c r="E668" i="42"/>
  <c r="C668" i="42"/>
  <c r="X667" i="42"/>
  <c r="T667" i="42"/>
  <c r="U667" i="42" s="1"/>
  <c r="I667" i="42"/>
  <c r="F667" i="42"/>
  <c r="E667" i="42"/>
  <c r="C667" i="42"/>
  <c r="X666" i="42"/>
  <c r="T666" i="42"/>
  <c r="U666" i="42" s="1"/>
  <c r="I666" i="42"/>
  <c r="F666" i="42"/>
  <c r="E666" i="42"/>
  <c r="C666" i="42"/>
  <c r="X665" i="42"/>
  <c r="T665" i="42"/>
  <c r="U665" i="42" s="1"/>
  <c r="I665" i="42"/>
  <c r="F665" i="42"/>
  <c r="E665" i="42"/>
  <c r="C665" i="42"/>
  <c r="X664" i="42"/>
  <c r="T664" i="42"/>
  <c r="U664" i="42" s="1"/>
  <c r="I664" i="42"/>
  <c r="F664" i="42"/>
  <c r="E664" i="42"/>
  <c r="C664" i="42"/>
  <c r="X663" i="42"/>
  <c r="T663" i="42"/>
  <c r="U663" i="42" s="1"/>
  <c r="I663" i="42"/>
  <c r="F663" i="42"/>
  <c r="E663" i="42"/>
  <c r="C663" i="42"/>
  <c r="X662" i="42"/>
  <c r="T662" i="42"/>
  <c r="U662" i="42" s="1"/>
  <c r="I662" i="42"/>
  <c r="F662" i="42"/>
  <c r="E662" i="42"/>
  <c r="C662" i="42"/>
  <c r="T661" i="42"/>
  <c r="U661" i="42" s="1"/>
  <c r="I661" i="42"/>
  <c r="F661" i="42"/>
  <c r="E661" i="42"/>
  <c r="C661" i="42"/>
  <c r="X660" i="42"/>
  <c r="T660" i="42"/>
  <c r="U660" i="42" s="1"/>
  <c r="I660" i="42"/>
  <c r="F660" i="42"/>
  <c r="E660" i="42"/>
  <c r="C660" i="42"/>
  <c r="X659" i="42"/>
  <c r="T659" i="42"/>
  <c r="U659" i="42" s="1"/>
  <c r="I659" i="42"/>
  <c r="F659" i="42"/>
  <c r="E659" i="42"/>
  <c r="C659" i="42"/>
  <c r="X658" i="42"/>
  <c r="T658" i="42"/>
  <c r="U658" i="42" s="1"/>
  <c r="I658" i="42"/>
  <c r="F658" i="42"/>
  <c r="E658" i="42"/>
  <c r="C658" i="42"/>
  <c r="X657" i="42"/>
  <c r="T657" i="42"/>
  <c r="U657" i="42" s="1"/>
  <c r="I657" i="42"/>
  <c r="F657" i="42"/>
  <c r="E657" i="42"/>
  <c r="C657" i="42"/>
  <c r="X656" i="42"/>
  <c r="T656" i="42"/>
  <c r="U656" i="42" s="1"/>
  <c r="I656" i="42"/>
  <c r="F656" i="42"/>
  <c r="E656" i="42"/>
  <c r="C656" i="42"/>
  <c r="X655" i="42"/>
  <c r="T655" i="42"/>
  <c r="U655" i="42" s="1"/>
  <c r="I655" i="42"/>
  <c r="F655" i="42"/>
  <c r="E655" i="42"/>
  <c r="C655" i="42"/>
  <c r="X654" i="42"/>
  <c r="T654" i="42"/>
  <c r="U654" i="42" s="1"/>
  <c r="I654" i="42"/>
  <c r="F654" i="42"/>
  <c r="E654" i="42"/>
  <c r="C654" i="42"/>
  <c r="X653" i="42"/>
  <c r="T653" i="42"/>
  <c r="U653" i="42" s="1"/>
  <c r="I653" i="42"/>
  <c r="F653" i="42"/>
  <c r="E653" i="42"/>
  <c r="C653" i="42"/>
  <c r="X652" i="42"/>
  <c r="T652" i="42"/>
  <c r="U652" i="42" s="1"/>
  <c r="I652" i="42"/>
  <c r="F652" i="42"/>
  <c r="E652" i="42"/>
  <c r="C652" i="42"/>
  <c r="X651" i="42"/>
  <c r="T651" i="42"/>
  <c r="U651" i="42" s="1"/>
  <c r="I651" i="42"/>
  <c r="F651" i="42"/>
  <c r="E651" i="42"/>
  <c r="C651" i="42"/>
  <c r="X650" i="42"/>
  <c r="T650" i="42"/>
  <c r="U650" i="42" s="1"/>
  <c r="I650" i="42"/>
  <c r="F650" i="42"/>
  <c r="E650" i="42"/>
  <c r="C650" i="42"/>
  <c r="X649" i="42"/>
  <c r="T649" i="42"/>
  <c r="U649" i="42" s="1"/>
  <c r="I649" i="42"/>
  <c r="F649" i="42"/>
  <c r="E649" i="42"/>
  <c r="C649" i="42"/>
  <c r="X648" i="42"/>
  <c r="T648" i="42"/>
  <c r="U648" i="42" s="1"/>
  <c r="I648" i="42"/>
  <c r="F648" i="42"/>
  <c r="E648" i="42"/>
  <c r="C648" i="42"/>
  <c r="X647" i="42"/>
  <c r="T647" i="42"/>
  <c r="U647" i="42" s="1"/>
  <c r="I647" i="42"/>
  <c r="F647" i="42"/>
  <c r="E647" i="42"/>
  <c r="C647" i="42"/>
  <c r="X646" i="42"/>
  <c r="T646" i="42"/>
  <c r="U646" i="42" s="1"/>
  <c r="I646" i="42"/>
  <c r="F646" i="42"/>
  <c r="E646" i="42"/>
  <c r="C646" i="42"/>
  <c r="X645" i="42"/>
  <c r="T645" i="42"/>
  <c r="U645" i="42" s="1"/>
  <c r="I645" i="42"/>
  <c r="F645" i="42"/>
  <c r="E645" i="42"/>
  <c r="C645" i="42"/>
  <c r="X644" i="42"/>
  <c r="T644" i="42"/>
  <c r="U644" i="42" s="1"/>
  <c r="I644" i="42"/>
  <c r="F644" i="42"/>
  <c r="C644" i="42"/>
  <c r="X643" i="42"/>
  <c r="T643" i="42"/>
  <c r="U643" i="42" s="1"/>
  <c r="I643" i="42"/>
  <c r="F643" i="42"/>
  <c r="C643" i="42"/>
  <c r="X642" i="42"/>
  <c r="T642" i="42"/>
  <c r="U642" i="42" s="1"/>
  <c r="I642" i="42"/>
  <c r="F642" i="42"/>
  <c r="C642" i="42"/>
  <c r="X641" i="42"/>
  <c r="T641" i="42"/>
  <c r="U641" i="42" s="1"/>
  <c r="I641" i="42"/>
  <c r="F641" i="42"/>
  <c r="E641" i="42"/>
  <c r="C641" i="42"/>
  <c r="X640" i="42"/>
  <c r="T640" i="42"/>
  <c r="U640" i="42" s="1"/>
  <c r="I640" i="42"/>
  <c r="F640" i="42"/>
  <c r="E640" i="42"/>
  <c r="C640" i="42"/>
  <c r="X639" i="42"/>
  <c r="T639" i="42"/>
  <c r="U639" i="42" s="1"/>
  <c r="I639" i="42"/>
  <c r="F639" i="42"/>
  <c r="E639" i="42"/>
  <c r="C639" i="42"/>
  <c r="X638" i="42"/>
  <c r="T638" i="42"/>
  <c r="U638" i="42" s="1"/>
  <c r="I638" i="42"/>
  <c r="F638" i="42"/>
  <c r="E638" i="42"/>
  <c r="C638" i="42"/>
  <c r="X637" i="42"/>
  <c r="T637" i="42"/>
  <c r="U637" i="42" s="1"/>
  <c r="I637" i="42"/>
  <c r="F637" i="42"/>
  <c r="E637" i="42"/>
  <c r="C637" i="42"/>
  <c r="X636" i="42"/>
  <c r="T636" i="42"/>
  <c r="U636" i="42" s="1"/>
  <c r="I636" i="42"/>
  <c r="F636" i="42"/>
  <c r="C636" i="42"/>
  <c r="X635" i="42"/>
  <c r="T635" i="42"/>
  <c r="U635" i="42" s="1"/>
  <c r="I635" i="42"/>
  <c r="F635" i="42"/>
  <c r="C635" i="42"/>
  <c r="X634" i="42"/>
  <c r="T634" i="42"/>
  <c r="U634" i="42" s="1"/>
  <c r="I634" i="42"/>
  <c r="F634" i="42"/>
  <c r="C634" i="42"/>
  <c r="X633" i="42"/>
  <c r="T633" i="42"/>
  <c r="U633" i="42" s="1"/>
  <c r="I633" i="42"/>
  <c r="F633" i="42"/>
  <c r="C633" i="42"/>
  <c r="X632" i="42"/>
  <c r="T632" i="42"/>
  <c r="U632" i="42" s="1"/>
  <c r="I632" i="42"/>
  <c r="F632" i="42"/>
  <c r="C632" i="42"/>
  <c r="X631" i="42"/>
  <c r="T631" i="42"/>
  <c r="U631" i="42" s="1"/>
  <c r="I631" i="42"/>
  <c r="F631" i="42"/>
  <c r="C631" i="42"/>
  <c r="X630" i="42"/>
  <c r="T630" i="42"/>
  <c r="U630" i="42" s="1"/>
  <c r="I630" i="42"/>
  <c r="F630" i="42"/>
  <c r="C630" i="42"/>
  <c r="X629" i="42"/>
  <c r="T629" i="42"/>
  <c r="U629" i="42" s="1"/>
  <c r="I629" i="42"/>
  <c r="F629" i="42"/>
  <c r="C629" i="42"/>
  <c r="X628" i="42"/>
  <c r="T628" i="42"/>
  <c r="U628" i="42" s="1"/>
  <c r="I628" i="42"/>
  <c r="F628" i="42"/>
  <c r="C628" i="42"/>
  <c r="X627" i="42"/>
  <c r="T627" i="42"/>
  <c r="U627" i="42" s="1"/>
  <c r="I627" i="42"/>
  <c r="F627" i="42"/>
  <c r="C627" i="42"/>
  <c r="X626" i="42"/>
  <c r="T626" i="42"/>
  <c r="U626" i="42" s="1"/>
  <c r="I626" i="42"/>
  <c r="F626" i="42"/>
  <c r="C626" i="42"/>
  <c r="X625" i="42"/>
  <c r="T625" i="42"/>
  <c r="U625" i="42" s="1"/>
  <c r="I625" i="42"/>
  <c r="F625" i="42"/>
  <c r="E625" i="42"/>
  <c r="C625" i="42"/>
  <c r="X624" i="42"/>
  <c r="T624" i="42"/>
  <c r="U624" i="42" s="1"/>
  <c r="I624" i="42"/>
  <c r="F624" i="42"/>
  <c r="E624" i="42"/>
  <c r="C624" i="42"/>
  <c r="X623" i="42"/>
  <c r="T623" i="42"/>
  <c r="U623" i="42" s="1"/>
  <c r="I623" i="42"/>
  <c r="F623" i="42"/>
  <c r="E623" i="42"/>
  <c r="C623" i="42"/>
  <c r="X622" i="42"/>
  <c r="T622" i="42"/>
  <c r="U622" i="42" s="1"/>
  <c r="I622" i="42"/>
  <c r="F622" i="42"/>
  <c r="E622" i="42"/>
  <c r="C622" i="42"/>
  <c r="X621" i="42"/>
  <c r="T621" i="42"/>
  <c r="U621" i="42" s="1"/>
  <c r="I621" i="42"/>
  <c r="F621" i="42"/>
  <c r="E621" i="42"/>
  <c r="C621" i="42"/>
  <c r="X620" i="42"/>
  <c r="T620" i="42"/>
  <c r="U620" i="42" s="1"/>
  <c r="I620" i="42"/>
  <c r="F620" i="42"/>
  <c r="E620" i="42"/>
  <c r="C620" i="42"/>
  <c r="X619" i="42"/>
  <c r="T619" i="42"/>
  <c r="U619" i="42" s="1"/>
  <c r="I619" i="42"/>
  <c r="F619" i="42"/>
  <c r="E619" i="42"/>
  <c r="C619" i="42"/>
  <c r="X618" i="42"/>
  <c r="T618" i="42"/>
  <c r="U618" i="42" s="1"/>
  <c r="I618" i="42"/>
  <c r="F618" i="42"/>
  <c r="E618" i="42"/>
  <c r="C618" i="42"/>
  <c r="X617" i="42"/>
  <c r="T617" i="42"/>
  <c r="U617" i="42" s="1"/>
  <c r="I617" i="42"/>
  <c r="F617" i="42"/>
  <c r="E617" i="42"/>
  <c r="C617" i="42"/>
  <c r="X616" i="42"/>
  <c r="T616" i="42"/>
  <c r="U616" i="42" s="1"/>
  <c r="I616" i="42"/>
  <c r="F616" i="42"/>
  <c r="E616" i="42"/>
  <c r="C616" i="42"/>
  <c r="X615" i="42"/>
  <c r="T615" i="42"/>
  <c r="U615" i="42" s="1"/>
  <c r="I615" i="42"/>
  <c r="F615" i="42"/>
  <c r="E615" i="42"/>
  <c r="C615" i="42"/>
  <c r="X614" i="42"/>
  <c r="T614" i="42"/>
  <c r="U614" i="42" s="1"/>
  <c r="I614" i="42"/>
  <c r="F614" i="42"/>
  <c r="E614" i="42"/>
  <c r="C614" i="42"/>
  <c r="X613" i="42"/>
  <c r="T613" i="42"/>
  <c r="U613" i="42" s="1"/>
  <c r="I613" i="42"/>
  <c r="F613" i="42"/>
  <c r="E613" i="42"/>
  <c r="C613" i="42"/>
  <c r="X612" i="42"/>
  <c r="T612" i="42"/>
  <c r="U612" i="42" s="1"/>
  <c r="I612" i="42"/>
  <c r="F612" i="42"/>
  <c r="E612" i="42"/>
  <c r="C612" i="42"/>
  <c r="X611" i="42"/>
  <c r="T611" i="42"/>
  <c r="U611" i="42" s="1"/>
  <c r="I611" i="42"/>
  <c r="F611" i="42"/>
  <c r="E611" i="42"/>
  <c r="C611" i="42"/>
  <c r="X610" i="42"/>
  <c r="T610" i="42"/>
  <c r="U610" i="42" s="1"/>
  <c r="I610" i="42"/>
  <c r="F610" i="42"/>
  <c r="E610" i="42"/>
  <c r="C610" i="42"/>
  <c r="X609" i="42"/>
  <c r="T609" i="42"/>
  <c r="U609" i="42" s="1"/>
  <c r="I609" i="42"/>
  <c r="F609" i="42"/>
  <c r="E609" i="42"/>
  <c r="C609" i="42"/>
  <c r="X608" i="42"/>
  <c r="T608" i="42"/>
  <c r="U608" i="42" s="1"/>
  <c r="I608" i="42"/>
  <c r="F608" i="42"/>
  <c r="E608" i="42"/>
  <c r="C608" i="42"/>
  <c r="X607" i="42"/>
  <c r="T607" i="42"/>
  <c r="U607" i="42" s="1"/>
  <c r="I607" i="42"/>
  <c r="F607" i="42"/>
  <c r="E607" i="42"/>
  <c r="C607" i="42"/>
  <c r="X606" i="42"/>
  <c r="T606" i="42"/>
  <c r="U606" i="42" s="1"/>
  <c r="I606" i="42"/>
  <c r="F606" i="42"/>
  <c r="E606" i="42"/>
  <c r="C606" i="42"/>
  <c r="X605" i="42"/>
  <c r="T605" i="42"/>
  <c r="U605" i="42" s="1"/>
  <c r="I605" i="42"/>
  <c r="F605" i="42"/>
  <c r="E605" i="42"/>
  <c r="C605" i="42"/>
  <c r="X604" i="42"/>
  <c r="T604" i="42"/>
  <c r="U604" i="42" s="1"/>
  <c r="I604" i="42"/>
  <c r="F604" i="42"/>
  <c r="E604" i="42"/>
  <c r="C604" i="42"/>
  <c r="X603" i="42"/>
  <c r="T603" i="42"/>
  <c r="U603" i="42" s="1"/>
  <c r="I603" i="42"/>
  <c r="F603" i="42"/>
  <c r="E603" i="42"/>
  <c r="C603" i="42"/>
  <c r="X602" i="42"/>
  <c r="T602" i="42"/>
  <c r="U602" i="42" s="1"/>
  <c r="I602" i="42"/>
  <c r="F602" i="42"/>
  <c r="E602" i="42"/>
  <c r="C602" i="42"/>
  <c r="X601" i="42"/>
  <c r="T601" i="42"/>
  <c r="U601" i="42" s="1"/>
  <c r="I601" i="42"/>
  <c r="F601" i="42"/>
  <c r="E601" i="42"/>
  <c r="C601" i="42"/>
  <c r="X600" i="42"/>
  <c r="T600" i="42"/>
  <c r="U600" i="42" s="1"/>
  <c r="I600" i="42"/>
  <c r="F600" i="42"/>
  <c r="E600" i="42"/>
  <c r="C600" i="42"/>
  <c r="X599" i="42"/>
  <c r="T599" i="42"/>
  <c r="U599" i="42" s="1"/>
  <c r="I599" i="42"/>
  <c r="F599" i="42"/>
  <c r="E599" i="42"/>
  <c r="C599" i="42"/>
  <c r="X598" i="42"/>
  <c r="T598" i="42"/>
  <c r="U598" i="42" s="1"/>
  <c r="I598" i="42"/>
  <c r="F598" i="42"/>
  <c r="E598" i="42"/>
  <c r="C598" i="42"/>
  <c r="X597" i="42"/>
  <c r="T597" i="42"/>
  <c r="U597" i="42" s="1"/>
  <c r="I597" i="42"/>
  <c r="F597" i="42"/>
  <c r="E597" i="42"/>
  <c r="C597" i="42"/>
  <c r="X596" i="42"/>
  <c r="T596" i="42"/>
  <c r="U596" i="42" s="1"/>
  <c r="I596" i="42"/>
  <c r="F596" i="42"/>
  <c r="E596" i="42"/>
  <c r="C596" i="42"/>
  <c r="X595" i="42"/>
  <c r="T595" i="42"/>
  <c r="U595" i="42" s="1"/>
  <c r="I595" i="42"/>
  <c r="F595" i="42"/>
  <c r="E595" i="42"/>
  <c r="C595" i="42"/>
  <c r="X594" i="42"/>
  <c r="T594" i="42"/>
  <c r="U594" i="42" s="1"/>
  <c r="I594" i="42"/>
  <c r="F594" i="42"/>
  <c r="E594" i="42"/>
  <c r="C594" i="42"/>
  <c r="X593" i="42"/>
  <c r="T593" i="42"/>
  <c r="U593" i="42" s="1"/>
  <c r="I593" i="42"/>
  <c r="F593" i="42"/>
  <c r="E593" i="42"/>
  <c r="C593" i="42"/>
  <c r="X592" i="42"/>
  <c r="T592" i="42"/>
  <c r="U592" i="42" s="1"/>
  <c r="I592" i="42"/>
  <c r="F592" i="42"/>
  <c r="E592" i="42"/>
  <c r="C592" i="42"/>
  <c r="X591" i="42"/>
  <c r="T591" i="42"/>
  <c r="U591" i="42" s="1"/>
  <c r="I591" i="42"/>
  <c r="F591" i="42"/>
  <c r="E591" i="42"/>
  <c r="C591" i="42"/>
  <c r="X590" i="42"/>
  <c r="T590" i="42"/>
  <c r="U590" i="42" s="1"/>
  <c r="I590" i="42"/>
  <c r="F590" i="42"/>
  <c r="E590" i="42"/>
  <c r="C590" i="42"/>
  <c r="X589" i="42"/>
  <c r="T589" i="42"/>
  <c r="U589" i="42" s="1"/>
  <c r="I589" i="42"/>
  <c r="F589" i="42"/>
  <c r="E589" i="42"/>
  <c r="C589" i="42"/>
  <c r="X588" i="42"/>
  <c r="T588" i="42"/>
  <c r="U588" i="42" s="1"/>
  <c r="I588" i="42"/>
  <c r="F588" i="42"/>
  <c r="E588" i="42"/>
  <c r="C588" i="42"/>
  <c r="X587" i="42"/>
  <c r="T587" i="42"/>
  <c r="U587" i="42" s="1"/>
  <c r="I587" i="42"/>
  <c r="F587" i="42"/>
  <c r="E587" i="42"/>
  <c r="C587" i="42"/>
  <c r="X586" i="42"/>
  <c r="T586" i="42"/>
  <c r="U586" i="42" s="1"/>
  <c r="I586" i="42"/>
  <c r="F586" i="42"/>
  <c r="E586" i="42"/>
  <c r="C586" i="42"/>
  <c r="X585" i="42"/>
  <c r="T585" i="42"/>
  <c r="U585" i="42" s="1"/>
  <c r="I585" i="42"/>
  <c r="F585" i="42"/>
  <c r="E585" i="42"/>
  <c r="C585" i="42"/>
  <c r="X584" i="42"/>
  <c r="T584" i="42"/>
  <c r="U584" i="42" s="1"/>
  <c r="I584" i="42"/>
  <c r="F584" i="42"/>
  <c r="E584" i="42"/>
  <c r="C584" i="42"/>
  <c r="X583" i="42"/>
  <c r="T583" i="42"/>
  <c r="U583" i="42" s="1"/>
  <c r="I583" i="42"/>
  <c r="F583" i="42"/>
  <c r="E583" i="42"/>
  <c r="C583" i="42"/>
  <c r="X582" i="42"/>
  <c r="T582" i="42"/>
  <c r="U582" i="42" s="1"/>
  <c r="I582" i="42"/>
  <c r="F582" i="42"/>
  <c r="E582" i="42"/>
  <c r="C582" i="42"/>
  <c r="X581" i="42"/>
  <c r="T581" i="42"/>
  <c r="U581" i="42" s="1"/>
  <c r="I581" i="42"/>
  <c r="F581" i="42"/>
  <c r="E581" i="42"/>
  <c r="C581" i="42"/>
  <c r="X580" i="42"/>
  <c r="T580" i="42"/>
  <c r="U580" i="42" s="1"/>
  <c r="I580" i="42"/>
  <c r="F580" i="42"/>
  <c r="E580" i="42"/>
  <c r="C580" i="42"/>
  <c r="X579" i="42"/>
  <c r="T579" i="42"/>
  <c r="U579" i="42" s="1"/>
  <c r="I579" i="42"/>
  <c r="F579" i="42"/>
  <c r="E579" i="42"/>
  <c r="C579" i="42"/>
  <c r="X578" i="42"/>
  <c r="I578" i="42"/>
  <c r="F578" i="42"/>
  <c r="E578" i="42"/>
  <c r="C578" i="42"/>
  <c r="X577" i="42"/>
  <c r="T577" i="42"/>
  <c r="U577" i="42" s="1"/>
  <c r="I577" i="42"/>
  <c r="F577" i="42"/>
  <c r="E577" i="42"/>
  <c r="C577" i="42"/>
  <c r="X576" i="42"/>
  <c r="T576" i="42"/>
  <c r="U576" i="42" s="1"/>
  <c r="I576" i="42"/>
  <c r="F576" i="42"/>
  <c r="E576" i="42"/>
  <c r="C576" i="42"/>
  <c r="X575" i="42"/>
  <c r="I575" i="42"/>
  <c r="F575" i="42"/>
  <c r="E575" i="42"/>
  <c r="C575" i="42"/>
  <c r="X574" i="42"/>
  <c r="T574" i="42"/>
  <c r="U574" i="42" s="1"/>
  <c r="I574" i="42"/>
  <c r="F574" i="42"/>
  <c r="E574" i="42"/>
  <c r="C574" i="42"/>
  <c r="X573" i="42"/>
  <c r="T573" i="42"/>
  <c r="U573" i="42" s="1"/>
  <c r="I573" i="42"/>
  <c r="F573" i="42"/>
  <c r="E573" i="42"/>
  <c r="C573" i="42"/>
  <c r="X572" i="42"/>
  <c r="T572" i="42"/>
  <c r="U572" i="42" s="1"/>
  <c r="I572" i="42"/>
  <c r="F572" i="42"/>
  <c r="E572" i="42"/>
  <c r="C572" i="42"/>
  <c r="X571" i="42"/>
  <c r="T571" i="42"/>
  <c r="U571" i="42" s="1"/>
  <c r="I571" i="42"/>
  <c r="F571" i="42"/>
  <c r="E571" i="42"/>
  <c r="C571" i="42"/>
  <c r="X570" i="42"/>
  <c r="T570" i="42"/>
  <c r="U570" i="42" s="1"/>
  <c r="I570" i="42"/>
  <c r="F570" i="42"/>
  <c r="E570" i="42"/>
  <c r="C570" i="42"/>
  <c r="X569" i="42"/>
  <c r="T569" i="42"/>
  <c r="U569" i="42" s="1"/>
  <c r="I569" i="42"/>
  <c r="F569" i="42"/>
  <c r="E569" i="42"/>
  <c r="C569" i="42"/>
  <c r="X568" i="42"/>
  <c r="T568" i="42"/>
  <c r="U568" i="42" s="1"/>
  <c r="I568" i="42"/>
  <c r="F568" i="42"/>
  <c r="E568" i="42"/>
  <c r="C568" i="42"/>
  <c r="X567" i="42"/>
  <c r="T567" i="42"/>
  <c r="U567" i="42" s="1"/>
  <c r="I567" i="42"/>
  <c r="F567" i="42"/>
  <c r="E567" i="42"/>
  <c r="C567" i="42"/>
  <c r="X566" i="42"/>
  <c r="T566" i="42"/>
  <c r="U566" i="42" s="1"/>
  <c r="I566" i="42"/>
  <c r="F566" i="42"/>
  <c r="E566" i="42"/>
  <c r="C566" i="42"/>
  <c r="X565" i="42"/>
  <c r="T565" i="42"/>
  <c r="U565" i="42" s="1"/>
  <c r="I565" i="42"/>
  <c r="F565" i="42"/>
  <c r="E565" i="42"/>
  <c r="C565" i="42"/>
  <c r="X564" i="42"/>
  <c r="T564" i="42"/>
  <c r="U564" i="42" s="1"/>
  <c r="I564" i="42"/>
  <c r="F564" i="42"/>
  <c r="E564" i="42"/>
  <c r="C564" i="42"/>
  <c r="X563" i="42"/>
  <c r="T563" i="42"/>
  <c r="U563" i="42" s="1"/>
  <c r="I563" i="42"/>
  <c r="F563" i="42"/>
  <c r="E563" i="42"/>
  <c r="C563" i="42"/>
  <c r="X562" i="42"/>
  <c r="T562" i="42"/>
  <c r="U562" i="42" s="1"/>
  <c r="I562" i="42"/>
  <c r="F562" i="42"/>
  <c r="E562" i="42"/>
  <c r="C562" i="42"/>
  <c r="X561" i="42"/>
  <c r="T561" i="42"/>
  <c r="U561" i="42" s="1"/>
  <c r="I561" i="42"/>
  <c r="F561" i="42"/>
  <c r="E561" i="42"/>
  <c r="C561" i="42"/>
  <c r="X560" i="42"/>
  <c r="I560" i="42"/>
  <c r="F560" i="42"/>
  <c r="E560" i="42"/>
  <c r="C560" i="42"/>
  <c r="X559" i="42"/>
  <c r="T559" i="42"/>
  <c r="U559" i="42" s="1"/>
  <c r="I559" i="42"/>
  <c r="F559" i="42"/>
  <c r="E559" i="42"/>
  <c r="C559" i="42"/>
  <c r="X558" i="42"/>
  <c r="T558" i="42"/>
  <c r="U558" i="42" s="1"/>
  <c r="I558" i="42"/>
  <c r="F558" i="42"/>
  <c r="E558" i="42"/>
  <c r="C558" i="42"/>
  <c r="X557" i="42"/>
  <c r="T557" i="42"/>
  <c r="U557" i="42" s="1"/>
  <c r="I557" i="42"/>
  <c r="F557" i="42"/>
  <c r="E557" i="42"/>
  <c r="C557" i="42"/>
  <c r="X556" i="42"/>
  <c r="T556" i="42"/>
  <c r="U556" i="42" s="1"/>
  <c r="I556" i="42"/>
  <c r="F556" i="42"/>
  <c r="E556" i="42"/>
  <c r="C556" i="42"/>
  <c r="X555" i="42"/>
  <c r="T555" i="42"/>
  <c r="U555" i="42" s="1"/>
  <c r="I555" i="42"/>
  <c r="F555" i="42"/>
  <c r="E555" i="42"/>
  <c r="C555" i="42"/>
  <c r="X554" i="42"/>
  <c r="T554" i="42"/>
  <c r="U554" i="42" s="1"/>
  <c r="I554" i="42"/>
  <c r="F554" i="42"/>
  <c r="E554" i="42"/>
  <c r="C554" i="42"/>
  <c r="X553" i="42"/>
  <c r="T553" i="42"/>
  <c r="U553" i="42" s="1"/>
  <c r="I553" i="42"/>
  <c r="F553" i="42"/>
  <c r="E553" i="42"/>
  <c r="C553" i="42"/>
  <c r="X552" i="42"/>
  <c r="T552" i="42"/>
  <c r="U552" i="42" s="1"/>
  <c r="I552" i="42"/>
  <c r="F552" i="42"/>
  <c r="E552" i="42"/>
  <c r="C552" i="42"/>
  <c r="X551" i="42"/>
  <c r="T551" i="42"/>
  <c r="U551" i="42" s="1"/>
  <c r="I551" i="42"/>
  <c r="F551" i="42"/>
  <c r="E551" i="42"/>
  <c r="C551" i="42"/>
  <c r="X550" i="42"/>
  <c r="T550" i="42"/>
  <c r="U550" i="42" s="1"/>
  <c r="I550" i="42"/>
  <c r="F550" i="42"/>
  <c r="E550" i="42"/>
  <c r="C550" i="42"/>
  <c r="X549" i="42"/>
  <c r="T549" i="42"/>
  <c r="U549" i="42" s="1"/>
  <c r="I549" i="42"/>
  <c r="F549" i="42"/>
  <c r="E549" i="42"/>
  <c r="C549" i="42"/>
  <c r="X548" i="42"/>
  <c r="T548" i="42"/>
  <c r="U548" i="42" s="1"/>
  <c r="I548" i="42"/>
  <c r="F548" i="42"/>
  <c r="E548" i="42"/>
  <c r="C548" i="42"/>
  <c r="X547" i="42"/>
  <c r="T547" i="42"/>
  <c r="U547" i="42" s="1"/>
  <c r="I547" i="42"/>
  <c r="F547" i="42"/>
  <c r="E547" i="42"/>
  <c r="C547" i="42"/>
  <c r="X546" i="42"/>
  <c r="T546" i="42"/>
  <c r="U546" i="42" s="1"/>
  <c r="I546" i="42"/>
  <c r="F546" i="42"/>
  <c r="E546" i="42"/>
  <c r="C546" i="42"/>
  <c r="X545" i="42"/>
  <c r="T545" i="42"/>
  <c r="U545" i="42" s="1"/>
  <c r="I545" i="42"/>
  <c r="F545" i="42"/>
  <c r="E545" i="42"/>
  <c r="C545" i="42"/>
  <c r="X544" i="42"/>
  <c r="T544" i="42"/>
  <c r="U544" i="42" s="1"/>
  <c r="I544" i="42"/>
  <c r="F544" i="42"/>
  <c r="E544" i="42"/>
  <c r="C544" i="42"/>
  <c r="X543" i="42"/>
  <c r="T543" i="42"/>
  <c r="U543" i="42" s="1"/>
  <c r="I543" i="42"/>
  <c r="F543" i="42"/>
  <c r="E543" i="42"/>
  <c r="C543" i="42"/>
  <c r="X542" i="42"/>
  <c r="T542" i="42"/>
  <c r="U542" i="42" s="1"/>
  <c r="I542" i="42"/>
  <c r="F542" i="42"/>
  <c r="E542" i="42"/>
  <c r="C542" i="42"/>
  <c r="X541" i="42"/>
  <c r="T541" i="42"/>
  <c r="U541" i="42" s="1"/>
  <c r="I541" i="42"/>
  <c r="F541" i="42"/>
  <c r="E541" i="42"/>
  <c r="C541" i="42"/>
  <c r="X540" i="42"/>
  <c r="T540" i="42"/>
  <c r="U540" i="42" s="1"/>
  <c r="I540" i="42"/>
  <c r="F540" i="42"/>
  <c r="E540" i="42"/>
  <c r="C540" i="42"/>
  <c r="X539" i="42"/>
  <c r="T539" i="42"/>
  <c r="U539" i="42" s="1"/>
  <c r="I539" i="42"/>
  <c r="F539" i="42"/>
  <c r="E539" i="42"/>
  <c r="C539" i="42"/>
  <c r="X538" i="42"/>
  <c r="T538" i="42"/>
  <c r="U538" i="42" s="1"/>
  <c r="I538" i="42"/>
  <c r="F538" i="42"/>
  <c r="E538" i="42"/>
  <c r="C538" i="42"/>
  <c r="X537" i="42"/>
  <c r="T537" i="42"/>
  <c r="U537" i="42" s="1"/>
  <c r="I537" i="42"/>
  <c r="F537" i="42"/>
  <c r="E537" i="42"/>
  <c r="C537" i="42"/>
  <c r="X536" i="42"/>
  <c r="T536" i="42"/>
  <c r="U536" i="42" s="1"/>
  <c r="I536" i="42"/>
  <c r="F536" i="42"/>
  <c r="E536" i="42"/>
  <c r="C536" i="42"/>
  <c r="X535" i="42"/>
  <c r="T535" i="42"/>
  <c r="U535" i="42" s="1"/>
  <c r="I535" i="42"/>
  <c r="F535" i="42"/>
  <c r="E535" i="42"/>
  <c r="C535" i="42"/>
  <c r="X534" i="42"/>
  <c r="T534" i="42"/>
  <c r="U534" i="42" s="1"/>
  <c r="I534" i="42"/>
  <c r="F534" i="42"/>
  <c r="E534" i="42"/>
  <c r="C534" i="42"/>
  <c r="X533" i="42"/>
  <c r="T533" i="42"/>
  <c r="U533" i="42" s="1"/>
  <c r="I533" i="42"/>
  <c r="F533" i="42"/>
  <c r="E533" i="42"/>
  <c r="C533" i="42"/>
  <c r="X532" i="42"/>
  <c r="T532" i="42"/>
  <c r="U532" i="42" s="1"/>
  <c r="I532" i="42"/>
  <c r="F532" i="42"/>
  <c r="E532" i="42"/>
  <c r="C532" i="42"/>
  <c r="X531" i="42"/>
  <c r="T531" i="42"/>
  <c r="U531" i="42" s="1"/>
  <c r="I531" i="42"/>
  <c r="F531" i="42"/>
  <c r="E531" i="42"/>
  <c r="C531" i="42"/>
  <c r="X530" i="42"/>
  <c r="T530" i="42"/>
  <c r="U530" i="42" s="1"/>
  <c r="I530" i="42"/>
  <c r="F530" i="42"/>
  <c r="E530" i="42"/>
  <c r="C530" i="42"/>
  <c r="X529" i="42"/>
  <c r="T529" i="42"/>
  <c r="U529" i="42" s="1"/>
  <c r="I529" i="42"/>
  <c r="F529" i="42"/>
  <c r="E529" i="42"/>
  <c r="C529" i="42"/>
  <c r="X528" i="42"/>
  <c r="T528" i="42"/>
  <c r="U528" i="42" s="1"/>
  <c r="I528" i="42"/>
  <c r="F528" i="42"/>
  <c r="E528" i="42"/>
  <c r="C528" i="42"/>
  <c r="X527" i="42"/>
  <c r="T527" i="42"/>
  <c r="U527" i="42" s="1"/>
  <c r="I527" i="42"/>
  <c r="F527" i="42"/>
  <c r="E527" i="42"/>
  <c r="C527" i="42"/>
  <c r="X526" i="42"/>
  <c r="T526" i="42"/>
  <c r="U526" i="42" s="1"/>
  <c r="I526" i="42"/>
  <c r="F526" i="42"/>
  <c r="E526" i="42"/>
  <c r="C526" i="42"/>
  <c r="X525" i="42"/>
  <c r="T525" i="42"/>
  <c r="U525" i="42" s="1"/>
  <c r="I525" i="42"/>
  <c r="F525" i="42"/>
  <c r="E525" i="42"/>
  <c r="C525" i="42"/>
  <c r="X524" i="42"/>
  <c r="T524" i="42"/>
  <c r="U524" i="42" s="1"/>
  <c r="I524" i="42"/>
  <c r="F524" i="42"/>
  <c r="E524" i="42"/>
  <c r="C524" i="42"/>
  <c r="X523" i="42"/>
  <c r="T523" i="42"/>
  <c r="U523" i="42" s="1"/>
  <c r="I523" i="42"/>
  <c r="F523" i="42"/>
  <c r="E523" i="42"/>
  <c r="C523" i="42"/>
  <c r="X522" i="42"/>
  <c r="T522" i="42"/>
  <c r="U522" i="42" s="1"/>
  <c r="I522" i="42"/>
  <c r="F522" i="42"/>
  <c r="E522" i="42"/>
  <c r="C522" i="42"/>
  <c r="X521" i="42"/>
  <c r="T521" i="42"/>
  <c r="U521" i="42" s="1"/>
  <c r="I521" i="42"/>
  <c r="F521" i="42"/>
  <c r="E521" i="42"/>
  <c r="C521" i="42"/>
  <c r="X520" i="42"/>
  <c r="T520" i="42"/>
  <c r="U520" i="42" s="1"/>
  <c r="I520" i="42"/>
  <c r="F520" i="42"/>
  <c r="E520" i="42"/>
  <c r="C520" i="42"/>
  <c r="X519" i="42"/>
  <c r="T519" i="42"/>
  <c r="U519" i="42" s="1"/>
  <c r="I519" i="42"/>
  <c r="F519" i="42"/>
  <c r="E519" i="42"/>
  <c r="C519" i="42"/>
  <c r="X518" i="42"/>
  <c r="T518" i="42"/>
  <c r="U518" i="42" s="1"/>
  <c r="I518" i="42"/>
  <c r="F518" i="42"/>
  <c r="E518" i="42"/>
  <c r="C518" i="42"/>
  <c r="X517" i="42"/>
  <c r="T517" i="42"/>
  <c r="U517" i="42" s="1"/>
  <c r="I517" i="42"/>
  <c r="F517" i="42"/>
  <c r="E517" i="42"/>
  <c r="C517" i="42"/>
  <c r="X516" i="42"/>
  <c r="T516" i="42"/>
  <c r="U516" i="42" s="1"/>
  <c r="I516" i="42"/>
  <c r="F516" i="42"/>
  <c r="E516" i="42"/>
  <c r="C516" i="42"/>
  <c r="X515" i="42"/>
  <c r="T515" i="42"/>
  <c r="U515" i="42" s="1"/>
  <c r="I515" i="42"/>
  <c r="F515" i="42"/>
  <c r="E515" i="42"/>
  <c r="C515" i="42"/>
  <c r="X514" i="42"/>
  <c r="T514" i="42"/>
  <c r="U514" i="42" s="1"/>
  <c r="I514" i="42"/>
  <c r="F514" i="42"/>
  <c r="E514" i="42"/>
  <c r="C514" i="42"/>
  <c r="X513" i="42"/>
  <c r="T513" i="42"/>
  <c r="U513" i="42" s="1"/>
  <c r="I513" i="42"/>
  <c r="F513" i="42"/>
  <c r="E513" i="42"/>
  <c r="C513" i="42"/>
  <c r="X512" i="42"/>
  <c r="T512" i="42"/>
  <c r="U512" i="42" s="1"/>
  <c r="I512" i="42"/>
  <c r="F512" i="42"/>
  <c r="E512" i="42"/>
  <c r="C512" i="42"/>
  <c r="X511" i="42"/>
  <c r="T511" i="42"/>
  <c r="U511" i="42" s="1"/>
  <c r="I511" i="42"/>
  <c r="F511" i="42"/>
  <c r="E511" i="42"/>
  <c r="C511" i="42"/>
  <c r="X510" i="42"/>
  <c r="T510" i="42"/>
  <c r="U510" i="42" s="1"/>
  <c r="I510" i="42"/>
  <c r="F510" i="42"/>
  <c r="E510" i="42"/>
  <c r="C510" i="42"/>
  <c r="X509" i="42"/>
  <c r="T509" i="42"/>
  <c r="U509" i="42" s="1"/>
  <c r="I509" i="42"/>
  <c r="F509" i="42"/>
  <c r="E509" i="42"/>
  <c r="C509" i="42"/>
  <c r="X508" i="42"/>
  <c r="T508" i="42"/>
  <c r="U508" i="42" s="1"/>
  <c r="I508" i="42"/>
  <c r="F508" i="42"/>
  <c r="E508" i="42"/>
  <c r="C508" i="42"/>
  <c r="X507" i="42"/>
  <c r="T507" i="42"/>
  <c r="U507" i="42" s="1"/>
  <c r="I507" i="42"/>
  <c r="F507" i="42"/>
  <c r="E507" i="42"/>
  <c r="C507" i="42"/>
  <c r="X506" i="42"/>
  <c r="T506" i="42"/>
  <c r="U506" i="42" s="1"/>
  <c r="I506" i="42"/>
  <c r="F506" i="42"/>
  <c r="E506" i="42"/>
  <c r="C506" i="42"/>
  <c r="X505" i="42"/>
  <c r="T505" i="42"/>
  <c r="U505" i="42" s="1"/>
  <c r="I505" i="42"/>
  <c r="F505" i="42"/>
  <c r="E505" i="42"/>
  <c r="C505" i="42"/>
  <c r="X504" i="42"/>
  <c r="I504" i="42"/>
  <c r="F504" i="42"/>
  <c r="E504" i="42"/>
  <c r="C504" i="42"/>
  <c r="X503" i="42"/>
  <c r="T503" i="42"/>
  <c r="U503" i="42" s="1"/>
  <c r="I503" i="42"/>
  <c r="F503" i="42"/>
  <c r="E503" i="42"/>
  <c r="C503" i="42"/>
  <c r="X502" i="42"/>
  <c r="T502" i="42"/>
  <c r="U502" i="42" s="1"/>
  <c r="I502" i="42"/>
  <c r="F502" i="42"/>
  <c r="E502" i="42"/>
  <c r="C502" i="42"/>
  <c r="X501" i="42"/>
  <c r="T501" i="42"/>
  <c r="U501" i="42" s="1"/>
  <c r="I501" i="42"/>
  <c r="F501" i="42"/>
  <c r="E501" i="42"/>
  <c r="C501" i="42"/>
  <c r="X500" i="42"/>
  <c r="T500" i="42"/>
  <c r="U500" i="42" s="1"/>
  <c r="I500" i="42"/>
  <c r="F500" i="42"/>
  <c r="E500" i="42"/>
  <c r="C500" i="42"/>
  <c r="X499" i="42"/>
  <c r="T499" i="42"/>
  <c r="U499" i="42" s="1"/>
  <c r="I499" i="42"/>
  <c r="F499" i="42"/>
  <c r="E499" i="42"/>
  <c r="C499" i="42"/>
  <c r="X498" i="42"/>
  <c r="T498" i="42"/>
  <c r="U498" i="42" s="1"/>
  <c r="I498" i="42"/>
  <c r="F498" i="42"/>
  <c r="E498" i="42"/>
  <c r="C498" i="42"/>
  <c r="X497" i="42"/>
  <c r="T497" i="42"/>
  <c r="U497" i="42" s="1"/>
  <c r="I497" i="42"/>
  <c r="F497" i="42"/>
  <c r="E497" i="42"/>
  <c r="C497" i="42"/>
  <c r="X496" i="42"/>
  <c r="T496" i="42"/>
  <c r="U496" i="42" s="1"/>
  <c r="I496" i="42"/>
  <c r="F496" i="42"/>
  <c r="E496" i="42"/>
  <c r="C496" i="42"/>
  <c r="X495" i="42"/>
  <c r="T495" i="42"/>
  <c r="U495" i="42" s="1"/>
  <c r="I495" i="42"/>
  <c r="F495" i="42"/>
  <c r="E495" i="42"/>
  <c r="C495" i="42"/>
  <c r="X494" i="42"/>
  <c r="T494" i="42"/>
  <c r="U494" i="42" s="1"/>
  <c r="I494" i="42"/>
  <c r="F494" i="42"/>
  <c r="E494" i="42"/>
  <c r="C494" i="42"/>
  <c r="X493" i="42"/>
  <c r="T493" i="42"/>
  <c r="U493" i="42" s="1"/>
  <c r="I493" i="42"/>
  <c r="F493" i="42"/>
  <c r="E493" i="42"/>
  <c r="C493" i="42"/>
  <c r="X492" i="42"/>
  <c r="T492" i="42"/>
  <c r="U492" i="42" s="1"/>
  <c r="I492" i="42"/>
  <c r="F492" i="42"/>
  <c r="E492" i="42"/>
  <c r="C492" i="42"/>
  <c r="X491" i="42"/>
  <c r="T491" i="42"/>
  <c r="U491" i="42" s="1"/>
  <c r="I491" i="42"/>
  <c r="F491" i="42"/>
  <c r="E491" i="42"/>
  <c r="C491" i="42"/>
  <c r="X490" i="42"/>
  <c r="T490" i="42"/>
  <c r="U490" i="42" s="1"/>
  <c r="I490" i="42"/>
  <c r="F490" i="42"/>
  <c r="E490" i="42"/>
  <c r="C490" i="42"/>
  <c r="X489" i="42"/>
  <c r="T489" i="42"/>
  <c r="U489" i="42" s="1"/>
  <c r="I489" i="42"/>
  <c r="F489" i="42"/>
  <c r="E489" i="42"/>
  <c r="C489" i="42"/>
  <c r="X488" i="42"/>
  <c r="T488" i="42"/>
  <c r="U488" i="42" s="1"/>
  <c r="I488" i="42"/>
  <c r="F488" i="42"/>
  <c r="E488" i="42"/>
  <c r="C488" i="42"/>
  <c r="X487" i="42"/>
  <c r="T487" i="42"/>
  <c r="U487" i="42" s="1"/>
  <c r="I487" i="42"/>
  <c r="F487" i="42"/>
  <c r="E487" i="42"/>
  <c r="C487" i="42"/>
  <c r="X486" i="42"/>
  <c r="T486" i="42"/>
  <c r="U486" i="42" s="1"/>
  <c r="I486" i="42"/>
  <c r="F486" i="42"/>
  <c r="E486" i="42"/>
  <c r="C486" i="42"/>
  <c r="X485" i="42"/>
  <c r="T485" i="42"/>
  <c r="U485" i="42" s="1"/>
  <c r="I485" i="42"/>
  <c r="F485" i="42"/>
  <c r="E485" i="42"/>
  <c r="C485" i="42"/>
  <c r="X484" i="42"/>
  <c r="T484" i="42"/>
  <c r="U484" i="42" s="1"/>
  <c r="I484" i="42"/>
  <c r="F484" i="42"/>
  <c r="E484" i="42"/>
  <c r="C484" i="42"/>
  <c r="X483" i="42"/>
  <c r="T483" i="42"/>
  <c r="U483" i="42" s="1"/>
  <c r="I483" i="42"/>
  <c r="F483" i="42"/>
  <c r="E483" i="42"/>
  <c r="C483" i="42"/>
  <c r="X482" i="42"/>
  <c r="T482" i="42"/>
  <c r="U482" i="42" s="1"/>
  <c r="I482" i="42"/>
  <c r="F482" i="42"/>
  <c r="E482" i="42"/>
  <c r="C482" i="42"/>
  <c r="X481" i="42"/>
  <c r="T481" i="42"/>
  <c r="U481" i="42" s="1"/>
  <c r="I481" i="42"/>
  <c r="F481" i="42"/>
  <c r="E481" i="42"/>
  <c r="C481" i="42"/>
  <c r="X480" i="42"/>
  <c r="T480" i="42"/>
  <c r="U480" i="42" s="1"/>
  <c r="I480" i="42"/>
  <c r="F480" i="42"/>
  <c r="E480" i="42"/>
  <c r="C480" i="42"/>
  <c r="X479" i="42"/>
  <c r="T479" i="42"/>
  <c r="U479" i="42" s="1"/>
  <c r="I479" i="42"/>
  <c r="F479" i="42"/>
  <c r="E479" i="42"/>
  <c r="C479" i="42"/>
  <c r="X478" i="42"/>
  <c r="T478" i="42"/>
  <c r="U478" i="42" s="1"/>
  <c r="I478" i="42"/>
  <c r="F478" i="42"/>
  <c r="E478" i="42"/>
  <c r="C478" i="42"/>
  <c r="X477" i="42"/>
  <c r="T477" i="42"/>
  <c r="U477" i="42" s="1"/>
  <c r="I477" i="42"/>
  <c r="F477" i="42"/>
  <c r="E477" i="42"/>
  <c r="C477" i="42"/>
  <c r="X476" i="42"/>
  <c r="T476" i="42"/>
  <c r="U476" i="42" s="1"/>
  <c r="I476" i="42"/>
  <c r="F476" i="42"/>
  <c r="E476" i="42"/>
  <c r="C476" i="42"/>
  <c r="X475" i="42"/>
  <c r="T475" i="42"/>
  <c r="U475" i="42" s="1"/>
  <c r="I475" i="42"/>
  <c r="F475" i="42"/>
  <c r="E475" i="42"/>
  <c r="C475" i="42"/>
  <c r="X474" i="42"/>
  <c r="T474" i="42"/>
  <c r="U474" i="42" s="1"/>
  <c r="I474" i="42"/>
  <c r="F474" i="42"/>
  <c r="E474" i="42"/>
  <c r="C474" i="42"/>
  <c r="X473" i="42"/>
  <c r="T473" i="42"/>
  <c r="U473" i="42" s="1"/>
  <c r="I473" i="42"/>
  <c r="F473" i="42"/>
  <c r="E473" i="42"/>
  <c r="C473" i="42"/>
  <c r="X472" i="42"/>
  <c r="T472" i="42"/>
  <c r="U472" i="42" s="1"/>
  <c r="I472" i="42"/>
  <c r="F472" i="42"/>
  <c r="E472" i="42"/>
  <c r="C472" i="42"/>
  <c r="X471" i="42"/>
  <c r="T471" i="42"/>
  <c r="U471" i="42" s="1"/>
  <c r="I471" i="42"/>
  <c r="F471" i="42"/>
  <c r="E471" i="42"/>
  <c r="C471" i="42"/>
  <c r="X470" i="42"/>
  <c r="T470" i="42"/>
  <c r="U470" i="42" s="1"/>
  <c r="I470" i="42"/>
  <c r="F470" i="42"/>
  <c r="E470" i="42"/>
  <c r="C470" i="42"/>
  <c r="X469" i="42"/>
  <c r="T469" i="42"/>
  <c r="U469" i="42" s="1"/>
  <c r="I469" i="42"/>
  <c r="F469" i="42"/>
  <c r="E469" i="42"/>
  <c r="C469" i="42"/>
  <c r="X468" i="42"/>
  <c r="T468" i="42"/>
  <c r="U468" i="42" s="1"/>
  <c r="I468" i="42"/>
  <c r="F468" i="42"/>
  <c r="E468" i="42"/>
  <c r="C468" i="42"/>
  <c r="X467" i="42"/>
  <c r="I467" i="42"/>
  <c r="F467" i="42"/>
  <c r="E467" i="42"/>
  <c r="C467" i="42"/>
  <c r="X466" i="42"/>
  <c r="I466" i="42"/>
  <c r="F466" i="42"/>
  <c r="E466" i="42"/>
  <c r="C466" i="42"/>
  <c r="X465" i="42"/>
  <c r="I465" i="42"/>
  <c r="F465" i="42"/>
  <c r="E465" i="42"/>
  <c r="C465" i="42"/>
  <c r="X464" i="42"/>
  <c r="T464" i="42"/>
  <c r="U464" i="42" s="1"/>
  <c r="I464" i="42"/>
  <c r="F464" i="42"/>
  <c r="E464" i="42"/>
  <c r="C464" i="42"/>
  <c r="X463" i="42"/>
  <c r="T463" i="42"/>
  <c r="U463" i="42" s="1"/>
  <c r="I463" i="42"/>
  <c r="F463" i="42"/>
  <c r="E463" i="42"/>
  <c r="C463" i="42"/>
  <c r="X462" i="42"/>
  <c r="I462" i="42"/>
  <c r="F462" i="42"/>
  <c r="E462" i="42"/>
  <c r="C462" i="42"/>
  <c r="X461" i="42"/>
  <c r="T461" i="42"/>
  <c r="U461" i="42" s="1"/>
  <c r="I461" i="42"/>
  <c r="F461" i="42"/>
  <c r="E461" i="42"/>
  <c r="C461" i="42"/>
  <c r="X460" i="42"/>
  <c r="T460" i="42"/>
  <c r="U460" i="42" s="1"/>
  <c r="I460" i="42"/>
  <c r="F460" i="42"/>
  <c r="E460" i="42"/>
  <c r="C460" i="42"/>
  <c r="X459" i="42"/>
  <c r="T459" i="42"/>
  <c r="U459" i="42" s="1"/>
  <c r="I459" i="42"/>
  <c r="F459" i="42"/>
  <c r="E459" i="42"/>
  <c r="C459" i="42"/>
  <c r="X458" i="42"/>
  <c r="T458" i="42"/>
  <c r="U458" i="42" s="1"/>
  <c r="I458" i="42"/>
  <c r="F458" i="42"/>
  <c r="E458" i="42"/>
  <c r="C458" i="42"/>
  <c r="X457" i="42"/>
  <c r="T457" i="42"/>
  <c r="U457" i="42" s="1"/>
  <c r="I457" i="42"/>
  <c r="F457" i="42"/>
  <c r="E457" i="42"/>
  <c r="C457" i="42"/>
  <c r="X456" i="42"/>
  <c r="T456" i="42"/>
  <c r="U456" i="42" s="1"/>
  <c r="I456" i="42"/>
  <c r="F456" i="42"/>
  <c r="E456" i="42"/>
  <c r="C456" i="42"/>
  <c r="X455" i="42"/>
  <c r="T455" i="42"/>
  <c r="U455" i="42" s="1"/>
  <c r="I455" i="42"/>
  <c r="F455" i="42"/>
  <c r="E455" i="42"/>
  <c r="C455" i="42"/>
  <c r="X454" i="42"/>
  <c r="T454" i="42"/>
  <c r="U454" i="42" s="1"/>
  <c r="I454" i="42"/>
  <c r="F454" i="42"/>
  <c r="E454" i="42"/>
  <c r="C454" i="42"/>
  <c r="X453" i="42"/>
  <c r="T453" i="42"/>
  <c r="U453" i="42" s="1"/>
  <c r="I453" i="42"/>
  <c r="F453" i="42"/>
  <c r="E453" i="42"/>
  <c r="C453" i="42"/>
  <c r="X452" i="42"/>
  <c r="T452" i="42"/>
  <c r="U452" i="42" s="1"/>
  <c r="I452" i="42"/>
  <c r="F452" i="42"/>
  <c r="E452" i="42"/>
  <c r="C452" i="42"/>
  <c r="X451" i="42"/>
  <c r="T451" i="42"/>
  <c r="U451" i="42" s="1"/>
  <c r="I451" i="42"/>
  <c r="F451" i="42"/>
  <c r="E451" i="42"/>
  <c r="C451" i="42"/>
  <c r="X450" i="42"/>
  <c r="T450" i="42"/>
  <c r="U450" i="42" s="1"/>
  <c r="I450" i="42"/>
  <c r="F450" i="42"/>
  <c r="E450" i="42"/>
  <c r="C450" i="42"/>
  <c r="X449" i="42"/>
  <c r="T449" i="42"/>
  <c r="U449" i="42" s="1"/>
  <c r="I449" i="42"/>
  <c r="F449" i="42"/>
  <c r="E449" i="42"/>
  <c r="C449" i="42"/>
  <c r="X448" i="42"/>
  <c r="T448" i="42"/>
  <c r="U448" i="42" s="1"/>
  <c r="I448" i="42"/>
  <c r="F448" i="42"/>
  <c r="E448" i="42"/>
  <c r="C448" i="42"/>
  <c r="X447" i="42"/>
  <c r="T447" i="42"/>
  <c r="U447" i="42" s="1"/>
  <c r="I447" i="42"/>
  <c r="F447" i="42"/>
  <c r="E447" i="42"/>
  <c r="C447" i="42"/>
  <c r="X446" i="42"/>
  <c r="T446" i="42"/>
  <c r="U446" i="42" s="1"/>
  <c r="I446" i="42"/>
  <c r="F446" i="42"/>
  <c r="E446" i="42"/>
  <c r="C446" i="42"/>
  <c r="X445" i="42"/>
  <c r="T445" i="42"/>
  <c r="U445" i="42" s="1"/>
  <c r="I445" i="42"/>
  <c r="F445" i="42"/>
  <c r="E445" i="42"/>
  <c r="C445" i="42"/>
  <c r="X444" i="42"/>
  <c r="T444" i="42"/>
  <c r="U444" i="42" s="1"/>
  <c r="I444" i="42"/>
  <c r="F444" i="42"/>
  <c r="E444" i="42"/>
  <c r="C444" i="42"/>
  <c r="X443" i="42"/>
  <c r="T443" i="42"/>
  <c r="U443" i="42" s="1"/>
  <c r="I443" i="42"/>
  <c r="F443" i="42"/>
  <c r="E443" i="42"/>
  <c r="C443" i="42"/>
  <c r="X442" i="42"/>
  <c r="T442" i="42"/>
  <c r="U442" i="42" s="1"/>
  <c r="I442" i="42"/>
  <c r="F442" i="42"/>
  <c r="E442" i="42"/>
  <c r="C442" i="42"/>
  <c r="X441" i="42"/>
  <c r="T441" i="42"/>
  <c r="U441" i="42" s="1"/>
  <c r="I441" i="42"/>
  <c r="F441" i="42"/>
  <c r="E441" i="42"/>
  <c r="C441" i="42"/>
  <c r="X440" i="42"/>
  <c r="T440" i="42"/>
  <c r="U440" i="42" s="1"/>
  <c r="I440" i="42"/>
  <c r="F440" i="42"/>
  <c r="E440" i="42"/>
  <c r="C440" i="42"/>
  <c r="X439" i="42"/>
  <c r="T439" i="42"/>
  <c r="U439" i="42" s="1"/>
  <c r="I439" i="42"/>
  <c r="F439" i="42"/>
  <c r="E439" i="42"/>
  <c r="C439" i="42"/>
  <c r="X438" i="42"/>
  <c r="T438" i="42"/>
  <c r="U438" i="42" s="1"/>
  <c r="I438" i="42"/>
  <c r="F438" i="42"/>
  <c r="E438" i="42"/>
  <c r="C438" i="42"/>
  <c r="X437" i="42"/>
  <c r="T437" i="42"/>
  <c r="U437" i="42" s="1"/>
  <c r="I437" i="42"/>
  <c r="F437" i="42"/>
  <c r="E437" i="42"/>
  <c r="C437" i="42"/>
  <c r="X436" i="42"/>
  <c r="T436" i="42"/>
  <c r="U436" i="42" s="1"/>
  <c r="I436" i="42"/>
  <c r="F436" i="42"/>
  <c r="E436" i="42"/>
  <c r="C436" i="42"/>
  <c r="X435" i="42"/>
  <c r="T435" i="42"/>
  <c r="U435" i="42" s="1"/>
  <c r="I435" i="42"/>
  <c r="F435" i="42"/>
  <c r="E435" i="42"/>
  <c r="C435" i="42"/>
  <c r="X434" i="42"/>
  <c r="T434" i="42"/>
  <c r="U434" i="42" s="1"/>
  <c r="I434" i="42"/>
  <c r="F434" i="42"/>
  <c r="E434" i="42"/>
  <c r="C434" i="42"/>
  <c r="X433" i="42"/>
  <c r="T433" i="42"/>
  <c r="U433" i="42" s="1"/>
  <c r="I433" i="42"/>
  <c r="F433" i="42"/>
  <c r="E433" i="42"/>
  <c r="C433" i="42"/>
  <c r="X432" i="42"/>
  <c r="T432" i="42"/>
  <c r="U432" i="42" s="1"/>
  <c r="I432" i="42"/>
  <c r="F432" i="42"/>
  <c r="E432" i="42"/>
  <c r="C432" i="42"/>
  <c r="X431" i="42"/>
  <c r="T431" i="42"/>
  <c r="U431" i="42" s="1"/>
  <c r="I431" i="42"/>
  <c r="F431" i="42"/>
  <c r="E431" i="42"/>
  <c r="C431" i="42"/>
  <c r="X430" i="42"/>
  <c r="T430" i="42"/>
  <c r="U430" i="42" s="1"/>
  <c r="I430" i="42"/>
  <c r="F430" i="42"/>
  <c r="E430" i="42"/>
  <c r="C430" i="42"/>
  <c r="X429" i="42"/>
  <c r="T429" i="42"/>
  <c r="U429" i="42" s="1"/>
  <c r="I429" i="42"/>
  <c r="F429" i="42"/>
  <c r="E429" i="42"/>
  <c r="C429" i="42"/>
  <c r="X428" i="42"/>
  <c r="T428" i="42"/>
  <c r="U428" i="42" s="1"/>
  <c r="I428" i="42"/>
  <c r="F428" i="42"/>
  <c r="E428" i="42"/>
  <c r="C428" i="42"/>
  <c r="X427" i="42"/>
  <c r="T427" i="42"/>
  <c r="U427" i="42" s="1"/>
  <c r="I427" i="42"/>
  <c r="F427" i="42"/>
  <c r="E427" i="42"/>
  <c r="C427" i="42"/>
  <c r="X426" i="42"/>
  <c r="T426" i="42"/>
  <c r="U426" i="42" s="1"/>
  <c r="I426" i="42"/>
  <c r="F426" i="42"/>
  <c r="E426" i="42"/>
  <c r="C426" i="42"/>
  <c r="X425" i="42"/>
  <c r="T425" i="42"/>
  <c r="U425" i="42" s="1"/>
  <c r="I425" i="42"/>
  <c r="F425" i="42"/>
  <c r="E425" i="42"/>
  <c r="C425" i="42"/>
  <c r="X424" i="42"/>
  <c r="T424" i="42"/>
  <c r="U424" i="42" s="1"/>
  <c r="I424" i="42"/>
  <c r="F424" i="42"/>
  <c r="E424" i="42"/>
  <c r="C424" i="42"/>
  <c r="X423" i="42"/>
  <c r="T423" i="42"/>
  <c r="U423" i="42" s="1"/>
  <c r="I423" i="42"/>
  <c r="F423" i="42"/>
  <c r="E423" i="42"/>
  <c r="C423" i="42"/>
  <c r="X422" i="42"/>
  <c r="T422" i="42"/>
  <c r="U422" i="42" s="1"/>
  <c r="I422" i="42"/>
  <c r="F422" i="42"/>
  <c r="E422" i="42"/>
  <c r="C422" i="42"/>
  <c r="X421" i="42"/>
  <c r="T421" i="42"/>
  <c r="U421" i="42" s="1"/>
  <c r="I421" i="42"/>
  <c r="F421" i="42"/>
  <c r="E421" i="42"/>
  <c r="C421" i="42"/>
  <c r="X420" i="42"/>
  <c r="T420" i="42"/>
  <c r="U420" i="42" s="1"/>
  <c r="I420" i="42"/>
  <c r="F420" i="42"/>
  <c r="E420" i="42"/>
  <c r="C420" i="42"/>
  <c r="X419" i="42"/>
  <c r="T419" i="42"/>
  <c r="U419" i="42" s="1"/>
  <c r="I419" i="42"/>
  <c r="F419" i="42"/>
  <c r="E419" i="42"/>
  <c r="C419" i="42"/>
  <c r="X418" i="42"/>
  <c r="T418" i="42"/>
  <c r="U418" i="42" s="1"/>
  <c r="I418" i="42"/>
  <c r="F418" i="42"/>
  <c r="E418" i="42"/>
  <c r="C418" i="42"/>
  <c r="X417" i="42"/>
  <c r="T417" i="42"/>
  <c r="U417" i="42" s="1"/>
  <c r="I417" i="42"/>
  <c r="F417" i="42"/>
  <c r="E417" i="42"/>
  <c r="C417" i="42"/>
  <c r="X416" i="42"/>
  <c r="T416" i="42"/>
  <c r="U416" i="42" s="1"/>
  <c r="I416" i="42"/>
  <c r="F416" i="42"/>
  <c r="E416" i="42"/>
  <c r="C416" i="42"/>
  <c r="X415" i="42"/>
  <c r="T415" i="42"/>
  <c r="U415" i="42" s="1"/>
  <c r="I415" i="42"/>
  <c r="F415" i="42"/>
  <c r="E415" i="42"/>
  <c r="C415" i="42"/>
  <c r="X414" i="42"/>
  <c r="T414" i="42"/>
  <c r="U414" i="42" s="1"/>
  <c r="I414" i="42"/>
  <c r="F414" i="42"/>
  <c r="E414" i="42"/>
  <c r="C414" i="42"/>
  <c r="X413" i="42"/>
  <c r="T413" i="42"/>
  <c r="U413" i="42" s="1"/>
  <c r="I413" i="42"/>
  <c r="F413" i="42"/>
  <c r="E413" i="42"/>
  <c r="C413" i="42"/>
  <c r="X412" i="42"/>
  <c r="T412" i="42"/>
  <c r="U412" i="42" s="1"/>
  <c r="I412" i="42"/>
  <c r="F412" i="42"/>
  <c r="E412" i="42"/>
  <c r="C412" i="42"/>
  <c r="X411" i="42"/>
  <c r="T411" i="42"/>
  <c r="U411" i="42" s="1"/>
  <c r="I411" i="42"/>
  <c r="F411" i="42"/>
  <c r="E411" i="42"/>
  <c r="C411" i="42"/>
  <c r="X410" i="42"/>
  <c r="T410" i="42"/>
  <c r="U410" i="42" s="1"/>
  <c r="I410" i="42"/>
  <c r="F410" i="42"/>
  <c r="E410" i="42"/>
  <c r="C410" i="42"/>
  <c r="X409" i="42"/>
  <c r="T409" i="42"/>
  <c r="U409" i="42" s="1"/>
  <c r="I409" i="42"/>
  <c r="F409" i="42"/>
  <c r="E409" i="42"/>
  <c r="C409" i="42"/>
  <c r="X408" i="42"/>
  <c r="T408" i="42"/>
  <c r="U408" i="42" s="1"/>
  <c r="I408" i="42"/>
  <c r="F408" i="42"/>
  <c r="E408" i="42"/>
  <c r="C408" i="42"/>
  <c r="X407" i="42"/>
  <c r="T407" i="42"/>
  <c r="U407" i="42" s="1"/>
  <c r="I407" i="42"/>
  <c r="F407" i="42"/>
  <c r="E407" i="42"/>
  <c r="C407" i="42"/>
  <c r="X406" i="42"/>
  <c r="T406" i="42"/>
  <c r="U406" i="42" s="1"/>
  <c r="I406" i="42"/>
  <c r="F406" i="42"/>
  <c r="E406" i="42"/>
  <c r="C406" i="42"/>
  <c r="X405" i="42"/>
  <c r="T405" i="42"/>
  <c r="U405" i="42" s="1"/>
  <c r="I405" i="42"/>
  <c r="F405" i="42"/>
  <c r="E405" i="42"/>
  <c r="C405" i="42"/>
  <c r="X404" i="42"/>
  <c r="T404" i="42"/>
  <c r="U404" i="42" s="1"/>
  <c r="I404" i="42"/>
  <c r="F404" i="42"/>
  <c r="E404" i="42"/>
  <c r="C404" i="42"/>
  <c r="X403" i="42"/>
  <c r="T403" i="42"/>
  <c r="U403" i="42" s="1"/>
  <c r="I403" i="42"/>
  <c r="F403" i="42"/>
  <c r="E403" i="42"/>
  <c r="C403" i="42"/>
  <c r="X402" i="42"/>
  <c r="T402" i="42"/>
  <c r="U402" i="42" s="1"/>
  <c r="I402" i="42"/>
  <c r="F402" i="42"/>
  <c r="E402" i="42"/>
  <c r="C402" i="42"/>
  <c r="X401" i="42"/>
  <c r="T401" i="42"/>
  <c r="U401" i="42" s="1"/>
  <c r="I401" i="42"/>
  <c r="F401" i="42"/>
  <c r="E401" i="42"/>
  <c r="C401" i="42"/>
  <c r="X400" i="42"/>
  <c r="T400" i="42"/>
  <c r="U400" i="42" s="1"/>
  <c r="I400" i="42"/>
  <c r="F400" i="42"/>
  <c r="E400" i="42"/>
  <c r="C400" i="42"/>
  <c r="X399" i="42"/>
  <c r="T399" i="42"/>
  <c r="U399" i="42" s="1"/>
  <c r="I399" i="42"/>
  <c r="F399" i="42"/>
  <c r="E399" i="42"/>
  <c r="C399" i="42"/>
  <c r="X398" i="42"/>
  <c r="T398" i="42"/>
  <c r="U398" i="42" s="1"/>
  <c r="I398" i="42"/>
  <c r="F398" i="42"/>
  <c r="E398" i="42"/>
  <c r="C398" i="42"/>
  <c r="X397" i="42"/>
  <c r="T397" i="42"/>
  <c r="U397" i="42" s="1"/>
  <c r="I397" i="42"/>
  <c r="F397" i="42"/>
  <c r="E397" i="42"/>
  <c r="C397" i="42"/>
  <c r="X396" i="42"/>
  <c r="T396" i="42"/>
  <c r="U396" i="42" s="1"/>
  <c r="I396" i="42"/>
  <c r="F396" i="42"/>
  <c r="E396" i="42"/>
  <c r="C396" i="42"/>
  <c r="X395" i="42"/>
  <c r="T395" i="42"/>
  <c r="U395" i="42" s="1"/>
  <c r="I395" i="42"/>
  <c r="F395" i="42"/>
  <c r="E395" i="42"/>
  <c r="C395" i="42"/>
  <c r="X394" i="42"/>
  <c r="T394" i="42"/>
  <c r="U394" i="42" s="1"/>
  <c r="I394" i="42"/>
  <c r="F394" i="42"/>
  <c r="E394" i="42"/>
  <c r="C394" i="42"/>
  <c r="X393" i="42"/>
  <c r="T393" i="42"/>
  <c r="U393" i="42" s="1"/>
  <c r="I393" i="42"/>
  <c r="F393" i="42"/>
  <c r="E393" i="42"/>
  <c r="C393" i="42"/>
  <c r="X392" i="42"/>
  <c r="T392" i="42"/>
  <c r="U392" i="42" s="1"/>
  <c r="I392" i="42"/>
  <c r="F392" i="42"/>
  <c r="E392" i="42"/>
  <c r="C392" i="42"/>
  <c r="X391" i="42"/>
  <c r="T391" i="42"/>
  <c r="U391" i="42" s="1"/>
  <c r="I391" i="42"/>
  <c r="F391" i="42"/>
  <c r="E391" i="42"/>
  <c r="C391" i="42"/>
  <c r="X390" i="42"/>
  <c r="T390" i="42"/>
  <c r="U390" i="42" s="1"/>
  <c r="I390" i="42"/>
  <c r="F390" i="42"/>
  <c r="C390" i="42"/>
  <c r="X389" i="42"/>
  <c r="T389" i="42"/>
  <c r="U389" i="42" s="1"/>
  <c r="I389" i="42"/>
  <c r="F389" i="42"/>
  <c r="C389" i="42"/>
  <c r="X388" i="42"/>
  <c r="T388" i="42"/>
  <c r="U388" i="42" s="1"/>
  <c r="I388" i="42"/>
  <c r="F388" i="42"/>
  <c r="E388" i="42"/>
  <c r="C388" i="42"/>
  <c r="X387" i="42"/>
  <c r="T387" i="42"/>
  <c r="U387" i="42" s="1"/>
  <c r="I387" i="42"/>
  <c r="F387" i="42"/>
  <c r="E387" i="42"/>
  <c r="C387" i="42"/>
  <c r="X386" i="42"/>
  <c r="T386" i="42"/>
  <c r="U386" i="42" s="1"/>
  <c r="I386" i="42"/>
  <c r="F386" i="42"/>
  <c r="E386" i="42"/>
  <c r="C386" i="42"/>
  <c r="X385" i="42"/>
  <c r="T385" i="42"/>
  <c r="U385" i="42" s="1"/>
  <c r="I385" i="42"/>
  <c r="F385" i="42"/>
  <c r="E385" i="42"/>
  <c r="C385" i="42"/>
  <c r="X384" i="42"/>
  <c r="T384" i="42"/>
  <c r="U384" i="42" s="1"/>
  <c r="I384" i="42"/>
  <c r="F384" i="42"/>
  <c r="E384" i="42"/>
  <c r="C384" i="42"/>
  <c r="X383" i="42"/>
  <c r="T383" i="42"/>
  <c r="U383" i="42" s="1"/>
  <c r="I383" i="42"/>
  <c r="F383" i="42"/>
  <c r="E383" i="42"/>
  <c r="C383" i="42"/>
  <c r="X382" i="42"/>
  <c r="T382" i="42"/>
  <c r="U382" i="42" s="1"/>
  <c r="I382" i="42"/>
  <c r="F382" i="42"/>
  <c r="E382" i="42"/>
  <c r="C382" i="42"/>
  <c r="X381" i="42"/>
  <c r="T381" i="42"/>
  <c r="U381" i="42" s="1"/>
  <c r="I381" i="42"/>
  <c r="F381" i="42"/>
  <c r="E381" i="42"/>
  <c r="C381" i="42"/>
  <c r="X380" i="42"/>
  <c r="T380" i="42"/>
  <c r="U380" i="42" s="1"/>
  <c r="I380" i="42"/>
  <c r="F380" i="42"/>
  <c r="E380" i="42"/>
  <c r="C380" i="42"/>
  <c r="X379" i="42"/>
  <c r="T379" i="42"/>
  <c r="U379" i="42" s="1"/>
  <c r="I379" i="42"/>
  <c r="F379" i="42"/>
  <c r="E379" i="42"/>
  <c r="C379" i="42"/>
  <c r="X378" i="42"/>
  <c r="T378" i="42"/>
  <c r="U378" i="42" s="1"/>
  <c r="I378" i="42"/>
  <c r="F378" i="42"/>
  <c r="E378" i="42"/>
  <c r="C378" i="42"/>
  <c r="X377" i="42"/>
  <c r="T377" i="42"/>
  <c r="U377" i="42" s="1"/>
  <c r="I377" i="42"/>
  <c r="F377" i="42"/>
  <c r="E377" i="42"/>
  <c r="C377" i="42"/>
  <c r="X376" i="42"/>
  <c r="T376" i="42"/>
  <c r="U376" i="42" s="1"/>
  <c r="I376" i="42"/>
  <c r="F376" i="42"/>
  <c r="E376" i="42"/>
  <c r="C376" i="42"/>
  <c r="X375" i="42"/>
  <c r="T375" i="42"/>
  <c r="U375" i="42" s="1"/>
  <c r="I375" i="42"/>
  <c r="F375" i="42"/>
  <c r="E375" i="42"/>
  <c r="C375" i="42"/>
  <c r="X374" i="42"/>
  <c r="T374" i="42"/>
  <c r="U374" i="42" s="1"/>
  <c r="I374" i="42"/>
  <c r="F374" i="42"/>
  <c r="E374" i="42"/>
  <c r="C374" i="42"/>
  <c r="X373" i="42"/>
  <c r="I373" i="42"/>
  <c r="F373" i="42"/>
  <c r="E373" i="42"/>
  <c r="C373" i="42"/>
  <c r="X372" i="42"/>
  <c r="I372" i="42"/>
  <c r="F372" i="42"/>
  <c r="E372" i="42"/>
  <c r="C372" i="42"/>
  <c r="X371" i="42"/>
  <c r="I371" i="42"/>
  <c r="F371" i="42"/>
  <c r="E371" i="42"/>
  <c r="C371" i="42"/>
  <c r="X370" i="42"/>
  <c r="T370" i="42"/>
  <c r="U370" i="42" s="1"/>
  <c r="I370" i="42"/>
  <c r="F370" i="42"/>
  <c r="E370" i="42"/>
  <c r="C370" i="42"/>
  <c r="X369" i="42"/>
  <c r="T369" i="42"/>
  <c r="U369" i="42" s="1"/>
  <c r="I369" i="42"/>
  <c r="F369" i="42"/>
  <c r="E369" i="42"/>
  <c r="C369" i="42"/>
  <c r="X368" i="42"/>
  <c r="T368" i="42"/>
  <c r="U368" i="42" s="1"/>
  <c r="I368" i="42"/>
  <c r="F368" i="42"/>
  <c r="E368" i="42"/>
  <c r="C368" i="42"/>
  <c r="X367" i="42"/>
  <c r="T367" i="42"/>
  <c r="U367" i="42" s="1"/>
  <c r="I367" i="42"/>
  <c r="F367" i="42"/>
  <c r="E367" i="42"/>
  <c r="C367" i="42"/>
  <c r="X366" i="42"/>
  <c r="T366" i="42"/>
  <c r="U366" i="42" s="1"/>
  <c r="I366" i="42"/>
  <c r="F366" i="42"/>
  <c r="E366" i="42"/>
  <c r="C366" i="42"/>
  <c r="X365" i="42"/>
  <c r="T365" i="42"/>
  <c r="U365" i="42" s="1"/>
  <c r="I365" i="42"/>
  <c r="F365" i="42"/>
  <c r="E365" i="42"/>
  <c r="C365" i="42"/>
  <c r="X364" i="42"/>
  <c r="T364" i="42"/>
  <c r="U364" i="42" s="1"/>
  <c r="I364" i="42"/>
  <c r="F364" i="42"/>
  <c r="E364" i="42"/>
  <c r="C364" i="42"/>
  <c r="X363" i="42"/>
  <c r="I363" i="42"/>
  <c r="F363" i="42"/>
  <c r="E363" i="42"/>
  <c r="C363" i="42"/>
  <c r="X362" i="42"/>
  <c r="I362" i="42"/>
  <c r="F362" i="42"/>
  <c r="E362" i="42"/>
  <c r="C362" i="42"/>
  <c r="X361" i="42"/>
  <c r="I361" i="42"/>
  <c r="F361" i="42"/>
  <c r="E361" i="42"/>
  <c r="C361" i="42"/>
  <c r="X360" i="42"/>
  <c r="I360" i="42"/>
  <c r="F360" i="42"/>
  <c r="E360" i="42"/>
  <c r="C360" i="42"/>
  <c r="X359" i="42"/>
  <c r="T359" i="42"/>
  <c r="U359" i="42" s="1"/>
  <c r="I359" i="42"/>
  <c r="F359" i="42"/>
  <c r="E359" i="42"/>
  <c r="C359" i="42"/>
  <c r="X358" i="42"/>
  <c r="T358" i="42"/>
  <c r="U358" i="42" s="1"/>
  <c r="I358" i="42"/>
  <c r="F358" i="42"/>
  <c r="E358" i="42"/>
  <c r="C358" i="42"/>
  <c r="X357" i="42"/>
  <c r="T357" i="42"/>
  <c r="U357" i="42" s="1"/>
  <c r="I357" i="42"/>
  <c r="F357" i="42"/>
  <c r="E357" i="42"/>
  <c r="C357" i="42"/>
  <c r="X356" i="42"/>
  <c r="T356" i="42"/>
  <c r="U356" i="42" s="1"/>
  <c r="I356" i="42"/>
  <c r="F356" i="42"/>
  <c r="E356" i="42"/>
  <c r="C356" i="42"/>
  <c r="X355" i="42"/>
  <c r="T355" i="42"/>
  <c r="U355" i="42" s="1"/>
  <c r="I355" i="42"/>
  <c r="F355" i="42"/>
  <c r="E355" i="42"/>
  <c r="C355" i="42"/>
  <c r="X354" i="42"/>
  <c r="T354" i="42"/>
  <c r="U354" i="42" s="1"/>
  <c r="I354" i="42"/>
  <c r="F354" i="42"/>
  <c r="E354" i="42"/>
  <c r="C354" i="42"/>
  <c r="X353" i="42"/>
  <c r="I353" i="42"/>
  <c r="F353" i="42"/>
  <c r="E353" i="42"/>
  <c r="C353" i="42"/>
  <c r="X352" i="42"/>
  <c r="T352" i="42"/>
  <c r="U352" i="42" s="1"/>
  <c r="I352" i="42"/>
  <c r="F352" i="42"/>
  <c r="E352" i="42"/>
  <c r="C352" i="42"/>
  <c r="X351" i="42"/>
  <c r="U351" i="42"/>
  <c r="I351" i="42"/>
  <c r="F351" i="42"/>
  <c r="E351" i="42"/>
  <c r="C351" i="42"/>
  <c r="X350" i="42"/>
  <c r="U350" i="42"/>
  <c r="I350" i="42"/>
  <c r="F350" i="42"/>
  <c r="E350" i="42"/>
  <c r="C350" i="42"/>
  <c r="X349" i="42"/>
  <c r="I349" i="42"/>
  <c r="F349" i="42"/>
  <c r="E349" i="42"/>
  <c r="C349" i="42"/>
  <c r="X348" i="42"/>
  <c r="T348" i="42"/>
  <c r="U348" i="42" s="1"/>
  <c r="I348" i="42"/>
  <c r="F348" i="42"/>
  <c r="E348" i="42"/>
  <c r="C348" i="42"/>
  <c r="X347" i="42"/>
  <c r="T347" i="42"/>
  <c r="U347" i="42" s="1"/>
  <c r="I347" i="42"/>
  <c r="F347" i="42"/>
  <c r="E347" i="42"/>
  <c r="C347" i="42"/>
  <c r="X346" i="42"/>
  <c r="T346" i="42"/>
  <c r="U346" i="42" s="1"/>
  <c r="I346" i="42"/>
  <c r="F346" i="42"/>
  <c r="E346" i="42"/>
  <c r="C346" i="42"/>
  <c r="X345" i="42"/>
  <c r="T345" i="42"/>
  <c r="U345" i="42" s="1"/>
  <c r="I345" i="42"/>
  <c r="F345" i="42"/>
  <c r="E345" i="42"/>
  <c r="C345" i="42"/>
  <c r="X344" i="42"/>
  <c r="I344" i="42"/>
  <c r="F344" i="42"/>
  <c r="E344" i="42"/>
  <c r="C344" i="42"/>
  <c r="X343" i="42"/>
  <c r="T343" i="42"/>
  <c r="U343" i="42" s="1"/>
  <c r="I343" i="42"/>
  <c r="F343" i="42"/>
  <c r="E343" i="42"/>
  <c r="C343" i="42"/>
  <c r="X342" i="42"/>
  <c r="T342" i="42"/>
  <c r="U342" i="42" s="1"/>
  <c r="I342" i="42"/>
  <c r="F342" i="42"/>
  <c r="E342" i="42"/>
  <c r="C342" i="42"/>
  <c r="X341" i="42"/>
  <c r="I341" i="42"/>
  <c r="F341" i="42"/>
  <c r="E341" i="42"/>
  <c r="C341" i="42"/>
  <c r="X340" i="42"/>
  <c r="T340" i="42"/>
  <c r="U340" i="42" s="1"/>
  <c r="I340" i="42"/>
  <c r="F340" i="42"/>
  <c r="E340" i="42"/>
  <c r="C340" i="42"/>
  <c r="X339" i="42"/>
  <c r="T339" i="42"/>
  <c r="U339" i="42" s="1"/>
  <c r="I339" i="42"/>
  <c r="F339" i="42"/>
  <c r="E339" i="42"/>
  <c r="C339" i="42"/>
  <c r="X338" i="42"/>
  <c r="U338" i="42"/>
  <c r="I338" i="42"/>
  <c r="F338" i="42"/>
  <c r="E338" i="42"/>
  <c r="C338" i="42"/>
  <c r="X337" i="42"/>
  <c r="T337" i="42"/>
  <c r="U337" i="42" s="1"/>
  <c r="I337" i="42"/>
  <c r="F337" i="42"/>
  <c r="E337" i="42"/>
  <c r="C337" i="42"/>
  <c r="X336" i="42"/>
  <c r="T336" i="42"/>
  <c r="U336" i="42" s="1"/>
  <c r="I336" i="42"/>
  <c r="F336" i="42"/>
  <c r="E336" i="42"/>
  <c r="C336" i="42"/>
  <c r="X335" i="42"/>
  <c r="T335" i="42"/>
  <c r="U335" i="42" s="1"/>
  <c r="I335" i="42"/>
  <c r="F335" i="42"/>
  <c r="E335" i="42"/>
  <c r="C335" i="42"/>
  <c r="X334" i="42"/>
  <c r="T334" i="42"/>
  <c r="U334" i="42" s="1"/>
  <c r="I334" i="42"/>
  <c r="F334" i="42"/>
  <c r="E334" i="42"/>
  <c r="C334" i="42"/>
  <c r="X333" i="42"/>
  <c r="T333" i="42"/>
  <c r="U333" i="42" s="1"/>
  <c r="I333" i="42"/>
  <c r="F333" i="42"/>
  <c r="E333" i="42"/>
  <c r="C333" i="42"/>
  <c r="X332" i="42"/>
  <c r="T332" i="42"/>
  <c r="U332" i="42" s="1"/>
  <c r="I332" i="42"/>
  <c r="F332" i="42"/>
  <c r="E332" i="42"/>
  <c r="C332" i="42"/>
  <c r="X331" i="42"/>
  <c r="T331" i="42"/>
  <c r="U331" i="42" s="1"/>
  <c r="I331" i="42"/>
  <c r="F331" i="42"/>
  <c r="E331" i="42"/>
  <c r="C331" i="42"/>
  <c r="X330" i="42"/>
  <c r="U330" i="42"/>
  <c r="I330" i="42"/>
  <c r="F330" i="42"/>
  <c r="E330" i="42"/>
  <c r="C330" i="42"/>
  <c r="X329" i="42"/>
  <c r="U329" i="42"/>
  <c r="I329" i="42"/>
  <c r="F329" i="42"/>
  <c r="E329" i="42"/>
  <c r="C329" i="42"/>
  <c r="X328" i="42"/>
  <c r="T328" i="42"/>
  <c r="U328" i="42" s="1"/>
  <c r="I328" i="42"/>
  <c r="F328" i="42"/>
  <c r="E328" i="42"/>
  <c r="C328" i="42"/>
  <c r="X327" i="42"/>
  <c r="T327" i="42"/>
  <c r="U327" i="42" s="1"/>
  <c r="I327" i="42"/>
  <c r="F327" i="42"/>
  <c r="E327" i="42"/>
  <c r="C327" i="42"/>
  <c r="X326" i="42"/>
  <c r="T326" i="42"/>
  <c r="U326" i="42" s="1"/>
  <c r="I326" i="42"/>
  <c r="F326" i="42"/>
  <c r="E326" i="42"/>
  <c r="C326" i="42"/>
  <c r="X325" i="42"/>
  <c r="I325" i="42"/>
  <c r="F325" i="42"/>
  <c r="C325" i="42"/>
  <c r="X324" i="42"/>
  <c r="T324" i="42"/>
  <c r="U324" i="42" s="1"/>
  <c r="I324" i="42"/>
  <c r="F324" i="42"/>
  <c r="E324" i="42"/>
  <c r="C324" i="42"/>
  <c r="X323" i="42"/>
  <c r="T323" i="42"/>
  <c r="U323" i="42" s="1"/>
  <c r="I323" i="42"/>
  <c r="F323" i="42"/>
  <c r="E323" i="42"/>
  <c r="C323" i="42"/>
  <c r="X322" i="42"/>
  <c r="T322" i="42"/>
  <c r="U322" i="42" s="1"/>
  <c r="I322" i="42"/>
  <c r="F322" i="42"/>
  <c r="E322" i="42"/>
  <c r="C322" i="42"/>
  <c r="X321" i="42"/>
  <c r="T321" i="42"/>
  <c r="U321" i="42" s="1"/>
  <c r="I321" i="42"/>
  <c r="F321" i="42"/>
  <c r="E321" i="42"/>
  <c r="C321" i="42"/>
  <c r="X320" i="42"/>
  <c r="U320" i="42"/>
  <c r="I320" i="42"/>
  <c r="F320" i="42"/>
  <c r="E320" i="42"/>
  <c r="C320" i="42"/>
  <c r="X319" i="42"/>
  <c r="T319" i="42"/>
  <c r="U319" i="42" s="1"/>
  <c r="I319" i="42"/>
  <c r="F319" i="42"/>
  <c r="E319" i="42"/>
  <c r="C319" i="42"/>
  <c r="X318" i="42"/>
  <c r="U318" i="42"/>
  <c r="I318" i="42"/>
  <c r="F318" i="42"/>
  <c r="E318" i="42"/>
  <c r="C318" i="42"/>
  <c r="X317" i="42"/>
  <c r="T317" i="42"/>
  <c r="U317" i="42" s="1"/>
  <c r="I317" i="42"/>
  <c r="F317" i="42"/>
  <c r="E317" i="42"/>
  <c r="C317" i="42"/>
  <c r="X316" i="42"/>
  <c r="I316" i="42"/>
  <c r="F316" i="42"/>
  <c r="E316" i="42"/>
  <c r="C316" i="42"/>
  <c r="X315" i="42"/>
  <c r="T315" i="42"/>
  <c r="U315" i="42" s="1"/>
  <c r="I315" i="42"/>
  <c r="F315" i="42"/>
  <c r="E315" i="42"/>
  <c r="C315" i="42"/>
  <c r="X314" i="42"/>
  <c r="U314" i="42"/>
  <c r="I314" i="42"/>
  <c r="F314" i="42"/>
  <c r="E314" i="42"/>
  <c r="C314" i="42"/>
  <c r="X313" i="42"/>
  <c r="I313" i="42"/>
  <c r="F313" i="42"/>
  <c r="E313" i="42"/>
  <c r="C313" i="42"/>
  <c r="X312" i="42"/>
  <c r="T312" i="42"/>
  <c r="U312" i="42" s="1"/>
  <c r="I312" i="42"/>
  <c r="F312" i="42"/>
  <c r="E312" i="42"/>
  <c r="C312" i="42"/>
  <c r="X311" i="42"/>
  <c r="T311" i="42"/>
  <c r="U311" i="42" s="1"/>
  <c r="I311" i="42"/>
  <c r="F311" i="42"/>
  <c r="E311" i="42"/>
  <c r="C311" i="42"/>
  <c r="X310" i="42"/>
  <c r="T310" i="42"/>
  <c r="U310" i="42" s="1"/>
  <c r="I310" i="42"/>
  <c r="F310" i="42"/>
  <c r="E310" i="42"/>
  <c r="C310" i="42"/>
  <c r="X309" i="42"/>
  <c r="T309" i="42"/>
  <c r="U309" i="42" s="1"/>
  <c r="I309" i="42"/>
  <c r="F309" i="42"/>
  <c r="E309" i="42"/>
  <c r="C309" i="42"/>
  <c r="X308" i="42"/>
  <c r="T308" i="42"/>
  <c r="U308" i="42" s="1"/>
  <c r="I308" i="42"/>
  <c r="F308" i="42"/>
  <c r="E308" i="42"/>
  <c r="C308" i="42"/>
  <c r="X307" i="42"/>
  <c r="T307" i="42"/>
  <c r="U307" i="42" s="1"/>
  <c r="I307" i="42"/>
  <c r="F307" i="42"/>
  <c r="E307" i="42"/>
  <c r="C307" i="42"/>
  <c r="X306" i="42"/>
  <c r="T306" i="42"/>
  <c r="U306" i="42" s="1"/>
  <c r="I306" i="42"/>
  <c r="F306" i="42"/>
  <c r="E306" i="42"/>
  <c r="C306" i="42"/>
  <c r="X305" i="42"/>
  <c r="T305" i="42"/>
  <c r="U305" i="42" s="1"/>
  <c r="I305" i="42"/>
  <c r="F305" i="42"/>
  <c r="E305" i="42"/>
  <c r="C305" i="42"/>
  <c r="X304" i="42"/>
  <c r="T304" i="42"/>
  <c r="U304" i="42" s="1"/>
  <c r="I304" i="42"/>
  <c r="F304" i="42"/>
  <c r="E304" i="42"/>
  <c r="C304" i="42"/>
  <c r="X303" i="42"/>
  <c r="T303" i="42"/>
  <c r="U303" i="42" s="1"/>
  <c r="I303" i="42"/>
  <c r="F303" i="42"/>
  <c r="E303" i="42"/>
  <c r="C303" i="42"/>
  <c r="X302" i="42"/>
  <c r="T302" i="42"/>
  <c r="U302" i="42" s="1"/>
  <c r="I302" i="42"/>
  <c r="F302" i="42"/>
  <c r="E302" i="42"/>
  <c r="C302" i="42"/>
  <c r="X301" i="42"/>
  <c r="T301" i="42"/>
  <c r="U301" i="42" s="1"/>
  <c r="I301" i="42"/>
  <c r="F301" i="42"/>
  <c r="E301" i="42"/>
  <c r="C301" i="42"/>
  <c r="X300" i="42"/>
  <c r="T300" i="42"/>
  <c r="U300" i="42" s="1"/>
  <c r="I300" i="42"/>
  <c r="F300" i="42"/>
  <c r="E300" i="42"/>
  <c r="C300" i="42"/>
  <c r="X299" i="42"/>
  <c r="T299" i="42"/>
  <c r="U299" i="42" s="1"/>
  <c r="I299" i="42"/>
  <c r="F299" i="42"/>
  <c r="E299" i="42"/>
  <c r="C299" i="42"/>
  <c r="X298" i="42"/>
  <c r="T298" i="42"/>
  <c r="U298" i="42" s="1"/>
  <c r="I298" i="42"/>
  <c r="F298" i="42"/>
  <c r="E298" i="42"/>
  <c r="C298" i="42"/>
  <c r="X297" i="42"/>
  <c r="T297" i="42"/>
  <c r="U297" i="42" s="1"/>
  <c r="I297" i="42"/>
  <c r="F297" i="42"/>
  <c r="E297" i="42"/>
  <c r="C297" i="42"/>
  <c r="X296" i="42"/>
  <c r="T296" i="42"/>
  <c r="U296" i="42" s="1"/>
  <c r="I296" i="42"/>
  <c r="F296" i="42"/>
  <c r="E296" i="42"/>
  <c r="C296" i="42"/>
  <c r="X295" i="42"/>
  <c r="T295" i="42"/>
  <c r="U295" i="42" s="1"/>
  <c r="I295" i="42"/>
  <c r="F295" i="42"/>
  <c r="E295" i="42"/>
  <c r="C295" i="42"/>
  <c r="X294" i="42"/>
  <c r="T294" i="42"/>
  <c r="U294" i="42" s="1"/>
  <c r="I294" i="42"/>
  <c r="F294" i="42"/>
  <c r="E294" i="42"/>
  <c r="C294" i="42"/>
  <c r="X293" i="42"/>
  <c r="T293" i="42"/>
  <c r="U293" i="42" s="1"/>
  <c r="I293" i="42"/>
  <c r="F293" i="42"/>
  <c r="E293" i="42"/>
  <c r="C293" i="42"/>
  <c r="X292" i="42"/>
  <c r="T292" i="42"/>
  <c r="U292" i="42" s="1"/>
  <c r="I292" i="42"/>
  <c r="F292" i="42"/>
  <c r="E292" i="42"/>
  <c r="C292" i="42"/>
  <c r="X291" i="42"/>
  <c r="T291" i="42"/>
  <c r="U291" i="42" s="1"/>
  <c r="I291" i="42"/>
  <c r="F291" i="42"/>
  <c r="E291" i="42"/>
  <c r="C291" i="42"/>
  <c r="X290" i="42"/>
  <c r="T290" i="42"/>
  <c r="U290" i="42" s="1"/>
  <c r="I290" i="42"/>
  <c r="F290" i="42"/>
  <c r="E290" i="42"/>
  <c r="C290" i="42"/>
  <c r="X289" i="42"/>
  <c r="T289" i="42"/>
  <c r="U289" i="42" s="1"/>
  <c r="I289" i="42"/>
  <c r="F289" i="42"/>
  <c r="E289" i="42"/>
  <c r="C289" i="42"/>
  <c r="X288" i="42"/>
  <c r="T288" i="42"/>
  <c r="U288" i="42" s="1"/>
  <c r="I288" i="42"/>
  <c r="F288" i="42"/>
  <c r="E288" i="42"/>
  <c r="C288" i="42"/>
  <c r="X287" i="42"/>
  <c r="T287" i="42"/>
  <c r="U287" i="42" s="1"/>
  <c r="I287" i="42"/>
  <c r="F287" i="42"/>
  <c r="E287" i="42"/>
  <c r="C287" i="42"/>
  <c r="X286" i="42"/>
  <c r="T286" i="42"/>
  <c r="U286" i="42" s="1"/>
  <c r="I286" i="42"/>
  <c r="F286" i="42"/>
  <c r="E286" i="42"/>
  <c r="C286" i="42"/>
  <c r="X285" i="42"/>
  <c r="T285" i="42"/>
  <c r="U285" i="42" s="1"/>
  <c r="I285" i="42"/>
  <c r="F285" i="42"/>
  <c r="E285" i="42"/>
  <c r="C285" i="42"/>
  <c r="X284" i="42"/>
  <c r="T284" i="42"/>
  <c r="U284" i="42" s="1"/>
  <c r="I284" i="42"/>
  <c r="F284" i="42"/>
  <c r="E284" i="42"/>
  <c r="C284" i="42"/>
  <c r="X283" i="42"/>
  <c r="T283" i="42"/>
  <c r="U283" i="42" s="1"/>
  <c r="I283" i="42"/>
  <c r="F283" i="42"/>
  <c r="E283" i="42"/>
  <c r="C283" i="42"/>
  <c r="X282" i="42"/>
  <c r="T282" i="42"/>
  <c r="U282" i="42" s="1"/>
  <c r="I282" i="42"/>
  <c r="F282" i="42"/>
  <c r="E282" i="42"/>
  <c r="C282" i="42"/>
  <c r="X281" i="42"/>
  <c r="T281" i="42"/>
  <c r="U281" i="42" s="1"/>
  <c r="I281" i="42"/>
  <c r="F281" i="42"/>
  <c r="E281" i="42"/>
  <c r="C281" i="42"/>
  <c r="X280" i="42"/>
  <c r="T280" i="42"/>
  <c r="U280" i="42" s="1"/>
  <c r="I280" i="42"/>
  <c r="F280" i="42"/>
  <c r="E280" i="42"/>
  <c r="C280" i="42"/>
  <c r="X279" i="42"/>
  <c r="U279" i="42"/>
  <c r="I279" i="42"/>
  <c r="F279" i="42"/>
  <c r="E279" i="42"/>
  <c r="C279" i="42"/>
  <c r="X278" i="42"/>
  <c r="U278" i="42"/>
  <c r="I278" i="42"/>
  <c r="F278" i="42"/>
  <c r="E278" i="42"/>
  <c r="C278" i="42"/>
  <c r="X277" i="42"/>
  <c r="U277" i="42"/>
  <c r="I277" i="42"/>
  <c r="F277" i="42"/>
  <c r="E277" i="42"/>
  <c r="C277" i="42"/>
  <c r="X276" i="42"/>
  <c r="U276" i="42"/>
  <c r="I276" i="42"/>
  <c r="F276" i="42"/>
  <c r="E276" i="42"/>
  <c r="C276" i="42"/>
  <c r="X275" i="42"/>
  <c r="U275" i="42"/>
  <c r="I275" i="42"/>
  <c r="F275" i="42"/>
  <c r="E275" i="42"/>
  <c r="C275" i="42"/>
  <c r="X274" i="42"/>
  <c r="U274" i="42"/>
  <c r="I274" i="42"/>
  <c r="F274" i="42"/>
  <c r="E274" i="42"/>
  <c r="C274" i="42"/>
  <c r="X273" i="42"/>
  <c r="U273" i="42"/>
  <c r="I273" i="42"/>
  <c r="F273" i="42"/>
  <c r="E273" i="42"/>
  <c r="C273" i="42"/>
  <c r="X272" i="42"/>
  <c r="U272" i="42"/>
  <c r="I272" i="42"/>
  <c r="F272" i="42"/>
  <c r="E272" i="42"/>
  <c r="C272" i="42"/>
  <c r="X271" i="42"/>
  <c r="U271" i="42"/>
  <c r="I271" i="42"/>
  <c r="F271" i="42"/>
  <c r="E271" i="42"/>
  <c r="C271" i="42"/>
  <c r="X270" i="42"/>
  <c r="U270" i="42"/>
  <c r="I270" i="42"/>
  <c r="F270" i="42"/>
  <c r="E270" i="42"/>
  <c r="C270" i="42"/>
  <c r="X269" i="42"/>
  <c r="U269" i="42"/>
  <c r="I269" i="42"/>
  <c r="F269" i="42"/>
  <c r="E269" i="42"/>
  <c r="C269" i="42"/>
  <c r="X268" i="42"/>
  <c r="U268" i="42"/>
  <c r="I268" i="42"/>
  <c r="F268" i="42"/>
  <c r="E268" i="42"/>
  <c r="C268" i="42"/>
  <c r="X267" i="42"/>
  <c r="U267" i="42"/>
  <c r="I267" i="42"/>
  <c r="F267" i="42"/>
  <c r="E267" i="42"/>
  <c r="C267" i="42"/>
  <c r="X266" i="42"/>
  <c r="U266" i="42"/>
  <c r="I266" i="42"/>
  <c r="F266" i="42"/>
  <c r="E266" i="42"/>
  <c r="C266" i="42"/>
  <c r="X265" i="42"/>
  <c r="U265" i="42"/>
  <c r="I265" i="42"/>
  <c r="F265" i="42"/>
  <c r="E265" i="42"/>
  <c r="C265" i="42"/>
  <c r="X264" i="42"/>
  <c r="U264" i="42"/>
  <c r="I264" i="42"/>
  <c r="F264" i="42"/>
  <c r="E264" i="42"/>
  <c r="C264" i="42"/>
  <c r="X263" i="42"/>
  <c r="U263" i="42"/>
  <c r="I263" i="42"/>
  <c r="F263" i="42"/>
  <c r="E263" i="42"/>
  <c r="C263" i="42"/>
  <c r="X262" i="42"/>
  <c r="U262" i="42"/>
  <c r="I262" i="42"/>
  <c r="F262" i="42"/>
  <c r="E262" i="42"/>
  <c r="C262" i="42"/>
  <c r="X261" i="42"/>
  <c r="U261" i="42"/>
  <c r="I261" i="42"/>
  <c r="F261" i="42"/>
  <c r="E261" i="42"/>
  <c r="C261" i="42"/>
  <c r="X260" i="42"/>
  <c r="U260" i="42"/>
  <c r="I260" i="42"/>
  <c r="F260" i="42"/>
  <c r="E260" i="42"/>
  <c r="C260" i="42"/>
  <c r="X259" i="42"/>
  <c r="U259" i="42"/>
  <c r="I259" i="42"/>
  <c r="F259" i="42"/>
  <c r="E259" i="42"/>
  <c r="C259" i="42"/>
  <c r="X258" i="42"/>
  <c r="U258" i="42"/>
  <c r="I258" i="42"/>
  <c r="F258" i="42"/>
  <c r="E258" i="42"/>
  <c r="C258" i="42"/>
  <c r="X257" i="42"/>
  <c r="U257" i="42"/>
  <c r="I257" i="42"/>
  <c r="F257" i="42"/>
  <c r="E257" i="42"/>
  <c r="C257" i="42"/>
  <c r="X256" i="42"/>
  <c r="U256" i="42"/>
  <c r="I256" i="42"/>
  <c r="F256" i="42"/>
  <c r="E256" i="42"/>
  <c r="C256" i="42"/>
  <c r="X255" i="42"/>
  <c r="U255" i="42"/>
  <c r="I255" i="42"/>
  <c r="F255" i="42"/>
  <c r="E255" i="42"/>
  <c r="C255" i="42"/>
  <c r="X254" i="42"/>
  <c r="U254" i="42"/>
  <c r="I254" i="42"/>
  <c r="F254" i="42"/>
  <c r="E254" i="42"/>
  <c r="C254" i="42"/>
  <c r="X253" i="42"/>
  <c r="U253" i="42"/>
  <c r="I253" i="42"/>
  <c r="F253" i="42"/>
  <c r="E253" i="42"/>
  <c r="C253" i="42"/>
  <c r="X252" i="42"/>
  <c r="U252" i="42"/>
  <c r="I252" i="42"/>
  <c r="F252" i="42"/>
  <c r="E252" i="42"/>
  <c r="C252" i="42"/>
  <c r="X251" i="42"/>
  <c r="U251" i="42"/>
  <c r="I251" i="42"/>
  <c r="F251" i="42"/>
  <c r="E251" i="42"/>
  <c r="C251" i="42"/>
  <c r="X250" i="42"/>
  <c r="U250" i="42"/>
  <c r="I250" i="42"/>
  <c r="F250" i="42"/>
  <c r="E250" i="42"/>
  <c r="C250" i="42"/>
  <c r="X249" i="42"/>
  <c r="U249" i="42"/>
  <c r="I249" i="42"/>
  <c r="F249" i="42"/>
  <c r="E249" i="42"/>
  <c r="C249" i="42"/>
  <c r="X248" i="42"/>
  <c r="U248" i="42"/>
  <c r="I248" i="42"/>
  <c r="F248" i="42"/>
  <c r="E248" i="42"/>
  <c r="C248" i="42"/>
  <c r="X247" i="42"/>
  <c r="U247" i="42"/>
  <c r="I247" i="42"/>
  <c r="F247" i="42"/>
  <c r="E247" i="42"/>
  <c r="C247" i="42"/>
  <c r="X246" i="42"/>
  <c r="U246" i="42"/>
  <c r="I246" i="42"/>
  <c r="F246" i="42"/>
  <c r="E246" i="42"/>
  <c r="C246" i="42"/>
  <c r="X245" i="42"/>
  <c r="U245" i="42"/>
  <c r="I245" i="42"/>
  <c r="F245" i="42"/>
  <c r="E245" i="42"/>
  <c r="C245" i="42"/>
  <c r="X244" i="42"/>
  <c r="U244" i="42"/>
  <c r="I244" i="42"/>
  <c r="F244" i="42"/>
  <c r="E244" i="42"/>
  <c r="C244" i="42"/>
  <c r="X243" i="42"/>
  <c r="U243" i="42"/>
  <c r="I243" i="42"/>
  <c r="F243" i="42"/>
  <c r="E243" i="42"/>
  <c r="C243" i="42"/>
  <c r="X242" i="42"/>
  <c r="U242" i="42"/>
  <c r="I242" i="42"/>
  <c r="F242" i="42"/>
  <c r="E242" i="42"/>
  <c r="C242" i="42"/>
  <c r="X241" i="42"/>
  <c r="U241" i="42"/>
  <c r="I241" i="42"/>
  <c r="F241" i="42"/>
  <c r="E241" i="42"/>
  <c r="C241" i="42"/>
  <c r="X240" i="42"/>
  <c r="U240" i="42"/>
  <c r="I240" i="42"/>
  <c r="F240" i="42"/>
  <c r="E240" i="42"/>
  <c r="C240" i="42"/>
  <c r="X239" i="42"/>
  <c r="U239" i="42"/>
  <c r="I239" i="42"/>
  <c r="F239" i="42"/>
  <c r="E239" i="42"/>
  <c r="C239" i="42"/>
  <c r="X238" i="42"/>
  <c r="U238" i="42"/>
  <c r="I238" i="42"/>
  <c r="F238" i="42"/>
  <c r="E238" i="42"/>
  <c r="C238" i="42"/>
  <c r="X237" i="42"/>
  <c r="U237" i="42"/>
  <c r="I237" i="42"/>
  <c r="F237" i="42"/>
  <c r="E237" i="42"/>
  <c r="C237" i="42"/>
  <c r="X236" i="42"/>
  <c r="U236" i="42"/>
  <c r="I236" i="42"/>
  <c r="F236" i="42"/>
  <c r="E236" i="42"/>
  <c r="C236" i="42"/>
  <c r="X235" i="42"/>
  <c r="U235" i="42"/>
  <c r="I235" i="42"/>
  <c r="F235" i="42"/>
  <c r="E235" i="42"/>
  <c r="C235" i="42"/>
  <c r="X234" i="42"/>
  <c r="U234" i="42"/>
  <c r="I234" i="42"/>
  <c r="F234" i="42"/>
  <c r="E234" i="42"/>
  <c r="C234" i="42"/>
  <c r="X233" i="42"/>
  <c r="U233" i="42"/>
  <c r="I233" i="42"/>
  <c r="F233" i="42"/>
  <c r="E233" i="42"/>
  <c r="C233" i="42"/>
  <c r="X232" i="42"/>
  <c r="U232" i="42"/>
  <c r="I232" i="42"/>
  <c r="F232" i="42"/>
  <c r="E232" i="42"/>
  <c r="C232" i="42"/>
  <c r="X231" i="42"/>
  <c r="U231" i="42"/>
  <c r="I231" i="42"/>
  <c r="F231" i="42"/>
  <c r="E231" i="42"/>
  <c r="C231" i="42"/>
  <c r="X230" i="42"/>
  <c r="U230" i="42"/>
  <c r="I230" i="42"/>
  <c r="F230" i="42"/>
  <c r="E230" i="42"/>
  <c r="C230" i="42"/>
  <c r="X229" i="42"/>
  <c r="U229" i="42"/>
  <c r="I229" i="42"/>
  <c r="F229" i="42"/>
  <c r="E229" i="42"/>
  <c r="C229" i="42"/>
  <c r="X228" i="42"/>
  <c r="U228" i="42"/>
  <c r="I228" i="42"/>
  <c r="F228" i="42"/>
  <c r="E228" i="42"/>
  <c r="C228" i="42"/>
  <c r="X227" i="42"/>
  <c r="U227" i="42"/>
  <c r="I227" i="42"/>
  <c r="F227" i="42"/>
  <c r="E227" i="42"/>
  <c r="C227" i="42"/>
  <c r="X226" i="42"/>
  <c r="U226" i="42"/>
  <c r="I226" i="42"/>
  <c r="F226" i="42"/>
  <c r="E226" i="42"/>
  <c r="C226" i="42"/>
  <c r="X225" i="42"/>
  <c r="U225" i="42"/>
  <c r="I225" i="42"/>
  <c r="F225" i="42"/>
  <c r="E225" i="42"/>
  <c r="C225" i="42"/>
  <c r="X224" i="42"/>
  <c r="U224" i="42"/>
  <c r="I224" i="42"/>
  <c r="F224" i="42"/>
  <c r="E224" i="42"/>
  <c r="C224" i="42"/>
  <c r="X223" i="42"/>
  <c r="U223" i="42"/>
  <c r="I223" i="42"/>
  <c r="F223" i="42"/>
  <c r="E223" i="42"/>
  <c r="C223" i="42"/>
  <c r="X222" i="42"/>
  <c r="U222" i="42"/>
  <c r="I222" i="42"/>
  <c r="F222" i="42"/>
  <c r="E222" i="42"/>
  <c r="C222" i="42"/>
  <c r="X221" i="42"/>
  <c r="U221" i="42"/>
  <c r="I221" i="42"/>
  <c r="F221" i="42"/>
  <c r="E221" i="42"/>
  <c r="C221" i="42"/>
  <c r="X220" i="42"/>
  <c r="U220" i="42"/>
  <c r="I220" i="42"/>
  <c r="F220" i="42"/>
  <c r="E220" i="42"/>
  <c r="C220" i="42"/>
  <c r="X219" i="42"/>
  <c r="U219" i="42"/>
  <c r="I219" i="42"/>
  <c r="F219" i="42"/>
  <c r="E219" i="42"/>
  <c r="C219" i="42"/>
  <c r="X218" i="42"/>
  <c r="U218" i="42"/>
  <c r="I218" i="42"/>
  <c r="F218" i="42"/>
  <c r="E218" i="42"/>
  <c r="C218" i="42"/>
  <c r="X217" i="42"/>
  <c r="U217" i="42"/>
  <c r="I217" i="42"/>
  <c r="F217" i="42"/>
  <c r="E217" i="42"/>
  <c r="C217" i="42"/>
  <c r="X216" i="42"/>
  <c r="U216" i="42"/>
  <c r="I216" i="42"/>
  <c r="F216" i="42"/>
  <c r="E216" i="42"/>
  <c r="C216" i="42"/>
  <c r="X215" i="42"/>
  <c r="U215" i="42"/>
  <c r="I215" i="42"/>
  <c r="F215" i="42"/>
  <c r="E215" i="42"/>
  <c r="C215" i="42"/>
  <c r="X214" i="42"/>
  <c r="U214" i="42"/>
  <c r="I214" i="42"/>
  <c r="F214" i="42"/>
  <c r="E214" i="42"/>
  <c r="C214" i="42"/>
  <c r="X213" i="42"/>
  <c r="U213" i="42"/>
  <c r="I213" i="42"/>
  <c r="F213" i="42"/>
  <c r="E213" i="42"/>
  <c r="C213" i="42"/>
  <c r="X212" i="42"/>
  <c r="U212" i="42"/>
  <c r="I212" i="42"/>
  <c r="F212" i="42"/>
  <c r="E212" i="42"/>
  <c r="C212" i="42"/>
  <c r="X211" i="42"/>
  <c r="U211" i="42"/>
  <c r="I211" i="42"/>
  <c r="F211" i="42"/>
  <c r="E211" i="42"/>
  <c r="C211" i="42"/>
  <c r="X210" i="42"/>
  <c r="U210" i="42"/>
  <c r="I210" i="42"/>
  <c r="F210" i="42"/>
  <c r="E210" i="42"/>
  <c r="C210" i="42"/>
  <c r="X209" i="42"/>
  <c r="U209" i="42"/>
  <c r="I209" i="42"/>
  <c r="F209" i="42"/>
  <c r="E209" i="42"/>
  <c r="C209" i="42"/>
  <c r="X208" i="42"/>
  <c r="U208" i="42"/>
  <c r="I208" i="42"/>
  <c r="F208" i="42"/>
  <c r="E208" i="42"/>
  <c r="C208" i="42"/>
  <c r="X207" i="42"/>
  <c r="U207" i="42"/>
  <c r="I207" i="42"/>
  <c r="F207" i="42"/>
  <c r="E207" i="42"/>
  <c r="C207" i="42"/>
  <c r="X206" i="42"/>
  <c r="U206" i="42"/>
  <c r="I206" i="42"/>
  <c r="F206" i="42"/>
  <c r="E206" i="42"/>
  <c r="C206" i="42"/>
  <c r="X205" i="42"/>
  <c r="U205" i="42"/>
  <c r="I205" i="42"/>
  <c r="F205" i="42"/>
  <c r="E205" i="42"/>
  <c r="C205" i="42"/>
  <c r="X204" i="42"/>
  <c r="U204" i="42"/>
  <c r="I204" i="42"/>
  <c r="F204" i="42"/>
  <c r="E204" i="42"/>
  <c r="C204" i="42"/>
  <c r="X203" i="42"/>
  <c r="U203" i="42"/>
  <c r="I203" i="42"/>
  <c r="F203" i="42"/>
  <c r="E203" i="42"/>
  <c r="C203" i="42"/>
  <c r="X202" i="42"/>
  <c r="U202" i="42"/>
  <c r="I202" i="42"/>
  <c r="F202" i="42"/>
  <c r="E202" i="42"/>
  <c r="C202" i="42"/>
  <c r="X201" i="42"/>
  <c r="U201" i="42"/>
  <c r="I201" i="42"/>
  <c r="F201" i="42"/>
  <c r="E201" i="42"/>
  <c r="C201" i="42"/>
  <c r="X200" i="42"/>
  <c r="U200" i="42"/>
  <c r="I200" i="42"/>
  <c r="F200" i="42"/>
  <c r="E200" i="42"/>
  <c r="C200" i="42"/>
  <c r="X199" i="42"/>
  <c r="U199" i="42"/>
  <c r="I199" i="42"/>
  <c r="F199" i="42"/>
  <c r="E199" i="42"/>
  <c r="C199" i="42"/>
  <c r="X198" i="42"/>
  <c r="U198" i="42"/>
  <c r="I198" i="42"/>
  <c r="F198" i="42"/>
  <c r="E198" i="42"/>
  <c r="C198" i="42"/>
  <c r="X197" i="42"/>
  <c r="U197" i="42"/>
  <c r="I197" i="42"/>
  <c r="F197" i="42"/>
  <c r="E197" i="42"/>
  <c r="C197" i="42"/>
  <c r="X196" i="42"/>
  <c r="U196" i="42"/>
  <c r="I196" i="42"/>
  <c r="F196" i="42"/>
  <c r="E196" i="42"/>
  <c r="C196" i="42"/>
  <c r="X195" i="42"/>
  <c r="U195" i="42"/>
  <c r="I195" i="42"/>
  <c r="F195" i="42"/>
  <c r="E195" i="42"/>
  <c r="C195" i="42"/>
  <c r="X194" i="42"/>
  <c r="U194" i="42"/>
  <c r="I194" i="42"/>
  <c r="F194" i="42"/>
  <c r="E194" i="42"/>
  <c r="C194" i="42"/>
  <c r="X193" i="42"/>
  <c r="U193" i="42"/>
  <c r="I193" i="42"/>
  <c r="F193" i="42"/>
  <c r="E193" i="42"/>
  <c r="C193" i="42"/>
  <c r="X192" i="42"/>
  <c r="U192" i="42"/>
  <c r="I192" i="42"/>
  <c r="F192" i="42"/>
  <c r="E192" i="42"/>
  <c r="C192" i="42"/>
  <c r="X191" i="42"/>
  <c r="U191" i="42"/>
  <c r="I191" i="42"/>
  <c r="F191" i="42"/>
  <c r="E191" i="42"/>
  <c r="C191" i="42"/>
  <c r="X190" i="42"/>
  <c r="U190" i="42"/>
  <c r="I190" i="42"/>
  <c r="F190" i="42"/>
  <c r="E190" i="42"/>
  <c r="C190" i="42"/>
  <c r="X189" i="42"/>
  <c r="U189" i="42"/>
  <c r="I189" i="42"/>
  <c r="F189" i="42"/>
  <c r="E189" i="42"/>
  <c r="C189" i="42"/>
  <c r="X188" i="42"/>
  <c r="U188" i="42"/>
  <c r="I188" i="42"/>
  <c r="F188" i="42"/>
  <c r="E188" i="42"/>
  <c r="C188" i="42"/>
  <c r="X187" i="42"/>
  <c r="U187" i="42"/>
  <c r="I187" i="42"/>
  <c r="F187" i="42"/>
  <c r="E187" i="42"/>
  <c r="C187" i="42"/>
  <c r="X186" i="42"/>
  <c r="U186" i="42"/>
  <c r="I186" i="42"/>
  <c r="F186" i="42"/>
  <c r="E186" i="42"/>
  <c r="C186" i="42"/>
  <c r="X185" i="42"/>
  <c r="U185" i="42"/>
  <c r="I185" i="42"/>
  <c r="F185" i="42"/>
  <c r="E185" i="42"/>
  <c r="C185" i="42"/>
  <c r="X184" i="42"/>
  <c r="U184" i="42"/>
  <c r="I184" i="42"/>
  <c r="F184" i="42"/>
  <c r="E184" i="42"/>
  <c r="C184" i="42"/>
  <c r="X183" i="42"/>
  <c r="U183" i="42"/>
  <c r="I183" i="42"/>
  <c r="F183" i="42"/>
  <c r="E183" i="42"/>
  <c r="C183" i="42"/>
  <c r="X182" i="42"/>
  <c r="U182" i="42"/>
  <c r="I182" i="42"/>
  <c r="F182" i="42"/>
  <c r="E182" i="42"/>
  <c r="C182" i="42"/>
  <c r="X181" i="42"/>
  <c r="U181" i="42"/>
  <c r="I181" i="42"/>
  <c r="F181" i="42"/>
  <c r="E181" i="42"/>
  <c r="C181" i="42"/>
  <c r="X180" i="42"/>
  <c r="U180" i="42"/>
  <c r="I180" i="42"/>
  <c r="F180" i="42"/>
  <c r="E180" i="42"/>
  <c r="C180" i="42"/>
  <c r="X179" i="42"/>
  <c r="U179" i="42"/>
  <c r="I179" i="42"/>
  <c r="F179" i="42"/>
  <c r="E179" i="42"/>
  <c r="C179" i="42"/>
  <c r="X178" i="42"/>
  <c r="U178" i="42"/>
  <c r="I178" i="42"/>
  <c r="F178" i="42"/>
  <c r="E178" i="42"/>
  <c r="C178" i="42"/>
  <c r="X177" i="42"/>
  <c r="U177" i="42"/>
  <c r="I177" i="42"/>
  <c r="F177" i="42"/>
  <c r="E177" i="42"/>
  <c r="C177" i="42"/>
  <c r="X176" i="42"/>
  <c r="U176" i="42"/>
  <c r="I176" i="42"/>
  <c r="F176" i="42"/>
  <c r="E176" i="42"/>
  <c r="C176" i="42"/>
  <c r="X175" i="42"/>
  <c r="U175" i="42"/>
  <c r="I175" i="42"/>
  <c r="F175" i="42"/>
  <c r="E175" i="42"/>
  <c r="C175" i="42"/>
  <c r="X174" i="42"/>
  <c r="U174" i="42"/>
  <c r="I174" i="42"/>
  <c r="F174" i="42"/>
  <c r="E174" i="42"/>
  <c r="C174" i="42"/>
  <c r="X173" i="42"/>
  <c r="U173" i="42"/>
  <c r="I173" i="42"/>
  <c r="F173" i="42"/>
  <c r="E173" i="42"/>
  <c r="C173" i="42"/>
  <c r="X172" i="42"/>
  <c r="U172" i="42"/>
  <c r="I172" i="42"/>
  <c r="F172" i="42"/>
  <c r="E172" i="42"/>
  <c r="C172" i="42"/>
  <c r="X171" i="42"/>
  <c r="U171" i="42"/>
  <c r="I171" i="42"/>
  <c r="F171" i="42"/>
  <c r="E171" i="42"/>
  <c r="C171" i="42"/>
  <c r="X170" i="42"/>
  <c r="U170" i="42"/>
  <c r="I170" i="42"/>
  <c r="F170" i="42"/>
  <c r="E170" i="42"/>
  <c r="C170" i="42"/>
  <c r="X169" i="42"/>
  <c r="U169" i="42"/>
  <c r="I169" i="42"/>
  <c r="F169" i="42"/>
  <c r="E169" i="42"/>
  <c r="C169" i="42"/>
  <c r="X168" i="42"/>
  <c r="U168" i="42"/>
  <c r="I168" i="42"/>
  <c r="F168" i="42"/>
  <c r="E168" i="42"/>
  <c r="C168" i="42"/>
  <c r="X167" i="42"/>
  <c r="U167" i="42"/>
  <c r="I167" i="42"/>
  <c r="F167" i="42"/>
  <c r="E167" i="42"/>
  <c r="C167" i="42"/>
  <c r="X166" i="42"/>
  <c r="U166" i="42"/>
  <c r="I166" i="42"/>
  <c r="F166" i="42"/>
  <c r="E166" i="42"/>
  <c r="C166" i="42"/>
  <c r="X165" i="42"/>
  <c r="U165" i="42"/>
  <c r="I165" i="42"/>
  <c r="F165" i="42"/>
  <c r="E165" i="42"/>
  <c r="C165" i="42"/>
  <c r="X164" i="42"/>
  <c r="U164" i="42"/>
  <c r="I164" i="42"/>
  <c r="F164" i="42"/>
  <c r="E164" i="42"/>
  <c r="C164" i="42"/>
  <c r="X163" i="42"/>
  <c r="U163" i="42"/>
  <c r="I163" i="42"/>
  <c r="F163" i="42"/>
  <c r="E163" i="42"/>
  <c r="C163" i="42"/>
  <c r="X162" i="42"/>
  <c r="U162" i="42"/>
  <c r="I162" i="42"/>
  <c r="F162" i="42"/>
  <c r="E162" i="42"/>
  <c r="C162" i="42"/>
  <c r="X161" i="42"/>
  <c r="U161" i="42"/>
  <c r="I161" i="42"/>
  <c r="F161" i="42"/>
  <c r="E161" i="42"/>
  <c r="C161" i="42"/>
  <c r="X160" i="42"/>
  <c r="U160" i="42"/>
  <c r="I160" i="42"/>
  <c r="F160" i="42"/>
  <c r="E160" i="42"/>
  <c r="C160" i="42"/>
  <c r="X159" i="42"/>
  <c r="U159" i="42"/>
  <c r="I159" i="42"/>
  <c r="F159" i="42"/>
  <c r="E159" i="42"/>
  <c r="C159" i="42"/>
  <c r="X158" i="42"/>
  <c r="U158" i="42"/>
  <c r="I158" i="42"/>
  <c r="F158" i="42"/>
  <c r="E158" i="42"/>
  <c r="C158" i="42"/>
  <c r="X157" i="42"/>
  <c r="U157" i="42"/>
  <c r="I157" i="42"/>
  <c r="F157" i="42"/>
  <c r="E157" i="42"/>
  <c r="C157" i="42"/>
  <c r="X156" i="42"/>
  <c r="U156" i="42"/>
  <c r="I156" i="42"/>
  <c r="F156" i="42"/>
  <c r="E156" i="42"/>
  <c r="C156" i="42"/>
  <c r="X155" i="42"/>
  <c r="U155" i="42"/>
  <c r="I155" i="42"/>
  <c r="F155" i="42"/>
  <c r="E155" i="42"/>
  <c r="C155" i="42"/>
  <c r="X154" i="42"/>
  <c r="U154" i="42"/>
  <c r="I154" i="42"/>
  <c r="F154" i="42"/>
  <c r="E154" i="42"/>
  <c r="C154" i="42"/>
  <c r="X153" i="42"/>
  <c r="U153" i="42"/>
  <c r="I153" i="42"/>
  <c r="F153" i="42"/>
  <c r="E153" i="42"/>
  <c r="C153" i="42"/>
  <c r="X152" i="42"/>
  <c r="U152" i="42"/>
  <c r="I152" i="42"/>
  <c r="F152" i="42"/>
  <c r="E152" i="42"/>
  <c r="C152" i="42"/>
  <c r="X151" i="42"/>
  <c r="U151" i="42"/>
  <c r="I151" i="42"/>
  <c r="F151" i="42"/>
  <c r="E151" i="42"/>
  <c r="C151" i="42"/>
  <c r="X150" i="42"/>
  <c r="U150" i="42"/>
  <c r="I150" i="42"/>
  <c r="F150" i="42"/>
  <c r="E150" i="42"/>
  <c r="C150" i="42"/>
  <c r="X149" i="42"/>
  <c r="U149" i="42"/>
  <c r="I149" i="42"/>
  <c r="F149" i="42"/>
  <c r="E149" i="42"/>
  <c r="C149" i="42"/>
  <c r="X148" i="42"/>
  <c r="U148" i="42"/>
  <c r="I148" i="42"/>
  <c r="F148" i="42"/>
  <c r="E148" i="42"/>
  <c r="C148" i="42"/>
  <c r="X147" i="42"/>
  <c r="U147" i="42"/>
  <c r="I147" i="42"/>
  <c r="F147" i="42"/>
  <c r="E147" i="42"/>
  <c r="C147" i="42"/>
  <c r="X146" i="42"/>
  <c r="U146" i="42"/>
  <c r="I146" i="42"/>
  <c r="F146" i="42"/>
  <c r="E146" i="42"/>
  <c r="C146" i="42"/>
  <c r="X145" i="42"/>
  <c r="U145" i="42"/>
  <c r="I145" i="42"/>
  <c r="F145" i="42"/>
  <c r="E145" i="42"/>
  <c r="C145" i="42"/>
  <c r="X144" i="42"/>
  <c r="U144" i="42"/>
  <c r="I144" i="42"/>
  <c r="F144" i="42"/>
  <c r="E144" i="42"/>
  <c r="C144" i="42"/>
  <c r="X143" i="42"/>
  <c r="U143" i="42"/>
  <c r="I143" i="42"/>
  <c r="F143" i="42"/>
  <c r="E143" i="42"/>
  <c r="C143" i="42"/>
  <c r="X142" i="42"/>
  <c r="U142" i="42"/>
  <c r="I142" i="42"/>
  <c r="F142" i="42"/>
  <c r="E142" i="42"/>
  <c r="C142" i="42"/>
  <c r="X141" i="42"/>
  <c r="U141" i="42"/>
  <c r="I141" i="42"/>
  <c r="F141" i="42"/>
  <c r="E141" i="42"/>
  <c r="C141" i="42"/>
  <c r="X140" i="42"/>
  <c r="U140" i="42"/>
  <c r="I140" i="42"/>
  <c r="F140" i="42"/>
  <c r="E140" i="42"/>
  <c r="C140" i="42"/>
  <c r="X139" i="42"/>
  <c r="U139" i="42"/>
  <c r="I139" i="42"/>
  <c r="F139" i="42"/>
  <c r="E139" i="42"/>
  <c r="C139" i="42"/>
  <c r="X138" i="42"/>
  <c r="U138" i="42"/>
  <c r="I138" i="42"/>
  <c r="F138" i="42"/>
  <c r="E138" i="42"/>
  <c r="C138" i="42"/>
  <c r="X137" i="42"/>
  <c r="U137" i="42"/>
  <c r="I137" i="42"/>
  <c r="F137" i="42"/>
  <c r="E137" i="42"/>
  <c r="C137" i="42"/>
  <c r="X136" i="42"/>
  <c r="U136" i="42"/>
  <c r="I136" i="42"/>
  <c r="F136" i="42"/>
  <c r="E136" i="42"/>
  <c r="C136" i="42"/>
  <c r="X135" i="42"/>
  <c r="U135" i="42"/>
  <c r="I135" i="42"/>
  <c r="F135" i="42"/>
  <c r="E135" i="42"/>
  <c r="C135" i="42"/>
  <c r="X134" i="42"/>
  <c r="U134" i="42"/>
  <c r="I134" i="42"/>
  <c r="F134" i="42"/>
  <c r="E134" i="42"/>
  <c r="C134" i="42"/>
  <c r="X133" i="42"/>
  <c r="U133" i="42"/>
  <c r="I133" i="42"/>
  <c r="F133" i="42"/>
  <c r="E133" i="42"/>
  <c r="C133" i="42"/>
  <c r="X132" i="42"/>
  <c r="U132" i="42"/>
  <c r="I132" i="42"/>
  <c r="F132" i="42"/>
  <c r="E132" i="42"/>
  <c r="C132" i="42"/>
  <c r="X131" i="42"/>
  <c r="U131" i="42"/>
  <c r="I131" i="42"/>
  <c r="F131" i="42"/>
  <c r="E131" i="42"/>
  <c r="C131" i="42"/>
  <c r="X130" i="42"/>
  <c r="U130" i="42"/>
  <c r="I130" i="42"/>
  <c r="F130" i="42"/>
  <c r="E130" i="42"/>
  <c r="C130" i="42"/>
  <c r="X129" i="42"/>
  <c r="U129" i="42"/>
  <c r="I129" i="42"/>
  <c r="F129" i="42"/>
  <c r="E129" i="42"/>
  <c r="C129" i="42"/>
  <c r="X128" i="42"/>
  <c r="U128" i="42"/>
  <c r="I128" i="42"/>
  <c r="F128" i="42"/>
  <c r="E128" i="42"/>
  <c r="C128" i="42"/>
  <c r="X127" i="42"/>
  <c r="U127" i="42"/>
  <c r="I127" i="42"/>
  <c r="F127" i="42"/>
  <c r="E127" i="42"/>
  <c r="C127" i="42"/>
  <c r="X126" i="42"/>
  <c r="U126" i="42"/>
  <c r="I126" i="42"/>
  <c r="F126" i="42"/>
  <c r="E126" i="42"/>
  <c r="C126" i="42"/>
  <c r="X125" i="42"/>
  <c r="U125" i="42"/>
  <c r="I125" i="42"/>
  <c r="F125" i="42"/>
  <c r="E125" i="42"/>
  <c r="C125" i="42"/>
  <c r="X124" i="42"/>
  <c r="U124" i="42"/>
  <c r="I124" i="42"/>
  <c r="F124" i="42"/>
  <c r="E124" i="42"/>
  <c r="C124" i="42"/>
  <c r="X123" i="42"/>
  <c r="U123" i="42"/>
  <c r="I123" i="42"/>
  <c r="F123" i="42"/>
  <c r="E123" i="42"/>
  <c r="C123" i="42"/>
  <c r="X122" i="42"/>
  <c r="U122" i="42"/>
  <c r="I122" i="42"/>
  <c r="F122" i="42"/>
  <c r="E122" i="42"/>
  <c r="C122" i="42"/>
  <c r="X121" i="42"/>
  <c r="U121" i="42"/>
  <c r="I121" i="42"/>
  <c r="F121" i="42"/>
  <c r="C121" i="42"/>
  <c r="X120" i="42"/>
  <c r="U120" i="42"/>
  <c r="I120" i="42"/>
  <c r="F120" i="42"/>
  <c r="C120" i="42"/>
  <c r="X119" i="42"/>
  <c r="U119" i="42"/>
  <c r="I119" i="42"/>
  <c r="F119" i="42"/>
  <c r="E119" i="42"/>
  <c r="C119" i="42"/>
  <c r="X118" i="42"/>
  <c r="U118" i="42"/>
  <c r="I118" i="42"/>
  <c r="F118" i="42"/>
  <c r="E118" i="42"/>
  <c r="C118" i="42"/>
  <c r="X117" i="42"/>
  <c r="U117" i="42"/>
  <c r="I117" i="42"/>
  <c r="F117" i="42"/>
  <c r="E117" i="42"/>
  <c r="C117" i="42"/>
  <c r="X116" i="42"/>
  <c r="U116" i="42"/>
  <c r="I116" i="42"/>
  <c r="F116" i="42"/>
  <c r="E116" i="42"/>
  <c r="C116" i="42"/>
  <c r="X115" i="42"/>
  <c r="U115" i="42"/>
  <c r="I115" i="42"/>
  <c r="F115" i="42"/>
  <c r="E115" i="42"/>
  <c r="C115" i="42"/>
  <c r="X114" i="42"/>
  <c r="U114" i="42"/>
  <c r="I114" i="42"/>
  <c r="F114" i="42"/>
  <c r="E114" i="42"/>
  <c r="C114" i="42"/>
  <c r="X113" i="42"/>
  <c r="U113" i="42"/>
  <c r="I113" i="42"/>
  <c r="F113" i="42"/>
  <c r="E113" i="42"/>
  <c r="C113" i="42"/>
  <c r="X112" i="42"/>
  <c r="U112" i="42"/>
  <c r="I112" i="42"/>
  <c r="F112" i="42"/>
  <c r="E112" i="42"/>
  <c r="C112" i="42"/>
  <c r="X111" i="42"/>
  <c r="U111" i="42"/>
  <c r="I111" i="42"/>
  <c r="F111" i="42"/>
  <c r="E111" i="42"/>
  <c r="C111" i="42"/>
  <c r="X110" i="42"/>
  <c r="U110" i="42"/>
  <c r="I110" i="42"/>
  <c r="F110" i="42"/>
  <c r="E110" i="42"/>
  <c r="C110" i="42"/>
  <c r="X109" i="42"/>
  <c r="U109" i="42"/>
  <c r="I109" i="42"/>
  <c r="F109" i="42"/>
  <c r="E109" i="42"/>
  <c r="C109" i="42"/>
  <c r="X108" i="42"/>
  <c r="U108" i="42"/>
  <c r="I108" i="42"/>
  <c r="F108" i="42"/>
  <c r="E108" i="42"/>
  <c r="C108" i="42"/>
  <c r="X107" i="42"/>
  <c r="U107" i="42"/>
  <c r="I107" i="42"/>
  <c r="F107" i="42"/>
  <c r="E107" i="42"/>
  <c r="C107" i="42"/>
  <c r="X106" i="42"/>
  <c r="U106" i="42"/>
  <c r="I106" i="42"/>
  <c r="F106" i="42"/>
  <c r="E106" i="42"/>
  <c r="C106" i="42"/>
  <c r="X105" i="42"/>
  <c r="U105" i="42"/>
  <c r="I105" i="42"/>
  <c r="F105" i="42"/>
  <c r="E105" i="42"/>
  <c r="C105" i="42"/>
  <c r="X104" i="42"/>
  <c r="U104" i="42"/>
  <c r="I104" i="42"/>
  <c r="F104" i="42"/>
  <c r="E104" i="42"/>
  <c r="C104" i="42"/>
  <c r="X103" i="42"/>
  <c r="U103" i="42"/>
  <c r="I103" i="42"/>
  <c r="F103" i="42"/>
  <c r="E103" i="42"/>
  <c r="C103" i="42"/>
  <c r="X102" i="42"/>
  <c r="U102" i="42"/>
  <c r="I102" i="42"/>
  <c r="F102" i="42"/>
  <c r="E102" i="42"/>
  <c r="C102" i="42"/>
  <c r="X101" i="42"/>
  <c r="U101" i="42"/>
  <c r="I101" i="42"/>
  <c r="F101" i="42"/>
  <c r="E101" i="42"/>
  <c r="C101" i="42"/>
  <c r="X100" i="42"/>
  <c r="U100" i="42"/>
  <c r="I100" i="42"/>
  <c r="F100" i="42"/>
  <c r="E100" i="42"/>
  <c r="C100" i="42"/>
  <c r="X99" i="42"/>
  <c r="U99" i="42"/>
  <c r="I99" i="42"/>
  <c r="F99" i="42"/>
  <c r="E99" i="42"/>
  <c r="C99" i="42"/>
  <c r="X98" i="42"/>
  <c r="U98" i="42"/>
  <c r="I98" i="42"/>
  <c r="F98" i="42"/>
  <c r="E98" i="42"/>
  <c r="C98" i="42"/>
  <c r="X97" i="42"/>
  <c r="U97" i="42"/>
  <c r="I97" i="42"/>
  <c r="F97" i="42"/>
  <c r="E97" i="42"/>
  <c r="C97" i="42"/>
  <c r="X96" i="42"/>
  <c r="U96" i="42"/>
  <c r="I96" i="42"/>
  <c r="F96" i="42"/>
  <c r="E96" i="42"/>
  <c r="C96" i="42"/>
  <c r="X95" i="42"/>
  <c r="U95" i="42"/>
  <c r="I95" i="42"/>
  <c r="F95" i="42"/>
  <c r="E95" i="42"/>
  <c r="C95" i="42"/>
  <c r="X94" i="42"/>
  <c r="U94" i="42"/>
  <c r="I94" i="42"/>
  <c r="F94" i="42"/>
  <c r="E94" i="42"/>
  <c r="C94" i="42"/>
  <c r="X93" i="42"/>
  <c r="U93" i="42"/>
  <c r="I93" i="42"/>
  <c r="F93" i="42"/>
  <c r="E93" i="42"/>
  <c r="C93" i="42"/>
  <c r="X92" i="42"/>
  <c r="U92" i="42"/>
  <c r="I92" i="42"/>
  <c r="F92" i="42"/>
  <c r="E92" i="42"/>
  <c r="C92" i="42"/>
  <c r="X91" i="42"/>
  <c r="U91" i="42"/>
  <c r="I91" i="42"/>
  <c r="F91" i="42"/>
  <c r="E91" i="42"/>
  <c r="C91" i="42"/>
  <c r="X90" i="42"/>
  <c r="U90" i="42"/>
  <c r="I90" i="42"/>
  <c r="F90" i="42"/>
  <c r="E90" i="42"/>
  <c r="C90" i="42"/>
  <c r="X89" i="42"/>
  <c r="U89" i="42"/>
  <c r="I89" i="42"/>
  <c r="F89" i="42"/>
  <c r="E89" i="42"/>
  <c r="C89" i="42"/>
  <c r="X88" i="42"/>
  <c r="U88" i="42"/>
  <c r="I88" i="42"/>
  <c r="F88" i="42"/>
  <c r="E88" i="42"/>
  <c r="C88" i="42"/>
  <c r="X87" i="42"/>
  <c r="U87" i="42"/>
  <c r="I87" i="42"/>
  <c r="F87" i="42"/>
  <c r="E87" i="42"/>
  <c r="C87" i="42"/>
  <c r="X86" i="42"/>
  <c r="U86" i="42"/>
  <c r="I86" i="42"/>
  <c r="F86" i="42"/>
  <c r="E86" i="42"/>
  <c r="C86" i="42"/>
  <c r="X85" i="42"/>
  <c r="U85" i="42"/>
  <c r="I85" i="42"/>
  <c r="F85" i="42"/>
  <c r="E85" i="42"/>
  <c r="C85" i="42"/>
  <c r="X84" i="42"/>
  <c r="U84" i="42"/>
  <c r="I84" i="42"/>
  <c r="F84" i="42"/>
  <c r="E84" i="42"/>
  <c r="C84" i="42"/>
  <c r="X83" i="42"/>
  <c r="U83" i="42"/>
  <c r="I83" i="42"/>
  <c r="F83" i="42"/>
  <c r="E83" i="42"/>
  <c r="C83" i="42"/>
  <c r="X82" i="42"/>
  <c r="U82" i="42"/>
  <c r="I82" i="42"/>
  <c r="F82" i="42"/>
  <c r="E82" i="42"/>
  <c r="C82" i="42"/>
  <c r="X81" i="42"/>
  <c r="U81" i="42"/>
  <c r="I81" i="42"/>
  <c r="F81" i="42"/>
  <c r="E81" i="42"/>
  <c r="C81" i="42"/>
  <c r="X80" i="42"/>
  <c r="U80" i="42"/>
  <c r="I80" i="42"/>
  <c r="F80" i="42"/>
  <c r="E80" i="42"/>
  <c r="C80" i="42"/>
  <c r="X79" i="42"/>
  <c r="U79" i="42"/>
  <c r="I79" i="42"/>
  <c r="F79" i="42"/>
  <c r="E79" i="42"/>
  <c r="C79" i="42"/>
  <c r="X78" i="42"/>
  <c r="U78" i="42"/>
  <c r="I78" i="42"/>
  <c r="F78" i="42"/>
  <c r="E78" i="42"/>
  <c r="C78" i="42"/>
  <c r="X77" i="42"/>
  <c r="U77" i="42"/>
  <c r="I77" i="42"/>
  <c r="F77" i="42"/>
  <c r="E77" i="42"/>
  <c r="C77" i="42"/>
  <c r="X76" i="42"/>
  <c r="U76" i="42"/>
  <c r="I76" i="42"/>
  <c r="F76" i="42"/>
  <c r="E76" i="42"/>
  <c r="C76" i="42"/>
  <c r="X75" i="42"/>
  <c r="U75" i="42"/>
  <c r="I75" i="42"/>
  <c r="F75" i="42"/>
  <c r="E75" i="42"/>
  <c r="C75" i="42"/>
  <c r="X74" i="42"/>
  <c r="U74" i="42"/>
  <c r="I74" i="42"/>
  <c r="F74" i="42"/>
  <c r="E74" i="42"/>
  <c r="C74" i="42"/>
  <c r="X73" i="42"/>
  <c r="U73" i="42"/>
  <c r="I73" i="42"/>
  <c r="F73" i="42"/>
  <c r="E73" i="42"/>
  <c r="C73" i="42"/>
  <c r="X72" i="42"/>
  <c r="U72" i="42"/>
  <c r="I72" i="42"/>
  <c r="F72" i="42"/>
  <c r="E72" i="42"/>
  <c r="C72" i="42"/>
  <c r="X71" i="42"/>
  <c r="U71" i="42"/>
  <c r="I71" i="42"/>
  <c r="F71" i="42"/>
  <c r="E71" i="42"/>
  <c r="C71" i="42"/>
  <c r="X70" i="42"/>
  <c r="U70" i="42"/>
  <c r="I70" i="42"/>
  <c r="F70" i="42"/>
  <c r="E70" i="42"/>
  <c r="C70" i="42"/>
  <c r="X69" i="42"/>
  <c r="U69" i="42"/>
  <c r="I69" i="42"/>
  <c r="F69" i="42"/>
  <c r="C69" i="42"/>
  <c r="X68" i="42"/>
  <c r="U68" i="42"/>
  <c r="I68" i="42"/>
  <c r="F68" i="42"/>
  <c r="E68" i="42"/>
  <c r="C68" i="42"/>
  <c r="X67" i="42"/>
  <c r="U67" i="42"/>
  <c r="I67" i="42"/>
  <c r="F67" i="42"/>
  <c r="E67" i="42"/>
  <c r="C67" i="42"/>
  <c r="X66" i="42"/>
  <c r="U66" i="42"/>
  <c r="I66" i="42"/>
  <c r="F66" i="42"/>
  <c r="E66" i="42"/>
  <c r="C66" i="42"/>
  <c r="X65" i="42"/>
  <c r="U65" i="42"/>
  <c r="I65" i="42"/>
  <c r="F65" i="42"/>
  <c r="E65" i="42"/>
  <c r="C65" i="42"/>
  <c r="X64" i="42"/>
  <c r="U64" i="42"/>
  <c r="I64" i="42"/>
  <c r="F64" i="42"/>
  <c r="E64" i="42"/>
  <c r="C64" i="42"/>
  <c r="X63" i="42"/>
  <c r="U63" i="42"/>
  <c r="I63" i="42"/>
  <c r="F63" i="42"/>
  <c r="E63" i="42"/>
  <c r="C63" i="42"/>
  <c r="X62" i="42"/>
  <c r="U62" i="42"/>
  <c r="I62" i="42"/>
  <c r="F62" i="42"/>
  <c r="E62" i="42"/>
  <c r="C62" i="42"/>
  <c r="X61" i="42"/>
  <c r="U61" i="42"/>
  <c r="I61" i="42"/>
  <c r="F61" i="42"/>
  <c r="E61" i="42"/>
  <c r="C61" i="42"/>
  <c r="X60" i="42"/>
  <c r="U60" i="42"/>
  <c r="I60" i="42"/>
  <c r="F60" i="42"/>
  <c r="E60" i="42"/>
  <c r="C60" i="42"/>
  <c r="X59" i="42"/>
  <c r="U59" i="42"/>
  <c r="I59" i="42"/>
  <c r="F59" i="42"/>
  <c r="E59" i="42"/>
  <c r="C59" i="42"/>
  <c r="X58" i="42"/>
  <c r="U58" i="42"/>
  <c r="I58" i="42"/>
  <c r="F58" i="42"/>
  <c r="E58" i="42"/>
  <c r="C58" i="42"/>
  <c r="X57" i="42"/>
  <c r="U57" i="42"/>
  <c r="I57" i="42"/>
  <c r="F57" i="42"/>
  <c r="E57" i="42"/>
  <c r="C57" i="42"/>
  <c r="X56" i="42"/>
  <c r="U56" i="42"/>
  <c r="I56" i="42"/>
  <c r="F56" i="42"/>
  <c r="E56" i="42"/>
  <c r="C56" i="42"/>
  <c r="X55" i="42"/>
  <c r="U55" i="42"/>
  <c r="I55" i="42"/>
  <c r="F55" i="42"/>
  <c r="E55" i="42"/>
  <c r="C55" i="42"/>
  <c r="X54" i="42"/>
  <c r="U54" i="42"/>
  <c r="I54" i="42"/>
  <c r="F54" i="42"/>
  <c r="E54" i="42"/>
  <c r="C54" i="42"/>
  <c r="X53" i="42"/>
  <c r="U53" i="42"/>
  <c r="I53" i="42"/>
  <c r="F53" i="42"/>
  <c r="E53" i="42"/>
  <c r="C53" i="42"/>
  <c r="X52" i="42"/>
  <c r="U52" i="42"/>
  <c r="I52" i="42"/>
  <c r="F52" i="42"/>
  <c r="E52" i="42"/>
  <c r="C52" i="42"/>
  <c r="X51" i="42"/>
  <c r="U51" i="42"/>
  <c r="I51" i="42"/>
  <c r="F51" i="42"/>
  <c r="E51" i="42"/>
  <c r="C51" i="42"/>
  <c r="X50" i="42"/>
  <c r="U50" i="42"/>
  <c r="I50" i="42"/>
  <c r="F50" i="42"/>
  <c r="E50" i="42"/>
  <c r="C50" i="42"/>
  <c r="X49" i="42"/>
  <c r="U49" i="42"/>
  <c r="I49" i="42"/>
  <c r="F49" i="42"/>
  <c r="E49" i="42"/>
  <c r="C49" i="42"/>
  <c r="X48" i="42"/>
  <c r="U48" i="42"/>
  <c r="I48" i="42"/>
  <c r="F48" i="42"/>
  <c r="E48" i="42"/>
  <c r="C48" i="42"/>
  <c r="X47" i="42"/>
  <c r="U47" i="42"/>
  <c r="I47" i="42"/>
  <c r="F47" i="42"/>
  <c r="E47" i="42"/>
  <c r="C47" i="42"/>
  <c r="X46" i="42"/>
  <c r="U46" i="42"/>
  <c r="I46" i="42"/>
  <c r="F46" i="42"/>
  <c r="E46" i="42"/>
  <c r="C46" i="42"/>
  <c r="X45" i="42"/>
  <c r="U45" i="42"/>
  <c r="I45" i="42"/>
  <c r="F45" i="42"/>
  <c r="E45" i="42"/>
  <c r="C45" i="42"/>
  <c r="X44" i="42"/>
  <c r="U44" i="42"/>
  <c r="I44" i="42"/>
  <c r="F44" i="42"/>
  <c r="C44" i="42"/>
  <c r="X43" i="42"/>
  <c r="U43" i="42"/>
  <c r="I43" i="42"/>
  <c r="F43" i="42"/>
  <c r="E43" i="42"/>
  <c r="C43" i="42"/>
  <c r="X42" i="42"/>
  <c r="U42" i="42"/>
  <c r="I42" i="42"/>
  <c r="F42" i="42"/>
  <c r="E42" i="42"/>
  <c r="C42" i="42"/>
  <c r="X41" i="42"/>
  <c r="U41" i="42"/>
  <c r="I41" i="42"/>
  <c r="F41" i="42"/>
  <c r="E41" i="42"/>
  <c r="C41" i="42"/>
  <c r="X40" i="42"/>
  <c r="U40" i="42"/>
  <c r="I40" i="42"/>
  <c r="F40" i="42"/>
  <c r="E40" i="42"/>
  <c r="C40" i="42"/>
  <c r="X39" i="42"/>
  <c r="U39" i="42"/>
  <c r="I39" i="42"/>
  <c r="F39" i="42"/>
  <c r="C39" i="42"/>
  <c r="X38" i="42"/>
  <c r="U38" i="42"/>
  <c r="I38" i="42"/>
  <c r="F38" i="42"/>
  <c r="C38" i="42"/>
  <c r="X37" i="42"/>
  <c r="U37" i="42"/>
  <c r="I37" i="42"/>
  <c r="F37" i="42"/>
  <c r="C37" i="42"/>
  <c r="X36" i="42"/>
  <c r="U36" i="42"/>
  <c r="I36" i="42"/>
  <c r="F36" i="42"/>
  <c r="C36" i="42"/>
  <c r="X35" i="42"/>
  <c r="U35" i="42"/>
  <c r="I35" i="42"/>
  <c r="F35" i="42"/>
  <c r="C35" i="42"/>
  <c r="X34" i="42"/>
  <c r="U34" i="42"/>
  <c r="I34" i="42"/>
  <c r="F34" i="42"/>
  <c r="E34" i="42"/>
  <c r="C34" i="42"/>
  <c r="X33" i="42"/>
  <c r="U33" i="42"/>
  <c r="I33" i="42"/>
  <c r="F33" i="42"/>
  <c r="C33" i="42"/>
  <c r="X32" i="42"/>
  <c r="U32" i="42"/>
  <c r="I32" i="42"/>
  <c r="F32" i="42"/>
  <c r="C32" i="42"/>
  <c r="X31" i="42"/>
  <c r="U31" i="42"/>
  <c r="I31" i="42"/>
  <c r="F31" i="42"/>
  <c r="C31" i="42"/>
  <c r="X30" i="42"/>
  <c r="U30" i="42"/>
  <c r="I30" i="42"/>
  <c r="F30" i="42"/>
  <c r="C30" i="42"/>
  <c r="X29" i="42"/>
  <c r="U29" i="42"/>
  <c r="I29" i="42"/>
  <c r="F29" i="42"/>
  <c r="C29" i="42"/>
  <c r="X28" i="42"/>
  <c r="U28" i="42"/>
  <c r="I28" i="42"/>
  <c r="F28" i="42"/>
  <c r="C28" i="42"/>
  <c r="X27" i="42"/>
  <c r="U27" i="42"/>
  <c r="I27" i="42"/>
  <c r="F27" i="42"/>
  <c r="C27" i="42"/>
  <c r="X26" i="42"/>
  <c r="U26" i="42"/>
  <c r="I26" i="42"/>
  <c r="F26" i="42"/>
  <c r="C26" i="42"/>
  <c r="X25" i="42"/>
  <c r="U25" i="42"/>
  <c r="I25" i="42"/>
  <c r="F25" i="42"/>
  <c r="C25" i="42"/>
  <c r="X24" i="42"/>
  <c r="U24" i="42"/>
  <c r="I24" i="42"/>
  <c r="F24" i="42"/>
  <c r="C24" i="42"/>
  <c r="X23" i="42"/>
  <c r="U23" i="42"/>
  <c r="I23" i="42"/>
  <c r="F23" i="42"/>
  <c r="C23" i="42"/>
  <c r="X22" i="42"/>
  <c r="U22" i="42"/>
  <c r="I22" i="42"/>
  <c r="F22" i="42"/>
  <c r="C22" i="42"/>
  <c r="X21" i="42"/>
  <c r="U21" i="42"/>
  <c r="I21" i="42"/>
  <c r="F21" i="42"/>
  <c r="C21" i="42"/>
  <c r="X20" i="42"/>
  <c r="U20" i="42"/>
  <c r="I20" i="42"/>
  <c r="F20" i="42"/>
  <c r="C20" i="42"/>
  <c r="X19" i="42"/>
  <c r="U19" i="42"/>
  <c r="I19" i="42"/>
  <c r="F19" i="42"/>
  <c r="C19" i="42"/>
  <c r="X18" i="42"/>
  <c r="U18" i="42"/>
  <c r="I18" i="42"/>
  <c r="F18" i="42"/>
  <c r="C18" i="42"/>
  <c r="X17" i="42"/>
  <c r="U17" i="42"/>
  <c r="I17" i="42"/>
  <c r="F17" i="42"/>
  <c r="E17" i="42"/>
  <c r="C17" i="42"/>
  <c r="X16" i="42"/>
  <c r="U16" i="42"/>
  <c r="I16" i="42"/>
  <c r="F16" i="42"/>
  <c r="C16" i="42"/>
  <c r="X15" i="42"/>
  <c r="U15" i="42"/>
  <c r="I15" i="42"/>
  <c r="F15" i="42"/>
  <c r="C15" i="42"/>
  <c r="X14" i="42"/>
  <c r="U14" i="42"/>
  <c r="I14" i="42"/>
  <c r="F14" i="42"/>
  <c r="C14" i="42"/>
  <c r="X13" i="42"/>
  <c r="U13" i="42"/>
  <c r="I13" i="42"/>
  <c r="F13" i="42"/>
  <c r="E13" i="42"/>
  <c r="C13" i="42"/>
  <c r="X12" i="42"/>
  <c r="U12" i="42"/>
  <c r="I12" i="42"/>
  <c r="F12" i="42"/>
  <c r="C12" i="42"/>
  <c r="X11" i="42"/>
  <c r="U11" i="42"/>
  <c r="I11" i="42"/>
  <c r="F11" i="42"/>
  <c r="C11" i="42"/>
  <c r="X10" i="42"/>
  <c r="U10" i="42"/>
  <c r="I10" i="42"/>
  <c r="F10" i="42"/>
  <c r="C10" i="42"/>
  <c r="X9" i="42"/>
  <c r="U9" i="42"/>
  <c r="I9" i="42"/>
  <c r="F9" i="42"/>
  <c r="E9" i="42"/>
  <c r="C9" i="42"/>
  <c r="X8" i="42"/>
  <c r="U8" i="42"/>
  <c r="I8" i="42"/>
  <c r="F8" i="42"/>
  <c r="E8" i="42"/>
  <c r="C8" i="42"/>
  <c r="X7" i="42"/>
  <c r="U7" i="42"/>
  <c r="I7" i="42"/>
  <c r="F7" i="42"/>
  <c r="E7" i="42"/>
  <c r="C7" i="42"/>
  <c r="X6" i="42"/>
  <c r="U6" i="42"/>
  <c r="I6" i="42"/>
  <c r="F6" i="42"/>
  <c r="C6" i="42"/>
  <c r="X5" i="42"/>
  <c r="U5" i="42"/>
  <c r="I5" i="42"/>
  <c r="F5" i="42"/>
  <c r="C5" i="42"/>
  <c r="X4" i="42"/>
  <c r="U4" i="42"/>
  <c r="I4" i="42"/>
  <c r="F4" i="42"/>
  <c r="E4" i="42"/>
  <c r="C4" i="42"/>
  <c r="X3" i="42"/>
  <c r="U3" i="42"/>
  <c r="I3" i="42"/>
  <c r="F3" i="42"/>
  <c r="C3" i="42"/>
  <c r="X2" i="42"/>
  <c r="U2" i="42"/>
  <c r="I2" i="42"/>
  <c r="F2" i="42"/>
  <c r="E2" i="42"/>
  <c r="C2" i="42"/>
  <c r="Y974" i="42" l="1"/>
  <c r="Y1102" i="42"/>
  <c r="Y661" i="42"/>
  <c r="Y826" i="42"/>
  <c r="Y990" i="42"/>
  <c r="Y1118" i="42"/>
  <c r="Y1190" i="42"/>
  <c r="Y1214" i="42"/>
  <c r="Y912" i="42"/>
  <c r="Y901" i="42"/>
  <c r="Y905" i="42"/>
  <c r="Y933" i="42"/>
  <c r="Y997" i="42"/>
  <c r="Y1206" i="42"/>
  <c r="Y1182" i="42"/>
  <c r="Y668" i="42"/>
  <c r="Y1198" i="42"/>
  <c r="Y714" i="42"/>
  <c r="Y722" i="42"/>
  <c r="Y786" i="42"/>
  <c r="Y787" i="42"/>
  <c r="Y793" i="42"/>
  <c r="Y796" i="42"/>
  <c r="Y797" i="42"/>
  <c r="Y799" i="42"/>
  <c r="Y800" i="42"/>
  <c r="Y801" i="42"/>
  <c r="Y802" i="42"/>
  <c r="Y804" i="42"/>
  <c r="Y805" i="42"/>
  <c r="Y807" i="42"/>
  <c r="Y808" i="42"/>
  <c r="Y809" i="42"/>
  <c r="Y817" i="42"/>
  <c r="Y819" i="42"/>
  <c r="Y820" i="42"/>
  <c r="Y821" i="42"/>
  <c r="Y823" i="42"/>
  <c r="Y875" i="42"/>
  <c r="Y907" i="42"/>
  <c r="Y1005" i="42"/>
  <c r="Y1009" i="42"/>
  <c r="Y1013" i="42"/>
  <c r="Y1021" i="42"/>
  <c r="Y1029" i="42"/>
  <c r="Y1037" i="42"/>
  <c r="Y1041" i="42"/>
  <c r="Y1045" i="42"/>
  <c r="Y1049" i="42"/>
  <c r="Y1053" i="42"/>
  <c r="Y1061" i="42"/>
  <c r="Y1101" i="42"/>
  <c r="Y1105" i="42"/>
  <c r="Y1109" i="42"/>
  <c r="Y1113" i="42"/>
  <c r="Y1117" i="42"/>
  <c r="Y1125" i="42"/>
  <c r="Y1132" i="42"/>
  <c r="Y1140" i="42"/>
  <c r="Y1148" i="42"/>
  <c r="Y1156" i="42"/>
  <c r="Y1164" i="42"/>
  <c r="Y1172" i="42"/>
  <c r="Y1000" i="42"/>
  <c r="Y1016" i="42"/>
  <c r="Y1024" i="42"/>
  <c r="Y1032" i="42"/>
  <c r="Y1064" i="42"/>
  <c r="Y1080" i="42"/>
  <c r="Y1088" i="42"/>
  <c r="Y1130" i="42"/>
  <c r="Y1138" i="42"/>
  <c r="Y1146" i="42"/>
  <c r="Y1154" i="42"/>
  <c r="Y1162" i="42"/>
  <c r="Y1170" i="42"/>
  <c r="Y923" i="42"/>
  <c r="Y931" i="42"/>
  <c r="Y987" i="42"/>
  <c r="Y995" i="42"/>
  <c r="Y960" i="42"/>
  <c r="Y968" i="42"/>
  <c r="Y992" i="42"/>
  <c r="Y707" i="42"/>
  <c r="Y726" i="42"/>
  <c r="Y761" i="42"/>
  <c r="Y770" i="42"/>
  <c r="Y834" i="42"/>
  <c r="Y835" i="42"/>
  <c r="Y843" i="42"/>
  <c r="Y846" i="42"/>
  <c r="Y849" i="42"/>
  <c r="Y850" i="42"/>
  <c r="Y854" i="42"/>
  <c r="Y1015" i="42"/>
  <c r="Y1063" i="42"/>
  <c r="Y1095" i="42"/>
  <c r="Y1111" i="42"/>
  <c r="Y675" i="42"/>
  <c r="Y678" i="42"/>
  <c r="Y729" i="42"/>
  <c r="Y771" i="42"/>
  <c r="Y727" i="42"/>
  <c r="Y754" i="42"/>
  <c r="Y941" i="42"/>
  <c r="Y945" i="42"/>
  <c r="Y949" i="42"/>
  <c r="Y965" i="42"/>
  <c r="Y1133" i="42"/>
  <c r="Y1141" i="42"/>
  <c r="Y1149" i="42"/>
  <c r="Y1157" i="42"/>
  <c r="Y1165" i="42"/>
  <c r="Y1173" i="42"/>
  <c r="Y710" i="42"/>
  <c r="Y711" i="42"/>
  <c r="Y733" i="42"/>
  <c r="Y735" i="42"/>
  <c r="Y736" i="42"/>
  <c r="Y737" i="42"/>
  <c r="Y738" i="42"/>
  <c r="Y744" i="42"/>
  <c r="Y745" i="42"/>
  <c r="Y753" i="42"/>
  <c r="Y884" i="42"/>
  <c r="Y888" i="42"/>
  <c r="Y904" i="42"/>
  <c r="Y973" i="42"/>
  <c r="Y977" i="42"/>
  <c r="Y981" i="42"/>
  <c r="Y989" i="42"/>
  <c r="Y782" i="42"/>
  <c r="Y839" i="42"/>
  <c r="Y903" i="42"/>
  <c r="Y939" i="42"/>
  <c r="Y976" i="42"/>
  <c r="Y984" i="42"/>
  <c r="Y1065" i="42"/>
  <c r="Y1093" i="42"/>
  <c r="Y775" i="42"/>
  <c r="Y944" i="42"/>
  <c r="Y818" i="42"/>
  <c r="Y910" i="42"/>
  <c r="Y983" i="42"/>
  <c r="Y1040" i="42"/>
  <c r="Y1104" i="42"/>
  <c r="Y774" i="42"/>
  <c r="Y779" i="42"/>
  <c r="Y785" i="42"/>
  <c r="Y952" i="42"/>
  <c r="Y878" i="42"/>
  <c r="Y926" i="42"/>
  <c r="Y679" i="42"/>
  <c r="Y680" i="42"/>
  <c r="Y681" i="42"/>
  <c r="Y689" i="42"/>
  <c r="Y692" i="42"/>
  <c r="Y693" i="42"/>
  <c r="Y695" i="42"/>
  <c r="Y700" i="42"/>
  <c r="Y701" i="42"/>
  <c r="Y703" i="42"/>
  <c r="Y704" i="42"/>
  <c r="Y705" i="42"/>
  <c r="Y877" i="42"/>
  <c r="Y881" i="42"/>
  <c r="Y885" i="42"/>
  <c r="Y958" i="42"/>
  <c r="Y999" i="42"/>
  <c r="Y1035" i="42"/>
  <c r="Y1051" i="42"/>
  <c r="Y1059" i="42"/>
  <c r="Y1067" i="42"/>
  <c r="Y1083" i="42"/>
  <c r="Y1091" i="42"/>
  <c r="Y1128" i="42"/>
  <c r="Y1136" i="42"/>
  <c r="Y1144" i="42"/>
  <c r="Y1152" i="42"/>
  <c r="Y1160" i="42"/>
  <c r="Y1168" i="42"/>
  <c r="Y1177" i="42"/>
  <c r="Y1185" i="42"/>
  <c r="Y1193" i="42"/>
  <c r="Y1201" i="42"/>
  <c r="Y1209" i="42"/>
  <c r="Y683" i="42"/>
  <c r="Y686" i="42"/>
  <c r="Y790" i="42"/>
  <c r="Y791" i="42"/>
  <c r="Y894" i="42"/>
  <c r="Y919" i="42"/>
  <c r="Y969" i="42"/>
  <c r="Y1031" i="42"/>
  <c r="Y1097" i="42"/>
  <c r="Y1181" i="42"/>
  <c r="Y1189" i="42"/>
  <c r="Y1197" i="42"/>
  <c r="Y1205" i="42"/>
  <c r="Y1213" i="42"/>
  <c r="Y682" i="42"/>
  <c r="Y690" i="42"/>
  <c r="Y697" i="42"/>
  <c r="Y698" i="42"/>
  <c r="Y706" i="42"/>
  <c r="Y794" i="42"/>
  <c r="Y803" i="42"/>
  <c r="Y810" i="42"/>
  <c r="Y811" i="42"/>
  <c r="Y814" i="42"/>
  <c r="Y893" i="42"/>
  <c r="Y935" i="42"/>
  <c r="Y951" i="42"/>
  <c r="Y955" i="42"/>
  <c r="Y963" i="42"/>
  <c r="Y1006" i="42"/>
  <c r="Y1022" i="42"/>
  <c r="Y1047" i="42"/>
  <c r="Y1072" i="42"/>
  <c r="Y1096" i="42"/>
  <c r="Y1112" i="42"/>
  <c r="Y1120" i="42"/>
  <c r="Y1131" i="42"/>
  <c r="Y1139" i="42"/>
  <c r="Y1147" i="42"/>
  <c r="Y1155" i="42"/>
  <c r="Y1163" i="42"/>
  <c r="Y1171" i="42"/>
  <c r="Y1180" i="42"/>
  <c r="Y1188" i="42"/>
  <c r="Y1196" i="42"/>
  <c r="Y1204" i="42"/>
  <c r="Y1212" i="42"/>
  <c r="Y715" i="42"/>
  <c r="Y718" i="42"/>
  <c r="Y721" i="42"/>
  <c r="Y723" i="42"/>
  <c r="Y825" i="42"/>
  <c r="Y828" i="42"/>
  <c r="Y829" i="42"/>
  <c r="Y831" i="42"/>
  <c r="Y832" i="42"/>
  <c r="Y833" i="42"/>
  <c r="Y880" i="42"/>
  <c r="Y896" i="42"/>
  <c r="Y909" i="42"/>
  <c r="Y913" i="42"/>
  <c r="Y917" i="42"/>
  <c r="Y925" i="42"/>
  <c r="Y942" i="42"/>
  <c r="Y967" i="42"/>
  <c r="Y971" i="42"/>
  <c r="Y1001" i="42"/>
  <c r="Y1038" i="42"/>
  <c r="Y1054" i="42"/>
  <c r="Y1079" i="42"/>
  <c r="Y1099" i="42"/>
  <c r="Y1115" i="42"/>
  <c r="Y1123" i="42"/>
  <c r="Y1129" i="42"/>
  <c r="Y1137" i="42"/>
  <c r="Y1145" i="42"/>
  <c r="Y1153" i="42"/>
  <c r="Y1161" i="42"/>
  <c r="Y1169" i="42"/>
  <c r="Y730" i="42"/>
  <c r="Y731" i="42"/>
  <c r="Y739" i="42"/>
  <c r="Y742" i="42"/>
  <c r="Y743" i="42"/>
  <c r="Y746" i="42"/>
  <c r="Y747" i="42"/>
  <c r="Y750" i="42"/>
  <c r="Y755" i="42"/>
  <c r="Y756" i="42"/>
  <c r="Y757" i="42"/>
  <c r="Y759" i="42"/>
  <c r="Y762" i="42"/>
  <c r="Y764" i="42"/>
  <c r="Y765" i="42"/>
  <c r="Y767" i="42"/>
  <c r="Y768" i="42"/>
  <c r="Y769" i="42"/>
  <c r="Y838" i="42"/>
  <c r="Y840" i="42"/>
  <c r="Y841" i="42"/>
  <c r="Y842" i="42"/>
  <c r="Y851" i="42"/>
  <c r="Y887" i="42"/>
  <c r="Y891" i="42"/>
  <c r="Y899" i="42"/>
  <c r="Y916" i="42"/>
  <c r="Y920" i="42"/>
  <c r="Y928" i="42"/>
  <c r="Y937" i="42"/>
  <c r="Y957" i="42"/>
  <c r="Y1008" i="42"/>
  <c r="Y1033" i="42"/>
  <c r="Y1070" i="42"/>
  <c r="Y1086" i="42"/>
  <c r="Y1127" i="42"/>
  <c r="Y1135" i="42"/>
  <c r="Y1143" i="42"/>
  <c r="Y1151" i="42"/>
  <c r="Y1159" i="42"/>
  <c r="Y1167" i="42"/>
  <c r="Y1176" i="42"/>
  <c r="Y1184" i="42"/>
  <c r="Y1192" i="42"/>
  <c r="Y1200" i="42"/>
  <c r="Y1208" i="42"/>
  <c r="Y1216" i="42"/>
  <c r="Y776" i="42"/>
  <c r="Y777" i="42"/>
  <c r="Y778" i="42"/>
  <c r="Y936" i="42"/>
  <c r="Y948" i="42"/>
  <c r="Y1003" i="42"/>
  <c r="Y1019" i="42"/>
  <c r="Y1027" i="42"/>
  <c r="Y1048" i="42"/>
  <c r="Y1056" i="42"/>
  <c r="Y1069" i="42"/>
  <c r="Y1073" i="42"/>
  <c r="Y1077" i="42"/>
  <c r="Y1085" i="42"/>
  <c r="Y1126" i="42"/>
  <c r="Y1134" i="42"/>
  <c r="Y1142" i="42"/>
  <c r="Y1150" i="42"/>
  <c r="Y1158" i="42"/>
  <c r="Y1166" i="42"/>
  <c r="Y1174" i="42"/>
  <c r="Y676" i="42"/>
  <c r="Y677" i="42"/>
  <c r="Y712" i="42"/>
  <c r="Y713" i="42"/>
  <c r="Y889" i="42"/>
  <c r="Y953" i="42"/>
  <c r="Y985" i="42"/>
  <c r="Y691" i="42"/>
  <c r="Y732" i="42"/>
  <c r="Y740" i="42"/>
  <c r="Y741" i="42"/>
  <c r="Y921" i="42"/>
  <c r="Y1081" i="42"/>
  <c r="Y806" i="42"/>
  <c r="Y1017" i="42"/>
  <c r="Y699" i="42"/>
  <c r="Y702" i="42"/>
  <c r="Y724" i="42"/>
  <c r="Y725" i="42"/>
  <c r="Y763" i="42"/>
  <c r="Y766" i="42"/>
  <c r="Y788" i="42"/>
  <c r="Y789" i="42"/>
  <c r="Y827" i="42"/>
  <c r="Y830" i="42"/>
  <c r="Y852" i="42"/>
  <c r="Y853" i="42"/>
  <c r="Y879" i="42"/>
  <c r="Y883" i="42"/>
  <c r="Y897" i="42"/>
  <c r="Y902" i="42"/>
  <c r="Y911" i="42"/>
  <c r="Y915" i="42"/>
  <c r="Y929" i="42"/>
  <c r="Y934" i="42"/>
  <c r="Y943" i="42"/>
  <c r="Y947" i="42"/>
  <c r="Y961" i="42"/>
  <c r="Y966" i="42"/>
  <c r="Y975" i="42"/>
  <c r="Y979" i="42"/>
  <c r="Y993" i="42"/>
  <c r="Y998" i="42"/>
  <c r="Y1007" i="42"/>
  <c r="Y1011" i="42"/>
  <c r="Y1025" i="42"/>
  <c r="Y1030" i="42"/>
  <c r="Y1039" i="42"/>
  <c r="Y1043" i="42"/>
  <c r="Y1057" i="42"/>
  <c r="Y1062" i="42"/>
  <c r="Y1071" i="42"/>
  <c r="Y1075" i="42"/>
  <c r="Y1089" i="42"/>
  <c r="Y1094" i="42"/>
  <c r="Y1103" i="42"/>
  <c r="Y1107" i="42"/>
  <c r="Y1121" i="42"/>
  <c r="Y1175" i="42"/>
  <c r="Y1183" i="42"/>
  <c r="Y1191" i="42"/>
  <c r="Y1199" i="42"/>
  <c r="Y1207" i="42"/>
  <c r="Y1215" i="42"/>
  <c r="Y684" i="42"/>
  <c r="Y685" i="42"/>
  <c r="Y687" i="42"/>
  <c r="Y688" i="42"/>
  <c r="Y728" i="42"/>
  <c r="Y748" i="42"/>
  <c r="Y749" i="42"/>
  <c r="Y751" i="42"/>
  <c r="Y752" i="42"/>
  <c r="Y792" i="42"/>
  <c r="Y812" i="42"/>
  <c r="Y813" i="42"/>
  <c r="Y815" i="42"/>
  <c r="Y816" i="42"/>
  <c r="Y892" i="42"/>
  <c r="Y924" i="42"/>
  <c r="Y956" i="42"/>
  <c r="Y988" i="42"/>
  <c r="Y1020" i="42"/>
  <c r="Y1052" i="42"/>
  <c r="Y1084" i="42"/>
  <c r="Y1116" i="42"/>
  <c r="Y708" i="42"/>
  <c r="Y709" i="42"/>
  <c r="Y772" i="42"/>
  <c r="Y773" i="42"/>
  <c r="Y836" i="42"/>
  <c r="Y837" i="42"/>
  <c r="Y900" i="42"/>
  <c r="Y932" i="42"/>
  <c r="Y964" i="42"/>
  <c r="Y996" i="42"/>
  <c r="Y1028" i="42"/>
  <c r="Y1060" i="42"/>
  <c r="Y1092" i="42"/>
  <c r="Y1124" i="42"/>
  <c r="Y734" i="42"/>
  <c r="Y798" i="42"/>
  <c r="Y886" i="42"/>
  <c r="Y895" i="42"/>
  <c r="Y918" i="42"/>
  <c r="Y927" i="42"/>
  <c r="Y950" i="42"/>
  <c r="Y959" i="42"/>
  <c r="Y982" i="42"/>
  <c r="Y991" i="42"/>
  <c r="Y1014" i="42"/>
  <c r="Y1023" i="42"/>
  <c r="Y1046" i="42"/>
  <c r="Y1055" i="42"/>
  <c r="Y1078" i="42"/>
  <c r="Y1087" i="42"/>
  <c r="Y1110" i="42"/>
  <c r="Y1119" i="42"/>
  <c r="Y1179" i="42"/>
  <c r="Y1187" i="42"/>
  <c r="Y1195" i="42"/>
  <c r="Y1203" i="42"/>
  <c r="Y1211" i="42"/>
  <c r="Y795" i="42"/>
  <c r="Y694" i="42"/>
  <c r="Y696" i="42"/>
  <c r="Y716" i="42"/>
  <c r="Y717" i="42"/>
  <c r="Y719" i="42"/>
  <c r="Y720" i="42"/>
  <c r="Y758" i="42"/>
  <c r="Y760" i="42"/>
  <c r="Y780" i="42"/>
  <c r="Y781" i="42"/>
  <c r="Y783" i="42"/>
  <c r="Y784" i="42"/>
  <c r="Y822" i="42"/>
  <c r="Y824" i="42"/>
  <c r="Y844" i="42"/>
  <c r="Y845" i="42"/>
  <c r="Y847" i="42"/>
  <c r="Y848" i="42"/>
  <c r="Y876" i="42"/>
  <c r="Y908" i="42"/>
  <c r="Y940" i="42"/>
  <c r="Y972" i="42"/>
  <c r="Y1004" i="42"/>
  <c r="Y1036" i="42"/>
  <c r="Y1068" i="42"/>
  <c r="Y1100" i="42"/>
  <c r="Y1178" i="42"/>
  <c r="Y1186" i="42"/>
  <c r="Y1194" i="42"/>
  <c r="Y1202" i="42"/>
  <c r="Y1210" i="42"/>
  <c r="Y980" i="42"/>
  <c r="Y1012" i="42"/>
  <c r="Y1044" i="42"/>
  <c r="Y1076" i="42"/>
  <c r="Y1108" i="42"/>
  <c r="Y890" i="42"/>
  <c r="Y906" i="42"/>
  <c r="Y922" i="42"/>
  <c r="Y938" i="42"/>
  <c r="Y954" i="42"/>
  <c r="Y970" i="42"/>
  <c r="Y986" i="42"/>
  <c r="Y1002" i="42"/>
  <c r="Y1018" i="42"/>
  <c r="Y1034" i="42"/>
  <c r="Y1050" i="42"/>
  <c r="Y1066" i="42"/>
  <c r="Y1082" i="42"/>
  <c r="Y1098" i="42"/>
  <c r="Y1114" i="42"/>
  <c r="Y882" i="42"/>
  <c r="Y898" i="42"/>
  <c r="Y914" i="42"/>
  <c r="Y930" i="42"/>
  <c r="Y946" i="42"/>
  <c r="Y962" i="42"/>
  <c r="Y978" i="42"/>
  <c r="Y994" i="42"/>
  <c r="Y1010" i="42"/>
  <c r="Y1026" i="42"/>
  <c r="Y1042" i="42"/>
  <c r="Y1058" i="42"/>
  <c r="Y1074" i="42"/>
  <c r="Y1090" i="42"/>
  <c r="Y1106" i="42"/>
  <c r="Y1122" i="42"/>
  <c r="Y483" i="42"/>
  <c r="Y857" i="42"/>
  <c r="Y873" i="42"/>
  <c r="Y208" i="42"/>
  <c r="Y64" i="42"/>
  <c r="Y336" i="42"/>
  <c r="Y405" i="42"/>
  <c r="Y437" i="42"/>
  <c r="Z453" i="42"/>
  <c r="Y485" i="42"/>
  <c r="Y662" i="42"/>
  <c r="Y670" i="42"/>
  <c r="Y858" i="42"/>
  <c r="Y874" i="42"/>
  <c r="Y396" i="42"/>
  <c r="Y568" i="42"/>
  <c r="Y116" i="42"/>
  <c r="Y263" i="42"/>
  <c r="Y320" i="42"/>
  <c r="Y331" i="42"/>
  <c r="Y338" i="42"/>
  <c r="Y359" i="42"/>
  <c r="Y378" i="42"/>
  <c r="Y415" i="42"/>
  <c r="Y431" i="42"/>
  <c r="Z448" i="42"/>
  <c r="Y455" i="42"/>
  <c r="Z480" i="42"/>
  <c r="Y487" i="42"/>
  <c r="Y509" i="42"/>
  <c r="Y525" i="42"/>
  <c r="Y541" i="42"/>
  <c r="Z549" i="42"/>
  <c r="Y557" i="42"/>
  <c r="Z564" i="42"/>
  <c r="Y572" i="42"/>
  <c r="Z446" i="42"/>
  <c r="Z466" i="42"/>
  <c r="Z470" i="42"/>
  <c r="Z478" i="42"/>
  <c r="Y494" i="42"/>
  <c r="Y562" i="42"/>
  <c r="Y570" i="42"/>
  <c r="Y428" i="42"/>
  <c r="Y444" i="42"/>
  <c r="Z451" i="42"/>
  <c r="Y475" i="42"/>
  <c r="Z476" i="42"/>
  <c r="Z492" i="42"/>
  <c r="Y499" i="42"/>
  <c r="Z500" i="42"/>
  <c r="Z506" i="42"/>
  <c r="Z513" i="42"/>
  <c r="Y327" i="42"/>
  <c r="Y339" i="42"/>
  <c r="Y380" i="42"/>
  <c r="Y433" i="42"/>
  <c r="Z442" i="42"/>
  <c r="Y449" i="42"/>
  <c r="Z457" i="42"/>
  <c r="Z482" i="42"/>
  <c r="Y519" i="42"/>
  <c r="Y566" i="42"/>
  <c r="Y666" i="42"/>
  <c r="Y856" i="42"/>
  <c r="Y864" i="42"/>
  <c r="Y868" i="42"/>
  <c r="Y664" i="42"/>
  <c r="Y859" i="42"/>
  <c r="Y863" i="42"/>
  <c r="Y9" i="42"/>
  <c r="Y23" i="42"/>
  <c r="Y63" i="42"/>
  <c r="Y68" i="42"/>
  <c r="Y91" i="42"/>
  <c r="Y99" i="42"/>
  <c r="Y138" i="42"/>
  <c r="Y150" i="42"/>
  <c r="Y154" i="42"/>
  <c r="Y178" i="42"/>
  <c r="Y182" i="42"/>
  <c r="Y186" i="42"/>
  <c r="Y198" i="42"/>
  <c r="Y219" i="42"/>
  <c r="Y243" i="42"/>
  <c r="Z454" i="42"/>
  <c r="Z563" i="42"/>
  <c r="Z571" i="42"/>
  <c r="Z582" i="42"/>
  <c r="Z591" i="42"/>
  <c r="Y606" i="42"/>
  <c r="Z614" i="42"/>
  <c r="Z623" i="42"/>
  <c r="Z632" i="42"/>
  <c r="Z642" i="42"/>
  <c r="Y70" i="42"/>
  <c r="Y90" i="42"/>
  <c r="Y98" i="42"/>
  <c r="Y149" i="42"/>
  <c r="Y169" i="42"/>
  <c r="Y181" i="42"/>
  <c r="Z452" i="42"/>
  <c r="Z569" i="42"/>
  <c r="Y580" i="42"/>
  <c r="Z589" i="42"/>
  <c r="Y604" i="42"/>
  <c r="Z620" i="42"/>
  <c r="Z635" i="42"/>
  <c r="Y16" i="42"/>
  <c r="Y66" i="42"/>
  <c r="Y69" i="42"/>
  <c r="Y89" i="42"/>
  <c r="Y160" i="42"/>
  <c r="Y328" i="42"/>
  <c r="Z450" i="42"/>
  <c r="Y458" i="42"/>
  <c r="Z567" i="42"/>
  <c r="Z574" i="42"/>
  <c r="Y602" i="42"/>
  <c r="Y610" i="42"/>
  <c r="Y618" i="42"/>
  <c r="Z630" i="42"/>
  <c r="Y171" i="42"/>
  <c r="Y203" i="42"/>
  <c r="Y321" i="42"/>
  <c r="Z456" i="42"/>
  <c r="Z565" i="42"/>
  <c r="Z593" i="42"/>
  <c r="Y608" i="42"/>
  <c r="Y624" i="42"/>
  <c r="Y625" i="42"/>
  <c r="Z633" i="42"/>
  <c r="Y5" i="42"/>
  <c r="Y20" i="42"/>
  <c r="Y107" i="42"/>
  <c r="Y127" i="42"/>
  <c r="Y295" i="42"/>
  <c r="Y304" i="42"/>
  <c r="Y346" i="42"/>
  <c r="Z445" i="42"/>
  <c r="Z486" i="42"/>
  <c r="Y495" i="42"/>
  <c r="Y508" i="42"/>
  <c r="Y540" i="42"/>
  <c r="Z548" i="42"/>
  <c r="Z556" i="42"/>
  <c r="Z609" i="42"/>
  <c r="Z639" i="42"/>
  <c r="Y652" i="42"/>
  <c r="Y660" i="42"/>
  <c r="Y667" i="42"/>
  <c r="Y861" i="42"/>
  <c r="Y11" i="42"/>
  <c r="Y22" i="42"/>
  <c r="Y42" i="42"/>
  <c r="Y62" i="42"/>
  <c r="Y86" i="42"/>
  <c r="Y94" i="42"/>
  <c r="Y119" i="42"/>
  <c r="Y130" i="42"/>
  <c r="Y202" i="42"/>
  <c r="Y250" i="42"/>
  <c r="Y258" i="42"/>
  <c r="Y271" i="42"/>
  <c r="Y285" i="42"/>
  <c r="Y293" i="42"/>
  <c r="Y388" i="42"/>
  <c r="Y443" i="42"/>
  <c r="Y461" i="42"/>
  <c r="Y493" i="42"/>
  <c r="Y530" i="42"/>
  <c r="Y531" i="42"/>
  <c r="Y538" i="42"/>
  <c r="Z546" i="42"/>
  <c r="Y554" i="42"/>
  <c r="Z561" i="42"/>
  <c r="Y578" i="42"/>
  <c r="Z592" i="42"/>
  <c r="Z607" i="42"/>
  <c r="Y628" i="42"/>
  <c r="Z636" i="42"/>
  <c r="Z643" i="42"/>
  <c r="Y650" i="42"/>
  <c r="Y658" i="42"/>
  <c r="Y665" i="42"/>
  <c r="Y671" i="42"/>
  <c r="Y872" i="42"/>
  <c r="Y13" i="42"/>
  <c r="Y19" i="42"/>
  <c r="Y41" i="42"/>
  <c r="Y61" i="42"/>
  <c r="Y77" i="42"/>
  <c r="Y97" i="42"/>
  <c r="Y129" i="42"/>
  <c r="Y245" i="42"/>
  <c r="Y261" i="42"/>
  <c r="Y299" i="42"/>
  <c r="Y314" i="42"/>
  <c r="Y344" i="42"/>
  <c r="Y368" i="42"/>
  <c r="Y379" i="42"/>
  <c r="Y392" i="42"/>
  <c r="Y440" i="42"/>
  <c r="Z441" i="42"/>
  <c r="Y464" i="42"/>
  <c r="Z465" i="42"/>
  <c r="Z491" i="42"/>
  <c r="Y498" i="42"/>
  <c r="Z529" i="42"/>
  <c r="Z544" i="42"/>
  <c r="Y552" i="42"/>
  <c r="Y560" i="42"/>
  <c r="Y605" i="42"/>
  <c r="Y627" i="42"/>
  <c r="Y663" i="42"/>
  <c r="Y867" i="42"/>
  <c r="Y88" i="42"/>
  <c r="Y96" i="42"/>
  <c r="Y248" i="42"/>
  <c r="Y348" i="42"/>
  <c r="Y366" i="42"/>
  <c r="Y377" i="42"/>
  <c r="Y406" i="42"/>
  <c r="Y447" i="42"/>
  <c r="Z463" i="42"/>
  <c r="Y510" i="42"/>
  <c r="Z511" i="42"/>
  <c r="Y526" i="42"/>
  <c r="Z535" i="42"/>
  <c r="Z542" i="42"/>
  <c r="Y550" i="42"/>
  <c r="Y558" i="42"/>
  <c r="Z579" i="42"/>
  <c r="Y603" i="42"/>
  <c r="Z611" i="42"/>
  <c r="Z641" i="42"/>
  <c r="Y646" i="42"/>
  <c r="Y654" i="42"/>
  <c r="Y669" i="42"/>
  <c r="Y862" i="42"/>
  <c r="Y870" i="42"/>
  <c r="Y584" i="42"/>
  <c r="Y600" i="42"/>
  <c r="Z616" i="42"/>
  <c r="Y626" i="42"/>
  <c r="Y648" i="42"/>
  <c r="Y656" i="42"/>
  <c r="Y12" i="42"/>
  <c r="Y45" i="42"/>
  <c r="Y95" i="42"/>
  <c r="Y104" i="42"/>
  <c r="Y128" i="42"/>
  <c r="Y218" i="42"/>
  <c r="Y222" i="42"/>
  <c r="Y272" i="42"/>
  <c r="Y281" i="42"/>
  <c r="Y350" i="42"/>
  <c r="Y371" i="42"/>
  <c r="Y385" i="42"/>
  <c r="Y400" i="42"/>
  <c r="Y434" i="42"/>
  <c r="Z462" i="42"/>
  <c r="Z471" i="42"/>
  <c r="Z479" i="42"/>
  <c r="Y502" i="42"/>
  <c r="Z503" i="42"/>
  <c r="Z522" i="42"/>
  <c r="Z545" i="42"/>
  <c r="Z553" i="42"/>
  <c r="Y577" i="42"/>
  <c r="Z583" i="42"/>
  <c r="Y599" i="42"/>
  <c r="Z604" i="42"/>
  <c r="Z615" i="42"/>
  <c r="Y647" i="42"/>
  <c r="Y655" i="42"/>
  <c r="Y673" i="42"/>
  <c r="Y855" i="42"/>
  <c r="Y860" i="42"/>
  <c r="Y865" i="42"/>
  <c r="Y81" i="42"/>
  <c r="Y85" i="42"/>
  <c r="Y164" i="42"/>
  <c r="Y369" i="42"/>
  <c r="Y373" i="42"/>
  <c r="Y424" i="42"/>
  <c r="Y432" i="42"/>
  <c r="Z469" i="42"/>
  <c r="Z477" i="42"/>
  <c r="Z501" i="42"/>
  <c r="Y527" i="42"/>
  <c r="Z528" i="42"/>
  <c r="Y536" i="42"/>
  <c r="Z543" i="42"/>
  <c r="Z551" i="42"/>
  <c r="Y559" i="42"/>
  <c r="Z576" i="42"/>
  <c r="Z581" i="42"/>
  <c r="Z590" i="42"/>
  <c r="Y613" i="42"/>
  <c r="Z629" i="42"/>
  <c r="Z634" i="42"/>
  <c r="Z640" i="42"/>
  <c r="Y645" i="42"/>
  <c r="Y653" i="42"/>
  <c r="Y869" i="42"/>
  <c r="Y3" i="42"/>
  <c r="Y59" i="42"/>
  <c r="Y84" i="42"/>
  <c r="Y93" i="42"/>
  <c r="Y122" i="42"/>
  <c r="Y199" i="42"/>
  <c r="Y212" i="42"/>
  <c r="Y220" i="42"/>
  <c r="Y232" i="42"/>
  <c r="Y249" i="42"/>
  <c r="Y262" i="42"/>
  <c r="Y266" i="42"/>
  <c r="Y278" i="42"/>
  <c r="Y284" i="42"/>
  <c r="Y300" i="42"/>
  <c r="Y353" i="42"/>
  <c r="Y367" i="42"/>
  <c r="Y397" i="42"/>
  <c r="Y414" i="42"/>
  <c r="Y474" i="42"/>
  <c r="Z505" i="42"/>
  <c r="Z517" i="42"/>
  <c r="Z534" i="42"/>
  <c r="Z588" i="42"/>
  <c r="Z596" i="42"/>
  <c r="Z619" i="42"/>
  <c r="Y638" i="42"/>
  <c r="Z644" i="42"/>
  <c r="Y651" i="42"/>
  <c r="Y659" i="42"/>
  <c r="Z516" i="42"/>
  <c r="Z533" i="42"/>
  <c r="Y587" i="42"/>
  <c r="Y595" i="42"/>
  <c r="Y67" i="42"/>
  <c r="Y87" i="42"/>
  <c r="Y92" i="42"/>
  <c r="Y114" i="42"/>
  <c r="Y134" i="42"/>
  <c r="Y235" i="42"/>
  <c r="Y265" i="42"/>
  <c r="Y318" i="42"/>
  <c r="Y341" i="42"/>
  <c r="Y345" i="42"/>
  <c r="Y372" i="42"/>
  <c r="Y375" i="42"/>
  <c r="Y395" i="42"/>
  <c r="Y472" i="42"/>
  <c r="Z473" i="42"/>
  <c r="Z481" i="42"/>
  <c r="Z497" i="42"/>
  <c r="Z515" i="42"/>
  <c r="Y523" i="42"/>
  <c r="Z524" i="42"/>
  <c r="Y532" i="42"/>
  <c r="Y539" i="42"/>
  <c r="Z547" i="42"/>
  <c r="Z555" i="42"/>
  <c r="Y585" i="42"/>
  <c r="Z594" i="42"/>
  <c r="Y601" i="42"/>
  <c r="Y617" i="42"/>
  <c r="Z631" i="42"/>
  <c r="Y649" i="42"/>
  <c r="Y657" i="42"/>
  <c r="Y674" i="42"/>
  <c r="Y866" i="42"/>
  <c r="Y871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Ogrodnik (TMMP-W)</author>
  </authors>
  <commentList>
    <comment ref="H75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Magdalena Ogrodnik (TMMP-W):</t>
        </r>
        <r>
          <rPr>
            <sz val="9"/>
            <color indexed="81"/>
            <rFont val="Tahoma"/>
            <family val="2"/>
            <charset val="238"/>
          </rPr>
          <t xml:space="preserve">
BRAK CC - CZEKAM NA ODP</t>
        </r>
      </text>
    </comment>
  </commentList>
</comments>
</file>

<file path=xl/sharedStrings.xml><?xml version="1.0" encoding="utf-8"?>
<sst xmlns="http://schemas.openxmlformats.org/spreadsheetml/2006/main" count="40980" uniqueCount="5078">
  <si>
    <t>GRZESIK</t>
  </si>
  <si>
    <t>H2500</t>
  </si>
  <si>
    <t>H2600</t>
  </si>
  <si>
    <t>H2700</t>
  </si>
  <si>
    <t>I1100</t>
  </si>
  <si>
    <t>I1200</t>
  </si>
  <si>
    <t>G801B</t>
  </si>
  <si>
    <t>TATUŚKO</t>
  </si>
  <si>
    <t>WABICH</t>
  </si>
  <si>
    <t>KŁĘBCZYK</t>
  </si>
  <si>
    <t>MAŚLUSZCZAK</t>
  </si>
  <si>
    <t>LIBKE</t>
  </si>
  <si>
    <t>BILIŃSKA</t>
  </si>
  <si>
    <t>DYGAL</t>
  </si>
  <si>
    <t>DRAPIŃSKI</t>
  </si>
  <si>
    <t>KUCHARENKO</t>
  </si>
  <si>
    <t>PATEREK</t>
  </si>
  <si>
    <t>SAMKO</t>
  </si>
  <si>
    <t>MACAŁA</t>
  </si>
  <si>
    <t>CZESŁAW</t>
  </si>
  <si>
    <t>SUŁKOWSKI</t>
  </si>
  <si>
    <t>OLESZEK</t>
  </si>
  <si>
    <t>ŚWIĄTEK</t>
  </si>
  <si>
    <t>KWIATKOWSKA</t>
  </si>
  <si>
    <t>KOLENDA</t>
  </si>
  <si>
    <t>KONIEC</t>
  </si>
  <si>
    <t>JONAK</t>
  </si>
  <si>
    <t>KUBIŃSKI</t>
  </si>
  <si>
    <t>KUNICZUK</t>
  </si>
  <si>
    <t>ŁUBIŃSKI</t>
  </si>
  <si>
    <t>TOPA</t>
  </si>
  <si>
    <t>WITCZAK</t>
  </si>
  <si>
    <t>ŻYDOWICZ</t>
  </si>
  <si>
    <t>KUŚ</t>
  </si>
  <si>
    <t>ZIOMEK</t>
  </si>
  <si>
    <t>ŻUCHOWSKI</t>
  </si>
  <si>
    <t>RUSIN</t>
  </si>
  <si>
    <t>BLITEK-IWULSKA</t>
  </si>
  <si>
    <t>WIZNEROWICZ</t>
  </si>
  <si>
    <t>JANIAK</t>
  </si>
  <si>
    <t>LASOTA</t>
  </si>
  <si>
    <t>IGIELSKI</t>
  </si>
  <si>
    <t>SZUDZIŃSKA</t>
  </si>
  <si>
    <t>KACZYŃSKI</t>
  </si>
  <si>
    <t>SMYK</t>
  </si>
  <si>
    <t>ANTONÓW</t>
  </si>
  <si>
    <t>BIENIEK</t>
  </si>
  <si>
    <t>BUCZEK</t>
  </si>
  <si>
    <t>CZANIŃSKI</t>
  </si>
  <si>
    <t>JEKA</t>
  </si>
  <si>
    <t>JÓŹWIAKOWSKI</t>
  </si>
  <si>
    <t>MĄDRZYK</t>
  </si>
  <si>
    <t>ORŁOWSKI</t>
  </si>
  <si>
    <t>PASKA</t>
  </si>
  <si>
    <t>ROSIEK</t>
  </si>
  <si>
    <t>ŚWIATOWY</t>
  </si>
  <si>
    <t>BUZAR</t>
  </si>
  <si>
    <t>CHARBUCIŃSKI</t>
  </si>
  <si>
    <t>CIERNIAK</t>
  </si>
  <si>
    <t>KROPIEWNICKI</t>
  </si>
  <si>
    <t>WOWK</t>
  </si>
  <si>
    <t>DRUŻGA</t>
  </si>
  <si>
    <t>PRZYBYLSKI</t>
  </si>
  <si>
    <t>SUDOŁ</t>
  </si>
  <si>
    <t>JANOR</t>
  </si>
  <si>
    <t>SZYMON</t>
  </si>
  <si>
    <t>SARGALSKI</t>
  </si>
  <si>
    <t>BOJSZCZAK</t>
  </si>
  <si>
    <t>FERENC</t>
  </si>
  <si>
    <t>PIERZCHAŁA</t>
  </si>
  <si>
    <t>DOMAGALSKI</t>
  </si>
  <si>
    <t>SZCZEPAŃSKI</t>
  </si>
  <si>
    <t>DARIUSZ</t>
  </si>
  <si>
    <t>MIKOŁAJCZAK</t>
  </si>
  <si>
    <t>ANDRASZ</t>
  </si>
  <si>
    <t>JAROSŁAW</t>
  </si>
  <si>
    <t>CZYŻ</t>
  </si>
  <si>
    <t>SYLWESTER</t>
  </si>
  <si>
    <t>DEMESZUK</t>
  </si>
  <si>
    <t>KRZYSZTOF</t>
  </si>
  <si>
    <t>KOŁAKOWSKI</t>
  </si>
  <si>
    <t>PARAKIEWICZ</t>
  </si>
  <si>
    <t>MIKOŁAJCZYK</t>
  </si>
  <si>
    <t>FRANCZUK</t>
  </si>
  <si>
    <t>KRAJNIK</t>
  </si>
  <si>
    <t>KRYNICKI</t>
  </si>
  <si>
    <t>HOĆKO</t>
  </si>
  <si>
    <t>GARYCKI</t>
  </si>
  <si>
    <t>SOWA</t>
  </si>
  <si>
    <t>JĘDRUSIK</t>
  </si>
  <si>
    <t>CIEĆKO</t>
  </si>
  <si>
    <t>KOKOCIŃSKI</t>
  </si>
  <si>
    <t>KUŹMA</t>
  </si>
  <si>
    <t>KRASICKI</t>
  </si>
  <si>
    <t>KOŹMIŃSKI</t>
  </si>
  <si>
    <t>MATUSZCZYK</t>
  </si>
  <si>
    <t>PASTUSZKA</t>
  </si>
  <si>
    <t>BORUŃ</t>
  </si>
  <si>
    <t>JASTRZĘBOWSKI</t>
  </si>
  <si>
    <t>CEMBRYŁO</t>
  </si>
  <si>
    <t>HANDZLIK</t>
  </si>
  <si>
    <t>HOTLOŚ</t>
  </si>
  <si>
    <t>KARNIEJ</t>
  </si>
  <si>
    <t>KOLENKIEWICZ</t>
  </si>
  <si>
    <t>SZATNY</t>
  </si>
  <si>
    <t>GÓRSKI</t>
  </si>
  <si>
    <t>HAMERA</t>
  </si>
  <si>
    <t>LISZCZ</t>
  </si>
  <si>
    <t>HENRYK</t>
  </si>
  <si>
    <t>KREMIENOWSKI</t>
  </si>
  <si>
    <t>GRASZKIEWICZ</t>
  </si>
  <si>
    <t>KOTARBA</t>
  </si>
  <si>
    <t>PODSIADŁY</t>
  </si>
  <si>
    <t>KARBOWSKI</t>
  </si>
  <si>
    <t>JESIOR</t>
  </si>
  <si>
    <t>BEKIELEWSKI</t>
  </si>
  <si>
    <t>MODRZEJEWSKI</t>
  </si>
  <si>
    <t>OKTAWIUSZ</t>
  </si>
  <si>
    <t>POTACZEK</t>
  </si>
  <si>
    <t>SZCZEREK</t>
  </si>
  <si>
    <t>PRZYCHOCKI</t>
  </si>
  <si>
    <t>KULIG</t>
  </si>
  <si>
    <t>PACUSZKA</t>
  </si>
  <si>
    <t>MAZIAKOWSKI</t>
  </si>
  <si>
    <t>PRZYBYŁ</t>
  </si>
  <si>
    <t>HOLA</t>
  </si>
  <si>
    <t>KONIOR</t>
  </si>
  <si>
    <t>ZDZISŁAW</t>
  </si>
  <si>
    <t>PLECH</t>
  </si>
  <si>
    <t>POLIWOCZAK</t>
  </si>
  <si>
    <t>GUZIK</t>
  </si>
  <si>
    <t>GAWLIŃSKI</t>
  </si>
  <si>
    <t>WENDYCZ</t>
  </si>
  <si>
    <t>IGOR</t>
  </si>
  <si>
    <t>SALAMON</t>
  </si>
  <si>
    <t>SUCHOCKI</t>
  </si>
  <si>
    <t>KOWALSKI</t>
  </si>
  <si>
    <t>ZAJĄC</t>
  </si>
  <si>
    <t>KRAWCZYK</t>
  </si>
  <si>
    <t>KOWALSKA</t>
  </si>
  <si>
    <t>EWA</t>
  </si>
  <si>
    <t>GORZĘDOWSKI</t>
  </si>
  <si>
    <t>E1300</t>
  </si>
  <si>
    <t>H1100</t>
  </si>
  <si>
    <t>H1300</t>
  </si>
  <si>
    <t>KUDOŃ</t>
  </si>
  <si>
    <t>C1300</t>
  </si>
  <si>
    <t>ŻUKOWSKI</t>
  </si>
  <si>
    <t>CIESZOWIC</t>
  </si>
  <si>
    <t>SAJEWICZ</t>
  </si>
  <si>
    <t>KRUPA</t>
  </si>
  <si>
    <t>GAŁKA</t>
  </si>
  <si>
    <t>DAJCZMAN</t>
  </si>
  <si>
    <t>HORADCZUK</t>
  </si>
  <si>
    <t>JĘDRASIK</t>
  </si>
  <si>
    <t>KIEŁEK</t>
  </si>
  <si>
    <t>KOSTRZYCKI</t>
  </si>
  <si>
    <t>MAZURSKI</t>
  </si>
  <si>
    <t>NOWACKI</t>
  </si>
  <si>
    <t>BARTŁOMIEJ</t>
  </si>
  <si>
    <t>RADULSKI</t>
  </si>
  <si>
    <t>BRĘŚKIEWICZ</t>
  </si>
  <si>
    <t>JAŚKIEWICZ</t>
  </si>
  <si>
    <t>BARTOSZ</t>
  </si>
  <si>
    <t>KOMARNICKI</t>
  </si>
  <si>
    <t>MULARSKI</t>
  </si>
  <si>
    <t>STAŃKO</t>
  </si>
  <si>
    <t>CHOWAŃSKI</t>
  </si>
  <si>
    <t>DRZEŻDŻON</t>
  </si>
  <si>
    <t>SZAFRAŃSKI</t>
  </si>
  <si>
    <t>BOGUCKI</t>
  </si>
  <si>
    <t>G761A</t>
  </si>
  <si>
    <t>G716A</t>
  </si>
  <si>
    <t>QE</t>
  </si>
  <si>
    <t>W</t>
  </si>
  <si>
    <t>zrealizowany</t>
  </si>
  <si>
    <t>anulowany</t>
  </si>
  <si>
    <t>G309A</t>
  </si>
  <si>
    <t>G615B</t>
  </si>
  <si>
    <t>G308A</t>
  </si>
  <si>
    <t>F201C</t>
  </si>
  <si>
    <t>PALIAN</t>
  </si>
  <si>
    <t>REMIGIUSZ</t>
  </si>
  <si>
    <t>PLEWA</t>
  </si>
  <si>
    <t>MAŃKOWSKI</t>
  </si>
  <si>
    <t>G713C</t>
  </si>
  <si>
    <t>G713A</t>
  </si>
  <si>
    <t>FLEGEL</t>
  </si>
  <si>
    <t>PIOTR</t>
  </si>
  <si>
    <t>MAJCHER</t>
  </si>
  <si>
    <t>PRZEMYSŁAW</t>
  </si>
  <si>
    <t>KORALEWSKI</t>
  </si>
  <si>
    <t>SACHER</t>
  </si>
  <si>
    <t>HOMEL</t>
  </si>
  <si>
    <t>SEBASTIAN</t>
  </si>
  <si>
    <t>KLUKOWSKI</t>
  </si>
  <si>
    <t>STASZCZYK</t>
  </si>
  <si>
    <t>DANIEL</t>
  </si>
  <si>
    <t>ROSZAK</t>
  </si>
  <si>
    <t>MACIEJ</t>
  </si>
  <si>
    <t>SKAŁA</t>
  </si>
  <si>
    <t>SEWERYN</t>
  </si>
  <si>
    <t>SAMULSKI</t>
  </si>
  <si>
    <t>JERZY</t>
  </si>
  <si>
    <t>MŁODZIANKOWSKI</t>
  </si>
  <si>
    <t>NIEBIESZCZAŃSKI</t>
  </si>
  <si>
    <t>G201C</t>
  </si>
  <si>
    <t>E1400</t>
  </si>
  <si>
    <t>G404A</t>
  </si>
  <si>
    <t>CZARNECKI</t>
  </si>
  <si>
    <t>STACHUŁA</t>
  </si>
  <si>
    <t>F2020</t>
  </si>
  <si>
    <t>OSIŃSKI TOMASZ</t>
  </si>
  <si>
    <t>Casting</t>
  </si>
  <si>
    <t>G305A</t>
  </si>
  <si>
    <t>G305B</t>
  </si>
  <si>
    <t>G712C</t>
  </si>
  <si>
    <t>G712A</t>
  </si>
  <si>
    <t>G712B</t>
  </si>
  <si>
    <t>F1000</t>
  </si>
  <si>
    <t>G4030</t>
  </si>
  <si>
    <t>ANTONIAK</t>
  </si>
  <si>
    <t>DZIEWIÓR</t>
  </si>
  <si>
    <t>TM2</t>
  </si>
  <si>
    <t>G805A</t>
  </si>
  <si>
    <t>G310C</t>
  </si>
  <si>
    <t>WALCZAK</t>
  </si>
  <si>
    <t>ZGORZELSKI</t>
  </si>
  <si>
    <t>BEDNARA</t>
  </si>
  <si>
    <t>ŻYŁYSZYN</t>
  </si>
  <si>
    <t>TAJS</t>
  </si>
  <si>
    <t>KOT</t>
  </si>
  <si>
    <t>BAŁYS</t>
  </si>
  <si>
    <t>P3000</t>
  </si>
  <si>
    <t>E112C</t>
  </si>
  <si>
    <t>G714B</t>
  </si>
  <si>
    <t>G8020</t>
  </si>
  <si>
    <t>G4020</t>
  </si>
  <si>
    <t>G6030</t>
  </si>
  <si>
    <t>BLOCH</t>
  </si>
  <si>
    <t>G403C</t>
  </si>
  <si>
    <t>PIOTROWSKI</t>
  </si>
  <si>
    <t>WOJCIECH</t>
  </si>
  <si>
    <t>ANIOŁ</t>
  </si>
  <si>
    <t>KUPCZYK</t>
  </si>
  <si>
    <t>MIKA</t>
  </si>
  <si>
    <t>ŁUKASZ</t>
  </si>
  <si>
    <t>G716C</t>
  </si>
  <si>
    <t>GAWLICKI</t>
  </si>
  <si>
    <t>JAROŃ</t>
  </si>
  <si>
    <t>PŁAWIAK</t>
  </si>
  <si>
    <t>OSMAŃSKI</t>
  </si>
  <si>
    <t>PŁASZCZYŃSKI</t>
  </si>
  <si>
    <t>ROMAŃCZAK</t>
  </si>
  <si>
    <t>STACHOWCZYK</t>
  </si>
  <si>
    <t>PIĄTEK</t>
  </si>
  <si>
    <t>JANIKOWSKI</t>
  </si>
  <si>
    <t>SZYMKOWSKI</t>
  </si>
  <si>
    <t>CUPIAŁ</t>
  </si>
  <si>
    <t>OPALA</t>
  </si>
  <si>
    <t>BYRA</t>
  </si>
  <si>
    <t>ROBERT</t>
  </si>
  <si>
    <t>ZIEMNIAK</t>
  </si>
  <si>
    <t>MARCIN</t>
  </si>
  <si>
    <t>SZYMKÓW</t>
  </si>
  <si>
    <t>WOJTAL</t>
  </si>
  <si>
    <t>MATEUSZ</t>
  </si>
  <si>
    <t>G761D</t>
  </si>
  <si>
    <t>F207C</t>
  </si>
  <si>
    <t>G761C</t>
  </si>
  <si>
    <t>I1000</t>
  </si>
  <si>
    <t>G714A</t>
  </si>
  <si>
    <t>G714C</t>
  </si>
  <si>
    <t>WANCOWICZ</t>
  </si>
  <si>
    <t>WIDZISZEWSKI</t>
  </si>
  <si>
    <t>WYSOCKI</t>
  </si>
  <si>
    <t>ZAKRAWACZ</t>
  </si>
  <si>
    <t>JANCZURA</t>
  </si>
  <si>
    <t>TOMCZYK</t>
  </si>
  <si>
    <t>PYTEL</t>
  </si>
  <si>
    <t>GOWORSKI</t>
  </si>
  <si>
    <t>WASILEWSKI</t>
  </si>
  <si>
    <t>FINTZEL</t>
  </si>
  <si>
    <t>PYRDOŁ</t>
  </si>
  <si>
    <t>CHRYSZCZANOWICZ</t>
  </si>
  <si>
    <t>ZGORZELSKA</t>
  </si>
  <si>
    <t>BARBARA</t>
  </si>
  <si>
    <t>WYRWAŁ</t>
  </si>
  <si>
    <t>KOZAK</t>
  </si>
  <si>
    <t>WAWRO</t>
  </si>
  <si>
    <t>MAŁEK</t>
  </si>
  <si>
    <t>ŚMIERCIAK</t>
  </si>
  <si>
    <t>DOMAGAŁA</t>
  </si>
  <si>
    <t>BITRYCKI</t>
  </si>
  <si>
    <t>SZNER</t>
  </si>
  <si>
    <t>KAROLAK</t>
  </si>
  <si>
    <t>LIS</t>
  </si>
  <si>
    <t>STEMPCZYŃSKI</t>
  </si>
  <si>
    <t>KOSZYKA</t>
  </si>
  <si>
    <t>JÓZEFA</t>
  </si>
  <si>
    <t>KUNICKA</t>
  </si>
  <si>
    <t>LECYK</t>
  </si>
  <si>
    <t>MIŁOSZ</t>
  </si>
  <si>
    <t>CHMIEL</t>
  </si>
  <si>
    <t>IWANICKI</t>
  </si>
  <si>
    <t>KRZEŚLAK</t>
  </si>
  <si>
    <t>ZOFIA</t>
  </si>
  <si>
    <t>OLEKSY</t>
  </si>
  <si>
    <t>RACZYŃSKI</t>
  </si>
  <si>
    <t>KUCHARSKA</t>
  </si>
  <si>
    <t>ŚLIPEK</t>
  </si>
  <si>
    <t>DŻUGAŁA</t>
  </si>
  <si>
    <t>WOŹNIAK</t>
  </si>
  <si>
    <t>OLSZEWSKI</t>
  </si>
  <si>
    <t>BASZEWSKI</t>
  </si>
  <si>
    <t>PODSIEDLIK</t>
  </si>
  <si>
    <t>SURMIAK</t>
  </si>
  <si>
    <t>G611C</t>
  </si>
  <si>
    <t>G611A</t>
  </si>
  <si>
    <t>NARONOWICZ</t>
  </si>
  <si>
    <t>NOREK</t>
  </si>
  <si>
    <t>IZABELA</t>
  </si>
  <si>
    <t>STACHACZ</t>
  </si>
  <si>
    <t>WOJTOWICZ</t>
  </si>
  <si>
    <t>ANTONOW</t>
  </si>
  <si>
    <t>BAGIŃSKI</t>
  </si>
  <si>
    <t>IRENEUSZ</t>
  </si>
  <si>
    <t>BEDNARCZYK</t>
  </si>
  <si>
    <t>G8000</t>
  </si>
  <si>
    <t>CIEŚLIK</t>
  </si>
  <si>
    <t>DREWNIAK</t>
  </si>
  <si>
    <t>RESZEL</t>
  </si>
  <si>
    <t>JÓŹWIAK</t>
  </si>
  <si>
    <t>BALEJKO</t>
  </si>
  <si>
    <t>MAZUR</t>
  </si>
  <si>
    <t>SOŁTYS</t>
  </si>
  <si>
    <t>MARIUSZ</t>
  </si>
  <si>
    <t>KAŁUZIŃSKI</t>
  </si>
  <si>
    <t>WALDEMAR</t>
  </si>
  <si>
    <t>TUMIDAJEWICZ RAFAŁ</t>
  </si>
  <si>
    <t>OPALSKI RADOSŁAW</t>
  </si>
  <si>
    <t>KOCHAJKIEWICZ ADAM</t>
  </si>
  <si>
    <t>CHOJNACKI KRZYSZTOF</t>
  </si>
  <si>
    <t>MAGDZIŃSKI MAREK</t>
  </si>
  <si>
    <t>MISIAK IRENEUSZ</t>
  </si>
  <si>
    <t>SZYMKÓW PRZEMYSŁAW</t>
  </si>
  <si>
    <t>BORYSEWICZ PIOTR</t>
  </si>
  <si>
    <t>HOMEL SEBASTIAN</t>
  </si>
  <si>
    <t>JURKIEWICZ PAWEŁ</t>
  </si>
  <si>
    <t>DRUŻGA MARIUSZ</t>
  </si>
  <si>
    <t>STACHACZ DAWID</t>
  </si>
  <si>
    <t>H1400</t>
  </si>
  <si>
    <t>CIECHANOWICZ</t>
  </si>
  <si>
    <t>SIWEK</t>
  </si>
  <si>
    <t>GWIAZDA</t>
  </si>
  <si>
    <t>MADALIŃSKI</t>
  </si>
  <si>
    <t>RUTOWICZ</t>
  </si>
  <si>
    <t>LECH</t>
  </si>
  <si>
    <t>LEWANDOWSKI</t>
  </si>
  <si>
    <t>MYSZKA</t>
  </si>
  <si>
    <t>JARUGA</t>
  </si>
  <si>
    <t>KARPIŃSKA</t>
  </si>
  <si>
    <t>EWELINA</t>
  </si>
  <si>
    <t>SZCZĘSNY</t>
  </si>
  <si>
    <t>SZEMBERG</t>
  </si>
  <si>
    <t>SZOT</t>
  </si>
  <si>
    <t>TOSTI</t>
  </si>
  <si>
    <t>WŁODARCZYK</t>
  </si>
  <si>
    <t>WOJTAROWICZ</t>
  </si>
  <si>
    <t>DEPTALSKI</t>
  </si>
  <si>
    <t>SYLWIA</t>
  </si>
  <si>
    <t>MIKUŁA</t>
  </si>
  <si>
    <t>RODZIK</t>
  </si>
  <si>
    <t>SOBCZYŃSKI</t>
  </si>
  <si>
    <t>PANKOWSKI</t>
  </si>
  <si>
    <t>GRZYWNA</t>
  </si>
  <si>
    <t>WILK</t>
  </si>
  <si>
    <t>ŚLUCZKA</t>
  </si>
  <si>
    <t>TYMOTEUSZ</t>
  </si>
  <si>
    <t>PARTYŃSKI</t>
  </si>
  <si>
    <t>KLECHA</t>
  </si>
  <si>
    <t>DĄBROWSKI</t>
  </si>
  <si>
    <t>KAJCZYŃSKI</t>
  </si>
  <si>
    <t>BILIŃSKI</t>
  </si>
  <si>
    <t>BEŁZAK</t>
  </si>
  <si>
    <t>BĘDZIŃSKI</t>
  </si>
  <si>
    <t>REBENKO</t>
  </si>
  <si>
    <t>JURKOWSKA</t>
  </si>
  <si>
    <t>CZARNECKA</t>
  </si>
  <si>
    <t>JSPC</t>
  </si>
  <si>
    <t>SSPC</t>
  </si>
  <si>
    <t>JENG</t>
  </si>
  <si>
    <t>SENG</t>
  </si>
  <si>
    <t>G612C</t>
  </si>
  <si>
    <t>G613C</t>
  </si>
  <si>
    <t>G502B</t>
  </si>
  <si>
    <t>G7000</t>
  </si>
  <si>
    <t>L.p.</t>
  </si>
  <si>
    <t xml:space="preserve">Nazwisko i imię </t>
  </si>
  <si>
    <t>MACIUSZEK</t>
  </si>
  <si>
    <t>BISKOWSKI</t>
  </si>
  <si>
    <t>DZIENISZEWSKA</t>
  </si>
  <si>
    <t>ANITA</t>
  </si>
  <si>
    <t>KUKLIŃSKA</t>
  </si>
  <si>
    <t>PAWLIKOWSKI</t>
  </si>
  <si>
    <t>HUBAR</t>
  </si>
  <si>
    <t>BASIŃSKA</t>
  </si>
  <si>
    <t>HUSAKIEWICZ</t>
  </si>
  <si>
    <t>FRYDRYK</t>
  </si>
  <si>
    <t>DYRCZ</t>
  </si>
  <si>
    <t>KRZYSKO</t>
  </si>
  <si>
    <t>JURKIEWICZ</t>
  </si>
  <si>
    <t>SKOWROŃSKI</t>
  </si>
  <si>
    <t>E1000</t>
  </si>
  <si>
    <t>CIESIELSKI</t>
  </si>
  <si>
    <t>JAMROŻY</t>
  </si>
  <si>
    <t>GÓRNY</t>
  </si>
  <si>
    <t>MIECZYSŁAW</t>
  </si>
  <si>
    <t>GOPPOLD</t>
  </si>
  <si>
    <t>SŁOTA</t>
  </si>
  <si>
    <t>OSIŃSKI</t>
  </si>
  <si>
    <t>BRZĘCZEK</t>
  </si>
  <si>
    <t>KWAŚNY</t>
  </si>
  <si>
    <t>NATALIA</t>
  </si>
  <si>
    <t>JURKOWSKI</t>
  </si>
  <si>
    <t>MIROSŁAW</t>
  </si>
  <si>
    <t>CZARKOWSKI</t>
  </si>
  <si>
    <t>NORBERT</t>
  </si>
  <si>
    <t>SZKARADEK</t>
  </si>
  <si>
    <t>BADIURA</t>
  </si>
  <si>
    <t>LATAŁA</t>
  </si>
  <si>
    <t>G305C</t>
  </si>
  <si>
    <t>G201A</t>
  </si>
  <si>
    <t>G731C</t>
  </si>
  <si>
    <t>G731D</t>
  </si>
  <si>
    <t>G402B</t>
  </si>
  <si>
    <t>G6751</t>
  </si>
  <si>
    <t>G616B</t>
  </si>
  <si>
    <t>G616A</t>
  </si>
  <si>
    <t>F2751</t>
  </si>
  <si>
    <t>F2CAM</t>
  </si>
  <si>
    <t>TROSZCZYŃSKI</t>
  </si>
  <si>
    <t>MARCINKO</t>
  </si>
  <si>
    <t>BRZUCHACZ</t>
  </si>
  <si>
    <t>BOBROWSKI</t>
  </si>
  <si>
    <t>OPALSKI</t>
  </si>
  <si>
    <t>RADOSŁAW</t>
  </si>
  <si>
    <t>MARCYNIUK</t>
  </si>
  <si>
    <t>F205B</t>
  </si>
  <si>
    <t>F201A</t>
  </si>
  <si>
    <t>IL</t>
  </si>
  <si>
    <t>TM</t>
  </si>
  <si>
    <t>G403A</t>
  </si>
  <si>
    <t>F208A</t>
  </si>
  <si>
    <t>G404B</t>
  </si>
  <si>
    <t>G712D</t>
  </si>
  <si>
    <t>G402C</t>
  </si>
  <si>
    <t>G303B</t>
  </si>
  <si>
    <t>ZAGÓRSKI</t>
  </si>
  <si>
    <t>PEREK</t>
  </si>
  <si>
    <t>RYDZ</t>
  </si>
  <si>
    <t>ŚMIAŁEK</t>
  </si>
  <si>
    <t>ĆMAK</t>
  </si>
  <si>
    <t>HORBACZ</t>
  </si>
  <si>
    <t>TREMBOWSKI</t>
  </si>
  <si>
    <t>SOBAŃSKI</t>
  </si>
  <si>
    <t>ZIAJA</t>
  </si>
  <si>
    <t>NOSAL</t>
  </si>
  <si>
    <t>STANKIEWICZ</t>
  </si>
  <si>
    <t>ANTONIEWICZ</t>
  </si>
  <si>
    <t>ERYK</t>
  </si>
  <si>
    <t>SKRZYPCZAK</t>
  </si>
  <si>
    <t>MAŁECKI</t>
  </si>
  <si>
    <t>G306A</t>
  </si>
  <si>
    <t>G302C</t>
  </si>
  <si>
    <t>G502A</t>
  </si>
  <si>
    <t>CZEKAŃSKA-WINCEK</t>
  </si>
  <si>
    <t>MONIKA</t>
  </si>
  <si>
    <t>BOGDAN</t>
  </si>
  <si>
    <t>PASTERNAK</t>
  </si>
  <si>
    <t>G711D</t>
  </si>
  <si>
    <t>G711A</t>
  </si>
  <si>
    <t>PASIAS</t>
  </si>
  <si>
    <t>G803B</t>
  </si>
  <si>
    <t>G401C</t>
  </si>
  <si>
    <t>G405C</t>
  </si>
  <si>
    <t>G404C</t>
  </si>
  <si>
    <t>CYGAL</t>
  </si>
  <si>
    <t>DZICZKOWSKI</t>
  </si>
  <si>
    <t>BORSUK</t>
  </si>
  <si>
    <t>ZARÓWNY</t>
  </si>
  <si>
    <t>PONIATOWSKI</t>
  </si>
  <si>
    <t>WRÓBEL</t>
  </si>
  <si>
    <t>SITKO</t>
  </si>
  <si>
    <t>GŁOGOWSKA</t>
  </si>
  <si>
    <t>WIŚNIEWSKI</t>
  </si>
  <si>
    <t>SZOJDA</t>
  </si>
  <si>
    <t>MIECHURSKI</t>
  </si>
  <si>
    <t>POPIOŁEK</t>
  </si>
  <si>
    <t>SKORECKI</t>
  </si>
  <si>
    <t>MATUSIAK</t>
  </si>
  <si>
    <t>Forging</t>
  </si>
  <si>
    <t>G301B</t>
  </si>
  <si>
    <t>G401B</t>
  </si>
  <si>
    <t>G403B</t>
  </si>
  <si>
    <t>ĆWIK</t>
  </si>
  <si>
    <t>DARMETKO</t>
  </si>
  <si>
    <t>E112B</t>
  </si>
  <si>
    <t>G304C</t>
  </si>
  <si>
    <t>G301C</t>
  </si>
  <si>
    <t>HR</t>
  </si>
  <si>
    <t>E314A</t>
  </si>
  <si>
    <t>E314B</t>
  </si>
  <si>
    <t>E314C</t>
  </si>
  <si>
    <t>E316A</t>
  </si>
  <si>
    <t>E316B</t>
  </si>
  <si>
    <t>E316C</t>
  </si>
  <si>
    <t>E318A</t>
  </si>
  <si>
    <t>E318B</t>
  </si>
  <si>
    <t>DĄBROWSKA</t>
  </si>
  <si>
    <t>CISAK</t>
  </si>
  <si>
    <t>MOLSKI</t>
  </si>
  <si>
    <t>ROMUALD</t>
  </si>
  <si>
    <t>FRĄCZKIEWICZ</t>
  </si>
  <si>
    <t>JASZEWSKI</t>
  </si>
  <si>
    <t>ALEKSANDER</t>
  </si>
  <si>
    <t>WNUK</t>
  </si>
  <si>
    <t>JÓZEF</t>
  </si>
  <si>
    <t>MAŁECKI KRZYSZTOF</t>
  </si>
  <si>
    <t>KOLASIŃSKI PAWEŁ</t>
  </si>
  <si>
    <t>KAROLAK DOROTA</t>
  </si>
  <si>
    <t>LATAŁA PIOTR</t>
  </si>
  <si>
    <t>CHROBOCIŃSKI TOMASZ</t>
  </si>
  <si>
    <t>WOJTAL MATEUSZ</t>
  </si>
  <si>
    <t>KALINOWSKI GRZEGORZ</t>
  </si>
  <si>
    <t>CZYŻ SYLWESTER</t>
  </si>
  <si>
    <t>BALON PIOTR</t>
  </si>
  <si>
    <t>OLEKSY ŁUKASZ</t>
  </si>
  <si>
    <t>KOWALSKA EWA</t>
  </si>
  <si>
    <t>HOĆKO KAZIMIERZ</t>
  </si>
  <si>
    <t>PARZYCH PIOTR</t>
  </si>
  <si>
    <t>DAWID KRZYSZTOF</t>
  </si>
  <si>
    <t>PRENETA ROMAN</t>
  </si>
  <si>
    <t>KUBIAK RAFAŁ</t>
  </si>
  <si>
    <t>SZUPER TOMASZ</t>
  </si>
  <si>
    <t>MUSIAŁ GRZEGORZ</t>
  </si>
  <si>
    <t>WITEK RAFAŁ</t>
  </si>
  <si>
    <t>WRÓBLEWSKI KRZYSZTOF</t>
  </si>
  <si>
    <t>MICHALSKI ROBERT</t>
  </si>
  <si>
    <t>G8030</t>
  </si>
  <si>
    <t>JANKOWSKA</t>
  </si>
  <si>
    <t>GORDZIEJEWSKA</t>
  </si>
  <si>
    <t>STANKOWSKA</t>
  </si>
  <si>
    <t>JOANNA</t>
  </si>
  <si>
    <t>JARGIEŁO</t>
  </si>
  <si>
    <t>SULANOWSKI</t>
  </si>
  <si>
    <t>BAGAZJA</t>
  </si>
  <si>
    <t>BANAŚ</t>
  </si>
  <si>
    <t>FOLTAK</t>
  </si>
  <si>
    <t>SOŁTYSIAK</t>
  </si>
  <si>
    <t>BOBER</t>
  </si>
  <si>
    <t>NYKIEL</t>
  </si>
  <si>
    <t>ŻAK</t>
  </si>
  <si>
    <t>KRYSPIN</t>
  </si>
  <si>
    <t>KOŁOWIECKI</t>
  </si>
  <si>
    <t>ŁOŚ</t>
  </si>
  <si>
    <t>MATEJEK</t>
  </si>
  <si>
    <t>ADAMCZYK</t>
  </si>
  <si>
    <t>ADAMASZEK</t>
  </si>
  <si>
    <t>T0000</t>
  </si>
  <si>
    <t>G802A</t>
  </si>
  <si>
    <t>JOPEK</t>
  </si>
  <si>
    <t>BORKOWSKI</t>
  </si>
  <si>
    <t>RYDZEWSKI</t>
  </si>
  <si>
    <t>MARCISZAK</t>
  </si>
  <si>
    <t>ZALEWSKI</t>
  </si>
  <si>
    <t>ZAWADZKI</t>
  </si>
  <si>
    <t>BŁASZCZYK</t>
  </si>
  <si>
    <t>PODKÓWKA</t>
  </si>
  <si>
    <t>GRAJEK</t>
  </si>
  <si>
    <t>SŁODKOWSKI</t>
  </si>
  <si>
    <t>CZYŻOWSKI</t>
  </si>
  <si>
    <t>WOŚKOWIAK</t>
  </si>
  <si>
    <t>WAŁĘGA</t>
  </si>
  <si>
    <t>PAULINA</t>
  </si>
  <si>
    <t>JURJEWICZ</t>
  </si>
  <si>
    <t>KALUKIN</t>
  </si>
  <si>
    <t>KĘCEL</t>
  </si>
  <si>
    <t>ŁYCZAK</t>
  </si>
  <si>
    <t>NOWICKA</t>
  </si>
  <si>
    <t>PUCIŁOWSKI</t>
  </si>
  <si>
    <t>SZELUGA</t>
  </si>
  <si>
    <t>G802B</t>
  </si>
  <si>
    <t>F208B</t>
  </si>
  <si>
    <t>G0146</t>
  </si>
  <si>
    <t>G614B</t>
  </si>
  <si>
    <t>G615A</t>
  </si>
  <si>
    <t>G612B</t>
  </si>
  <si>
    <t>H2300</t>
  </si>
  <si>
    <t>H2400</t>
  </si>
  <si>
    <t>G751B</t>
  </si>
  <si>
    <t>G3030</t>
  </si>
  <si>
    <t>G611B</t>
  </si>
  <si>
    <t>G713B</t>
  </si>
  <si>
    <t>E1200</t>
  </si>
  <si>
    <t>G5020</t>
  </si>
  <si>
    <t>G3020</t>
  </si>
  <si>
    <t>G4010</t>
  </si>
  <si>
    <t>G6010</t>
  </si>
  <si>
    <t>G307C</t>
  </si>
  <si>
    <t>ID</t>
  </si>
  <si>
    <t>URBAŃCZYK</t>
  </si>
  <si>
    <t>JAROMIR</t>
  </si>
  <si>
    <t>GRYNDYS</t>
  </si>
  <si>
    <t>FIGIELA</t>
  </si>
  <si>
    <t>ZELEK</t>
  </si>
  <si>
    <t>CZYŻEWSKI</t>
  </si>
  <si>
    <t>WIESŁAW</t>
  </si>
  <si>
    <t>MYSŁOWSKI</t>
  </si>
  <si>
    <t>KONRAD</t>
  </si>
  <si>
    <t>MATWIEJCZUK</t>
  </si>
  <si>
    <t>SWAŁTEK</t>
  </si>
  <si>
    <t>BENIAMIN</t>
  </si>
  <si>
    <t>DZIEDZIC</t>
  </si>
  <si>
    <t>PYŹLAK</t>
  </si>
  <si>
    <t>WARCHOŁ</t>
  </si>
  <si>
    <t>KASPEROWICZ</t>
  </si>
  <si>
    <t>REKS</t>
  </si>
  <si>
    <t>BOROWIAK</t>
  </si>
  <si>
    <t>ALLAN</t>
  </si>
  <si>
    <t>BOGACZ</t>
  </si>
  <si>
    <t>ŻŁOBICKI</t>
  </si>
  <si>
    <t>F206B</t>
  </si>
  <si>
    <t>AGM</t>
  </si>
  <si>
    <t>OKOPNIAK</t>
  </si>
  <si>
    <t>ARTUR</t>
  </si>
  <si>
    <t>RYŁKO</t>
  </si>
  <si>
    <t>RYSZARD</t>
  </si>
  <si>
    <t>ANDRZEJ</t>
  </si>
  <si>
    <t>DĘBEK</t>
  </si>
  <si>
    <t>PAWEŁ</t>
  </si>
  <si>
    <t>WITEK</t>
  </si>
  <si>
    <t>RAFAŁ</t>
  </si>
  <si>
    <t>TCZ</t>
  </si>
  <si>
    <t>CHROBOCIŃSKI</t>
  </si>
  <si>
    <t>ROTMAN</t>
  </si>
  <si>
    <t>SASNAL</t>
  </si>
  <si>
    <t>OPASAŁA</t>
  </si>
  <si>
    <t>TADLA</t>
  </si>
  <si>
    <t>SZYMANOWSKI</t>
  </si>
  <si>
    <t>JANECKI</t>
  </si>
  <si>
    <t>KANIA</t>
  </si>
  <si>
    <t>DŻUGAJ</t>
  </si>
  <si>
    <t>KORALEWSKA</t>
  </si>
  <si>
    <t>SZAŁAS</t>
  </si>
  <si>
    <t>A1100</t>
  </si>
  <si>
    <t>KAZIMIERSKI</t>
  </si>
  <si>
    <t>CZYCZERSKI</t>
  </si>
  <si>
    <t>KURCZAK</t>
  </si>
  <si>
    <t>MERWART</t>
  </si>
  <si>
    <t>SIMLAT</t>
  </si>
  <si>
    <t>LISOWSKI</t>
  </si>
  <si>
    <t>ŁĘGOWSKA</t>
  </si>
  <si>
    <t>MARIA</t>
  </si>
  <si>
    <t>MICHNICKI</t>
  </si>
  <si>
    <t>MIERZCHAŁA</t>
  </si>
  <si>
    <t>MŁOT</t>
  </si>
  <si>
    <t>MORUŚ-ADAMEK</t>
  </si>
  <si>
    <t>MUSZ</t>
  </si>
  <si>
    <t>PRZYBYLSKA</t>
  </si>
  <si>
    <t>NOWAKOWSKA</t>
  </si>
  <si>
    <t>OGAR</t>
  </si>
  <si>
    <t>PABIS</t>
  </si>
  <si>
    <t>PADUCH</t>
  </si>
  <si>
    <t>PAŚKO</t>
  </si>
  <si>
    <t>PIERZCHNIAK</t>
  </si>
  <si>
    <t>PIŁAT</t>
  </si>
  <si>
    <t>PUĆ</t>
  </si>
  <si>
    <t>RABSZTYN</t>
  </si>
  <si>
    <t>ROSTKOWSKA</t>
  </si>
  <si>
    <t>SATORA</t>
  </si>
  <si>
    <t>F1160</t>
  </si>
  <si>
    <t>F1180</t>
  </si>
  <si>
    <t>G501A</t>
  </si>
  <si>
    <t>G501C</t>
  </si>
  <si>
    <t>G501B</t>
  </si>
  <si>
    <t>ENG</t>
  </si>
  <si>
    <t>H2000</t>
  </si>
  <si>
    <t>H1000</t>
  </si>
  <si>
    <t>G5751</t>
  </si>
  <si>
    <t>G503B</t>
  </si>
  <si>
    <t>G503A</t>
  </si>
  <si>
    <t>MIARA</t>
  </si>
  <si>
    <t>KOTUS</t>
  </si>
  <si>
    <t>LIPSKI</t>
  </si>
  <si>
    <t>PIASECKI</t>
  </si>
  <si>
    <t>TRAWCZYŃSKI</t>
  </si>
  <si>
    <t>CHINIEWICZ</t>
  </si>
  <si>
    <t>JANC</t>
  </si>
  <si>
    <t>PATRYCJUSZ</t>
  </si>
  <si>
    <t>MARCINIAK</t>
  </si>
  <si>
    <t>BOROŃ</t>
  </si>
  <si>
    <t>KUBIS</t>
  </si>
  <si>
    <t>NOGAJCZYK</t>
  </si>
  <si>
    <t>PAWLAK</t>
  </si>
  <si>
    <t>WAWROWSKI</t>
  </si>
  <si>
    <t>BADURA</t>
  </si>
  <si>
    <t>CZOBODZIŃSKI</t>
  </si>
  <si>
    <t>LUCYNA</t>
  </si>
  <si>
    <t>WALDOWSKA</t>
  </si>
  <si>
    <t>KŁUSEK</t>
  </si>
  <si>
    <t>G503C</t>
  </si>
  <si>
    <t>KWIATOWSKI</t>
  </si>
  <si>
    <t>KOCHAJKIEWICZ</t>
  </si>
  <si>
    <t>SAWUŁA</t>
  </si>
  <si>
    <t>TALAR</t>
  </si>
  <si>
    <t>EDYTA</t>
  </si>
  <si>
    <t>MATCZAK</t>
  </si>
  <si>
    <t>JAKUB</t>
  </si>
  <si>
    <t>MOSIĄDZ</t>
  </si>
  <si>
    <t>KAMIŃSKI</t>
  </si>
  <si>
    <t>GROCHOWSKI</t>
  </si>
  <si>
    <t>SZYLAK</t>
  </si>
  <si>
    <t>CYBRUCH</t>
  </si>
  <si>
    <t>GODLEWSKI</t>
  </si>
  <si>
    <t>PAŁYS</t>
  </si>
  <si>
    <t>ŁEPKOWSKI</t>
  </si>
  <si>
    <t>KRAIŃSKI</t>
  </si>
  <si>
    <t>SMOLARZ</t>
  </si>
  <si>
    <t>KWIATEK</t>
  </si>
  <si>
    <t>FORYŚ</t>
  </si>
  <si>
    <t>TL MNX</t>
  </si>
  <si>
    <t>PC</t>
  </si>
  <si>
    <t>Obszar**</t>
  </si>
  <si>
    <t>Z</t>
  </si>
  <si>
    <t>TAĆ</t>
  </si>
  <si>
    <t>KURZEJA</t>
  </si>
  <si>
    <t>BARAN</t>
  </si>
  <si>
    <t>WITOLD</t>
  </si>
  <si>
    <t>MNX</t>
  </si>
  <si>
    <t>G711B</t>
  </si>
  <si>
    <t>G711C</t>
  </si>
  <si>
    <t>GPS</t>
  </si>
  <si>
    <t>CIEŚLAK</t>
  </si>
  <si>
    <t>STUS</t>
  </si>
  <si>
    <t>FITRZYK</t>
  </si>
  <si>
    <t>SZMIDT</t>
  </si>
  <si>
    <t>KRZYŻEWSKI</t>
  </si>
  <si>
    <t>SACHS</t>
  </si>
  <si>
    <t>ŚLIŻEWSKI</t>
  </si>
  <si>
    <t>PÓŁTORAK</t>
  </si>
  <si>
    <t>SKALIŃSKI</t>
  </si>
  <si>
    <t>KOWALCZYK</t>
  </si>
  <si>
    <t>LEPIANKA</t>
  </si>
  <si>
    <t>MARZENA</t>
  </si>
  <si>
    <t>JASEK</t>
  </si>
  <si>
    <t>CICHOWICZ</t>
  </si>
  <si>
    <t>DUDEK</t>
  </si>
  <si>
    <t>KOPICZKO</t>
  </si>
  <si>
    <t>JAN</t>
  </si>
  <si>
    <t>STĘPIEŃ</t>
  </si>
  <si>
    <t>MEROŃ</t>
  </si>
  <si>
    <t>STEFAN</t>
  </si>
  <si>
    <t>BORGOŃ</t>
  </si>
  <si>
    <t>DROPIŃSKI</t>
  </si>
  <si>
    <t>RUMNIAK</t>
  </si>
  <si>
    <t>RUTKOWSKI</t>
  </si>
  <si>
    <t>SAWICKI</t>
  </si>
  <si>
    <t>SKIBA</t>
  </si>
  <si>
    <t>SURMA</t>
  </si>
  <si>
    <t>SZERSZEŃ</t>
  </si>
  <si>
    <t>G307A</t>
  </si>
  <si>
    <t>G612A</t>
  </si>
  <si>
    <t>MUSIAŁ</t>
  </si>
  <si>
    <t>WIESZCZECIŃSKI</t>
  </si>
  <si>
    <t>KRYSTIAN</t>
  </si>
  <si>
    <t>SMARZYŃSKI</t>
  </si>
  <si>
    <t>ADAM</t>
  </si>
  <si>
    <t>MICHAŁ</t>
  </si>
  <si>
    <t>FIAŁKOWSKI</t>
  </si>
  <si>
    <t>JACEK</t>
  </si>
  <si>
    <t>JANKOWSKI</t>
  </si>
  <si>
    <t>DAMIAN</t>
  </si>
  <si>
    <t>SOBCZAK</t>
  </si>
  <si>
    <t>ZĘBEK</t>
  </si>
  <si>
    <t>OLEJNIK</t>
  </si>
  <si>
    <t>MAZGIS-WIDZISZEWSKA</t>
  </si>
  <si>
    <t>NAGIĘĆ</t>
  </si>
  <si>
    <t>JUSTYNA</t>
  </si>
  <si>
    <t>ŁĄG</t>
  </si>
  <si>
    <t>JĘCZMIEŃ</t>
  </si>
  <si>
    <t>PODLIŃSKI</t>
  </si>
  <si>
    <t>SZCZĘSNA</t>
  </si>
  <si>
    <t>RENATA</t>
  </si>
  <si>
    <t>SOMPOLSKA</t>
  </si>
  <si>
    <t>NABYWANIEC</t>
  </si>
  <si>
    <t>GAJEWSKI</t>
  </si>
  <si>
    <t>PIETRUSA</t>
  </si>
  <si>
    <t>KRYSZTOFORSKI</t>
  </si>
  <si>
    <t>STAWICKI</t>
  </si>
  <si>
    <t>IWONA</t>
  </si>
  <si>
    <t>BUJ</t>
  </si>
  <si>
    <t>KAMIL</t>
  </si>
  <si>
    <t>G715B</t>
  </si>
  <si>
    <t>GALUBA</t>
  </si>
  <si>
    <t>GRZEBIELA</t>
  </si>
  <si>
    <t>KRZYŻAŃSKI</t>
  </si>
  <si>
    <t>JORGOS</t>
  </si>
  <si>
    <t>B1400</t>
  </si>
  <si>
    <t>A1200</t>
  </si>
  <si>
    <t>B3100</t>
  </si>
  <si>
    <t>SIEMICKI</t>
  </si>
  <si>
    <t>SKALNY</t>
  </si>
  <si>
    <t>SKRZYPIŃSKA</t>
  </si>
  <si>
    <t>SZYMKOWIAK</t>
  </si>
  <si>
    <t>ŚWIĘTANOWSKI</t>
  </si>
  <si>
    <t>TELICKI</t>
  </si>
  <si>
    <t>NAZARKIEWICZ</t>
  </si>
  <si>
    <t>TREFON</t>
  </si>
  <si>
    <t>ULATOWSKI</t>
  </si>
  <si>
    <t>WRÓBLEWSKA</t>
  </si>
  <si>
    <t>ZAGÓRSKA</t>
  </si>
  <si>
    <t>RYSZTAK</t>
  </si>
  <si>
    <t>IZABELLA</t>
  </si>
  <si>
    <t>SKÓRA</t>
  </si>
  <si>
    <t>BŁACHUT</t>
  </si>
  <si>
    <t>GOLEŃ</t>
  </si>
  <si>
    <t>SZYMCZYK</t>
  </si>
  <si>
    <t>BALCERZAK</t>
  </si>
  <si>
    <t>LASEK</t>
  </si>
  <si>
    <t>ANDRZEJASZEK</t>
  </si>
  <si>
    <t>GOLIŃSKA</t>
  </si>
  <si>
    <t>PŁAWNY</t>
  </si>
  <si>
    <t>SZARZYŃSKI</t>
  </si>
  <si>
    <t>WIERZBICKA</t>
  </si>
  <si>
    <t>MINCER</t>
  </si>
  <si>
    <t>NOGAWKA</t>
  </si>
  <si>
    <t>ŁUSZCZYK</t>
  </si>
  <si>
    <t>POTRZEBOWSKA</t>
  </si>
  <si>
    <t>RUMIŃSKI</t>
  </si>
  <si>
    <t>CHABROWSKI</t>
  </si>
  <si>
    <t>CZEPIELEWICZ</t>
  </si>
  <si>
    <t>DUDZIŃSKI</t>
  </si>
  <si>
    <t>G5000</t>
  </si>
  <si>
    <t>G804A</t>
  </si>
  <si>
    <t>G308B</t>
  </si>
  <si>
    <t>G308C</t>
  </si>
  <si>
    <t>G309B</t>
  </si>
  <si>
    <t>G309C</t>
  </si>
  <si>
    <t>G310B</t>
  </si>
  <si>
    <t>G6000</t>
  </si>
  <si>
    <t>FILIPCZUK</t>
  </si>
  <si>
    <t>GŁODO</t>
  </si>
  <si>
    <t>PŁOWIEC</t>
  </si>
  <si>
    <t>SPUREK</t>
  </si>
  <si>
    <t>PUKALSKI</t>
  </si>
  <si>
    <t>JANEK</t>
  </si>
  <si>
    <t>OSCAR</t>
  </si>
  <si>
    <t>SZCZEPANIAK</t>
  </si>
  <si>
    <t>FULBISZEWSKI</t>
  </si>
  <si>
    <t>GOŁEK</t>
  </si>
  <si>
    <t>JABŁOŃSKI</t>
  </si>
  <si>
    <t>JACHYM</t>
  </si>
  <si>
    <t>SROKA</t>
  </si>
  <si>
    <t>ANNA</t>
  </si>
  <si>
    <t>KOPEĆ</t>
  </si>
  <si>
    <t>SŁAWOMIR</t>
  </si>
  <si>
    <t>ARKADIUSZ</t>
  </si>
  <si>
    <t>SUCHECKI</t>
  </si>
  <si>
    <t>NOWAKOWSKI</t>
  </si>
  <si>
    <t>CHOMIK</t>
  </si>
  <si>
    <t>KUŹMIŃSKI</t>
  </si>
  <si>
    <t>SOBOLEWSKI</t>
  </si>
  <si>
    <t>STRZELECKI</t>
  </si>
  <si>
    <t>SZOPA</t>
  </si>
  <si>
    <t>HOŁYSZ</t>
  </si>
  <si>
    <t>GÓRNIAK</t>
  </si>
  <si>
    <t>GUNIA</t>
  </si>
  <si>
    <t>KOTOWSKI</t>
  </si>
  <si>
    <t>G804B</t>
  </si>
  <si>
    <t>F1140</t>
  </si>
  <si>
    <t>E112A</t>
  </si>
  <si>
    <t>E1010</t>
  </si>
  <si>
    <t>IWANOWSKI</t>
  </si>
  <si>
    <t>JAWORSKI</t>
  </si>
  <si>
    <t>KLESZCZ</t>
  </si>
  <si>
    <t>KŁODAWSKI</t>
  </si>
  <si>
    <t>KRZEMIŃSKI</t>
  </si>
  <si>
    <t>KRZYNÓWEK</t>
  </si>
  <si>
    <t>KULIŃSKA</t>
  </si>
  <si>
    <t>E1100</t>
  </si>
  <si>
    <t>GNIATKOWSKI</t>
  </si>
  <si>
    <t>KOKOSZKA</t>
  </si>
  <si>
    <t>KRÓLICKI</t>
  </si>
  <si>
    <t>KUPNIEWSKI</t>
  </si>
  <si>
    <t>KUREK</t>
  </si>
  <si>
    <t>LASZUK</t>
  </si>
  <si>
    <t>LITWIŃSKI</t>
  </si>
  <si>
    <t>MAGDZIŃSKI</t>
  </si>
  <si>
    <t>RAK</t>
  </si>
  <si>
    <t>ROGALSKI</t>
  </si>
  <si>
    <t>SERWIN</t>
  </si>
  <si>
    <t>SOROKA</t>
  </si>
  <si>
    <t>STARCZAN</t>
  </si>
  <si>
    <t>SYRYCA</t>
  </si>
  <si>
    <t>BRANCZEL</t>
  </si>
  <si>
    <t>DEMARC</t>
  </si>
  <si>
    <t>MIŚ</t>
  </si>
  <si>
    <t>PERTEK</t>
  </si>
  <si>
    <t>TULIKOWSKI</t>
  </si>
  <si>
    <t>BURY</t>
  </si>
  <si>
    <t>MYSIAKOWSKI</t>
  </si>
  <si>
    <t>ŻUG</t>
  </si>
  <si>
    <t>HAMUDA</t>
  </si>
  <si>
    <t>KOZIOŁ</t>
  </si>
  <si>
    <t>WOJCIECHOWSKA</t>
  </si>
  <si>
    <t>DUNIEC</t>
  </si>
  <si>
    <t>RUDYJ</t>
  </si>
  <si>
    <t>CECHNICKI</t>
  </si>
  <si>
    <t>GÓRALCZYK</t>
  </si>
  <si>
    <t>KUBOSZEK</t>
  </si>
  <si>
    <t>NIEMIERSKI</t>
  </si>
  <si>
    <t>OGRODNIK</t>
  </si>
  <si>
    <t>PUŻAŃSKI</t>
  </si>
  <si>
    <t>KAŁENDEK</t>
  </si>
  <si>
    <t>KRUSZYŃSKI</t>
  </si>
  <si>
    <t>MAKOWIAK</t>
  </si>
  <si>
    <t>PIOTROWSKA</t>
  </si>
  <si>
    <t>OLGA</t>
  </si>
  <si>
    <t>Obszar</t>
  </si>
  <si>
    <t>Data transferu</t>
  </si>
  <si>
    <t>Komentarz</t>
  </si>
  <si>
    <t>G301A</t>
  </si>
  <si>
    <t>E1800</t>
  </si>
  <si>
    <t>T0001</t>
  </si>
  <si>
    <t>T0002</t>
  </si>
  <si>
    <t>CHRZANOWSKI</t>
  </si>
  <si>
    <t>KOŁODZIEJ</t>
  </si>
  <si>
    <t>OBOZA</t>
  </si>
  <si>
    <t>GŁÓD</t>
  </si>
  <si>
    <t>ŻAŁKO</t>
  </si>
  <si>
    <t>STASIAK</t>
  </si>
  <si>
    <t>KOZŁOWSKI</t>
  </si>
  <si>
    <t>WOSAK</t>
  </si>
  <si>
    <t>ŁASZEWSKI</t>
  </si>
  <si>
    <t>F205C</t>
  </si>
  <si>
    <t>UNIEŻYSKI</t>
  </si>
  <si>
    <t>WESOŁEK</t>
  </si>
  <si>
    <t>WILUSZ</t>
  </si>
  <si>
    <t>WRÓBLEWSKI</t>
  </si>
  <si>
    <t>DUDZIAK</t>
  </si>
  <si>
    <t>WINIARSKI</t>
  </si>
  <si>
    <t>BĄK</t>
  </si>
  <si>
    <t>MATUSZNY</t>
  </si>
  <si>
    <t>STAWIARSKI</t>
  </si>
  <si>
    <t>NAPIÓRA</t>
  </si>
  <si>
    <t>PRZERADA</t>
  </si>
  <si>
    <t>UMER</t>
  </si>
  <si>
    <t>JĘDRASZCZYK</t>
  </si>
  <si>
    <t>INGRAM</t>
  </si>
  <si>
    <t>MNG</t>
  </si>
  <si>
    <t>JAGODZIŃSKI</t>
  </si>
  <si>
    <t>KAZIMIERZ</t>
  </si>
  <si>
    <t>OWCARZ</t>
  </si>
  <si>
    <t>GRZEGORZ</t>
  </si>
  <si>
    <t>WITOSŁAWSKI</t>
  </si>
  <si>
    <t>ROMAN</t>
  </si>
  <si>
    <t>DRĄG</t>
  </si>
  <si>
    <t>G7100</t>
  </si>
  <si>
    <t>B3200</t>
  </si>
  <si>
    <t>MACIEJEWSKI</t>
  </si>
  <si>
    <t>CZERWIAK</t>
  </si>
  <si>
    <t>WINNICKI</t>
  </si>
  <si>
    <t>DYBKA</t>
  </si>
  <si>
    <t>F201B</t>
  </si>
  <si>
    <t>F207B</t>
  </si>
  <si>
    <t>JASTRZĘBSKI</t>
  </si>
  <si>
    <t>SZCZYGIEŁ</t>
  </si>
  <si>
    <t>ZBOŃKOWSKI</t>
  </si>
  <si>
    <t>KŁOS</t>
  </si>
  <si>
    <t>KACZANOWSKI</t>
  </si>
  <si>
    <t>RZECZYCKI</t>
  </si>
  <si>
    <t>BUNK</t>
  </si>
  <si>
    <t>GRUSZECKI</t>
  </si>
  <si>
    <t>FLADER</t>
  </si>
  <si>
    <t>MALCHROWICZ</t>
  </si>
  <si>
    <t>CZEMARNIK</t>
  </si>
  <si>
    <t>ROGOWSKI</t>
  </si>
  <si>
    <t>PACOŃ</t>
  </si>
  <si>
    <t>ELŻBIETA</t>
  </si>
  <si>
    <t>KURNYTA</t>
  </si>
  <si>
    <t>PSUTA</t>
  </si>
  <si>
    <t>KULIK</t>
  </si>
  <si>
    <t>SZTUKA</t>
  </si>
  <si>
    <t>ZENONA</t>
  </si>
  <si>
    <t>MŁOTKOWSKA</t>
  </si>
  <si>
    <t>BEDNAREK</t>
  </si>
  <si>
    <t>PRUC</t>
  </si>
  <si>
    <t>CYMBAŁKO</t>
  </si>
  <si>
    <t>LENC</t>
  </si>
  <si>
    <t>CABAŁA</t>
  </si>
  <si>
    <t>GRUSZKA</t>
  </si>
  <si>
    <t>RYCHLICKI</t>
  </si>
  <si>
    <t>RYKOWSKI</t>
  </si>
  <si>
    <t>SZYMANEK</t>
  </si>
  <si>
    <t>STAWSKI</t>
  </si>
  <si>
    <t>G4000</t>
  </si>
  <si>
    <t>BABISZ</t>
  </si>
  <si>
    <t>WÓJTOWICZ</t>
  </si>
  <si>
    <t>ZWOLSKA</t>
  </si>
  <si>
    <t>ROSZCZYK</t>
  </si>
  <si>
    <t>JAREK</t>
  </si>
  <si>
    <t>BANIA</t>
  </si>
  <si>
    <t>WIOLETA</t>
  </si>
  <si>
    <t>ŚWIDER</t>
  </si>
  <si>
    <t>TROJAN</t>
  </si>
  <si>
    <t>BINKIEWICZ</t>
  </si>
  <si>
    <t>DZIUBAŁKA</t>
  </si>
  <si>
    <t>ŁUBIŃSKA</t>
  </si>
  <si>
    <t>SKARBIŃSKA</t>
  </si>
  <si>
    <t>ANGELIKA</t>
  </si>
  <si>
    <t>SZEWCZYK</t>
  </si>
  <si>
    <t>ZARZECKI</t>
  </si>
  <si>
    <t>KLIMEK</t>
  </si>
  <si>
    <t>MALĄG</t>
  </si>
  <si>
    <t>GŁOWACKI</t>
  </si>
  <si>
    <t>NAWROCKI</t>
  </si>
  <si>
    <t>ZIMNY</t>
  </si>
  <si>
    <t>BIELAKIEWICZ</t>
  </si>
  <si>
    <t>GĄSIOREK</t>
  </si>
  <si>
    <t>RAKOWSKI</t>
  </si>
  <si>
    <t>ALEKSY</t>
  </si>
  <si>
    <t>WALENTAS</t>
  </si>
  <si>
    <t>EMIL</t>
  </si>
  <si>
    <t>LEŚNIEWSKI</t>
  </si>
  <si>
    <t>LEWICKI</t>
  </si>
  <si>
    <t>ZBIERSKI</t>
  </si>
  <si>
    <t>G802C</t>
  </si>
  <si>
    <t>G502C</t>
  </si>
  <si>
    <t>E113A</t>
  </si>
  <si>
    <t>MAJCHROWICZ</t>
  </si>
  <si>
    <t>MĄCZKOWSKI</t>
  </si>
  <si>
    <t>MIODOWSKI</t>
  </si>
  <si>
    <t>MODRAKOWSKI</t>
  </si>
  <si>
    <t>ENGINES</t>
  </si>
  <si>
    <t>G803A</t>
  </si>
  <si>
    <t>BIERNAT</t>
  </si>
  <si>
    <t>BŁAWACKI</t>
  </si>
  <si>
    <t>CZARNOTA</t>
  </si>
  <si>
    <t>JUSZKIEWICZ</t>
  </si>
  <si>
    <t>DEMBEK</t>
  </si>
  <si>
    <t>CZERWIŃSKI</t>
  </si>
  <si>
    <t>LESZEK</t>
  </si>
  <si>
    <t>GOŁĘBIOWSKI</t>
  </si>
  <si>
    <t>KRZOSEK</t>
  </si>
  <si>
    <t>WAŁOWSKI</t>
  </si>
  <si>
    <t>SANDOMIERSKI</t>
  </si>
  <si>
    <t>BINKOWSKI</t>
  </si>
  <si>
    <t>CZUCHRA</t>
  </si>
  <si>
    <t>PŁUSA</t>
  </si>
  <si>
    <t>WILCZYŃSKI</t>
  </si>
  <si>
    <t>GRABOWIK</t>
  </si>
  <si>
    <t>E113B</t>
  </si>
  <si>
    <t>E113C</t>
  </si>
  <si>
    <t>BRĄCZKOWSKI</t>
  </si>
  <si>
    <t>CHAK</t>
  </si>
  <si>
    <t>KRÓL</t>
  </si>
  <si>
    <t>FRYZOWICZ</t>
  </si>
  <si>
    <t>GRODZICKI</t>
  </si>
  <si>
    <t>HRABIA</t>
  </si>
  <si>
    <t>MARTYNÓW</t>
  </si>
  <si>
    <t>KIEŁBASA</t>
  </si>
  <si>
    <t>KRAŻEWSKI</t>
  </si>
  <si>
    <t>MAZGAJ</t>
  </si>
  <si>
    <t>OKRZESIK</t>
  </si>
  <si>
    <t>SUS</t>
  </si>
  <si>
    <t>WĘGRZYNOWSKI</t>
  </si>
  <si>
    <t>ZBROJA</t>
  </si>
  <si>
    <t>ZUBRZYCKI</t>
  </si>
  <si>
    <t>TIETZ</t>
  </si>
  <si>
    <t>G201B</t>
  </si>
  <si>
    <t>G613A</t>
  </si>
  <si>
    <t>POCHANKE</t>
  </si>
  <si>
    <t>SZUL</t>
  </si>
  <si>
    <t>Imię</t>
  </si>
  <si>
    <t>Stanowisko</t>
  </si>
  <si>
    <t>JANICKI</t>
  </si>
  <si>
    <t>SOBIERALSKI</t>
  </si>
  <si>
    <t>ŚWIĘTONIOWSKI</t>
  </si>
  <si>
    <t>G717A</t>
  </si>
  <si>
    <t>G401A</t>
  </si>
  <si>
    <t>MILEWSKI</t>
  </si>
  <si>
    <t>KOWALIK</t>
  </si>
  <si>
    <t>KUBIAK</t>
  </si>
  <si>
    <t>CYDZIK</t>
  </si>
  <si>
    <t>PARZYCH</t>
  </si>
  <si>
    <t>PIWOWARCZYK</t>
  </si>
  <si>
    <t>STADNIK</t>
  </si>
  <si>
    <t>MISZTAL</t>
  </si>
  <si>
    <t>KATARZYNA</t>
  </si>
  <si>
    <t>ANDRZEJEWSKI</t>
  </si>
  <si>
    <t>JÓZEFIAK</t>
  </si>
  <si>
    <t>TOKARSKI</t>
  </si>
  <si>
    <t>CHOJNACKI</t>
  </si>
  <si>
    <t>MALINOWSKI</t>
  </si>
  <si>
    <t>KWIATKOWSKI</t>
  </si>
  <si>
    <t>MAKSYMOWICZ</t>
  </si>
  <si>
    <t>KAŁUŻYŃSKI</t>
  </si>
  <si>
    <t>TARKA</t>
  </si>
  <si>
    <t>JAKUBOWSKI</t>
  </si>
  <si>
    <t>KSIĄŻEK</t>
  </si>
  <si>
    <t>BOROWIEC</t>
  </si>
  <si>
    <t>TYMIŃSKI</t>
  </si>
  <si>
    <t>WASZKIEWICZ</t>
  </si>
  <si>
    <t>KAŹMIERCZAK</t>
  </si>
  <si>
    <t>SINDREWICZ</t>
  </si>
  <si>
    <t>WIKTOR</t>
  </si>
  <si>
    <t>STACHOWIAK</t>
  </si>
  <si>
    <t>MOLOCIOS</t>
  </si>
  <si>
    <t>ADRIANA</t>
  </si>
  <si>
    <t>PICEK</t>
  </si>
  <si>
    <t>TRUSKOWSKI</t>
  </si>
  <si>
    <t>ZAKRZEWSKI</t>
  </si>
  <si>
    <t>H1800</t>
  </si>
  <si>
    <t>H2800</t>
  </si>
  <si>
    <t>SKOWRON</t>
  </si>
  <si>
    <t>SZWARCZYŃSKI</t>
  </si>
  <si>
    <t>STARNAWSKI</t>
  </si>
  <si>
    <t>MYJAK</t>
  </si>
  <si>
    <t>JASIENICKI</t>
  </si>
  <si>
    <t>SZYMAŃSKI</t>
  </si>
  <si>
    <t>OTRĘBA</t>
  </si>
  <si>
    <t>OŻÓG</t>
  </si>
  <si>
    <t>ADRIAN</t>
  </si>
  <si>
    <t>PAWEŁKIEWICZ</t>
  </si>
  <si>
    <t>VIOLETTA</t>
  </si>
  <si>
    <t>PEŁKA</t>
  </si>
  <si>
    <t>KRYSTKOWIAK</t>
  </si>
  <si>
    <t>ŚLIWIŃSKI</t>
  </si>
  <si>
    <t>KOŚKIEWICZ</t>
  </si>
  <si>
    <t>NOWACKA</t>
  </si>
  <si>
    <t>WAŃCZYK</t>
  </si>
  <si>
    <t>KURZAWIŃSKI</t>
  </si>
  <si>
    <t>DOLATA</t>
  </si>
  <si>
    <t>GÓRKA</t>
  </si>
  <si>
    <t>GERARD</t>
  </si>
  <si>
    <t>KISIEL</t>
  </si>
  <si>
    <t>KAWIŃSKI</t>
  </si>
  <si>
    <t>ZIÓŁKOWSKI</t>
  </si>
  <si>
    <t>RYBANDT</t>
  </si>
  <si>
    <t>GAIK</t>
  </si>
  <si>
    <t>KOLASIŃSKI</t>
  </si>
  <si>
    <t>WALASIAK</t>
  </si>
  <si>
    <t>CZUCZUK</t>
  </si>
  <si>
    <t>CEBULA</t>
  </si>
  <si>
    <t>BETLEJEWSKI</t>
  </si>
  <si>
    <t>BEDNARZ</t>
  </si>
  <si>
    <t>JANUSZ</t>
  </si>
  <si>
    <t>ACELA</t>
  </si>
  <si>
    <t>BAŃKA</t>
  </si>
  <si>
    <t>DUDIAK</t>
  </si>
  <si>
    <t>JAŚLAN</t>
  </si>
  <si>
    <t>DOMINIK</t>
  </si>
  <si>
    <t>KARWIK</t>
  </si>
  <si>
    <t>KUCEK</t>
  </si>
  <si>
    <t>BOŻENA</t>
  </si>
  <si>
    <t>TUMIDAJEWICZ</t>
  </si>
  <si>
    <t>ŚLIWAK</t>
  </si>
  <si>
    <t>ŻMIJOWSKI</t>
  </si>
  <si>
    <t>BORYSEWICZ</t>
  </si>
  <si>
    <t>KUBAL</t>
  </si>
  <si>
    <t>BRUCKI</t>
  </si>
  <si>
    <t>DAWID</t>
  </si>
  <si>
    <t>GABROWSKI</t>
  </si>
  <si>
    <t>GONDEK</t>
  </si>
  <si>
    <t>STANISŁAW</t>
  </si>
  <si>
    <t>KACZMAREK</t>
  </si>
  <si>
    <t>WŁODZIMIERZ</t>
  </si>
  <si>
    <t>KALIŚ</t>
  </si>
  <si>
    <t>G6020</t>
  </si>
  <si>
    <t>C1200</t>
  </si>
  <si>
    <t>C1100</t>
  </si>
  <si>
    <t>G615C</t>
  </si>
  <si>
    <t>SOCZAWA</t>
  </si>
  <si>
    <t>ZWOLIŃSKI</t>
  </si>
  <si>
    <t>WOJERZ</t>
  </si>
  <si>
    <t>GAŁA</t>
  </si>
  <si>
    <t>SZMAŃDA</t>
  </si>
  <si>
    <t>SIERAKOWSKA</t>
  </si>
  <si>
    <t>AR11C</t>
  </si>
  <si>
    <t>AR11A</t>
  </si>
  <si>
    <t>AR11B</t>
  </si>
  <si>
    <t>CZAPSKI</t>
  </si>
  <si>
    <t>KUTRAN</t>
  </si>
  <si>
    <t>WEISS</t>
  </si>
  <si>
    <t>ŁĘKAWSKI</t>
  </si>
  <si>
    <t>SZUPER</t>
  </si>
  <si>
    <t>TOMASZ</t>
  </si>
  <si>
    <t>S0000</t>
  </si>
  <si>
    <t>E3751</t>
  </si>
  <si>
    <t>E1030</t>
  </si>
  <si>
    <t>F205A</t>
  </si>
  <si>
    <t>G614C</t>
  </si>
  <si>
    <t>KALINOWSKI</t>
  </si>
  <si>
    <t>GUZERA</t>
  </si>
  <si>
    <t>PACYNA</t>
  </si>
  <si>
    <t>MOCARSKA</t>
  </si>
  <si>
    <t>PASICH</t>
  </si>
  <si>
    <t>GABRIELA</t>
  </si>
  <si>
    <t>POTRZEBOWSKI</t>
  </si>
  <si>
    <t>SZABLIŃSKI</t>
  </si>
  <si>
    <t>JORDAN</t>
  </si>
  <si>
    <t>SZCZEPAŃSKA</t>
  </si>
  <si>
    <t>G303C</t>
  </si>
  <si>
    <t>G303A</t>
  </si>
  <si>
    <t>MIŁKOWSKA-KLOC</t>
  </si>
  <si>
    <t>LUBINIECKA</t>
  </si>
  <si>
    <t>FALKENBERG</t>
  </si>
  <si>
    <t>GABORSKI</t>
  </si>
  <si>
    <t>GADOWSKA</t>
  </si>
  <si>
    <t>GŁODEK</t>
  </si>
  <si>
    <t>HECZKO</t>
  </si>
  <si>
    <t>TPS</t>
  </si>
  <si>
    <t>G307B</t>
  </si>
  <si>
    <t>TM MNX</t>
  </si>
  <si>
    <t>TM MNX2</t>
  </si>
  <si>
    <t>G310A</t>
  </si>
  <si>
    <t>G304A</t>
  </si>
  <si>
    <t>WĘGRZYN</t>
  </si>
  <si>
    <t>KSIĘŻOPOLSKA</t>
  </si>
  <si>
    <t>MAGRYTA</t>
  </si>
  <si>
    <t>SACHAREWICZ</t>
  </si>
  <si>
    <t>BEDNARSKA</t>
  </si>
  <si>
    <t>GRAŻYNA</t>
  </si>
  <si>
    <t>MARIOLA</t>
  </si>
  <si>
    <t>GOLASIŃSKI</t>
  </si>
  <si>
    <t>MAGREL</t>
  </si>
  <si>
    <t>MROZIŃSKA</t>
  </si>
  <si>
    <t>BOGUSŁAW</t>
  </si>
  <si>
    <t>ANTKOWIAK</t>
  </si>
  <si>
    <t>ANETA</t>
  </si>
  <si>
    <t>KOMAR</t>
  </si>
  <si>
    <t>G306B</t>
  </si>
  <si>
    <t>HETMAŃCZYK</t>
  </si>
  <si>
    <t>KARNISZEWSKA</t>
  </si>
  <si>
    <t>EMILIA</t>
  </si>
  <si>
    <t>AGNIESZKA</t>
  </si>
  <si>
    <t>HOŁDONOWICZ</t>
  </si>
  <si>
    <t>JANIK</t>
  </si>
  <si>
    <t>JASIŃSKI</t>
  </si>
  <si>
    <t>MASKO</t>
  </si>
  <si>
    <t>OGAREK</t>
  </si>
  <si>
    <t>ŚMIETANKA</t>
  </si>
  <si>
    <t>WAŻNY</t>
  </si>
  <si>
    <t>ZDEB</t>
  </si>
  <si>
    <t>NOWAK</t>
  </si>
  <si>
    <t>WOJTYŁA</t>
  </si>
  <si>
    <t>CC</t>
  </si>
  <si>
    <t>F206C</t>
  </si>
  <si>
    <t>GTCOV</t>
  </si>
  <si>
    <t xml:space="preserve">MTB </t>
  </si>
  <si>
    <t>G805B</t>
  </si>
  <si>
    <t>G405B</t>
  </si>
  <si>
    <t>B1300</t>
  </si>
  <si>
    <t>G614A</t>
  </si>
  <si>
    <t>STALICA</t>
  </si>
  <si>
    <t>ŚLĘCZKOWSKI</t>
  </si>
  <si>
    <t>PŁAWSIUK</t>
  </si>
  <si>
    <t>WROŃSKI</t>
  </si>
  <si>
    <t>F207A</t>
  </si>
  <si>
    <t>G402A</t>
  </si>
  <si>
    <t>SCHNEIDER</t>
  </si>
  <si>
    <t>SOKULSKI</t>
  </si>
  <si>
    <t>POŚNIK</t>
  </si>
  <si>
    <t>CHRYPLEWICZ</t>
  </si>
  <si>
    <t>MACNIAK</t>
  </si>
  <si>
    <t>MAŃCZAK</t>
  </si>
  <si>
    <t>POPOWNIAK</t>
  </si>
  <si>
    <t>BOROWSKI</t>
  </si>
  <si>
    <t>DZIURA</t>
  </si>
  <si>
    <t>Przełożony</t>
  </si>
  <si>
    <t>WOZOWCZYK</t>
  </si>
  <si>
    <t>WIDERA</t>
  </si>
  <si>
    <t>POWIRSKI</t>
  </si>
  <si>
    <t>ZASADA</t>
  </si>
  <si>
    <t>AGACIAK</t>
  </si>
  <si>
    <t>GŁODNY</t>
  </si>
  <si>
    <t>WOJDYŁA</t>
  </si>
  <si>
    <t>F2010</t>
  </si>
  <si>
    <t>F206A</t>
  </si>
  <si>
    <t>BIAŁEK</t>
  </si>
  <si>
    <t>BIEŃKOWSKI</t>
  </si>
  <si>
    <t>BOBOWSKI</t>
  </si>
  <si>
    <t>BOCHM</t>
  </si>
  <si>
    <t>BUDZIŃSKI</t>
  </si>
  <si>
    <t>CHMIELNICKI</t>
  </si>
  <si>
    <t>CICHY</t>
  </si>
  <si>
    <t>DABIC</t>
  </si>
  <si>
    <t>HOFFMAN</t>
  </si>
  <si>
    <t>HURKOT</t>
  </si>
  <si>
    <t>JARYMOWICZ</t>
  </si>
  <si>
    <t>KAPAŁA</t>
  </si>
  <si>
    <t>KARAMON</t>
  </si>
  <si>
    <t>KARDASZ</t>
  </si>
  <si>
    <t>KILIŃSKI</t>
  </si>
  <si>
    <t>KLUPSZ</t>
  </si>
  <si>
    <t>KNAPIK</t>
  </si>
  <si>
    <t>KOŚCIELNIK</t>
  </si>
  <si>
    <t>KRUPIŃSKI</t>
  </si>
  <si>
    <t>KRYCH</t>
  </si>
  <si>
    <t>KUBARA</t>
  </si>
  <si>
    <t>MAREK</t>
  </si>
  <si>
    <t>CHILMON</t>
  </si>
  <si>
    <t>TADEUSZ</t>
  </si>
  <si>
    <t>FOLKMAN</t>
  </si>
  <si>
    <t>Engines</t>
  </si>
  <si>
    <t>G731B</t>
  </si>
  <si>
    <t>G731A</t>
  </si>
  <si>
    <t>G715A</t>
  </si>
  <si>
    <t>B5000</t>
  </si>
  <si>
    <t>GRL</t>
  </si>
  <si>
    <t>GRL2</t>
  </si>
  <si>
    <t>ASM</t>
  </si>
  <si>
    <t>G715C</t>
  </si>
  <si>
    <t>FORGING</t>
  </si>
  <si>
    <t>G801A</t>
  </si>
  <si>
    <t>WALKOWIAK</t>
  </si>
  <si>
    <t>ZEMŁA</t>
  </si>
  <si>
    <t>OSAJDZIŃSKI</t>
  </si>
  <si>
    <t>OCET</t>
  </si>
  <si>
    <t>FRĘŚKO</t>
  </si>
  <si>
    <t>GÓRAJEC</t>
  </si>
  <si>
    <t>ŚLEPOKURA</t>
  </si>
  <si>
    <t>TRZASKOWSKI</t>
  </si>
  <si>
    <t>WŁADYSŁAW</t>
  </si>
  <si>
    <t>G302B</t>
  </si>
  <si>
    <t>G304B</t>
  </si>
  <si>
    <t>G201D</t>
  </si>
  <si>
    <t>G761B</t>
  </si>
  <si>
    <t>TL</t>
  </si>
  <si>
    <t>PIEKARZEWICZ</t>
  </si>
  <si>
    <t>ROSICKI</t>
  </si>
  <si>
    <t>SARMULEJNO</t>
  </si>
  <si>
    <t>SMĘTKOWSKI</t>
  </si>
  <si>
    <t>SZCZEBAK</t>
  </si>
  <si>
    <t>DOROTA</t>
  </si>
  <si>
    <t>TERESZKIEWICZ</t>
  </si>
  <si>
    <t>TRÓLKA</t>
  </si>
  <si>
    <t>F2600</t>
  </si>
  <si>
    <t>F2100</t>
  </si>
  <si>
    <t>G302A</t>
  </si>
  <si>
    <t>G8010</t>
  </si>
  <si>
    <t>E1600</t>
  </si>
  <si>
    <t>MĄCZKOWSKA</t>
  </si>
  <si>
    <t>STROJNA</t>
  </si>
  <si>
    <t>CHEŁMINIAK</t>
  </si>
  <si>
    <t>MACIOŁEK</t>
  </si>
  <si>
    <t>KUROWSKA</t>
  </si>
  <si>
    <t>LASKOWSKA</t>
  </si>
  <si>
    <t>ROZPENDOWSKA</t>
  </si>
  <si>
    <t>JANKOWICZ</t>
  </si>
  <si>
    <t>ŁODYGA</t>
  </si>
  <si>
    <t>SABINA</t>
  </si>
  <si>
    <t>BOREK</t>
  </si>
  <si>
    <t>WIOLETTA</t>
  </si>
  <si>
    <t>GRASIEWICZ</t>
  </si>
  <si>
    <t>SPC</t>
  </si>
  <si>
    <t>A1400</t>
  </si>
  <si>
    <t>E3000</t>
  </si>
  <si>
    <t>RYCZEK SEBASTIAN</t>
  </si>
  <si>
    <t>SURMIAK ANDRZEJ</t>
  </si>
  <si>
    <t>JANIK TOMASZ</t>
  </si>
  <si>
    <t>CZEMARNIK MONIKA</t>
  </si>
  <si>
    <t>DZICZKOWSKI JANUSZ</t>
  </si>
  <si>
    <t>GUZERA DANIEL</t>
  </si>
  <si>
    <t>BAWOŁ PRZEMYSŁAW</t>
  </si>
  <si>
    <t>PATEREK PAWEŁ</t>
  </si>
  <si>
    <t>ŚWISTOWSKI ARTUR</t>
  </si>
  <si>
    <t>MYSŁOWSKI PRZEMYSŁAW</t>
  </si>
  <si>
    <t>JARUGA ADAM</t>
  </si>
  <si>
    <t>BEDNARCZYK ANDRZEJ</t>
  </si>
  <si>
    <t>CZARKOWSKI NORBERT</t>
  </si>
  <si>
    <t>CIEŚLAK ZDZISŁAW</t>
  </si>
  <si>
    <t>CZUCZUK PIOTR</t>
  </si>
  <si>
    <t>GRODZICKI DANIEL</t>
  </si>
  <si>
    <t>KOPEĆ SŁAWOMIR</t>
  </si>
  <si>
    <t>JANUSZKIEWICZ ZBIGNIEW</t>
  </si>
  <si>
    <t>LITWIŃSKI MAREK</t>
  </si>
  <si>
    <t>KOSTRZYCKI MARCIN</t>
  </si>
  <si>
    <t>SAWUŁA KAMIL</t>
  </si>
  <si>
    <t>OBOZA MARCIN</t>
  </si>
  <si>
    <t>CEBULA IRENEUSZ</t>
  </si>
  <si>
    <t>DĄBROWSKI JAROSŁAW</t>
  </si>
  <si>
    <t>PLEWA MIROSŁAW</t>
  </si>
  <si>
    <t>WOŹNIAK SŁAWOMIR</t>
  </si>
  <si>
    <t>CHRZANOWSKI JAROSŁAW</t>
  </si>
  <si>
    <t>BOBROWSKI MIROSŁAW</t>
  </si>
  <si>
    <t>RYDZ TOMASZ</t>
  </si>
  <si>
    <t>CICHOWICZ MARIUSZ</t>
  </si>
  <si>
    <t>STEIN</t>
  </si>
  <si>
    <t>DOBOSZ</t>
  </si>
  <si>
    <t>GOŁYŹNIAK</t>
  </si>
  <si>
    <t>STOPYRA</t>
  </si>
  <si>
    <t>FELICH</t>
  </si>
  <si>
    <t>KROCZAK</t>
  </si>
  <si>
    <t>PRZYTOCKI</t>
  </si>
  <si>
    <t>MARCZAK</t>
  </si>
  <si>
    <t>WITAS</t>
  </si>
  <si>
    <t>MACIULEWICZ</t>
  </si>
  <si>
    <t>KAWECKI</t>
  </si>
  <si>
    <t>MARTA</t>
  </si>
  <si>
    <t>MICHALAK</t>
  </si>
  <si>
    <t>BŁASZKIEWICZ</t>
  </si>
  <si>
    <t>PATRYK</t>
  </si>
  <si>
    <t>MAGDALENA</t>
  </si>
  <si>
    <t>GŁOGOWSKI</t>
  </si>
  <si>
    <t>PRZYWÓSKI</t>
  </si>
  <si>
    <t>BIELAWSKI</t>
  </si>
  <si>
    <t>SAŁATA</t>
  </si>
  <si>
    <t>BARANOWSKI</t>
  </si>
  <si>
    <t>DUDA</t>
  </si>
  <si>
    <t>TERCKI</t>
  </si>
  <si>
    <t>BUCZKOWSKI</t>
  </si>
  <si>
    <t>TOMULIK</t>
  </si>
  <si>
    <t>BUSZ</t>
  </si>
  <si>
    <t>MARGAS</t>
  </si>
  <si>
    <t>TOMERA</t>
  </si>
  <si>
    <t>ROMANOWSKI</t>
  </si>
  <si>
    <t>SZYDŁOWSKI</t>
  </si>
  <si>
    <t>EUGENIUSZ</t>
  </si>
  <si>
    <t>GRZESIAK</t>
  </si>
  <si>
    <t>FILIPCZAK</t>
  </si>
  <si>
    <t>PIETRUSIEWICZ</t>
  </si>
  <si>
    <t>EC60</t>
  </si>
  <si>
    <t>G306C</t>
  </si>
  <si>
    <t>QC</t>
  </si>
  <si>
    <t>JARZĄBEK</t>
  </si>
  <si>
    <t>B1000</t>
  </si>
  <si>
    <t>ŚLIWKA</t>
  </si>
  <si>
    <t>STAWIAK</t>
  </si>
  <si>
    <t>SZAREK</t>
  </si>
  <si>
    <t>WIERZBICKI</t>
  </si>
  <si>
    <t>CIURA</t>
  </si>
  <si>
    <t>NOWICKI</t>
  </si>
  <si>
    <t>DROŻDŻ</t>
  </si>
  <si>
    <t>KULCZYK</t>
  </si>
  <si>
    <t>SZTYCH</t>
  </si>
  <si>
    <t>STOLARSKI</t>
  </si>
  <si>
    <t>BIJAK</t>
  </si>
  <si>
    <t>PUZIAK</t>
  </si>
  <si>
    <t>H1500</t>
  </si>
  <si>
    <t>H1600</t>
  </si>
  <si>
    <t>G405A</t>
  </si>
  <si>
    <t>B3000</t>
  </si>
  <si>
    <t>CASTING</t>
  </si>
  <si>
    <t>G3000</t>
  </si>
  <si>
    <t>MOLKA</t>
  </si>
  <si>
    <t>OSAJDA</t>
  </si>
  <si>
    <t>PODWIKA</t>
  </si>
  <si>
    <t>SKITOWSKI</t>
  </si>
  <si>
    <t>STOKŁOSA</t>
  </si>
  <si>
    <t>SUSZEK</t>
  </si>
  <si>
    <t>SZŁAPAK</t>
  </si>
  <si>
    <t>JAKUBANIS</t>
  </si>
  <si>
    <t>KOMORNICZAK</t>
  </si>
  <si>
    <t>PAŁKA</t>
  </si>
  <si>
    <t>FIDLER</t>
  </si>
  <si>
    <t>GRĄDOWY</t>
  </si>
  <si>
    <t>MISIAK</t>
  </si>
  <si>
    <t>MICHALSKI</t>
  </si>
  <si>
    <t>BILECKI</t>
  </si>
  <si>
    <t>GRABOWSKI</t>
  </si>
  <si>
    <t>IGNACY</t>
  </si>
  <si>
    <t>JANUSZKIEWICZ</t>
  </si>
  <si>
    <t>ZBIGNIEW</t>
  </si>
  <si>
    <t>LUBORAK</t>
  </si>
  <si>
    <t>WAWRZYNOWICZ</t>
  </si>
  <si>
    <t>TOCZKO</t>
  </si>
  <si>
    <t>KALITA</t>
  </si>
  <si>
    <t>GIERCZAK</t>
  </si>
  <si>
    <t>G751A</t>
  </si>
  <si>
    <t>G751C</t>
  </si>
  <si>
    <t>G751D</t>
  </si>
  <si>
    <t>G613B</t>
  </si>
  <si>
    <t>F2000</t>
  </si>
  <si>
    <t>CHRĄCHOL</t>
  </si>
  <si>
    <t>WOJCIECHOWSKI</t>
  </si>
  <si>
    <t>KURIATA</t>
  </si>
  <si>
    <t>FIJOREK</t>
  </si>
  <si>
    <t>SKONECZNY</t>
  </si>
  <si>
    <t>AGATA</t>
  </si>
  <si>
    <t>PROKOP</t>
  </si>
  <si>
    <t>ADAMKIEWICZ</t>
  </si>
  <si>
    <t>ŚWIOKŁO</t>
  </si>
  <si>
    <t>KAROL</t>
  </si>
  <si>
    <t>DĄBROWICZ</t>
  </si>
  <si>
    <t>PIWOWARSKI</t>
  </si>
  <si>
    <t>SOSNOWSKI</t>
  </si>
  <si>
    <t>OTTO</t>
  </si>
  <si>
    <t>KĘDZIA</t>
  </si>
  <si>
    <t>GUŹDA</t>
  </si>
  <si>
    <t>KLAG</t>
  </si>
  <si>
    <t>JAŁA</t>
  </si>
  <si>
    <t>BIEDROŃ</t>
  </si>
  <si>
    <t>BRAMBOR</t>
  </si>
  <si>
    <t>ŚWISTOWSKI</t>
  </si>
  <si>
    <t>FEDOROWICZ</t>
  </si>
  <si>
    <t>SUROWIEC</t>
  </si>
  <si>
    <t>STRZYŻ</t>
  </si>
  <si>
    <t>BAWOŁ</t>
  </si>
  <si>
    <t>CECELON</t>
  </si>
  <si>
    <t>FELINIAK</t>
  </si>
  <si>
    <t>GNIEWKO</t>
  </si>
  <si>
    <t>JASKÓLSKI</t>
  </si>
  <si>
    <t>KLEMENTOWSKI</t>
  </si>
  <si>
    <t>KMITA</t>
  </si>
  <si>
    <t>KOGUT</t>
  </si>
  <si>
    <t>KOŁDA</t>
  </si>
  <si>
    <t>KOTLIŃSKI</t>
  </si>
  <si>
    <t>KOZŁOWSKA</t>
  </si>
  <si>
    <t>LIDIA</t>
  </si>
  <si>
    <t>DUTKIEWICZ</t>
  </si>
  <si>
    <t>JOLANTA</t>
  </si>
  <si>
    <t>KRYGIER</t>
  </si>
  <si>
    <t>KRYSZTOFIAK</t>
  </si>
  <si>
    <t>MATUSZCZAK</t>
  </si>
  <si>
    <t>MIKŁASZEWICZ</t>
  </si>
  <si>
    <t>BEATA</t>
  </si>
  <si>
    <t>MOSZCZUK</t>
  </si>
  <si>
    <t>NOWOCZEK</t>
  </si>
  <si>
    <t>PRENETA</t>
  </si>
  <si>
    <t>RAJCHERT</t>
  </si>
  <si>
    <t>OSTROWSKA</t>
  </si>
  <si>
    <t>ZDZISŁAWA</t>
  </si>
  <si>
    <t>MAŁGORZATA</t>
  </si>
  <si>
    <t>SŁOWIK-WALCZAK</t>
  </si>
  <si>
    <t>URSZULA</t>
  </si>
  <si>
    <t>BASZTURA</t>
  </si>
  <si>
    <t>KARLIŃSKI</t>
  </si>
  <si>
    <t>BIEDRZYCKI</t>
  </si>
  <si>
    <t>ICIASZEK</t>
  </si>
  <si>
    <t>PRZYBOROWSKI</t>
  </si>
  <si>
    <t>OLEŚ MAŁGORZATA</t>
  </si>
  <si>
    <t>KOŁOWIECKI SŁAWOMIR</t>
  </si>
  <si>
    <t>KARDASZ IWONA</t>
  </si>
  <si>
    <t>GRĄDOWY ARKADIUSZ</t>
  </si>
  <si>
    <t>JURKOWSKI MIROSŁAW</t>
  </si>
  <si>
    <t>PUKALSKI MICHAŁ</t>
  </si>
  <si>
    <t>PUZIAK ROMUALD</t>
  </si>
  <si>
    <t>JARZĄBEK PAWEŁ</t>
  </si>
  <si>
    <t>KOŹMIŃSKI ROMAN</t>
  </si>
  <si>
    <t>ZDEB MARCIN</t>
  </si>
  <si>
    <t>DRAPIŃSKI RYSZARD</t>
  </si>
  <si>
    <t>KALITA DARIUSZ</t>
  </si>
  <si>
    <t>NOWAKOWSKI PRZEMYSŁAW</t>
  </si>
  <si>
    <t>LUBORAK SŁAWOMIR</t>
  </si>
  <si>
    <t>BADIURA KRZYSZTOF</t>
  </si>
  <si>
    <t>SUS DAMIAN</t>
  </si>
  <si>
    <t>MARCZAK PIOTR</t>
  </si>
  <si>
    <t>PIOTROWSKI WOJCIECH</t>
  </si>
  <si>
    <t>GIERCZAK KRZYSZTOF</t>
  </si>
  <si>
    <t>WROŃSKI ANDRZEJ</t>
  </si>
  <si>
    <t>PODSIEDLIK SEBASTIAN</t>
  </si>
  <si>
    <t>MYJAK KRZYSZTOF</t>
  </si>
  <si>
    <t>BYRA ZBIGNIEW</t>
  </si>
  <si>
    <t>CZYŻOWSKI MARIUSZ</t>
  </si>
  <si>
    <t>DZIENISZEWSKA ANITA</t>
  </si>
  <si>
    <t>SZCZEPAŃSKI RAFAŁ</t>
  </si>
  <si>
    <t>NIEBIESZCZAŃSKI ARKADIUSZ</t>
  </si>
  <si>
    <t>STASZCZYK DANIEL</t>
  </si>
  <si>
    <t>SUDOŁ GRZEGORZ</t>
  </si>
  <si>
    <t>SZUDZIŃSKA MAGDALENA</t>
  </si>
  <si>
    <t>KAŁUŻYŃSKI MIROSŁAW</t>
  </si>
  <si>
    <t>SAMULSKI JERZY</t>
  </si>
  <si>
    <t>SALAMON MAREK</t>
  </si>
  <si>
    <t>KALINOWSKI ARTUR</t>
  </si>
  <si>
    <t>GÓRNY MIECZYSŁAW</t>
  </si>
  <si>
    <t>JAMROŻY MARCIN</t>
  </si>
  <si>
    <t>KAJCZYŃSKI DARIUSZ</t>
  </si>
  <si>
    <t>KLECHA PRZEMYSŁAW</t>
  </si>
  <si>
    <t>ŻAK AGATA</t>
  </si>
  <si>
    <t>BĄK EMILIA</t>
  </si>
  <si>
    <t>STADNIK MIROSŁAW</t>
  </si>
  <si>
    <t>PASTUSZKA ŁUKASZ</t>
  </si>
  <si>
    <t>ANDRASZ JAROSŁAW</t>
  </si>
  <si>
    <t>TL2</t>
  </si>
  <si>
    <t>TL MNX2</t>
  </si>
  <si>
    <t>WRONA</t>
  </si>
  <si>
    <t>SZWARCZYŃSKA</t>
  </si>
  <si>
    <t>TURKIEWICZ-JAKUBOWSKA</t>
  </si>
  <si>
    <t>IWANOWSKA</t>
  </si>
  <si>
    <t>SUCHAN</t>
  </si>
  <si>
    <t>KOCUREK</t>
  </si>
  <si>
    <t>KAROLINA</t>
  </si>
  <si>
    <t>ARTO</t>
  </si>
  <si>
    <t>AR42C</t>
  </si>
  <si>
    <t>AR41A</t>
  </si>
  <si>
    <t>AR42A</t>
  </si>
  <si>
    <t>G5030</t>
  </si>
  <si>
    <t>G801C</t>
  </si>
  <si>
    <t>G803C</t>
  </si>
  <si>
    <t>G804C</t>
  </si>
  <si>
    <t>G805C</t>
  </si>
  <si>
    <t>E318C</t>
  </si>
  <si>
    <t>G713D</t>
  </si>
  <si>
    <t>G714D</t>
  </si>
  <si>
    <t>G715D</t>
  </si>
  <si>
    <t>G616C</t>
  </si>
  <si>
    <t>E3CAM</t>
  </si>
  <si>
    <t>E1020</t>
  </si>
  <si>
    <t>G719A</t>
  </si>
  <si>
    <t>G719C</t>
  </si>
  <si>
    <t>AR43A</t>
  </si>
  <si>
    <t>C1000</t>
  </si>
  <si>
    <t>D1000</t>
  </si>
  <si>
    <t>D1100</t>
  </si>
  <si>
    <t>PRODUCTION CONTROL</t>
  </si>
  <si>
    <t>MATERIALS CONTROL</t>
  </si>
  <si>
    <t>PARTS CONTROL &amp; PRODUCTION PLANNING</t>
  </si>
  <si>
    <t>F0000</t>
  </si>
  <si>
    <t>F208C</t>
  </si>
  <si>
    <t>ART00</t>
  </si>
  <si>
    <t>CASTING SHOP TRAINING</t>
  </si>
  <si>
    <t>FORGING SHOP TRAINING</t>
  </si>
  <si>
    <t>ENGINE SHOP TRAINING</t>
  </si>
  <si>
    <t>MTB SHOP TRAINING</t>
  </si>
  <si>
    <t>EC60 SHOP TRAINING</t>
  </si>
  <si>
    <t>IL/GPS SHOP TRAINING</t>
  </si>
  <si>
    <t>QC SHOP TRAINING</t>
  </si>
  <si>
    <t>EPKM</t>
  </si>
  <si>
    <t>BENKYOKAI</t>
  </si>
  <si>
    <t>CASTING KAIZEN SHOP</t>
  </si>
  <si>
    <t>FORGING KAIZEN SHOP</t>
  </si>
  <si>
    <t>ENGINES KAIZEN SHOP</t>
  </si>
  <si>
    <t>MTB KAIZEN SHOP</t>
  </si>
  <si>
    <t>EC60 KAIZEN SHOP</t>
  </si>
  <si>
    <t>IL KAIZEN SHOP</t>
  </si>
  <si>
    <t>TEEM</t>
  </si>
  <si>
    <t>CORPORATE AFFAIRS</t>
  </si>
  <si>
    <t>PURCHASING</t>
  </si>
  <si>
    <t>ADMINISTRATION &amp; CORPORATE SERVICES</t>
  </si>
  <si>
    <t>HUMAN RESOURCES</t>
  </si>
  <si>
    <t>EMPLOYEES RELATIONS</t>
  </si>
  <si>
    <t>COMPENSATION, BENEFITS &amp; SYSTEMS</t>
  </si>
  <si>
    <t>HR DEVELOPMENT</t>
  </si>
  <si>
    <t>ORGANISATION DEVELOPMENT</t>
  </si>
  <si>
    <t>TRAINING</t>
  </si>
  <si>
    <t>TRADE UNION</t>
  </si>
  <si>
    <t>ACCOUNTING &amp; FINANCE GENERAL</t>
  </si>
  <si>
    <t xml:space="preserve">ACCOUNTING </t>
  </si>
  <si>
    <t>CONTROLLING</t>
  </si>
  <si>
    <t>INTERNAL CONTROL</t>
  </si>
  <si>
    <t>INFORMATION SYSTEMS GENERAL</t>
  </si>
  <si>
    <t>INFORMATION SYSTEMS</t>
  </si>
  <si>
    <t>PC &amp; LOGISTICS</t>
  </si>
  <si>
    <t>REDUCED FLEXIBILITY - PC</t>
  </si>
  <si>
    <t>GPS SHIFT YELLOW</t>
  </si>
  <si>
    <t>GPS SHIFT BLUE</t>
  </si>
  <si>
    <t>GPS SHIFT GREEN</t>
  </si>
  <si>
    <t>SPARES &amp; TRAFFIC CONTROL SHIFT YELLOW</t>
  </si>
  <si>
    <t>SPARES &amp; TRAFFIC CONTROL  SHIFT BLUE</t>
  </si>
  <si>
    <t>SPARES &amp; TRAFFIC CONTROL  SHIFT GREEN</t>
  </si>
  <si>
    <t>I/L T/M B-ZERO SHIFT YELLOW</t>
  </si>
  <si>
    <t>I/L T/M B-ZERO SHIFT BLUE</t>
  </si>
  <si>
    <t>I/L T/M B-ZERO SHIFT GREEN</t>
  </si>
  <si>
    <t>I/L E/G SHIFT YELLOW</t>
  </si>
  <si>
    <t>I/L E/G SHIFT BLUE</t>
  </si>
  <si>
    <t>I/L E/G SHIFT GREEN</t>
  </si>
  <si>
    <t>I/L EC60 SHIFT YELLOW</t>
  </si>
  <si>
    <t>I/L EC60 SHIFT BLUE</t>
  </si>
  <si>
    <t>I/L EC60 SHIFT GREEN</t>
  </si>
  <si>
    <t>INTERNAL LOGISTIC TRANSMISSIONS</t>
  </si>
  <si>
    <t>INTERNAL LOGISTIC ENGINES</t>
  </si>
  <si>
    <t>PC EC60</t>
  </si>
  <si>
    <t>INTERNAL LOGISTIC</t>
  </si>
  <si>
    <t>QUALITY  GENERAL</t>
  </si>
  <si>
    <t>QUALITY ENGINEERING GENERAL</t>
  </si>
  <si>
    <t>QUALITY ENGINEERS M/T B ZERO</t>
  </si>
  <si>
    <t>QUALITY ENGINEERS ENGINES</t>
  </si>
  <si>
    <t>QUALITY ENGINEERS EC60</t>
  </si>
  <si>
    <t>QUALITY CONTROL</t>
  </si>
  <si>
    <t>REDUCED FLEXIBILITY - QC</t>
  </si>
  <si>
    <t>QC MANUAL TRANSMISSIONS SHIFT YELLOW</t>
  </si>
  <si>
    <t>QC MANUAL TRANSMISSIONS SHIFT BLUE</t>
  </si>
  <si>
    <t>QC MANUAL TRANSMISSIONS SHIFT GREEN</t>
  </si>
  <si>
    <t>QC RAW MATERIALS SHIFT YELLOW</t>
  </si>
  <si>
    <t>QC RAW MATERIALS SHIFT BLUE</t>
  </si>
  <si>
    <t>QC RAW MATERIALS SHIFT GREEN</t>
  </si>
  <si>
    <t>QUALITY CONTROL ENGINES SHIFT YELLOW</t>
  </si>
  <si>
    <t>QUALITY CONTROL ENGINES SHIFT BLUE</t>
  </si>
  <si>
    <t>QUALITY CONTROL ENGINES SHIFT GREEN</t>
  </si>
  <si>
    <t>QC GAUGES CONTROL SHIFT YELLOW</t>
  </si>
  <si>
    <t>QC GAUGES CONTROL SHIFT BLUE</t>
  </si>
  <si>
    <t>QC GAUGES CONTROL SHIFT GREEN</t>
  </si>
  <si>
    <t>QC EC60 SHIFT YELLOW</t>
  </si>
  <si>
    <t>QC EC60 SHIFT BLUE</t>
  </si>
  <si>
    <t>QC EC60 SHIFT GREEN</t>
  </si>
  <si>
    <t>QUALITY CONTROL MANUAL TRANSMISSIONS</t>
  </si>
  <si>
    <t>QUALITY CONTROL ENGINES</t>
  </si>
  <si>
    <t>HEAT TREATMENT SHIFT YELLOW</t>
  </si>
  <si>
    <t>HEAT TREATMENT SHIFT BLUE</t>
  </si>
  <si>
    <t>HEAT TREATMENT SHIFT GREEN</t>
  </si>
  <si>
    <t>HEAT TREATMENT SHIFT RED</t>
  </si>
  <si>
    <t>FORGING &amp; SINTERING</t>
  </si>
  <si>
    <t>GEAR BLANK SHIFT YELLOW</t>
  </si>
  <si>
    <t>GEAR BLANK SHIFT BLUE</t>
  </si>
  <si>
    <t>GEAR BLANK SHIFT GREEN</t>
  </si>
  <si>
    <t>SINTERING SHIFT YELLOW</t>
  </si>
  <si>
    <t>SINTERING SHIFT BLUE</t>
  </si>
  <si>
    <t>SINTERING SHIFT GREEN</t>
  </si>
  <si>
    <t>PINION &amp; SIDE PIECE SHIFT YELLOW</t>
  </si>
  <si>
    <t>PINION &amp; SIDE PIECE SHIFT BLUE</t>
  </si>
  <si>
    <t>PINION &amp; SIDE PIECE SHIFT GREEN</t>
  </si>
  <si>
    <t>OUTPUT SHAFT SHIFT YELLOW</t>
  </si>
  <si>
    <t>OUTPUT SHAFT SHIFT BLUE</t>
  </si>
  <si>
    <t>OUTPUT SHAFT SHIFT GREEN</t>
  </si>
  <si>
    <t>TOOL MAKING SHIFT YELLOW</t>
  </si>
  <si>
    <t>TOOL MAKING SHIFT BLUE</t>
  </si>
  <si>
    <t>TOOL MAKING SHIFT GREEN</t>
  </si>
  <si>
    <t>CONROD&amp;SHAFT SHIFT YELLOW</t>
  </si>
  <si>
    <t>CONROD&amp;SHAFT SHIFT BLUE</t>
  </si>
  <si>
    <t>CONROD&amp;SHAFT SHIFT GREEN</t>
  </si>
  <si>
    <t>CRANKSHAFT SHIFT YELLOW</t>
  </si>
  <si>
    <t>CRANKSHAFT SHIFT BLUE</t>
  </si>
  <si>
    <t>CRANKSHAFT SHIFT GREEN</t>
  </si>
  <si>
    <t>CONROD 2000T SHIFT YELLOW</t>
  </si>
  <si>
    <t>CONROD 2000T SHIFT BLUE</t>
  </si>
  <si>
    <t>CONROD 2000T SHIFT GREEN</t>
  </si>
  <si>
    <t>COLD FORGING HAGATA SHIFT YELLOW</t>
  </si>
  <si>
    <t>COLD FORGING HAGATA SHIFT BLUE</t>
  </si>
  <si>
    <t>COLD FORGING HAGATA SHIFT GREEN</t>
  </si>
  <si>
    <t>COMPACT HOT FORMER SHIFT YELLOW</t>
  </si>
  <si>
    <t>COMPACT HOT FORMER SHIFT BLUE</t>
  </si>
  <si>
    <t>COMPACT HOT FORMER SHIFT GREEN</t>
  </si>
  <si>
    <t>MANUAL TRANSMISSIONS B ZERO</t>
  </si>
  <si>
    <t>REDUCED FLEXIBILITY - MTB0</t>
  </si>
  <si>
    <t>ASSEMBLY M/T B ZERO SHIFT YELLOW</t>
  </si>
  <si>
    <t>ASSEMBLY M/T B ZERO SHIFT BLUE</t>
  </si>
  <si>
    <t>ASSEMBLY M/T B ZERO SHIFT GREEN</t>
  </si>
  <si>
    <t>CASE MACHINING M/T B ZERO SHIFT YELLOW</t>
  </si>
  <si>
    <t>CASE MACHINING M/T B ZERO SHIFT BLUE</t>
  </si>
  <si>
    <t>CASE MACHINING M/T B ZERO SHIFT GREEN</t>
  </si>
  <si>
    <t>GEAR GRINDING M/T B ZERO SHIFT YELLOW</t>
  </si>
  <si>
    <t>GEAR GRINDING M/T B ZERO SHIFT BLUE</t>
  </si>
  <si>
    <t>GEAR GRINDING M/T B ZERO SHIFT GREEN</t>
  </si>
  <si>
    <t>GEAR BLANKING 1 M/T B ZERO SHIFT YELLOW</t>
  </si>
  <si>
    <t>GEAR BLANKING 1 M/T B ZERO SHIFT BLUE</t>
  </si>
  <si>
    <t>GEAR BLANKING 1 M/T B ZERO SHIFT GREEN</t>
  </si>
  <si>
    <t>GEAR BLANKING 2 M/T B ZERO SHIFT YELLOW</t>
  </si>
  <si>
    <t>GEAR BLANKING 2 M/T B ZERO SHIFT BLUE</t>
  </si>
  <si>
    <t>GEAR BLANKING 2 M/T B ZERO SHIFT GREEN</t>
  </si>
  <si>
    <t>DIE CASTING SHIFT YELLOW</t>
  </si>
  <si>
    <t>DIE CASTING SHIFT BLUE</t>
  </si>
  <si>
    <t>DIE CASTING SHIFT GREEN</t>
  </si>
  <si>
    <t>LOW PRESSURE CASTING SHIFT YELLOW</t>
  </si>
  <si>
    <t>LOW PRESSURE CASTING SHIFT BLUE</t>
  </si>
  <si>
    <t>LOW PRESSURE CASTING SHIFT GREEN</t>
  </si>
  <si>
    <t>MAINTENANCE MOULDS SHIFT YELLOW</t>
  </si>
  <si>
    <t>MAINTENANCE MOULDS SHIFT BLUE</t>
  </si>
  <si>
    <t>MAINTENANCE MOULDS SHIFT GREEN</t>
  </si>
  <si>
    <t>REDUCED FLEXIBILITY - ENGINES</t>
  </si>
  <si>
    <t>INNER ASSEMBLY / SUB SHIFT YELLOW</t>
  </si>
  <si>
    <t>INNER ASSEMBLY / SUB SHIFT BLUE</t>
  </si>
  <si>
    <t>INNER ASSEMBLY / SUB SHIFT GREEN</t>
  </si>
  <si>
    <t>MIDDLE &amp; FINAL ASSEMBLY SHIFT YELLOW</t>
  </si>
  <si>
    <t>MIDDLE &amp; FINAL ASSEMBLY SHIFT BLUE</t>
  </si>
  <si>
    <t>MIDDLE &amp; FINAL ASSEMBLY SHIFT GREEN</t>
  </si>
  <si>
    <t>BLOCK MACHINING SHIFT YELLOW</t>
  </si>
  <si>
    <t>BLOCK MACHINING SHIFT BLUE</t>
  </si>
  <si>
    <t>BLOCK MACHINING SHIFT GREEN</t>
  </si>
  <si>
    <t>HEAD MACHINING SHIFT YELLOW</t>
  </si>
  <si>
    <t>HEAD MACHINING SHIFT BLUE</t>
  </si>
  <si>
    <t>HEAD MACHINING SHIFT GREEN</t>
  </si>
  <si>
    <t>CRANK / ROD MACHINING SHIFT YELLOW</t>
  </si>
  <si>
    <t>CRANK / ROD MACHINING SHIFT BLUE</t>
  </si>
  <si>
    <t>CRANK / ROD MACHINING SHIFT GREEN</t>
  </si>
  <si>
    <t>MAINTENANCE EQUIPMENT</t>
  </si>
  <si>
    <t>MAINTENANCE SUPPORT</t>
  </si>
  <si>
    <t>MAINTENANCE MANUAL TRANSMISSIONS SHIFT YELLOW</t>
  </si>
  <si>
    <t>MAINTENANCE MANUAL TRANSMISSIONS SHIFT BLUE</t>
  </si>
  <si>
    <t>MAINTENANCE MANUAL TRANSMISSIONS SHIFT GREEN</t>
  </si>
  <si>
    <t>MAINTENANCE MANUAL TRANSMISSIONS SHIFT RED</t>
  </si>
  <si>
    <t>MAINTENANCE MEDIA SHIFT YELLOW</t>
  </si>
  <si>
    <t>MAINTENANCE MEDIA SHIFT BLUE</t>
  </si>
  <si>
    <t>MAINTENANCE MEDIA SHIFT GREEN</t>
  </si>
  <si>
    <t>MAINTENANCE MEDIA SHIFT RED</t>
  </si>
  <si>
    <t>KAIZEN SHIFT YELLOW</t>
  </si>
  <si>
    <t>KAIZEN SHIFT BLUE</t>
  </si>
  <si>
    <t>KAIZEN SHIFT GREEN</t>
  </si>
  <si>
    <t>KAIZEN SHIFT RED</t>
  </si>
  <si>
    <t>SHUKEN SHIFT YELLOW</t>
  </si>
  <si>
    <t>SHUKEN SHIFT BLUE</t>
  </si>
  <si>
    <t>SHUKEN SHIFT GREEN</t>
  </si>
  <si>
    <t>SHUKEN SHIFT RED</t>
  </si>
  <si>
    <t>MNX SPECIAL TEAM SHIFT YELLOW</t>
  </si>
  <si>
    <t>MNX SPECIAL TEAM SHIFT BLUE</t>
  </si>
  <si>
    <t>MNX SPECIAL TEAM SHIFT GREEN</t>
  </si>
  <si>
    <t>MNX SPECIAL TEAM SHIFT RED</t>
  </si>
  <si>
    <t>MAINTENANCE FORGING &amp; SINTERING SHIFT YELLOW</t>
  </si>
  <si>
    <t>MAINTENANCE FORGING &amp; SINTERING SHIFT BLUE</t>
  </si>
  <si>
    <t>MAINTENANCE FORGING &amp; SINTERING SHIFT GREEN</t>
  </si>
  <si>
    <t>MAINTENANCE FORGING &amp; SINTERING SHIFT RED</t>
  </si>
  <si>
    <t>MAINTENANCE CASTING MACHINING SHIFT YELLOW</t>
  </si>
  <si>
    <t>MAINTENANCE CASTING MACHINING SHIFT BLUE</t>
  </si>
  <si>
    <t>MAINTENANCE CASTING MACHINING SHIFT GREEN</t>
  </si>
  <si>
    <t>MAINTENANCE CASTING MACHINING SHIFT RED</t>
  </si>
  <si>
    <t>MAINTENANCE ENGINES SHIFT YELLOW</t>
  </si>
  <si>
    <t>MAINTENANCE ENGINES SHIFT BLUE</t>
  </si>
  <si>
    <t>MAINTENANCE ENGINES SHIFT GREEN</t>
  </si>
  <si>
    <t>MAINTENANCE ENGINES SHIFT RED</t>
  </si>
  <si>
    <t>EC60 MNG&amp;AM</t>
  </si>
  <si>
    <t>REDUCED FLEXIBILITY - EC60</t>
  </si>
  <si>
    <t>ASSEMBLY LINE EC60 SHIFT YELLOW</t>
  </si>
  <si>
    <t>ASSEMBLY LINE EC60 SHIFT BLUE</t>
  </si>
  <si>
    <t>ASSEMBLY LINE EC60 SHIFT GREEN</t>
  </si>
  <si>
    <t>CASE MACHINING EC60 SHIFT YELLOW</t>
  </si>
  <si>
    <t>CASE MACHINING EC60 SHIFT BLUE</t>
  </si>
  <si>
    <t>CASE MACHINING EC60 SHIFT GREEN</t>
  </si>
  <si>
    <t>GEAR GRINDING EC60 SHIFT YELLOW</t>
  </si>
  <si>
    <t>GEAR GRINDING EC60 SHIFT BLUE</t>
  </si>
  <si>
    <t>GEAR GRINDING EC60 SHIFT GREEN</t>
  </si>
  <si>
    <t>GEAR BLANKING 1 EC60 SHIFT YELLOW</t>
  </si>
  <si>
    <t>GEAR BLANKING 1 EC60 SHIFT BLUE</t>
  </si>
  <si>
    <t>GEAR BLANKING 1 EC60 SHIFT GREEN</t>
  </si>
  <si>
    <t>GEAR BLANKING 2 EC60 SHIFT YELLOW</t>
  </si>
  <si>
    <t>GEAR BLANKING 2 EC60 SHIFT BLUE</t>
  </si>
  <si>
    <t>GEAR BLANKING 2 EC60 SHIFT GREEN</t>
  </si>
  <si>
    <t>T/O COVERAGE</t>
  </si>
  <si>
    <t>TPS Leader</t>
  </si>
  <si>
    <t xml:space="preserve">3 Pillars </t>
  </si>
  <si>
    <t>PRODUCTION ENGINEERING</t>
  </si>
  <si>
    <t>PRODUCTION ENGINEERING FORGING &amp; SINTERING</t>
  </si>
  <si>
    <t>PRODUCTION ENGINEERING M/T B ZERO</t>
  </si>
  <si>
    <t>PRODUCTION ENGINEERING CASTING</t>
  </si>
  <si>
    <t>PRODUCTION ENGINEERING ENGINES</t>
  </si>
  <si>
    <t>PRODUCTION ENGINEERING EC60</t>
  </si>
  <si>
    <t>MAINTENANCE ENGINEERING</t>
  </si>
  <si>
    <t>MAINTENANCE ENGINEERING EC60</t>
  </si>
  <si>
    <t>MAINTENANCE ENGINEERING FORGING &amp; SINTERING</t>
  </si>
  <si>
    <t>MAINTENANCE ENGINEERING M/T B ZERO</t>
  </si>
  <si>
    <t>MAINTENANCE ENGINEERING CASTING</t>
  </si>
  <si>
    <t>MAINTENANCE ENGINEERING ENGINES</t>
  </si>
  <si>
    <t>MAINTENANCE FACILITIES</t>
  </si>
  <si>
    <t>ENVIRONMENTAL PROTECTION (ISO)</t>
  </si>
  <si>
    <t>ENVIROMENTAL</t>
  </si>
  <si>
    <t>HEALTH &amp; SAFETY/ ENVIRONMENT</t>
  </si>
  <si>
    <t xml:space="preserve">ARTO- SPECIAL KAIZEN TEAM - GENERAL </t>
  </si>
  <si>
    <t xml:space="preserve">ARTO- SPECIAL KAIZEN TEAM </t>
  </si>
  <si>
    <t>751F PROJECT PREPARATION - ENGINES</t>
  </si>
  <si>
    <t>CAMSHAFT MACHINING SHIFT YELLOW</t>
  </si>
  <si>
    <t>CAMSHAFT MACHINING SHIFT BLUE</t>
  </si>
  <si>
    <t>CAMSHAFT MACHINING SHIFT GREEN</t>
  </si>
  <si>
    <t>751 PROJECT PREPARATION - CASTING</t>
  </si>
  <si>
    <t>751F PROJECT PREPARATION - INTERNAL LOGISTICS</t>
  </si>
  <si>
    <t>CAMSHAFT PROJECT PREPARATION - INTERNAL LOGISTICS</t>
  </si>
  <si>
    <t>751F PROJECT PREPARATION - QUALITY CONTROL</t>
  </si>
  <si>
    <t>CAMSHAFT  PROJECT PREPARATION - QUALITY CONTROL</t>
  </si>
  <si>
    <t>CAMSHAFT MNX SHIFT YELLOW</t>
  </si>
  <si>
    <t>751F MNX SHIFT YELLO</t>
  </si>
  <si>
    <t>GL/TL ROLE DEVELOPMENT</t>
  </si>
  <si>
    <t>MANPOWER SHARING</t>
  </si>
  <si>
    <t>SEIBI</t>
  </si>
  <si>
    <t>IS</t>
  </si>
  <si>
    <t>MROZIŃSKI</t>
  </si>
  <si>
    <t>TATAREK</t>
  </si>
  <si>
    <t>SYRYCA ANDRZEJ</t>
  </si>
  <si>
    <t>AR41B</t>
  </si>
  <si>
    <t>AR41C</t>
  </si>
  <si>
    <t>AR42B</t>
  </si>
  <si>
    <t>AR43B</t>
  </si>
  <si>
    <t>AR43C</t>
  </si>
  <si>
    <t>K9100</t>
  </si>
  <si>
    <t>K9200</t>
  </si>
  <si>
    <t>G901A</t>
  </si>
  <si>
    <t>G901B</t>
  </si>
  <si>
    <t>G901C</t>
  </si>
  <si>
    <t>JASTRZĘBOWSKI GRZEGORZ</t>
  </si>
  <si>
    <t>DEMESZUK KRZYSZTOF</t>
  </si>
  <si>
    <t>OWCARZ GRZEGORZ</t>
  </si>
  <si>
    <t>WITOSŁAWSKI ROMAN</t>
  </si>
  <si>
    <t>FLEGEL PIOTR</t>
  </si>
  <si>
    <t>MAJCHER PRZEMYSŁAW</t>
  </si>
  <si>
    <t>OKOPNIAK ARTUR</t>
  </si>
  <si>
    <t>RYŁKO RYSZARD</t>
  </si>
  <si>
    <t>DĘBEK PAWEŁ</t>
  </si>
  <si>
    <t>ŁĘKAWSKI PAWEŁ</t>
  </si>
  <si>
    <t>KWAŚNY KRZYSZTOF</t>
  </si>
  <si>
    <t>SZKARADEK GRZEGORZ</t>
  </si>
  <si>
    <t>GOŁEK ANDRZEJ</t>
  </si>
  <si>
    <t>KONIOR ZDZISŁAW</t>
  </si>
  <si>
    <t>MROZIŃSKI DAMIAN</t>
  </si>
  <si>
    <t>POLIWOCZAK MARCIN</t>
  </si>
  <si>
    <t>ŻAŁKO GRZEGORZ</t>
  </si>
  <si>
    <t>KOZŁOWSKI TOMASZ</t>
  </si>
  <si>
    <t>ŁASZEWSKI TOMASZ</t>
  </si>
  <si>
    <t>TOCZKO DARIUSZ</t>
  </si>
  <si>
    <t>FIDLER JAROSŁAW</t>
  </si>
  <si>
    <t>KORALEWSKI SŁAWOMIR</t>
  </si>
  <si>
    <t>SACHER SŁAWOMIR</t>
  </si>
  <si>
    <t>MŁODZIANKOWSKI ROBERT</t>
  </si>
  <si>
    <t>ŚLUCZKA TYMOTEUSZ</t>
  </si>
  <si>
    <t>KAŁUZIŃSKI WALDEMAR</t>
  </si>
  <si>
    <t>ANTONIEWICZ ERYK</t>
  </si>
  <si>
    <t>TOKARSKI ARTUR</t>
  </si>
  <si>
    <t>FOLKMAN SEBASTIAN</t>
  </si>
  <si>
    <t>PASTERNAK MARIUSZ</t>
  </si>
  <si>
    <t>GRZESIK MARCIN</t>
  </si>
  <si>
    <t>NOWAK NORBERT</t>
  </si>
  <si>
    <t>PEREK KRZYSZTOF</t>
  </si>
  <si>
    <t>HORBACZ KRZYSZTOF</t>
  </si>
  <si>
    <t>ZIEMNIAK GRZEGORZ</t>
  </si>
  <si>
    <t>PACYNA PRZEMYSŁAW</t>
  </si>
  <si>
    <t>SZMIDT JANUSZ</t>
  </si>
  <si>
    <t>LEPIANKA MARZENA</t>
  </si>
  <si>
    <t>MEROŃ STEFAN</t>
  </si>
  <si>
    <t>DROPIŃSKI DARIUSZ</t>
  </si>
  <si>
    <t>STUS PAWEŁ</t>
  </si>
  <si>
    <t>SWAŁTEK BENIAMIN</t>
  </si>
  <si>
    <t>WARCHOŁ ANDRZEJ</t>
  </si>
  <si>
    <t>CYDZIK JAROSŁAW</t>
  </si>
  <si>
    <t>SZEMBERG ARTUR</t>
  </si>
  <si>
    <t>DEPTALSKI JAROSŁAW</t>
  </si>
  <si>
    <t>MAZURSKI DANIEL</t>
  </si>
  <si>
    <t>WESOŁEK WIESŁAW</t>
  </si>
  <si>
    <t>WILUSZ KRZYSZTOF</t>
  </si>
  <si>
    <t>BŁAWACKI GRZEGORZ</t>
  </si>
  <si>
    <t>BŁASZCZYK ROBERT</t>
  </si>
  <si>
    <t>WROŃSKI ADAM</t>
  </si>
  <si>
    <t>GÓRSKI GRZEGORZ</t>
  </si>
  <si>
    <t>PICEK KRZYSZTOF</t>
  </si>
  <si>
    <t>NAWROCKI WITOLD</t>
  </si>
  <si>
    <t>KURIATA JANUSZ</t>
  </si>
  <si>
    <t>SUROWIEC ŁUKASZ</t>
  </si>
  <si>
    <t>WYRWAŁ EWA</t>
  </si>
  <si>
    <t>BABISZ MAREK</t>
  </si>
  <si>
    <t>PIOTROWSKI JAROSŁAW</t>
  </si>
  <si>
    <t>OLEJNIK PIOTR</t>
  </si>
  <si>
    <t>KUCHARSKA AGATA</t>
  </si>
  <si>
    <t>FIGIELA ROBERT</t>
  </si>
  <si>
    <t>SULIBORSKI</t>
  </si>
  <si>
    <t>WÓJCIK</t>
  </si>
  <si>
    <t>WOJERZ MICHAŁ</t>
  </si>
  <si>
    <t>JURKOWSKA JOANNA</t>
  </si>
  <si>
    <t>LISOWSKI ŁUKASZ</t>
  </si>
  <si>
    <t>ULATOWSKI ROBERT</t>
  </si>
  <si>
    <t>JANIKOWSKI ROBERT</t>
  </si>
  <si>
    <t>KRÓL MARCIN</t>
  </si>
  <si>
    <t>RUSIN KRZYSZTOF</t>
  </si>
  <si>
    <t>GRESZTA PIOTR</t>
  </si>
  <si>
    <t>CHROSTEK</t>
  </si>
  <si>
    <t>HAJDUK</t>
  </si>
  <si>
    <t>ORDECKI</t>
  </si>
  <si>
    <t>ZENON</t>
  </si>
  <si>
    <t>RAGAN</t>
  </si>
  <si>
    <t>WESOŁOWSKI</t>
  </si>
  <si>
    <t>WESOŁOWSKI WOJCIECH</t>
  </si>
  <si>
    <t>WIJAS</t>
  </si>
  <si>
    <t>WOJNICZ</t>
  </si>
  <si>
    <t>ZDRAL</t>
  </si>
  <si>
    <t>WÓJCIK PIOTR</t>
  </si>
  <si>
    <t>E901A</t>
  </si>
  <si>
    <t>E901B</t>
  </si>
  <si>
    <t>E901C</t>
  </si>
  <si>
    <t>NARZĘDZIOWNIA DMMD</t>
  </si>
  <si>
    <t>PODBIELSKI</t>
  </si>
  <si>
    <t>ŻMIJOWSKA</t>
  </si>
  <si>
    <t>ŻMIJOWSKA AGNIESZKA</t>
  </si>
  <si>
    <t>G3PRO</t>
  </si>
  <si>
    <t>PROJECT</t>
  </si>
  <si>
    <t>G8PRO</t>
  </si>
  <si>
    <t>Stan.</t>
  </si>
  <si>
    <t>G7PRO</t>
  </si>
  <si>
    <t>DMMD</t>
  </si>
  <si>
    <t>w</t>
  </si>
  <si>
    <t>G8TPM</t>
  </si>
  <si>
    <t>TPM - EC60</t>
  </si>
  <si>
    <t>G4TPM</t>
  </si>
  <si>
    <t>G6TPM</t>
  </si>
  <si>
    <t>G3TPM</t>
  </si>
  <si>
    <t>G5TPM</t>
  </si>
  <si>
    <t>FQTPM</t>
  </si>
  <si>
    <t>EITPM</t>
  </si>
  <si>
    <t>TPM - MTB</t>
  </si>
  <si>
    <t>TPM - ENGINES</t>
  </si>
  <si>
    <t>TPM - F&amp;S</t>
  </si>
  <si>
    <t>TPM - CASTING</t>
  </si>
  <si>
    <t>TPM - QC</t>
  </si>
  <si>
    <t>TPM - IL</t>
  </si>
  <si>
    <t>TPM - E</t>
  </si>
  <si>
    <t>TPM - C</t>
  </si>
  <si>
    <t>z</t>
  </si>
  <si>
    <t>S0001</t>
  </si>
  <si>
    <t>FIEJTEK</t>
  </si>
  <si>
    <t>BONISŁAWSKA-MICHAŁEK</t>
  </si>
  <si>
    <t>SŁOWIŃSKA-KOCIUMBAS</t>
  </si>
  <si>
    <t>ILING</t>
  </si>
  <si>
    <t>GM</t>
  </si>
  <si>
    <t>ARTO - Kakuato</t>
  </si>
  <si>
    <t>ARTO - Karakuri</t>
  </si>
  <si>
    <t>G6944</t>
  </si>
  <si>
    <t>KR kai ME (Engines)</t>
  </si>
  <si>
    <t>Data spotkania</t>
  </si>
  <si>
    <t>Ilość dni</t>
  </si>
  <si>
    <t>A1000</t>
  </si>
  <si>
    <t>H1EB6</t>
  </si>
  <si>
    <t>PRODUCTION ENGINEERING PROJECT</t>
  </si>
  <si>
    <t>H1944</t>
  </si>
  <si>
    <t>H1900</t>
  </si>
  <si>
    <t>DOJO/QCC/KAIZEN</t>
  </si>
  <si>
    <t>G8EB6</t>
  </si>
  <si>
    <t xml:space="preserve">PROJEKT EB KAI </t>
  </si>
  <si>
    <t>MNX PROJECT</t>
  </si>
  <si>
    <t>E3944</t>
  </si>
  <si>
    <t>IL PROJECT</t>
  </si>
  <si>
    <t>MTB0</t>
  </si>
  <si>
    <t>OFFICE</t>
  </si>
  <si>
    <t>G7EB6</t>
  </si>
  <si>
    <t>G7944</t>
  </si>
  <si>
    <t>MNX EB KAI Project</t>
  </si>
  <si>
    <t>MNX KR KAI Project</t>
  </si>
  <si>
    <t>F2EB6</t>
  </si>
  <si>
    <t>QC EB KAI PROJECT</t>
  </si>
  <si>
    <t>QC Project</t>
  </si>
  <si>
    <t>F2944</t>
  </si>
  <si>
    <t>QC KR KAI PROJECT</t>
  </si>
  <si>
    <t>E3EB6</t>
  </si>
  <si>
    <t>IL EB KAI PROJECT</t>
  </si>
  <si>
    <t>IL Project</t>
  </si>
  <si>
    <t>EC60 Project</t>
  </si>
  <si>
    <t>G718A</t>
  </si>
  <si>
    <t>MNX KARAKURI</t>
  </si>
  <si>
    <t>Karakuri</t>
  </si>
  <si>
    <t>G5944</t>
  </si>
  <si>
    <t>CASTING PROJECT</t>
  </si>
  <si>
    <t>Nazwisko</t>
  </si>
  <si>
    <t>AC ASM</t>
  </si>
  <si>
    <t>AC GRL</t>
  </si>
  <si>
    <t>AC TL</t>
  </si>
  <si>
    <t>WOJCIESZKO</t>
  </si>
  <si>
    <t>KRYNDA</t>
  </si>
  <si>
    <t>NICIARZ</t>
  </si>
  <si>
    <t>POPARDOWSKI</t>
  </si>
  <si>
    <t>SERAFIN</t>
  </si>
  <si>
    <t>KRAWCZYSZYN</t>
  </si>
  <si>
    <t>PIWOWAR</t>
  </si>
  <si>
    <t>ILONA</t>
  </si>
  <si>
    <t>STANKIEWICZ JAROS</t>
  </si>
  <si>
    <t>BAUT</t>
  </si>
  <si>
    <t>BOGUMIŁA</t>
  </si>
  <si>
    <t>CZADO</t>
  </si>
  <si>
    <t>BEKAS</t>
  </si>
  <si>
    <t>LISOWSKA-PYTEL</t>
  </si>
  <si>
    <t>PATRYCJA</t>
  </si>
  <si>
    <t>POPARDOWSKI WOJCIECH</t>
  </si>
  <si>
    <t>KARPIŃSKA SYLWIA</t>
  </si>
  <si>
    <t>F2030</t>
  </si>
  <si>
    <t>QC KAIZEN SHOP</t>
  </si>
  <si>
    <t>HOLA PIOTR</t>
  </si>
  <si>
    <t>F11VA</t>
  </si>
  <si>
    <t>F1PRO</t>
  </si>
  <si>
    <t>QE PROJECT</t>
  </si>
  <si>
    <t>F1WAR</t>
  </si>
  <si>
    <t>QE WARRANTY</t>
  </si>
  <si>
    <t>QE VE/VA</t>
  </si>
  <si>
    <t>PIWOWARCZYK MARCIN</t>
  </si>
  <si>
    <t>GATTNER</t>
  </si>
  <si>
    <t>V1000</t>
  </si>
  <si>
    <t>HIGAKI SHUJI</t>
  </si>
  <si>
    <t>HV Project</t>
  </si>
  <si>
    <t>V103A</t>
  </si>
  <si>
    <t>JACHYM ANDRZEJ</t>
  </si>
  <si>
    <t>KOMORNICZAK MACIEJ</t>
  </si>
  <si>
    <t>V102A</t>
  </si>
  <si>
    <t>V101A</t>
  </si>
  <si>
    <t>HV Project Engines</t>
  </si>
  <si>
    <t>HV Project Transmissions Machining</t>
  </si>
  <si>
    <t>HV Project Transmissions Assembly</t>
  </si>
  <si>
    <t>HV Project Casting</t>
  </si>
  <si>
    <t>Rodzaj transferu
(Stały / Czasowy)</t>
  </si>
  <si>
    <t>w / z</t>
  </si>
  <si>
    <t>Status</t>
  </si>
  <si>
    <t>Data powrotu na poprzedni obszar</t>
  </si>
  <si>
    <t>Data
ostatniego transferu</t>
  </si>
  <si>
    <t>Powód transferu
czasowego</t>
  </si>
  <si>
    <t>Uzasadnienie transferu
stałego</t>
  </si>
  <si>
    <t>Data wpłynięcia wniosku</t>
  </si>
  <si>
    <t>G5PRO</t>
  </si>
  <si>
    <t>E31VA</t>
  </si>
  <si>
    <t>IL HV PROJECT</t>
  </si>
  <si>
    <t>KUTRAN IRENEUSZ</t>
  </si>
  <si>
    <t>NOWAK BOGDAN</t>
  </si>
  <si>
    <t>F20VA</t>
  </si>
  <si>
    <t>QC HV PROJECT</t>
  </si>
  <si>
    <t>MISIAK PRZEMYSŁAW</t>
  </si>
  <si>
    <t>G7HVT</t>
  </si>
  <si>
    <t>ZĘBEK ANDRZEJ</t>
  </si>
  <si>
    <t>KRYNDA JOANNA</t>
  </si>
  <si>
    <t>KOWALSKI TOMASZ</t>
  </si>
  <si>
    <t>KLIBER</t>
  </si>
  <si>
    <t>BĄK ŁUKASZ</t>
  </si>
  <si>
    <t>STAŁY</t>
  </si>
  <si>
    <t>CZASOWY</t>
  </si>
  <si>
    <t>ZIAJA PIOTR</t>
  </si>
  <si>
    <t>PYŹLAK MARCIN</t>
  </si>
  <si>
    <t>HV Project MNX</t>
  </si>
  <si>
    <t>FIEJTEK ANNA</t>
  </si>
  <si>
    <t>H3000</t>
  </si>
  <si>
    <t>BOBIN PIOTR</t>
  </si>
  <si>
    <t>H1HVT</t>
  </si>
  <si>
    <t>PERLAK GRZEGORZ</t>
  </si>
  <si>
    <t>KWIATKOWSKI RAFAŁ</t>
  </si>
  <si>
    <t>MALINOWSKI PIOTR</t>
  </si>
  <si>
    <t>WEISS DARIUSZ</t>
  </si>
  <si>
    <t>WINIARSKA</t>
  </si>
  <si>
    <t>RAFTOULIS</t>
  </si>
  <si>
    <t>IDZIK</t>
  </si>
  <si>
    <t>OLEŚ</t>
  </si>
  <si>
    <t>PASIECZNY</t>
  </si>
  <si>
    <t>SYCHOWSKA</t>
  </si>
  <si>
    <t>GÓRKIEWICZ</t>
  </si>
  <si>
    <t>NEJMAN</t>
  </si>
  <si>
    <t>JULITA</t>
  </si>
  <si>
    <t>BOBIN</t>
  </si>
  <si>
    <t>WALENDZIK</t>
  </si>
  <si>
    <t>WASYLIK</t>
  </si>
  <si>
    <t>PERLAK</t>
  </si>
  <si>
    <t>GRL MNX</t>
  </si>
  <si>
    <t>GRL MNX2</t>
  </si>
  <si>
    <t>JTM</t>
  </si>
  <si>
    <t>FEDOROWICZ ŁUKASZ</t>
  </si>
  <si>
    <t>F1HVT</t>
  </si>
  <si>
    <t>QE HV</t>
  </si>
  <si>
    <t>KARWACKI</t>
  </si>
  <si>
    <t>G5HVT</t>
  </si>
  <si>
    <t>HV Project Casting Katahozen</t>
  </si>
  <si>
    <t>PRZYBYŁ PIOTR</t>
  </si>
  <si>
    <t>ZIEMNIAK MARCIN</t>
  </si>
  <si>
    <t>PRZYBYLSKI PAWEŁ</t>
  </si>
  <si>
    <t>WIDERA MARCIN</t>
  </si>
  <si>
    <t>KRZEMIŃSKI ADAM</t>
  </si>
  <si>
    <t>BEDNARA ŁUKASZ</t>
  </si>
  <si>
    <t>DŻUGAŁA WOJCIECH</t>
  </si>
  <si>
    <t>KOWALIK ARTUR</t>
  </si>
  <si>
    <t>CHABROWSKI MARCIN</t>
  </si>
  <si>
    <t>MARCIŃCZYK PIOTR</t>
  </si>
  <si>
    <t>MAINTENANCE RAW MATERIAL ENGINEERING</t>
  </si>
  <si>
    <t>STRZYŻ ŁUKASZ</t>
  </si>
  <si>
    <t>BĄK TOMASZ</t>
  </si>
  <si>
    <t>G902C</t>
  </si>
  <si>
    <t>G902A</t>
  </si>
  <si>
    <t>G902B</t>
  </si>
  <si>
    <t>DMC</t>
  </si>
  <si>
    <t>F20VB</t>
  </si>
  <si>
    <t>SULANOWSKA</t>
  </si>
  <si>
    <t>SWĘDZIOŁ</t>
  </si>
  <si>
    <t>NIKOLA</t>
  </si>
  <si>
    <t>KIEŁB</t>
  </si>
  <si>
    <t>GŁÓD ARTUR</t>
  </si>
  <si>
    <t>INGRAM JACEK</t>
  </si>
  <si>
    <t>PIETRUSA DAMIAN</t>
  </si>
  <si>
    <t>F209A</t>
  </si>
  <si>
    <t>F209B</t>
  </si>
  <si>
    <t>MARTYNOGA</t>
  </si>
  <si>
    <t>ZAWISZA</t>
  </si>
  <si>
    <t>BALICKI</t>
  </si>
  <si>
    <t>BARABASZ</t>
  </si>
  <si>
    <t>ALETOROWICZ</t>
  </si>
  <si>
    <t>ŚMIGOWSKA</t>
  </si>
  <si>
    <t>BYLICKI</t>
  </si>
  <si>
    <t>PIETRUS</t>
  </si>
  <si>
    <t>DAGMARA</t>
  </si>
  <si>
    <t>RYMAROWICZ</t>
  </si>
  <si>
    <t>TWARDOWSKI</t>
  </si>
  <si>
    <t>OBACZ</t>
  </si>
  <si>
    <t>ZIMNA</t>
  </si>
  <si>
    <t>JURCZYŃSKI</t>
  </si>
  <si>
    <t>MARGIELEWSKI</t>
  </si>
  <si>
    <t>DARIA</t>
  </si>
  <si>
    <t>ORNAT</t>
  </si>
  <si>
    <t>TRAPP</t>
  </si>
  <si>
    <t>JTM MNX</t>
  </si>
  <si>
    <t>BRĘŚKIEWICZ DARIUSZ</t>
  </si>
  <si>
    <t>H1715</t>
  </si>
  <si>
    <t>KOTOWSKI ARTUR</t>
  </si>
  <si>
    <t>MYSZKA KRZYSZTOF</t>
  </si>
  <si>
    <t>KŁODAWSKI KONRAD</t>
  </si>
  <si>
    <t>MACIEJEWSKI ADAM</t>
  </si>
  <si>
    <t>SZOPA MACIEJ</t>
  </si>
  <si>
    <t>BUNK PAWEŁ</t>
  </si>
  <si>
    <t>HUBAR MARIUSZ</t>
  </si>
  <si>
    <t>LEWANDOWSKI DAWID</t>
  </si>
  <si>
    <t>ĆWIKLIŃSKI ANDRZEJ</t>
  </si>
  <si>
    <t>FIGZAŁ CEZARY</t>
  </si>
  <si>
    <t>RUS BOGUMIŁA</t>
  </si>
  <si>
    <t>PŁOCHACKI</t>
  </si>
  <si>
    <t>OLEJNICZAK</t>
  </si>
  <si>
    <t>BAŁOS</t>
  </si>
  <si>
    <t>MARCELINA</t>
  </si>
  <si>
    <t>GAŁYSA</t>
  </si>
  <si>
    <t>LUDKIEWICZ</t>
  </si>
  <si>
    <t>MIELCZAREK</t>
  </si>
  <si>
    <t>MNISZEK</t>
  </si>
  <si>
    <t>DASZKIEWICZ</t>
  </si>
  <si>
    <t>MARUŃSKI</t>
  </si>
  <si>
    <t>OSKAR</t>
  </si>
  <si>
    <t>ĆWIKLIŃSKI</t>
  </si>
  <si>
    <t>ŚWIERŻEWSKA</t>
  </si>
  <si>
    <t>SABAK</t>
  </si>
  <si>
    <t>HAŁUBEK</t>
  </si>
  <si>
    <t>GLAZIK</t>
  </si>
  <si>
    <t>RYCHŁOWSKI</t>
  </si>
  <si>
    <t>WARYCH</t>
  </si>
  <si>
    <t>RYŻLEWICZ</t>
  </si>
  <si>
    <t>SĘDZIMIR</t>
  </si>
  <si>
    <t>RUS</t>
  </si>
  <si>
    <t>GAJCOWSKA</t>
  </si>
  <si>
    <t>WISZ</t>
  </si>
  <si>
    <t>PIECUCH</t>
  </si>
  <si>
    <t>MASZKA</t>
  </si>
  <si>
    <t>KACPER</t>
  </si>
  <si>
    <t>REGDOSZ</t>
  </si>
  <si>
    <t>KOTKOWSKA</t>
  </si>
  <si>
    <t>LORENZ</t>
  </si>
  <si>
    <t>ADAMCZYK-PENA</t>
  </si>
  <si>
    <t>SOŁTYSIK</t>
  </si>
  <si>
    <t>SKRZYPEK</t>
  </si>
  <si>
    <t>SĘK</t>
  </si>
  <si>
    <t>STACHURA</t>
  </si>
  <si>
    <t>ERWIN</t>
  </si>
  <si>
    <t>KUNA</t>
  </si>
  <si>
    <t>DOBROWOLSKI</t>
  </si>
  <si>
    <t>KOZIKOWSKA</t>
  </si>
  <si>
    <t>DREWNOWSKA</t>
  </si>
  <si>
    <t>KORNECKA</t>
  </si>
  <si>
    <t>WALKÓW</t>
  </si>
  <si>
    <t>BRUCKA</t>
  </si>
  <si>
    <t>TÓRZ</t>
  </si>
  <si>
    <t>KARDEL</t>
  </si>
  <si>
    <t>MYSZKOWSKI</t>
  </si>
  <si>
    <t>MARTYNA</t>
  </si>
  <si>
    <t>ERIK</t>
  </si>
  <si>
    <t>RYCHEL</t>
  </si>
  <si>
    <t>BABIK</t>
  </si>
  <si>
    <t>PENA</t>
  </si>
  <si>
    <t>IDONES</t>
  </si>
  <si>
    <t>CUDOWSKI</t>
  </si>
  <si>
    <t>CZOSKA</t>
  </si>
  <si>
    <t>LIBERADZKI</t>
  </si>
  <si>
    <t>FABIAŃSKI</t>
  </si>
  <si>
    <t>BARANOWSKA</t>
  </si>
  <si>
    <t>GRUSZECKA</t>
  </si>
  <si>
    <t>DZIECHCIARZ</t>
  </si>
  <si>
    <t>MATYJASIK</t>
  </si>
  <si>
    <t>CZOCH</t>
  </si>
  <si>
    <t>SZCZEPAŃSKA MAŁGORZATA</t>
  </si>
  <si>
    <t>TRYTIAK</t>
  </si>
  <si>
    <t>TOCZEK</t>
  </si>
  <si>
    <t>KALBARCZYK</t>
  </si>
  <si>
    <t>PISKOREK</t>
  </si>
  <si>
    <t>POTYRA</t>
  </si>
  <si>
    <t>KRYSTYNA</t>
  </si>
  <si>
    <t>KORNATOWSKI</t>
  </si>
  <si>
    <t>SICZEK</t>
  </si>
  <si>
    <t>WIESŁAWA</t>
  </si>
  <si>
    <t>KIERUŃCZAK</t>
  </si>
  <si>
    <t>MRUK-EFTHYMIOU</t>
  </si>
  <si>
    <t>DOMINIKA</t>
  </si>
  <si>
    <t>ŻUCHOWSKA</t>
  </si>
  <si>
    <t>KĘDZIERSKI</t>
  </si>
  <si>
    <t>KULA</t>
  </si>
  <si>
    <t>ZUZANNA</t>
  </si>
  <si>
    <t>ADAMKIEWICZ DANIEL</t>
  </si>
  <si>
    <t>JAREK ANNA</t>
  </si>
  <si>
    <t>CZYŻ MIROSŁAW</t>
  </si>
  <si>
    <t>H1SSH</t>
  </si>
  <si>
    <t>MNX HV PROJECT</t>
  </si>
  <si>
    <t>F25VA</t>
  </si>
  <si>
    <t>KACZMAREK WŁODZIMIERZ</t>
  </si>
  <si>
    <t>F2715</t>
  </si>
  <si>
    <t>BIAŁEK MARCIN</t>
  </si>
  <si>
    <t>KŁUSEK JOANNA</t>
  </si>
  <si>
    <t>MACIUSZEK ALEKSANDER</t>
  </si>
  <si>
    <t>JARYMOWICZ MARIUSZ</t>
  </si>
  <si>
    <t>HV</t>
  </si>
  <si>
    <t>QC BENCH TEAM SHIFT YELLOW</t>
  </si>
  <si>
    <t>QC BENCH TEAM SHIFT BLUE</t>
  </si>
  <si>
    <t>QC HV PROJECT - TESTER DURABILITY</t>
  </si>
  <si>
    <t>AC TECH</t>
  </si>
  <si>
    <t>TECH</t>
  </si>
  <si>
    <t>GOŁĘBIOWSKA</t>
  </si>
  <si>
    <t>KARCZEWSKA</t>
  </si>
  <si>
    <t>CIUŁA</t>
  </si>
  <si>
    <t>SADZIK</t>
  </si>
  <si>
    <t>SUCHOROWSKI</t>
  </si>
  <si>
    <t>SŁABOŃ</t>
  </si>
  <si>
    <t>KULIŚ</t>
  </si>
  <si>
    <t>RUDNICKA</t>
  </si>
  <si>
    <t>LASKOWSKI</t>
  </si>
  <si>
    <t>EDWARD</t>
  </si>
  <si>
    <t>URBAŃSKI</t>
  </si>
  <si>
    <t>KWIECIEŃ</t>
  </si>
  <si>
    <t>HEKSEL</t>
  </si>
  <si>
    <t>TASAREK</t>
  </si>
  <si>
    <t>KOWZAN</t>
  </si>
  <si>
    <t>KANAK</t>
  </si>
  <si>
    <t>SKORUBSKA</t>
  </si>
  <si>
    <t>BOGUMIŁ</t>
  </si>
  <si>
    <t>DOMINIAK</t>
  </si>
  <si>
    <t>FIGZAŁ</t>
  </si>
  <si>
    <t>MOSKWA</t>
  </si>
  <si>
    <t>KOŁCZYK</t>
  </si>
  <si>
    <t>ADRIANNA</t>
  </si>
  <si>
    <t>TOPKA</t>
  </si>
  <si>
    <t>SMOCZYK</t>
  </si>
  <si>
    <t>G7V1B</t>
  </si>
  <si>
    <t>G7V1C</t>
  </si>
  <si>
    <t>G7V1A</t>
  </si>
  <si>
    <t>G7V1D</t>
  </si>
  <si>
    <t>CHOJNACKI WITOLD</t>
  </si>
  <si>
    <t>V1020</t>
  </si>
  <si>
    <t>BADANIA</t>
  </si>
  <si>
    <t>HV SHOP TRAINING</t>
  </si>
  <si>
    <t>HV TRAINING</t>
  </si>
  <si>
    <t>V101B</t>
  </si>
  <si>
    <t>V102B</t>
  </si>
  <si>
    <t>V103B</t>
  </si>
  <si>
    <t>KUBAL PIOTR</t>
  </si>
  <si>
    <t>V0000</t>
  </si>
  <si>
    <t>V2000</t>
  </si>
  <si>
    <t>E31VB</t>
  </si>
  <si>
    <t>WIŚNIEWSKI MACIEJ</t>
  </si>
  <si>
    <t>F2SVA</t>
  </si>
  <si>
    <t>2019-01-02</t>
  </si>
  <si>
    <t>2019-01-01</t>
  </si>
  <si>
    <t>SZCZĘSNY GRZEGORZ</t>
  </si>
  <si>
    <t>2019-01-07</t>
  </si>
  <si>
    <t xml:space="preserve">BYRA ZBIGNIEW </t>
  </si>
  <si>
    <t>V202A</t>
  </si>
  <si>
    <t>STANIÓRSKI</t>
  </si>
  <si>
    <t>KASPERSKI</t>
  </si>
  <si>
    <t>LECHNIO</t>
  </si>
  <si>
    <t>WICHA</t>
  </si>
  <si>
    <t>PASTUSZAK</t>
  </si>
  <si>
    <t>MAJKA</t>
  </si>
  <si>
    <t>JAGIELSKI</t>
  </si>
  <si>
    <t>SURYGAŁA</t>
  </si>
  <si>
    <t>MAROSZEK</t>
  </si>
  <si>
    <t>KOZIARSKI</t>
  </si>
  <si>
    <t>DŹWILEWSKA</t>
  </si>
  <si>
    <t>RADZIMOWSKI</t>
  </si>
  <si>
    <t>MRÓZ</t>
  </si>
  <si>
    <t>STAWSKA</t>
  </si>
  <si>
    <t>HARAŹNA</t>
  </si>
  <si>
    <t>STEFANIA</t>
  </si>
  <si>
    <t>CHODACKA</t>
  </si>
  <si>
    <t>ROKSANA</t>
  </si>
  <si>
    <t>KOSZYK</t>
  </si>
  <si>
    <t>DYSZKIEWICZ</t>
  </si>
  <si>
    <t>WIERZCHOŁOWSKA</t>
  </si>
  <si>
    <t>WIERZCHOŁOWSKI</t>
  </si>
  <si>
    <t>BICZEL</t>
  </si>
  <si>
    <t>POPŁAWSKA</t>
  </si>
  <si>
    <t>DYGOŃ</t>
  </si>
  <si>
    <t>WASZKOWSKA</t>
  </si>
  <si>
    <t>HOJAK</t>
  </si>
  <si>
    <t>SZCZYŻ</t>
  </si>
  <si>
    <t>RABIEGA</t>
  </si>
  <si>
    <t>KOCIĘDA</t>
  </si>
  <si>
    <t>KRZYCH</t>
  </si>
  <si>
    <t>BŁAŻEJCZYK</t>
  </si>
  <si>
    <t>SOWIŃSKI</t>
  </si>
  <si>
    <t>STEFAŃCZYK</t>
  </si>
  <si>
    <t>MARKOWSKI</t>
  </si>
  <si>
    <t>LISIEWICZ</t>
  </si>
  <si>
    <t>PROCHARSKA</t>
  </si>
  <si>
    <t>ALICJA</t>
  </si>
  <si>
    <t>KOTOWSKI KACPER</t>
  </si>
  <si>
    <t>V201A</t>
  </si>
  <si>
    <t>V203A</t>
  </si>
  <si>
    <t>SUSZEK MIROSŁAW</t>
  </si>
  <si>
    <t>SMĘTKOWSKI SŁAWOMIR</t>
  </si>
  <si>
    <t>KAŁENDEK DAMIAN</t>
  </si>
  <si>
    <t>KRYCH RAFAŁ</t>
  </si>
  <si>
    <t>KOWALCZYK TOMASZ</t>
  </si>
  <si>
    <t>BĘDZIŃSKI MARIUSZ</t>
  </si>
  <si>
    <t>FIGIEL ROBERT</t>
  </si>
  <si>
    <t>KRZYCH MARIUSZ</t>
  </si>
  <si>
    <t>BUDZYŃSKI JACEK</t>
  </si>
  <si>
    <t>HOJAK KAMIL</t>
  </si>
  <si>
    <t>MIKA PIOTR</t>
  </si>
  <si>
    <t>NYKIEL ARTUR</t>
  </si>
  <si>
    <t>KOCUREK ŁUKASZ</t>
  </si>
  <si>
    <t>TATAREK TOMASZ</t>
  </si>
  <si>
    <t>G7715</t>
  </si>
  <si>
    <t>KRYSTKOWIAK GRZEGORZ</t>
  </si>
  <si>
    <t>TAJS GRZEGORZ</t>
  </si>
  <si>
    <t>MASKO PAWEŁ</t>
  </si>
  <si>
    <t>G0350</t>
  </si>
  <si>
    <t>G0001</t>
  </si>
  <si>
    <t>USAMI SHINJI</t>
  </si>
  <si>
    <t>2019-01-14</t>
  </si>
  <si>
    <t>2019-01-08</t>
  </si>
  <si>
    <t>E3SVA</t>
  </si>
  <si>
    <t xml:space="preserve">ANTONIEWICZ ERYK </t>
  </si>
  <si>
    <t>2019-02-04</t>
  </si>
  <si>
    <t>F1HSS</t>
  </si>
  <si>
    <t>FITRZYK MARCIN</t>
  </si>
  <si>
    <t>2019-01-10</t>
  </si>
  <si>
    <t>KOZIEŁ ADRIANNA</t>
  </si>
  <si>
    <t>2019-02-01</t>
  </si>
  <si>
    <t>KOZIEŁ</t>
  </si>
  <si>
    <t>ĆMIKIEWICZ</t>
  </si>
  <si>
    <t>KULANEK</t>
  </si>
  <si>
    <t>KOCH</t>
  </si>
  <si>
    <t>ADAMCZAK</t>
  </si>
  <si>
    <t>FOGT</t>
  </si>
  <si>
    <t>ŁAKOMIEC</t>
  </si>
  <si>
    <t>KAJA</t>
  </si>
  <si>
    <t>IGLIŃSKA</t>
  </si>
  <si>
    <t>KLAUDIA</t>
  </si>
  <si>
    <t>SZCZEGIELNIAK</t>
  </si>
  <si>
    <t>GACKOWSKI</t>
  </si>
  <si>
    <t>PIETRASIAK</t>
  </si>
  <si>
    <t>DONATA</t>
  </si>
  <si>
    <t>HOŁDANOWICZ</t>
  </si>
  <si>
    <t>SZYMANOWSKI A.</t>
  </si>
  <si>
    <t>A1300</t>
  </si>
  <si>
    <t>2019-02-11</t>
  </si>
  <si>
    <t>Hybrid</t>
  </si>
  <si>
    <t>Production</t>
  </si>
  <si>
    <t>Production Management</t>
  </si>
  <si>
    <t>2019-02-12</t>
  </si>
  <si>
    <t>2019-02-18</t>
  </si>
  <si>
    <t>2019-02-13</t>
  </si>
  <si>
    <t>2019-03-04</t>
  </si>
  <si>
    <t>G504B</t>
  </si>
  <si>
    <t>F20VC</t>
  </si>
  <si>
    <t>2019-03-11</t>
  </si>
  <si>
    <t xml:space="preserve">  </t>
  </si>
  <si>
    <t>2019-03-06</t>
  </si>
  <si>
    <t>2019-02-25</t>
  </si>
  <si>
    <t>2019-03-01</t>
  </si>
  <si>
    <t>2019-03-18</t>
  </si>
  <si>
    <t>G6994</t>
  </si>
  <si>
    <t>2019-04-01</t>
  </si>
  <si>
    <t>HOĆKO KRZYSZTOF</t>
  </si>
  <si>
    <t>MAJKA BARTŁOMIEJ</t>
  </si>
  <si>
    <t>2019-03-25</t>
  </si>
  <si>
    <t>V101C</t>
  </si>
  <si>
    <t>V102C</t>
  </si>
  <si>
    <t>V103C</t>
  </si>
  <si>
    <t>Numer</t>
  </si>
  <si>
    <t>MARCIŃCZYK</t>
  </si>
  <si>
    <t>PROĆ</t>
  </si>
  <si>
    <t>URODA</t>
  </si>
  <si>
    <t>TASIOR</t>
  </si>
  <si>
    <t>KURZYŃSKI</t>
  </si>
  <si>
    <t>JUSZCZAK</t>
  </si>
  <si>
    <t>BITRYCKA</t>
  </si>
  <si>
    <t>KINGA</t>
  </si>
  <si>
    <t>MOROZ</t>
  </si>
  <si>
    <t>SOKOŁOWSKI</t>
  </si>
  <si>
    <t>PAWELSKA</t>
  </si>
  <si>
    <t>KASPRZAK</t>
  </si>
  <si>
    <t>RZOŃCA</t>
  </si>
  <si>
    <t>KAMILA</t>
  </si>
  <si>
    <t>KRZYŻAŃSKA</t>
  </si>
  <si>
    <t>PONISZ</t>
  </si>
  <si>
    <t>RAIS</t>
  </si>
  <si>
    <t>G504A</t>
  </si>
  <si>
    <t>M. JAMROZY</t>
  </si>
  <si>
    <t>KARWIK ZBIGNIEW</t>
  </si>
  <si>
    <t>UMER KRZYSZTOF</t>
  </si>
  <si>
    <t>E31VC</t>
  </si>
  <si>
    <t>JĘDRUSIK MACIEJ</t>
  </si>
  <si>
    <t>GOLEŃ JOANNA</t>
  </si>
  <si>
    <t>STANKIEWICZ AGNIESZKA</t>
  </si>
  <si>
    <t>KURCZAK ROMAN</t>
  </si>
  <si>
    <t>MAŚLUSZCZAK AGNIESZKA</t>
  </si>
  <si>
    <t>WILCZYŃSKI ANDRZEJ</t>
  </si>
  <si>
    <t>KOŚCIELNIK KAROL</t>
  </si>
  <si>
    <t>BŁASZKIEWICZ TOMASZ</t>
  </si>
  <si>
    <t>2019-04-15</t>
  </si>
  <si>
    <t>G504C</t>
  </si>
  <si>
    <t>2019-04-08</t>
  </si>
  <si>
    <t xml:space="preserve">DAWID </t>
  </si>
  <si>
    <t>ŁUKASZ FEDOROWICZ</t>
  </si>
  <si>
    <t>OLEJNICZAK PIOTR</t>
  </si>
  <si>
    <t>KISIEL PIOTR</t>
  </si>
  <si>
    <t>KUŹMA PIOTR</t>
  </si>
  <si>
    <t>SKWIRA</t>
  </si>
  <si>
    <t>SEJDA</t>
  </si>
  <si>
    <t>KUKUŁKA</t>
  </si>
  <si>
    <t>d</t>
  </si>
  <si>
    <t>SZYMANOWSKI A</t>
  </si>
  <si>
    <t>BEDMARCZYK ANDRZEK</t>
  </si>
  <si>
    <t>2019-05-01</t>
  </si>
  <si>
    <t>2019-05-06</t>
  </si>
  <si>
    <t>2019-05-13</t>
  </si>
  <si>
    <t>2019-05-20</t>
  </si>
  <si>
    <t>2019-06-01</t>
  </si>
  <si>
    <t xml:space="preserve">2019-05-27 </t>
  </si>
  <si>
    <t>2019-05-27</t>
  </si>
  <si>
    <t>2019-06-03</t>
  </si>
  <si>
    <t>2019-05-30</t>
  </si>
  <si>
    <t>2019-06-17</t>
  </si>
  <si>
    <t>KRZYSZKOWSKI</t>
  </si>
  <si>
    <t>MACIEJEWSKA</t>
  </si>
  <si>
    <t>TOMASIK</t>
  </si>
  <si>
    <t>CHODACKI</t>
  </si>
  <si>
    <t>NIEĆ</t>
  </si>
  <si>
    <t>WERBOWSKI</t>
  </si>
  <si>
    <t>SIEK</t>
  </si>
  <si>
    <t>KROSNOWSKI</t>
  </si>
  <si>
    <t>KUSAJDA</t>
  </si>
  <si>
    <t>ŚLÓSAREK</t>
  </si>
  <si>
    <t>AC TL MNX</t>
  </si>
  <si>
    <t>2019-06-24</t>
  </si>
  <si>
    <t>STECH</t>
  </si>
  <si>
    <t>2019-07-01</t>
  </si>
  <si>
    <t>PODSIADŁY GRZEGORZ</t>
  </si>
  <si>
    <t>E3715</t>
  </si>
  <si>
    <t>2019-07-02</t>
  </si>
  <si>
    <t>2019-07-08</t>
  </si>
  <si>
    <t>GIERCZAAK KRZYSZTOF</t>
  </si>
  <si>
    <t>2019-07-04</t>
  </si>
  <si>
    <t>2019-07-05</t>
  </si>
  <si>
    <t>GCTOV</t>
  </si>
  <si>
    <t>2019-07-22</t>
  </si>
  <si>
    <t>2019-07-15</t>
  </si>
  <si>
    <t>aniulować</t>
  </si>
  <si>
    <t>2019-07-09</t>
  </si>
  <si>
    <t>2019-07-18</t>
  </si>
  <si>
    <t xml:space="preserve">Z </t>
  </si>
  <si>
    <t>KACZMAREK MAGDALENA</t>
  </si>
  <si>
    <t>2019-08-01</t>
  </si>
  <si>
    <t>KUŹNIACKA</t>
  </si>
  <si>
    <t>WAWRZYCKA</t>
  </si>
  <si>
    <t>PENCONEK</t>
  </si>
  <si>
    <t>ANDROSZ</t>
  </si>
  <si>
    <t>HYŻY</t>
  </si>
  <si>
    <t>RANOWICZ</t>
  </si>
  <si>
    <t>IGNASZAK</t>
  </si>
  <si>
    <t>DZIADKIEWICZ</t>
  </si>
  <si>
    <t>MOLSKI SYLWESTER</t>
  </si>
  <si>
    <t>2019-08-12</t>
  </si>
  <si>
    <t>BOBROWSKI MIROSLAW</t>
  </si>
  <si>
    <t>SZYMANOWSKI ANDRZEJ</t>
  </si>
  <si>
    <t>2019-08-19</t>
  </si>
  <si>
    <t>2019-08-26</t>
  </si>
  <si>
    <t>2019-09-02</t>
  </si>
  <si>
    <t>OPALSKI ROBERT</t>
  </si>
  <si>
    <t>G9PRO</t>
  </si>
  <si>
    <t>2019-09-01</t>
  </si>
  <si>
    <t>2019-09-09</t>
  </si>
  <si>
    <t>2019-09-16</t>
  </si>
  <si>
    <t>PIOTR KISIEL</t>
  </si>
  <si>
    <t>2019-09-12</t>
  </si>
  <si>
    <t>DEMESZUK KRZYSTOF</t>
  </si>
  <si>
    <t>2019-10-01</t>
  </si>
  <si>
    <t>Katahozen</t>
  </si>
  <si>
    <t>TPS/DOJO</t>
  </si>
  <si>
    <t>PRoject</t>
  </si>
  <si>
    <t>MAINTENANCE HV SHIFT YELLOW</t>
  </si>
  <si>
    <t>MAINTENANCE  HV SHIFT BLUE</t>
  </si>
  <si>
    <t>MAINTENANCE  HV SHIFT GREEN</t>
  </si>
  <si>
    <t>MAINTENANCE  HV SHIFT RED</t>
  </si>
  <si>
    <t>1</t>
  </si>
  <si>
    <t>2019-09-23</t>
  </si>
  <si>
    <t>2019-09-30</t>
  </si>
  <si>
    <t>2019-10-14</t>
  </si>
  <si>
    <t>2019-10-07</t>
  </si>
  <si>
    <t>2019-10-15</t>
  </si>
  <si>
    <t>E3SVB</t>
  </si>
  <si>
    <t>E3SVC</t>
  </si>
  <si>
    <t>IL SS HV SHIFT A</t>
  </si>
  <si>
    <t>IL SS HV SHIFT B</t>
  </si>
  <si>
    <t>IL SS HV SHIFT C</t>
  </si>
  <si>
    <t>2019-10-28</t>
  </si>
  <si>
    <t>2019-10-24</t>
  </si>
  <si>
    <t>F1ULT</t>
  </si>
  <si>
    <t>MIARA SEBASTIAN</t>
  </si>
  <si>
    <t>QUALITY ENGINEERS - UNIT LOCALISATION TEAM</t>
  </si>
  <si>
    <t>2019-10-21</t>
  </si>
  <si>
    <t>2019-10-29</t>
  </si>
  <si>
    <t>2019-11-01</t>
  </si>
  <si>
    <t>2019-11-04</t>
  </si>
  <si>
    <t>2019-11-11</t>
  </si>
  <si>
    <t>TNGA</t>
  </si>
  <si>
    <t>2019-11-08</t>
  </si>
  <si>
    <t>WYPYCH</t>
  </si>
  <si>
    <t>IWAN</t>
  </si>
  <si>
    <t>SZULC</t>
  </si>
  <si>
    <t>GRESZTA</t>
  </si>
  <si>
    <t>MAZUREK</t>
  </si>
  <si>
    <t>MITULSKA</t>
  </si>
  <si>
    <t>GARLIŃSKA</t>
  </si>
  <si>
    <t>LACHOWICZ</t>
  </si>
  <si>
    <t>FILIP</t>
  </si>
  <si>
    <t>ZBIERZAK</t>
  </si>
  <si>
    <t>MICHALIK</t>
  </si>
  <si>
    <t>ANDRZEJCZYK</t>
  </si>
  <si>
    <t>ZAKRZEWSKA</t>
  </si>
  <si>
    <t>GRZYBIAŃSKI</t>
  </si>
  <si>
    <t>LUDWINIAK</t>
  </si>
  <si>
    <t>JACKOWSKI</t>
  </si>
  <si>
    <t>TOBIASZ</t>
  </si>
  <si>
    <t>GIENIUSZ</t>
  </si>
  <si>
    <t>DANUTA</t>
  </si>
  <si>
    <t>AC GRL MNX</t>
  </si>
  <si>
    <t>TECH MNX</t>
  </si>
  <si>
    <t>STAZ</t>
  </si>
  <si>
    <t>BEDNARZ ZENONA</t>
  </si>
  <si>
    <t>KULIŃSKA ANETA</t>
  </si>
  <si>
    <t>MASZKA ARKADIUSZ</t>
  </si>
  <si>
    <t>SKONECZNY SEBASTIAN</t>
  </si>
  <si>
    <t>SKITOWSKI PAWEŁ</t>
  </si>
  <si>
    <t>WASZKIEWICZ DANIEL</t>
  </si>
  <si>
    <t>ŻUCHOWSKI TOMASZ</t>
  </si>
  <si>
    <t>DĄBROWSKI MAREK</t>
  </si>
  <si>
    <t>2019-11-12</t>
  </si>
  <si>
    <t>CZERWIAK MARCIN</t>
  </si>
  <si>
    <t>PADUCH PRZEMYSŁAW</t>
  </si>
  <si>
    <t>TM2 MNX</t>
  </si>
  <si>
    <t>IL. TRANSFERÓW</t>
  </si>
  <si>
    <t>OFFICE CASTING</t>
  </si>
  <si>
    <t>EC60 OFFICE</t>
  </si>
  <si>
    <t>ENGINES OFFICE</t>
  </si>
  <si>
    <t>FORGING OFFICE</t>
  </si>
  <si>
    <t>MTB0 OFFICE</t>
  </si>
  <si>
    <t xml:space="preserve">TPS </t>
  </si>
  <si>
    <t>PC&amp;PURCHASING</t>
  </si>
  <si>
    <t>ACCOUNTING &amp; FINANCE</t>
  </si>
  <si>
    <t>IL OFFICE</t>
  </si>
  <si>
    <t>QE OFFICE</t>
  </si>
  <si>
    <t>QC OFFICE</t>
  </si>
  <si>
    <t>HV OFFICE</t>
  </si>
  <si>
    <t>MNX OFFICE</t>
  </si>
  <si>
    <t>MNX DM</t>
  </si>
  <si>
    <t>MNX TK</t>
  </si>
  <si>
    <t>MNX WN</t>
  </si>
  <si>
    <t>ENGINEERING</t>
  </si>
  <si>
    <t>ZEW / WEW</t>
  </si>
  <si>
    <t>WEW</t>
  </si>
  <si>
    <t>ZEW PRZED 01.07</t>
  </si>
  <si>
    <t>ZEWNĘTRZNY PO 01.07</t>
  </si>
  <si>
    <t>KOM</t>
  </si>
  <si>
    <t>CHECK</t>
  </si>
  <si>
    <t>N/A</t>
  </si>
  <si>
    <t>MACIEJ KOMORNICZAK</t>
  </si>
  <si>
    <t>2019-12-02</t>
  </si>
  <si>
    <t>2019-12-09</t>
  </si>
  <si>
    <t>2019-12-03</t>
  </si>
  <si>
    <t>DWORNICZEK</t>
  </si>
  <si>
    <t>SERBEŃSKI</t>
  </si>
  <si>
    <t>SOBOTA</t>
  </si>
  <si>
    <t>PRYSTUPA</t>
  </si>
  <si>
    <t>KAZIMIERSKA</t>
  </si>
  <si>
    <t>GOŁACKI</t>
  </si>
  <si>
    <t>KORDYLAK</t>
  </si>
  <si>
    <t>HUKIEWICZ</t>
  </si>
  <si>
    <t>GAWRON</t>
  </si>
  <si>
    <t>NORBERT CZARKOWSKI</t>
  </si>
  <si>
    <t>SŁAWOMIR SACHER</t>
  </si>
  <si>
    <t>ANDRZEJ WARCHOŁ</t>
  </si>
  <si>
    <t>ROMUALD PUZIAK</t>
  </si>
  <si>
    <t>G7HV1A</t>
  </si>
  <si>
    <t xml:space="preserve">SŁAWOMIR SACHER </t>
  </si>
  <si>
    <t>G7TN1</t>
  </si>
  <si>
    <t>ANDRZEJ GOŁEK</t>
  </si>
  <si>
    <t>MARCIN PYŹLAK</t>
  </si>
  <si>
    <t>2019-12-16</t>
  </si>
  <si>
    <t>H1HV3</t>
  </si>
  <si>
    <t>ŁUKASZ SUROWIEC</t>
  </si>
  <si>
    <t>KRZYSZTOF PEREK</t>
  </si>
  <si>
    <t>V301A</t>
  </si>
  <si>
    <t>KRZYSZTOF MAŁECKI</t>
  </si>
  <si>
    <t xml:space="preserve">CIURA PAWEŁ </t>
  </si>
  <si>
    <t xml:space="preserve">WARCHOŁ ANDRZEJ </t>
  </si>
  <si>
    <t xml:space="preserve">ŁASZEWKI TOMASZ </t>
  </si>
  <si>
    <t xml:space="preserve">CZARKOWSKI NORBERT </t>
  </si>
  <si>
    <t xml:space="preserve">PYŹLAK MARCIN </t>
  </si>
  <si>
    <t xml:space="preserve">SUROWIEC ŁUKASZ </t>
  </si>
  <si>
    <t xml:space="preserve">CZYŻ SYLWESTER </t>
  </si>
  <si>
    <t xml:space="preserve">JACHYM ANDRZEJ </t>
  </si>
  <si>
    <t xml:space="preserve">SZUPER TOMASZ </t>
  </si>
  <si>
    <t>V303A</t>
  </si>
  <si>
    <t>E35VA</t>
  </si>
  <si>
    <t>5314A</t>
  </si>
  <si>
    <t xml:space="preserve">DEMESZUK KRZYSZTOF </t>
  </si>
  <si>
    <t>MAGDALENA KAZIMIERSKA</t>
  </si>
  <si>
    <t>ROBERT SOBOTA</t>
  </si>
  <si>
    <t>DANUTA PRZYBYŁ</t>
  </si>
  <si>
    <t>ia</t>
  </si>
  <si>
    <t>TN000</t>
  </si>
  <si>
    <t>SZYMANOWSKI ANDZREJ</t>
  </si>
  <si>
    <t>F209a</t>
  </si>
  <si>
    <t>PAULINA RAJCA</t>
  </si>
  <si>
    <t>SYLWESTER CZYŻ</t>
  </si>
  <si>
    <t>G830A</t>
  </si>
  <si>
    <t>DANIEL ŚLUSARZ</t>
  </si>
  <si>
    <t>MAŁGORZATA MAZUREK</t>
  </si>
  <si>
    <t>DANIEL CZYŻ</t>
  </si>
  <si>
    <t>F1TN1</t>
  </si>
  <si>
    <t>2020-01-27</t>
  </si>
  <si>
    <t>2020-02-03</t>
  </si>
  <si>
    <t>2020-02-01</t>
  </si>
  <si>
    <t>TN08</t>
  </si>
  <si>
    <t xml:space="preserve">HORADCZUK </t>
  </si>
  <si>
    <t>MONIKA RYBCZYŃSKA</t>
  </si>
  <si>
    <t>MICHALINA</t>
  </si>
  <si>
    <t>KIERZKOWSKI</t>
  </si>
  <si>
    <t>GALICKI</t>
  </si>
  <si>
    <t>KOTERBA</t>
  </si>
  <si>
    <t>SKRZYDLEWSKA</t>
  </si>
  <si>
    <t>ORŁOWSKA</t>
  </si>
  <si>
    <t>SZMIT</t>
  </si>
  <si>
    <t>KRZEWIŃSKI</t>
  </si>
  <si>
    <t>PHAM VAN</t>
  </si>
  <si>
    <t>POŚPIECH</t>
  </si>
  <si>
    <t>RYBCZYŃSKA</t>
  </si>
  <si>
    <t>CISOŃ</t>
  </si>
  <si>
    <t>JAROSZ</t>
  </si>
  <si>
    <t>HELENA</t>
  </si>
  <si>
    <t>ŚLUSARZ</t>
  </si>
  <si>
    <t>GRUSZCZYŃSKI</t>
  </si>
  <si>
    <t>KLICH</t>
  </si>
  <si>
    <t>STECH MNX</t>
  </si>
  <si>
    <t>F2SVC</t>
  </si>
  <si>
    <t>F2SVB</t>
  </si>
  <si>
    <t>2020-01-31</t>
  </si>
  <si>
    <t>HVSS</t>
  </si>
  <si>
    <t>DĄBROWSKI J</t>
  </si>
  <si>
    <t>PIETRUSA D</t>
  </si>
  <si>
    <t xml:space="preserve">KOLASIŃSKI </t>
  </si>
  <si>
    <t>V302A</t>
  </si>
  <si>
    <t>LUBORAK  SŁAWOMIR</t>
  </si>
  <si>
    <t>H1TNO</t>
  </si>
  <si>
    <t>F2TNA</t>
  </si>
  <si>
    <t>ZIEJA</t>
  </si>
  <si>
    <t>KOMOROWSKI</t>
  </si>
  <si>
    <t>ZNAMIEC</t>
  </si>
  <si>
    <t>STOSUR</t>
  </si>
  <si>
    <t>WALASIK</t>
  </si>
  <si>
    <t>ŁUDZIK</t>
  </si>
  <si>
    <t>LUCHOWSKI</t>
  </si>
  <si>
    <t>TĘCZA</t>
  </si>
  <si>
    <t>ZDZIOBEK</t>
  </si>
  <si>
    <t>WIĄCEK</t>
  </si>
  <si>
    <t>CZARNIK</t>
  </si>
  <si>
    <t>RYCHŁOWSKA</t>
  </si>
  <si>
    <t>CIEMNA</t>
  </si>
  <si>
    <t>MACHOWSKI</t>
  </si>
  <si>
    <t>KALUŹNIAK</t>
  </si>
  <si>
    <t>RAFALSKI</t>
  </si>
  <si>
    <t>OLCHA</t>
  </si>
  <si>
    <t>JANISZEWSKI</t>
  </si>
  <si>
    <t>GNIEWEK</t>
  </si>
  <si>
    <t>V3000</t>
  </si>
  <si>
    <t>G7HV3</t>
  </si>
  <si>
    <t>GÓRKA GERARD</t>
  </si>
  <si>
    <t>JAWORSKI ARTUR</t>
  </si>
  <si>
    <t>KRUSZYŃSKI KRYSTIAN</t>
  </si>
  <si>
    <t>PODKÓWKA JANUSZ</t>
  </si>
  <si>
    <t>PAŁYS LESZEK</t>
  </si>
  <si>
    <t>TN01A</t>
  </si>
  <si>
    <t>OCZKOWSKI ZBIGNIEW</t>
  </si>
  <si>
    <t>G0700</t>
  </si>
  <si>
    <t>MIŁKOWSKA-KLOC JOANNA</t>
  </si>
  <si>
    <t>BANIAK DARIUSZ</t>
  </si>
  <si>
    <t>E0000</t>
  </si>
  <si>
    <t>URODA PAWEŁ</t>
  </si>
  <si>
    <t>TN08A</t>
  </si>
  <si>
    <t>WRÓBEL IRENEUSZ</t>
  </si>
  <si>
    <t>SROKA ANNA</t>
  </si>
  <si>
    <t>KANIA ROBERT</t>
  </si>
  <si>
    <t>H1TN0</t>
  </si>
  <si>
    <t>HORADCZUK TOMASZ</t>
  </si>
  <si>
    <t>SOBCZYŃSKI TOMASZ</t>
  </si>
  <si>
    <t>H1TN1</t>
  </si>
  <si>
    <t>CIURA PAWEŁ</t>
  </si>
  <si>
    <t>HĄDZLIK KRZYSZTOF</t>
  </si>
  <si>
    <t>WOSAK TOMASZ</t>
  </si>
  <si>
    <t>H2PRO</t>
  </si>
  <si>
    <t>C0000</t>
  </si>
  <si>
    <t>KOWALIK RAFAŁ</t>
  </si>
  <si>
    <t>H2V10</t>
  </si>
  <si>
    <t>TN03A</t>
  </si>
  <si>
    <t>STADNIIK MIROSŁAW</t>
  </si>
  <si>
    <t>ŁĘKAWSKI PAWEL</t>
  </si>
  <si>
    <t>MYSŁOWSKI PAWEŁ</t>
  </si>
  <si>
    <t>WASZKOWSKA AGNIESZKA</t>
  </si>
  <si>
    <t>SZYMAOWSKI ANDRZEJ</t>
  </si>
  <si>
    <t>LASEK PAWEŁ</t>
  </si>
  <si>
    <t>KARDEL BARTOSZ</t>
  </si>
  <si>
    <t>TN05</t>
  </si>
  <si>
    <t>TN01</t>
  </si>
  <si>
    <t>V1030</t>
  </si>
  <si>
    <t>V201B</t>
  </si>
  <si>
    <t>KALINOWSKI ARUR</t>
  </si>
  <si>
    <t>SZUPER TOMARZ</t>
  </si>
  <si>
    <t>SZCZYŻ KAMIL</t>
  </si>
  <si>
    <t>F1HVTT</t>
  </si>
  <si>
    <t>TOMKOWIAK</t>
  </si>
  <si>
    <t>ANTONI</t>
  </si>
  <si>
    <t>MIERUŃSKI</t>
  </si>
  <si>
    <t>HOŁDONOWICZ MARCIN</t>
  </si>
  <si>
    <t>TOMASZ SZUPER</t>
  </si>
  <si>
    <t>DUDA ROBERT</t>
  </si>
  <si>
    <t>TN07A</t>
  </si>
  <si>
    <t>JAROSZ HELENA</t>
  </si>
  <si>
    <t>WALDOWSKA RENATA</t>
  </si>
  <si>
    <t>DREWNOWSKA KATARZYNA</t>
  </si>
  <si>
    <t>GWIAZDA MARCIN</t>
  </si>
  <si>
    <t>MAREK ROBERT</t>
  </si>
  <si>
    <t>GOWORSKI MARIUSZ</t>
  </si>
  <si>
    <t>SABAK AGNIESZKA</t>
  </si>
  <si>
    <t>MATWIEJCZUK ANDRZEJ</t>
  </si>
  <si>
    <t>DYGAL ANNA</t>
  </si>
  <si>
    <t>JASIENICKI RAFAŁ</t>
  </si>
  <si>
    <t>WĘGRZYN MARCIN</t>
  </si>
  <si>
    <t>WOJCIECHOWSKI ŁUKASZ</t>
  </si>
  <si>
    <t>PYTEL MARIUSZ</t>
  </si>
  <si>
    <t>GÓRAJEC ŁUKASZ</t>
  </si>
  <si>
    <t>TN05A</t>
  </si>
  <si>
    <t>SZCZEBLEWSKI MARCIN</t>
  </si>
  <si>
    <t>POTACZEK TOMASZ</t>
  </si>
  <si>
    <t>GRZEBIELA PAWEŁ</t>
  </si>
  <si>
    <t>RYŻLEWICZ KRZYSZTOF</t>
  </si>
  <si>
    <t>KARCZEWSKA MARIOLA</t>
  </si>
  <si>
    <t>OLESZEK MARCIN</t>
  </si>
  <si>
    <t>PAPIEŻ</t>
  </si>
  <si>
    <t>CEZARY</t>
  </si>
  <si>
    <t>BEDNAREK ANNA</t>
  </si>
  <si>
    <t>KULCZYK MARIA</t>
  </si>
  <si>
    <t>BEDNARZ JANUSZ</t>
  </si>
  <si>
    <t>MAŁEK KRZYSZTOF</t>
  </si>
  <si>
    <t>NEJMAN JULITA</t>
  </si>
  <si>
    <t>SKIBA MIŁOSZ</t>
  </si>
  <si>
    <t>STACHURA ERWIN</t>
  </si>
  <si>
    <t>ORNAT WOJCIECH</t>
  </si>
  <si>
    <t>PIWOWAR MONIKA</t>
  </si>
  <si>
    <t>KOWALCZYK MATEUSZ</t>
  </si>
  <si>
    <t>KOZAK AGNIESZKA</t>
  </si>
  <si>
    <t>CUPIAŁ SEBASTIAN</t>
  </si>
  <si>
    <t>BIELAWSKI ANDRZEJ</t>
  </si>
  <si>
    <t>MODRAKOWSKI KAROL</t>
  </si>
  <si>
    <t>MAZUREK MAŁGORZATA</t>
  </si>
  <si>
    <t>HUKIEWICZ SYLWIA</t>
  </si>
  <si>
    <t>IWAN RYSZARD</t>
  </si>
  <si>
    <t>MIARA MARCIN</t>
  </si>
  <si>
    <t>FIGZAŁ AGNIESZKA</t>
  </si>
  <si>
    <t>POŚPIECH DARIUSZ</t>
  </si>
  <si>
    <t>OLEŚ SYLWIA</t>
  </si>
  <si>
    <t>POTYRA KRYSTYNA</t>
  </si>
  <si>
    <t>ŁAKOMIEC KAJA</t>
  </si>
  <si>
    <t>KŁOS ANNA</t>
  </si>
  <si>
    <t>KUNA KAMIL</t>
  </si>
  <si>
    <t>GOŁĘBIOWSKA ELŻBIETA</t>
  </si>
  <si>
    <t>BRZUCHACZ SYLWIA</t>
  </si>
  <si>
    <t>ORŁOWSKA MAŁGORZATA</t>
  </si>
  <si>
    <t>HARAŹNA STEFANIA</t>
  </si>
  <si>
    <t>GODLEWSKI ANDRZEJ</t>
  </si>
  <si>
    <t>CZANIŃSKI KRZYSZTOF</t>
  </si>
  <si>
    <t>STOLARSKI SŁAWOMIR</t>
  </si>
  <si>
    <t>CHRANOWSKI JAROSŁAW</t>
  </si>
  <si>
    <t>KALINOWSK ARTUR</t>
  </si>
  <si>
    <t>KUCEK BOŻENA</t>
  </si>
  <si>
    <t>KOZŁOWSKA LIDIA</t>
  </si>
  <si>
    <t>SZTYCH MAREK</t>
  </si>
  <si>
    <t>PUZIAK DAMIAN</t>
  </si>
  <si>
    <t>KRYSZTOFORSKI KRZYSZTOF</t>
  </si>
  <si>
    <t>GŁOWACKI GRZEGORZ</t>
  </si>
  <si>
    <t>BUCZEK SZYMON</t>
  </si>
  <si>
    <t>ROSZCZYK MAREK</t>
  </si>
  <si>
    <t>KOTUS KAMIL</t>
  </si>
  <si>
    <t>POLOWA MAŁGORZATA</t>
  </si>
  <si>
    <t>IGLIŃSKA KLAUDIA</t>
  </si>
  <si>
    <t>BYLICKI DOMINIK</t>
  </si>
  <si>
    <t>JAKUBOWSKI GRZEGORZ</t>
  </si>
  <si>
    <t>RYMAROWICZ PAULINA</t>
  </si>
  <si>
    <t>TARKA SEBASTIAN</t>
  </si>
  <si>
    <t>KSIĘŻOPOLSKA JOANNA</t>
  </si>
  <si>
    <t>KOLARSKA EDYTA</t>
  </si>
  <si>
    <t>MARGIELEWSKI BOGUMIŁ</t>
  </si>
  <si>
    <t>RABSZTYN ROMAN</t>
  </si>
  <si>
    <t>SOKOŁOWSKI BARTOSZ</t>
  </si>
  <si>
    <t>BŁASZCZYK JOANNA</t>
  </si>
  <si>
    <t>RYCHŁOWSKA ELŻBIETA</t>
  </si>
  <si>
    <t>CZARNIK MONIKA</t>
  </si>
  <si>
    <t>GOLEŃ DARIA</t>
  </si>
  <si>
    <t>OBACZ PIOTR</t>
  </si>
  <si>
    <t>WALKOWIAK PIOTR</t>
  </si>
  <si>
    <t>MAŃKOWSKI PRZEMYSŁAW</t>
  </si>
  <si>
    <t>LIBKE MAREK</t>
  </si>
  <si>
    <t>DZIECHCIARZ MAŁGORZATA</t>
  </si>
  <si>
    <t>CISOŃ PIOTR</t>
  </si>
  <si>
    <t>STAWIARSKI MARIUSZ</t>
  </si>
  <si>
    <t>KRYSZTOFIAK MARIUSZ</t>
  </si>
  <si>
    <t>WOŚKOWIAK PIOTR</t>
  </si>
  <si>
    <t>SALOMON MAREK</t>
  </si>
  <si>
    <t>ANTKOWIAK MARCIN</t>
  </si>
  <si>
    <t>BŁACHUT MACIEJ</t>
  </si>
  <si>
    <t>JĘDRUSIK MICHAŁ</t>
  </si>
  <si>
    <t>KAWECKI ROMAN</t>
  </si>
  <si>
    <t>MATUSIAK STANISŁAW</t>
  </si>
  <si>
    <t>SAMKO MARCIN</t>
  </si>
  <si>
    <t>SURMIAK IWONA</t>
  </si>
  <si>
    <t>WAWRZYCKA MAŁGORZATA</t>
  </si>
  <si>
    <t xml:space="preserve">GOŁEK ANDRZEJ </t>
  </si>
  <si>
    <t>BRZĘCZEK MIROSŁAW</t>
  </si>
  <si>
    <t>NOWICKI MAREK</t>
  </si>
  <si>
    <t>ANTONÓW ANDRZEJ</t>
  </si>
  <si>
    <t>BORGOŃ ADAM</t>
  </si>
  <si>
    <t>FRĄCZKIEWICZ ŁUKASZ</t>
  </si>
  <si>
    <t>KOWALSKI HENRYK</t>
  </si>
  <si>
    <t>GŁOGOWSKI JACEK</t>
  </si>
  <si>
    <t>MIELCZAREK MICHAŁ</t>
  </si>
  <si>
    <t>BUJAKOWSKI TOMASZ</t>
  </si>
  <si>
    <t>SURMA SYLWESTER</t>
  </si>
  <si>
    <t>JÓŹWIAK WALDEMAR</t>
  </si>
  <si>
    <t>KOWALSKI PIOTR</t>
  </si>
  <si>
    <t>TOMASIK MARIUSZ</t>
  </si>
  <si>
    <t>WERBOWSKI ADRIAN</t>
  </si>
  <si>
    <t>SZCZEPANIAK JAKUB</t>
  </si>
  <si>
    <t>MARUŃSKI OSKAR</t>
  </si>
  <si>
    <t>FERENC BOGUSŁAW</t>
  </si>
  <si>
    <t>KOMOROWSKI PIOTR</t>
  </si>
  <si>
    <t>JABŁOŃSKI GRZEGORZ</t>
  </si>
  <si>
    <t>CIESZOWIC WALDEMAR</t>
  </si>
  <si>
    <t>GIENIUSZ JAROSŁAW</t>
  </si>
  <si>
    <t>RANOWICZ PIOTR</t>
  </si>
  <si>
    <t>FLADER BARTOSZ</t>
  </si>
  <si>
    <t>BILECKI ROBERT</t>
  </si>
  <si>
    <t>ZELEK SEBASTIAN</t>
  </si>
  <si>
    <t>KACZMAREK PIOTR</t>
  </si>
  <si>
    <t>SUCHOROWSKI PRZEMYSŁAW</t>
  </si>
  <si>
    <t>KOWALSKI DAMIAN</t>
  </si>
  <si>
    <t>MICHALIK DARIUSZ</t>
  </si>
  <si>
    <t>OŻÓG ADRIAN</t>
  </si>
  <si>
    <t>WNUK DARIUSZ</t>
  </si>
  <si>
    <t>CIESIELSKI PIOTR</t>
  </si>
  <si>
    <t>NIEĆ ARKADIUSZ</t>
  </si>
  <si>
    <t>TN09A</t>
  </si>
  <si>
    <t>TN04A</t>
  </si>
  <si>
    <t>A1500</t>
  </si>
  <si>
    <t>PATYK</t>
  </si>
  <si>
    <t>TUROWIECKI</t>
  </si>
  <si>
    <t>DOBROWOLSKI RYSZARD</t>
  </si>
  <si>
    <t>BOCHM MARIUSZ</t>
  </si>
  <si>
    <t>NOSAL KRYSTIAN</t>
  </si>
  <si>
    <t>WOJCIECHOWSKA GABRIELA</t>
  </si>
  <si>
    <t>PIASECKI RAFAŁ</t>
  </si>
  <si>
    <t>LISOWSKA-PYTEL PATRYCJA</t>
  </si>
  <si>
    <t>GŁODEK GRZEGORZ</t>
  </si>
  <si>
    <t>SYCHOWSKA KATARZYNA</t>
  </si>
  <si>
    <t>PACUSZKA GRZEGORZ</t>
  </si>
  <si>
    <t>LENC DARIA</t>
  </si>
  <si>
    <t>ZEMŁA ROBERT</t>
  </si>
  <si>
    <t>KOŁDA SEBASTIAN</t>
  </si>
  <si>
    <t>FALKENBERG GRZEGORZ</t>
  </si>
  <si>
    <t>WŁODARCZYK JAROSŁAW</t>
  </si>
  <si>
    <t>ŚMIERCIAK TOMASZ</t>
  </si>
  <si>
    <t>MARCISZAK PATRYK</t>
  </si>
  <si>
    <t>MICHALAK ANDRZEJ</t>
  </si>
  <si>
    <t>SZUL TADEUSZ</t>
  </si>
  <si>
    <t>PIŁAT PIOTR</t>
  </si>
  <si>
    <t>OSMAŃSKI DARIUSZ</t>
  </si>
  <si>
    <t>CYBRUCH KRYSTIAN</t>
  </si>
  <si>
    <t>OPASAŁA PAWEŁ</t>
  </si>
  <si>
    <t>LEGIERZYŃSKA</t>
  </si>
  <si>
    <t>GOLINA</t>
  </si>
  <si>
    <t>KLIMKIEWICZ</t>
  </si>
  <si>
    <t>JULIA</t>
  </si>
  <si>
    <t>WUJDA</t>
  </si>
  <si>
    <t>SANDRA</t>
  </si>
  <si>
    <t>BORAWSKI</t>
  </si>
  <si>
    <t>STEFANIK</t>
  </si>
  <si>
    <t>ZBIGNIEW KARWIK</t>
  </si>
  <si>
    <t>E3TNA</t>
  </si>
  <si>
    <t>FRĘŚKO MICHAŁ</t>
  </si>
  <si>
    <t>REKS RAFAŁ</t>
  </si>
  <si>
    <t>TREMBOWSKI DARIUSZ</t>
  </si>
  <si>
    <t>BOBER PIOTR</t>
  </si>
  <si>
    <t>RAJCHERT SEBASTIAN</t>
  </si>
  <si>
    <t>SIMLAT MARIUSZ</t>
  </si>
  <si>
    <t>SZCZEPANIAK TOMASZ</t>
  </si>
  <si>
    <t>GOLINA GRZEGORZ</t>
  </si>
  <si>
    <t>WALKOWIAK GRZEGORZ</t>
  </si>
  <si>
    <t>SOBCZAK MAGDALENA</t>
  </si>
  <si>
    <t>GAWRON IZABELA</t>
  </si>
  <si>
    <t>JANKOWSKA ANNA</t>
  </si>
  <si>
    <t>MATUSZCZAK SŁAWOMIR</t>
  </si>
  <si>
    <t>JARGIEŁO MARIUSZ</t>
  </si>
  <si>
    <t>BRĘŚKIEWICZ MARCIN</t>
  </si>
  <si>
    <t>PROĆ SEBASTIAN</t>
  </si>
  <si>
    <t>NIEMIERSKI DOMINIK</t>
  </si>
  <si>
    <t>CZYCZERSKI ARKADIUSZ</t>
  </si>
  <si>
    <t>WOŹNIAK MARCIN</t>
  </si>
  <si>
    <t>TN10A</t>
  </si>
  <si>
    <t>TN06A</t>
  </si>
  <si>
    <t>DUBAJ MARCIN</t>
  </si>
  <si>
    <t>V1010</t>
  </si>
  <si>
    <t>NABYWANIEC JAROSŁAW</t>
  </si>
  <si>
    <t>KUCHARENKO DANIEL</t>
  </si>
  <si>
    <t>RYDZEWSKI MACIEJ</t>
  </si>
  <si>
    <t>SZULC ANNA</t>
  </si>
  <si>
    <t>JURKOWSKI NORBERT</t>
  </si>
  <si>
    <t>STACHOWCZYK DANIEL</t>
  </si>
  <si>
    <t>WOJCIESZKO ARKADIUSZ</t>
  </si>
  <si>
    <t>ŁUSZCZYK SEBASTIAN</t>
  </si>
  <si>
    <t>BARANOWSKI MARIUSZ</t>
  </si>
  <si>
    <t>TREFON DOROTA</t>
  </si>
  <si>
    <t>KILIŃSKI KRZYSZTOF</t>
  </si>
  <si>
    <t>MOSIĄDZ MARCIN</t>
  </si>
  <si>
    <t>OGAREK PIOTR</t>
  </si>
  <si>
    <t xml:space="preserve">WARCHOŁ ANDRZEJ  </t>
  </si>
  <si>
    <t xml:space="preserve">STASZCZYK DANIEL </t>
  </si>
  <si>
    <t>ROKICKI</t>
  </si>
  <si>
    <t>DUBAJ</t>
  </si>
  <si>
    <t>AMANDA</t>
  </si>
  <si>
    <t>SOKOŁOWSKA</t>
  </si>
  <si>
    <t>MACIĄG</t>
  </si>
  <si>
    <t>SOKOLSKI</t>
  </si>
  <si>
    <t>KULASIK</t>
  </si>
  <si>
    <t>RECZULSKI</t>
  </si>
  <si>
    <t>KULPIŃSKA</t>
  </si>
  <si>
    <t>CIMASZEWSKI</t>
  </si>
  <si>
    <t>H2TN1</t>
  </si>
  <si>
    <t>AC JENG</t>
  </si>
  <si>
    <t>KRZYSZTOF HORBACZ</t>
  </si>
  <si>
    <t>HECZKO MARIUSZ</t>
  </si>
  <si>
    <t>MACIĄG TOMASZ</t>
  </si>
  <si>
    <t>OLSZANIECKI MIROSŁAW</t>
  </si>
  <si>
    <t>ROKICKI PRZEMYSŁAW</t>
  </si>
  <si>
    <t>TERESZKIEWICZ PIOTR</t>
  </si>
  <si>
    <t>UNIEŻYSKI SEBASTIAN</t>
  </si>
  <si>
    <t>ANTONIEWICZ ANNA</t>
  </si>
  <si>
    <t>KONIEC MARCIN</t>
  </si>
  <si>
    <t>MARCINIAK MICHAŁ</t>
  </si>
  <si>
    <t>OKORSKI ADRIAN</t>
  </si>
  <si>
    <t>BOCZKOWSKI PAWEŁ</t>
  </si>
  <si>
    <t>PIETRUSZKA GRZEGORZ</t>
  </si>
  <si>
    <t>KOSEK ŁUKASZ</t>
  </si>
  <si>
    <t>KAMIL SAWUŁA</t>
  </si>
  <si>
    <t>ANDRZEJ SZYMANOWSKI</t>
  </si>
  <si>
    <t>KAROLAK DARIUSZ</t>
  </si>
  <si>
    <t>KOŚKIEWICZ DARIUSZ</t>
  </si>
  <si>
    <t>KRAWCZYK ANDRZEJ</t>
  </si>
  <si>
    <t>SOKOLSKI PIOTR</t>
  </si>
  <si>
    <t>BAGIŃSKI PRZEMYSŁAW</t>
  </si>
  <si>
    <t>PATYJEWICZ BARTOSZ</t>
  </si>
  <si>
    <t>JASTRZĘBSKI KRZYSZTOF</t>
  </si>
  <si>
    <t>FRĄCZKIEWICZ MARCIN</t>
  </si>
  <si>
    <t>HORODYŁOWSKA AGNIESZKA</t>
  </si>
  <si>
    <t>SKRZYDLEWSKA ANETA</t>
  </si>
  <si>
    <t>ŻMIJOWSKI SEBASTIAN</t>
  </si>
  <si>
    <t>KACPERSKA SYLWIA</t>
  </si>
  <si>
    <t>SMOLUCH LESZEK</t>
  </si>
  <si>
    <t>OSTROWSKI KAMIL</t>
  </si>
  <si>
    <t>FUS TOBIASZ</t>
  </si>
  <si>
    <t>G781A</t>
  </si>
  <si>
    <t>G781B</t>
  </si>
  <si>
    <t>G781C</t>
  </si>
  <si>
    <t>G781D</t>
  </si>
  <si>
    <t>STYPUŁKOWSKI SŁAWOMIR</t>
  </si>
  <si>
    <t>LUDKE ERYK</t>
  </si>
  <si>
    <t>BOREK RAFAŁ</t>
  </si>
  <si>
    <t>ŁUDZIK RAFAŁ</t>
  </si>
  <si>
    <t>BOJSZCZAK KRZYSZTOF</t>
  </si>
  <si>
    <t>WŁODARCZYK MAREK</t>
  </si>
  <si>
    <t>GRABOWSKI IGNACY</t>
  </si>
  <si>
    <t>GRASZKIEWICZ ANDRZEJ</t>
  </si>
  <si>
    <t>GRUSZKA MARIUSZ</t>
  </si>
  <si>
    <t>DAJCZMAN PAWEŁ</t>
  </si>
  <si>
    <t>ŚWIĄTEK TOMASZ</t>
  </si>
  <si>
    <t>CYMBAŁKO JUSTYNA</t>
  </si>
  <si>
    <t>WANCOWICZ MARCIN</t>
  </si>
  <si>
    <t>DMC ENGINEERING</t>
  </si>
  <si>
    <t>HV PJT</t>
  </si>
  <si>
    <t>GA CP</t>
  </si>
  <si>
    <t>MNX KP</t>
  </si>
  <si>
    <t>MNX MW</t>
  </si>
  <si>
    <t>V202B</t>
  </si>
  <si>
    <t>V203B</t>
  </si>
  <si>
    <t>komentarz</t>
  </si>
  <si>
    <t>STANKIEWICZ PRZEMYSŁAW</t>
  </si>
  <si>
    <t xml:space="preserve">STADNIK MIROSŁAW </t>
  </si>
  <si>
    <t>KOSZEWSKI-PLĄSEK KRYSTIAN</t>
  </si>
  <si>
    <t>NICGORSKI TOMASZ</t>
  </si>
  <si>
    <t>SZKARADEK ADAM</t>
  </si>
  <si>
    <t>MIKŁASZEWICZ BEATA</t>
  </si>
  <si>
    <t>WINIARSKA BARBARA</t>
  </si>
  <si>
    <t>PEŁKA ROBERT</t>
  </si>
  <si>
    <t>FITRZYK KAMIL</t>
  </si>
  <si>
    <t>KUKUŁKA GRZEGORZ</t>
  </si>
  <si>
    <t>GWIAZDA MONIKA</t>
  </si>
  <si>
    <t>SOBAŃSKI RADOSŁAW</t>
  </si>
  <si>
    <t>KALINOWSKI ANDRZEJ</t>
  </si>
  <si>
    <t>SZABLIŃSKI JORDAN</t>
  </si>
  <si>
    <t>TRYTIAK JANUSZ</t>
  </si>
  <si>
    <t>dla czego jeszcze nie jest w Komie</t>
  </si>
  <si>
    <t>Naz, Imię</t>
  </si>
  <si>
    <t>PLECH NORBERT</t>
  </si>
  <si>
    <t>GRZYWNA RADOSŁAW</t>
  </si>
  <si>
    <t>CHILMON MICHAŁ</t>
  </si>
  <si>
    <t>MIKA ŁUKASZ</t>
  </si>
  <si>
    <t>LECH JACEK</t>
  </si>
  <si>
    <t>ŚWIĘTONIOWSKI ADAM</t>
  </si>
  <si>
    <t>DUDEK PAWEŁ</t>
  </si>
  <si>
    <t>SZOT IRENEUSZ</t>
  </si>
  <si>
    <t>WOJTAROWICZ TOMASZ</t>
  </si>
  <si>
    <t>FOLTAK TOMASZ</t>
  </si>
  <si>
    <t>SOŁTYSIAK ROBERT</t>
  </si>
  <si>
    <t>BUDNY WOJCIECH</t>
  </si>
  <si>
    <t>SIWEK ROBERT</t>
  </si>
  <si>
    <t>STAWICKI JAROSŁAW</t>
  </si>
  <si>
    <t>MARCYNIUK JÓZEF</t>
  </si>
  <si>
    <t>SZYMAŃSKI KRZYSZTOF</t>
  </si>
  <si>
    <t>WITAS RADOSŁAW</t>
  </si>
  <si>
    <t>MACIULEWICZ ZBIGNIEW</t>
  </si>
  <si>
    <t>ĆWIK JAROSŁAW</t>
  </si>
  <si>
    <t>MAZUR PRZEMYSŁAW</t>
  </si>
  <si>
    <t>KSIĄŻEK PIOTR</t>
  </si>
  <si>
    <t>HETMAŃCZYK MAREK</t>
  </si>
  <si>
    <t>CECELON MAREK</t>
  </si>
  <si>
    <t>ADAMCZYK DANIEL</t>
  </si>
  <si>
    <t>KASPEROWICZ PAWEŁ</t>
  </si>
  <si>
    <t>ŁUBIŃSKA EWA</t>
  </si>
  <si>
    <t>DZIURA DANIEL</t>
  </si>
  <si>
    <t>KURNYTA STANISŁAW</t>
  </si>
  <si>
    <t>SZTUKA MARCIN</t>
  </si>
  <si>
    <t>SKOWROŃSKI KRZYSZTOF</t>
  </si>
  <si>
    <t>ŚWIATOWY PIOTR</t>
  </si>
  <si>
    <t>LASZUK GRZEGORZ</t>
  </si>
  <si>
    <t>STARCZAN ANDRZEJ</t>
  </si>
  <si>
    <t>TULIKOWSKI DANIEL</t>
  </si>
  <si>
    <t>ZAJĄC SEWERYN</t>
  </si>
  <si>
    <t>HOFFMAN PATRYCJUSZ</t>
  </si>
  <si>
    <t>JURJEWICZ RAFAŁ</t>
  </si>
  <si>
    <t>OLEJNICZAK KRYSTIAN</t>
  </si>
  <si>
    <t>GAŁA WIKTOR</t>
  </si>
  <si>
    <t>SIERAKOWSKA IZABELA</t>
  </si>
  <si>
    <t>GABORSKI KRZYSZTOF</t>
  </si>
  <si>
    <t>MOLSKI MARIUSZ</t>
  </si>
  <si>
    <t>MUSIAŁ MICHAŁ</t>
  </si>
  <si>
    <t>TELICKI DANIEL</t>
  </si>
  <si>
    <t>JACHIM KATARZYNA</t>
  </si>
  <si>
    <t>KŁĘBCZYK EMIL</t>
  </si>
  <si>
    <t>CZEMARNIK MICHAŁ</t>
  </si>
  <si>
    <t>JAŚKIEWICZ BEATA</t>
  </si>
  <si>
    <t>HAJDUK ŁUKASZ</t>
  </si>
  <si>
    <t>SĘDZIMIR KRZYSZTOF</t>
  </si>
  <si>
    <t>CUDOWSKI PAWEŁ</t>
  </si>
  <si>
    <t>ADAMCZAK NORBERT</t>
  </si>
  <si>
    <t>RZOŃCA AGNIESZKA</t>
  </si>
  <si>
    <t>KOSZYK RAFAŁ</t>
  </si>
  <si>
    <t>CZOCH PAULINA</t>
  </si>
  <si>
    <t>KASPRZAK PIOTR</t>
  </si>
  <si>
    <t>GOWORSKI WOJCIECH</t>
  </si>
  <si>
    <t>SZUPER ELŻBIETA</t>
  </si>
  <si>
    <t>ZAKRZEWSKA SYLWIA</t>
  </si>
  <si>
    <t>LUDWINIAK PIOTR</t>
  </si>
  <si>
    <t>BORAWSKI ŁUKASZ</t>
  </si>
  <si>
    <t>DACEK</t>
  </si>
  <si>
    <t>STYPUŁKOWSKI</t>
  </si>
  <si>
    <t>PAKULSKA</t>
  </si>
  <si>
    <t>SAKOWICZ</t>
  </si>
  <si>
    <t>FRĄCZKOWSKI</t>
  </si>
  <si>
    <t>KRZYŚKÓW</t>
  </si>
  <si>
    <t>OSTROWSKI</t>
  </si>
  <si>
    <t>SMOLUCH</t>
  </si>
  <si>
    <t>KOSEK</t>
  </si>
  <si>
    <t>PIETRUSZKA</t>
  </si>
  <si>
    <t>OKORSKI</t>
  </si>
  <si>
    <t>BOCZKOWSKI</t>
  </si>
  <si>
    <t>KOSTENECKA</t>
  </si>
  <si>
    <t>NADIA</t>
  </si>
  <si>
    <t>ZIELIŃSKI</t>
  </si>
  <si>
    <t>WĘCŁAŚ</t>
  </si>
  <si>
    <t>OGNISTA</t>
  </si>
  <si>
    <t>GAJDA</t>
  </si>
  <si>
    <t>BARCZAK</t>
  </si>
  <si>
    <t>MIKICIŃSKA</t>
  </si>
  <si>
    <t>JABŁOŃSKA</t>
  </si>
  <si>
    <t>JURA</t>
  </si>
  <si>
    <t>CZYREK</t>
  </si>
  <si>
    <t>KACZMARCZYK</t>
  </si>
  <si>
    <t>GRZELAK</t>
  </si>
  <si>
    <t>BŁAŻEWICZ</t>
  </si>
  <si>
    <t>STYPUŁA</t>
  </si>
  <si>
    <t>SKRZYPIEC</t>
  </si>
  <si>
    <t>ŚWIECKA</t>
  </si>
  <si>
    <t>JAWORSKA</t>
  </si>
  <si>
    <t>WIŚNIEWSKA</t>
  </si>
  <si>
    <t>WOJTALA</t>
  </si>
  <si>
    <t>KARBOWNICZEK</t>
  </si>
  <si>
    <t>FRĄSZCZAK</t>
  </si>
  <si>
    <t>BAKUN</t>
  </si>
  <si>
    <t>GRZELCZYK</t>
  </si>
  <si>
    <t>FRĄCZKOWSKA</t>
  </si>
  <si>
    <t>MIKOŁAJ</t>
  </si>
  <si>
    <t>STAFECKA</t>
  </si>
  <si>
    <t>KORPAN</t>
  </si>
  <si>
    <t>SMOLIŃSKA</t>
  </si>
  <si>
    <t>SKROMNIUK</t>
  </si>
  <si>
    <t>ALEKS</t>
  </si>
  <si>
    <t>KACPERSKA</t>
  </si>
  <si>
    <t>WOJTAS</t>
  </si>
  <si>
    <t>BISZTYGA</t>
  </si>
  <si>
    <t>DYBA</t>
  </si>
  <si>
    <t>ŚWITOŃ</t>
  </si>
  <si>
    <t>MIAZGA</t>
  </si>
  <si>
    <t>ALAN</t>
  </si>
  <si>
    <t>CHUDAŚ</t>
  </si>
  <si>
    <t>KAŁUŻNA</t>
  </si>
  <si>
    <t>WERONIKA</t>
  </si>
  <si>
    <t>ŻARKOWSKI</t>
  </si>
  <si>
    <t>SKOCZEŃ</t>
  </si>
  <si>
    <t>KOŚCIELNIAK</t>
  </si>
  <si>
    <t>CZEMPKA</t>
  </si>
  <si>
    <t>JABCZUGA</t>
  </si>
  <si>
    <t>RUDNICKI</t>
  </si>
  <si>
    <t>HAKERT</t>
  </si>
  <si>
    <t>KUC</t>
  </si>
  <si>
    <t>LUDKE</t>
  </si>
  <si>
    <t>DUCHNOWSKI</t>
  </si>
  <si>
    <t>SADŁO</t>
  </si>
  <si>
    <t>CHMIELEWSKA</t>
  </si>
  <si>
    <t>BARCIKOWSKA</t>
  </si>
  <si>
    <t>BARNA</t>
  </si>
  <si>
    <t>ŚPIEWAK</t>
  </si>
  <si>
    <t>IGNACIUK</t>
  </si>
  <si>
    <t>OLIWIA</t>
  </si>
  <si>
    <t>KOBIELA</t>
  </si>
  <si>
    <t>MAJA</t>
  </si>
  <si>
    <t>JABŁOŃSKA ANGELIKA</t>
  </si>
  <si>
    <t>FRĄSZCZAK KAROLINA</t>
  </si>
  <si>
    <t>STAFECKA KATARZYNA</t>
  </si>
  <si>
    <t>SKROMNIUK ALEKS</t>
  </si>
  <si>
    <t>ŚWITOŃ TOMASZ</t>
  </si>
  <si>
    <t>ZELEK MATEUSZ</t>
  </si>
  <si>
    <t>ZARĘBA MONIKA</t>
  </si>
  <si>
    <t>ŁUSZCZ ANGELIKA</t>
  </si>
  <si>
    <t>KOŚCIELNIAK GRZEGORZ</t>
  </si>
  <si>
    <t>CEBULA IIRENEUSZ</t>
  </si>
  <si>
    <t>WYSŁANE</t>
  </si>
  <si>
    <t>TME</t>
  </si>
  <si>
    <t>SYCHOWSKA MARTA</t>
  </si>
  <si>
    <t>Czyżowski Mariusz</t>
  </si>
  <si>
    <t>G7TM6</t>
  </si>
  <si>
    <t>Zbigniew Januszkiewicz</t>
  </si>
  <si>
    <t>Piotr Czuczuk</t>
  </si>
  <si>
    <t>GTCOV(G401A)</t>
  </si>
  <si>
    <t xml:space="preserve">Artur Kalinowski </t>
  </si>
  <si>
    <t>MICHAŁ CHILMON</t>
  </si>
  <si>
    <t>WLODZIMIERZ KACZMAREK</t>
  </si>
  <si>
    <t>GTCOV(G401B)</t>
  </si>
  <si>
    <t>WYSTEMP   PRZEMYSŁAW</t>
  </si>
  <si>
    <t>AC ADM</t>
  </si>
  <si>
    <t>WOŁOSZCZUK</t>
  </si>
  <si>
    <t>TARNACKA</t>
  </si>
  <si>
    <t>KĘDZIOR</t>
  </si>
  <si>
    <t>SKLORZ</t>
  </si>
  <si>
    <t>SOCHACKA</t>
  </si>
  <si>
    <t>SAJNÓG</t>
  </si>
  <si>
    <t>MAKOWSKI</t>
  </si>
  <si>
    <t>OLSZANOWSKA</t>
  </si>
  <si>
    <t>BUZAŁA</t>
  </si>
  <si>
    <t>KARINA</t>
  </si>
  <si>
    <t>KAGANIUK</t>
  </si>
  <si>
    <t>ADAMCZEWSKA</t>
  </si>
  <si>
    <t>GAMOŃ-SIEMIENIEWSKA</t>
  </si>
  <si>
    <t>CZERNIGA</t>
  </si>
  <si>
    <t>WYSTEMP</t>
  </si>
  <si>
    <t>WĘGRZYNOWSKA</t>
  </si>
  <si>
    <t>ALEKSANDRA</t>
  </si>
  <si>
    <t>BORZEMSKA</t>
  </si>
  <si>
    <t>BOLEK</t>
  </si>
  <si>
    <t>PIETRAS</t>
  </si>
  <si>
    <t>PIETRAS PAWEŁ</t>
  </si>
  <si>
    <t xml:space="preserve">BŁĄD - </t>
  </si>
  <si>
    <t>Szuper Tomasz</t>
  </si>
  <si>
    <t>Andrzej Bednarczyk</t>
  </si>
  <si>
    <t>Janusz Szmidt</t>
  </si>
  <si>
    <t>Mirosław Stadnik</t>
  </si>
  <si>
    <t>DO WYSŁANIA</t>
  </si>
  <si>
    <t>ARTUR GŁÓD</t>
  </si>
  <si>
    <t>MIROSŁAW KAŁUZYŃSKI</t>
  </si>
  <si>
    <t>Toczko Dariusz</t>
  </si>
  <si>
    <t>A.Warchoł</t>
  </si>
  <si>
    <t>Piotr Kisiel</t>
  </si>
  <si>
    <t>TN02A</t>
  </si>
  <si>
    <t>Artur Głód</t>
  </si>
  <si>
    <t>Jarosław Andrasz</t>
  </si>
  <si>
    <t>BUDZYŃSKI</t>
  </si>
  <si>
    <t>RYCZEK</t>
  </si>
  <si>
    <t>BUDNY</t>
  </si>
  <si>
    <t>BALON</t>
  </si>
  <si>
    <t>OKOŃ</t>
  </si>
  <si>
    <t>ŁAGOWSKI</t>
  </si>
  <si>
    <t>GENDERA</t>
  </si>
  <si>
    <t>LARYSA</t>
  </si>
  <si>
    <t>ZAWROTNIK</t>
  </si>
  <si>
    <t>CHŁODNICKA</t>
  </si>
  <si>
    <t>LEGAWIEC</t>
  </si>
  <si>
    <t>WIESE</t>
  </si>
  <si>
    <t>MIKOŁAJEWSKI</t>
  </si>
  <si>
    <t>BINKUŃSKI</t>
  </si>
  <si>
    <t>GWIZD</t>
  </si>
  <si>
    <t>KOĆMIRSKI</t>
  </si>
  <si>
    <t>KOSTENECKI</t>
  </si>
  <si>
    <t>CHOCHOL</t>
  </si>
  <si>
    <t>ADRANOWICZ</t>
  </si>
  <si>
    <t>WIELOWSKA</t>
  </si>
  <si>
    <t>KŁODA</t>
  </si>
  <si>
    <t>WAROWNY</t>
  </si>
  <si>
    <t>E3V3A</t>
  </si>
  <si>
    <t>CZOPEK</t>
  </si>
  <si>
    <t>WYROBA</t>
  </si>
  <si>
    <t>PAŁCZYŃSKA</t>
  </si>
  <si>
    <t>LOZOVYK</t>
  </si>
  <si>
    <t>SERHII</t>
  </si>
  <si>
    <t>GUMIĘGA</t>
  </si>
  <si>
    <t>ŁAKOMOW</t>
  </si>
  <si>
    <t>SWACHA</t>
  </si>
  <si>
    <t>Mroziński Damian</t>
  </si>
  <si>
    <t>NOWAKOWKSI PRZEMYSŁAW</t>
  </si>
  <si>
    <t>Chrzanowski Jarosław</t>
  </si>
  <si>
    <t>Tumidajewicz Rafał</t>
  </si>
  <si>
    <t>Borysewicz Piotr</t>
  </si>
  <si>
    <t>Tomasz Szuper</t>
  </si>
  <si>
    <t>Jarosław Chrzanowski</t>
  </si>
  <si>
    <t>STDNIK MIROSŁAW</t>
  </si>
  <si>
    <t>Krzysztof Demeszuk</t>
  </si>
  <si>
    <t>HYBRID</t>
  </si>
  <si>
    <t>ME</t>
  </si>
  <si>
    <t>SKLORZ DOMINIKA</t>
  </si>
  <si>
    <t>LUCHOWSKI MACIEJ</t>
  </si>
  <si>
    <t>KLAG GRZEGORZ</t>
  </si>
  <si>
    <t>STĘPIEŃ STANISŁAW</t>
  </si>
  <si>
    <t>CYGAL RAFAŁ</t>
  </si>
  <si>
    <t>ZWOLSKA ANNA</t>
  </si>
  <si>
    <t>PASICH GABRIELA</t>
  </si>
  <si>
    <t>MOCARSKA DOROTA</t>
  </si>
  <si>
    <t>BOCHM ANDRZEJ</t>
  </si>
  <si>
    <t>ADAMCZYK MIROSŁAW</t>
  </si>
  <si>
    <t>GAŁYSA SŁAWOMIR</t>
  </si>
  <si>
    <t>MIŚ DAWID</t>
  </si>
  <si>
    <t>WALKÓW EWA</t>
  </si>
  <si>
    <t>ŁYCZAK MARZENA</t>
  </si>
  <si>
    <t>SATORA SYLWIA</t>
  </si>
  <si>
    <t>GÓRSKI KRZYSZTOF</t>
  </si>
  <si>
    <t>POTRZEBOWSKA ANNA</t>
  </si>
  <si>
    <t>KLESZCZ BEATA</t>
  </si>
  <si>
    <t>NOWAKOWSKA MAŁGORZATA</t>
  </si>
  <si>
    <t>BOGACZ ANETA</t>
  </si>
  <si>
    <t>PABIS ELŻBIETA</t>
  </si>
  <si>
    <t>REBENKO BARBARA</t>
  </si>
  <si>
    <t>JANIK JOLANTA</t>
  </si>
  <si>
    <t>PISKOREK MAŁGORZATA</t>
  </si>
  <si>
    <t>JAWORSKA AGNIESZKA</t>
  </si>
  <si>
    <t>LEWANDOWSKA DAGMARA</t>
  </si>
  <si>
    <t>WYSTEMP PRZEMYSŁAW</t>
  </si>
  <si>
    <t>PODWIKA JACEK</t>
  </si>
  <si>
    <t>DYRCZ BEATA</t>
  </si>
  <si>
    <t>DĄBROWSKI TADEUSZ</t>
  </si>
  <si>
    <t>HOFFMAN MAREK</t>
  </si>
  <si>
    <t>GALUBA ŁUKASZ</t>
  </si>
  <si>
    <t>ROMAŃCZAK MARIUSZ</t>
  </si>
  <si>
    <t>BOROŃ MICHAŁ</t>
  </si>
  <si>
    <t>MARCINKO ŁUKASZ</t>
  </si>
  <si>
    <t>MATYJASIK DAWID</t>
  </si>
  <si>
    <t>WAWRO MONIKA</t>
  </si>
  <si>
    <t>CEMBRYŁO KRZYSZTOF</t>
  </si>
  <si>
    <t>MADALIŃSKI JAROSŁAW</t>
  </si>
  <si>
    <t>KAZIMIERSKA MAGDALENA</t>
  </si>
  <si>
    <t>RYSZTAK EDYTA</t>
  </si>
  <si>
    <t>TROSZCZYŃSKI ŁUKASZ</t>
  </si>
  <si>
    <t>ZBROJA ANNA</t>
  </si>
  <si>
    <t>DĄBROWICZ BEATA</t>
  </si>
  <si>
    <t>MARTYNOGA AGNIESZKA</t>
  </si>
  <si>
    <t>KUNICKA AGNIESZKA</t>
  </si>
  <si>
    <t>SICZEK AGNIESZKA</t>
  </si>
  <si>
    <t>BRAMBOR SŁAWOMIR</t>
  </si>
  <si>
    <t>GADOWSKA SYLWIA</t>
  </si>
  <si>
    <t>KULCZYK PIOTR</t>
  </si>
  <si>
    <t>GÓRKIEWICZ JOANNA</t>
  </si>
  <si>
    <t>LIBERADZKI ANDRZEJ</t>
  </si>
  <si>
    <t>NOSAL KATARZYNA</t>
  </si>
  <si>
    <t>KOT AGNIESZKA</t>
  </si>
  <si>
    <t>DUCHNOWSKI DANIEL</t>
  </si>
  <si>
    <t>BAUT BOGUMIŁA</t>
  </si>
  <si>
    <t>JÓZEFOWICZ PATRYCJA</t>
  </si>
  <si>
    <t>DYBA ANNA</t>
  </si>
  <si>
    <t>FERENC PAULINA</t>
  </si>
  <si>
    <t>NOWAK IWONA</t>
  </si>
  <si>
    <t>STĘPIEŃ SANDRA</t>
  </si>
  <si>
    <t>KUCIA MALWINA</t>
  </si>
  <si>
    <t>WOŁOSZCZUK BEATA</t>
  </si>
  <si>
    <t>SZCZĘSNA RENATA</t>
  </si>
  <si>
    <t>GAWENDA DANUTA</t>
  </si>
  <si>
    <t>SZCZEBAK KRZYSZTOF</t>
  </si>
  <si>
    <t>WILK MARZENA</t>
  </si>
  <si>
    <t>HAMUDA MACIEJ</t>
  </si>
  <si>
    <t>STROJNA AGNIESZKA</t>
  </si>
  <si>
    <t>DARMETKO MAGDALENA</t>
  </si>
  <si>
    <t>WITCZAK ELŻBIETA</t>
  </si>
  <si>
    <t>KROCZAK KRZYSZTOF</t>
  </si>
  <si>
    <t>PRZYTOCKI DANIEL</t>
  </si>
  <si>
    <t>ADAMCZEWSKA KAROLINA</t>
  </si>
  <si>
    <t>KULPIŃSKA KAROLINA</t>
  </si>
  <si>
    <t>WOZOWCZYK ŁUKASZ</t>
  </si>
  <si>
    <t>KUSAJDA MATEUSZ</t>
  </si>
  <si>
    <t>ŚMIAŁEK SYLWESTER</t>
  </si>
  <si>
    <t>STACHUŁA JAROSŁAW</t>
  </si>
  <si>
    <t>ADRANOWICZ ADAM</t>
  </si>
  <si>
    <t>STANIÓRSKI SŁAWOMIR</t>
  </si>
  <si>
    <t>ZDZIOBEK KACPER</t>
  </si>
  <si>
    <t>ANULOWANY</t>
  </si>
  <si>
    <t>WILK ANDRZEJ</t>
  </si>
  <si>
    <t>F1HV5</t>
  </si>
  <si>
    <t>BARABASZ MICHAŁ</t>
  </si>
  <si>
    <t>V204A</t>
  </si>
  <si>
    <t>HOŁDONOWICZ  MARCIN</t>
  </si>
  <si>
    <t>KOWZAN MARZENA</t>
  </si>
  <si>
    <t>LISZCZ ANDRZEJ</t>
  </si>
  <si>
    <t>LEWANDOWSKI MARCIN</t>
  </si>
  <si>
    <t>OK</t>
  </si>
  <si>
    <t>POŚNIK WIESŁAW</t>
  </si>
  <si>
    <t>WIESŁAW WESOŁEK</t>
  </si>
  <si>
    <t>2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</si>
  <si>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</si>
  <si>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</si>
  <si>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</si>
  <si>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</si>
  <si>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</si>
  <si>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</si>
  <si>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</si>
  <si>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</si>
  <si>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</si>
  <si>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</si>
  <si>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</si>
  <si>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</si>
  <si>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</si>
  <si>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</si>
  <si>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</si>
  <si>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</si>
  <si>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</si>
  <si>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</si>
  <si>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</si>
  <si>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</si>
  <si>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</si>
  <si>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</si>
  <si>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</si>
  <si>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</si>
  <si>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</si>
  <si>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</si>
  <si>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</si>
  <si>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</si>
  <si>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</si>
  <si>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</si>
  <si>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</si>
  <si>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</si>
  <si>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</si>
  <si>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</si>
  <si>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</si>
  <si>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</si>
  <si>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</si>
  <si>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</si>
  <si>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</si>
  <si>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</si>
  <si>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</si>
  <si>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52</t>
  </si>
  <si>
    <t>53</t>
  </si>
  <si>
    <t>54</t>
  </si>
  <si>
    <t>55</t>
  </si>
  <si>
    <t>56</t>
  </si>
  <si>
    <t>57</t>
  </si>
  <si>
    <t>58</t>
  </si>
  <si>
    <t>wysłano</t>
  </si>
  <si>
    <t>GTCOV (G612B)</t>
  </si>
  <si>
    <t>cc BEZ ZMIAN</t>
  </si>
  <si>
    <t>KĘCEL ROBERT</t>
  </si>
  <si>
    <t>PAWELSKA PAULINA</t>
  </si>
  <si>
    <t>PŁAWIAK BOGDAN</t>
  </si>
  <si>
    <t>WOŹNIAK KAMIL</t>
  </si>
  <si>
    <t>KWIATEK WOJCIECH</t>
  </si>
  <si>
    <t>OGAR TOMASZ</t>
  </si>
  <si>
    <t>DARMETKO TOMASZ</t>
  </si>
  <si>
    <t>PAWLIKOWSKI RAFAŁ</t>
  </si>
  <si>
    <t>OLEKSY SŁAWOMIR</t>
  </si>
  <si>
    <t>BEKAS PATRYK</t>
  </si>
  <si>
    <t>WALKOWIAK RYSZARD</t>
  </si>
  <si>
    <t>BOROWIAK MARCIN</t>
  </si>
  <si>
    <t>ŚWIOKŁO KAROL</t>
  </si>
  <si>
    <t>V302B</t>
  </si>
  <si>
    <t>ADAMCZYK-PENA ANNA</t>
  </si>
  <si>
    <t>OSAJDZIŃSKI TADEUSZ</t>
  </si>
  <si>
    <t>WIERZBICKA WIOLETTA</t>
  </si>
  <si>
    <t>KOLENDA KRZYSZTOF</t>
  </si>
  <si>
    <t>PAWELSKA EWELINA</t>
  </si>
  <si>
    <t>MUSZ AGNIESZKA</t>
  </si>
  <si>
    <t>JOPEK PAWEŁ</t>
  </si>
  <si>
    <t>TURKIEWICZ-JAKUBOWSKA IZABELLA</t>
  </si>
  <si>
    <t>V5PRO</t>
  </si>
  <si>
    <t>WOJCIECHOWSKI PIOTR</t>
  </si>
  <si>
    <t>TOMASZEWSKI GRZEGORZ</t>
  </si>
  <si>
    <t>Demeszuk Krzysztof</t>
  </si>
  <si>
    <t>SZMAŃDA KATARZYNA</t>
  </si>
  <si>
    <t>Luborak Sławomir</t>
  </si>
  <si>
    <t>Kozłowski Tomasz</t>
  </si>
  <si>
    <t>HVSS 1</t>
  </si>
  <si>
    <t>V202C</t>
  </si>
  <si>
    <t>MARGAS PIOTR</t>
  </si>
  <si>
    <t>SUSZEK  PIOTR</t>
  </si>
  <si>
    <t>MIERZCHAŁA  IRENEUSZ</t>
  </si>
  <si>
    <t>POSIEDLIK SEBASTIAN</t>
  </si>
  <si>
    <t>PAŚKO  WOJCIECH</t>
  </si>
  <si>
    <t>MARCIN ZDEB</t>
  </si>
  <si>
    <t>SCHNEIDER PAWEŁ</t>
  </si>
  <si>
    <t>ŻUKOWSKI PAWEŁ</t>
  </si>
  <si>
    <t>TN07</t>
  </si>
  <si>
    <t>TN09</t>
  </si>
  <si>
    <t>SZATNY MAREK</t>
  </si>
  <si>
    <t>TN06</t>
  </si>
  <si>
    <t>SUŁKOWSKI PAWEŁ</t>
  </si>
  <si>
    <t>TN10</t>
  </si>
  <si>
    <t>KOSZYKA KRZYSZTOF</t>
  </si>
  <si>
    <t>V 302A</t>
  </si>
  <si>
    <t>V203C</t>
  </si>
  <si>
    <t>V301B</t>
  </si>
  <si>
    <t>V303B</t>
  </si>
  <si>
    <t>LEWANDOWSKI MACIEJ</t>
  </si>
  <si>
    <t>TN07C</t>
  </si>
  <si>
    <t>PANKOWSKI KRZYSZTOF</t>
  </si>
  <si>
    <t>KARNIEJ MARIUSZ</t>
  </si>
  <si>
    <t>CICHY JAROSŁAW</t>
  </si>
  <si>
    <t>FLORIAN PAULINA</t>
  </si>
  <si>
    <t>SS HV</t>
  </si>
  <si>
    <t>HANDZLIK ŁUKASZ</t>
  </si>
  <si>
    <t>STAWICKI ŁUKASZ</t>
  </si>
  <si>
    <t>MIKICIŃSKA AGNIESZKA</t>
  </si>
  <si>
    <t>KUBARA EWA</t>
  </si>
  <si>
    <t>SKRZYPIŃSKA GABRIELA</t>
  </si>
  <si>
    <t>WILK SEBASTIAN</t>
  </si>
  <si>
    <t>Jachym Andrzej</t>
  </si>
  <si>
    <t>JAGODZIŃSKI KAZIMIERZ</t>
  </si>
  <si>
    <t>DRĄG DARIUSZ</t>
  </si>
  <si>
    <t>SUCHECKI PRZEMYSŁAW</t>
  </si>
  <si>
    <t>WIESZCZECIŃSKI KRYSTIAN</t>
  </si>
  <si>
    <t>SMARZYŃSKI ADAM</t>
  </si>
  <si>
    <t>FIAŁKOWSKI JACEK</t>
  </si>
  <si>
    <t>JANKOWSKI DAMIAN</t>
  </si>
  <si>
    <t>CZAPSKI RAFAŁ</t>
  </si>
  <si>
    <t>KOŁODZIEJ JACEK</t>
  </si>
  <si>
    <t>STASIAK SŁAWOMIR</t>
  </si>
  <si>
    <t>KARNISZEWSKA EMILIA</t>
  </si>
  <si>
    <t>WAWRZYNOWICZ PIOTR</t>
  </si>
  <si>
    <t>KLUKOWSKI RAFAŁ</t>
  </si>
  <si>
    <t>KOŁODZIEJ TOMASZ</t>
  </si>
  <si>
    <t>SKAŁA SEWERYN</t>
  </si>
  <si>
    <t>PALIAN REMIGIUSZ</t>
  </si>
  <si>
    <t>OLSZEWSKI PIOTR</t>
  </si>
  <si>
    <t>BASZEWSKI PIOTR</t>
  </si>
  <si>
    <t>PARTYŃSKI SŁAWOMIR</t>
  </si>
  <si>
    <t>BILIŃSKI GRZEGORZ</t>
  </si>
  <si>
    <t>SKRZYPCZAK DAMIAN</t>
  </si>
  <si>
    <t>JÓZEFIAK PAWEŁ</t>
  </si>
  <si>
    <t>MALINOWSKI MARIUSZ</t>
  </si>
  <si>
    <t>MAKSYMOWICZ SEBASTIAN</t>
  </si>
  <si>
    <t>KROPIEWNICKI KRZYSZTOF</t>
  </si>
  <si>
    <t>WOWK PAWEŁ</t>
  </si>
  <si>
    <t>PRZYBYLSKI ARTUR</t>
  </si>
  <si>
    <t>JANOR SZYMON</t>
  </si>
  <si>
    <t>SARGALSKI MAREK</t>
  </si>
  <si>
    <t>JASIŃSKI RADOSŁAW</t>
  </si>
  <si>
    <t>ŚMIETANKA KRZYSZTOF</t>
  </si>
  <si>
    <t>WAŻNY SEBASTIAN</t>
  </si>
  <si>
    <t>NOWAK ARKADIUSZ</t>
  </si>
  <si>
    <t>WOJTYŁA SŁAWOMIR</t>
  </si>
  <si>
    <t>CZEKAŃSKA-WINCEK MONIKA</t>
  </si>
  <si>
    <t>LUBINIECKA JOANNA</t>
  </si>
  <si>
    <t>KWIATKOWSKI SŁAWOMIR</t>
  </si>
  <si>
    <t>ANIOŁ MARIUSZ</t>
  </si>
  <si>
    <t>KUPCZYK ROBERT</t>
  </si>
  <si>
    <t>MOLKA MAREK</t>
  </si>
  <si>
    <t>OSAJDA ARTUR</t>
  </si>
  <si>
    <t>STOKŁOSA SEBASTIAN</t>
  </si>
  <si>
    <t>SZŁAPAK ADAM</t>
  </si>
  <si>
    <t>JAKUBANIS DANIEL</t>
  </si>
  <si>
    <t>PAŁKA GRZEGORZ</t>
  </si>
  <si>
    <t>TRUSKOWSKI JACEK</t>
  </si>
  <si>
    <t>ZAKRZEWSKI JACEK</t>
  </si>
  <si>
    <t>BETLEJEWSKI MARIUSZ</t>
  </si>
  <si>
    <t>ACELA MARIUSZ</t>
  </si>
  <si>
    <t>BAŃKA MAREK</t>
  </si>
  <si>
    <t>DUDIAK GRZEGORZ</t>
  </si>
  <si>
    <t>JAŚLAN DOMINIK</t>
  </si>
  <si>
    <t>ŚLIWAK PAWEŁ</t>
  </si>
  <si>
    <t>BRUCKI SEBASTIAN</t>
  </si>
  <si>
    <t>GABROWSKI ADAM</t>
  </si>
  <si>
    <t>GONDEK STANISŁAW</t>
  </si>
  <si>
    <t>JABŁOŃSKI DARIUSZ</t>
  </si>
  <si>
    <t>KALIŚ JAROSŁAW</t>
  </si>
  <si>
    <t>ZAGÓRSKI MARIUSZ</t>
  </si>
  <si>
    <t>ĆMAK ROBERT</t>
  </si>
  <si>
    <t>SOBAŃSKI KRZYSZTOF</t>
  </si>
  <si>
    <t>LEWANDOWSKI ADAM</t>
  </si>
  <si>
    <t>MYSZKA TOMASZ</t>
  </si>
  <si>
    <t>SOBIERALSKI DANIEL</t>
  </si>
  <si>
    <t>KRZYŻEWSKI GRZEGORZ</t>
  </si>
  <si>
    <t>SACHS ROMAN</t>
  </si>
  <si>
    <t>ŚLIŻEWSKI MAREK</t>
  </si>
  <si>
    <t>PÓŁTORAK JACEK</t>
  </si>
  <si>
    <t>SKALIŃSKI MIROSŁAW</t>
  </si>
  <si>
    <t>ANTONIEWICZ MARIUSZ</t>
  </si>
  <si>
    <t>KOWALCZYK MAREK</t>
  </si>
  <si>
    <t>ROSZAK MARIUSZ</t>
  </si>
  <si>
    <t>JASEK ARKADIUSZ</t>
  </si>
  <si>
    <t>KLIBER DARIUSZ</t>
  </si>
  <si>
    <t>KOPICZKO JAN</t>
  </si>
  <si>
    <t>CZYŻEWSKI WIESŁAW</t>
  </si>
  <si>
    <t>GUZIK KRZYSZTOF</t>
  </si>
  <si>
    <t>GAWLIŃSKI MICHAŁ</t>
  </si>
  <si>
    <t>RYDZ SŁAWOMIR</t>
  </si>
  <si>
    <t>WENDYCZ IGOR</t>
  </si>
  <si>
    <t>SUCHOCKI MARCIN</t>
  </si>
  <si>
    <t>KOWALSKI DARIUSZ</t>
  </si>
  <si>
    <t>ZAJĄC PAWEŁ</t>
  </si>
  <si>
    <t>WYPYCH KONRAD</t>
  </si>
  <si>
    <t>DZIEDZIC STANISŁAW</t>
  </si>
  <si>
    <t>MILEWSKI RADOSŁAW</t>
  </si>
  <si>
    <t>MAŁECKI MACIEJ</t>
  </si>
  <si>
    <t>KARPIŃSKA EWELINA</t>
  </si>
  <si>
    <t>SZCZĘSNY RAFAŁ</t>
  </si>
  <si>
    <t>TOSTI GRZEGORZ</t>
  </si>
  <si>
    <t>MIKUŁA KRZYSZTOF</t>
  </si>
  <si>
    <t>RODZIK MAREK</t>
  </si>
  <si>
    <t>TAĆ BOGUSŁAW</t>
  </si>
  <si>
    <t>KURZEJA RAFAŁ</t>
  </si>
  <si>
    <t>ANDRZEJEWSKI MARIUSZ</t>
  </si>
  <si>
    <t>BARAN WIESŁAW</t>
  </si>
  <si>
    <t>BEDNARCZYK JACEK</t>
  </si>
  <si>
    <t>JĘDRASIK MARCIN</t>
  </si>
  <si>
    <t>KIEŁEK TOMASZ</t>
  </si>
  <si>
    <t>NOWACKI SŁAWOMIR</t>
  </si>
  <si>
    <t>OBOZA BARTŁOMIEJ</t>
  </si>
  <si>
    <t>RADULSKI PAWEŁ</t>
  </si>
  <si>
    <t>RUMNIAK JAROSŁAW</t>
  </si>
  <si>
    <t>RUTKOWSKI WOJCIECH</t>
  </si>
  <si>
    <t>SAWICKI MARIUSZ</t>
  </si>
  <si>
    <t>SKIBA DARIUSZ</t>
  </si>
  <si>
    <t>SZERSZEŃ MACIEJ</t>
  </si>
  <si>
    <t>KOWALSKI ROBERT</t>
  </si>
  <si>
    <t>DUDZIAK PIOTR</t>
  </si>
  <si>
    <t>WINIARSKI MAREK</t>
  </si>
  <si>
    <t>LEWANDOWSKI PAWEŁ</t>
  </si>
  <si>
    <t>MATUSZNY MARIUSZ</t>
  </si>
  <si>
    <t>JASIŃSKI MACIEJ</t>
  </si>
  <si>
    <t>NAPIÓRA TOMASZ</t>
  </si>
  <si>
    <t>PRZERADA ROBERT</t>
  </si>
  <si>
    <t>JĘDRASZCZYK PRZEMYSŁAW</t>
  </si>
  <si>
    <t>CZARNECKI GRZEGORZ</t>
  </si>
  <si>
    <t>BIERNAT PIOTR</t>
  </si>
  <si>
    <t>CZARNOTA PIOTR</t>
  </si>
  <si>
    <t>JUSZKIEWICZ ARKADIUSZ</t>
  </si>
  <si>
    <t>DEMBEK MAREK</t>
  </si>
  <si>
    <t>CZERWIŃSKI LESZEK</t>
  </si>
  <si>
    <t>GOŁĘBIOWSKI PAWEŁ</t>
  </si>
  <si>
    <t>KRZOSEK KRZYSZTOF</t>
  </si>
  <si>
    <t>WAŁOWSKI MAREK</t>
  </si>
  <si>
    <t>SANDOMIERSKI PIOTR</t>
  </si>
  <si>
    <t>BINKOWSKI DARIUSZ</t>
  </si>
  <si>
    <t>GORZĘDOWSKI PAWEŁ</t>
  </si>
  <si>
    <t>ŚLIWKA SEBASTIAN</t>
  </si>
  <si>
    <t>STAWIAK MARIUSZ</t>
  </si>
  <si>
    <t>SZAREK DANIEL</t>
  </si>
  <si>
    <t>WIERZBICKI ADAM</t>
  </si>
  <si>
    <t>NOWICKI KRZYSZTOF</t>
  </si>
  <si>
    <t>DROŻDŻ GRZEGORZ</t>
  </si>
  <si>
    <t>BIJAK KONRAD</t>
  </si>
  <si>
    <t>GORDZIEJEWSKA SYLWIA</t>
  </si>
  <si>
    <t>STANKOWSKA JOANNA</t>
  </si>
  <si>
    <t>SULANOWSKI PIOTR</t>
  </si>
  <si>
    <t>BAGAZJA KRZYSZTOF</t>
  </si>
  <si>
    <t>BANAŚ GRZEGORZ</t>
  </si>
  <si>
    <t>ŻAK KRYSPIN</t>
  </si>
  <si>
    <t>CZUCHRA SEBASTIAN</t>
  </si>
  <si>
    <t>PŁUSA ANDRZEJ</t>
  </si>
  <si>
    <t>GRABOWIK MACIEJ</t>
  </si>
  <si>
    <t>CHOMIK TADEUSZ</t>
  </si>
  <si>
    <t>CIESIELSKI RADOSŁAW</t>
  </si>
  <si>
    <t>CIECHANOWICZ TOMASZ</t>
  </si>
  <si>
    <t>PASIAS SEBASTIAN</t>
  </si>
  <si>
    <t>V5000</t>
  </si>
  <si>
    <t>GOPPOLD ROBERT</t>
  </si>
  <si>
    <t>SŁOTA JANUSZ</t>
  </si>
  <si>
    <t>ZDEB MICHAŁ</t>
  </si>
  <si>
    <t>WŁODARCZYK IWONA</t>
  </si>
  <si>
    <t>BUJ KRZYSZTOF</t>
  </si>
  <si>
    <t>WŁODARCZYK KAMIL</t>
  </si>
  <si>
    <t>BORKOWSKI JAROSŁAW</t>
  </si>
  <si>
    <t>MARCISZAK MICHAŁ</t>
  </si>
  <si>
    <t>ZALEWSKI ARTUR</t>
  </si>
  <si>
    <t>PODKÓWKA JACEK</t>
  </si>
  <si>
    <t>GRAJEK SZYMON</t>
  </si>
  <si>
    <t>SŁODKOWSKI JACEK</t>
  </si>
  <si>
    <t>CZYŻOWSKI GRZEGORZ</t>
  </si>
  <si>
    <t>RODZIK GRZEGORZ</t>
  </si>
  <si>
    <t>BEDNARA MARCIN</t>
  </si>
  <si>
    <t>ŻYŁYSZYN ROBERT</t>
  </si>
  <si>
    <t>TAJS TOMASZ</t>
  </si>
  <si>
    <t>KOT GRZEGORZ</t>
  </si>
  <si>
    <t>WIERZBICKI KRZYSZTOF</t>
  </si>
  <si>
    <t>BAŁYS IRENEUSZ</t>
  </si>
  <si>
    <t>MATWIEJCZUK JACEK</t>
  </si>
  <si>
    <t>GARYCKI DOMINIK</t>
  </si>
  <si>
    <t>DOMAGALSKI TOMASZ</t>
  </si>
  <si>
    <t>DĄBROWSKA KATARZYNA</t>
  </si>
  <si>
    <t>CISAK BOGUSŁAW</t>
  </si>
  <si>
    <t>JASZEWSKI ALEKSANDER</t>
  </si>
  <si>
    <t>ŁOŚ JÓZEF</t>
  </si>
  <si>
    <t>MATEJEK MARIUSZ</t>
  </si>
  <si>
    <t>ADAMASZEK MARIUSZ</t>
  </si>
  <si>
    <t>ŚLIWIŃSKI PIOTR</t>
  </si>
  <si>
    <t>NOWACKA ANNA</t>
  </si>
  <si>
    <t>WAŃCZYK ANDRZEJ</t>
  </si>
  <si>
    <t>KURZAWIŃSKI ARTUR</t>
  </si>
  <si>
    <t>GRABOWSKI ROBERT</t>
  </si>
  <si>
    <t>DOLATA ARKADIUSZ</t>
  </si>
  <si>
    <t>ZIÓŁKOWSKI MARCIN</t>
  </si>
  <si>
    <t>RYBANDT MARIUSZ</t>
  </si>
  <si>
    <t>GAIK PIOTR</t>
  </si>
  <si>
    <t>WALASIAK PAWEŁ</t>
  </si>
  <si>
    <t>STALICA ARTUR</t>
  </si>
  <si>
    <t>ŚLĘCZKOWSKI JACEK</t>
  </si>
  <si>
    <t>PŁAWSIUK WŁODZIMIERZ</t>
  </si>
  <si>
    <t>SKOWRON DARIUSZ</t>
  </si>
  <si>
    <t>SZWARCZYŃSKI TOMASZ</t>
  </si>
  <si>
    <t>MICHALSKI SŁAWOMIR</t>
  </si>
  <si>
    <t>STARNAWSKI KRZYSZTOF</t>
  </si>
  <si>
    <t>KALINOWSKI PIOTR</t>
  </si>
  <si>
    <t>STEIN ROMAN</t>
  </si>
  <si>
    <t>DOBOSZ TOMASZ</t>
  </si>
  <si>
    <t>GOŁYŹNIAK PAWEŁ</t>
  </si>
  <si>
    <t>STOPYRA KRZYSZTOF</t>
  </si>
  <si>
    <t>KOWALSKI KRZYSZTOF</t>
  </si>
  <si>
    <t>KORALEWSKI MACIEJ</t>
  </si>
  <si>
    <t>FELICH RADOSŁAW</t>
  </si>
  <si>
    <t>PRZYWÓSKI RAFAŁ</t>
  </si>
  <si>
    <t>OLSZEWSKI KRZYSZTOF</t>
  </si>
  <si>
    <t>SAŁATA ROMAN</t>
  </si>
  <si>
    <t>TERCKI KRZYSZTOF</t>
  </si>
  <si>
    <t>BUCZKOWSKI JANUSZ</t>
  </si>
  <si>
    <t>TOMULIK ANDRZEJ</t>
  </si>
  <si>
    <t>BUSZ ARTUR</t>
  </si>
  <si>
    <t>TOMERA SYLWESTER</t>
  </si>
  <si>
    <t>ROMANOWSKI MICHAŁ</t>
  </si>
  <si>
    <t>SZYDŁOWSKI EUGENIUSZ</t>
  </si>
  <si>
    <t>GRZESIAK KRZYSZTOF</t>
  </si>
  <si>
    <t>FILIPCZAK ŁUKASZ</t>
  </si>
  <si>
    <t>PIETRUSIEWICZ KATARZYNA</t>
  </si>
  <si>
    <t>KOŁAKOWSKI JAROSŁAW</t>
  </si>
  <si>
    <t>PARAKIEWICZ PAWEŁ</t>
  </si>
  <si>
    <t>FRANCZUK ROBERT</t>
  </si>
  <si>
    <t>KRAJNIK MIROSŁAW</t>
  </si>
  <si>
    <t>KRYNICKI WALDEMAR</t>
  </si>
  <si>
    <t>SOWA ROBERT</t>
  </si>
  <si>
    <t>CIEĆKO JAROSŁAW</t>
  </si>
  <si>
    <t>KOKOCIŃSKI GRZEGORZ</t>
  </si>
  <si>
    <t>KRASICKI PAWEŁ</t>
  </si>
  <si>
    <t>MATUSZCZYK TOMASZ</t>
  </si>
  <si>
    <t>BORUŃ MARCIN</t>
  </si>
  <si>
    <t>HOTLOŚ WOJCIECH</t>
  </si>
  <si>
    <t>KOLENKIEWICZ JACEK</t>
  </si>
  <si>
    <t>HAMERA MIROSŁAW</t>
  </si>
  <si>
    <t>OKOŃ DARIUSZ</t>
  </si>
  <si>
    <t>KREMIENOWSKI MAREK</t>
  </si>
  <si>
    <t>KOTARBA MARCIN</t>
  </si>
  <si>
    <t>BŁASZCZYK SŁAWOMIR</t>
  </si>
  <si>
    <t>KARBOWSKI ANDRZEJ</t>
  </si>
  <si>
    <t>JESIOR KRZYSZTOF</t>
  </si>
  <si>
    <t>BEKIELEWSKI DANIEL</t>
  </si>
  <si>
    <t>MODRZEJEWSKI OKTAWIUSZ</t>
  </si>
  <si>
    <t>SZCZEREK MICHAŁ</t>
  </si>
  <si>
    <t>PRZYCHOCKI DARIUSZ</t>
  </si>
  <si>
    <t>KULIG MARIUSZ</t>
  </si>
  <si>
    <t>CIEŚLIK MICHAŁ</t>
  </si>
  <si>
    <t>DREWNIAK ADAM</t>
  </si>
  <si>
    <t>RESZEL KRZYSZTOF</t>
  </si>
  <si>
    <t>BALEJKO KRZYSZTOF</t>
  </si>
  <si>
    <t>DĄBROWSKI MARCIN</t>
  </si>
  <si>
    <t>KULIG MARCIN</t>
  </si>
  <si>
    <t>SOŁTYS ROBERT</t>
  </si>
  <si>
    <t>KORALEWSKI ARKADIUSZ</t>
  </si>
  <si>
    <t>TYMIŃSKI PAWEŁ</t>
  </si>
  <si>
    <t>KAŹMIERCZAK MARIUSZ</t>
  </si>
  <si>
    <t>SINDREWICZ WIKTOR</t>
  </si>
  <si>
    <t>STACHOWIAK KRYSTIAN</t>
  </si>
  <si>
    <t>MOLOCIOS MICHAŁ</t>
  </si>
  <si>
    <t>NOWAK ADRIANA</t>
  </si>
  <si>
    <t>PIERZCHAŁA WIOLETTA</t>
  </si>
  <si>
    <t>GRASIEWICZ IWONA</t>
  </si>
  <si>
    <t>SULANOWSKA MARTA</t>
  </si>
  <si>
    <t>ŁAGOWSKI TOMASZ</t>
  </si>
  <si>
    <t>BOROWIEC KRZYSZTOF</t>
  </si>
  <si>
    <t>ROTMAN MATEUSZ</t>
  </si>
  <si>
    <t>SASNAL ADAM</t>
  </si>
  <si>
    <t>TADLA ROBERT</t>
  </si>
  <si>
    <t>JANECKI PIOTR</t>
  </si>
  <si>
    <t>DŻUGAJ MAREK</t>
  </si>
  <si>
    <t>ZIMNY PAWEŁ</t>
  </si>
  <si>
    <t>ADAMCZYK TOMASZ</t>
  </si>
  <si>
    <t>GĄSIOREK JAROSŁAW</t>
  </si>
  <si>
    <t>RAKOWSKI ALEKSY</t>
  </si>
  <si>
    <t>WALENTAS MARCIN</t>
  </si>
  <si>
    <t>NOWAK EMIL</t>
  </si>
  <si>
    <t>PIERZCHAŁA MARIUSZ</t>
  </si>
  <si>
    <t>LEWICKI MARIUSZ</t>
  </si>
  <si>
    <t>ZBIERSKI ZDZISŁAW</t>
  </si>
  <si>
    <t>STAWIARSKI DANIEL</t>
  </si>
  <si>
    <t>SAJEWICZ MARCIN</t>
  </si>
  <si>
    <t>KRUPA ADAM</t>
  </si>
  <si>
    <t>GAŁKA ADAM</t>
  </si>
  <si>
    <t>MARCISZAK MAŁGORZATA</t>
  </si>
  <si>
    <t>SŁOWIK-WALCZAK URSZULA</t>
  </si>
  <si>
    <t>BASZTURA JACEK</t>
  </si>
  <si>
    <t>KARLIŃSKI SŁAWOMIR</t>
  </si>
  <si>
    <t>BIEDRZYCKI MAREK</t>
  </si>
  <si>
    <t>ICIASZEK PIOTR</t>
  </si>
  <si>
    <t>PRZYBOROWSKI JAROSŁAW</t>
  </si>
  <si>
    <t>CHRĄCHOL MARIUSZ</t>
  </si>
  <si>
    <t>WOJCIECHOWSKI PRZEMYSŁAW</t>
  </si>
  <si>
    <t>KAWIŃSKI MARIUSZ</t>
  </si>
  <si>
    <t>FIJOREK ROBERT</t>
  </si>
  <si>
    <t>WOŹNIAK MARIUSZ</t>
  </si>
  <si>
    <t>PROKOP KRZYSZTOF</t>
  </si>
  <si>
    <t>DĄBROWICZ MICHAŁ</t>
  </si>
  <si>
    <t>PIWOWARSKI MIROSŁAW</t>
  </si>
  <si>
    <t>SOSNOWSKI PAWEŁ</t>
  </si>
  <si>
    <t>OTTO MARIUSZ</t>
  </si>
  <si>
    <t>KĘDZIA RAFAŁ</t>
  </si>
  <si>
    <t>GUŹDA ZBIGNIEW</t>
  </si>
  <si>
    <t>JAŁA JAROSŁAW</t>
  </si>
  <si>
    <t>BIEDROŃ MIROSŁAW</t>
  </si>
  <si>
    <t>FELINIAK GNIEWKO</t>
  </si>
  <si>
    <t>JASKÓLSKI IRENEUSZ</t>
  </si>
  <si>
    <t>KLEMENTOWSKI TOMASZ</t>
  </si>
  <si>
    <t>KMITA MARCIN</t>
  </si>
  <si>
    <t>KOGUT PAWEŁ</t>
  </si>
  <si>
    <t>KOTLIŃSKI PIOTR</t>
  </si>
  <si>
    <t>DUTKIEWICZ JOLANTA</t>
  </si>
  <si>
    <t>KRYGIER KRYSTIAN</t>
  </si>
  <si>
    <t>MISZTAL ADAM</t>
  </si>
  <si>
    <t>MOSZCZUK ROBERT</t>
  </si>
  <si>
    <t>NAWROCKI JAROSŁAW</t>
  </si>
  <si>
    <t>NOWOCZEK MACIEJ</t>
  </si>
  <si>
    <t>RAJCHERT KRZYSZTOF</t>
  </si>
  <si>
    <t>OSTROWSKA ZDZISŁAWA</t>
  </si>
  <si>
    <t>WALCZAK KRZYSZTOF</t>
  </si>
  <si>
    <t>ZGORZELSKI PAWEŁ</t>
  </si>
  <si>
    <t>POWIRSKI PAWEŁ</t>
  </si>
  <si>
    <t>ZASADA WOJCIECH</t>
  </si>
  <si>
    <t>AGACIAK PAWEŁ</t>
  </si>
  <si>
    <t>GŁODNY ANDRZEJ</t>
  </si>
  <si>
    <t>WOJDYŁA PRZEMYSŁAW</t>
  </si>
  <si>
    <t>JAŚKIEWICZ BARTOSZ</t>
  </si>
  <si>
    <t>KOMARNICKI JACEK</t>
  </si>
  <si>
    <t>MULARSKI ADAM</t>
  </si>
  <si>
    <t>STAŃKO MAREK</t>
  </si>
  <si>
    <t>CHOWAŃSKI RAFAŁ</t>
  </si>
  <si>
    <t>DRZEŻDŻON DARIUSZ</t>
  </si>
  <si>
    <t>SZAFRAŃSKI TOMASZ</t>
  </si>
  <si>
    <t>BOGUCKI PIOTR</t>
  </si>
  <si>
    <t>GRZESIK MARZENA</t>
  </si>
  <si>
    <t>KORALEWSKA AGNIESZKA</t>
  </si>
  <si>
    <t>SZAŁAS ADAM</t>
  </si>
  <si>
    <t>BORSUK MATEUSZ</t>
  </si>
  <si>
    <t>ZARÓWNY PAWEŁ</t>
  </si>
  <si>
    <t>PONIATOWSKI DARIUSZ</t>
  </si>
  <si>
    <t>WRÓBEL DARIUSZ</t>
  </si>
  <si>
    <t>SITKO AGNIESZKA</t>
  </si>
  <si>
    <t>GŁOGOWSKA MARZENA</t>
  </si>
  <si>
    <t>SZOJDA GRZEGORZ</t>
  </si>
  <si>
    <t>MIECHURSKI JACEK</t>
  </si>
  <si>
    <t>POPIOŁEK ŁUKASZ</t>
  </si>
  <si>
    <t>CIESIELSKI ROBERT</t>
  </si>
  <si>
    <t>SKORECKI JÓZEF</t>
  </si>
  <si>
    <t>BOROWIAK ALLAN</t>
  </si>
  <si>
    <t>BOGACZ DARIUSZ</t>
  </si>
  <si>
    <t>ŻŁOBICKI RAFAŁ</t>
  </si>
  <si>
    <t>KWIATOWSKI MAREK</t>
  </si>
  <si>
    <t>TALAR EDYTA</t>
  </si>
  <si>
    <t>MATCZAK PAWEŁ</t>
  </si>
  <si>
    <t>ADAMCZYK JAKUB</t>
  </si>
  <si>
    <t>KAMIŃSKI KRZYSZTOF</t>
  </si>
  <si>
    <t>GROCHOWSKI RAFAŁ</t>
  </si>
  <si>
    <t>SZYLAK MIROSŁAW</t>
  </si>
  <si>
    <t>ŁEPKOWSKI ARKADIUSZ</t>
  </si>
  <si>
    <t>DUDA RAFAŁ</t>
  </si>
  <si>
    <t>STACHOWIAK MARCIN</t>
  </si>
  <si>
    <t>KRAIŃSKI ROBERT</t>
  </si>
  <si>
    <t>SMOLARZ RYSZARD</t>
  </si>
  <si>
    <t>FORYŚ ZDZISŁAW</t>
  </si>
  <si>
    <t>RUTOWICZ ROBERT</t>
  </si>
  <si>
    <t>BIEŃKOWSKI ŁUKASZ</t>
  </si>
  <si>
    <t>BOBOWSKI JAROSŁAW</t>
  </si>
  <si>
    <t>BUDZIŃSKI KAMIL</t>
  </si>
  <si>
    <t>CHMIELNICKI JACEK</t>
  </si>
  <si>
    <t>CHRZANOWSKI JACEK</t>
  </si>
  <si>
    <t>CZARNECKI KRZYSZTOF</t>
  </si>
  <si>
    <t>DABIC MAREK</t>
  </si>
  <si>
    <t>HURKOT PIOTR</t>
  </si>
  <si>
    <t>KAPAŁA ADAM</t>
  </si>
  <si>
    <t>KARDASZ AGNIESZKA</t>
  </si>
  <si>
    <t>KASPERSKI SŁAWOMIR</t>
  </si>
  <si>
    <t>KLUPSZ KRZYSZTOF</t>
  </si>
  <si>
    <t>KNAPIK WOJCIECH</t>
  </si>
  <si>
    <t>KOWALCZYK ŁUKASZ</t>
  </si>
  <si>
    <t>KRUPIŃSKI WOJCIECH</t>
  </si>
  <si>
    <t>MAJCHROWICZ STANISŁAW</t>
  </si>
  <si>
    <t>MĄCZKOWSKI MARIUSZ</t>
  </si>
  <si>
    <t>MIODOWSKI JANUSZ</t>
  </si>
  <si>
    <t>NARONOWICZ TOMASZ</t>
  </si>
  <si>
    <t>NOREK ANDRZEJ</t>
  </si>
  <si>
    <t>NOWICKI ANDRZEJ</t>
  </si>
  <si>
    <t>OTRĘBA PRZEMYSŁAW</t>
  </si>
  <si>
    <t>PAWEŁKIEWICZ VIOLETTA</t>
  </si>
  <si>
    <t>PIEKARZEWICZ PIOTR</t>
  </si>
  <si>
    <t>ROSICKI MAREK</t>
  </si>
  <si>
    <t>SARMULEJNO EMIL</t>
  </si>
  <si>
    <t>KARAMON DOROTA</t>
  </si>
  <si>
    <t>TRÓLKA JAKUB</t>
  </si>
  <si>
    <t>WIDZISZEWSKI PAWEŁ</t>
  </si>
  <si>
    <t>WOŹNIAK MATEUSZ</t>
  </si>
  <si>
    <t>WYSOCKI ARTUR</t>
  </si>
  <si>
    <t>ZAKRAWACZ GRZEGORZ</t>
  </si>
  <si>
    <t>ŁOŚ RAFAŁ</t>
  </si>
  <si>
    <t>JANCZURA PIOTR</t>
  </si>
  <si>
    <t>TOMCZYK DOROTA</t>
  </si>
  <si>
    <t>OLSZEWSKI TOMASZ</t>
  </si>
  <si>
    <t>PYTEL ŁUKASZ</t>
  </si>
  <si>
    <t>JÓŹWIAK PAWEŁ</t>
  </si>
  <si>
    <t>KOGUT RADOSŁAW</t>
  </si>
  <si>
    <t>WASILEWSKI ROMAN</t>
  </si>
  <si>
    <t>FINTZEL DANIEL</t>
  </si>
  <si>
    <t>PYRDOŁ PIOTR</t>
  </si>
  <si>
    <t>CHRYSZCZANOWICZ BOGDAN</t>
  </si>
  <si>
    <t>NOSAL WOJCIECH</t>
  </si>
  <si>
    <t>ZGORZELSKA BARBARA</t>
  </si>
  <si>
    <t>FELINIAK SYLWIA</t>
  </si>
  <si>
    <t>DOMAGAŁA JAKUB</t>
  </si>
  <si>
    <t>BITRYCKI RAFAŁ</t>
  </si>
  <si>
    <t>SZNER MARIUSZ</t>
  </si>
  <si>
    <t>KAROLAK DAMIAN</t>
  </si>
  <si>
    <t>CZUCZUK KATARZYNA</t>
  </si>
  <si>
    <t>TASIOR KRZYSZTOF</t>
  </si>
  <si>
    <t>SKARBIŃSKA ANGELIKA</t>
  </si>
  <si>
    <t>SZEWCZYK DARIUSZ</t>
  </si>
  <si>
    <t>ZARZECKI PIOTR</t>
  </si>
  <si>
    <t>KLIMEK PAWEŁ</t>
  </si>
  <si>
    <t>MALĄG DARIUSZ</t>
  </si>
  <si>
    <t>WINNICKI SŁAWOMIR</t>
  </si>
  <si>
    <t>DYBKA BOGUSŁAW</t>
  </si>
  <si>
    <t>BONISŁAWSKA-MICHAŁEK EMILIA</t>
  </si>
  <si>
    <t>WÓJTOWICZ RYSZARD</t>
  </si>
  <si>
    <t>BANIA WIOLETA</t>
  </si>
  <si>
    <t>ŚWIDER MAREK</t>
  </si>
  <si>
    <t>TROJAN ANDRZEJ</t>
  </si>
  <si>
    <t>BINKIEWICZ GRZEGORZ</t>
  </si>
  <si>
    <t>DZIUBAŁKA DAMIAN</t>
  </si>
  <si>
    <t>BLOCH PAWEŁ</t>
  </si>
  <si>
    <t>KAZIMIERSKI SŁAWOMIR</t>
  </si>
  <si>
    <t>MERWART PIOTR</t>
  </si>
  <si>
    <t>SOKULSKI PAWEŁ</t>
  </si>
  <si>
    <t>CHRYPLEWICZ KRZYSZTOF</t>
  </si>
  <si>
    <t>MACNIAK PIOTR</t>
  </si>
  <si>
    <t>MAŃCZAK MARCIN</t>
  </si>
  <si>
    <t>POPOWNIAK MARCIN</t>
  </si>
  <si>
    <t>BOROWSKI MAREK</t>
  </si>
  <si>
    <t>KOŁODZIEJ ANDRZEJ</t>
  </si>
  <si>
    <t>LENC KRZYSZTOF</t>
  </si>
  <si>
    <t>CABAŁA WIESŁAW</t>
  </si>
  <si>
    <t>BIELAKIEWICZ SŁAWOMIR</t>
  </si>
  <si>
    <t>RYCHLICKI MACIEJ</t>
  </si>
  <si>
    <t>ADAMCZYK MARCIN</t>
  </si>
  <si>
    <t>KUŹMA ROBERT</t>
  </si>
  <si>
    <t>RYKOWSKI ŁUKASZ</t>
  </si>
  <si>
    <t>SZYMANEK TOMASZ</t>
  </si>
  <si>
    <t>STAWSKI JAKUB</t>
  </si>
  <si>
    <t>MĄCZKOWSKA BEATA</t>
  </si>
  <si>
    <t>CHEŁMINIAK ERYK</t>
  </si>
  <si>
    <t>MACIOŁEK JAROSŁAW</t>
  </si>
  <si>
    <t>GENDERA ANETA</t>
  </si>
  <si>
    <t>KOMAR EWA</t>
  </si>
  <si>
    <t>LIS AGNIESZKA</t>
  </si>
  <si>
    <t>KOT EMILIA</t>
  </si>
  <si>
    <t>STEMPCZYŃSKI MARIUSZ</t>
  </si>
  <si>
    <t>SIWEK JÓZEFA</t>
  </si>
  <si>
    <t>LECYK ALEKSANDER</t>
  </si>
  <si>
    <t>CHMIEL SEBASTIAN</t>
  </si>
  <si>
    <t>IWANICKI JAROSŁAW</t>
  </si>
  <si>
    <t>KRZEŚLAK ZOFIA</t>
  </si>
  <si>
    <t>SZCZYGIEŁ MAREK</t>
  </si>
  <si>
    <t>ZBOŃKOWSKI GRZEGORZ</t>
  </si>
  <si>
    <t>KŁOS ADAM</t>
  </si>
  <si>
    <t>KACZANOWSKI JAROSŁAW</t>
  </si>
  <si>
    <t>RZECZYCKI ROBERT</t>
  </si>
  <si>
    <t>GRUSZECKI GRZEGORZ</t>
  </si>
  <si>
    <t>FLADER AGNIESZKA</t>
  </si>
  <si>
    <t>MALCHROWICZ JACEK</t>
  </si>
  <si>
    <t>ROGOWSKI SEBASTIAN</t>
  </si>
  <si>
    <t>PACOŃ ROBERT</t>
  </si>
  <si>
    <t>KSIĄŻEK ELŻBIETA</t>
  </si>
  <si>
    <t>JANIK LARYSA</t>
  </si>
  <si>
    <t>PSUTA MARCIN</t>
  </si>
  <si>
    <t>KULIK SŁAWOMIR</t>
  </si>
  <si>
    <t>MŁOTKOWSKA ANETA</t>
  </si>
  <si>
    <t>BEDNAREK RADOSŁAW</t>
  </si>
  <si>
    <t>PRUC MARCIN</t>
  </si>
  <si>
    <t>CYMBAŁKO MARIUSZ</t>
  </si>
  <si>
    <t>BISKOWSKI GRZEGORZ</t>
  </si>
  <si>
    <t>KUKLIŃSKA AGNIESZKA</t>
  </si>
  <si>
    <t>ROGOWSKI TOMASZ</t>
  </si>
  <si>
    <t>BOGDAN RADOSŁAW</t>
  </si>
  <si>
    <t>GŁOWACKI DAMIAN</t>
  </si>
  <si>
    <t>BASIŃSKA IWONA</t>
  </si>
  <si>
    <t>HUSAKIEWICZ ROBERT</t>
  </si>
  <si>
    <t>FRYDRYK MARIUSZ</t>
  </si>
  <si>
    <t>ZAWROTNIK AGNIESZKA</t>
  </si>
  <si>
    <t>KRZYSKO TOMASZ</t>
  </si>
  <si>
    <t>WILK MIROSŁAW</t>
  </si>
  <si>
    <t>JURKIEWICZ TOMASZ</t>
  </si>
  <si>
    <t>SOBCZAK MAREK</t>
  </si>
  <si>
    <t>MAZGIS-WIDZISZEWSKA AGNIESZKA</t>
  </si>
  <si>
    <t>NAGIĘĆ MAŁGORZATA</t>
  </si>
  <si>
    <t>ŁĄG ADAM</t>
  </si>
  <si>
    <t>JĘCZMIEŃ WIKTOR</t>
  </si>
  <si>
    <t>PODLIŃSKI GRZEGORZ</t>
  </si>
  <si>
    <t>NOWAK WŁODZIMIERZ</t>
  </si>
  <si>
    <t>CEBULA ANETA</t>
  </si>
  <si>
    <t>SOMPOLSKA KATARZYNA</t>
  </si>
  <si>
    <t>MACIOŁEK ANNA</t>
  </si>
  <si>
    <t>GAJEWSKI SŁAWOMIR</t>
  </si>
  <si>
    <t>JANICKI JAROSŁAW</t>
  </si>
  <si>
    <t>KUDOŃ WOJCIECH</t>
  </si>
  <si>
    <t>SKOWROŃSKI PIOTR</t>
  </si>
  <si>
    <t>RACZYŃSKI ARTUR</t>
  </si>
  <si>
    <t>WRONA BEATA</t>
  </si>
  <si>
    <t>ŚLIPEK DARIUSZ</t>
  </si>
  <si>
    <t>FILIPCZUK PIOTR</t>
  </si>
  <si>
    <t>DUTKIEWICZ MONIKA</t>
  </si>
  <si>
    <t>GŁODO MONIKA</t>
  </si>
  <si>
    <t>PŁOWIEC MARCIN</t>
  </si>
  <si>
    <t>SPUREK MARIUSZ</t>
  </si>
  <si>
    <t>JANEK OSCAR</t>
  </si>
  <si>
    <t>FULBISZEWSKI MARCIN</t>
  </si>
  <si>
    <t>NICIARZ MARCIN</t>
  </si>
  <si>
    <t>MAZIAKOWSKI TOMASZ</t>
  </si>
  <si>
    <t>URBAŃCZYK MICHAŁ</t>
  </si>
  <si>
    <t>KOPEĆ JAROMIR</t>
  </si>
  <si>
    <t>GRYNDYS PAWEŁ</t>
  </si>
  <si>
    <t>PONIATOWSKI TOMASZ</t>
  </si>
  <si>
    <t>PIOTROWSKI ANDRZEJ</t>
  </si>
  <si>
    <t>WIZNEROWICZ KRZYSZTOF</t>
  </si>
  <si>
    <t>JANIAK ADAM</t>
  </si>
  <si>
    <t>LASOTA MARIUSZ</t>
  </si>
  <si>
    <t>IGIELSKI PAWEŁ</t>
  </si>
  <si>
    <t>KACZYŃSKI DAWID</t>
  </si>
  <si>
    <t>CIESIELSKI ŁUKASZ</t>
  </si>
  <si>
    <t>SMYK MARCIN</t>
  </si>
  <si>
    <t>BIENIEK ANDRZEJ</t>
  </si>
  <si>
    <t>JEKA GRZEGORZ</t>
  </si>
  <si>
    <t>JÓŹWIAKOWSKI MICHAŁ</t>
  </si>
  <si>
    <t>LEWANDOWSKI MICHAŁ</t>
  </si>
  <si>
    <t>MĄDRZYK ROBERT</t>
  </si>
  <si>
    <t>ORŁOWSKI TADEUSZ</t>
  </si>
  <si>
    <t>PASKA KRZYSZTOF</t>
  </si>
  <si>
    <t>ROSIEK ADAM</t>
  </si>
  <si>
    <t>ZALEWSKI DARIUSZ</t>
  </si>
  <si>
    <t>BUZAR ROBERT</t>
  </si>
  <si>
    <t>CHARBUCIŃSKI DAMIAN</t>
  </si>
  <si>
    <t>CIERNIAK TOMASZ</t>
  </si>
  <si>
    <t>CIESZOWIC WITOLD</t>
  </si>
  <si>
    <t>DUDZIŃSKI ROMAN</t>
  </si>
  <si>
    <t>GNIATKOWSKI RYSZARD</t>
  </si>
  <si>
    <t>KOKOSZKA ROBERT</t>
  </si>
  <si>
    <t>KRÓLICKI MARIUSZ</t>
  </si>
  <si>
    <t>KUPNIEWSKI KAZIMIERZ</t>
  </si>
  <si>
    <t>KUREK JACEK</t>
  </si>
  <si>
    <t>MIKOŁAJCZAK JANUSZ</t>
  </si>
  <si>
    <t>PŁOCHACKI RAFAŁ</t>
  </si>
  <si>
    <t>RAK GRZEGORZ</t>
  </si>
  <si>
    <t>ROGALSKI KRZYSZTOF</t>
  </si>
  <si>
    <t>SERWIN RADOSŁAW</t>
  </si>
  <si>
    <t>SOROKA PAWEŁ</t>
  </si>
  <si>
    <t>SULIBORSKI TYMOTEUSZ</t>
  </si>
  <si>
    <t>BRANCZEL KRZYSZTOF</t>
  </si>
  <si>
    <t>DEMARC KRZYSZTOF</t>
  </si>
  <si>
    <t>KRUPA ANDRZEJ</t>
  </si>
  <si>
    <t>PERTEK ANDRZEJ</t>
  </si>
  <si>
    <t>BURY KRYSTIAN</t>
  </si>
  <si>
    <t>MYSIAKOWSKI PIOTR</t>
  </si>
  <si>
    <t>ŻUG MARIUSZ</t>
  </si>
  <si>
    <t>KOZIOŁ ROBERT</t>
  </si>
  <si>
    <t>KUŹMIŃSKI ŁUKASZ</t>
  </si>
  <si>
    <t>SOBOLEWSKI PAWEŁ</t>
  </si>
  <si>
    <t>STRZELECKI TADEUSZ</t>
  </si>
  <si>
    <t>ZAJĄC SŁAWOMIR</t>
  </si>
  <si>
    <t>HOŁYSZ MICHAŁ</t>
  </si>
  <si>
    <t>GÓRNIAK KAMIL</t>
  </si>
  <si>
    <t>GUNIA DARIUSZ</t>
  </si>
  <si>
    <t>LEŚNIEWSKI ADRIAN</t>
  </si>
  <si>
    <t>POCHANKE MICHAŁ</t>
  </si>
  <si>
    <t>SZYMAŃSKI TOMASZ</t>
  </si>
  <si>
    <t>ANTONIAK MAREK</t>
  </si>
  <si>
    <t>BIENIEK DARIUSZ</t>
  </si>
  <si>
    <t>DZIEWIÓR MAREK</t>
  </si>
  <si>
    <t>KRZYŻAŃSKI ARTUR</t>
  </si>
  <si>
    <t>RAFTOULIS JORGOS</t>
  </si>
  <si>
    <t>LIPSKI TOMASZ</t>
  </si>
  <si>
    <t>TRAWCZYŃSKI PAWEŁ</t>
  </si>
  <si>
    <t>CHINIEWICZ KRZYSZTOF</t>
  </si>
  <si>
    <t>JANC ROBERT</t>
  </si>
  <si>
    <t>SOŁTYS KRZYSZTOF</t>
  </si>
  <si>
    <t>KUBIS PAWEŁ</t>
  </si>
  <si>
    <t>NOGAJCZYK ŁUKASZ</t>
  </si>
  <si>
    <t>PAWLAK ADRIAN</t>
  </si>
  <si>
    <t>WAWROWSKI PRZEMYSŁAW</t>
  </si>
  <si>
    <t>ZAWADZKI ROBERT</t>
  </si>
  <si>
    <t>WÓJCIK TOMASZ</t>
  </si>
  <si>
    <t>JANKOWSKI PAWEŁ</t>
  </si>
  <si>
    <t>BADURA ŁUKASZ</t>
  </si>
  <si>
    <t>CZOBODZIŃSKI ARTUR</t>
  </si>
  <si>
    <t>BAGAZJA LUCYNA</t>
  </si>
  <si>
    <t>SKRZYPCZAK KRZYSZTOF</t>
  </si>
  <si>
    <t>CZEPIELEWICZ ŁUKASZ</t>
  </si>
  <si>
    <t>GĄSIOREK IRENEUSZ</t>
  </si>
  <si>
    <t>ADAMCZYK MAŁGORZATA</t>
  </si>
  <si>
    <t>POTRZEBOWSKI MATEUSZ</t>
  </si>
  <si>
    <t>SZWARCZYŃSKA MONIKA</t>
  </si>
  <si>
    <t>CIESZOWIC ANDRZEJ</t>
  </si>
  <si>
    <t>WAŁĘGA PAULINA</t>
  </si>
  <si>
    <t>KALUKIN SEBASTIAN</t>
  </si>
  <si>
    <t>NAWROCKI PAWEŁ</t>
  </si>
  <si>
    <t>NOWICKA MARZENA</t>
  </si>
  <si>
    <t>PUCIŁOWSKI KRZYSZTOF</t>
  </si>
  <si>
    <t>SZELUGA MARIUSZ</t>
  </si>
  <si>
    <t>BIENIEK MICHAŁ</t>
  </si>
  <si>
    <t>MAGRYTA ARTUR</t>
  </si>
  <si>
    <t>SACHAREWICZ ANDRZEJ</t>
  </si>
  <si>
    <t>BEDNARSKA GRAŻYNA</t>
  </si>
  <si>
    <t>BARANOWSKI ADAM</t>
  </si>
  <si>
    <t>GOLASIŃSKI ŁUKASZ</t>
  </si>
  <si>
    <t>MAGREL AGNIESZKA</t>
  </si>
  <si>
    <t>MROZIŃSKA IWONA</t>
  </si>
  <si>
    <t>FELINIAK MAŁGORZATA</t>
  </si>
  <si>
    <t>DUNIEC WOJCIECH</t>
  </si>
  <si>
    <t>RUDYJ DARIUSZ</t>
  </si>
  <si>
    <t>SERAFIN RADOSŁAW</t>
  </si>
  <si>
    <t>CECHNICKI KAMIL</t>
  </si>
  <si>
    <t>KUŹNIACKA AGNIESZKA</t>
  </si>
  <si>
    <t>GÓRALCZYK MAŁGORZATA</t>
  </si>
  <si>
    <t>KOZAK RAFAŁ</t>
  </si>
  <si>
    <t>KUBOSZEK KRZYSZTOF</t>
  </si>
  <si>
    <t>NIEMIERSKI KRZYSZTOF</t>
  </si>
  <si>
    <t>OGRODNIK MAGDALENA</t>
  </si>
  <si>
    <t>PUŻAŃSKI KAMIL</t>
  </si>
  <si>
    <t>SZCZĘSNY MICHAŁ</t>
  </si>
  <si>
    <t>DUNIEC ANNA</t>
  </si>
  <si>
    <t>KRUSZYŃSKI BARTŁOMIEJ</t>
  </si>
  <si>
    <t>KUNICKA MAGDALENA</t>
  </si>
  <si>
    <t>MAKOWIAK MARCIN</t>
  </si>
  <si>
    <t>PAWLIKOWSKI PAWEŁ</t>
  </si>
  <si>
    <t>FORYŚ KATARZYNA</t>
  </si>
  <si>
    <t>SŁOWIŃSKA-KOCIUMBAS OLGA</t>
  </si>
  <si>
    <t>SOCZAWA MARCIN</t>
  </si>
  <si>
    <t>ZWOLIŃSKI MARCIN</t>
  </si>
  <si>
    <t>GOŁĘBIOWSKA ANNA</t>
  </si>
  <si>
    <t>WOJTOWICZ WIESŁAW</t>
  </si>
  <si>
    <t>ANTONOW SEBASTIAN</t>
  </si>
  <si>
    <t>BEŁZAK ANNA</t>
  </si>
  <si>
    <t>CHŁODNICKA ANNA</t>
  </si>
  <si>
    <t>CZARNECKA GRAŻYNA</t>
  </si>
  <si>
    <t>FALKENBERG PAWEŁ</t>
  </si>
  <si>
    <t>GRABOWSKI MARIUSZ</t>
  </si>
  <si>
    <t>ILING WIOLETA</t>
  </si>
  <si>
    <t>IWANOWSKI DARIUSZ</t>
  </si>
  <si>
    <t>JANKOWSKA MAŁGORZATA</t>
  </si>
  <si>
    <t>IDZIK KATARZYNA</t>
  </si>
  <si>
    <t>KRAWCZYSZYN MICHAŁ</t>
  </si>
  <si>
    <t>KRZYNÓWEK WOJCIECH</t>
  </si>
  <si>
    <t>LEWANDOWSKI RAFAŁ</t>
  </si>
  <si>
    <t>ŁĘGOWSKA MARIA</t>
  </si>
  <si>
    <t>MICHNICKI MARCIN</t>
  </si>
  <si>
    <t>MIERZCHAŁA IRENEUSZ</t>
  </si>
  <si>
    <t>MIKA WOJCIECH</t>
  </si>
  <si>
    <t>MŁOT ŁUKASZ</t>
  </si>
  <si>
    <t>MORUŚ-ADAMEK MARIOLA</t>
  </si>
  <si>
    <t>PRZYBYLSKA MAGDALENA</t>
  </si>
  <si>
    <t>NOWAK ELŻBIETA</t>
  </si>
  <si>
    <t>ORŁOWSKI RAFAŁ</t>
  </si>
  <si>
    <t>OTTO TOMASZ</t>
  </si>
  <si>
    <t>PAŚKO WOJCIECH</t>
  </si>
  <si>
    <t>PIERZCHNIAK JOLANTA</t>
  </si>
  <si>
    <t>SKRZYPCZAK MAŁGORZATA</t>
  </si>
  <si>
    <t>PIOTROWSKA EWA</t>
  </si>
  <si>
    <t>SZOPA EWA</t>
  </si>
  <si>
    <t>PUĆ KRZYSZTOF</t>
  </si>
  <si>
    <t>ROSTKOWSKA DOROTA</t>
  </si>
  <si>
    <t>SIEMICKI PAWEŁ</t>
  </si>
  <si>
    <t>SKALNY AGNIESZKA</t>
  </si>
  <si>
    <t>SUROWIEC ADAM</t>
  </si>
  <si>
    <t>SUSZEK PIOTR</t>
  </si>
  <si>
    <t>SZYMKOWIAK ŁUKASZ</t>
  </si>
  <si>
    <t>ŚWIĘTANOWSKI PIOTR</t>
  </si>
  <si>
    <t>NAZARKIEWICZ TOMASZ</t>
  </si>
  <si>
    <t>BAŃKA MAGDALENA</t>
  </si>
  <si>
    <t>WRÓBLEWSKA MARIA</t>
  </si>
  <si>
    <t>ZAGÓRSKA ANETA</t>
  </si>
  <si>
    <t>ZAWADZKI RAFAŁ</t>
  </si>
  <si>
    <t>SKÓRA TOMASZ</t>
  </si>
  <si>
    <t>SZYMCZYK MARIUSZ</t>
  </si>
  <si>
    <t>BALCERZAK RYSZARD</t>
  </si>
  <si>
    <t>ANDRZEJASZEK GRZEGORZ</t>
  </si>
  <si>
    <t>GOLIŃSKA AGNIESZKA</t>
  </si>
  <si>
    <t>PŁAWNY DOMINIK</t>
  </si>
  <si>
    <t>SZARZYŃSKI DAMIAN</t>
  </si>
  <si>
    <t>MINCER MARCIN</t>
  </si>
  <si>
    <t>NOGAWKA MAŁGORZATA</t>
  </si>
  <si>
    <t>OGRODNIK MICHAŁ</t>
  </si>
  <si>
    <t>RUMIŃSKI MICHAŁ</t>
  </si>
  <si>
    <t>GAWLICKI MARCIN</t>
  </si>
  <si>
    <t>JAROŃ VIOLETTA</t>
  </si>
  <si>
    <t>MATUSIAK AGNIESZKA</t>
  </si>
  <si>
    <t>ORŁOWSKA KATARZYNA</t>
  </si>
  <si>
    <t>KOZAK GRZEGORZ</t>
  </si>
  <si>
    <t>KURIATA EDYTA</t>
  </si>
  <si>
    <t>PŁASZCZYŃSKI TOMASZ</t>
  </si>
  <si>
    <t>GOLEŃ JERZY</t>
  </si>
  <si>
    <t>PIĄTEK ŁUKASZ</t>
  </si>
  <si>
    <t>SZYMKOWSKI JACEK</t>
  </si>
  <si>
    <t>OPALA JUSTYNA</t>
  </si>
  <si>
    <t>BRĄCZKOWSKI KRZYSZTOF</t>
  </si>
  <si>
    <t>CHAK RADOSŁAW</t>
  </si>
  <si>
    <t>ĆWIK SYLWESTER</t>
  </si>
  <si>
    <t>FRYZOWICZ ADAM</t>
  </si>
  <si>
    <t>HRABIA PAWEŁ</t>
  </si>
  <si>
    <t>MARTYNÓW JUSTYNA</t>
  </si>
  <si>
    <t>KAŹMIERCZAK DARIUSZ</t>
  </si>
  <si>
    <t>KIEŁBASA MATEUSZ</t>
  </si>
  <si>
    <t>KRAŻEWSKI JAROSŁAW</t>
  </si>
  <si>
    <t>MAZGAJ MARIUSZ</t>
  </si>
  <si>
    <t>OKRZESIK RAFAŁ</t>
  </si>
  <si>
    <t>WĘGRZYNOWSKI PAWEŁ</t>
  </si>
  <si>
    <t>ZUBRZYCKI MAREK</t>
  </si>
  <si>
    <t>TIETZ ANETA</t>
  </si>
  <si>
    <t>TATUŚKO RAFAŁ</t>
  </si>
  <si>
    <t>WABICH JAROSŁAW</t>
  </si>
  <si>
    <t>MAŚLUSZCZAK DANIEL</t>
  </si>
  <si>
    <t>BILIŃSKA ANETA</t>
  </si>
  <si>
    <t>MACAŁA MARIUSZ</t>
  </si>
  <si>
    <t>SITKO CZESŁAW</t>
  </si>
  <si>
    <t>SUŁKOWSKI SEBASTIAN</t>
  </si>
  <si>
    <t>KWIATKOWSKA IWONA</t>
  </si>
  <si>
    <t>JONAK MAREK</t>
  </si>
  <si>
    <t>KUBIŃSKI ROBERT</t>
  </si>
  <si>
    <t>KUNICZUK ANNA</t>
  </si>
  <si>
    <t>ŁUBIŃSKI RAFAŁ</t>
  </si>
  <si>
    <t>TOPA PIOTR</t>
  </si>
  <si>
    <t>IWANOWSKA MARTA</t>
  </si>
  <si>
    <t>ŻYDOWICZ ŁUKASZ</t>
  </si>
  <si>
    <t>NOWICKI PRZEMYSŁAW</t>
  </si>
  <si>
    <t>KUŚ GRZEGORZ</t>
  </si>
  <si>
    <t>JURKOWSKA KATARZYNA</t>
  </si>
  <si>
    <t>CIEŚLIK MARIUSZ</t>
  </si>
  <si>
    <t>ZIOMEK MAREK</t>
  </si>
  <si>
    <t>BLITEK-IWULSKA BARBARA</t>
  </si>
  <si>
    <t>ZIEJA KATARZYNA</t>
  </si>
  <si>
    <t>DĄBROWSKI SEBASTIAN</t>
  </si>
  <si>
    <t>LEGAWIEC TOMASZ</t>
  </si>
  <si>
    <t>SUCHAN TOMASZ</t>
  </si>
  <si>
    <t>NOWAK KRYSTIAN</t>
  </si>
  <si>
    <t>KUROWSKA MAŁGORZATA</t>
  </si>
  <si>
    <t>DĘBEK EDYTA</t>
  </si>
  <si>
    <t>LASKOWSKA AGATA</t>
  </si>
  <si>
    <t>ROZPENDOWSKA DOROTA</t>
  </si>
  <si>
    <t>JANKOWICZ AGNIESZKA</t>
  </si>
  <si>
    <t>ŁODYGA SABINA</t>
  </si>
  <si>
    <t>LISOWSKI PAWEŁ</t>
  </si>
  <si>
    <t>OCET URSZULA</t>
  </si>
  <si>
    <t>NOWAK GRZEGORZ</t>
  </si>
  <si>
    <t>ZAWISZA KRZYSZTOF</t>
  </si>
  <si>
    <t>CIUŁA NATALIA</t>
  </si>
  <si>
    <t>ŚLEPOKURA PIOTR</t>
  </si>
  <si>
    <t>PRZYBYLSKA JOANNA</t>
  </si>
  <si>
    <t>TRZASKOWSKI WŁADYSŁAW</t>
  </si>
  <si>
    <t>CHROSTEK JACEK</t>
  </si>
  <si>
    <t>KOZŁOWSKI JAROSŁAW</t>
  </si>
  <si>
    <t>ORDECKI ZENON</t>
  </si>
  <si>
    <t>RAGAN JOANNA</t>
  </si>
  <si>
    <t>WIJAS MARCIN</t>
  </si>
  <si>
    <t>WOJNICZ ROBERT</t>
  </si>
  <si>
    <t>ZDRAL JAROSŁAW</t>
  </si>
  <si>
    <t>PODBIELSKI DAWID</t>
  </si>
  <si>
    <t>TATAREK ILONA</t>
  </si>
  <si>
    <t>STANKIEWICZ JAROS MAGDALENA</t>
  </si>
  <si>
    <t>SKRZYPCZAK KAROLINA</t>
  </si>
  <si>
    <t>GAŁA KATARZYNA</t>
  </si>
  <si>
    <t>PASIECZNY ZBIGNIEW</t>
  </si>
  <si>
    <t>SINDREWICZ PAWEŁ</t>
  </si>
  <si>
    <t>KARWACKI JAKUB</t>
  </si>
  <si>
    <t>SWĘDZIOŁ KRZYSZTOF</t>
  </si>
  <si>
    <t>CZADO JOLANTA</t>
  </si>
  <si>
    <t>GATTNER PRZEMYSŁAW</t>
  </si>
  <si>
    <t>MITULSKA NIKOLA</t>
  </si>
  <si>
    <t>KIEŁB TOMASZ</t>
  </si>
  <si>
    <t>PATYK MONIKA</t>
  </si>
  <si>
    <t>BIENIEK DOMINIK</t>
  </si>
  <si>
    <t>CZEMARNIK JOANNA</t>
  </si>
  <si>
    <t>KOKOCIŃSKI DARIUSZ</t>
  </si>
  <si>
    <t>BAŁOS MARCELINA</t>
  </si>
  <si>
    <t>MAGREL KRZYSZTOF</t>
  </si>
  <si>
    <t>BALICKI MICHAŁ</t>
  </si>
  <si>
    <t>WASYLIK MATEUSZ</t>
  </si>
  <si>
    <t>RUTKOWSKI PIOTR</t>
  </si>
  <si>
    <t>ALETOROWICZ ADRIANA</t>
  </si>
  <si>
    <t>ŚMIGOWSKA SYLWIA</t>
  </si>
  <si>
    <t>LUDKIEWICZ TOMASZ</t>
  </si>
  <si>
    <t>MNISZEK MACIEJ</t>
  </si>
  <si>
    <t>DASZKIEWICZ PIOTR</t>
  </si>
  <si>
    <t>WALENDZIK MARCIN</t>
  </si>
  <si>
    <t>SADZIK BARTOSZ</t>
  </si>
  <si>
    <t>SŁABOŃ DOMINIKA</t>
  </si>
  <si>
    <t>KULIŚ ANDRZEJ</t>
  </si>
  <si>
    <t>RUDNICKA ANNA</t>
  </si>
  <si>
    <t>LASKOWSKI EDWARD</t>
  </si>
  <si>
    <t>URBAŃSKI MARCIN</t>
  </si>
  <si>
    <t>TWARDOWSKI TOMASZ</t>
  </si>
  <si>
    <t>TRAPP KRZYSZTOF</t>
  </si>
  <si>
    <t>JAKUBANIS MARIOLA</t>
  </si>
  <si>
    <t>ŚWIERŻEWSKA DOROTA</t>
  </si>
  <si>
    <t>KANIA KRZYSZTOF</t>
  </si>
  <si>
    <t>JURCZYŃSKI ŁUKASZ</t>
  </si>
  <si>
    <t>MARGIELEWSKI KRZYSZTOF</t>
  </si>
  <si>
    <t>DUDA IWONA</t>
  </si>
  <si>
    <t>KWIECIEŃ AGNIESZKA</t>
  </si>
  <si>
    <t>LECHNIO ZBIGNIEW</t>
  </si>
  <si>
    <t>WICHA MARIUSZ</t>
  </si>
  <si>
    <t>PASTUSZAK EWA</t>
  </si>
  <si>
    <t>MAJKA KAROL</t>
  </si>
  <si>
    <t>JAGIELSKI MARIUSZ</t>
  </si>
  <si>
    <t>GLAZIK WOJCIECH</t>
  </si>
  <si>
    <t>MROZIŃSKA JUSTYNA</t>
  </si>
  <si>
    <t>HAŁUBEK BEATA</t>
  </si>
  <si>
    <t>KOTKOWSKA JUSTYNA</t>
  </si>
  <si>
    <t>ZIMNA ELŻBIETA</t>
  </si>
  <si>
    <t>KOWALSKA ANETA</t>
  </si>
  <si>
    <t>PIECUCH KRZYSZTOF</t>
  </si>
  <si>
    <t>SĘK DOROTA</t>
  </si>
  <si>
    <t>SZYMCZYK JOANNA</t>
  </si>
  <si>
    <t>MNISZEK DAWID</t>
  </si>
  <si>
    <t>RYMAROWICZ MARCIN</t>
  </si>
  <si>
    <t>SOŁTYSIK MAGDALENA</t>
  </si>
  <si>
    <t>WIŚNIEWSKI MICHAŁ</t>
  </si>
  <si>
    <t>LORENZ PIOTR</t>
  </si>
  <si>
    <t>SKRZYPEK MAŁGORZATA</t>
  </si>
  <si>
    <t>ĆMIKIEWICZ ZDZISŁAW</t>
  </si>
  <si>
    <t>KULANEK BARTŁOMIEJ</t>
  </si>
  <si>
    <t>KOCH IRENEUSZ</t>
  </si>
  <si>
    <t>SZOT BOGDAN</t>
  </si>
  <si>
    <t>REGDOSZ ERIK</t>
  </si>
  <si>
    <t>KORNATOWSKI DAMIAN</t>
  </si>
  <si>
    <t>GAJCOWSKA MAŁGORZATA</t>
  </si>
  <si>
    <t>DZIEDZIC MAGDALENA</t>
  </si>
  <si>
    <t>KĘDZIERSKI MICHAŁ</t>
  </si>
  <si>
    <t>MYSZKOWSKI ADRIAN</t>
  </si>
  <si>
    <t>HEKSEL MARTA</t>
  </si>
  <si>
    <t>WARYCH MATEUSZ</t>
  </si>
  <si>
    <t>TÓRZ DOROTA</t>
  </si>
  <si>
    <t>SĘK SZYMON</t>
  </si>
  <si>
    <t>MRUK-EFTHYMIOU DOMINIKA</t>
  </si>
  <si>
    <t>NARONOWICZ DOMINIKA</t>
  </si>
  <si>
    <t>DOMINIAK ANETA</t>
  </si>
  <si>
    <t>ZIMNA ANNA</t>
  </si>
  <si>
    <t>FABIAŃSKI KAMIL</t>
  </si>
  <si>
    <t>RYCHEL ANNA</t>
  </si>
  <si>
    <t>ŻUCHOWSKA ANNA</t>
  </si>
  <si>
    <t>KORNECKA MAŁGORZATA</t>
  </si>
  <si>
    <t>PENA IDONES</t>
  </si>
  <si>
    <t>BARANOWSKA KATARZYNA</t>
  </si>
  <si>
    <t>KALBARCZYK MARTYNA</t>
  </si>
  <si>
    <t>MAŃKOWSKI DAWID</t>
  </si>
  <si>
    <t>CZOSKA MARTYNA</t>
  </si>
  <si>
    <t>GARLIŃSKA ANNA</t>
  </si>
  <si>
    <t>KRZYSZKOWSKI SŁAWOMIR</t>
  </si>
  <si>
    <t>TASAREK MARIUSZ</t>
  </si>
  <si>
    <t>MACIEJEWSKA KLAUDIA</t>
  </si>
  <si>
    <t>CHODACKI PAWEŁ</t>
  </si>
  <si>
    <t>PENCONEK PATRYK</t>
  </si>
  <si>
    <t>STEFAŃCZYK BARTOSZ</t>
  </si>
  <si>
    <t>MRÓZ ADAM</t>
  </si>
  <si>
    <t>STACHUŁA KRZYSZTOF</t>
  </si>
  <si>
    <t>KOZIARSKI ADAM</t>
  </si>
  <si>
    <t>GRABOWSKI DANIEL</t>
  </si>
  <si>
    <t>KIERUŃCZAK ANNA</t>
  </si>
  <si>
    <t>MAROSZEK ADRIANA</t>
  </si>
  <si>
    <t>WISZ GRZEGORZ</t>
  </si>
  <si>
    <t>MARCZAK AGNIESZKA</t>
  </si>
  <si>
    <t>MIKOŁAJCZYK ŁUKASZ</t>
  </si>
  <si>
    <t>SMOCZYK MONIKA</t>
  </si>
  <si>
    <t>JANKOWSKA EWA</t>
  </si>
  <si>
    <t>MARKOWSKI DANIEL</t>
  </si>
  <si>
    <t>KULA ZUZANNA</t>
  </si>
  <si>
    <t>PIETRUS DAGMARA</t>
  </si>
  <si>
    <t>GRUSZECKA BEATA</t>
  </si>
  <si>
    <t>BRUCKA AGATA</t>
  </si>
  <si>
    <t>KOŁCZYK MAGDALENA</t>
  </si>
  <si>
    <t>KANAK MATEUSZ</t>
  </si>
  <si>
    <t>WIERZCHOŁOWSKI PATRYK</t>
  </si>
  <si>
    <t>STACHOWIAK BARBARA</t>
  </si>
  <si>
    <t>KOCIĘDA TOMASZ</t>
  </si>
  <si>
    <t>SKORUBSKA OLGA</t>
  </si>
  <si>
    <t>ANDROSZ WŁADYSŁAW</t>
  </si>
  <si>
    <t>HYŻY PAWEŁ</t>
  </si>
  <si>
    <t>IGNASZAK ARKADIUSZ</t>
  </si>
  <si>
    <t>LACHOWICZ MARCIN</t>
  </si>
  <si>
    <t>KOŁODZIEJ BARTOSZ</t>
  </si>
  <si>
    <t>ZBIERZAK FILIP</t>
  </si>
  <si>
    <t>LISIEWICZ PIOTR</t>
  </si>
  <si>
    <t>BICZEL MARCIN</t>
  </si>
  <si>
    <t>GACKOWSKI ZBIGNIEW</t>
  </si>
  <si>
    <t>GÓRAJEC NATALIA</t>
  </si>
  <si>
    <t>ZALEWSKI DAMIAN</t>
  </si>
  <si>
    <t>DUDZIAK ADRIAN</t>
  </si>
  <si>
    <t>PROCHARSKA ALICJA</t>
  </si>
  <si>
    <t>DYGOŃ ANGELIKA</t>
  </si>
  <si>
    <t>PIETRASIAK DONATA</t>
  </si>
  <si>
    <t>KURZYŃSKI PAWEŁ</t>
  </si>
  <si>
    <t>BABIK PATRYK</t>
  </si>
  <si>
    <t>STAWSKA MARIOLA</t>
  </si>
  <si>
    <t>KOZIKOWSKA KAROLINA</t>
  </si>
  <si>
    <t>SEJDA KONRAD</t>
  </si>
  <si>
    <t>STACHURA DARIA</t>
  </si>
  <si>
    <t>KARDASZ MICHAŁ</t>
  </si>
  <si>
    <t>MOSKWA MACIEJ</t>
  </si>
  <si>
    <t>RAIS MICHAŁ</t>
  </si>
  <si>
    <t>MAŃCZAK EWA</t>
  </si>
  <si>
    <t>RYCHŁOWSKI MICHAŁ</t>
  </si>
  <si>
    <t>MOROZ GRZEGORZ</t>
  </si>
  <si>
    <t>PONISZ MARCIN</t>
  </si>
  <si>
    <t>BRANCZEL MAŁGORZATA</t>
  </si>
  <si>
    <t>DŹWILEWSKA DOROTA</t>
  </si>
  <si>
    <t>RADZIMOWSKI MARCIN</t>
  </si>
  <si>
    <t>KONIEC ANNA</t>
  </si>
  <si>
    <t>TOCZEK BEATA</t>
  </si>
  <si>
    <t>WIERZCHOŁOWSKA MAŁGORZATA</t>
  </si>
  <si>
    <t>PIETRUSA AGNIESZKA</t>
  </si>
  <si>
    <t>ANDRZEJCZYK GRZEGORZ</t>
  </si>
  <si>
    <t>SZCZEGIELNIAK RAFAŁ</t>
  </si>
  <si>
    <t>KACZMAREK MICHALINA</t>
  </si>
  <si>
    <t>KIERZKOWSKI DOMINIK</t>
  </si>
  <si>
    <t>JACKOWSKI MARCIN</t>
  </si>
  <si>
    <t>FOGT ARKADIUSZ</t>
  </si>
  <si>
    <t>RABIEGA MAGDALENA</t>
  </si>
  <si>
    <t>KRZYŻAŃSKA ANNA</t>
  </si>
  <si>
    <t>JAREK OSKAR</t>
  </si>
  <si>
    <t>DZIADKIEWICZ PAWEŁ</t>
  </si>
  <si>
    <t>KĘDZIERSKI SŁAWOMIR</t>
  </si>
  <si>
    <t>BITRYCKA KINGA</t>
  </si>
  <si>
    <t>DROŻDŻ PATRYCJA</t>
  </si>
  <si>
    <t>HOŁDANOWICZ PATRYCJA</t>
  </si>
  <si>
    <t>WOŹNIAK WIESŁAWA</t>
  </si>
  <si>
    <t>KARWIK KRYSTIAN</t>
  </si>
  <si>
    <t>GALICKI KONRAD</t>
  </si>
  <si>
    <t>MARUŃSKI ARKADIUSZ</t>
  </si>
  <si>
    <t>ZNAMIEC PAWEŁ</t>
  </si>
  <si>
    <t>STOSUR SŁAWOMIR</t>
  </si>
  <si>
    <t>WALASIK MARCIN</t>
  </si>
  <si>
    <t>MAZUR BEATA</t>
  </si>
  <si>
    <t>SOKOŁOWSKI MAREK</t>
  </si>
  <si>
    <t>SKWIRA TOMASZ</t>
  </si>
  <si>
    <t>KROSNOWSKI DARIUSZ</t>
  </si>
  <si>
    <t>ŚLÓSAREK PATRYK</t>
  </si>
  <si>
    <t>KUBIAK PATRYCJA</t>
  </si>
  <si>
    <t>JUSZCZAK TOMASZ</t>
  </si>
  <si>
    <t>TOPKA ADAM</t>
  </si>
  <si>
    <t>SURYGAŁA PAWEŁ</t>
  </si>
  <si>
    <t>JANKOWSKI MARIUSZ</t>
  </si>
  <si>
    <t>TĘCZA RAFAŁ</t>
  </si>
  <si>
    <t>BŁAŻEJCZYK DANIEL</t>
  </si>
  <si>
    <t>MARCZAK DANIEL</t>
  </si>
  <si>
    <t>SOWIŃSKI MARCIN</t>
  </si>
  <si>
    <t>CHODACKA ROKSANA</t>
  </si>
  <si>
    <t>DYSZKIEWICZ BEATA</t>
  </si>
  <si>
    <t>POPŁAWSKA KAROLINA</t>
  </si>
  <si>
    <t>KOCHAJKIEWICZ MONIKA</t>
  </si>
  <si>
    <t>SIEK KRZYSZTOF</t>
  </si>
  <si>
    <t>LASKOWSKI MARCIN</t>
  </si>
  <si>
    <t>STACHOWIAK TOMASZ</t>
  </si>
  <si>
    <t>TOMKOWIAK ANTONI</t>
  </si>
  <si>
    <t>KWIATKOWSKI JAROSŁAW</t>
  </si>
  <si>
    <t>MIERUŃSKI PATRYK</t>
  </si>
  <si>
    <t>GAŁYSA KAROL</t>
  </si>
  <si>
    <t>SITKO EWELINA</t>
  </si>
  <si>
    <t>PAPIEŻ CEZARY</t>
  </si>
  <si>
    <t>WYPYCH KAROL</t>
  </si>
  <si>
    <t>KOPEĆ ROBERT</t>
  </si>
  <si>
    <t>TUROWIECKI MATEUSZ</t>
  </si>
  <si>
    <t>SŁABOŃ SZYMON</t>
  </si>
  <si>
    <t>LEGIERZYŃSKA MAGDALENA</t>
  </si>
  <si>
    <t>DACEK SZYMON</t>
  </si>
  <si>
    <t>PAKULSKA MAŁGORZATA</t>
  </si>
  <si>
    <t>STOKŁOSA TOMASZ</t>
  </si>
  <si>
    <t>SAKOWICZ PRZEMYSŁAW</t>
  </si>
  <si>
    <t>FRĄCZKOWSKI BARTOSZ</t>
  </si>
  <si>
    <t>SKOWROŃSKI MIKOŁAJ</t>
  </si>
  <si>
    <t>CIERNIAK DARIUSZ</t>
  </si>
  <si>
    <t>WIESE SEBASTIAN</t>
  </si>
  <si>
    <t>MIKOŁAJEWSKI PAWEŁ</t>
  </si>
  <si>
    <t>MYSIOREK</t>
  </si>
  <si>
    <t>MYSIOREK KACPER</t>
  </si>
  <si>
    <t>CISZEWSKI</t>
  </si>
  <si>
    <t>CISZEWSKI PAWEŁ</t>
  </si>
  <si>
    <t>PALIAN MARTA</t>
  </si>
  <si>
    <t>BINKUŃSKI TOMASZ</t>
  </si>
  <si>
    <t>DZIUBAŁKA MARCIN</t>
  </si>
  <si>
    <t>WRÓBEL JAKUB</t>
  </si>
  <si>
    <t>PUŚCIAN</t>
  </si>
  <si>
    <t>PUŚCIAN ŁUKASZ</t>
  </si>
  <si>
    <t>WUJKOWSKI</t>
  </si>
  <si>
    <t>WUJKOWSKI ŁUKASZ</t>
  </si>
  <si>
    <t>SWATKO</t>
  </si>
  <si>
    <t>SWATKO DAWID</t>
  </si>
  <si>
    <t>DRĄŻKOWIAK</t>
  </si>
  <si>
    <t>DRĄŻKOWIAK MATEUSZ</t>
  </si>
  <si>
    <t>ANDRUSZKO</t>
  </si>
  <si>
    <t>ANDRUSZKO ADRIAN</t>
  </si>
  <si>
    <t>TROCHA</t>
  </si>
  <si>
    <t>G7V5A</t>
  </si>
  <si>
    <t>TROCHA PAWEŁ</t>
  </si>
  <si>
    <t>ŁOŚ RADOSŁAW</t>
  </si>
  <si>
    <t>TOBIASZ MATEUSZ</t>
  </si>
  <si>
    <t>DWORNICZEK BARBARA</t>
  </si>
  <si>
    <t>SERBEŃSKI MARCIN</t>
  </si>
  <si>
    <t>SOBOTA ROBERT</t>
  </si>
  <si>
    <t>PRYSTUPA PATRYK</t>
  </si>
  <si>
    <t>WARCHOŁ PATRYK</t>
  </si>
  <si>
    <t>ROMAN ANNA</t>
  </si>
  <si>
    <t>GOŁACKI PAWEŁ</t>
  </si>
  <si>
    <t>KOTERBA KRYSTIAN</t>
  </si>
  <si>
    <t>SZMIT ANNA</t>
  </si>
  <si>
    <t>KRZEWIŃSKI MAREK</t>
  </si>
  <si>
    <t>KARWIK FILIP</t>
  </si>
  <si>
    <t>PHAM VAN PAWEŁ</t>
  </si>
  <si>
    <t>MIKŁASZEWICZ KLAUDIA</t>
  </si>
  <si>
    <t>RYBCZYŃSKA MONIKA</t>
  </si>
  <si>
    <t>WIĄCEK PAWEŁ</t>
  </si>
  <si>
    <t>KARDASZ KAMIL</t>
  </si>
  <si>
    <t>DRĄG AGNIESZKA</t>
  </si>
  <si>
    <t>CIEMNA WIOLETA</t>
  </si>
  <si>
    <t>MACHOWSKI NORBERT</t>
  </si>
  <si>
    <t>KALUŹNIAK TOMASZ</t>
  </si>
  <si>
    <t>RAFALSKI MARCIN</t>
  </si>
  <si>
    <t>OLCHA SŁAWOMIR</t>
  </si>
  <si>
    <t>ZIEMNIAK MAŁGORZATA</t>
  </si>
  <si>
    <t>CIESZOWIC MARTA</t>
  </si>
  <si>
    <t>KLIMKIEWICZ JULIA</t>
  </si>
  <si>
    <t>WUJDA DANIEL</t>
  </si>
  <si>
    <t>GOLINA PAWEŁ</t>
  </si>
  <si>
    <t>DRZEŻDŻON SANDRA</t>
  </si>
  <si>
    <t>BOROWIAK NATALIA</t>
  </si>
  <si>
    <t>NOWAK AMANDA</t>
  </si>
  <si>
    <t>SOKOŁOWSKA MONIKA</t>
  </si>
  <si>
    <t>KULASIK ANDRZEJ</t>
  </si>
  <si>
    <t>IGNACIUK OLIWIA</t>
  </si>
  <si>
    <t>KULIK PATRYK</t>
  </si>
  <si>
    <t>BŁAŻEWICZ DAMIAN</t>
  </si>
  <si>
    <t>WOŹNIAK PIOTR</t>
  </si>
  <si>
    <t>OSTROWSKI ANDRZEJ</t>
  </si>
  <si>
    <t>STYPUŁA PRZEMYSŁAW</t>
  </si>
  <si>
    <t>CZEMPKA MAGDALENA</t>
  </si>
  <si>
    <t>NOWAK PIOTR</t>
  </si>
  <si>
    <t>KOSTENECKA NADIA</t>
  </si>
  <si>
    <t>KACZMARCZYK KAMILA</t>
  </si>
  <si>
    <t>BANIA WIOLETTA</t>
  </si>
  <si>
    <t>CZYREK ARKADIUSZ</t>
  </si>
  <si>
    <t>WOJTALA JUSTYNA</t>
  </si>
  <si>
    <t>SMOLIŃSKA KLAUDIA</t>
  </si>
  <si>
    <t>KOWALSKI JACEK</t>
  </si>
  <si>
    <t>WĘCŁAŚ IZABELLA</t>
  </si>
  <si>
    <t>BARCIKOWSKA KAROLINA</t>
  </si>
  <si>
    <t>KARBOWNICZEK JOANNA</t>
  </si>
  <si>
    <t>ŚWIECKA PATRYCJA</t>
  </si>
  <si>
    <t>LEWANDOWSKI JÓZEF</t>
  </si>
  <si>
    <t>KOZIOŁ MATEUSZ</t>
  </si>
  <si>
    <t>NOWAK KRZYSZTOF</t>
  </si>
  <si>
    <t>JURA AGNIESZKA</t>
  </si>
  <si>
    <t>SKRZYPIEC JUSTYNA</t>
  </si>
  <si>
    <t>WOJTAS IWONA</t>
  </si>
  <si>
    <t>KANIA ŁUKASZ</t>
  </si>
  <si>
    <t>KORPAN MAŁGORZATA</t>
  </si>
  <si>
    <t>GAJDA AGNIESZKA</t>
  </si>
  <si>
    <t>OGNISTA RENATA</t>
  </si>
  <si>
    <t>HAKERT NATALIA</t>
  </si>
  <si>
    <t>SZYMANEK ALAN</t>
  </si>
  <si>
    <t>BISZTYGA ADRIANNA</t>
  </si>
  <si>
    <t>BIENIEK AGNIESZKA</t>
  </si>
  <si>
    <t>KUC JULIA</t>
  </si>
  <si>
    <t>KOTLIŃSKI ŁUKASZ</t>
  </si>
  <si>
    <t>KAŁUŻNA WERONIKA</t>
  </si>
  <si>
    <t>WĘGRZYNOWSKI KRZYSZTOF</t>
  </si>
  <si>
    <t>TARNACKA JOANNA</t>
  </si>
  <si>
    <t>KĘDZIOR MARIA</t>
  </si>
  <si>
    <t>SOCHACKA DOMINIKA</t>
  </si>
  <si>
    <t>SAJNÓG KATARZYNA</t>
  </si>
  <si>
    <t>MAKOWSKI WIKTOR</t>
  </si>
  <si>
    <t>OLSZANOWSKA JUSTYNA</t>
  </si>
  <si>
    <t>BUZAŁA KARINA</t>
  </si>
  <si>
    <t>KAGANIUK AGNIESZKA</t>
  </si>
  <si>
    <t>KOT ALICJA</t>
  </si>
  <si>
    <t>GWIZD PAWEŁ</t>
  </si>
  <si>
    <t>KOĆMIRSKI ARTUR</t>
  </si>
  <si>
    <t>KOSTENECKI WŁODZIMIERZ</t>
  </si>
  <si>
    <t>CHOCHOL MAGDALENA</t>
  </si>
  <si>
    <t>ADAMCZYK KAROL</t>
  </si>
  <si>
    <t>SOŁTYSIAK MONIKA</t>
  </si>
  <si>
    <t>WIELOWSKA KATARZYNA</t>
  </si>
  <si>
    <t>BŁASZKIEWICZ MAREK</t>
  </si>
  <si>
    <t>KŁODA TOMASZ</t>
  </si>
  <si>
    <t>WAROWNY MARCIN</t>
  </si>
  <si>
    <t>NOWAK RAFAŁ</t>
  </si>
  <si>
    <t>SZMIDT ADAM</t>
  </si>
  <si>
    <t>CZOPEK DOMINIK</t>
  </si>
  <si>
    <t>WYROBA RAFAŁ</t>
  </si>
  <si>
    <t>WEISS OLIWIA</t>
  </si>
  <si>
    <t>ZURAWEL</t>
  </si>
  <si>
    <t>ZURAWEL ARTUR</t>
  </si>
  <si>
    <t>WĄDOŁOWSKA</t>
  </si>
  <si>
    <t>WĄDOŁOWSKA MARIA</t>
  </si>
  <si>
    <t>TOPOŁA</t>
  </si>
  <si>
    <t>TOPOŁA KRZYSZTOF</t>
  </si>
  <si>
    <t>CYBULSKI</t>
  </si>
  <si>
    <t>CYBULSKI DAMIAN</t>
  </si>
  <si>
    <t>ADAMSKA</t>
  </si>
  <si>
    <t>ADAMSKA BARBARA</t>
  </si>
  <si>
    <t>DUDEK KRZYSZTOF</t>
  </si>
  <si>
    <t>CHRYSTIAN</t>
  </si>
  <si>
    <t>SZWARCZYŃSKI CHRYSTIAN</t>
  </si>
  <si>
    <t>MACIEJEWSKI TOMASZ</t>
  </si>
  <si>
    <t>SADŁOŃ</t>
  </si>
  <si>
    <t>SADŁOŃ GRZEGORZ</t>
  </si>
  <si>
    <t>LODA</t>
  </si>
  <si>
    <t>LODA JUSTYNA</t>
  </si>
  <si>
    <t>TOMASZEWSKI</t>
  </si>
  <si>
    <t>MOLGA</t>
  </si>
  <si>
    <t>MOLGA KAROL</t>
  </si>
  <si>
    <t>WILK ALEKSANDRA</t>
  </si>
  <si>
    <t>MARGIELEWSKA</t>
  </si>
  <si>
    <t>MARGIELEWSKA AGNIESZKA</t>
  </si>
  <si>
    <t>PĘKSA</t>
  </si>
  <si>
    <t>PĘKSA SEBASTIAN</t>
  </si>
  <si>
    <t>RYŚ</t>
  </si>
  <si>
    <t>RYŚ JACEK</t>
  </si>
  <si>
    <t>NOWAK ANGELIKA</t>
  </si>
  <si>
    <t>ŁUCZAK</t>
  </si>
  <si>
    <t>ŁUCZAK HELENA</t>
  </si>
  <si>
    <t>ZAJĄC ALEKSANDER</t>
  </si>
  <si>
    <t>PAWLAK ANETA</t>
  </si>
  <si>
    <t>DERA</t>
  </si>
  <si>
    <t>DERA PAWEŁ</t>
  </si>
  <si>
    <t>KŁECZEK</t>
  </si>
  <si>
    <t>KŁECZEK KRZYSZTOF</t>
  </si>
  <si>
    <t>DYBICH</t>
  </si>
  <si>
    <t>DYBICH SZYMON</t>
  </si>
  <si>
    <t>KRZEWIŃSKA</t>
  </si>
  <si>
    <t>KRZEWIŃSKA KATARZYNA</t>
  </si>
  <si>
    <t>WENDROWSKI WIKTOR</t>
  </si>
  <si>
    <t>KNAP</t>
  </si>
  <si>
    <t>KNAP ALEKSANDRA</t>
  </si>
  <si>
    <t>BLOCH TOMASZ</t>
  </si>
  <si>
    <t>WOJAKIEWICZ</t>
  </si>
  <si>
    <t>WOJAKIEWICZ ADRIAN</t>
  </si>
  <si>
    <t>ZAWADA</t>
  </si>
  <si>
    <t>ZAWADA PAULINA</t>
  </si>
  <si>
    <t>ŚWIKSZCZO</t>
  </si>
  <si>
    <t>ŚWIKSZCZO ADAM</t>
  </si>
  <si>
    <t>GLICA</t>
  </si>
  <si>
    <t>GLICA ARTUR</t>
  </si>
  <si>
    <t>SZCZECINA</t>
  </si>
  <si>
    <t>SZCZECINA KINGA</t>
  </si>
  <si>
    <t>SZPYTKA</t>
  </si>
  <si>
    <t>SZPYTKA DARIUSZ</t>
  </si>
  <si>
    <t>FRONTCZAK</t>
  </si>
  <si>
    <t>FRONTCZAK MARZENA</t>
  </si>
  <si>
    <t>WŁODARCZYK RENATA</t>
  </si>
  <si>
    <t>KACAŁA</t>
  </si>
  <si>
    <t>KACAŁA BARTOSZ</t>
  </si>
  <si>
    <t>NIKIEL</t>
  </si>
  <si>
    <t>NIKIEL AGNIESZKA</t>
  </si>
  <si>
    <t>PRZYJAZNY</t>
  </si>
  <si>
    <t>PRZYJAZNY PAWEŁ</t>
  </si>
  <si>
    <t>PĘDZIŃSKA</t>
  </si>
  <si>
    <t>PĘDZIŃSKA KATARZYNA</t>
  </si>
  <si>
    <t>JĘDRZEJCZYK</t>
  </si>
  <si>
    <t>JĘDRZEJCZYK MATEUSZ</t>
  </si>
  <si>
    <t>WILK MICHAŁ</t>
  </si>
  <si>
    <t>NAPIERAŁA</t>
  </si>
  <si>
    <t>NAPIERAŁA MAGDALENA</t>
  </si>
  <si>
    <t>GRZYBIAŃSKI GRZEGORZ</t>
  </si>
  <si>
    <t>PRZYBYŁ DANUTA</t>
  </si>
  <si>
    <t>KORDYLAK RENATA</t>
  </si>
  <si>
    <t>ŚLUSARZ DANIEL</t>
  </si>
  <si>
    <t>CZYŻ DANIEL</t>
  </si>
  <si>
    <t>GRUSZCZYŃSKI PAWEŁ</t>
  </si>
  <si>
    <t>KLICH JOLANTA</t>
  </si>
  <si>
    <t>JANISZEWSKI MARIUSZ</t>
  </si>
  <si>
    <t>GNIEWEK ŁUKASZ</t>
  </si>
  <si>
    <t>KRUPA KAMILA</t>
  </si>
  <si>
    <t>LACHOWICZ KAROLINA</t>
  </si>
  <si>
    <t>STEFANIK PAWEŁ</t>
  </si>
  <si>
    <t>ŻAK ARTUR</t>
  </si>
  <si>
    <t>RECZULSKI KAMIL</t>
  </si>
  <si>
    <t>CIMASZEWSKI DAWID</t>
  </si>
  <si>
    <t>SADŁO RADOSŁAW</t>
  </si>
  <si>
    <t>KRZYŚKÓW KRZYSZTOF</t>
  </si>
  <si>
    <t>CHMIELEWSKA ELŻBIETA</t>
  </si>
  <si>
    <t>ZIELIŃSKI ARKADIUSZ</t>
  </si>
  <si>
    <t>ŚPIEWAK KACPER</t>
  </si>
  <si>
    <t>KOBIELA MAJA</t>
  </si>
  <si>
    <t>RUDNICKI RAFAŁ</t>
  </si>
  <si>
    <t>BARCZAK MAGDALENA</t>
  </si>
  <si>
    <t>WIŚNIEWSKA AGNIESZKA</t>
  </si>
  <si>
    <t>FRĄCZKOWSKA PAULINA</t>
  </si>
  <si>
    <t>GRZELCZYK KRYSTYNA</t>
  </si>
  <si>
    <t>BAKUN SEBASTIAN</t>
  </si>
  <si>
    <t>KACZMAREK KATARZYNA</t>
  </si>
  <si>
    <t>CHUDAŚ AGATA</t>
  </si>
  <si>
    <t>ŁĘGOWSKA NIKOLA</t>
  </si>
  <si>
    <t>MIAZGA MONIKA</t>
  </si>
  <si>
    <t>SKRZYPIEC PAWEŁ</t>
  </si>
  <si>
    <t>BARNA JOANNA</t>
  </si>
  <si>
    <t>JABCZUGA WOJCIECH</t>
  </si>
  <si>
    <t>GAMOŃ-SIEMIENIEWSKA JUSTYNA</t>
  </si>
  <si>
    <t>SKOCZEŃ BARTŁOMIEJ</t>
  </si>
  <si>
    <t>ŻARKOWSKI JAKUB</t>
  </si>
  <si>
    <t>CZERNIGA JAN</t>
  </si>
  <si>
    <t>KOWALSKI ADRIAN</t>
  </si>
  <si>
    <t>KOZAK SANDRA</t>
  </si>
  <si>
    <t>WĘGRZYNOWSKA ALEKSANDRA</t>
  </si>
  <si>
    <t>BORZEMSKA KATARZYNA</t>
  </si>
  <si>
    <t>PALIAN ALEKSANDRA</t>
  </si>
  <si>
    <t>BOLEK PIOTR</t>
  </si>
  <si>
    <t>PAŁCZYŃSKA OLGA</t>
  </si>
  <si>
    <t>KUSAJDA MARZENA</t>
  </si>
  <si>
    <t>KAMIŃSKI PAWEŁ</t>
  </si>
  <si>
    <t>MAJKA JACEK</t>
  </si>
  <si>
    <t>STACHUŁA DAWID</t>
  </si>
  <si>
    <t>PAŚKO MARCIN</t>
  </si>
  <si>
    <t>HETMAŃCZYK SYLWESTER</t>
  </si>
  <si>
    <t>GUMIĘGA KRZYSZTOF</t>
  </si>
  <si>
    <t>ŁAKOMOW MAREK</t>
  </si>
  <si>
    <t>SWACHA MARIUSZ</t>
  </si>
  <si>
    <t>POVSTIANA</t>
  </si>
  <si>
    <t>DIANA</t>
  </si>
  <si>
    <t>POVSTIANA DIANA</t>
  </si>
  <si>
    <t>SHKREBTII</t>
  </si>
  <si>
    <t>SHKREBTII ROMAN</t>
  </si>
  <si>
    <t>IVANYTSKA</t>
  </si>
  <si>
    <t>OLESIA</t>
  </si>
  <si>
    <t>IVANYTSKA OLESIA</t>
  </si>
  <si>
    <t>JAWORNICKI</t>
  </si>
  <si>
    <t>JAWORNICKI ANDRZEJ</t>
  </si>
  <si>
    <t>BAZARNIK</t>
  </si>
  <si>
    <t>BAZARNIK ROBERT</t>
  </si>
  <si>
    <t>SZUPLEWSKI</t>
  </si>
  <si>
    <t>SZUPLEWSKI MARCIN</t>
  </si>
  <si>
    <t>BORCZYK</t>
  </si>
  <si>
    <t>BORCZYK PATRYK</t>
  </si>
  <si>
    <t>GÓRECKA</t>
  </si>
  <si>
    <t>GÓRECKA AGNIESZKA</t>
  </si>
  <si>
    <t>KWIECIEŃ MARIUSZ</t>
  </si>
  <si>
    <t>MATUSZEWSKI</t>
  </si>
  <si>
    <t>MATUSZEWSKI MICHAŁ</t>
  </si>
  <si>
    <t>HUDAK</t>
  </si>
  <si>
    <t>HUDAK PATRYK</t>
  </si>
  <si>
    <t>LOZOVYK SERHII</t>
  </si>
  <si>
    <t>WOSAK PATRYK</t>
  </si>
  <si>
    <t>ZADURA</t>
  </si>
  <si>
    <t>ZADURA KAMIL</t>
  </si>
  <si>
    <t>FASTOVETS</t>
  </si>
  <si>
    <t>VIKTOR</t>
  </si>
  <si>
    <t>FASTOVETS VIKTOR</t>
  </si>
  <si>
    <t>YULIIA</t>
  </si>
  <si>
    <t>FASTOVETS YULIIA</t>
  </si>
  <si>
    <t>OLEKSANDR</t>
  </si>
  <si>
    <t>DUBOVYK</t>
  </si>
  <si>
    <t>VOLODYMYR</t>
  </si>
  <si>
    <t>DUBOVYK VOLODYMYR</t>
  </si>
  <si>
    <t>INNA</t>
  </si>
  <si>
    <t>DUBOVYK INNA</t>
  </si>
  <si>
    <t>LEVYTSKA</t>
  </si>
  <si>
    <t>LEVYTSKA YULIIA</t>
  </si>
  <si>
    <t>MALIEIEV</t>
  </si>
  <si>
    <t>DMYTRO</t>
  </si>
  <si>
    <t>MALIEIEV DMYTRO</t>
  </si>
  <si>
    <t>ORYSHAKA</t>
  </si>
  <si>
    <t>OLEKSANDRA</t>
  </si>
  <si>
    <t>ORYSHAKA OLEKSANDRA</t>
  </si>
  <si>
    <t>NOVOSAD</t>
  </si>
  <si>
    <t>NOVOSAD VOLODYMYR</t>
  </si>
  <si>
    <t>ŁAZICKA</t>
  </si>
  <si>
    <t>ŁAZICKA JUSTYNA</t>
  </si>
  <si>
    <t>JUCEWICZ</t>
  </si>
  <si>
    <t>JUCEWICZ BARTOSZ</t>
  </si>
  <si>
    <t>STOKŁOSA JAN</t>
  </si>
  <si>
    <t>GALASINSKA</t>
  </si>
  <si>
    <t>GALASINSKA MAGDALENA</t>
  </si>
  <si>
    <t>WOLSKA</t>
  </si>
  <si>
    <t>WOLSKA OLIWIA</t>
  </si>
  <si>
    <t>PODHALICZ</t>
  </si>
  <si>
    <t>PODHALICZ FILIP</t>
  </si>
  <si>
    <t>BIELEWICZ</t>
  </si>
  <si>
    <t>BIELEWICZ JOANNA</t>
  </si>
  <si>
    <t>PAŁKA ELŻBIETA</t>
  </si>
  <si>
    <t>LASKOVYI</t>
  </si>
  <si>
    <t>LASKOVYI ROMAN</t>
  </si>
  <si>
    <t>FILKINA</t>
  </si>
  <si>
    <t>VIKTORIIA</t>
  </si>
  <si>
    <t>FILKINA VIKTORIIA</t>
  </si>
  <si>
    <t>FODOROV</t>
  </si>
  <si>
    <t>YEVHEN</t>
  </si>
  <si>
    <t>FODOROV YEVHEN</t>
  </si>
  <si>
    <t>BONDAR</t>
  </si>
  <si>
    <t>YAKIV</t>
  </si>
  <si>
    <t>BONDAR YAKIV</t>
  </si>
  <si>
    <t>VOINYTSKYI</t>
  </si>
  <si>
    <t>YEVHENII</t>
  </si>
  <si>
    <t>VOINYTSKYI YEVHENII</t>
  </si>
  <si>
    <t>OKOPNYI</t>
  </si>
  <si>
    <t>STANISLAV</t>
  </si>
  <si>
    <t>OKOPNYI STANISLAV</t>
  </si>
  <si>
    <t>NYKONENKO</t>
  </si>
  <si>
    <t>NYKONENKO SERHII</t>
  </si>
  <si>
    <t>ZHYTNYK</t>
  </si>
  <si>
    <t>ANASTASIIA</t>
  </si>
  <si>
    <t>ZHYTNYK ANASTASIIA</t>
  </si>
  <si>
    <t>TERESHCHENKO</t>
  </si>
  <si>
    <t>VADYM</t>
  </si>
  <si>
    <t>TERESHCHENKO VADYM</t>
  </si>
  <si>
    <t>RÓŻAŃSKI</t>
  </si>
  <si>
    <t>RÓŻAŃSKI PATRYK</t>
  </si>
  <si>
    <t>GRZELAK PAULINA</t>
  </si>
  <si>
    <t>ŻYTKIEWICZ</t>
  </si>
  <si>
    <t>KUBA</t>
  </si>
  <si>
    <t>ŻYTKIEWICZ KUBA</t>
  </si>
  <si>
    <t>KOSSAKOWSKA</t>
  </si>
  <si>
    <t>KOSSAKOWSKA BEATA</t>
  </si>
  <si>
    <t>WOJEWODA</t>
  </si>
  <si>
    <t>WOJEWODA KAMIL</t>
  </si>
  <si>
    <t>WOŹNIAK SYLWIA</t>
  </si>
  <si>
    <t>WYSOMIERSKI</t>
  </si>
  <si>
    <t>WYSOMIERSKI PATRYK</t>
  </si>
  <si>
    <t>ZARZYCKA</t>
  </si>
  <si>
    <t>ZARZYCKA WIOLETTA</t>
  </si>
  <si>
    <t>KLYMENKO</t>
  </si>
  <si>
    <t>KLYMENKO ROMAN</t>
  </si>
  <si>
    <t>KOZAR</t>
  </si>
  <si>
    <t>ALINA</t>
  </si>
  <si>
    <t>KOZAR ALINA</t>
  </si>
  <si>
    <t>FEDTSOV</t>
  </si>
  <si>
    <t>OLEKSII</t>
  </si>
  <si>
    <t>FEDTSOV OLEKSII</t>
  </si>
  <si>
    <t>HOLIUKH</t>
  </si>
  <si>
    <t>MAKSYM</t>
  </si>
  <si>
    <t>HOLIUKH MAKSYM</t>
  </si>
  <si>
    <t>SAFONIK</t>
  </si>
  <si>
    <t>SAFONIK OLEKSII</t>
  </si>
  <si>
    <t>SKLADOVSKYI</t>
  </si>
  <si>
    <t>SKLADOVSKYI OLEKSANDR</t>
  </si>
  <si>
    <t>MAŁOCHWIEJ</t>
  </si>
  <si>
    <t>MAŁOCHWIEJ ŁUKASZ</t>
  </si>
  <si>
    <t>JASEK JUSTYNA</t>
  </si>
  <si>
    <t>KAZIMIERSKA-CUDZIK</t>
  </si>
  <si>
    <t>KAZIMIERSKA-CUDZIK JOANNA</t>
  </si>
  <si>
    <t>WRÓBLEWSKI KONRAD</t>
  </si>
  <si>
    <t>KOWALCZYK KARINA</t>
  </si>
  <si>
    <t>SYPKO</t>
  </si>
  <si>
    <t>SYPKO SEBASTIAN</t>
  </si>
  <si>
    <t>KOŁODZIEJ ALEKSANDRA</t>
  </si>
  <si>
    <t>JANICKA</t>
  </si>
  <si>
    <t>JANICKA NIKOLA</t>
  </si>
  <si>
    <t>KOZYNETS</t>
  </si>
  <si>
    <t>KOZYNETS OLEKSANDR</t>
  </si>
  <si>
    <t>USACHOV</t>
  </si>
  <si>
    <t>USACHOV DMYTRO</t>
  </si>
  <si>
    <t>DZIUBA</t>
  </si>
  <si>
    <t>IRYNA</t>
  </si>
  <si>
    <t>DZIUBA IRYNA</t>
  </si>
  <si>
    <t>PONOMARENKO</t>
  </si>
  <si>
    <t>PONOMARENKO OLEKSANDR</t>
  </si>
  <si>
    <t>MOHILNA</t>
  </si>
  <si>
    <t>LIUBOV</t>
  </si>
  <si>
    <t>MOHILNA LIUBOV</t>
  </si>
  <si>
    <t>PELYPETS</t>
  </si>
  <si>
    <t>YURII</t>
  </si>
  <si>
    <t>PELYPETS YURII</t>
  </si>
  <si>
    <t>FEDORENKO</t>
  </si>
  <si>
    <t>TETIANA</t>
  </si>
  <si>
    <t>FEDORENKO TETIANA</t>
  </si>
  <si>
    <t>SULYMA</t>
  </si>
  <si>
    <t>SULYMA OLEKSII</t>
  </si>
  <si>
    <t>KHUTORNIUK</t>
  </si>
  <si>
    <t>KHUTORNIUK OLEKSANDR</t>
  </si>
  <si>
    <t>KALENSKYI</t>
  </si>
  <si>
    <t>YEHOR</t>
  </si>
  <si>
    <t>KALENSKYI YEHOR</t>
  </si>
  <si>
    <t>LUTSENKO</t>
  </si>
  <si>
    <t>LUTSENKO SERHII</t>
  </si>
  <si>
    <t>LYSHTVAN</t>
  </si>
  <si>
    <t>LYSHTVAN ALINA</t>
  </si>
  <si>
    <t>BUNIAK</t>
  </si>
  <si>
    <t>BUNIAK OLEKSANDR</t>
  </si>
  <si>
    <t>PUKYTSA</t>
  </si>
  <si>
    <t>PUKYTSA KRYSTYNA</t>
  </si>
  <si>
    <t>BUTKO</t>
  </si>
  <si>
    <t>BUTKO ANNA</t>
  </si>
  <si>
    <t>BUTKO SERHII</t>
  </si>
  <si>
    <t>Fitrzyk Marcin</t>
  </si>
  <si>
    <t>Stokłosa Sebastian</t>
  </si>
  <si>
    <t>Antoniewicz Eryk</t>
  </si>
  <si>
    <t>Grzesik Marcin</t>
  </si>
  <si>
    <t>G616</t>
  </si>
  <si>
    <t>MARZEC</t>
  </si>
  <si>
    <t>Bednarczyk Andrzej</t>
  </si>
  <si>
    <t>Z0000</t>
  </si>
  <si>
    <t>PRS</t>
  </si>
  <si>
    <t>Kolumna10</t>
  </si>
  <si>
    <t>Kolumna11</t>
  </si>
  <si>
    <t>MIKOŁAJCZAK DARIUSZ</t>
  </si>
  <si>
    <t>V201C</t>
  </si>
  <si>
    <t>Wojtal Mateusz</t>
  </si>
  <si>
    <t>G50VA</t>
  </si>
  <si>
    <t>G7V2A</t>
  </si>
  <si>
    <t>G7V2B</t>
  </si>
  <si>
    <t>G7V2C</t>
  </si>
  <si>
    <t>G7V2D</t>
  </si>
  <si>
    <t>TNO5C</t>
  </si>
  <si>
    <t>F2V5A</t>
  </si>
  <si>
    <t>ZMIANA CC WYSŁAĆ JESZCZE RAZ</t>
  </si>
  <si>
    <t>TETENKO ALONA</t>
  </si>
  <si>
    <t>CICINAS MIKOŁAJ</t>
  </si>
  <si>
    <t>DIR</t>
  </si>
  <si>
    <t>DWORZYŃSKI GRZEGORZ</t>
  </si>
  <si>
    <t>NADOLSKI</t>
  </si>
  <si>
    <t>GEMBORA</t>
  </si>
  <si>
    <t>SIWIK</t>
  </si>
  <si>
    <t>SOWIK</t>
  </si>
  <si>
    <t>CICINAS</t>
  </si>
  <si>
    <t>JUREWICZ</t>
  </si>
  <si>
    <t>KUCZYŃSKI</t>
  </si>
  <si>
    <t>WĄTROBA</t>
  </si>
  <si>
    <t>BETLEJEWSKA</t>
  </si>
  <si>
    <t>BUHAIOV</t>
  </si>
  <si>
    <t>DZIUBAKOWSKA</t>
  </si>
  <si>
    <t>HUMERSKI</t>
  </si>
  <si>
    <t>LULKOWSKI</t>
  </si>
  <si>
    <t>KARPIŃSKI</t>
  </si>
  <si>
    <t>WOŁOSZYN</t>
  </si>
  <si>
    <t>WOLIŃSKA</t>
  </si>
  <si>
    <t>KVASHA</t>
  </si>
  <si>
    <t>CHERNYSHOV</t>
  </si>
  <si>
    <t>SYNELNYK</t>
  </si>
  <si>
    <t>DUDKO</t>
  </si>
  <si>
    <t>SERDECHNYI</t>
  </si>
  <si>
    <t>ANDRII</t>
  </si>
  <si>
    <t>NIKOLAIEVA</t>
  </si>
  <si>
    <t>OLENA</t>
  </si>
  <si>
    <t>ONYSHKO</t>
  </si>
  <si>
    <t>NIKOLAIEV</t>
  </si>
  <si>
    <t>IHOR</t>
  </si>
  <si>
    <t>SOKOLOVA</t>
  </si>
  <si>
    <t>KIPCHUK</t>
  </si>
  <si>
    <t>MELNYCHUK</t>
  </si>
  <si>
    <t>PABISIAK</t>
  </si>
  <si>
    <t>SALMON</t>
  </si>
  <si>
    <t>LIPIŃSKA</t>
  </si>
  <si>
    <t>KISZNER</t>
  </si>
  <si>
    <t>BIAŁAS</t>
  </si>
  <si>
    <t>MAJKUT-LEŚNIK</t>
  </si>
  <si>
    <t>KUZHILNYI</t>
  </si>
  <si>
    <t>LISOVENKO</t>
  </si>
  <si>
    <t>OLEKSANDER</t>
  </si>
  <si>
    <t>TETENKO</t>
  </si>
  <si>
    <t>ALONA</t>
  </si>
  <si>
    <t>TONKOSHKUROVA</t>
  </si>
  <si>
    <t>NIHMATZIANOV</t>
  </si>
  <si>
    <t>YAROSLAV</t>
  </si>
  <si>
    <t>SMYRNOV</t>
  </si>
  <si>
    <t>BOHDAN</t>
  </si>
  <si>
    <t>BEZ</t>
  </si>
  <si>
    <t>HRANEVSKYI</t>
  </si>
  <si>
    <t>ANATOLII</t>
  </si>
  <si>
    <t>STELMAKH</t>
  </si>
  <si>
    <t>KATERYNA</t>
  </si>
  <si>
    <t>PAVLO</t>
  </si>
  <si>
    <t>AVILOVA</t>
  </si>
  <si>
    <t>NADOLSKI MARCIN</t>
  </si>
  <si>
    <t>BOBOWSKI MATEUSZ</t>
  </si>
  <si>
    <t>GEMBORA KATARZYNA</t>
  </si>
  <si>
    <t>SIWIK PRZEMYSŁAW</t>
  </si>
  <si>
    <t>SOWIK ALAN</t>
  </si>
  <si>
    <t>WOŹNIAK MIROSŁAW</t>
  </si>
  <si>
    <t>JUREWICZ MAGDALENA</t>
  </si>
  <si>
    <t>KUCZYŃSKI MICHAŁ</t>
  </si>
  <si>
    <t>WĄTROBA MICHAŁ</t>
  </si>
  <si>
    <t>KALBARCZYK BARTOSZ</t>
  </si>
  <si>
    <t>WRONA ROBERT</t>
  </si>
  <si>
    <t>JAREK KRZYSZTOF</t>
  </si>
  <si>
    <t>BETLEJEWSKA ANETA</t>
  </si>
  <si>
    <t>BOROWIEC RAFAŁ</t>
  </si>
  <si>
    <t>BUHAIOV VIKTOR</t>
  </si>
  <si>
    <t>MAZUREK MATEUSZ</t>
  </si>
  <si>
    <t>DZIUBAKOWSKA NATALIA</t>
  </si>
  <si>
    <t>HUMERSKI KAMIL</t>
  </si>
  <si>
    <t>LULKOWSKI DOMINIK</t>
  </si>
  <si>
    <t>KARPIŃSKI SZYMON</t>
  </si>
  <si>
    <t>LECYK ANNA</t>
  </si>
  <si>
    <t>TO SAMO CC</t>
  </si>
  <si>
    <t>WOŁOSZYN KATARZYNA</t>
  </si>
  <si>
    <t>WOLIŃSKA MAGDALENA</t>
  </si>
  <si>
    <t>KVASHA DMYTRO</t>
  </si>
  <si>
    <t>CHERNYSHOV DMYTRO</t>
  </si>
  <si>
    <t>SYNELNYK YEVHENII</t>
  </si>
  <si>
    <t>DUDKO VIKTORIIA</t>
  </si>
  <si>
    <t>SERDECHNYI ANDRII</t>
  </si>
  <si>
    <t>NIKOLAIEVA OLENA</t>
  </si>
  <si>
    <t>ONYSHKO VIKTORIIA</t>
  </si>
  <si>
    <t>NIKOLAIEV IHOR</t>
  </si>
  <si>
    <t>SOKOLOVA OLENA</t>
  </si>
  <si>
    <t>KIPCHUK OLEKSANDRA</t>
  </si>
  <si>
    <t>MELNYCHUK SERHII</t>
  </si>
  <si>
    <t>PABISIAK SZYMON</t>
  </si>
  <si>
    <t>SALMON MARCIN</t>
  </si>
  <si>
    <t>LIPIŃSKA JOANNA</t>
  </si>
  <si>
    <t>KISZNER WIOLETA</t>
  </si>
  <si>
    <t>BIAŁAS MATEUSZ</t>
  </si>
  <si>
    <t>MAJKUT-LEŚNIK ANITA</t>
  </si>
  <si>
    <t>KUZHILNYI VOLODYMYR</t>
  </si>
  <si>
    <t>LISOVENKO OLEKSANDER</t>
  </si>
  <si>
    <t>TONKOSHKUROVA OLENA</t>
  </si>
  <si>
    <t>NIHMATZIANOV YAROSLAV</t>
  </si>
  <si>
    <t>SMYRNOV BOHDAN</t>
  </si>
  <si>
    <t>BEZ DMYTRO</t>
  </si>
  <si>
    <t>HRANEVSKYI ANATOLII</t>
  </si>
  <si>
    <t>STELMAKH KATERYNA</t>
  </si>
  <si>
    <t>STELMAKH PAVLO</t>
  </si>
  <si>
    <t>AVILOVA OLENA</t>
  </si>
  <si>
    <t>CO TO JEST ?</t>
  </si>
  <si>
    <t>GTCOV(G310A)</t>
  </si>
  <si>
    <t>GTCOV(G308A)</t>
  </si>
  <si>
    <t>GTCOV (G611A)</t>
  </si>
  <si>
    <t>V2020</t>
  </si>
  <si>
    <t>V2030</t>
  </si>
  <si>
    <t>HV KAIZEN</t>
  </si>
  <si>
    <t>ZMIANA WNIOSKU</t>
  </si>
  <si>
    <t>ANULOWANY TRANSFER</t>
  </si>
  <si>
    <t>Józefiak Roksana</t>
  </si>
  <si>
    <t>Olszewska Mariola</t>
  </si>
  <si>
    <t>Smolarczyk Beata</t>
  </si>
  <si>
    <t>JÓZEFIAK ROKSANA</t>
  </si>
  <si>
    <t>OLSZEWSKA MARIOLA</t>
  </si>
  <si>
    <t>SMOLARCZYK BEATA</t>
  </si>
  <si>
    <t>HVPJT</t>
  </si>
  <si>
    <t>TN05B</t>
  </si>
  <si>
    <t>TN09B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</si>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</sst>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&quot;¥&quot;#,##0;[Red]&quot;¥&quot;\-#,##0"/>
    <numFmt numFmtId="166" formatCode="yyyy/mm/dd;@"/>
    <numFmt numFmtId="167" formatCode="00\-000"/>
  </numFmts>
  <fonts count="43">
    <font>
      <sz val="10"/>
      <name val="Arial CE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sz val="10"/>
      <name val="Arial CE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sz val="10"/>
      <color indexed="26"/>
      <name val="Arial"/>
      <family val="2"/>
      <charset val="238"/>
    </font>
    <font>
      <b/>
      <sz val="10"/>
      <name val="Arial CE"/>
      <charset val="238"/>
    </font>
    <font>
      <b/>
      <sz val="8"/>
      <name val="Arial CE"/>
      <family val="2"/>
      <charset val="238"/>
    </font>
    <font>
      <b/>
      <sz val="8"/>
      <color indexed="8"/>
      <name val="Arial CE"/>
      <family val="2"/>
      <charset val="238"/>
    </font>
    <font>
      <sz val="8"/>
      <color indexed="8"/>
      <name val="Arial CE"/>
      <family val="2"/>
      <charset val="238"/>
    </font>
    <font>
      <b/>
      <sz val="8"/>
      <color indexed="8"/>
      <name val="Arial CE"/>
      <charset val="238"/>
    </font>
    <font>
      <sz val="10"/>
      <color indexed="8"/>
      <name val="Arial"/>
      <family val="2"/>
      <charset val="238"/>
    </font>
    <font>
      <sz val="11"/>
      <color theme="1"/>
      <name val="Calibri"/>
      <family val="3"/>
      <charset val="128"/>
      <scheme val="minor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b/>
      <sz val="8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9"/>
      <color indexed="8"/>
      <name val="Arial"/>
      <family val="2"/>
      <charset val="238"/>
    </font>
    <font>
      <sz val="9"/>
      <name val="Arial"/>
      <family val="2"/>
      <charset val="238"/>
    </font>
    <font>
      <sz val="8"/>
      <color indexed="8"/>
      <name val="Verdana"/>
      <family val="2"/>
      <charset val="238"/>
    </font>
    <font>
      <sz val="10"/>
      <color indexed="8"/>
      <name val="Verdana"/>
      <family val="2"/>
      <charset val="238"/>
    </font>
    <font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name val="ＭＳ Ｐゴシック"/>
      <family val="3"/>
      <charset val="12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indexed="8"/>
      <name val="Verdana"/>
      <family val="2"/>
      <charset val="23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FF0000"/>
      <name val="Calibri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DFC8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D7A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52">
    <xf numFmtId="0" fontId="0" fillId="0" borderId="0">
      <alignment vertical="top"/>
    </xf>
    <xf numFmtId="0" fontId="7" fillId="0" borderId="0"/>
    <xf numFmtId="0" fontId="20" fillId="0" borderId="0"/>
    <xf numFmtId="0" fontId="8" fillId="0" borderId="0">
      <alignment vertical="top"/>
    </xf>
    <xf numFmtId="0" fontId="32" fillId="0" borderId="0">
      <alignment vertical="center"/>
    </xf>
    <xf numFmtId="38" fontId="32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38" fontId="32" fillId="0" borderId="0" applyFont="0" applyFill="0" applyBorder="0" applyAlignment="0" applyProtection="0">
      <alignment vertical="center"/>
    </xf>
    <xf numFmtId="165" fontId="32" fillId="0" borderId="0" applyFont="0" applyFill="0" applyBorder="0" applyAlignment="0" applyProtection="0">
      <alignment vertical="center"/>
    </xf>
    <xf numFmtId="165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20" fillId="0" borderId="0">
      <alignment vertical="center"/>
    </xf>
    <xf numFmtId="0" fontId="5" fillId="0" borderId="0"/>
    <xf numFmtId="0" fontId="8" fillId="0" borderId="0">
      <alignment vertical="top"/>
    </xf>
    <xf numFmtId="0" fontId="33" fillId="0" borderId="0"/>
    <xf numFmtId="0" fontId="9" fillId="0" borderId="0"/>
    <xf numFmtId="0" fontId="36" fillId="0" borderId="0"/>
    <xf numFmtId="0" fontId="37" fillId="0" borderId="0" applyNumberFormat="0" applyFill="0" applyBorder="0" applyAlignment="0" applyProtection="0"/>
    <xf numFmtId="0" fontId="4" fillId="0" borderId="0"/>
    <xf numFmtId="0" fontId="6" fillId="0" borderId="0">
      <alignment vertical="top"/>
    </xf>
    <xf numFmtId="9" fontId="6" fillId="0" borderId="0" applyFont="0" applyFill="0" applyBorder="0" applyAlignment="0" applyProtection="0"/>
    <xf numFmtId="0" fontId="6" fillId="0" borderId="0">
      <alignment vertical="top"/>
    </xf>
    <xf numFmtId="9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3">
    <xf numFmtId="0" fontId="0" fillId="0" borderId="0" xfId="0" applyAlignme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top"/>
    </xf>
    <xf numFmtId="0" fontId="8" fillId="3" borderId="1" xfId="0" applyFont="1" applyFill="1" applyBorder="1" applyAlignment="1">
      <alignment horizontal="left" vertical="center" wrapText="1"/>
    </xf>
    <xf numFmtId="0" fontId="8" fillId="0" borderId="0" xfId="0" applyFont="1">
      <alignment vertical="top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8" borderId="0" xfId="0" applyFont="1" applyFill="1" applyAlignment="1"/>
    <xf numFmtId="0" fontId="15" fillId="4" borderId="5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9" borderId="1" xfId="0" applyNumberFormat="1" applyFont="1" applyFill="1" applyBorder="1" applyAlignment="1">
      <alignment horizontal="center" vertical="center" wrapText="1"/>
    </xf>
    <xf numFmtId="49" fontId="21" fillId="6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49" fontId="21" fillId="7" borderId="1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0" borderId="0" xfId="0">
      <alignment vertical="top"/>
    </xf>
    <xf numFmtId="0" fontId="28" fillId="2" borderId="0" xfId="0" applyFont="1" applyFill="1" applyAlignment="1">
      <alignment horizontal="left" vertical="top"/>
    </xf>
    <xf numFmtId="49" fontId="21" fillId="12" borderId="1" xfId="0" applyNumberFormat="1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49" fontId="12" fillId="14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vertical="center" wrapText="1"/>
    </xf>
    <xf numFmtId="0" fontId="27" fillId="0" borderId="0" xfId="0" applyFont="1" applyAlignment="1">
      <alignment horizontal="left" vertical="top"/>
    </xf>
    <xf numFmtId="0" fontId="29" fillId="0" borderId="1" xfId="0" applyFont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49" fontId="21" fillId="16" borderId="1" xfId="0" applyNumberFormat="1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8" fillId="5" borderId="0" xfId="0" applyFont="1" applyFill="1">
      <alignment vertical="top"/>
    </xf>
    <xf numFmtId="0" fontId="25" fillId="9" borderId="1" xfId="0" applyFont="1" applyFill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7" fillId="0" borderId="0" xfId="0" applyNumberFormat="1" applyFont="1" applyAlignment="1">
      <alignment horizontal="left" vertical="top"/>
    </xf>
    <xf numFmtId="0" fontId="12" fillId="0" borderId="0" xfId="0" applyFont="1" applyBorder="1" applyAlignment="1">
      <alignment horizontal="center" vertical="center" wrapText="1"/>
    </xf>
    <xf numFmtId="49" fontId="12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31" fillId="9" borderId="1" xfId="0" applyFont="1" applyFill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left" vertical="center"/>
    </xf>
    <xf numFmtId="0" fontId="34" fillId="6" borderId="0" xfId="0" applyFont="1" applyFill="1" applyAlignment="1">
      <alignment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center" wrapText="1"/>
    </xf>
    <xf numFmtId="1" fontId="8" fillId="18" borderId="1" xfId="0" applyNumberFormat="1" applyFont="1" applyFill="1" applyBorder="1" applyAlignment="1">
      <alignment horizontal="left" vertical="center" wrapText="1"/>
    </xf>
    <xf numFmtId="0" fontId="12" fillId="18" borderId="0" xfId="0" applyFont="1" applyFill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12" fillId="18" borderId="0" xfId="0" applyFont="1" applyFill="1" applyAlignment="1">
      <alignment vertical="center" wrapText="1"/>
    </xf>
    <xf numFmtId="164" fontId="11" fillId="18" borderId="1" xfId="0" applyNumberFormat="1" applyFont="1" applyFill="1" applyBorder="1" applyAlignment="1">
      <alignment horizontal="center" vertical="center" wrapText="1"/>
    </xf>
    <xf numFmtId="49" fontId="26" fillId="18" borderId="1" xfId="0" applyNumberFormat="1" applyFont="1" applyFill="1" applyBorder="1" applyAlignment="1">
      <alignment horizontal="center" vertical="center" wrapText="1"/>
    </xf>
    <xf numFmtId="164" fontId="26" fillId="18" borderId="0" xfId="0" applyNumberFormat="1" applyFont="1" applyFill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vertical="center" wrapText="1"/>
    </xf>
    <xf numFmtId="0" fontId="21" fillId="18" borderId="0" xfId="0" applyFont="1" applyFill="1" applyAlignment="1">
      <alignment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left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vertical="center" wrapText="1"/>
    </xf>
    <xf numFmtId="1" fontId="12" fillId="9" borderId="0" xfId="0" applyNumberFormat="1" applyFont="1" applyFill="1" applyAlignment="1">
      <alignment vertical="center" wrapText="1"/>
    </xf>
    <xf numFmtId="0" fontId="0" fillId="18" borderId="1" xfId="0" applyNumberForma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Alignment="1">
      <alignment vertical="top"/>
    </xf>
    <xf numFmtId="0" fontId="35" fillId="5" borderId="0" xfId="0" applyFont="1" applyFill="1" applyAlignment="1">
      <alignment horizontal="left" vertical="top"/>
    </xf>
    <xf numFmtId="0" fontId="12" fillId="19" borderId="0" xfId="0" applyFont="1" applyFill="1" applyAlignment="1">
      <alignment vertical="center" wrapText="1"/>
    </xf>
    <xf numFmtId="0" fontId="12" fillId="20" borderId="0" xfId="0" applyFont="1" applyFill="1" applyAlignment="1">
      <alignment vertical="center" wrapText="1"/>
    </xf>
    <xf numFmtId="14" fontId="38" fillId="21" borderId="1" xfId="20" applyNumberFormat="1" applyFont="1" applyFill="1" applyBorder="1" applyAlignment="1">
      <alignment horizontal="center" vertical="center"/>
    </xf>
    <xf numFmtId="14" fontId="38" fillId="9" borderId="1" xfId="20" applyNumberFormat="1" applyFont="1" applyFill="1" applyBorder="1" applyAlignment="1">
      <alignment horizontal="center" vertical="center"/>
    </xf>
    <xf numFmtId="14" fontId="38" fillId="21" borderId="4" xfId="20" applyNumberFormat="1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36" fillId="10" borderId="1" xfId="20" applyFill="1" applyBorder="1" applyAlignment="1">
      <alignment horizontal="center" vertical="center"/>
    </xf>
    <xf numFmtId="0" fontId="14" fillId="8" borderId="1" xfId="0" applyFont="1" applyFill="1" applyBorder="1" applyAlignment="1"/>
    <xf numFmtId="0" fontId="0" fillId="0" borderId="1" xfId="0" applyBorder="1" applyAlignment="1"/>
    <xf numFmtId="0" fontId="29" fillId="7" borderId="1" xfId="0" applyFont="1" applyFill="1" applyBorder="1" applyAlignment="1">
      <alignment horizontal="left" vertical="center"/>
    </xf>
    <xf numFmtId="164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166" fontId="24" fillId="18" borderId="1" xfId="0" applyNumberFormat="1" applyFont="1" applyFill="1" applyBorder="1" applyAlignment="1">
      <alignment horizontal="center" vertical="center" wrapText="1"/>
    </xf>
    <xf numFmtId="1" fontId="29" fillId="18" borderId="1" xfId="0" applyNumberFormat="1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31" fillId="18" borderId="1" xfId="0" applyNumberFormat="1" applyFont="1" applyFill="1" applyBorder="1" applyAlignment="1">
      <alignment horizontal="left" vertical="center" wrapText="1"/>
    </xf>
    <xf numFmtId="0" fontId="31" fillId="18" borderId="1" xfId="0" applyFont="1" applyFill="1" applyBorder="1" applyAlignment="1">
      <alignment horizontal="left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29" fillId="18" borderId="1" xfId="0" applyNumberFormat="1" applyFont="1" applyFill="1" applyBorder="1" applyAlignment="1">
      <alignment horizontal="center" vertical="center"/>
    </xf>
    <xf numFmtId="0" fontId="29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14" fontId="30" fillId="6" borderId="1" xfId="0" applyNumberFormat="1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14" fontId="39" fillId="9" borderId="1" xfId="0" applyNumberFormat="1" applyFont="1" applyFill="1" applyBorder="1" applyAlignment="1" applyProtection="1">
      <alignment horizontal="center" vertical="center" wrapText="1"/>
      <protection locked="0"/>
    </xf>
    <xf numFmtId="14" fontId="39" fillId="9" borderId="1" xfId="20" applyNumberFormat="1" applyFont="1" applyFill="1" applyBorder="1" applyAlignment="1">
      <alignment horizontal="center" vertical="center"/>
    </xf>
    <xf numFmtId="14" fontId="39" fillId="9" borderId="1" xfId="0" applyNumberFormat="1" applyFont="1" applyFill="1" applyBorder="1" applyAlignment="1">
      <alignment horizontal="center" vertical="center" wrapText="1"/>
    </xf>
    <xf numFmtId="14" fontId="39" fillId="9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29" fillId="21" borderId="1" xfId="0" applyFont="1" applyFill="1" applyBorder="1" applyAlignment="1">
      <alignment horizontal="center" vertical="center"/>
    </xf>
    <xf numFmtId="14" fontId="5" fillId="21" borderId="1" xfId="20" applyNumberFormat="1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left" vertical="center"/>
    </xf>
    <xf numFmtId="0" fontId="29" fillId="1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9" fillId="18" borderId="1" xfId="0" applyFont="1" applyFill="1" applyBorder="1" applyAlignment="1">
      <alignment horizontal="left" vertical="center" wrapText="1"/>
    </xf>
    <xf numFmtId="0" fontId="29" fillId="18" borderId="1" xfId="0" applyFont="1" applyFill="1" applyBorder="1" applyAlignment="1">
      <alignment vertical="center" wrapText="1"/>
    </xf>
    <xf numFmtId="166" fontId="29" fillId="18" borderId="1" xfId="0" applyNumberFormat="1" applyFont="1" applyFill="1" applyBorder="1" applyAlignment="1">
      <alignment vertical="center" wrapText="1"/>
    </xf>
    <xf numFmtId="14" fontId="42" fillId="9" borderId="1" xfId="20" applyNumberFormat="1" applyFont="1" applyFill="1" applyBorder="1" applyAlignment="1">
      <alignment horizontal="center" vertical="center"/>
    </xf>
    <xf numFmtId="14" fontId="42" fillId="9" borderId="1" xfId="0" applyNumberFormat="1" applyFont="1" applyFill="1" applyBorder="1" applyAlignment="1">
      <alignment horizontal="center" vertical="center"/>
    </xf>
    <xf numFmtId="14" fontId="42" fillId="9" borderId="4" xfId="2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14" fontId="42" fillId="10" borderId="1" xfId="20" applyNumberFormat="1" applyFont="1" applyFill="1" applyBorder="1" applyAlignment="1">
      <alignment horizontal="center" vertical="center"/>
    </xf>
    <xf numFmtId="14" fontId="42" fillId="21" borderId="1" xfId="20" applyNumberFormat="1" applyFont="1" applyFill="1" applyBorder="1" applyAlignment="1">
      <alignment horizontal="center" vertical="center"/>
    </xf>
    <xf numFmtId="49" fontId="23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/>
    </xf>
    <xf numFmtId="14" fontId="42" fillId="6" borderId="1" xfId="20" applyNumberFormat="1" applyFont="1" applyFill="1" applyBorder="1" applyAlignment="1">
      <alignment horizontal="center" vertical="center"/>
    </xf>
    <xf numFmtId="49" fontId="21" fillId="10" borderId="1" xfId="0" applyNumberFormat="1" applyFont="1" applyFill="1" applyBorder="1" applyAlignment="1">
      <alignment horizontal="center" vertical="center" wrapText="1"/>
    </xf>
    <xf numFmtId="0" fontId="12" fillId="22" borderId="0" xfId="0" applyFont="1" applyFill="1" applyAlignment="1">
      <alignment vertical="center" wrapText="1"/>
    </xf>
    <xf numFmtId="0" fontId="34" fillId="21" borderId="1" xfId="20" applyFont="1" applyFill="1" applyBorder="1" applyAlignment="1">
      <alignment horizontal="center"/>
    </xf>
    <xf numFmtId="0" fontId="29" fillId="21" borderId="7" xfId="0" applyFont="1" applyFill="1" applyBorder="1" applyAlignment="1">
      <alignment horizontal="left" vertical="center"/>
    </xf>
    <xf numFmtId="14" fontId="38" fillId="9" borderId="4" xfId="20" applyNumberFormat="1" applyFont="1" applyFill="1" applyBorder="1" applyAlignment="1">
      <alignment horizontal="center" vertical="center"/>
    </xf>
    <xf numFmtId="14" fontId="42" fillId="21" borderId="4" xfId="20" applyNumberFormat="1" applyFont="1" applyFill="1" applyBorder="1" applyAlignment="1">
      <alignment horizontal="center" vertical="center"/>
    </xf>
    <xf numFmtId="0" fontId="31" fillId="18" borderId="7" xfId="0" applyFont="1" applyFill="1" applyBorder="1" applyAlignment="1">
      <alignment horizontal="left" vertical="center" wrapText="1"/>
    </xf>
    <xf numFmtId="0" fontId="31" fillId="18" borderId="3" xfId="0" applyFont="1" applyFill="1" applyBorder="1" applyAlignment="1">
      <alignment horizontal="center" vertical="center" wrapText="1"/>
    </xf>
    <xf numFmtId="14" fontId="38" fillId="21" borderId="8" xfId="20" applyNumberFormat="1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0" fontId="31" fillId="18" borderId="9" xfId="0" applyFont="1" applyFill="1" applyBorder="1" applyAlignment="1">
      <alignment horizontal="center" vertical="center" wrapText="1"/>
    </xf>
    <xf numFmtId="0" fontId="34" fillId="21" borderId="1" xfId="20" applyFont="1" applyFill="1" applyBorder="1" applyAlignment="1">
      <alignment horizontal="center" vertical="center"/>
    </xf>
    <xf numFmtId="14" fontId="38" fillId="16" borderId="4" xfId="20" applyNumberFormat="1" applyFont="1" applyFill="1" applyBorder="1" applyAlignment="1">
      <alignment horizontal="center" vertical="center"/>
    </xf>
    <xf numFmtId="14" fontId="38" fillId="10" borderId="1" xfId="20" applyNumberFormat="1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left" vertical="center" wrapText="1"/>
    </xf>
    <xf numFmtId="0" fontId="36" fillId="14" borderId="1" xfId="20" applyFill="1" applyBorder="1" applyAlignment="1">
      <alignment horizontal="center" vertical="center"/>
    </xf>
    <xf numFmtId="49" fontId="21" fillId="14" borderId="1" xfId="0" applyNumberFormat="1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left" vertical="center"/>
    </xf>
    <xf numFmtId="14" fontId="5" fillId="21" borderId="4" xfId="20" applyNumberFormat="1" applyFont="1" applyFill="1" applyBorder="1" applyAlignment="1">
      <alignment horizontal="center" vertical="center"/>
    </xf>
    <xf numFmtId="14" fontId="42" fillId="6" borderId="4" xfId="20" applyNumberFormat="1" applyFont="1" applyFill="1" applyBorder="1" applyAlignment="1">
      <alignment horizontal="center" vertical="center"/>
    </xf>
    <xf numFmtId="164" fontId="38" fillId="21" borderId="4" xfId="20" applyNumberFormat="1" applyFont="1" applyFill="1" applyBorder="1" applyAlignment="1">
      <alignment horizontal="center" vertical="center"/>
    </xf>
    <xf numFmtId="0" fontId="36" fillId="7" borderId="1" xfId="20" applyFill="1" applyBorder="1" applyAlignment="1">
      <alignment horizontal="center" vertical="center"/>
    </xf>
    <xf numFmtId="14" fontId="38" fillId="7" borderId="4" xfId="20" applyNumberFormat="1" applyFont="1" applyFill="1" applyBorder="1" applyAlignment="1">
      <alignment horizontal="center" vertical="center"/>
    </xf>
    <xf numFmtId="0" fontId="36" fillId="21" borderId="7" xfId="20" applyFill="1" applyBorder="1" applyAlignment="1">
      <alignment horizontal="left" vertical="center"/>
    </xf>
    <xf numFmtId="0" fontId="36" fillId="21" borderId="1" xfId="20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167" fontId="36" fillId="9" borderId="1" xfId="20" applyNumberFormat="1" applyFill="1" applyBorder="1" applyAlignment="1" applyProtection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0" fontId="31" fillId="18" borderId="11" xfId="0" applyFont="1" applyFill="1" applyBorder="1" applyAlignment="1">
      <alignment horizontal="left" vertical="center" wrapText="1"/>
    </xf>
    <xf numFmtId="0" fontId="31" fillId="18" borderId="10" xfId="0" applyFont="1" applyFill="1" applyBorder="1" applyAlignment="1">
      <alignment horizontal="left" vertical="center" wrapText="1"/>
    </xf>
    <xf numFmtId="14" fontId="42" fillId="9" borderId="4" xfId="0" applyNumberFormat="1" applyFont="1" applyFill="1" applyBorder="1" applyAlignment="1">
      <alignment horizontal="center" vertical="center"/>
    </xf>
    <xf numFmtId="14" fontId="42" fillId="21" borderId="12" xfId="20" applyNumberFormat="1" applyFont="1" applyFill="1" applyBorder="1" applyAlignment="1">
      <alignment horizontal="center" vertical="center"/>
    </xf>
    <xf numFmtId="14" fontId="38" fillId="14" borderId="4" xfId="20" applyNumberFormat="1" applyFont="1" applyFill="1" applyBorder="1" applyAlignment="1">
      <alignment horizontal="center" vertical="center"/>
    </xf>
    <xf numFmtId="49" fontId="23" fillId="6" borderId="9" xfId="0" applyNumberFormat="1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6" fillId="21" borderId="1" xfId="20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ont="1" applyFill="1" applyBorder="1" applyAlignment="1">
      <alignment horizontal="center" vertical="center"/>
    </xf>
    <xf numFmtId="167" fontId="36" fillId="0" borderId="7" xfId="20" applyNumberFormat="1" applyBorder="1" applyAlignment="1" applyProtection="1">
      <alignment horizontal="center" vertical="center"/>
    </xf>
    <xf numFmtId="167" fontId="36" fillId="0" borderId="5" xfId="20" applyNumberFormat="1" applyBorder="1" applyAlignment="1" applyProtection="1">
      <alignment horizontal="center" vertical="center"/>
    </xf>
    <xf numFmtId="167" fontId="36" fillId="9" borderId="1" xfId="20" applyNumberFormat="1" applyFill="1" applyBorder="1" applyAlignment="1" applyProtection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14" fontId="38" fillId="10" borderId="4" xfId="20" applyNumberFormat="1" applyFont="1" applyFill="1" applyBorder="1" applyAlignment="1">
      <alignment horizontal="center" vertical="center"/>
    </xf>
    <xf numFmtId="1" fontId="36" fillId="6" borderId="1" xfId="20" applyNumberFormat="1" applyFill="1" applyBorder="1" applyAlignment="1">
      <alignment horizontal="center" vertical="center"/>
    </xf>
    <xf numFmtId="167" fontId="36" fillId="6" borderId="1" xfId="20" applyNumberFormat="1" applyFill="1" applyBorder="1" applyAlignment="1" applyProtection="1">
      <alignment horizontal="center" vertical="center"/>
    </xf>
    <xf numFmtId="0" fontId="36" fillId="6" borderId="1" xfId="20" applyFill="1" applyBorder="1" applyAlignment="1">
      <alignment horizontal="center" vertical="center"/>
    </xf>
    <xf numFmtId="14" fontId="38" fillId="6" borderId="4" xfId="20" applyNumberFormat="1" applyFont="1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36" fillId="6" borderId="1" xfId="20" applyFont="1" applyFill="1" applyBorder="1" applyAlignment="1">
      <alignment horizontal="center" vertical="center"/>
    </xf>
    <xf numFmtId="14" fontId="5" fillId="6" borderId="4" xfId="20" applyNumberFormat="1" applyFont="1" applyFill="1" applyBorder="1" applyAlignment="1">
      <alignment horizontal="center" vertical="center"/>
    </xf>
    <xf numFmtId="0" fontId="29" fillId="22" borderId="1" xfId="0" applyNumberFormat="1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left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29" fillId="22" borderId="1" xfId="0" applyFon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1" xfId="20" applyFon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left" vertical="center" wrapText="1"/>
    </xf>
    <xf numFmtId="0" fontId="29" fillId="22" borderId="7" xfId="0" applyFont="1" applyFill="1" applyBorder="1" applyAlignment="1">
      <alignment horizontal="left" vertical="center"/>
    </xf>
    <xf numFmtId="14" fontId="5" fillId="22" borderId="4" xfId="20" applyNumberFormat="1" applyFont="1" applyFill="1" applyBorder="1" applyAlignment="1">
      <alignment horizontal="center" vertical="center"/>
    </xf>
    <xf numFmtId="49" fontId="21" fillId="23" borderId="1" xfId="0" applyNumberFormat="1" applyFont="1" applyFill="1" applyBorder="1" applyAlignment="1">
      <alignment horizontal="center" vertical="center" wrapText="1"/>
    </xf>
    <xf numFmtId="0" fontId="36" fillId="21" borderId="1" xfId="20" applyFill="1" applyBorder="1" applyAlignment="1">
      <alignment horizontal="left" vertical="center"/>
    </xf>
    <xf numFmtId="0" fontId="36" fillId="21" borderId="7" xfId="20" applyFont="1" applyFill="1" applyBorder="1" applyAlignment="1">
      <alignment horizontal="left" vertical="center"/>
    </xf>
    <xf numFmtId="167" fontId="36" fillId="21" borderId="7" xfId="20" applyNumberFormat="1" applyFill="1" applyBorder="1" applyAlignment="1">
      <alignment horizontal="left" vertical="center"/>
    </xf>
    <xf numFmtId="0" fontId="36" fillId="16" borderId="7" xfId="20" applyFill="1" applyBorder="1" applyAlignment="1">
      <alignment horizontal="left" vertical="center"/>
    </xf>
    <xf numFmtId="0" fontId="36" fillId="21" borderId="1" xfId="20" applyFont="1" applyFill="1" applyBorder="1" applyAlignment="1">
      <alignment horizontal="left" vertical="center"/>
    </xf>
    <xf numFmtId="0" fontId="36" fillId="14" borderId="7" xfId="20" applyFill="1" applyBorder="1" applyAlignment="1">
      <alignment horizontal="left" vertical="center"/>
    </xf>
    <xf numFmtId="0" fontId="36" fillId="7" borderId="7" xfId="20" applyFill="1" applyBorder="1" applyAlignment="1">
      <alignment horizontal="left" vertical="center"/>
    </xf>
    <xf numFmtId="0" fontId="36" fillId="21" borderId="7" xfId="20" applyFill="1" applyBorder="1" applyAlignment="1" applyProtection="1">
      <alignment horizontal="left" vertical="center"/>
      <protection locked="0"/>
    </xf>
    <xf numFmtId="0" fontId="36" fillId="10" borderId="7" xfId="20" applyFill="1" applyBorder="1" applyAlignment="1">
      <alignment horizontal="left" vertical="center"/>
    </xf>
    <xf numFmtId="0" fontId="36" fillId="6" borderId="7" xfId="20" applyFill="1" applyBorder="1" applyAlignment="1">
      <alignment horizontal="left" vertical="center"/>
    </xf>
    <xf numFmtId="0" fontId="36" fillId="21" borderId="1" xfId="20" applyFill="1" applyBorder="1" applyAlignment="1" applyProtection="1">
      <alignment horizontal="left" vertical="center"/>
      <protection locked="0"/>
    </xf>
    <xf numFmtId="0" fontId="36" fillId="6" borderId="7" xfId="20" applyFont="1" applyFill="1" applyBorder="1" applyAlignment="1">
      <alignment horizontal="left" vertical="center"/>
    </xf>
    <xf numFmtId="167" fontId="36" fillId="0" borderId="1" xfId="20" applyNumberFormat="1" applyBorder="1" applyAlignment="1" applyProtection="1">
      <alignment horizontal="left" vertical="center"/>
    </xf>
    <xf numFmtId="167" fontId="36" fillId="6" borderId="1" xfId="20" applyNumberFormat="1" applyFill="1" applyBorder="1" applyAlignment="1" applyProtection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36" fillId="0" borderId="1" xfId="20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36" fillId="6" borderId="1" xfId="20" applyFill="1" applyBorder="1" applyAlignment="1">
      <alignment horizontal="left" vertical="center" wrapText="1"/>
    </xf>
    <xf numFmtId="0" fontId="29" fillId="10" borderId="1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left" vertical="center" wrapText="1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1" xfId="20" applyFont="1" applyFill="1" applyBorder="1" applyAlignment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0" fontId="36" fillId="0" borderId="1" xfId="20" applyFill="1" applyBorder="1" applyAlignment="1">
      <alignment horizontal="center" vertical="center"/>
    </xf>
    <xf numFmtId="0" fontId="29" fillId="9" borderId="3" xfId="0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left" vertical="center"/>
    </xf>
    <xf numFmtId="0" fontId="36" fillId="0" borderId="0" xfId="20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67" fontId="36" fillId="10" borderId="1" xfId="20" applyNumberFormat="1" applyFill="1" applyBorder="1" applyAlignment="1" applyProtection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left" vertical="center"/>
    </xf>
    <xf numFmtId="14" fontId="5" fillId="10" borderId="1" xfId="20" applyNumberFormat="1" applyFont="1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7" xfId="20" applyFon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1" fontId="36" fillId="21" borderId="1" xfId="20" applyNumberFormat="1" applyFill="1" applyBorder="1" applyAlignment="1">
      <alignment horizontal="center" vertical="center"/>
    </xf>
    <xf numFmtId="0" fontId="36" fillId="0" borderId="1" xfId="20" applyBorder="1" applyAlignment="1">
      <alignment horizontal="center" vertical="center" wrapText="1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14" fontId="36" fillId="21" borderId="4" xfId="20" applyNumberFormat="1" applyFill="1" applyBorder="1" applyAlignment="1">
      <alignment horizontal="center" vertical="center"/>
    </xf>
    <xf numFmtId="0" fontId="36" fillId="21" borderId="1" xfId="20" applyFont="1" applyFill="1" applyBorder="1" applyAlignment="1">
      <alignment horizontal="center" vertical="center"/>
    </xf>
    <xf numFmtId="0" fontId="36" fillId="21" borderId="7" xfId="20" applyFont="1" applyFill="1" applyBorder="1" applyAlignment="1">
      <alignment horizontal="center" vertical="center"/>
    </xf>
    <xf numFmtId="14" fontId="36" fillId="21" borderId="4" xfId="20" applyNumberFormat="1" applyFont="1" applyFill="1" applyBorder="1" applyAlignment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" fontId="36" fillId="21" borderId="1" xfId="20" applyNumberFormat="1" applyFill="1" applyBorder="1" applyAlignment="1">
      <alignment horizontal="center" vertical="center"/>
    </xf>
    <xf numFmtId="0" fontId="36" fillId="21" borderId="1" xfId="20" applyFill="1" applyBorder="1" applyAlignment="1">
      <alignment horizontal="center" vertical="center"/>
    </xf>
    <xf numFmtId="0" fontId="36" fillId="21" borderId="7" xfId="20" applyFill="1" applyBorder="1" applyAlignment="1">
      <alignment horizontal="center" vertical="center"/>
    </xf>
    <xf numFmtId="0" fontId="36" fillId="21" borderId="1" xfId="20" applyFont="1" applyFill="1" applyBorder="1" applyAlignment="1">
      <alignment horizontal="center" vertical="center"/>
    </xf>
    <xf numFmtId="0" fontId="36" fillId="21" borderId="7" xfId="20" applyFont="1" applyFill="1" applyBorder="1" applyAlignment="1">
      <alignment horizontal="center" vertical="center"/>
    </xf>
    <xf numFmtId="0" fontId="36" fillId="21" borderId="7" xfId="20" applyFill="1" applyBorder="1" applyAlignment="1" applyProtection="1">
      <alignment horizontal="center" vertical="center"/>
      <protection locked="0"/>
    </xf>
    <xf numFmtId="1" fontId="36" fillId="21" borderId="1" xfId="20" applyNumberFormat="1" applyFill="1" applyBorder="1" applyAlignment="1">
      <alignment horizontal="center" vertical="center"/>
    </xf>
    <xf numFmtId="167" fontId="36" fillId="0" borderId="1" xfId="20" applyNumberFormat="1" applyBorder="1" applyAlignment="1" applyProtection="1">
      <alignment horizontal="center" vertical="center"/>
    </xf>
  </cellXfs>
  <cellStyles count="52">
    <cellStyle name="_Arkusz1" xfId="1" xr:uid="{00000000-0005-0000-0000-000000000000}"/>
    <cellStyle name="Dziesiętny [0] 2" xfId="5" xr:uid="{00000000-0005-0000-0000-000001000000}"/>
    <cellStyle name="Hiperłącze 2" xfId="21" xr:uid="{00000000-0005-0000-0000-000002000000}"/>
    <cellStyle name="Normalny" xfId="0" builtinId="0"/>
    <cellStyle name="Normalny 10" xfId="25" xr:uid="{00000000-0005-0000-0000-000004000000}"/>
    <cellStyle name="Normalny 11" xfId="28" xr:uid="{00000000-0005-0000-0000-000005000000}"/>
    <cellStyle name="Normalny 11 2" xfId="33" xr:uid="{00000000-0005-0000-0000-000006000000}"/>
    <cellStyle name="Normalny 11 2 2" xfId="50" xr:uid="{00000000-0005-0000-0000-000007000000}"/>
    <cellStyle name="Normalny 11 2 3" xfId="42" xr:uid="{00000000-0005-0000-0000-000008000000}"/>
    <cellStyle name="Normalny 11 3" xfId="46" xr:uid="{00000000-0005-0000-0000-000009000000}"/>
    <cellStyle name="Normalny 11 4" xfId="38" xr:uid="{00000000-0005-0000-0000-00000A000000}"/>
    <cellStyle name="Normalny 12" xfId="35" xr:uid="{00000000-0005-0000-0000-00000B000000}"/>
    <cellStyle name="Normalny 2" xfId="2" xr:uid="{00000000-0005-0000-0000-00000C000000}"/>
    <cellStyle name="Normalny 2 2" xfId="30" xr:uid="{00000000-0005-0000-0000-00000D000000}"/>
    <cellStyle name="Normalny 3" xfId="4" xr:uid="{00000000-0005-0000-0000-00000E000000}"/>
    <cellStyle name="Normalny 3 2" xfId="17" xr:uid="{00000000-0005-0000-0000-00000F000000}"/>
    <cellStyle name="Normalny 4" xfId="16" xr:uid="{00000000-0005-0000-0000-000010000000}"/>
    <cellStyle name="Normalny 5" xfId="3" xr:uid="{00000000-0005-0000-0000-000011000000}"/>
    <cellStyle name="Normalny 6" xfId="18" xr:uid="{00000000-0005-0000-0000-000012000000}"/>
    <cellStyle name="Normalny 6 2" xfId="19" xr:uid="{00000000-0005-0000-0000-000013000000}"/>
    <cellStyle name="Normalny 7" xfId="20" xr:uid="{00000000-0005-0000-0000-000014000000}"/>
    <cellStyle name="Normalny 8" xfId="23" xr:uid="{00000000-0005-0000-0000-000015000000}"/>
    <cellStyle name="Normalny 9" xfId="22" xr:uid="{00000000-0005-0000-0000-000016000000}"/>
    <cellStyle name="Normalny 9 2" xfId="29" xr:uid="{00000000-0005-0000-0000-000017000000}"/>
    <cellStyle name="Normalny 9 2 2" xfId="34" xr:uid="{00000000-0005-0000-0000-000018000000}"/>
    <cellStyle name="Normalny 9 2 2 2" xfId="51" xr:uid="{00000000-0005-0000-0000-000019000000}"/>
    <cellStyle name="Normalny 9 2 2 3" xfId="43" xr:uid="{00000000-0005-0000-0000-00001A000000}"/>
    <cellStyle name="Normalny 9 2 3" xfId="47" xr:uid="{00000000-0005-0000-0000-00001B000000}"/>
    <cellStyle name="Normalny 9 2 4" xfId="39" xr:uid="{00000000-0005-0000-0000-00001C000000}"/>
    <cellStyle name="Normalny 9 3" xfId="27" xr:uid="{00000000-0005-0000-0000-00001D000000}"/>
    <cellStyle name="Normalny 9 3 2" xfId="32" xr:uid="{00000000-0005-0000-0000-00001E000000}"/>
    <cellStyle name="Normalny 9 3 2 2" xfId="49" xr:uid="{00000000-0005-0000-0000-00001F000000}"/>
    <cellStyle name="Normalny 9 3 2 3" xfId="41" xr:uid="{00000000-0005-0000-0000-000020000000}"/>
    <cellStyle name="Normalny 9 3 3" xfId="45" xr:uid="{00000000-0005-0000-0000-000021000000}"/>
    <cellStyle name="Normalny 9 3 4" xfId="37" xr:uid="{00000000-0005-0000-0000-000022000000}"/>
    <cellStyle name="Normalny 9 4" xfId="31" xr:uid="{00000000-0005-0000-0000-000023000000}"/>
    <cellStyle name="Normalny 9 4 2" xfId="48" xr:uid="{00000000-0005-0000-0000-000024000000}"/>
    <cellStyle name="Normalny 9 4 3" xfId="40" xr:uid="{00000000-0005-0000-0000-000025000000}"/>
    <cellStyle name="Normalny 9 5" xfId="44" xr:uid="{00000000-0005-0000-0000-000026000000}"/>
    <cellStyle name="Normalny 9 6" xfId="36" xr:uid="{00000000-0005-0000-0000-000027000000}"/>
    <cellStyle name="Procentowy 2" xfId="24" xr:uid="{00000000-0005-0000-0000-000028000000}"/>
    <cellStyle name="Procentowy 3" xfId="26" xr:uid="{00000000-0005-0000-0000-000029000000}"/>
    <cellStyle name="Walutowy [0] 2" xfId="9" xr:uid="{00000000-0005-0000-0000-00002A000000}"/>
    <cellStyle name="桁区切り 2" xfId="6" xr:uid="{00000000-0005-0000-0000-00002B000000}"/>
    <cellStyle name="桁区切り 2 2" xfId="7" xr:uid="{00000000-0005-0000-0000-00002C000000}"/>
    <cellStyle name="桁区切り 3" xfId="8" xr:uid="{00000000-0005-0000-0000-00002D000000}"/>
    <cellStyle name="標準 2" xfId="11" xr:uid="{00000000-0005-0000-0000-00002E000000}"/>
    <cellStyle name="標準 2 2" xfId="12" xr:uid="{00000000-0005-0000-0000-00002F000000}"/>
    <cellStyle name="標準 3" xfId="13" xr:uid="{00000000-0005-0000-0000-000030000000}"/>
    <cellStyle name="標準 3 2" xfId="14" xr:uid="{00000000-0005-0000-0000-000031000000}"/>
    <cellStyle name="標準 4" xfId="15" xr:uid="{00000000-0005-0000-0000-000032000000}"/>
    <cellStyle name="通貨 2" xfId="10" xr:uid="{00000000-0005-0000-0000-000033000000}"/>
  </cellStyles>
  <dxfs count="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BDFC8E"/>
      <color rgb="FFFF6600"/>
      <color rgb="FFFF99FF"/>
      <color rgb="FFC59EE2"/>
      <color rgb="FFCCFF99"/>
      <color rgb="FFF2FFE5"/>
      <color rgb="FFFFD347"/>
      <color rgb="FFAE78D6"/>
      <color rgb="FFDCFFB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1428366</xdr:colOff>
      <xdr:row>776</xdr:row>
      <xdr:rowOff>37200</xdr:rowOff>
    </xdr:from>
    <xdr:ext cx="1102097" cy="468013"/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778991" y="136572122"/>
          <a:ext cx="1102097" cy="468013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pl-PL" sz="2400" b="1" cap="none" spc="0">
              <a:ln w="9525">
                <a:solidFill>
                  <a:sysClr val="windowText" lastClr="000000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zmiana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9">
    <tabColor rgb="FF92D050"/>
    <pageSetUpPr fitToPage="1"/>
  </sheetPr>
  <dimension ref="A1:AA1253"/>
  <sheetViews>
    <sheetView view="pageBreakPreview" zoomScaleNormal="100" zoomScaleSheetLayoutView="100" workbookViewId="0">
      <pane xSplit="4" ySplit="1" topLeftCell="E2" activePane="bottomRight" state="frozen"/>
      <selection pane="topRight" activeCell="F1" sqref="F1"/>
      <selection pane="bottomLeft" activeCell="A7" sqref="A7"/>
      <selection pane="bottomRight" activeCell="E1249" sqref="E1249"/>
    </sheetView>
  </sheetViews>
  <sheetFormatPr defaultColWidth="9.109375" defaultRowHeight="13.2"/>
  <cols>
    <col min="1" max="1" width="9" style="93" bestFit="1" customWidth="1"/>
    <col min="2" max="2" width="5" style="57" customWidth="1"/>
    <col min="3" max="3" width="34.33203125" style="1" customWidth="1"/>
    <col min="4" max="4" width="7.6640625" style="75" customWidth="1"/>
    <col min="5" max="5" width="11" style="2" customWidth="1"/>
    <col min="6" max="6" width="20.44140625" style="89" customWidth="1"/>
    <col min="7" max="7" width="8.33203125" style="77" customWidth="1"/>
    <col min="8" max="8" width="23.6640625" style="86" customWidth="1"/>
    <col min="9" max="9" width="20.44140625" style="89" bestFit="1" customWidth="1"/>
    <col min="10" max="10" width="7.6640625" style="80" customWidth="1"/>
    <col min="11" max="11" width="23.6640625" style="86" customWidth="1"/>
    <col min="12" max="12" width="11.6640625" style="83" customWidth="1"/>
    <col min="13" max="13" width="10.5546875" style="21" customWidth="1"/>
    <col min="14" max="14" width="9.5546875" style="21" customWidth="1"/>
    <col min="15" max="15" width="17.6640625" style="21" customWidth="1"/>
    <col min="16" max="16" width="14.44140625" style="25" customWidth="1"/>
    <col min="17" max="17" width="13.44140625" style="25" customWidth="1"/>
    <col min="18" max="18" width="14.44140625" style="25" customWidth="1"/>
    <col min="19" max="19" width="24.109375" style="44" customWidth="1"/>
    <col min="20" max="20" width="7.33203125" style="2" customWidth="1"/>
    <col min="21" max="21" width="8" style="2" customWidth="1"/>
    <col min="22" max="22" width="36.5546875" style="44" customWidth="1"/>
    <col min="23" max="23" width="47.109375" style="42" customWidth="1"/>
    <col min="24" max="24" width="12.6640625" style="66" customWidth="1"/>
    <col min="25" max="25" width="22.44140625" style="66" customWidth="1"/>
    <col min="26" max="26" width="8.33203125" style="66" customWidth="1"/>
    <col min="27" max="27" width="12.6640625" style="1" customWidth="1"/>
    <col min="28" max="16384" width="9.109375" style="1"/>
  </cols>
  <sheetData>
    <row r="1" spans="1:27" ht="77.25" customHeight="1">
      <c r="A1" s="90" t="s">
        <v>397</v>
      </c>
      <c r="B1" s="56" t="s">
        <v>2079</v>
      </c>
      <c r="C1" s="36" t="s">
        <v>398</v>
      </c>
      <c r="D1" s="72" t="s">
        <v>610</v>
      </c>
      <c r="E1" s="36" t="s">
        <v>1970</v>
      </c>
      <c r="F1" s="88" t="s">
        <v>733</v>
      </c>
      <c r="G1" s="72" t="s">
        <v>1257</v>
      </c>
      <c r="H1" s="84" t="s">
        <v>1280</v>
      </c>
      <c r="I1" s="88" t="s">
        <v>929</v>
      </c>
      <c r="J1" s="72" t="s">
        <v>1257</v>
      </c>
      <c r="K1" s="84" t="s">
        <v>1280</v>
      </c>
      <c r="L1" s="81" t="s">
        <v>930</v>
      </c>
      <c r="M1" s="37" t="s">
        <v>2001</v>
      </c>
      <c r="N1" s="37" t="s">
        <v>2002</v>
      </c>
      <c r="O1" s="37" t="s">
        <v>2085</v>
      </c>
      <c r="P1" s="36" t="s">
        <v>2080</v>
      </c>
      <c r="Q1" s="36" t="s">
        <v>2078</v>
      </c>
      <c r="R1" s="38" t="s">
        <v>2081</v>
      </c>
      <c r="S1" s="38" t="s">
        <v>2083</v>
      </c>
      <c r="T1" s="41" t="s">
        <v>2082</v>
      </c>
      <c r="U1" s="41" t="s">
        <v>2002</v>
      </c>
      <c r="V1" s="41" t="s">
        <v>2084</v>
      </c>
      <c r="W1" s="36" t="s">
        <v>931</v>
      </c>
      <c r="X1" s="67" t="s">
        <v>2624</v>
      </c>
      <c r="Y1" s="67" t="s">
        <v>2642</v>
      </c>
      <c r="Z1" s="67" t="s">
        <v>2646</v>
      </c>
      <c r="AA1" s="9" t="s">
        <v>2647</v>
      </c>
    </row>
    <row r="2" spans="1:27" ht="13.65" customHeight="1">
      <c r="A2" s="91">
        <v>1</v>
      </c>
      <c r="B2" s="19" t="s">
        <v>174</v>
      </c>
      <c r="C2" s="3" t="str">
        <f>VLOOKUP(D2,'lista 1'!$A$2:$F3520,4,0)</f>
        <v>SWAŁTEK BENIAMIN</v>
      </c>
      <c r="D2" s="73">
        <v>402</v>
      </c>
      <c r="E2" s="4" t="str">
        <f>VLOOKUP(D2,'lista 1'!$A$2:$F$1802,5,0)</f>
        <v>AGM</v>
      </c>
      <c r="F2" s="59" t="str">
        <f>VLOOKUP(G2,'lista obszary'!A:B,2,0)</f>
        <v>Production Management</v>
      </c>
      <c r="G2" s="76" t="s">
        <v>594</v>
      </c>
      <c r="H2" s="85" t="s">
        <v>2192</v>
      </c>
      <c r="I2" s="59" t="str">
        <f>VLOOKUP(J2,'lista obszary'!A:B,2,0)</f>
        <v>Production Management</v>
      </c>
      <c r="J2" s="78" t="s">
        <v>2397</v>
      </c>
      <c r="K2" s="87" t="s">
        <v>2192</v>
      </c>
      <c r="L2" s="82" t="s">
        <v>2333</v>
      </c>
      <c r="M2" s="23"/>
      <c r="N2" s="23"/>
      <c r="O2" s="23"/>
      <c r="P2" s="26" t="s">
        <v>175</v>
      </c>
      <c r="Q2" s="26" t="s">
        <v>2100</v>
      </c>
      <c r="R2" s="35"/>
      <c r="S2" s="48"/>
      <c r="T2" s="39"/>
      <c r="U2" s="40">
        <f t="shared" ref="U2:U65" si="0">L2-T2</f>
        <v>43466</v>
      </c>
      <c r="V2" s="46"/>
      <c r="W2" s="43"/>
      <c r="X2" s="66" t="e">
        <f>VLOOKUP(D2,#REF!,2,0)</f>
        <v>#REF!</v>
      </c>
      <c r="Y2" s="67" t="s">
        <v>2643</v>
      </c>
      <c r="Z2" s="67"/>
    </row>
    <row r="3" spans="1:27" ht="13.65" customHeight="1">
      <c r="A3" s="91">
        <v>2</v>
      </c>
      <c r="B3" s="19" t="s">
        <v>734</v>
      </c>
      <c r="C3" s="3" t="str">
        <f>VLOOKUP(D3,'lista 1'!$A$2:$F3521,4,0)</f>
        <v>CICHOWICZ MARIUSZ</v>
      </c>
      <c r="D3" s="73">
        <v>360</v>
      </c>
      <c r="E3" s="4" t="s">
        <v>1320</v>
      </c>
      <c r="F3" s="59" t="str">
        <f>VLOOKUP(G3,'lista obszary'!A:B,2,0)</f>
        <v>ENGINES</v>
      </c>
      <c r="G3" s="76" t="s">
        <v>1081</v>
      </c>
      <c r="H3" s="85" t="s">
        <v>545</v>
      </c>
      <c r="I3" s="59" t="str">
        <f>VLOOKUP(J3,'lista obszary'!A:B,2,0)</f>
        <v>HV</v>
      </c>
      <c r="J3" s="78" t="s">
        <v>2319</v>
      </c>
      <c r="K3" s="87" t="s">
        <v>534</v>
      </c>
      <c r="L3" s="82" t="s">
        <v>2333</v>
      </c>
      <c r="M3" s="23"/>
      <c r="N3" s="23"/>
      <c r="O3" s="23"/>
      <c r="P3" s="26" t="s">
        <v>175</v>
      </c>
      <c r="Q3" s="26" t="s">
        <v>2101</v>
      </c>
      <c r="R3" s="35"/>
      <c r="S3" s="48"/>
      <c r="T3" s="39"/>
      <c r="U3" s="40">
        <f t="shared" si="0"/>
        <v>43466</v>
      </c>
      <c r="V3" s="46"/>
      <c r="W3" s="43"/>
      <c r="X3" s="66" t="e">
        <f>VLOOKUP(D3,#REF!,2,0)</f>
        <v>#REF!</v>
      </c>
      <c r="Y3" s="67" t="b">
        <f>F3=I3</f>
        <v>0</v>
      </c>
      <c r="Z3" s="67"/>
    </row>
    <row r="4" spans="1:27" ht="13.65" customHeight="1">
      <c r="A4" s="91">
        <v>3</v>
      </c>
      <c r="B4" s="19" t="s">
        <v>174</v>
      </c>
      <c r="C4" s="3" t="e">
        <f>VLOOKUP(D4,'lista 1'!$A$2:$F3522,4,0)</f>
        <v>#N/A</v>
      </c>
      <c r="D4" s="73">
        <v>64215</v>
      </c>
      <c r="E4" s="4" t="e">
        <f>VLOOKUP(D4,'lista 1'!$A$2:$F$1802,5,0)</f>
        <v>#N/A</v>
      </c>
      <c r="F4" s="59" t="str">
        <f>VLOOKUP(G4,'lista obszary'!A:B,2,0)</f>
        <v>IL</v>
      </c>
      <c r="G4" s="76" t="s">
        <v>234</v>
      </c>
      <c r="H4" s="85" t="s">
        <v>1560</v>
      </c>
      <c r="I4" s="59" t="str">
        <f>VLOOKUP(J4,'lista obszary'!A:B,2,0)</f>
        <v>IL</v>
      </c>
      <c r="J4" s="78" t="s">
        <v>2087</v>
      </c>
      <c r="K4" s="87" t="s">
        <v>1923</v>
      </c>
      <c r="L4" s="82" t="s">
        <v>2332</v>
      </c>
      <c r="M4" s="23"/>
      <c r="N4" s="23"/>
      <c r="O4" s="23"/>
      <c r="P4" s="26" t="s">
        <v>175</v>
      </c>
      <c r="Q4" s="26"/>
      <c r="R4" s="35"/>
      <c r="S4" s="48"/>
      <c r="T4" s="39"/>
      <c r="U4" s="40">
        <f t="shared" si="0"/>
        <v>43467</v>
      </c>
      <c r="V4" s="46"/>
      <c r="W4" s="43"/>
      <c r="X4" s="66" t="e">
        <f>VLOOKUP(D4,#REF!,2,0)</f>
        <v>#REF!</v>
      </c>
      <c r="Y4" s="67" t="s">
        <v>2643</v>
      </c>
      <c r="Z4" s="67"/>
    </row>
    <row r="5" spans="1:27" ht="13.65" customHeight="1">
      <c r="A5" s="91">
        <v>4</v>
      </c>
      <c r="B5" s="19" t="s">
        <v>174</v>
      </c>
      <c r="C5" s="3" t="str">
        <f>VLOOKUP(D5,'lista 1'!$A$2:$F3523,4,0)</f>
        <v>SMĘTKOWSKI SŁAWOMIR</v>
      </c>
      <c r="D5" s="73">
        <v>1359</v>
      </c>
      <c r="E5" s="4" t="s">
        <v>223</v>
      </c>
      <c r="F5" s="59" t="str">
        <f>VLOOKUP(G5,'lista obszary'!A:B,2,0)</f>
        <v>IL</v>
      </c>
      <c r="G5" s="76" t="s">
        <v>1039</v>
      </c>
      <c r="H5" s="85" t="s">
        <v>1910</v>
      </c>
      <c r="I5" s="59" t="str">
        <f>VLOOKUP(J5,'lista obszary'!A:B,2,0)</f>
        <v>IL</v>
      </c>
      <c r="J5" s="78" t="s">
        <v>881</v>
      </c>
      <c r="K5" s="87" t="s">
        <v>1910</v>
      </c>
      <c r="L5" s="82" t="s">
        <v>2332</v>
      </c>
      <c r="M5" s="23"/>
      <c r="N5" s="23"/>
      <c r="O5" s="23"/>
      <c r="P5" s="26" t="s">
        <v>175</v>
      </c>
      <c r="Q5" s="26"/>
      <c r="R5" s="35"/>
      <c r="S5" s="48"/>
      <c r="T5" s="39"/>
      <c r="U5" s="40">
        <f t="shared" si="0"/>
        <v>43467</v>
      </c>
      <c r="V5" s="46"/>
      <c r="W5" s="43"/>
      <c r="X5" s="66" t="e">
        <f>VLOOKUP(D5,#REF!,2,0)</f>
        <v>#REF!</v>
      </c>
      <c r="Y5" s="67" t="b">
        <f>F5=I5</f>
        <v>1</v>
      </c>
      <c r="Z5" s="67"/>
    </row>
    <row r="6" spans="1:27" ht="13.65" customHeight="1">
      <c r="A6" s="91">
        <v>5</v>
      </c>
      <c r="B6" s="19" t="s">
        <v>174</v>
      </c>
      <c r="C6" s="3" t="e">
        <f>VLOOKUP(D6,'lista 1'!$A$2:$F3524,4,0)</f>
        <v>#N/A</v>
      </c>
      <c r="D6" s="73">
        <v>64333</v>
      </c>
      <c r="E6" s="4" t="s">
        <v>643</v>
      </c>
      <c r="F6" s="59" t="str">
        <f>VLOOKUP(G6,'lista obszary'!A:B,2,0)</f>
        <v>IL</v>
      </c>
      <c r="G6" s="76" t="s">
        <v>2087</v>
      </c>
      <c r="H6" s="85" t="s">
        <v>1923</v>
      </c>
      <c r="I6" s="59" t="str">
        <f>VLOOKUP(J6,'lista obszary'!A:B,2,0)</f>
        <v>IL</v>
      </c>
      <c r="J6" s="78" t="s">
        <v>1063</v>
      </c>
      <c r="K6" s="87" t="s">
        <v>1560</v>
      </c>
      <c r="L6" s="82" t="s">
        <v>2332</v>
      </c>
      <c r="M6" s="23"/>
      <c r="N6" s="23"/>
      <c r="O6" s="23"/>
      <c r="P6" s="26" t="s">
        <v>175</v>
      </c>
      <c r="Q6" s="26"/>
      <c r="R6" s="35"/>
      <c r="S6" s="48"/>
      <c r="T6" s="39"/>
      <c r="U6" s="40">
        <f t="shared" si="0"/>
        <v>43467</v>
      </c>
      <c r="V6" s="46"/>
      <c r="W6" s="43"/>
      <c r="X6" s="66" t="e">
        <f>VLOOKUP(D6,#REF!,2,0)</f>
        <v>#REF!</v>
      </c>
      <c r="Y6" s="67" t="s">
        <v>2643</v>
      </c>
      <c r="Z6" s="67"/>
    </row>
    <row r="7" spans="1:27" ht="13.65" customHeight="1">
      <c r="A7" s="91">
        <v>6</v>
      </c>
      <c r="B7" s="19" t="s">
        <v>174</v>
      </c>
      <c r="C7" s="3" t="str">
        <f>VLOOKUP(D7,'lista 1'!$A$2:$F3525,4,0)</f>
        <v>JAGODZIŃSKI KAZIMIERZ</v>
      </c>
      <c r="D7" s="73">
        <v>11</v>
      </c>
      <c r="E7" s="4" t="str">
        <f>VLOOKUP(D7,'lista 1'!$A$2:$F$1802,5,0)</f>
        <v>GM</v>
      </c>
      <c r="F7" s="59" t="str">
        <f>VLOOKUP(G7,'lista obszary'!A:B,2,0)</f>
        <v>Production Management</v>
      </c>
      <c r="G7" s="76" t="s">
        <v>2397</v>
      </c>
      <c r="H7" s="85" t="s">
        <v>2067</v>
      </c>
      <c r="I7" s="59" t="str">
        <f>VLOOKUP(J7,'lista obszary'!A:B,2,0)</f>
        <v>Production Management</v>
      </c>
      <c r="J7" s="78" t="s">
        <v>2398</v>
      </c>
      <c r="K7" s="87" t="s">
        <v>2399</v>
      </c>
      <c r="L7" s="82" t="s">
        <v>2332</v>
      </c>
      <c r="M7" s="23"/>
      <c r="N7" s="23"/>
      <c r="O7" s="23"/>
      <c r="P7" s="26" t="s">
        <v>175</v>
      </c>
      <c r="Q7" s="26"/>
      <c r="R7" s="35"/>
      <c r="S7" s="48"/>
      <c r="T7" s="39"/>
      <c r="U7" s="40">
        <f t="shared" si="0"/>
        <v>43467</v>
      </c>
      <c r="V7" s="46"/>
      <c r="W7" s="43"/>
      <c r="X7" s="66" t="e">
        <f>VLOOKUP(D7,#REF!,2,0)</f>
        <v>#REF!</v>
      </c>
      <c r="Y7" s="67" t="s">
        <v>2643</v>
      </c>
      <c r="Z7" s="67"/>
    </row>
    <row r="8" spans="1:27" ht="13.65" customHeight="1">
      <c r="A8" s="91">
        <v>7</v>
      </c>
      <c r="B8" s="19" t="s">
        <v>174</v>
      </c>
      <c r="C8" s="3" t="e">
        <f>VLOOKUP(D8,'lista 1'!$A$2:$F3526,4,0)</f>
        <v>#N/A</v>
      </c>
      <c r="D8" s="73">
        <v>64328</v>
      </c>
      <c r="E8" s="4" t="e">
        <f>VLOOKUP(D8,'lista 1'!$A$2:$F$1802,5,0)</f>
        <v>#N/A</v>
      </c>
      <c r="F8" s="59" t="str">
        <f>VLOOKUP(G8,'lista obszary'!A:B,2,0)</f>
        <v>FORGING</v>
      </c>
      <c r="G8" s="76" t="s">
        <v>1335</v>
      </c>
      <c r="H8" s="85" t="s">
        <v>1543</v>
      </c>
      <c r="I8" s="59" t="str">
        <f>VLOOKUP(J8,'lista obszary'!A:B,2,0)</f>
        <v>FORGING</v>
      </c>
      <c r="J8" s="78" t="s">
        <v>457</v>
      </c>
      <c r="K8" s="87" t="s">
        <v>1369</v>
      </c>
      <c r="L8" s="82" t="s">
        <v>2332</v>
      </c>
      <c r="M8" s="23"/>
      <c r="N8" s="23"/>
      <c r="O8" s="23"/>
      <c r="P8" s="26" t="s">
        <v>175</v>
      </c>
      <c r="Q8" s="26"/>
      <c r="R8" s="35"/>
      <c r="S8" s="48"/>
      <c r="T8" s="39"/>
      <c r="U8" s="40">
        <f t="shared" si="0"/>
        <v>43467</v>
      </c>
      <c r="V8" s="46"/>
      <c r="W8" s="43"/>
      <c r="X8" s="66" t="e">
        <f>VLOOKUP(D8,#REF!,2,0)</f>
        <v>#REF!</v>
      </c>
      <c r="Y8" s="67" t="s">
        <v>2643</v>
      </c>
      <c r="Z8" s="67"/>
    </row>
    <row r="9" spans="1:27" ht="13.65" customHeight="1">
      <c r="A9" s="91">
        <v>8</v>
      </c>
      <c r="B9" s="19" t="s">
        <v>734</v>
      </c>
      <c r="C9" s="3" t="str">
        <f>VLOOKUP(D9,'lista 1'!$A$2:$F3527,4,0)</f>
        <v>ANTONIEWICZ ANNA</v>
      </c>
      <c r="D9" s="73">
        <v>2111</v>
      </c>
      <c r="E9" s="4" t="str">
        <f>VLOOKUP(D9,'lista 1'!$A$2:$F$1802,5,0)</f>
        <v>TM</v>
      </c>
      <c r="F9" s="59" t="str">
        <f>VLOOKUP(G9,'lista obszary'!A:B,2,0)</f>
        <v>MTB0</v>
      </c>
      <c r="G9" s="76" t="s">
        <v>1090</v>
      </c>
      <c r="H9" s="85" t="s">
        <v>1908</v>
      </c>
      <c r="I9" s="59" t="str">
        <f>VLOOKUP(J9,'lista obszary'!A:B,2,0)</f>
        <v>HV</v>
      </c>
      <c r="J9" s="78" t="s">
        <v>2319</v>
      </c>
      <c r="K9" s="87" t="s">
        <v>528</v>
      </c>
      <c r="L9" s="82" t="s">
        <v>2332</v>
      </c>
      <c r="M9" s="23"/>
      <c r="N9" s="23"/>
      <c r="O9" s="23"/>
      <c r="P9" s="26" t="s">
        <v>175</v>
      </c>
      <c r="Q9" s="26"/>
      <c r="R9" s="35"/>
      <c r="S9" s="48"/>
      <c r="T9" s="39"/>
      <c r="U9" s="40">
        <f t="shared" si="0"/>
        <v>43467</v>
      </c>
      <c r="V9" s="46"/>
      <c r="W9" s="43"/>
      <c r="X9" s="66" t="e">
        <f>VLOOKUP(D9,#REF!,2,0)</f>
        <v>#REF!</v>
      </c>
      <c r="Y9" s="67" t="b">
        <f>F9=I9</f>
        <v>0</v>
      </c>
      <c r="Z9" s="67"/>
    </row>
    <row r="10" spans="1:27" ht="13.65" customHeight="1">
      <c r="A10" s="91">
        <v>9</v>
      </c>
      <c r="B10" s="19" t="s">
        <v>734</v>
      </c>
      <c r="C10" s="3" t="str">
        <f>VLOOKUP(D10,'lista 1'!$A$2:$F3528,4,0)</f>
        <v>SUSZEK MIROSŁAW</v>
      </c>
      <c r="D10" s="73">
        <v>252</v>
      </c>
      <c r="E10" s="4" t="s">
        <v>1339</v>
      </c>
      <c r="F10" s="59" t="str">
        <f>VLOOKUP(G10,'lista obszary'!A:B,2,0)</f>
        <v>MTB0</v>
      </c>
      <c r="G10" s="76" t="s">
        <v>1090</v>
      </c>
      <c r="H10" s="85" t="s">
        <v>1565</v>
      </c>
      <c r="I10" s="59" t="str">
        <f>VLOOKUP(J10,'lista obszary'!A:B,2,0)</f>
        <v>DOJO/QCC/KAIZEN</v>
      </c>
      <c r="J10" s="78" t="s">
        <v>1991</v>
      </c>
      <c r="K10" s="87" t="s">
        <v>1572</v>
      </c>
      <c r="L10" s="82" t="s">
        <v>2332</v>
      </c>
      <c r="M10" s="23"/>
      <c r="N10" s="23"/>
      <c r="O10" s="23"/>
      <c r="P10" s="26" t="s">
        <v>175</v>
      </c>
      <c r="Q10" s="26"/>
      <c r="R10" s="35"/>
      <c r="S10" s="48"/>
      <c r="T10" s="39"/>
      <c r="U10" s="40">
        <f t="shared" si="0"/>
        <v>43467</v>
      </c>
      <c r="V10" s="46"/>
      <c r="W10" s="43"/>
      <c r="X10" s="66" t="e">
        <f>VLOOKUP(D10,#REF!,2,0)</f>
        <v>#REF!</v>
      </c>
      <c r="Y10" s="67" t="s">
        <v>2644</v>
      </c>
      <c r="Z10" s="67"/>
    </row>
    <row r="11" spans="1:27" ht="13.65" customHeight="1">
      <c r="A11" s="91">
        <v>10</v>
      </c>
      <c r="B11" s="19" t="s">
        <v>734</v>
      </c>
      <c r="C11" s="3" t="str">
        <f>VLOOKUP(D11,'lista 1'!$A$2:$F3529,4,0)</f>
        <v>OLEŚ MAŁGORZATA</v>
      </c>
      <c r="D11" s="73">
        <v>2308</v>
      </c>
      <c r="E11" s="4" t="s">
        <v>451</v>
      </c>
      <c r="F11" s="59" t="str">
        <f>VLOOKUP(G11,'lista obszary'!A:B,2,0)</f>
        <v>MTB0</v>
      </c>
      <c r="G11" s="76" t="s">
        <v>1262</v>
      </c>
      <c r="H11" s="85" t="s">
        <v>1383</v>
      </c>
      <c r="I11" s="59" t="str">
        <f>VLOOKUP(J11,'lista obszary'!A:B,2,0)</f>
        <v>HV</v>
      </c>
      <c r="J11" s="78" t="s">
        <v>2324</v>
      </c>
      <c r="K11" s="87" t="s">
        <v>2326</v>
      </c>
      <c r="L11" s="82" t="s">
        <v>2332</v>
      </c>
      <c r="M11" s="23"/>
      <c r="N11" s="23"/>
      <c r="O11" s="23"/>
      <c r="P11" s="26" t="s">
        <v>175</v>
      </c>
      <c r="Q11" s="26"/>
      <c r="R11" s="35"/>
      <c r="S11" s="48"/>
      <c r="T11" s="39"/>
      <c r="U11" s="40">
        <f t="shared" si="0"/>
        <v>43467</v>
      </c>
      <c r="V11" s="46"/>
      <c r="W11" s="43"/>
      <c r="X11" s="66" t="e">
        <f>VLOOKUP(D11,#REF!,2,0)</f>
        <v>#REF!</v>
      </c>
      <c r="Y11" s="67" t="b">
        <f>F11=I11</f>
        <v>0</v>
      </c>
      <c r="Z11" s="67"/>
    </row>
    <row r="12" spans="1:27" ht="13.65" customHeight="1">
      <c r="A12" s="91">
        <v>11</v>
      </c>
      <c r="B12" s="19" t="s">
        <v>174</v>
      </c>
      <c r="C12" s="3" t="str">
        <f>VLOOKUP(D12,'lista 1'!$A$2:$F3530,4,0)</f>
        <v>BĘDZIŃSKI MARIUSZ</v>
      </c>
      <c r="D12" s="73">
        <v>2196</v>
      </c>
      <c r="E12" s="4" t="s">
        <v>451</v>
      </c>
      <c r="F12" s="59" t="str">
        <f>VLOOKUP(G12,'lista obszary'!A:B,2,0)</f>
        <v>CASTING</v>
      </c>
      <c r="G12" s="76" t="s">
        <v>683</v>
      </c>
      <c r="H12" s="85" t="s">
        <v>1900</v>
      </c>
      <c r="I12" s="59" t="str">
        <f>VLOOKUP(J12,'lista obszary'!A:B,2,0)</f>
        <v>CASTING</v>
      </c>
      <c r="J12" s="78" t="s">
        <v>685</v>
      </c>
      <c r="K12" s="87" t="s">
        <v>1559</v>
      </c>
      <c r="L12" s="82" t="s">
        <v>2332</v>
      </c>
      <c r="M12" s="23"/>
      <c r="N12" s="23"/>
      <c r="O12" s="23"/>
      <c r="P12" s="26" t="s">
        <v>175</v>
      </c>
      <c r="Q12" s="26"/>
      <c r="R12" s="35"/>
      <c r="S12" s="48"/>
      <c r="T12" s="39"/>
      <c r="U12" s="40">
        <f t="shared" si="0"/>
        <v>43467</v>
      </c>
      <c r="V12" s="46"/>
      <c r="W12" s="43"/>
      <c r="X12" s="66" t="e">
        <f>VLOOKUP(D12,#REF!,2,0)</f>
        <v>#REF!</v>
      </c>
      <c r="Y12" s="67" t="b">
        <f>F12=I12</f>
        <v>1</v>
      </c>
      <c r="Z12" s="67"/>
    </row>
    <row r="13" spans="1:27" ht="13.65" customHeight="1">
      <c r="A13" s="91">
        <v>12</v>
      </c>
      <c r="B13" s="19" t="s">
        <v>174</v>
      </c>
      <c r="C13" s="3" t="str">
        <f>VLOOKUP(D13,'lista 1'!$A$2:$F3531,4,0)</f>
        <v>HURKOT PIOTR</v>
      </c>
      <c r="D13" s="73">
        <v>1302</v>
      </c>
      <c r="E13" s="4" t="str">
        <f>VLOOKUP(D13,'lista 1'!$A$2:$F$1802,5,0)</f>
        <v>TM2</v>
      </c>
      <c r="F13" s="59" t="str">
        <f>VLOOKUP(G13,'lista obszary'!A:B,2,0)</f>
        <v>CASTING</v>
      </c>
      <c r="G13" s="76" t="s">
        <v>683</v>
      </c>
      <c r="H13" s="85" t="s">
        <v>1900</v>
      </c>
      <c r="I13" s="59" t="str">
        <f>VLOOKUP(J13,'lista obszary'!A:B,2,0)</f>
        <v>CASTING</v>
      </c>
      <c r="J13" s="78" t="s">
        <v>685</v>
      </c>
      <c r="K13" s="87" t="s">
        <v>1559</v>
      </c>
      <c r="L13" s="82" t="s">
        <v>2332</v>
      </c>
      <c r="M13" s="23"/>
      <c r="N13" s="23"/>
      <c r="O13" s="23"/>
      <c r="P13" s="26" t="s">
        <v>175</v>
      </c>
      <c r="Q13" s="26"/>
      <c r="R13" s="35"/>
      <c r="S13" s="48"/>
      <c r="T13" s="39"/>
      <c r="U13" s="40">
        <f t="shared" si="0"/>
        <v>43467</v>
      </c>
      <c r="V13" s="46"/>
      <c r="W13" s="43"/>
      <c r="X13" s="66" t="e">
        <f>VLOOKUP(D13,#REF!,2,0)</f>
        <v>#REF!</v>
      </c>
      <c r="Y13" s="67" t="b">
        <f>F13=I13</f>
        <v>1</v>
      </c>
      <c r="Z13" s="67"/>
    </row>
    <row r="14" spans="1:27" ht="13.65" customHeight="1">
      <c r="A14" s="91">
        <v>13</v>
      </c>
      <c r="B14" s="19" t="s">
        <v>174</v>
      </c>
      <c r="C14" s="3" t="str">
        <f>VLOOKUP(D14,'lista 1'!$A$2:$F3532,4,0)</f>
        <v>KAŁENDEK DAMIAN</v>
      </c>
      <c r="D14" s="73">
        <v>2150</v>
      </c>
      <c r="E14" s="4" t="s">
        <v>223</v>
      </c>
      <c r="F14" s="59" t="str">
        <f>VLOOKUP(G14,'lista obszary'!A:B,2,0)</f>
        <v>CASTING</v>
      </c>
      <c r="G14" s="76" t="s">
        <v>683</v>
      </c>
      <c r="H14" s="85" t="s">
        <v>1900</v>
      </c>
      <c r="I14" s="59" t="str">
        <f>VLOOKUP(J14,'lista obszary'!A:B,2,0)</f>
        <v>CASTING</v>
      </c>
      <c r="J14" s="78" t="s">
        <v>685</v>
      </c>
      <c r="K14" s="87" t="s">
        <v>1559</v>
      </c>
      <c r="L14" s="82" t="s">
        <v>2332</v>
      </c>
      <c r="M14" s="23"/>
      <c r="N14" s="23"/>
      <c r="O14" s="23"/>
      <c r="P14" s="26" t="s">
        <v>175</v>
      </c>
      <c r="Q14" s="26"/>
      <c r="R14" s="35"/>
      <c r="S14" s="48"/>
      <c r="T14" s="39"/>
      <c r="U14" s="40">
        <f t="shared" si="0"/>
        <v>43467</v>
      </c>
      <c r="V14" s="46"/>
      <c r="W14" s="43"/>
      <c r="X14" s="66" t="e">
        <f>VLOOKUP(D14,#REF!,2,0)</f>
        <v>#REF!</v>
      </c>
      <c r="Y14" s="67" t="s">
        <v>2645</v>
      </c>
      <c r="Z14" s="67"/>
    </row>
    <row r="15" spans="1:27" ht="13.65" customHeight="1">
      <c r="A15" s="91">
        <v>14</v>
      </c>
      <c r="B15" s="19" t="s">
        <v>174</v>
      </c>
      <c r="C15" s="3" t="str">
        <f>VLOOKUP(D15,'lista 1'!$A$2:$F3533,4,0)</f>
        <v>KOWALCZYK TOMASZ</v>
      </c>
      <c r="D15" s="73">
        <v>1401</v>
      </c>
      <c r="E15" s="4" t="s">
        <v>223</v>
      </c>
      <c r="F15" s="59" t="str">
        <f>VLOOKUP(G15,'lista obszary'!A:B,2,0)</f>
        <v>CASTING</v>
      </c>
      <c r="G15" s="76" t="s">
        <v>683</v>
      </c>
      <c r="H15" s="85" t="s">
        <v>1900</v>
      </c>
      <c r="I15" s="59" t="str">
        <f>VLOOKUP(J15,'lista obszary'!A:B,2,0)</f>
        <v>CASTING</v>
      </c>
      <c r="J15" s="78" t="s">
        <v>685</v>
      </c>
      <c r="K15" s="87" t="s">
        <v>1559</v>
      </c>
      <c r="L15" s="82" t="s">
        <v>2332</v>
      </c>
      <c r="M15" s="23"/>
      <c r="N15" s="23"/>
      <c r="O15" s="23"/>
      <c r="P15" s="26" t="s">
        <v>175</v>
      </c>
      <c r="Q15" s="26"/>
      <c r="R15" s="35"/>
      <c r="S15" s="48"/>
      <c r="T15" s="39"/>
      <c r="U15" s="40">
        <f t="shared" si="0"/>
        <v>43467</v>
      </c>
      <c r="V15" s="46"/>
      <c r="W15" s="43"/>
      <c r="X15" s="66" t="e">
        <f>VLOOKUP(D15,#REF!,2,0)</f>
        <v>#REF!</v>
      </c>
      <c r="Y15" s="67" t="s">
        <v>2643</v>
      </c>
      <c r="Z15" s="67"/>
    </row>
    <row r="16" spans="1:27" ht="13.65" customHeight="1">
      <c r="A16" s="91">
        <v>15</v>
      </c>
      <c r="B16" s="19" t="s">
        <v>174</v>
      </c>
      <c r="C16" s="3" t="str">
        <f>VLOOKUP(D16,'lista 1'!$A$2:$F3534,4,0)</f>
        <v>KRYCH RAFAŁ</v>
      </c>
      <c r="D16" s="73">
        <v>1317</v>
      </c>
      <c r="E16" s="4" t="s">
        <v>223</v>
      </c>
      <c r="F16" s="59" t="str">
        <f>VLOOKUP(G16,'lista obszary'!A:B,2,0)</f>
        <v>CASTING</v>
      </c>
      <c r="G16" s="76" t="s">
        <v>683</v>
      </c>
      <c r="H16" s="85" t="s">
        <v>1900</v>
      </c>
      <c r="I16" s="59" t="str">
        <f>VLOOKUP(J16,'lista obszary'!A:B,2,0)</f>
        <v>CASTING</v>
      </c>
      <c r="J16" s="78" t="s">
        <v>685</v>
      </c>
      <c r="K16" s="87" t="s">
        <v>1559</v>
      </c>
      <c r="L16" s="82" t="s">
        <v>2332</v>
      </c>
      <c r="M16" s="23"/>
      <c r="N16" s="23"/>
      <c r="O16" s="23"/>
      <c r="P16" s="26" t="s">
        <v>175</v>
      </c>
      <c r="Q16" s="26"/>
      <c r="R16" s="35"/>
      <c r="S16" s="48"/>
      <c r="T16" s="39"/>
      <c r="U16" s="40">
        <f t="shared" si="0"/>
        <v>43467</v>
      </c>
      <c r="V16" s="46"/>
      <c r="W16" s="43"/>
      <c r="X16" s="66" t="e">
        <f>VLOOKUP(D16,#REF!,2,0)</f>
        <v>#REF!</v>
      </c>
      <c r="Y16" s="67" t="b">
        <f>F16=I16</f>
        <v>1</v>
      </c>
      <c r="Z16" s="67"/>
    </row>
    <row r="17" spans="1:26" ht="13.65" customHeight="1">
      <c r="A17" s="91">
        <v>16</v>
      </c>
      <c r="B17" s="19" t="s">
        <v>174</v>
      </c>
      <c r="C17" s="3" t="e">
        <f>VLOOKUP(D17,'lista 1'!$A$2:$F3535,4,0)</f>
        <v>#N/A</v>
      </c>
      <c r="D17" s="73">
        <v>64222</v>
      </c>
      <c r="E17" s="4" t="e">
        <f>VLOOKUP(D17,'lista 1'!$A$2:$F$1802,5,0)</f>
        <v>#N/A</v>
      </c>
      <c r="F17" s="59" t="str">
        <f>VLOOKUP(G17,'lista obszary'!A:B,2,0)</f>
        <v>CASTING</v>
      </c>
      <c r="G17" s="76" t="s">
        <v>683</v>
      </c>
      <c r="H17" s="85" t="s">
        <v>1900</v>
      </c>
      <c r="I17" s="59" t="str">
        <f>VLOOKUP(J17,'lista obszary'!A:B,2,0)</f>
        <v>CASTING</v>
      </c>
      <c r="J17" s="78" t="s">
        <v>685</v>
      </c>
      <c r="K17" s="87" t="s">
        <v>1559</v>
      </c>
      <c r="L17" s="82" t="s">
        <v>2332</v>
      </c>
      <c r="M17" s="23"/>
      <c r="N17" s="23"/>
      <c r="O17" s="23"/>
      <c r="P17" s="26" t="s">
        <v>175</v>
      </c>
      <c r="Q17" s="26"/>
      <c r="R17" s="35"/>
      <c r="S17" s="48"/>
      <c r="T17" s="39"/>
      <c r="U17" s="40">
        <f t="shared" si="0"/>
        <v>43467</v>
      </c>
      <c r="V17" s="46"/>
      <c r="W17" s="43"/>
      <c r="X17" s="66" t="e">
        <f>VLOOKUP(D17,#REF!,2,0)</f>
        <v>#REF!</v>
      </c>
      <c r="Y17" s="67" t="s">
        <v>2643</v>
      </c>
      <c r="Z17" s="67"/>
    </row>
    <row r="18" spans="1:26" ht="13.65" customHeight="1">
      <c r="A18" s="91">
        <v>17</v>
      </c>
      <c r="B18" s="19" t="s">
        <v>174</v>
      </c>
      <c r="C18" s="3" t="str">
        <f>VLOOKUP(D18,'lista 1'!$A$2:$F3536,4,0)</f>
        <v>BUDZYŃSKI JACEK</v>
      </c>
      <c r="D18" s="73">
        <v>155</v>
      </c>
      <c r="E18" s="4" t="s">
        <v>1585</v>
      </c>
      <c r="F18" s="59" t="str">
        <f>VLOOKUP(G18,'lista obszary'!A:B,2,0)</f>
        <v>CASTING</v>
      </c>
      <c r="G18" s="76" t="s">
        <v>605</v>
      </c>
      <c r="H18" s="85" t="s">
        <v>536</v>
      </c>
      <c r="I18" s="59" t="str">
        <f>VLOOKUP(J18,'lista obszary'!A:B,2,0)</f>
        <v>CASTING</v>
      </c>
      <c r="J18" s="78" t="s">
        <v>683</v>
      </c>
      <c r="K18" s="87" t="s">
        <v>1900</v>
      </c>
      <c r="L18" s="82" t="s">
        <v>2332</v>
      </c>
      <c r="M18" s="23"/>
      <c r="N18" s="23"/>
      <c r="O18" s="23"/>
      <c r="P18" s="26" t="s">
        <v>175</v>
      </c>
      <c r="Q18" s="26"/>
      <c r="R18" s="35"/>
      <c r="S18" s="48"/>
      <c r="T18" s="39"/>
      <c r="U18" s="40">
        <f t="shared" si="0"/>
        <v>43467</v>
      </c>
      <c r="V18" s="46"/>
      <c r="W18" s="43"/>
      <c r="X18" s="66" t="e">
        <f>VLOOKUP(D18,#REF!,2,0)</f>
        <v>#REF!</v>
      </c>
      <c r="Y18" s="67" t="s">
        <v>2643</v>
      </c>
      <c r="Z18" s="67"/>
    </row>
    <row r="19" spans="1:26" ht="13.65" customHeight="1">
      <c r="A19" s="91">
        <v>18</v>
      </c>
      <c r="B19" s="19" t="s">
        <v>174</v>
      </c>
      <c r="C19" s="3" t="e">
        <f>VLOOKUP(D19,'lista 1'!$A$2:$F3537,4,0)</f>
        <v>#N/A</v>
      </c>
      <c r="D19" s="73">
        <v>64359</v>
      </c>
      <c r="E19" s="4" t="s">
        <v>643</v>
      </c>
      <c r="F19" s="59" t="str">
        <f>VLOOKUP(G19,'lista obszary'!A:B,2,0)</f>
        <v>CASTING</v>
      </c>
      <c r="G19" s="76" t="s">
        <v>605</v>
      </c>
      <c r="H19" s="85" t="s">
        <v>536</v>
      </c>
      <c r="I19" s="59" t="str">
        <f>VLOOKUP(J19,'lista obszary'!A:B,2,0)</f>
        <v>CASTING</v>
      </c>
      <c r="J19" s="78" t="s">
        <v>683</v>
      </c>
      <c r="K19" s="87" t="s">
        <v>1900</v>
      </c>
      <c r="L19" s="82" t="s">
        <v>2332</v>
      </c>
      <c r="M19" s="23"/>
      <c r="N19" s="23"/>
      <c r="O19" s="23"/>
      <c r="P19" s="26" t="s">
        <v>175</v>
      </c>
      <c r="Q19" s="26"/>
      <c r="R19" s="35"/>
      <c r="S19" s="48"/>
      <c r="T19" s="39"/>
      <c r="U19" s="40">
        <f t="shared" si="0"/>
        <v>43467</v>
      </c>
      <c r="V19" s="46"/>
      <c r="W19" s="43"/>
      <c r="X19" s="66" t="e">
        <f>VLOOKUP(D19,#REF!,2,0)</f>
        <v>#REF!</v>
      </c>
      <c r="Y19" s="67" t="b">
        <f>F19=I19</f>
        <v>1</v>
      </c>
      <c r="Z19" s="67"/>
    </row>
    <row r="20" spans="1:26" ht="13.65" customHeight="1">
      <c r="A20" s="91">
        <v>19</v>
      </c>
      <c r="B20" s="19" t="s">
        <v>174</v>
      </c>
      <c r="C20" s="3" t="e">
        <f>VLOOKUP(D20,'lista 1'!$A$2:$F3538,4,0)</f>
        <v>#N/A</v>
      </c>
      <c r="D20" s="73">
        <v>70433</v>
      </c>
      <c r="E20" s="4" t="s">
        <v>643</v>
      </c>
      <c r="F20" s="59" t="str">
        <f>VLOOKUP(G20,'lista obszary'!A:B,2,0)</f>
        <v>CASTING</v>
      </c>
      <c r="G20" s="76" t="s">
        <v>605</v>
      </c>
      <c r="H20" s="85" t="s">
        <v>536</v>
      </c>
      <c r="I20" s="59" t="str">
        <f>VLOOKUP(J20,'lista obszary'!A:B,2,0)</f>
        <v>CASTING</v>
      </c>
      <c r="J20" s="78" t="s">
        <v>685</v>
      </c>
      <c r="K20" s="87" t="s">
        <v>1559</v>
      </c>
      <c r="L20" s="82" t="s">
        <v>2332</v>
      </c>
      <c r="M20" s="23"/>
      <c r="N20" s="23"/>
      <c r="O20" s="23"/>
      <c r="P20" s="26" t="s">
        <v>175</v>
      </c>
      <c r="Q20" s="26"/>
      <c r="R20" s="35"/>
      <c r="S20" s="48"/>
      <c r="T20" s="39"/>
      <c r="U20" s="40">
        <f t="shared" si="0"/>
        <v>43467</v>
      </c>
      <c r="V20" s="46"/>
      <c r="W20" s="43"/>
      <c r="X20" s="66" t="e">
        <f>VLOOKUP(D20,#REF!,2,0)</f>
        <v>#REF!</v>
      </c>
      <c r="Y20" s="67" t="b">
        <f>F20=I20</f>
        <v>1</v>
      </c>
      <c r="Z20" s="67"/>
    </row>
    <row r="21" spans="1:26" ht="13.65" customHeight="1">
      <c r="A21" s="91">
        <v>20</v>
      </c>
      <c r="B21" s="19" t="s">
        <v>734</v>
      </c>
      <c r="C21" s="3" t="str">
        <f>VLOOKUP(D21,'lista 1'!$A$2:$F3539,4,0)</f>
        <v>KRYSTKOWIAK GRZEGORZ</v>
      </c>
      <c r="D21" s="73">
        <v>706</v>
      </c>
      <c r="E21" s="4" t="s">
        <v>451</v>
      </c>
      <c r="F21" s="59" t="str">
        <f>VLOOKUP(G21,'lista obszary'!A:B,2,0)</f>
        <v>ENGINES</v>
      </c>
      <c r="G21" s="76" t="s">
        <v>602</v>
      </c>
      <c r="H21" s="85" t="s">
        <v>1392</v>
      </c>
      <c r="I21" s="59" t="str">
        <f>VLOOKUP(J21,'lista obszary'!A:B,2,0)</f>
        <v>HV</v>
      </c>
      <c r="J21" s="78" t="s">
        <v>2319</v>
      </c>
      <c r="K21" s="87" t="s">
        <v>1555</v>
      </c>
      <c r="L21" s="82" t="s">
        <v>2332</v>
      </c>
      <c r="M21" s="23"/>
      <c r="N21" s="23"/>
      <c r="O21" s="23"/>
      <c r="P21" s="26" t="s">
        <v>175</v>
      </c>
      <c r="Q21" s="26"/>
      <c r="R21" s="35"/>
      <c r="S21" s="48"/>
      <c r="T21" s="39"/>
      <c r="U21" s="40">
        <f t="shared" si="0"/>
        <v>43467</v>
      </c>
      <c r="V21" s="46"/>
      <c r="W21" s="43"/>
      <c r="X21" s="66" t="e">
        <f>VLOOKUP(D21,#REF!,2,0)</f>
        <v>#REF!</v>
      </c>
      <c r="Y21" s="67" t="s">
        <v>2645</v>
      </c>
      <c r="Z21" s="67"/>
    </row>
    <row r="22" spans="1:26" ht="13.65" customHeight="1">
      <c r="A22" s="91">
        <v>21</v>
      </c>
      <c r="B22" s="19" t="s">
        <v>734</v>
      </c>
      <c r="C22" s="3" t="str">
        <f>VLOOKUP(D22,'lista 1'!$A$2:$F3540,4,0)</f>
        <v>TAJS GRZEGORZ</v>
      </c>
      <c r="D22" s="73">
        <v>2141</v>
      </c>
      <c r="E22" s="4" t="s">
        <v>223</v>
      </c>
      <c r="F22" s="59" t="str">
        <f>VLOOKUP(G22,'lista obszary'!A:B,2,0)</f>
        <v>ENGINES</v>
      </c>
      <c r="G22" s="76" t="s">
        <v>772</v>
      </c>
      <c r="H22" s="85" t="s">
        <v>1389</v>
      </c>
      <c r="I22" s="59" t="str">
        <f>VLOOKUP(J22,'lista obszary'!A:B,2,0)</f>
        <v>HV</v>
      </c>
      <c r="J22" s="78" t="s">
        <v>2319</v>
      </c>
      <c r="K22" s="87" t="s">
        <v>1904</v>
      </c>
      <c r="L22" s="82" t="s">
        <v>2332</v>
      </c>
      <c r="M22" s="23"/>
      <c r="N22" s="23"/>
      <c r="O22" s="23"/>
      <c r="P22" s="26" t="s">
        <v>175</v>
      </c>
      <c r="Q22" s="26"/>
      <c r="R22" s="35"/>
      <c r="S22" s="48"/>
      <c r="T22" s="39"/>
      <c r="U22" s="40">
        <f t="shared" si="0"/>
        <v>43467</v>
      </c>
      <c r="V22" s="46"/>
      <c r="W22" s="43"/>
      <c r="X22" s="66" t="e">
        <f>VLOOKUP(D22,#REF!,2,0)</f>
        <v>#REF!</v>
      </c>
      <c r="Y22" s="67" t="b">
        <f>F22=I22</f>
        <v>0</v>
      </c>
      <c r="Z22" s="67"/>
    </row>
    <row r="23" spans="1:26" ht="13.65" customHeight="1">
      <c r="A23" s="91">
        <v>22</v>
      </c>
      <c r="B23" s="19" t="s">
        <v>734</v>
      </c>
      <c r="C23" s="3" t="str">
        <f>VLOOKUP(D23,'lista 1'!$A$2:$F3541,4,0)</f>
        <v>MASKO PAWEŁ</v>
      </c>
      <c r="D23" s="73">
        <v>216</v>
      </c>
      <c r="E23" s="4" t="s">
        <v>1585</v>
      </c>
      <c r="F23" s="59" t="str">
        <f>VLOOKUP(G23,'lista obszary'!A:B,2,0)</f>
        <v>ENGINES</v>
      </c>
      <c r="G23" s="76" t="s">
        <v>178</v>
      </c>
      <c r="H23" s="85" t="s">
        <v>1556</v>
      </c>
      <c r="I23" s="59" t="str">
        <f>VLOOKUP(J23,'lista obszary'!A:B,2,0)</f>
        <v>BENKYOKAI</v>
      </c>
      <c r="J23" s="78" t="s">
        <v>935</v>
      </c>
      <c r="K23" s="87" t="s">
        <v>1921</v>
      </c>
      <c r="L23" s="82" t="s">
        <v>2332</v>
      </c>
      <c r="M23" s="23"/>
      <c r="N23" s="23"/>
      <c r="O23" s="23"/>
      <c r="P23" s="26" t="s">
        <v>2320</v>
      </c>
      <c r="Q23" s="26"/>
      <c r="R23" s="35"/>
      <c r="S23" s="48"/>
      <c r="T23" s="39"/>
      <c r="U23" s="40">
        <f t="shared" si="0"/>
        <v>43467</v>
      </c>
      <c r="V23" s="46"/>
      <c r="W23" s="43"/>
      <c r="X23" s="66" t="e">
        <f>VLOOKUP(D23,#REF!,2,0)</f>
        <v>#REF!</v>
      </c>
      <c r="Y23" s="67" t="b">
        <f>F23=I23</f>
        <v>0</v>
      </c>
      <c r="Z23" s="67"/>
    </row>
    <row r="24" spans="1:26" ht="13.65" customHeight="1">
      <c r="A24" s="91">
        <v>23</v>
      </c>
      <c r="B24" s="19" t="s">
        <v>174</v>
      </c>
      <c r="C24" s="3" t="str">
        <f>VLOOKUP(D24,'lista 1'!$A$2:$F3542,4,0)</f>
        <v>PICEK KRZYSZTOF</v>
      </c>
      <c r="D24" s="73">
        <v>960</v>
      </c>
      <c r="E24" s="4" t="s">
        <v>1322</v>
      </c>
      <c r="F24" s="59" t="str">
        <f>VLOOKUP(G24,'lista obszary'!A:B,2,0)</f>
        <v>MNX OFFICE</v>
      </c>
      <c r="G24" s="76" t="s">
        <v>396</v>
      </c>
      <c r="H24" s="85" t="s">
        <v>1930</v>
      </c>
      <c r="I24" s="59" t="str">
        <f>VLOOKUP(J24,'lista obszary'!A:B,2,0)</f>
        <v>MNX</v>
      </c>
      <c r="J24" s="78" t="s">
        <v>968</v>
      </c>
      <c r="K24" s="87" t="s">
        <v>2097</v>
      </c>
      <c r="L24" s="82" t="s">
        <v>2332</v>
      </c>
      <c r="M24" s="23"/>
      <c r="N24" s="23"/>
      <c r="O24" s="23"/>
      <c r="P24" s="26" t="s">
        <v>175</v>
      </c>
      <c r="Q24" s="26"/>
      <c r="R24" s="35"/>
      <c r="S24" s="48"/>
      <c r="T24" s="39"/>
      <c r="U24" s="40">
        <f t="shared" si="0"/>
        <v>43467</v>
      </c>
      <c r="V24" s="46"/>
      <c r="W24" s="43"/>
      <c r="X24" s="66" t="e">
        <f>VLOOKUP(D24,#REF!,2,0)</f>
        <v>#REF!</v>
      </c>
      <c r="Y24" s="67" t="s">
        <v>2644</v>
      </c>
      <c r="Z24" s="67"/>
    </row>
    <row r="25" spans="1:26" ht="13.65" customHeight="1">
      <c r="A25" s="91">
        <v>24</v>
      </c>
      <c r="B25" s="19" t="s">
        <v>734</v>
      </c>
      <c r="C25" s="3" t="str">
        <f>VLOOKUP(D25,'lista 1'!$A$2:$F3543,4,0)</f>
        <v>SZCZĘSNY GRZEGORZ</v>
      </c>
      <c r="D25" s="73">
        <v>639</v>
      </c>
      <c r="E25" s="4" t="s">
        <v>223</v>
      </c>
      <c r="F25" s="59" t="str">
        <f>VLOOKUP(G25,'lista obszary'!A:B,2,0)</f>
        <v>MNX MW</v>
      </c>
      <c r="G25" s="76" t="s">
        <v>2029</v>
      </c>
      <c r="H25" s="85" t="s">
        <v>865</v>
      </c>
      <c r="I25" s="59" t="str">
        <f>VLOOKUP(J25,'lista obszary'!A:B,2,0)</f>
        <v>EC60</v>
      </c>
      <c r="J25" s="78" t="s">
        <v>1045</v>
      </c>
      <c r="K25" s="87" t="s">
        <v>1903</v>
      </c>
      <c r="L25" s="82" t="s">
        <v>2332</v>
      </c>
      <c r="M25" s="23"/>
      <c r="N25" s="23"/>
      <c r="O25" s="23"/>
      <c r="P25" s="26" t="s">
        <v>175</v>
      </c>
      <c r="Q25" s="26"/>
      <c r="R25" s="35"/>
      <c r="S25" s="48"/>
      <c r="T25" s="39"/>
      <c r="U25" s="40">
        <f t="shared" si="0"/>
        <v>43467</v>
      </c>
      <c r="V25" s="46"/>
      <c r="W25" s="43"/>
      <c r="X25" s="66" t="e">
        <f>VLOOKUP(D25,#REF!,2,0)</f>
        <v>#REF!</v>
      </c>
      <c r="Y25" s="67" t="s">
        <v>2644</v>
      </c>
      <c r="Z25" s="67"/>
    </row>
    <row r="26" spans="1:26" ht="13.65" customHeight="1">
      <c r="A26" s="91">
        <v>25</v>
      </c>
      <c r="B26" s="19" t="s">
        <v>174</v>
      </c>
      <c r="C26" s="3" t="str">
        <f>VLOOKUP(D26,'lista 1'!$A$2:$F3544,4,0)</f>
        <v>MEROŃ STEFAN</v>
      </c>
      <c r="D26" s="73">
        <v>367</v>
      </c>
      <c r="E26" s="4" t="s">
        <v>1225</v>
      </c>
      <c r="F26" s="59" t="str">
        <f>VLOOKUP(G26,'lista obszary'!A:B,2,0)</f>
        <v>MNX</v>
      </c>
      <c r="G26" s="76" t="s">
        <v>2017</v>
      </c>
      <c r="H26" s="85" t="s">
        <v>2095</v>
      </c>
      <c r="I26" s="59" t="str">
        <f>VLOOKUP(J26,'lista obszary'!A:B,2,0)</f>
        <v>MNX WN</v>
      </c>
      <c r="J26" s="78" t="s">
        <v>2393</v>
      </c>
      <c r="K26" s="87" t="s">
        <v>2095</v>
      </c>
      <c r="L26" s="82" t="s">
        <v>2332</v>
      </c>
      <c r="M26" s="23"/>
      <c r="N26" s="23"/>
      <c r="O26" s="23"/>
      <c r="P26" s="26" t="s">
        <v>175</v>
      </c>
      <c r="Q26" s="26"/>
      <c r="R26" s="35"/>
      <c r="S26" s="48"/>
      <c r="T26" s="39"/>
      <c r="U26" s="40">
        <f t="shared" si="0"/>
        <v>43467</v>
      </c>
      <c r="V26" s="46"/>
      <c r="W26" s="43"/>
      <c r="X26" s="66" t="e">
        <f>VLOOKUP(D26,#REF!,2,0)</f>
        <v>#REF!</v>
      </c>
      <c r="Y26" s="67" t="s">
        <v>2643</v>
      </c>
      <c r="Z26" s="67"/>
    </row>
    <row r="27" spans="1:26" ht="13.65" customHeight="1">
      <c r="A27" s="91">
        <v>26</v>
      </c>
      <c r="B27" s="19" t="s">
        <v>174</v>
      </c>
      <c r="C27" s="3" t="str">
        <f>VLOOKUP(D27,'lista 1'!$A$2:$F3545,4,0)</f>
        <v>OSIŃSKI TOMASZ</v>
      </c>
      <c r="D27" s="73">
        <v>887</v>
      </c>
      <c r="E27" s="4" t="s">
        <v>731</v>
      </c>
      <c r="F27" s="59" t="str">
        <f>VLOOKUP(G27,'lista obszary'!A:B,2,0)</f>
        <v>MNX</v>
      </c>
      <c r="G27" s="76" t="s">
        <v>2017</v>
      </c>
      <c r="H27" s="85" t="s">
        <v>2095</v>
      </c>
      <c r="I27" s="59" t="str">
        <f>VLOOKUP(J27,'lista obszary'!A:B,2,0)</f>
        <v>MNX WN</v>
      </c>
      <c r="J27" s="78" t="s">
        <v>2393</v>
      </c>
      <c r="K27" s="87" t="s">
        <v>2095</v>
      </c>
      <c r="L27" s="82" t="s">
        <v>2332</v>
      </c>
      <c r="M27" s="23"/>
      <c r="N27" s="23"/>
      <c r="O27" s="23"/>
      <c r="P27" s="26" t="s">
        <v>175</v>
      </c>
      <c r="Q27" s="26"/>
      <c r="R27" s="35"/>
      <c r="S27" s="48"/>
      <c r="T27" s="39"/>
      <c r="U27" s="40">
        <f t="shared" si="0"/>
        <v>43467</v>
      </c>
      <c r="V27" s="46"/>
      <c r="W27" s="43"/>
      <c r="X27" s="66" t="e">
        <f>VLOOKUP(D27,#REF!,2,0)</f>
        <v>#REF!</v>
      </c>
      <c r="Y27" s="67" t="s">
        <v>2643</v>
      </c>
      <c r="Z27" s="67"/>
    </row>
    <row r="28" spans="1:26" ht="13.65" customHeight="1">
      <c r="A28" s="91">
        <v>27</v>
      </c>
      <c r="B28" s="19" t="s">
        <v>174</v>
      </c>
      <c r="C28" s="3" t="str">
        <f>VLOOKUP(D28,'lista 1'!$A$2:$F3546,4,0)</f>
        <v>PASTERNAK MARIUSZ</v>
      </c>
      <c r="D28" s="73">
        <v>234</v>
      </c>
      <c r="E28" s="4" t="s">
        <v>2127</v>
      </c>
      <c r="F28" s="59" t="str">
        <f>VLOOKUP(G28,'lista obszary'!A:B,2,0)</f>
        <v>MNX</v>
      </c>
      <c r="G28" s="76" t="s">
        <v>2017</v>
      </c>
      <c r="H28" s="85" t="s">
        <v>2095</v>
      </c>
      <c r="I28" s="59" t="str">
        <f>VLOOKUP(J28,'lista obszary'!A:B,2,0)</f>
        <v>MNX WN</v>
      </c>
      <c r="J28" s="78" t="s">
        <v>2393</v>
      </c>
      <c r="K28" s="87" t="s">
        <v>2095</v>
      </c>
      <c r="L28" s="82" t="s">
        <v>2332</v>
      </c>
      <c r="M28" s="23"/>
      <c r="N28" s="23"/>
      <c r="O28" s="23"/>
      <c r="P28" s="26" t="s">
        <v>175</v>
      </c>
      <c r="Q28" s="26"/>
      <c r="R28" s="35"/>
      <c r="S28" s="48"/>
      <c r="T28" s="39"/>
      <c r="U28" s="40">
        <f t="shared" si="0"/>
        <v>43467</v>
      </c>
      <c r="V28" s="46"/>
      <c r="W28" s="43"/>
      <c r="X28" s="66" t="e">
        <f>VLOOKUP(D28,#REF!,2,0)</f>
        <v>#REF!</v>
      </c>
      <c r="Y28" s="67" t="s">
        <v>2643</v>
      </c>
      <c r="Z28" s="67"/>
    </row>
    <row r="29" spans="1:26" ht="13.65" customHeight="1">
      <c r="A29" s="91">
        <v>28</v>
      </c>
      <c r="B29" s="19" t="s">
        <v>174</v>
      </c>
      <c r="C29" s="3" t="e">
        <f>VLOOKUP(D29,'lista 1'!$A$2:$F3547,4,0)</f>
        <v>#N/A</v>
      </c>
      <c r="D29" s="73">
        <v>2125</v>
      </c>
      <c r="E29" s="4" t="s">
        <v>1225</v>
      </c>
      <c r="F29" s="59" t="str">
        <f>VLOOKUP(G29,'lista obszary'!A:B,2,0)</f>
        <v>MNX</v>
      </c>
      <c r="G29" s="76" t="s">
        <v>2017</v>
      </c>
      <c r="H29" s="85" t="s">
        <v>2095</v>
      </c>
      <c r="I29" s="59" t="str">
        <f>VLOOKUP(J29,'lista obszary'!A:B,2,0)</f>
        <v>MNX WN</v>
      </c>
      <c r="J29" s="78" t="s">
        <v>2393</v>
      </c>
      <c r="K29" s="87" t="s">
        <v>2095</v>
      </c>
      <c r="L29" s="82" t="s">
        <v>2332</v>
      </c>
      <c r="M29" s="23"/>
      <c r="N29" s="23"/>
      <c r="O29" s="23"/>
      <c r="P29" s="26" t="s">
        <v>175</v>
      </c>
      <c r="Q29" s="26"/>
      <c r="R29" s="35"/>
      <c r="S29" s="48"/>
      <c r="T29" s="39"/>
      <c r="U29" s="40">
        <f t="shared" si="0"/>
        <v>43467</v>
      </c>
      <c r="V29" s="46"/>
      <c r="W29" s="43"/>
      <c r="X29" s="66" t="e">
        <f>VLOOKUP(D29,#REF!,2,0)</f>
        <v>#REF!</v>
      </c>
      <c r="Y29" s="67" t="s">
        <v>2643</v>
      </c>
      <c r="Z29" s="67"/>
    </row>
    <row r="30" spans="1:26" ht="13.65" customHeight="1">
      <c r="A30" s="91">
        <v>29</v>
      </c>
      <c r="B30" s="19" t="s">
        <v>734</v>
      </c>
      <c r="C30" s="3" t="str">
        <f>VLOOKUP(D30,'lista 1'!$A$2:$F3548,4,0)</f>
        <v>MIKA PIOTR</v>
      </c>
      <c r="D30" s="73">
        <v>921</v>
      </c>
      <c r="E30" s="4" t="s">
        <v>1585</v>
      </c>
      <c r="F30" s="59" t="str">
        <f>VLOOKUP(G30,'lista obszary'!A:B,2,0)</f>
        <v>EC60</v>
      </c>
      <c r="G30" s="76" t="s">
        <v>1325</v>
      </c>
      <c r="H30" s="85" t="s">
        <v>1579</v>
      </c>
      <c r="I30" s="59" t="str">
        <f>VLOOKUP(J30,'lista obszary'!A:B,2,0)</f>
        <v>HV PJT</v>
      </c>
      <c r="J30" s="78" t="s">
        <v>2377</v>
      </c>
      <c r="K30" s="87" t="s">
        <v>1395</v>
      </c>
      <c r="L30" s="82" t="s">
        <v>2332</v>
      </c>
      <c r="M30" s="23"/>
      <c r="N30" s="23"/>
      <c r="O30" s="23"/>
      <c r="P30" s="26" t="s">
        <v>175</v>
      </c>
      <c r="Q30" s="26"/>
      <c r="R30" s="35"/>
      <c r="S30" s="48"/>
      <c r="T30" s="39"/>
      <c r="U30" s="40">
        <f t="shared" si="0"/>
        <v>43467</v>
      </c>
      <c r="V30" s="46"/>
      <c r="W30" s="43"/>
      <c r="X30" s="66" t="e">
        <f>VLOOKUP(D30,#REF!,2,0)</f>
        <v>#REF!</v>
      </c>
      <c r="Y30" s="67" t="s">
        <v>2644</v>
      </c>
      <c r="Z30" s="67"/>
    </row>
    <row r="31" spans="1:26" ht="13.65" customHeight="1">
      <c r="A31" s="91">
        <v>30</v>
      </c>
      <c r="B31" s="19" t="s">
        <v>174</v>
      </c>
      <c r="C31" s="3" t="str">
        <f>VLOOKUP(D31,'lista 1'!$A$2:$F3549,4,0)</f>
        <v>TOKARSKI ARTUR</v>
      </c>
      <c r="D31" s="73">
        <v>180</v>
      </c>
      <c r="E31" s="4" t="s">
        <v>1320</v>
      </c>
      <c r="F31" s="59" t="str">
        <f>VLOOKUP(G31,'lista obszary'!A:B,2,0)</f>
        <v>EC60</v>
      </c>
      <c r="G31" s="76" t="s">
        <v>1045</v>
      </c>
      <c r="H31" s="85" t="s">
        <v>2071</v>
      </c>
      <c r="I31" s="59" t="str">
        <f>VLOOKUP(J31,'lista obszary'!A:B,2,0)</f>
        <v>EC60</v>
      </c>
      <c r="J31" s="78" t="s">
        <v>844</v>
      </c>
      <c r="K31" s="87" t="s">
        <v>2071</v>
      </c>
      <c r="L31" s="82" t="s">
        <v>2332</v>
      </c>
      <c r="M31" s="23"/>
      <c r="N31" s="23"/>
      <c r="O31" s="23"/>
      <c r="P31" s="26" t="s">
        <v>175</v>
      </c>
      <c r="Q31" s="26"/>
      <c r="R31" s="35"/>
      <c r="S31" s="48"/>
      <c r="T31" s="39"/>
      <c r="U31" s="40">
        <f t="shared" si="0"/>
        <v>43467</v>
      </c>
      <c r="V31" s="46"/>
      <c r="W31" s="43"/>
      <c r="X31" s="66" t="e">
        <f>VLOOKUP(D31,#REF!,2,0)</f>
        <v>#REF!</v>
      </c>
      <c r="Y31" s="67" t="s">
        <v>2643</v>
      </c>
      <c r="Z31" s="67"/>
    </row>
    <row r="32" spans="1:26" ht="13.65" customHeight="1">
      <c r="A32" s="91">
        <v>31</v>
      </c>
      <c r="B32" s="19" t="s">
        <v>734</v>
      </c>
      <c r="C32" s="3" t="str">
        <f>VLOOKUP(D32,'lista 1'!$A$2:$F3550,4,0)</f>
        <v>CHRZANOWSKI JAROSŁAW</v>
      </c>
      <c r="D32" s="73">
        <v>92</v>
      </c>
      <c r="E32" s="4" t="s">
        <v>1320</v>
      </c>
      <c r="F32" s="59" t="str">
        <f>VLOOKUP(G32,'lista obszary'!A:B,2,0)</f>
        <v>EC60</v>
      </c>
      <c r="G32" s="76" t="s">
        <v>844</v>
      </c>
      <c r="H32" s="85" t="s">
        <v>2071</v>
      </c>
      <c r="I32" s="59" t="str">
        <f>VLOOKUP(J32,'lista obszary'!A:B,2,0)</f>
        <v>HV PJT</v>
      </c>
      <c r="J32" s="78" t="s">
        <v>2377</v>
      </c>
      <c r="K32" s="87" t="s">
        <v>533</v>
      </c>
      <c r="L32" s="82" t="s">
        <v>2332</v>
      </c>
      <c r="M32" s="23"/>
      <c r="N32" s="23"/>
      <c r="O32" s="23"/>
      <c r="P32" s="26" t="s">
        <v>175</v>
      </c>
      <c r="Q32" s="26"/>
      <c r="R32" s="35"/>
      <c r="S32" s="48"/>
      <c r="T32" s="39"/>
      <c r="U32" s="40">
        <f t="shared" si="0"/>
        <v>43467</v>
      </c>
      <c r="V32" s="46"/>
      <c r="W32" s="43"/>
      <c r="X32" s="66" t="e">
        <f>VLOOKUP(D32,#REF!,2,0)</f>
        <v>#REF!</v>
      </c>
      <c r="Y32" s="67" t="s">
        <v>2644</v>
      </c>
      <c r="Z32" s="67"/>
    </row>
    <row r="33" spans="1:26" ht="13.65" customHeight="1">
      <c r="A33" s="91">
        <v>32</v>
      </c>
      <c r="B33" s="19" t="s">
        <v>734</v>
      </c>
      <c r="C33" s="3" t="str">
        <f>VLOOKUP(D33,'lista 1'!$A$2:$F3551,4,0)</f>
        <v>KOTOWSKI KACPER</v>
      </c>
      <c r="D33" s="73">
        <v>3009</v>
      </c>
      <c r="E33" s="4" t="s">
        <v>2180</v>
      </c>
      <c r="F33" s="59" t="str">
        <f>VLOOKUP(G33,'lista obszary'!A:B,2,0)</f>
        <v>EC60</v>
      </c>
      <c r="G33" s="76" t="s">
        <v>844</v>
      </c>
      <c r="H33" s="85" t="s">
        <v>1395</v>
      </c>
      <c r="I33" s="59" t="str">
        <f>VLOOKUP(J33,'lista obszary'!A:B,2,0)</f>
        <v>MNX WN</v>
      </c>
      <c r="J33" s="78" t="s">
        <v>741</v>
      </c>
      <c r="K33" s="87" t="s">
        <v>2385</v>
      </c>
      <c r="L33" s="82" t="s">
        <v>2332</v>
      </c>
      <c r="M33" s="23"/>
      <c r="N33" s="23"/>
      <c r="O33" s="23"/>
      <c r="P33" s="26" t="s">
        <v>175</v>
      </c>
      <c r="Q33" s="26"/>
      <c r="R33" s="35"/>
      <c r="S33" s="48"/>
      <c r="T33" s="39"/>
      <c r="U33" s="40">
        <f t="shared" si="0"/>
        <v>43467</v>
      </c>
      <c r="V33" s="46"/>
      <c r="W33" s="43"/>
      <c r="X33" s="66" t="e">
        <f>VLOOKUP(D33,#REF!,2,0)</f>
        <v>#REF!</v>
      </c>
      <c r="Y33" s="67" t="s">
        <v>2644</v>
      </c>
      <c r="Z33" s="67"/>
    </row>
    <row r="34" spans="1:26" ht="13.65" customHeight="1">
      <c r="A34" s="91">
        <v>33</v>
      </c>
      <c r="B34" s="19" t="s">
        <v>734</v>
      </c>
      <c r="C34" s="3" t="str">
        <f>VLOOKUP(D34,'lista 1'!$A$2:$F3552,4,0)</f>
        <v>SZUPER TOMASZ</v>
      </c>
      <c r="D34" s="73">
        <v>38</v>
      </c>
      <c r="E34" s="4" t="str">
        <f>VLOOKUP(D34,'lista 1'!$A$2:$F$1802,5,0)</f>
        <v>GRL2</v>
      </c>
      <c r="F34" s="59" t="str">
        <f>VLOOKUP(G34,'lista obszary'!A:B,2,0)</f>
        <v>EC60</v>
      </c>
      <c r="G34" s="76" t="s">
        <v>844</v>
      </c>
      <c r="H34" s="85" t="s">
        <v>2071</v>
      </c>
      <c r="I34" s="59" t="str">
        <f>VLOOKUP(J34,'lista obszary'!A:B,2,0)</f>
        <v>HV PJT</v>
      </c>
      <c r="J34" s="78" t="s">
        <v>2378</v>
      </c>
      <c r="K34" s="87" t="s">
        <v>533</v>
      </c>
      <c r="L34" s="82" t="s">
        <v>2332</v>
      </c>
      <c r="M34" s="23"/>
      <c r="N34" s="23"/>
      <c r="O34" s="23"/>
      <c r="P34" s="26" t="s">
        <v>175</v>
      </c>
      <c r="Q34" s="26"/>
      <c r="R34" s="35"/>
      <c r="S34" s="48"/>
      <c r="T34" s="39"/>
      <c r="U34" s="40">
        <f t="shared" si="0"/>
        <v>43467</v>
      </c>
      <c r="V34" s="46"/>
      <c r="W34" s="43"/>
      <c r="X34" s="66" t="e">
        <f>VLOOKUP(D34,#REF!,2,0)</f>
        <v>#REF!</v>
      </c>
      <c r="Y34" s="67" t="s">
        <v>2644</v>
      </c>
      <c r="Z34" s="67"/>
    </row>
    <row r="35" spans="1:26" ht="13.65" customHeight="1">
      <c r="A35" s="91">
        <v>34</v>
      </c>
      <c r="B35" s="19" t="s">
        <v>734</v>
      </c>
      <c r="C35" s="3" t="str">
        <f>VLOOKUP(D35,'lista 1'!$A$2:$F3553,4,0)</f>
        <v>SZYMKÓW PRZEMYSŁAW</v>
      </c>
      <c r="D35" s="73">
        <v>33</v>
      </c>
      <c r="E35" s="4" t="s">
        <v>1321</v>
      </c>
      <c r="F35" s="59" t="str">
        <f>VLOOKUP(G35,'lista obszary'!A:B,2,0)</f>
        <v>EC60</v>
      </c>
      <c r="G35" s="76" t="s">
        <v>1969</v>
      </c>
      <c r="H35" s="87" t="s">
        <v>1887</v>
      </c>
      <c r="I35" s="59" t="str">
        <f>VLOOKUP(J35,'lista obszary'!A:B,2,0)</f>
        <v>HV</v>
      </c>
      <c r="J35" s="78" t="s">
        <v>2319</v>
      </c>
      <c r="K35" s="87" t="s">
        <v>534</v>
      </c>
      <c r="L35" s="82" t="s">
        <v>2332</v>
      </c>
      <c r="M35" s="23"/>
      <c r="N35" s="23"/>
      <c r="O35" s="23"/>
      <c r="P35" s="26" t="s">
        <v>175</v>
      </c>
      <c r="Q35" s="26"/>
      <c r="R35" s="35"/>
      <c r="S35" s="48"/>
      <c r="T35" s="39"/>
      <c r="U35" s="40">
        <f t="shared" si="0"/>
        <v>43467</v>
      </c>
      <c r="V35" s="46"/>
      <c r="W35" s="43"/>
      <c r="X35" s="66" t="e">
        <f>VLOOKUP(D35,#REF!,2,0)</f>
        <v>#REF!</v>
      </c>
      <c r="Y35" s="67" t="s">
        <v>2643</v>
      </c>
    </row>
    <row r="36" spans="1:26" ht="13.65" customHeight="1">
      <c r="A36" s="91">
        <v>35</v>
      </c>
      <c r="B36" s="19" t="s">
        <v>174</v>
      </c>
      <c r="C36" s="3" t="str">
        <f>VLOOKUP(D36,'lista 1'!$A$2:$F3554,4,0)</f>
        <v>ZĘBEK ANDRZEJ</v>
      </c>
      <c r="D36" s="73">
        <v>1748</v>
      </c>
      <c r="E36" s="4" t="s">
        <v>1322</v>
      </c>
      <c r="F36" s="59" t="str">
        <f>VLOOKUP(G36,'lista obszary'!A:B,2,0)</f>
        <v>ENGINEERING</v>
      </c>
      <c r="G36" s="76" t="s">
        <v>687</v>
      </c>
      <c r="H36" s="85" t="s">
        <v>1930</v>
      </c>
      <c r="I36" s="59" t="str">
        <f>VLOOKUP(J36,'lista obszary'!A:B,2,0)</f>
        <v>MNX OFFICE</v>
      </c>
      <c r="J36" s="78" t="s">
        <v>396</v>
      </c>
      <c r="K36" s="87" t="s">
        <v>1930</v>
      </c>
      <c r="L36" s="82" t="s">
        <v>2332</v>
      </c>
      <c r="M36" s="23"/>
      <c r="N36" s="23"/>
      <c r="O36" s="23"/>
      <c r="P36" s="26" t="s">
        <v>175</v>
      </c>
      <c r="Q36" s="26"/>
      <c r="R36" s="35"/>
      <c r="S36" s="48"/>
      <c r="T36" s="39"/>
      <c r="U36" s="40">
        <f t="shared" si="0"/>
        <v>43467</v>
      </c>
      <c r="V36" s="46"/>
      <c r="W36" s="43"/>
      <c r="X36" s="66" t="e">
        <f>VLOOKUP(D36,#REF!,2,0)</f>
        <v>#REF!</v>
      </c>
      <c r="Y36" s="67" t="s">
        <v>2644</v>
      </c>
      <c r="Z36" s="67"/>
    </row>
    <row r="37" spans="1:26" ht="13.65" customHeight="1">
      <c r="A37" s="91">
        <v>36</v>
      </c>
      <c r="B37" s="19" t="s">
        <v>174</v>
      </c>
      <c r="C37" s="3" t="str">
        <f>VLOOKUP(D37,'lista 1'!$A$2:$F3555,4,0)</f>
        <v>KOCUREK ŁUKASZ</v>
      </c>
      <c r="D37" s="73">
        <v>2856</v>
      </c>
      <c r="E37" s="4" t="s">
        <v>686</v>
      </c>
      <c r="F37" s="59" t="str">
        <f>VLOOKUP(G37,'lista obszary'!A:B,2,0)</f>
        <v>ENGINEERING</v>
      </c>
      <c r="G37" s="76" t="s">
        <v>599</v>
      </c>
      <c r="H37" s="85" t="s">
        <v>2095</v>
      </c>
      <c r="I37" s="59" t="str">
        <f>VLOOKUP(J37,'lista obszary'!A:B,2,0)</f>
        <v>ENGINEERING</v>
      </c>
      <c r="J37" s="78" t="s">
        <v>1124</v>
      </c>
      <c r="K37" s="87" t="s">
        <v>1938</v>
      </c>
      <c r="L37" s="82" t="s">
        <v>2332</v>
      </c>
      <c r="M37" s="23"/>
      <c r="N37" s="23"/>
      <c r="O37" s="23"/>
      <c r="P37" s="26" t="s">
        <v>175</v>
      </c>
      <c r="Q37" s="26"/>
      <c r="R37" s="35"/>
      <c r="S37" s="48"/>
      <c r="T37" s="39"/>
      <c r="U37" s="40">
        <f t="shared" si="0"/>
        <v>43467</v>
      </c>
      <c r="V37" s="46"/>
      <c r="W37" s="43"/>
      <c r="X37" s="66" t="e">
        <f>VLOOKUP(D37,#REF!,2,0)</f>
        <v>#REF!</v>
      </c>
      <c r="Y37" s="67" t="s">
        <v>2643</v>
      </c>
      <c r="Z37" s="67"/>
    </row>
    <row r="38" spans="1:26" ht="13.65" customHeight="1">
      <c r="A38" s="91">
        <v>37</v>
      </c>
      <c r="B38" s="19" t="s">
        <v>174</v>
      </c>
      <c r="C38" s="3" t="str">
        <f>VLOOKUP(D38,'lista 1'!$A$2:$F3556,4,0)</f>
        <v>TATAREK TOMASZ</v>
      </c>
      <c r="D38" s="73">
        <v>2857</v>
      </c>
      <c r="E38" s="4" t="s">
        <v>686</v>
      </c>
      <c r="F38" s="59" t="str">
        <f>VLOOKUP(G38,'lista obszary'!A:B,2,0)</f>
        <v>ENGINEERING</v>
      </c>
      <c r="G38" s="76" t="s">
        <v>2</v>
      </c>
      <c r="H38" s="85" t="s">
        <v>2095</v>
      </c>
      <c r="I38" s="59" t="str">
        <f>VLOOKUP(J38,'lista obszary'!A:B,2,0)</f>
        <v>ENGINEERING</v>
      </c>
      <c r="J38" s="78" t="s">
        <v>2</v>
      </c>
      <c r="K38" s="87" t="s">
        <v>1929</v>
      </c>
      <c r="L38" s="82" t="s">
        <v>2332</v>
      </c>
      <c r="M38" s="23"/>
      <c r="N38" s="23"/>
      <c r="O38" s="23"/>
      <c r="P38" s="26" t="s">
        <v>175</v>
      </c>
      <c r="Q38" s="26"/>
      <c r="R38" s="35"/>
      <c r="S38" s="48"/>
      <c r="T38" s="39"/>
      <c r="U38" s="40">
        <f t="shared" si="0"/>
        <v>43467</v>
      </c>
      <c r="V38" s="46"/>
      <c r="W38" s="43"/>
      <c r="X38" s="66" t="e">
        <f>VLOOKUP(D38,#REF!,2,0)</f>
        <v>#REF!</v>
      </c>
      <c r="Y38" s="67" t="s">
        <v>2643</v>
      </c>
      <c r="Z38" s="67"/>
    </row>
    <row r="39" spans="1:26" ht="13.65" customHeight="1">
      <c r="A39" s="91">
        <v>38</v>
      </c>
      <c r="B39" s="19" t="s">
        <v>174</v>
      </c>
      <c r="C39" s="3" t="str">
        <f>VLOOKUP(D39,'lista 1'!$A$2:$F3557,4,0)</f>
        <v>NYKIEL ARTUR</v>
      </c>
      <c r="D39" s="73">
        <v>581</v>
      </c>
      <c r="E39" s="4" t="s">
        <v>686</v>
      </c>
      <c r="F39" s="59" t="str">
        <f>VLOOKUP(G39,'lista obszary'!A:B,2,0)</f>
        <v>ENGINEERING</v>
      </c>
      <c r="G39" s="76" t="s">
        <v>1124</v>
      </c>
      <c r="H39" s="85" t="s">
        <v>2095</v>
      </c>
      <c r="I39" s="59" t="str">
        <f>VLOOKUP(J39,'lista obszary'!A:B,2,0)</f>
        <v>ENGINEERING</v>
      </c>
      <c r="J39" s="78" t="s">
        <v>599</v>
      </c>
      <c r="K39" s="87" t="s">
        <v>1938</v>
      </c>
      <c r="L39" s="82" t="s">
        <v>2332</v>
      </c>
      <c r="M39" s="23"/>
      <c r="N39" s="23"/>
      <c r="O39" s="23"/>
      <c r="P39" s="26" t="s">
        <v>175</v>
      </c>
      <c r="Q39" s="26"/>
      <c r="R39" s="35"/>
      <c r="S39" s="48"/>
      <c r="T39" s="39"/>
      <c r="U39" s="40">
        <f t="shared" si="0"/>
        <v>43467</v>
      </c>
      <c r="V39" s="46"/>
      <c r="W39" s="43"/>
      <c r="X39" s="66" t="e">
        <f>VLOOKUP(D39,#REF!,2,0)</f>
        <v>#REF!</v>
      </c>
      <c r="Y39" s="67" t="s">
        <v>2643</v>
      </c>
      <c r="Z39" s="67"/>
    </row>
    <row r="40" spans="1:26" ht="13.65" customHeight="1">
      <c r="A40" s="91">
        <v>39</v>
      </c>
      <c r="B40" s="19" t="s">
        <v>734</v>
      </c>
      <c r="C40" s="3" t="str">
        <f>VLOOKUP(D40,'lista 1'!$A$2:$F3558,4,0)</f>
        <v>GŁÓD ARTUR</v>
      </c>
      <c r="D40" s="73">
        <v>96</v>
      </c>
      <c r="E40" s="4" t="str">
        <f>VLOOKUP(D40,'lista 1'!$A$2:$F$1802,5,0)</f>
        <v>GRL</v>
      </c>
      <c r="F40" s="59" t="str">
        <f>VLOOKUP(G40,'lista obszary'!A:B,2,0)</f>
        <v>DOJO/QCC/KAIZEN</v>
      </c>
      <c r="G40" s="76" t="s">
        <v>1991</v>
      </c>
      <c r="H40" s="85" t="s">
        <v>2336</v>
      </c>
      <c r="I40" s="59" t="str">
        <f>VLOOKUP(J40,'lista obszary'!A:B,2,0)</f>
        <v>HV PJT</v>
      </c>
      <c r="J40" s="78" t="s">
        <v>2337</v>
      </c>
      <c r="K40" s="87" t="s">
        <v>533</v>
      </c>
      <c r="L40" s="82" t="s">
        <v>2332</v>
      </c>
      <c r="M40" s="23"/>
      <c r="N40" s="23"/>
      <c r="O40" s="23"/>
      <c r="P40" s="26" t="s">
        <v>175</v>
      </c>
      <c r="Q40" s="26"/>
      <c r="R40" s="35"/>
      <c r="S40" s="48"/>
      <c r="T40" s="39"/>
      <c r="U40" s="40">
        <f t="shared" si="0"/>
        <v>43467</v>
      </c>
      <c r="V40" s="46"/>
      <c r="W40" s="43"/>
      <c r="X40" s="66" t="e">
        <f>VLOOKUP(D40,#REF!,2,0)</f>
        <v>#REF!</v>
      </c>
      <c r="Y40" s="67" t="s">
        <v>2644</v>
      </c>
      <c r="Z40" s="67"/>
    </row>
    <row r="41" spans="1:26" ht="13.65" customHeight="1">
      <c r="A41" s="91">
        <v>40</v>
      </c>
      <c r="B41" s="19" t="s">
        <v>174</v>
      </c>
      <c r="C41" s="3" t="str">
        <f>VLOOKUP(D41,'lista 1'!$A$2:$F3559,4,0)</f>
        <v>BORUŃ MARCIN</v>
      </c>
      <c r="D41" s="73">
        <v>867</v>
      </c>
      <c r="E41" s="4" t="str">
        <f>VLOOKUP(D41,'lista 1'!$A$2:$F$1802,5,0)</f>
        <v>TL2</v>
      </c>
      <c r="F41" s="59" t="str">
        <f>VLOOKUP(G41,'lista obszary'!A:B,2,0)</f>
        <v>MTB0</v>
      </c>
      <c r="G41" s="76" t="s">
        <v>1090</v>
      </c>
      <c r="H41" s="85" t="s">
        <v>1908</v>
      </c>
      <c r="I41" s="59" t="str">
        <f>VLOOKUP(J41,'lista obszary'!A:B,2,0)</f>
        <v>MTB0</v>
      </c>
      <c r="J41" s="78" t="s">
        <v>503</v>
      </c>
      <c r="K41" s="87" t="s">
        <v>1565</v>
      </c>
      <c r="L41" s="82" t="s">
        <v>2335</v>
      </c>
      <c r="M41" s="23"/>
      <c r="N41" s="23"/>
      <c r="O41" s="23"/>
      <c r="P41" s="26" t="s">
        <v>175</v>
      </c>
      <c r="Q41" s="26"/>
      <c r="R41" s="35"/>
      <c r="S41" s="48"/>
      <c r="T41" s="39"/>
      <c r="U41" s="40">
        <f t="shared" si="0"/>
        <v>43472</v>
      </c>
      <c r="V41" s="46"/>
      <c r="W41" s="43"/>
      <c r="X41" s="66" t="e">
        <f>VLOOKUP(D41,#REF!,2,0)</f>
        <v>#REF!</v>
      </c>
      <c r="Y41" s="67" t="b">
        <f>F41=I41</f>
        <v>1</v>
      </c>
      <c r="Z41" s="67"/>
    </row>
    <row r="42" spans="1:26" ht="13.65" customHeight="1">
      <c r="A42" s="91">
        <v>41</v>
      </c>
      <c r="B42" s="19" t="s">
        <v>734</v>
      </c>
      <c r="C42" s="3" t="str">
        <f>VLOOKUP(D42,'lista 1'!$A$2:$F3560,4,0)</f>
        <v>MASKO PAWEŁ</v>
      </c>
      <c r="D42" s="73">
        <v>216</v>
      </c>
      <c r="E42" s="4" t="str">
        <f>VLOOKUP(D42,'lista 1'!$A$2:$F$1802,5,0)</f>
        <v>TL2</v>
      </c>
      <c r="F42" s="59" t="str">
        <f>VLOOKUP(G42,'lista obszary'!A:B,2,0)</f>
        <v>ENGINES</v>
      </c>
      <c r="G42" s="76" t="s">
        <v>178</v>
      </c>
      <c r="H42" s="85" t="s">
        <v>1556</v>
      </c>
      <c r="I42" s="59" t="str">
        <f>VLOOKUP(J42,'lista obszary'!A:B,2,0)</f>
        <v>BENKYOKAI</v>
      </c>
      <c r="J42" s="78" t="s">
        <v>935</v>
      </c>
      <c r="K42" s="87" t="s">
        <v>1921</v>
      </c>
      <c r="L42" s="82" t="s">
        <v>2335</v>
      </c>
      <c r="M42" s="23"/>
      <c r="N42" s="23"/>
      <c r="O42" s="23"/>
      <c r="P42" s="26" t="s">
        <v>175</v>
      </c>
      <c r="Q42" s="26"/>
      <c r="R42" s="26"/>
      <c r="S42" s="47"/>
      <c r="T42" s="4"/>
      <c r="U42" s="20">
        <f t="shared" si="0"/>
        <v>43472</v>
      </c>
      <c r="V42" s="47"/>
      <c r="W42" s="43"/>
      <c r="X42" s="66" t="e">
        <f>VLOOKUP(D42,#REF!,2,0)</f>
        <v>#REF!</v>
      </c>
      <c r="Y42" s="67" t="b">
        <f>F42=I42</f>
        <v>0</v>
      </c>
    </row>
    <row r="43" spans="1:26" ht="13.65" customHeight="1">
      <c r="A43" s="91">
        <v>42</v>
      </c>
      <c r="B43" s="19" t="s">
        <v>174</v>
      </c>
      <c r="C43" s="3" t="e">
        <f>VLOOKUP(D43,'lista 1'!$A$2:$F3561,4,0)</f>
        <v>#N/A</v>
      </c>
      <c r="D43" s="73">
        <v>64355</v>
      </c>
      <c r="E43" s="4" t="e">
        <f>VLOOKUP(D43,'lista 1'!$A$2:$F$1802,5,0)</f>
        <v>#N/A</v>
      </c>
      <c r="F43" s="59" t="str">
        <f>VLOOKUP(G43,'lista obszary'!A:B,2,0)</f>
        <v>ENGINES</v>
      </c>
      <c r="G43" s="76" t="s">
        <v>178</v>
      </c>
      <c r="H43" s="85" t="s">
        <v>1556</v>
      </c>
      <c r="I43" s="59" t="str">
        <f>VLOOKUP(J43,'lista obszary'!A:B,2,0)</f>
        <v>ENGINES</v>
      </c>
      <c r="J43" s="78" t="s">
        <v>597</v>
      </c>
      <c r="K43" s="87" t="s">
        <v>1892</v>
      </c>
      <c r="L43" s="82" t="s">
        <v>2401</v>
      </c>
      <c r="M43" s="23"/>
      <c r="N43" s="23"/>
      <c r="O43" s="23"/>
      <c r="P43" s="26" t="s">
        <v>175</v>
      </c>
      <c r="Q43" s="26"/>
      <c r="R43" s="26"/>
      <c r="S43" s="47"/>
      <c r="T43" s="4"/>
      <c r="U43" s="20">
        <f t="shared" si="0"/>
        <v>43473</v>
      </c>
      <c r="V43" s="47"/>
      <c r="W43" s="43"/>
      <c r="X43" s="66" t="e">
        <f>VLOOKUP(D43,#REF!,2,0)</f>
        <v>#REF!</v>
      </c>
      <c r="Y43" s="67" t="s">
        <v>2643</v>
      </c>
      <c r="Z43" s="67"/>
    </row>
    <row r="44" spans="1:26" ht="13.65" customHeight="1">
      <c r="A44" s="91">
        <v>43</v>
      </c>
      <c r="B44" s="19" t="s">
        <v>174</v>
      </c>
      <c r="C44" s="3" t="str">
        <f>VLOOKUP(D44,'lista 1'!$A$2:$F3562,4,0)</f>
        <v>WYRWAŁ EWA</v>
      </c>
      <c r="D44" s="73">
        <v>1413</v>
      </c>
      <c r="E44" s="4" t="s">
        <v>223</v>
      </c>
      <c r="F44" s="59" t="str">
        <f>VLOOKUP(G44,'lista obszary'!A:B,2,0)</f>
        <v>EC60</v>
      </c>
      <c r="G44" s="76" t="s">
        <v>1325</v>
      </c>
      <c r="H44" s="85" t="s">
        <v>1579</v>
      </c>
      <c r="I44" s="59" t="str">
        <f>VLOOKUP(J44,'lista obszary'!A:B,2,0)</f>
        <v>EC60</v>
      </c>
      <c r="J44" s="78" t="s">
        <v>844</v>
      </c>
      <c r="K44" s="87" t="s">
        <v>1903</v>
      </c>
      <c r="L44" s="82" t="s">
        <v>2407</v>
      </c>
      <c r="M44" s="23"/>
      <c r="N44" s="23"/>
      <c r="O44" s="23"/>
      <c r="P44" s="26" t="s">
        <v>2320</v>
      </c>
      <c r="Q44" s="26"/>
      <c r="R44" s="35"/>
      <c r="S44" s="48"/>
      <c r="T44" s="39"/>
      <c r="U44" s="40">
        <f t="shared" si="0"/>
        <v>43475</v>
      </c>
      <c r="V44" s="46"/>
      <c r="W44" s="43"/>
      <c r="X44" s="66" t="e">
        <f>VLOOKUP(D44,#REF!,2,0)</f>
        <v>#REF!</v>
      </c>
      <c r="Y44" s="67" t="s">
        <v>2643</v>
      </c>
      <c r="Z44" s="67"/>
    </row>
    <row r="45" spans="1:26" ht="13.65" customHeight="1">
      <c r="A45" s="91">
        <v>44</v>
      </c>
      <c r="B45" s="19" t="s">
        <v>174</v>
      </c>
      <c r="C45" s="3" t="e">
        <f>VLOOKUP(D45,'lista 1'!$A$2:$F3563,4,0)</f>
        <v>#N/A</v>
      </c>
      <c r="D45" s="73">
        <v>64353</v>
      </c>
      <c r="E45" s="4" t="e">
        <f>VLOOKUP(D45,'lista 1'!$A$2:$F$1802,5,0)</f>
        <v>#N/A</v>
      </c>
      <c r="F45" s="59" t="str">
        <f>VLOOKUP(G45,'lista obszary'!A:B,2,0)</f>
        <v>IL</v>
      </c>
      <c r="G45" s="76" t="s">
        <v>1609</v>
      </c>
      <c r="H45" s="85" t="s">
        <v>1923</v>
      </c>
      <c r="I45" s="59" t="str">
        <f>VLOOKUP(J45,'lista obszary'!A:B,2,0)</f>
        <v>HV</v>
      </c>
      <c r="J45" s="78" t="s">
        <v>2319</v>
      </c>
      <c r="K45" s="87" t="s">
        <v>1555</v>
      </c>
      <c r="L45" s="82" t="s">
        <v>2400</v>
      </c>
      <c r="M45" s="23"/>
      <c r="N45" s="23"/>
      <c r="O45" s="23"/>
      <c r="P45" s="26" t="s">
        <v>175</v>
      </c>
      <c r="Q45" s="26"/>
      <c r="R45" s="26"/>
      <c r="S45" s="47"/>
      <c r="T45" s="4"/>
      <c r="U45" s="20">
        <f t="shared" si="0"/>
        <v>43479</v>
      </c>
      <c r="V45" s="47"/>
      <c r="W45" s="43"/>
      <c r="X45" s="66" t="e">
        <f>VLOOKUP(D45,#REF!,2,0)</f>
        <v>#REF!</v>
      </c>
      <c r="Y45" s="67" t="b">
        <f>F45=I45</f>
        <v>0</v>
      </c>
      <c r="Z45" s="67"/>
    </row>
    <row r="46" spans="1:26" ht="13.65" customHeight="1">
      <c r="A46" s="91">
        <v>45</v>
      </c>
      <c r="B46" s="19" t="s">
        <v>734</v>
      </c>
      <c r="C46" s="3" t="e">
        <f>VLOOKUP(D46,'lista 1'!$A$2:$F3564,4,0)</f>
        <v>#N/A</v>
      </c>
      <c r="D46" s="73">
        <v>64354</v>
      </c>
      <c r="E46" s="4" t="e">
        <f>VLOOKUP(D46,'lista 1'!$A$2:$F$1802,5,0)</f>
        <v>#N/A</v>
      </c>
      <c r="F46" s="59" t="str">
        <f>VLOOKUP(G46,'lista obszary'!A:B,2,0)</f>
        <v>IL</v>
      </c>
      <c r="G46" s="76" t="s">
        <v>1609</v>
      </c>
      <c r="H46" s="85" t="s">
        <v>1923</v>
      </c>
      <c r="I46" s="59" t="str">
        <f>VLOOKUP(J46,'lista obszary'!A:B,2,0)</f>
        <v>HV</v>
      </c>
      <c r="J46" s="78" t="s">
        <v>2319</v>
      </c>
      <c r="K46" s="87" t="s">
        <v>1904</v>
      </c>
      <c r="L46" s="82" t="s">
        <v>2400</v>
      </c>
      <c r="M46" s="23"/>
      <c r="N46" s="23"/>
      <c r="O46" s="23"/>
      <c r="P46" s="26" t="s">
        <v>175</v>
      </c>
      <c r="Q46" s="26"/>
      <c r="R46" s="26"/>
      <c r="S46" s="47"/>
      <c r="T46" s="4"/>
      <c r="U46" s="20">
        <f t="shared" si="0"/>
        <v>43479</v>
      </c>
      <c r="V46" s="47"/>
      <c r="W46" s="43"/>
      <c r="X46" s="66" t="e">
        <f>VLOOKUP(D46,#REF!,2,0)</f>
        <v>#REF!</v>
      </c>
      <c r="Y46" s="67" t="s">
        <v>2648</v>
      </c>
      <c r="Z46" s="67"/>
    </row>
    <row r="47" spans="1:26" ht="13.65" customHeight="1">
      <c r="A47" s="91">
        <v>46</v>
      </c>
      <c r="B47" s="19" t="s">
        <v>174</v>
      </c>
      <c r="C47" s="3" t="str">
        <f>VLOOKUP(D47,'lista 1'!$A$2:$F3565,4,0)</f>
        <v>ZIEMNIAK GRZEGORZ</v>
      </c>
      <c r="D47" s="73">
        <v>318</v>
      </c>
      <c r="E47" s="4" t="str">
        <f>VLOOKUP(D47,'lista 1'!$A$2:$F$1802,5,0)</f>
        <v>GRL2</v>
      </c>
      <c r="F47" s="59" t="str">
        <f>VLOOKUP(G47,'lista obszary'!A:B,2,0)</f>
        <v>IL</v>
      </c>
      <c r="G47" s="76" t="s">
        <v>881</v>
      </c>
      <c r="H47" s="85" t="s">
        <v>1927</v>
      </c>
      <c r="I47" s="59" t="str">
        <f>VLOOKUP(J47,'lista obszary'!A:B,2,0)</f>
        <v>IL</v>
      </c>
      <c r="J47" s="78" t="s">
        <v>2402</v>
      </c>
      <c r="K47" s="87" t="s">
        <v>1927</v>
      </c>
      <c r="L47" s="82" t="s">
        <v>2400</v>
      </c>
      <c r="M47" s="23"/>
      <c r="N47" s="23"/>
      <c r="O47" s="23"/>
      <c r="P47" s="26" t="s">
        <v>175</v>
      </c>
      <c r="Q47" s="26"/>
      <c r="R47" s="26"/>
      <c r="S47" s="47"/>
      <c r="T47" s="4"/>
      <c r="U47" s="20">
        <f t="shared" si="0"/>
        <v>43479</v>
      </c>
      <c r="V47" s="47"/>
      <c r="W47" s="43"/>
      <c r="X47" s="66" t="e">
        <f>VLOOKUP(D47,#REF!,2,0)</f>
        <v>#REF!</v>
      </c>
      <c r="Y47" s="67" t="s">
        <v>2643</v>
      </c>
      <c r="Z47" s="67"/>
    </row>
    <row r="48" spans="1:26" ht="13.65" customHeight="1">
      <c r="A48" s="91">
        <v>47</v>
      </c>
      <c r="B48" s="19" t="s">
        <v>174</v>
      </c>
      <c r="C48" s="3" t="str">
        <f>VLOOKUP(D48,'lista 1'!$A$2:$F3566,4,0)</f>
        <v>STACHUŁA JAROSŁAW</v>
      </c>
      <c r="D48" s="73">
        <v>520</v>
      </c>
      <c r="E48" s="4" t="str">
        <f>VLOOKUP(D48,'lista 1'!$A$2:$F$1802,5,0)</f>
        <v>TL</v>
      </c>
      <c r="F48" s="59" t="str">
        <f>VLOOKUP(G48,'lista obszary'!A:B,2,0)</f>
        <v>IL</v>
      </c>
      <c r="G48" s="76" t="s">
        <v>1039</v>
      </c>
      <c r="H48" s="85" t="s">
        <v>1910</v>
      </c>
      <c r="I48" s="59" t="str">
        <f>VLOOKUP(J48,'lista obszary'!A:B,2,0)</f>
        <v>IL</v>
      </c>
      <c r="J48" s="78" t="s">
        <v>515</v>
      </c>
      <c r="K48" s="87" t="s">
        <v>1574</v>
      </c>
      <c r="L48" s="82" t="s">
        <v>2400</v>
      </c>
      <c r="M48" s="23"/>
      <c r="N48" s="23"/>
      <c r="O48" s="23"/>
      <c r="P48" s="26" t="s">
        <v>175</v>
      </c>
      <c r="Q48" s="26"/>
      <c r="R48" s="26"/>
      <c r="S48" s="47"/>
      <c r="T48" s="4"/>
      <c r="U48" s="20">
        <f t="shared" si="0"/>
        <v>43479</v>
      </c>
      <c r="V48" s="47"/>
      <c r="W48" s="43"/>
      <c r="X48" s="66" t="e">
        <f>VLOOKUP(D48,#REF!,2,0)</f>
        <v>#REF!</v>
      </c>
      <c r="Y48" s="67" t="s">
        <v>2643</v>
      </c>
      <c r="Z48" s="67"/>
    </row>
    <row r="49" spans="1:26" ht="13.65" customHeight="1">
      <c r="A49" s="91">
        <v>48</v>
      </c>
      <c r="B49" s="19" t="s">
        <v>174</v>
      </c>
      <c r="C49" s="3" t="str">
        <f>VLOOKUP(D49,'lista 1'!$A$2:$F3567,4,0)</f>
        <v>PRZYBYLSKI ARTUR</v>
      </c>
      <c r="D49" s="73">
        <v>196</v>
      </c>
      <c r="E49" s="4" t="str">
        <f>VLOOKUP(D49,'lista 1'!$A$2:$F$1802,5,0)</f>
        <v>TL</v>
      </c>
      <c r="F49" s="59" t="str">
        <f>VLOOKUP(G49,'lista obszary'!A:B,2,0)</f>
        <v>IL</v>
      </c>
      <c r="G49" s="76" t="s">
        <v>1063</v>
      </c>
      <c r="H49" s="85" t="s">
        <v>1560</v>
      </c>
      <c r="I49" s="59" t="str">
        <f>VLOOKUP(J49,'lista obszary'!A:B,2,0)</f>
        <v>IL</v>
      </c>
      <c r="J49" s="78" t="s">
        <v>1039</v>
      </c>
      <c r="K49" s="87" t="s">
        <v>1561</v>
      </c>
      <c r="L49" s="82" t="s">
        <v>2400</v>
      </c>
      <c r="M49" s="23"/>
      <c r="N49" s="23"/>
      <c r="O49" s="23"/>
      <c r="P49" s="26" t="s">
        <v>175</v>
      </c>
      <c r="Q49" s="26"/>
      <c r="R49" s="26"/>
      <c r="S49" s="47"/>
      <c r="T49" s="4"/>
      <c r="U49" s="20">
        <f t="shared" si="0"/>
        <v>43479</v>
      </c>
      <c r="V49" s="47"/>
      <c r="W49" s="43"/>
      <c r="X49" s="66" t="e">
        <f>VLOOKUP(D49,#REF!,2,0)</f>
        <v>#REF!</v>
      </c>
      <c r="Y49" s="67" t="s">
        <v>2643</v>
      </c>
      <c r="Z49" s="67"/>
    </row>
    <row r="50" spans="1:26" ht="13.65" customHeight="1">
      <c r="A50" s="91">
        <v>49</v>
      </c>
      <c r="B50" s="19" t="s">
        <v>174</v>
      </c>
      <c r="C50" s="3" t="str">
        <f>VLOOKUP(D50,'lista 1'!$A$2:$F3568,4,0)</f>
        <v>SKOWROŃSKI PIOTR</v>
      </c>
      <c r="D50" s="73">
        <v>1780</v>
      </c>
      <c r="E50" s="4" t="str">
        <f>VLOOKUP(D50,'lista 1'!$A$2:$F$1802,5,0)</f>
        <v>AC GRL</v>
      </c>
      <c r="F50" s="59" t="str">
        <f>VLOOKUP(G50,'lista obszary'!A:B,2,0)</f>
        <v>IL</v>
      </c>
      <c r="G50" s="76" t="s">
        <v>511</v>
      </c>
      <c r="H50" s="85" t="s">
        <v>1551</v>
      </c>
      <c r="I50" s="59" t="str">
        <f>VLOOKUP(J50,'lista obszary'!A:B,2,0)</f>
        <v>IL</v>
      </c>
      <c r="J50" s="78" t="s">
        <v>2402</v>
      </c>
      <c r="K50" s="87" t="s">
        <v>2112</v>
      </c>
      <c r="L50" s="82" t="s">
        <v>2400</v>
      </c>
      <c r="M50" s="23"/>
      <c r="N50" s="23"/>
      <c r="O50" s="23"/>
      <c r="P50" s="26" t="s">
        <v>175</v>
      </c>
      <c r="Q50" s="26"/>
      <c r="R50" s="26"/>
      <c r="S50" s="47"/>
      <c r="T50" s="4"/>
      <c r="U50" s="20">
        <f t="shared" si="0"/>
        <v>43479</v>
      </c>
      <c r="V50" s="47"/>
      <c r="W50" s="43"/>
      <c r="X50" s="66" t="e">
        <f>VLOOKUP(D50,#REF!,2,0)</f>
        <v>#REF!</v>
      </c>
      <c r="Y50" s="67" t="s">
        <v>2643</v>
      </c>
      <c r="Z50" s="67"/>
    </row>
    <row r="51" spans="1:26" ht="13.65" customHeight="1">
      <c r="A51" s="91">
        <v>50</v>
      </c>
      <c r="B51" s="19" t="s">
        <v>174</v>
      </c>
      <c r="C51" s="3" t="str">
        <f>VLOOKUP(D51,'lista 1'!$A$2:$F3569,4,0)</f>
        <v>UMER KRZYSZTOF</v>
      </c>
      <c r="D51" s="73">
        <v>515</v>
      </c>
      <c r="E51" s="4" t="str">
        <f>VLOOKUP(D51,'lista 1'!$A$2:$F$1802,5,0)</f>
        <v>AC GRL</v>
      </c>
      <c r="F51" s="59" t="str">
        <f>VLOOKUP(G51,'lista obszary'!A:B,2,0)</f>
        <v>IL</v>
      </c>
      <c r="G51" s="76" t="s">
        <v>515</v>
      </c>
      <c r="H51" s="85" t="s">
        <v>1574</v>
      </c>
      <c r="I51" s="59" t="str">
        <f>VLOOKUP(J51,'lista obszary'!A:B,2,0)</f>
        <v>IL</v>
      </c>
      <c r="J51" s="78" t="s">
        <v>511</v>
      </c>
      <c r="K51" s="87" t="s">
        <v>1909</v>
      </c>
      <c r="L51" s="82" t="s">
        <v>2400</v>
      </c>
      <c r="M51" s="23"/>
      <c r="N51" s="23"/>
      <c r="O51" s="23"/>
      <c r="P51" s="26" t="s">
        <v>175</v>
      </c>
      <c r="Q51" s="26"/>
      <c r="R51" s="26"/>
      <c r="S51" s="47"/>
      <c r="T51" s="4"/>
      <c r="U51" s="20">
        <f t="shared" si="0"/>
        <v>43479</v>
      </c>
      <c r="V51" s="47"/>
      <c r="W51" s="43"/>
      <c r="X51" s="66" t="e">
        <f>VLOOKUP(D51,#REF!,2,0)</f>
        <v>#REF!</v>
      </c>
      <c r="Y51" s="67" t="s">
        <v>2643</v>
      </c>
      <c r="Z51" s="67"/>
    </row>
    <row r="52" spans="1:26" ht="13.65" customHeight="1">
      <c r="A52" s="91">
        <v>51</v>
      </c>
      <c r="B52" s="19" t="s">
        <v>174</v>
      </c>
      <c r="C52" s="3" t="str">
        <f>VLOOKUP(D52,'lista 1'!$A$2:$F3570,4,0)</f>
        <v>WROŃSKI ANDRZEJ</v>
      </c>
      <c r="D52" s="73">
        <v>35</v>
      </c>
      <c r="E52" s="4" t="str">
        <f>VLOOKUP(D52,'lista 1'!$A$2:$F$1802,5,0)</f>
        <v>GRL2</v>
      </c>
      <c r="F52" s="59" t="str">
        <f>VLOOKUP(G52,'lista obszary'!A:B,2,0)</f>
        <v>IL</v>
      </c>
      <c r="G52" s="76" t="s">
        <v>517</v>
      </c>
      <c r="H52" s="85" t="s">
        <v>1909</v>
      </c>
      <c r="I52" s="59" t="str">
        <f>VLOOKUP(J52,'lista obszary'!A:B,2,0)</f>
        <v>IL</v>
      </c>
      <c r="J52" s="78" t="s">
        <v>1039</v>
      </c>
      <c r="K52" s="87" t="s">
        <v>1923</v>
      </c>
      <c r="L52" s="82" t="s">
        <v>2400</v>
      </c>
      <c r="M52" s="23"/>
      <c r="N52" s="23"/>
      <c r="O52" s="23"/>
      <c r="P52" s="26" t="s">
        <v>175</v>
      </c>
      <c r="Q52" s="26"/>
      <c r="R52" s="26"/>
      <c r="S52" s="47"/>
      <c r="T52" s="4"/>
      <c r="U52" s="20">
        <f t="shared" si="0"/>
        <v>43479</v>
      </c>
      <c r="V52" s="47"/>
      <c r="W52" s="43"/>
      <c r="X52" s="66" t="e">
        <f>VLOOKUP(D52,#REF!,2,0)</f>
        <v>#REF!</v>
      </c>
      <c r="Y52" s="67" t="s">
        <v>2643</v>
      </c>
      <c r="Z52" s="67"/>
    </row>
    <row r="53" spans="1:26" ht="13.65" customHeight="1">
      <c r="A53" s="91">
        <v>52</v>
      </c>
      <c r="B53" s="19" t="s">
        <v>174</v>
      </c>
      <c r="C53" s="3" t="str">
        <f>VLOOKUP(D53,'lista 1'!$A$2:$F3571,4,0)</f>
        <v>ZDEB MARCIN</v>
      </c>
      <c r="D53" s="73">
        <v>224</v>
      </c>
      <c r="E53" s="4" t="str">
        <f>VLOOKUP(D53,'lista 1'!$A$2:$F$1802,5,0)</f>
        <v>GRL</v>
      </c>
      <c r="F53" s="59" t="str">
        <f>VLOOKUP(G53,'lista obszary'!A:B,2,0)</f>
        <v>IL</v>
      </c>
      <c r="G53" s="76" t="s">
        <v>517</v>
      </c>
      <c r="H53" s="85" t="s">
        <v>1909</v>
      </c>
      <c r="I53" s="59" t="str">
        <f>VLOOKUP(J53,'lista obszary'!A:B,2,0)</f>
        <v>IL</v>
      </c>
      <c r="J53" s="78" t="s">
        <v>2329</v>
      </c>
      <c r="K53" s="87" t="s">
        <v>1909</v>
      </c>
      <c r="L53" s="82" t="s">
        <v>2400</v>
      </c>
      <c r="M53" s="23"/>
      <c r="N53" s="23"/>
      <c r="O53" s="23"/>
      <c r="P53" s="26" t="s">
        <v>175</v>
      </c>
      <c r="Q53" s="26"/>
      <c r="R53" s="26"/>
      <c r="S53" s="47"/>
      <c r="T53" s="4"/>
      <c r="U53" s="20">
        <f t="shared" si="0"/>
        <v>43479</v>
      </c>
      <c r="V53" s="47"/>
      <c r="W53" s="43"/>
      <c r="X53" s="66" t="e">
        <f>VLOOKUP(D53,#REF!,2,0)</f>
        <v>#REF!</v>
      </c>
      <c r="Y53" s="67" t="s">
        <v>2643</v>
      </c>
      <c r="Z53" s="67"/>
    </row>
    <row r="54" spans="1:26" ht="13.65" customHeight="1">
      <c r="A54" s="91">
        <v>53</v>
      </c>
      <c r="B54" s="19" t="s">
        <v>174</v>
      </c>
      <c r="C54" s="3" t="str">
        <f>VLOOKUP(D54,'lista 1'!$A$2:$F3572,4,0)</f>
        <v>BIAŁEK MARCIN</v>
      </c>
      <c r="D54" s="73">
        <v>1276</v>
      </c>
      <c r="E54" s="4" t="str">
        <f>VLOOKUP(D54,'lista 1'!$A$2:$F$1802,5,0)</f>
        <v>TL</v>
      </c>
      <c r="F54" s="59" t="str">
        <f>VLOOKUP(G54,'lista obszary'!A:B,2,0)</f>
        <v>IL</v>
      </c>
      <c r="G54" s="76" t="s">
        <v>2087</v>
      </c>
      <c r="H54" s="85" t="s">
        <v>1923</v>
      </c>
      <c r="I54" s="59" t="str">
        <f>VLOOKUP(J54,'lista obszary'!A:B,2,0)</f>
        <v>IL</v>
      </c>
      <c r="J54" s="78" t="s">
        <v>2012</v>
      </c>
      <c r="K54" s="87" t="s">
        <v>1911</v>
      </c>
      <c r="L54" s="82" t="s">
        <v>2400</v>
      </c>
      <c r="M54" s="23"/>
      <c r="N54" s="23"/>
      <c r="O54" s="23"/>
      <c r="P54" s="26" t="s">
        <v>175</v>
      </c>
      <c r="Q54" s="26"/>
      <c r="R54" s="26"/>
      <c r="S54" s="47"/>
      <c r="T54" s="4"/>
      <c r="U54" s="20">
        <f t="shared" si="0"/>
        <v>43479</v>
      </c>
      <c r="V54" s="47"/>
      <c r="W54" s="43"/>
      <c r="X54" s="66" t="e">
        <f>VLOOKUP(D54,#REF!,2,0)</f>
        <v>#REF!</v>
      </c>
      <c r="Y54" s="67" t="s">
        <v>2643</v>
      </c>
      <c r="Z54" s="67"/>
    </row>
    <row r="55" spans="1:26" ht="13.65" customHeight="1">
      <c r="A55" s="91">
        <v>54</v>
      </c>
      <c r="B55" s="19" t="s">
        <v>174</v>
      </c>
      <c r="C55" s="3" t="str">
        <f>VLOOKUP(D55,'lista 1'!$A$2:$F3573,4,0)</f>
        <v>KOŁODZIEJ ANDRZEJ</v>
      </c>
      <c r="D55" s="73">
        <v>1538</v>
      </c>
      <c r="E55" s="4" t="str">
        <f>VLOOKUP(D55,'lista 1'!$A$2:$F$1802,5,0)</f>
        <v>TL</v>
      </c>
      <c r="F55" s="59" t="str">
        <f>VLOOKUP(G55,'lista obszary'!A:B,2,0)</f>
        <v>IL</v>
      </c>
      <c r="G55" s="76" t="s">
        <v>2087</v>
      </c>
      <c r="H55" s="85" t="s">
        <v>2112</v>
      </c>
      <c r="I55" s="59" t="str">
        <f>VLOOKUP(J55,'lista obszary'!A:B,2,0)</f>
        <v>IL</v>
      </c>
      <c r="J55" s="78" t="s">
        <v>1608</v>
      </c>
      <c r="K55" s="87" t="s">
        <v>1911</v>
      </c>
      <c r="L55" s="82" t="s">
        <v>2400</v>
      </c>
      <c r="M55" s="23"/>
      <c r="N55" s="23"/>
      <c r="O55" s="23"/>
      <c r="P55" s="26" t="s">
        <v>175</v>
      </c>
      <c r="Q55" s="26"/>
      <c r="R55" s="26"/>
      <c r="S55" s="47"/>
      <c r="T55" s="4"/>
      <c r="U55" s="20">
        <f t="shared" si="0"/>
        <v>43479</v>
      </c>
      <c r="V55" s="47"/>
      <c r="W55" s="43"/>
      <c r="X55" s="66" t="e">
        <f>VLOOKUP(D55,#REF!,2,0)</f>
        <v>#REF!</v>
      </c>
      <c r="Y55" s="67" t="s">
        <v>2643</v>
      </c>
      <c r="Z55" s="67"/>
    </row>
    <row r="56" spans="1:26" ht="13.65" customHeight="1">
      <c r="A56" s="91">
        <v>55</v>
      </c>
      <c r="B56" s="19" t="s">
        <v>174</v>
      </c>
      <c r="C56" s="3" t="str">
        <f>VLOOKUP(D56,'lista 1'!$A$2:$F3574,4,0)</f>
        <v>PACOŃ ROBERT</v>
      </c>
      <c r="D56" s="73">
        <v>1666</v>
      </c>
      <c r="E56" s="4" t="str">
        <f>VLOOKUP(D56,'lista 1'!$A$2:$F$1802,5,0)</f>
        <v>TL</v>
      </c>
      <c r="F56" s="59" t="str">
        <f>VLOOKUP(G56,'lista obszary'!A:B,2,0)</f>
        <v>IL</v>
      </c>
      <c r="G56" s="76" t="s">
        <v>2087</v>
      </c>
      <c r="H56" s="85" t="s">
        <v>1560</v>
      </c>
      <c r="I56" s="59" t="str">
        <f>VLOOKUP(J56,'lista obszary'!A:B,2,0)</f>
        <v>IL</v>
      </c>
      <c r="J56" s="78" t="s">
        <v>2402</v>
      </c>
      <c r="K56" s="87" t="s">
        <v>1910</v>
      </c>
      <c r="L56" s="82" t="s">
        <v>2400</v>
      </c>
      <c r="M56" s="23"/>
      <c r="N56" s="23"/>
      <c r="O56" s="23"/>
      <c r="P56" s="26" t="s">
        <v>175</v>
      </c>
      <c r="Q56" s="26"/>
      <c r="R56" s="26"/>
      <c r="S56" s="47"/>
      <c r="T56" s="4"/>
      <c r="U56" s="20">
        <f t="shared" si="0"/>
        <v>43479</v>
      </c>
      <c r="V56" s="47"/>
      <c r="W56" s="43"/>
      <c r="X56" s="66" t="e">
        <f>VLOOKUP(D56,#REF!,2,0)</f>
        <v>#REF!</v>
      </c>
      <c r="Y56" s="67" t="s">
        <v>2643</v>
      </c>
      <c r="Z56" s="67"/>
    </row>
    <row r="57" spans="1:26" ht="13.65" customHeight="1">
      <c r="A57" s="91">
        <v>56</v>
      </c>
      <c r="B57" s="19" t="s">
        <v>174</v>
      </c>
      <c r="C57" s="3" t="str">
        <f>VLOOKUP(D57,'lista 1'!$A$2:$F3575,4,0)</f>
        <v>PACYNA PRZEMYSŁAW</v>
      </c>
      <c r="D57" s="73">
        <v>339</v>
      </c>
      <c r="E57" s="4" t="str">
        <f>VLOOKUP(D57,'lista 1'!$A$2:$F$1802,5,0)</f>
        <v>GRL2</v>
      </c>
      <c r="F57" s="59" t="str">
        <f>VLOOKUP(G57,'lista obszary'!A:B,2,0)</f>
        <v>IL</v>
      </c>
      <c r="G57" s="76" t="s">
        <v>2087</v>
      </c>
      <c r="H57" s="85" t="s">
        <v>1927</v>
      </c>
      <c r="I57" s="59" t="str">
        <f>VLOOKUP(J57,'lista obszary'!A:B,2,0)</f>
        <v>IL</v>
      </c>
      <c r="J57" s="78" t="s">
        <v>1608</v>
      </c>
      <c r="K57" s="87" t="s">
        <v>1927</v>
      </c>
      <c r="L57" s="82" t="s">
        <v>2400</v>
      </c>
      <c r="M57" s="23"/>
      <c r="N57" s="23"/>
      <c r="O57" s="23"/>
      <c r="P57" s="26" t="s">
        <v>175</v>
      </c>
      <c r="Q57" s="26"/>
      <c r="R57" s="26"/>
      <c r="S57" s="47"/>
      <c r="T57" s="4"/>
      <c r="U57" s="20">
        <f t="shared" si="0"/>
        <v>43479</v>
      </c>
      <c r="V57" s="47"/>
      <c r="W57" s="43"/>
      <c r="X57" s="66" t="e">
        <f>VLOOKUP(D57,#REF!,2,0)</f>
        <v>#REF!</v>
      </c>
      <c r="Y57" s="67" t="s">
        <v>2643</v>
      </c>
      <c r="Z57" s="67"/>
    </row>
    <row r="58" spans="1:26" ht="13.65" customHeight="1">
      <c r="A58" s="91">
        <v>57</v>
      </c>
      <c r="B58" s="19" t="s">
        <v>174</v>
      </c>
      <c r="C58" s="3" t="str">
        <f>VLOOKUP(D58,'lista 1'!$A$2:$F3576,4,0)</f>
        <v>WESOŁEK WIESŁAW</v>
      </c>
      <c r="D58" s="73">
        <v>490</v>
      </c>
      <c r="E58" s="4" t="str">
        <f>VLOOKUP(D58,'lista 1'!$A$2:$F$1802,5,0)</f>
        <v>ASM</v>
      </c>
      <c r="F58" s="59" t="str">
        <f>VLOOKUP(G58,'lista obszary'!A:B,2,0)</f>
        <v>IL</v>
      </c>
      <c r="G58" s="76" t="s">
        <v>2087</v>
      </c>
      <c r="H58" s="85" t="s">
        <v>1927</v>
      </c>
      <c r="I58" s="59" t="str">
        <f>VLOOKUP(J58,'lista obszary'!A:B,2,0)</f>
        <v>IL OFFICE</v>
      </c>
      <c r="J58" s="78" t="s">
        <v>1368</v>
      </c>
      <c r="K58" s="87" t="s">
        <v>1927</v>
      </c>
      <c r="L58" s="82" t="s">
        <v>2400</v>
      </c>
      <c r="M58" s="23"/>
      <c r="N58" s="23"/>
      <c r="O58" s="23"/>
      <c r="P58" s="26" t="s">
        <v>175</v>
      </c>
      <c r="Q58" s="26"/>
      <c r="R58" s="26"/>
      <c r="S58" s="47"/>
      <c r="T58" s="4"/>
      <c r="U58" s="20">
        <f t="shared" si="0"/>
        <v>43479</v>
      </c>
      <c r="V58" s="47"/>
      <c r="W58" s="43"/>
      <c r="X58" s="66" t="e">
        <f>VLOOKUP(D58,#REF!,2,0)</f>
        <v>#REF!</v>
      </c>
      <c r="Y58" s="67" t="s">
        <v>2644</v>
      </c>
      <c r="Z58" s="67"/>
    </row>
    <row r="59" spans="1:26" ht="13.65" customHeight="1">
      <c r="A59" s="91">
        <v>58</v>
      </c>
      <c r="B59" s="19" t="s">
        <v>174</v>
      </c>
      <c r="C59" s="3" t="str">
        <f>VLOOKUP(D59,'lista 1'!$A$2:$F3577,4,0)</f>
        <v>PODSIADŁY GRZEGORZ</v>
      </c>
      <c r="D59" s="73">
        <v>890</v>
      </c>
      <c r="E59" s="4" t="str">
        <f>VLOOKUP(D59,'lista 1'!$A$2:$F$1802,5,0)</f>
        <v>GRL</v>
      </c>
      <c r="F59" s="59" t="str">
        <f>VLOOKUP(G59,'lista obszary'!A:B,2,0)</f>
        <v>IL</v>
      </c>
      <c r="G59" s="76" t="s">
        <v>2012</v>
      </c>
      <c r="H59" s="85" t="s">
        <v>1923</v>
      </c>
      <c r="I59" s="59" t="str">
        <f>VLOOKUP(J59,'lista obszary'!A:B,2,0)</f>
        <v>IL</v>
      </c>
      <c r="J59" s="78" t="s">
        <v>517</v>
      </c>
      <c r="K59" s="87" t="s">
        <v>1909</v>
      </c>
      <c r="L59" s="82" t="s">
        <v>2400</v>
      </c>
      <c r="M59" s="23"/>
      <c r="N59" s="23"/>
      <c r="O59" s="23"/>
      <c r="P59" s="26" t="s">
        <v>175</v>
      </c>
      <c r="Q59" s="26"/>
      <c r="R59" s="26"/>
      <c r="S59" s="47"/>
      <c r="T59" s="4"/>
      <c r="U59" s="20">
        <f t="shared" si="0"/>
        <v>43479</v>
      </c>
      <c r="V59" s="47"/>
      <c r="W59" s="43"/>
      <c r="X59" s="66" t="e">
        <f>VLOOKUP(D59,#REF!,2,0)</f>
        <v>#REF!</v>
      </c>
      <c r="Y59" s="67" t="b">
        <f>F59=I59</f>
        <v>1</v>
      </c>
      <c r="Z59" s="67"/>
    </row>
    <row r="60" spans="1:26" ht="13.65" customHeight="1">
      <c r="A60" s="91">
        <v>59</v>
      </c>
      <c r="B60" s="19" t="s">
        <v>174</v>
      </c>
      <c r="C60" s="3" t="str">
        <f>VLOOKUP(D60,'lista 1'!$A$2:$F3578,4,0)</f>
        <v>SŁOWIŃSKA-KOCIUMBAS OLGA</v>
      </c>
      <c r="D60" s="73">
        <v>2161</v>
      </c>
      <c r="E60" s="4" t="str">
        <f>VLOOKUP(D60,'lista 1'!$A$2:$F$1802,5,0)</f>
        <v>SENG</v>
      </c>
      <c r="F60" s="59" t="str">
        <f>VLOOKUP(G60,'lista obszary'!A:B,2,0)</f>
        <v>QE</v>
      </c>
      <c r="G60" s="76" t="s">
        <v>681</v>
      </c>
      <c r="H60" s="85" t="s">
        <v>1936</v>
      </c>
      <c r="I60" s="59" t="str">
        <f>VLOOKUP(J60,'lista obszary'!A:B,2,0)</f>
        <v>QC</v>
      </c>
      <c r="J60" s="78" t="s">
        <v>2405</v>
      </c>
      <c r="K60" s="87" t="s">
        <v>2129</v>
      </c>
      <c r="L60" s="82" t="s">
        <v>2400</v>
      </c>
      <c r="M60" s="23"/>
      <c r="N60" s="23"/>
      <c r="O60" s="23"/>
      <c r="P60" s="26" t="s">
        <v>175</v>
      </c>
      <c r="Q60" s="26"/>
      <c r="R60" s="26"/>
      <c r="S60" s="47"/>
      <c r="T60" s="4"/>
      <c r="U60" s="20">
        <f t="shared" si="0"/>
        <v>43479</v>
      </c>
      <c r="V60" s="47"/>
      <c r="W60" s="43"/>
      <c r="X60" s="66" t="e">
        <f>VLOOKUP(D60,#REF!,2,0)</f>
        <v>#REF!</v>
      </c>
      <c r="Y60" s="67" t="s">
        <v>2644</v>
      </c>
      <c r="Z60" s="67"/>
    </row>
    <row r="61" spans="1:26" ht="13.65" customHeight="1">
      <c r="A61" s="91">
        <v>60</v>
      </c>
      <c r="B61" s="19" t="s">
        <v>734</v>
      </c>
      <c r="C61" s="3" t="str">
        <f>VLOOKUP(D61,'lista 1'!$A$2:$F3579,4,0)</f>
        <v>OCET URSZULA</v>
      </c>
      <c r="D61" s="73">
        <v>2820</v>
      </c>
      <c r="E61" s="4" t="str">
        <f>VLOOKUP(D61,'lista 1'!$A$2:$F$1802,5,0)</f>
        <v>TM2</v>
      </c>
      <c r="F61" s="59" t="str">
        <f>VLOOKUP(G61,'lista obszary'!A:B,2,0)</f>
        <v>MTB0</v>
      </c>
      <c r="G61" s="76" t="s">
        <v>1452</v>
      </c>
      <c r="H61" s="85" t="s">
        <v>1386</v>
      </c>
      <c r="I61" s="59" t="str">
        <f>VLOOKUP(J61,'lista obszary'!A:B,2,0)</f>
        <v>HV</v>
      </c>
      <c r="J61" s="78" t="s">
        <v>2069</v>
      </c>
      <c r="K61" s="87" t="s">
        <v>1582</v>
      </c>
      <c r="L61" s="82" t="s">
        <v>2400</v>
      </c>
      <c r="M61" s="23"/>
      <c r="N61" s="23"/>
      <c r="O61" s="23"/>
      <c r="P61" s="26" t="s">
        <v>175</v>
      </c>
      <c r="Q61" s="26"/>
      <c r="R61" s="26"/>
      <c r="S61" s="47"/>
      <c r="T61" s="4"/>
      <c r="U61" s="20">
        <f t="shared" si="0"/>
        <v>43479</v>
      </c>
      <c r="V61" s="47"/>
      <c r="W61" s="43"/>
      <c r="X61" s="66" t="e">
        <f>VLOOKUP(D61,#REF!,2,0)</f>
        <v>#REF!</v>
      </c>
      <c r="Y61" s="67" t="b">
        <f>F61=I61</f>
        <v>0</v>
      </c>
      <c r="Z61" s="67"/>
    </row>
    <row r="62" spans="1:26" ht="13.65" customHeight="1">
      <c r="A62" s="91">
        <v>61</v>
      </c>
      <c r="B62" s="19" t="s">
        <v>734</v>
      </c>
      <c r="C62" s="3" t="str">
        <f>VLOOKUP(D62,'lista 1'!$A$2:$F3580,4,0)</f>
        <v>ROGALSKI KRZYSZTOF</v>
      </c>
      <c r="D62" s="73">
        <v>1918</v>
      </c>
      <c r="E62" s="4" t="str">
        <f>VLOOKUP(D62,'lista 1'!$A$2:$F$1802,5,0)</f>
        <v>TM2</v>
      </c>
      <c r="F62" s="59" t="str">
        <f>VLOOKUP(G62,'lista obszary'!A:B,2,0)</f>
        <v>ENGINES</v>
      </c>
      <c r="G62" s="76" t="s">
        <v>1081</v>
      </c>
      <c r="H62" s="85" t="s">
        <v>2406</v>
      </c>
      <c r="I62" s="59" t="str">
        <f>VLOOKUP(J62,'lista obszary'!A:B,2,0)</f>
        <v>HV</v>
      </c>
      <c r="J62" s="78" t="s">
        <v>2319</v>
      </c>
      <c r="K62" s="87" t="s">
        <v>2326</v>
      </c>
      <c r="L62" s="82" t="s">
        <v>2400</v>
      </c>
      <c r="M62" s="23"/>
      <c r="N62" s="23"/>
      <c r="O62" s="23"/>
      <c r="P62" s="26" t="s">
        <v>175</v>
      </c>
      <c r="Q62" s="26"/>
      <c r="R62" s="26"/>
      <c r="S62" s="47"/>
      <c r="T62" s="4"/>
      <c r="U62" s="20">
        <f t="shared" si="0"/>
        <v>43479</v>
      </c>
      <c r="V62" s="47"/>
      <c r="W62" s="43"/>
      <c r="X62" s="66" t="e">
        <f>VLOOKUP(D62,#REF!,2,0)</f>
        <v>#REF!</v>
      </c>
      <c r="Y62" s="67" t="b">
        <f>F62=I62</f>
        <v>0</v>
      </c>
      <c r="Z62" s="67"/>
    </row>
    <row r="63" spans="1:26" ht="13.65" customHeight="1">
      <c r="A63" s="91">
        <v>62</v>
      </c>
      <c r="B63" s="19" t="s">
        <v>174</v>
      </c>
      <c r="C63" s="3" t="e">
        <f>VLOOKUP(D63,'lista 1'!$A$2:$F3581,4,0)</f>
        <v>#N/A</v>
      </c>
      <c r="D63" s="73">
        <v>64349</v>
      </c>
      <c r="E63" s="4" t="e">
        <f>VLOOKUP(D63,'lista 1'!$A$2:$F$1802,5,0)</f>
        <v>#N/A</v>
      </c>
      <c r="F63" s="59" t="str">
        <f>VLOOKUP(G63,'lista obszary'!A:B,2,0)</f>
        <v>HV</v>
      </c>
      <c r="G63" s="76" t="s">
        <v>2072</v>
      </c>
      <c r="H63" s="85" t="s">
        <v>340</v>
      </c>
      <c r="I63" s="59" t="str">
        <f>VLOOKUP(J63,'lista obszary'!A:B,2,0)</f>
        <v>HV</v>
      </c>
      <c r="J63" s="78" t="s">
        <v>2319</v>
      </c>
      <c r="K63" s="87" t="s">
        <v>528</v>
      </c>
      <c r="L63" s="82" t="s">
        <v>2400</v>
      </c>
      <c r="M63" s="23"/>
      <c r="N63" s="23"/>
      <c r="O63" s="23"/>
      <c r="P63" s="26" t="s">
        <v>175</v>
      </c>
      <c r="Q63" s="26"/>
      <c r="R63" s="26"/>
      <c r="S63" s="47"/>
      <c r="T63" s="4"/>
      <c r="U63" s="20">
        <f t="shared" si="0"/>
        <v>43479</v>
      </c>
      <c r="V63" s="47"/>
      <c r="W63" s="43"/>
      <c r="X63" s="66" t="e">
        <f>VLOOKUP(D63,#REF!,2,0)</f>
        <v>#REF!</v>
      </c>
      <c r="Y63" s="67" t="b">
        <f>F63=I63</f>
        <v>1</v>
      </c>
      <c r="Z63" s="67"/>
    </row>
    <row r="64" spans="1:26" ht="13.65" customHeight="1">
      <c r="A64" s="91">
        <v>63</v>
      </c>
      <c r="B64" s="19" t="s">
        <v>174</v>
      </c>
      <c r="C64" s="3" t="e">
        <f>VLOOKUP(D64,'lista 1'!$A$2:$F3582,4,0)</f>
        <v>#N/A</v>
      </c>
      <c r="D64" s="73">
        <v>64348</v>
      </c>
      <c r="E64" s="4" t="e">
        <f>VLOOKUP(D64,'lista 1'!$A$2:$F$1802,5,0)</f>
        <v>#N/A</v>
      </c>
      <c r="F64" s="59" t="str">
        <f>VLOOKUP(G64,'lista obszary'!A:B,2,0)</f>
        <v>HV</v>
      </c>
      <c r="G64" s="76" t="s">
        <v>2072</v>
      </c>
      <c r="H64" s="85" t="s">
        <v>340</v>
      </c>
      <c r="I64" s="59" t="str">
        <f>VLOOKUP(J64,'lista obszary'!A:B,2,0)</f>
        <v>HV</v>
      </c>
      <c r="J64" s="78" t="s">
        <v>2319</v>
      </c>
      <c r="K64" s="87" t="s">
        <v>1582</v>
      </c>
      <c r="L64" s="82" t="s">
        <v>2400</v>
      </c>
      <c r="M64" s="23"/>
      <c r="N64" s="23"/>
      <c r="O64" s="23"/>
      <c r="P64" s="26" t="s">
        <v>175</v>
      </c>
      <c r="Q64" s="26"/>
      <c r="R64" s="26"/>
      <c r="S64" s="47"/>
      <c r="T64" s="4"/>
      <c r="U64" s="20">
        <f t="shared" si="0"/>
        <v>43479</v>
      </c>
      <c r="V64" s="47"/>
      <c r="W64" s="43"/>
      <c r="X64" s="66" t="e">
        <f>VLOOKUP(D64,#REF!,2,0)</f>
        <v>#REF!</v>
      </c>
      <c r="Y64" s="67" t="b">
        <f>F64=I64</f>
        <v>1</v>
      </c>
      <c r="Z64" s="67"/>
    </row>
    <row r="65" spans="1:26" ht="13.65" customHeight="1">
      <c r="A65" s="91">
        <v>64</v>
      </c>
      <c r="B65" s="19" t="s">
        <v>174</v>
      </c>
      <c r="C65" s="3" t="e">
        <f>VLOOKUP(D65,'lista 1'!$A$2:$F3583,4,0)</f>
        <v>#N/A</v>
      </c>
      <c r="D65" s="73">
        <v>64351</v>
      </c>
      <c r="E65" s="4" t="e">
        <f>VLOOKUP(D65,'lista 1'!$A$2:$F$1802,5,0)</f>
        <v>#N/A</v>
      </c>
      <c r="F65" s="59" t="str">
        <f>VLOOKUP(G65,'lista obszary'!A:B,2,0)</f>
        <v>HV</v>
      </c>
      <c r="G65" s="76" t="s">
        <v>2069</v>
      </c>
      <c r="H65" s="85" t="s">
        <v>1582</v>
      </c>
      <c r="I65" s="59" t="str">
        <f>VLOOKUP(J65,'lista obszary'!A:B,2,0)</f>
        <v>HV</v>
      </c>
      <c r="J65" s="78" t="s">
        <v>2319</v>
      </c>
      <c r="K65" s="87" t="s">
        <v>2326</v>
      </c>
      <c r="L65" s="82" t="s">
        <v>2400</v>
      </c>
      <c r="M65" s="23"/>
      <c r="N65" s="23"/>
      <c r="O65" s="23"/>
      <c r="P65" s="26" t="s">
        <v>175</v>
      </c>
      <c r="Q65" s="26"/>
      <c r="R65" s="26"/>
      <c r="S65" s="47"/>
      <c r="T65" s="4"/>
      <c r="U65" s="20">
        <f t="shared" si="0"/>
        <v>43479</v>
      </c>
      <c r="V65" s="47"/>
      <c r="W65" s="43"/>
      <c r="X65" s="66" t="e">
        <f>VLOOKUP(D65,#REF!,2,0)</f>
        <v>#REF!</v>
      </c>
      <c r="Y65" s="67" t="s">
        <v>2643</v>
      </c>
      <c r="Z65" s="67"/>
    </row>
    <row r="66" spans="1:26" ht="13.65" customHeight="1">
      <c r="A66" s="91">
        <v>65</v>
      </c>
      <c r="B66" s="19" t="s">
        <v>174</v>
      </c>
      <c r="C66" s="3" t="e">
        <f>VLOOKUP(D66,'lista 1'!$A$2:$F3584,4,0)</f>
        <v>#N/A</v>
      </c>
      <c r="D66" s="73">
        <v>64342</v>
      </c>
      <c r="E66" s="4" t="e">
        <f>VLOOKUP(D66,'lista 1'!$A$2:$F$1802,5,0)</f>
        <v>#N/A</v>
      </c>
      <c r="F66" s="59" t="str">
        <f>VLOOKUP(G66,'lista obszary'!A:B,2,0)</f>
        <v>HV</v>
      </c>
      <c r="G66" s="76" t="s">
        <v>2069</v>
      </c>
      <c r="H66" s="85" t="s">
        <v>1582</v>
      </c>
      <c r="I66" s="59" t="str">
        <f>VLOOKUP(J66,'lista obszary'!A:B,2,0)</f>
        <v>HV</v>
      </c>
      <c r="J66" s="78" t="s">
        <v>2319</v>
      </c>
      <c r="K66" s="87" t="s">
        <v>1582</v>
      </c>
      <c r="L66" s="82" t="s">
        <v>2400</v>
      </c>
      <c r="M66" s="23"/>
      <c r="N66" s="23"/>
      <c r="O66" s="23"/>
      <c r="P66" s="26" t="s">
        <v>175</v>
      </c>
      <c r="Q66" s="26"/>
      <c r="R66" s="26"/>
      <c r="S66" s="47"/>
      <c r="T66" s="4"/>
      <c r="U66" s="20">
        <f t="shared" ref="U66:U129" si="1">L66-T66</f>
        <v>43479</v>
      </c>
      <c r="V66" s="47"/>
      <c r="W66" s="43"/>
      <c r="X66" s="66" t="e">
        <f>VLOOKUP(D66,#REF!,2,0)</f>
        <v>#REF!</v>
      </c>
      <c r="Y66" s="67" t="b">
        <f>F66=I66</f>
        <v>1</v>
      </c>
      <c r="Z66" s="67"/>
    </row>
    <row r="67" spans="1:26" ht="13.65" customHeight="1">
      <c r="A67" s="91">
        <v>66</v>
      </c>
      <c r="B67" s="19" t="s">
        <v>174</v>
      </c>
      <c r="C67" s="3" t="e">
        <f>VLOOKUP(D67,'lista 1'!$A$2:$F3585,4,0)</f>
        <v>#N/A</v>
      </c>
      <c r="D67" s="73">
        <v>64350</v>
      </c>
      <c r="E67" s="4" t="e">
        <f>VLOOKUP(D67,'lista 1'!$A$2:$F$1802,5,0)</f>
        <v>#N/A</v>
      </c>
      <c r="F67" s="59" t="str">
        <f>VLOOKUP(G67,'lista obszary'!A:B,2,0)</f>
        <v>HV</v>
      </c>
      <c r="G67" s="76" t="s">
        <v>2069</v>
      </c>
      <c r="H67" s="85" t="s">
        <v>1582</v>
      </c>
      <c r="I67" s="59" t="str">
        <f>VLOOKUP(J67,'lista obszary'!A:B,2,0)</f>
        <v>HV</v>
      </c>
      <c r="J67" s="78" t="s">
        <v>2319</v>
      </c>
      <c r="K67" s="87" t="s">
        <v>340</v>
      </c>
      <c r="L67" s="82" t="s">
        <v>2400</v>
      </c>
      <c r="M67" s="23"/>
      <c r="N67" s="23"/>
      <c r="O67" s="23"/>
      <c r="P67" s="26" t="s">
        <v>175</v>
      </c>
      <c r="Q67" s="26"/>
      <c r="R67" s="26"/>
      <c r="S67" s="47"/>
      <c r="T67" s="4"/>
      <c r="U67" s="20">
        <f t="shared" si="1"/>
        <v>43479</v>
      </c>
      <c r="V67" s="47"/>
      <c r="W67" s="43"/>
      <c r="X67" s="66" t="e">
        <f>VLOOKUP(D67,#REF!,2,0)</f>
        <v>#REF!</v>
      </c>
      <c r="Y67" s="67" t="b">
        <f>F67=I67</f>
        <v>1</v>
      </c>
      <c r="Z67" s="67"/>
    </row>
    <row r="68" spans="1:26" ht="13.65" customHeight="1">
      <c r="A68" s="91">
        <v>67</v>
      </c>
      <c r="B68" s="19" t="s">
        <v>174</v>
      </c>
      <c r="C68" s="3" t="str">
        <f>VLOOKUP(D68,'lista 1'!$A$2:$F3586,4,0)</f>
        <v>KOLASIŃSKI PAWEŁ</v>
      </c>
      <c r="D68" s="73">
        <v>731</v>
      </c>
      <c r="E68" s="4" t="str">
        <f>VLOOKUP(D68,'lista 1'!$A$2:$F$1802,5,0)</f>
        <v>AC GRL</v>
      </c>
      <c r="F68" s="59" t="str">
        <f>VLOOKUP(G68,'lista obszary'!A:B,2,0)</f>
        <v>HV</v>
      </c>
      <c r="G68" s="76" t="s">
        <v>2325</v>
      </c>
      <c r="H68" s="85" t="s">
        <v>528</v>
      </c>
      <c r="I68" s="59" t="str">
        <f>VLOOKUP(J68,'lista obszary'!A:B,2,0)</f>
        <v>HV</v>
      </c>
      <c r="J68" s="78" t="s">
        <v>2319</v>
      </c>
      <c r="K68" s="87" t="s">
        <v>528</v>
      </c>
      <c r="L68" s="82" t="s">
        <v>2400</v>
      </c>
      <c r="M68" s="23"/>
      <c r="N68" s="23"/>
      <c r="O68" s="23"/>
      <c r="P68" s="26" t="s">
        <v>175</v>
      </c>
      <c r="Q68" s="26"/>
      <c r="R68" s="26"/>
      <c r="S68" s="47"/>
      <c r="T68" s="4"/>
      <c r="U68" s="20">
        <f t="shared" si="1"/>
        <v>43479</v>
      </c>
      <c r="V68" s="47"/>
      <c r="W68" s="43"/>
      <c r="X68" s="66" t="e">
        <f>VLOOKUP(D68,#REF!,2,0)</f>
        <v>#REF!</v>
      </c>
      <c r="Y68" s="67" t="b">
        <f>F68=I68</f>
        <v>1</v>
      </c>
      <c r="Z68" s="67"/>
    </row>
    <row r="69" spans="1:26" ht="13.65" customHeight="1">
      <c r="A69" s="91">
        <v>68</v>
      </c>
      <c r="B69" s="19" t="s">
        <v>174</v>
      </c>
      <c r="C69" s="3" t="str">
        <f>VLOOKUP(D69,'lista 1'!$A$2:$F3587,4,0)</f>
        <v>KOZIEŁ ADRIANNA</v>
      </c>
      <c r="D69" s="73">
        <v>2583</v>
      </c>
      <c r="E69" s="4" t="s">
        <v>451</v>
      </c>
      <c r="F69" s="59" t="str">
        <f>VLOOKUP(G69,'lista obszary'!A:B,2,0)</f>
        <v>MTB0</v>
      </c>
      <c r="G69" s="76" t="s">
        <v>607</v>
      </c>
      <c r="H69" s="85" t="s">
        <v>1877</v>
      </c>
      <c r="I69" s="59" t="str">
        <f>VLOOKUP(J69,'lista obszary'!A:B,2,0)</f>
        <v>MTB0</v>
      </c>
      <c r="J69" s="78" t="s">
        <v>503</v>
      </c>
      <c r="K69" s="87" t="s">
        <v>1565</v>
      </c>
      <c r="L69" s="82" t="s">
        <v>2409</v>
      </c>
      <c r="M69" s="23"/>
      <c r="N69" s="23"/>
      <c r="O69" s="23"/>
      <c r="P69" s="26" t="s">
        <v>175</v>
      </c>
      <c r="Q69" s="26"/>
      <c r="R69" s="26"/>
      <c r="S69" s="47"/>
      <c r="T69" s="4"/>
      <c r="U69" s="20">
        <f t="shared" si="1"/>
        <v>43497</v>
      </c>
      <c r="V69" s="47"/>
      <c r="W69" s="43"/>
      <c r="X69" s="66" t="e">
        <f>VLOOKUP(D69,#REF!,2,0)</f>
        <v>#REF!</v>
      </c>
      <c r="Y69" s="67" t="b">
        <f>F69=I69</f>
        <v>1</v>
      </c>
      <c r="Z69" s="67"/>
    </row>
    <row r="70" spans="1:26" ht="13.65" customHeight="1">
      <c r="A70" s="91">
        <v>69</v>
      </c>
      <c r="B70" s="19" t="s">
        <v>174</v>
      </c>
      <c r="C70" s="3" t="e">
        <f>VLOOKUP(D70,'lista 1'!$A$2:$F3588,4,0)</f>
        <v>#N/A</v>
      </c>
      <c r="D70" s="73">
        <v>64377</v>
      </c>
      <c r="E70" s="4" t="e">
        <f>VLOOKUP(D70,'lista 1'!$A$2:$F$1802,5,0)</f>
        <v>#N/A</v>
      </c>
      <c r="F70" s="59" t="str">
        <f>VLOOKUP(G70,'lista obszary'!A:B,2,0)</f>
        <v>HV</v>
      </c>
      <c r="G70" s="76" t="s">
        <v>2319</v>
      </c>
      <c r="H70" s="85" t="s">
        <v>340</v>
      </c>
      <c r="I70" s="59" t="str">
        <f>VLOOKUP(J70,'lista obszary'!A:B,2,0)</f>
        <v>HV</v>
      </c>
      <c r="J70" s="78" t="s">
        <v>2319</v>
      </c>
      <c r="K70" s="87" t="s">
        <v>1582</v>
      </c>
      <c r="L70" s="82" t="s">
        <v>2409</v>
      </c>
      <c r="M70" s="23"/>
      <c r="N70" s="23"/>
      <c r="O70" s="23"/>
      <c r="P70" s="26" t="s">
        <v>175</v>
      </c>
      <c r="Q70" s="26"/>
      <c r="R70" s="26"/>
      <c r="S70" s="47"/>
      <c r="T70" s="4"/>
      <c r="U70" s="20">
        <f t="shared" si="1"/>
        <v>43497</v>
      </c>
      <c r="V70" s="47"/>
      <c r="W70" s="43"/>
      <c r="X70" s="66" t="e">
        <f>VLOOKUP(D70,#REF!,2,0)</f>
        <v>#REF!</v>
      </c>
      <c r="Y70" s="67" t="b">
        <f>F70=I70</f>
        <v>1</v>
      </c>
      <c r="Z70" s="67"/>
    </row>
    <row r="71" spans="1:26" ht="13.65" customHeight="1">
      <c r="A71" s="91">
        <v>70</v>
      </c>
      <c r="B71" s="19" t="s">
        <v>174</v>
      </c>
      <c r="C71" s="3" t="e">
        <f>VLOOKUP(D71,'lista 1'!$A$2:$F3589,4,0)</f>
        <v>#N/A</v>
      </c>
      <c r="D71" s="73">
        <v>64373</v>
      </c>
      <c r="E71" s="4" t="e">
        <f>VLOOKUP(D71,'lista 1'!$A$2:$F$1802,5,0)</f>
        <v>#N/A</v>
      </c>
      <c r="F71" s="59" t="str">
        <f>VLOOKUP(G71,'lista obszary'!A:B,2,0)</f>
        <v>ENGINES</v>
      </c>
      <c r="G71" s="76" t="s">
        <v>1264</v>
      </c>
      <c r="H71" s="85" t="s">
        <v>1396</v>
      </c>
      <c r="I71" s="59" t="str">
        <f>VLOOKUP(J71,'lista obszary'!A:B,2,0)</f>
        <v>ENGINES</v>
      </c>
      <c r="J71" s="78" t="s">
        <v>1081</v>
      </c>
      <c r="K71" s="87" t="s">
        <v>2425</v>
      </c>
      <c r="L71" s="82" t="s">
        <v>2409</v>
      </c>
      <c r="M71" s="23"/>
      <c r="N71" s="23"/>
      <c r="O71" s="23"/>
      <c r="P71" s="26" t="s">
        <v>175</v>
      </c>
      <c r="Q71" s="26"/>
      <c r="R71" s="26"/>
      <c r="S71" s="47"/>
      <c r="T71" s="4"/>
      <c r="U71" s="20">
        <f t="shared" si="1"/>
        <v>43497</v>
      </c>
      <c r="V71" s="47"/>
      <c r="W71" s="43"/>
      <c r="X71" s="66" t="e">
        <f>VLOOKUP(D71,#REF!,2,0)</f>
        <v>#REF!</v>
      </c>
      <c r="Y71" s="67" t="s">
        <v>2643</v>
      </c>
      <c r="Z71" s="67"/>
    </row>
    <row r="72" spans="1:26" ht="13.65" customHeight="1">
      <c r="A72" s="91">
        <v>71</v>
      </c>
      <c r="B72" s="19" t="s">
        <v>174</v>
      </c>
      <c r="C72" s="3" t="e">
        <f>VLOOKUP(D72,'lista 1'!$A$2:$F3590,4,0)</f>
        <v>#N/A</v>
      </c>
      <c r="D72" s="73">
        <v>64335</v>
      </c>
      <c r="E72" s="4" t="e">
        <f>VLOOKUP(D72,'lista 1'!$A$2:$F$1802,5,0)</f>
        <v>#N/A</v>
      </c>
      <c r="F72" s="59" t="str">
        <f>VLOOKUP(G72,'lista obszary'!A:B,2,0)</f>
        <v>ENGINES</v>
      </c>
      <c r="G72" s="76" t="s">
        <v>1483</v>
      </c>
      <c r="H72" s="85" t="s">
        <v>2406</v>
      </c>
      <c r="I72" s="59" t="str">
        <f>VLOOKUP(J72,'lista obszary'!A:B,2,0)</f>
        <v>ENGINES</v>
      </c>
      <c r="J72" s="78" t="s">
        <v>608</v>
      </c>
      <c r="K72" s="87" t="s">
        <v>1584</v>
      </c>
      <c r="L72" s="82" t="s">
        <v>2409</v>
      </c>
      <c r="M72" s="23"/>
      <c r="N72" s="23"/>
      <c r="O72" s="23"/>
      <c r="P72" s="26" t="s">
        <v>175</v>
      </c>
      <c r="Q72" s="26"/>
      <c r="R72" s="26"/>
      <c r="S72" s="47"/>
      <c r="T72" s="4"/>
      <c r="U72" s="20">
        <f t="shared" si="1"/>
        <v>43497</v>
      </c>
      <c r="V72" s="47"/>
      <c r="W72" s="43"/>
      <c r="X72" s="66" t="e">
        <f>VLOOKUP(D72,#REF!,2,0)</f>
        <v>#REF!</v>
      </c>
      <c r="Y72" s="67" t="s">
        <v>2643</v>
      </c>
      <c r="Z72" s="67"/>
    </row>
    <row r="73" spans="1:26" ht="13.65" customHeight="1">
      <c r="A73" s="91">
        <v>72</v>
      </c>
      <c r="B73" s="19" t="s">
        <v>734</v>
      </c>
      <c r="C73" s="3" t="str">
        <f>VLOOKUP(D73,'lista 1'!$A$2:$F3591,4,0)</f>
        <v>KRÓLICKI MARIUSZ</v>
      </c>
      <c r="D73" s="73">
        <v>1900</v>
      </c>
      <c r="E73" s="4" t="str">
        <f>VLOOKUP(D73,'lista 1'!$A$2:$F$1802,5,0)</f>
        <v>TM MNX</v>
      </c>
      <c r="F73" s="59" t="str">
        <f>VLOOKUP(G73,'lista obszary'!A:B,2,0)</f>
        <v>CASTING</v>
      </c>
      <c r="G73" s="76" t="s">
        <v>2435</v>
      </c>
      <c r="H73" s="85" t="s">
        <v>543</v>
      </c>
      <c r="I73" s="59" t="str">
        <f>VLOOKUP(J73,'lista obszary'!A:B,2,0)</f>
        <v>MNX TK</v>
      </c>
      <c r="J73" s="78" t="s">
        <v>1480</v>
      </c>
      <c r="K73" s="87" t="s">
        <v>2181</v>
      </c>
      <c r="L73" s="82" t="s">
        <v>2409</v>
      </c>
      <c r="M73" s="23"/>
      <c r="N73" s="23"/>
      <c r="O73" s="23"/>
      <c r="P73" s="19" t="s">
        <v>175</v>
      </c>
      <c r="Q73" s="26"/>
      <c r="R73" s="26"/>
      <c r="S73" s="47"/>
      <c r="T73" s="4"/>
      <c r="U73" s="20">
        <f t="shared" si="1"/>
        <v>43497</v>
      </c>
      <c r="V73" s="47"/>
      <c r="W73" s="43"/>
      <c r="X73" s="66" t="e">
        <f>VLOOKUP(D73,#REF!,2,0)</f>
        <v>#REF!</v>
      </c>
      <c r="Y73" s="67" t="s">
        <v>2644</v>
      </c>
      <c r="Z73" s="67"/>
    </row>
    <row r="74" spans="1:26" ht="13.65" customHeight="1">
      <c r="A74" s="91">
        <v>73</v>
      </c>
      <c r="B74" s="19"/>
      <c r="C74" s="3" t="str">
        <f>VLOOKUP(D74,'lista 1'!$A$2:$F3592,4,0)</f>
        <v>KASPERSKI SŁAWOMIR</v>
      </c>
      <c r="D74" s="73">
        <v>1309</v>
      </c>
      <c r="E74" s="4" t="str">
        <f>VLOOKUP(D74,'lista 1'!$A$2:$F$1802,5,0)</f>
        <v>TM2</v>
      </c>
      <c r="F74" s="59" t="str">
        <f>VLOOKUP(G74,'lista obszary'!A:B,2,0)</f>
        <v>IL</v>
      </c>
      <c r="G74" s="76" t="s">
        <v>512</v>
      </c>
      <c r="H74" s="85" t="s">
        <v>1574</v>
      </c>
      <c r="I74" s="59" t="str">
        <f>VLOOKUP(J74,'lista obszary'!A:B,2,0)</f>
        <v>IL</v>
      </c>
      <c r="J74" s="78" t="s">
        <v>2329</v>
      </c>
      <c r="K74" s="87" t="s">
        <v>1551</v>
      </c>
      <c r="L74" s="82" t="s">
        <v>2409</v>
      </c>
      <c r="M74" s="23"/>
      <c r="N74" s="23"/>
      <c r="O74" s="23"/>
      <c r="P74" s="19" t="s">
        <v>175</v>
      </c>
      <c r="Q74" s="26"/>
      <c r="R74" s="26"/>
      <c r="S74" s="47"/>
      <c r="T74" s="4"/>
      <c r="U74" s="20">
        <f t="shared" si="1"/>
        <v>43497</v>
      </c>
      <c r="V74" s="47"/>
      <c r="W74" s="43"/>
      <c r="X74" s="66" t="e">
        <f>VLOOKUP(D74,#REF!,2,0)</f>
        <v>#REF!</v>
      </c>
      <c r="Y74" s="67" t="s">
        <v>2643</v>
      </c>
      <c r="Z74" s="67"/>
    </row>
    <row r="75" spans="1:26" ht="13.65" customHeight="1">
      <c r="A75" s="91">
        <v>74</v>
      </c>
      <c r="B75" s="19"/>
      <c r="C75" s="3" t="e">
        <f>VLOOKUP(D75,'lista 1'!$A$2:$F3593,4,0)</f>
        <v>#N/A</v>
      </c>
      <c r="D75" s="73">
        <v>1750</v>
      </c>
      <c r="E75" s="4" t="e">
        <f>VLOOKUP(D75,'lista 1'!$A$2:$F$1802,5,0)</f>
        <v>#N/A</v>
      </c>
      <c r="F75" s="59" t="str">
        <f>VLOOKUP(G75,'lista obszary'!A:B,2,0)</f>
        <v>IL</v>
      </c>
      <c r="G75" s="76" t="s">
        <v>2329</v>
      </c>
      <c r="H75" s="85" t="s">
        <v>1551</v>
      </c>
      <c r="I75" s="59" t="str">
        <f>VLOOKUP(J75,'lista obszary'!A:B,2,0)</f>
        <v>IL</v>
      </c>
      <c r="J75" s="78" t="s">
        <v>2087</v>
      </c>
      <c r="K75" s="87" t="s">
        <v>2112</v>
      </c>
      <c r="L75" s="82" t="s">
        <v>2409</v>
      </c>
      <c r="M75" s="23"/>
      <c r="N75" s="23"/>
      <c r="O75" s="23"/>
      <c r="P75" s="19" t="s">
        <v>175</v>
      </c>
      <c r="Q75" s="26"/>
      <c r="R75" s="26"/>
      <c r="S75" s="47"/>
      <c r="T75" s="4"/>
      <c r="U75" s="20">
        <f t="shared" si="1"/>
        <v>43497</v>
      </c>
      <c r="V75" s="47"/>
      <c r="W75" s="43"/>
      <c r="X75" s="66" t="e">
        <f>VLOOKUP(D75,#REF!,2,0)</f>
        <v>#REF!</v>
      </c>
      <c r="Y75" s="67" t="s">
        <v>2643</v>
      </c>
      <c r="Z75" s="67"/>
    </row>
    <row r="76" spans="1:26" ht="13.65" customHeight="1">
      <c r="A76" s="91">
        <v>75</v>
      </c>
      <c r="B76" s="19" t="s">
        <v>174</v>
      </c>
      <c r="C76" s="3" t="str">
        <f>VLOOKUP(D76,'lista 1'!$A$2:$F3594,4,0)</f>
        <v>FALKENBERG GRZEGORZ</v>
      </c>
      <c r="D76" s="73">
        <v>2593</v>
      </c>
      <c r="E76" s="4" t="str">
        <f>VLOOKUP(D76,'lista 1'!$A$2:$F$1802,5,0)</f>
        <v>AC TL</v>
      </c>
      <c r="F76" s="59" t="str">
        <f>VLOOKUP(G76,'lista obszary'!A:B,2,0)</f>
        <v>ENGINES</v>
      </c>
      <c r="G76" s="76" t="s">
        <v>318</v>
      </c>
      <c r="H76" s="85" t="s">
        <v>1380</v>
      </c>
      <c r="I76" s="59" t="str">
        <f>VLOOKUP(J76,'lista obszary'!A:B,2,0)</f>
        <v>ENGINES</v>
      </c>
      <c r="J76" s="78" t="s">
        <v>1999</v>
      </c>
      <c r="K76" s="87" t="s">
        <v>2403</v>
      </c>
      <c r="L76" s="82" t="s">
        <v>2404</v>
      </c>
      <c r="M76" s="23"/>
      <c r="N76" s="23"/>
      <c r="O76" s="23"/>
      <c r="P76" s="19" t="s">
        <v>175</v>
      </c>
      <c r="Q76" s="26"/>
      <c r="R76" s="26"/>
      <c r="S76" s="47"/>
      <c r="T76" s="4"/>
      <c r="U76" s="20">
        <f t="shared" si="1"/>
        <v>43500</v>
      </c>
      <c r="V76" s="47"/>
      <c r="W76" s="43"/>
      <c r="X76" s="66" t="e">
        <f>VLOOKUP(D76,#REF!,2,0)</f>
        <v>#REF!</v>
      </c>
      <c r="Y76" s="67" t="s">
        <v>2643</v>
      </c>
      <c r="Z76" s="67"/>
    </row>
    <row r="77" spans="1:26" ht="13.65" customHeight="1">
      <c r="A77" s="91">
        <v>76</v>
      </c>
      <c r="B77" s="19" t="s">
        <v>734</v>
      </c>
      <c r="C77" s="3" t="str">
        <f>VLOOKUP(D77,'lista 1'!$A$2:$F3595,4,0)</f>
        <v>BASIŃSKA IWONA</v>
      </c>
      <c r="D77" s="73">
        <v>1718</v>
      </c>
      <c r="E77" s="4" t="str">
        <f>VLOOKUP(D77,'lista 1'!$A$2:$F$1802,5,0)</f>
        <v>TM</v>
      </c>
      <c r="F77" s="59" t="str">
        <f>VLOOKUP(G77,'lista obszary'!A:B,2,0)</f>
        <v>ENGINES</v>
      </c>
      <c r="G77" s="76" t="s">
        <v>608</v>
      </c>
      <c r="H77" s="85" t="s">
        <v>1584</v>
      </c>
      <c r="I77" s="59" t="str">
        <f>VLOOKUP(J77,'lista obszary'!A:B,2,0)</f>
        <v>HV</v>
      </c>
      <c r="J77" s="78" t="s">
        <v>2319</v>
      </c>
      <c r="K77" s="87" t="s">
        <v>1555</v>
      </c>
      <c r="L77" s="82" t="s">
        <v>2404</v>
      </c>
      <c r="M77" s="23"/>
      <c r="N77" s="23"/>
      <c r="O77" s="23"/>
      <c r="P77" s="19" t="s">
        <v>175</v>
      </c>
      <c r="Q77" s="26"/>
      <c r="R77" s="26"/>
      <c r="S77" s="47"/>
      <c r="T77" s="4"/>
      <c r="U77" s="20">
        <f t="shared" si="1"/>
        <v>43500</v>
      </c>
      <c r="V77" s="47"/>
      <c r="W77" s="43"/>
      <c r="X77" s="66" t="e">
        <f>VLOOKUP(D77,#REF!,2,0)</f>
        <v>#REF!</v>
      </c>
      <c r="Y77" s="67" t="b">
        <f>F77=I77</f>
        <v>0</v>
      </c>
      <c r="Z77" s="67"/>
    </row>
    <row r="78" spans="1:26" ht="13.65" customHeight="1">
      <c r="A78" s="91">
        <v>77</v>
      </c>
      <c r="B78" s="19" t="s">
        <v>174</v>
      </c>
      <c r="C78" s="3" t="str">
        <f>VLOOKUP(D78,'lista 1'!$A$2:$F3596,4,0)</f>
        <v>CZYŻ SYLWESTER</v>
      </c>
      <c r="D78" s="73">
        <v>7</v>
      </c>
      <c r="E78" s="4" t="str">
        <f>VLOOKUP(D78,'lista 1'!$A$2:$F$1802,5,0)</f>
        <v>ASM</v>
      </c>
      <c r="F78" s="59" t="str">
        <f>VLOOKUP(G78,'lista obszary'!A:B,2,0)</f>
        <v>ADMINISTRATION &amp; CORPORATE SERVICES</v>
      </c>
      <c r="G78" s="76" t="s">
        <v>2426</v>
      </c>
      <c r="H78" s="85" t="s">
        <v>1928</v>
      </c>
      <c r="I78" s="59" t="str">
        <f>VLOOKUP(J78,'lista obszary'!A:B,2,0)</f>
        <v>MTB0 OFFICE</v>
      </c>
      <c r="J78" s="78" t="s">
        <v>1006</v>
      </c>
      <c r="K78" s="87" t="s">
        <v>1877</v>
      </c>
      <c r="L78" s="82" t="s">
        <v>2404</v>
      </c>
      <c r="M78" s="23"/>
      <c r="N78" s="23"/>
      <c r="O78" s="23"/>
      <c r="P78" s="19" t="s">
        <v>175</v>
      </c>
      <c r="Q78" s="26"/>
      <c r="R78" s="26"/>
      <c r="S78" s="47"/>
      <c r="T78" s="4"/>
      <c r="U78" s="20">
        <f t="shared" si="1"/>
        <v>43500</v>
      </c>
      <c r="V78" s="47"/>
      <c r="W78" s="43"/>
      <c r="X78" s="66" t="e">
        <f>VLOOKUP(D78,#REF!,2,0)</f>
        <v>#REF!</v>
      </c>
      <c r="Y78" s="67" t="s">
        <v>2644</v>
      </c>
      <c r="Z78" s="67"/>
    </row>
    <row r="79" spans="1:26" ht="13.65" customHeight="1">
      <c r="A79" s="91">
        <v>78</v>
      </c>
      <c r="B79" s="19" t="s">
        <v>174</v>
      </c>
      <c r="C79" s="3" t="str">
        <f>VLOOKUP(D79,'lista 1'!$A$2:$F3597,4,0)</f>
        <v>KUTRAN IRENEUSZ</v>
      </c>
      <c r="D79" s="73">
        <v>89</v>
      </c>
      <c r="E79" s="4" t="str">
        <f>VLOOKUP(D79,'lista 1'!$A$2:$F$1802,5,0)</f>
        <v>ASM</v>
      </c>
      <c r="F79" s="59" t="str">
        <f>VLOOKUP(G79,'lista obszary'!A:B,2,0)</f>
        <v>MTB0 OFFICE</v>
      </c>
      <c r="G79" s="76" t="s">
        <v>1006</v>
      </c>
      <c r="H79" s="85" t="s">
        <v>1877</v>
      </c>
      <c r="I79" s="59" t="str">
        <f>VLOOKUP(J79,'lista obszary'!A:B,2,0)</f>
        <v>HV OFFICE</v>
      </c>
      <c r="J79" s="78" t="s">
        <v>2066</v>
      </c>
      <c r="K79" s="87" t="s">
        <v>534</v>
      </c>
      <c r="L79" s="82" t="s">
        <v>2404</v>
      </c>
      <c r="M79" s="23"/>
      <c r="N79" s="23"/>
      <c r="O79" s="23"/>
      <c r="P79" s="19" t="s">
        <v>175</v>
      </c>
      <c r="Q79" s="26"/>
      <c r="R79" s="26"/>
      <c r="S79" s="47"/>
      <c r="T79" s="4"/>
      <c r="U79" s="20">
        <f t="shared" si="1"/>
        <v>43500</v>
      </c>
      <c r="V79" s="47"/>
      <c r="W79" s="43"/>
      <c r="X79" s="66" t="e">
        <f>VLOOKUP(D79,#REF!,2,0)</f>
        <v>#REF!</v>
      </c>
      <c r="Y79" s="67" t="s">
        <v>2644</v>
      </c>
      <c r="Z79" s="67"/>
    </row>
    <row r="80" spans="1:26" ht="13.65" customHeight="1">
      <c r="A80" s="91">
        <v>79</v>
      </c>
      <c r="B80" s="19" t="s">
        <v>174</v>
      </c>
      <c r="C80" s="3" t="str">
        <f>VLOOKUP(D80,'lista 1'!$A$2:$F3598,4,0)</f>
        <v>DUTKIEWICZ JOLANTA</v>
      </c>
      <c r="D80" s="73">
        <v>1111</v>
      </c>
      <c r="E80" s="4" t="str">
        <f>VLOOKUP(D80,'lista 1'!$A$2:$F$1802,5,0)</f>
        <v>TM</v>
      </c>
      <c r="F80" s="59" t="str">
        <f>VLOOKUP(G80,'lista obszary'!A:B,2,0)</f>
        <v>ENGINES</v>
      </c>
      <c r="G80" s="76" t="s">
        <v>772</v>
      </c>
      <c r="H80" s="85" t="s">
        <v>1389</v>
      </c>
      <c r="I80" s="59" t="str">
        <f>VLOOKUP(J80,'lista obszary'!A:B,2,0)</f>
        <v>ENGINES</v>
      </c>
      <c r="J80" s="78" t="s">
        <v>608</v>
      </c>
      <c r="K80" s="87" t="s">
        <v>1584</v>
      </c>
      <c r="L80" s="82" t="s">
        <v>2404</v>
      </c>
      <c r="M80" s="23"/>
      <c r="N80" s="23"/>
      <c r="O80" s="23"/>
      <c r="P80" s="19" t="s">
        <v>175</v>
      </c>
      <c r="Q80" s="26"/>
      <c r="R80" s="26"/>
      <c r="S80" s="47"/>
      <c r="T80" s="4"/>
      <c r="U80" s="20">
        <f t="shared" si="1"/>
        <v>43500</v>
      </c>
      <c r="V80" s="47"/>
      <c r="W80" s="43"/>
      <c r="X80" s="66" t="e">
        <f>VLOOKUP(D80,#REF!,2,0)</f>
        <v>#REF!</v>
      </c>
      <c r="Y80" s="67" t="s">
        <v>2643</v>
      </c>
      <c r="Z80" s="67"/>
    </row>
    <row r="81" spans="1:26" ht="13.65" customHeight="1">
      <c r="A81" s="91">
        <v>80</v>
      </c>
      <c r="B81" s="19" t="s">
        <v>174</v>
      </c>
      <c r="C81" s="3" t="str">
        <f>VLOOKUP(D81,'lista 1'!$A$2:$F3599,4,0)</f>
        <v>GUNIA DARIUSZ</v>
      </c>
      <c r="D81" s="73">
        <v>1980</v>
      </c>
      <c r="E81" s="4" t="str">
        <f>VLOOKUP(D81,'lista 1'!$A$2:$F$1802,5,0)</f>
        <v>TM2</v>
      </c>
      <c r="F81" s="59" t="str">
        <f>VLOOKUP(G81,'lista obszary'!A:B,2,0)</f>
        <v>FORGING</v>
      </c>
      <c r="G81" s="76" t="s">
        <v>1350</v>
      </c>
      <c r="H81" s="85" t="s">
        <v>1543</v>
      </c>
      <c r="I81" s="59" t="str">
        <f>VLOOKUP(J81,'lista obszary'!A:B,2,0)</f>
        <v>FORGING</v>
      </c>
      <c r="J81" s="78" t="s">
        <v>771</v>
      </c>
      <c r="K81" s="87" t="s">
        <v>1370</v>
      </c>
      <c r="L81" s="82" t="s">
        <v>2427</v>
      </c>
      <c r="M81" s="23"/>
      <c r="N81" s="23"/>
      <c r="O81" s="23"/>
      <c r="P81" s="19" t="s">
        <v>175</v>
      </c>
      <c r="Q81" s="26"/>
      <c r="R81" s="26"/>
      <c r="S81" s="47"/>
      <c r="T81" s="4"/>
      <c r="U81" s="20">
        <f t="shared" si="1"/>
        <v>43507</v>
      </c>
      <c r="V81" s="47"/>
      <c r="W81" s="43"/>
      <c r="X81" s="66" t="e">
        <f>VLOOKUP(D81,#REF!,2,0)</f>
        <v>#REF!</v>
      </c>
      <c r="Y81" s="67" t="b">
        <f>F81=I81</f>
        <v>1</v>
      </c>
      <c r="Z81" s="67"/>
    </row>
    <row r="82" spans="1:26" ht="13.65" customHeight="1">
      <c r="A82" s="91">
        <v>81</v>
      </c>
      <c r="B82" s="19" t="s">
        <v>174</v>
      </c>
      <c r="C82" s="3" t="e">
        <f>VLOOKUP(D82,'lista 1'!$A$2:$F3600,4,0)</f>
        <v>#N/A</v>
      </c>
      <c r="D82" s="73">
        <v>64388</v>
      </c>
      <c r="E82" s="4" t="e">
        <f>VLOOKUP(D82,'lista 1'!$A$2:$F$1802,5,0)</f>
        <v>#N/A</v>
      </c>
      <c r="F82" s="59" t="str">
        <f>VLOOKUP(G82,'lista obszary'!A:B,2,0)</f>
        <v>MTB0</v>
      </c>
      <c r="G82" s="76" t="s">
        <v>1262</v>
      </c>
      <c r="H82" s="85" t="s">
        <v>1383</v>
      </c>
      <c r="I82" s="59" t="str">
        <f>VLOOKUP(J82,'lista obszary'!A:B,2,0)</f>
        <v>MTB0</v>
      </c>
      <c r="J82" s="78" t="s">
        <v>503</v>
      </c>
      <c r="K82" s="87" t="s">
        <v>1565</v>
      </c>
      <c r="L82" s="82" t="s">
        <v>2431</v>
      </c>
      <c r="M82" s="23"/>
      <c r="N82" s="23"/>
      <c r="O82" s="23"/>
      <c r="P82" s="19" t="s">
        <v>175</v>
      </c>
      <c r="Q82" s="26"/>
      <c r="R82" s="26"/>
      <c r="S82" s="47"/>
      <c r="T82" s="4"/>
      <c r="U82" s="20">
        <f t="shared" si="1"/>
        <v>43508</v>
      </c>
      <c r="V82" s="47"/>
      <c r="W82" s="43"/>
      <c r="X82" s="66" t="e">
        <f>VLOOKUP(D82,#REF!,2,0)</f>
        <v>#REF!</v>
      </c>
      <c r="Y82" s="67" t="s">
        <v>2643</v>
      </c>
      <c r="Z82" s="67"/>
    </row>
    <row r="83" spans="1:26" ht="13.65" customHeight="1">
      <c r="A83" s="91">
        <v>82</v>
      </c>
      <c r="B83" s="19" t="s">
        <v>174</v>
      </c>
      <c r="C83" s="3" t="e">
        <f>VLOOKUP(D83,'lista 1'!$A$2:$F3601,4,0)</f>
        <v>#N/A</v>
      </c>
      <c r="D83" s="73">
        <v>70411</v>
      </c>
      <c r="E83" s="4" t="e">
        <f>VLOOKUP(D83,'lista 1'!$A$2:$F$1802,5,0)</f>
        <v>#N/A</v>
      </c>
      <c r="F83" s="59" t="str">
        <f>VLOOKUP(G83,'lista obszary'!A:B,2,0)</f>
        <v>ENGINES</v>
      </c>
      <c r="G83" s="76" t="s">
        <v>602</v>
      </c>
      <c r="H83" s="85" t="s">
        <v>1392</v>
      </c>
      <c r="I83" s="59" t="str">
        <f>VLOOKUP(J83,'lista obszary'!A:B,2,0)</f>
        <v>ENGINES</v>
      </c>
      <c r="J83" s="78" t="s">
        <v>608</v>
      </c>
      <c r="K83" s="87" t="s">
        <v>1584</v>
      </c>
      <c r="L83" s="82" t="s">
        <v>2433</v>
      </c>
      <c r="M83" s="23"/>
      <c r="N83" s="23"/>
      <c r="O83" s="23"/>
      <c r="P83" s="19" t="s">
        <v>175</v>
      </c>
      <c r="Q83" s="26"/>
      <c r="R83" s="26"/>
      <c r="S83" s="47"/>
      <c r="T83" s="4"/>
      <c r="U83" s="20">
        <f t="shared" si="1"/>
        <v>43509</v>
      </c>
      <c r="V83" s="47"/>
      <c r="W83" s="43"/>
      <c r="X83" s="66" t="e">
        <f>VLOOKUP(D83,#REF!,2,0)</f>
        <v>#REF!</v>
      </c>
      <c r="Y83" s="67" t="s">
        <v>2643</v>
      </c>
      <c r="Z83" s="67"/>
    </row>
    <row r="84" spans="1:26" ht="13.65" customHeight="1">
      <c r="A84" s="91">
        <v>83</v>
      </c>
      <c r="B84" s="19" t="s">
        <v>734</v>
      </c>
      <c r="C84" s="3" t="str">
        <f>VLOOKUP(D84,'lista 1'!$A$2:$F3602,4,0)</f>
        <v>MORUŚ-ADAMEK MARIOLA</v>
      </c>
      <c r="D84" s="73">
        <v>2293</v>
      </c>
      <c r="E84" s="4" t="str">
        <f>VLOOKUP(D84,'lista 1'!$A$2:$F$1802,5,0)</f>
        <v>TM2</v>
      </c>
      <c r="F84" s="59" t="str">
        <f>VLOOKUP(G84,'lista obszary'!A:B,2,0)</f>
        <v>ENGINES</v>
      </c>
      <c r="G84" s="76" t="s">
        <v>1264</v>
      </c>
      <c r="H84" s="85" t="s">
        <v>1396</v>
      </c>
      <c r="I84" s="59" t="str">
        <f>VLOOKUP(J84,'lista obszary'!A:B,2,0)</f>
        <v>HV</v>
      </c>
      <c r="J84" s="78" t="s">
        <v>2319</v>
      </c>
      <c r="K84" s="87" t="s">
        <v>340</v>
      </c>
      <c r="L84" s="82" t="s">
        <v>2432</v>
      </c>
      <c r="M84" s="23"/>
      <c r="N84" s="23"/>
      <c r="O84" s="23"/>
      <c r="P84" s="19" t="s">
        <v>175</v>
      </c>
      <c r="Q84" s="26"/>
      <c r="R84" s="26"/>
      <c r="S84" s="47"/>
      <c r="T84" s="4"/>
      <c r="U84" s="20">
        <f t="shared" si="1"/>
        <v>43514</v>
      </c>
      <c r="V84" s="47"/>
      <c r="W84" s="43"/>
      <c r="X84" s="66" t="e">
        <f>VLOOKUP(D84,#REF!,2,0)</f>
        <v>#REF!</v>
      </c>
      <c r="Y84" s="67" t="b">
        <f t="shared" ref="Y84:Y99" si="2">F84=I84</f>
        <v>0</v>
      </c>
      <c r="Z84" s="67"/>
    </row>
    <row r="85" spans="1:26" ht="13.65" customHeight="1">
      <c r="A85" s="91">
        <v>84</v>
      </c>
      <c r="B85" s="19"/>
      <c r="C85" s="3" t="str">
        <f>VLOOKUP(D85,'lista 1'!$A$2:$F3603,4,0)</f>
        <v>JÓŹWIAKOWSKI MICHAŁ</v>
      </c>
      <c r="D85" s="73">
        <v>1863</v>
      </c>
      <c r="E85" s="4" t="str">
        <f>VLOOKUP(D85,'lista 1'!$A$2:$F$1802,5,0)</f>
        <v>TM2</v>
      </c>
      <c r="F85" s="59" t="str">
        <f>VLOOKUP(G85,'lista obszary'!A:B,2,0)</f>
        <v>EC60</v>
      </c>
      <c r="G85" s="76" t="s">
        <v>1325</v>
      </c>
      <c r="H85" s="85" t="s">
        <v>1579</v>
      </c>
      <c r="I85" s="59" t="str">
        <f>VLOOKUP(J85,'lista obszary'!A:B,2,0)</f>
        <v>HV</v>
      </c>
      <c r="J85" s="78" t="s">
        <v>2319</v>
      </c>
      <c r="K85" s="87" t="s">
        <v>1904</v>
      </c>
      <c r="L85" s="82" t="s">
        <v>2440</v>
      </c>
      <c r="M85" s="23"/>
      <c r="N85" s="23"/>
      <c r="O85" s="23"/>
      <c r="P85" s="19" t="s">
        <v>175</v>
      </c>
      <c r="Q85" s="26"/>
      <c r="R85" s="26"/>
      <c r="S85" s="47"/>
      <c r="T85" s="4"/>
      <c r="U85" s="20">
        <f t="shared" si="1"/>
        <v>43521</v>
      </c>
      <c r="V85" s="47"/>
      <c r="W85" s="43"/>
      <c r="X85" s="66" t="e">
        <f>VLOOKUP(D85,#REF!,2,0)</f>
        <v>#REF!</v>
      </c>
      <c r="Y85" s="67" t="b">
        <f t="shared" si="2"/>
        <v>0</v>
      </c>
      <c r="Z85" s="67"/>
    </row>
    <row r="86" spans="1:26" ht="13.65" customHeight="1">
      <c r="A86" s="91">
        <v>85</v>
      </c>
      <c r="B86" s="19"/>
      <c r="C86" s="3" t="str">
        <f>VLOOKUP(D86,'lista 1'!$A$2:$F3604,4,0)</f>
        <v>KARPIŃSKA SYLWIA</v>
      </c>
      <c r="D86" s="73">
        <v>2949</v>
      </c>
      <c r="E86" s="4" t="str">
        <f>VLOOKUP(D86,'lista 1'!$A$2:$F$1802,5,0)</f>
        <v>TM</v>
      </c>
      <c r="F86" s="59" t="str">
        <f>VLOOKUP(G86,'lista obszary'!A:B,2,0)</f>
        <v>EC60</v>
      </c>
      <c r="G86" s="76" t="s">
        <v>1325</v>
      </c>
      <c r="H86" s="85" t="s">
        <v>1579</v>
      </c>
      <c r="I86" s="59" t="str">
        <f>VLOOKUP(J86,'lista obszary'!A:B,2,0)</f>
        <v>HV</v>
      </c>
      <c r="J86" s="78" t="s">
        <v>2319</v>
      </c>
      <c r="K86" s="87" t="s">
        <v>1904</v>
      </c>
      <c r="L86" s="82" t="s">
        <v>2440</v>
      </c>
      <c r="M86" s="23"/>
      <c r="N86" s="23"/>
      <c r="O86" s="23"/>
      <c r="P86" s="19" t="s">
        <v>175</v>
      </c>
      <c r="Q86" s="26"/>
      <c r="R86" s="26"/>
      <c r="S86" s="47"/>
      <c r="T86" s="4"/>
      <c r="U86" s="20">
        <f t="shared" si="1"/>
        <v>43521</v>
      </c>
      <c r="V86" s="47"/>
      <c r="W86" s="43"/>
      <c r="X86" s="66" t="e">
        <f>VLOOKUP(D86,#REF!,2,0)</f>
        <v>#REF!</v>
      </c>
      <c r="Y86" s="67" t="b">
        <f t="shared" si="2"/>
        <v>0</v>
      </c>
      <c r="Z86" s="67"/>
    </row>
    <row r="87" spans="1:26" ht="13.65" customHeight="1">
      <c r="A87" s="91">
        <v>86</v>
      </c>
      <c r="B87" s="19"/>
      <c r="C87" s="3" t="e">
        <f>VLOOKUP(D87,'lista 1'!$A$2:$F3605,4,0)</f>
        <v>#N/A</v>
      </c>
      <c r="D87" s="73">
        <v>64237</v>
      </c>
      <c r="E87" s="4" t="e">
        <f>VLOOKUP(D87,'lista 1'!$A$2:$F$1802,5,0)</f>
        <v>#N/A</v>
      </c>
      <c r="F87" s="59" t="str">
        <f>VLOOKUP(G87,'lista obszary'!A:B,2,0)</f>
        <v>EC60</v>
      </c>
      <c r="G87" s="76" t="s">
        <v>1325</v>
      </c>
      <c r="H87" s="85" t="s">
        <v>1579</v>
      </c>
      <c r="I87" s="59" t="str">
        <f>VLOOKUP(J87,'lista obszary'!A:B,2,0)</f>
        <v>HV</v>
      </c>
      <c r="J87" s="78" t="s">
        <v>2319</v>
      </c>
      <c r="K87" s="87" t="s">
        <v>1555</v>
      </c>
      <c r="L87" s="82" t="s">
        <v>2440</v>
      </c>
      <c r="M87" s="23"/>
      <c r="N87" s="23"/>
      <c r="O87" s="23"/>
      <c r="P87" s="19" t="s">
        <v>175</v>
      </c>
      <c r="Q87" s="26"/>
      <c r="R87" s="26"/>
      <c r="S87" s="47"/>
      <c r="T87" s="4"/>
      <c r="U87" s="20">
        <f t="shared" si="1"/>
        <v>43521</v>
      </c>
      <c r="V87" s="47"/>
      <c r="W87" s="43"/>
      <c r="X87" s="66" t="e">
        <f>VLOOKUP(D87,#REF!,2,0)</f>
        <v>#REF!</v>
      </c>
      <c r="Y87" s="67" t="b">
        <f t="shared" si="2"/>
        <v>0</v>
      </c>
      <c r="Z87" s="67"/>
    </row>
    <row r="88" spans="1:26" ht="13.65" customHeight="1">
      <c r="A88" s="91">
        <v>87</v>
      </c>
      <c r="B88" s="19"/>
      <c r="C88" s="3" t="e">
        <f>VLOOKUP(D88,'lista 1'!$A$2:$F3606,4,0)</f>
        <v>#N/A</v>
      </c>
      <c r="D88" s="73">
        <v>64318</v>
      </c>
      <c r="E88" s="4" t="e">
        <f>VLOOKUP(D88,'lista 1'!$A$2:$F$1802,5,0)</f>
        <v>#N/A</v>
      </c>
      <c r="F88" s="59" t="str">
        <f>VLOOKUP(G88,'lista obszary'!A:B,2,0)</f>
        <v>EC60</v>
      </c>
      <c r="G88" s="76" t="s">
        <v>1325</v>
      </c>
      <c r="H88" s="85" t="s">
        <v>1579</v>
      </c>
      <c r="I88" s="59" t="str">
        <f>VLOOKUP(J88,'lista obszary'!A:B,2,0)</f>
        <v>HV</v>
      </c>
      <c r="J88" s="78" t="s">
        <v>2319</v>
      </c>
      <c r="K88" s="87" t="s">
        <v>1555</v>
      </c>
      <c r="L88" s="82" t="s">
        <v>2440</v>
      </c>
      <c r="M88" s="23"/>
      <c r="N88" s="23"/>
      <c r="O88" s="23"/>
      <c r="P88" s="19" t="s">
        <v>175</v>
      </c>
      <c r="Q88" s="26"/>
      <c r="R88" s="26"/>
      <c r="S88" s="47"/>
      <c r="T88" s="4"/>
      <c r="U88" s="20">
        <f t="shared" si="1"/>
        <v>43521</v>
      </c>
      <c r="V88" s="47"/>
      <c r="W88" s="43"/>
      <c r="X88" s="66" t="e">
        <f>VLOOKUP(D88,#REF!,2,0)</f>
        <v>#REF!</v>
      </c>
      <c r="Y88" s="67" t="b">
        <f t="shared" si="2"/>
        <v>0</v>
      </c>
      <c r="Z88" s="67"/>
    </row>
    <row r="89" spans="1:26" ht="13.65" customHeight="1">
      <c r="A89" s="91">
        <v>88</v>
      </c>
      <c r="B89" s="19"/>
      <c r="C89" s="3" t="str">
        <f>VLOOKUP(D89,'lista 1'!$A$2:$F3607,4,0)</f>
        <v>KUBIŃSKI ROBERT</v>
      </c>
      <c r="D89" s="73">
        <v>2618</v>
      </c>
      <c r="E89" s="4" t="str">
        <f>VLOOKUP(D89,'lista 1'!$A$2:$F$1802,5,0)</f>
        <v>TM</v>
      </c>
      <c r="F89" s="59" t="str">
        <f>VLOOKUP(G89,'lista obszary'!A:B,2,0)</f>
        <v>EC60</v>
      </c>
      <c r="G89" s="76" t="s">
        <v>570</v>
      </c>
      <c r="H89" s="85" t="s">
        <v>1893</v>
      </c>
      <c r="I89" s="59" t="str">
        <f>VLOOKUP(J89,'lista obszary'!A:B,2,0)</f>
        <v>HV</v>
      </c>
      <c r="J89" s="78" t="s">
        <v>2319</v>
      </c>
      <c r="K89" s="87" t="s">
        <v>340</v>
      </c>
      <c r="L89" s="82" t="s">
        <v>2440</v>
      </c>
      <c r="M89" s="23"/>
      <c r="N89" s="23"/>
      <c r="O89" s="23"/>
      <c r="P89" s="19" t="s">
        <v>175</v>
      </c>
      <c r="Q89" s="26"/>
      <c r="R89" s="26"/>
      <c r="S89" s="47"/>
      <c r="T89" s="4"/>
      <c r="U89" s="20">
        <f t="shared" si="1"/>
        <v>43521</v>
      </c>
      <c r="V89" s="47"/>
      <c r="W89" s="43"/>
      <c r="X89" s="66" t="e">
        <f>VLOOKUP(D89,#REF!,2,0)</f>
        <v>#REF!</v>
      </c>
      <c r="Y89" s="67" t="b">
        <f t="shared" si="2"/>
        <v>0</v>
      </c>
      <c r="Z89" s="67"/>
    </row>
    <row r="90" spans="1:26" ht="13.65" customHeight="1">
      <c r="A90" s="91">
        <v>89</v>
      </c>
      <c r="B90" s="19"/>
      <c r="C90" s="3" t="e">
        <f>VLOOKUP(D90,'lista 1'!$A$2:$F3608,4,0)</f>
        <v>#N/A</v>
      </c>
      <c r="D90" s="73">
        <v>70372</v>
      </c>
      <c r="E90" s="4" t="e">
        <f>VLOOKUP(D90,'lista 1'!$A$2:$F$1802,5,0)</f>
        <v>#N/A</v>
      </c>
      <c r="F90" s="59" t="str">
        <f>VLOOKUP(G90,'lista obszary'!A:B,2,0)</f>
        <v>EC60</v>
      </c>
      <c r="G90" s="76" t="s">
        <v>570</v>
      </c>
      <c r="H90" s="85" t="s">
        <v>1893</v>
      </c>
      <c r="I90" s="59" t="str">
        <f>VLOOKUP(J90,'lista obszary'!A:B,2,0)</f>
        <v>HV</v>
      </c>
      <c r="J90" s="78" t="s">
        <v>2319</v>
      </c>
      <c r="K90" s="87" t="s">
        <v>340</v>
      </c>
      <c r="L90" s="82" t="s">
        <v>2440</v>
      </c>
      <c r="M90" s="23"/>
      <c r="N90" s="23"/>
      <c r="O90" s="23"/>
      <c r="P90" s="19" t="s">
        <v>175</v>
      </c>
      <c r="Q90" s="26"/>
      <c r="R90" s="26"/>
      <c r="S90" s="47"/>
      <c r="T90" s="4"/>
      <c r="U90" s="20">
        <f t="shared" si="1"/>
        <v>43521</v>
      </c>
      <c r="V90" s="47"/>
      <c r="W90" s="43"/>
      <c r="X90" s="66" t="e">
        <f>VLOOKUP(D90,#REF!,2,0)</f>
        <v>#REF!</v>
      </c>
      <c r="Y90" s="67" t="b">
        <f t="shared" si="2"/>
        <v>0</v>
      </c>
      <c r="Z90" s="67"/>
    </row>
    <row r="91" spans="1:26" ht="13.65" customHeight="1">
      <c r="A91" s="91">
        <v>90</v>
      </c>
      <c r="B91" s="19"/>
      <c r="C91" s="3" t="str">
        <f>VLOOKUP(D91,'lista 1'!$A$2:$F3609,4,0)</f>
        <v>BAGAZJA KRZYSZTOF</v>
      </c>
      <c r="D91" s="73">
        <v>574</v>
      </c>
      <c r="E91" s="4" t="str">
        <f>VLOOKUP(D91,'lista 1'!$A$2:$F$1802,5,0)</f>
        <v>TM2</v>
      </c>
      <c r="F91" s="59" t="str">
        <f>VLOOKUP(G91,'lista obszary'!A:B,2,0)</f>
        <v>EC60</v>
      </c>
      <c r="G91" s="76" t="s">
        <v>570</v>
      </c>
      <c r="H91" s="85" t="s">
        <v>1893</v>
      </c>
      <c r="I91" s="59" t="str">
        <f>VLOOKUP(J91,'lista obszary'!A:B,2,0)</f>
        <v>HV</v>
      </c>
      <c r="J91" s="78" t="s">
        <v>2319</v>
      </c>
      <c r="K91" s="87" t="s">
        <v>2326</v>
      </c>
      <c r="L91" s="82" t="s">
        <v>2440</v>
      </c>
      <c r="M91" s="23"/>
      <c r="N91" s="23"/>
      <c r="O91" s="23"/>
      <c r="P91" s="19" t="s">
        <v>175</v>
      </c>
      <c r="Q91" s="26"/>
      <c r="R91" s="26"/>
      <c r="S91" s="47"/>
      <c r="T91" s="4"/>
      <c r="U91" s="20">
        <f t="shared" si="1"/>
        <v>43521</v>
      </c>
      <c r="V91" s="47"/>
      <c r="W91" s="43"/>
      <c r="X91" s="66" t="e">
        <f>VLOOKUP(D91,#REF!,2,0)</f>
        <v>#REF!</v>
      </c>
      <c r="Y91" s="67" t="b">
        <f t="shared" si="2"/>
        <v>0</v>
      </c>
    </row>
    <row r="92" spans="1:26" ht="13.65" customHeight="1">
      <c r="A92" s="91">
        <v>91</v>
      </c>
      <c r="B92" s="19"/>
      <c r="C92" s="3" t="str">
        <f>VLOOKUP(D92,'lista 1'!$A$2:$F3610,4,0)</f>
        <v>ŚWIĘTANOWSKI PIOTR</v>
      </c>
      <c r="D92" s="73">
        <v>2357</v>
      </c>
      <c r="E92" s="4" t="str">
        <f>VLOOKUP(D92,'lista 1'!$A$2:$F$1802,5,0)</f>
        <v>TM2</v>
      </c>
      <c r="F92" s="59" t="str">
        <f>VLOOKUP(G92,'lista obszary'!A:B,2,0)</f>
        <v>EC60</v>
      </c>
      <c r="G92" s="76" t="s">
        <v>1045</v>
      </c>
      <c r="H92" s="85" t="s">
        <v>1926</v>
      </c>
      <c r="I92" s="59" t="str">
        <f>VLOOKUP(J92,'lista obszary'!A:B,2,0)</f>
        <v>HV</v>
      </c>
      <c r="J92" s="78" t="s">
        <v>2319</v>
      </c>
      <c r="K92" s="87" t="s">
        <v>2326</v>
      </c>
      <c r="L92" s="82" t="s">
        <v>2440</v>
      </c>
      <c r="M92" s="23"/>
      <c r="N92" s="23"/>
      <c r="O92" s="23"/>
      <c r="P92" s="19" t="s">
        <v>175</v>
      </c>
      <c r="Q92" s="26"/>
      <c r="R92" s="26"/>
      <c r="S92" s="47"/>
      <c r="T92" s="4"/>
      <c r="U92" s="20">
        <f t="shared" si="1"/>
        <v>43521</v>
      </c>
      <c r="V92" s="47"/>
      <c r="W92" s="43"/>
      <c r="X92" s="66" t="e">
        <f>VLOOKUP(D92,#REF!,2,0)</f>
        <v>#REF!</v>
      </c>
      <c r="Y92" s="67" t="b">
        <f t="shared" si="2"/>
        <v>0</v>
      </c>
      <c r="Z92" s="67"/>
    </row>
    <row r="93" spans="1:26" ht="13.65" customHeight="1">
      <c r="A93" s="91">
        <v>92</v>
      </c>
      <c r="B93" s="19"/>
      <c r="C93" s="3" t="str">
        <f>VLOOKUP(D93,'lista 1'!$A$2:$F3611,4,0)</f>
        <v>KRZYŻAŃSKI ARTUR</v>
      </c>
      <c r="D93" s="73">
        <v>2001</v>
      </c>
      <c r="E93" s="4" t="str">
        <f>VLOOKUP(D93,'lista 1'!$A$2:$F$1802,5,0)</f>
        <v>TM2</v>
      </c>
      <c r="F93" s="59" t="str">
        <f>VLOOKUP(G93,'lista obszary'!A:B,2,0)</f>
        <v>EC60</v>
      </c>
      <c r="G93" s="76" t="s">
        <v>1325</v>
      </c>
      <c r="H93" s="85" t="s">
        <v>1579</v>
      </c>
      <c r="I93" s="59" t="str">
        <f>VLOOKUP(J93,'lista obszary'!A:B,2,0)</f>
        <v>HV</v>
      </c>
      <c r="J93" s="78" t="s">
        <v>2319</v>
      </c>
      <c r="K93" s="87" t="s">
        <v>1582</v>
      </c>
      <c r="L93" s="82" t="s">
        <v>2440</v>
      </c>
      <c r="M93" s="23"/>
      <c r="N93" s="23"/>
      <c r="O93" s="23"/>
      <c r="P93" s="19" t="s">
        <v>175</v>
      </c>
      <c r="Q93" s="26"/>
      <c r="R93" s="26"/>
      <c r="S93" s="47"/>
      <c r="T93" s="4"/>
      <c r="U93" s="20">
        <f t="shared" si="1"/>
        <v>43521</v>
      </c>
      <c r="V93" s="47"/>
      <c r="W93" s="43"/>
      <c r="X93" s="66" t="e">
        <f>VLOOKUP(D93,#REF!,2,0)</f>
        <v>#REF!</v>
      </c>
      <c r="Y93" s="67" t="b">
        <f t="shared" si="2"/>
        <v>0</v>
      </c>
      <c r="Z93" s="67"/>
    </row>
    <row r="94" spans="1:26" ht="13.65" customHeight="1">
      <c r="A94" s="91">
        <v>93</v>
      </c>
      <c r="B94" s="19"/>
      <c r="C94" s="3" t="str">
        <f>VLOOKUP(D94,'lista 1'!$A$2:$F3612,4,0)</f>
        <v>STAWICKI JAROSŁAW</v>
      </c>
      <c r="D94" s="73">
        <v>623</v>
      </c>
      <c r="E94" s="4" t="str">
        <f>VLOOKUP(D94,'lista 1'!$A$2:$F$1802,5,0)</f>
        <v>TM2</v>
      </c>
      <c r="F94" s="59" t="str">
        <f>VLOOKUP(G94,'lista obszary'!A:B,2,0)</f>
        <v>EC60</v>
      </c>
      <c r="G94" s="76" t="s">
        <v>844</v>
      </c>
      <c r="H94" s="85" t="s">
        <v>1903</v>
      </c>
      <c r="I94" s="59" t="str">
        <f>VLOOKUP(J94,'lista obszary'!A:B,2,0)</f>
        <v>HV</v>
      </c>
      <c r="J94" s="78" t="s">
        <v>2319</v>
      </c>
      <c r="K94" s="87" t="s">
        <v>1582</v>
      </c>
      <c r="L94" s="82" t="s">
        <v>2440</v>
      </c>
      <c r="M94" s="23"/>
      <c r="N94" s="23"/>
      <c r="O94" s="23"/>
      <c r="P94" s="19" t="s">
        <v>175</v>
      </c>
      <c r="Q94" s="26"/>
      <c r="R94" s="26"/>
      <c r="S94" s="47"/>
      <c r="T94" s="4"/>
      <c r="U94" s="20">
        <f t="shared" si="1"/>
        <v>43521</v>
      </c>
      <c r="V94" s="47"/>
      <c r="W94" s="43"/>
      <c r="X94" s="66" t="e">
        <f>VLOOKUP(D94,#REF!,2,0)</f>
        <v>#REF!</v>
      </c>
      <c r="Y94" s="67" t="b">
        <f t="shared" si="2"/>
        <v>0</v>
      </c>
      <c r="Z94" s="67"/>
    </row>
    <row r="95" spans="1:26" ht="13.65" customHeight="1">
      <c r="A95" s="91">
        <v>94</v>
      </c>
      <c r="B95" s="19"/>
      <c r="C95" s="3" t="str">
        <f>VLOOKUP(D95,'lista 1'!$A$2:$F3613,4,0)</f>
        <v>OLSZEWSKI KRZYSZTOF</v>
      </c>
      <c r="D95" s="73">
        <v>810</v>
      </c>
      <c r="E95" s="4" t="str">
        <f>VLOOKUP(D95,'lista 1'!$A$2:$F$1802,5,0)</f>
        <v>TM2</v>
      </c>
      <c r="F95" s="59" t="str">
        <f>VLOOKUP(G95,'lista obszary'!A:B,2,0)</f>
        <v>EC60</v>
      </c>
      <c r="G95" s="76" t="s">
        <v>844</v>
      </c>
      <c r="H95" s="85" t="s">
        <v>1903</v>
      </c>
      <c r="I95" s="59" t="str">
        <f>VLOOKUP(J95,'lista obszary'!A:B,2,0)</f>
        <v>HV</v>
      </c>
      <c r="J95" s="78" t="s">
        <v>2319</v>
      </c>
      <c r="K95" s="87" t="s">
        <v>1582</v>
      </c>
      <c r="L95" s="82" t="s">
        <v>2440</v>
      </c>
      <c r="M95" s="23"/>
      <c r="N95" s="23"/>
      <c r="O95" s="23"/>
      <c r="P95" s="19" t="s">
        <v>175</v>
      </c>
      <c r="Q95" s="26"/>
      <c r="R95" s="26"/>
      <c r="S95" s="47"/>
      <c r="T95" s="4"/>
      <c r="U95" s="20">
        <f t="shared" si="1"/>
        <v>43521</v>
      </c>
      <c r="V95" s="47"/>
      <c r="W95" s="43"/>
      <c r="X95" s="66" t="e">
        <f>VLOOKUP(D95,#REF!,2,0)</f>
        <v>#REF!</v>
      </c>
      <c r="Y95" s="67" t="b">
        <f t="shared" si="2"/>
        <v>0</v>
      </c>
      <c r="Z95" s="67"/>
    </row>
    <row r="96" spans="1:26" ht="13.65" customHeight="1">
      <c r="A96" s="91">
        <v>95</v>
      </c>
      <c r="B96" s="19"/>
      <c r="C96" s="3" t="e">
        <f>VLOOKUP(D96,'lista 1'!$A$2:$F3614,4,0)</f>
        <v>#N/A</v>
      </c>
      <c r="D96" s="73">
        <v>64289</v>
      </c>
      <c r="E96" s="4" t="e">
        <f>VLOOKUP(D96,'lista 1'!$A$2:$F$1802,5,0)</f>
        <v>#N/A</v>
      </c>
      <c r="F96" s="59" t="str">
        <f>VLOOKUP(G96,'lista obszary'!A:B,2,0)</f>
        <v>EC60</v>
      </c>
      <c r="G96" s="76" t="s">
        <v>224</v>
      </c>
      <c r="H96" s="85" t="s">
        <v>1912</v>
      </c>
      <c r="I96" s="59" t="str">
        <f>VLOOKUP(J96,'lista obszary'!A:B,2,0)</f>
        <v>HV</v>
      </c>
      <c r="J96" s="78" t="s">
        <v>2319</v>
      </c>
      <c r="K96" s="87" t="s">
        <v>528</v>
      </c>
      <c r="L96" s="82" t="s">
        <v>2440</v>
      </c>
      <c r="M96" s="23"/>
      <c r="N96" s="23"/>
      <c r="O96" s="23"/>
      <c r="P96" s="19" t="s">
        <v>175</v>
      </c>
      <c r="Q96" s="26"/>
      <c r="R96" s="26"/>
      <c r="S96" s="47"/>
      <c r="T96" s="4"/>
      <c r="U96" s="20">
        <f t="shared" si="1"/>
        <v>43521</v>
      </c>
      <c r="V96" s="47"/>
      <c r="W96" s="43"/>
      <c r="X96" s="66" t="e">
        <f>VLOOKUP(D96,#REF!,2,0)</f>
        <v>#REF!</v>
      </c>
      <c r="Y96" s="67" t="b">
        <f t="shared" si="2"/>
        <v>0</v>
      </c>
      <c r="Z96" s="67"/>
    </row>
    <row r="97" spans="1:26" ht="13.65" customHeight="1">
      <c r="A97" s="91">
        <v>96</v>
      </c>
      <c r="B97" s="19"/>
      <c r="C97" s="3" t="e">
        <f>VLOOKUP(D97,'lista 1'!$A$2:$F3615,4,0)</f>
        <v>#N/A</v>
      </c>
      <c r="D97" s="73">
        <v>64265</v>
      </c>
      <c r="E97" s="4" t="e">
        <f>VLOOKUP(D97,'lista 1'!$A$2:$F$1802,5,0)</f>
        <v>#N/A</v>
      </c>
      <c r="F97" s="59" t="str">
        <f>VLOOKUP(G97,'lista obszary'!A:B,2,0)</f>
        <v>EC60</v>
      </c>
      <c r="G97" s="76" t="s">
        <v>844</v>
      </c>
      <c r="H97" s="85" t="s">
        <v>1903</v>
      </c>
      <c r="I97" s="59" t="str">
        <f>VLOOKUP(J97,'lista obszary'!A:B,2,0)</f>
        <v>HV</v>
      </c>
      <c r="J97" s="78" t="s">
        <v>2319</v>
      </c>
      <c r="K97" s="87" t="s">
        <v>528</v>
      </c>
      <c r="L97" s="82" t="s">
        <v>2440</v>
      </c>
      <c r="M97" s="23"/>
      <c r="N97" s="23"/>
      <c r="O97" s="23"/>
      <c r="P97" s="19" t="s">
        <v>175</v>
      </c>
      <c r="Q97" s="26"/>
      <c r="R97" s="26"/>
      <c r="S97" s="47"/>
      <c r="T97" s="4"/>
      <c r="U97" s="20">
        <f t="shared" si="1"/>
        <v>43521</v>
      </c>
      <c r="V97" s="47"/>
      <c r="W97" s="43"/>
      <c r="X97" s="66" t="e">
        <f>VLOOKUP(D97,#REF!,2,0)</f>
        <v>#REF!</v>
      </c>
      <c r="Y97" s="67" t="b">
        <f t="shared" si="2"/>
        <v>0</v>
      </c>
      <c r="Z97" s="67"/>
    </row>
    <row r="98" spans="1:26" ht="13.65" customHeight="1">
      <c r="A98" s="91">
        <v>97</v>
      </c>
      <c r="B98" s="19"/>
      <c r="C98" s="3" t="str">
        <f>VLOOKUP(D98,'lista 1'!$A$2:$F3616,4,0)</f>
        <v>KOWALSKA ANETA</v>
      </c>
      <c r="D98" s="73">
        <v>2999</v>
      </c>
      <c r="E98" s="4" t="str">
        <f>VLOOKUP(D98,'lista 1'!$A$2:$F$1802,5,0)</f>
        <v>JTM</v>
      </c>
      <c r="F98" s="59" t="str">
        <f>VLOOKUP(G98,'lista obszary'!A:B,2,0)</f>
        <v>EC60</v>
      </c>
      <c r="G98" s="76" t="s">
        <v>844</v>
      </c>
      <c r="H98" s="85" t="s">
        <v>1903</v>
      </c>
      <c r="I98" s="59" t="str">
        <f>VLOOKUP(J98,'lista obszary'!A:B,2,0)</f>
        <v>HV</v>
      </c>
      <c r="J98" s="78" t="s">
        <v>2319</v>
      </c>
      <c r="K98" s="87" t="s">
        <v>528</v>
      </c>
      <c r="L98" s="82" t="s">
        <v>2440</v>
      </c>
      <c r="M98" s="23"/>
      <c r="N98" s="23"/>
      <c r="O98" s="23"/>
      <c r="P98" s="19" t="s">
        <v>175</v>
      </c>
      <c r="Q98" s="26"/>
      <c r="R98" s="26"/>
      <c r="S98" s="47"/>
      <c r="T98" s="4"/>
      <c r="U98" s="20">
        <f t="shared" si="1"/>
        <v>43521</v>
      </c>
      <c r="V98" s="47"/>
      <c r="W98" s="43"/>
      <c r="X98" s="66" t="e">
        <f>VLOOKUP(D98,#REF!,2,0)</f>
        <v>#REF!</v>
      </c>
      <c r="Y98" s="67" t="b">
        <f t="shared" si="2"/>
        <v>0</v>
      </c>
      <c r="Z98" s="67"/>
    </row>
    <row r="99" spans="1:26" ht="13.65" customHeight="1">
      <c r="A99" s="91">
        <v>98</v>
      </c>
      <c r="B99" s="19"/>
      <c r="C99" s="3" t="str">
        <f>VLOOKUP(D99,'lista 1'!$A$2:$F3617,4,0)</f>
        <v>KONIEC MARCIN</v>
      </c>
      <c r="D99" s="73">
        <v>2608</v>
      </c>
      <c r="E99" s="4" t="str">
        <f>VLOOKUP(D99,'lista 1'!$A$2:$F$1802,5,0)</f>
        <v>TM2</v>
      </c>
      <c r="F99" s="59" t="str">
        <f>VLOOKUP(G99,'lista obszary'!A:B,2,0)</f>
        <v>EC60</v>
      </c>
      <c r="G99" s="76" t="s">
        <v>224</v>
      </c>
      <c r="H99" s="85" t="s">
        <v>1912</v>
      </c>
      <c r="I99" s="59" t="str">
        <f>VLOOKUP(J99,'lista obszary'!A:B,2,0)</f>
        <v>HV</v>
      </c>
      <c r="J99" s="78" t="s">
        <v>2319</v>
      </c>
      <c r="K99" s="87" t="s">
        <v>528</v>
      </c>
      <c r="L99" s="82" t="s">
        <v>2440</v>
      </c>
      <c r="M99" s="23"/>
      <c r="N99" s="23"/>
      <c r="O99" s="23"/>
      <c r="P99" s="19" t="s">
        <v>175</v>
      </c>
      <c r="Q99" s="26"/>
      <c r="R99" s="26"/>
      <c r="S99" s="47"/>
      <c r="T99" s="4"/>
      <c r="U99" s="20">
        <f t="shared" si="1"/>
        <v>43521</v>
      </c>
      <c r="V99" s="47"/>
      <c r="W99" s="43"/>
      <c r="X99" s="66" t="e">
        <f>VLOOKUP(D99,#REF!,2,0)</f>
        <v>#REF!</v>
      </c>
      <c r="Y99" s="67" t="b">
        <f t="shared" si="2"/>
        <v>0</v>
      </c>
      <c r="Z99" s="67"/>
    </row>
    <row r="100" spans="1:26" ht="13.65" customHeight="1">
      <c r="A100" s="91">
        <v>99</v>
      </c>
      <c r="B100" s="19"/>
      <c r="C100" s="3" t="str">
        <f>VLOOKUP(D100,'lista 1'!$A$2:$F3618,4,0)</f>
        <v>ŁOŚ RAFAŁ</v>
      </c>
      <c r="D100" s="73">
        <v>1379</v>
      </c>
      <c r="E100" s="4" t="str">
        <f>VLOOKUP(D100,'lista 1'!$A$2:$F$1802,5,0)</f>
        <v>TL2</v>
      </c>
      <c r="F100" s="59" t="str">
        <f>VLOOKUP(G100,'lista obszary'!A:B,2,0)</f>
        <v>CASTING</v>
      </c>
      <c r="G100" s="76" t="s">
        <v>684</v>
      </c>
      <c r="H100" s="85" t="s">
        <v>1920</v>
      </c>
      <c r="I100" s="59" t="str">
        <f>VLOOKUP(J100,'lista obszary'!A:B,2,0)</f>
        <v>HV PJT</v>
      </c>
      <c r="J100" s="78" t="s">
        <v>2086</v>
      </c>
      <c r="K100" s="87" t="s">
        <v>1569</v>
      </c>
      <c r="L100" s="82" t="s">
        <v>2441</v>
      </c>
      <c r="M100" s="23"/>
      <c r="N100" s="23"/>
      <c r="O100" s="23"/>
      <c r="P100" s="19"/>
      <c r="Q100" s="26"/>
      <c r="R100" s="26"/>
      <c r="S100" s="47"/>
      <c r="T100" s="4"/>
      <c r="U100" s="20">
        <f t="shared" si="1"/>
        <v>43525</v>
      </c>
      <c r="V100" s="47"/>
      <c r="W100" s="43"/>
      <c r="X100" s="66" t="e">
        <f>VLOOKUP(D100,#REF!,2,0)</f>
        <v>#REF!</v>
      </c>
      <c r="Y100" s="67" t="s">
        <v>2644</v>
      </c>
      <c r="Z100" s="67"/>
    </row>
    <row r="101" spans="1:26" ht="13.65" customHeight="1">
      <c r="A101" s="91">
        <v>100</v>
      </c>
      <c r="B101" s="19" t="s">
        <v>734</v>
      </c>
      <c r="C101" s="3" t="str">
        <f>VLOOKUP(D101,'lista 1'!$A$2:$F3619,4,0)</f>
        <v>CZEMARNIK MONIKA</v>
      </c>
      <c r="D101" s="73">
        <v>2212</v>
      </c>
      <c r="E101" s="4" t="str">
        <f>VLOOKUP(D101,'lista 1'!$A$2:$F$1802,5,0)</f>
        <v>TM2</v>
      </c>
      <c r="F101" s="59" t="str">
        <f>VLOOKUP(G101,'lista obszary'!A:B,2,0)</f>
        <v>EC60</v>
      </c>
      <c r="G101" s="76" t="s">
        <v>844</v>
      </c>
      <c r="H101" s="85" t="s">
        <v>1903</v>
      </c>
      <c r="I101" s="59" t="str">
        <f>VLOOKUP(J101,'lista obszary'!A:B,2,0)</f>
        <v>QC</v>
      </c>
      <c r="J101" s="78" t="s">
        <v>453</v>
      </c>
      <c r="K101" s="87" t="s">
        <v>1880</v>
      </c>
      <c r="L101" s="82" t="s">
        <v>2434</v>
      </c>
      <c r="M101" s="23"/>
      <c r="N101" s="23"/>
      <c r="O101" s="23"/>
      <c r="P101" s="19" t="s">
        <v>175</v>
      </c>
      <c r="Q101" s="26"/>
      <c r="R101" s="26"/>
      <c r="S101" s="47"/>
      <c r="T101" s="4"/>
      <c r="U101" s="20">
        <f t="shared" si="1"/>
        <v>43528</v>
      </c>
      <c r="V101" s="47"/>
      <c r="W101" s="43"/>
      <c r="X101" s="66" t="e">
        <f>VLOOKUP(D101,#REF!,2,0)</f>
        <v>#REF!</v>
      </c>
      <c r="Y101" s="67" t="s">
        <v>2644</v>
      </c>
      <c r="Z101" s="67"/>
    </row>
    <row r="102" spans="1:26" ht="13.65" customHeight="1">
      <c r="A102" s="91">
        <v>101</v>
      </c>
      <c r="B102" s="19" t="s">
        <v>1990</v>
      </c>
      <c r="C102" s="3" t="str">
        <f>VLOOKUP(D102,'lista 1'!$A$2:$F3620,4,0)</f>
        <v>GOLEŃ JOANNA</v>
      </c>
      <c r="D102" s="73">
        <v>2399</v>
      </c>
      <c r="E102" s="4" t="str">
        <f>VLOOKUP(D102,'lista 1'!$A$2:$F$1802,5,0)</f>
        <v>TM2</v>
      </c>
      <c r="F102" s="59" t="str">
        <f>VLOOKUP(G102,'lista obszary'!A:B,2,0)</f>
        <v>MTB0</v>
      </c>
      <c r="G102" s="76" t="s">
        <v>504</v>
      </c>
      <c r="H102" s="85" t="s">
        <v>347</v>
      </c>
      <c r="I102" s="59" t="str">
        <f>VLOOKUP(J102,'lista obszary'!A:B,2,0)</f>
        <v>QC</v>
      </c>
      <c r="J102" s="78" t="s">
        <v>2152</v>
      </c>
      <c r="K102" s="87" t="s">
        <v>1924</v>
      </c>
      <c r="L102" s="82" t="s">
        <v>2434</v>
      </c>
      <c r="M102" s="23"/>
      <c r="N102" s="23"/>
      <c r="O102" s="23"/>
      <c r="P102" s="19" t="s">
        <v>175</v>
      </c>
      <c r="Q102" s="26"/>
      <c r="R102" s="26"/>
      <c r="S102" s="47"/>
      <c r="T102" s="4"/>
      <c r="U102" s="20">
        <f t="shared" si="1"/>
        <v>43528</v>
      </c>
      <c r="V102" s="47"/>
      <c r="W102" s="43"/>
      <c r="X102" s="66" t="e">
        <f>VLOOKUP(D102,#REF!,2,0)</f>
        <v>#REF!</v>
      </c>
      <c r="Y102" s="67" t="s">
        <v>2644</v>
      </c>
      <c r="Z102" s="67"/>
    </row>
    <row r="103" spans="1:26" ht="13.65" customHeight="1">
      <c r="A103" s="91">
        <v>102</v>
      </c>
      <c r="B103" s="19"/>
      <c r="C103" s="3" t="str">
        <f>VLOOKUP(D103,'lista 1'!$A$2:$F3621,4,0)</f>
        <v>GUZERA DANIEL</v>
      </c>
      <c r="D103" s="73">
        <v>338</v>
      </c>
      <c r="E103" s="4" t="str">
        <f>VLOOKUP(D103,'lista 1'!$A$2:$F$1802,5,0)</f>
        <v>TL2</v>
      </c>
      <c r="F103" s="59" t="str">
        <f>VLOOKUP(G103,'lista obszary'!A:B,2,0)</f>
        <v>QC</v>
      </c>
      <c r="G103" s="76" t="s">
        <v>1289</v>
      </c>
      <c r="H103" s="85" t="s">
        <v>1568</v>
      </c>
      <c r="I103" s="59" t="str">
        <f>VLOOKUP(J103,'lista obszary'!A:B,2,0)</f>
        <v>QC</v>
      </c>
      <c r="J103" s="78" t="s">
        <v>448</v>
      </c>
      <c r="K103" s="87" t="s">
        <v>1393</v>
      </c>
      <c r="L103" s="82" t="s">
        <v>2434</v>
      </c>
      <c r="M103" s="23"/>
      <c r="N103" s="23"/>
      <c r="O103" s="23"/>
      <c r="P103" s="19" t="s">
        <v>175</v>
      </c>
      <c r="Q103" s="26"/>
      <c r="R103" s="26"/>
      <c r="S103" s="47"/>
      <c r="T103" s="4"/>
      <c r="U103" s="20">
        <f t="shared" si="1"/>
        <v>43528</v>
      </c>
      <c r="V103" s="47"/>
      <c r="W103" s="43"/>
      <c r="X103" s="66" t="e">
        <f>VLOOKUP(D103,#REF!,2,0)</f>
        <v>#REF!</v>
      </c>
      <c r="Y103" s="67" t="s">
        <v>2643</v>
      </c>
      <c r="Z103" s="67"/>
    </row>
    <row r="104" spans="1:26" ht="13.65" customHeight="1">
      <c r="A104" s="91">
        <v>103</v>
      </c>
      <c r="B104" s="19"/>
      <c r="C104" s="3" t="str">
        <f>VLOOKUP(D104,'lista 1'!$A$2:$F3622,4,0)</f>
        <v>ADAMCZYK-PENA ANNA</v>
      </c>
      <c r="D104" s="73">
        <v>2993</v>
      </c>
      <c r="E104" s="4" t="str">
        <f>VLOOKUP(D104,'lista 1'!$A$2:$F$1802,5,0)</f>
        <v>TM</v>
      </c>
      <c r="F104" s="59" t="str">
        <f>VLOOKUP(G104,'lista obszary'!A:B,2,0)</f>
        <v>ENGINES</v>
      </c>
      <c r="G104" s="76" t="s">
        <v>438</v>
      </c>
      <c r="H104" s="85" t="s">
        <v>1390</v>
      </c>
      <c r="I104" s="59" t="str">
        <f>VLOOKUP(J104,'lista obszary'!A:B,2,0)</f>
        <v>HV</v>
      </c>
      <c r="J104" s="78" t="s">
        <v>2319</v>
      </c>
      <c r="K104" s="87" t="s">
        <v>1582</v>
      </c>
      <c r="L104" s="82" t="s">
        <v>2434</v>
      </c>
      <c r="M104" s="23"/>
      <c r="N104" s="23"/>
      <c r="O104" s="23"/>
      <c r="P104" s="19" t="s">
        <v>175</v>
      </c>
      <c r="Q104" s="26"/>
      <c r="R104" s="26"/>
      <c r="S104" s="47"/>
      <c r="T104" s="4"/>
      <c r="U104" s="20">
        <f t="shared" si="1"/>
        <v>43528</v>
      </c>
      <c r="V104" s="47"/>
      <c r="W104" s="43"/>
      <c r="X104" s="66" t="e">
        <f>VLOOKUP(D104,#REF!,2,0)</f>
        <v>#REF!</v>
      </c>
      <c r="Y104" s="67" t="b">
        <f>F104=I104</f>
        <v>0</v>
      </c>
      <c r="Z104" s="67"/>
    </row>
    <row r="105" spans="1:26" ht="13.65" customHeight="1">
      <c r="A105" s="91">
        <v>104</v>
      </c>
      <c r="B105" s="19"/>
      <c r="C105" s="3" t="str">
        <f>VLOOKUP(D105,'lista 1'!$A$2:$F3623,4,0)</f>
        <v>ROGOWSKI SEBASTIAN</v>
      </c>
      <c r="D105" s="73">
        <v>1665</v>
      </c>
      <c r="E105" s="4" t="str">
        <f>VLOOKUP(D105,'lista 1'!$A$2:$F$1802,5,0)</f>
        <v>TM</v>
      </c>
      <c r="F105" s="59" t="str">
        <f>VLOOKUP(G105,'lista obszary'!A:B,2,0)</f>
        <v>ENGINES</v>
      </c>
      <c r="G105" s="76" t="s">
        <v>437</v>
      </c>
      <c r="H105" s="85" t="s">
        <v>342</v>
      </c>
      <c r="I105" s="59" t="str">
        <f>VLOOKUP(J105,'lista obszary'!A:B,2,0)</f>
        <v>ENGINES</v>
      </c>
      <c r="J105" s="78" t="s">
        <v>438</v>
      </c>
      <c r="K105" s="87" t="s">
        <v>1390</v>
      </c>
      <c r="L105" s="82" t="s">
        <v>2434</v>
      </c>
      <c r="M105" s="23"/>
      <c r="N105" s="23"/>
      <c r="O105" s="23"/>
      <c r="P105" s="19" t="s">
        <v>175</v>
      </c>
      <c r="Q105" s="26"/>
      <c r="R105" s="26"/>
      <c r="S105" s="47"/>
      <c r="T105" s="4"/>
      <c r="U105" s="20">
        <f t="shared" si="1"/>
        <v>43528</v>
      </c>
      <c r="V105" s="47"/>
      <c r="W105" s="43"/>
      <c r="X105" s="66" t="e">
        <f>VLOOKUP(D105,#REF!,2,0)</f>
        <v>#REF!</v>
      </c>
      <c r="Y105" s="67" t="s">
        <v>2643</v>
      </c>
      <c r="Z105" s="67"/>
    </row>
    <row r="106" spans="1:26" ht="13.65" customHeight="1">
      <c r="A106" s="91">
        <v>105</v>
      </c>
      <c r="B106" s="19"/>
      <c r="C106" s="3" t="str">
        <f>VLOOKUP(D106,'lista 1'!$A$2:$F3624,4,0)</f>
        <v>OTRĘBA PRZEMYSŁAW</v>
      </c>
      <c r="D106" s="73">
        <v>1338</v>
      </c>
      <c r="E106" s="4" t="str">
        <f>VLOOKUP(D106,'lista 1'!$A$2:$F$1802,5,0)</f>
        <v>TL</v>
      </c>
      <c r="F106" s="59" t="str">
        <f>VLOOKUP(G106,'lista obszary'!A:B,2,0)</f>
        <v>QC</v>
      </c>
      <c r="G106" s="76" t="s">
        <v>1289</v>
      </c>
      <c r="H106" s="85" t="s">
        <v>1568</v>
      </c>
      <c r="I106" s="59" t="str">
        <f>VLOOKUP(J106,'lista obszary'!A:B,2,0)</f>
        <v>QC</v>
      </c>
      <c r="J106" s="78" t="s">
        <v>448</v>
      </c>
      <c r="K106" s="87" t="s">
        <v>1393</v>
      </c>
      <c r="L106" s="82" t="s">
        <v>2434</v>
      </c>
      <c r="M106" s="23"/>
      <c r="N106" s="23"/>
      <c r="O106" s="23"/>
      <c r="P106" s="19" t="s">
        <v>175</v>
      </c>
      <c r="Q106" s="26"/>
      <c r="R106" s="26"/>
      <c r="S106" s="47"/>
      <c r="T106" s="4"/>
      <c r="U106" s="20">
        <f t="shared" si="1"/>
        <v>43528</v>
      </c>
      <c r="V106" s="47"/>
      <c r="W106" s="43"/>
      <c r="X106" s="66" t="e">
        <f>VLOOKUP(D106,#REF!,2,0)</f>
        <v>#REF!</v>
      </c>
      <c r="Y106" s="67" t="s">
        <v>2643</v>
      </c>
      <c r="Z106" s="67"/>
    </row>
    <row r="107" spans="1:26" ht="13.65" customHeight="1">
      <c r="A107" s="91">
        <v>106</v>
      </c>
      <c r="B107" s="19"/>
      <c r="C107" s="3" t="str">
        <f>VLOOKUP(D107,'lista 1'!$A$2:$F3625,4,0)</f>
        <v>SZOJDA GRZEGORZ</v>
      </c>
      <c r="D107" s="73">
        <v>1208</v>
      </c>
      <c r="E107" s="4" t="str">
        <f>VLOOKUP(D107,'lista 1'!$A$2:$F$1802,5,0)</f>
        <v>TM2</v>
      </c>
      <c r="F107" s="59" t="str">
        <f>VLOOKUP(G107,'lista obszary'!A:B,2,0)</f>
        <v>MTB0</v>
      </c>
      <c r="G107" s="76" t="s">
        <v>454</v>
      </c>
      <c r="H107" s="85" t="s">
        <v>1383</v>
      </c>
      <c r="I107" s="59" t="str">
        <f>VLOOKUP(J107,'lista obszary'!A:B,2,0)</f>
        <v>HV</v>
      </c>
      <c r="J107" s="78" t="s">
        <v>2319</v>
      </c>
      <c r="K107" s="87" t="s">
        <v>528</v>
      </c>
      <c r="L107" s="82" t="s">
        <v>2439</v>
      </c>
      <c r="M107" s="23"/>
      <c r="N107" s="23"/>
      <c r="O107" s="23"/>
      <c r="P107" s="19" t="s">
        <v>175</v>
      </c>
      <c r="Q107" s="26"/>
      <c r="R107" s="26"/>
      <c r="S107" s="47"/>
      <c r="T107" s="4"/>
      <c r="U107" s="20">
        <f t="shared" si="1"/>
        <v>43530</v>
      </c>
      <c r="V107" s="47"/>
      <c r="W107" s="43"/>
      <c r="X107" s="66" t="e">
        <f>VLOOKUP(D107,#REF!,2,0)</f>
        <v>#REF!</v>
      </c>
      <c r="Y107" s="67" t="b">
        <f>F107=I107</f>
        <v>0</v>
      </c>
      <c r="Z107" s="67"/>
    </row>
    <row r="108" spans="1:26" ht="13.65" customHeight="1">
      <c r="A108" s="91">
        <v>107</v>
      </c>
      <c r="B108" s="19" t="s">
        <v>1973</v>
      </c>
      <c r="C108" s="3" t="str">
        <f>VLOOKUP(D108,'lista 1'!$A$2:$F3626,4,0)</f>
        <v>MILEWSKI RADOSŁAW</v>
      </c>
      <c r="D108" s="73">
        <v>408</v>
      </c>
      <c r="E108" s="4" t="str">
        <f>VLOOKUP(D108,'lista 1'!$A$2:$F$1802,5,0)</f>
        <v>TL</v>
      </c>
      <c r="F108" s="59" t="str">
        <f>VLOOKUP(G108,'lista obszary'!A:B,2,0)</f>
        <v>QC</v>
      </c>
      <c r="G108" s="76" t="s">
        <v>448</v>
      </c>
      <c r="H108" s="85" t="s">
        <v>1393</v>
      </c>
      <c r="I108" s="59" t="str">
        <f>VLOOKUP(J108,'lista obszary'!A:B,2,0)</f>
        <v>QC</v>
      </c>
      <c r="J108" s="78" t="s">
        <v>2436</v>
      </c>
      <c r="K108" s="87" t="s">
        <v>1924</v>
      </c>
      <c r="L108" s="82" t="s">
        <v>2437</v>
      </c>
      <c r="M108" s="23"/>
      <c r="N108" s="23"/>
      <c r="O108" s="23"/>
      <c r="P108" s="19" t="s">
        <v>175</v>
      </c>
      <c r="Q108" s="26"/>
      <c r="R108" s="26"/>
      <c r="S108" s="47"/>
      <c r="T108" s="4"/>
      <c r="U108" s="20">
        <f t="shared" si="1"/>
        <v>43535</v>
      </c>
      <c r="V108" s="47"/>
      <c r="W108" s="43"/>
      <c r="X108" s="66" t="e">
        <f>VLOOKUP(D108,#REF!,2,0)</f>
        <v>#REF!</v>
      </c>
      <c r="Y108" s="67" t="s">
        <v>2643</v>
      </c>
      <c r="Z108" s="67"/>
    </row>
    <row r="109" spans="1:26" ht="13.65" customHeight="1">
      <c r="A109" s="91">
        <v>108</v>
      </c>
      <c r="B109" s="19"/>
      <c r="C109" s="3" t="str">
        <f>VLOOKUP(D109,'lista 1'!$A$2:$F3627,4,0)</f>
        <v>STANKIEWICZ AGNIESZKA</v>
      </c>
      <c r="D109" s="73">
        <v>2166</v>
      </c>
      <c r="E109" s="4" t="str">
        <f>VLOOKUP(D109,'lista 1'!$A$2:$F$1802,5,0)</f>
        <v>TM2</v>
      </c>
      <c r="F109" s="59" t="str">
        <f>VLOOKUP(G109,'lista obszary'!A:B,2,0)</f>
        <v>MTB0</v>
      </c>
      <c r="G109" s="76" t="s">
        <v>1090</v>
      </c>
      <c r="H109" s="85" t="s">
        <v>1908</v>
      </c>
      <c r="I109" s="59" t="str">
        <f>VLOOKUP(J109,'lista obszary'!A:B,2,0)</f>
        <v>QC</v>
      </c>
      <c r="J109" s="78" t="s">
        <v>1289</v>
      </c>
      <c r="K109" s="87" t="s">
        <v>1568</v>
      </c>
      <c r="L109" s="82" t="s">
        <v>2437</v>
      </c>
      <c r="M109" s="23" t="s">
        <v>2438</v>
      </c>
      <c r="N109" s="23"/>
      <c r="O109" s="23"/>
      <c r="P109" s="19" t="s">
        <v>175</v>
      </c>
      <c r="Q109" s="26"/>
      <c r="R109" s="26"/>
      <c r="S109" s="47"/>
      <c r="T109" s="4"/>
      <c r="U109" s="20">
        <f t="shared" si="1"/>
        <v>43535</v>
      </c>
      <c r="V109" s="47"/>
      <c r="W109" s="43"/>
      <c r="X109" s="66" t="e">
        <f>VLOOKUP(D109,#REF!,2,0)</f>
        <v>#REF!</v>
      </c>
      <c r="Y109" s="67" t="s">
        <v>2644</v>
      </c>
      <c r="Z109" s="67"/>
    </row>
    <row r="110" spans="1:26" ht="13.65" customHeight="1">
      <c r="A110" s="91">
        <v>109</v>
      </c>
      <c r="B110" s="19"/>
      <c r="C110" s="3" t="str">
        <f>VLOOKUP(D110,'lista 1'!$A$2:$F3628,4,0)</f>
        <v>GRABOWSKI MARIUSZ</v>
      </c>
      <c r="D110" s="73">
        <v>2232</v>
      </c>
      <c r="E110" s="4" t="str">
        <f>VLOOKUP(D110,'lista 1'!$A$2:$F$1802,5,0)</f>
        <v>AC TL</v>
      </c>
      <c r="F110" s="59" t="str">
        <f>VLOOKUP(G110,'lista obszary'!A:B,2,0)</f>
        <v>EC60</v>
      </c>
      <c r="G110" s="76" t="s">
        <v>1325</v>
      </c>
      <c r="H110" s="85" t="s">
        <v>1908</v>
      </c>
      <c r="I110" s="59" t="str">
        <f>VLOOKUP(J110,'lista obszary'!A:B,2,0)</f>
        <v>EC60</v>
      </c>
      <c r="J110" s="78" t="s">
        <v>1969</v>
      </c>
      <c r="K110" s="87" t="s">
        <v>1887</v>
      </c>
      <c r="L110" s="82" t="s">
        <v>2437</v>
      </c>
      <c r="M110" s="23"/>
      <c r="N110" s="23"/>
      <c r="O110" s="23"/>
      <c r="P110" s="19" t="s">
        <v>175</v>
      </c>
      <c r="Q110" s="26"/>
      <c r="R110" s="26"/>
      <c r="S110" s="47"/>
      <c r="T110" s="4"/>
      <c r="U110" s="20">
        <f t="shared" si="1"/>
        <v>43535</v>
      </c>
      <c r="V110" s="47"/>
      <c r="W110" s="43"/>
      <c r="X110" s="66" t="e">
        <f>VLOOKUP(D110,#REF!,2,0)</f>
        <v>#REF!</v>
      </c>
      <c r="Y110" s="67" t="s">
        <v>2643</v>
      </c>
      <c r="Z110" s="67"/>
    </row>
    <row r="111" spans="1:26" ht="13.65" customHeight="1">
      <c r="A111" s="91">
        <v>110</v>
      </c>
      <c r="B111" s="19"/>
      <c r="C111" s="3" t="str">
        <f>VLOOKUP(D111,'lista 1'!$A$2:$F3629,4,0)</f>
        <v>CYBRUCH KRYSTIAN</v>
      </c>
      <c r="D111" s="73">
        <v>1254</v>
      </c>
      <c r="E111" s="4" t="str">
        <f>VLOOKUP(D111,'lista 1'!$A$2:$F$1802,5,0)</f>
        <v>TM2</v>
      </c>
      <c r="F111" s="59" t="str">
        <f>VLOOKUP(G111,'lista obszary'!A:B,2,0)</f>
        <v>EC60</v>
      </c>
      <c r="G111" s="76" t="s">
        <v>224</v>
      </c>
      <c r="H111" s="85" t="s">
        <v>1912</v>
      </c>
      <c r="I111" s="59" t="str">
        <f>VLOOKUP(J111,'lista obszary'!A:B,2,0)</f>
        <v>EC60</v>
      </c>
      <c r="J111" s="78" t="s">
        <v>1969</v>
      </c>
      <c r="K111" s="87" t="s">
        <v>1887</v>
      </c>
      <c r="L111" s="82" t="s">
        <v>2442</v>
      </c>
      <c r="M111" s="23"/>
      <c r="N111" s="23"/>
      <c r="O111" s="23"/>
      <c r="P111" s="19" t="s">
        <v>175</v>
      </c>
      <c r="Q111" s="26"/>
      <c r="R111" s="26"/>
      <c r="S111" s="47"/>
      <c r="T111" s="4"/>
      <c r="U111" s="20">
        <f t="shared" si="1"/>
        <v>43542</v>
      </c>
      <c r="V111" s="47"/>
      <c r="W111" s="43"/>
      <c r="X111" s="66" t="e">
        <f>VLOOKUP(D111,#REF!,2,0)</f>
        <v>#REF!</v>
      </c>
      <c r="Y111" s="67" t="s">
        <v>2643</v>
      </c>
      <c r="Z111" s="67"/>
    </row>
    <row r="112" spans="1:26" ht="13.65" customHeight="1">
      <c r="A112" s="91">
        <v>111</v>
      </c>
      <c r="B112" s="19"/>
      <c r="C112" s="3" t="str">
        <f>VLOOKUP(D112,'lista 1'!$A$2:$F3630,4,0)</f>
        <v>OGAREK PIOTR</v>
      </c>
      <c r="D112" s="73">
        <v>217</v>
      </c>
      <c r="E112" s="4" t="str">
        <f>VLOOKUP(D112,'lista 1'!$A$2:$F$1802,5,0)</f>
        <v>TL2</v>
      </c>
      <c r="F112" s="59" t="str">
        <f>VLOOKUP(G112,'lista obszary'!A:B,2,0)</f>
        <v>EC60</v>
      </c>
      <c r="G112" s="76" t="s">
        <v>844</v>
      </c>
      <c r="H112" s="85" t="s">
        <v>1903</v>
      </c>
      <c r="I112" s="59" t="str">
        <f>VLOOKUP(J112,'lista obszary'!A:B,2,0)</f>
        <v>EC60</v>
      </c>
      <c r="J112" s="78" t="s">
        <v>1969</v>
      </c>
      <c r="K112" s="87" t="s">
        <v>1887</v>
      </c>
      <c r="L112" s="82" t="s">
        <v>2442</v>
      </c>
      <c r="M112" s="23"/>
      <c r="N112" s="23"/>
      <c r="O112" s="23"/>
      <c r="P112" s="19" t="s">
        <v>175</v>
      </c>
      <c r="Q112" s="26"/>
      <c r="R112" s="26"/>
      <c r="S112" s="47"/>
      <c r="T112" s="4"/>
      <c r="U112" s="20">
        <f t="shared" si="1"/>
        <v>43542</v>
      </c>
      <c r="V112" s="47"/>
      <c r="W112" s="43"/>
      <c r="X112" s="66" t="e">
        <f>VLOOKUP(D112,#REF!,2,0)</f>
        <v>#REF!</v>
      </c>
      <c r="Y112" s="67" t="s">
        <v>2643</v>
      </c>
      <c r="Z112" s="67"/>
    </row>
    <row r="113" spans="1:26" ht="13.65" customHeight="1">
      <c r="A113" s="91">
        <v>112</v>
      </c>
      <c r="B113" s="19"/>
      <c r="C113" s="3" t="str">
        <f>VLOOKUP(D113,'lista 1'!$A$2:$F3631,4,0)</f>
        <v>CHRYSZCZANOWICZ BOGDAN</v>
      </c>
      <c r="D113" s="73">
        <v>1410</v>
      </c>
      <c r="E113" s="4" t="str">
        <f>VLOOKUP(D113,'lista 1'!$A$2:$F$1802,5,0)</f>
        <v>TM MNX2</v>
      </c>
      <c r="F113" s="59" t="str">
        <f>VLOOKUP(G113,'lista obszary'!A:B,2,0)</f>
        <v>CASTING</v>
      </c>
      <c r="G113" s="76" t="s">
        <v>2148</v>
      </c>
      <c r="H113" s="85" t="s">
        <v>2445</v>
      </c>
      <c r="I113" s="59" t="str">
        <f>VLOOKUP(J113,'lista obszary'!A:B,2,0)</f>
        <v>CASTING</v>
      </c>
      <c r="J113" s="78" t="s">
        <v>2150</v>
      </c>
      <c r="K113" s="87" t="s">
        <v>539</v>
      </c>
      <c r="L113" s="82" t="s">
        <v>2442</v>
      </c>
      <c r="M113" s="23"/>
      <c r="N113" s="23"/>
      <c r="O113" s="23"/>
      <c r="P113" s="19" t="s">
        <v>175</v>
      </c>
      <c r="Q113" s="26"/>
      <c r="R113" s="26"/>
      <c r="S113" s="47"/>
      <c r="T113" s="4"/>
      <c r="U113" s="20">
        <f t="shared" si="1"/>
        <v>43542</v>
      </c>
      <c r="V113" s="47"/>
      <c r="W113" s="43"/>
      <c r="X113" s="66" t="e">
        <f>VLOOKUP(D113,#REF!,2,0)</f>
        <v>#REF!</v>
      </c>
      <c r="Y113" s="67" t="s">
        <v>2643</v>
      </c>
      <c r="Z113" s="67"/>
    </row>
    <row r="114" spans="1:26" ht="13.65" customHeight="1">
      <c r="A114" s="91">
        <v>113</v>
      </c>
      <c r="B114" s="19"/>
      <c r="C114" s="3" t="str">
        <f>VLOOKUP(D114,'lista 1'!$A$2:$F3632,4,0)</f>
        <v>MAJKA BARTŁOMIEJ</v>
      </c>
      <c r="D114" s="73">
        <v>3013</v>
      </c>
      <c r="E114" s="4" t="str">
        <f>VLOOKUP(D114,'lista 1'!$A$2:$F$1802,5,0)</f>
        <v>TM MNX</v>
      </c>
      <c r="F114" s="59" t="str">
        <f>VLOOKUP(G114,'lista obszary'!A:B,2,0)</f>
        <v>CASTING</v>
      </c>
      <c r="G114" s="76" t="s">
        <v>2149</v>
      </c>
      <c r="H114" s="85" t="s">
        <v>2445</v>
      </c>
      <c r="I114" s="59" t="str">
        <f>VLOOKUP(J114,'lista obszary'!A:B,2,0)</f>
        <v>CASTING</v>
      </c>
      <c r="J114" s="78" t="s">
        <v>2148</v>
      </c>
      <c r="K114" s="87" t="s">
        <v>539</v>
      </c>
      <c r="L114" s="82" t="s">
        <v>2442</v>
      </c>
      <c r="M114" s="23"/>
      <c r="N114" s="23"/>
      <c r="O114" s="23"/>
      <c r="P114" s="19" t="s">
        <v>175</v>
      </c>
      <c r="Q114" s="26"/>
      <c r="R114" s="26"/>
      <c r="S114" s="47"/>
      <c r="T114" s="4"/>
      <c r="U114" s="20">
        <f t="shared" si="1"/>
        <v>43542</v>
      </c>
      <c r="V114" s="47"/>
      <c r="W114" s="43"/>
      <c r="X114" s="66" t="e">
        <f>VLOOKUP(D114,#REF!,2,0)</f>
        <v>#REF!</v>
      </c>
      <c r="Y114" s="67" t="b">
        <f>F114=I114</f>
        <v>1</v>
      </c>
      <c r="Z114" s="67"/>
    </row>
    <row r="115" spans="1:26" ht="13.65" customHeight="1">
      <c r="A115" s="91">
        <v>114</v>
      </c>
      <c r="B115" s="19"/>
      <c r="C115" s="3" t="str">
        <f>VLOOKUP(D115,'lista 1'!$A$2:$F3633,4,0)</f>
        <v>KRYGIER KRYSTIAN</v>
      </c>
      <c r="D115" s="73">
        <v>1112</v>
      </c>
      <c r="E115" s="4" t="str">
        <f>VLOOKUP(D115,'lista 1'!$A$2:$F$1802,5,0)</f>
        <v>TM2</v>
      </c>
      <c r="F115" s="59" t="str">
        <f>VLOOKUP(G115,'lista obszary'!A:B,2,0)</f>
        <v>FORGING</v>
      </c>
      <c r="G115" s="76" t="s">
        <v>845</v>
      </c>
      <c r="H115" s="85" t="s">
        <v>1379</v>
      </c>
      <c r="I115" s="59" t="str">
        <f>VLOOKUP(J115,'lista obszary'!A:B,2,0)</f>
        <v>HV</v>
      </c>
      <c r="J115" s="78" t="s">
        <v>2324</v>
      </c>
      <c r="K115" s="87" t="s">
        <v>2326</v>
      </c>
      <c r="L115" s="82" t="s">
        <v>2442</v>
      </c>
      <c r="M115" s="23"/>
      <c r="N115" s="23"/>
      <c r="O115" s="23"/>
      <c r="P115" s="19" t="s">
        <v>175</v>
      </c>
      <c r="Q115" s="26"/>
      <c r="R115" s="26"/>
      <c r="S115" s="47"/>
      <c r="T115" s="4"/>
      <c r="U115" s="20">
        <f t="shared" si="1"/>
        <v>43542</v>
      </c>
      <c r="V115" s="47"/>
      <c r="W115" s="43"/>
      <c r="X115" s="66" t="e">
        <f>VLOOKUP(D115,#REF!,2,0)</f>
        <v>#REF!</v>
      </c>
      <c r="Y115" s="67" t="s">
        <v>2644</v>
      </c>
      <c r="Z115" s="67"/>
    </row>
    <row r="116" spans="1:26" ht="13.65" customHeight="1">
      <c r="A116" s="91">
        <v>115</v>
      </c>
      <c r="B116" s="19"/>
      <c r="C116" s="3" t="str">
        <f>VLOOKUP(D116,'lista 1'!$A$2:$F3634,4,0)</f>
        <v>FORYŚ KATARZYNA</v>
      </c>
      <c r="D116" s="73">
        <v>2158</v>
      </c>
      <c r="E116" s="4" t="str">
        <f>VLOOKUP(D116,'lista 1'!$A$2:$F$1802,5,0)</f>
        <v>TM2</v>
      </c>
      <c r="F116" s="59" t="str">
        <f>VLOOKUP(G116,'lista obszary'!A:B,2,0)</f>
        <v>EC60</v>
      </c>
      <c r="G116" s="76" t="s">
        <v>1351</v>
      </c>
      <c r="H116" s="85" t="s">
        <v>1881</v>
      </c>
      <c r="I116" s="59" t="str">
        <f>VLOOKUP(J116,'lista obszary'!A:B,2,0)</f>
        <v>HV</v>
      </c>
      <c r="J116" s="78" t="s">
        <v>2319</v>
      </c>
      <c r="K116" s="87" t="s">
        <v>1555</v>
      </c>
      <c r="L116" s="82" t="s">
        <v>2442</v>
      </c>
      <c r="M116" s="23"/>
      <c r="N116" s="23"/>
      <c r="O116" s="23"/>
      <c r="P116" s="19" t="s">
        <v>175</v>
      </c>
      <c r="Q116" s="26"/>
      <c r="R116" s="26"/>
      <c r="S116" s="47"/>
      <c r="T116" s="4"/>
      <c r="U116" s="20">
        <f t="shared" si="1"/>
        <v>43542</v>
      </c>
      <c r="V116" s="47"/>
      <c r="W116" s="43"/>
      <c r="X116" s="66" t="e">
        <f>VLOOKUP(D116,#REF!,2,0)</f>
        <v>#REF!</v>
      </c>
      <c r="Y116" s="67" t="b">
        <f>F116=I116</f>
        <v>0</v>
      </c>
      <c r="Z116" s="67"/>
    </row>
    <row r="117" spans="1:26" ht="13.65" customHeight="1">
      <c r="A117" s="91">
        <v>116</v>
      </c>
      <c r="B117" s="19"/>
      <c r="C117" s="3" t="str">
        <f>VLOOKUP(D117,'lista 1'!$A$2:$F3635,4,0)</f>
        <v>DĄBROWSKA KATARZYNA</v>
      </c>
      <c r="D117" s="73">
        <v>675</v>
      </c>
      <c r="E117" s="4" t="str">
        <f>VLOOKUP(D117,'lista 1'!$A$2:$F$1802,5,0)</f>
        <v>TM2</v>
      </c>
      <c r="F117" s="59" t="str">
        <f>VLOOKUP(G117,'lista obszary'!A:B,2,0)</f>
        <v>IL</v>
      </c>
      <c r="G117" s="76" t="s">
        <v>507</v>
      </c>
      <c r="H117" s="85" t="s">
        <v>1562</v>
      </c>
      <c r="I117" s="59" t="str">
        <f>VLOOKUP(J117,'lista obszary'!A:B,2,0)</f>
        <v>IL</v>
      </c>
      <c r="J117" s="78" t="s">
        <v>2402</v>
      </c>
      <c r="K117" s="87" t="s">
        <v>1910</v>
      </c>
      <c r="L117" s="82" t="s">
        <v>2447</v>
      </c>
      <c r="M117" s="23"/>
      <c r="N117" s="23"/>
      <c r="O117" s="23"/>
      <c r="P117" s="19" t="s">
        <v>175</v>
      </c>
      <c r="Q117" s="26"/>
      <c r="R117" s="26"/>
      <c r="S117" s="47"/>
      <c r="T117" s="4"/>
      <c r="U117" s="20">
        <f t="shared" si="1"/>
        <v>43549</v>
      </c>
      <c r="V117" s="47"/>
      <c r="W117" s="43"/>
      <c r="X117" s="66" t="e">
        <f>VLOOKUP(D117,#REF!,2,0)</f>
        <v>#REF!</v>
      </c>
      <c r="Y117" s="67" t="s">
        <v>2643</v>
      </c>
      <c r="Z117" s="67"/>
    </row>
    <row r="118" spans="1:26" ht="13.65" customHeight="1">
      <c r="A118" s="91">
        <v>117</v>
      </c>
      <c r="B118" s="19"/>
      <c r="C118" s="3" t="str">
        <f>VLOOKUP(D118,'lista 1'!$A$2:$F3636,4,0)</f>
        <v>GOLEŃ JERZY</v>
      </c>
      <c r="D118" s="73">
        <v>2482</v>
      </c>
      <c r="E118" s="4" t="str">
        <f>VLOOKUP(D118,'lista 1'!$A$2:$F$1802,5,0)</f>
        <v>TM2</v>
      </c>
      <c r="F118" s="59" t="str">
        <f>VLOOKUP(G118,'lista obszary'!A:B,2,0)</f>
        <v>IL</v>
      </c>
      <c r="G118" s="76" t="s">
        <v>234</v>
      </c>
      <c r="H118" s="85" t="s">
        <v>1560</v>
      </c>
      <c r="I118" s="59" t="str">
        <f>VLOOKUP(J118,'lista obszary'!A:B,2,0)</f>
        <v>IL</v>
      </c>
      <c r="J118" s="78" t="s">
        <v>2402</v>
      </c>
      <c r="K118" s="87" t="s">
        <v>1910</v>
      </c>
      <c r="L118" s="82" t="s">
        <v>2447</v>
      </c>
      <c r="M118" s="23"/>
      <c r="N118" s="23"/>
      <c r="O118" s="23"/>
      <c r="P118" s="19" t="s">
        <v>175</v>
      </c>
      <c r="Q118" s="26"/>
      <c r="R118" s="26"/>
      <c r="S118" s="47"/>
      <c r="T118" s="4"/>
      <c r="U118" s="20">
        <f t="shared" si="1"/>
        <v>43549</v>
      </c>
      <c r="V118" s="47"/>
      <c r="W118" s="43"/>
      <c r="X118" s="66" t="e">
        <f>VLOOKUP(D118,#REF!,2,0)</f>
        <v>#REF!</v>
      </c>
      <c r="Y118" s="67" t="s">
        <v>2643</v>
      </c>
      <c r="Z118" s="67"/>
    </row>
    <row r="119" spans="1:26" ht="13.65" customHeight="1">
      <c r="A119" s="91">
        <v>118</v>
      </c>
      <c r="B119" s="19"/>
      <c r="C119" s="3" t="str">
        <f>VLOOKUP(D119,'lista 1'!$A$2:$F3637,4,0)</f>
        <v>SMĘTKOWSKI SŁAWOMIR</v>
      </c>
      <c r="D119" s="73">
        <v>1359</v>
      </c>
      <c r="E119" s="4" t="str">
        <f>VLOOKUP(D119,'lista 1'!$A$2:$F$1802,5,0)</f>
        <v>TM2</v>
      </c>
      <c r="F119" s="59" t="str">
        <f>VLOOKUP(G119,'lista obszary'!A:B,2,0)</f>
        <v>IL</v>
      </c>
      <c r="G119" s="76" t="s">
        <v>881</v>
      </c>
      <c r="H119" s="85" t="s">
        <v>1561</v>
      </c>
      <c r="I119" s="59" t="str">
        <f>VLOOKUP(J119,'lista obszary'!A:B,2,0)</f>
        <v>IL</v>
      </c>
      <c r="J119" s="78" t="s">
        <v>1039</v>
      </c>
      <c r="K119" s="87" t="s">
        <v>1561</v>
      </c>
      <c r="L119" s="82" t="s">
        <v>2447</v>
      </c>
      <c r="M119" s="23"/>
      <c r="N119" s="23"/>
      <c r="O119" s="23"/>
      <c r="P119" s="19" t="s">
        <v>175</v>
      </c>
      <c r="Q119" s="26"/>
      <c r="R119" s="26"/>
      <c r="S119" s="47"/>
      <c r="T119" s="4"/>
      <c r="U119" s="20">
        <f t="shared" si="1"/>
        <v>43549</v>
      </c>
      <c r="V119" s="47"/>
      <c r="W119" s="43"/>
      <c r="X119" s="66" t="e">
        <f>VLOOKUP(D119,#REF!,2,0)</f>
        <v>#REF!</v>
      </c>
      <c r="Y119" s="67" t="b">
        <f>F119=I119</f>
        <v>1</v>
      </c>
      <c r="Z119" s="67"/>
    </row>
    <row r="120" spans="1:26" ht="13.65" customHeight="1">
      <c r="A120" s="91">
        <v>119</v>
      </c>
      <c r="B120" s="19"/>
      <c r="C120" s="3" t="e">
        <f>VLOOKUP(D120,'lista 1'!$A$2:$F3638,4,0)</f>
        <v>#N/A</v>
      </c>
      <c r="D120" s="73">
        <v>64390</v>
      </c>
      <c r="E120" s="4" t="s">
        <v>643</v>
      </c>
      <c r="F120" s="59" t="str">
        <f>VLOOKUP(G120,'lista obszary'!A:B,2,0)</f>
        <v>CASTING</v>
      </c>
      <c r="G120" s="76" t="s">
        <v>605</v>
      </c>
      <c r="H120" s="85" t="s">
        <v>1920</v>
      </c>
      <c r="I120" s="59" t="str">
        <f>VLOOKUP(J120,'lista obszary'!A:B,2,0)</f>
        <v>CASTING</v>
      </c>
      <c r="J120" s="78" t="s">
        <v>683</v>
      </c>
      <c r="K120" s="87" t="s">
        <v>1900</v>
      </c>
      <c r="L120" s="82" t="s">
        <v>2447</v>
      </c>
      <c r="M120" s="23"/>
      <c r="N120" s="23"/>
      <c r="O120" s="23"/>
      <c r="P120" s="19" t="s">
        <v>175</v>
      </c>
      <c r="Q120" s="26"/>
      <c r="R120" s="26"/>
      <c r="S120" s="47"/>
      <c r="T120" s="4"/>
      <c r="U120" s="20">
        <f t="shared" si="1"/>
        <v>43549</v>
      </c>
      <c r="V120" s="47"/>
      <c r="W120" s="43"/>
      <c r="X120" s="66" t="e">
        <f>VLOOKUP(D120,#REF!,2,0)</f>
        <v>#REF!</v>
      </c>
      <c r="Y120" s="67" t="s">
        <v>2643</v>
      </c>
      <c r="Z120" s="67"/>
    </row>
    <row r="121" spans="1:26" ht="13.65" customHeight="1">
      <c r="A121" s="91">
        <v>120</v>
      </c>
      <c r="B121" s="19"/>
      <c r="C121" s="3" t="e">
        <f>VLOOKUP(D121,'lista 1'!$A$2:$F3639,4,0)</f>
        <v>#N/A</v>
      </c>
      <c r="D121" s="73">
        <v>70486</v>
      </c>
      <c r="E121" s="4" t="s">
        <v>643</v>
      </c>
      <c r="F121" s="59" t="str">
        <f>VLOOKUP(G121,'lista obszary'!A:B,2,0)</f>
        <v>CASTING</v>
      </c>
      <c r="G121" s="76" t="s">
        <v>605</v>
      </c>
      <c r="H121" s="85" t="s">
        <v>1920</v>
      </c>
      <c r="I121" s="59" t="str">
        <f>VLOOKUP(J121,'lista obszary'!A:B,2,0)</f>
        <v>CASTING</v>
      </c>
      <c r="J121" s="78" t="s">
        <v>684</v>
      </c>
      <c r="K121" s="87" t="s">
        <v>541</v>
      </c>
      <c r="L121" s="82" t="s">
        <v>2447</v>
      </c>
      <c r="M121" s="23"/>
      <c r="N121" s="23"/>
      <c r="O121" s="23"/>
      <c r="P121" s="19" t="s">
        <v>175</v>
      </c>
      <c r="Q121" s="26"/>
      <c r="R121" s="26"/>
      <c r="S121" s="47"/>
      <c r="T121" s="4"/>
      <c r="U121" s="20">
        <f t="shared" si="1"/>
        <v>43549</v>
      </c>
      <c r="V121" s="47"/>
      <c r="W121" s="43"/>
      <c r="X121" s="66" t="e">
        <f>VLOOKUP(D121,#REF!,2,0)</f>
        <v>#REF!</v>
      </c>
      <c r="Y121" s="67" t="s">
        <v>2643</v>
      </c>
      <c r="Z121" s="67"/>
    </row>
    <row r="122" spans="1:26" ht="13.65" customHeight="1">
      <c r="A122" s="91">
        <v>121</v>
      </c>
      <c r="B122" s="19"/>
      <c r="C122" s="3" t="e">
        <f>VLOOKUP(D122,'lista 1'!$A$2:$F3640,4,0)</f>
        <v>#N/A</v>
      </c>
      <c r="D122" s="73">
        <v>64359</v>
      </c>
      <c r="E122" s="4" t="e">
        <f>VLOOKUP(D122,'lista 1'!$A$2:$F$1802,5,0)</f>
        <v>#N/A</v>
      </c>
      <c r="F122" s="59" t="str">
        <f>VLOOKUP(G122,'lista obszary'!A:B,2,0)</f>
        <v>CASTING</v>
      </c>
      <c r="G122" s="76" t="s">
        <v>683</v>
      </c>
      <c r="H122" s="85" t="s">
        <v>1900</v>
      </c>
      <c r="I122" s="59" t="str">
        <f>VLOOKUP(J122,'lista obszary'!A:B,2,0)</f>
        <v>CASTING</v>
      </c>
      <c r="J122" s="78" t="s">
        <v>685</v>
      </c>
      <c r="K122" s="87" t="s">
        <v>1559</v>
      </c>
      <c r="L122" s="82" t="s">
        <v>2447</v>
      </c>
      <c r="M122" s="23"/>
      <c r="N122" s="23"/>
      <c r="O122" s="23"/>
      <c r="P122" s="19" t="s">
        <v>175</v>
      </c>
      <c r="Q122" s="26"/>
      <c r="R122" s="26"/>
      <c r="S122" s="47"/>
      <c r="T122" s="4"/>
      <c r="U122" s="20">
        <f t="shared" si="1"/>
        <v>43549</v>
      </c>
      <c r="V122" s="47"/>
      <c r="W122" s="43"/>
      <c r="X122" s="66" t="e">
        <f>VLOOKUP(D122,#REF!,2,0)</f>
        <v>#REF!</v>
      </c>
      <c r="Y122" s="67" t="b">
        <f>F122=I122</f>
        <v>1</v>
      </c>
      <c r="Z122" s="67"/>
    </row>
    <row r="123" spans="1:26" ht="13.65" customHeight="1">
      <c r="A123" s="91">
        <v>122</v>
      </c>
      <c r="B123" s="19"/>
      <c r="C123" s="3" t="e">
        <f>VLOOKUP(D123,'lista 1'!$A$2:$F3641,4,0)</f>
        <v>#N/A</v>
      </c>
      <c r="D123" s="73">
        <v>70481</v>
      </c>
      <c r="E123" s="4" t="e">
        <f>VLOOKUP(D123,'lista 1'!$A$2:$F$1802,5,0)</f>
        <v>#N/A</v>
      </c>
      <c r="F123" s="59" t="str">
        <f>VLOOKUP(G123,'lista obszary'!A:B,2,0)</f>
        <v>CASTING</v>
      </c>
      <c r="G123" s="76" t="s">
        <v>605</v>
      </c>
      <c r="H123" s="85" t="s">
        <v>1920</v>
      </c>
      <c r="I123" s="59" t="str">
        <f>VLOOKUP(J123,'lista obszary'!A:B,2,0)</f>
        <v>CASTING</v>
      </c>
      <c r="J123" s="78" t="s">
        <v>685</v>
      </c>
      <c r="K123" s="87" t="s">
        <v>1559</v>
      </c>
      <c r="L123" s="82" t="s">
        <v>2447</v>
      </c>
      <c r="M123" s="23"/>
      <c r="N123" s="23"/>
      <c r="O123" s="23"/>
      <c r="P123" s="19" t="s">
        <v>175</v>
      </c>
      <c r="Q123" s="26"/>
      <c r="R123" s="26"/>
      <c r="S123" s="47"/>
      <c r="T123" s="4"/>
      <c r="U123" s="20">
        <f t="shared" si="1"/>
        <v>43549</v>
      </c>
      <c r="V123" s="47"/>
      <c r="W123" s="43"/>
      <c r="X123" s="66" t="e">
        <f>VLOOKUP(D123,#REF!,2,0)</f>
        <v>#REF!</v>
      </c>
      <c r="Y123" s="67" t="s">
        <v>2643</v>
      </c>
      <c r="Z123" s="67"/>
    </row>
    <row r="124" spans="1:26" ht="13.65" customHeight="1">
      <c r="A124" s="91">
        <v>123</v>
      </c>
      <c r="B124" s="19"/>
      <c r="C124" s="3" t="e">
        <f>VLOOKUP(D124,'lista 1'!$A$2:$F3642,4,0)</f>
        <v>#N/A</v>
      </c>
      <c r="D124" s="73">
        <v>64391</v>
      </c>
      <c r="E124" s="4" t="e">
        <f>VLOOKUP(D124,'lista 1'!$A$2:$F$1802,5,0)</f>
        <v>#N/A</v>
      </c>
      <c r="F124" s="59" t="str">
        <f>VLOOKUP(G124,'lista obszary'!A:B,2,0)</f>
        <v>CASTING</v>
      </c>
      <c r="G124" s="76" t="s">
        <v>605</v>
      </c>
      <c r="H124" s="85" t="s">
        <v>1920</v>
      </c>
      <c r="I124" s="59" t="str">
        <f>VLOOKUP(J124,'lista obszary'!A:B,2,0)</f>
        <v>CASTING</v>
      </c>
      <c r="J124" s="78" t="s">
        <v>684</v>
      </c>
      <c r="K124" s="87" t="s">
        <v>541</v>
      </c>
      <c r="L124" s="82" t="s">
        <v>2447</v>
      </c>
      <c r="M124" s="23"/>
      <c r="N124" s="23"/>
      <c r="O124" s="23"/>
      <c r="P124" s="19" t="s">
        <v>175</v>
      </c>
      <c r="Q124" s="26"/>
      <c r="R124" s="26"/>
      <c r="S124" s="47"/>
      <c r="T124" s="4"/>
      <c r="U124" s="20">
        <f t="shared" si="1"/>
        <v>43549</v>
      </c>
      <c r="V124" s="47"/>
      <c r="W124" s="43"/>
      <c r="X124" s="66" t="e">
        <f>VLOOKUP(D124,#REF!,2,0)</f>
        <v>#REF!</v>
      </c>
      <c r="Y124" s="67" t="s">
        <v>2643</v>
      </c>
      <c r="Z124" s="67"/>
    </row>
    <row r="125" spans="1:26" ht="13.65" customHeight="1">
      <c r="A125" s="91">
        <v>124</v>
      </c>
      <c r="B125" s="19"/>
      <c r="C125" s="3" t="e">
        <f>VLOOKUP(D125,'lista 1'!$A$2:$F3643,4,0)</f>
        <v>#N/A</v>
      </c>
      <c r="D125" s="73">
        <v>64402</v>
      </c>
      <c r="E125" s="4" t="e">
        <f>VLOOKUP(D125,'lista 1'!$A$2:$F$1802,5,0)</f>
        <v>#N/A</v>
      </c>
      <c r="F125" s="59" t="str">
        <f>VLOOKUP(G125,'lista obszary'!A:B,2,0)</f>
        <v>CASTING</v>
      </c>
      <c r="G125" s="76" t="s">
        <v>605</v>
      </c>
      <c r="H125" s="85" t="s">
        <v>1920</v>
      </c>
      <c r="I125" s="59" t="str">
        <f>VLOOKUP(J125,'lista obszary'!A:B,2,0)</f>
        <v>CASTING</v>
      </c>
      <c r="J125" s="78" t="s">
        <v>685</v>
      </c>
      <c r="K125" s="87" t="s">
        <v>1559</v>
      </c>
      <c r="L125" s="82" t="s">
        <v>2447</v>
      </c>
      <c r="M125" s="23"/>
      <c r="N125" s="23"/>
      <c r="O125" s="23"/>
      <c r="P125" s="19" t="s">
        <v>175</v>
      </c>
      <c r="Q125" s="26"/>
      <c r="R125" s="26"/>
      <c r="S125" s="47"/>
      <c r="T125" s="4"/>
      <c r="U125" s="20">
        <f t="shared" si="1"/>
        <v>43549</v>
      </c>
      <c r="V125" s="47"/>
      <c r="W125" s="43"/>
      <c r="X125" s="66" t="e">
        <f>VLOOKUP(D125,#REF!,2,0)</f>
        <v>#REF!</v>
      </c>
      <c r="Y125" s="67" t="s">
        <v>2643</v>
      </c>
      <c r="Z125" s="67"/>
    </row>
    <row r="126" spans="1:26" ht="13.65" customHeight="1">
      <c r="A126" s="91">
        <v>125</v>
      </c>
      <c r="B126" s="19"/>
      <c r="C126" s="3" t="e">
        <f>VLOOKUP(D126,'lista 1'!$A$2:$F3644,4,0)</f>
        <v>#N/A</v>
      </c>
      <c r="D126" s="73">
        <v>64401</v>
      </c>
      <c r="E126" s="4" t="e">
        <f>VLOOKUP(D126,'lista 1'!$A$2:$F$1802,5,0)</f>
        <v>#N/A</v>
      </c>
      <c r="F126" s="59" t="str">
        <f>VLOOKUP(G126,'lista obszary'!A:B,2,0)</f>
        <v>CASTING</v>
      </c>
      <c r="G126" s="76" t="s">
        <v>605</v>
      </c>
      <c r="H126" s="85" t="s">
        <v>1920</v>
      </c>
      <c r="I126" s="59" t="str">
        <f>VLOOKUP(J126,'lista obszary'!A:B,2,0)</f>
        <v>CASTING</v>
      </c>
      <c r="J126" s="78" t="s">
        <v>685</v>
      </c>
      <c r="K126" s="87" t="s">
        <v>1559</v>
      </c>
      <c r="L126" s="82" t="s">
        <v>2447</v>
      </c>
      <c r="M126" s="23"/>
      <c r="N126" s="23"/>
      <c r="O126" s="23"/>
      <c r="P126" s="19" t="s">
        <v>175</v>
      </c>
      <c r="Q126" s="26"/>
      <c r="R126" s="26"/>
      <c r="S126" s="47"/>
      <c r="T126" s="4"/>
      <c r="U126" s="20">
        <f t="shared" si="1"/>
        <v>43549</v>
      </c>
      <c r="V126" s="47"/>
      <c r="W126" s="43"/>
      <c r="X126" s="66" t="e">
        <f>VLOOKUP(D126,#REF!,2,0)</f>
        <v>#REF!</v>
      </c>
      <c r="Y126" s="67" t="s">
        <v>2643</v>
      </c>
      <c r="Z126" s="67"/>
    </row>
    <row r="127" spans="1:26" ht="13.65" customHeight="1">
      <c r="A127" s="91">
        <v>126</v>
      </c>
      <c r="B127" s="19"/>
      <c r="C127" s="3" t="str">
        <f>VLOOKUP(D127,'lista 1'!$A$2:$F3645,4,0)</f>
        <v>HURKOT PIOTR</v>
      </c>
      <c r="D127" s="73">
        <v>1302</v>
      </c>
      <c r="E127" s="4" t="str">
        <f>VLOOKUP(D127,'lista 1'!$A$2:$F$1802,5,0)</f>
        <v>TM2</v>
      </c>
      <c r="F127" s="59" t="str">
        <f>VLOOKUP(G127,'lista obszary'!A:B,2,0)</f>
        <v>CASTING</v>
      </c>
      <c r="G127" s="76" t="s">
        <v>685</v>
      </c>
      <c r="H127" s="85" t="s">
        <v>1559</v>
      </c>
      <c r="I127" s="59" t="str">
        <f>VLOOKUP(J127,'lista obszary'!A:B,2,0)</f>
        <v>CASTING</v>
      </c>
      <c r="J127" s="78" t="s">
        <v>684</v>
      </c>
      <c r="K127" s="87" t="s">
        <v>541</v>
      </c>
      <c r="L127" s="82" t="s">
        <v>2447</v>
      </c>
      <c r="M127" s="23"/>
      <c r="N127" s="23"/>
      <c r="O127" s="23"/>
      <c r="P127" s="19" t="s">
        <v>175</v>
      </c>
      <c r="Q127" s="26"/>
      <c r="R127" s="26"/>
      <c r="S127" s="47"/>
      <c r="T127" s="4"/>
      <c r="U127" s="20">
        <f t="shared" si="1"/>
        <v>43549</v>
      </c>
      <c r="V127" s="47"/>
      <c r="W127" s="43"/>
      <c r="X127" s="66" t="e">
        <f>VLOOKUP(D127,#REF!,2,0)</f>
        <v>#REF!</v>
      </c>
      <c r="Y127" s="67" t="b">
        <f>F127=I127</f>
        <v>1</v>
      </c>
      <c r="Z127" s="67"/>
    </row>
    <row r="128" spans="1:26" ht="13.65" customHeight="1">
      <c r="A128" s="91">
        <v>127</v>
      </c>
      <c r="B128" s="19"/>
      <c r="C128" s="3" t="str">
        <f>VLOOKUP(D128,'lista 1'!$A$2:$F3646,4,0)</f>
        <v>BĘDZIŃSKI MARIUSZ</v>
      </c>
      <c r="D128" s="73">
        <v>2196</v>
      </c>
      <c r="E128" s="4" t="str">
        <f>VLOOKUP(D128,'lista 1'!$A$2:$F$1802,5,0)</f>
        <v>TM2</v>
      </c>
      <c r="F128" s="59" t="str">
        <f>VLOOKUP(G128,'lista obszary'!A:B,2,0)</f>
        <v>CASTING</v>
      </c>
      <c r="G128" s="76" t="s">
        <v>685</v>
      </c>
      <c r="H128" s="85" t="s">
        <v>1559</v>
      </c>
      <c r="I128" s="59" t="str">
        <f>VLOOKUP(J128,'lista obszary'!A:B,2,0)</f>
        <v>CASTING</v>
      </c>
      <c r="J128" s="78" t="s">
        <v>684</v>
      </c>
      <c r="K128" s="87" t="s">
        <v>541</v>
      </c>
      <c r="L128" s="82" t="s">
        <v>2447</v>
      </c>
      <c r="M128" s="23"/>
      <c r="N128" s="23"/>
      <c r="O128" s="23"/>
      <c r="P128" s="19" t="s">
        <v>175</v>
      </c>
      <c r="Q128" s="26"/>
      <c r="R128" s="26"/>
      <c r="S128" s="47"/>
      <c r="T128" s="4"/>
      <c r="U128" s="20">
        <f t="shared" si="1"/>
        <v>43549</v>
      </c>
      <c r="V128" s="47"/>
      <c r="W128" s="43"/>
      <c r="X128" s="66" t="e">
        <f>VLOOKUP(D128,#REF!,2,0)</f>
        <v>#REF!</v>
      </c>
      <c r="Y128" s="67" t="b">
        <f>F128=I128</f>
        <v>1</v>
      </c>
      <c r="Z128" s="67"/>
    </row>
    <row r="129" spans="1:26" ht="13.65" customHeight="1">
      <c r="A129" s="91">
        <v>128</v>
      </c>
      <c r="B129" s="19"/>
      <c r="C129" s="3" t="e">
        <f>VLOOKUP(D129,'lista 1'!$A$2:$F3647,4,0)</f>
        <v>#N/A</v>
      </c>
      <c r="D129" s="73">
        <v>70433</v>
      </c>
      <c r="E129" s="4" t="e">
        <f>VLOOKUP(D129,'lista 1'!$A$2:$F$1802,5,0)</f>
        <v>#N/A</v>
      </c>
      <c r="F129" s="59" t="str">
        <f>VLOOKUP(G129,'lista obszary'!A:B,2,0)</f>
        <v>CASTING</v>
      </c>
      <c r="G129" s="76" t="s">
        <v>685</v>
      </c>
      <c r="H129" s="85" t="s">
        <v>1559</v>
      </c>
      <c r="I129" s="59" t="str">
        <f>VLOOKUP(J129,'lista obszary'!A:B,2,0)</f>
        <v>CASTING</v>
      </c>
      <c r="J129" s="78" t="s">
        <v>684</v>
      </c>
      <c r="K129" s="87" t="s">
        <v>541</v>
      </c>
      <c r="L129" s="82" t="s">
        <v>2447</v>
      </c>
      <c r="M129" s="23"/>
      <c r="N129" s="23"/>
      <c r="O129" s="23"/>
      <c r="P129" s="19" t="s">
        <v>175</v>
      </c>
      <c r="Q129" s="26"/>
      <c r="R129" s="26"/>
      <c r="S129" s="47"/>
      <c r="T129" s="4"/>
      <c r="U129" s="20">
        <f t="shared" si="1"/>
        <v>43549</v>
      </c>
      <c r="V129" s="47"/>
      <c r="W129" s="43"/>
      <c r="X129" s="66" t="e">
        <f>VLOOKUP(D129,#REF!,2,0)</f>
        <v>#REF!</v>
      </c>
      <c r="Y129" s="67" t="b">
        <f>F129=I129</f>
        <v>1</v>
      </c>
      <c r="Z129" s="67"/>
    </row>
    <row r="130" spans="1:26" ht="13.65" customHeight="1">
      <c r="A130" s="91">
        <v>129</v>
      </c>
      <c r="B130" s="19"/>
      <c r="C130" s="3" t="str">
        <f>VLOOKUP(D130,'lista 1'!$A$2:$F3648,4,0)</f>
        <v>KRYCH RAFAŁ</v>
      </c>
      <c r="D130" s="73">
        <v>1317</v>
      </c>
      <c r="E130" s="4" t="str">
        <f>VLOOKUP(D130,'lista 1'!$A$2:$F$1802,5,0)</f>
        <v>AC TL</v>
      </c>
      <c r="F130" s="59" t="str">
        <f>VLOOKUP(G130,'lista obszary'!A:B,2,0)</f>
        <v>CASTING</v>
      </c>
      <c r="G130" s="76" t="s">
        <v>685</v>
      </c>
      <c r="H130" s="85" t="s">
        <v>1559</v>
      </c>
      <c r="I130" s="59" t="str">
        <f>VLOOKUP(J130,'lista obszary'!A:B,2,0)</f>
        <v>CASTING</v>
      </c>
      <c r="J130" s="78" t="s">
        <v>684</v>
      </c>
      <c r="K130" s="87" t="s">
        <v>541</v>
      </c>
      <c r="L130" s="82" t="s">
        <v>2447</v>
      </c>
      <c r="M130" s="23"/>
      <c r="N130" s="23"/>
      <c r="O130" s="23"/>
      <c r="P130" s="19" t="s">
        <v>175</v>
      </c>
      <c r="Q130" s="26"/>
      <c r="R130" s="26"/>
      <c r="S130" s="47"/>
      <c r="T130" s="4"/>
      <c r="U130" s="20">
        <f t="shared" ref="U130:U193" si="3">L130-T130</f>
        <v>43549</v>
      </c>
      <c r="V130" s="47"/>
      <c r="W130" s="43"/>
      <c r="X130" s="66" t="e">
        <f>VLOOKUP(D130,#REF!,2,0)</f>
        <v>#REF!</v>
      </c>
      <c r="Y130" s="67" t="b">
        <f>F130=I130</f>
        <v>1</v>
      </c>
      <c r="Z130" s="67"/>
    </row>
    <row r="131" spans="1:26" ht="13.65" customHeight="1">
      <c r="A131" s="91">
        <v>130</v>
      </c>
      <c r="B131" s="19"/>
      <c r="C131" s="3" t="e">
        <f>VLOOKUP(D131,'lista 1'!$A$2:$F3649,4,0)</f>
        <v>#N/A</v>
      </c>
      <c r="D131" s="73">
        <v>64223</v>
      </c>
      <c r="E131" s="4" t="e">
        <f>VLOOKUP(D131,'lista 1'!$A$2:$F$1802,5,0)</f>
        <v>#N/A</v>
      </c>
      <c r="F131" s="59" t="str">
        <f>VLOOKUP(G131,'lista obszary'!A:B,2,0)</f>
        <v>CASTING</v>
      </c>
      <c r="G131" s="76" t="s">
        <v>683</v>
      </c>
      <c r="H131" s="85" t="s">
        <v>1900</v>
      </c>
      <c r="I131" s="59" t="str">
        <f>VLOOKUP(J131,'lista obszary'!A:B,2,0)</f>
        <v>CASTING</v>
      </c>
      <c r="J131" s="78" t="s">
        <v>684</v>
      </c>
      <c r="K131" s="87" t="s">
        <v>541</v>
      </c>
      <c r="L131" s="82" t="s">
        <v>2447</v>
      </c>
      <c r="M131" s="23"/>
      <c r="N131" s="23"/>
      <c r="O131" s="23"/>
      <c r="P131" s="19" t="s">
        <v>175</v>
      </c>
      <c r="Q131" s="26"/>
      <c r="R131" s="26"/>
      <c r="S131" s="47"/>
      <c r="T131" s="4"/>
      <c r="U131" s="20">
        <f t="shared" si="3"/>
        <v>43549</v>
      </c>
      <c r="V131" s="47"/>
      <c r="W131" s="43"/>
      <c r="X131" s="66" t="e">
        <f>VLOOKUP(D131,#REF!,2,0)</f>
        <v>#REF!</v>
      </c>
      <c r="Y131" s="67" t="s">
        <v>2643</v>
      </c>
      <c r="Z131" s="67"/>
    </row>
    <row r="132" spans="1:26" ht="13.65" customHeight="1">
      <c r="A132" s="91">
        <v>131</v>
      </c>
      <c r="B132" s="19"/>
      <c r="C132" s="3" t="str">
        <f>VLOOKUP(D132,'lista 1'!$A$2:$F3650,4,0)</f>
        <v>GORDZIEJEWSKA SYLWIA</v>
      </c>
      <c r="D132" s="73">
        <v>567</v>
      </c>
      <c r="E132" s="4" t="str">
        <f>VLOOKUP(D132,'lista 1'!$A$2:$F$1802,5,0)</f>
        <v>TL2</v>
      </c>
      <c r="F132" s="59" t="str">
        <f>VLOOKUP(G132,'lista obszary'!A:B,2,0)</f>
        <v>HV</v>
      </c>
      <c r="G132" s="76" t="s">
        <v>2319</v>
      </c>
      <c r="H132" s="85" t="s">
        <v>1555</v>
      </c>
      <c r="I132" s="59" t="str">
        <f>VLOOKUP(J132,'lista obszary'!A:B,2,0)</f>
        <v>HV PJT</v>
      </c>
      <c r="J132" s="78" t="s">
        <v>2377</v>
      </c>
      <c r="K132" s="87" t="s">
        <v>1395</v>
      </c>
      <c r="L132" s="82" t="s">
        <v>2447</v>
      </c>
      <c r="M132" s="23"/>
      <c r="N132" s="23"/>
      <c r="O132" s="23"/>
      <c r="P132" s="19" t="s">
        <v>175</v>
      </c>
      <c r="Q132" s="26"/>
      <c r="R132" s="26"/>
      <c r="S132" s="47"/>
      <c r="T132" s="4"/>
      <c r="U132" s="20">
        <f t="shared" si="3"/>
        <v>43549</v>
      </c>
      <c r="V132" s="47"/>
      <c r="W132" s="43"/>
      <c r="X132" s="66" t="e">
        <f>VLOOKUP(D132,#REF!,2,0)</f>
        <v>#REF!</v>
      </c>
      <c r="Y132" s="67" t="s">
        <v>2643</v>
      </c>
    </row>
    <row r="133" spans="1:26" ht="13.65" customHeight="1">
      <c r="A133" s="91">
        <v>132</v>
      </c>
      <c r="B133" s="19"/>
      <c r="C133" s="3" t="str">
        <f>VLOOKUP(D133,'lista 1'!$A$2:$F3651,4,0)</f>
        <v>GRABOWSKI ROBERT</v>
      </c>
      <c r="D133" s="73">
        <v>718</v>
      </c>
      <c r="E133" s="4" t="str">
        <f>VLOOKUP(D133,'lista 1'!$A$2:$F$1802,5,0)</f>
        <v>TL</v>
      </c>
      <c r="F133" s="59" t="str">
        <f>VLOOKUP(G133,'lista obszary'!A:B,2,0)</f>
        <v>HV</v>
      </c>
      <c r="G133" s="76" t="s">
        <v>2319</v>
      </c>
      <c r="H133" s="85" t="s">
        <v>340</v>
      </c>
      <c r="I133" s="59" t="str">
        <f>VLOOKUP(J133,'lista obszary'!A:B,2,0)</f>
        <v>HV PJT</v>
      </c>
      <c r="J133" s="78" t="s">
        <v>2337</v>
      </c>
      <c r="K133" s="87" t="s">
        <v>2157</v>
      </c>
      <c r="L133" s="82" t="s">
        <v>2447</v>
      </c>
      <c r="M133" s="23"/>
      <c r="N133" s="23"/>
      <c r="O133" s="23"/>
      <c r="P133" s="19" t="s">
        <v>175</v>
      </c>
      <c r="Q133" s="26"/>
      <c r="R133" s="26"/>
      <c r="S133" s="47"/>
      <c r="T133" s="4"/>
      <c r="U133" s="20">
        <f t="shared" si="3"/>
        <v>43549</v>
      </c>
      <c r="V133" s="47"/>
      <c r="W133" s="43"/>
      <c r="X133" s="66" t="e">
        <f>VLOOKUP(D133,#REF!,2,0)</f>
        <v>#REF!</v>
      </c>
      <c r="Y133" s="67" t="s">
        <v>2643</v>
      </c>
      <c r="Z133" s="67" t="s">
        <v>1629</v>
      </c>
    </row>
    <row r="134" spans="1:26" ht="13.65" customHeight="1">
      <c r="A134" s="91">
        <v>133</v>
      </c>
      <c r="B134" s="19"/>
      <c r="C134" s="3" t="str">
        <f>VLOOKUP(D134,'lista 1'!$A$2:$F3652,4,0)</f>
        <v>KOLASIŃSKI PAWEŁ</v>
      </c>
      <c r="D134" s="73">
        <v>731</v>
      </c>
      <c r="E134" s="4" t="str">
        <f>VLOOKUP(D134,'lista 1'!$A$2:$F$1802,5,0)</f>
        <v>AC GRL</v>
      </c>
      <c r="F134" s="59" t="str">
        <f>VLOOKUP(G134,'lista obszary'!A:B,2,0)</f>
        <v>HV</v>
      </c>
      <c r="G134" s="76" t="s">
        <v>2319</v>
      </c>
      <c r="H134" s="85" t="s">
        <v>528</v>
      </c>
      <c r="I134" s="59" t="str">
        <f>VLOOKUP(J134,'lista obszary'!A:B,2,0)</f>
        <v>HV PJT</v>
      </c>
      <c r="J134" s="78" t="s">
        <v>2378</v>
      </c>
      <c r="K134" s="87" t="s">
        <v>544</v>
      </c>
      <c r="L134" s="82" t="s">
        <v>2447</v>
      </c>
      <c r="M134" s="23"/>
      <c r="N134" s="23"/>
      <c r="O134" s="23"/>
      <c r="P134" s="19" t="s">
        <v>175</v>
      </c>
      <c r="Q134" s="26"/>
      <c r="R134" s="26"/>
      <c r="S134" s="47"/>
      <c r="T134" s="4"/>
      <c r="U134" s="20">
        <f t="shared" si="3"/>
        <v>43549</v>
      </c>
      <c r="V134" s="47"/>
      <c r="W134" s="43"/>
      <c r="X134" s="66" t="e">
        <f>VLOOKUP(D134,#REF!,2,0)</f>
        <v>#REF!</v>
      </c>
      <c r="Y134" s="67" t="b">
        <f>F134=I134</f>
        <v>0</v>
      </c>
    </row>
    <row r="135" spans="1:26" ht="13.65" customHeight="1">
      <c r="A135" s="91">
        <v>134</v>
      </c>
      <c r="B135" s="19"/>
      <c r="C135" s="3" t="str">
        <f>VLOOKUP(D135,'lista 1'!$A$2:$F3653,4,0)</f>
        <v>LUBORAK SŁAWOMIR</v>
      </c>
      <c r="D135" s="73">
        <v>110</v>
      </c>
      <c r="E135" s="4" t="str">
        <f>VLOOKUP(D135,'lista 1'!$A$2:$F$1802,5,0)</f>
        <v>GRL2</v>
      </c>
      <c r="F135" s="59" t="str">
        <f>VLOOKUP(G135,'lista obszary'!A:B,2,0)</f>
        <v>HV</v>
      </c>
      <c r="G135" s="76" t="s">
        <v>2323</v>
      </c>
      <c r="H135" s="85" t="s">
        <v>1901</v>
      </c>
      <c r="I135" s="59" t="str">
        <f>VLOOKUP(J135,'lista obszary'!A:B,2,0)</f>
        <v>HV</v>
      </c>
      <c r="J135" s="78" t="s">
        <v>2448</v>
      </c>
      <c r="K135" s="87" t="s">
        <v>2470</v>
      </c>
      <c r="L135" s="82" t="s">
        <v>2447</v>
      </c>
      <c r="M135" s="23"/>
      <c r="N135" s="23"/>
      <c r="O135" s="23"/>
      <c r="P135" s="19" t="s">
        <v>175</v>
      </c>
      <c r="Q135" s="26"/>
      <c r="R135" s="26"/>
      <c r="S135" s="47"/>
      <c r="T135" s="4"/>
      <c r="U135" s="20">
        <f t="shared" si="3"/>
        <v>43549</v>
      </c>
      <c r="V135" s="47"/>
      <c r="W135" s="43"/>
      <c r="X135" s="66" t="e">
        <f>VLOOKUP(D135,#REF!,2,0)</f>
        <v>#REF!</v>
      </c>
      <c r="Y135" s="67" t="s">
        <v>2643</v>
      </c>
      <c r="Z135" s="67"/>
    </row>
    <row r="136" spans="1:26" ht="13.65" customHeight="1">
      <c r="A136" s="91">
        <v>135</v>
      </c>
      <c r="B136" s="19"/>
      <c r="C136" s="3" t="str">
        <f>VLOOKUP(D136,'lista 1'!$A$2:$F3654,4,0)</f>
        <v>POPIOŁEK ŁUKASZ</v>
      </c>
      <c r="D136" s="73">
        <v>1212</v>
      </c>
      <c r="E136" s="4" t="str">
        <f>VLOOKUP(D136,'lista 1'!$A$2:$F$1802,5,0)</f>
        <v>TL2</v>
      </c>
      <c r="F136" s="59" t="str">
        <f>VLOOKUP(G136,'lista obszary'!A:B,2,0)</f>
        <v>HV</v>
      </c>
      <c r="G136" s="76" t="s">
        <v>2323</v>
      </c>
      <c r="H136" s="85" t="s">
        <v>1555</v>
      </c>
      <c r="I136" s="59" t="str">
        <f>VLOOKUP(J136,'lista obszary'!A:B,2,0)</f>
        <v>HV</v>
      </c>
      <c r="J136" s="78" t="s">
        <v>2448</v>
      </c>
      <c r="K136" s="87" t="s">
        <v>1555</v>
      </c>
      <c r="L136" s="82" t="s">
        <v>2447</v>
      </c>
      <c r="M136" s="23"/>
      <c r="N136" s="23"/>
      <c r="O136" s="23"/>
      <c r="P136" s="19" t="s">
        <v>175</v>
      </c>
      <c r="Q136" s="26"/>
      <c r="R136" s="26"/>
      <c r="S136" s="47"/>
      <c r="T136" s="4"/>
      <c r="U136" s="20">
        <f t="shared" si="3"/>
        <v>43549</v>
      </c>
      <c r="V136" s="47"/>
      <c r="W136" s="43"/>
      <c r="X136" s="66" t="e">
        <f>VLOOKUP(D136,#REF!,2,0)</f>
        <v>#REF!</v>
      </c>
      <c r="Y136" s="67" t="s">
        <v>2643</v>
      </c>
      <c r="Z136" s="67"/>
    </row>
    <row r="137" spans="1:26" ht="13.65" customHeight="1">
      <c r="A137" s="91">
        <v>136</v>
      </c>
      <c r="B137" s="19"/>
      <c r="C137" s="3" t="str">
        <f>VLOOKUP(D137,'lista 1'!$A$2:$F3655,4,0)</f>
        <v>BUCZKOWSKI JANUSZ</v>
      </c>
      <c r="D137" s="73">
        <v>823</v>
      </c>
      <c r="E137" s="4" t="str">
        <f>VLOOKUP(D137,'lista 1'!$A$2:$F$1802,5,0)</f>
        <v>TL2</v>
      </c>
      <c r="F137" s="59" t="str">
        <f>VLOOKUP(G137,'lista obszary'!A:B,2,0)</f>
        <v>HV</v>
      </c>
      <c r="G137" s="76" t="s">
        <v>2323</v>
      </c>
      <c r="H137" s="85" t="s">
        <v>1555</v>
      </c>
      <c r="I137" s="59" t="str">
        <f>VLOOKUP(J137,'lista obszary'!A:B,2,0)</f>
        <v>HV</v>
      </c>
      <c r="J137" s="78" t="s">
        <v>2448</v>
      </c>
      <c r="K137" s="87" t="s">
        <v>1555</v>
      </c>
      <c r="L137" s="82" t="s">
        <v>2447</v>
      </c>
      <c r="M137" s="23"/>
      <c r="N137" s="23"/>
      <c r="O137" s="23"/>
      <c r="P137" s="19" t="s">
        <v>175</v>
      </c>
      <c r="Q137" s="26"/>
      <c r="R137" s="26"/>
      <c r="S137" s="47"/>
      <c r="T137" s="4"/>
      <c r="U137" s="20">
        <f t="shared" si="3"/>
        <v>43549</v>
      </c>
      <c r="V137" s="47"/>
      <c r="W137" s="43"/>
      <c r="X137" s="66" t="e">
        <f>VLOOKUP(D137,#REF!,2,0)</f>
        <v>#REF!</v>
      </c>
      <c r="Y137" s="67" t="s">
        <v>2643</v>
      </c>
      <c r="Z137" s="67"/>
    </row>
    <row r="138" spans="1:26" ht="13.65" customHeight="1">
      <c r="A138" s="91">
        <v>137</v>
      </c>
      <c r="B138" s="19"/>
      <c r="C138" s="3" t="str">
        <f>VLOOKUP(D138,'lista 1'!$A$2:$F3656,4,0)</f>
        <v>ADAMASZEK MARIUSZ</v>
      </c>
      <c r="D138" s="73">
        <v>700</v>
      </c>
      <c r="E138" s="4" t="str">
        <f>VLOOKUP(D138,'lista 1'!$A$2:$F$1802,5,0)</f>
        <v>TL</v>
      </c>
      <c r="F138" s="59" t="str">
        <f>VLOOKUP(G138,'lista obszary'!A:B,2,0)</f>
        <v>HV</v>
      </c>
      <c r="G138" s="76" t="s">
        <v>2323</v>
      </c>
      <c r="H138" s="85" t="s">
        <v>1555</v>
      </c>
      <c r="I138" s="59" t="str">
        <f>VLOOKUP(J138,'lista obszary'!A:B,2,0)</f>
        <v>HV</v>
      </c>
      <c r="J138" s="78" t="s">
        <v>2448</v>
      </c>
      <c r="K138" s="87" t="s">
        <v>1555</v>
      </c>
      <c r="L138" s="82" t="s">
        <v>2447</v>
      </c>
      <c r="M138" s="23"/>
      <c r="N138" s="23"/>
      <c r="O138" s="23"/>
      <c r="P138" s="19" t="s">
        <v>175</v>
      </c>
      <c r="Q138" s="26"/>
      <c r="R138" s="26"/>
      <c r="S138" s="47"/>
      <c r="T138" s="4"/>
      <c r="U138" s="20">
        <f t="shared" si="3"/>
        <v>43549</v>
      </c>
      <c r="V138" s="47"/>
      <c r="W138" s="43"/>
      <c r="X138" s="66" t="e">
        <f>VLOOKUP(D138,#REF!,2,0)</f>
        <v>#REF!</v>
      </c>
      <c r="Y138" s="67" t="b">
        <f>F138=I138</f>
        <v>1</v>
      </c>
    </row>
    <row r="139" spans="1:26" ht="13.65" customHeight="1">
      <c r="A139" s="91">
        <v>138</v>
      </c>
      <c r="B139" s="19"/>
      <c r="C139" s="3" t="str">
        <f>VLOOKUP(D139,'lista 1'!$A$2:$F3657,4,0)</f>
        <v>MIKA ŁUKASZ</v>
      </c>
      <c r="D139" s="73">
        <v>245</v>
      </c>
      <c r="E139" s="4" t="str">
        <f>VLOOKUP(D139,'lista 1'!$A$2:$F$1802,5,0)</f>
        <v>TM2</v>
      </c>
      <c r="F139" s="59" t="str">
        <f>VLOOKUP(G139,'lista obszary'!A:B,2,0)</f>
        <v>HV</v>
      </c>
      <c r="G139" s="76" t="s">
        <v>2323</v>
      </c>
      <c r="H139" s="85" t="s">
        <v>1555</v>
      </c>
      <c r="I139" s="59" t="str">
        <f>VLOOKUP(J139,'lista obszary'!A:B,2,0)</f>
        <v>HV</v>
      </c>
      <c r="J139" s="78" t="s">
        <v>2448</v>
      </c>
      <c r="K139" s="87" t="s">
        <v>1555</v>
      </c>
      <c r="L139" s="82" t="s">
        <v>2447</v>
      </c>
      <c r="M139" s="23"/>
      <c r="N139" s="23"/>
      <c r="O139" s="23"/>
      <c r="P139" s="19" t="s">
        <v>175</v>
      </c>
      <c r="Q139" s="26"/>
      <c r="R139" s="26"/>
      <c r="S139" s="47"/>
      <c r="T139" s="4"/>
      <c r="U139" s="20">
        <f t="shared" si="3"/>
        <v>43549</v>
      </c>
      <c r="V139" s="47"/>
      <c r="W139" s="43"/>
      <c r="X139" s="66" t="e">
        <f>VLOOKUP(D139,#REF!,2,0)</f>
        <v>#REF!</v>
      </c>
      <c r="Y139" s="67" t="s">
        <v>2643</v>
      </c>
      <c r="Z139" s="67"/>
    </row>
    <row r="140" spans="1:26" ht="13.65" customHeight="1">
      <c r="A140" s="91">
        <v>139</v>
      </c>
      <c r="B140" s="19"/>
      <c r="C140" s="3" t="str">
        <f>VLOOKUP(D140,'lista 1'!$A$2:$F3658,4,0)</f>
        <v>KORALEWSKA AGNIESZKA</v>
      </c>
      <c r="D140" s="73">
        <v>1177</v>
      </c>
      <c r="E140" s="4" t="str">
        <f>VLOOKUP(D140,'lista 1'!$A$2:$F$1802,5,0)</f>
        <v>TM</v>
      </c>
      <c r="F140" s="59" t="str">
        <f>VLOOKUP(G140,'lista obszary'!A:B,2,0)</f>
        <v>HV</v>
      </c>
      <c r="G140" s="76" t="s">
        <v>2323</v>
      </c>
      <c r="H140" s="85" t="s">
        <v>1555</v>
      </c>
      <c r="I140" s="59" t="str">
        <f>VLOOKUP(J140,'lista obszary'!A:B,2,0)</f>
        <v>HV</v>
      </c>
      <c r="J140" s="78" t="s">
        <v>2448</v>
      </c>
      <c r="K140" s="87" t="s">
        <v>1555</v>
      </c>
      <c r="L140" s="82" t="s">
        <v>2447</v>
      </c>
      <c r="M140" s="23"/>
      <c r="N140" s="23"/>
      <c r="O140" s="23"/>
      <c r="P140" s="19" t="s">
        <v>175</v>
      </c>
      <c r="Q140" s="26"/>
      <c r="R140" s="26"/>
      <c r="S140" s="47"/>
      <c r="T140" s="4"/>
      <c r="U140" s="20">
        <f t="shared" si="3"/>
        <v>43549</v>
      </c>
      <c r="V140" s="47"/>
      <c r="W140" s="43"/>
      <c r="X140" s="66" t="e">
        <f>VLOOKUP(D140,#REF!,2,0)</f>
        <v>#REF!</v>
      </c>
      <c r="Y140" s="67" t="s">
        <v>2643</v>
      </c>
      <c r="Z140" s="67"/>
    </row>
    <row r="141" spans="1:26" ht="13.65" customHeight="1">
      <c r="A141" s="91">
        <v>140</v>
      </c>
      <c r="B141" s="19"/>
      <c r="C141" s="3" t="str">
        <f>VLOOKUP(D141,'lista 1'!$A$2:$F3659,4,0)</f>
        <v>KŁOS ADAM</v>
      </c>
      <c r="D141" s="73">
        <v>1647</v>
      </c>
      <c r="E141" s="4" t="str">
        <f>VLOOKUP(D141,'lista 1'!$A$2:$F$1802,5,0)</f>
        <v>AC TL</v>
      </c>
      <c r="F141" s="59" t="str">
        <f>VLOOKUP(G141,'lista obszary'!A:B,2,0)</f>
        <v>HV</v>
      </c>
      <c r="G141" s="76" t="s">
        <v>2323</v>
      </c>
      <c r="H141" s="85" t="s">
        <v>1555</v>
      </c>
      <c r="I141" s="59" t="str">
        <f>VLOOKUP(J141,'lista obszary'!A:B,2,0)</f>
        <v>HV</v>
      </c>
      <c r="J141" s="78" t="s">
        <v>2448</v>
      </c>
      <c r="K141" s="87" t="s">
        <v>1555</v>
      </c>
      <c r="L141" s="82" t="s">
        <v>2447</v>
      </c>
      <c r="M141" s="23"/>
      <c r="N141" s="23"/>
      <c r="O141" s="23"/>
      <c r="P141" s="19" t="s">
        <v>175</v>
      </c>
      <c r="Q141" s="26"/>
      <c r="R141" s="26"/>
      <c r="S141" s="47"/>
      <c r="T141" s="4"/>
      <c r="U141" s="20">
        <f t="shared" si="3"/>
        <v>43549</v>
      </c>
      <c r="V141" s="47"/>
      <c r="W141" s="43"/>
      <c r="X141" s="66" t="e">
        <f>VLOOKUP(D141,#REF!,2,0)</f>
        <v>#REF!</v>
      </c>
      <c r="Y141" s="67" t="s">
        <v>2643</v>
      </c>
      <c r="Z141" s="67"/>
    </row>
    <row r="142" spans="1:26" ht="13.65" customHeight="1">
      <c r="A142" s="91">
        <v>141</v>
      </c>
      <c r="B142" s="19"/>
      <c r="C142" s="3" t="str">
        <f>VLOOKUP(D142,'lista 1'!$A$2:$F3660,4,0)</f>
        <v>SKRZYPIŃSKA GABRIELA</v>
      </c>
      <c r="D142" s="73">
        <v>2344</v>
      </c>
      <c r="E142" s="4" t="str">
        <f>VLOOKUP(D142,'lista 1'!$A$2:$F$1802,5,0)</f>
        <v>TM2</v>
      </c>
      <c r="F142" s="59" t="str">
        <f>VLOOKUP(G142,'lista obszary'!A:B,2,0)</f>
        <v>HV</v>
      </c>
      <c r="G142" s="76" t="s">
        <v>2323</v>
      </c>
      <c r="H142" s="85" t="s">
        <v>1555</v>
      </c>
      <c r="I142" s="59" t="str">
        <f>VLOOKUP(J142,'lista obszary'!A:B,2,0)</f>
        <v>HV</v>
      </c>
      <c r="J142" s="78" t="s">
        <v>2448</v>
      </c>
      <c r="K142" s="87" t="s">
        <v>1555</v>
      </c>
      <c r="L142" s="82" t="s">
        <v>2447</v>
      </c>
      <c r="M142" s="23"/>
      <c r="N142" s="23"/>
      <c r="O142" s="23"/>
      <c r="P142" s="19" t="s">
        <v>175</v>
      </c>
      <c r="Q142" s="26"/>
      <c r="R142" s="26"/>
      <c r="S142" s="47"/>
      <c r="T142" s="4"/>
      <c r="U142" s="20">
        <f t="shared" si="3"/>
        <v>43549</v>
      </c>
      <c r="V142" s="47"/>
      <c r="W142" s="43"/>
      <c r="X142" s="66" t="e">
        <f>VLOOKUP(D142,#REF!,2,0)</f>
        <v>#REF!</v>
      </c>
      <c r="Y142" s="67" t="s">
        <v>2643</v>
      </c>
      <c r="Z142" s="67"/>
    </row>
    <row r="143" spans="1:26" ht="13.65" customHeight="1">
      <c r="A143" s="91">
        <v>142</v>
      </c>
      <c r="B143" s="19"/>
      <c r="C143" s="3" t="e">
        <f>VLOOKUP(D143,'lista 1'!$A$2:$F3661,4,0)</f>
        <v>#N/A</v>
      </c>
      <c r="D143" s="73">
        <v>70392</v>
      </c>
      <c r="E143" s="4" t="e">
        <f>VLOOKUP(D143,'lista 1'!$A$2:$F$1802,5,0)</f>
        <v>#N/A</v>
      </c>
      <c r="F143" s="59" t="str">
        <f>VLOOKUP(G143,'lista obszary'!A:B,2,0)</f>
        <v>HV</v>
      </c>
      <c r="G143" s="76" t="s">
        <v>2323</v>
      </c>
      <c r="H143" s="85" t="s">
        <v>1555</v>
      </c>
      <c r="I143" s="59" t="str">
        <f>VLOOKUP(J143,'lista obszary'!A:B,2,0)</f>
        <v>HV</v>
      </c>
      <c r="J143" s="78" t="s">
        <v>2448</v>
      </c>
      <c r="K143" s="87" t="s">
        <v>1555</v>
      </c>
      <c r="L143" s="82" t="s">
        <v>2447</v>
      </c>
      <c r="M143" s="23"/>
      <c r="N143" s="23"/>
      <c r="O143" s="23"/>
      <c r="P143" s="19" t="s">
        <v>175</v>
      </c>
      <c r="Q143" s="26"/>
      <c r="R143" s="26"/>
      <c r="S143" s="47"/>
      <c r="T143" s="4"/>
      <c r="U143" s="20">
        <f t="shared" si="3"/>
        <v>43549</v>
      </c>
      <c r="V143" s="47"/>
      <c r="W143" s="43"/>
      <c r="X143" s="66" t="e">
        <f>VLOOKUP(D143,#REF!,2,0)</f>
        <v>#REF!</v>
      </c>
      <c r="Y143" s="67" t="s">
        <v>2643</v>
      </c>
      <c r="Z143" s="67"/>
    </row>
    <row r="144" spans="1:26" ht="13.65" customHeight="1">
      <c r="A144" s="91">
        <v>143</v>
      </c>
      <c r="B144" s="19"/>
      <c r="C144" s="3" t="str">
        <f>VLOOKUP(D144,'lista 1'!$A$2:$F3662,4,0)</f>
        <v>MATCZAK PAWEŁ</v>
      </c>
      <c r="D144" s="73">
        <v>1244</v>
      </c>
      <c r="E144" s="4" t="str">
        <f>VLOOKUP(D144,'lista 1'!$A$2:$F$1802,5,0)</f>
        <v>AC TL</v>
      </c>
      <c r="F144" s="59" t="str">
        <f>VLOOKUP(G144,'lista obszary'!A:B,2,0)</f>
        <v>HV</v>
      </c>
      <c r="G144" s="76" t="s">
        <v>2073</v>
      </c>
      <c r="H144" s="85" t="s">
        <v>1904</v>
      </c>
      <c r="I144" s="59" t="str">
        <f>VLOOKUP(J144,'lista obszary'!A:B,2,0)</f>
        <v>HV</v>
      </c>
      <c r="J144" s="78" t="s">
        <v>2448</v>
      </c>
      <c r="K144" s="87" t="s">
        <v>1555</v>
      </c>
      <c r="L144" s="82" t="s">
        <v>2447</v>
      </c>
      <c r="M144" s="23"/>
      <c r="N144" s="23"/>
      <c r="O144" s="23"/>
      <c r="P144" s="19" t="s">
        <v>175</v>
      </c>
      <c r="Q144" s="26"/>
      <c r="R144" s="26"/>
      <c r="S144" s="47"/>
      <c r="T144" s="4"/>
      <c r="U144" s="20">
        <f t="shared" si="3"/>
        <v>43549</v>
      </c>
      <c r="V144" s="47"/>
      <c r="W144" s="43"/>
      <c r="X144" s="66" t="e">
        <f>VLOOKUP(D144,#REF!,2,0)</f>
        <v>#REF!</v>
      </c>
      <c r="Y144" s="67" t="s">
        <v>2643</v>
      </c>
      <c r="Z144" s="67"/>
    </row>
    <row r="145" spans="1:26" ht="13.65" customHeight="1">
      <c r="A145" s="91">
        <v>144</v>
      </c>
      <c r="B145" s="19"/>
      <c r="C145" s="3" t="str">
        <f>VLOOKUP(D145,'lista 1'!$A$2:$F3663,4,0)</f>
        <v>BILIŃSKA ANETA</v>
      </c>
      <c r="D145" s="73">
        <v>2561</v>
      </c>
      <c r="E145" s="4" t="str">
        <f>VLOOKUP(D145,'lista 1'!$A$2:$F$1802,5,0)</f>
        <v>TM2</v>
      </c>
      <c r="F145" s="59" t="str">
        <f>VLOOKUP(G145,'lista obszary'!A:B,2,0)</f>
        <v>HV</v>
      </c>
      <c r="G145" s="76" t="s">
        <v>2073</v>
      </c>
      <c r="H145" s="85" t="s">
        <v>1904</v>
      </c>
      <c r="I145" s="59" t="str">
        <f>VLOOKUP(J145,'lista obszary'!A:B,2,0)</f>
        <v>HV</v>
      </c>
      <c r="J145" s="78" t="s">
        <v>2448</v>
      </c>
      <c r="K145" s="87" t="s">
        <v>1555</v>
      </c>
      <c r="L145" s="82" t="s">
        <v>2447</v>
      </c>
      <c r="M145" s="23"/>
      <c r="N145" s="23"/>
      <c r="O145" s="23"/>
      <c r="P145" s="19" t="s">
        <v>175</v>
      </c>
      <c r="Q145" s="26"/>
      <c r="R145" s="26"/>
      <c r="S145" s="47"/>
      <c r="T145" s="4"/>
      <c r="U145" s="20">
        <f t="shared" si="3"/>
        <v>43549</v>
      </c>
      <c r="V145" s="47"/>
      <c r="W145" s="43"/>
      <c r="X145" s="66" t="e">
        <f>VLOOKUP(D145,#REF!,2,0)</f>
        <v>#REF!</v>
      </c>
      <c r="Y145" s="67" t="s">
        <v>2643</v>
      </c>
      <c r="Z145" s="67"/>
    </row>
    <row r="146" spans="1:26" ht="13.65" customHeight="1">
      <c r="A146" s="91">
        <v>145</v>
      </c>
      <c r="B146" s="19"/>
      <c r="C146" s="3" t="str">
        <f>VLOOKUP(D146,'lista 1'!$A$2:$F3664,4,0)</f>
        <v>SZNER MARIUSZ</v>
      </c>
      <c r="D146" s="73">
        <v>1431</v>
      </c>
      <c r="E146" s="4" t="str">
        <f>VLOOKUP(D146,'lista 1'!$A$2:$F$1802,5,0)</f>
        <v>TM2</v>
      </c>
      <c r="F146" s="59" t="str">
        <f>VLOOKUP(G146,'lista obszary'!A:B,2,0)</f>
        <v>HV</v>
      </c>
      <c r="G146" s="76" t="s">
        <v>2073</v>
      </c>
      <c r="H146" s="85" t="s">
        <v>1904</v>
      </c>
      <c r="I146" s="59" t="str">
        <f>VLOOKUP(J146,'lista obszary'!A:B,2,0)</f>
        <v>HV</v>
      </c>
      <c r="J146" s="78" t="s">
        <v>2448</v>
      </c>
      <c r="K146" s="87" t="s">
        <v>1555</v>
      </c>
      <c r="L146" s="82" t="s">
        <v>2447</v>
      </c>
      <c r="M146" s="23"/>
      <c r="N146" s="23"/>
      <c r="O146" s="23"/>
      <c r="P146" s="19" t="s">
        <v>175</v>
      </c>
      <c r="Q146" s="26"/>
      <c r="R146" s="26"/>
      <c r="S146" s="47"/>
      <c r="T146" s="4"/>
      <c r="U146" s="20">
        <f t="shared" si="3"/>
        <v>43549</v>
      </c>
      <c r="V146" s="47"/>
      <c r="W146" s="43"/>
      <c r="X146" s="66" t="e">
        <f>VLOOKUP(D146,#REF!,2,0)</f>
        <v>#REF!</v>
      </c>
      <c r="Y146" s="67" t="s">
        <v>2643</v>
      </c>
      <c r="Z146" s="67"/>
    </row>
    <row r="147" spans="1:26" ht="13.65" customHeight="1">
      <c r="A147" s="91">
        <v>146</v>
      </c>
      <c r="B147" s="19"/>
      <c r="C147" s="3" t="str">
        <f>VLOOKUP(D147,'lista 1'!$A$2:$F3665,4,0)</f>
        <v>DUNIEC ANNA</v>
      </c>
      <c r="D147" s="73">
        <v>2146</v>
      </c>
      <c r="E147" s="4" t="str">
        <f>VLOOKUP(D147,'lista 1'!$A$2:$F$1802,5,0)</f>
        <v>TM2</v>
      </c>
      <c r="F147" s="59" t="str">
        <f>VLOOKUP(G147,'lista obszary'!A:B,2,0)</f>
        <v>HV</v>
      </c>
      <c r="G147" s="76" t="s">
        <v>2323</v>
      </c>
      <c r="H147" s="85" t="s">
        <v>1555</v>
      </c>
      <c r="I147" s="59" t="str">
        <f>VLOOKUP(J147,'lista obszary'!A:B,2,0)</f>
        <v>HV</v>
      </c>
      <c r="J147" s="78" t="s">
        <v>2448</v>
      </c>
      <c r="K147" s="87" t="s">
        <v>1555</v>
      </c>
      <c r="L147" s="82" t="s">
        <v>2447</v>
      </c>
      <c r="M147" s="23"/>
      <c r="N147" s="23"/>
      <c r="O147" s="23"/>
      <c r="P147" s="19" t="s">
        <v>175</v>
      </c>
      <c r="Q147" s="26"/>
      <c r="R147" s="26"/>
      <c r="S147" s="47"/>
      <c r="T147" s="4"/>
      <c r="U147" s="20">
        <f t="shared" si="3"/>
        <v>43549</v>
      </c>
      <c r="V147" s="47"/>
      <c r="W147" s="43"/>
      <c r="X147" s="66" t="e">
        <f>VLOOKUP(D147,#REF!,2,0)</f>
        <v>#REF!</v>
      </c>
      <c r="Y147" s="67" t="s">
        <v>2643</v>
      </c>
      <c r="Z147" s="67"/>
    </row>
    <row r="148" spans="1:26" ht="13.65" customHeight="1">
      <c r="A148" s="91">
        <v>147</v>
      </c>
      <c r="B148" s="19"/>
      <c r="C148" s="3" t="str">
        <f>VLOOKUP(D148,'lista 1'!$A$2:$F3666,4,0)</f>
        <v>KRYSTKOWIAK GRZEGORZ</v>
      </c>
      <c r="D148" s="73">
        <v>706</v>
      </c>
      <c r="E148" s="4" t="str">
        <f>VLOOKUP(D148,'lista 1'!$A$2:$F$1802,5,0)</f>
        <v>TM2</v>
      </c>
      <c r="F148" s="59" t="str">
        <f>VLOOKUP(G148,'lista obszary'!A:B,2,0)</f>
        <v>HV</v>
      </c>
      <c r="G148" s="76" t="s">
        <v>2323</v>
      </c>
      <c r="H148" s="85" t="s">
        <v>1555</v>
      </c>
      <c r="I148" s="59" t="str">
        <f>VLOOKUP(J148,'lista obszary'!A:B,2,0)</f>
        <v>HV</v>
      </c>
      <c r="J148" s="78" t="s">
        <v>2448</v>
      </c>
      <c r="K148" s="87" t="s">
        <v>1555</v>
      </c>
      <c r="L148" s="82" t="s">
        <v>2447</v>
      </c>
      <c r="M148" s="23"/>
      <c r="N148" s="23"/>
      <c r="O148" s="23"/>
      <c r="P148" s="19" t="s">
        <v>175</v>
      </c>
      <c r="Q148" s="26"/>
      <c r="R148" s="26"/>
      <c r="S148" s="47"/>
      <c r="T148" s="4"/>
      <c r="U148" s="20">
        <f t="shared" si="3"/>
        <v>43549</v>
      </c>
      <c r="V148" s="47"/>
      <c r="W148" s="43"/>
      <c r="X148" s="66" t="e">
        <f>VLOOKUP(D148,#REF!,2,0)</f>
        <v>#REF!</v>
      </c>
      <c r="Y148" s="67" t="s">
        <v>2645</v>
      </c>
    </row>
    <row r="149" spans="1:26" ht="13.65" customHeight="1">
      <c r="A149" s="91">
        <v>148</v>
      </c>
      <c r="B149" s="19"/>
      <c r="C149" s="3" t="str">
        <f>VLOOKUP(D149,'lista 1'!$A$2:$F3667,4,0)</f>
        <v>BASIŃSKA IWONA</v>
      </c>
      <c r="D149" s="73">
        <v>1718</v>
      </c>
      <c r="E149" s="4" t="str">
        <f>VLOOKUP(D149,'lista 1'!$A$2:$F$1802,5,0)</f>
        <v>TM</v>
      </c>
      <c r="F149" s="59" t="str">
        <f>VLOOKUP(G149,'lista obszary'!A:B,2,0)</f>
        <v>HV</v>
      </c>
      <c r="G149" s="76" t="s">
        <v>2319</v>
      </c>
      <c r="H149" s="85" t="s">
        <v>534</v>
      </c>
      <c r="I149" s="59" t="str">
        <f>VLOOKUP(J149,'lista obszary'!A:B,2,0)</f>
        <v>HV</v>
      </c>
      <c r="J149" s="78" t="s">
        <v>2448</v>
      </c>
      <c r="K149" s="87" t="s">
        <v>1555</v>
      </c>
      <c r="L149" s="82" t="s">
        <v>2447</v>
      </c>
      <c r="M149" s="23"/>
      <c r="N149" s="23"/>
      <c r="O149" s="23"/>
      <c r="P149" s="19" t="s">
        <v>175</v>
      </c>
      <c r="Q149" s="26"/>
      <c r="R149" s="26"/>
      <c r="S149" s="47"/>
      <c r="T149" s="4"/>
      <c r="U149" s="20">
        <f t="shared" si="3"/>
        <v>43549</v>
      </c>
      <c r="V149" s="47"/>
      <c r="W149" s="43"/>
      <c r="X149" s="66" t="e">
        <f>VLOOKUP(D149,#REF!,2,0)</f>
        <v>#REF!</v>
      </c>
      <c r="Y149" s="67" t="b">
        <f>F149=I149</f>
        <v>1</v>
      </c>
      <c r="Z149" s="67"/>
    </row>
    <row r="150" spans="1:26" ht="13.65" customHeight="1">
      <c r="A150" s="91">
        <v>149</v>
      </c>
      <c r="B150" s="19"/>
      <c r="C150" s="3" t="e">
        <f>VLOOKUP(D150,'lista 1'!$A$2:$F3668,4,0)</f>
        <v>#N/A</v>
      </c>
      <c r="D150" s="73">
        <v>64353</v>
      </c>
      <c r="E150" s="4" t="e">
        <f>VLOOKUP(D150,'lista 1'!$A$2:$F$1802,5,0)</f>
        <v>#N/A</v>
      </c>
      <c r="F150" s="59" t="str">
        <f>VLOOKUP(G150,'lista obszary'!A:B,2,0)</f>
        <v>HV</v>
      </c>
      <c r="G150" s="76" t="s">
        <v>2319</v>
      </c>
      <c r="H150" s="85" t="s">
        <v>534</v>
      </c>
      <c r="I150" s="59" t="str">
        <f>VLOOKUP(J150,'lista obszary'!A:B,2,0)</f>
        <v>HV</v>
      </c>
      <c r="J150" s="78" t="s">
        <v>2448</v>
      </c>
      <c r="K150" s="87" t="s">
        <v>1555</v>
      </c>
      <c r="L150" s="82" t="s">
        <v>2447</v>
      </c>
      <c r="M150" s="23"/>
      <c r="N150" s="23"/>
      <c r="O150" s="23"/>
      <c r="P150" s="19" t="s">
        <v>175</v>
      </c>
      <c r="Q150" s="26"/>
      <c r="R150" s="26"/>
      <c r="S150" s="47"/>
      <c r="T150" s="4"/>
      <c r="U150" s="20">
        <f t="shared" si="3"/>
        <v>43549</v>
      </c>
      <c r="V150" s="47"/>
      <c r="W150" s="43"/>
      <c r="X150" s="66" t="e">
        <f>VLOOKUP(D150,#REF!,2,0)</f>
        <v>#REF!</v>
      </c>
      <c r="Y150" s="67" t="b">
        <f>F150=I150</f>
        <v>1</v>
      </c>
      <c r="Z150" s="67"/>
    </row>
    <row r="151" spans="1:26" ht="13.65" customHeight="1">
      <c r="A151" s="91">
        <v>150</v>
      </c>
      <c r="B151" s="19"/>
      <c r="C151" s="3" t="e">
        <f>VLOOKUP(D151,'lista 1'!$A$2:$F3669,4,0)</f>
        <v>#N/A</v>
      </c>
      <c r="D151" s="73">
        <v>64354</v>
      </c>
      <c r="E151" s="4" t="e">
        <f>VLOOKUP(D151,'lista 1'!$A$2:$F$1802,5,0)</f>
        <v>#N/A</v>
      </c>
      <c r="F151" s="59" t="str">
        <f>VLOOKUP(G151,'lista obszary'!A:B,2,0)</f>
        <v>HV</v>
      </c>
      <c r="G151" s="76" t="s">
        <v>2319</v>
      </c>
      <c r="H151" s="85" t="s">
        <v>534</v>
      </c>
      <c r="I151" s="59" t="str">
        <f>VLOOKUP(J151,'lista obszary'!A:B,2,0)</f>
        <v>HV</v>
      </c>
      <c r="J151" s="78" t="s">
        <v>2448</v>
      </c>
      <c r="K151" s="87" t="s">
        <v>1555</v>
      </c>
      <c r="L151" s="82" t="s">
        <v>2447</v>
      </c>
      <c r="M151" s="23"/>
      <c r="N151" s="23"/>
      <c r="O151" s="23"/>
      <c r="P151" s="19" t="s">
        <v>175</v>
      </c>
      <c r="Q151" s="26"/>
      <c r="R151" s="26"/>
      <c r="S151" s="47"/>
      <c r="T151" s="4"/>
      <c r="U151" s="20">
        <f t="shared" si="3"/>
        <v>43549</v>
      </c>
      <c r="V151" s="47"/>
      <c r="W151" s="43"/>
      <c r="X151" s="66" t="e">
        <f>VLOOKUP(D151,#REF!,2,0)</f>
        <v>#REF!</v>
      </c>
      <c r="Y151" s="67" t="s">
        <v>2648</v>
      </c>
      <c r="Z151" s="67"/>
    </row>
    <row r="152" spans="1:26" ht="13.65" customHeight="1">
      <c r="A152" s="91">
        <v>151</v>
      </c>
      <c r="B152" s="19"/>
      <c r="C152" s="3" t="e">
        <f>VLOOKUP(D152,'lista 1'!$A$2:$F3670,4,0)</f>
        <v>#N/A</v>
      </c>
      <c r="D152" s="73">
        <v>70483</v>
      </c>
      <c r="E152" s="4" t="e">
        <f>VLOOKUP(D152,'lista 1'!$A$2:$F$1802,5,0)</f>
        <v>#N/A</v>
      </c>
      <c r="F152" s="59" t="str">
        <f>VLOOKUP(G152,'lista obszary'!A:B,2,0)</f>
        <v>HV</v>
      </c>
      <c r="G152" s="76" t="s">
        <v>2319</v>
      </c>
      <c r="H152" s="85" t="s">
        <v>534</v>
      </c>
      <c r="I152" s="59" t="str">
        <f>VLOOKUP(J152,'lista obszary'!A:B,2,0)</f>
        <v>HV</v>
      </c>
      <c r="J152" s="78" t="s">
        <v>2448</v>
      </c>
      <c r="K152" s="87" t="s">
        <v>1555</v>
      </c>
      <c r="L152" s="82" t="s">
        <v>2447</v>
      </c>
      <c r="M152" s="23"/>
      <c r="N152" s="23"/>
      <c r="O152" s="23"/>
      <c r="P152" s="19" t="s">
        <v>175</v>
      </c>
      <c r="Q152" s="26"/>
      <c r="R152" s="26"/>
      <c r="S152" s="47"/>
      <c r="T152" s="4"/>
      <c r="U152" s="20">
        <f t="shared" si="3"/>
        <v>43549</v>
      </c>
      <c r="V152" s="47"/>
      <c r="W152" s="43"/>
      <c r="X152" s="66" t="e">
        <f>VLOOKUP(D152,#REF!,2,0)</f>
        <v>#REF!</v>
      </c>
      <c r="Y152" s="67" t="s">
        <v>2643</v>
      </c>
      <c r="Z152" s="67"/>
    </row>
    <row r="153" spans="1:26" ht="13.65" customHeight="1">
      <c r="A153" s="91">
        <v>152</v>
      </c>
      <c r="B153" s="19"/>
      <c r="C153" s="3" t="e">
        <f>VLOOKUP(D153,'lista 1'!$A$2:$F3671,4,0)</f>
        <v>#N/A</v>
      </c>
      <c r="D153" s="73">
        <v>64406</v>
      </c>
      <c r="E153" s="4" t="e">
        <f>VLOOKUP(D153,'lista 1'!$A$2:$F$1802,5,0)</f>
        <v>#N/A</v>
      </c>
      <c r="F153" s="59" t="str">
        <f>VLOOKUP(G153,'lista obszary'!A:B,2,0)</f>
        <v>HV</v>
      </c>
      <c r="G153" s="76" t="s">
        <v>2319</v>
      </c>
      <c r="H153" s="85" t="s">
        <v>534</v>
      </c>
      <c r="I153" s="59" t="str">
        <f>VLOOKUP(J153,'lista obszary'!A:B,2,0)</f>
        <v>HV</v>
      </c>
      <c r="J153" s="78" t="s">
        <v>2448</v>
      </c>
      <c r="K153" s="87" t="s">
        <v>1555</v>
      </c>
      <c r="L153" s="82" t="s">
        <v>2447</v>
      </c>
      <c r="M153" s="23"/>
      <c r="N153" s="23"/>
      <c r="O153" s="23"/>
      <c r="P153" s="19" t="s">
        <v>175</v>
      </c>
      <c r="Q153" s="26"/>
      <c r="R153" s="26"/>
      <c r="S153" s="47"/>
      <c r="T153" s="4"/>
      <c r="U153" s="20">
        <f t="shared" si="3"/>
        <v>43549</v>
      </c>
      <c r="V153" s="47"/>
      <c r="W153" s="43"/>
      <c r="X153" s="66" t="e">
        <f>VLOOKUP(D153,#REF!,2,0)</f>
        <v>#REF!</v>
      </c>
      <c r="Y153" s="67" t="s">
        <v>2643</v>
      </c>
      <c r="Z153" s="67"/>
    </row>
    <row r="154" spans="1:26" ht="13.65" customHeight="1">
      <c r="A154" s="91">
        <v>153</v>
      </c>
      <c r="B154" s="19"/>
      <c r="C154" s="3" t="e">
        <f>VLOOKUP(D154,'lista 1'!$A$2:$F3672,4,0)</f>
        <v>#N/A</v>
      </c>
      <c r="D154" s="73">
        <v>64237</v>
      </c>
      <c r="E154" s="4" t="e">
        <f>VLOOKUP(D154,'lista 1'!$A$2:$F$1802,5,0)</f>
        <v>#N/A</v>
      </c>
      <c r="F154" s="59" t="str">
        <f>VLOOKUP(G154,'lista obszary'!A:B,2,0)</f>
        <v>HV</v>
      </c>
      <c r="G154" s="76" t="s">
        <v>2319</v>
      </c>
      <c r="H154" s="85" t="s">
        <v>534</v>
      </c>
      <c r="I154" s="59" t="str">
        <f>VLOOKUP(J154,'lista obszary'!A:B,2,0)</f>
        <v>HV</v>
      </c>
      <c r="J154" s="78" t="s">
        <v>2448</v>
      </c>
      <c r="K154" s="87" t="s">
        <v>1555</v>
      </c>
      <c r="L154" s="82" t="s">
        <v>2447</v>
      </c>
      <c r="M154" s="23"/>
      <c r="N154" s="23"/>
      <c r="O154" s="23"/>
      <c r="P154" s="19" t="s">
        <v>175</v>
      </c>
      <c r="Q154" s="26"/>
      <c r="R154" s="26"/>
      <c r="S154" s="47"/>
      <c r="T154" s="4"/>
      <c r="U154" s="20">
        <f t="shared" si="3"/>
        <v>43549</v>
      </c>
      <c r="V154" s="47"/>
      <c r="W154" s="43"/>
      <c r="X154" s="66" t="e">
        <f>VLOOKUP(D154,#REF!,2,0)</f>
        <v>#REF!</v>
      </c>
      <c r="Y154" s="67" t="b">
        <f>F154=I154</f>
        <v>1</v>
      </c>
      <c r="Z154" s="67"/>
    </row>
    <row r="155" spans="1:26" ht="13.65" customHeight="1">
      <c r="A155" s="91">
        <v>154</v>
      </c>
      <c r="B155" s="19"/>
      <c r="C155" s="3" t="e">
        <f>VLOOKUP(D155,'lista 1'!$A$2:$F3673,4,0)</f>
        <v>#N/A</v>
      </c>
      <c r="D155" s="73">
        <v>70463</v>
      </c>
      <c r="E155" s="4" t="e">
        <f>VLOOKUP(D155,'lista 1'!$A$2:$F$1802,5,0)</f>
        <v>#N/A</v>
      </c>
      <c r="F155" s="59" t="str">
        <f>VLOOKUP(G155,'lista obszary'!A:B,2,0)</f>
        <v>HV</v>
      </c>
      <c r="G155" s="76" t="s">
        <v>2319</v>
      </c>
      <c r="H155" s="85" t="s">
        <v>534</v>
      </c>
      <c r="I155" s="59" t="str">
        <f>VLOOKUP(J155,'lista obszary'!A:B,2,0)</f>
        <v>HV</v>
      </c>
      <c r="J155" s="78" t="s">
        <v>2448</v>
      </c>
      <c r="K155" s="87" t="s">
        <v>1555</v>
      </c>
      <c r="L155" s="82" t="s">
        <v>2447</v>
      </c>
      <c r="M155" s="23"/>
      <c r="N155" s="23"/>
      <c r="O155" s="23"/>
      <c r="P155" s="19" t="s">
        <v>175</v>
      </c>
      <c r="Q155" s="26"/>
      <c r="R155" s="26"/>
      <c r="S155" s="47"/>
      <c r="T155" s="4"/>
      <c r="U155" s="20">
        <f t="shared" si="3"/>
        <v>43549</v>
      </c>
      <c r="V155" s="47"/>
      <c r="W155" s="43"/>
      <c r="X155" s="66" t="e">
        <f>VLOOKUP(D155,#REF!,2,0)</f>
        <v>#REF!</v>
      </c>
      <c r="Y155" s="67" t="s">
        <v>2643</v>
      </c>
      <c r="Z155" s="67"/>
    </row>
    <row r="156" spans="1:26" ht="13.65" customHeight="1">
      <c r="A156" s="91">
        <v>155</v>
      </c>
      <c r="B156" s="19"/>
      <c r="C156" s="3" t="e">
        <f>VLOOKUP(D156,'lista 1'!$A$2:$F3674,4,0)</f>
        <v>#N/A</v>
      </c>
      <c r="D156" s="73">
        <v>64383</v>
      </c>
      <c r="E156" s="4" t="e">
        <f>VLOOKUP(D156,'lista 1'!$A$2:$F$1802,5,0)</f>
        <v>#N/A</v>
      </c>
      <c r="F156" s="59" t="str">
        <f>VLOOKUP(G156,'lista obszary'!A:B,2,0)</f>
        <v>HV</v>
      </c>
      <c r="G156" s="76" t="s">
        <v>2319</v>
      </c>
      <c r="H156" s="85" t="s">
        <v>534</v>
      </c>
      <c r="I156" s="59" t="str">
        <f>VLOOKUP(J156,'lista obszary'!A:B,2,0)</f>
        <v>HV</v>
      </c>
      <c r="J156" s="78" t="s">
        <v>2448</v>
      </c>
      <c r="K156" s="87" t="s">
        <v>1555</v>
      </c>
      <c r="L156" s="82" t="s">
        <v>2447</v>
      </c>
      <c r="M156" s="23"/>
      <c r="N156" s="23"/>
      <c r="O156" s="23"/>
      <c r="P156" s="19" t="s">
        <v>175</v>
      </c>
      <c r="Q156" s="26"/>
      <c r="R156" s="26"/>
      <c r="S156" s="47"/>
      <c r="T156" s="4"/>
      <c r="U156" s="20">
        <f t="shared" si="3"/>
        <v>43549</v>
      </c>
      <c r="V156" s="47"/>
      <c r="W156" s="43"/>
      <c r="X156" s="66" t="e">
        <f>VLOOKUP(D156,#REF!,2,0)</f>
        <v>#REF!</v>
      </c>
      <c r="Y156" s="67" t="s">
        <v>2643</v>
      </c>
      <c r="Z156" s="67"/>
    </row>
    <row r="157" spans="1:26" ht="13.65" customHeight="1">
      <c r="A157" s="91">
        <v>156</v>
      </c>
      <c r="B157" s="19"/>
      <c r="C157" s="3" t="str">
        <f>VLOOKUP(D157,'lista 1'!$A$2:$F3675,4,0)</f>
        <v>FOLKMAN SEBASTIAN</v>
      </c>
      <c r="D157" s="73">
        <v>207</v>
      </c>
      <c r="E157" s="4" t="str">
        <f>VLOOKUP(D157,'lista 1'!$A$2:$F$1802,5,0)</f>
        <v>GRL2</v>
      </c>
      <c r="F157" s="59" t="str">
        <f>VLOOKUP(G157,'lista obszary'!A:B,2,0)</f>
        <v>HV</v>
      </c>
      <c r="G157" s="76" t="s">
        <v>2073</v>
      </c>
      <c r="H157" s="85" t="s">
        <v>1904</v>
      </c>
      <c r="I157" s="59" t="str">
        <f>VLOOKUP(J157,'lista obszary'!A:B,2,0)</f>
        <v>HV</v>
      </c>
      <c r="J157" s="78" t="s">
        <v>2323</v>
      </c>
      <c r="K157" s="87" t="s">
        <v>2089</v>
      </c>
      <c r="L157" s="82" t="s">
        <v>2447</v>
      </c>
      <c r="M157" s="23"/>
      <c r="N157" s="23"/>
      <c r="O157" s="23"/>
      <c r="P157" s="19" t="s">
        <v>175</v>
      </c>
      <c r="Q157" s="26"/>
      <c r="R157" s="26"/>
      <c r="S157" s="47"/>
      <c r="T157" s="4"/>
      <c r="U157" s="20">
        <f t="shared" si="3"/>
        <v>43549</v>
      </c>
      <c r="V157" s="47"/>
      <c r="W157" s="43"/>
      <c r="X157" s="66" t="e">
        <f>VLOOKUP(D157,#REF!,2,0)</f>
        <v>#REF!</v>
      </c>
      <c r="Y157" s="67" t="s">
        <v>2643</v>
      </c>
      <c r="Z157" s="67"/>
    </row>
    <row r="158" spans="1:26" ht="13.65" customHeight="1">
      <c r="A158" s="91">
        <v>157</v>
      </c>
      <c r="B158" s="19"/>
      <c r="C158" s="3" t="str">
        <f>VLOOKUP(D158,'lista 1'!$A$2:$F3676,4,0)</f>
        <v>OSAJDA ARTUR</v>
      </c>
      <c r="D158" s="73">
        <v>247</v>
      </c>
      <c r="E158" s="4" t="str">
        <f>VLOOKUP(D158,'lista 1'!$A$2:$F$1802,5,0)</f>
        <v>TL2</v>
      </c>
      <c r="F158" s="59" t="str">
        <f>VLOOKUP(G158,'lista obszary'!A:B,2,0)</f>
        <v>HV</v>
      </c>
      <c r="G158" s="76" t="s">
        <v>2073</v>
      </c>
      <c r="H158" s="85" t="s">
        <v>1904</v>
      </c>
      <c r="I158" s="59" t="str">
        <f>VLOOKUP(J158,'lista obszary'!A:B,2,0)</f>
        <v>HV</v>
      </c>
      <c r="J158" s="78" t="s">
        <v>2323</v>
      </c>
      <c r="K158" s="87" t="s">
        <v>1555</v>
      </c>
      <c r="L158" s="82" t="s">
        <v>2447</v>
      </c>
      <c r="M158" s="23"/>
      <c r="N158" s="23"/>
      <c r="O158" s="23"/>
      <c r="P158" s="19" t="s">
        <v>175</v>
      </c>
      <c r="Q158" s="26"/>
      <c r="R158" s="26"/>
      <c r="S158" s="47"/>
      <c r="T158" s="4"/>
      <c r="U158" s="20">
        <f t="shared" si="3"/>
        <v>43549</v>
      </c>
      <c r="V158" s="47"/>
      <c r="W158" s="43"/>
      <c r="X158" s="66" t="e">
        <f>VLOOKUP(D158,#REF!,2,0)</f>
        <v>#REF!</v>
      </c>
      <c r="Y158" s="67" t="s">
        <v>2643</v>
      </c>
    </row>
    <row r="159" spans="1:26" ht="13.65" customHeight="1">
      <c r="A159" s="91">
        <v>158</v>
      </c>
      <c r="B159" s="19"/>
      <c r="C159" s="3" t="str">
        <f>VLOOKUP(D159,'lista 1'!$A$2:$F3677,4,0)</f>
        <v>BOREK RAFAŁ</v>
      </c>
      <c r="D159" s="73">
        <v>965</v>
      </c>
      <c r="E159" s="4" t="str">
        <f>VLOOKUP(D159,'lista 1'!$A$2:$F$1802,5,0)</f>
        <v>TL2</v>
      </c>
      <c r="F159" s="59" t="str">
        <f>VLOOKUP(G159,'lista obszary'!A:B,2,0)</f>
        <v>HV</v>
      </c>
      <c r="G159" s="76" t="s">
        <v>2319</v>
      </c>
      <c r="H159" s="85" t="s">
        <v>534</v>
      </c>
      <c r="I159" s="59" t="str">
        <f>VLOOKUP(J159,'lista obszary'!A:B,2,0)</f>
        <v>HV</v>
      </c>
      <c r="J159" s="78" t="s">
        <v>2323</v>
      </c>
      <c r="K159" s="87" t="s">
        <v>1555</v>
      </c>
      <c r="L159" s="82" t="s">
        <v>2447</v>
      </c>
      <c r="M159" s="23"/>
      <c r="N159" s="23"/>
      <c r="O159" s="23"/>
      <c r="P159" s="19" t="s">
        <v>175</v>
      </c>
      <c r="Q159" s="26"/>
      <c r="R159" s="26"/>
      <c r="S159" s="47"/>
      <c r="T159" s="4"/>
      <c r="U159" s="20">
        <f t="shared" si="3"/>
        <v>43549</v>
      </c>
      <c r="V159" s="47"/>
      <c r="W159" s="43"/>
      <c r="X159" s="66" t="e">
        <f>VLOOKUP(D159,#REF!,2,0)</f>
        <v>#REF!</v>
      </c>
      <c r="Y159" s="67" t="s">
        <v>2643</v>
      </c>
    </row>
    <row r="160" spans="1:26" ht="13.65" customHeight="1">
      <c r="A160" s="91">
        <v>159</v>
      </c>
      <c r="B160" s="19"/>
      <c r="C160" s="3" t="str">
        <f>VLOOKUP(D160,'lista 1'!$A$2:$F3678,4,0)</f>
        <v>ADAMCZYK JAKUB</v>
      </c>
      <c r="D160" s="73">
        <v>1246</v>
      </c>
      <c r="E160" s="4" t="str">
        <f>VLOOKUP(D160,'lista 1'!$A$2:$F$1802,5,0)</f>
        <v>TL2</v>
      </c>
      <c r="F160" s="59" t="str">
        <f>VLOOKUP(G160,'lista obszary'!A:B,2,0)</f>
        <v>HV</v>
      </c>
      <c r="G160" s="76" t="s">
        <v>2073</v>
      </c>
      <c r="H160" s="85" t="s">
        <v>1904</v>
      </c>
      <c r="I160" s="59" t="str">
        <f>VLOOKUP(J160,'lista obszary'!A:B,2,0)</f>
        <v>HV</v>
      </c>
      <c r="J160" s="78" t="s">
        <v>2323</v>
      </c>
      <c r="K160" s="87" t="s">
        <v>1555</v>
      </c>
      <c r="L160" s="82" t="s">
        <v>2447</v>
      </c>
      <c r="M160" s="23"/>
      <c r="N160" s="23"/>
      <c r="O160" s="23"/>
      <c r="P160" s="19" t="s">
        <v>175</v>
      </c>
      <c r="Q160" s="26"/>
      <c r="R160" s="26"/>
      <c r="S160" s="47"/>
      <c r="T160" s="4"/>
      <c r="U160" s="20">
        <f t="shared" si="3"/>
        <v>43549</v>
      </c>
      <c r="V160" s="47"/>
      <c r="W160" s="43"/>
      <c r="X160" s="66" t="e">
        <f>VLOOKUP(D160,#REF!,2,0)</f>
        <v>#REF!</v>
      </c>
      <c r="Y160" s="67" t="b">
        <f>F160=I160</f>
        <v>1</v>
      </c>
    </row>
    <row r="161" spans="1:26" ht="13.65" customHeight="1">
      <c r="A161" s="91">
        <v>160</v>
      </c>
      <c r="B161" s="19"/>
      <c r="C161" s="3" t="str">
        <f>VLOOKUP(D161,'lista 1'!$A$2:$F3679,4,0)</f>
        <v>MAŃCZAK MARCIN</v>
      </c>
      <c r="D161" s="73">
        <v>1527</v>
      </c>
      <c r="E161" s="4" t="str">
        <f>VLOOKUP(D161,'lista 1'!$A$2:$F$1802,5,0)</f>
        <v>TM2</v>
      </c>
      <c r="F161" s="59" t="str">
        <f>VLOOKUP(G161,'lista obszary'!A:B,2,0)</f>
        <v>HV</v>
      </c>
      <c r="G161" s="76" t="s">
        <v>2073</v>
      </c>
      <c r="H161" s="85" t="s">
        <v>1904</v>
      </c>
      <c r="I161" s="59" t="str">
        <f>VLOOKUP(J161,'lista obszary'!A:B,2,0)</f>
        <v>HV</v>
      </c>
      <c r="J161" s="78" t="s">
        <v>2323</v>
      </c>
      <c r="K161" s="87" t="s">
        <v>1555</v>
      </c>
      <c r="L161" s="82" t="s">
        <v>2447</v>
      </c>
      <c r="M161" s="23"/>
      <c r="N161" s="23"/>
      <c r="O161" s="23"/>
      <c r="P161" s="19" t="s">
        <v>175</v>
      </c>
      <c r="Q161" s="26"/>
      <c r="R161" s="26"/>
      <c r="S161" s="47"/>
      <c r="T161" s="4"/>
      <c r="U161" s="20">
        <f t="shared" si="3"/>
        <v>43549</v>
      </c>
      <c r="V161" s="47"/>
      <c r="W161" s="43"/>
      <c r="X161" s="66" t="e">
        <f>VLOOKUP(D161,#REF!,2,0)</f>
        <v>#REF!</v>
      </c>
      <c r="Y161" s="67" t="s">
        <v>2643</v>
      </c>
      <c r="Z161" s="67"/>
    </row>
    <row r="162" spans="1:26" ht="13.65" customHeight="1">
      <c r="A162" s="91">
        <v>161</v>
      </c>
      <c r="B162" s="19"/>
      <c r="C162" s="3" t="str">
        <f>VLOOKUP(D162,'lista 1'!$A$2:$F3680,4,0)</f>
        <v>KAZIMIERSKI SŁAWOMIR</v>
      </c>
      <c r="D162" s="73">
        <v>1505</v>
      </c>
      <c r="E162" s="4" t="str">
        <f>VLOOKUP(D162,'lista 1'!$A$2:$F$1802,5,0)</f>
        <v>AC TL</v>
      </c>
      <c r="F162" s="59" t="str">
        <f>VLOOKUP(G162,'lista obszary'!A:B,2,0)</f>
        <v>HV</v>
      </c>
      <c r="G162" s="76" t="s">
        <v>2073</v>
      </c>
      <c r="H162" s="85" t="s">
        <v>1904</v>
      </c>
      <c r="I162" s="59" t="str">
        <f>VLOOKUP(J162,'lista obszary'!A:B,2,0)</f>
        <v>HV</v>
      </c>
      <c r="J162" s="78" t="s">
        <v>2323</v>
      </c>
      <c r="K162" s="87" t="s">
        <v>1555</v>
      </c>
      <c r="L162" s="82" t="s">
        <v>2447</v>
      </c>
      <c r="M162" s="23"/>
      <c r="N162" s="23"/>
      <c r="O162" s="23"/>
      <c r="P162" s="19" t="s">
        <v>175</v>
      </c>
      <c r="Q162" s="26"/>
      <c r="R162" s="26"/>
      <c r="S162" s="47"/>
      <c r="T162" s="4"/>
      <c r="U162" s="20">
        <f t="shared" si="3"/>
        <v>43549</v>
      </c>
      <c r="V162" s="47"/>
      <c r="W162" s="43"/>
      <c r="X162" s="66" t="e">
        <f>VLOOKUP(D162,#REF!,2,0)</f>
        <v>#REF!</v>
      </c>
      <c r="Y162" s="67" t="s">
        <v>2643</v>
      </c>
      <c r="Z162" s="67"/>
    </row>
    <row r="163" spans="1:26" ht="13.65" customHeight="1">
      <c r="A163" s="91">
        <v>162</v>
      </c>
      <c r="B163" s="19"/>
      <c r="C163" s="3" t="str">
        <f>VLOOKUP(D163,'lista 1'!$A$2:$F3681,4,0)</f>
        <v>SZCZEPAŃSKA MAŁGORZATA</v>
      </c>
      <c r="D163" s="73">
        <v>2068</v>
      </c>
      <c r="E163" s="4" t="str">
        <f>VLOOKUP(D163,'lista 1'!$A$2:$F$1802,5,0)</f>
        <v>TM2</v>
      </c>
      <c r="F163" s="59" t="str">
        <f>VLOOKUP(G163,'lista obszary'!A:B,2,0)</f>
        <v>HV</v>
      </c>
      <c r="G163" s="76" t="s">
        <v>2073</v>
      </c>
      <c r="H163" s="85" t="s">
        <v>1904</v>
      </c>
      <c r="I163" s="59" t="str">
        <f>VLOOKUP(J163,'lista obszary'!A:B,2,0)</f>
        <v>HV</v>
      </c>
      <c r="J163" s="78" t="s">
        <v>2323</v>
      </c>
      <c r="K163" s="87" t="s">
        <v>1555</v>
      </c>
      <c r="L163" s="82" t="s">
        <v>2447</v>
      </c>
      <c r="M163" s="23"/>
      <c r="N163" s="23"/>
      <c r="O163" s="23"/>
      <c r="P163" s="19" t="s">
        <v>175</v>
      </c>
      <c r="Q163" s="26"/>
      <c r="R163" s="26"/>
      <c r="S163" s="47"/>
      <c r="T163" s="4"/>
      <c r="U163" s="20">
        <f t="shared" si="3"/>
        <v>43549</v>
      </c>
      <c r="V163" s="47"/>
      <c r="W163" s="43"/>
      <c r="X163" s="66" t="e">
        <f>VLOOKUP(D163,#REF!,2,0)</f>
        <v>#REF!</v>
      </c>
      <c r="Y163" s="67" t="s">
        <v>2643</v>
      </c>
      <c r="Z163" s="67"/>
    </row>
    <row r="164" spans="1:26" ht="13.65" customHeight="1">
      <c r="A164" s="91">
        <v>163</v>
      </c>
      <c r="B164" s="19"/>
      <c r="C164" s="3" t="str">
        <f>VLOOKUP(D164,'lista 1'!$A$2:$F3682,4,0)</f>
        <v>TAJS GRZEGORZ</v>
      </c>
      <c r="D164" s="73">
        <v>2141</v>
      </c>
      <c r="E164" s="4" t="str">
        <f>VLOOKUP(D164,'lista 1'!$A$2:$F$1802,5,0)</f>
        <v>AC TL</v>
      </c>
      <c r="F164" s="59" t="str">
        <f>VLOOKUP(G164,'lista obszary'!A:B,2,0)</f>
        <v>HV</v>
      </c>
      <c r="G164" s="76" t="s">
        <v>2319</v>
      </c>
      <c r="H164" s="85" t="s">
        <v>534</v>
      </c>
      <c r="I164" s="59" t="str">
        <f>VLOOKUP(J164,'lista obszary'!A:B,2,0)</f>
        <v>HV</v>
      </c>
      <c r="J164" s="78" t="s">
        <v>2323</v>
      </c>
      <c r="K164" s="87" t="s">
        <v>1555</v>
      </c>
      <c r="L164" s="82" t="s">
        <v>2447</v>
      </c>
      <c r="M164" s="23"/>
      <c r="N164" s="23"/>
      <c r="O164" s="23"/>
      <c r="P164" s="19" t="s">
        <v>175</v>
      </c>
      <c r="Q164" s="26"/>
      <c r="R164" s="26"/>
      <c r="S164" s="47"/>
      <c r="T164" s="4"/>
      <c r="U164" s="20">
        <f t="shared" si="3"/>
        <v>43549</v>
      </c>
      <c r="V164" s="47"/>
      <c r="W164" s="43"/>
      <c r="X164" s="66" t="e">
        <f>VLOOKUP(D164,#REF!,2,0)</f>
        <v>#REF!</v>
      </c>
      <c r="Y164" s="67" t="b">
        <f>F164=I164</f>
        <v>1</v>
      </c>
      <c r="Z164" s="67"/>
    </row>
    <row r="165" spans="1:26" ht="13.65" customHeight="1">
      <c r="A165" s="91">
        <v>164</v>
      </c>
      <c r="B165" s="19"/>
      <c r="C165" s="3" t="e">
        <f>VLOOKUP(D165,'lista 1'!$A$2:$F3683,4,0)</f>
        <v>#N/A</v>
      </c>
      <c r="D165" s="73">
        <v>70381</v>
      </c>
      <c r="E165" s="4" t="e">
        <f>VLOOKUP(D165,'lista 1'!$A$2:$F$1802,5,0)</f>
        <v>#N/A</v>
      </c>
      <c r="F165" s="59" t="str">
        <f>VLOOKUP(G165,'lista obszary'!A:B,2,0)</f>
        <v>HV</v>
      </c>
      <c r="G165" s="76" t="s">
        <v>2073</v>
      </c>
      <c r="H165" s="85" t="s">
        <v>1904</v>
      </c>
      <c r="I165" s="59" t="str">
        <f>VLOOKUP(J165,'lista obszary'!A:B,2,0)</f>
        <v>HV</v>
      </c>
      <c r="J165" s="78" t="s">
        <v>2323</v>
      </c>
      <c r="K165" s="87" t="s">
        <v>1555</v>
      </c>
      <c r="L165" s="82" t="s">
        <v>2447</v>
      </c>
      <c r="M165" s="23"/>
      <c r="N165" s="23"/>
      <c r="O165" s="23"/>
      <c r="P165" s="19" t="s">
        <v>175</v>
      </c>
      <c r="Q165" s="26"/>
      <c r="R165" s="26"/>
      <c r="S165" s="47"/>
      <c r="T165" s="4"/>
      <c r="U165" s="20">
        <f t="shared" si="3"/>
        <v>43549</v>
      </c>
      <c r="V165" s="47"/>
      <c r="W165" s="43"/>
      <c r="X165" s="66" t="e">
        <f>VLOOKUP(D165,#REF!,2,0)</f>
        <v>#REF!</v>
      </c>
      <c r="Y165" s="67" t="s">
        <v>2643</v>
      </c>
      <c r="Z165" s="67"/>
    </row>
    <row r="166" spans="1:26" ht="13.65" customHeight="1">
      <c r="A166" s="91">
        <v>165</v>
      </c>
      <c r="B166" s="19"/>
      <c r="C166" s="3" t="e">
        <f>VLOOKUP(D166,'lista 1'!$A$2:$F3684,4,0)</f>
        <v>#N/A</v>
      </c>
      <c r="D166" s="73">
        <v>64252</v>
      </c>
      <c r="E166" s="4" t="e">
        <f>VLOOKUP(D166,'lista 1'!$A$2:$F$1802,5,0)</f>
        <v>#N/A</v>
      </c>
      <c r="F166" s="59" t="str">
        <f>VLOOKUP(G166,'lista obszary'!A:B,2,0)</f>
        <v>HV</v>
      </c>
      <c r="G166" s="76" t="s">
        <v>2073</v>
      </c>
      <c r="H166" s="85" t="s">
        <v>1904</v>
      </c>
      <c r="I166" s="59" t="str">
        <f>VLOOKUP(J166,'lista obszary'!A:B,2,0)</f>
        <v>HV</v>
      </c>
      <c r="J166" s="78" t="s">
        <v>2323</v>
      </c>
      <c r="K166" s="87" t="s">
        <v>1555</v>
      </c>
      <c r="L166" s="82" t="s">
        <v>2447</v>
      </c>
      <c r="M166" s="23"/>
      <c r="N166" s="23"/>
      <c r="O166" s="23"/>
      <c r="P166" s="19" t="s">
        <v>175</v>
      </c>
      <c r="Q166" s="26"/>
      <c r="R166" s="26"/>
      <c r="S166" s="47"/>
      <c r="T166" s="4"/>
      <c r="U166" s="20">
        <f t="shared" si="3"/>
        <v>43549</v>
      </c>
      <c r="V166" s="47"/>
      <c r="W166" s="43"/>
      <c r="X166" s="66" t="e">
        <f>VLOOKUP(D166,#REF!,2,0)</f>
        <v>#REF!</v>
      </c>
      <c r="Y166" s="67" t="s">
        <v>2643</v>
      </c>
      <c r="Z166" s="67"/>
    </row>
    <row r="167" spans="1:26" ht="13.65" customHeight="1">
      <c r="A167" s="91">
        <v>166</v>
      </c>
      <c r="B167" s="19"/>
      <c r="C167" s="3" t="e">
        <f>VLOOKUP(D167,'lista 1'!$A$2:$F3685,4,0)</f>
        <v>#N/A</v>
      </c>
      <c r="D167" s="73">
        <v>64376</v>
      </c>
      <c r="E167" s="4" t="e">
        <f>VLOOKUP(D167,'lista 1'!$A$2:$F$1802,5,0)</f>
        <v>#N/A</v>
      </c>
      <c r="F167" s="59" t="str">
        <f>VLOOKUP(G167,'lista obszary'!A:B,2,0)</f>
        <v>HV</v>
      </c>
      <c r="G167" s="76" t="s">
        <v>2319</v>
      </c>
      <c r="H167" s="85" t="s">
        <v>534</v>
      </c>
      <c r="I167" s="59" t="str">
        <f>VLOOKUP(J167,'lista obszary'!A:B,2,0)</f>
        <v>HV</v>
      </c>
      <c r="J167" s="78" t="s">
        <v>2323</v>
      </c>
      <c r="K167" s="87" t="s">
        <v>1555</v>
      </c>
      <c r="L167" s="82" t="s">
        <v>2447</v>
      </c>
      <c r="M167" s="23"/>
      <c r="N167" s="23"/>
      <c r="O167" s="23"/>
      <c r="P167" s="19" t="s">
        <v>175</v>
      </c>
      <c r="Q167" s="26"/>
      <c r="R167" s="26"/>
      <c r="S167" s="47"/>
      <c r="T167" s="4"/>
      <c r="U167" s="20">
        <f t="shared" si="3"/>
        <v>43549</v>
      </c>
      <c r="V167" s="47"/>
      <c r="W167" s="43"/>
      <c r="X167" s="66" t="e">
        <f>VLOOKUP(D167,#REF!,2,0)</f>
        <v>#REF!</v>
      </c>
      <c r="Y167" s="67" t="s">
        <v>2643</v>
      </c>
      <c r="Z167" s="67"/>
    </row>
    <row r="168" spans="1:26" ht="13.65" customHeight="1">
      <c r="A168" s="91">
        <v>167</v>
      </c>
      <c r="B168" s="19"/>
      <c r="C168" s="3" t="e">
        <f>VLOOKUP(D168,'lista 1'!$A$2:$F3686,4,0)</f>
        <v>#N/A</v>
      </c>
      <c r="D168" s="73">
        <v>64375</v>
      </c>
      <c r="E168" s="4" t="e">
        <f>VLOOKUP(D168,'lista 1'!$A$2:$F$1802,5,0)</f>
        <v>#N/A</v>
      </c>
      <c r="F168" s="59" t="str">
        <f>VLOOKUP(G168,'lista obszary'!A:B,2,0)</f>
        <v>HV</v>
      </c>
      <c r="G168" s="76" t="s">
        <v>2319</v>
      </c>
      <c r="H168" s="85" t="s">
        <v>534</v>
      </c>
      <c r="I168" s="59" t="str">
        <f>VLOOKUP(J168,'lista obszary'!A:B,2,0)</f>
        <v>HV</v>
      </c>
      <c r="J168" s="78" t="s">
        <v>2323</v>
      </c>
      <c r="K168" s="87" t="s">
        <v>1555</v>
      </c>
      <c r="L168" s="82" t="s">
        <v>2447</v>
      </c>
      <c r="M168" s="23"/>
      <c r="N168" s="23"/>
      <c r="O168" s="23"/>
      <c r="P168" s="19" t="s">
        <v>175</v>
      </c>
      <c r="Q168" s="26"/>
      <c r="R168" s="26"/>
      <c r="S168" s="47"/>
      <c r="T168" s="4"/>
      <c r="U168" s="20">
        <f t="shared" si="3"/>
        <v>43549</v>
      </c>
      <c r="V168" s="47"/>
      <c r="W168" s="43"/>
      <c r="X168" s="66" t="e">
        <f>VLOOKUP(D168,#REF!,2,0)</f>
        <v>#REF!</v>
      </c>
      <c r="Y168" s="67" t="s">
        <v>2643</v>
      </c>
      <c r="Z168" s="67"/>
    </row>
    <row r="169" spans="1:26" ht="13.65" customHeight="1">
      <c r="A169" s="91">
        <v>168</v>
      </c>
      <c r="B169" s="19"/>
      <c r="C169" s="3" t="str">
        <f>VLOOKUP(D169,'lista 1'!$A$2:$F3687,4,0)</f>
        <v>JÓŹWIAKOWSKI MICHAŁ</v>
      </c>
      <c r="D169" s="73">
        <v>1863</v>
      </c>
      <c r="E169" s="4" t="str">
        <f>VLOOKUP(D169,'lista 1'!$A$2:$F$1802,5,0)</f>
        <v>TM2</v>
      </c>
      <c r="F169" s="59" t="str">
        <f>VLOOKUP(G169,'lista obszary'!A:B,2,0)</f>
        <v>HV</v>
      </c>
      <c r="G169" s="76" t="s">
        <v>2319</v>
      </c>
      <c r="H169" s="85" t="s">
        <v>534</v>
      </c>
      <c r="I169" s="59" t="str">
        <f>VLOOKUP(J169,'lista obszary'!A:B,2,0)</f>
        <v>HV</v>
      </c>
      <c r="J169" s="78" t="s">
        <v>2323</v>
      </c>
      <c r="K169" s="87" t="s">
        <v>1555</v>
      </c>
      <c r="L169" s="82" t="s">
        <v>2447</v>
      </c>
      <c r="M169" s="23"/>
      <c r="N169" s="23"/>
      <c r="O169" s="23"/>
      <c r="P169" s="19" t="s">
        <v>175</v>
      </c>
      <c r="Q169" s="26"/>
      <c r="R169" s="26"/>
      <c r="S169" s="47"/>
      <c r="T169" s="4"/>
      <c r="U169" s="20">
        <f t="shared" si="3"/>
        <v>43549</v>
      </c>
      <c r="V169" s="47"/>
      <c r="W169" s="43"/>
      <c r="X169" s="66" t="e">
        <f>VLOOKUP(D169,#REF!,2,0)</f>
        <v>#REF!</v>
      </c>
      <c r="Y169" s="67" t="b">
        <f>F169=I169</f>
        <v>1</v>
      </c>
      <c r="Z169" s="67"/>
    </row>
    <row r="170" spans="1:26" ht="13.65" customHeight="1">
      <c r="A170" s="91">
        <v>169</v>
      </c>
      <c r="B170" s="19"/>
      <c r="C170" s="3" t="e">
        <f>VLOOKUP(D170,'lista 1'!$A$2:$F3688,4,0)</f>
        <v>#N/A</v>
      </c>
      <c r="D170" s="73">
        <v>70488</v>
      </c>
      <c r="E170" s="4" t="e">
        <f>VLOOKUP(D170,'lista 1'!$A$2:$F$1802,5,0)</f>
        <v>#N/A</v>
      </c>
      <c r="F170" s="59" t="str">
        <f>VLOOKUP(G170,'lista obszary'!A:B,2,0)</f>
        <v>HV</v>
      </c>
      <c r="G170" s="76" t="s">
        <v>2319</v>
      </c>
      <c r="H170" s="85" t="s">
        <v>534</v>
      </c>
      <c r="I170" s="59" t="str">
        <f>VLOOKUP(J170,'lista obszary'!A:B,2,0)</f>
        <v>HV</v>
      </c>
      <c r="J170" s="78" t="s">
        <v>2323</v>
      </c>
      <c r="K170" s="87" t="s">
        <v>1555</v>
      </c>
      <c r="L170" s="82" t="s">
        <v>2447</v>
      </c>
      <c r="M170" s="23"/>
      <c r="N170" s="23"/>
      <c r="O170" s="23"/>
      <c r="P170" s="19" t="s">
        <v>175</v>
      </c>
      <c r="Q170" s="26"/>
      <c r="R170" s="26"/>
      <c r="S170" s="47"/>
      <c r="T170" s="4"/>
      <c r="U170" s="20">
        <f t="shared" si="3"/>
        <v>43549</v>
      </c>
      <c r="V170" s="47"/>
      <c r="W170" s="43"/>
      <c r="X170" s="66" t="e">
        <f>VLOOKUP(D170,#REF!,2,0)</f>
        <v>#REF!</v>
      </c>
      <c r="Y170" s="67" t="s">
        <v>2643</v>
      </c>
      <c r="Z170" s="67"/>
    </row>
    <row r="171" spans="1:26" ht="13.65" customHeight="1">
      <c r="A171" s="91">
        <v>170</v>
      </c>
      <c r="B171" s="19"/>
      <c r="C171" s="3" t="str">
        <f>VLOOKUP(D171,'lista 1'!$A$2:$F3689,4,0)</f>
        <v>JĘDRASZCZYK PRZEMYSŁAW</v>
      </c>
      <c r="D171" s="73">
        <v>516</v>
      </c>
      <c r="E171" s="4" t="str">
        <f>VLOOKUP(D171,'lista 1'!$A$2:$F$1802,5,0)</f>
        <v>TM2</v>
      </c>
      <c r="F171" s="59" t="str">
        <f>VLOOKUP(G171,'lista obszary'!A:B,2,0)</f>
        <v>HV</v>
      </c>
      <c r="G171" s="76" t="s">
        <v>2323</v>
      </c>
      <c r="H171" s="85" t="s">
        <v>1555</v>
      </c>
      <c r="I171" s="59" t="str">
        <f>VLOOKUP(J171,'lista obszary'!A:B,2,0)</f>
        <v>HV</v>
      </c>
      <c r="J171" s="78" t="s">
        <v>2323</v>
      </c>
      <c r="K171" s="87" t="s">
        <v>1555</v>
      </c>
      <c r="L171" s="82" t="s">
        <v>2447</v>
      </c>
      <c r="M171" s="23"/>
      <c r="N171" s="23"/>
      <c r="O171" s="23"/>
      <c r="P171" s="19" t="s">
        <v>175</v>
      </c>
      <c r="Q171" s="26"/>
      <c r="R171" s="26"/>
      <c r="S171" s="47"/>
      <c r="T171" s="4"/>
      <c r="U171" s="20">
        <f t="shared" si="3"/>
        <v>43549</v>
      </c>
      <c r="V171" s="47"/>
      <c r="W171" s="43"/>
      <c r="X171" s="66" t="e">
        <f>VLOOKUP(D171,#REF!,2,0)</f>
        <v>#REF!</v>
      </c>
      <c r="Y171" s="67" t="b">
        <f>F171=I171</f>
        <v>1</v>
      </c>
    </row>
    <row r="172" spans="1:26" ht="13.65" customHeight="1">
      <c r="A172" s="91">
        <v>171</v>
      </c>
      <c r="B172" s="19"/>
      <c r="C172" s="3" t="str">
        <f>VLOOKUP(D172,'lista 1'!$A$2:$F3690,4,0)</f>
        <v>SOKULSKI PAWEŁ</v>
      </c>
      <c r="D172" s="73">
        <v>1522</v>
      </c>
      <c r="E172" s="4" t="str">
        <f>VLOOKUP(D172,'lista 1'!$A$2:$F$1802,5,0)</f>
        <v>TM2</v>
      </c>
      <c r="F172" s="59" t="str">
        <f>VLOOKUP(G172,'lista obszary'!A:B,2,0)</f>
        <v>HV</v>
      </c>
      <c r="G172" s="76" t="s">
        <v>2319</v>
      </c>
      <c r="H172" s="85" t="s">
        <v>1555</v>
      </c>
      <c r="I172" s="59" t="str">
        <f>VLOOKUP(J172,'lista obszary'!A:B,2,0)</f>
        <v>HV</v>
      </c>
      <c r="J172" s="78" t="s">
        <v>2323</v>
      </c>
      <c r="K172" s="87" t="s">
        <v>1555</v>
      </c>
      <c r="L172" s="82" t="s">
        <v>2447</v>
      </c>
      <c r="M172" s="23"/>
      <c r="N172" s="23"/>
      <c r="O172" s="23"/>
      <c r="P172" s="19" t="s">
        <v>175</v>
      </c>
      <c r="Q172" s="26"/>
      <c r="R172" s="26"/>
      <c r="S172" s="47"/>
      <c r="T172" s="4"/>
      <c r="U172" s="20">
        <f t="shared" si="3"/>
        <v>43549</v>
      </c>
      <c r="V172" s="47"/>
      <c r="W172" s="43"/>
      <c r="X172" s="66" t="e">
        <f>VLOOKUP(D172,#REF!,2,0)</f>
        <v>#REF!</v>
      </c>
      <c r="Y172" s="67" t="s">
        <v>2643</v>
      </c>
      <c r="Z172" s="67"/>
    </row>
    <row r="173" spans="1:26" ht="13.65" customHeight="1">
      <c r="A173" s="91">
        <v>172</v>
      </c>
      <c r="B173" s="19"/>
      <c r="C173" s="3" t="str">
        <f>VLOOKUP(D173,'lista 1'!$A$2:$F3691,4,0)</f>
        <v>KUNICKA MAGDALENA</v>
      </c>
      <c r="D173" s="73">
        <v>2153</v>
      </c>
      <c r="E173" s="4" t="str">
        <f>VLOOKUP(D173,'lista 1'!$A$2:$F$1802,5,0)</f>
        <v>TM2</v>
      </c>
      <c r="F173" s="59" t="str">
        <f>VLOOKUP(G173,'lista obszary'!A:B,2,0)</f>
        <v>HV</v>
      </c>
      <c r="G173" s="76" t="s">
        <v>2319</v>
      </c>
      <c r="H173" s="85" t="s">
        <v>1555</v>
      </c>
      <c r="I173" s="59" t="str">
        <f>VLOOKUP(J173,'lista obszary'!A:B,2,0)</f>
        <v>HV</v>
      </c>
      <c r="J173" s="78" t="s">
        <v>2323</v>
      </c>
      <c r="K173" s="87" t="s">
        <v>1555</v>
      </c>
      <c r="L173" s="82" t="s">
        <v>2447</v>
      </c>
      <c r="M173" s="23"/>
      <c r="N173" s="23"/>
      <c r="O173" s="23"/>
      <c r="P173" s="19" t="s">
        <v>175</v>
      </c>
      <c r="Q173" s="26"/>
      <c r="R173" s="26"/>
      <c r="S173" s="47"/>
      <c r="T173" s="4"/>
      <c r="U173" s="20">
        <f t="shared" si="3"/>
        <v>43549</v>
      </c>
      <c r="V173" s="47"/>
      <c r="W173" s="43"/>
      <c r="X173" s="66" t="e">
        <f>VLOOKUP(D173,#REF!,2,0)</f>
        <v>#REF!</v>
      </c>
      <c r="Y173" s="67" t="s">
        <v>2643</v>
      </c>
      <c r="Z173" s="67"/>
    </row>
    <row r="174" spans="1:26" ht="13.65" customHeight="1">
      <c r="A174" s="91">
        <v>173</v>
      </c>
      <c r="B174" s="19"/>
      <c r="C174" s="3" t="e">
        <f>VLOOKUP(D174,'lista 1'!$A$2:$F3692,4,0)</f>
        <v>#N/A</v>
      </c>
      <c r="D174" s="73">
        <v>2164</v>
      </c>
      <c r="E174" s="4" t="e">
        <f>VLOOKUP(D174,'lista 1'!$A$2:$F$1802,5,0)</f>
        <v>#N/A</v>
      </c>
      <c r="F174" s="59" t="str">
        <f>VLOOKUP(G174,'lista obszary'!A:B,2,0)</f>
        <v>HV</v>
      </c>
      <c r="G174" s="76" t="s">
        <v>2319</v>
      </c>
      <c r="H174" s="85" t="s">
        <v>1555</v>
      </c>
      <c r="I174" s="59" t="str">
        <f>VLOOKUP(J174,'lista obszary'!A:B,2,0)</f>
        <v>HV</v>
      </c>
      <c r="J174" s="78" t="s">
        <v>2323</v>
      </c>
      <c r="K174" s="87" t="s">
        <v>1555</v>
      </c>
      <c r="L174" s="82" t="s">
        <v>2447</v>
      </c>
      <c r="M174" s="23"/>
      <c r="N174" s="23"/>
      <c r="O174" s="23"/>
      <c r="P174" s="19" t="s">
        <v>175</v>
      </c>
      <c r="Q174" s="26"/>
      <c r="R174" s="26"/>
      <c r="S174" s="47"/>
      <c r="T174" s="4"/>
      <c r="U174" s="20">
        <f t="shared" si="3"/>
        <v>43549</v>
      </c>
      <c r="V174" s="47"/>
      <c r="W174" s="43"/>
      <c r="X174" s="66" t="e">
        <f>VLOOKUP(D174,#REF!,2,0)</f>
        <v>#REF!</v>
      </c>
      <c r="Y174" s="67" t="s">
        <v>2643</v>
      </c>
      <c r="Z174" s="67"/>
    </row>
    <row r="175" spans="1:26" ht="13.65" customHeight="1">
      <c r="A175" s="91">
        <v>174</v>
      </c>
      <c r="B175" s="19"/>
      <c r="C175" s="3" t="e">
        <f>VLOOKUP(D175,'lista 1'!$A$2:$F3693,4,0)</f>
        <v>#N/A</v>
      </c>
      <c r="D175" s="73">
        <v>64259</v>
      </c>
      <c r="E175" s="4" t="e">
        <f>VLOOKUP(D175,'lista 1'!$A$2:$F$1802,5,0)</f>
        <v>#N/A</v>
      </c>
      <c r="F175" s="59" t="str">
        <f>VLOOKUP(G175,'lista obszary'!A:B,2,0)</f>
        <v>HV</v>
      </c>
      <c r="G175" s="76" t="s">
        <v>2319</v>
      </c>
      <c r="H175" s="85" t="s">
        <v>1555</v>
      </c>
      <c r="I175" s="59" t="str">
        <f>VLOOKUP(J175,'lista obszary'!A:B,2,0)</f>
        <v>HV</v>
      </c>
      <c r="J175" s="78" t="s">
        <v>2323</v>
      </c>
      <c r="K175" s="87" t="s">
        <v>1555</v>
      </c>
      <c r="L175" s="82" t="s">
        <v>2447</v>
      </c>
      <c r="M175" s="23"/>
      <c r="N175" s="23"/>
      <c r="O175" s="23"/>
      <c r="P175" s="19" t="s">
        <v>175</v>
      </c>
      <c r="Q175" s="26"/>
      <c r="R175" s="26"/>
      <c r="S175" s="47"/>
      <c r="T175" s="4"/>
      <c r="U175" s="20">
        <f t="shared" si="3"/>
        <v>43549</v>
      </c>
      <c r="V175" s="47"/>
      <c r="W175" s="43"/>
      <c r="X175" s="66" t="e">
        <f>VLOOKUP(D175,#REF!,2,0)</f>
        <v>#REF!</v>
      </c>
      <c r="Y175" s="67" t="s">
        <v>2643</v>
      </c>
      <c r="Z175" s="67"/>
    </row>
    <row r="176" spans="1:26" ht="13.65" customHeight="1">
      <c r="A176" s="91">
        <v>175</v>
      </c>
      <c r="B176" s="19"/>
      <c r="C176" s="3" t="e">
        <f>VLOOKUP(D176,'lista 1'!$A$2:$F3694,4,0)</f>
        <v>#N/A</v>
      </c>
      <c r="D176" s="73">
        <v>70400</v>
      </c>
      <c r="E176" s="4" t="e">
        <f>VLOOKUP(D176,'lista 1'!$A$2:$F$1802,5,0)</f>
        <v>#N/A</v>
      </c>
      <c r="F176" s="59" t="str">
        <f>VLOOKUP(G176,'lista obszary'!A:B,2,0)</f>
        <v>HV</v>
      </c>
      <c r="G176" s="76" t="s">
        <v>2073</v>
      </c>
      <c r="H176" s="85" t="s">
        <v>1555</v>
      </c>
      <c r="I176" s="59" t="str">
        <f>VLOOKUP(J176,'lista obszary'!A:B,2,0)</f>
        <v>HV</v>
      </c>
      <c r="J176" s="78" t="s">
        <v>2323</v>
      </c>
      <c r="K176" s="87" t="s">
        <v>1555</v>
      </c>
      <c r="L176" s="82" t="s">
        <v>2447</v>
      </c>
      <c r="M176" s="23"/>
      <c r="N176" s="23"/>
      <c r="O176" s="23"/>
      <c r="P176" s="19" t="s">
        <v>175</v>
      </c>
      <c r="Q176" s="26"/>
      <c r="R176" s="26"/>
      <c r="S176" s="47"/>
      <c r="T176" s="4"/>
      <c r="U176" s="20">
        <f t="shared" si="3"/>
        <v>43549</v>
      </c>
      <c r="V176" s="47"/>
      <c r="W176" s="43"/>
      <c r="X176" s="66" t="e">
        <f>VLOOKUP(D176,#REF!,2,0)</f>
        <v>#REF!</v>
      </c>
      <c r="Y176" s="67" t="s">
        <v>2643</v>
      </c>
      <c r="Z176" s="67"/>
    </row>
    <row r="177" spans="1:26" ht="13.65" customHeight="1">
      <c r="A177" s="91">
        <v>176</v>
      </c>
      <c r="B177" s="19"/>
      <c r="C177" s="3" t="e">
        <f>VLOOKUP(D177,'lista 1'!$A$2:$F3695,4,0)</f>
        <v>#N/A</v>
      </c>
      <c r="D177" s="73">
        <v>64283</v>
      </c>
      <c r="E177" s="4" t="e">
        <f>VLOOKUP(D177,'lista 1'!$A$2:$F$1802,5,0)</f>
        <v>#N/A</v>
      </c>
      <c r="F177" s="59" t="str">
        <f>VLOOKUP(G177,'lista obszary'!A:B,2,0)</f>
        <v>HV</v>
      </c>
      <c r="G177" s="76" t="s">
        <v>2073</v>
      </c>
      <c r="H177" s="85" t="s">
        <v>1555</v>
      </c>
      <c r="I177" s="59" t="str">
        <f>VLOOKUP(J177,'lista obszary'!A:B,2,0)</f>
        <v>HV</v>
      </c>
      <c r="J177" s="78" t="s">
        <v>2323</v>
      </c>
      <c r="K177" s="87" t="s">
        <v>1555</v>
      </c>
      <c r="L177" s="82" t="s">
        <v>2447</v>
      </c>
      <c r="M177" s="23"/>
      <c r="N177" s="23"/>
      <c r="O177" s="23"/>
      <c r="P177" s="19" t="s">
        <v>175</v>
      </c>
      <c r="Q177" s="26"/>
      <c r="R177" s="26"/>
      <c r="S177" s="47"/>
      <c r="T177" s="4"/>
      <c r="U177" s="20">
        <f t="shared" si="3"/>
        <v>43549</v>
      </c>
      <c r="V177" s="47"/>
      <c r="W177" s="43"/>
      <c r="X177" s="66" t="e">
        <f>VLOOKUP(D177,#REF!,2,0)</f>
        <v>#REF!</v>
      </c>
      <c r="Y177" s="67" t="s">
        <v>2643</v>
      </c>
      <c r="Z177" s="67"/>
    </row>
    <row r="178" spans="1:26" ht="13.65" customHeight="1">
      <c r="A178" s="91">
        <v>177</v>
      </c>
      <c r="B178" s="19"/>
      <c r="C178" s="3" t="str">
        <f>VLOOKUP(D178,'lista 1'!$A$2:$F3696,4,0)</f>
        <v>FORYŚ KATARZYNA</v>
      </c>
      <c r="D178" s="73">
        <v>2158</v>
      </c>
      <c r="E178" s="4" t="str">
        <f>VLOOKUP(D178,'lista 1'!$A$2:$F$1802,5,0)</f>
        <v>TM2</v>
      </c>
      <c r="F178" s="59" t="str">
        <f>VLOOKUP(G178,'lista obszary'!A:B,2,0)</f>
        <v>HV</v>
      </c>
      <c r="G178" s="76" t="s">
        <v>2319</v>
      </c>
      <c r="H178" s="85" t="s">
        <v>1555</v>
      </c>
      <c r="I178" s="59" t="str">
        <f>VLOOKUP(J178,'lista obszary'!A:B,2,0)</f>
        <v>HV</v>
      </c>
      <c r="J178" s="78" t="s">
        <v>2323</v>
      </c>
      <c r="K178" s="87" t="s">
        <v>1555</v>
      </c>
      <c r="L178" s="82" t="s">
        <v>2447</v>
      </c>
      <c r="M178" s="23"/>
      <c r="N178" s="23"/>
      <c r="O178" s="23"/>
      <c r="P178" s="19" t="s">
        <v>175</v>
      </c>
      <c r="Q178" s="26"/>
      <c r="R178" s="26"/>
      <c r="S178" s="47"/>
      <c r="T178" s="4"/>
      <c r="U178" s="20">
        <f t="shared" si="3"/>
        <v>43549</v>
      </c>
      <c r="V178" s="47"/>
      <c r="W178" s="43"/>
      <c r="X178" s="66" t="e">
        <f>VLOOKUP(D178,#REF!,2,0)</f>
        <v>#REF!</v>
      </c>
      <c r="Y178" s="67" t="b">
        <f>F178=I178</f>
        <v>1</v>
      </c>
      <c r="Z178" s="67"/>
    </row>
    <row r="179" spans="1:26" ht="13.65" customHeight="1">
      <c r="A179" s="91">
        <v>178</v>
      </c>
      <c r="B179" s="19"/>
      <c r="C179" s="3" t="str">
        <f>VLOOKUP(D179,'lista 1'!$A$2:$F3697,4,0)</f>
        <v>KARWIK ZBIGNIEW</v>
      </c>
      <c r="D179" s="73">
        <v>279</v>
      </c>
      <c r="E179" s="4" t="str">
        <f>VLOOKUP(D179,'lista 1'!$A$2:$F$1802,5,0)</f>
        <v>GRL</v>
      </c>
      <c r="F179" s="59" t="str">
        <f>VLOOKUP(G179,'lista obszary'!A:B,2,0)</f>
        <v>HV</v>
      </c>
      <c r="G179" s="76" t="s">
        <v>2319</v>
      </c>
      <c r="H179" s="85" t="s">
        <v>534</v>
      </c>
      <c r="I179" s="59" t="str">
        <f>VLOOKUP(J179,'lista obszary'!A:B,2,0)</f>
        <v>HV</v>
      </c>
      <c r="J179" s="78" t="s">
        <v>2073</v>
      </c>
      <c r="K179" s="87" t="s">
        <v>2471</v>
      </c>
      <c r="L179" s="82" t="s">
        <v>2447</v>
      </c>
      <c r="M179" s="23"/>
      <c r="N179" s="23"/>
      <c r="O179" s="23"/>
      <c r="P179" s="19" t="s">
        <v>175</v>
      </c>
      <c r="Q179" s="26"/>
      <c r="R179" s="26"/>
      <c r="S179" s="47"/>
      <c r="T179" s="4"/>
      <c r="U179" s="20">
        <f t="shared" si="3"/>
        <v>43549</v>
      </c>
      <c r="V179" s="47"/>
      <c r="W179" s="43"/>
      <c r="X179" s="66" t="e">
        <f>VLOOKUP(D179,#REF!,2,0)</f>
        <v>#REF!</v>
      </c>
      <c r="Y179" s="67" t="s">
        <v>2643</v>
      </c>
      <c r="Z179" s="67"/>
    </row>
    <row r="180" spans="1:26" ht="13.65" customHeight="1">
      <c r="A180" s="91">
        <v>179</v>
      </c>
      <c r="B180" s="19"/>
      <c r="C180" s="3" t="str">
        <f>VLOOKUP(D180,'lista 1'!$A$2:$F3698,4,0)</f>
        <v>KOLENKIEWICZ JACEK</v>
      </c>
      <c r="D180" s="73">
        <v>874</v>
      </c>
      <c r="E180" s="4" t="str">
        <f>VLOOKUP(D180,'lista 1'!$A$2:$F$1802,5,0)</f>
        <v>TL2</v>
      </c>
      <c r="F180" s="59" t="str">
        <f>VLOOKUP(G180,'lista obszary'!A:B,2,0)</f>
        <v>HV</v>
      </c>
      <c r="G180" s="76" t="s">
        <v>2323</v>
      </c>
      <c r="H180" s="85" t="s">
        <v>1555</v>
      </c>
      <c r="I180" s="59" t="str">
        <f>VLOOKUP(J180,'lista obszary'!A:B,2,0)</f>
        <v>HV</v>
      </c>
      <c r="J180" s="78" t="s">
        <v>2073</v>
      </c>
      <c r="K180" s="87" t="s">
        <v>2471</v>
      </c>
      <c r="L180" s="82" t="s">
        <v>2447</v>
      </c>
      <c r="M180" s="23"/>
      <c r="N180" s="23"/>
      <c r="O180" s="23"/>
      <c r="P180" s="19" t="s">
        <v>175</v>
      </c>
      <c r="Q180" s="26"/>
      <c r="R180" s="26"/>
      <c r="S180" s="47"/>
      <c r="T180" s="4"/>
      <c r="U180" s="20">
        <f t="shared" si="3"/>
        <v>43549</v>
      </c>
      <c r="V180" s="47"/>
      <c r="W180" s="43"/>
      <c r="X180" s="66" t="e">
        <f>VLOOKUP(D180,#REF!,2,0)</f>
        <v>#REF!</v>
      </c>
      <c r="Y180" s="67" t="s">
        <v>2643</v>
      </c>
      <c r="Z180" s="67"/>
    </row>
    <row r="181" spans="1:26" ht="13.65" customHeight="1">
      <c r="A181" s="91">
        <v>180</v>
      </c>
      <c r="B181" s="19"/>
      <c r="C181" s="3" t="str">
        <f>VLOOKUP(D181,'lista 1'!$A$2:$F3699,4,0)</f>
        <v>PIETRUSA DAMIAN</v>
      </c>
      <c r="D181" s="73">
        <v>618</v>
      </c>
      <c r="E181" s="4" t="str">
        <f>VLOOKUP(D181,'lista 1'!$A$2:$F$1802,5,0)</f>
        <v>GRL</v>
      </c>
      <c r="F181" s="59" t="str">
        <f>VLOOKUP(G181,'lista obszary'!A:B,2,0)</f>
        <v>HV</v>
      </c>
      <c r="G181" s="76" t="s">
        <v>2073</v>
      </c>
      <c r="H181" s="85" t="s">
        <v>1904</v>
      </c>
      <c r="I181" s="59" t="str">
        <f>VLOOKUP(J181,'lista obszary'!A:B,2,0)</f>
        <v>HV</v>
      </c>
      <c r="J181" s="78" t="s">
        <v>2073</v>
      </c>
      <c r="K181" s="87" t="s">
        <v>2471</v>
      </c>
      <c r="L181" s="82" t="s">
        <v>2447</v>
      </c>
      <c r="M181" s="23"/>
      <c r="N181" s="23"/>
      <c r="O181" s="23"/>
      <c r="P181" s="19" t="s">
        <v>175</v>
      </c>
      <c r="Q181" s="26"/>
      <c r="R181" s="26"/>
      <c r="S181" s="47"/>
      <c r="T181" s="4"/>
      <c r="U181" s="20">
        <f t="shared" si="3"/>
        <v>43549</v>
      </c>
      <c r="V181" s="47"/>
      <c r="W181" s="43"/>
      <c r="X181" s="66" t="e">
        <f>VLOOKUP(D181,#REF!,2,0)</f>
        <v>#REF!</v>
      </c>
      <c r="Y181" s="67" t="b">
        <f>F181=I181</f>
        <v>1</v>
      </c>
    </row>
    <row r="182" spans="1:26" ht="13.65" customHeight="1">
      <c r="A182" s="91">
        <v>181</v>
      </c>
      <c r="B182" s="19"/>
      <c r="C182" s="3" t="str">
        <f>VLOOKUP(D182,'lista 1'!$A$2:$F3700,4,0)</f>
        <v>WOJTAROWICZ TOMASZ</v>
      </c>
      <c r="D182" s="73">
        <v>428</v>
      </c>
      <c r="E182" s="4" t="str">
        <f>VLOOKUP(D182,'lista 1'!$A$2:$F$1802,5,0)</f>
        <v>TL</v>
      </c>
      <c r="F182" s="59" t="str">
        <f>VLOOKUP(G182,'lista obszary'!A:B,2,0)</f>
        <v>HV</v>
      </c>
      <c r="G182" s="76" t="s">
        <v>2319</v>
      </c>
      <c r="H182" s="85" t="s">
        <v>534</v>
      </c>
      <c r="I182" s="59" t="str">
        <f>VLOOKUP(J182,'lista obszary'!A:B,2,0)</f>
        <v>HV</v>
      </c>
      <c r="J182" s="78" t="s">
        <v>2073</v>
      </c>
      <c r="K182" s="87" t="s">
        <v>2471</v>
      </c>
      <c r="L182" s="82" t="s">
        <v>2447</v>
      </c>
      <c r="M182" s="23"/>
      <c r="N182" s="23"/>
      <c r="O182" s="23"/>
      <c r="P182" s="19" t="s">
        <v>175</v>
      </c>
      <c r="Q182" s="26"/>
      <c r="R182" s="26"/>
      <c r="S182" s="47"/>
      <c r="T182" s="4"/>
      <c r="U182" s="20">
        <f t="shared" si="3"/>
        <v>43549</v>
      </c>
      <c r="V182" s="47"/>
      <c r="W182" s="43"/>
      <c r="X182" s="66" t="e">
        <f>VLOOKUP(D182,#REF!,2,0)</f>
        <v>#REF!</v>
      </c>
      <c r="Y182" s="67" t="b">
        <f>F182=I182</f>
        <v>1</v>
      </c>
    </row>
    <row r="183" spans="1:26" ht="13.65" customHeight="1">
      <c r="A183" s="91">
        <v>182</v>
      </c>
      <c r="B183" s="19"/>
      <c r="C183" s="3" t="str">
        <f>VLOOKUP(D183,'lista 1'!$A$2:$F3701,4,0)</f>
        <v>JANKOWSKA ANNA</v>
      </c>
      <c r="D183" s="73">
        <v>566</v>
      </c>
      <c r="E183" s="4" t="str">
        <f>VLOOKUP(D183,'lista 1'!$A$2:$F$1802,5,0)</f>
        <v>TL</v>
      </c>
      <c r="F183" s="59" t="str">
        <f>VLOOKUP(G183,'lista obszary'!A:B,2,0)</f>
        <v>HV</v>
      </c>
      <c r="G183" s="76" t="s">
        <v>2323</v>
      </c>
      <c r="H183" s="85" t="s">
        <v>1555</v>
      </c>
      <c r="I183" s="59" t="str">
        <f>VLOOKUP(J183,'lista obszary'!A:B,2,0)</f>
        <v>HV</v>
      </c>
      <c r="J183" s="78" t="s">
        <v>2073</v>
      </c>
      <c r="K183" s="87" t="s">
        <v>2471</v>
      </c>
      <c r="L183" s="82" t="s">
        <v>2447</v>
      </c>
      <c r="M183" s="23"/>
      <c r="N183" s="23"/>
      <c r="O183" s="23"/>
      <c r="P183" s="19" t="s">
        <v>175</v>
      </c>
      <c r="Q183" s="26"/>
      <c r="R183" s="26"/>
      <c r="S183" s="47"/>
      <c r="T183" s="4"/>
      <c r="U183" s="20">
        <f t="shared" si="3"/>
        <v>43549</v>
      </c>
      <c r="V183" s="47"/>
      <c r="W183" s="43"/>
      <c r="X183" s="66" t="e">
        <f>VLOOKUP(D183,#REF!,2,0)</f>
        <v>#REF!</v>
      </c>
      <c r="Y183" s="67" t="s">
        <v>2643</v>
      </c>
      <c r="Z183" s="67"/>
    </row>
    <row r="184" spans="1:26" ht="13.65" customHeight="1">
      <c r="A184" s="91">
        <v>183</v>
      </c>
      <c r="B184" s="19"/>
      <c r="C184" s="3" t="str">
        <f>VLOOKUP(D184,'lista 1'!$A$2:$F3702,4,0)</f>
        <v>KUŹMIŃSKI ŁUKASZ</v>
      </c>
      <c r="D184" s="73">
        <v>1963</v>
      </c>
      <c r="E184" s="4" t="str">
        <f>VLOOKUP(D184,'lista 1'!$A$2:$F$1802,5,0)</f>
        <v>TM2</v>
      </c>
      <c r="F184" s="59" t="str">
        <f>VLOOKUP(G184,'lista obszary'!A:B,2,0)</f>
        <v>HV</v>
      </c>
      <c r="G184" s="76" t="s">
        <v>2323</v>
      </c>
      <c r="H184" s="85" t="s">
        <v>1555</v>
      </c>
      <c r="I184" s="59" t="str">
        <f>VLOOKUP(J184,'lista obszary'!A:B,2,0)</f>
        <v>HV</v>
      </c>
      <c r="J184" s="78" t="s">
        <v>2073</v>
      </c>
      <c r="K184" s="87" t="s">
        <v>2471</v>
      </c>
      <c r="L184" s="82" t="s">
        <v>2447</v>
      </c>
      <c r="M184" s="23"/>
      <c r="N184" s="23"/>
      <c r="O184" s="23"/>
      <c r="P184" s="19" t="s">
        <v>175</v>
      </c>
      <c r="Q184" s="26"/>
      <c r="R184" s="26"/>
      <c r="S184" s="47"/>
      <c r="T184" s="4"/>
      <c r="U184" s="20">
        <f t="shared" si="3"/>
        <v>43549</v>
      </c>
      <c r="V184" s="47"/>
      <c r="W184" s="43"/>
      <c r="X184" s="66" t="e">
        <f>VLOOKUP(D184,#REF!,2,0)</f>
        <v>#REF!</v>
      </c>
      <c r="Y184" s="67" t="s">
        <v>2643</v>
      </c>
      <c r="Z184" s="67"/>
    </row>
    <row r="185" spans="1:26" ht="13.65" customHeight="1">
      <c r="A185" s="91">
        <v>184</v>
      </c>
      <c r="B185" s="19"/>
      <c r="C185" s="3" t="str">
        <f>VLOOKUP(D185,'lista 1'!$A$2:$F3703,4,0)</f>
        <v>BEŁZAK ANNA</v>
      </c>
      <c r="D185" s="73">
        <v>2193</v>
      </c>
      <c r="E185" s="4" t="str">
        <f>VLOOKUP(D185,'lista 1'!$A$2:$F$1802,5,0)</f>
        <v>TM2</v>
      </c>
      <c r="F185" s="59" t="str">
        <f>VLOOKUP(G185,'lista obszary'!A:B,2,0)</f>
        <v>HV</v>
      </c>
      <c r="G185" s="76" t="s">
        <v>2323</v>
      </c>
      <c r="H185" s="85" t="s">
        <v>1555</v>
      </c>
      <c r="I185" s="59" t="str">
        <f>VLOOKUP(J185,'lista obszary'!A:B,2,0)</f>
        <v>HV</v>
      </c>
      <c r="J185" s="78" t="s">
        <v>2073</v>
      </c>
      <c r="K185" s="87" t="s">
        <v>2471</v>
      </c>
      <c r="L185" s="82" t="s">
        <v>2447</v>
      </c>
      <c r="M185" s="23"/>
      <c r="N185" s="23"/>
      <c r="O185" s="23"/>
      <c r="P185" s="19" t="s">
        <v>175</v>
      </c>
      <c r="Q185" s="26"/>
      <c r="R185" s="26"/>
      <c r="S185" s="47"/>
      <c r="T185" s="4"/>
      <c r="U185" s="20">
        <f t="shared" si="3"/>
        <v>43549</v>
      </c>
      <c r="V185" s="47"/>
      <c r="W185" s="43"/>
      <c r="X185" s="66" t="e">
        <f>VLOOKUP(D185,#REF!,2,0)</f>
        <v>#REF!</v>
      </c>
      <c r="Y185" s="67" t="s">
        <v>2643</v>
      </c>
      <c r="Z185" s="67"/>
    </row>
    <row r="186" spans="1:26" ht="13.65" customHeight="1">
      <c r="A186" s="91">
        <v>185</v>
      </c>
      <c r="B186" s="19"/>
      <c r="C186" s="3" t="str">
        <f>VLOOKUP(D186,'lista 1'!$A$2:$F3704,4,0)</f>
        <v>GŁOGOWSKA MARZENA</v>
      </c>
      <c r="D186" s="73">
        <v>1205</v>
      </c>
      <c r="E186" s="4" t="str">
        <f>VLOOKUP(D186,'lista 1'!$A$2:$F$1802,5,0)</f>
        <v>AC TL</v>
      </c>
      <c r="F186" s="59" t="str">
        <f>VLOOKUP(G186,'lista obszary'!A:B,2,0)</f>
        <v>HV</v>
      </c>
      <c r="G186" s="76" t="s">
        <v>2073</v>
      </c>
      <c r="H186" s="85" t="s">
        <v>1904</v>
      </c>
      <c r="I186" s="59" t="str">
        <f>VLOOKUP(J186,'lista obszary'!A:B,2,0)</f>
        <v>HV</v>
      </c>
      <c r="J186" s="78" t="s">
        <v>2073</v>
      </c>
      <c r="K186" s="87" t="s">
        <v>2471</v>
      </c>
      <c r="L186" s="82" t="s">
        <v>2447</v>
      </c>
      <c r="M186" s="23"/>
      <c r="N186" s="23"/>
      <c r="O186" s="23"/>
      <c r="P186" s="19" t="s">
        <v>175</v>
      </c>
      <c r="Q186" s="26"/>
      <c r="R186" s="26"/>
      <c r="S186" s="47"/>
      <c r="T186" s="4"/>
      <c r="U186" s="20">
        <f t="shared" si="3"/>
        <v>43549</v>
      </c>
      <c r="V186" s="47"/>
      <c r="W186" s="43"/>
      <c r="X186" s="66" t="e">
        <f>VLOOKUP(D186,#REF!,2,0)</f>
        <v>#REF!</v>
      </c>
      <c r="Y186" s="67" t="b">
        <f>F186=I186</f>
        <v>1</v>
      </c>
    </row>
    <row r="187" spans="1:26" ht="13.65" customHeight="1">
      <c r="A187" s="91">
        <v>186</v>
      </c>
      <c r="B187" s="19"/>
      <c r="C187" s="3" t="str">
        <f>VLOOKUP(D187,'lista 1'!$A$2:$F3705,4,0)</f>
        <v>JANC ROBERT</v>
      </c>
      <c r="D187" s="73">
        <v>2027</v>
      </c>
      <c r="E187" s="4" t="str">
        <f>VLOOKUP(D187,'lista 1'!$A$2:$F$1802,5,0)</f>
        <v>TM</v>
      </c>
      <c r="F187" s="59" t="str">
        <f>VLOOKUP(G187,'lista obszary'!A:B,2,0)</f>
        <v>HV</v>
      </c>
      <c r="G187" s="76" t="s">
        <v>2073</v>
      </c>
      <c r="H187" s="85" t="s">
        <v>1904</v>
      </c>
      <c r="I187" s="59" t="str">
        <f>VLOOKUP(J187,'lista obszary'!A:B,2,0)</f>
        <v>HV</v>
      </c>
      <c r="J187" s="78" t="s">
        <v>2073</v>
      </c>
      <c r="K187" s="87" t="s">
        <v>2471</v>
      </c>
      <c r="L187" s="82" t="s">
        <v>2447</v>
      </c>
      <c r="M187" s="23"/>
      <c r="N187" s="23"/>
      <c r="O187" s="23"/>
      <c r="P187" s="19" t="s">
        <v>175</v>
      </c>
      <c r="Q187" s="26"/>
      <c r="R187" s="26"/>
      <c r="S187" s="47"/>
      <c r="T187" s="4"/>
      <c r="U187" s="20">
        <f t="shared" si="3"/>
        <v>43549</v>
      </c>
      <c r="V187" s="47"/>
      <c r="W187" s="43"/>
      <c r="X187" s="66" t="e">
        <f>VLOOKUP(D187,#REF!,2,0)</f>
        <v>#REF!</v>
      </c>
      <c r="Y187" s="67" t="s">
        <v>2643</v>
      </c>
      <c r="Z187" s="67"/>
    </row>
    <row r="188" spans="1:26" ht="13.65" customHeight="1">
      <c r="A188" s="91">
        <v>187</v>
      </c>
      <c r="B188" s="19"/>
      <c r="C188" s="3" t="e">
        <f>VLOOKUP(D188,'lista 1'!$A$2:$F3706,4,0)</f>
        <v>#N/A</v>
      </c>
      <c r="D188" s="73">
        <v>1906</v>
      </c>
      <c r="E188" s="4" t="e">
        <f>VLOOKUP(D188,'lista 1'!$A$2:$F$1802,5,0)</f>
        <v>#N/A</v>
      </c>
      <c r="F188" s="59" t="str">
        <f>VLOOKUP(G188,'lista obszary'!A:B,2,0)</f>
        <v>HV</v>
      </c>
      <c r="G188" s="76" t="s">
        <v>2073</v>
      </c>
      <c r="H188" s="85" t="s">
        <v>1904</v>
      </c>
      <c r="I188" s="59" t="str">
        <f>VLOOKUP(J188,'lista obszary'!A:B,2,0)</f>
        <v>HV</v>
      </c>
      <c r="J188" s="78" t="s">
        <v>2073</v>
      </c>
      <c r="K188" s="87" t="s">
        <v>2471</v>
      </c>
      <c r="L188" s="82" t="s">
        <v>2447</v>
      </c>
      <c r="M188" s="23"/>
      <c r="N188" s="23"/>
      <c r="O188" s="23"/>
      <c r="P188" s="19" t="s">
        <v>175</v>
      </c>
      <c r="Q188" s="26"/>
      <c r="R188" s="26"/>
      <c r="S188" s="47"/>
      <c r="T188" s="4"/>
      <c r="U188" s="20">
        <f t="shared" si="3"/>
        <v>43549</v>
      </c>
      <c r="V188" s="47"/>
      <c r="W188" s="43"/>
      <c r="X188" s="66" t="e">
        <f>VLOOKUP(D188,#REF!,2,0)</f>
        <v>#REF!</v>
      </c>
      <c r="Y188" s="67" t="s">
        <v>2643</v>
      </c>
      <c r="Z188" s="67"/>
    </row>
    <row r="189" spans="1:26" ht="13.65" customHeight="1">
      <c r="A189" s="91">
        <v>188</v>
      </c>
      <c r="B189" s="19"/>
      <c r="C189" s="3" t="str">
        <f>VLOOKUP(D189,'lista 1'!$A$2:$F3707,4,0)</f>
        <v>FELINIAK SYLWIA</v>
      </c>
      <c r="D189" s="73">
        <v>1419</v>
      </c>
      <c r="E189" s="4" t="str">
        <f>VLOOKUP(D189,'lista 1'!$A$2:$F$1802,5,0)</f>
        <v>TM</v>
      </c>
      <c r="F189" s="59" t="str">
        <f>VLOOKUP(G189,'lista obszary'!A:B,2,0)</f>
        <v>HV</v>
      </c>
      <c r="G189" s="76" t="s">
        <v>2073</v>
      </c>
      <c r="H189" s="85" t="s">
        <v>1904</v>
      </c>
      <c r="I189" s="59" t="str">
        <f>VLOOKUP(J189,'lista obszary'!A:B,2,0)</f>
        <v>HV</v>
      </c>
      <c r="J189" s="78" t="s">
        <v>2073</v>
      </c>
      <c r="K189" s="87" t="s">
        <v>2471</v>
      </c>
      <c r="L189" s="82" t="s">
        <v>2447</v>
      </c>
      <c r="M189" s="23"/>
      <c r="N189" s="23"/>
      <c r="O189" s="23"/>
      <c r="P189" s="19" t="s">
        <v>175</v>
      </c>
      <c r="Q189" s="26"/>
      <c r="R189" s="26"/>
      <c r="S189" s="47"/>
      <c r="T189" s="4"/>
      <c r="U189" s="20">
        <f t="shared" si="3"/>
        <v>43549</v>
      </c>
      <c r="V189" s="47"/>
      <c r="W189" s="43"/>
      <c r="X189" s="66" t="e">
        <f>VLOOKUP(D189,#REF!,2,0)</f>
        <v>#REF!</v>
      </c>
      <c r="Y189" s="67" t="s">
        <v>2643</v>
      </c>
      <c r="Z189" s="67"/>
    </row>
    <row r="190" spans="1:26" ht="13.65" customHeight="1">
      <c r="A190" s="91">
        <v>189</v>
      </c>
      <c r="B190" s="19"/>
      <c r="C190" s="3" t="e">
        <f>VLOOKUP(D190,'lista 1'!$A$2:$F3708,4,0)</f>
        <v>#N/A</v>
      </c>
      <c r="D190" s="73">
        <v>70376</v>
      </c>
      <c r="E190" s="4" t="e">
        <f>VLOOKUP(D190,'lista 1'!$A$2:$F$1802,5,0)</f>
        <v>#N/A</v>
      </c>
      <c r="F190" s="59" t="str">
        <f>VLOOKUP(G190,'lista obszary'!A:B,2,0)</f>
        <v>HV</v>
      </c>
      <c r="G190" s="76" t="s">
        <v>2073</v>
      </c>
      <c r="H190" s="85" t="s">
        <v>1904</v>
      </c>
      <c r="I190" s="59" t="str">
        <f>VLOOKUP(J190,'lista obszary'!A:B,2,0)</f>
        <v>HV</v>
      </c>
      <c r="J190" s="78" t="s">
        <v>2073</v>
      </c>
      <c r="K190" s="87" t="s">
        <v>2471</v>
      </c>
      <c r="L190" s="82" t="s">
        <v>2447</v>
      </c>
      <c r="M190" s="23"/>
      <c r="N190" s="23"/>
      <c r="O190" s="23"/>
      <c r="P190" s="19" t="s">
        <v>175</v>
      </c>
      <c r="Q190" s="26"/>
      <c r="R190" s="26"/>
      <c r="S190" s="47"/>
      <c r="T190" s="4"/>
      <c r="U190" s="20">
        <f t="shared" si="3"/>
        <v>43549</v>
      </c>
      <c r="V190" s="47"/>
      <c r="W190" s="43"/>
      <c r="X190" s="66" t="e">
        <f>VLOOKUP(D190,#REF!,2,0)</f>
        <v>#REF!</v>
      </c>
      <c r="Y190" s="67" t="s">
        <v>2643</v>
      </c>
      <c r="Z190" s="67"/>
    </row>
    <row r="191" spans="1:26" ht="13.65" customHeight="1">
      <c r="A191" s="91">
        <v>190</v>
      </c>
      <c r="B191" s="19"/>
      <c r="C191" s="3" t="str">
        <f>VLOOKUP(D191,'lista 1'!$A$2:$F3709,4,0)</f>
        <v>KUBARA EWA</v>
      </c>
      <c r="D191" s="73">
        <v>1319</v>
      </c>
      <c r="E191" s="4" t="str">
        <f>VLOOKUP(D191,'lista 1'!$A$2:$F$1802,5,0)</f>
        <v>AC TL</v>
      </c>
      <c r="F191" s="59" t="str">
        <f>VLOOKUP(G191,'lista obszary'!A:B,2,0)</f>
        <v>HV</v>
      </c>
      <c r="G191" s="76" t="s">
        <v>2073</v>
      </c>
      <c r="H191" s="85" t="s">
        <v>1904</v>
      </c>
      <c r="I191" s="59" t="str">
        <f>VLOOKUP(J191,'lista obszary'!A:B,2,0)</f>
        <v>HV</v>
      </c>
      <c r="J191" s="78" t="s">
        <v>2073</v>
      </c>
      <c r="K191" s="87" t="s">
        <v>2471</v>
      </c>
      <c r="L191" s="82" t="s">
        <v>2447</v>
      </c>
      <c r="M191" s="23"/>
      <c r="N191" s="23"/>
      <c r="O191" s="23"/>
      <c r="P191" s="19" t="s">
        <v>175</v>
      </c>
      <c r="Q191" s="26"/>
      <c r="R191" s="26"/>
      <c r="S191" s="47"/>
      <c r="T191" s="4"/>
      <c r="U191" s="20">
        <f t="shared" si="3"/>
        <v>43549</v>
      </c>
      <c r="V191" s="47"/>
      <c r="W191" s="43"/>
      <c r="X191" s="66" t="e">
        <f>VLOOKUP(D191,#REF!,2,0)</f>
        <v>#REF!</v>
      </c>
      <c r="Y191" s="67" t="s">
        <v>2643</v>
      </c>
      <c r="Z191" s="67"/>
    </row>
    <row r="192" spans="1:26" ht="13.65" customHeight="1">
      <c r="A192" s="91">
        <v>191</v>
      </c>
      <c r="B192" s="19"/>
      <c r="C192" s="3" t="e">
        <f>VLOOKUP(D192,'lista 1'!$A$2:$F3710,4,0)</f>
        <v>#N/A</v>
      </c>
      <c r="D192" s="73">
        <v>70418</v>
      </c>
      <c r="E192" s="4" t="e">
        <f>VLOOKUP(D192,'lista 1'!$A$2:$F$1802,5,0)</f>
        <v>#N/A</v>
      </c>
      <c r="F192" s="59" t="str">
        <f>VLOOKUP(G192,'lista obszary'!A:B,2,0)</f>
        <v>HV</v>
      </c>
      <c r="G192" s="76" t="s">
        <v>2323</v>
      </c>
      <c r="H192" s="85" t="s">
        <v>1555</v>
      </c>
      <c r="I192" s="59" t="str">
        <f>VLOOKUP(J192,'lista obszary'!A:B,2,0)</f>
        <v>HV</v>
      </c>
      <c r="J192" s="78" t="s">
        <v>2073</v>
      </c>
      <c r="K192" s="87" t="s">
        <v>2471</v>
      </c>
      <c r="L192" s="82" t="s">
        <v>2447</v>
      </c>
      <c r="M192" s="23"/>
      <c r="N192" s="23"/>
      <c r="O192" s="23"/>
      <c r="P192" s="19" t="s">
        <v>175</v>
      </c>
      <c r="Q192" s="26"/>
      <c r="R192" s="26"/>
      <c r="S192" s="47"/>
      <c r="T192" s="4"/>
      <c r="U192" s="20">
        <f t="shared" si="3"/>
        <v>43549</v>
      </c>
      <c r="V192" s="47"/>
      <c r="W192" s="43"/>
      <c r="X192" s="66" t="e">
        <f>VLOOKUP(D192,#REF!,2,0)</f>
        <v>#REF!</v>
      </c>
      <c r="Y192" s="67" t="s">
        <v>2643</v>
      </c>
      <c r="Z192" s="67"/>
    </row>
    <row r="193" spans="1:26" ht="14.25" customHeight="1">
      <c r="A193" s="91">
        <v>192</v>
      </c>
      <c r="B193" s="19"/>
      <c r="C193" s="3" t="e">
        <f>VLOOKUP(D193,'lista 1'!$A$2:$F3711,4,0)</f>
        <v>#N/A</v>
      </c>
      <c r="D193" s="73">
        <v>70401</v>
      </c>
      <c r="E193" s="4" t="e">
        <f>VLOOKUP(D193,'lista 1'!$A$2:$F$1802,5,0)</f>
        <v>#N/A</v>
      </c>
      <c r="F193" s="59" t="str">
        <f>VLOOKUP(G193,'lista obszary'!A:B,2,0)</f>
        <v>HV</v>
      </c>
      <c r="G193" s="76" t="s">
        <v>2073</v>
      </c>
      <c r="H193" s="85" t="s">
        <v>1904</v>
      </c>
      <c r="I193" s="59" t="str">
        <f>VLOOKUP(J193,'lista obszary'!A:B,2,0)</f>
        <v>HV</v>
      </c>
      <c r="J193" s="78" t="s">
        <v>2073</v>
      </c>
      <c r="K193" s="87" t="s">
        <v>2471</v>
      </c>
      <c r="L193" s="82" t="s">
        <v>2447</v>
      </c>
      <c r="M193" s="23"/>
      <c r="N193" s="23"/>
      <c r="O193" s="23"/>
      <c r="P193" s="19" t="s">
        <v>175</v>
      </c>
      <c r="Q193" s="26"/>
      <c r="R193" s="26"/>
      <c r="S193" s="47"/>
      <c r="T193" s="4"/>
      <c r="U193" s="20">
        <f t="shared" si="3"/>
        <v>43549</v>
      </c>
      <c r="V193" s="47"/>
      <c r="W193" s="43"/>
      <c r="X193" s="66" t="e">
        <f>VLOOKUP(D193,#REF!,2,0)</f>
        <v>#REF!</v>
      </c>
      <c r="Y193" s="67" t="s">
        <v>2643</v>
      </c>
      <c r="Z193" s="67"/>
    </row>
    <row r="194" spans="1:26" ht="13.65" customHeight="1">
      <c r="A194" s="91">
        <v>193</v>
      </c>
      <c r="B194" s="19"/>
      <c r="C194" s="3" t="e">
        <f>VLOOKUP(D194,'lista 1'!$A$2:$F3712,4,0)</f>
        <v>#N/A</v>
      </c>
      <c r="D194" s="73">
        <v>64301</v>
      </c>
      <c r="E194" s="4" t="e">
        <f>VLOOKUP(D194,'lista 1'!$A$2:$F$1802,5,0)</f>
        <v>#N/A</v>
      </c>
      <c r="F194" s="59" t="str">
        <f>VLOOKUP(G194,'lista obszary'!A:B,2,0)</f>
        <v>HV</v>
      </c>
      <c r="G194" s="76" t="s">
        <v>2073</v>
      </c>
      <c r="H194" s="85" t="s">
        <v>1904</v>
      </c>
      <c r="I194" s="59" t="str">
        <f>VLOOKUP(J194,'lista obszary'!A:B,2,0)</f>
        <v>HV</v>
      </c>
      <c r="J194" s="78" t="s">
        <v>2073</v>
      </c>
      <c r="K194" s="87" t="s">
        <v>2471</v>
      </c>
      <c r="L194" s="82" t="s">
        <v>2447</v>
      </c>
      <c r="M194" s="23"/>
      <c r="N194" s="23"/>
      <c r="O194" s="23"/>
      <c r="P194" s="19" t="s">
        <v>175</v>
      </c>
      <c r="Q194" s="26"/>
      <c r="R194" s="26"/>
      <c r="S194" s="47"/>
      <c r="T194" s="4"/>
      <c r="U194" s="20">
        <f t="shared" ref="U194:U257" si="4">L194-T194</f>
        <v>43549</v>
      </c>
      <c r="V194" s="47"/>
      <c r="W194" s="43"/>
      <c r="X194" s="66" t="e">
        <f>VLOOKUP(D194,#REF!,2,0)</f>
        <v>#REF!</v>
      </c>
      <c r="Y194" s="67" t="s">
        <v>2643</v>
      </c>
      <c r="Z194" s="67"/>
    </row>
    <row r="195" spans="1:26" ht="13.65" customHeight="1">
      <c r="A195" s="91">
        <v>194</v>
      </c>
      <c r="B195" s="19"/>
      <c r="C195" s="3" t="e">
        <f>VLOOKUP(D195,'lista 1'!$A$2:$F3713,4,0)</f>
        <v>#N/A</v>
      </c>
      <c r="D195" s="73">
        <v>64341</v>
      </c>
      <c r="E195" s="4" t="e">
        <f>VLOOKUP(D195,'lista 1'!$A$2:$F$1802,5,0)</f>
        <v>#N/A</v>
      </c>
      <c r="F195" s="59" t="str">
        <f>VLOOKUP(G195,'lista obszary'!A:B,2,0)</f>
        <v>HV</v>
      </c>
      <c r="G195" s="76" t="s">
        <v>2073</v>
      </c>
      <c r="H195" s="85" t="s">
        <v>1904</v>
      </c>
      <c r="I195" s="59" t="str">
        <f>VLOOKUP(J195,'lista obszary'!A:B,2,0)</f>
        <v>HV</v>
      </c>
      <c r="J195" s="78" t="s">
        <v>2073</v>
      </c>
      <c r="K195" s="87" t="s">
        <v>2471</v>
      </c>
      <c r="L195" s="82" t="s">
        <v>2447</v>
      </c>
      <c r="M195" s="23"/>
      <c r="N195" s="23"/>
      <c r="O195" s="23"/>
      <c r="P195" s="19" t="s">
        <v>175</v>
      </c>
      <c r="Q195" s="26"/>
      <c r="R195" s="26"/>
      <c r="S195" s="47"/>
      <c r="T195" s="4"/>
      <c r="U195" s="20">
        <f t="shared" si="4"/>
        <v>43549</v>
      </c>
      <c r="V195" s="47"/>
      <c r="W195" s="43"/>
      <c r="X195" s="66" t="e">
        <f>VLOOKUP(D195,#REF!,2,0)</f>
        <v>#REF!</v>
      </c>
      <c r="Y195" s="67" t="s">
        <v>2643</v>
      </c>
      <c r="Z195" s="67"/>
    </row>
    <row r="196" spans="1:26" ht="13.65" customHeight="1">
      <c r="A196" s="91">
        <v>195</v>
      </c>
      <c r="B196" s="19"/>
      <c r="C196" s="3" t="e">
        <f>VLOOKUP(D196,'lista 1'!$A$2:$F3714,4,0)</f>
        <v>#N/A</v>
      </c>
      <c r="D196" s="73">
        <v>64366</v>
      </c>
      <c r="E196" s="4" t="e">
        <f>VLOOKUP(D196,'lista 1'!$A$2:$F$1802,5,0)</f>
        <v>#N/A</v>
      </c>
      <c r="F196" s="59" t="str">
        <f>VLOOKUP(G196,'lista obszary'!A:B,2,0)</f>
        <v>HV</v>
      </c>
      <c r="G196" s="76" t="s">
        <v>2319</v>
      </c>
      <c r="H196" s="85" t="s">
        <v>534</v>
      </c>
      <c r="I196" s="59" t="str">
        <f>VLOOKUP(J196,'lista obszary'!A:B,2,0)</f>
        <v>HV</v>
      </c>
      <c r="J196" s="78" t="s">
        <v>2073</v>
      </c>
      <c r="K196" s="87" t="s">
        <v>2471</v>
      </c>
      <c r="L196" s="82" t="s">
        <v>2447</v>
      </c>
      <c r="M196" s="23"/>
      <c r="N196" s="23"/>
      <c r="O196" s="23"/>
      <c r="P196" s="19" t="s">
        <v>175</v>
      </c>
      <c r="Q196" s="26"/>
      <c r="R196" s="26"/>
      <c r="S196" s="47"/>
      <c r="T196" s="4"/>
      <c r="U196" s="20">
        <f t="shared" si="4"/>
        <v>43549</v>
      </c>
      <c r="V196" s="47"/>
      <c r="W196" s="43"/>
      <c r="X196" s="66" t="e">
        <f>VLOOKUP(D196,#REF!,2,0)</f>
        <v>#REF!</v>
      </c>
      <c r="Y196" s="67" t="s">
        <v>2643</v>
      </c>
      <c r="Z196" s="67"/>
    </row>
    <row r="197" spans="1:26" ht="13.65" customHeight="1">
      <c r="A197" s="91">
        <v>196</v>
      </c>
      <c r="B197" s="19"/>
      <c r="C197" s="3" t="e">
        <f>VLOOKUP(D197,'lista 1'!$A$2:$F3715,4,0)</f>
        <v>#N/A</v>
      </c>
      <c r="D197" s="73">
        <v>70469</v>
      </c>
      <c r="E197" s="4" t="e">
        <f>VLOOKUP(D197,'lista 1'!$A$2:$F$1802,5,0)</f>
        <v>#N/A</v>
      </c>
      <c r="F197" s="59" t="str">
        <f>VLOOKUP(G197,'lista obszary'!A:B,2,0)</f>
        <v>HV</v>
      </c>
      <c r="G197" s="76" t="s">
        <v>2319</v>
      </c>
      <c r="H197" s="85" t="s">
        <v>534</v>
      </c>
      <c r="I197" s="59" t="str">
        <f>VLOOKUP(J197,'lista obszary'!A:B,2,0)</f>
        <v>HV</v>
      </c>
      <c r="J197" s="78" t="s">
        <v>2073</v>
      </c>
      <c r="K197" s="87" t="s">
        <v>2471</v>
      </c>
      <c r="L197" s="82" t="s">
        <v>2447</v>
      </c>
      <c r="M197" s="23"/>
      <c r="N197" s="23"/>
      <c r="O197" s="23"/>
      <c r="P197" s="19" t="s">
        <v>175</v>
      </c>
      <c r="Q197" s="26"/>
      <c r="R197" s="26"/>
      <c r="S197" s="47"/>
      <c r="T197" s="4"/>
      <c r="U197" s="20">
        <f t="shared" si="4"/>
        <v>43549</v>
      </c>
      <c r="V197" s="47"/>
      <c r="W197" s="43"/>
      <c r="X197" s="66" t="e">
        <f>VLOOKUP(D197,#REF!,2,0)</f>
        <v>#REF!</v>
      </c>
      <c r="Y197" s="67" t="s">
        <v>2643</v>
      </c>
      <c r="Z197" s="67"/>
    </row>
    <row r="198" spans="1:26" ht="13.65" customHeight="1">
      <c r="A198" s="91">
        <v>197</v>
      </c>
      <c r="B198" s="19"/>
      <c r="C198" s="3" t="str">
        <f>VLOOKUP(D198,'lista 1'!$A$2:$F3716,4,0)</f>
        <v>KARPIŃSKA SYLWIA</v>
      </c>
      <c r="D198" s="73">
        <v>2949</v>
      </c>
      <c r="E198" s="4" t="str">
        <f>VLOOKUP(D198,'lista 1'!$A$2:$F$1802,5,0)</f>
        <v>TM</v>
      </c>
      <c r="F198" s="59" t="str">
        <f>VLOOKUP(G198,'lista obszary'!A:B,2,0)</f>
        <v>HV</v>
      </c>
      <c r="G198" s="76" t="s">
        <v>2319</v>
      </c>
      <c r="H198" s="85" t="s">
        <v>534</v>
      </c>
      <c r="I198" s="59" t="str">
        <f>VLOOKUP(J198,'lista obszary'!A:B,2,0)</f>
        <v>HV</v>
      </c>
      <c r="J198" s="78" t="s">
        <v>2073</v>
      </c>
      <c r="K198" s="87" t="s">
        <v>2471</v>
      </c>
      <c r="L198" s="82" t="s">
        <v>2447</v>
      </c>
      <c r="M198" s="23"/>
      <c r="N198" s="23"/>
      <c r="O198" s="23"/>
      <c r="P198" s="19" t="s">
        <v>175</v>
      </c>
      <c r="Q198" s="26"/>
      <c r="R198" s="26"/>
      <c r="S198" s="47"/>
      <c r="T198" s="4"/>
      <c r="U198" s="20">
        <f t="shared" si="4"/>
        <v>43549</v>
      </c>
      <c r="V198" s="47"/>
      <c r="W198" s="43"/>
      <c r="X198" s="66" t="e">
        <f>VLOOKUP(D198,#REF!,2,0)</f>
        <v>#REF!</v>
      </c>
      <c r="Y198" s="67" t="b">
        <f>F198=I198</f>
        <v>1</v>
      </c>
      <c r="Z198" s="67"/>
    </row>
    <row r="199" spans="1:26" ht="13.65" customHeight="1">
      <c r="A199" s="91">
        <v>198</v>
      </c>
      <c r="B199" s="19"/>
      <c r="C199" s="3" t="e">
        <f>VLOOKUP(D199,'lista 1'!$A$2:$F3717,4,0)</f>
        <v>#N/A</v>
      </c>
      <c r="D199" s="73">
        <v>64318</v>
      </c>
      <c r="E199" s="4" t="e">
        <f>VLOOKUP(D199,'lista 1'!$A$2:$F$1802,5,0)</f>
        <v>#N/A</v>
      </c>
      <c r="F199" s="59" t="str">
        <f>VLOOKUP(G199,'lista obszary'!A:B,2,0)</f>
        <v>HV</v>
      </c>
      <c r="G199" s="76" t="s">
        <v>2319</v>
      </c>
      <c r="H199" s="85" t="s">
        <v>534</v>
      </c>
      <c r="I199" s="59" t="str">
        <f>VLOOKUP(J199,'lista obszary'!A:B,2,0)</f>
        <v>HV</v>
      </c>
      <c r="J199" s="78" t="s">
        <v>2073</v>
      </c>
      <c r="K199" s="87" t="s">
        <v>2471</v>
      </c>
      <c r="L199" s="82" t="s">
        <v>2447</v>
      </c>
      <c r="M199" s="23"/>
      <c r="N199" s="23"/>
      <c r="O199" s="23"/>
      <c r="P199" s="19" t="s">
        <v>175</v>
      </c>
      <c r="Q199" s="26"/>
      <c r="R199" s="26"/>
      <c r="S199" s="47"/>
      <c r="T199" s="4"/>
      <c r="U199" s="20">
        <f t="shared" si="4"/>
        <v>43549</v>
      </c>
      <c r="V199" s="47"/>
      <c r="W199" s="43"/>
      <c r="X199" s="66" t="e">
        <f>VLOOKUP(D199,#REF!,2,0)</f>
        <v>#REF!</v>
      </c>
      <c r="Y199" s="67" t="b">
        <f>F199=I199</f>
        <v>1</v>
      </c>
      <c r="Z199" s="67"/>
    </row>
    <row r="200" spans="1:26" ht="13.65" customHeight="1">
      <c r="A200" s="91">
        <v>199</v>
      </c>
      <c r="B200" s="19"/>
      <c r="C200" s="3" t="e">
        <f>VLOOKUP(D200,'lista 1'!$A$2:$F3718,4,0)</f>
        <v>#N/A</v>
      </c>
      <c r="D200" s="73">
        <v>70496</v>
      </c>
      <c r="E200" s="4" t="e">
        <f>VLOOKUP(D200,'lista 1'!$A$2:$F$1802,5,0)</f>
        <v>#N/A</v>
      </c>
      <c r="F200" s="59" t="str">
        <f>VLOOKUP(G200,'lista obszary'!A:B,2,0)</f>
        <v>HV</v>
      </c>
      <c r="G200" s="76" t="s">
        <v>2323</v>
      </c>
      <c r="H200" s="85" t="s">
        <v>1555</v>
      </c>
      <c r="I200" s="59" t="str">
        <f>VLOOKUP(J200,'lista obszary'!A:B,2,0)</f>
        <v>HV</v>
      </c>
      <c r="J200" s="78" t="s">
        <v>2073</v>
      </c>
      <c r="K200" s="87" t="s">
        <v>2471</v>
      </c>
      <c r="L200" s="82" t="s">
        <v>2447</v>
      </c>
      <c r="M200" s="23"/>
      <c r="N200" s="23"/>
      <c r="O200" s="23"/>
      <c r="P200" s="19" t="s">
        <v>175</v>
      </c>
      <c r="Q200" s="26"/>
      <c r="R200" s="26"/>
      <c r="S200" s="47"/>
      <c r="T200" s="4"/>
      <c r="U200" s="20">
        <f t="shared" si="4"/>
        <v>43549</v>
      </c>
      <c r="V200" s="47"/>
      <c r="W200" s="43"/>
      <c r="X200" s="66" t="e">
        <f>VLOOKUP(D200,#REF!,2,0)</f>
        <v>#REF!</v>
      </c>
      <c r="Y200" s="67" t="s">
        <v>2643</v>
      </c>
      <c r="Z200" s="67"/>
    </row>
    <row r="201" spans="1:26" ht="13.65" customHeight="1">
      <c r="A201" s="91">
        <v>200</v>
      </c>
      <c r="B201" s="19"/>
      <c r="C201" s="3" t="e">
        <f>VLOOKUP(D201,'lista 1'!$A$2:$F3719,4,0)</f>
        <v>#N/A</v>
      </c>
      <c r="D201" s="73">
        <v>64419</v>
      </c>
      <c r="E201" s="4" t="e">
        <f>VLOOKUP(D201,'lista 1'!$A$2:$F$1802,5,0)</f>
        <v>#N/A</v>
      </c>
      <c r="F201" s="59" t="str">
        <f>VLOOKUP(G201,'lista obszary'!A:B,2,0)</f>
        <v>HV</v>
      </c>
      <c r="G201" s="76" t="s">
        <v>2319</v>
      </c>
      <c r="H201" s="85" t="s">
        <v>534</v>
      </c>
      <c r="I201" s="59" t="str">
        <f>VLOOKUP(J201,'lista obszary'!A:B,2,0)</f>
        <v>HV</v>
      </c>
      <c r="J201" s="78" t="s">
        <v>2072</v>
      </c>
      <c r="K201" s="87" t="s">
        <v>1398</v>
      </c>
      <c r="L201" s="82" t="s">
        <v>2447</v>
      </c>
      <c r="M201" s="23"/>
      <c r="N201" s="23"/>
      <c r="O201" s="23"/>
      <c r="P201" s="19" t="s">
        <v>175</v>
      </c>
      <c r="Q201" s="26"/>
      <c r="R201" s="26"/>
      <c r="S201" s="47"/>
      <c r="T201" s="4"/>
      <c r="U201" s="20">
        <f t="shared" si="4"/>
        <v>43549</v>
      </c>
      <c r="V201" s="47"/>
      <c r="W201" s="43"/>
      <c r="X201" s="66" t="e">
        <f>VLOOKUP(D201,#REF!,2,0)</f>
        <v>#REF!</v>
      </c>
      <c r="Y201" s="67" t="s">
        <v>2643</v>
      </c>
      <c r="Z201" s="67"/>
    </row>
    <row r="202" spans="1:26" ht="13.65" customHeight="1">
      <c r="A202" s="91">
        <v>201</v>
      </c>
      <c r="B202" s="19"/>
      <c r="C202" s="3" t="str">
        <f>VLOOKUP(D202,'lista 1'!$A$2:$F3720,4,0)</f>
        <v>ROGALSKI KRZYSZTOF</v>
      </c>
      <c r="D202" s="73">
        <v>1918</v>
      </c>
      <c r="E202" s="4" t="str">
        <f>VLOOKUP(D202,'lista 1'!$A$2:$F$1802,5,0)</f>
        <v>TM2</v>
      </c>
      <c r="F202" s="59" t="str">
        <f>VLOOKUP(G202,'lista obszary'!A:B,2,0)</f>
        <v>HV</v>
      </c>
      <c r="G202" s="76" t="s">
        <v>2319</v>
      </c>
      <c r="H202" s="85" t="s">
        <v>534</v>
      </c>
      <c r="I202" s="59" t="str">
        <f>VLOOKUP(J202,'lista obszary'!A:B,2,0)</f>
        <v>HV</v>
      </c>
      <c r="J202" s="78" t="s">
        <v>2072</v>
      </c>
      <c r="K202" s="87" t="s">
        <v>1398</v>
      </c>
      <c r="L202" s="82" t="s">
        <v>2447</v>
      </c>
      <c r="M202" s="23"/>
      <c r="N202" s="23"/>
      <c r="O202" s="23"/>
      <c r="P202" s="19" t="s">
        <v>175</v>
      </c>
      <c r="Q202" s="26"/>
      <c r="R202" s="26"/>
      <c r="S202" s="47"/>
      <c r="T202" s="4"/>
      <c r="U202" s="20">
        <f t="shared" si="4"/>
        <v>43549</v>
      </c>
      <c r="V202" s="47"/>
      <c r="W202" s="43"/>
      <c r="X202" s="66" t="e">
        <f>VLOOKUP(D202,#REF!,2,0)</f>
        <v>#REF!</v>
      </c>
      <c r="Y202" s="67" t="b">
        <f>F202=I202</f>
        <v>1</v>
      </c>
      <c r="Z202" s="67"/>
    </row>
    <row r="203" spans="1:26" ht="13.65" customHeight="1">
      <c r="A203" s="91">
        <v>202</v>
      </c>
      <c r="B203" s="19"/>
      <c r="C203" s="3" t="str">
        <f>VLOOKUP(D203,'lista 1'!$A$2:$F3721,4,0)</f>
        <v>ŚWIĘTANOWSKI PIOTR</v>
      </c>
      <c r="D203" s="73">
        <v>2357</v>
      </c>
      <c r="E203" s="4" t="str">
        <f>VLOOKUP(D203,'lista 1'!$A$2:$F$1802,5,0)</f>
        <v>TM2</v>
      </c>
      <c r="F203" s="59" t="str">
        <f>VLOOKUP(G203,'lista obszary'!A:B,2,0)</f>
        <v>HV</v>
      </c>
      <c r="G203" s="76" t="s">
        <v>2319</v>
      </c>
      <c r="H203" s="85" t="s">
        <v>534</v>
      </c>
      <c r="I203" s="59" t="str">
        <f>VLOOKUP(J203,'lista obszary'!A:B,2,0)</f>
        <v>HV</v>
      </c>
      <c r="J203" s="78" t="s">
        <v>2072</v>
      </c>
      <c r="K203" s="87" t="s">
        <v>1398</v>
      </c>
      <c r="L203" s="82" t="s">
        <v>2447</v>
      </c>
      <c r="M203" s="23"/>
      <c r="N203" s="23"/>
      <c r="O203" s="23"/>
      <c r="P203" s="19" t="s">
        <v>175</v>
      </c>
      <c r="Q203" s="26"/>
      <c r="R203" s="26"/>
      <c r="S203" s="47"/>
      <c r="T203" s="4"/>
      <c r="U203" s="20">
        <f t="shared" si="4"/>
        <v>43549</v>
      </c>
      <c r="V203" s="47"/>
      <c r="W203" s="43"/>
      <c r="X203" s="66" t="e">
        <f>VLOOKUP(D203,#REF!,2,0)</f>
        <v>#REF!</v>
      </c>
      <c r="Y203" s="67" t="b">
        <f>F203=I203</f>
        <v>1</v>
      </c>
      <c r="Z203" s="67"/>
    </row>
    <row r="204" spans="1:26" ht="13.65" customHeight="1">
      <c r="A204" s="91">
        <v>203</v>
      </c>
      <c r="B204" s="19"/>
      <c r="C204" s="3" t="e">
        <f>VLOOKUP(D204,'lista 1'!$A$2:$F3722,4,0)</f>
        <v>#N/A</v>
      </c>
      <c r="D204" s="73">
        <v>70465</v>
      </c>
      <c r="E204" s="4" t="e">
        <f>VLOOKUP(D204,'lista 1'!$A$2:$F$1802,5,0)</f>
        <v>#N/A</v>
      </c>
      <c r="F204" s="59" t="str">
        <f>VLOOKUP(G204,'lista obszary'!A:B,2,0)</f>
        <v>HV</v>
      </c>
      <c r="G204" s="76" t="s">
        <v>2319</v>
      </c>
      <c r="H204" s="85" t="s">
        <v>534</v>
      </c>
      <c r="I204" s="59" t="str">
        <f>VLOOKUP(J204,'lista obszary'!A:B,2,0)</f>
        <v>HV</v>
      </c>
      <c r="J204" s="78" t="s">
        <v>2072</v>
      </c>
      <c r="K204" s="87" t="s">
        <v>1398</v>
      </c>
      <c r="L204" s="82" t="s">
        <v>2447</v>
      </c>
      <c r="M204" s="23"/>
      <c r="N204" s="23"/>
      <c r="O204" s="23"/>
      <c r="P204" s="19" t="s">
        <v>175</v>
      </c>
      <c r="Q204" s="26"/>
      <c r="R204" s="26"/>
      <c r="S204" s="47"/>
      <c r="T204" s="4"/>
      <c r="U204" s="20">
        <f t="shared" si="4"/>
        <v>43549</v>
      </c>
      <c r="V204" s="47"/>
      <c r="W204" s="43"/>
      <c r="X204" s="66" t="e">
        <f>VLOOKUP(D204,#REF!,2,0)</f>
        <v>#REF!</v>
      </c>
      <c r="Y204" s="67" t="s">
        <v>2643</v>
      </c>
      <c r="Z204" s="67"/>
    </row>
    <row r="205" spans="1:26" ht="13.65" customHeight="1">
      <c r="A205" s="91">
        <v>204</v>
      </c>
      <c r="B205" s="19"/>
      <c r="C205" s="3" t="e">
        <f>VLOOKUP(D205,'lista 1'!$A$2:$F3723,4,0)</f>
        <v>#N/A</v>
      </c>
      <c r="D205" s="73">
        <v>70464</v>
      </c>
      <c r="E205" s="4" t="e">
        <f>VLOOKUP(D205,'lista 1'!$A$2:$F$1802,5,0)</f>
        <v>#N/A</v>
      </c>
      <c r="F205" s="59" t="str">
        <f>VLOOKUP(G205,'lista obszary'!A:B,2,0)</f>
        <v>HV</v>
      </c>
      <c r="G205" s="76" t="s">
        <v>2319</v>
      </c>
      <c r="H205" s="85" t="s">
        <v>534</v>
      </c>
      <c r="I205" s="59" t="str">
        <f>VLOOKUP(J205,'lista obszary'!A:B,2,0)</f>
        <v>HV</v>
      </c>
      <c r="J205" s="78" t="s">
        <v>2072</v>
      </c>
      <c r="K205" s="87" t="s">
        <v>1398</v>
      </c>
      <c r="L205" s="82" t="s">
        <v>2447</v>
      </c>
      <c r="M205" s="23"/>
      <c r="N205" s="23"/>
      <c r="O205" s="23"/>
      <c r="P205" s="19" t="s">
        <v>175</v>
      </c>
      <c r="Q205" s="26"/>
      <c r="R205" s="26"/>
      <c r="S205" s="47"/>
      <c r="T205" s="4"/>
      <c r="U205" s="20">
        <f t="shared" si="4"/>
        <v>43549</v>
      </c>
      <c r="V205" s="47"/>
      <c r="W205" s="43"/>
      <c r="X205" s="66" t="e">
        <f>VLOOKUP(D205,#REF!,2,0)</f>
        <v>#REF!</v>
      </c>
      <c r="Y205" s="67" t="s">
        <v>2643</v>
      </c>
      <c r="Z205" s="67"/>
    </row>
    <row r="206" spans="1:26" ht="13.65" customHeight="1">
      <c r="A206" s="91">
        <v>205</v>
      </c>
      <c r="B206" s="19"/>
      <c r="C206" s="3" t="e">
        <f>VLOOKUP(D206,'lista 1'!$A$2:$F3724,4,0)</f>
        <v>#N/A</v>
      </c>
      <c r="D206" s="73">
        <v>70495</v>
      </c>
      <c r="E206" s="4" t="e">
        <f>VLOOKUP(D206,'lista 1'!$A$2:$F$1802,5,0)</f>
        <v>#N/A</v>
      </c>
      <c r="F206" s="59" t="str">
        <f>VLOOKUP(G206,'lista obszary'!A:B,2,0)</f>
        <v>HV</v>
      </c>
      <c r="G206" s="76" t="s">
        <v>2319</v>
      </c>
      <c r="H206" s="85" t="s">
        <v>534</v>
      </c>
      <c r="I206" s="59" t="str">
        <f>VLOOKUP(J206,'lista obszary'!A:B,2,0)</f>
        <v>HV</v>
      </c>
      <c r="J206" s="78" t="s">
        <v>2072</v>
      </c>
      <c r="K206" s="87" t="s">
        <v>1398</v>
      </c>
      <c r="L206" s="82" t="s">
        <v>2447</v>
      </c>
      <c r="M206" s="23"/>
      <c r="N206" s="23"/>
      <c r="O206" s="23"/>
      <c r="P206" s="19" t="s">
        <v>175</v>
      </c>
      <c r="Q206" s="26"/>
      <c r="R206" s="26"/>
      <c r="S206" s="47"/>
      <c r="T206" s="4"/>
      <c r="U206" s="20">
        <f t="shared" si="4"/>
        <v>43549</v>
      </c>
      <c r="V206" s="47"/>
      <c r="W206" s="43"/>
      <c r="X206" s="66" t="e">
        <f>VLOOKUP(D206,#REF!,2,0)</f>
        <v>#REF!</v>
      </c>
      <c r="Y206" s="67" t="s">
        <v>2643</v>
      </c>
      <c r="Z206" s="67"/>
    </row>
    <row r="207" spans="1:26" ht="13.65" customHeight="1">
      <c r="A207" s="91">
        <v>206</v>
      </c>
      <c r="B207" s="19"/>
      <c r="C207" s="3" t="e">
        <f>VLOOKUP(D207,'lista 1'!$A$2:$F3725,4,0)</f>
        <v>#N/A</v>
      </c>
      <c r="D207" s="73">
        <v>70493</v>
      </c>
      <c r="E207" s="4" t="e">
        <f>VLOOKUP(D207,'lista 1'!$A$2:$F$1802,5,0)</f>
        <v>#N/A</v>
      </c>
      <c r="F207" s="59" t="str">
        <f>VLOOKUP(G207,'lista obszary'!A:B,2,0)</f>
        <v>HV</v>
      </c>
      <c r="G207" s="76" t="s">
        <v>2319</v>
      </c>
      <c r="H207" s="85" t="s">
        <v>534</v>
      </c>
      <c r="I207" s="59" t="str">
        <f>VLOOKUP(J207,'lista obszary'!A:B,2,0)</f>
        <v>HV</v>
      </c>
      <c r="J207" s="78" t="s">
        <v>2072</v>
      </c>
      <c r="K207" s="87" t="s">
        <v>1398</v>
      </c>
      <c r="L207" s="82" t="s">
        <v>2447</v>
      </c>
      <c r="M207" s="23"/>
      <c r="N207" s="23"/>
      <c r="O207" s="23"/>
      <c r="P207" s="19" t="s">
        <v>175</v>
      </c>
      <c r="Q207" s="26"/>
      <c r="R207" s="26"/>
      <c r="S207" s="47"/>
      <c r="T207" s="4"/>
      <c r="U207" s="20">
        <f t="shared" si="4"/>
        <v>43549</v>
      </c>
      <c r="V207" s="47"/>
      <c r="W207" s="43"/>
      <c r="X207" s="66" t="e">
        <f>VLOOKUP(D207,#REF!,2,0)</f>
        <v>#REF!</v>
      </c>
      <c r="Y207" s="67" t="s">
        <v>2643</v>
      </c>
      <c r="Z207" s="67"/>
    </row>
    <row r="208" spans="1:26" ht="13.65" customHeight="1">
      <c r="A208" s="91">
        <v>207</v>
      </c>
      <c r="B208" s="19"/>
      <c r="C208" s="3" t="str">
        <f>VLOOKUP(D208,'lista 1'!$A$2:$F3726,4,0)</f>
        <v>CICHOWICZ MARIUSZ</v>
      </c>
      <c r="D208" s="73">
        <v>360</v>
      </c>
      <c r="E208" s="4" t="str">
        <f>VLOOKUP(D208,'lista 1'!$A$2:$F$1802,5,0)</f>
        <v>GRL2</v>
      </c>
      <c r="F208" s="59" t="str">
        <f>VLOOKUP(G208,'lista obszary'!A:B,2,0)</f>
        <v>HV</v>
      </c>
      <c r="G208" s="76" t="s">
        <v>2319</v>
      </c>
      <c r="H208" s="85" t="s">
        <v>534</v>
      </c>
      <c r="I208" s="59" t="str">
        <f>VLOOKUP(J208,'lista obszary'!A:B,2,0)</f>
        <v>HV</v>
      </c>
      <c r="J208" s="78" t="s">
        <v>2072</v>
      </c>
      <c r="K208" s="87" t="s">
        <v>1901</v>
      </c>
      <c r="L208" s="82" t="s">
        <v>2447</v>
      </c>
      <c r="M208" s="23"/>
      <c r="N208" s="23"/>
      <c r="O208" s="23"/>
      <c r="P208" s="19" t="s">
        <v>175</v>
      </c>
      <c r="Q208" s="26"/>
      <c r="R208" s="26"/>
      <c r="S208" s="47"/>
      <c r="T208" s="4"/>
      <c r="U208" s="20">
        <f t="shared" si="4"/>
        <v>43549</v>
      </c>
      <c r="V208" s="47"/>
      <c r="W208" s="43"/>
      <c r="X208" s="66" t="e">
        <f>VLOOKUP(D208,#REF!,2,0)</f>
        <v>#REF!</v>
      </c>
      <c r="Y208" s="67" t="b">
        <f>F208=I208</f>
        <v>1</v>
      </c>
    </row>
    <row r="209" spans="1:26" ht="13.65" customHeight="1">
      <c r="A209" s="91">
        <v>208</v>
      </c>
      <c r="B209" s="19"/>
      <c r="C209" s="3" t="str">
        <f>VLOOKUP(D209,'lista 1'!$A$2:$F3727,4,0)</f>
        <v>KRUPIŃSKI WOJCIECH</v>
      </c>
      <c r="D209" s="73">
        <v>1316</v>
      </c>
      <c r="E209" s="4" t="str">
        <f>VLOOKUP(D209,'lista 1'!$A$2:$F$1802,5,0)</f>
        <v>AC TL</v>
      </c>
      <c r="F209" s="59" t="str">
        <f>VLOOKUP(G209,'lista obszary'!A:B,2,0)</f>
        <v>HV</v>
      </c>
      <c r="G209" s="76" t="s">
        <v>2324</v>
      </c>
      <c r="H209" s="85" t="s">
        <v>2326</v>
      </c>
      <c r="I209" s="59" t="str">
        <f>VLOOKUP(J209,'lista obszary'!A:B,2,0)</f>
        <v>HV</v>
      </c>
      <c r="J209" s="78" t="s">
        <v>2072</v>
      </c>
      <c r="K209" s="87" t="s">
        <v>1398</v>
      </c>
      <c r="L209" s="82" t="s">
        <v>2447</v>
      </c>
      <c r="M209" s="23"/>
      <c r="N209" s="23"/>
      <c r="O209" s="23"/>
      <c r="P209" s="19" t="s">
        <v>175</v>
      </c>
      <c r="Q209" s="26"/>
      <c r="R209" s="26"/>
      <c r="S209" s="47"/>
      <c r="T209" s="4"/>
      <c r="U209" s="20">
        <f t="shared" si="4"/>
        <v>43549</v>
      </c>
      <c r="V209" s="47"/>
      <c r="W209" s="43"/>
      <c r="X209" s="66" t="e">
        <f>VLOOKUP(D209,#REF!,2,0)</f>
        <v>#REF!</v>
      </c>
      <c r="Y209" s="67" t="s">
        <v>2643</v>
      </c>
      <c r="Z209" s="67"/>
    </row>
    <row r="210" spans="1:26" ht="13.65" customHeight="1">
      <c r="A210" s="91">
        <v>209</v>
      </c>
      <c r="B210" s="19"/>
      <c r="C210" s="3" t="e">
        <f>VLOOKUP(D210,'lista 1'!$A$2:$F3728,4,0)</f>
        <v>#N/A</v>
      </c>
      <c r="D210" s="73">
        <v>64254</v>
      </c>
      <c r="E210" s="4" t="e">
        <f>VLOOKUP(D210,'lista 1'!$A$2:$F$1802,5,0)</f>
        <v>#N/A</v>
      </c>
      <c r="F210" s="59" t="str">
        <f>VLOOKUP(G210,'lista obszary'!A:B,2,0)</f>
        <v>HV</v>
      </c>
      <c r="G210" s="76" t="s">
        <v>2324</v>
      </c>
      <c r="H210" s="85" t="s">
        <v>2326</v>
      </c>
      <c r="I210" s="59" t="str">
        <f>VLOOKUP(J210,'lista obszary'!A:B,2,0)</f>
        <v>HV</v>
      </c>
      <c r="J210" s="78" t="s">
        <v>2072</v>
      </c>
      <c r="K210" s="87" t="s">
        <v>1398</v>
      </c>
      <c r="L210" s="82" t="s">
        <v>2447</v>
      </c>
      <c r="M210" s="23"/>
      <c r="N210" s="23"/>
      <c r="O210" s="23"/>
      <c r="P210" s="19" t="s">
        <v>175</v>
      </c>
      <c r="Q210" s="26"/>
      <c r="R210" s="26"/>
      <c r="S210" s="47"/>
      <c r="T210" s="4"/>
      <c r="U210" s="20">
        <f t="shared" si="4"/>
        <v>43549</v>
      </c>
      <c r="V210" s="47"/>
      <c r="W210" s="43"/>
      <c r="X210" s="66" t="e">
        <f>VLOOKUP(D210,#REF!,2,0)</f>
        <v>#REF!</v>
      </c>
      <c r="Y210" s="67" t="s">
        <v>2643</v>
      </c>
      <c r="Z210" s="67"/>
    </row>
    <row r="211" spans="1:26" ht="13.65" customHeight="1">
      <c r="A211" s="91">
        <v>210</v>
      </c>
      <c r="B211" s="19"/>
      <c r="C211" s="3" t="str">
        <f>VLOOKUP(D211,'lista 1'!$A$2:$F3729,4,0)</f>
        <v>LEWANDOWSKI ADAM</v>
      </c>
      <c r="D211" s="73">
        <v>332</v>
      </c>
      <c r="E211" s="4" t="str">
        <f>VLOOKUP(D211,'lista 1'!$A$2:$F$1802,5,0)</f>
        <v>TL2</v>
      </c>
      <c r="F211" s="59" t="str">
        <f>VLOOKUP(G211,'lista obszary'!A:B,2,0)</f>
        <v>HV</v>
      </c>
      <c r="G211" s="76" t="s">
        <v>2324</v>
      </c>
      <c r="H211" s="85" t="s">
        <v>2326</v>
      </c>
      <c r="I211" s="59" t="str">
        <f>VLOOKUP(J211,'lista obszary'!A:B,2,0)</f>
        <v>HV</v>
      </c>
      <c r="J211" s="78" t="s">
        <v>2072</v>
      </c>
      <c r="K211" s="87" t="s">
        <v>1398</v>
      </c>
      <c r="L211" s="82" t="s">
        <v>2447</v>
      </c>
      <c r="M211" s="23"/>
      <c r="N211" s="23"/>
      <c r="O211" s="23"/>
      <c r="P211" s="19" t="s">
        <v>175</v>
      </c>
      <c r="Q211" s="26"/>
      <c r="R211" s="26"/>
      <c r="S211" s="47"/>
      <c r="T211" s="4"/>
      <c r="U211" s="20">
        <f t="shared" si="4"/>
        <v>43549</v>
      </c>
      <c r="V211" s="47"/>
      <c r="W211" s="43"/>
      <c r="X211" s="66" t="e">
        <f>VLOOKUP(D211,#REF!,2,0)</f>
        <v>#REF!</v>
      </c>
      <c r="Y211" s="67" t="s">
        <v>2643</v>
      </c>
      <c r="Z211" s="67"/>
    </row>
    <row r="212" spans="1:26" ht="13.65" customHeight="1">
      <c r="A212" s="91">
        <v>211</v>
      </c>
      <c r="B212" s="19"/>
      <c r="C212" s="3" t="str">
        <f>VLOOKUP(D212,'lista 1'!$A$2:$F3730,4,0)</f>
        <v>KUBIŃSKI ROBERT</v>
      </c>
      <c r="D212" s="73">
        <v>2618</v>
      </c>
      <c r="E212" s="4" t="str">
        <f>VLOOKUP(D212,'lista 1'!$A$2:$F$1802,5,0)</f>
        <v>TM</v>
      </c>
      <c r="F212" s="59" t="str">
        <f>VLOOKUP(G212,'lista obszary'!A:B,2,0)</f>
        <v>HV</v>
      </c>
      <c r="G212" s="76" t="s">
        <v>2319</v>
      </c>
      <c r="H212" s="85" t="s">
        <v>534</v>
      </c>
      <c r="I212" s="59" t="str">
        <f>VLOOKUP(J212,'lista obszary'!A:B,2,0)</f>
        <v>HV</v>
      </c>
      <c r="J212" s="78" t="s">
        <v>2324</v>
      </c>
      <c r="K212" s="87" t="s">
        <v>2326</v>
      </c>
      <c r="L212" s="82" t="s">
        <v>2447</v>
      </c>
      <c r="M212" s="23"/>
      <c r="N212" s="23"/>
      <c r="O212" s="23"/>
      <c r="P212" s="19" t="s">
        <v>175</v>
      </c>
      <c r="Q212" s="26"/>
      <c r="R212" s="26"/>
      <c r="S212" s="47"/>
      <c r="T212" s="4"/>
      <c r="U212" s="20">
        <f t="shared" si="4"/>
        <v>43549</v>
      </c>
      <c r="V212" s="47"/>
      <c r="W212" s="43"/>
      <c r="X212" s="66" t="e">
        <f>VLOOKUP(D212,#REF!,2,0)</f>
        <v>#REF!</v>
      </c>
      <c r="Y212" s="67" t="b">
        <f>F212=I212</f>
        <v>1</v>
      </c>
      <c r="Z212" s="67"/>
    </row>
    <row r="213" spans="1:26" ht="13.65" customHeight="1">
      <c r="A213" s="91">
        <v>212</v>
      </c>
      <c r="B213" s="19"/>
      <c r="C213" s="3" t="e">
        <f>VLOOKUP(D213,'lista 1'!$A$2:$F3731,4,0)</f>
        <v>#N/A</v>
      </c>
      <c r="D213" s="73">
        <v>70468</v>
      </c>
      <c r="E213" s="4" t="e">
        <f>VLOOKUP(D213,'lista 1'!$A$2:$F$1802,5,0)</f>
        <v>#N/A</v>
      </c>
      <c r="F213" s="59" t="str">
        <f>VLOOKUP(G213,'lista obszary'!A:B,2,0)</f>
        <v>HV</v>
      </c>
      <c r="G213" s="76" t="s">
        <v>2319</v>
      </c>
      <c r="H213" s="85" t="s">
        <v>534</v>
      </c>
      <c r="I213" s="59" t="str">
        <f>VLOOKUP(J213,'lista obszary'!A:B,2,0)</f>
        <v>HV</v>
      </c>
      <c r="J213" s="78" t="s">
        <v>2324</v>
      </c>
      <c r="K213" s="87" t="s">
        <v>2326</v>
      </c>
      <c r="L213" s="82" t="s">
        <v>2447</v>
      </c>
      <c r="M213" s="23"/>
      <c r="N213" s="23"/>
      <c r="O213" s="23"/>
      <c r="P213" s="19" t="s">
        <v>175</v>
      </c>
      <c r="Q213" s="26"/>
      <c r="R213" s="26"/>
      <c r="S213" s="47"/>
      <c r="T213" s="4"/>
      <c r="U213" s="20">
        <f t="shared" si="4"/>
        <v>43549</v>
      </c>
      <c r="V213" s="47"/>
      <c r="W213" s="43"/>
      <c r="X213" s="66" t="e">
        <f>VLOOKUP(D213,#REF!,2,0)</f>
        <v>#REF!</v>
      </c>
      <c r="Y213" s="67" t="s">
        <v>2643</v>
      </c>
      <c r="Z213" s="67"/>
    </row>
    <row r="214" spans="1:26" ht="13.65" customHeight="1">
      <c r="A214" s="91">
        <v>213</v>
      </c>
      <c r="B214" s="19"/>
      <c r="C214" s="3" t="e">
        <f>VLOOKUP(D214,'lista 1'!$A$2:$F3732,4,0)</f>
        <v>#N/A</v>
      </c>
      <c r="D214" s="73">
        <v>64410</v>
      </c>
      <c r="E214" s="4" t="e">
        <f>VLOOKUP(D214,'lista 1'!$A$2:$F$1802,5,0)</f>
        <v>#N/A</v>
      </c>
      <c r="F214" s="59" t="str">
        <f>VLOOKUP(G214,'lista obszary'!A:B,2,0)</f>
        <v>HV</v>
      </c>
      <c r="G214" s="76" t="s">
        <v>2319</v>
      </c>
      <c r="H214" s="85" t="s">
        <v>534</v>
      </c>
      <c r="I214" s="59" t="str">
        <f>VLOOKUP(J214,'lista obszary'!A:B,2,0)</f>
        <v>HV</v>
      </c>
      <c r="J214" s="78" t="s">
        <v>2324</v>
      </c>
      <c r="K214" s="87" t="s">
        <v>2326</v>
      </c>
      <c r="L214" s="82" t="s">
        <v>2447</v>
      </c>
      <c r="M214" s="23"/>
      <c r="N214" s="23"/>
      <c r="O214" s="23"/>
      <c r="P214" s="19" t="s">
        <v>175</v>
      </c>
      <c r="Q214" s="26"/>
      <c r="R214" s="26"/>
      <c r="S214" s="47"/>
      <c r="T214" s="4"/>
      <c r="U214" s="20">
        <f t="shared" si="4"/>
        <v>43549</v>
      </c>
      <c r="V214" s="47"/>
      <c r="W214" s="43"/>
      <c r="X214" s="66" t="e">
        <f>VLOOKUP(D214,#REF!,2,0)</f>
        <v>#REF!</v>
      </c>
      <c r="Y214" s="67" t="s">
        <v>2643</v>
      </c>
      <c r="Z214" s="67"/>
    </row>
    <row r="215" spans="1:26" ht="13.65" customHeight="1">
      <c r="A215" s="91">
        <v>214</v>
      </c>
      <c r="B215" s="19"/>
      <c r="C215" s="3" t="e">
        <f>VLOOKUP(D215,'lista 1'!$A$2:$F3733,4,0)</f>
        <v>#N/A</v>
      </c>
      <c r="D215" s="73">
        <v>64378</v>
      </c>
      <c r="E215" s="4" t="e">
        <f>VLOOKUP(D215,'lista 1'!$A$2:$F$1802,5,0)</f>
        <v>#N/A</v>
      </c>
      <c r="F215" s="59" t="str">
        <f>VLOOKUP(G215,'lista obszary'!A:B,2,0)</f>
        <v>HV</v>
      </c>
      <c r="G215" s="76" t="s">
        <v>2319</v>
      </c>
      <c r="H215" s="85" t="s">
        <v>534</v>
      </c>
      <c r="I215" s="59" t="str">
        <f>VLOOKUP(J215,'lista obszary'!A:B,2,0)</f>
        <v>HV</v>
      </c>
      <c r="J215" s="78" t="s">
        <v>2324</v>
      </c>
      <c r="K215" s="87" t="s">
        <v>2326</v>
      </c>
      <c r="L215" s="82" t="s">
        <v>2447</v>
      </c>
      <c r="M215" s="23"/>
      <c r="N215" s="23"/>
      <c r="O215" s="23"/>
      <c r="P215" s="19" t="s">
        <v>175</v>
      </c>
      <c r="Q215" s="26"/>
      <c r="R215" s="26"/>
      <c r="S215" s="47"/>
      <c r="T215" s="4"/>
      <c r="U215" s="20">
        <f t="shared" si="4"/>
        <v>43549</v>
      </c>
      <c r="V215" s="47"/>
      <c r="W215" s="43"/>
      <c r="X215" s="66" t="e">
        <f>VLOOKUP(D215,#REF!,2,0)</f>
        <v>#REF!</v>
      </c>
      <c r="Y215" s="67" t="s">
        <v>2643</v>
      </c>
      <c r="Z215" s="67"/>
    </row>
    <row r="216" spans="1:26" ht="13.65" customHeight="1">
      <c r="A216" s="91">
        <v>215</v>
      </c>
      <c r="B216" s="19"/>
      <c r="C216" s="3" t="e">
        <f>VLOOKUP(D216,'lista 1'!$A$2:$F3734,4,0)</f>
        <v>#N/A</v>
      </c>
      <c r="D216" s="73">
        <v>70430</v>
      </c>
      <c r="E216" s="4" t="e">
        <f>VLOOKUP(D216,'lista 1'!$A$2:$F$1802,5,0)</f>
        <v>#N/A</v>
      </c>
      <c r="F216" s="59" t="str">
        <f>VLOOKUP(G216,'lista obszary'!A:B,2,0)</f>
        <v>HV</v>
      </c>
      <c r="G216" s="76" t="s">
        <v>2072</v>
      </c>
      <c r="H216" s="85" t="s">
        <v>340</v>
      </c>
      <c r="I216" s="59" t="str">
        <f>VLOOKUP(J216,'lista obszary'!A:B,2,0)</f>
        <v>HV</v>
      </c>
      <c r="J216" s="78" t="s">
        <v>2324</v>
      </c>
      <c r="K216" s="87" t="s">
        <v>2326</v>
      </c>
      <c r="L216" s="82" t="s">
        <v>2447</v>
      </c>
      <c r="M216" s="23"/>
      <c r="N216" s="23"/>
      <c r="O216" s="23"/>
      <c r="P216" s="19" t="s">
        <v>175</v>
      </c>
      <c r="Q216" s="26"/>
      <c r="R216" s="26"/>
      <c r="S216" s="47"/>
      <c r="T216" s="4"/>
      <c r="U216" s="20">
        <f t="shared" si="4"/>
        <v>43549</v>
      </c>
      <c r="V216" s="47"/>
      <c r="W216" s="43"/>
      <c r="X216" s="66" t="e">
        <f>VLOOKUP(D216,#REF!,2,0)</f>
        <v>#REF!</v>
      </c>
      <c r="Y216" s="67" t="s">
        <v>2643</v>
      </c>
      <c r="Z216" s="67"/>
    </row>
    <row r="217" spans="1:26" ht="13.65" customHeight="1">
      <c r="A217" s="91">
        <v>216</v>
      </c>
      <c r="B217" s="19"/>
      <c r="C217" s="3" t="str">
        <f>VLOOKUP(D217,'lista 1'!$A$2:$F3735,4,0)</f>
        <v>LECH JACEK</v>
      </c>
      <c r="D217" s="73">
        <v>331</v>
      </c>
      <c r="E217" s="4" t="str">
        <f>VLOOKUP(D217,'lista 1'!$A$2:$F$1802,5,0)</f>
        <v>TM2</v>
      </c>
      <c r="F217" s="59" t="str">
        <f>VLOOKUP(G217,'lista obszary'!A:B,2,0)</f>
        <v>HV</v>
      </c>
      <c r="G217" s="76" t="s">
        <v>2072</v>
      </c>
      <c r="H217" s="85" t="s">
        <v>340</v>
      </c>
      <c r="I217" s="59" t="str">
        <f>VLOOKUP(J217,'lista obszary'!A:B,2,0)</f>
        <v>HV</v>
      </c>
      <c r="J217" s="78" t="s">
        <v>2324</v>
      </c>
      <c r="K217" s="87" t="s">
        <v>2326</v>
      </c>
      <c r="L217" s="82" t="s">
        <v>2447</v>
      </c>
      <c r="M217" s="23"/>
      <c r="N217" s="23"/>
      <c r="O217" s="23"/>
      <c r="P217" s="19" t="s">
        <v>175</v>
      </c>
      <c r="Q217" s="26"/>
      <c r="R217" s="26"/>
      <c r="S217" s="47"/>
      <c r="T217" s="4"/>
      <c r="U217" s="20">
        <f t="shared" si="4"/>
        <v>43549</v>
      </c>
      <c r="V217" s="47"/>
      <c r="W217" s="43"/>
      <c r="X217" s="66" t="e">
        <f>VLOOKUP(D217,#REF!,2,0)</f>
        <v>#REF!</v>
      </c>
      <c r="Y217" s="67" t="s">
        <v>2643</v>
      </c>
      <c r="Z217" s="67"/>
    </row>
    <row r="218" spans="1:26" ht="13.65" customHeight="1">
      <c r="A218" s="91">
        <v>217</v>
      </c>
      <c r="B218" s="19"/>
      <c r="C218" s="3" t="str">
        <f>VLOOKUP(D218,'lista 1'!$A$2:$F3736,4,0)</f>
        <v>MORUŚ-ADAMEK MARIOLA</v>
      </c>
      <c r="D218" s="73">
        <v>2293</v>
      </c>
      <c r="E218" s="4" t="str">
        <f>VLOOKUP(D218,'lista 1'!$A$2:$F$1802,5,0)</f>
        <v>TM2</v>
      </c>
      <c r="F218" s="59" t="str">
        <f>VLOOKUP(G218,'lista obszary'!A:B,2,0)</f>
        <v>HV</v>
      </c>
      <c r="G218" s="76" t="s">
        <v>2324</v>
      </c>
      <c r="H218" s="85" t="s">
        <v>2326</v>
      </c>
      <c r="I218" s="59" t="str">
        <f>VLOOKUP(J218,'lista obszary'!A:B,2,0)</f>
        <v>HV</v>
      </c>
      <c r="J218" s="78" t="s">
        <v>2449</v>
      </c>
      <c r="K218" s="87" t="s">
        <v>340</v>
      </c>
      <c r="L218" s="82" t="s">
        <v>2447</v>
      </c>
      <c r="M218" s="23"/>
      <c r="N218" s="23"/>
      <c r="O218" s="23"/>
      <c r="P218" s="19" t="s">
        <v>175</v>
      </c>
      <c r="Q218" s="26"/>
      <c r="R218" s="26"/>
      <c r="S218" s="47"/>
      <c r="T218" s="4"/>
      <c r="U218" s="20">
        <f t="shared" si="4"/>
        <v>43549</v>
      </c>
      <c r="V218" s="47"/>
      <c r="W218" s="43"/>
      <c r="X218" s="66" t="e">
        <f>VLOOKUP(D218,#REF!,2,0)</f>
        <v>#REF!</v>
      </c>
      <c r="Y218" s="67" t="b">
        <f>F218=I218</f>
        <v>1</v>
      </c>
      <c r="Z218" s="67"/>
    </row>
    <row r="219" spans="1:26" ht="13.65" customHeight="1">
      <c r="A219" s="91">
        <v>218</v>
      </c>
      <c r="B219" s="19"/>
      <c r="C219" s="3" t="str">
        <f>VLOOKUP(D219,'lista 1'!$A$2:$F3737,4,0)</f>
        <v>BAGAZJA KRZYSZTOF</v>
      </c>
      <c r="D219" s="73">
        <v>574</v>
      </c>
      <c r="E219" s="4" t="str">
        <f>VLOOKUP(D219,'lista 1'!$A$2:$F$1802,5,0)</f>
        <v>TM2</v>
      </c>
      <c r="F219" s="59" t="str">
        <f>VLOOKUP(G219,'lista obszary'!A:B,2,0)</f>
        <v>HV</v>
      </c>
      <c r="G219" s="76" t="s">
        <v>2319</v>
      </c>
      <c r="H219" s="85" t="s">
        <v>534</v>
      </c>
      <c r="I219" s="59" t="str">
        <f>VLOOKUP(J219,'lista obszary'!A:B,2,0)</f>
        <v>HV</v>
      </c>
      <c r="J219" s="78" t="s">
        <v>2449</v>
      </c>
      <c r="K219" s="87" t="s">
        <v>340</v>
      </c>
      <c r="L219" s="82" t="s">
        <v>2447</v>
      </c>
      <c r="M219" s="23"/>
      <c r="N219" s="23"/>
      <c r="O219" s="23"/>
      <c r="P219" s="19" t="s">
        <v>175</v>
      </c>
      <c r="Q219" s="26"/>
      <c r="R219" s="26"/>
      <c r="S219" s="47"/>
      <c r="T219" s="4"/>
      <c r="U219" s="20">
        <f t="shared" si="4"/>
        <v>43549</v>
      </c>
      <c r="V219" s="47"/>
      <c r="W219" s="43"/>
      <c r="X219" s="66" t="e">
        <f>VLOOKUP(D219,#REF!,2,0)</f>
        <v>#REF!</v>
      </c>
      <c r="Y219" s="67" t="b">
        <f>F219=I219</f>
        <v>1</v>
      </c>
    </row>
    <row r="220" spans="1:26" ht="13.65" customHeight="1">
      <c r="A220" s="91">
        <v>219</v>
      </c>
      <c r="B220" s="19"/>
      <c r="C220" s="3" t="e">
        <f>VLOOKUP(D220,'lista 1'!$A$2:$F3738,4,0)</f>
        <v>#N/A</v>
      </c>
      <c r="D220" s="73">
        <v>70372</v>
      </c>
      <c r="E220" s="4" t="e">
        <f>VLOOKUP(D220,'lista 1'!$A$2:$F$1802,5,0)</f>
        <v>#N/A</v>
      </c>
      <c r="F220" s="59" t="str">
        <f>VLOOKUP(G220,'lista obszary'!A:B,2,0)</f>
        <v>HV</v>
      </c>
      <c r="G220" s="76" t="s">
        <v>2319</v>
      </c>
      <c r="H220" s="85" t="s">
        <v>534</v>
      </c>
      <c r="I220" s="59" t="str">
        <f>VLOOKUP(J220,'lista obszary'!A:B,2,0)</f>
        <v>HV</v>
      </c>
      <c r="J220" s="78" t="s">
        <v>2449</v>
      </c>
      <c r="K220" s="87" t="s">
        <v>340</v>
      </c>
      <c r="L220" s="82" t="s">
        <v>2447</v>
      </c>
      <c r="M220" s="23"/>
      <c r="N220" s="23"/>
      <c r="O220" s="23"/>
      <c r="P220" s="19" t="s">
        <v>175</v>
      </c>
      <c r="Q220" s="26"/>
      <c r="R220" s="26"/>
      <c r="S220" s="47"/>
      <c r="T220" s="4"/>
      <c r="U220" s="20">
        <f t="shared" si="4"/>
        <v>43549</v>
      </c>
      <c r="V220" s="47"/>
      <c r="W220" s="43"/>
      <c r="X220" s="66" t="e">
        <f>VLOOKUP(D220,#REF!,2,0)</f>
        <v>#REF!</v>
      </c>
      <c r="Y220" s="67" t="b">
        <f>F220=I220</f>
        <v>1</v>
      </c>
      <c r="Z220" s="67"/>
    </row>
    <row r="221" spans="1:26" ht="13.65" customHeight="1">
      <c r="A221" s="91">
        <v>220</v>
      </c>
      <c r="B221" s="19"/>
      <c r="C221" s="3" t="e">
        <f>VLOOKUP(D221,'lista 1'!$A$2:$F3739,4,0)</f>
        <v>#N/A</v>
      </c>
      <c r="D221" s="73">
        <v>64409</v>
      </c>
      <c r="E221" s="4" t="e">
        <f>VLOOKUP(D221,'lista 1'!$A$2:$F$1802,5,0)</f>
        <v>#N/A</v>
      </c>
      <c r="F221" s="59" t="str">
        <f>VLOOKUP(G221,'lista obszary'!A:B,2,0)</f>
        <v>HV</v>
      </c>
      <c r="G221" s="76" t="s">
        <v>2319</v>
      </c>
      <c r="H221" s="85" t="s">
        <v>534</v>
      </c>
      <c r="I221" s="59" t="str">
        <f>VLOOKUP(J221,'lista obszary'!A:B,2,0)</f>
        <v>HV</v>
      </c>
      <c r="J221" s="78" t="s">
        <v>2449</v>
      </c>
      <c r="K221" s="87" t="s">
        <v>340</v>
      </c>
      <c r="L221" s="82" t="s">
        <v>2447</v>
      </c>
      <c r="M221" s="23"/>
      <c r="N221" s="23"/>
      <c r="O221" s="23"/>
      <c r="P221" s="19" t="s">
        <v>175</v>
      </c>
      <c r="Q221" s="26"/>
      <c r="R221" s="26"/>
      <c r="S221" s="47"/>
      <c r="T221" s="4"/>
      <c r="U221" s="20">
        <f t="shared" si="4"/>
        <v>43549</v>
      </c>
      <c r="V221" s="47"/>
      <c r="W221" s="43"/>
      <c r="X221" s="66" t="e">
        <f>VLOOKUP(D221,#REF!,2,0)</f>
        <v>#REF!</v>
      </c>
      <c r="Y221" s="67" t="s">
        <v>2643</v>
      </c>
      <c r="Z221" s="67"/>
    </row>
    <row r="222" spans="1:26" ht="13.65" customHeight="1">
      <c r="A222" s="91">
        <v>221</v>
      </c>
      <c r="B222" s="19"/>
      <c r="C222" s="3" t="e">
        <f>VLOOKUP(D222,'lista 1'!$A$2:$F3740,4,0)</f>
        <v>#N/A</v>
      </c>
      <c r="D222" s="73">
        <v>64350</v>
      </c>
      <c r="E222" s="4" t="e">
        <f>VLOOKUP(D222,'lista 1'!$A$2:$F$1802,5,0)</f>
        <v>#N/A</v>
      </c>
      <c r="F222" s="59" t="str">
        <f>VLOOKUP(G222,'lista obszary'!A:B,2,0)</f>
        <v>HV</v>
      </c>
      <c r="G222" s="76" t="s">
        <v>2319</v>
      </c>
      <c r="H222" s="85" t="s">
        <v>534</v>
      </c>
      <c r="I222" s="59" t="str">
        <f>VLOOKUP(J222,'lista obszary'!A:B,2,0)</f>
        <v>HV</v>
      </c>
      <c r="J222" s="78" t="s">
        <v>2449</v>
      </c>
      <c r="K222" s="87" t="s">
        <v>340</v>
      </c>
      <c r="L222" s="82" t="s">
        <v>2447</v>
      </c>
      <c r="M222" s="23"/>
      <c r="N222" s="23"/>
      <c r="O222" s="23"/>
      <c r="P222" s="19" t="s">
        <v>175</v>
      </c>
      <c r="Q222" s="26"/>
      <c r="R222" s="26"/>
      <c r="S222" s="47"/>
      <c r="T222" s="4"/>
      <c r="U222" s="20">
        <f t="shared" si="4"/>
        <v>43549</v>
      </c>
      <c r="V222" s="47"/>
      <c r="W222" s="43"/>
      <c r="X222" s="66" t="e">
        <f>VLOOKUP(D222,#REF!,2,0)</f>
        <v>#REF!</v>
      </c>
      <c r="Y222" s="67" t="b">
        <f>F222=I222</f>
        <v>1</v>
      </c>
      <c r="Z222" s="67"/>
    </row>
    <row r="223" spans="1:26" ht="13.65" customHeight="1">
      <c r="A223" s="91">
        <v>222</v>
      </c>
      <c r="B223" s="19"/>
      <c r="C223" s="3" t="e">
        <f>VLOOKUP(D223,'lista 1'!$A$2:$F3741,4,0)</f>
        <v>#N/A</v>
      </c>
      <c r="D223" s="73">
        <v>64330</v>
      </c>
      <c r="E223" s="4" t="e">
        <f>VLOOKUP(D223,'lista 1'!$A$2:$F$1802,5,0)</f>
        <v>#N/A</v>
      </c>
      <c r="F223" s="59" t="str">
        <f>VLOOKUP(G223,'lista obszary'!A:B,2,0)</f>
        <v>HV</v>
      </c>
      <c r="G223" s="76" t="s">
        <v>2072</v>
      </c>
      <c r="H223" s="85" t="s">
        <v>340</v>
      </c>
      <c r="I223" s="59" t="str">
        <f>VLOOKUP(J223,'lista obszary'!A:B,2,0)</f>
        <v>HV</v>
      </c>
      <c r="J223" s="78" t="s">
        <v>2449</v>
      </c>
      <c r="K223" s="87" t="s">
        <v>340</v>
      </c>
      <c r="L223" s="82" t="s">
        <v>2447</v>
      </c>
      <c r="M223" s="23"/>
      <c r="N223" s="23"/>
      <c r="O223" s="23"/>
      <c r="P223" s="19" t="s">
        <v>175</v>
      </c>
      <c r="Q223" s="26"/>
      <c r="R223" s="26"/>
      <c r="S223" s="47"/>
      <c r="T223" s="4"/>
      <c r="U223" s="20">
        <f t="shared" si="4"/>
        <v>43549</v>
      </c>
      <c r="V223" s="47"/>
      <c r="W223" s="43"/>
      <c r="X223" s="66" t="e">
        <f>VLOOKUP(D223,#REF!,2,0)</f>
        <v>#REF!</v>
      </c>
      <c r="Y223" s="67" t="s">
        <v>2643</v>
      </c>
      <c r="Z223" s="67"/>
    </row>
    <row r="224" spans="1:26" ht="13.65" customHeight="1">
      <c r="A224" s="91">
        <v>223</v>
      </c>
      <c r="B224" s="19"/>
      <c r="C224" s="3" t="str">
        <f>VLOOKUP(D224,'lista 1'!$A$2:$F3742,4,0)</f>
        <v>SIERAKOWSKA IZABELA</v>
      </c>
      <c r="D224" s="73">
        <v>2183</v>
      </c>
      <c r="E224" s="4" t="str">
        <f>VLOOKUP(D224,'lista 1'!$A$2:$F$1802,5,0)</f>
        <v>TM</v>
      </c>
      <c r="F224" s="59" t="str">
        <f>VLOOKUP(G224,'lista obszary'!A:B,2,0)</f>
        <v>HV</v>
      </c>
      <c r="G224" s="76" t="s">
        <v>2072</v>
      </c>
      <c r="H224" s="85" t="s">
        <v>340</v>
      </c>
      <c r="I224" s="59" t="str">
        <f>VLOOKUP(J224,'lista obszary'!A:B,2,0)</f>
        <v>HV</v>
      </c>
      <c r="J224" s="78" t="s">
        <v>2449</v>
      </c>
      <c r="K224" s="87" t="s">
        <v>340</v>
      </c>
      <c r="L224" s="82" t="s">
        <v>2447</v>
      </c>
      <c r="M224" s="23"/>
      <c r="N224" s="23"/>
      <c r="O224" s="23"/>
      <c r="P224" s="19" t="s">
        <v>175</v>
      </c>
      <c r="Q224" s="26"/>
      <c r="R224" s="26"/>
      <c r="S224" s="47"/>
      <c r="T224" s="4"/>
      <c r="U224" s="20">
        <f t="shared" si="4"/>
        <v>43549</v>
      </c>
      <c r="V224" s="47"/>
      <c r="W224" s="43"/>
      <c r="X224" s="66" t="e">
        <f>VLOOKUP(D224,#REF!,2,0)</f>
        <v>#REF!</v>
      </c>
      <c r="Y224" s="67" t="s">
        <v>2643</v>
      </c>
      <c r="Z224" s="67"/>
    </row>
    <row r="225" spans="1:26" ht="13.65" customHeight="1">
      <c r="A225" s="91">
        <v>224</v>
      </c>
      <c r="B225" s="19"/>
      <c r="C225" s="3" t="str">
        <f>VLOOKUP(D225,'lista 1'!$A$2:$F3743,4,0)</f>
        <v>BANAŚ GRZEGORZ</v>
      </c>
      <c r="D225" s="73">
        <v>575</v>
      </c>
      <c r="E225" s="4" t="str">
        <f>VLOOKUP(D225,'lista 1'!$A$2:$F$1802,5,0)</f>
        <v>TL</v>
      </c>
      <c r="F225" s="59" t="str">
        <f>VLOOKUP(G225,'lista obszary'!A:B,2,0)</f>
        <v>HV</v>
      </c>
      <c r="G225" s="76" t="s">
        <v>2072</v>
      </c>
      <c r="H225" s="85" t="s">
        <v>340</v>
      </c>
      <c r="I225" s="59" t="str">
        <f>VLOOKUP(J225,'lista obszary'!A:B,2,0)</f>
        <v>HV</v>
      </c>
      <c r="J225" s="78" t="s">
        <v>2449</v>
      </c>
      <c r="K225" s="87" t="s">
        <v>340</v>
      </c>
      <c r="L225" s="82" t="s">
        <v>2447</v>
      </c>
      <c r="M225" s="23"/>
      <c r="N225" s="23"/>
      <c r="O225" s="23"/>
      <c r="P225" s="19" t="s">
        <v>175</v>
      </c>
      <c r="Q225" s="26"/>
      <c r="R225" s="26"/>
      <c r="S225" s="47"/>
      <c r="T225" s="4"/>
      <c r="U225" s="20">
        <f t="shared" si="4"/>
        <v>43549</v>
      </c>
      <c r="V225" s="47"/>
      <c r="W225" s="43"/>
      <c r="X225" s="66" t="e">
        <f>VLOOKUP(D225,#REF!,2,0)</f>
        <v>#REF!</v>
      </c>
      <c r="Y225" s="67" t="s">
        <v>2643</v>
      </c>
      <c r="Z225" s="67"/>
    </row>
    <row r="226" spans="1:26" ht="13.65" customHeight="1">
      <c r="A226" s="91">
        <v>225</v>
      </c>
      <c r="B226" s="19"/>
      <c r="C226" s="3" t="str">
        <f>VLOOKUP(D226,'lista 1'!$A$2:$F3744,4,0)</f>
        <v>ZAJĄC SŁAWOMIR</v>
      </c>
      <c r="D226" s="73">
        <v>1972</v>
      </c>
      <c r="E226" s="4" t="str">
        <f>VLOOKUP(D226,'lista 1'!$A$2:$F$1802,5,0)</f>
        <v>TM</v>
      </c>
      <c r="F226" s="59" t="str">
        <f>VLOOKUP(G226,'lista obszary'!A:B,2,0)</f>
        <v>HV</v>
      </c>
      <c r="G226" s="76" t="s">
        <v>2072</v>
      </c>
      <c r="H226" s="85" t="s">
        <v>340</v>
      </c>
      <c r="I226" s="59" t="str">
        <f>VLOOKUP(J226,'lista obszary'!A:B,2,0)</f>
        <v>HV</v>
      </c>
      <c r="J226" s="78" t="s">
        <v>2449</v>
      </c>
      <c r="K226" s="87" t="s">
        <v>340</v>
      </c>
      <c r="L226" s="82" t="s">
        <v>2447</v>
      </c>
      <c r="M226" s="23"/>
      <c r="N226" s="23"/>
      <c r="O226" s="23"/>
      <c r="P226" s="19" t="s">
        <v>175</v>
      </c>
      <c r="Q226" s="26"/>
      <c r="R226" s="26"/>
      <c r="S226" s="47"/>
      <c r="T226" s="4"/>
      <c r="U226" s="20">
        <f t="shared" si="4"/>
        <v>43549</v>
      </c>
      <c r="V226" s="47"/>
      <c r="W226" s="43"/>
      <c r="X226" s="66" t="e">
        <f>VLOOKUP(D226,#REF!,2,0)</f>
        <v>#REF!</v>
      </c>
      <c r="Y226" s="67" t="s">
        <v>2643</v>
      </c>
      <c r="Z226" s="67"/>
    </row>
    <row r="227" spans="1:26" ht="13.65" customHeight="1">
      <c r="A227" s="91">
        <v>226</v>
      </c>
      <c r="B227" s="19"/>
      <c r="C227" s="3" t="str">
        <f>VLOOKUP(D227,'lista 1'!$A$2:$F3745,4,0)</f>
        <v>POPOWNIAK MARCIN</v>
      </c>
      <c r="D227" s="73">
        <v>1528</v>
      </c>
      <c r="E227" s="4" t="str">
        <f>VLOOKUP(D227,'lista 1'!$A$2:$F$1802,5,0)</f>
        <v>TM2</v>
      </c>
      <c r="F227" s="59" t="str">
        <f>VLOOKUP(G227,'lista obszary'!A:B,2,0)</f>
        <v>HV</v>
      </c>
      <c r="G227" s="76" t="s">
        <v>2072</v>
      </c>
      <c r="H227" s="85" t="s">
        <v>340</v>
      </c>
      <c r="I227" s="59" t="str">
        <f>VLOOKUP(J227,'lista obszary'!A:B,2,0)</f>
        <v>HV</v>
      </c>
      <c r="J227" s="78" t="s">
        <v>2449</v>
      </c>
      <c r="K227" s="87" t="s">
        <v>340</v>
      </c>
      <c r="L227" s="82" t="s">
        <v>2447</v>
      </c>
      <c r="M227" s="23"/>
      <c r="N227" s="23"/>
      <c r="O227" s="23"/>
      <c r="P227" s="19" t="s">
        <v>175</v>
      </c>
      <c r="Q227" s="26"/>
      <c r="R227" s="26"/>
      <c r="S227" s="47"/>
      <c r="T227" s="4"/>
      <c r="U227" s="20">
        <f t="shared" si="4"/>
        <v>43549</v>
      </c>
      <c r="V227" s="47"/>
      <c r="W227" s="43"/>
      <c r="X227" s="66" t="e">
        <f>VLOOKUP(D227,#REF!,2,0)</f>
        <v>#REF!</v>
      </c>
      <c r="Y227" s="67" t="s">
        <v>2643</v>
      </c>
      <c r="Z227" s="67"/>
    </row>
    <row r="228" spans="1:26" ht="13.65" customHeight="1">
      <c r="A228" s="91">
        <v>227</v>
      </c>
      <c r="B228" s="19"/>
      <c r="C228" s="3" t="str">
        <f>VLOOKUP(D228,'lista 1'!$A$2:$F3746,4,0)</f>
        <v>KROPIEWNICKI KRZYSZTOF</v>
      </c>
      <c r="D228" s="73">
        <v>191</v>
      </c>
      <c r="E228" s="4" t="str">
        <f>VLOOKUP(D228,'lista 1'!$A$2:$F$1802,5,0)</f>
        <v>TL</v>
      </c>
      <c r="F228" s="59" t="str">
        <f>VLOOKUP(G228,'lista obszary'!A:B,2,0)</f>
        <v>HV</v>
      </c>
      <c r="G228" s="76" t="s">
        <v>2072</v>
      </c>
      <c r="H228" s="85" t="s">
        <v>340</v>
      </c>
      <c r="I228" s="59" t="str">
        <f>VLOOKUP(J228,'lista obszary'!A:B,2,0)</f>
        <v>HV</v>
      </c>
      <c r="J228" s="78" t="s">
        <v>2449</v>
      </c>
      <c r="K228" s="87" t="s">
        <v>340</v>
      </c>
      <c r="L228" s="82" t="s">
        <v>2447</v>
      </c>
      <c r="M228" s="23"/>
      <c r="N228" s="23"/>
      <c r="O228" s="23"/>
      <c r="P228" s="19" t="s">
        <v>175</v>
      </c>
      <c r="Q228" s="26"/>
      <c r="R228" s="26"/>
      <c r="S228" s="47"/>
      <c r="T228" s="4"/>
      <c r="U228" s="20">
        <f t="shared" si="4"/>
        <v>43549</v>
      </c>
      <c r="V228" s="47"/>
      <c r="W228" s="43"/>
      <c r="X228" s="66" t="e">
        <f>VLOOKUP(D228,#REF!,2,0)</f>
        <v>#REF!</v>
      </c>
      <c r="Y228" s="67" t="s">
        <v>2643</v>
      </c>
      <c r="Z228" s="67"/>
    </row>
    <row r="229" spans="1:26" ht="13.65" customHeight="1">
      <c r="A229" s="91">
        <v>228</v>
      </c>
      <c r="B229" s="19"/>
      <c r="C229" s="3" t="str">
        <f>VLOOKUP(D229,'lista 1'!$A$2:$F3747,4,0)</f>
        <v>OPALSKI RADOSŁAW</v>
      </c>
      <c r="D229" s="73">
        <v>108</v>
      </c>
      <c r="E229" s="4" t="str">
        <f>VLOOKUP(D229,'lista 1'!$A$2:$F$1802,5,0)</f>
        <v>GRL</v>
      </c>
      <c r="F229" s="59" t="str">
        <f>VLOOKUP(G229,'lista obszary'!A:B,2,0)</f>
        <v>HV</v>
      </c>
      <c r="G229" s="76" t="s">
        <v>2072</v>
      </c>
      <c r="H229" s="85" t="s">
        <v>340</v>
      </c>
      <c r="I229" s="59" t="str">
        <f>VLOOKUP(J229,'lista obszary'!A:B,2,0)</f>
        <v>HV</v>
      </c>
      <c r="J229" s="78" t="s">
        <v>2449</v>
      </c>
      <c r="K229" s="87" t="s">
        <v>1577</v>
      </c>
      <c r="L229" s="82" t="s">
        <v>2447</v>
      </c>
      <c r="M229" s="23"/>
      <c r="N229" s="23"/>
      <c r="O229" s="23"/>
      <c r="P229" s="19" t="s">
        <v>175</v>
      </c>
      <c r="Q229" s="26"/>
      <c r="R229" s="26"/>
      <c r="S229" s="47"/>
      <c r="T229" s="4"/>
      <c r="U229" s="20">
        <f t="shared" si="4"/>
        <v>43549</v>
      </c>
      <c r="V229" s="47"/>
      <c r="W229" s="43"/>
      <c r="X229" s="66" t="e">
        <f>VLOOKUP(D229,#REF!,2,0)</f>
        <v>#REF!</v>
      </c>
      <c r="Y229" s="67" t="s">
        <v>2643</v>
      </c>
      <c r="Z229" s="67"/>
    </row>
    <row r="230" spans="1:26" ht="13.65" customHeight="1">
      <c r="A230" s="91">
        <v>229</v>
      </c>
      <c r="B230" s="19"/>
      <c r="C230" s="3" t="str">
        <f>VLOOKUP(D230,'lista 1'!$A$2:$F3748,4,0)</f>
        <v>LIPSKI TOMASZ</v>
      </c>
      <c r="D230" s="73">
        <v>2016</v>
      </c>
      <c r="E230" s="4" t="str">
        <f>VLOOKUP(D230,'lista 1'!$A$2:$F$1802,5,0)</f>
        <v>TM2</v>
      </c>
      <c r="F230" s="59" t="str">
        <f>VLOOKUP(G230,'lista obszary'!A:B,2,0)</f>
        <v>HV</v>
      </c>
      <c r="G230" s="76" t="s">
        <v>2072</v>
      </c>
      <c r="H230" s="85" t="s">
        <v>340</v>
      </c>
      <c r="I230" s="59" t="str">
        <f>VLOOKUP(J230,'lista obszary'!A:B,2,0)</f>
        <v>HV</v>
      </c>
      <c r="J230" s="78" t="s">
        <v>2449</v>
      </c>
      <c r="K230" s="87" t="s">
        <v>340</v>
      </c>
      <c r="L230" s="82" t="s">
        <v>2447</v>
      </c>
      <c r="M230" s="23"/>
      <c r="N230" s="23"/>
      <c r="O230" s="23"/>
      <c r="P230" s="19" t="s">
        <v>175</v>
      </c>
      <c r="Q230" s="26"/>
      <c r="R230" s="26"/>
      <c r="S230" s="47"/>
      <c r="T230" s="4"/>
      <c r="U230" s="20">
        <f t="shared" si="4"/>
        <v>43549</v>
      </c>
      <c r="V230" s="47"/>
      <c r="W230" s="43"/>
      <c r="X230" s="66" t="e">
        <f>VLOOKUP(D230,#REF!,2,0)</f>
        <v>#REF!</v>
      </c>
      <c r="Y230" s="67" t="s">
        <v>2643</v>
      </c>
      <c r="Z230" s="67"/>
    </row>
    <row r="231" spans="1:26" ht="13.65" customHeight="1">
      <c r="A231" s="91">
        <v>230</v>
      </c>
      <c r="B231" s="19"/>
      <c r="C231" s="3" t="str">
        <f>VLOOKUP(D231,'lista 1'!$A$2:$F3749,4,0)</f>
        <v>MAGREL KRZYSZTOF</v>
      </c>
      <c r="D231" s="73">
        <v>2931</v>
      </c>
      <c r="E231" s="4" t="str">
        <f>VLOOKUP(D231,'lista 1'!$A$2:$F$1802,5,0)</f>
        <v>TM</v>
      </c>
      <c r="F231" s="59" t="str">
        <f>VLOOKUP(G231,'lista obszary'!A:B,2,0)</f>
        <v>HV</v>
      </c>
      <c r="G231" s="76" t="s">
        <v>2324</v>
      </c>
      <c r="H231" s="85" t="s">
        <v>2326</v>
      </c>
      <c r="I231" s="59" t="str">
        <f>VLOOKUP(J231,'lista obszary'!A:B,2,0)</f>
        <v>HV</v>
      </c>
      <c r="J231" s="78" t="s">
        <v>2449</v>
      </c>
      <c r="K231" s="87" t="s">
        <v>340</v>
      </c>
      <c r="L231" s="82" t="s">
        <v>2447</v>
      </c>
      <c r="M231" s="23"/>
      <c r="N231" s="23"/>
      <c r="O231" s="23"/>
      <c r="P231" s="19" t="s">
        <v>175</v>
      </c>
      <c r="Q231" s="26"/>
      <c r="R231" s="26"/>
      <c r="S231" s="47"/>
      <c r="T231" s="4"/>
      <c r="U231" s="20">
        <f t="shared" si="4"/>
        <v>43549</v>
      </c>
      <c r="V231" s="47"/>
      <c r="W231" s="43"/>
      <c r="X231" s="66" t="e">
        <f>VLOOKUP(D231,#REF!,2,0)</f>
        <v>#REF!</v>
      </c>
      <c r="Y231" s="67" t="s">
        <v>2643</v>
      </c>
      <c r="Z231" s="67"/>
    </row>
    <row r="232" spans="1:26" ht="13.65" customHeight="1">
      <c r="A232" s="91">
        <v>231</v>
      </c>
      <c r="B232" s="19"/>
      <c r="C232" s="3" t="str">
        <f>VLOOKUP(D232,'lista 1'!$A$2:$F3750,4,0)</f>
        <v>OLEŚ MAŁGORZATA</v>
      </c>
      <c r="D232" s="73">
        <v>2308</v>
      </c>
      <c r="E232" s="4" t="str">
        <f>VLOOKUP(D232,'lista 1'!$A$2:$F$1802,5,0)</f>
        <v>TM</v>
      </c>
      <c r="F232" s="59" t="str">
        <f>VLOOKUP(G232,'lista obszary'!A:B,2,0)</f>
        <v>HV</v>
      </c>
      <c r="G232" s="76" t="s">
        <v>2324</v>
      </c>
      <c r="H232" s="85" t="s">
        <v>2326</v>
      </c>
      <c r="I232" s="59" t="str">
        <f>VLOOKUP(J232,'lista obszary'!A:B,2,0)</f>
        <v>HV</v>
      </c>
      <c r="J232" s="78" t="s">
        <v>2449</v>
      </c>
      <c r="K232" s="87" t="s">
        <v>340</v>
      </c>
      <c r="L232" s="82" t="s">
        <v>2447</v>
      </c>
      <c r="M232" s="23"/>
      <c r="N232" s="23"/>
      <c r="O232" s="23"/>
      <c r="P232" s="19" t="s">
        <v>175</v>
      </c>
      <c r="Q232" s="26"/>
      <c r="R232" s="26"/>
      <c r="S232" s="47"/>
      <c r="T232" s="4"/>
      <c r="U232" s="20">
        <f t="shared" si="4"/>
        <v>43549</v>
      </c>
      <c r="V232" s="47"/>
      <c r="W232" s="43"/>
      <c r="X232" s="66" t="e">
        <f>VLOOKUP(D232,#REF!,2,0)</f>
        <v>#REF!</v>
      </c>
      <c r="Y232" s="67" t="b">
        <f>F232=I232</f>
        <v>1</v>
      </c>
      <c r="Z232" s="67"/>
    </row>
    <row r="233" spans="1:26" ht="13.65" customHeight="1">
      <c r="A233" s="91">
        <v>232</v>
      </c>
      <c r="B233" s="19"/>
      <c r="C233" s="3" t="str">
        <f>VLOOKUP(D233,'lista 1'!$A$2:$F3751,4,0)</f>
        <v>MAŁECKI KRZYSZTOF</v>
      </c>
      <c r="D233" s="73">
        <v>170</v>
      </c>
      <c r="E233" s="4" t="str">
        <f>VLOOKUP(D233,'lista 1'!$A$2:$F$1802,5,0)</f>
        <v>GRL2</v>
      </c>
      <c r="F233" s="59" t="str">
        <f>VLOOKUP(G233,'lista obszary'!A:B,2,0)</f>
        <v>HV</v>
      </c>
      <c r="G233" s="76" t="s">
        <v>2325</v>
      </c>
      <c r="H233" s="85" t="s">
        <v>1901</v>
      </c>
      <c r="I233" s="59" t="str">
        <f>VLOOKUP(J233,'lista obszary'!A:B,2,0)</f>
        <v>HV</v>
      </c>
      <c r="J233" s="78" t="s">
        <v>2069</v>
      </c>
      <c r="K233" s="87" t="s">
        <v>1901</v>
      </c>
      <c r="L233" s="82" t="s">
        <v>2447</v>
      </c>
      <c r="M233" s="23"/>
      <c r="N233" s="23"/>
      <c r="O233" s="23"/>
      <c r="P233" s="19" t="s">
        <v>175</v>
      </c>
      <c r="Q233" s="26"/>
      <c r="R233" s="26"/>
      <c r="S233" s="47"/>
      <c r="T233" s="4"/>
      <c r="U233" s="20">
        <f t="shared" si="4"/>
        <v>43549</v>
      </c>
      <c r="V233" s="47"/>
      <c r="W233" s="43"/>
      <c r="X233" s="66" t="e">
        <f>VLOOKUP(D233,#REF!,2,0)</f>
        <v>#REF!</v>
      </c>
      <c r="Y233" s="67" t="s">
        <v>2643</v>
      </c>
      <c r="Z233" s="67"/>
    </row>
    <row r="234" spans="1:26" ht="13.65" customHeight="1">
      <c r="A234" s="91">
        <v>233</v>
      </c>
      <c r="B234" s="19"/>
      <c r="C234" s="3" t="str">
        <f>VLOOKUP(D234,'lista 1'!$A$2:$F3752,4,0)</f>
        <v>TOMERA SYLWESTER</v>
      </c>
      <c r="D234" s="73">
        <v>828</v>
      </c>
      <c r="E234" s="4" t="str">
        <f>VLOOKUP(D234,'lista 1'!$A$2:$F$1802,5,0)</f>
        <v>TL2</v>
      </c>
      <c r="F234" s="59" t="str">
        <f>VLOOKUP(G234,'lista obszary'!A:B,2,0)</f>
        <v>HV</v>
      </c>
      <c r="G234" s="76" t="s">
        <v>2319</v>
      </c>
      <c r="H234" s="85" t="s">
        <v>534</v>
      </c>
      <c r="I234" s="59" t="str">
        <f>VLOOKUP(J234,'lista obszary'!A:B,2,0)</f>
        <v>HV</v>
      </c>
      <c r="J234" s="78" t="s">
        <v>2069</v>
      </c>
      <c r="K234" s="87" t="s">
        <v>528</v>
      </c>
      <c r="L234" s="82" t="s">
        <v>2447</v>
      </c>
      <c r="M234" s="23"/>
      <c r="N234" s="23"/>
      <c r="O234" s="23"/>
      <c r="P234" s="19" t="s">
        <v>175</v>
      </c>
      <c r="Q234" s="26"/>
      <c r="R234" s="26"/>
      <c r="S234" s="47"/>
      <c r="T234" s="4"/>
      <c r="U234" s="20">
        <f t="shared" si="4"/>
        <v>43549</v>
      </c>
      <c r="V234" s="47"/>
      <c r="W234" s="43"/>
      <c r="X234" s="66" t="e">
        <f>VLOOKUP(D234,#REF!,2,0)</f>
        <v>#REF!</v>
      </c>
      <c r="Y234" s="67" t="s">
        <v>2643</v>
      </c>
      <c r="Z234" s="67"/>
    </row>
    <row r="235" spans="1:26" ht="13.65" customHeight="1">
      <c r="A235" s="91">
        <v>234</v>
      </c>
      <c r="B235" s="19"/>
      <c r="C235" s="3" t="str">
        <f>VLOOKUP(D235,'lista 1'!$A$2:$F3753,4,0)</f>
        <v>KOZAK RAFAŁ</v>
      </c>
      <c r="D235" s="73">
        <v>2132</v>
      </c>
      <c r="E235" s="4" t="str">
        <f>VLOOKUP(D235,'lista 1'!$A$2:$F$1802,5,0)</f>
        <v>TL</v>
      </c>
      <c r="F235" s="59" t="str">
        <f>VLOOKUP(G235,'lista obszary'!A:B,2,0)</f>
        <v>HV</v>
      </c>
      <c r="G235" s="76" t="s">
        <v>2325</v>
      </c>
      <c r="H235" s="85" t="s">
        <v>528</v>
      </c>
      <c r="I235" s="59" t="str">
        <f>VLOOKUP(J235,'lista obszary'!A:B,2,0)</f>
        <v>HV</v>
      </c>
      <c r="J235" s="78" t="s">
        <v>2069</v>
      </c>
      <c r="K235" s="87" t="s">
        <v>528</v>
      </c>
      <c r="L235" s="82" t="s">
        <v>2447</v>
      </c>
      <c r="M235" s="23"/>
      <c r="N235" s="23"/>
      <c r="O235" s="23"/>
      <c r="P235" s="19" t="s">
        <v>175</v>
      </c>
      <c r="Q235" s="26"/>
      <c r="R235" s="26"/>
      <c r="S235" s="47"/>
      <c r="T235" s="4"/>
      <c r="U235" s="20">
        <f t="shared" si="4"/>
        <v>43549</v>
      </c>
      <c r="V235" s="47"/>
      <c r="W235" s="43"/>
      <c r="X235" s="66" t="e">
        <f>VLOOKUP(D235,#REF!,2,0)</f>
        <v>#REF!</v>
      </c>
      <c r="Y235" s="67" t="b">
        <f>F235=I235</f>
        <v>1</v>
      </c>
      <c r="Z235" s="67"/>
    </row>
    <row r="236" spans="1:26" ht="13.65" customHeight="1">
      <c r="A236" s="91">
        <v>235</v>
      </c>
      <c r="B236" s="19"/>
      <c r="C236" s="3" t="str">
        <f>VLOOKUP(D236,'lista 1'!$A$2:$F3754,4,0)</f>
        <v>MAŁECKI MACIEJ</v>
      </c>
      <c r="D236" s="73">
        <v>413</v>
      </c>
      <c r="E236" s="4" t="str">
        <f>VLOOKUP(D236,'lista 1'!$A$2:$F$1802,5,0)</f>
        <v>AC TL</v>
      </c>
      <c r="F236" s="59" t="str">
        <f>VLOOKUP(G236,'lista obszary'!A:B,2,0)</f>
        <v>HV</v>
      </c>
      <c r="G236" s="76" t="s">
        <v>2325</v>
      </c>
      <c r="H236" s="85" t="s">
        <v>528</v>
      </c>
      <c r="I236" s="59" t="str">
        <f>VLOOKUP(J236,'lista obszary'!A:B,2,0)</f>
        <v>HV</v>
      </c>
      <c r="J236" s="78" t="s">
        <v>2069</v>
      </c>
      <c r="K236" s="87" t="s">
        <v>528</v>
      </c>
      <c r="L236" s="82" t="s">
        <v>2447</v>
      </c>
      <c r="M236" s="23"/>
      <c r="N236" s="23"/>
      <c r="O236" s="23"/>
      <c r="P236" s="19" t="s">
        <v>175</v>
      </c>
      <c r="Q236" s="26"/>
      <c r="R236" s="26"/>
      <c r="S236" s="47"/>
      <c r="T236" s="4"/>
      <c r="U236" s="20">
        <f t="shared" si="4"/>
        <v>43549</v>
      </c>
      <c r="V236" s="47"/>
      <c r="W236" s="43"/>
      <c r="X236" s="66" t="e">
        <f>VLOOKUP(D236,#REF!,2,0)</f>
        <v>#REF!</v>
      </c>
      <c r="Y236" s="67" t="s">
        <v>2643</v>
      </c>
      <c r="Z236" s="67"/>
    </row>
    <row r="237" spans="1:26" ht="13.65" customHeight="1">
      <c r="A237" s="91">
        <v>236</v>
      </c>
      <c r="B237" s="19"/>
      <c r="C237" s="3" t="str">
        <f>VLOOKUP(D237,'lista 1'!$A$2:$F3755,4,0)</f>
        <v>ADAMCZYK TOMASZ</v>
      </c>
      <c r="D237" s="73">
        <v>1009</v>
      </c>
      <c r="E237" s="4" t="str">
        <f>VLOOKUP(D237,'lista 1'!$A$2:$F$1802,5,0)</f>
        <v>TM2</v>
      </c>
      <c r="F237" s="59" t="str">
        <f>VLOOKUP(G237,'lista obszary'!A:B,2,0)</f>
        <v>HV</v>
      </c>
      <c r="G237" s="76" t="s">
        <v>2325</v>
      </c>
      <c r="H237" s="85" t="s">
        <v>528</v>
      </c>
      <c r="I237" s="59" t="str">
        <f>VLOOKUP(J237,'lista obszary'!A:B,2,0)</f>
        <v>HV</v>
      </c>
      <c r="J237" s="78" t="s">
        <v>2069</v>
      </c>
      <c r="K237" s="87" t="s">
        <v>528</v>
      </c>
      <c r="L237" s="82" t="s">
        <v>2447</v>
      </c>
      <c r="M237" s="23"/>
      <c r="N237" s="23"/>
      <c r="O237" s="23"/>
      <c r="P237" s="19" t="s">
        <v>175</v>
      </c>
      <c r="Q237" s="26"/>
      <c r="R237" s="26"/>
      <c r="S237" s="47"/>
      <c r="T237" s="4"/>
      <c r="U237" s="20">
        <f t="shared" si="4"/>
        <v>43549</v>
      </c>
      <c r="V237" s="47"/>
      <c r="W237" s="43"/>
      <c r="X237" s="66" t="e">
        <f>VLOOKUP(D237,#REF!,2,0)</f>
        <v>#REF!</v>
      </c>
      <c r="Y237" s="67" t="s">
        <v>2643</v>
      </c>
      <c r="Z237" s="67"/>
    </row>
    <row r="238" spans="1:26" ht="13.65" customHeight="1">
      <c r="A238" s="91">
        <v>237</v>
      </c>
      <c r="B238" s="19"/>
      <c r="C238" s="3" t="str">
        <f>VLOOKUP(D238,'lista 1'!$A$2:$F3756,4,0)</f>
        <v>MŁOTKOWSKA ANETA</v>
      </c>
      <c r="D238" s="73">
        <v>1686</v>
      </c>
      <c r="E238" s="4" t="str">
        <f>VLOOKUP(D238,'lista 1'!$A$2:$F$1802,5,0)</f>
        <v>TM2</v>
      </c>
      <c r="F238" s="59" t="str">
        <f>VLOOKUP(G238,'lista obszary'!A:B,2,0)</f>
        <v>HV</v>
      </c>
      <c r="G238" s="76" t="s">
        <v>2325</v>
      </c>
      <c r="H238" s="85" t="s">
        <v>528</v>
      </c>
      <c r="I238" s="59" t="str">
        <f>VLOOKUP(J238,'lista obszary'!A:B,2,0)</f>
        <v>HV</v>
      </c>
      <c r="J238" s="78" t="s">
        <v>2069</v>
      </c>
      <c r="K238" s="87" t="s">
        <v>528</v>
      </c>
      <c r="L238" s="82" t="s">
        <v>2447</v>
      </c>
      <c r="M238" s="23"/>
      <c r="N238" s="23"/>
      <c r="O238" s="23"/>
      <c r="P238" s="19" t="s">
        <v>175</v>
      </c>
      <c r="Q238" s="26"/>
      <c r="R238" s="26"/>
      <c r="S238" s="47"/>
      <c r="T238" s="4"/>
      <c r="U238" s="20">
        <f t="shared" si="4"/>
        <v>43549</v>
      </c>
      <c r="V238" s="47"/>
      <c r="W238" s="43"/>
      <c r="X238" s="66" t="e">
        <f>VLOOKUP(D238,#REF!,2,0)</f>
        <v>#REF!</v>
      </c>
      <c r="Y238" s="67" t="s">
        <v>2643</v>
      </c>
      <c r="Z238" s="67"/>
    </row>
    <row r="239" spans="1:26" ht="13.65" customHeight="1">
      <c r="A239" s="91">
        <v>238</v>
      </c>
      <c r="B239" s="19"/>
      <c r="C239" s="3" t="str">
        <f>VLOOKUP(D239,'lista 1'!$A$2:$F3757,4,0)</f>
        <v>SUROWIEC ADAM</v>
      </c>
      <c r="D239" s="73">
        <v>2348</v>
      </c>
      <c r="E239" s="4" t="str">
        <f>VLOOKUP(D239,'lista 1'!$A$2:$F$1802,5,0)</f>
        <v>TM2</v>
      </c>
      <c r="F239" s="59" t="str">
        <f>VLOOKUP(G239,'lista obszary'!A:B,2,0)</f>
        <v>HV</v>
      </c>
      <c r="G239" s="76" t="s">
        <v>2325</v>
      </c>
      <c r="H239" s="85" t="s">
        <v>528</v>
      </c>
      <c r="I239" s="59" t="str">
        <f>VLOOKUP(J239,'lista obszary'!A:B,2,0)</f>
        <v>HV</v>
      </c>
      <c r="J239" s="78" t="s">
        <v>2069</v>
      </c>
      <c r="K239" s="87" t="s">
        <v>528</v>
      </c>
      <c r="L239" s="82" t="s">
        <v>2447</v>
      </c>
      <c r="M239" s="23"/>
      <c r="N239" s="23"/>
      <c r="O239" s="23"/>
      <c r="P239" s="19" t="s">
        <v>175</v>
      </c>
      <c r="Q239" s="26"/>
      <c r="R239" s="26"/>
      <c r="S239" s="47"/>
      <c r="T239" s="4"/>
      <c r="U239" s="20">
        <f t="shared" si="4"/>
        <v>43549</v>
      </c>
      <c r="V239" s="47"/>
      <c r="W239" s="43"/>
      <c r="X239" s="66" t="e">
        <f>VLOOKUP(D239,#REF!,2,0)</f>
        <v>#REF!</v>
      </c>
      <c r="Y239" s="67" t="s">
        <v>2643</v>
      </c>
      <c r="Z239" s="67"/>
    </row>
    <row r="240" spans="1:26" ht="13.65" customHeight="1">
      <c r="A240" s="91">
        <v>239</v>
      </c>
      <c r="B240" s="19"/>
      <c r="C240" s="3" t="str">
        <f>VLOOKUP(D240,'lista 1'!$A$2:$F3758,4,0)</f>
        <v>CHARBUCIŃSKI DAMIAN</v>
      </c>
      <c r="D240" s="73">
        <v>1883</v>
      </c>
      <c r="E240" s="4" t="str">
        <f>VLOOKUP(D240,'lista 1'!$A$2:$F$1802,5,0)</f>
        <v>TM2</v>
      </c>
      <c r="F240" s="59" t="str">
        <f>VLOOKUP(G240,'lista obszary'!A:B,2,0)</f>
        <v>HV</v>
      </c>
      <c r="G240" s="76" t="s">
        <v>2325</v>
      </c>
      <c r="H240" s="85" t="s">
        <v>528</v>
      </c>
      <c r="I240" s="59" t="str">
        <f>VLOOKUP(J240,'lista obszary'!A:B,2,0)</f>
        <v>HV</v>
      </c>
      <c r="J240" s="78" t="s">
        <v>2069</v>
      </c>
      <c r="K240" s="87" t="s">
        <v>528</v>
      </c>
      <c r="L240" s="82" t="s">
        <v>2447</v>
      </c>
      <c r="M240" s="23"/>
      <c r="N240" s="23"/>
      <c r="O240" s="23"/>
      <c r="P240" s="19" t="s">
        <v>175</v>
      </c>
      <c r="Q240" s="26"/>
      <c r="R240" s="26"/>
      <c r="S240" s="47"/>
      <c r="T240" s="4"/>
      <c r="U240" s="20">
        <f t="shared" si="4"/>
        <v>43549</v>
      </c>
      <c r="V240" s="47"/>
      <c r="W240" s="43"/>
      <c r="X240" s="66" t="e">
        <f>VLOOKUP(D240,#REF!,2,0)</f>
        <v>#REF!</v>
      </c>
      <c r="Y240" s="67" t="s">
        <v>2643</v>
      </c>
      <c r="Z240" s="67"/>
    </row>
    <row r="241" spans="1:26" ht="13.65" customHeight="1">
      <c r="A241" s="91">
        <v>240</v>
      </c>
      <c r="B241" s="19"/>
      <c r="C241" s="3" t="str">
        <f>VLOOKUP(D241,'lista 1'!$A$2:$F3759,4,0)</f>
        <v>KŁUSEK JOANNA</v>
      </c>
      <c r="D241" s="73">
        <v>2055</v>
      </c>
      <c r="E241" s="4" t="str">
        <f>VLOOKUP(D241,'lista 1'!$A$2:$F$1802,5,0)</f>
        <v>TM2</v>
      </c>
      <c r="F241" s="59" t="str">
        <f>VLOOKUP(G241,'lista obszary'!A:B,2,0)</f>
        <v>HV</v>
      </c>
      <c r="G241" s="76" t="s">
        <v>2325</v>
      </c>
      <c r="H241" s="85" t="s">
        <v>528</v>
      </c>
      <c r="I241" s="59" t="str">
        <f>VLOOKUP(J241,'lista obszary'!A:B,2,0)</f>
        <v>HV</v>
      </c>
      <c r="J241" s="78" t="s">
        <v>2069</v>
      </c>
      <c r="K241" s="87" t="s">
        <v>528</v>
      </c>
      <c r="L241" s="82" t="s">
        <v>2447</v>
      </c>
      <c r="M241" s="23"/>
      <c r="N241" s="23"/>
      <c r="O241" s="23"/>
      <c r="P241" s="19" t="s">
        <v>175</v>
      </c>
      <c r="Q241" s="26"/>
      <c r="R241" s="26"/>
      <c r="S241" s="47"/>
      <c r="T241" s="4"/>
      <c r="U241" s="20">
        <f t="shared" si="4"/>
        <v>43549</v>
      </c>
      <c r="V241" s="47"/>
      <c r="W241" s="43"/>
      <c r="X241" s="66" t="e">
        <f>VLOOKUP(D241,#REF!,2,0)</f>
        <v>#REF!</v>
      </c>
      <c r="Y241" s="67" t="s">
        <v>2643</v>
      </c>
      <c r="Z241" s="67"/>
    </row>
    <row r="242" spans="1:26" ht="13.65" customHeight="1">
      <c r="A242" s="91">
        <v>241</v>
      </c>
      <c r="B242" s="19"/>
      <c r="C242" s="3" t="str">
        <f>VLOOKUP(D242,'lista 1'!$A$2:$F3760,4,0)</f>
        <v>TURKIEWICZ-JAKUBOWSKA IZABELLA</v>
      </c>
      <c r="D242" s="73">
        <v>2391</v>
      </c>
      <c r="E242" s="4" t="str">
        <f>VLOOKUP(D242,'lista 1'!$A$2:$F$1802,5,0)</f>
        <v>TM2</v>
      </c>
      <c r="F242" s="59" t="str">
        <f>VLOOKUP(G242,'lista obszary'!A:B,2,0)</f>
        <v>HV</v>
      </c>
      <c r="G242" s="76" t="s">
        <v>2325</v>
      </c>
      <c r="H242" s="85" t="s">
        <v>528</v>
      </c>
      <c r="I242" s="59" t="str">
        <f>VLOOKUP(J242,'lista obszary'!A:B,2,0)</f>
        <v>HV</v>
      </c>
      <c r="J242" s="78" t="s">
        <v>2069</v>
      </c>
      <c r="K242" s="87" t="s">
        <v>528</v>
      </c>
      <c r="L242" s="82" t="s">
        <v>2447</v>
      </c>
      <c r="M242" s="23"/>
      <c r="N242" s="23"/>
      <c r="O242" s="23"/>
      <c r="P242" s="19" t="s">
        <v>175</v>
      </c>
      <c r="Q242" s="26"/>
      <c r="R242" s="26"/>
      <c r="S242" s="47"/>
      <c r="T242" s="4"/>
      <c r="U242" s="20">
        <f t="shared" si="4"/>
        <v>43549</v>
      </c>
      <c r="V242" s="47"/>
      <c r="W242" s="43"/>
      <c r="X242" s="66" t="e">
        <f>VLOOKUP(D242,#REF!,2,0)</f>
        <v>#REF!</v>
      </c>
      <c r="Y242" s="67" t="s">
        <v>2643</v>
      </c>
      <c r="Z242" s="67"/>
    </row>
    <row r="243" spans="1:26" ht="13.65" customHeight="1">
      <c r="A243" s="91">
        <v>242</v>
      </c>
      <c r="B243" s="19"/>
      <c r="C243" s="3" t="str">
        <f>VLOOKUP(D243,'lista 1'!$A$2:$F3761,4,0)</f>
        <v>ANTONIEWICZ ANNA</v>
      </c>
      <c r="D243" s="73">
        <v>2111</v>
      </c>
      <c r="E243" s="4" t="str">
        <f>VLOOKUP(D243,'lista 1'!$A$2:$F$1802,5,0)</f>
        <v>TM</v>
      </c>
      <c r="F243" s="59" t="str">
        <f>VLOOKUP(G243,'lista obszary'!A:B,2,0)</f>
        <v>HV</v>
      </c>
      <c r="G243" s="76" t="s">
        <v>2319</v>
      </c>
      <c r="H243" s="85" t="s">
        <v>534</v>
      </c>
      <c r="I243" s="59" t="str">
        <f>VLOOKUP(J243,'lista obszary'!A:B,2,0)</f>
        <v>HV</v>
      </c>
      <c r="J243" s="78" t="s">
        <v>2069</v>
      </c>
      <c r="K243" s="87" t="s">
        <v>528</v>
      </c>
      <c r="L243" s="82" t="s">
        <v>2447</v>
      </c>
      <c r="M243" s="23"/>
      <c r="N243" s="23"/>
      <c r="O243" s="23"/>
      <c r="P243" s="19" t="s">
        <v>175</v>
      </c>
      <c r="Q243" s="26"/>
      <c r="R243" s="26"/>
      <c r="S243" s="47"/>
      <c r="T243" s="4"/>
      <c r="U243" s="20">
        <f t="shared" si="4"/>
        <v>43549</v>
      </c>
      <c r="V243" s="47"/>
      <c r="W243" s="43"/>
      <c r="X243" s="66" t="e">
        <f>VLOOKUP(D243,#REF!,2,0)</f>
        <v>#REF!</v>
      </c>
      <c r="Y243" s="67" t="b">
        <f>F243=I243</f>
        <v>1</v>
      </c>
      <c r="Z243" s="67"/>
    </row>
    <row r="244" spans="1:26" ht="13.65" customHeight="1">
      <c r="A244" s="91">
        <v>243</v>
      </c>
      <c r="B244" s="19"/>
      <c r="C244" s="3" t="e">
        <f>VLOOKUP(D244,'lista 1'!$A$2:$F3762,4,0)</f>
        <v>#N/A</v>
      </c>
      <c r="D244" s="73">
        <v>2089</v>
      </c>
      <c r="E244" s="4" t="e">
        <f>VLOOKUP(D244,'lista 1'!$A$2:$F$1802,5,0)</f>
        <v>#N/A</v>
      </c>
      <c r="F244" s="59" t="str">
        <f>VLOOKUP(G244,'lista obszary'!A:B,2,0)</f>
        <v>HV</v>
      </c>
      <c r="G244" s="76" t="s">
        <v>2325</v>
      </c>
      <c r="H244" s="85" t="s">
        <v>528</v>
      </c>
      <c r="I244" s="59" t="str">
        <f>VLOOKUP(J244,'lista obszary'!A:B,2,0)</f>
        <v>HV</v>
      </c>
      <c r="J244" s="78" t="s">
        <v>2069</v>
      </c>
      <c r="K244" s="87" t="s">
        <v>528</v>
      </c>
      <c r="L244" s="82" t="s">
        <v>2447</v>
      </c>
      <c r="M244" s="23"/>
      <c r="N244" s="23"/>
      <c r="O244" s="23"/>
      <c r="P244" s="19" t="s">
        <v>175</v>
      </c>
      <c r="Q244" s="26"/>
      <c r="R244" s="26"/>
      <c r="S244" s="47"/>
      <c r="T244" s="4"/>
      <c r="U244" s="20">
        <f t="shared" si="4"/>
        <v>43549</v>
      </c>
      <c r="V244" s="47"/>
      <c r="W244" s="43"/>
      <c r="X244" s="66" t="e">
        <f>VLOOKUP(D244,#REF!,2,0)</f>
        <v>#REF!</v>
      </c>
      <c r="Y244" s="67" t="s">
        <v>2643</v>
      </c>
      <c r="Z244" s="67"/>
    </row>
    <row r="245" spans="1:26" ht="13.65" customHeight="1">
      <c r="A245" s="91">
        <v>244</v>
      </c>
      <c r="B245" s="19"/>
      <c r="C245" s="3" t="str">
        <f>VLOOKUP(D245,'lista 1'!$A$2:$F3763,4,0)</f>
        <v>SZOJDA GRZEGORZ</v>
      </c>
      <c r="D245" s="73">
        <v>1208</v>
      </c>
      <c r="E245" s="4" t="str">
        <f>VLOOKUP(D245,'lista 1'!$A$2:$F$1802,5,0)</f>
        <v>TM2</v>
      </c>
      <c r="F245" s="59" t="str">
        <f>VLOOKUP(G245,'lista obszary'!A:B,2,0)</f>
        <v>HV</v>
      </c>
      <c r="G245" s="76" t="s">
        <v>2325</v>
      </c>
      <c r="H245" s="85" t="s">
        <v>528</v>
      </c>
      <c r="I245" s="59" t="str">
        <f>VLOOKUP(J245,'lista obszary'!A:B,2,0)</f>
        <v>HV</v>
      </c>
      <c r="J245" s="78" t="s">
        <v>2069</v>
      </c>
      <c r="K245" s="87" t="s">
        <v>528</v>
      </c>
      <c r="L245" s="82" t="s">
        <v>2447</v>
      </c>
      <c r="M245" s="23"/>
      <c r="N245" s="23"/>
      <c r="O245" s="23"/>
      <c r="P245" s="19" t="s">
        <v>175</v>
      </c>
      <c r="Q245" s="26"/>
      <c r="R245" s="26"/>
      <c r="S245" s="47"/>
      <c r="T245" s="4"/>
      <c r="U245" s="20">
        <f t="shared" si="4"/>
        <v>43549</v>
      </c>
      <c r="V245" s="47"/>
      <c r="W245" s="43"/>
      <c r="X245" s="66" t="e">
        <f>VLOOKUP(D245,#REF!,2,0)</f>
        <v>#REF!</v>
      </c>
      <c r="Y245" s="67" t="b">
        <f>F245=I245</f>
        <v>1</v>
      </c>
    </row>
    <row r="246" spans="1:26" ht="13.65" customHeight="1">
      <c r="A246" s="91">
        <v>245</v>
      </c>
      <c r="B246" s="19"/>
      <c r="C246" s="3" t="e">
        <f>VLOOKUP(D246,'lista 1'!$A$2:$F3764,4,0)</f>
        <v>#N/A</v>
      </c>
      <c r="D246" s="73">
        <v>70404</v>
      </c>
      <c r="E246" s="4" t="e">
        <f>VLOOKUP(D246,'lista 1'!$A$2:$F$1802,5,0)</f>
        <v>#N/A</v>
      </c>
      <c r="F246" s="59" t="str">
        <f>VLOOKUP(G246,'lista obszary'!A:B,2,0)</f>
        <v>HV</v>
      </c>
      <c r="G246" s="76" t="s">
        <v>2325</v>
      </c>
      <c r="H246" s="85" t="s">
        <v>528</v>
      </c>
      <c r="I246" s="59" t="str">
        <f>VLOOKUP(J246,'lista obszary'!A:B,2,0)</f>
        <v>HV</v>
      </c>
      <c r="J246" s="78" t="s">
        <v>2069</v>
      </c>
      <c r="K246" s="87" t="s">
        <v>528</v>
      </c>
      <c r="L246" s="82" t="s">
        <v>2447</v>
      </c>
      <c r="M246" s="23"/>
      <c r="N246" s="23"/>
      <c r="O246" s="23"/>
      <c r="P246" s="19" t="s">
        <v>175</v>
      </c>
      <c r="Q246" s="26"/>
      <c r="R246" s="26"/>
      <c r="S246" s="47"/>
      <c r="T246" s="4"/>
      <c r="U246" s="20">
        <f t="shared" si="4"/>
        <v>43549</v>
      </c>
      <c r="V246" s="47"/>
      <c r="W246" s="43"/>
      <c r="X246" s="66" t="e">
        <f>VLOOKUP(D246,#REF!,2,0)</f>
        <v>#REF!</v>
      </c>
      <c r="Y246" s="67" t="s">
        <v>2643</v>
      </c>
      <c r="Z246" s="67"/>
    </row>
    <row r="247" spans="1:26" ht="13.65" customHeight="1">
      <c r="A247" s="91">
        <v>246</v>
      </c>
      <c r="B247" s="19"/>
      <c r="C247" s="3" t="e">
        <f>VLOOKUP(D247,'lista 1'!$A$2:$F3765,4,0)</f>
        <v>#N/A</v>
      </c>
      <c r="D247" s="73">
        <v>64331</v>
      </c>
      <c r="E247" s="4" t="e">
        <f>VLOOKUP(D247,'lista 1'!$A$2:$F$1802,5,0)</f>
        <v>#N/A</v>
      </c>
      <c r="F247" s="59" t="str">
        <f>VLOOKUP(G247,'lista obszary'!A:B,2,0)</f>
        <v>HV</v>
      </c>
      <c r="G247" s="76" t="s">
        <v>2325</v>
      </c>
      <c r="H247" s="85" t="s">
        <v>528</v>
      </c>
      <c r="I247" s="59" t="str">
        <f>VLOOKUP(J247,'lista obszary'!A:B,2,0)</f>
        <v>HV</v>
      </c>
      <c r="J247" s="78" t="s">
        <v>2069</v>
      </c>
      <c r="K247" s="87" t="s">
        <v>528</v>
      </c>
      <c r="L247" s="82" t="s">
        <v>2447</v>
      </c>
      <c r="M247" s="23"/>
      <c r="N247" s="23"/>
      <c r="O247" s="23"/>
      <c r="P247" s="19" t="s">
        <v>175</v>
      </c>
      <c r="Q247" s="26"/>
      <c r="R247" s="26"/>
      <c r="S247" s="47"/>
      <c r="T247" s="4"/>
      <c r="U247" s="20">
        <f t="shared" si="4"/>
        <v>43549</v>
      </c>
      <c r="V247" s="47"/>
      <c r="W247" s="43"/>
      <c r="X247" s="66" t="e">
        <f>VLOOKUP(D247,#REF!,2,0)</f>
        <v>#REF!</v>
      </c>
      <c r="Y247" s="67" t="s">
        <v>2643</v>
      </c>
      <c r="Z247" s="67"/>
    </row>
    <row r="248" spans="1:26" ht="13.65" customHeight="1">
      <c r="A248" s="91">
        <v>247</v>
      </c>
      <c r="B248" s="19"/>
      <c r="C248" s="3" t="e">
        <f>VLOOKUP(D248,'lista 1'!$A$2:$F3766,4,0)</f>
        <v>#N/A</v>
      </c>
      <c r="D248" s="73">
        <v>64349</v>
      </c>
      <c r="E248" s="4" t="e">
        <f>VLOOKUP(D248,'lista 1'!$A$2:$F$1802,5,0)</f>
        <v>#N/A</v>
      </c>
      <c r="F248" s="59" t="str">
        <f>VLOOKUP(G248,'lista obszary'!A:B,2,0)</f>
        <v>HV</v>
      </c>
      <c r="G248" s="76" t="s">
        <v>2319</v>
      </c>
      <c r="H248" s="85" t="s">
        <v>534</v>
      </c>
      <c r="I248" s="59" t="str">
        <f>VLOOKUP(J248,'lista obszary'!A:B,2,0)</f>
        <v>HV</v>
      </c>
      <c r="J248" s="78" t="s">
        <v>2069</v>
      </c>
      <c r="K248" s="87" t="s">
        <v>528</v>
      </c>
      <c r="L248" s="82" t="s">
        <v>2447</v>
      </c>
      <c r="M248" s="23"/>
      <c r="N248" s="23"/>
      <c r="O248" s="23"/>
      <c r="P248" s="19" t="s">
        <v>175</v>
      </c>
      <c r="Q248" s="26"/>
      <c r="R248" s="26"/>
      <c r="S248" s="47"/>
      <c r="T248" s="4"/>
      <c r="U248" s="20">
        <f t="shared" si="4"/>
        <v>43549</v>
      </c>
      <c r="V248" s="47"/>
      <c r="W248" s="43"/>
      <c r="X248" s="66" t="e">
        <f>VLOOKUP(D248,#REF!,2,0)</f>
        <v>#REF!</v>
      </c>
      <c r="Y248" s="67" t="b">
        <f>F248=I248</f>
        <v>1</v>
      </c>
      <c r="Z248" s="67"/>
    </row>
    <row r="249" spans="1:26" ht="13.65" customHeight="1">
      <c r="A249" s="91">
        <v>248</v>
      </c>
      <c r="B249" s="19"/>
      <c r="C249" s="3" t="e">
        <f>VLOOKUP(D249,'lista 1'!$A$2:$F3767,4,0)</f>
        <v>#N/A</v>
      </c>
      <c r="D249" s="73">
        <v>64377</v>
      </c>
      <c r="E249" s="4" t="e">
        <f>VLOOKUP(D249,'lista 1'!$A$2:$F$1802,5,0)</f>
        <v>#N/A</v>
      </c>
      <c r="F249" s="59" t="str">
        <f>VLOOKUP(G249,'lista obszary'!A:B,2,0)</f>
        <v>HV</v>
      </c>
      <c r="G249" s="76" t="s">
        <v>2319</v>
      </c>
      <c r="H249" s="85" t="s">
        <v>534</v>
      </c>
      <c r="I249" s="59" t="str">
        <f>VLOOKUP(J249,'lista obszary'!A:B,2,0)</f>
        <v>HV</v>
      </c>
      <c r="J249" s="78" t="s">
        <v>2069</v>
      </c>
      <c r="K249" s="87" t="s">
        <v>528</v>
      </c>
      <c r="L249" s="82" t="s">
        <v>2447</v>
      </c>
      <c r="M249" s="23"/>
      <c r="N249" s="23"/>
      <c r="O249" s="23"/>
      <c r="P249" s="19" t="s">
        <v>175</v>
      </c>
      <c r="Q249" s="26"/>
      <c r="R249" s="26"/>
      <c r="S249" s="47"/>
      <c r="T249" s="4"/>
      <c r="U249" s="20">
        <f t="shared" si="4"/>
        <v>43549</v>
      </c>
      <c r="V249" s="47"/>
      <c r="W249" s="43"/>
      <c r="X249" s="66" t="e">
        <f>VLOOKUP(D249,#REF!,2,0)</f>
        <v>#REF!</v>
      </c>
      <c r="Y249" s="67" t="b">
        <f>F249=I249</f>
        <v>1</v>
      </c>
      <c r="Z249" s="67"/>
    </row>
    <row r="250" spans="1:26" ht="13.65" customHeight="1">
      <c r="A250" s="91">
        <v>249</v>
      </c>
      <c r="B250" s="19"/>
      <c r="C250" s="3" t="str">
        <f>VLOOKUP(D250,'lista 1'!$A$2:$F3768,4,0)</f>
        <v>KOWALSKA ANETA</v>
      </c>
      <c r="D250" s="73">
        <v>2999</v>
      </c>
      <c r="E250" s="4" t="str">
        <f>VLOOKUP(D250,'lista 1'!$A$2:$F$1802,5,0)</f>
        <v>JTM</v>
      </c>
      <c r="F250" s="59" t="str">
        <f>VLOOKUP(G250,'lista obszary'!A:B,2,0)</f>
        <v>HV</v>
      </c>
      <c r="G250" s="76" t="s">
        <v>2319</v>
      </c>
      <c r="H250" s="85" t="s">
        <v>534</v>
      </c>
      <c r="I250" s="59" t="str">
        <f>VLOOKUP(J250,'lista obszary'!A:B,2,0)</f>
        <v>HV</v>
      </c>
      <c r="J250" s="78" t="s">
        <v>2069</v>
      </c>
      <c r="K250" s="87" t="s">
        <v>528</v>
      </c>
      <c r="L250" s="82" t="s">
        <v>2447</v>
      </c>
      <c r="M250" s="23"/>
      <c r="N250" s="23"/>
      <c r="O250" s="23"/>
      <c r="P250" s="19" t="s">
        <v>175</v>
      </c>
      <c r="Q250" s="26"/>
      <c r="R250" s="26"/>
      <c r="S250" s="47"/>
      <c r="T250" s="4"/>
      <c r="U250" s="20">
        <f t="shared" si="4"/>
        <v>43549</v>
      </c>
      <c r="V250" s="47"/>
      <c r="W250" s="43"/>
      <c r="X250" s="66" t="e">
        <f>VLOOKUP(D250,#REF!,2,0)</f>
        <v>#REF!</v>
      </c>
      <c r="Y250" s="67" t="b">
        <f>F250=I250</f>
        <v>1</v>
      </c>
      <c r="Z250" s="67"/>
    </row>
    <row r="251" spans="1:26" ht="13.65" customHeight="1">
      <c r="A251" s="91">
        <v>250</v>
      </c>
      <c r="B251" s="19"/>
      <c r="C251" s="3" t="e">
        <f>VLOOKUP(D251,'lista 1'!$A$2:$F3769,4,0)</f>
        <v>#N/A</v>
      </c>
      <c r="D251" s="73">
        <v>70489</v>
      </c>
      <c r="E251" s="4" t="e">
        <f>VLOOKUP(D251,'lista 1'!$A$2:$F$1802,5,0)</f>
        <v>#N/A</v>
      </c>
      <c r="F251" s="59" t="str">
        <f>VLOOKUP(G251,'lista obszary'!A:B,2,0)</f>
        <v>HV</v>
      </c>
      <c r="G251" s="76" t="s">
        <v>2319</v>
      </c>
      <c r="H251" s="85" t="s">
        <v>534</v>
      </c>
      <c r="I251" s="59" t="str">
        <f>VLOOKUP(J251,'lista obszary'!A:B,2,0)</f>
        <v>HV</v>
      </c>
      <c r="J251" s="78" t="s">
        <v>2069</v>
      </c>
      <c r="K251" s="87" t="s">
        <v>528</v>
      </c>
      <c r="L251" s="82" t="s">
        <v>2447</v>
      </c>
      <c r="M251" s="23"/>
      <c r="N251" s="23"/>
      <c r="O251" s="23"/>
      <c r="P251" s="19" t="s">
        <v>175</v>
      </c>
      <c r="Q251" s="26"/>
      <c r="R251" s="26"/>
      <c r="S251" s="47"/>
      <c r="T251" s="4"/>
      <c r="U251" s="20">
        <f t="shared" si="4"/>
        <v>43549</v>
      </c>
      <c r="V251" s="47"/>
      <c r="W251" s="43"/>
      <c r="X251" s="66" t="e">
        <f>VLOOKUP(D251,#REF!,2,0)</f>
        <v>#REF!</v>
      </c>
      <c r="Y251" s="67" t="s">
        <v>2643</v>
      </c>
      <c r="Z251" s="67"/>
    </row>
    <row r="252" spans="1:26" ht="13.65" customHeight="1">
      <c r="A252" s="91">
        <v>251</v>
      </c>
      <c r="B252" s="19"/>
      <c r="C252" s="3" t="e">
        <f>VLOOKUP(D252,'lista 1'!$A$2:$F3770,4,0)</f>
        <v>#N/A</v>
      </c>
      <c r="D252" s="73">
        <v>64384</v>
      </c>
      <c r="E252" s="4" t="e">
        <f>VLOOKUP(D252,'lista 1'!$A$2:$F$1802,5,0)</f>
        <v>#N/A</v>
      </c>
      <c r="F252" s="59" t="str">
        <f>VLOOKUP(G252,'lista obszary'!A:B,2,0)</f>
        <v>HV</v>
      </c>
      <c r="G252" s="76" t="s">
        <v>2319</v>
      </c>
      <c r="H252" s="85" t="s">
        <v>534</v>
      </c>
      <c r="I252" s="59" t="str">
        <f>VLOOKUP(J252,'lista obszary'!A:B,2,0)</f>
        <v>HV</v>
      </c>
      <c r="J252" s="78" t="s">
        <v>2069</v>
      </c>
      <c r="K252" s="87" t="s">
        <v>528</v>
      </c>
      <c r="L252" s="82" t="s">
        <v>2447</v>
      </c>
      <c r="M252" s="23"/>
      <c r="N252" s="23"/>
      <c r="O252" s="23"/>
      <c r="P252" s="19" t="s">
        <v>175</v>
      </c>
      <c r="Q252" s="26"/>
      <c r="R252" s="26"/>
      <c r="S252" s="47"/>
      <c r="T252" s="4"/>
      <c r="U252" s="20">
        <f t="shared" si="4"/>
        <v>43549</v>
      </c>
      <c r="V252" s="47"/>
      <c r="W252" s="43"/>
      <c r="X252" s="66" t="e">
        <f>VLOOKUP(D252,#REF!,2,0)</f>
        <v>#REF!</v>
      </c>
      <c r="Y252" s="67" t="s">
        <v>2643</v>
      </c>
      <c r="Z252" s="67"/>
    </row>
    <row r="253" spans="1:26" ht="13.65" customHeight="1">
      <c r="A253" s="91">
        <v>252</v>
      </c>
      <c r="B253" s="19"/>
      <c r="C253" s="3" t="str">
        <f>VLOOKUP(D253,'lista 1'!$A$2:$F3771,4,0)</f>
        <v>SZYMKÓW PRZEMYSŁAW</v>
      </c>
      <c r="D253" s="73">
        <v>33</v>
      </c>
      <c r="E253" s="4" t="str">
        <f>VLOOKUP(D253,'lista 1'!$A$2:$F$1802,5,0)</f>
        <v>GRL2</v>
      </c>
      <c r="F253" s="59" t="str">
        <f>VLOOKUP(G253,'lista obszary'!A:B,2,0)</f>
        <v>HV</v>
      </c>
      <c r="G253" s="76" t="s">
        <v>2319</v>
      </c>
      <c r="H253" s="85" t="s">
        <v>534</v>
      </c>
      <c r="I253" s="59" t="str">
        <f>VLOOKUP(J253,'lista obszary'!A:B,2,0)</f>
        <v>HV</v>
      </c>
      <c r="J253" s="78" t="s">
        <v>2325</v>
      </c>
      <c r="K253" s="87" t="s">
        <v>2089</v>
      </c>
      <c r="L253" s="82" t="s">
        <v>2447</v>
      </c>
      <c r="M253" s="23"/>
      <c r="N253" s="23"/>
      <c r="O253" s="23"/>
      <c r="P253" s="19" t="s">
        <v>175</v>
      </c>
      <c r="Q253" s="26"/>
      <c r="R253" s="26"/>
      <c r="S253" s="47"/>
      <c r="T253" s="4"/>
      <c r="U253" s="20">
        <f t="shared" si="4"/>
        <v>43549</v>
      </c>
      <c r="V253" s="47"/>
      <c r="W253" s="43"/>
      <c r="X253" s="66" t="e">
        <f>VLOOKUP(D253,#REF!,2,0)</f>
        <v>#REF!</v>
      </c>
      <c r="Y253" s="67" t="s">
        <v>2643</v>
      </c>
    </row>
    <row r="254" spans="1:26" ht="13.65" customHeight="1">
      <c r="A254" s="91">
        <v>253</v>
      </c>
      <c r="B254" s="19"/>
      <c r="C254" s="3" t="str">
        <f>VLOOKUP(D254,'lista 1'!$A$2:$F3772,4,0)</f>
        <v>ZIÓŁKOWSKI MARCIN</v>
      </c>
      <c r="D254" s="73">
        <v>728</v>
      </c>
      <c r="E254" s="4" t="str">
        <f>VLOOKUP(D254,'lista 1'!$A$2:$F$1802,5,0)</f>
        <v>TL2</v>
      </c>
      <c r="F254" s="59" t="str">
        <f>VLOOKUP(G254,'lista obszary'!A:B,2,0)</f>
        <v>HV</v>
      </c>
      <c r="G254" s="76" t="s">
        <v>2319</v>
      </c>
      <c r="H254" s="85" t="s">
        <v>534</v>
      </c>
      <c r="I254" s="59" t="str">
        <f>VLOOKUP(J254,'lista obszary'!A:B,2,0)</f>
        <v>HV</v>
      </c>
      <c r="J254" s="78" t="s">
        <v>2325</v>
      </c>
      <c r="K254" s="87" t="s">
        <v>345</v>
      </c>
      <c r="L254" s="82" t="s">
        <v>2447</v>
      </c>
      <c r="M254" s="23"/>
      <c r="N254" s="23"/>
      <c r="O254" s="23"/>
      <c r="P254" s="19" t="s">
        <v>175</v>
      </c>
      <c r="Q254" s="26"/>
      <c r="R254" s="26"/>
      <c r="S254" s="47"/>
      <c r="T254" s="4"/>
      <c r="U254" s="20">
        <f t="shared" si="4"/>
        <v>43549</v>
      </c>
      <c r="V254" s="47"/>
      <c r="W254" s="43"/>
      <c r="X254" s="66" t="e">
        <f>VLOOKUP(D254,#REF!,2,0)</f>
        <v>#REF!</v>
      </c>
      <c r="Y254" s="67" t="s">
        <v>2643</v>
      </c>
      <c r="Z254" s="67" t="s">
        <v>1629</v>
      </c>
    </row>
    <row r="255" spans="1:26" ht="13.65" customHeight="1">
      <c r="A255" s="91">
        <v>254</v>
      </c>
      <c r="B255" s="19"/>
      <c r="C255" s="3" t="str">
        <f>VLOOKUP(D255,'lista 1'!$A$2:$F3773,4,0)</f>
        <v>GROCHOWSKI RAFAŁ</v>
      </c>
      <c r="D255" s="73">
        <v>1250</v>
      </c>
      <c r="E255" s="4" t="str">
        <f>VLOOKUP(D255,'lista 1'!$A$2:$F$1802,5,0)</f>
        <v>TM2</v>
      </c>
      <c r="F255" s="59" t="str">
        <f>VLOOKUP(G255,'lista obszary'!A:B,2,0)</f>
        <v>HV</v>
      </c>
      <c r="G255" s="76" t="s">
        <v>2069</v>
      </c>
      <c r="H255" s="85" t="s">
        <v>1582</v>
      </c>
      <c r="I255" s="59" t="str">
        <f>VLOOKUP(J255,'lista obszary'!A:B,2,0)</f>
        <v>HV</v>
      </c>
      <c r="J255" s="78" t="s">
        <v>2325</v>
      </c>
      <c r="K255" s="87" t="s">
        <v>345</v>
      </c>
      <c r="L255" s="82" t="s">
        <v>2447</v>
      </c>
      <c r="M255" s="23"/>
      <c r="N255" s="23"/>
      <c r="O255" s="23"/>
      <c r="P255" s="19" t="s">
        <v>175</v>
      </c>
      <c r="Q255" s="26"/>
      <c r="R255" s="26"/>
      <c r="S255" s="47"/>
      <c r="T255" s="4"/>
      <c r="U255" s="20">
        <f t="shared" si="4"/>
        <v>43549</v>
      </c>
      <c r="V255" s="47"/>
      <c r="W255" s="43"/>
      <c r="X255" s="66" t="e">
        <f>VLOOKUP(D255,#REF!,2,0)</f>
        <v>#REF!</v>
      </c>
      <c r="Y255" s="67" t="s">
        <v>2643</v>
      </c>
      <c r="Z255" s="67"/>
    </row>
    <row r="256" spans="1:26" ht="13.65" customHeight="1">
      <c r="A256" s="91">
        <v>255</v>
      </c>
      <c r="B256" s="19"/>
      <c r="C256" s="3" t="str">
        <f>VLOOKUP(D256,'lista 1'!$A$2:$F3774,4,0)</f>
        <v>SKOWROŃSKI KRZYSZTOF</v>
      </c>
      <c r="D256" s="73">
        <v>1872</v>
      </c>
      <c r="E256" s="4" t="str">
        <f>VLOOKUP(D256,'lista 1'!$A$2:$F$1802,5,0)</f>
        <v>TM2</v>
      </c>
      <c r="F256" s="59" t="str">
        <f>VLOOKUP(G256,'lista obszary'!A:B,2,0)</f>
        <v>HV</v>
      </c>
      <c r="G256" s="76" t="s">
        <v>2069</v>
      </c>
      <c r="H256" s="85" t="s">
        <v>1582</v>
      </c>
      <c r="I256" s="59" t="str">
        <f>VLOOKUP(J256,'lista obszary'!A:B,2,0)</f>
        <v>HV</v>
      </c>
      <c r="J256" s="78" t="s">
        <v>2325</v>
      </c>
      <c r="K256" s="87" t="s">
        <v>345</v>
      </c>
      <c r="L256" s="82" t="s">
        <v>2447</v>
      </c>
      <c r="M256" s="23"/>
      <c r="N256" s="23"/>
      <c r="O256" s="23"/>
      <c r="P256" s="19" t="s">
        <v>175</v>
      </c>
      <c r="Q256" s="26"/>
      <c r="R256" s="26"/>
      <c r="S256" s="47"/>
      <c r="T256" s="4"/>
      <c r="U256" s="20">
        <f t="shared" si="4"/>
        <v>43549</v>
      </c>
      <c r="V256" s="47"/>
      <c r="W256" s="43"/>
      <c r="X256" s="66" t="e">
        <f>VLOOKUP(D256,#REF!,2,0)</f>
        <v>#REF!</v>
      </c>
      <c r="Y256" s="67" t="s">
        <v>2643</v>
      </c>
      <c r="Z256" s="67"/>
    </row>
    <row r="257" spans="1:26" ht="13.65" customHeight="1">
      <c r="A257" s="91">
        <v>256</v>
      </c>
      <c r="B257" s="19"/>
      <c r="C257" s="3" t="e">
        <f>VLOOKUP(D257,'lista 1'!$A$2:$F3775,4,0)</f>
        <v>#N/A</v>
      </c>
      <c r="D257" s="73">
        <v>64268</v>
      </c>
      <c r="E257" s="4" t="e">
        <f>VLOOKUP(D257,'lista 1'!$A$2:$F$1802,5,0)</f>
        <v>#N/A</v>
      </c>
      <c r="F257" s="59" t="str">
        <f>VLOOKUP(G257,'lista obszary'!A:B,2,0)</f>
        <v>HV</v>
      </c>
      <c r="G257" s="76" t="s">
        <v>2069</v>
      </c>
      <c r="H257" s="85" t="s">
        <v>1582</v>
      </c>
      <c r="I257" s="59" t="str">
        <f>VLOOKUP(J257,'lista obszary'!A:B,2,0)</f>
        <v>HV</v>
      </c>
      <c r="J257" s="78" t="s">
        <v>2325</v>
      </c>
      <c r="K257" s="87" t="s">
        <v>345</v>
      </c>
      <c r="L257" s="82" t="s">
        <v>2447</v>
      </c>
      <c r="M257" s="23"/>
      <c r="N257" s="23"/>
      <c r="O257" s="23"/>
      <c r="P257" s="19" t="s">
        <v>175</v>
      </c>
      <c r="Q257" s="26"/>
      <c r="R257" s="26"/>
      <c r="S257" s="47"/>
      <c r="T257" s="4"/>
      <c r="U257" s="20">
        <f t="shared" si="4"/>
        <v>43549</v>
      </c>
      <c r="V257" s="47"/>
      <c r="W257" s="43"/>
      <c r="X257" s="66" t="e">
        <f>VLOOKUP(D257,#REF!,2,0)</f>
        <v>#REF!</v>
      </c>
      <c r="Y257" s="67" t="s">
        <v>2643</v>
      </c>
      <c r="Z257" s="67"/>
    </row>
    <row r="258" spans="1:26" ht="13.65" customHeight="1">
      <c r="A258" s="91">
        <v>257</v>
      </c>
      <c r="B258" s="19"/>
      <c r="C258" s="3" t="str">
        <f>VLOOKUP(D258,'lista 1'!$A$2:$F3776,4,0)</f>
        <v>CHŁODNICKA ANNA</v>
      </c>
      <c r="D258" s="73">
        <v>2207</v>
      </c>
      <c r="E258" s="4" t="str">
        <f>VLOOKUP(D258,'lista 1'!$A$2:$F$1802,5,0)</f>
        <v>TM2</v>
      </c>
      <c r="F258" s="59" t="str">
        <f>VLOOKUP(G258,'lista obszary'!A:B,2,0)</f>
        <v>HV</v>
      </c>
      <c r="G258" s="76" t="s">
        <v>2069</v>
      </c>
      <c r="H258" s="85" t="s">
        <v>1582</v>
      </c>
      <c r="I258" s="59" t="str">
        <f>VLOOKUP(J258,'lista obszary'!A:B,2,0)</f>
        <v>HV</v>
      </c>
      <c r="J258" s="78" t="s">
        <v>2325</v>
      </c>
      <c r="K258" s="87" t="s">
        <v>345</v>
      </c>
      <c r="L258" s="82" t="s">
        <v>2447</v>
      </c>
      <c r="M258" s="23"/>
      <c r="N258" s="23"/>
      <c r="O258" s="23"/>
      <c r="P258" s="19" t="s">
        <v>175</v>
      </c>
      <c r="Q258" s="26"/>
      <c r="R258" s="26"/>
      <c r="S258" s="47"/>
      <c r="T258" s="4"/>
      <c r="U258" s="20">
        <f t="shared" ref="U258:U312" si="5">L258-T258</f>
        <v>43549</v>
      </c>
      <c r="V258" s="47"/>
      <c r="W258" s="43"/>
      <c r="X258" s="66" t="e">
        <f>VLOOKUP(D258,#REF!,2,0)</f>
        <v>#REF!</v>
      </c>
      <c r="Y258" s="67" t="b">
        <f>F258=I258</f>
        <v>1</v>
      </c>
      <c r="Z258" s="67"/>
    </row>
    <row r="259" spans="1:26" ht="13.65" customHeight="1">
      <c r="A259" s="91">
        <v>258</v>
      </c>
      <c r="B259" s="19"/>
      <c r="C259" s="3" t="str">
        <f>VLOOKUP(D259,'lista 1'!$A$2:$F3777,4,0)</f>
        <v>ŚLIWIŃSKI PIOTR</v>
      </c>
      <c r="D259" s="73">
        <v>709</v>
      </c>
      <c r="E259" s="4" t="str">
        <f>VLOOKUP(D259,'lista 1'!$A$2:$F$1802,5,0)</f>
        <v>TM2</v>
      </c>
      <c r="F259" s="59" t="str">
        <f>VLOOKUP(G259,'lista obszary'!A:B,2,0)</f>
        <v>HV</v>
      </c>
      <c r="G259" s="76" t="s">
        <v>2069</v>
      </c>
      <c r="H259" s="85" t="s">
        <v>1582</v>
      </c>
      <c r="I259" s="59" t="str">
        <f>VLOOKUP(J259,'lista obszary'!A:B,2,0)</f>
        <v>HV</v>
      </c>
      <c r="J259" s="78" t="s">
        <v>2325</v>
      </c>
      <c r="K259" s="87" t="s">
        <v>345</v>
      </c>
      <c r="L259" s="82" t="s">
        <v>2447</v>
      </c>
      <c r="M259" s="23"/>
      <c r="N259" s="23"/>
      <c r="O259" s="23"/>
      <c r="P259" s="19" t="s">
        <v>175</v>
      </c>
      <c r="Q259" s="26"/>
      <c r="R259" s="26"/>
      <c r="S259" s="47"/>
      <c r="T259" s="4"/>
      <c r="U259" s="20">
        <f t="shared" si="5"/>
        <v>43549</v>
      </c>
      <c r="V259" s="47"/>
      <c r="W259" s="43"/>
      <c r="X259" s="66" t="e">
        <f>VLOOKUP(D259,#REF!,2,0)</f>
        <v>#REF!</v>
      </c>
      <c r="Y259" s="67" t="s">
        <v>2643</v>
      </c>
      <c r="Z259" s="67"/>
    </row>
    <row r="260" spans="1:26" ht="13.65" customHeight="1">
      <c r="A260" s="91">
        <v>259</v>
      </c>
      <c r="B260" s="19"/>
      <c r="C260" s="3" t="e">
        <f>VLOOKUP(D260,'lista 1'!$A$2:$F3778,4,0)</f>
        <v>#N/A</v>
      </c>
      <c r="D260" s="73">
        <v>64255</v>
      </c>
      <c r="E260" s="4" t="e">
        <f>VLOOKUP(D260,'lista 1'!$A$2:$F$1802,5,0)</f>
        <v>#N/A</v>
      </c>
      <c r="F260" s="59" t="str">
        <f>VLOOKUP(G260,'lista obszary'!A:B,2,0)</f>
        <v>HV</v>
      </c>
      <c r="G260" s="76" t="s">
        <v>2325</v>
      </c>
      <c r="H260" s="85" t="s">
        <v>528</v>
      </c>
      <c r="I260" s="59" t="str">
        <f>VLOOKUP(J260,'lista obszary'!A:B,2,0)</f>
        <v>HV</v>
      </c>
      <c r="J260" s="78" t="s">
        <v>2325</v>
      </c>
      <c r="K260" s="87" t="s">
        <v>345</v>
      </c>
      <c r="L260" s="82" t="s">
        <v>2447</v>
      </c>
      <c r="M260" s="23"/>
      <c r="N260" s="23"/>
      <c r="O260" s="23"/>
      <c r="P260" s="19" t="s">
        <v>175</v>
      </c>
      <c r="Q260" s="26"/>
      <c r="R260" s="26"/>
      <c r="S260" s="47"/>
      <c r="T260" s="4"/>
      <c r="U260" s="20">
        <f t="shared" si="5"/>
        <v>43549</v>
      </c>
      <c r="V260" s="47"/>
      <c r="W260" s="43"/>
      <c r="X260" s="66" t="e">
        <f>VLOOKUP(D260,#REF!,2,0)</f>
        <v>#REF!</v>
      </c>
      <c r="Y260" s="67" t="s">
        <v>2643</v>
      </c>
      <c r="Z260" s="67"/>
    </row>
    <row r="261" spans="1:26" ht="13.65" customHeight="1">
      <c r="A261" s="91">
        <v>260</v>
      </c>
      <c r="B261" s="19"/>
      <c r="C261" s="3" t="str">
        <f>VLOOKUP(D261,'lista 1'!$A$2:$F3779,4,0)</f>
        <v>OCET URSZULA</v>
      </c>
      <c r="D261" s="73">
        <v>2820</v>
      </c>
      <c r="E261" s="4" t="str">
        <f>VLOOKUP(D261,'lista 1'!$A$2:$F$1802,5,0)</f>
        <v>TM2</v>
      </c>
      <c r="F261" s="59" t="str">
        <f>VLOOKUP(G261,'lista obszary'!A:B,2,0)</f>
        <v>HV</v>
      </c>
      <c r="G261" s="76" t="s">
        <v>2069</v>
      </c>
      <c r="H261" s="85" t="s">
        <v>1582</v>
      </c>
      <c r="I261" s="59" t="str">
        <f>VLOOKUP(J261,'lista obszary'!A:B,2,0)</f>
        <v>HV</v>
      </c>
      <c r="J261" s="78" t="s">
        <v>2325</v>
      </c>
      <c r="K261" s="87" t="s">
        <v>345</v>
      </c>
      <c r="L261" s="82" t="s">
        <v>2447</v>
      </c>
      <c r="M261" s="23"/>
      <c r="N261" s="23"/>
      <c r="O261" s="23"/>
      <c r="P261" s="19" t="s">
        <v>175</v>
      </c>
      <c r="Q261" s="26"/>
      <c r="R261" s="26"/>
      <c r="S261" s="47"/>
      <c r="T261" s="4"/>
      <c r="U261" s="20">
        <f t="shared" si="5"/>
        <v>43549</v>
      </c>
      <c r="V261" s="47"/>
      <c r="W261" s="43"/>
      <c r="X261" s="66" t="e">
        <f>VLOOKUP(D261,#REF!,2,0)</f>
        <v>#REF!</v>
      </c>
      <c r="Y261" s="67" t="b">
        <f>F261=I261</f>
        <v>1</v>
      </c>
      <c r="Z261" s="67"/>
    </row>
    <row r="262" spans="1:26" ht="13.65" customHeight="1">
      <c r="A262" s="91">
        <v>261</v>
      </c>
      <c r="B262" s="19"/>
      <c r="C262" s="3" t="str">
        <f>VLOOKUP(D262,'lista 1'!$A$2:$F3780,4,0)</f>
        <v>KONIEC MARCIN</v>
      </c>
      <c r="D262" s="73">
        <v>2608</v>
      </c>
      <c r="E262" s="4" t="str">
        <f>VLOOKUP(D262,'lista 1'!$A$2:$F$1802,5,0)</f>
        <v>TM2</v>
      </c>
      <c r="F262" s="59" t="str">
        <f>VLOOKUP(G262,'lista obszary'!A:B,2,0)</f>
        <v>HV</v>
      </c>
      <c r="G262" s="76" t="s">
        <v>2319</v>
      </c>
      <c r="H262" s="85" t="s">
        <v>534</v>
      </c>
      <c r="I262" s="59" t="str">
        <f>VLOOKUP(J262,'lista obszary'!A:B,2,0)</f>
        <v>HV</v>
      </c>
      <c r="J262" s="78" t="s">
        <v>2325</v>
      </c>
      <c r="K262" s="87" t="s">
        <v>345</v>
      </c>
      <c r="L262" s="82" t="s">
        <v>2447</v>
      </c>
      <c r="M262" s="23"/>
      <c r="N262" s="23"/>
      <c r="O262" s="23"/>
      <c r="P262" s="19" t="s">
        <v>175</v>
      </c>
      <c r="Q262" s="26"/>
      <c r="R262" s="26"/>
      <c r="S262" s="47"/>
      <c r="T262" s="4"/>
      <c r="U262" s="20">
        <f t="shared" si="5"/>
        <v>43549</v>
      </c>
      <c r="V262" s="47"/>
      <c r="W262" s="43"/>
      <c r="X262" s="66" t="e">
        <f>VLOOKUP(D262,#REF!,2,0)</f>
        <v>#REF!</v>
      </c>
      <c r="Y262" s="67" t="b">
        <f>F262=I262</f>
        <v>1</v>
      </c>
      <c r="Z262" s="67"/>
    </row>
    <row r="263" spans="1:26" ht="13.65" customHeight="1">
      <c r="A263" s="91">
        <v>262</v>
      </c>
      <c r="B263" s="19"/>
      <c r="C263" s="3" t="e">
        <f>VLOOKUP(D263,'lista 1'!$A$2:$F3781,4,0)</f>
        <v>#N/A</v>
      </c>
      <c r="D263" s="73">
        <v>64289</v>
      </c>
      <c r="E263" s="4" t="e">
        <f>VLOOKUP(D263,'lista 1'!$A$2:$F$1802,5,0)</f>
        <v>#N/A</v>
      </c>
      <c r="F263" s="59" t="str">
        <f>VLOOKUP(G263,'lista obszary'!A:B,2,0)</f>
        <v>HV</v>
      </c>
      <c r="G263" s="76" t="s">
        <v>2319</v>
      </c>
      <c r="H263" s="85" t="s">
        <v>534</v>
      </c>
      <c r="I263" s="59" t="str">
        <f>VLOOKUP(J263,'lista obszary'!A:B,2,0)</f>
        <v>HV</v>
      </c>
      <c r="J263" s="78" t="s">
        <v>2325</v>
      </c>
      <c r="K263" s="87" t="s">
        <v>345</v>
      </c>
      <c r="L263" s="82" t="s">
        <v>2447</v>
      </c>
      <c r="M263" s="23"/>
      <c r="N263" s="23"/>
      <c r="O263" s="23"/>
      <c r="P263" s="19" t="s">
        <v>175</v>
      </c>
      <c r="Q263" s="26"/>
      <c r="R263" s="26"/>
      <c r="S263" s="47"/>
      <c r="T263" s="4"/>
      <c r="U263" s="20">
        <f t="shared" si="5"/>
        <v>43549</v>
      </c>
      <c r="V263" s="47"/>
      <c r="W263" s="43"/>
      <c r="X263" s="66" t="e">
        <f>VLOOKUP(D263,#REF!,2,0)</f>
        <v>#REF!</v>
      </c>
      <c r="Y263" s="67" t="b">
        <f>F263=I263</f>
        <v>1</v>
      </c>
      <c r="Z263" s="67"/>
    </row>
    <row r="264" spans="1:26" ht="13.65" customHeight="1">
      <c r="A264" s="91">
        <v>263</v>
      </c>
      <c r="B264" s="19"/>
      <c r="C264" s="3" t="e">
        <f>VLOOKUP(D264,'lista 1'!$A$2:$F3782,4,0)</f>
        <v>#N/A</v>
      </c>
      <c r="D264" s="73">
        <v>70485</v>
      </c>
      <c r="E264" s="4" t="e">
        <f>VLOOKUP(D264,'lista 1'!$A$2:$F$1802,5,0)</f>
        <v>#N/A</v>
      </c>
      <c r="F264" s="59" t="str">
        <f>VLOOKUP(G264,'lista obszary'!A:B,2,0)</f>
        <v>HV</v>
      </c>
      <c r="G264" s="76" t="s">
        <v>2319</v>
      </c>
      <c r="H264" s="85" t="s">
        <v>534</v>
      </c>
      <c r="I264" s="59" t="str">
        <f>VLOOKUP(J264,'lista obszary'!A:B,2,0)</f>
        <v>HV</v>
      </c>
      <c r="J264" s="78" t="s">
        <v>2325</v>
      </c>
      <c r="K264" s="87" t="s">
        <v>345</v>
      </c>
      <c r="L264" s="82" t="s">
        <v>2447</v>
      </c>
      <c r="M264" s="23"/>
      <c r="N264" s="23"/>
      <c r="O264" s="23"/>
      <c r="P264" s="19" t="s">
        <v>175</v>
      </c>
      <c r="Q264" s="26"/>
      <c r="R264" s="26"/>
      <c r="S264" s="47"/>
      <c r="T264" s="4"/>
      <c r="U264" s="20">
        <f t="shared" si="5"/>
        <v>43549</v>
      </c>
      <c r="V264" s="47"/>
      <c r="W264" s="43"/>
      <c r="X264" s="66" t="e">
        <f>VLOOKUP(D264,#REF!,2,0)</f>
        <v>#REF!</v>
      </c>
      <c r="Y264" s="67" t="s">
        <v>2643</v>
      </c>
      <c r="Z264" s="67"/>
    </row>
    <row r="265" spans="1:26" ht="13.65" customHeight="1">
      <c r="A265" s="91">
        <v>264</v>
      </c>
      <c r="B265" s="19"/>
      <c r="C265" s="3" t="str">
        <f>VLOOKUP(D265,'lista 1'!$A$2:$F3783,4,0)</f>
        <v>STAWICKI JAROSŁAW</v>
      </c>
      <c r="D265" s="73">
        <v>623</v>
      </c>
      <c r="E265" s="4" t="str">
        <f>VLOOKUP(D265,'lista 1'!$A$2:$F$1802,5,0)</f>
        <v>TM2</v>
      </c>
      <c r="F265" s="59" t="str">
        <f>VLOOKUP(G265,'lista obszary'!A:B,2,0)</f>
        <v>HV</v>
      </c>
      <c r="G265" s="76" t="s">
        <v>2319</v>
      </c>
      <c r="H265" s="85" t="s">
        <v>534</v>
      </c>
      <c r="I265" s="59" t="str">
        <f>VLOOKUP(J265,'lista obszary'!A:B,2,0)</f>
        <v>HV</v>
      </c>
      <c r="J265" s="78" t="s">
        <v>2325</v>
      </c>
      <c r="K265" s="87" t="s">
        <v>345</v>
      </c>
      <c r="L265" s="82" t="s">
        <v>2447</v>
      </c>
      <c r="M265" s="23"/>
      <c r="N265" s="23"/>
      <c r="O265" s="23"/>
      <c r="P265" s="19" t="s">
        <v>175</v>
      </c>
      <c r="Q265" s="26"/>
      <c r="R265" s="26"/>
      <c r="S265" s="47"/>
      <c r="T265" s="4"/>
      <c r="U265" s="20">
        <f t="shared" si="5"/>
        <v>43549</v>
      </c>
      <c r="V265" s="47"/>
      <c r="W265" s="43"/>
      <c r="X265" s="66" t="e">
        <f>VLOOKUP(D265,#REF!,2,0)</f>
        <v>#REF!</v>
      </c>
      <c r="Y265" s="67" t="b">
        <f>F265=I265</f>
        <v>1</v>
      </c>
    </row>
    <row r="266" spans="1:26" ht="13.65" customHeight="1">
      <c r="A266" s="91">
        <v>265</v>
      </c>
      <c r="B266" s="19"/>
      <c r="C266" s="3" t="str">
        <f>VLOOKUP(D266,'lista 1'!$A$2:$F3784,4,0)</f>
        <v>ADAMCZYK-PENA ANNA</v>
      </c>
      <c r="D266" s="73">
        <v>2993</v>
      </c>
      <c r="E266" s="4" t="str">
        <f>VLOOKUP(D266,'lista 1'!$A$2:$F$1802,5,0)</f>
        <v>TM</v>
      </c>
      <c r="F266" s="59" t="str">
        <f>VLOOKUP(G266,'lista obszary'!A:B,2,0)</f>
        <v>HV</v>
      </c>
      <c r="G266" s="76" t="s">
        <v>2319</v>
      </c>
      <c r="H266" s="85" t="s">
        <v>534</v>
      </c>
      <c r="I266" s="59" t="str">
        <f>VLOOKUP(J266,'lista obszary'!A:B,2,0)</f>
        <v>HV</v>
      </c>
      <c r="J266" s="78" t="s">
        <v>2325</v>
      </c>
      <c r="K266" s="87" t="s">
        <v>345</v>
      </c>
      <c r="L266" s="82" t="s">
        <v>2447</v>
      </c>
      <c r="M266" s="23"/>
      <c r="N266" s="23"/>
      <c r="O266" s="23"/>
      <c r="P266" s="19" t="s">
        <v>175</v>
      </c>
      <c r="Q266" s="26"/>
      <c r="R266" s="26"/>
      <c r="S266" s="47"/>
      <c r="T266" s="4"/>
      <c r="U266" s="20">
        <f t="shared" si="5"/>
        <v>43549</v>
      </c>
      <c r="V266" s="47"/>
      <c r="W266" s="43"/>
      <c r="X266" s="66" t="e">
        <f>VLOOKUP(D266,#REF!,2,0)</f>
        <v>#REF!</v>
      </c>
      <c r="Y266" s="67" t="b">
        <f>F266=I266</f>
        <v>1</v>
      </c>
      <c r="Z266" s="67"/>
    </row>
    <row r="267" spans="1:26" ht="13.65" customHeight="1">
      <c r="A267" s="91">
        <v>266</v>
      </c>
      <c r="B267" s="19"/>
      <c r="C267" s="3" t="str">
        <f>VLOOKUP(D267,'lista 1'!$A$2:$F3785,4,0)</f>
        <v>STADNIK MIROSŁAW</v>
      </c>
      <c r="D267" s="73">
        <v>172</v>
      </c>
      <c r="E267" s="4" t="str">
        <f>VLOOKUP(D267,'lista 1'!$A$2:$F$1802,5,0)</f>
        <v>GRL2</v>
      </c>
      <c r="F267" s="59" t="str">
        <f>VLOOKUP(G267,'lista obszary'!A:B,2,0)</f>
        <v>HV</v>
      </c>
      <c r="G267" s="76" t="s">
        <v>2069</v>
      </c>
      <c r="H267" s="85" t="s">
        <v>1577</v>
      </c>
      <c r="I267" s="59" t="str">
        <f>VLOOKUP(J267,'lista obszary'!A:B,2,0)</f>
        <v>HV</v>
      </c>
      <c r="J267" s="78" t="s">
        <v>2450</v>
      </c>
      <c r="K267" s="87" t="s">
        <v>1577</v>
      </c>
      <c r="L267" s="82" t="s">
        <v>2447</v>
      </c>
      <c r="M267" s="23"/>
      <c r="N267" s="23"/>
      <c r="O267" s="23"/>
      <c r="P267" s="19" t="s">
        <v>175</v>
      </c>
      <c r="Q267" s="26"/>
      <c r="R267" s="26"/>
      <c r="S267" s="47"/>
      <c r="T267" s="4"/>
      <c r="U267" s="20">
        <f t="shared" si="5"/>
        <v>43549</v>
      </c>
      <c r="V267" s="47"/>
      <c r="W267" s="43"/>
      <c r="X267" s="66" t="e">
        <f>VLOOKUP(D267,#REF!,2,0)</f>
        <v>#REF!</v>
      </c>
      <c r="Y267" s="67" t="s">
        <v>2643</v>
      </c>
      <c r="Z267" s="67"/>
    </row>
    <row r="268" spans="1:26" ht="13.65" customHeight="1">
      <c r="A268" s="91">
        <v>267</v>
      </c>
      <c r="B268" s="19"/>
      <c r="C268" s="3" t="str">
        <f>VLOOKUP(D268,'lista 1'!$A$2:$F3786,4,0)</f>
        <v>JANOR SZYMON</v>
      </c>
      <c r="D268" s="73">
        <v>198</v>
      </c>
      <c r="E268" s="4" t="str">
        <f>VLOOKUP(D268,'lista 1'!$A$2:$F$1802,5,0)</f>
        <v>TL2</v>
      </c>
      <c r="F268" s="59" t="str">
        <f>VLOOKUP(G268,'lista obszary'!A:B,2,0)</f>
        <v>HV</v>
      </c>
      <c r="G268" s="76" t="s">
        <v>2069</v>
      </c>
      <c r="H268" s="85" t="s">
        <v>1582</v>
      </c>
      <c r="I268" s="59" t="str">
        <f>VLOOKUP(J268,'lista obszary'!A:B,2,0)</f>
        <v>HV</v>
      </c>
      <c r="J268" s="78" t="s">
        <v>2450</v>
      </c>
      <c r="K268" s="87" t="s">
        <v>1582</v>
      </c>
      <c r="L268" s="82" t="s">
        <v>2447</v>
      </c>
      <c r="M268" s="23"/>
      <c r="N268" s="23"/>
      <c r="O268" s="23"/>
      <c r="P268" s="19" t="s">
        <v>175</v>
      </c>
      <c r="Q268" s="26"/>
      <c r="R268" s="26"/>
      <c r="S268" s="47"/>
      <c r="T268" s="4"/>
      <c r="U268" s="20">
        <f t="shared" si="5"/>
        <v>43549</v>
      </c>
      <c r="V268" s="47"/>
      <c r="W268" s="43"/>
      <c r="X268" s="66" t="e">
        <f>VLOOKUP(D268,#REF!,2,0)</f>
        <v>#REF!</v>
      </c>
      <c r="Y268" s="67" t="s">
        <v>2643</v>
      </c>
      <c r="Z268" s="67"/>
    </row>
    <row r="269" spans="1:26" ht="13.65" customHeight="1">
      <c r="A269" s="91">
        <v>268</v>
      </c>
      <c r="B269" s="19"/>
      <c r="C269" s="3" t="str">
        <f>VLOOKUP(D269,'lista 1'!$A$2:$F3787,4,0)</f>
        <v>BILIŃSKI GRZEGORZ</v>
      </c>
      <c r="D269" s="73">
        <v>158</v>
      </c>
      <c r="E269" s="4" t="str">
        <f>VLOOKUP(D269,'lista 1'!$A$2:$F$1802,5,0)</f>
        <v>TL2</v>
      </c>
      <c r="F269" s="59" t="str">
        <f>VLOOKUP(G269,'lista obszary'!A:B,2,0)</f>
        <v>HV</v>
      </c>
      <c r="G269" s="76" t="s">
        <v>2069</v>
      </c>
      <c r="H269" s="85" t="s">
        <v>1582</v>
      </c>
      <c r="I269" s="59" t="str">
        <f>VLOOKUP(J269,'lista obszary'!A:B,2,0)</f>
        <v>HV</v>
      </c>
      <c r="J269" s="78" t="s">
        <v>2450</v>
      </c>
      <c r="K269" s="87" t="s">
        <v>1582</v>
      </c>
      <c r="L269" s="82" t="s">
        <v>2447</v>
      </c>
      <c r="M269" s="23"/>
      <c r="N269" s="23"/>
      <c r="O269" s="23"/>
      <c r="P269" s="19" t="s">
        <v>175</v>
      </c>
      <c r="Q269" s="26"/>
      <c r="R269" s="26"/>
      <c r="S269" s="47"/>
      <c r="T269" s="4"/>
      <c r="U269" s="20">
        <f t="shared" si="5"/>
        <v>43549</v>
      </c>
      <c r="V269" s="47"/>
      <c r="W269" s="43"/>
      <c r="X269" s="66" t="e">
        <f>VLOOKUP(D269,#REF!,2,0)</f>
        <v>#REF!</v>
      </c>
      <c r="Y269" s="67" t="s">
        <v>2643</v>
      </c>
      <c r="Z269" s="67"/>
    </row>
    <row r="270" spans="1:26" ht="13.65" customHeight="1">
      <c r="A270" s="91">
        <v>269</v>
      </c>
      <c r="B270" s="19"/>
      <c r="C270" s="3" t="str">
        <f>VLOOKUP(D270,'lista 1'!$A$2:$F3788,4,0)</f>
        <v>RYBANDT MARIUSZ</v>
      </c>
      <c r="D270" s="73">
        <v>729</v>
      </c>
      <c r="E270" s="4" t="str">
        <f>VLOOKUP(D270,'lista 1'!$A$2:$F$1802,5,0)</f>
        <v>TL</v>
      </c>
      <c r="F270" s="59" t="str">
        <f>VLOOKUP(G270,'lista obszary'!A:B,2,0)</f>
        <v>HV</v>
      </c>
      <c r="G270" s="76" t="s">
        <v>2069</v>
      </c>
      <c r="H270" s="85" t="s">
        <v>1582</v>
      </c>
      <c r="I270" s="59" t="str">
        <f>VLOOKUP(J270,'lista obszary'!A:B,2,0)</f>
        <v>HV</v>
      </c>
      <c r="J270" s="78" t="s">
        <v>2450</v>
      </c>
      <c r="K270" s="87" t="s">
        <v>1582</v>
      </c>
      <c r="L270" s="82" t="s">
        <v>2447</v>
      </c>
      <c r="M270" s="23"/>
      <c r="N270" s="23"/>
      <c r="O270" s="23"/>
      <c r="P270" s="19" t="s">
        <v>175</v>
      </c>
      <c r="Q270" s="26"/>
      <c r="R270" s="26"/>
      <c r="S270" s="47"/>
      <c r="T270" s="4"/>
      <c r="U270" s="20">
        <f t="shared" si="5"/>
        <v>43549</v>
      </c>
      <c r="V270" s="47"/>
      <c r="W270" s="43"/>
      <c r="X270" s="66" t="e">
        <f>VLOOKUP(D270,#REF!,2,0)</f>
        <v>#REF!</v>
      </c>
      <c r="Y270" s="67" t="s">
        <v>2643</v>
      </c>
      <c r="Z270" s="67"/>
    </row>
    <row r="271" spans="1:26" ht="13.65" customHeight="1">
      <c r="A271" s="91">
        <v>270</v>
      </c>
      <c r="B271" s="19"/>
      <c r="C271" s="3" t="str">
        <f>VLOOKUP(D271,'lista 1'!$A$2:$F3789,4,0)</f>
        <v>OLSZEWSKI KRZYSZTOF</v>
      </c>
      <c r="D271" s="73">
        <v>810</v>
      </c>
      <c r="E271" s="4" t="str">
        <f>VLOOKUP(D271,'lista 1'!$A$2:$F$1802,5,0)</f>
        <v>TM2</v>
      </c>
      <c r="F271" s="59" t="str">
        <f>VLOOKUP(G271,'lista obszary'!A:B,2,0)</f>
        <v>HV</v>
      </c>
      <c r="G271" s="76" t="s">
        <v>2319</v>
      </c>
      <c r="H271" s="85" t="s">
        <v>534</v>
      </c>
      <c r="I271" s="59" t="str">
        <f>VLOOKUP(J271,'lista obszary'!A:B,2,0)</f>
        <v>HV</v>
      </c>
      <c r="J271" s="78" t="s">
        <v>2450</v>
      </c>
      <c r="K271" s="87" t="s">
        <v>1582</v>
      </c>
      <c r="L271" s="82" t="s">
        <v>2447</v>
      </c>
      <c r="M271" s="23"/>
      <c r="N271" s="23"/>
      <c r="O271" s="23"/>
      <c r="P271" s="19" t="s">
        <v>175</v>
      </c>
      <c r="Q271" s="26"/>
      <c r="R271" s="26"/>
      <c r="S271" s="47"/>
      <c r="T271" s="4"/>
      <c r="U271" s="20">
        <f t="shared" si="5"/>
        <v>43549</v>
      </c>
      <c r="V271" s="47"/>
      <c r="W271" s="43"/>
      <c r="X271" s="66" t="e">
        <f>VLOOKUP(D271,#REF!,2,0)</f>
        <v>#REF!</v>
      </c>
      <c r="Y271" s="67" t="b">
        <f>F271=I271</f>
        <v>1</v>
      </c>
    </row>
    <row r="272" spans="1:26" ht="13.65" customHeight="1">
      <c r="A272" s="91">
        <v>271</v>
      </c>
      <c r="B272" s="19"/>
      <c r="C272" s="3" t="str">
        <f>VLOOKUP(D272,'lista 1'!$A$2:$F3790,4,0)</f>
        <v>MAŚLUSZCZAK DANIEL</v>
      </c>
      <c r="D272" s="73">
        <v>2550</v>
      </c>
      <c r="E272" s="4" t="str">
        <f>VLOOKUP(D272,'lista 1'!$A$2:$F$1802,5,0)</f>
        <v>TL</v>
      </c>
      <c r="F272" s="59" t="str">
        <f>VLOOKUP(G272,'lista obszary'!A:B,2,0)</f>
        <v>HV</v>
      </c>
      <c r="G272" s="76" t="s">
        <v>2069</v>
      </c>
      <c r="H272" s="85" t="s">
        <v>1582</v>
      </c>
      <c r="I272" s="59" t="str">
        <f>VLOOKUP(J272,'lista obszary'!A:B,2,0)</f>
        <v>HV</v>
      </c>
      <c r="J272" s="78" t="s">
        <v>2450</v>
      </c>
      <c r="K272" s="87" t="s">
        <v>1582</v>
      </c>
      <c r="L272" s="82" t="s">
        <v>2447</v>
      </c>
      <c r="M272" s="23"/>
      <c r="N272" s="23"/>
      <c r="O272" s="23"/>
      <c r="P272" s="19" t="s">
        <v>175</v>
      </c>
      <c r="Q272" s="26"/>
      <c r="R272" s="26"/>
      <c r="S272" s="47"/>
      <c r="T272" s="4"/>
      <c r="U272" s="20">
        <f t="shared" si="5"/>
        <v>43549</v>
      </c>
      <c r="V272" s="47"/>
      <c r="W272" s="43"/>
      <c r="X272" s="66" t="e">
        <f>VLOOKUP(D272,#REF!,2,0)</f>
        <v>#REF!</v>
      </c>
      <c r="Y272" s="67" t="b">
        <f>F272=I272</f>
        <v>1</v>
      </c>
      <c r="Z272" s="67"/>
    </row>
    <row r="273" spans="1:26" ht="13.65" customHeight="1">
      <c r="A273" s="91">
        <v>272</v>
      </c>
      <c r="B273" s="19"/>
      <c r="C273" s="3" t="str">
        <f>VLOOKUP(D273,'lista 1'!$A$2:$F3791,4,0)</f>
        <v>SOŁTYSIAK ROBERT</v>
      </c>
      <c r="D273" s="73">
        <v>578</v>
      </c>
      <c r="E273" s="4" t="str">
        <f>VLOOKUP(D273,'lista 1'!$A$2:$F$1802,5,0)</f>
        <v>AC TL</v>
      </c>
      <c r="F273" s="59" t="str">
        <f>VLOOKUP(G273,'lista obszary'!A:B,2,0)</f>
        <v>HV</v>
      </c>
      <c r="G273" s="76" t="s">
        <v>2069</v>
      </c>
      <c r="H273" s="85" t="s">
        <v>1582</v>
      </c>
      <c r="I273" s="59" t="str">
        <f>VLOOKUP(J273,'lista obszary'!A:B,2,0)</f>
        <v>HV</v>
      </c>
      <c r="J273" s="78" t="s">
        <v>2450</v>
      </c>
      <c r="K273" s="87" t="s">
        <v>1582</v>
      </c>
      <c r="L273" s="82" t="s">
        <v>2447</v>
      </c>
      <c r="M273" s="23"/>
      <c r="N273" s="23"/>
      <c r="O273" s="23"/>
      <c r="P273" s="19" t="s">
        <v>175</v>
      </c>
      <c r="Q273" s="26"/>
      <c r="R273" s="26"/>
      <c r="S273" s="47"/>
      <c r="T273" s="4"/>
      <c r="U273" s="20">
        <f t="shared" si="5"/>
        <v>43549</v>
      </c>
      <c r="V273" s="47"/>
      <c r="W273" s="43"/>
      <c r="X273" s="66" t="e">
        <f>VLOOKUP(D273,#REF!,2,0)</f>
        <v>#REF!</v>
      </c>
      <c r="Y273" s="67" t="s">
        <v>2643</v>
      </c>
      <c r="Z273" s="67"/>
    </row>
    <row r="274" spans="1:26" ht="13.65" customHeight="1">
      <c r="A274" s="91">
        <v>273</v>
      </c>
      <c r="B274" s="19"/>
      <c r="C274" s="3" t="str">
        <f>VLOOKUP(D274,'lista 1'!$A$2:$F3792,4,0)</f>
        <v>BADURA ŁUKASZ</v>
      </c>
      <c r="D274" s="73">
        <v>2049</v>
      </c>
      <c r="E274" s="4" t="str">
        <f>VLOOKUP(D274,'lista 1'!$A$2:$F$1802,5,0)</f>
        <v>TM2</v>
      </c>
      <c r="F274" s="59" t="str">
        <f>VLOOKUP(G274,'lista obszary'!A:B,2,0)</f>
        <v>HV</v>
      </c>
      <c r="G274" s="76" t="s">
        <v>2069</v>
      </c>
      <c r="H274" s="85" t="s">
        <v>1582</v>
      </c>
      <c r="I274" s="59" t="str">
        <f>VLOOKUP(J274,'lista obszary'!A:B,2,0)</f>
        <v>HV</v>
      </c>
      <c r="J274" s="78" t="s">
        <v>2450</v>
      </c>
      <c r="K274" s="87" t="s">
        <v>1582</v>
      </c>
      <c r="L274" s="82" t="s">
        <v>2447</v>
      </c>
      <c r="M274" s="23"/>
      <c r="N274" s="23"/>
      <c r="O274" s="23"/>
      <c r="P274" s="19" t="s">
        <v>175</v>
      </c>
      <c r="Q274" s="26"/>
      <c r="R274" s="26"/>
      <c r="S274" s="47"/>
      <c r="T274" s="4"/>
      <c r="U274" s="20">
        <f t="shared" si="5"/>
        <v>43549</v>
      </c>
      <c r="V274" s="47"/>
      <c r="W274" s="43"/>
      <c r="X274" s="66" t="e">
        <f>VLOOKUP(D274,#REF!,2,0)</f>
        <v>#REF!</v>
      </c>
      <c r="Y274" s="67" t="s">
        <v>2643</v>
      </c>
      <c r="Z274" s="67"/>
    </row>
    <row r="275" spans="1:26" ht="13.65" customHeight="1">
      <c r="A275" s="91">
        <v>274</v>
      </c>
      <c r="B275" s="19"/>
      <c r="C275" s="3" t="str">
        <f>VLOOKUP(D275,'lista 1'!$A$2:$F3793,4,0)</f>
        <v>BANIA WIOLETA</v>
      </c>
      <c r="D275" s="73">
        <v>1487</v>
      </c>
      <c r="E275" s="4" t="str">
        <f>VLOOKUP(D275,'lista 1'!$A$2:$F$1802,5,0)</f>
        <v>TM2</v>
      </c>
      <c r="F275" s="59" t="str">
        <f>VLOOKUP(G275,'lista obszary'!A:B,2,0)</f>
        <v>HV</v>
      </c>
      <c r="G275" s="76" t="s">
        <v>2069</v>
      </c>
      <c r="H275" s="85" t="s">
        <v>1582</v>
      </c>
      <c r="I275" s="59" t="str">
        <f>VLOOKUP(J275,'lista obszary'!A:B,2,0)</f>
        <v>HV</v>
      </c>
      <c r="J275" s="78" t="s">
        <v>2450</v>
      </c>
      <c r="K275" s="87" t="s">
        <v>1582</v>
      </c>
      <c r="L275" s="82" t="s">
        <v>2447</v>
      </c>
      <c r="M275" s="23"/>
      <c r="N275" s="23"/>
      <c r="O275" s="23"/>
      <c r="P275" s="19" t="s">
        <v>175</v>
      </c>
      <c r="Q275" s="26"/>
      <c r="R275" s="26"/>
      <c r="S275" s="47"/>
      <c r="T275" s="4"/>
      <c r="U275" s="20">
        <f t="shared" si="5"/>
        <v>43549</v>
      </c>
      <c r="V275" s="47"/>
      <c r="W275" s="43"/>
      <c r="X275" s="66" t="e">
        <f>VLOOKUP(D275,#REF!,2,0)</f>
        <v>#REF!</v>
      </c>
      <c r="Y275" s="67" t="s">
        <v>2643</v>
      </c>
      <c r="Z275" s="67"/>
    </row>
    <row r="276" spans="1:26" ht="13.65" customHeight="1">
      <c r="A276" s="91">
        <v>275</v>
      </c>
      <c r="B276" s="19"/>
      <c r="C276" s="3" t="str">
        <f>VLOOKUP(D276,'lista 1'!$A$2:$F3794,4,0)</f>
        <v>DZIEWIÓR MAREK</v>
      </c>
      <c r="D276" s="73">
        <v>1996</v>
      </c>
      <c r="E276" s="4" t="str">
        <f>VLOOKUP(D276,'lista 1'!$A$2:$F$1802,5,0)</f>
        <v>TM2</v>
      </c>
      <c r="F276" s="59" t="str">
        <f>VLOOKUP(G276,'lista obszary'!A:B,2,0)</f>
        <v>HV</v>
      </c>
      <c r="G276" s="76" t="s">
        <v>2069</v>
      </c>
      <c r="H276" s="85" t="s">
        <v>1582</v>
      </c>
      <c r="I276" s="59" t="str">
        <f>VLOOKUP(J276,'lista obszary'!A:B,2,0)</f>
        <v>HV</v>
      </c>
      <c r="J276" s="78" t="s">
        <v>2450</v>
      </c>
      <c r="K276" s="87" t="s">
        <v>1582</v>
      </c>
      <c r="L276" s="82" t="s">
        <v>2447</v>
      </c>
      <c r="M276" s="23"/>
      <c r="N276" s="23"/>
      <c r="O276" s="23"/>
      <c r="P276" s="19" t="s">
        <v>175</v>
      </c>
      <c r="Q276" s="26"/>
      <c r="R276" s="26"/>
      <c r="S276" s="47"/>
      <c r="T276" s="4"/>
      <c r="U276" s="20">
        <f t="shared" si="5"/>
        <v>43549</v>
      </c>
      <c r="V276" s="47"/>
      <c r="W276" s="43"/>
      <c r="X276" s="66" t="e">
        <f>VLOOKUP(D276,#REF!,2,0)</f>
        <v>#REF!</v>
      </c>
      <c r="Y276" s="67" t="s">
        <v>2643</v>
      </c>
      <c r="Z276" s="67"/>
    </row>
    <row r="277" spans="1:26" ht="13.65" customHeight="1">
      <c r="A277" s="91">
        <v>276</v>
      </c>
      <c r="B277" s="19"/>
      <c r="C277" s="3" t="e">
        <f>VLOOKUP(D277,'lista 1'!$A$2:$F3795,4,0)</f>
        <v>#N/A</v>
      </c>
      <c r="D277" s="73">
        <v>70385</v>
      </c>
      <c r="E277" s="4" t="e">
        <f>VLOOKUP(D277,'lista 1'!$A$2:$F$1802,5,0)</f>
        <v>#N/A</v>
      </c>
      <c r="F277" s="59" t="str">
        <f>VLOOKUP(G277,'lista obszary'!A:B,2,0)</f>
        <v>HV</v>
      </c>
      <c r="G277" s="76" t="s">
        <v>2069</v>
      </c>
      <c r="H277" s="85" t="s">
        <v>1582</v>
      </c>
      <c r="I277" s="59" t="str">
        <f>VLOOKUP(J277,'lista obszary'!A:B,2,0)</f>
        <v>HV</v>
      </c>
      <c r="J277" s="78" t="s">
        <v>2450</v>
      </c>
      <c r="K277" s="87" t="s">
        <v>1582</v>
      </c>
      <c r="L277" s="82" t="s">
        <v>2447</v>
      </c>
      <c r="M277" s="23"/>
      <c r="N277" s="23"/>
      <c r="O277" s="23"/>
      <c r="P277" s="19" t="s">
        <v>175</v>
      </c>
      <c r="Q277" s="26"/>
      <c r="R277" s="26"/>
      <c r="S277" s="47"/>
      <c r="T277" s="4"/>
      <c r="U277" s="20">
        <f t="shared" si="5"/>
        <v>43549</v>
      </c>
      <c r="V277" s="47"/>
      <c r="W277" s="43"/>
      <c r="X277" s="66" t="e">
        <f>VLOOKUP(D277,#REF!,2,0)</f>
        <v>#REF!</v>
      </c>
      <c r="Y277" s="67" t="s">
        <v>2643</v>
      </c>
      <c r="Z277" s="67"/>
    </row>
    <row r="278" spans="1:26" ht="13.65" customHeight="1">
      <c r="A278" s="91">
        <v>277</v>
      </c>
      <c r="B278" s="19"/>
      <c r="C278" s="3" t="str">
        <f>VLOOKUP(D278,'lista 1'!$A$2:$F3796,4,0)</f>
        <v>KRZYŻAŃSKI ARTUR</v>
      </c>
      <c r="D278" s="73">
        <v>2001</v>
      </c>
      <c r="E278" s="4" t="str">
        <f>VLOOKUP(D278,'lista 1'!$A$2:$F$1802,5,0)</f>
        <v>TM2</v>
      </c>
      <c r="F278" s="59" t="str">
        <f>VLOOKUP(G278,'lista obszary'!A:B,2,0)</f>
        <v>HV</v>
      </c>
      <c r="G278" s="76" t="s">
        <v>2319</v>
      </c>
      <c r="H278" s="85" t="s">
        <v>534</v>
      </c>
      <c r="I278" s="59" t="str">
        <f>VLOOKUP(J278,'lista obszary'!A:B,2,0)</f>
        <v>HV</v>
      </c>
      <c r="J278" s="78" t="s">
        <v>2450</v>
      </c>
      <c r="K278" s="87" t="s">
        <v>1582</v>
      </c>
      <c r="L278" s="82" t="s">
        <v>2447</v>
      </c>
      <c r="M278" s="23"/>
      <c r="N278" s="23"/>
      <c r="O278" s="23"/>
      <c r="P278" s="19" t="s">
        <v>175</v>
      </c>
      <c r="Q278" s="26"/>
      <c r="R278" s="26"/>
      <c r="S278" s="47"/>
      <c r="T278" s="4"/>
      <c r="U278" s="20">
        <f t="shared" si="5"/>
        <v>43549</v>
      </c>
      <c r="V278" s="47"/>
      <c r="W278" s="43"/>
      <c r="X278" s="66" t="e">
        <f>VLOOKUP(D278,#REF!,2,0)</f>
        <v>#REF!</v>
      </c>
      <c r="Y278" s="67" t="b">
        <f>F278=I278</f>
        <v>1</v>
      </c>
    </row>
    <row r="279" spans="1:26" ht="13.65" customHeight="1">
      <c r="A279" s="91">
        <v>278</v>
      </c>
      <c r="B279" s="19"/>
      <c r="C279" s="3" t="e">
        <f>VLOOKUP(D279,'lista 1'!$A$2:$F3797,4,0)</f>
        <v>#N/A</v>
      </c>
      <c r="D279" s="73">
        <v>64267</v>
      </c>
      <c r="E279" s="4" t="e">
        <f>VLOOKUP(D279,'lista 1'!$A$2:$F$1802,5,0)</f>
        <v>#N/A</v>
      </c>
      <c r="F279" s="59" t="str">
        <f>VLOOKUP(G279,'lista obszary'!A:B,2,0)</f>
        <v>HV</v>
      </c>
      <c r="G279" s="76" t="s">
        <v>2069</v>
      </c>
      <c r="H279" s="85" t="s">
        <v>1582</v>
      </c>
      <c r="I279" s="59" t="str">
        <f>VLOOKUP(J279,'lista obszary'!A:B,2,0)</f>
        <v>HV</v>
      </c>
      <c r="J279" s="78" t="s">
        <v>2450</v>
      </c>
      <c r="K279" s="87" t="s">
        <v>1582</v>
      </c>
      <c r="L279" s="82" t="s">
        <v>2447</v>
      </c>
      <c r="M279" s="23"/>
      <c r="N279" s="23"/>
      <c r="O279" s="23"/>
      <c r="P279" s="19" t="s">
        <v>175</v>
      </c>
      <c r="Q279" s="26"/>
      <c r="R279" s="26"/>
      <c r="S279" s="47"/>
      <c r="T279" s="4"/>
      <c r="U279" s="20">
        <f t="shared" si="5"/>
        <v>43549</v>
      </c>
      <c r="V279" s="47"/>
      <c r="W279" s="43"/>
      <c r="X279" s="66" t="e">
        <f>VLOOKUP(D279,#REF!,2,0)</f>
        <v>#REF!</v>
      </c>
      <c r="Y279" s="67" t="s">
        <v>2643</v>
      </c>
      <c r="Z279" s="67"/>
    </row>
    <row r="280" spans="1:26" ht="13.65" customHeight="1">
      <c r="A280" s="91">
        <v>279</v>
      </c>
      <c r="B280" s="19"/>
      <c r="C280" s="3" t="e">
        <f>VLOOKUP(D280,'lista 1'!$A$2:$F3798,4,0)</f>
        <v>#N/A</v>
      </c>
      <c r="D280" s="73">
        <v>64304</v>
      </c>
      <c r="E280" s="4" t="e">
        <f>VLOOKUP(D280,'lista 1'!$A$2:$F$1802,5,0)</f>
        <v>#N/A</v>
      </c>
      <c r="F280" s="59" t="str">
        <f>VLOOKUP(G280,'lista obszary'!A:B,2,0)</f>
        <v>HV</v>
      </c>
      <c r="G280" s="76" t="s">
        <v>2069</v>
      </c>
      <c r="H280" s="85" t="s">
        <v>1582</v>
      </c>
      <c r="I280" s="59" t="str">
        <f>VLOOKUP(J280,'lista obszary'!A:B,2,0)</f>
        <v>HV</v>
      </c>
      <c r="J280" s="78" t="s">
        <v>2450</v>
      </c>
      <c r="K280" s="87" t="s">
        <v>1582</v>
      </c>
      <c r="L280" s="82" t="s">
        <v>2447</v>
      </c>
      <c r="M280" s="23"/>
      <c r="N280" s="23"/>
      <c r="O280" s="23"/>
      <c r="P280" s="19" t="s">
        <v>175</v>
      </c>
      <c r="Q280" s="26"/>
      <c r="R280" s="26"/>
      <c r="S280" s="47"/>
      <c r="T280" s="4" t="e">
        <f>VLOOKUP(#REF!,#REF!,2,0)</f>
        <v>#REF!</v>
      </c>
      <c r="U280" s="20" t="e">
        <f t="shared" si="5"/>
        <v>#REF!</v>
      </c>
      <c r="V280" s="47"/>
      <c r="W280" s="43"/>
      <c r="X280" s="66" t="e">
        <f>VLOOKUP(D280,#REF!,2,0)</f>
        <v>#REF!</v>
      </c>
      <c r="Y280" s="67" t="s">
        <v>2643</v>
      </c>
      <c r="Z280" s="67"/>
    </row>
    <row r="281" spans="1:26" ht="13.65" customHeight="1">
      <c r="A281" s="91">
        <v>280</v>
      </c>
      <c r="B281" s="19"/>
      <c r="C281" s="3" t="e">
        <f>VLOOKUP(D281,'lista 1'!$A$2:$F3799,4,0)</f>
        <v>#N/A</v>
      </c>
      <c r="D281" s="73">
        <v>64342</v>
      </c>
      <c r="E281" s="4" t="e">
        <f>VLOOKUP(D281,'lista 1'!$A$2:$F$1802,5,0)</f>
        <v>#N/A</v>
      </c>
      <c r="F281" s="59" t="str">
        <f>VLOOKUP(G281,'lista obszary'!A:B,2,0)</f>
        <v>HV</v>
      </c>
      <c r="G281" s="76" t="s">
        <v>2319</v>
      </c>
      <c r="H281" s="85" t="s">
        <v>534</v>
      </c>
      <c r="I281" s="59" t="str">
        <f>VLOOKUP(J281,'lista obszary'!A:B,2,0)</f>
        <v>HV</v>
      </c>
      <c r="J281" s="78" t="s">
        <v>2450</v>
      </c>
      <c r="K281" s="87" t="s">
        <v>1582</v>
      </c>
      <c r="L281" s="82" t="s">
        <v>2447</v>
      </c>
      <c r="M281" s="23"/>
      <c r="N281" s="23"/>
      <c r="O281" s="23"/>
      <c r="P281" s="19" t="s">
        <v>175</v>
      </c>
      <c r="Q281" s="26"/>
      <c r="R281" s="26"/>
      <c r="S281" s="47"/>
      <c r="T281" s="4" t="e">
        <f>VLOOKUP(#REF!,#REF!,2,0)</f>
        <v>#REF!</v>
      </c>
      <c r="U281" s="20" t="e">
        <f t="shared" si="5"/>
        <v>#REF!</v>
      </c>
      <c r="V281" s="47"/>
      <c r="W281" s="43"/>
      <c r="X281" s="66" t="e">
        <f>VLOOKUP(D281,#REF!,2,0)</f>
        <v>#REF!</v>
      </c>
      <c r="Y281" s="67" t="b">
        <f>F281=I281</f>
        <v>1</v>
      </c>
      <c r="Z281" s="67"/>
    </row>
    <row r="282" spans="1:26" ht="13.65" customHeight="1">
      <c r="A282" s="91">
        <v>281</v>
      </c>
      <c r="B282" s="19"/>
      <c r="C282" s="3" t="str">
        <f>VLOOKUP(D282,'lista 1'!$A$2:$F3800,4,0)</f>
        <v>SOROKA PAWEŁ</v>
      </c>
      <c r="D282" s="73">
        <v>1923</v>
      </c>
      <c r="E282" s="4" t="str">
        <f>VLOOKUP(D282,'lista 1'!$A$2:$F$1802,5,0)</f>
        <v>TM2</v>
      </c>
      <c r="F282" s="59" t="str">
        <f>VLOOKUP(G282,'lista obszary'!A:B,2,0)</f>
        <v>HV</v>
      </c>
      <c r="G282" s="76" t="s">
        <v>2069</v>
      </c>
      <c r="H282" s="85" t="s">
        <v>1582</v>
      </c>
      <c r="I282" s="59" t="str">
        <f>VLOOKUP(J282,'lista obszary'!A:B,2,0)</f>
        <v>HV</v>
      </c>
      <c r="J282" s="78" t="s">
        <v>2450</v>
      </c>
      <c r="K282" s="87" t="s">
        <v>1582</v>
      </c>
      <c r="L282" s="82" t="s">
        <v>2447</v>
      </c>
      <c r="M282" s="23"/>
      <c r="N282" s="23"/>
      <c r="O282" s="23"/>
      <c r="P282" s="19" t="s">
        <v>175</v>
      </c>
      <c r="Q282" s="26"/>
      <c r="R282" s="26"/>
      <c r="S282" s="47"/>
      <c r="T282" s="4" t="e">
        <f>VLOOKUP(#REF!,#REF!,2,0)</f>
        <v>#REF!</v>
      </c>
      <c r="U282" s="20" t="e">
        <f t="shared" si="5"/>
        <v>#REF!</v>
      </c>
      <c r="V282" s="47"/>
      <c r="W282" s="43"/>
      <c r="X282" s="66" t="e">
        <f>VLOOKUP(D282,#REF!,2,0)</f>
        <v>#REF!</v>
      </c>
      <c r="Y282" s="67" t="s">
        <v>2643</v>
      </c>
      <c r="Z282" s="67"/>
    </row>
    <row r="283" spans="1:26" ht="13.65" customHeight="1">
      <c r="A283" s="91">
        <v>282</v>
      </c>
      <c r="B283" s="19"/>
      <c r="C283" s="3" t="e">
        <f>VLOOKUP(D283,'lista 1'!$A$2:$F3801,4,0)</f>
        <v>#N/A</v>
      </c>
      <c r="D283" s="73">
        <v>70447</v>
      </c>
      <c r="E283" s="4" t="e">
        <f>VLOOKUP(D283,'lista 1'!$A$2:$F$1802,5,0)</f>
        <v>#N/A</v>
      </c>
      <c r="F283" s="59" t="str">
        <f>VLOOKUP(G283,'lista obszary'!A:B,2,0)</f>
        <v>HV</v>
      </c>
      <c r="G283" s="76" t="s">
        <v>2069</v>
      </c>
      <c r="H283" s="85" t="s">
        <v>1582</v>
      </c>
      <c r="I283" s="59" t="str">
        <f>VLOOKUP(J283,'lista obszary'!A:B,2,0)</f>
        <v>HV</v>
      </c>
      <c r="J283" s="78" t="s">
        <v>2450</v>
      </c>
      <c r="K283" s="87" t="s">
        <v>1582</v>
      </c>
      <c r="L283" s="82" t="s">
        <v>2447</v>
      </c>
      <c r="M283" s="23"/>
      <c r="N283" s="23"/>
      <c r="O283" s="23"/>
      <c r="P283" s="19" t="s">
        <v>175</v>
      </c>
      <c r="Q283" s="26"/>
      <c r="R283" s="26"/>
      <c r="S283" s="47"/>
      <c r="T283" s="4" t="e">
        <f>VLOOKUP(#REF!,#REF!,2,0)</f>
        <v>#REF!</v>
      </c>
      <c r="U283" s="20" t="e">
        <f t="shared" si="5"/>
        <v>#REF!</v>
      </c>
      <c r="V283" s="47"/>
      <c r="W283" s="43"/>
      <c r="X283" s="66" t="e">
        <f>VLOOKUP(D283,#REF!,2,0)</f>
        <v>#REF!</v>
      </c>
      <c r="Y283" s="67" t="s">
        <v>2643</v>
      </c>
      <c r="Z283" s="67"/>
    </row>
    <row r="284" spans="1:26" ht="13.65" customHeight="1">
      <c r="A284" s="91">
        <v>283</v>
      </c>
      <c r="B284" s="19"/>
      <c r="C284" s="3" t="e">
        <f>VLOOKUP(D284,'lista 1'!$A$2:$F3802,4,0)</f>
        <v>#N/A</v>
      </c>
      <c r="D284" s="73">
        <v>64348</v>
      </c>
      <c r="E284" s="4" t="e">
        <f>VLOOKUP(D284,'lista 1'!$A$2:$F$1802,5,0)</f>
        <v>#N/A</v>
      </c>
      <c r="F284" s="59" t="str">
        <f>VLOOKUP(G284,'lista obszary'!A:B,2,0)</f>
        <v>HV</v>
      </c>
      <c r="G284" s="76" t="s">
        <v>2319</v>
      </c>
      <c r="H284" s="85" t="s">
        <v>534</v>
      </c>
      <c r="I284" s="59" t="str">
        <f>VLOOKUP(J284,'lista obszary'!A:B,2,0)</f>
        <v>HV</v>
      </c>
      <c r="J284" s="78" t="s">
        <v>2450</v>
      </c>
      <c r="K284" s="87" t="s">
        <v>1582</v>
      </c>
      <c r="L284" s="82" t="s">
        <v>2447</v>
      </c>
      <c r="M284" s="23"/>
      <c r="N284" s="23"/>
      <c r="O284" s="23"/>
      <c r="P284" s="19" t="s">
        <v>175</v>
      </c>
      <c r="Q284" s="26"/>
      <c r="R284" s="26"/>
      <c r="S284" s="47"/>
      <c r="T284" s="4" t="e">
        <f>VLOOKUP(#REF!,#REF!,2,0)</f>
        <v>#REF!</v>
      </c>
      <c r="U284" s="20" t="e">
        <f t="shared" si="5"/>
        <v>#REF!</v>
      </c>
      <c r="V284" s="47"/>
      <c r="W284" s="43"/>
      <c r="X284" s="66" t="e">
        <f>VLOOKUP(D284,#REF!,2,0)</f>
        <v>#REF!</v>
      </c>
      <c r="Y284" s="67" t="b">
        <f>F284=I284</f>
        <v>1</v>
      </c>
      <c r="Z284" s="67"/>
    </row>
    <row r="285" spans="1:26" ht="13.65" customHeight="1">
      <c r="A285" s="91">
        <v>284</v>
      </c>
      <c r="B285" s="19"/>
      <c r="C285" s="3" t="e">
        <f>VLOOKUP(D285,'lista 1'!$A$2:$F3803,4,0)</f>
        <v>#N/A</v>
      </c>
      <c r="D285" s="73">
        <v>64265</v>
      </c>
      <c r="E285" s="4" t="e">
        <f>VLOOKUP(D285,'lista 1'!$A$2:$F$1802,5,0)</f>
        <v>#N/A</v>
      </c>
      <c r="F285" s="59" t="str">
        <f>VLOOKUP(G285,'lista obszary'!A:B,2,0)</f>
        <v>HV</v>
      </c>
      <c r="G285" s="76" t="s">
        <v>2319</v>
      </c>
      <c r="H285" s="85" t="s">
        <v>534</v>
      </c>
      <c r="I285" s="59" t="str">
        <f>VLOOKUP(J285,'lista obszary'!A:B,2,0)</f>
        <v>HV</v>
      </c>
      <c r="J285" s="78" t="s">
        <v>2450</v>
      </c>
      <c r="K285" s="87" t="s">
        <v>1582</v>
      </c>
      <c r="L285" s="82" t="s">
        <v>2447</v>
      </c>
      <c r="M285" s="23"/>
      <c r="N285" s="23"/>
      <c r="O285" s="23"/>
      <c r="P285" s="19" t="s">
        <v>175</v>
      </c>
      <c r="Q285" s="26"/>
      <c r="R285" s="26"/>
      <c r="S285" s="47"/>
      <c r="T285" s="4" t="e">
        <f>VLOOKUP(#REF!,#REF!,2,0)</f>
        <v>#REF!</v>
      </c>
      <c r="U285" s="20" t="e">
        <f t="shared" si="5"/>
        <v>#REF!</v>
      </c>
      <c r="V285" s="47"/>
      <c r="W285" s="43"/>
      <c r="X285" s="66" t="e">
        <f>VLOOKUP(D285,#REF!,2,0)</f>
        <v>#REF!</v>
      </c>
      <c r="Y285" s="67" t="b">
        <f>F285=I285</f>
        <v>1</v>
      </c>
      <c r="Z285" s="67"/>
    </row>
    <row r="286" spans="1:26" ht="13.65" customHeight="1">
      <c r="A286" s="91">
        <v>285</v>
      </c>
      <c r="B286" s="19"/>
      <c r="C286" s="3" t="str">
        <f>VLOOKUP(D286,'lista 1'!$A$2:$F3804,4,0)</f>
        <v>WŁODARCZYK IWONA</v>
      </c>
      <c r="D286" s="73">
        <v>624</v>
      </c>
      <c r="E286" s="4" t="str">
        <f>VLOOKUP(D286,'lista 1'!$A$2:$F$1802,5,0)</f>
        <v>TM2</v>
      </c>
      <c r="F286" s="59" t="str">
        <f>VLOOKUP(G286,'lista obszary'!A:B,2,0)</f>
        <v>HV</v>
      </c>
      <c r="G286" s="76" t="s">
        <v>2319</v>
      </c>
      <c r="H286" s="85" t="s">
        <v>534</v>
      </c>
      <c r="I286" s="59" t="str">
        <f>VLOOKUP(J286,'lista obszary'!A:B,2,0)</f>
        <v>HV</v>
      </c>
      <c r="J286" s="78" t="s">
        <v>2450</v>
      </c>
      <c r="K286" s="87" t="s">
        <v>1582</v>
      </c>
      <c r="L286" s="82" t="s">
        <v>2447</v>
      </c>
      <c r="M286" s="23"/>
      <c r="N286" s="23"/>
      <c r="O286" s="23"/>
      <c r="P286" s="19" t="s">
        <v>175</v>
      </c>
      <c r="Q286" s="26"/>
      <c r="R286" s="26"/>
      <c r="S286" s="47"/>
      <c r="T286" s="4" t="e">
        <f>VLOOKUP(#REF!,#REF!,2,0)</f>
        <v>#REF!</v>
      </c>
      <c r="U286" s="20" t="e">
        <f t="shared" si="5"/>
        <v>#REF!</v>
      </c>
      <c r="V286" s="47"/>
      <c r="W286" s="43"/>
      <c r="X286" s="66" t="e">
        <f>VLOOKUP(D286,#REF!,2,0)</f>
        <v>#REF!</v>
      </c>
      <c r="Y286" s="67" t="s">
        <v>2643</v>
      </c>
      <c r="Z286" s="67"/>
    </row>
    <row r="287" spans="1:26" ht="13.65" customHeight="1">
      <c r="A287" s="91">
        <v>286</v>
      </c>
      <c r="B287" s="19"/>
      <c r="C287" s="3" t="e">
        <f>VLOOKUP(D287,'lista 1'!$A$2:$F3805,4,0)</f>
        <v>#N/A</v>
      </c>
      <c r="D287" s="73">
        <v>70470</v>
      </c>
      <c r="E287" s="4" t="e">
        <f>VLOOKUP(D287,'lista 1'!$A$2:$F$1802,5,0)</f>
        <v>#N/A</v>
      </c>
      <c r="F287" s="59" t="str">
        <f>VLOOKUP(G287,'lista obszary'!A:B,2,0)</f>
        <v>HV</v>
      </c>
      <c r="G287" s="76" t="s">
        <v>2319</v>
      </c>
      <c r="H287" s="85" t="s">
        <v>534</v>
      </c>
      <c r="I287" s="59" t="str">
        <f>VLOOKUP(J287,'lista obszary'!A:B,2,0)</f>
        <v>HV</v>
      </c>
      <c r="J287" s="78" t="s">
        <v>2450</v>
      </c>
      <c r="K287" s="87" t="s">
        <v>1582</v>
      </c>
      <c r="L287" s="82" t="s">
        <v>2447</v>
      </c>
      <c r="M287" s="23"/>
      <c r="N287" s="23"/>
      <c r="O287" s="23"/>
      <c r="P287" s="19" t="s">
        <v>175</v>
      </c>
      <c r="Q287" s="26"/>
      <c r="R287" s="26"/>
      <c r="S287" s="47"/>
      <c r="T287" s="4" t="e">
        <f>VLOOKUP(#REF!,#REF!,2,0)</f>
        <v>#REF!</v>
      </c>
      <c r="U287" s="20" t="e">
        <f t="shared" si="5"/>
        <v>#REF!</v>
      </c>
      <c r="V287" s="47"/>
      <c r="W287" s="43"/>
      <c r="X287" s="66" t="e">
        <f>VLOOKUP(D287,#REF!,2,0)</f>
        <v>#REF!</v>
      </c>
      <c r="Y287" s="67" t="s">
        <v>2643</v>
      </c>
      <c r="Z287" s="67"/>
    </row>
    <row r="288" spans="1:26" ht="13.65" customHeight="1">
      <c r="A288" s="91">
        <v>287</v>
      </c>
      <c r="B288" s="19"/>
      <c r="C288" s="3" t="str">
        <f>VLOOKUP(D288,'lista 1'!$A$2:$F3806,4,0)</f>
        <v>WAWROWSKI PRZEMYSŁAW</v>
      </c>
      <c r="D288" s="73">
        <v>2042</v>
      </c>
      <c r="E288" s="4" t="str">
        <f>VLOOKUP(D288,'lista 1'!$A$2:$F$1802,5,0)</f>
        <v>TM2</v>
      </c>
      <c r="F288" s="59" t="str">
        <f>VLOOKUP(G288,'lista obszary'!A:B,2,0)</f>
        <v>IL</v>
      </c>
      <c r="G288" s="76" t="s">
        <v>2087</v>
      </c>
      <c r="H288" s="85" t="s">
        <v>2112</v>
      </c>
      <c r="I288" s="59" t="str">
        <f>VLOOKUP(J288,'lista obszary'!A:B,2,0)</f>
        <v>IL</v>
      </c>
      <c r="J288" s="78" t="s">
        <v>2473</v>
      </c>
      <c r="K288" s="87" t="s">
        <v>2474</v>
      </c>
      <c r="L288" s="82" t="s">
        <v>2447</v>
      </c>
      <c r="M288" s="23"/>
      <c r="N288" s="23"/>
      <c r="O288" s="23"/>
      <c r="P288" s="19" t="s">
        <v>175</v>
      </c>
      <c r="Q288" s="26"/>
      <c r="R288" s="26"/>
      <c r="S288" s="47"/>
      <c r="T288" s="4" t="e">
        <f>VLOOKUP(#REF!,#REF!,2,0)</f>
        <v>#REF!</v>
      </c>
      <c r="U288" s="20" t="e">
        <f t="shared" si="5"/>
        <v>#REF!</v>
      </c>
      <c r="V288" s="47"/>
      <c r="W288" s="43"/>
      <c r="X288" s="66" t="e">
        <f>VLOOKUP(D288,#REF!,2,0)</f>
        <v>#REF!</v>
      </c>
      <c r="Y288" s="67" t="s">
        <v>2643</v>
      </c>
      <c r="Z288" s="67"/>
    </row>
    <row r="289" spans="1:26" ht="13.65" customHeight="1">
      <c r="A289" s="91">
        <v>288</v>
      </c>
      <c r="B289" s="19"/>
      <c r="C289" s="3" t="e">
        <f>VLOOKUP(D289,'lista 1'!$A$2:$F3807,4,0)</f>
        <v>#N/A</v>
      </c>
      <c r="D289" s="73">
        <v>70504</v>
      </c>
      <c r="E289" s="4" t="e">
        <f>VLOOKUP(D289,'lista 1'!$A$2:$F$1802,5,0)</f>
        <v>#N/A</v>
      </c>
      <c r="F289" s="59" t="str">
        <f>VLOOKUP(G289,'lista obszary'!A:B,2,0)</f>
        <v>IL</v>
      </c>
      <c r="G289" s="76" t="s">
        <v>1609</v>
      </c>
      <c r="H289" s="85" t="s">
        <v>1909</v>
      </c>
      <c r="I289" s="59" t="str">
        <f>VLOOKUP(J289,'lista obszary'!A:B,2,0)</f>
        <v>IL</v>
      </c>
      <c r="J289" s="78" t="s">
        <v>2473</v>
      </c>
      <c r="K289" s="87" t="s">
        <v>2474</v>
      </c>
      <c r="L289" s="82" t="s">
        <v>2447</v>
      </c>
      <c r="M289" s="23"/>
      <c r="N289" s="23"/>
      <c r="O289" s="23"/>
      <c r="P289" s="19" t="s">
        <v>175</v>
      </c>
      <c r="Q289" s="26"/>
      <c r="R289" s="26"/>
      <c r="S289" s="47"/>
      <c r="T289" s="4" t="e">
        <f>VLOOKUP(#REF!,#REF!,2,0)</f>
        <v>#REF!</v>
      </c>
      <c r="U289" s="20" t="e">
        <f t="shared" si="5"/>
        <v>#REF!</v>
      </c>
      <c r="V289" s="47"/>
      <c r="W289" s="43"/>
      <c r="X289" s="66" t="e">
        <f>VLOOKUP(D289,#REF!,2,0)</f>
        <v>#REF!</v>
      </c>
      <c r="Y289" s="67" t="s">
        <v>2643</v>
      </c>
      <c r="Z289" s="67"/>
    </row>
    <row r="290" spans="1:26" ht="13.65" customHeight="1">
      <c r="A290" s="91">
        <v>289</v>
      </c>
      <c r="B290" s="19"/>
      <c r="C290" s="3" t="e">
        <f>VLOOKUP(D290,'lista 1'!$A$2:$F3808,4,0)</f>
        <v>#N/A</v>
      </c>
      <c r="D290" s="73">
        <v>70502</v>
      </c>
      <c r="E290" s="4" t="e">
        <f>VLOOKUP(D290,'lista 1'!$A$2:$F$1802,5,0)</f>
        <v>#N/A</v>
      </c>
      <c r="F290" s="59" t="str">
        <f>VLOOKUP(G290,'lista obszary'!A:B,2,0)</f>
        <v>IL</v>
      </c>
      <c r="G290" s="76" t="s">
        <v>1609</v>
      </c>
      <c r="H290" s="85" t="s">
        <v>1909</v>
      </c>
      <c r="I290" s="59" t="str">
        <f>VLOOKUP(J290,'lista obszary'!A:B,2,0)</f>
        <v>IL</v>
      </c>
      <c r="J290" s="78" t="s">
        <v>2473</v>
      </c>
      <c r="K290" s="87" t="s">
        <v>2474</v>
      </c>
      <c r="L290" s="82" t="s">
        <v>2447</v>
      </c>
      <c r="M290" s="23"/>
      <c r="N290" s="23"/>
      <c r="O290" s="23"/>
      <c r="P290" s="19" t="s">
        <v>175</v>
      </c>
      <c r="Q290" s="26"/>
      <c r="R290" s="26"/>
      <c r="S290" s="47"/>
      <c r="T290" s="4" t="e">
        <f>VLOOKUP(#REF!,#REF!,2,0)</f>
        <v>#REF!</v>
      </c>
      <c r="U290" s="20" t="e">
        <f t="shared" si="5"/>
        <v>#REF!</v>
      </c>
      <c r="V290" s="47"/>
      <c r="W290" s="43"/>
      <c r="X290" s="66" t="e">
        <f>VLOOKUP(D290,#REF!,2,0)</f>
        <v>#REF!</v>
      </c>
      <c r="Y290" s="67" t="s">
        <v>2643</v>
      </c>
      <c r="Z290" s="67"/>
    </row>
    <row r="291" spans="1:26" ht="13.65" customHeight="1">
      <c r="A291" s="91">
        <v>290</v>
      </c>
      <c r="B291" s="19"/>
      <c r="C291" s="3" t="str">
        <f>VLOOKUP(D291,'lista 1'!$A$2:$F3809,4,0)</f>
        <v>ZAWADZKI ROBERT</v>
      </c>
      <c r="D291" s="73">
        <v>2043</v>
      </c>
      <c r="E291" s="4" t="str">
        <f>VLOOKUP(D291,'lista 1'!$A$2:$F$1802,5,0)</f>
        <v>TM2</v>
      </c>
      <c r="F291" s="59" t="str">
        <f>VLOOKUP(G291,'lista obszary'!A:B,2,0)</f>
        <v>IL</v>
      </c>
      <c r="G291" s="76" t="s">
        <v>2329</v>
      </c>
      <c r="H291" s="85" t="s">
        <v>1551</v>
      </c>
      <c r="I291" s="59" t="str">
        <f>VLOOKUP(J291,'lista obszary'!A:B,2,0)</f>
        <v>IL</v>
      </c>
      <c r="J291" s="78" t="s">
        <v>2473</v>
      </c>
      <c r="K291" s="87" t="s">
        <v>2474</v>
      </c>
      <c r="L291" s="82" t="s">
        <v>2447</v>
      </c>
      <c r="M291" s="23"/>
      <c r="N291" s="23"/>
      <c r="O291" s="23"/>
      <c r="P291" s="19" t="s">
        <v>175</v>
      </c>
      <c r="Q291" s="26"/>
      <c r="R291" s="26"/>
      <c r="S291" s="47"/>
      <c r="T291" s="4" t="e">
        <f>VLOOKUP(#REF!,#REF!,2,0)</f>
        <v>#REF!</v>
      </c>
      <c r="U291" s="20" t="e">
        <f t="shared" si="5"/>
        <v>#REF!</v>
      </c>
      <c r="V291" s="47"/>
      <c r="W291" s="43"/>
      <c r="X291" s="66" t="e">
        <f>VLOOKUP(D291,#REF!,2,0)</f>
        <v>#REF!</v>
      </c>
      <c r="Y291" s="67" t="s">
        <v>2643</v>
      </c>
      <c r="Z291" s="67"/>
    </row>
    <row r="292" spans="1:26" ht="13.65" customHeight="1">
      <c r="A292" s="91">
        <v>291</v>
      </c>
      <c r="B292" s="19"/>
      <c r="C292" s="3" t="e">
        <f>VLOOKUP(D292,'lista 1'!$A$2:$F3810,4,0)</f>
        <v>#N/A</v>
      </c>
      <c r="D292" s="73">
        <v>64352</v>
      </c>
      <c r="E292" s="4" t="e">
        <f>VLOOKUP(D292,'lista 1'!$A$2:$F$1802,5,0)</f>
        <v>#N/A</v>
      </c>
      <c r="F292" s="59" t="str">
        <f>VLOOKUP(G292,'lista obszary'!A:B,2,0)</f>
        <v>IL</v>
      </c>
      <c r="G292" s="76" t="s">
        <v>1609</v>
      </c>
      <c r="H292" s="85" t="s">
        <v>1551</v>
      </c>
      <c r="I292" s="59" t="str">
        <f>VLOOKUP(J292,'lista obszary'!A:B,2,0)</f>
        <v>IL</v>
      </c>
      <c r="J292" s="78" t="s">
        <v>2473</v>
      </c>
      <c r="K292" s="87" t="s">
        <v>2474</v>
      </c>
      <c r="L292" s="82" t="s">
        <v>2447</v>
      </c>
      <c r="M292" s="23"/>
      <c r="N292" s="23"/>
      <c r="O292" s="23"/>
      <c r="P292" s="19" t="s">
        <v>175</v>
      </c>
      <c r="Q292" s="26"/>
      <c r="R292" s="26"/>
      <c r="S292" s="47"/>
      <c r="T292" s="4" t="e">
        <f>VLOOKUP(#REF!,#REF!,2,0)</f>
        <v>#REF!</v>
      </c>
      <c r="U292" s="20" t="e">
        <f t="shared" si="5"/>
        <v>#REF!</v>
      </c>
      <c r="V292" s="47"/>
      <c r="W292" s="43"/>
      <c r="X292" s="66" t="e">
        <f>VLOOKUP(D292,#REF!,2,0)</f>
        <v>#REF!</v>
      </c>
      <c r="Y292" s="67" t="s">
        <v>2643</v>
      </c>
      <c r="Z292" s="67"/>
    </row>
    <row r="293" spans="1:26" ht="13.65" customHeight="1">
      <c r="A293" s="91">
        <v>292</v>
      </c>
      <c r="B293" s="19"/>
      <c r="C293" s="3" t="e">
        <f>VLOOKUP(D293,'lista 1'!$A$2:$F3811,4,0)</f>
        <v>#N/A</v>
      </c>
      <c r="D293" s="73">
        <v>70432</v>
      </c>
      <c r="E293" s="4" t="e">
        <f>VLOOKUP(D293,'lista 1'!$A$2:$F$1802,5,0)</f>
        <v>#N/A</v>
      </c>
      <c r="F293" s="59" t="str">
        <f>VLOOKUP(G293,'lista obszary'!A:B,2,0)</f>
        <v>IL</v>
      </c>
      <c r="G293" s="76" t="s">
        <v>2329</v>
      </c>
      <c r="H293" s="85" t="s">
        <v>1551</v>
      </c>
      <c r="I293" s="59" t="str">
        <f>VLOOKUP(J293,'lista obszary'!A:B,2,0)</f>
        <v>IL</v>
      </c>
      <c r="J293" s="78" t="s">
        <v>2473</v>
      </c>
      <c r="K293" s="87" t="s">
        <v>2474</v>
      </c>
      <c r="L293" s="82" t="s">
        <v>2447</v>
      </c>
      <c r="M293" s="23"/>
      <c r="N293" s="23"/>
      <c r="O293" s="23"/>
      <c r="P293" s="19" t="s">
        <v>175</v>
      </c>
      <c r="Q293" s="26"/>
      <c r="R293" s="26"/>
      <c r="S293" s="47"/>
      <c r="T293" s="4" t="e">
        <f>VLOOKUP(#REF!,#REF!,2,0)</f>
        <v>#REF!</v>
      </c>
      <c r="U293" s="20" t="e">
        <f t="shared" si="5"/>
        <v>#REF!</v>
      </c>
      <c r="V293" s="47"/>
      <c r="W293" s="43"/>
      <c r="X293" s="66" t="e">
        <f>VLOOKUP(D293,#REF!,2,0)</f>
        <v>#REF!</v>
      </c>
      <c r="Y293" s="67" t="b">
        <f>F293=I293</f>
        <v>1</v>
      </c>
      <c r="Z293" s="67"/>
    </row>
    <row r="294" spans="1:26" ht="13.65" customHeight="1">
      <c r="A294" s="91">
        <v>293</v>
      </c>
      <c r="B294" s="19"/>
      <c r="C294" s="3" t="e">
        <f>VLOOKUP(D294,'lista 1'!$A$2:$F3812,4,0)</f>
        <v>#N/A</v>
      </c>
      <c r="D294" s="73">
        <v>64332</v>
      </c>
      <c r="E294" s="4" t="e">
        <f>VLOOKUP(D294,'lista 1'!$A$2:$F$1802,5,0)</f>
        <v>#N/A</v>
      </c>
      <c r="F294" s="59" t="str">
        <f>VLOOKUP(G294,'lista obszary'!A:B,2,0)</f>
        <v>IL</v>
      </c>
      <c r="G294" s="76" t="s">
        <v>2087</v>
      </c>
      <c r="H294" s="85" t="s">
        <v>2112</v>
      </c>
      <c r="I294" s="59" t="str">
        <f>VLOOKUP(J294,'lista obszary'!A:B,2,0)</f>
        <v>IL</v>
      </c>
      <c r="J294" s="78" t="s">
        <v>2473</v>
      </c>
      <c r="K294" s="87" t="s">
        <v>2474</v>
      </c>
      <c r="L294" s="82" t="s">
        <v>2447</v>
      </c>
      <c r="M294" s="23"/>
      <c r="N294" s="23"/>
      <c r="O294" s="23"/>
      <c r="P294" s="19" t="s">
        <v>175</v>
      </c>
      <c r="Q294" s="26"/>
      <c r="R294" s="26"/>
      <c r="S294" s="47"/>
      <c r="T294" s="4" t="e">
        <f>VLOOKUP(#REF!,#REF!,2,0)</f>
        <v>#REF!</v>
      </c>
      <c r="U294" s="20" t="e">
        <f t="shared" si="5"/>
        <v>#REF!</v>
      </c>
      <c r="V294" s="47"/>
      <c r="W294" s="43"/>
      <c r="X294" s="66" t="e">
        <f>VLOOKUP(D294,#REF!,2,0)</f>
        <v>#REF!</v>
      </c>
      <c r="Y294" s="67" t="s">
        <v>2643</v>
      </c>
      <c r="Z294" s="67"/>
    </row>
    <row r="295" spans="1:26" ht="13.65" customHeight="1">
      <c r="A295" s="91">
        <v>294</v>
      </c>
      <c r="B295" s="19"/>
      <c r="C295" s="3" t="e">
        <f>VLOOKUP(D295,'lista 1'!$A$2:$F3813,4,0)</f>
        <v>#N/A</v>
      </c>
      <c r="D295" s="73">
        <v>70432</v>
      </c>
      <c r="E295" s="4" t="e">
        <f>VLOOKUP(D295,'lista 1'!$A$2:$F$1802,5,0)</f>
        <v>#N/A</v>
      </c>
      <c r="F295" s="59" t="str">
        <f>VLOOKUP(G295,'lista obszary'!A:B,2,0)</f>
        <v>IL</v>
      </c>
      <c r="G295" s="76" t="s">
        <v>2087</v>
      </c>
      <c r="H295" s="85" t="s">
        <v>2112</v>
      </c>
      <c r="I295" s="59" t="str">
        <f>VLOOKUP(J295,'lista obszary'!A:B,2,0)</f>
        <v>IL</v>
      </c>
      <c r="J295" s="78" t="s">
        <v>2473</v>
      </c>
      <c r="K295" s="87" t="s">
        <v>2474</v>
      </c>
      <c r="L295" s="82" t="s">
        <v>2447</v>
      </c>
      <c r="M295" s="23"/>
      <c r="N295" s="23"/>
      <c r="O295" s="23"/>
      <c r="P295" s="19" t="s">
        <v>175</v>
      </c>
      <c r="Q295" s="26"/>
      <c r="R295" s="26"/>
      <c r="S295" s="47"/>
      <c r="T295" s="4" t="e">
        <f>VLOOKUP(#REF!,#REF!,2,0)</f>
        <v>#REF!</v>
      </c>
      <c r="U295" s="20" t="e">
        <f t="shared" si="5"/>
        <v>#REF!</v>
      </c>
      <c r="V295" s="47"/>
      <c r="W295" s="43"/>
      <c r="X295" s="66" t="e">
        <f>VLOOKUP(D295,#REF!,2,0)</f>
        <v>#REF!</v>
      </c>
      <c r="Y295" s="67" t="b">
        <f>F295=I295</f>
        <v>1</v>
      </c>
      <c r="Z295" s="67"/>
    </row>
    <row r="296" spans="1:26" ht="13.65" customHeight="1">
      <c r="A296" s="91">
        <v>295</v>
      </c>
      <c r="B296" s="19"/>
      <c r="C296" s="3" t="str">
        <f>VLOOKUP(D296,'lista 1'!$A$2:$F3814,4,0)</f>
        <v>KURCZAK ROMAN</v>
      </c>
      <c r="D296" s="73">
        <v>1514</v>
      </c>
      <c r="E296" s="4" t="str">
        <f>VLOOKUP(D296,'lista 1'!$A$2:$F$1802,5,0)</f>
        <v>TM2</v>
      </c>
      <c r="F296" s="59" t="str">
        <f>VLOOKUP(G296,'lista obszary'!A:B,2,0)</f>
        <v>QC</v>
      </c>
      <c r="G296" s="76" t="s">
        <v>211</v>
      </c>
      <c r="H296" s="85" t="s">
        <v>1922</v>
      </c>
      <c r="I296" s="59" t="str">
        <f>VLOOKUP(J296,'lista obszary'!A:B,2,0)</f>
        <v>QC</v>
      </c>
      <c r="J296" s="78" t="s">
        <v>2436</v>
      </c>
      <c r="K296" s="87" t="s">
        <v>1924</v>
      </c>
      <c r="L296" s="82" t="s">
        <v>2447</v>
      </c>
      <c r="M296" s="23"/>
      <c r="N296" s="23"/>
      <c r="O296" s="23"/>
      <c r="P296" s="19" t="s">
        <v>175</v>
      </c>
      <c r="Q296" s="26"/>
      <c r="R296" s="26"/>
      <c r="S296" s="47"/>
      <c r="T296" s="4" t="e">
        <f>VLOOKUP(#REF!,#REF!,2,0)</f>
        <v>#REF!</v>
      </c>
      <c r="U296" s="20" t="e">
        <f t="shared" si="5"/>
        <v>#REF!</v>
      </c>
      <c r="V296" s="47"/>
      <c r="W296" s="43"/>
      <c r="X296" s="66" t="e">
        <f>VLOOKUP(D296,#REF!,2,0)</f>
        <v>#REF!</v>
      </c>
      <c r="Y296" s="67" t="s">
        <v>2643</v>
      </c>
      <c r="Z296" s="67"/>
    </row>
    <row r="297" spans="1:26" ht="13.65" customHeight="1">
      <c r="A297" s="91">
        <v>296</v>
      </c>
      <c r="B297" s="19"/>
      <c r="C297" s="3" t="str">
        <f>VLOOKUP(D297,'lista 1'!$A$2:$F3815,4,0)</f>
        <v>NAGIĘĆ MAŁGORZATA</v>
      </c>
      <c r="D297" s="73">
        <v>1753</v>
      </c>
      <c r="E297" s="4" t="str">
        <f>VLOOKUP(D297,'lista 1'!$A$2:$F$1802,5,0)</f>
        <v>TM2</v>
      </c>
      <c r="F297" s="59" t="str">
        <f>VLOOKUP(G297,'lista obszary'!A:B,2,0)</f>
        <v>QC</v>
      </c>
      <c r="G297" s="76" t="s">
        <v>211</v>
      </c>
      <c r="H297" s="85" t="s">
        <v>1922</v>
      </c>
      <c r="I297" s="59" t="str">
        <f>VLOOKUP(J297,'lista obszary'!A:B,2,0)</f>
        <v>QC</v>
      </c>
      <c r="J297" s="78" t="s">
        <v>2436</v>
      </c>
      <c r="K297" s="87" t="s">
        <v>1924</v>
      </c>
      <c r="L297" s="82" t="s">
        <v>2447</v>
      </c>
      <c r="M297" s="23"/>
      <c r="N297" s="23"/>
      <c r="O297" s="23"/>
      <c r="P297" s="19" t="s">
        <v>175</v>
      </c>
      <c r="Q297" s="26"/>
      <c r="R297" s="26"/>
      <c r="S297" s="47"/>
      <c r="T297" s="4" t="e">
        <f>VLOOKUP(#REF!,#REF!,2,0)</f>
        <v>#REF!</v>
      </c>
      <c r="U297" s="20" t="e">
        <f t="shared" si="5"/>
        <v>#REF!</v>
      </c>
      <c r="V297" s="47"/>
      <c r="W297" s="43"/>
      <c r="X297" s="66" t="e">
        <f>VLOOKUP(D297,#REF!,2,0)</f>
        <v>#REF!</v>
      </c>
      <c r="Y297" s="67" t="s">
        <v>2643</v>
      </c>
      <c r="Z297" s="67"/>
    </row>
    <row r="298" spans="1:26" ht="13.65" customHeight="1">
      <c r="A298" s="91">
        <v>297</v>
      </c>
      <c r="B298" s="19"/>
      <c r="C298" s="3" t="str">
        <f>VLOOKUP(D298,'lista 1'!$A$2:$F3816,4,0)</f>
        <v>WOŹNIAK SŁAWOMIR</v>
      </c>
      <c r="D298" s="73">
        <v>141</v>
      </c>
      <c r="E298" s="4" t="str">
        <f>VLOOKUP(D298,'lista 1'!$A$2:$F$1802,5,0)</f>
        <v>TM2</v>
      </c>
      <c r="F298" s="59" t="str">
        <f>VLOOKUP(G298,'lista obszary'!A:B,2,0)</f>
        <v>QC</v>
      </c>
      <c r="G298" s="76" t="s">
        <v>2152</v>
      </c>
      <c r="H298" s="85" t="s">
        <v>1924</v>
      </c>
      <c r="I298" s="59" t="str">
        <f>VLOOKUP(J298,'lista obszary'!A:B,2,0)</f>
        <v>QC</v>
      </c>
      <c r="J298" s="78" t="s">
        <v>2436</v>
      </c>
      <c r="K298" s="87" t="s">
        <v>1924</v>
      </c>
      <c r="L298" s="82" t="s">
        <v>2447</v>
      </c>
      <c r="M298" s="23"/>
      <c r="N298" s="23"/>
      <c r="O298" s="23"/>
      <c r="P298" s="19" t="s">
        <v>175</v>
      </c>
      <c r="Q298" s="26"/>
      <c r="R298" s="26"/>
      <c r="S298" s="47"/>
      <c r="T298" s="4" t="e">
        <f>VLOOKUP(#REF!,#REF!,2,0)</f>
        <v>#REF!</v>
      </c>
      <c r="U298" s="20" t="e">
        <f t="shared" si="5"/>
        <v>#REF!</v>
      </c>
      <c r="V298" s="47"/>
      <c r="W298" s="43"/>
      <c r="X298" s="66" t="e">
        <f>VLOOKUP(D298,#REF!,2,0)</f>
        <v>#REF!</v>
      </c>
      <c r="Y298" s="67" t="s">
        <v>2643</v>
      </c>
    </row>
    <row r="299" spans="1:26" ht="13.65" customHeight="1">
      <c r="A299" s="91">
        <v>298</v>
      </c>
      <c r="B299" s="19"/>
      <c r="C299" s="3" t="str">
        <f>VLOOKUP(D299,'lista 1'!$A$2:$F3817,4,0)</f>
        <v>CHAK RADOSŁAW</v>
      </c>
      <c r="D299" s="73">
        <v>2495</v>
      </c>
      <c r="E299" s="4" t="str">
        <f>VLOOKUP(D299,'lista 1'!$A$2:$F$1802,5,0)</f>
        <v>TM2</v>
      </c>
      <c r="F299" s="59" t="str">
        <f>VLOOKUP(G299,'lista obszary'!A:B,2,0)</f>
        <v>QC</v>
      </c>
      <c r="G299" s="76" t="s">
        <v>2091</v>
      </c>
      <c r="H299" s="85" t="s">
        <v>1924</v>
      </c>
      <c r="I299" s="59" t="str">
        <f>VLOOKUP(J299,'lista obszary'!A:B,2,0)</f>
        <v>QC</v>
      </c>
      <c r="J299" s="78" t="s">
        <v>2436</v>
      </c>
      <c r="K299" s="87" t="s">
        <v>1924</v>
      </c>
      <c r="L299" s="82" t="s">
        <v>2447</v>
      </c>
      <c r="M299" s="23"/>
      <c r="N299" s="23"/>
      <c r="O299" s="23"/>
      <c r="P299" s="19" t="s">
        <v>175</v>
      </c>
      <c r="Q299" s="26"/>
      <c r="R299" s="26"/>
      <c r="S299" s="47"/>
      <c r="T299" s="4" t="e">
        <f>VLOOKUP(#REF!,#REF!,2,0)</f>
        <v>#REF!</v>
      </c>
      <c r="U299" s="20" t="e">
        <f t="shared" si="5"/>
        <v>#REF!</v>
      </c>
      <c r="V299" s="47"/>
      <c r="W299" s="43"/>
      <c r="X299" s="66" t="e">
        <f>VLOOKUP(D299,#REF!,2,0)</f>
        <v>#REF!</v>
      </c>
      <c r="Y299" s="67" t="b">
        <f>F299=I299</f>
        <v>1</v>
      </c>
      <c r="Z299" s="67"/>
    </row>
    <row r="300" spans="1:26" ht="13.65" customHeight="1">
      <c r="A300" s="91">
        <v>299</v>
      </c>
      <c r="B300" s="19" t="s">
        <v>174</v>
      </c>
      <c r="C300" s="3" t="str">
        <f>VLOOKUP(D300,'lista 1'!$A$2:$F3818,4,0)</f>
        <v>ADAMASZEK MARIUSZ</v>
      </c>
      <c r="D300" s="73">
        <v>700</v>
      </c>
      <c r="E300" s="4" t="str">
        <f>VLOOKUP(D300,'lista 1'!$A$2:$F$1802,5,0)</f>
        <v>TL</v>
      </c>
      <c r="F300" s="59" t="str">
        <f>VLOOKUP(G300,'lista obszary'!A:B,2,0)</f>
        <v>HV</v>
      </c>
      <c r="G300" s="76" t="s">
        <v>2448</v>
      </c>
      <c r="H300" s="85" t="s">
        <v>1555</v>
      </c>
      <c r="I300" s="59" t="str">
        <f>VLOOKUP(J300,'lista obszary'!A:B,2,0)</f>
        <v>HV</v>
      </c>
      <c r="J300" s="78" t="s">
        <v>2323</v>
      </c>
      <c r="K300" s="87" t="s">
        <v>1904</v>
      </c>
      <c r="L300" s="82" t="s">
        <v>2444</v>
      </c>
      <c r="M300" s="23"/>
      <c r="N300" s="23"/>
      <c r="O300" s="23"/>
      <c r="P300" s="19" t="s">
        <v>175</v>
      </c>
      <c r="Q300" s="26"/>
      <c r="R300" s="26"/>
      <c r="S300" s="47"/>
      <c r="T300" s="4" t="e">
        <f>VLOOKUP(#REF!,#REF!,2,0)</f>
        <v>#REF!</v>
      </c>
      <c r="U300" s="20" t="e">
        <f t="shared" si="5"/>
        <v>#REF!</v>
      </c>
      <c r="V300" s="47"/>
      <c r="W300" s="43"/>
      <c r="X300" s="66" t="e">
        <f>VLOOKUP(D300,#REF!,2,0)</f>
        <v>#REF!</v>
      </c>
      <c r="Y300" s="67" t="b">
        <f>F300=I300</f>
        <v>1</v>
      </c>
    </row>
    <row r="301" spans="1:26" ht="13.65" customHeight="1">
      <c r="A301" s="91">
        <v>300</v>
      </c>
      <c r="B301" s="19" t="s">
        <v>734</v>
      </c>
      <c r="C301" s="3" t="e">
        <f>VLOOKUP(D301,'lista 1'!$A$2:$F3819,4,0)</f>
        <v>#N/A</v>
      </c>
      <c r="D301" s="73">
        <v>64417</v>
      </c>
      <c r="E301" s="4" t="e">
        <f>VLOOKUP(D301,'lista 1'!$A$2:$F$1802,5,0)</f>
        <v>#N/A</v>
      </c>
      <c r="F301" s="59" t="str">
        <f>VLOOKUP(G301,'lista obszary'!A:B,2,0)</f>
        <v>FORGING</v>
      </c>
      <c r="G301" s="76" t="s">
        <v>771</v>
      </c>
      <c r="H301" s="85" t="s">
        <v>1370</v>
      </c>
      <c r="I301" s="59" t="str">
        <f>VLOOKUP(J301,'lista obszary'!A:B,2,0)</f>
        <v>HV</v>
      </c>
      <c r="J301" s="78" t="s">
        <v>2073</v>
      </c>
      <c r="K301" s="87" t="s">
        <v>2471</v>
      </c>
      <c r="L301" s="82" t="s">
        <v>2444</v>
      </c>
      <c r="M301" s="23"/>
      <c r="N301" s="23"/>
      <c r="O301" s="23"/>
      <c r="P301" s="19" t="s">
        <v>175</v>
      </c>
      <c r="Q301" s="26"/>
      <c r="R301" s="26"/>
      <c r="S301" s="47"/>
      <c r="T301" s="4" t="e">
        <f>VLOOKUP(#REF!,#REF!,2,0)</f>
        <v>#REF!</v>
      </c>
      <c r="U301" s="20" t="e">
        <f t="shared" si="5"/>
        <v>#REF!</v>
      </c>
      <c r="V301" s="47"/>
      <c r="W301" s="43"/>
      <c r="X301" s="66" t="e">
        <f>VLOOKUP(D301,#REF!,2,0)</f>
        <v>#REF!</v>
      </c>
      <c r="Y301" s="67" t="s">
        <v>2644</v>
      </c>
      <c r="Z301" s="67"/>
    </row>
    <row r="302" spans="1:26" ht="13.65" customHeight="1">
      <c r="A302" s="91">
        <v>301</v>
      </c>
      <c r="B302" s="19" t="s">
        <v>174</v>
      </c>
      <c r="C302" s="3" t="str">
        <f>VLOOKUP(D302,'lista 1'!$A$2:$F3820,4,0)</f>
        <v>BARANOWSKI ADAM</v>
      </c>
      <c r="D302" s="73">
        <v>2107</v>
      </c>
      <c r="E302" s="4" t="str">
        <f>VLOOKUP(D302,'lista 1'!$A$2:$F$1802,5,0)</f>
        <v>TM2</v>
      </c>
      <c r="F302" s="59" t="str">
        <f>VLOOKUP(G302,'lista obszary'!A:B,2,0)</f>
        <v>CASTING</v>
      </c>
      <c r="G302" s="76" t="s">
        <v>605</v>
      </c>
      <c r="H302" s="85" t="s">
        <v>1920</v>
      </c>
      <c r="I302" s="59" t="str">
        <f>VLOOKUP(J302,'lista obszary'!A:B,2,0)</f>
        <v>CASTING</v>
      </c>
      <c r="J302" s="78" t="s">
        <v>684</v>
      </c>
      <c r="K302" s="87" t="s">
        <v>2485</v>
      </c>
      <c r="L302" s="82" t="s">
        <v>2444</v>
      </c>
      <c r="M302" s="23"/>
      <c r="N302" s="23"/>
      <c r="O302" s="23"/>
      <c r="P302" s="19" t="s">
        <v>175</v>
      </c>
      <c r="Q302" s="26"/>
      <c r="R302" s="26"/>
      <c r="S302" s="47"/>
      <c r="T302" s="4" t="e">
        <f>VLOOKUP(#REF!,#REF!,2,0)</f>
        <v>#REF!</v>
      </c>
      <c r="U302" s="20" t="e">
        <f t="shared" si="5"/>
        <v>#REF!</v>
      </c>
      <c r="V302" s="47"/>
      <c r="W302" s="43"/>
      <c r="X302" s="66" t="e">
        <f>VLOOKUP(D302,#REF!,2,0)</f>
        <v>#REF!</v>
      </c>
      <c r="Y302" s="67" t="s">
        <v>2643</v>
      </c>
    </row>
    <row r="303" spans="1:26" ht="13.65" customHeight="1">
      <c r="A303" s="91">
        <v>302</v>
      </c>
      <c r="B303" s="19" t="s">
        <v>174</v>
      </c>
      <c r="C303" s="3" t="str">
        <f>VLOOKUP(D303,'lista 1'!$A$2:$F3821,4,0)</f>
        <v>BEKIELEWSKI DANIEL</v>
      </c>
      <c r="D303" s="73">
        <v>899</v>
      </c>
      <c r="E303" s="4" t="str">
        <f>VLOOKUP(D303,'lista 1'!$A$2:$F$1802,5,0)</f>
        <v>TECH MNX</v>
      </c>
      <c r="F303" s="59" t="str">
        <f>VLOOKUP(G303,'lista obszary'!A:B,2,0)</f>
        <v>MNX TK</v>
      </c>
      <c r="G303" s="76" t="s">
        <v>1482</v>
      </c>
      <c r="H303" s="85" t="s">
        <v>2099</v>
      </c>
      <c r="I303" s="59" t="str">
        <f>VLOOKUP(J303,'lista obszary'!A:B,2,0)</f>
        <v>MNX TK</v>
      </c>
      <c r="J303" s="78" t="s">
        <v>1971</v>
      </c>
      <c r="K303" s="87" t="s">
        <v>2099</v>
      </c>
      <c r="L303" s="82" t="s">
        <v>2444</v>
      </c>
      <c r="M303" s="23"/>
      <c r="N303" s="23"/>
      <c r="O303" s="23"/>
      <c r="P303" s="19" t="s">
        <v>175</v>
      </c>
      <c r="Q303" s="26"/>
      <c r="R303" s="26"/>
      <c r="S303" s="47"/>
      <c r="T303" s="4" t="e">
        <f>VLOOKUP(#REF!,#REF!,2,0)</f>
        <v>#REF!</v>
      </c>
      <c r="U303" s="20" t="e">
        <f t="shared" si="5"/>
        <v>#REF!</v>
      </c>
      <c r="V303" s="47"/>
      <c r="W303" s="43"/>
      <c r="X303" s="66" t="e">
        <f>VLOOKUP(D303,#REF!,2,0)</f>
        <v>#REF!</v>
      </c>
      <c r="Y303" s="67" t="s">
        <v>2644</v>
      </c>
      <c r="Z303" s="67"/>
    </row>
    <row r="304" spans="1:26" ht="13.65" customHeight="1">
      <c r="A304" s="91">
        <v>303</v>
      </c>
      <c r="B304" s="19" t="s">
        <v>174</v>
      </c>
      <c r="C304" s="3" t="str">
        <f>VLOOKUP(D304,'lista 1'!$A$2:$F3822,4,0)</f>
        <v>BOGDAN RADOSŁAW</v>
      </c>
      <c r="D304" s="73">
        <v>1713</v>
      </c>
      <c r="E304" s="4" t="str">
        <f>VLOOKUP(D304,'lista 1'!$A$2:$F$1802,5,0)</f>
        <v>TM MNX2</v>
      </c>
      <c r="F304" s="59" t="str">
        <f>VLOOKUP(G304,'lista obszary'!A:B,2,0)</f>
        <v>MNX TK</v>
      </c>
      <c r="G304" s="76" t="s">
        <v>1481</v>
      </c>
      <c r="H304" s="85" t="s">
        <v>2318</v>
      </c>
      <c r="I304" s="59" t="str">
        <f>VLOOKUP(J304,'lista obszary'!A:B,2,0)</f>
        <v>MNX TK</v>
      </c>
      <c r="J304" s="78" t="s">
        <v>1480</v>
      </c>
      <c r="K304" s="87" t="s">
        <v>2099</v>
      </c>
      <c r="L304" s="82" t="s">
        <v>2444</v>
      </c>
      <c r="M304" s="23"/>
      <c r="N304" s="23"/>
      <c r="O304" s="23"/>
      <c r="P304" s="19" t="s">
        <v>175</v>
      </c>
      <c r="Q304" s="26"/>
      <c r="R304" s="26"/>
      <c r="S304" s="47"/>
      <c r="T304" s="4" t="e">
        <f>VLOOKUP(#REF!,#REF!,2,0)</f>
        <v>#REF!</v>
      </c>
      <c r="U304" s="20" t="e">
        <f t="shared" si="5"/>
        <v>#REF!</v>
      </c>
      <c r="V304" s="47"/>
      <c r="W304" s="43"/>
      <c r="X304" s="66" t="e">
        <f>VLOOKUP(D304,#REF!,2,0)</f>
        <v>#REF!</v>
      </c>
      <c r="Y304" s="67" t="b">
        <f>F304=I304</f>
        <v>1</v>
      </c>
    </row>
    <row r="305" spans="1:26" ht="13.65" customHeight="1">
      <c r="A305" s="91">
        <v>304</v>
      </c>
      <c r="B305" s="19" t="s">
        <v>174</v>
      </c>
      <c r="C305" s="3" t="str">
        <f>VLOOKUP(D305,'lista 1'!$A$2:$F3823,4,0)</f>
        <v>BOREK RAFAŁ</v>
      </c>
      <c r="D305" s="73">
        <v>965</v>
      </c>
      <c r="E305" s="4" t="str">
        <f>VLOOKUP(D305,'lista 1'!$A$2:$F$1802,5,0)</f>
        <v>TL2</v>
      </c>
      <c r="F305" s="59" t="str">
        <f>VLOOKUP(G305,'lista obszary'!A:B,2,0)</f>
        <v>HV</v>
      </c>
      <c r="G305" s="76" t="s">
        <v>2323</v>
      </c>
      <c r="H305" s="85" t="s">
        <v>1904</v>
      </c>
      <c r="I305" s="59" t="str">
        <f>VLOOKUP(J305,'lista obszary'!A:B,2,0)</f>
        <v>HV</v>
      </c>
      <c r="J305" s="78" t="s">
        <v>2448</v>
      </c>
      <c r="K305" s="87" t="s">
        <v>1555</v>
      </c>
      <c r="L305" s="82" t="s">
        <v>2444</v>
      </c>
      <c r="M305" s="23"/>
      <c r="N305" s="23"/>
      <c r="O305" s="23"/>
      <c r="P305" s="19" t="s">
        <v>175</v>
      </c>
      <c r="Q305" s="26"/>
      <c r="R305" s="26"/>
      <c r="S305" s="47"/>
      <c r="T305" s="4" t="e">
        <f>VLOOKUP(#REF!,#REF!,2,0)</f>
        <v>#REF!</v>
      </c>
      <c r="U305" s="20" t="e">
        <f t="shared" si="5"/>
        <v>#REF!</v>
      </c>
      <c r="V305" s="47"/>
      <c r="W305" s="43"/>
      <c r="X305" s="66" t="e">
        <f>VLOOKUP(D305,#REF!,2,0)</f>
        <v>#REF!</v>
      </c>
      <c r="Y305" s="67" t="s">
        <v>2643</v>
      </c>
    </row>
    <row r="306" spans="1:26" ht="13.65" customHeight="1">
      <c r="A306" s="91">
        <v>305</v>
      </c>
      <c r="B306" s="19" t="s">
        <v>174</v>
      </c>
      <c r="C306" s="3" t="e">
        <f>VLOOKUP(D306,'lista 1'!$A$2:$F3824,4,0)</f>
        <v>#N/A</v>
      </c>
      <c r="D306" s="73">
        <v>70509</v>
      </c>
      <c r="E306" s="4" t="e">
        <f>VLOOKUP(D306,'lista 1'!$A$2:$F$1802,5,0)</f>
        <v>#N/A</v>
      </c>
      <c r="F306" s="59" t="str">
        <f>VLOOKUP(G306,'lista obszary'!A:B,2,0)</f>
        <v>HV</v>
      </c>
      <c r="G306" s="76" t="s">
        <v>2319</v>
      </c>
      <c r="H306" s="85" t="s">
        <v>534</v>
      </c>
      <c r="I306" s="59" t="str">
        <f>VLOOKUP(J306,'lista obszary'!A:B,2,0)</f>
        <v>HV</v>
      </c>
      <c r="J306" s="78" t="s">
        <v>2069</v>
      </c>
      <c r="K306" s="87" t="s">
        <v>345</v>
      </c>
      <c r="L306" s="82" t="s">
        <v>2444</v>
      </c>
      <c r="M306" s="23"/>
      <c r="N306" s="23"/>
      <c r="O306" s="23"/>
      <c r="P306" s="19" t="s">
        <v>175</v>
      </c>
      <c r="Q306" s="26"/>
      <c r="R306" s="26"/>
      <c r="S306" s="47"/>
      <c r="T306" s="4" t="e">
        <f>VLOOKUP(#REF!,#REF!,2,0)</f>
        <v>#REF!</v>
      </c>
      <c r="U306" s="20" t="e">
        <f t="shared" si="5"/>
        <v>#REF!</v>
      </c>
      <c r="V306" s="47"/>
      <c r="W306" s="43"/>
      <c r="X306" s="66" t="e">
        <f>VLOOKUP(D306,#REF!,2,0)</f>
        <v>#REF!</v>
      </c>
      <c r="Y306" s="67" t="s">
        <v>2643</v>
      </c>
      <c r="Z306" s="67"/>
    </row>
    <row r="307" spans="1:26" ht="13.65" customHeight="1">
      <c r="A307" s="91">
        <v>306</v>
      </c>
      <c r="B307" s="19" t="s">
        <v>174</v>
      </c>
      <c r="C307" s="3" t="str">
        <f>VLOOKUP(D307,'lista 1'!$A$2:$F3825,4,0)</f>
        <v>CHRYSZCZANOWICZ BOGDAN</v>
      </c>
      <c r="D307" s="73">
        <v>1410</v>
      </c>
      <c r="E307" s="4" t="str">
        <f>VLOOKUP(D307,'lista 1'!$A$2:$F$1802,5,0)</f>
        <v>TM MNX2</v>
      </c>
      <c r="F307" s="59" t="str">
        <f>VLOOKUP(G307,'lista obszary'!A:B,2,0)</f>
        <v>CASTING</v>
      </c>
      <c r="G307" s="76" t="s">
        <v>2150</v>
      </c>
      <c r="H307" s="85" t="s">
        <v>539</v>
      </c>
      <c r="I307" s="59" t="str">
        <f>VLOOKUP(J307,'lista obszary'!A:B,2,0)</f>
        <v>CASTING</v>
      </c>
      <c r="J307" s="78" t="s">
        <v>2149</v>
      </c>
      <c r="K307" s="87" t="s">
        <v>539</v>
      </c>
      <c r="L307" s="82" t="s">
        <v>2444</v>
      </c>
      <c r="M307" s="23"/>
      <c r="N307" s="23"/>
      <c r="O307" s="23"/>
      <c r="P307" s="19" t="s">
        <v>175</v>
      </c>
      <c r="Q307" s="26"/>
      <c r="R307" s="26"/>
      <c r="S307" s="47"/>
      <c r="T307" s="4" t="e">
        <f>VLOOKUP(#REF!,#REF!,2,0)</f>
        <v>#REF!</v>
      </c>
      <c r="U307" s="20" t="e">
        <f t="shared" si="5"/>
        <v>#REF!</v>
      </c>
      <c r="V307" s="47"/>
      <c r="W307" s="43"/>
      <c r="X307" s="66" t="e">
        <f>VLOOKUP(D307,#REF!,2,0)</f>
        <v>#REF!</v>
      </c>
      <c r="Y307" s="67" t="s">
        <v>2643</v>
      </c>
    </row>
    <row r="308" spans="1:26" ht="13.65" customHeight="1">
      <c r="A308" s="91">
        <v>307</v>
      </c>
      <c r="B308" s="19" t="s">
        <v>174</v>
      </c>
      <c r="C308" s="3" t="e">
        <f>VLOOKUP(D308,'lista 1'!$A$2:$F3826,4,0)</f>
        <v>#N/A</v>
      </c>
      <c r="D308" s="73">
        <v>70508</v>
      </c>
      <c r="E308" s="4" t="e">
        <f>VLOOKUP(D308,'lista 1'!$A$2:$F$1802,5,0)</f>
        <v>#N/A</v>
      </c>
      <c r="F308" s="59" t="str">
        <f>VLOOKUP(G308,'lista obszary'!A:B,2,0)</f>
        <v>HV</v>
      </c>
      <c r="G308" s="76" t="s">
        <v>2319</v>
      </c>
      <c r="H308" s="85" t="s">
        <v>534</v>
      </c>
      <c r="I308" s="59" t="str">
        <f>VLOOKUP(J308,'lista obszary'!A:B,2,0)</f>
        <v>HV</v>
      </c>
      <c r="J308" s="78" t="s">
        <v>2073</v>
      </c>
      <c r="K308" s="87" t="s">
        <v>2471</v>
      </c>
      <c r="L308" s="82" t="s">
        <v>2444</v>
      </c>
      <c r="M308" s="23"/>
      <c r="N308" s="23"/>
      <c r="O308" s="23"/>
      <c r="P308" s="19" t="s">
        <v>175</v>
      </c>
      <c r="Q308" s="26"/>
      <c r="R308" s="26"/>
      <c r="S308" s="47"/>
      <c r="T308" s="4" t="e">
        <f>VLOOKUP(#REF!,#REF!,2,0)</f>
        <v>#REF!</v>
      </c>
      <c r="U308" s="20" t="e">
        <f t="shared" si="5"/>
        <v>#REF!</v>
      </c>
      <c r="V308" s="47"/>
      <c r="W308" s="43"/>
      <c r="X308" s="66" t="e">
        <f>VLOOKUP(D308,#REF!,2,0)</f>
        <v>#REF!</v>
      </c>
      <c r="Y308" s="67" t="s">
        <v>2643</v>
      </c>
      <c r="Z308" s="67"/>
    </row>
    <row r="309" spans="1:26" ht="13.65" customHeight="1">
      <c r="A309" s="91">
        <v>308</v>
      </c>
      <c r="B309" s="19" t="s">
        <v>174</v>
      </c>
      <c r="C309" s="3" t="str">
        <f>VLOOKUP(D309,'lista 1'!$A$2:$F3827,4,0)</f>
        <v>CZOBODZIŃSKI ARTUR</v>
      </c>
      <c r="D309" s="73">
        <v>2050</v>
      </c>
      <c r="E309" s="4" t="str">
        <f>VLOOKUP(D309,'lista 1'!$A$2:$F$1802,5,0)</f>
        <v>TM MNX</v>
      </c>
      <c r="F309" s="59" t="str">
        <f>VLOOKUP(G309,'lista obszary'!A:B,2,0)</f>
        <v>MNX TK</v>
      </c>
      <c r="G309" s="76" t="s">
        <v>1480</v>
      </c>
      <c r="H309" s="85" t="s">
        <v>2181</v>
      </c>
      <c r="I309" s="59" t="str">
        <f>VLOOKUP(J309,'lista obszary'!A:B,2,0)</f>
        <v>MNX TK</v>
      </c>
      <c r="J309" s="78" t="s">
        <v>1971</v>
      </c>
      <c r="K309" s="87" t="s">
        <v>2099</v>
      </c>
      <c r="L309" s="82" t="s">
        <v>2444</v>
      </c>
      <c r="M309" s="23"/>
      <c r="N309" s="23"/>
      <c r="O309" s="23"/>
      <c r="P309" s="19" t="s">
        <v>175</v>
      </c>
      <c r="Q309" s="26"/>
      <c r="R309" s="26"/>
      <c r="S309" s="47"/>
      <c r="T309" s="4" t="e">
        <f>VLOOKUP(#REF!,#REF!,2,0)</f>
        <v>#REF!</v>
      </c>
      <c r="U309" s="20" t="e">
        <f t="shared" si="5"/>
        <v>#REF!</v>
      </c>
      <c r="V309" s="47"/>
      <c r="W309" s="43"/>
      <c r="X309" s="66" t="e">
        <f>VLOOKUP(D309,#REF!,2,0)</f>
        <v>#REF!</v>
      </c>
      <c r="Y309" s="67" t="s">
        <v>2644</v>
      </c>
      <c r="Z309" s="67"/>
    </row>
    <row r="310" spans="1:26" ht="13.65" customHeight="1">
      <c r="A310" s="91">
        <v>309</v>
      </c>
      <c r="B310" s="19" t="s">
        <v>174</v>
      </c>
      <c r="C310" s="3" t="str">
        <f>VLOOKUP(D310,'lista 1'!$A$2:$F3828,4,0)</f>
        <v>DUDZIŃSKI ROMAN</v>
      </c>
      <c r="D310" s="73">
        <v>1890</v>
      </c>
      <c r="E310" s="4" t="str">
        <f>VLOOKUP(D310,'lista 1'!$A$2:$F$1802,5,0)</f>
        <v>TM MNX2</v>
      </c>
      <c r="F310" s="59" t="str">
        <f>VLOOKUP(G310,'lista obszary'!A:B,2,0)</f>
        <v>MNX TK</v>
      </c>
      <c r="G310" s="76" t="s">
        <v>600</v>
      </c>
      <c r="H310" s="85" t="s">
        <v>1919</v>
      </c>
      <c r="I310" s="59" t="str">
        <f>VLOOKUP(J310,'lista obszary'!A:B,2,0)</f>
        <v>MNX TK</v>
      </c>
      <c r="J310" s="78" t="s">
        <v>1971</v>
      </c>
      <c r="K310" s="87" t="s">
        <v>2099</v>
      </c>
      <c r="L310" s="82" t="s">
        <v>2444</v>
      </c>
      <c r="M310" s="23"/>
      <c r="N310" s="23"/>
      <c r="O310" s="23"/>
      <c r="P310" s="19" t="s">
        <v>175</v>
      </c>
      <c r="Q310" s="26"/>
      <c r="R310" s="26"/>
      <c r="S310" s="47"/>
      <c r="T310" s="4" t="e">
        <f>VLOOKUP(#REF!,#REF!,2,0)</f>
        <v>#REF!</v>
      </c>
      <c r="U310" s="20" t="e">
        <f t="shared" si="5"/>
        <v>#REF!</v>
      </c>
      <c r="V310" s="47"/>
      <c r="W310" s="43"/>
      <c r="X310" s="66" t="e">
        <f>VLOOKUP(D310,#REF!,2,0)</f>
        <v>#REF!</v>
      </c>
      <c r="Y310" s="67" t="s">
        <v>2644</v>
      </c>
      <c r="Z310" s="67"/>
    </row>
    <row r="311" spans="1:26" ht="13.65" customHeight="1">
      <c r="A311" s="91">
        <v>310</v>
      </c>
      <c r="B311" s="19" t="s">
        <v>734</v>
      </c>
      <c r="C311" s="3" t="str">
        <f>VLOOKUP(D311,'lista 1'!$A$2:$F3829,4,0)</f>
        <v>HOMEL SEBASTIAN</v>
      </c>
      <c r="D311" s="73">
        <v>124</v>
      </c>
      <c r="E311" s="4" t="str">
        <f>VLOOKUP(D311,'lista 1'!$A$2:$F$1802,5,0)</f>
        <v>GRL2</v>
      </c>
      <c r="F311" s="59" t="str">
        <f>VLOOKUP(G311,'lista obszary'!A:B,2,0)</f>
        <v>MTB0</v>
      </c>
      <c r="G311" s="76" t="s">
        <v>504</v>
      </c>
      <c r="H311" s="85" t="s">
        <v>535</v>
      </c>
      <c r="I311" s="59" t="str">
        <f>VLOOKUP(J311,'lista obszary'!A:B,2,0)</f>
        <v>EPKM</v>
      </c>
      <c r="J311" s="78" t="s">
        <v>934</v>
      </c>
      <c r="K311" s="87" t="s">
        <v>1901</v>
      </c>
      <c r="L311" s="82" t="s">
        <v>2444</v>
      </c>
      <c r="M311" s="23"/>
      <c r="N311" s="23"/>
      <c r="O311" s="23"/>
      <c r="P311" s="19" t="s">
        <v>175</v>
      </c>
      <c r="Q311" s="26" t="s">
        <v>2101</v>
      </c>
      <c r="R311" s="60">
        <v>43739</v>
      </c>
      <c r="S311" s="47" t="s">
        <v>1629</v>
      </c>
      <c r="T311" s="4" t="e">
        <f>VLOOKUP(#REF!,#REF!,2,0)</f>
        <v>#REF!</v>
      </c>
      <c r="U311" s="20" t="e">
        <f t="shared" si="5"/>
        <v>#REF!</v>
      </c>
      <c r="V311" s="47"/>
      <c r="W311" s="43"/>
      <c r="X311" s="66" t="e">
        <f>VLOOKUP(D311,#REF!,2,0)</f>
        <v>#REF!</v>
      </c>
      <c r="Y311" s="67" t="s">
        <v>2644</v>
      </c>
      <c r="Z311" s="67"/>
    </row>
    <row r="312" spans="1:26" ht="13.65" customHeight="1">
      <c r="A312" s="91">
        <v>311</v>
      </c>
      <c r="B312" s="19" t="s">
        <v>734</v>
      </c>
      <c r="C312" s="3" t="str">
        <f>VLOOKUP(D312,'lista 1'!$A$2:$F3830,4,0)</f>
        <v>RODZIK GRZEGORZ</v>
      </c>
      <c r="D312" s="73">
        <v>656</v>
      </c>
      <c r="E312" s="4" t="str">
        <f>VLOOKUP(D312,'lista 1'!$A$2:$F$1802,5,0)</f>
        <v>TL2</v>
      </c>
      <c r="F312" s="59" t="str">
        <f>VLOOKUP(G312,'lista obszary'!A:B,2,0)</f>
        <v>FORGING</v>
      </c>
      <c r="G312" s="76" t="s">
        <v>179</v>
      </c>
      <c r="H312" s="85" t="s">
        <v>1553</v>
      </c>
      <c r="I312" s="59" t="str">
        <f>VLOOKUP(J312,'lista obszary'!A:B,2,0)</f>
        <v>EPKM</v>
      </c>
      <c r="J312" s="78" t="s">
        <v>934</v>
      </c>
      <c r="K312" s="87" t="s">
        <v>1901</v>
      </c>
      <c r="L312" s="82" t="s">
        <v>2444</v>
      </c>
      <c r="M312" s="23"/>
      <c r="N312" s="23"/>
      <c r="O312" s="23"/>
      <c r="P312" s="19" t="s">
        <v>175</v>
      </c>
      <c r="Q312" s="26"/>
      <c r="R312" s="26"/>
      <c r="S312" s="47"/>
      <c r="T312" s="4" t="e">
        <f>VLOOKUP(#REF!,#REF!,2,0)</f>
        <v>#REF!</v>
      </c>
      <c r="U312" s="20" t="e">
        <f t="shared" si="5"/>
        <v>#REF!</v>
      </c>
      <c r="V312" s="47"/>
      <c r="W312" s="43"/>
      <c r="X312" s="66" t="e">
        <f>VLOOKUP(D312,#REF!,2,0)</f>
        <v>#REF!</v>
      </c>
      <c r="Y312" s="67" t="s">
        <v>2644</v>
      </c>
      <c r="Z312" s="67"/>
    </row>
    <row r="313" spans="1:26" ht="13.65" customHeight="1">
      <c r="A313" s="91">
        <v>312</v>
      </c>
      <c r="B313" s="19"/>
      <c r="C313" s="3" t="str">
        <f>VLOOKUP(D313,'lista 1'!$A$2:$F3831,4,0)</f>
        <v>GOŁĘBIOWSKI PAWEŁ</v>
      </c>
      <c r="D313" s="73">
        <v>531</v>
      </c>
      <c r="E313" s="4" t="str">
        <f>VLOOKUP(D313,'lista 1'!$A$2:$F$1802,5,0)</f>
        <v>TECH</v>
      </c>
      <c r="F313" s="59" t="str">
        <f>VLOOKUP(G313,'lista obszary'!A:B,2,0)</f>
        <v>CASTING</v>
      </c>
      <c r="G313" s="76" t="s">
        <v>2150</v>
      </c>
      <c r="H313" s="85" t="s">
        <v>539</v>
      </c>
      <c r="I313" s="59" t="str">
        <f>VLOOKUP(J313,'lista obszary'!A:B,2,0)</f>
        <v>DMC ENGINEERING</v>
      </c>
      <c r="J313" s="78" t="s">
        <v>2007</v>
      </c>
      <c r="K313" s="87" t="s">
        <v>2147</v>
      </c>
      <c r="L313" s="82" t="s">
        <v>2444</v>
      </c>
      <c r="M313" s="22"/>
      <c r="N313" s="22"/>
      <c r="O313" s="22"/>
      <c r="P313" s="19" t="s">
        <v>175</v>
      </c>
      <c r="Q313" s="26"/>
      <c r="R313" s="26"/>
      <c r="S313" s="47"/>
      <c r="T313" s="4"/>
      <c r="U313" s="20"/>
      <c r="V313" s="47"/>
      <c r="W313" s="43"/>
      <c r="X313" s="66" t="e">
        <f>VLOOKUP(D313,#REF!,2,0)</f>
        <v>#REF!</v>
      </c>
      <c r="Y313" s="67" t="s">
        <v>2644</v>
      </c>
      <c r="Z313" s="67"/>
    </row>
    <row r="314" spans="1:26" ht="13.65" customHeight="1">
      <c r="A314" s="91">
        <v>313</v>
      </c>
      <c r="B314" s="19" t="s">
        <v>734</v>
      </c>
      <c r="C314" s="3" t="str">
        <f>VLOOKUP(D314,'lista 1'!$A$2:$F3832,4,0)</f>
        <v>SOWA ROBERT</v>
      </c>
      <c r="D314" s="73">
        <v>850</v>
      </c>
      <c r="E314" s="4" t="str">
        <f>VLOOKUP(D314,'lista 1'!$A$2:$F$1802,5,0)</f>
        <v>TM MNX2</v>
      </c>
      <c r="F314" s="59" t="str">
        <f>VLOOKUP(G314,'lista obszary'!A:B,2,0)</f>
        <v>CASTING</v>
      </c>
      <c r="G314" s="76" t="s">
        <v>2469</v>
      </c>
      <c r="H314" s="85" t="s">
        <v>547</v>
      </c>
      <c r="I314" s="59" t="str">
        <f>VLOOKUP(J314,'lista obszary'!A:B,2,0)</f>
        <v>EPKM</v>
      </c>
      <c r="J314" s="78" t="s">
        <v>934</v>
      </c>
      <c r="K314" s="87" t="s">
        <v>1901</v>
      </c>
      <c r="L314" s="82" t="s">
        <v>2444</v>
      </c>
      <c r="M314" s="23"/>
      <c r="N314" s="23"/>
      <c r="O314" s="23"/>
      <c r="P314" s="19" t="s">
        <v>175</v>
      </c>
      <c r="Q314" s="26" t="s">
        <v>2101</v>
      </c>
      <c r="R314" s="60">
        <v>43739</v>
      </c>
      <c r="S314" s="47" t="s">
        <v>1629</v>
      </c>
      <c r="T314" s="4"/>
      <c r="U314" s="20">
        <f>L314-T314</f>
        <v>43556</v>
      </c>
      <c r="V314" s="47"/>
      <c r="W314" s="43"/>
      <c r="X314" s="66" t="e">
        <f>VLOOKUP(D314,#REF!,2,0)</f>
        <v>#REF!</v>
      </c>
      <c r="Y314" s="67" t="b">
        <f>F314=I314</f>
        <v>0</v>
      </c>
    </row>
    <row r="315" spans="1:26" ht="13.65" customHeight="1">
      <c r="A315" s="91">
        <v>314</v>
      </c>
      <c r="B315" s="19" t="s">
        <v>734</v>
      </c>
      <c r="C315" s="3" t="e">
        <f>VLOOKUP(D315,'lista 1'!$A$2:$F3833,4,0)</f>
        <v>#N/A</v>
      </c>
      <c r="D315" s="73">
        <v>64306</v>
      </c>
      <c r="E315" s="4" t="e">
        <f>VLOOKUP(D315,'lista 1'!$A$2:$F$1802,5,0)</f>
        <v>#N/A</v>
      </c>
      <c r="F315" s="59" t="str">
        <f>VLOOKUP(G315,'lista obszary'!A:B,2,0)</f>
        <v>FORGING</v>
      </c>
      <c r="G315" s="76" t="s">
        <v>845</v>
      </c>
      <c r="H315" s="85" t="s">
        <v>1379</v>
      </c>
      <c r="I315" s="59" t="str">
        <f>VLOOKUP(J315,'lista obszary'!A:B,2,0)</f>
        <v>EC60</v>
      </c>
      <c r="J315" s="78" t="s">
        <v>570</v>
      </c>
      <c r="K315" s="87" t="s">
        <v>1893</v>
      </c>
      <c r="L315" s="82" t="s">
        <v>2444</v>
      </c>
      <c r="M315" s="23"/>
      <c r="N315" s="23"/>
      <c r="O315" s="23"/>
      <c r="P315" s="19" t="s">
        <v>175</v>
      </c>
      <c r="Q315" s="26"/>
      <c r="R315" s="26"/>
      <c r="S315" s="47"/>
      <c r="T315" s="4" t="e">
        <f>VLOOKUP(#REF!,#REF!,2,0)</f>
        <v>#REF!</v>
      </c>
      <c r="U315" s="20" t="e">
        <f>L315-T315</f>
        <v>#REF!</v>
      </c>
      <c r="V315" s="47"/>
      <c r="W315" s="43"/>
      <c r="X315" s="66" t="e">
        <f>VLOOKUP(D315,#REF!,2,0)</f>
        <v>#REF!</v>
      </c>
      <c r="Y315" s="67" t="s">
        <v>2644</v>
      </c>
      <c r="Z315" s="67"/>
    </row>
    <row r="316" spans="1:26" ht="13.65" customHeight="1">
      <c r="A316" s="91">
        <v>315</v>
      </c>
      <c r="B316" s="19" t="s">
        <v>174</v>
      </c>
      <c r="C316" s="3" t="str">
        <f>VLOOKUP(D316,'lista 1'!$A$2:$F3834,4,0)</f>
        <v>KISIEL PIOTR</v>
      </c>
      <c r="D316" s="73">
        <v>724</v>
      </c>
      <c r="E316" s="4" t="str">
        <f>VLOOKUP(D316,'lista 1'!$A$2:$F$1802,5,0)</f>
        <v>GRL</v>
      </c>
      <c r="F316" s="59" t="str">
        <f>VLOOKUP(G316,'lista obszary'!A:B,2,0)</f>
        <v>MTB0</v>
      </c>
      <c r="G316" s="76" t="s">
        <v>452</v>
      </c>
      <c r="H316" s="85" t="s">
        <v>346</v>
      </c>
      <c r="I316" s="59" t="str">
        <f>VLOOKUP(J316,'lista obszary'!A:B,2,0)</f>
        <v>MTB0</v>
      </c>
      <c r="J316" s="78" t="s">
        <v>504</v>
      </c>
      <c r="K316" s="87" t="s">
        <v>535</v>
      </c>
      <c r="L316" s="82" t="s">
        <v>2444</v>
      </c>
      <c r="M316" s="23"/>
      <c r="N316" s="23"/>
      <c r="O316" s="23"/>
      <c r="P316" s="19" t="s">
        <v>175</v>
      </c>
      <c r="Q316" s="26"/>
      <c r="R316" s="26"/>
      <c r="S316" s="47"/>
      <c r="T316" s="4"/>
      <c r="U316" s="20"/>
      <c r="V316" s="47"/>
      <c r="W316" s="43"/>
      <c r="X316" s="66" t="e">
        <f>VLOOKUP(D316,#REF!,2,0)</f>
        <v>#REF!</v>
      </c>
      <c r="Y316" s="67" t="s">
        <v>2643</v>
      </c>
      <c r="Z316" s="67"/>
    </row>
    <row r="317" spans="1:26" ht="13.65" customHeight="1">
      <c r="A317" s="91">
        <v>316</v>
      </c>
      <c r="B317" s="19" t="s">
        <v>734</v>
      </c>
      <c r="C317" s="3" t="str">
        <f>VLOOKUP(D317,'lista 1'!$A$2:$F3835,4,0)</f>
        <v>KLECHA PRZEMYSŁAW</v>
      </c>
      <c r="D317" s="73">
        <v>154</v>
      </c>
      <c r="E317" s="4" t="str">
        <f>VLOOKUP(D317,'lista 1'!$A$2:$F$1802,5,0)</f>
        <v>AC ASM</v>
      </c>
      <c r="F317" s="59" t="str">
        <f>VLOOKUP(G317,'lista obszary'!A:B,2,0)</f>
        <v>EC60</v>
      </c>
      <c r="G317" s="76" t="s">
        <v>1325</v>
      </c>
      <c r="H317" s="85" t="s">
        <v>2071</v>
      </c>
      <c r="I317" s="59" t="str">
        <f>VLOOKUP(J317,'lista obszary'!A:B,2,0)</f>
        <v>HV</v>
      </c>
      <c r="J317" s="78" t="s">
        <v>2448</v>
      </c>
      <c r="K317" s="87" t="s">
        <v>534</v>
      </c>
      <c r="L317" s="82" t="s">
        <v>2444</v>
      </c>
      <c r="M317" s="23"/>
      <c r="N317" s="23"/>
      <c r="O317" s="23"/>
      <c r="P317" s="19" t="s">
        <v>175</v>
      </c>
      <c r="Q317" s="26"/>
      <c r="R317" s="26"/>
      <c r="S317" s="47"/>
      <c r="T317" s="4" t="e">
        <f>VLOOKUP(#REF!,#REF!,2,0)</f>
        <v>#REF!</v>
      </c>
      <c r="U317" s="20" t="e">
        <f t="shared" ref="U317:U324" si="6">L317-T317</f>
        <v>#REF!</v>
      </c>
      <c r="V317" s="47"/>
      <c r="W317" s="43"/>
      <c r="X317" s="66" t="e">
        <f>VLOOKUP(D317,#REF!,2,0)</f>
        <v>#REF!</v>
      </c>
      <c r="Y317" s="67" t="s">
        <v>2644</v>
      </c>
      <c r="Z317" s="67"/>
    </row>
    <row r="318" spans="1:26" ht="13.65" customHeight="1">
      <c r="A318" s="91">
        <v>317</v>
      </c>
      <c r="B318" s="19" t="s">
        <v>734</v>
      </c>
      <c r="C318" s="3" t="str">
        <f>VLOOKUP(D318,'lista 1'!$A$2:$F3836,4,0)</f>
        <v>KOGUT PAWEŁ</v>
      </c>
      <c r="D318" s="73">
        <v>1707</v>
      </c>
      <c r="E318" s="4" t="str">
        <f>VLOOKUP(D318,'lista 1'!$A$2:$F$1802,5,0)</f>
        <v>TM MNX2</v>
      </c>
      <c r="F318" s="59" t="str">
        <f>VLOOKUP(G318,'lista obszary'!A:B,2,0)</f>
        <v>FORGING</v>
      </c>
      <c r="G318" s="76" t="s">
        <v>179</v>
      </c>
      <c r="H318" s="85" t="s">
        <v>1553</v>
      </c>
      <c r="I318" s="59" t="str">
        <f>VLOOKUP(J318,'lista obszary'!A:B,2,0)</f>
        <v>CASTING</v>
      </c>
      <c r="J318" s="78" t="s">
        <v>2150</v>
      </c>
      <c r="K318" s="87" t="s">
        <v>539</v>
      </c>
      <c r="L318" s="82" t="s">
        <v>2444</v>
      </c>
      <c r="M318" s="23"/>
      <c r="N318" s="23"/>
      <c r="O318" s="23"/>
      <c r="P318" s="19" t="s">
        <v>175</v>
      </c>
      <c r="Q318" s="26"/>
      <c r="R318" s="26"/>
      <c r="S318" s="47"/>
      <c r="T318" s="4"/>
      <c r="U318" s="20">
        <f t="shared" si="6"/>
        <v>43556</v>
      </c>
      <c r="V318" s="47"/>
      <c r="W318" s="43"/>
      <c r="X318" s="66" t="e">
        <f>VLOOKUP(D318,#REF!,2,0)</f>
        <v>#REF!</v>
      </c>
      <c r="Y318" s="67" t="b">
        <f>F318=I318</f>
        <v>0</v>
      </c>
    </row>
    <row r="319" spans="1:26" ht="13.65" customHeight="1">
      <c r="A319" s="91">
        <v>318</v>
      </c>
      <c r="B319" s="19" t="s">
        <v>734</v>
      </c>
      <c r="C319" s="3" t="str">
        <f>VLOOKUP(D319,'lista 1'!$A$2:$F3837,4,0)</f>
        <v>WASZKIEWICZ DANIEL</v>
      </c>
      <c r="D319" s="73">
        <v>947</v>
      </c>
      <c r="E319" s="4" t="str">
        <f>VLOOKUP(D319,'lista 1'!$A$2:$F$1802,5,0)</f>
        <v>TL</v>
      </c>
      <c r="F319" s="59" t="str">
        <f>VLOOKUP(G319,'lista obszary'!A:B,2,0)</f>
        <v>EC60</v>
      </c>
      <c r="G319" s="76" t="s">
        <v>1969</v>
      </c>
      <c r="H319" s="85" t="s">
        <v>1887</v>
      </c>
      <c r="I319" s="59" t="str">
        <f>VLOOKUP(J319,'lista obszary'!A:B,2,0)</f>
        <v>EPKM</v>
      </c>
      <c r="J319" s="78" t="s">
        <v>934</v>
      </c>
      <c r="K319" s="87" t="s">
        <v>1901</v>
      </c>
      <c r="L319" s="82" t="s">
        <v>2444</v>
      </c>
      <c r="M319" s="23"/>
      <c r="N319" s="23"/>
      <c r="O319" s="23"/>
      <c r="P319" s="19" t="s">
        <v>175</v>
      </c>
      <c r="Q319" s="26"/>
      <c r="R319" s="26"/>
      <c r="S319" s="47"/>
      <c r="T319" s="4" t="e">
        <f>VLOOKUP(#REF!,#REF!,2,0)</f>
        <v>#REF!</v>
      </c>
      <c r="U319" s="20" t="e">
        <f t="shared" si="6"/>
        <v>#REF!</v>
      </c>
      <c r="V319" s="47"/>
      <c r="W319" s="43"/>
      <c r="X319" s="66" t="e">
        <f>VLOOKUP(D319,#REF!,2,0)</f>
        <v>#REF!</v>
      </c>
      <c r="Y319" s="67" t="s">
        <v>2644</v>
      </c>
      <c r="Z319" s="67"/>
    </row>
    <row r="320" spans="1:26" ht="13.65" customHeight="1">
      <c r="A320" s="91">
        <v>319</v>
      </c>
      <c r="B320" s="19" t="s">
        <v>734</v>
      </c>
      <c r="C320" s="3" t="str">
        <f>VLOOKUP(D320,'lista 1'!$A$2:$F3838,4,0)</f>
        <v>KOT GRZEGORZ</v>
      </c>
      <c r="D320" s="73">
        <v>664</v>
      </c>
      <c r="E320" s="4" t="str">
        <f>VLOOKUP(D320,'lista 1'!$A$2:$F$1802,5,0)</f>
        <v>TM MNX2</v>
      </c>
      <c r="F320" s="59" t="str">
        <f>VLOOKUP(G320,'lista obszary'!A:B,2,0)</f>
        <v>FORGING</v>
      </c>
      <c r="G320" s="76" t="s">
        <v>1350</v>
      </c>
      <c r="H320" s="85" t="s">
        <v>1378</v>
      </c>
      <c r="I320" s="59" t="str">
        <f>VLOOKUP(J320,'lista obszary'!A:B,2,0)</f>
        <v>CASTING</v>
      </c>
      <c r="J320" s="78" t="s">
        <v>2148</v>
      </c>
      <c r="K320" s="87" t="s">
        <v>539</v>
      </c>
      <c r="L320" s="82" t="s">
        <v>2444</v>
      </c>
      <c r="M320" s="23"/>
      <c r="N320" s="23"/>
      <c r="O320" s="23"/>
      <c r="P320" s="19" t="s">
        <v>175</v>
      </c>
      <c r="Q320" s="26"/>
      <c r="R320" s="26"/>
      <c r="S320" s="47"/>
      <c r="T320" s="4"/>
      <c r="U320" s="20">
        <f t="shared" si="6"/>
        <v>43556</v>
      </c>
      <c r="V320" s="47"/>
      <c r="W320" s="43"/>
      <c r="X320" s="66" t="e">
        <f>VLOOKUP(D320,#REF!,2,0)</f>
        <v>#REF!</v>
      </c>
      <c r="Y320" s="67" t="b">
        <f>F320=I320</f>
        <v>0</v>
      </c>
    </row>
    <row r="321" spans="1:26" ht="13.65" customHeight="1">
      <c r="A321" s="91">
        <v>320</v>
      </c>
      <c r="B321" s="19" t="s">
        <v>174</v>
      </c>
      <c r="C321" s="3" t="str">
        <f>VLOOKUP(D321,'lista 1'!$A$2:$F3839,4,0)</f>
        <v>KOZAK RAFAŁ</v>
      </c>
      <c r="D321" s="73">
        <v>2132</v>
      </c>
      <c r="E321" s="4" t="str">
        <f>VLOOKUP(D321,'lista 1'!$A$2:$F$1802,5,0)</f>
        <v>TL</v>
      </c>
      <c r="F321" s="59" t="str">
        <f>VLOOKUP(G321,'lista obszary'!A:B,2,0)</f>
        <v>HV</v>
      </c>
      <c r="G321" s="76" t="s">
        <v>2069</v>
      </c>
      <c r="H321" s="85" t="s">
        <v>528</v>
      </c>
      <c r="I321" s="59" t="str">
        <f>VLOOKUP(J321,'lista obszary'!A:B,2,0)</f>
        <v>HV</v>
      </c>
      <c r="J321" s="78" t="s">
        <v>2325</v>
      </c>
      <c r="K321" s="87" t="s">
        <v>345</v>
      </c>
      <c r="L321" s="82" t="s">
        <v>2444</v>
      </c>
      <c r="M321" s="23"/>
      <c r="N321" s="23"/>
      <c r="O321" s="23"/>
      <c r="P321" s="19" t="s">
        <v>175</v>
      </c>
      <c r="Q321" s="26"/>
      <c r="R321" s="26"/>
      <c r="S321" s="47"/>
      <c r="T321" s="4" t="e">
        <f>VLOOKUP(#REF!,#REF!,2,0)</f>
        <v>#REF!</v>
      </c>
      <c r="U321" s="20" t="e">
        <f t="shared" si="6"/>
        <v>#REF!</v>
      </c>
      <c r="V321" s="47"/>
      <c r="W321" s="43"/>
      <c r="X321" s="66" t="e">
        <f>VLOOKUP(D321,#REF!,2,0)</f>
        <v>#REF!</v>
      </c>
      <c r="Y321" s="67" t="b">
        <f>F321=I321</f>
        <v>1</v>
      </c>
    </row>
    <row r="322" spans="1:26" ht="13.65" customHeight="1">
      <c r="A322" s="91">
        <v>321</v>
      </c>
      <c r="B322" s="19" t="s">
        <v>734</v>
      </c>
      <c r="C322" s="3" t="str">
        <f>VLOOKUP(D322,'lista 1'!$A$2:$F3840,4,0)</f>
        <v>KRAWCZYK ANDRZEJ</v>
      </c>
      <c r="D322" s="73">
        <v>546</v>
      </c>
      <c r="E322" s="4" t="str">
        <f>VLOOKUP(D322,'lista 1'!$A$2:$F$1802,5,0)</f>
        <v>TM MNX2</v>
      </c>
      <c r="F322" s="59" t="str">
        <f>VLOOKUP(G322,'lista obszary'!A:B,2,0)</f>
        <v>QC</v>
      </c>
      <c r="G322" s="76" t="s">
        <v>448</v>
      </c>
      <c r="H322" s="85" t="s">
        <v>1393</v>
      </c>
      <c r="I322" s="59" t="str">
        <f>VLOOKUP(J322,'lista obszary'!A:B,2,0)</f>
        <v>CASTING</v>
      </c>
      <c r="J322" s="78" t="s">
        <v>2149</v>
      </c>
      <c r="K322" s="87" t="s">
        <v>539</v>
      </c>
      <c r="L322" s="82" t="s">
        <v>2444</v>
      </c>
      <c r="M322" s="23"/>
      <c r="N322" s="23"/>
      <c r="O322" s="23"/>
      <c r="P322" s="19" t="s">
        <v>175</v>
      </c>
      <c r="Q322" s="26"/>
      <c r="R322" s="26"/>
      <c r="S322" s="47"/>
      <c r="T322" s="4" t="e">
        <f>VLOOKUP(#REF!,#REF!,2,0)</f>
        <v>#REF!</v>
      </c>
      <c r="U322" s="20" t="e">
        <f t="shared" si="6"/>
        <v>#REF!</v>
      </c>
      <c r="V322" s="47"/>
      <c r="W322" s="43"/>
      <c r="X322" s="66" t="e">
        <f>VLOOKUP(D322,#REF!,2,0)</f>
        <v>#REF!</v>
      </c>
      <c r="Y322" s="67" t="s">
        <v>2643</v>
      </c>
    </row>
    <row r="323" spans="1:26" ht="13.65" customHeight="1">
      <c r="A323" s="91">
        <v>322</v>
      </c>
      <c r="B323" s="19" t="s">
        <v>734</v>
      </c>
      <c r="C323" s="3" t="str">
        <f>VLOOKUP(D323,'lista 1'!$A$2:$F3841,4,0)</f>
        <v>KRZEMIŃSKI ADAM</v>
      </c>
      <c r="D323" s="73">
        <v>2265</v>
      </c>
      <c r="E323" s="4" t="str">
        <f>VLOOKUP(D323,'lista 1'!$A$2:$F$1802,5,0)</f>
        <v>TM</v>
      </c>
      <c r="F323" s="59" t="str">
        <f>VLOOKUP(G323,'lista obszary'!A:B,2,0)</f>
        <v>FORGING</v>
      </c>
      <c r="G323" s="76" t="s">
        <v>771</v>
      </c>
      <c r="H323" s="85" t="s">
        <v>1370</v>
      </c>
      <c r="I323" s="59" t="str">
        <f>VLOOKUP(J323,'lista obszary'!A:B,2,0)</f>
        <v>IL</v>
      </c>
      <c r="J323" s="78" t="s">
        <v>507</v>
      </c>
      <c r="K323" s="87" t="s">
        <v>1562</v>
      </c>
      <c r="L323" s="82" t="s">
        <v>2444</v>
      </c>
      <c r="M323" s="23"/>
      <c r="N323" s="23"/>
      <c r="O323" s="23"/>
      <c r="P323" s="19" t="s">
        <v>175</v>
      </c>
      <c r="Q323" s="26"/>
      <c r="R323" s="26"/>
      <c r="S323" s="47"/>
      <c r="T323" s="4" t="e">
        <f>VLOOKUP(#REF!,#REF!,2,0)</f>
        <v>#REF!</v>
      </c>
      <c r="U323" s="20" t="e">
        <f t="shared" si="6"/>
        <v>#REF!</v>
      </c>
      <c r="V323" s="47"/>
      <c r="W323" s="43"/>
      <c r="X323" s="66" t="e">
        <f>VLOOKUP(D323,#REF!,2,0)</f>
        <v>#REF!</v>
      </c>
      <c r="Y323" s="67" t="s">
        <v>2644</v>
      </c>
      <c r="Z323" s="67"/>
    </row>
    <row r="324" spans="1:26" ht="13.65" customHeight="1">
      <c r="A324" s="91">
        <v>323</v>
      </c>
      <c r="B324" s="19" t="s">
        <v>174</v>
      </c>
      <c r="C324" s="3" t="str">
        <f>VLOOKUP(D324,'lista 1'!$A$2:$F3842,4,0)</f>
        <v>KURNYTA STANISŁAW</v>
      </c>
      <c r="D324" s="73">
        <v>1670</v>
      </c>
      <c r="E324" s="4" t="str">
        <f>VLOOKUP(D324,'lista 1'!$A$2:$F$1802,5,0)</f>
        <v>TL</v>
      </c>
      <c r="F324" s="59" t="str">
        <f>VLOOKUP(G324,'lista obszary'!A:B,2,0)</f>
        <v>QC</v>
      </c>
      <c r="G324" s="76" t="s">
        <v>2152</v>
      </c>
      <c r="H324" s="85" t="s">
        <v>1924</v>
      </c>
      <c r="I324" s="59" t="str">
        <f>VLOOKUP(J324,'lista obszary'!A:B,2,0)</f>
        <v>QC</v>
      </c>
      <c r="J324" s="78" t="s">
        <v>2331</v>
      </c>
      <c r="K324" s="87" t="s">
        <v>1913</v>
      </c>
      <c r="L324" s="82" t="s">
        <v>2444</v>
      </c>
      <c r="M324" s="23"/>
      <c r="N324" s="23"/>
      <c r="O324" s="23"/>
      <c r="P324" s="19" t="s">
        <v>175</v>
      </c>
      <c r="Q324" s="26"/>
      <c r="R324" s="26"/>
      <c r="S324" s="47"/>
      <c r="T324" s="4" t="e">
        <f>VLOOKUP(#REF!,#REF!,2,0)</f>
        <v>#REF!</v>
      </c>
      <c r="U324" s="20" t="e">
        <f t="shared" si="6"/>
        <v>#REF!</v>
      </c>
      <c r="V324" s="47"/>
      <c r="W324" s="43"/>
      <c r="X324" s="66" t="e">
        <f>VLOOKUP(D324,#REF!,2,0)</f>
        <v>#REF!</v>
      </c>
      <c r="Y324" s="67" t="s">
        <v>2643</v>
      </c>
      <c r="Z324" s="67"/>
    </row>
    <row r="325" spans="1:26" ht="13.65" customHeight="1">
      <c r="A325" s="91">
        <v>324</v>
      </c>
      <c r="B325" s="19" t="s">
        <v>174</v>
      </c>
      <c r="C325" s="3" t="str">
        <f>VLOOKUP(D325,'lista 1'!$A$2:$F3843,4,0)</f>
        <v>KUŹMA PIOTR</v>
      </c>
      <c r="D325" s="73">
        <v>857</v>
      </c>
      <c r="E325" s="4" t="s">
        <v>223</v>
      </c>
      <c r="F325" s="59" t="str">
        <f>VLOOKUP(G325,'lista obszary'!A:B,2,0)</f>
        <v>CASTING</v>
      </c>
      <c r="G325" s="76" t="s">
        <v>475</v>
      </c>
      <c r="H325" s="85" t="s">
        <v>540</v>
      </c>
      <c r="I325" s="59" t="str">
        <f>VLOOKUP(J325,'lista obszary'!A:B,2,0)</f>
        <v>CASTING</v>
      </c>
      <c r="J325" s="78" t="s">
        <v>1598</v>
      </c>
      <c r="K325" s="87" t="s">
        <v>1920</v>
      </c>
      <c r="L325" s="82" t="s">
        <v>2444</v>
      </c>
      <c r="M325" s="23"/>
      <c r="N325" s="23"/>
      <c r="O325" s="23"/>
      <c r="P325" s="19" t="s">
        <v>175</v>
      </c>
      <c r="Q325" s="26"/>
      <c r="R325" s="26"/>
      <c r="S325" s="47"/>
      <c r="T325" s="47"/>
      <c r="U325" s="43"/>
      <c r="V325" s="8"/>
      <c r="W325" s="8"/>
      <c r="X325" s="66" t="e">
        <f>VLOOKUP(D325,#REF!,2,0)</f>
        <v>#REF!</v>
      </c>
      <c r="Y325" s="67" t="s">
        <v>2645</v>
      </c>
    </row>
    <row r="326" spans="1:26" ht="13.65" customHeight="1">
      <c r="A326" s="91">
        <v>325</v>
      </c>
      <c r="B326" s="19" t="s">
        <v>174</v>
      </c>
      <c r="C326" s="3" t="str">
        <f>VLOOKUP(D326,'lista 1'!$A$2:$F3844,4,0)</f>
        <v>KWIATEK WOJCIECH</v>
      </c>
      <c r="D326" s="73">
        <v>1323</v>
      </c>
      <c r="E326" s="4" t="str">
        <f>VLOOKUP(D326,'lista 1'!$A$2:$F$1802,5,0)</f>
        <v>TL</v>
      </c>
      <c r="F326" s="59" t="str">
        <f>VLOOKUP(G326,'lista obszary'!A:B,2,0)</f>
        <v>IL</v>
      </c>
      <c r="G326" s="76" t="s">
        <v>2329</v>
      </c>
      <c r="H326" s="85" t="s">
        <v>1551</v>
      </c>
      <c r="I326" s="59" t="str">
        <f>VLOOKUP(J326,'lista obszary'!A:B,2,0)</f>
        <v>IL</v>
      </c>
      <c r="J326" s="78" t="s">
        <v>2473</v>
      </c>
      <c r="K326" s="87" t="s">
        <v>2474</v>
      </c>
      <c r="L326" s="82" t="s">
        <v>2444</v>
      </c>
      <c r="M326" s="23"/>
      <c r="N326" s="23"/>
      <c r="O326" s="23"/>
      <c r="P326" s="19" t="s">
        <v>175</v>
      </c>
      <c r="Q326" s="26"/>
      <c r="R326" s="26"/>
      <c r="S326" s="47"/>
      <c r="T326" s="4" t="e">
        <f>VLOOKUP(#REF!,#REF!,2,0)</f>
        <v>#REF!</v>
      </c>
      <c r="U326" s="20" t="e">
        <f t="shared" ref="U326:U340" si="7">L326-T326</f>
        <v>#REF!</v>
      </c>
      <c r="V326" s="47"/>
      <c r="W326" s="43"/>
      <c r="X326" s="66" t="e">
        <f>VLOOKUP(D326,#REF!,2,0)</f>
        <v>#REF!</v>
      </c>
      <c r="Y326" s="67" t="s">
        <v>2643</v>
      </c>
      <c r="Z326" s="67"/>
    </row>
    <row r="327" spans="1:26" ht="13.65" customHeight="1">
      <c r="A327" s="91">
        <v>326</v>
      </c>
      <c r="B327" s="19" t="s">
        <v>734</v>
      </c>
      <c r="C327" s="3" t="str">
        <f>VLOOKUP(D327,'lista 1'!$A$2:$F3845,4,0)</f>
        <v>KOŁDA SEBASTIAN</v>
      </c>
      <c r="D327" s="73">
        <v>1107</v>
      </c>
      <c r="E327" s="4" t="str">
        <f>VLOOKUP(D327,'lista 1'!$A$2:$F$1802,5,0)</f>
        <v>TL2</v>
      </c>
      <c r="F327" s="59" t="str">
        <f>VLOOKUP(G327,'lista obszary'!A:B,2,0)</f>
        <v>ENGINES</v>
      </c>
      <c r="G327" s="76" t="s">
        <v>602</v>
      </c>
      <c r="H327" s="85" t="s">
        <v>1392</v>
      </c>
      <c r="I327" s="59" t="str">
        <f>VLOOKUP(J327,'lista obszary'!A:B,2,0)</f>
        <v>EPKM</v>
      </c>
      <c r="J327" s="78" t="s">
        <v>934</v>
      </c>
      <c r="K327" s="87" t="s">
        <v>1901</v>
      </c>
      <c r="L327" s="82" t="s">
        <v>2444</v>
      </c>
      <c r="M327" s="23"/>
      <c r="N327" s="23"/>
      <c r="O327" s="23"/>
      <c r="P327" s="19" t="s">
        <v>175</v>
      </c>
      <c r="Q327" s="26"/>
      <c r="R327" s="26"/>
      <c r="S327" s="47"/>
      <c r="T327" s="4" t="e">
        <f>VLOOKUP(#REF!,#REF!,2,0)</f>
        <v>#REF!</v>
      </c>
      <c r="U327" s="20" t="e">
        <f t="shared" si="7"/>
        <v>#REF!</v>
      </c>
      <c r="V327" s="47"/>
      <c r="W327" s="43"/>
      <c r="X327" s="66" t="e">
        <f>VLOOKUP(D327,#REF!,2,0)</f>
        <v>#REF!</v>
      </c>
      <c r="Y327" s="67" t="b">
        <f>F327=I327</f>
        <v>0</v>
      </c>
    </row>
    <row r="328" spans="1:26" ht="13.65" customHeight="1">
      <c r="A328" s="91">
        <v>327</v>
      </c>
      <c r="B328" s="19" t="s">
        <v>174</v>
      </c>
      <c r="C328" s="3" t="str">
        <f>VLOOKUP(D328,'lista 1'!$A$2:$F3846,4,0)</f>
        <v>MAŚLUSZCZAK DANIEL</v>
      </c>
      <c r="D328" s="73">
        <v>2550</v>
      </c>
      <c r="E328" s="4" t="str">
        <f>VLOOKUP(D328,'lista 1'!$A$2:$F$1802,5,0)</f>
        <v>TL</v>
      </c>
      <c r="F328" s="59" t="str">
        <f>VLOOKUP(G328,'lista obszary'!A:B,2,0)</f>
        <v>HV</v>
      </c>
      <c r="G328" s="76" t="s">
        <v>2450</v>
      </c>
      <c r="H328" s="85" t="s">
        <v>1582</v>
      </c>
      <c r="I328" s="59" t="str">
        <f>VLOOKUP(J328,'lista obszary'!A:B,2,0)</f>
        <v>HV</v>
      </c>
      <c r="J328" s="78" t="s">
        <v>2069</v>
      </c>
      <c r="K328" s="87" t="s">
        <v>528</v>
      </c>
      <c r="L328" s="82" t="s">
        <v>2444</v>
      </c>
      <c r="M328" s="23"/>
      <c r="N328" s="23"/>
      <c r="O328" s="23"/>
      <c r="P328" s="19" t="s">
        <v>175</v>
      </c>
      <c r="Q328" s="26"/>
      <c r="R328" s="26"/>
      <c r="S328" s="47"/>
      <c r="T328" s="4" t="e">
        <f>VLOOKUP(#REF!,#REF!,2,0)</f>
        <v>#REF!</v>
      </c>
      <c r="U328" s="20" t="e">
        <f t="shared" si="7"/>
        <v>#REF!</v>
      </c>
      <c r="V328" s="47"/>
      <c r="W328" s="43"/>
      <c r="X328" s="66" t="e">
        <f>VLOOKUP(D328,#REF!,2,0)</f>
        <v>#REF!</v>
      </c>
      <c r="Y328" s="67" t="b">
        <f>F328=I328</f>
        <v>1</v>
      </c>
    </row>
    <row r="329" spans="1:26" ht="13.65" customHeight="1">
      <c r="A329" s="91">
        <v>328</v>
      </c>
      <c r="B329" s="19" t="s">
        <v>174</v>
      </c>
      <c r="C329" s="3" t="str">
        <f>VLOOKUP(D329,'lista 1'!$A$2:$F3847,4,0)</f>
        <v>MAZGAJ MARIUSZ</v>
      </c>
      <c r="D329" s="73">
        <v>2515</v>
      </c>
      <c r="E329" s="4" t="str">
        <f>VLOOKUP(D329,'lista 1'!$A$2:$F$1802,5,0)</f>
        <v>TM2</v>
      </c>
      <c r="F329" s="59" t="str">
        <f>VLOOKUP(G329,'lista obszary'!A:B,2,0)</f>
        <v>ENGINES</v>
      </c>
      <c r="G329" s="76" t="s">
        <v>597</v>
      </c>
      <c r="H329" s="85" t="s">
        <v>1892</v>
      </c>
      <c r="I329" s="59" t="str">
        <f>VLOOKUP(J329,'lista obszary'!A:B,2,0)</f>
        <v>ENGINES</v>
      </c>
      <c r="J329" s="78" t="s">
        <v>2443</v>
      </c>
      <c r="K329" s="87" t="s">
        <v>2403</v>
      </c>
      <c r="L329" s="82" t="s">
        <v>2444</v>
      </c>
      <c r="M329" s="23"/>
      <c r="N329" s="23"/>
      <c r="O329" s="23"/>
      <c r="P329" s="19" t="s">
        <v>175</v>
      </c>
      <c r="Q329" s="26"/>
      <c r="R329" s="26"/>
      <c r="S329" s="47"/>
      <c r="T329" s="4"/>
      <c r="U329" s="20">
        <f t="shared" si="7"/>
        <v>43556</v>
      </c>
      <c r="V329" s="47"/>
      <c r="W329" s="43"/>
      <c r="X329" s="66" t="e">
        <f>VLOOKUP(D329,#REF!,2,0)</f>
        <v>#REF!</v>
      </c>
      <c r="Y329" s="67" t="s">
        <v>2643</v>
      </c>
      <c r="Z329" s="67"/>
    </row>
    <row r="330" spans="1:26" ht="13.65" customHeight="1">
      <c r="A330" s="91">
        <v>329</v>
      </c>
      <c r="B330" s="19" t="s">
        <v>174</v>
      </c>
      <c r="C330" s="3" t="str">
        <f>VLOOKUP(D330,'lista 1'!$A$2:$F3848,4,0)</f>
        <v>MISZTAL ADAM</v>
      </c>
      <c r="D330" s="73">
        <v>1117</v>
      </c>
      <c r="E330" s="4" t="str">
        <f>VLOOKUP(D330,'lista 1'!$A$2:$F$1802,5,0)</f>
        <v>TM MNX</v>
      </c>
      <c r="F330" s="59" t="str">
        <f>VLOOKUP(G330,'lista obszary'!A:B,2,0)</f>
        <v>CASTING</v>
      </c>
      <c r="G330" s="76" t="s">
        <v>2148</v>
      </c>
      <c r="H330" s="85" t="s">
        <v>539</v>
      </c>
      <c r="I330" s="59" t="str">
        <f>VLOOKUP(J330,'lista obszary'!A:B,2,0)</f>
        <v>CASTING</v>
      </c>
      <c r="J330" s="78" t="s">
        <v>2149</v>
      </c>
      <c r="K330" s="87" t="s">
        <v>539</v>
      </c>
      <c r="L330" s="82" t="s">
        <v>2444</v>
      </c>
      <c r="M330" s="23"/>
      <c r="N330" s="23"/>
      <c r="O330" s="23"/>
      <c r="P330" s="19" t="s">
        <v>175</v>
      </c>
      <c r="Q330" s="26"/>
      <c r="R330" s="26"/>
      <c r="S330" s="47"/>
      <c r="T330" s="4"/>
      <c r="U330" s="20">
        <f t="shared" si="7"/>
        <v>43556</v>
      </c>
      <c r="V330" s="47"/>
      <c r="W330" s="43"/>
      <c r="X330" s="66" t="e">
        <f>VLOOKUP(D330,#REF!,2,0)</f>
        <v>#REF!</v>
      </c>
      <c r="Y330" s="67" t="s">
        <v>2643</v>
      </c>
      <c r="Z330" s="67"/>
    </row>
    <row r="331" spans="1:26" ht="13.65" customHeight="1">
      <c r="A331" s="91">
        <v>330</v>
      </c>
      <c r="B331" s="19" t="s">
        <v>174</v>
      </c>
      <c r="C331" s="3" t="str">
        <f>VLOOKUP(D331,'lista 1'!$A$2:$F3849,4,0)</f>
        <v>MOLOCIOS MICHAŁ</v>
      </c>
      <c r="D331" s="73">
        <v>956</v>
      </c>
      <c r="E331" s="4" t="str">
        <f>VLOOKUP(D331,'lista 1'!$A$2:$F$1802,5,0)</f>
        <v>AC GRL</v>
      </c>
      <c r="F331" s="59" t="str">
        <f>VLOOKUP(G331,'lista obszary'!A:B,2,0)</f>
        <v>EC60</v>
      </c>
      <c r="G331" s="76" t="s">
        <v>224</v>
      </c>
      <c r="H331" s="85" t="s">
        <v>1912</v>
      </c>
      <c r="I331" s="59" t="str">
        <f>VLOOKUP(J331,'lista obszary'!A:B,2,0)</f>
        <v>EC60</v>
      </c>
      <c r="J331" s="78" t="s">
        <v>844</v>
      </c>
      <c r="K331" s="87" t="s">
        <v>1903</v>
      </c>
      <c r="L331" s="82" t="s">
        <v>2444</v>
      </c>
      <c r="M331" s="23"/>
      <c r="N331" s="23"/>
      <c r="O331" s="23"/>
      <c r="P331" s="19" t="s">
        <v>175</v>
      </c>
      <c r="Q331" s="26"/>
      <c r="R331" s="26"/>
      <c r="S331" s="47"/>
      <c r="T331" s="4" t="e">
        <f>VLOOKUP(#REF!,#REF!,2,0)</f>
        <v>#REF!</v>
      </c>
      <c r="U331" s="20" t="e">
        <f t="shared" si="7"/>
        <v>#REF!</v>
      </c>
      <c r="V331" s="47"/>
      <c r="W331" s="43"/>
      <c r="X331" s="66" t="e">
        <f>VLOOKUP(D331,#REF!,2,0)</f>
        <v>#REF!</v>
      </c>
      <c r="Y331" s="67" t="b">
        <f>F331=I331</f>
        <v>1</v>
      </c>
    </row>
    <row r="332" spans="1:26" ht="13.65" customHeight="1">
      <c r="A332" s="91">
        <v>331</v>
      </c>
      <c r="B332" s="19" t="s">
        <v>734</v>
      </c>
      <c r="C332" s="3" t="str">
        <f>VLOOKUP(D332,'lista 1'!$A$2:$F3850,4,0)</f>
        <v>MOSIĄDZ MARCIN</v>
      </c>
      <c r="D332" s="73">
        <v>1247</v>
      </c>
      <c r="E332" s="4" t="str">
        <f>VLOOKUP(D332,'lista 1'!$A$2:$F$1802,5,0)</f>
        <v>TM2</v>
      </c>
      <c r="F332" s="59" t="str">
        <f>VLOOKUP(G332,'lista obszary'!A:B,2,0)</f>
        <v>ENGINES</v>
      </c>
      <c r="G332" s="76" t="s">
        <v>772</v>
      </c>
      <c r="H332" s="85" t="s">
        <v>1389</v>
      </c>
      <c r="I332" s="59" t="str">
        <f>VLOOKUP(J332,'lista obszary'!A:B,2,0)</f>
        <v>IL</v>
      </c>
      <c r="J332" s="78" t="s">
        <v>511</v>
      </c>
      <c r="K332" s="87" t="s">
        <v>2472</v>
      </c>
      <c r="L332" s="82" t="s">
        <v>2444</v>
      </c>
      <c r="M332" s="23"/>
      <c r="N332" s="23"/>
      <c r="O332" s="23"/>
      <c r="P332" s="19" t="s">
        <v>175</v>
      </c>
      <c r="Q332" s="26"/>
      <c r="R332" s="26"/>
      <c r="S332" s="47"/>
      <c r="T332" s="4" t="e">
        <f>VLOOKUP(#REF!,#REF!,2,0)</f>
        <v>#REF!</v>
      </c>
      <c r="U332" s="20" t="e">
        <f t="shared" si="7"/>
        <v>#REF!</v>
      </c>
      <c r="V332" s="47"/>
      <c r="W332" s="43"/>
      <c r="X332" s="66" t="e">
        <f>VLOOKUP(D332,#REF!,2,0)</f>
        <v>#REF!</v>
      </c>
      <c r="Y332" s="67" t="s">
        <v>2644</v>
      </c>
      <c r="Z332" s="67"/>
    </row>
    <row r="333" spans="1:26" ht="13.65" customHeight="1">
      <c r="A333" s="91">
        <v>332</v>
      </c>
      <c r="B333" s="19" t="s">
        <v>174</v>
      </c>
      <c r="C333" s="3" t="str">
        <f>VLOOKUP(D333,'lista 1'!$A$2:$F3851,4,0)</f>
        <v>OBOZA BARTŁOMIEJ</v>
      </c>
      <c r="D333" s="73">
        <v>478</v>
      </c>
      <c r="E333" s="4" t="str">
        <f>VLOOKUP(D333,'lista 1'!$A$2:$F$1802,5,0)</f>
        <v>TECH</v>
      </c>
      <c r="F333" s="59" t="str">
        <f>VLOOKUP(G333,'lista obszary'!A:B,2,0)</f>
        <v>QE</v>
      </c>
      <c r="G333" s="76" t="s">
        <v>880</v>
      </c>
      <c r="H333" s="85" t="s">
        <v>2486</v>
      </c>
      <c r="I333" s="59" t="str">
        <f>VLOOKUP(J333,'lista obszary'!A:B,2,0)</f>
        <v>QE</v>
      </c>
      <c r="J333" s="78" t="s">
        <v>681</v>
      </c>
      <c r="K333" s="87" t="s">
        <v>2487</v>
      </c>
      <c r="L333" s="82" t="s">
        <v>2444</v>
      </c>
      <c r="M333" s="23"/>
      <c r="N333" s="23"/>
      <c r="O333" s="23"/>
      <c r="P333" s="19" t="s">
        <v>175</v>
      </c>
      <c r="Q333" s="26"/>
      <c r="R333" s="26"/>
      <c r="S333" s="47"/>
      <c r="T333" s="4" t="e">
        <f>VLOOKUP(#REF!,#REF!,2,0)</f>
        <v>#REF!</v>
      </c>
      <c r="U333" s="20" t="e">
        <f t="shared" si="7"/>
        <v>#REF!</v>
      </c>
      <c r="V333" s="47"/>
      <c r="W333" s="43"/>
      <c r="X333" s="66" t="e">
        <f>VLOOKUP(D333,#REF!,2,0)</f>
        <v>#REF!</v>
      </c>
      <c r="Y333" s="67" t="s">
        <v>2643</v>
      </c>
      <c r="Z333" s="67"/>
    </row>
    <row r="334" spans="1:26" ht="13.65" customHeight="1">
      <c r="A334" s="91">
        <v>333</v>
      </c>
      <c r="B334" s="19" t="s">
        <v>1990</v>
      </c>
      <c r="C334" s="3" t="str">
        <f>VLOOKUP(D334,'lista 1'!$A$2:$F3852,4,0)</f>
        <v>OLSZEWSKI TOMASZ</v>
      </c>
      <c r="D334" s="73">
        <v>1389</v>
      </c>
      <c r="E334" s="4" t="str">
        <f>VLOOKUP(D334,'lista 1'!$A$2:$F$1802,5,0)</f>
        <v>TM MNX</v>
      </c>
      <c r="F334" s="59" t="str">
        <f>VLOOKUP(G334,'lista obszary'!A:B,2,0)</f>
        <v>CASTING</v>
      </c>
      <c r="G334" s="76" t="s">
        <v>395</v>
      </c>
      <c r="H334" s="85" t="s">
        <v>1550</v>
      </c>
      <c r="I334" s="59" t="str">
        <f>VLOOKUP(J334,'lista obszary'!A:B,2,0)</f>
        <v>MNX TK</v>
      </c>
      <c r="J334" s="78" t="s">
        <v>1482</v>
      </c>
      <c r="K334" s="87" t="s">
        <v>2099</v>
      </c>
      <c r="L334" s="82" t="s">
        <v>2444</v>
      </c>
      <c r="M334" s="23"/>
      <c r="N334" s="23"/>
      <c r="O334" s="23"/>
      <c r="P334" s="19" t="s">
        <v>175</v>
      </c>
      <c r="Q334" s="26"/>
      <c r="R334" s="26"/>
      <c r="S334" s="47"/>
      <c r="T334" s="4" t="e">
        <f>VLOOKUP(#REF!,#REF!,2,0)</f>
        <v>#REF!</v>
      </c>
      <c r="U334" s="20" t="e">
        <f t="shared" si="7"/>
        <v>#REF!</v>
      </c>
      <c r="V334" s="47"/>
      <c r="W334" s="43"/>
      <c r="X334" s="66" t="e">
        <f>VLOOKUP(D334,#REF!,2,0)</f>
        <v>#REF!</v>
      </c>
      <c r="Y334" s="67" t="s">
        <v>2644</v>
      </c>
      <c r="Z334" s="67"/>
    </row>
    <row r="335" spans="1:26" ht="13.65" customHeight="1">
      <c r="A335" s="91">
        <v>334</v>
      </c>
      <c r="B335" s="19" t="s">
        <v>174</v>
      </c>
      <c r="C335" s="3" t="str">
        <f>VLOOKUP(D335,'lista 1'!$A$2:$F3853,4,0)</f>
        <v>OSAJDA ARTUR</v>
      </c>
      <c r="D335" s="73">
        <v>247</v>
      </c>
      <c r="E335" s="4" t="str">
        <f>VLOOKUP(D335,'lista 1'!$A$2:$F$1802,5,0)</f>
        <v>TL2</v>
      </c>
      <c r="F335" s="59" t="str">
        <f>VLOOKUP(G335,'lista obszary'!A:B,2,0)</f>
        <v>HV</v>
      </c>
      <c r="G335" s="76" t="s">
        <v>2323</v>
      </c>
      <c r="H335" s="85" t="s">
        <v>1904</v>
      </c>
      <c r="I335" s="59" t="str">
        <f>VLOOKUP(J335,'lista obszary'!A:B,2,0)</f>
        <v>HV</v>
      </c>
      <c r="J335" s="78" t="s">
        <v>2073</v>
      </c>
      <c r="K335" s="87" t="s">
        <v>2471</v>
      </c>
      <c r="L335" s="82" t="s">
        <v>2444</v>
      </c>
      <c r="M335" s="23"/>
      <c r="N335" s="23"/>
      <c r="O335" s="23"/>
      <c r="P335" s="19" t="s">
        <v>175</v>
      </c>
      <c r="Q335" s="26"/>
      <c r="R335" s="26"/>
      <c r="S335" s="47"/>
      <c r="T335" s="4" t="e">
        <f>VLOOKUP(#REF!,#REF!,2,0)</f>
        <v>#REF!</v>
      </c>
      <c r="U335" s="20" t="e">
        <f t="shared" si="7"/>
        <v>#REF!</v>
      </c>
      <c r="V335" s="47"/>
      <c r="W335" s="43"/>
      <c r="X335" s="66" t="e">
        <f>VLOOKUP(D335,#REF!,2,0)</f>
        <v>#REF!</v>
      </c>
      <c r="Y335" s="67" t="s">
        <v>2643</v>
      </c>
    </row>
    <row r="336" spans="1:26" ht="13.65" customHeight="1">
      <c r="A336" s="91">
        <v>335</v>
      </c>
      <c r="B336" s="19" t="s">
        <v>734</v>
      </c>
      <c r="C336" s="3" t="str">
        <f>VLOOKUP(D336,'lista 1'!$A$2:$F3854,4,0)</f>
        <v>PIETRUSA DAMIAN</v>
      </c>
      <c r="D336" s="73">
        <v>618</v>
      </c>
      <c r="E336" s="4" t="str">
        <f>VLOOKUP(D336,'lista 1'!$A$2:$F$1802,5,0)</f>
        <v>GRL</v>
      </c>
      <c r="F336" s="59" t="str">
        <f>VLOOKUP(G336,'lista obszary'!A:B,2,0)</f>
        <v>HV</v>
      </c>
      <c r="G336" s="76" t="s">
        <v>2073</v>
      </c>
      <c r="H336" s="85" t="s">
        <v>1904</v>
      </c>
      <c r="I336" s="59" t="str">
        <f>VLOOKUP(J336,'lista obszary'!A:B,2,0)</f>
        <v>EC60</v>
      </c>
      <c r="J336" s="78" t="s">
        <v>1325</v>
      </c>
      <c r="K336" s="87" t="s">
        <v>2071</v>
      </c>
      <c r="L336" s="82" t="s">
        <v>2444</v>
      </c>
      <c r="M336" s="23"/>
      <c r="N336" s="23"/>
      <c r="O336" s="23"/>
      <c r="P336" s="19" t="s">
        <v>175</v>
      </c>
      <c r="Q336" s="26"/>
      <c r="R336" s="26"/>
      <c r="S336" s="47"/>
      <c r="T336" s="4" t="e">
        <f>VLOOKUP(#REF!,#REF!,2,0)</f>
        <v>#REF!</v>
      </c>
      <c r="U336" s="20" t="e">
        <f t="shared" si="7"/>
        <v>#REF!</v>
      </c>
      <c r="V336" s="47"/>
      <c r="W336" s="43"/>
      <c r="X336" s="66" t="e">
        <f>VLOOKUP(D336,#REF!,2,0)</f>
        <v>#REF!</v>
      </c>
      <c r="Y336" s="67" t="b">
        <f>F336=I336</f>
        <v>0</v>
      </c>
    </row>
    <row r="337" spans="1:26" ht="13.65" customHeight="1">
      <c r="A337" s="91">
        <v>336</v>
      </c>
      <c r="B337" s="19" t="s">
        <v>734</v>
      </c>
      <c r="C337" s="3" t="e">
        <f>VLOOKUP(D337,'lista 1'!$A$2:$F3855,4,0)</f>
        <v>#N/A</v>
      </c>
      <c r="D337" s="73">
        <v>70501</v>
      </c>
      <c r="E337" s="4" t="e">
        <f>VLOOKUP(D337,'lista 1'!$A$2:$F$1802,5,0)</f>
        <v>#N/A</v>
      </c>
      <c r="F337" s="59" t="str">
        <f>VLOOKUP(G337,'lista obszary'!A:B,2,0)</f>
        <v>FORGING</v>
      </c>
      <c r="G337" s="76" t="s">
        <v>771</v>
      </c>
      <c r="H337" s="85" t="s">
        <v>1370</v>
      </c>
      <c r="I337" s="59" t="str">
        <f>VLOOKUP(J337,'lista obszary'!A:B,2,0)</f>
        <v>EC60</v>
      </c>
      <c r="J337" s="78" t="s">
        <v>570</v>
      </c>
      <c r="K337" s="87" t="s">
        <v>1893</v>
      </c>
      <c r="L337" s="82" t="s">
        <v>2444</v>
      </c>
      <c r="M337" s="23"/>
      <c r="N337" s="23"/>
      <c r="O337" s="23"/>
      <c r="P337" s="19" t="s">
        <v>175</v>
      </c>
      <c r="Q337" s="26"/>
      <c r="R337" s="26"/>
      <c r="S337" s="47"/>
      <c r="T337" s="4" t="e">
        <f>VLOOKUP(#REF!,#REF!,2,0)</f>
        <v>#REF!</v>
      </c>
      <c r="U337" s="20" t="e">
        <f t="shared" si="7"/>
        <v>#REF!</v>
      </c>
      <c r="V337" s="47"/>
      <c r="W337" s="43"/>
      <c r="X337" s="66" t="e">
        <f>VLOOKUP(D337,#REF!,2,0)</f>
        <v>#REF!</v>
      </c>
      <c r="Y337" s="67" t="s">
        <v>2644</v>
      </c>
      <c r="Z337" s="67"/>
    </row>
    <row r="338" spans="1:26" ht="13.65" customHeight="1">
      <c r="A338" s="91">
        <v>337</v>
      </c>
      <c r="B338" s="19" t="s">
        <v>174</v>
      </c>
      <c r="C338" s="3" t="str">
        <f>VLOOKUP(D338,'lista 1'!$A$2:$F3856,4,0)</f>
        <v>RESZEL KRZYSZTOF</v>
      </c>
      <c r="D338" s="73">
        <v>931</v>
      </c>
      <c r="E338" s="4" t="str">
        <f>VLOOKUP(D338,'lista 1'!$A$2:$F$1802,5,0)</f>
        <v>TM MNX2</v>
      </c>
      <c r="F338" s="59" t="str">
        <f>VLOOKUP(G338,'lista obszary'!A:B,2,0)</f>
        <v>CASTING</v>
      </c>
      <c r="G338" s="76" t="s">
        <v>2150</v>
      </c>
      <c r="H338" s="85" t="s">
        <v>539</v>
      </c>
      <c r="I338" s="59" t="str">
        <f>VLOOKUP(J338,'lista obszary'!A:B,2,0)</f>
        <v>CASTING</v>
      </c>
      <c r="J338" s="78" t="s">
        <v>2148</v>
      </c>
      <c r="K338" s="87" t="s">
        <v>539</v>
      </c>
      <c r="L338" s="82" t="s">
        <v>2444</v>
      </c>
      <c r="M338" s="23"/>
      <c r="N338" s="23"/>
      <c r="O338" s="23"/>
      <c r="P338" s="19" t="s">
        <v>175</v>
      </c>
      <c r="Q338" s="26"/>
      <c r="R338" s="26"/>
      <c r="S338" s="47"/>
      <c r="T338" s="4"/>
      <c r="U338" s="20">
        <f t="shared" si="7"/>
        <v>43556</v>
      </c>
      <c r="V338" s="47"/>
      <c r="W338" s="43"/>
      <c r="X338" s="66" t="e">
        <f>VLOOKUP(D338,#REF!,2,0)</f>
        <v>#REF!</v>
      </c>
      <c r="Y338" s="67" t="b">
        <f>F338=I338</f>
        <v>1</v>
      </c>
    </row>
    <row r="339" spans="1:26" ht="13.65" customHeight="1">
      <c r="A339" s="91">
        <v>338</v>
      </c>
      <c r="B339" s="19" t="s">
        <v>734</v>
      </c>
      <c r="C339" s="3" t="str">
        <f>VLOOKUP(D339,'lista 1'!$A$2:$F3857,4,0)</f>
        <v>GŁOGOWSKA MARZENA</v>
      </c>
      <c r="D339" s="73">
        <v>1205</v>
      </c>
      <c r="E339" s="4" t="str">
        <f>VLOOKUP(D339,'lista 1'!$A$2:$F$1802,5,0)</f>
        <v>AC TL</v>
      </c>
      <c r="F339" s="59" t="str">
        <f>VLOOKUP(G339,'lista obszary'!A:B,2,0)</f>
        <v>HV</v>
      </c>
      <c r="G339" s="76" t="s">
        <v>2073</v>
      </c>
      <c r="H339" s="85" t="s">
        <v>1904</v>
      </c>
      <c r="I339" s="59" t="str">
        <f>VLOOKUP(J339,'lista obszary'!A:B,2,0)</f>
        <v>EPKM</v>
      </c>
      <c r="J339" s="78" t="s">
        <v>934</v>
      </c>
      <c r="K339" s="87" t="s">
        <v>1901</v>
      </c>
      <c r="L339" s="82" t="s">
        <v>2444</v>
      </c>
      <c r="M339" s="23"/>
      <c r="N339" s="23"/>
      <c r="O339" s="23"/>
      <c r="P339" s="19" t="s">
        <v>175</v>
      </c>
      <c r="Q339" s="26"/>
      <c r="R339" s="26"/>
      <c r="S339" s="47"/>
      <c r="T339" s="4" t="e">
        <f>VLOOKUP(#REF!,#REF!,2,0)</f>
        <v>#REF!</v>
      </c>
      <c r="U339" s="20" t="e">
        <f t="shared" si="7"/>
        <v>#REF!</v>
      </c>
      <c r="V339" s="47"/>
      <c r="W339" s="43"/>
      <c r="X339" s="66" t="e">
        <f>VLOOKUP(D339,#REF!,2,0)</f>
        <v>#REF!</v>
      </c>
      <c r="Y339" s="67" t="b">
        <f>F339=I339</f>
        <v>0</v>
      </c>
    </row>
    <row r="340" spans="1:26" ht="13.65" customHeight="1">
      <c r="A340" s="91">
        <v>339</v>
      </c>
      <c r="B340" s="19" t="s">
        <v>174</v>
      </c>
      <c r="C340" s="3" t="str">
        <f>VLOOKUP(D340,'lista 1'!$A$2:$F3858,4,0)</f>
        <v>RYKOWSKI ŁUKASZ</v>
      </c>
      <c r="D340" s="73">
        <v>1579</v>
      </c>
      <c r="E340" s="4" t="str">
        <f>VLOOKUP(D340,'lista 1'!$A$2:$F$1802,5,0)</f>
        <v>TL MNX</v>
      </c>
      <c r="F340" s="59" t="str">
        <f>VLOOKUP(G340,'lista obszary'!A:B,2,0)</f>
        <v>CASTING</v>
      </c>
      <c r="G340" s="76" t="s">
        <v>690</v>
      </c>
      <c r="H340" s="85" t="s">
        <v>543</v>
      </c>
      <c r="I340" s="59" t="str">
        <f>VLOOKUP(J340,'lista obszary'!A:B,2,0)</f>
        <v>HV PJT</v>
      </c>
      <c r="J340" s="78" t="s">
        <v>2086</v>
      </c>
      <c r="K340" s="87" t="s">
        <v>1569</v>
      </c>
      <c r="L340" s="82" t="s">
        <v>2444</v>
      </c>
      <c r="M340" s="23"/>
      <c r="N340" s="23"/>
      <c r="O340" s="23"/>
      <c r="P340" s="19" t="s">
        <v>175</v>
      </c>
      <c r="Q340" s="26"/>
      <c r="R340" s="26"/>
      <c r="S340" s="47"/>
      <c r="T340" s="4" t="e">
        <f>VLOOKUP(#REF!,#REF!,2,0)</f>
        <v>#REF!</v>
      </c>
      <c r="U340" s="20" t="e">
        <f t="shared" si="7"/>
        <v>#REF!</v>
      </c>
      <c r="V340" s="47"/>
      <c r="W340" s="43"/>
      <c r="X340" s="66" t="e">
        <f>VLOOKUP(D340,#REF!,2,0)</f>
        <v>#REF!</v>
      </c>
      <c r="Y340" s="67" t="s">
        <v>2644</v>
      </c>
      <c r="Z340" s="67"/>
    </row>
    <row r="341" spans="1:26" ht="13.65" customHeight="1">
      <c r="A341" s="91">
        <v>340</v>
      </c>
      <c r="B341" s="19"/>
      <c r="C341" s="3" t="str">
        <f>VLOOKUP(D341,'lista 1'!$A$2:$F3859,4,0)</f>
        <v>SATORA SYLWIA</v>
      </c>
      <c r="D341" s="73">
        <v>2340</v>
      </c>
      <c r="E341" s="4" t="str">
        <f>VLOOKUP(D341,'lista 1'!$A$2:$F$1802,5,0)</f>
        <v>TM2</v>
      </c>
      <c r="F341" s="59" t="str">
        <f>VLOOKUP(G341,'lista obszary'!A:B,2,0)</f>
        <v>ENGINES</v>
      </c>
      <c r="G341" s="76" t="s">
        <v>318</v>
      </c>
      <c r="H341" s="85" t="s">
        <v>2495</v>
      </c>
      <c r="I341" s="59" t="str">
        <f>VLOOKUP(J341,'lista obszary'!A:B,2,0)</f>
        <v>ENGINES</v>
      </c>
      <c r="J341" s="78" t="s">
        <v>238</v>
      </c>
      <c r="K341" s="87" t="s">
        <v>1584</v>
      </c>
      <c r="L341" s="82" t="s">
        <v>2444</v>
      </c>
      <c r="M341" s="22"/>
      <c r="N341" s="22"/>
      <c r="O341" s="22"/>
      <c r="P341" s="19" t="s">
        <v>175</v>
      </c>
      <c r="Q341" s="26"/>
      <c r="R341" s="26"/>
      <c r="S341" s="47"/>
      <c r="T341" s="4"/>
      <c r="U341" s="20"/>
      <c r="V341" s="47"/>
      <c r="W341" s="43"/>
      <c r="X341" s="66" t="e">
        <f>VLOOKUP(D341,#REF!,2,0)</f>
        <v>#REF!</v>
      </c>
      <c r="Y341" s="67" t="b">
        <f>F341=I341</f>
        <v>1</v>
      </c>
    </row>
    <row r="342" spans="1:26" ht="13.65" customHeight="1">
      <c r="A342" s="91">
        <v>341</v>
      </c>
      <c r="B342" s="19" t="s">
        <v>174</v>
      </c>
      <c r="C342" s="3" t="e">
        <f>VLOOKUP(D342,'lista 1'!$A$2:$F3860,4,0)</f>
        <v>#N/A</v>
      </c>
      <c r="D342" s="73">
        <v>64423</v>
      </c>
      <c r="E342" s="4" t="e">
        <f>VLOOKUP(D342,'lista 1'!$A$2:$F$1802,5,0)</f>
        <v>#N/A</v>
      </c>
      <c r="F342" s="59" t="str">
        <f>VLOOKUP(G342,'lista obszary'!A:B,2,0)</f>
        <v>HV</v>
      </c>
      <c r="G342" s="76" t="s">
        <v>2323</v>
      </c>
      <c r="H342" s="85" t="s">
        <v>1904</v>
      </c>
      <c r="I342" s="59" t="str">
        <f>VLOOKUP(J342,'lista obszary'!A:B,2,0)</f>
        <v>HV</v>
      </c>
      <c r="J342" s="78" t="s">
        <v>2448</v>
      </c>
      <c r="K342" s="87" t="s">
        <v>1555</v>
      </c>
      <c r="L342" s="82" t="s">
        <v>2444</v>
      </c>
      <c r="M342" s="23"/>
      <c r="N342" s="23"/>
      <c r="O342" s="23"/>
      <c r="P342" s="19" t="s">
        <v>175</v>
      </c>
      <c r="Q342" s="26"/>
      <c r="R342" s="26"/>
      <c r="S342" s="47"/>
      <c r="T342" s="4" t="e">
        <f>VLOOKUP(#REF!,#REF!,2,0)</f>
        <v>#REF!</v>
      </c>
      <c r="U342" s="20" t="e">
        <f>L342-T342</f>
        <v>#REF!</v>
      </c>
      <c r="V342" s="47"/>
      <c r="W342" s="43"/>
      <c r="X342" s="66" t="e">
        <f>VLOOKUP(D342,#REF!,2,0)</f>
        <v>#REF!</v>
      </c>
      <c r="Y342" s="67" t="s">
        <v>2643</v>
      </c>
      <c r="Z342" s="67"/>
    </row>
    <row r="343" spans="1:26" ht="13.65" customHeight="1">
      <c r="A343" s="91">
        <v>342</v>
      </c>
      <c r="B343" s="19" t="s">
        <v>174</v>
      </c>
      <c r="C343" s="3" t="e">
        <f>VLOOKUP(D343,'lista 1'!$A$2:$F3861,4,0)</f>
        <v>#N/A</v>
      </c>
      <c r="D343" s="73">
        <v>64424</v>
      </c>
      <c r="E343" s="4" t="e">
        <f>VLOOKUP(D343,'lista 1'!$A$2:$F$1802,5,0)</f>
        <v>#N/A</v>
      </c>
      <c r="F343" s="59" t="str">
        <f>VLOOKUP(G343,'lista obszary'!A:B,2,0)</f>
        <v>HV</v>
      </c>
      <c r="G343" s="76" t="s">
        <v>2069</v>
      </c>
      <c r="H343" s="85" t="s">
        <v>528</v>
      </c>
      <c r="I343" s="59" t="str">
        <f>VLOOKUP(J343,'lista obszary'!A:B,2,0)</f>
        <v>HV</v>
      </c>
      <c r="J343" s="78" t="s">
        <v>2450</v>
      </c>
      <c r="K343" s="87" t="s">
        <v>1582</v>
      </c>
      <c r="L343" s="82" t="s">
        <v>2444</v>
      </c>
      <c r="M343" s="23"/>
      <c r="N343" s="23"/>
      <c r="O343" s="23"/>
      <c r="P343" s="19" t="s">
        <v>175</v>
      </c>
      <c r="Q343" s="26"/>
      <c r="R343" s="26"/>
      <c r="S343" s="47"/>
      <c r="T343" s="4" t="e">
        <f>VLOOKUP(#REF!,#REF!,2,0)</f>
        <v>#REF!</v>
      </c>
      <c r="U343" s="20" t="e">
        <f>L343-T343</f>
        <v>#REF!</v>
      </c>
      <c r="V343" s="47"/>
      <c r="W343" s="43"/>
      <c r="X343" s="66" t="e">
        <f>VLOOKUP(D343,#REF!,2,0)</f>
        <v>#REF!</v>
      </c>
      <c r="Y343" s="67" t="s">
        <v>2643</v>
      </c>
      <c r="Z343" s="67"/>
    </row>
    <row r="344" spans="1:26" ht="13.65" customHeight="1">
      <c r="A344" s="91">
        <v>343</v>
      </c>
      <c r="B344" s="19"/>
      <c r="C344" s="3" t="e">
        <f>VLOOKUP(D344,'lista 1'!$A$2:$F3862,4,0)</f>
        <v>#N/A</v>
      </c>
      <c r="D344" s="73">
        <v>70510</v>
      </c>
      <c r="E344" s="4" t="e">
        <f>VLOOKUP(D344,'lista 1'!$A$2:$F$1802,5,0)</f>
        <v>#N/A</v>
      </c>
      <c r="F344" s="59" t="str">
        <f>VLOOKUP(G344,'lista obszary'!A:B,2,0)</f>
        <v>ENGINES</v>
      </c>
      <c r="G344" s="76" t="s">
        <v>1081</v>
      </c>
      <c r="H344" s="85" t="s">
        <v>2494</v>
      </c>
      <c r="I344" s="59" t="str">
        <f>VLOOKUP(J344,'lista obszary'!A:B,2,0)</f>
        <v>ENGINES</v>
      </c>
      <c r="J344" s="78" t="s">
        <v>238</v>
      </c>
      <c r="K344" s="87" t="s">
        <v>1584</v>
      </c>
      <c r="L344" s="82" t="s">
        <v>2444</v>
      </c>
      <c r="M344" s="22"/>
      <c r="N344" s="22"/>
      <c r="O344" s="22"/>
      <c r="P344" s="19" t="s">
        <v>175</v>
      </c>
      <c r="Q344" s="26"/>
      <c r="R344" s="26"/>
      <c r="S344" s="47"/>
      <c r="T344" s="4"/>
      <c r="U344" s="20"/>
      <c r="V344" s="47"/>
      <c r="W344" s="43"/>
      <c r="X344" s="66" t="e">
        <f>VLOOKUP(D344,#REF!,2,0)</f>
        <v>#REF!</v>
      </c>
      <c r="Y344" s="67" t="b">
        <f>F344=I344</f>
        <v>1</v>
      </c>
      <c r="Z344" s="67"/>
    </row>
    <row r="345" spans="1:26" ht="13.65" customHeight="1">
      <c r="A345" s="91">
        <v>344</v>
      </c>
      <c r="B345" s="19" t="s">
        <v>734</v>
      </c>
      <c r="C345" s="3" t="str">
        <f>VLOOKUP(D345,'lista 1'!$A$2:$F3863,4,0)</f>
        <v>FLADER AGNIESZKA</v>
      </c>
      <c r="D345" s="73">
        <v>1656</v>
      </c>
      <c r="E345" s="4" t="str">
        <f>VLOOKUP(D345,'lista 1'!$A$2:$F$1802,5,0)</f>
        <v>AC TL</v>
      </c>
      <c r="F345" s="59" t="str">
        <f>VLOOKUP(G345,'lista obszary'!A:B,2,0)</f>
        <v>HV</v>
      </c>
      <c r="G345" s="76" t="s">
        <v>2324</v>
      </c>
      <c r="H345" s="85" t="s">
        <v>2326</v>
      </c>
      <c r="I345" s="59" t="str">
        <f>VLOOKUP(J345,'lista obszary'!A:B,2,0)</f>
        <v>EPKM</v>
      </c>
      <c r="J345" s="78" t="s">
        <v>934</v>
      </c>
      <c r="K345" s="87" t="s">
        <v>1901</v>
      </c>
      <c r="L345" s="82" t="s">
        <v>2444</v>
      </c>
      <c r="M345" s="23"/>
      <c r="N345" s="23"/>
      <c r="O345" s="23"/>
      <c r="P345" s="19" t="s">
        <v>175</v>
      </c>
      <c r="Q345" s="26"/>
      <c r="R345" s="26"/>
      <c r="S345" s="47"/>
      <c r="T345" s="4" t="e">
        <f>VLOOKUP(#REF!,#REF!,2,0)</f>
        <v>#REF!</v>
      </c>
      <c r="U345" s="20" t="e">
        <f>L345-T345</f>
        <v>#REF!</v>
      </c>
      <c r="V345" s="47"/>
      <c r="W345" s="43"/>
      <c r="X345" s="66" t="e">
        <f>VLOOKUP(D345,#REF!,2,0)</f>
        <v>#REF!</v>
      </c>
      <c r="Y345" s="67" t="b">
        <f>F345=I345</f>
        <v>0</v>
      </c>
    </row>
    <row r="346" spans="1:26" ht="13.65" customHeight="1">
      <c r="A346" s="91">
        <v>345</v>
      </c>
      <c r="B346" s="19" t="s">
        <v>174</v>
      </c>
      <c r="C346" s="3" t="str">
        <f>VLOOKUP(D346,'lista 1'!$A$2:$F3864,4,0)</f>
        <v>WOJTAROWICZ TOMASZ</v>
      </c>
      <c r="D346" s="73">
        <v>428</v>
      </c>
      <c r="E346" s="4" t="str">
        <f>VLOOKUP(D346,'lista 1'!$A$2:$F$1802,5,0)</f>
        <v>TL</v>
      </c>
      <c r="F346" s="59" t="str">
        <f>VLOOKUP(G346,'lista obszary'!A:B,2,0)</f>
        <v>HV</v>
      </c>
      <c r="G346" s="76" t="s">
        <v>2073</v>
      </c>
      <c r="H346" s="85" t="s">
        <v>2471</v>
      </c>
      <c r="I346" s="59" t="str">
        <f>VLOOKUP(J346,'lista obszary'!A:B,2,0)</f>
        <v>HV</v>
      </c>
      <c r="J346" s="78" t="s">
        <v>2323</v>
      </c>
      <c r="K346" s="87" t="s">
        <v>1904</v>
      </c>
      <c r="L346" s="82" t="s">
        <v>2444</v>
      </c>
      <c r="M346" s="23"/>
      <c r="N346" s="23"/>
      <c r="O346" s="23"/>
      <c r="P346" s="19" t="s">
        <v>175</v>
      </c>
      <c r="Q346" s="26"/>
      <c r="R346" s="26"/>
      <c r="S346" s="47"/>
      <c r="T346" s="4" t="e">
        <f>VLOOKUP(#REF!,#REF!,2,0)</f>
        <v>#REF!</v>
      </c>
      <c r="U346" s="20" t="e">
        <f>L346-T346</f>
        <v>#REF!</v>
      </c>
      <c r="V346" s="47"/>
      <c r="W346" s="43"/>
      <c r="X346" s="66" t="e">
        <f>VLOOKUP(D346,#REF!,2,0)</f>
        <v>#REF!</v>
      </c>
      <c r="Y346" s="67" t="b">
        <f>F346=I346</f>
        <v>1</v>
      </c>
    </row>
    <row r="347" spans="1:26" ht="13.65" customHeight="1">
      <c r="A347" s="91">
        <v>346</v>
      </c>
      <c r="B347" s="19" t="s">
        <v>174</v>
      </c>
      <c r="C347" s="3" t="str">
        <f>VLOOKUP(D347,'lista 1'!$A$2:$F3865,4,0)</f>
        <v>ZAWADZKI RAFAŁ</v>
      </c>
      <c r="D347" s="73">
        <v>2381</v>
      </c>
      <c r="E347" s="4" t="str">
        <f>VLOOKUP(D347,'lista 1'!$A$2:$F$1802,5,0)</f>
        <v>TM2</v>
      </c>
      <c r="F347" s="59" t="str">
        <f>VLOOKUP(G347,'lista obszary'!A:B,2,0)</f>
        <v>IL</v>
      </c>
      <c r="G347" s="76" t="s">
        <v>514</v>
      </c>
      <c r="H347" s="85" t="s">
        <v>2472</v>
      </c>
      <c r="I347" s="59" t="str">
        <f>VLOOKUP(J347,'lista obszary'!A:B,2,0)</f>
        <v>IL</v>
      </c>
      <c r="J347" s="78" t="s">
        <v>2329</v>
      </c>
      <c r="K347" s="87" t="s">
        <v>1551</v>
      </c>
      <c r="L347" s="82" t="s">
        <v>2444</v>
      </c>
      <c r="M347" s="23"/>
      <c r="N347" s="23"/>
      <c r="O347" s="23"/>
      <c r="P347" s="19" t="s">
        <v>175</v>
      </c>
      <c r="Q347" s="26"/>
      <c r="R347" s="26"/>
      <c r="S347" s="47"/>
      <c r="T347" s="4" t="e">
        <f>VLOOKUP(#REF!,#REF!,2,0)</f>
        <v>#REF!</v>
      </c>
      <c r="U347" s="20" t="e">
        <f>L347-T347</f>
        <v>#REF!</v>
      </c>
      <c r="V347" s="47"/>
      <c r="W347" s="43"/>
      <c r="X347" s="66" t="e">
        <f>VLOOKUP(D347,#REF!,2,0)</f>
        <v>#REF!</v>
      </c>
      <c r="Y347" s="67" t="s">
        <v>2643</v>
      </c>
      <c r="Z347" s="67"/>
    </row>
    <row r="348" spans="1:26" ht="13.65" customHeight="1">
      <c r="A348" s="91">
        <v>347</v>
      </c>
      <c r="B348" s="19" t="s">
        <v>174</v>
      </c>
      <c r="C348" s="3" t="str">
        <f>VLOOKUP(D348,'lista 1'!$A$2:$F3866,4,0)</f>
        <v>ZDRAL JAROSŁAW</v>
      </c>
      <c r="D348" s="73">
        <v>2878</v>
      </c>
      <c r="E348" s="4" t="str">
        <f>VLOOKUP(D348,'lista 1'!$A$2:$F$1802,5,0)</f>
        <v>TECH MNX</v>
      </c>
      <c r="F348" s="59" t="str">
        <f>VLOOKUP(G348,'lista obszary'!A:B,2,0)</f>
        <v>CASTING</v>
      </c>
      <c r="G348" s="76" t="s">
        <v>2150</v>
      </c>
      <c r="H348" s="85" t="s">
        <v>539</v>
      </c>
      <c r="I348" s="59" t="str">
        <f>VLOOKUP(J348,'lista obszary'!A:B,2,0)</f>
        <v>CASTING</v>
      </c>
      <c r="J348" s="78" t="s">
        <v>2149</v>
      </c>
      <c r="K348" s="87" t="s">
        <v>539</v>
      </c>
      <c r="L348" s="82" t="s">
        <v>2444</v>
      </c>
      <c r="M348" s="23"/>
      <c r="N348" s="23"/>
      <c r="O348" s="23"/>
      <c r="P348" s="19" t="s">
        <v>175</v>
      </c>
      <c r="Q348" s="26"/>
      <c r="R348" s="26"/>
      <c r="S348" s="47"/>
      <c r="T348" s="4" t="e">
        <f>VLOOKUP(#REF!,#REF!,2,0)</f>
        <v>#REF!</v>
      </c>
      <c r="U348" s="20" t="e">
        <f>L348-T348</f>
        <v>#REF!</v>
      </c>
      <c r="V348" s="47"/>
      <c r="W348" s="43"/>
      <c r="X348" s="66" t="e">
        <f>VLOOKUP(D348,#REF!,2,0)</f>
        <v>#REF!</v>
      </c>
      <c r="Y348" s="67" t="b">
        <f>F348=I348</f>
        <v>1</v>
      </c>
    </row>
    <row r="349" spans="1:26" ht="13.65" customHeight="1">
      <c r="A349" s="91">
        <v>348</v>
      </c>
      <c r="B349" s="19"/>
      <c r="C349" s="3" t="e">
        <f>VLOOKUP(D349,'lista 1'!$A$2:$F3867,4,0)</f>
        <v>#N/A</v>
      </c>
      <c r="D349" s="73">
        <v>64322</v>
      </c>
      <c r="E349" s="4" t="e">
        <f>VLOOKUP(D349,'lista 1'!$A$2:$F$1802,5,0)</f>
        <v>#N/A</v>
      </c>
      <c r="F349" s="59" t="str">
        <f>VLOOKUP(G349,'lista obszary'!A:B,2,0)</f>
        <v>ENGINES</v>
      </c>
      <c r="G349" s="76" t="s">
        <v>1081</v>
      </c>
      <c r="H349" s="85" t="s">
        <v>2494</v>
      </c>
      <c r="I349" s="59" t="str">
        <f>VLOOKUP(J349,'lista obszary'!A:B,2,0)</f>
        <v>ENGINES</v>
      </c>
      <c r="J349" s="78" t="s">
        <v>238</v>
      </c>
      <c r="K349" s="87" t="s">
        <v>1584</v>
      </c>
      <c r="L349" s="82" t="s">
        <v>2444</v>
      </c>
      <c r="M349" s="22"/>
      <c r="N349" s="22"/>
      <c r="O349" s="22"/>
      <c r="P349" s="19" t="s">
        <v>175</v>
      </c>
      <c r="Q349" s="26"/>
      <c r="R349" s="26"/>
      <c r="S349" s="47"/>
      <c r="T349" s="4"/>
      <c r="U349" s="20"/>
      <c r="V349" s="47"/>
      <c r="W349" s="43"/>
      <c r="X349" s="66" t="e">
        <f>VLOOKUP(D349,#REF!,2,0)</f>
        <v>#REF!</v>
      </c>
      <c r="Y349" s="67" t="s">
        <v>2643</v>
      </c>
      <c r="Z349" s="67"/>
    </row>
    <row r="350" spans="1:26" ht="13.65" customHeight="1">
      <c r="A350" s="91">
        <v>349</v>
      </c>
      <c r="B350" s="19" t="s">
        <v>734</v>
      </c>
      <c r="C350" s="3" t="str">
        <f>VLOOKUP(D350,'lista 1'!$A$2:$F3868,4,0)</f>
        <v>MAGRYTA ARTUR</v>
      </c>
      <c r="D350" s="73">
        <v>2102</v>
      </c>
      <c r="E350" s="4" t="str">
        <f>VLOOKUP(D350,'lista 1'!$A$2:$F$1802,5,0)</f>
        <v>TM2</v>
      </c>
      <c r="F350" s="59" t="str">
        <f>VLOOKUP(G350,'lista obszary'!A:B,2,0)</f>
        <v>CASTING</v>
      </c>
      <c r="G350" s="76" t="s">
        <v>683</v>
      </c>
      <c r="H350" s="85" t="s">
        <v>1900</v>
      </c>
      <c r="I350" s="59" t="str">
        <f>VLOOKUP(J350,'lista obszary'!A:B,2,0)</f>
        <v>EPKM</v>
      </c>
      <c r="J350" s="78" t="s">
        <v>934</v>
      </c>
      <c r="K350" s="87" t="s">
        <v>1901</v>
      </c>
      <c r="L350" s="82" t="s">
        <v>2444</v>
      </c>
      <c r="M350" s="23"/>
      <c r="N350" s="23"/>
      <c r="O350" s="23"/>
      <c r="P350" s="19" t="s">
        <v>175</v>
      </c>
      <c r="Q350" s="26" t="s">
        <v>2101</v>
      </c>
      <c r="R350" s="60">
        <v>43739</v>
      </c>
      <c r="S350" s="47" t="s">
        <v>1629</v>
      </c>
      <c r="T350" s="4"/>
      <c r="U350" s="20">
        <f>L350-T350</f>
        <v>43556</v>
      </c>
      <c r="V350" s="47"/>
      <c r="W350" s="43"/>
      <c r="X350" s="66" t="e">
        <f>VLOOKUP(D350,#REF!,2,0)</f>
        <v>#REF!</v>
      </c>
      <c r="Y350" s="67" t="b">
        <f>F350=I350</f>
        <v>0</v>
      </c>
    </row>
    <row r="351" spans="1:26" ht="13.65" customHeight="1">
      <c r="A351" s="91">
        <v>350</v>
      </c>
      <c r="B351" s="19" t="s">
        <v>734</v>
      </c>
      <c r="C351" s="3" t="str">
        <f>VLOOKUP(D351,'lista 1'!$A$2:$F3869,4,0)</f>
        <v>KAŁENDEK DAMIAN</v>
      </c>
      <c r="D351" s="73">
        <v>2150</v>
      </c>
      <c r="E351" s="4" t="str">
        <f>VLOOKUP(D351,'lista 1'!$A$2:$F$1802,5,0)</f>
        <v>TL</v>
      </c>
      <c r="F351" s="59" t="str">
        <f>VLOOKUP(G351,'lista obszary'!A:B,2,0)</f>
        <v>CASTING</v>
      </c>
      <c r="G351" s="76" t="s">
        <v>395</v>
      </c>
      <c r="H351" s="85" t="s">
        <v>1559</v>
      </c>
      <c r="I351" s="59" t="str">
        <f>VLOOKUP(J351,'lista obszary'!A:B,2,0)</f>
        <v>EPKM</v>
      </c>
      <c r="J351" s="78" t="s">
        <v>934</v>
      </c>
      <c r="K351" s="87" t="s">
        <v>1901</v>
      </c>
      <c r="L351" s="82" t="s">
        <v>2444</v>
      </c>
      <c r="M351" s="23"/>
      <c r="N351" s="23"/>
      <c r="O351" s="23"/>
      <c r="P351" s="19" t="s">
        <v>175</v>
      </c>
      <c r="Q351" s="26" t="s">
        <v>2101</v>
      </c>
      <c r="R351" s="60">
        <v>43752</v>
      </c>
      <c r="S351" s="47" t="s">
        <v>1629</v>
      </c>
      <c r="T351" s="4"/>
      <c r="U351" s="20">
        <f>L351-T351</f>
        <v>43556</v>
      </c>
      <c r="V351" s="47"/>
      <c r="W351" s="43"/>
      <c r="X351" s="66" t="e">
        <f>VLOOKUP(D351,#REF!,2,0)</f>
        <v>#REF!</v>
      </c>
      <c r="Y351" s="67" t="s">
        <v>2645</v>
      </c>
    </row>
    <row r="352" spans="1:26" ht="13.65" customHeight="1">
      <c r="A352" s="91">
        <v>351</v>
      </c>
      <c r="B352" s="52" t="s">
        <v>734</v>
      </c>
      <c r="C352" s="3" t="str">
        <f>VLOOKUP(D352,'lista 1'!$A$2:$F3870,4,0)</f>
        <v>ZIÓŁKOWSKI MARCIN</v>
      </c>
      <c r="D352" s="74">
        <v>728</v>
      </c>
      <c r="E352" s="4" t="str">
        <f>VLOOKUP(D352,'lista 1'!$A$2:$F$1802,5,0)</f>
        <v>TL2</v>
      </c>
      <c r="F352" s="59" t="str">
        <f>VLOOKUP(G352,'lista obszary'!A:B,2,0)</f>
        <v>HV</v>
      </c>
      <c r="G352" s="76" t="s">
        <v>2319</v>
      </c>
      <c r="H352" s="85" t="s">
        <v>1582</v>
      </c>
      <c r="I352" s="59" t="str">
        <f>VLOOKUP(J352,'lista obszary'!A:B,2,0)</f>
        <v>EPKM</v>
      </c>
      <c r="J352" s="78" t="s">
        <v>934</v>
      </c>
      <c r="K352" s="87" t="s">
        <v>1901</v>
      </c>
      <c r="L352" s="82" t="s">
        <v>2484</v>
      </c>
      <c r="M352" s="22"/>
      <c r="N352" s="22"/>
      <c r="O352" s="22"/>
      <c r="P352" s="19" t="s">
        <v>175</v>
      </c>
      <c r="Q352" s="26" t="s">
        <v>2101</v>
      </c>
      <c r="R352" s="60">
        <v>43739</v>
      </c>
      <c r="S352" s="47" t="s">
        <v>1629</v>
      </c>
      <c r="T352" s="4" t="e">
        <f>VLOOKUP(#REF!,#REF!,2,0)</f>
        <v>#REF!</v>
      </c>
      <c r="U352" s="20" t="e">
        <f>L352-T352</f>
        <v>#REF!</v>
      </c>
      <c r="V352" s="47"/>
      <c r="W352" s="43"/>
      <c r="X352" s="66" t="e">
        <f>VLOOKUP(D352,#REF!,2,0)</f>
        <v>#REF!</v>
      </c>
      <c r="Y352" s="67" t="s">
        <v>2643</v>
      </c>
      <c r="Z352" s="67" t="s">
        <v>1629</v>
      </c>
    </row>
    <row r="353" spans="1:26" ht="13.65" customHeight="1">
      <c r="A353" s="91">
        <v>352</v>
      </c>
      <c r="B353" s="19" t="s">
        <v>174</v>
      </c>
      <c r="C353" s="3" t="str">
        <f>VLOOKUP(D353,'lista 1'!$A$2:$F3871,4,0)</f>
        <v>DĄBROWICZ MICHAŁ</v>
      </c>
      <c r="D353" s="74">
        <v>1067</v>
      </c>
      <c r="E353" s="4" t="str">
        <f>VLOOKUP(D353,'lista 1'!$A$2:$F$1802,5,0)</f>
        <v>TM2</v>
      </c>
      <c r="F353" s="59" t="str">
        <f>VLOOKUP(G353,'lista obszary'!A:B,2,0)</f>
        <v>FORGING</v>
      </c>
      <c r="G353" s="76" t="s">
        <v>845</v>
      </c>
      <c r="H353" s="85" t="s">
        <v>1379</v>
      </c>
      <c r="I353" s="59" t="str">
        <f>VLOOKUP(J353,'lista obszary'!A:B,2,0)</f>
        <v>FORGING</v>
      </c>
      <c r="J353" s="78" t="s">
        <v>601</v>
      </c>
      <c r="K353" s="87" t="s">
        <v>2064</v>
      </c>
      <c r="L353" s="82" t="s">
        <v>2484</v>
      </c>
      <c r="M353" s="22"/>
      <c r="N353" s="22"/>
      <c r="O353" s="22"/>
      <c r="P353" s="19" t="s">
        <v>175</v>
      </c>
      <c r="Q353" s="26"/>
      <c r="R353" s="26"/>
      <c r="S353" s="47"/>
      <c r="T353" s="4"/>
      <c r="U353" s="20"/>
      <c r="V353" s="47"/>
      <c r="W353" s="43"/>
      <c r="X353" s="66" t="e">
        <f>VLOOKUP(D353,#REF!,2,0)</f>
        <v>#REF!</v>
      </c>
      <c r="Y353" s="67" t="b">
        <f>F353=I353</f>
        <v>1</v>
      </c>
    </row>
    <row r="354" spans="1:26" ht="13.65" customHeight="1">
      <c r="A354" s="91">
        <v>353</v>
      </c>
      <c r="B354" s="52"/>
      <c r="C354" s="3" t="str">
        <f>VLOOKUP(D354,'lista 1'!$A$2:$F3872,4,0)</f>
        <v>GÓRKIEWICZ JOANNA</v>
      </c>
      <c r="D354" s="74">
        <v>2916</v>
      </c>
      <c r="E354" s="4" t="str">
        <f>VLOOKUP(D354,'lista 1'!$A$2:$F$1802,5,0)</f>
        <v>TM</v>
      </c>
      <c r="F354" s="59" t="str">
        <f>VLOOKUP(G354,'lista obszary'!A:B,2,0)</f>
        <v>MTB0</v>
      </c>
      <c r="G354" s="76" t="s">
        <v>504</v>
      </c>
      <c r="H354" s="85" t="s">
        <v>2488</v>
      </c>
      <c r="I354" s="59" t="str">
        <f>VLOOKUP(J354,'lista obszary'!A:B,2,0)</f>
        <v>MTB0</v>
      </c>
      <c r="J354" s="78" t="s">
        <v>1090</v>
      </c>
      <c r="K354" s="87" t="s">
        <v>1908</v>
      </c>
      <c r="L354" s="82" t="s">
        <v>2484</v>
      </c>
      <c r="M354" s="22"/>
      <c r="N354" s="22"/>
      <c r="O354" s="22"/>
      <c r="P354" s="19" t="s">
        <v>175</v>
      </c>
      <c r="Q354" s="26"/>
      <c r="R354" s="26"/>
      <c r="S354" s="47"/>
      <c r="T354" s="4" t="e">
        <f>VLOOKUP(#REF!,#REF!,2,0)</f>
        <v>#REF!</v>
      </c>
      <c r="U354" s="20" t="e">
        <f t="shared" ref="U354:U359" si="8">L354-T354</f>
        <v>#REF!</v>
      </c>
      <c r="V354" s="47"/>
      <c r="W354" s="43"/>
      <c r="X354" s="66" t="e">
        <f>VLOOKUP(D354,#REF!,2,0)</f>
        <v>#REF!</v>
      </c>
      <c r="Y354" s="67" t="s">
        <v>2643</v>
      </c>
      <c r="Z354" s="67"/>
    </row>
    <row r="355" spans="1:26" ht="13.65" customHeight="1">
      <c r="A355" s="91">
        <v>354</v>
      </c>
      <c r="B355" s="52" t="s">
        <v>174</v>
      </c>
      <c r="C355" s="3" t="str">
        <f>VLOOKUP(D355,'lista 1'!$A$2:$F3873,4,0)</f>
        <v>BASZEWSKI PIOTR</v>
      </c>
      <c r="D355" s="74">
        <v>143</v>
      </c>
      <c r="E355" s="4" t="str">
        <f>VLOOKUP(D355,'lista 1'!$A$2:$F$1802,5,0)</f>
        <v>TL MNX2</v>
      </c>
      <c r="F355" s="59" t="str">
        <f>VLOOKUP(G355,'lista obszary'!A:B,2,0)</f>
        <v>MNX WN</v>
      </c>
      <c r="G355" s="76" t="s">
        <v>741</v>
      </c>
      <c r="H355" s="85" t="s">
        <v>1938</v>
      </c>
      <c r="I355" s="59" t="str">
        <f>VLOOKUP(J355,'lista obszary'!A:B,2,0)</f>
        <v>MNX WN</v>
      </c>
      <c r="J355" s="78" t="s">
        <v>1318</v>
      </c>
      <c r="K355" s="87" t="s">
        <v>2181</v>
      </c>
      <c r="L355" s="82" t="s">
        <v>2482</v>
      </c>
      <c r="M355" s="22"/>
      <c r="N355" s="22"/>
      <c r="O355" s="22"/>
      <c r="P355" s="19" t="s">
        <v>175</v>
      </c>
      <c r="Q355" s="26"/>
      <c r="R355" s="26"/>
      <c r="S355" s="47"/>
      <c r="T355" s="4" t="e">
        <f>VLOOKUP(#REF!,#REF!,2,0)</f>
        <v>#REF!</v>
      </c>
      <c r="U355" s="20" t="e">
        <f t="shared" si="8"/>
        <v>#REF!</v>
      </c>
      <c r="V355" s="47"/>
      <c r="W355" s="43"/>
      <c r="X355" s="66" t="e">
        <f>VLOOKUP(D355,#REF!,2,0)</f>
        <v>#REF!</v>
      </c>
      <c r="Y355" s="67" t="s">
        <v>2643</v>
      </c>
      <c r="Z355" s="67"/>
    </row>
    <row r="356" spans="1:26" ht="13.65" customHeight="1">
      <c r="A356" s="91">
        <v>355</v>
      </c>
      <c r="B356" s="52"/>
      <c r="C356" s="3" t="str">
        <f>VLOOKUP(D356,'lista 1'!$A$2:$F3874,4,0)</f>
        <v>JESIOR KRZYSZTOF</v>
      </c>
      <c r="D356" s="74">
        <v>897</v>
      </c>
      <c r="E356" s="4" t="str">
        <f>VLOOKUP(D356,'lista 1'!$A$2:$F$1802,5,0)</f>
        <v>TL MNX2</v>
      </c>
      <c r="F356" s="59" t="str">
        <f>VLOOKUP(G356,'lista obszary'!A:B,2,0)</f>
        <v>MNX TK</v>
      </c>
      <c r="G356" s="76" t="s">
        <v>1481</v>
      </c>
      <c r="H356" s="85" t="s">
        <v>2318</v>
      </c>
      <c r="I356" s="59" t="str">
        <f>VLOOKUP(J356,'lista obszary'!A:B,2,0)</f>
        <v>MNX TK</v>
      </c>
      <c r="J356" s="78" t="s">
        <v>1482</v>
      </c>
      <c r="K356" s="87" t="s">
        <v>2099</v>
      </c>
      <c r="L356" s="82" t="s">
        <v>2482</v>
      </c>
      <c r="M356" s="22"/>
      <c r="N356" s="22"/>
      <c r="O356" s="22"/>
      <c r="P356" s="19" t="s">
        <v>175</v>
      </c>
      <c r="Q356" s="26"/>
      <c r="R356" s="26"/>
      <c r="S356" s="47"/>
      <c r="T356" s="4" t="e">
        <f>VLOOKUP(#REF!,#REF!,2,0)</f>
        <v>#REF!</v>
      </c>
      <c r="U356" s="20" t="e">
        <f t="shared" si="8"/>
        <v>#REF!</v>
      </c>
      <c r="V356" s="47"/>
      <c r="W356" s="43"/>
      <c r="X356" s="66" t="e">
        <f>VLOOKUP(D356,#REF!,2,0)</f>
        <v>#REF!</v>
      </c>
      <c r="Y356" s="67" t="s">
        <v>2643</v>
      </c>
      <c r="Z356" s="67"/>
    </row>
    <row r="357" spans="1:26" ht="13.65" customHeight="1">
      <c r="A357" s="91">
        <v>356</v>
      </c>
      <c r="B357" s="52"/>
      <c r="C357" s="3" t="str">
        <f>VLOOKUP(D357,'lista 1'!$A$2:$F3875,4,0)</f>
        <v>OTTO MARIUSZ</v>
      </c>
      <c r="D357" s="74">
        <v>1072</v>
      </c>
      <c r="E357" s="4" t="str">
        <f>VLOOKUP(D357,'lista 1'!$A$2:$F$1802,5,0)</f>
        <v>TL MNX2</v>
      </c>
      <c r="F357" s="59" t="str">
        <f>VLOOKUP(G357,'lista obszary'!A:B,2,0)</f>
        <v>MNX TK</v>
      </c>
      <c r="G357" s="76" t="s">
        <v>1480</v>
      </c>
      <c r="H357" s="85" t="s">
        <v>2181</v>
      </c>
      <c r="I357" s="59" t="str">
        <f>VLOOKUP(J357,'lista obszary'!A:B,2,0)</f>
        <v>MNX TK</v>
      </c>
      <c r="J357" s="78" t="s">
        <v>1481</v>
      </c>
      <c r="K357" s="87" t="s">
        <v>2318</v>
      </c>
      <c r="L357" s="82" t="s">
        <v>2482</v>
      </c>
      <c r="M357" s="22"/>
      <c r="N357" s="22"/>
      <c r="O357" s="22"/>
      <c r="P357" s="19" t="s">
        <v>175</v>
      </c>
      <c r="Q357" s="26"/>
      <c r="R357" s="26"/>
      <c r="S357" s="47"/>
      <c r="T357" s="4" t="e">
        <f>VLOOKUP(#REF!,#REF!,2,0)</f>
        <v>#REF!</v>
      </c>
      <c r="U357" s="20" t="e">
        <f t="shared" si="8"/>
        <v>#REF!</v>
      </c>
      <c r="V357" s="47"/>
      <c r="W357" s="43"/>
      <c r="X357" s="66" t="e">
        <f>VLOOKUP(D357,#REF!,2,0)</f>
        <v>#REF!</v>
      </c>
      <c r="Y357" s="67" t="s">
        <v>2643</v>
      </c>
      <c r="Z357" s="67"/>
    </row>
    <row r="358" spans="1:26" ht="13.65" customHeight="1">
      <c r="A358" s="91">
        <v>357</v>
      </c>
      <c r="B358" s="52"/>
      <c r="C358" s="3" t="str">
        <f>VLOOKUP(D358,'lista 1'!$A$2:$F3876,4,0)</f>
        <v>SURMA SYLWESTER</v>
      </c>
      <c r="D358" s="74">
        <v>487</v>
      </c>
      <c r="E358" s="4" t="str">
        <f>VLOOKUP(D358,'lista 1'!$A$2:$F$1802,5,0)</f>
        <v>TL MNX</v>
      </c>
      <c r="F358" s="59" t="str">
        <f>VLOOKUP(G358,'lista obszary'!A:B,2,0)</f>
        <v>MNX TK</v>
      </c>
      <c r="G358" s="76" t="s">
        <v>1482</v>
      </c>
      <c r="H358" s="85" t="s">
        <v>2099</v>
      </c>
      <c r="I358" s="59" t="str">
        <f>VLOOKUP(J358,'lista obszary'!A:B,2,0)</f>
        <v>MNX WN</v>
      </c>
      <c r="J358" s="78" t="s">
        <v>741</v>
      </c>
      <c r="K358" s="87" t="s">
        <v>1938</v>
      </c>
      <c r="L358" s="82" t="s">
        <v>2482</v>
      </c>
      <c r="M358" s="22"/>
      <c r="N358" s="22"/>
      <c r="O358" s="22"/>
      <c r="P358" s="19" t="s">
        <v>175</v>
      </c>
      <c r="Q358" s="26"/>
      <c r="R358" s="26"/>
      <c r="S358" s="47"/>
      <c r="T358" s="4" t="e">
        <f>VLOOKUP(#REF!,#REF!,2,0)</f>
        <v>#REF!</v>
      </c>
      <c r="U358" s="20" t="e">
        <f t="shared" si="8"/>
        <v>#REF!</v>
      </c>
      <c r="V358" s="47"/>
      <c r="W358" s="43"/>
      <c r="X358" s="66" t="e">
        <f>VLOOKUP(D358,#REF!,2,0)</f>
        <v>#REF!</v>
      </c>
      <c r="Y358" s="67" t="s">
        <v>2644</v>
      </c>
      <c r="Z358" s="67"/>
    </row>
    <row r="359" spans="1:26" ht="13.65" customHeight="1">
      <c r="A359" s="91">
        <v>358</v>
      </c>
      <c r="B359" s="52"/>
      <c r="C359" s="3" t="str">
        <f>VLOOKUP(D359,'lista 1'!$A$2:$F3877,4,0)</f>
        <v>GUNIA DARIUSZ</v>
      </c>
      <c r="D359" s="74">
        <v>1980</v>
      </c>
      <c r="E359" s="4" t="str">
        <f>VLOOKUP(D359,'lista 1'!$A$2:$F$1802,5,0)</f>
        <v>TM2</v>
      </c>
      <c r="F359" s="59" t="str">
        <f>VLOOKUP(G359,'lista obszary'!A:B,2,0)</f>
        <v>FORGING</v>
      </c>
      <c r="G359" s="76" t="s">
        <v>771</v>
      </c>
      <c r="H359" s="85" t="s">
        <v>1370</v>
      </c>
      <c r="I359" s="59" t="str">
        <f>VLOOKUP(J359,'lista obszary'!A:B,2,0)</f>
        <v>FORGING</v>
      </c>
      <c r="J359" s="78" t="s">
        <v>1335</v>
      </c>
      <c r="K359" s="87" t="s">
        <v>1543</v>
      </c>
      <c r="L359" s="82" t="s">
        <v>2496</v>
      </c>
      <c r="M359" s="22"/>
      <c r="N359" s="22"/>
      <c r="O359" s="22"/>
      <c r="P359" s="19" t="s">
        <v>175</v>
      </c>
      <c r="Q359" s="26"/>
      <c r="R359" s="26"/>
      <c r="S359" s="47"/>
      <c r="T359" s="4" t="e">
        <f>VLOOKUP(#REF!,#REF!,2,0)</f>
        <v>#REF!</v>
      </c>
      <c r="U359" s="20" t="e">
        <f t="shared" si="8"/>
        <v>#REF!</v>
      </c>
      <c r="V359" s="47"/>
      <c r="W359" s="43"/>
      <c r="X359" s="66" t="e">
        <f>VLOOKUP(D359,#REF!,2,0)</f>
        <v>#REF!</v>
      </c>
      <c r="Y359" s="67" t="b">
        <f>F359=I359</f>
        <v>1</v>
      </c>
    </row>
    <row r="360" spans="1:26" ht="13.65" customHeight="1">
      <c r="A360" s="91">
        <v>359</v>
      </c>
      <c r="B360" s="52"/>
      <c r="C360" s="3" t="e">
        <f>VLOOKUP(D360,'lista 1'!$A$2:$F3878,4,0)</f>
        <v>#N/A</v>
      </c>
      <c r="D360" s="74">
        <v>70458</v>
      </c>
      <c r="E360" s="4" t="e">
        <f>VLOOKUP(D360,'lista 1'!$A$2:$F$1802,5,0)</f>
        <v>#N/A</v>
      </c>
      <c r="F360" s="59" t="str">
        <f>VLOOKUP(G360,'lista obszary'!A:B,2,0)</f>
        <v>EC60</v>
      </c>
      <c r="G360" s="76" t="s">
        <v>224</v>
      </c>
      <c r="H360" s="85" t="s">
        <v>1912</v>
      </c>
      <c r="I360" s="59" t="str">
        <f>VLOOKUP(J360,'lista obszary'!A:B,2,0)</f>
        <v>MTB0</v>
      </c>
      <c r="J360" s="78" t="s">
        <v>1090</v>
      </c>
      <c r="K360" s="87" t="s">
        <v>1908</v>
      </c>
      <c r="L360" s="82" t="s">
        <v>2496</v>
      </c>
      <c r="M360" s="22"/>
      <c r="N360" s="22"/>
      <c r="O360" s="22"/>
      <c r="P360" s="19" t="s">
        <v>175</v>
      </c>
      <c r="Q360" s="26"/>
      <c r="R360" s="26"/>
      <c r="S360" s="47"/>
      <c r="T360" s="4"/>
      <c r="U360" s="20"/>
      <c r="V360" s="47"/>
      <c r="W360" s="43"/>
      <c r="X360" s="66" t="e">
        <f>VLOOKUP(D360,#REF!,2,0)</f>
        <v>#REF!</v>
      </c>
      <c r="Y360" s="67" t="s">
        <v>2644</v>
      </c>
      <c r="Z360" s="67"/>
    </row>
    <row r="361" spans="1:26" ht="13.65" customHeight="1">
      <c r="A361" s="91">
        <v>360</v>
      </c>
      <c r="B361" s="52"/>
      <c r="C361" s="3" t="str">
        <f>VLOOKUP(D361,'lista 1'!$A$2:$F3879,4,0)</f>
        <v>SUŁKOWSKI PAWEŁ</v>
      </c>
      <c r="D361" s="74">
        <v>2811</v>
      </c>
      <c r="E361" s="4" t="str">
        <f>VLOOKUP(D361,'lista 1'!$A$2:$F$1802,5,0)</f>
        <v>TM2</v>
      </c>
      <c r="F361" s="59" t="str">
        <f>VLOOKUP(G361,'lista obszary'!A:B,2,0)</f>
        <v>FORGING</v>
      </c>
      <c r="G361" s="76" t="s">
        <v>1350</v>
      </c>
      <c r="H361" s="85" t="s">
        <v>1378</v>
      </c>
      <c r="I361" s="59" t="str">
        <f>VLOOKUP(J361,'lista obszary'!A:B,2,0)</f>
        <v>FORGING</v>
      </c>
      <c r="J361" s="78" t="s">
        <v>601</v>
      </c>
      <c r="K361" s="87" t="s">
        <v>2064</v>
      </c>
      <c r="L361" s="82" t="s">
        <v>2496</v>
      </c>
      <c r="M361" s="22"/>
      <c r="N361" s="22"/>
      <c r="O361" s="22"/>
      <c r="P361" s="19" t="s">
        <v>175</v>
      </c>
      <c r="Q361" s="26"/>
      <c r="R361" s="26"/>
      <c r="S361" s="47"/>
      <c r="T361" s="4"/>
      <c r="U361" s="20"/>
      <c r="V361" s="47"/>
      <c r="W361" s="43"/>
      <c r="X361" s="66" t="e">
        <f>VLOOKUP(D361,#REF!,2,0)</f>
        <v>#REF!</v>
      </c>
      <c r="Y361" s="67" t="s">
        <v>2643</v>
      </c>
    </row>
    <row r="362" spans="1:26" ht="13.65" customHeight="1">
      <c r="A362" s="91">
        <v>361</v>
      </c>
      <c r="B362" s="52"/>
      <c r="C362" s="3" t="str">
        <f>VLOOKUP(D362,'lista 1'!$A$2:$F3880,4,0)</f>
        <v>BARANOWSKI ADAM</v>
      </c>
      <c r="D362" s="74">
        <v>2107</v>
      </c>
      <c r="E362" s="4" t="str">
        <f>VLOOKUP(D362,'lista 1'!$A$2:$F$1802,5,0)</f>
        <v>TM2</v>
      </c>
      <c r="F362" s="59" t="str">
        <f>VLOOKUP(G362,'lista obszary'!A:B,2,0)</f>
        <v>CASTING</v>
      </c>
      <c r="G362" s="76" t="s">
        <v>1598</v>
      </c>
      <c r="H362" s="85" t="s">
        <v>1920</v>
      </c>
      <c r="I362" s="59" t="str">
        <f>VLOOKUP(J362,'lista obszary'!A:B,2,0)</f>
        <v>CASTING</v>
      </c>
      <c r="J362" s="78" t="s">
        <v>684</v>
      </c>
      <c r="K362" s="87" t="s">
        <v>541</v>
      </c>
      <c r="L362" s="82" t="s">
        <v>2496</v>
      </c>
      <c r="M362" s="22"/>
      <c r="N362" s="22"/>
      <c r="O362" s="22"/>
      <c r="P362" s="19" t="s">
        <v>175</v>
      </c>
      <c r="Q362" s="26"/>
      <c r="R362" s="26"/>
      <c r="S362" s="47"/>
      <c r="T362" s="4"/>
      <c r="U362" s="20"/>
      <c r="V362" s="47"/>
      <c r="W362" s="43"/>
      <c r="X362" s="66" t="e">
        <f>VLOOKUP(D362,#REF!,2,0)</f>
        <v>#REF!</v>
      </c>
      <c r="Y362" s="67" t="s">
        <v>2643</v>
      </c>
    </row>
    <row r="363" spans="1:26" ht="13.65" customHeight="1">
      <c r="A363" s="91">
        <v>362</v>
      </c>
      <c r="B363" s="52"/>
      <c r="C363" s="3" t="str">
        <f>VLOOKUP(D363,'lista 1'!$A$2:$F3881,4,0)</f>
        <v>KUŹMA PIOTR</v>
      </c>
      <c r="D363" s="74">
        <v>857</v>
      </c>
      <c r="E363" s="4" t="str">
        <f>VLOOKUP(D363,'lista 1'!$A$2:$F$1802,5,0)</f>
        <v>TM2</v>
      </c>
      <c r="F363" s="59" t="str">
        <f>VLOOKUP(G363,'lista obszary'!A:B,2,0)</f>
        <v>CASTING</v>
      </c>
      <c r="G363" s="76" t="s">
        <v>1598</v>
      </c>
      <c r="H363" s="85" t="s">
        <v>1920</v>
      </c>
      <c r="I363" s="59" t="str">
        <f>VLOOKUP(J363,'lista obszary'!A:B,2,0)</f>
        <v>CASTING</v>
      </c>
      <c r="J363" s="78" t="s">
        <v>475</v>
      </c>
      <c r="K363" s="87" t="s">
        <v>540</v>
      </c>
      <c r="L363" s="82" t="s">
        <v>2496</v>
      </c>
      <c r="M363" s="22"/>
      <c r="N363" s="22"/>
      <c r="O363" s="22"/>
      <c r="P363" s="19" t="s">
        <v>175</v>
      </c>
      <c r="Q363" s="26"/>
      <c r="R363" s="26"/>
      <c r="S363" s="47"/>
      <c r="T363" s="4"/>
      <c r="U363" s="20"/>
      <c r="V363" s="47"/>
      <c r="W363" s="43"/>
      <c r="X363" s="66" t="e">
        <f>VLOOKUP(D363,#REF!,2,0)</f>
        <v>#REF!</v>
      </c>
      <c r="Y363" s="67" t="s">
        <v>2645</v>
      </c>
    </row>
    <row r="364" spans="1:26" ht="13.65" customHeight="1">
      <c r="A364" s="91">
        <v>363</v>
      </c>
      <c r="B364" s="52"/>
      <c r="C364" s="3" t="str">
        <f>VLOOKUP(D364,'lista 1'!$A$2:$F3882,4,0)</f>
        <v>CHROSTEK JACEK</v>
      </c>
      <c r="D364" s="74">
        <v>2860</v>
      </c>
      <c r="E364" s="4" t="str">
        <f>VLOOKUP(D364,'lista 1'!$A$2:$F$1802,5,0)</f>
        <v>TL MNX</v>
      </c>
      <c r="F364" s="59" t="str">
        <f>VLOOKUP(G364,'lista obszary'!A:B,2,0)</f>
        <v>CASTING</v>
      </c>
      <c r="G364" s="76" t="s">
        <v>1873</v>
      </c>
      <c r="H364" s="85" t="s">
        <v>539</v>
      </c>
      <c r="I364" s="59" t="str">
        <f>VLOOKUP(J364,'lista obszary'!A:B,2,0)</f>
        <v>CASTING</v>
      </c>
      <c r="J364" s="78" t="s">
        <v>1874</v>
      </c>
      <c r="K364" s="87" t="s">
        <v>539</v>
      </c>
      <c r="L364" s="82" t="s">
        <v>2496</v>
      </c>
      <c r="M364" s="22"/>
      <c r="N364" s="22"/>
      <c r="O364" s="22"/>
      <c r="P364" s="19" t="s">
        <v>175</v>
      </c>
      <c r="Q364" s="26"/>
      <c r="R364" s="26"/>
      <c r="S364" s="47"/>
      <c r="T364" s="4" t="e">
        <f>VLOOKUP(#REF!,#REF!,2,0)</f>
        <v>#REF!</v>
      </c>
      <c r="U364" s="20" t="e">
        <f t="shared" ref="U364:U370" si="9">L364-T364</f>
        <v>#REF!</v>
      </c>
      <c r="V364" s="47"/>
      <c r="W364" s="43"/>
      <c r="X364" s="66" t="e">
        <f>VLOOKUP(D364,#REF!,2,0)</f>
        <v>#REF!</v>
      </c>
      <c r="Y364" s="67" t="s">
        <v>2643</v>
      </c>
      <c r="Z364" s="67"/>
    </row>
    <row r="365" spans="1:26" ht="13.65" customHeight="1">
      <c r="A365" s="91">
        <v>364</v>
      </c>
      <c r="B365" s="52"/>
      <c r="C365" s="3" t="str">
        <f>VLOOKUP(D365,'lista 1'!$A$2:$F3883,4,0)</f>
        <v>KRAWCZYK ANDRZEJ</v>
      </c>
      <c r="D365" s="74">
        <v>546</v>
      </c>
      <c r="E365" s="4" t="str">
        <f>VLOOKUP(D365,'lista 1'!$A$2:$F$1802,5,0)</f>
        <v>TM MNX2</v>
      </c>
      <c r="F365" s="59" t="str">
        <f>VLOOKUP(G365,'lista obszary'!A:B,2,0)</f>
        <v>CASTING</v>
      </c>
      <c r="G365" s="76" t="s">
        <v>2149</v>
      </c>
      <c r="H365" s="85" t="s">
        <v>539</v>
      </c>
      <c r="I365" s="59" t="str">
        <f>VLOOKUP(J365,'lista obszary'!A:B,2,0)</f>
        <v>CASTING</v>
      </c>
      <c r="J365" s="78" t="s">
        <v>2150</v>
      </c>
      <c r="K365" s="87" t="s">
        <v>539</v>
      </c>
      <c r="L365" s="82" t="s">
        <v>2496</v>
      </c>
      <c r="M365" s="22"/>
      <c r="N365" s="22"/>
      <c r="O365" s="22"/>
      <c r="P365" s="19" t="s">
        <v>175</v>
      </c>
      <c r="Q365" s="26"/>
      <c r="R365" s="26"/>
      <c r="S365" s="47"/>
      <c r="T365" s="4" t="e">
        <f>VLOOKUP(#REF!,#REF!,2,0)</f>
        <v>#REF!</v>
      </c>
      <c r="U365" s="20" t="e">
        <f t="shared" si="9"/>
        <v>#REF!</v>
      </c>
      <c r="V365" s="47"/>
      <c r="W365" s="43"/>
      <c r="X365" s="66" t="e">
        <f>VLOOKUP(D365,#REF!,2,0)</f>
        <v>#REF!</v>
      </c>
      <c r="Y365" s="67" t="s">
        <v>2643</v>
      </c>
    </row>
    <row r="366" spans="1:26" ht="13.65" customHeight="1">
      <c r="A366" s="91">
        <v>365</v>
      </c>
      <c r="B366" s="52"/>
      <c r="C366" s="3" t="str">
        <f>VLOOKUP(D366,'lista 1'!$A$2:$F3884,4,0)</f>
        <v>ZDRAL JAROSŁAW</v>
      </c>
      <c r="D366" s="74">
        <v>2878</v>
      </c>
      <c r="E366" s="4" t="str">
        <f>VLOOKUP(D366,'lista 1'!$A$2:$F$1802,5,0)</f>
        <v>TECH MNX</v>
      </c>
      <c r="F366" s="59" t="str">
        <f>VLOOKUP(G366,'lista obszary'!A:B,2,0)</f>
        <v>CASTING</v>
      </c>
      <c r="G366" s="76" t="s">
        <v>2149</v>
      </c>
      <c r="H366" s="85" t="s">
        <v>539</v>
      </c>
      <c r="I366" s="59" t="str">
        <f>VLOOKUP(J366,'lista obszary'!A:B,2,0)</f>
        <v>CASTING</v>
      </c>
      <c r="J366" s="78" t="s">
        <v>1873</v>
      </c>
      <c r="K366" s="87" t="s">
        <v>539</v>
      </c>
      <c r="L366" s="82" t="s">
        <v>2496</v>
      </c>
      <c r="M366" s="22"/>
      <c r="N366" s="22"/>
      <c r="O366" s="22"/>
      <c r="P366" s="19" t="s">
        <v>175</v>
      </c>
      <c r="Q366" s="26"/>
      <c r="R366" s="26"/>
      <c r="S366" s="47"/>
      <c r="T366" s="4" t="e">
        <f>VLOOKUP(#REF!,#REF!,2,0)</f>
        <v>#REF!</v>
      </c>
      <c r="U366" s="20" t="e">
        <f t="shared" si="9"/>
        <v>#REF!</v>
      </c>
      <c r="V366" s="47"/>
      <c r="W366" s="43"/>
      <c r="X366" s="66" t="e">
        <f>VLOOKUP(D366,#REF!,2,0)</f>
        <v>#REF!</v>
      </c>
      <c r="Y366" s="67" t="b">
        <f>F366=I366</f>
        <v>1</v>
      </c>
    </row>
    <row r="367" spans="1:26" ht="13.65" customHeight="1">
      <c r="A367" s="91">
        <v>366</v>
      </c>
      <c r="B367" s="52"/>
      <c r="C367" s="3" t="str">
        <f>VLOOKUP(D367,'lista 1'!$A$2:$F3885,4,0)</f>
        <v>OBACZ PIOTR</v>
      </c>
      <c r="D367" s="74">
        <v>2994</v>
      </c>
      <c r="E367" s="4" t="str">
        <f>VLOOKUP(D367,'lista 1'!$A$2:$F$1802,5,0)</f>
        <v>TM</v>
      </c>
      <c r="F367" s="59" t="str">
        <f>VLOOKUP(G367,'lista obszary'!A:B,2,0)</f>
        <v>ENGINES</v>
      </c>
      <c r="G367" s="76" t="s">
        <v>438</v>
      </c>
      <c r="H367" s="85" t="s">
        <v>1390</v>
      </c>
      <c r="I367" s="59" t="str">
        <f>VLOOKUP(J367,'lista obszary'!A:B,2,0)</f>
        <v>CASTING</v>
      </c>
      <c r="J367" s="78" t="s">
        <v>2150</v>
      </c>
      <c r="K367" s="87" t="s">
        <v>539</v>
      </c>
      <c r="L367" s="82" t="s">
        <v>2496</v>
      </c>
      <c r="M367" s="22"/>
      <c r="N367" s="22"/>
      <c r="O367" s="22"/>
      <c r="P367" s="19" t="s">
        <v>175</v>
      </c>
      <c r="Q367" s="26"/>
      <c r="R367" s="26"/>
      <c r="S367" s="47"/>
      <c r="T367" s="4" t="e">
        <f>VLOOKUP(#REF!,#REF!,2,0)</f>
        <v>#REF!</v>
      </c>
      <c r="U367" s="20" t="e">
        <f t="shared" si="9"/>
        <v>#REF!</v>
      </c>
      <c r="V367" s="47"/>
      <c r="W367" s="43"/>
      <c r="X367" s="66" t="e">
        <f>VLOOKUP(D367,#REF!,2,0)</f>
        <v>#REF!</v>
      </c>
      <c r="Y367" s="67" t="b">
        <f>F367=I367</f>
        <v>0</v>
      </c>
    </row>
    <row r="368" spans="1:26" ht="13.65" customHeight="1">
      <c r="A368" s="91">
        <v>367</v>
      </c>
      <c r="B368" s="52"/>
      <c r="C368" s="3" t="str">
        <f>VLOOKUP(D368,'lista 1'!$A$2:$F3886,4,0)</f>
        <v>KURIATA EDYTA</v>
      </c>
      <c r="D368" s="74">
        <v>2462</v>
      </c>
      <c r="E368" s="4" t="str">
        <f>VLOOKUP(D368,'lista 1'!$A$2:$F$1802,5,0)</f>
        <v>TM2</v>
      </c>
      <c r="F368" s="59" t="str">
        <f>VLOOKUP(G368,'lista obszary'!A:B,2,0)</f>
        <v>EC60</v>
      </c>
      <c r="G368" s="76" t="s">
        <v>1045</v>
      </c>
      <c r="H368" s="85" t="s">
        <v>1926</v>
      </c>
      <c r="I368" s="59" t="str">
        <f>VLOOKUP(J368,'lista obszary'!A:B,2,0)</f>
        <v>EC60</v>
      </c>
      <c r="J368" s="78" t="s">
        <v>549</v>
      </c>
      <c r="K368" s="87" t="s">
        <v>1881</v>
      </c>
      <c r="L368" s="82" t="s">
        <v>2496</v>
      </c>
      <c r="M368" s="22"/>
      <c r="N368" s="22"/>
      <c r="O368" s="22"/>
      <c r="P368" s="19" t="s">
        <v>175</v>
      </c>
      <c r="Q368" s="26"/>
      <c r="R368" s="26"/>
      <c r="S368" s="47"/>
      <c r="T368" s="4" t="e">
        <f>VLOOKUP(#REF!,#REF!,2,0)</f>
        <v>#REF!</v>
      </c>
      <c r="U368" s="20" t="e">
        <f t="shared" si="9"/>
        <v>#REF!</v>
      </c>
      <c r="V368" s="47"/>
      <c r="W368" s="43"/>
      <c r="X368" s="66" t="e">
        <f>VLOOKUP(D368,#REF!,2,0)</f>
        <v>#REF!</v>
      </c>
      <c r="Y368" s="67" t="b">
        <f>F368=I368</f>
        <v>1</v>
      </c>
    </row>
    <row r="369" spans="1:26" ht="13.65" customHeight="1">
      <c r="A369" s="91">
        <v>368</v>
      </c>
      <c r="B369" s="52"/>
      <c r="C369" s="3" t="e">
        <f>VLOOKUP(D369,'lista 1'!$A$2:$F3887,4,0)</f>
        <v>#N/A</v>
      </c>
      <c r="D369" s="74">
        <v>64270</v>
      </c>
      <c r="E369" s="4" t="e">
        <f>VLOOKUP(D369,'lista 1'!$A$2:$F$1802,5,0)</f>
        <v>#N/A</v>
      </c>
      <c r="F369" s="59" t="str">
        <f>VLOOKUP(G369,'lista obszary'!A:B,2,0)</f>
        <v>EC60</v>
      </c>
      <c r="G369" s="76" t="s">
        <v>1325</v>
      </c>
      <c r="H369" s="85" t="s">
        <v>2159</v>
      </c>
      <c r="I369" s="59" t="str">
        <f>VLOOKUP(J369,'lista obszary'!A:B,2,0)</f>
        <v>EC60</v>
      </c>
      <c r="J369" s="78" t="s">
        <v>549</v>
      </c>
      <c r="K369" s="87" t="s">
        <v>1881</v>
      </c>
      <c r="L369" s="82" t="s">
        <v>2496</v>
      </c>
      <c r="M369" s="22"/>
      <c r="N369" s="22"/>
      <c r="O369" s="22"/>
      <c r="P369" s="19" t="s">
        <v>175</v>
      </c>
      <c r="Q369" s="26"/>
      <c r="R369" s="26"/>
      <c r="S369" s="47"/>
      <c r="T369" s="4" t="e">
        <f>VLOOKUP(#REF!,#REF!,2,0)</f>
        <v>#REF!</v>
      </c>
      <c r="U369" s="20" t="e">
        <f t="shared" si="9"/>
        <v>#REF!</v>
      </c>
      <c r="V369" s="47"/>
      <c r="W369" s="43"/>
      <c r="X369" s="66" t="e">
        <f>VLOOKUP(D369,#REF!,2,0)</f>
        <v>#REF!</v>
      </c>
      <c r="Y369" s="67" t="b">
        <f>F369=I369</f>
        <v>1</v>
      </c>
    </row>
    <row r="370" spans="1:26" ht="13.65" customHeight="1">
      <c r="A370" s="91">
        <v>369</v>
      </c>
      <c r="B370" s="52"/>
      <c r="C370" s="3" t="str">
        <f>VLOOKUP(D370,'lista 1'!$A$2:$F3888,4,0)</f>
        <v>MACAŁA MARIUSZ</v>
      </c>
      <c r="D370" s="74">
        <v>2581</v>
      </c>
      <c r="E370" s="4" t="str">
        <f>VLOOKUP(D370,'lista 1'!$A$2:$F$1802,5,0)</f>
        <v>TM2</v>
      </c>
      <c r="F370" s="59" t="str">
        <f>VLOOKUP(G370,'lista obszary'!A:B,2,0)</f>
        <v>CASTING</v>
      </c>
      <c r="G370" s="76" t="s">
        <v>1598</v>
      </c>
      <c r="H370" s="85" t="s">
        <v>1920</v>
      </c>
      <c r="I370" s="59" t="str">
        <f>VLOOKUP(J370,'lista obszary'!A:B,2,0)</f>
        <v>CASTING</v>
      </c>
      <c r="J370" s="78" t="s">
        <v>683</v>
      </c>
      <c r="K370" s="87" t="s">
        <v>1900</v>
      </c>
      <c r="L370" s="82" t="s">
        <v>2496</v>
      </c>
      <c r="M370" s="22"/>
      <c r="N370" s="22"/>
      <c r="O370" s="22"/>
      <c r="P370" s="19" t="s">
        <v>175</v>
      </c>
      <c r="Q370" s="26"/>
      <c r="R370" s="26"/>
      <c r="S370" s="47"/>
      <c r="T370" s="4" t="e">
        <f>VLOOKUP(#REF!,#REF!,2,0)</f>
        <v>#REF!</v>
      </c>
      <c r="U370" s="20" t="e">
        <f t="shared" si="9"/>
        <v>#REF!</v>
      </c>
      <c r="V370" s="47"/>
      <c r="W370" s="43"/>
      <c r="X370" s="66" t="e">
        <f>VLOOKUP(D370,#REF!,2,0)</f>
        <v>#REF!</v>
      </c>
      <c r="Y370" s="67" t="s">
        <v>2643</v>
      </c>
      <c r="Z370" s="67"/>
    </row>
    <row r="371" spans="1:26" ht="13.65" customHeight="1">
      <c r="A371" s="91">
        <v>370</v>
      </c>
      <c r="B371" s="52"/>
      <c r="C371" s="3" t="str">
        <f>VLOOKUP(D371,'lista 1'!$A$2:$F3889,4,0)</f>
        <v>WALKOWIAK RYSZARD</v>
      </c>
      <c r="D371" s="74">
        <v>2812</v>
      </c>
      <c r="E371" s="4" t="str">
        <f>VLOOKUP(D371,'lista 1'!$A$2:$F$1802,5,0)</f>
        <v>TM2</v>
      </c>
      <c r="F371" s="59" t="str">
        <f>VLOOKUP(G371,'lista obszary'!A:B,2,0)</f>
        <v>FORGING</v>
      </c>
      <c r="G371" s="76" t="s">
        <v>1214</v>
      </c>
      <c r="H371" s="85" t="s">
        <v>1370</v>
      </c>
      <c r="I371" s="59" t="str">
        <f>VLOOKUP(J371,'lista obszary'!A:B,2,0)</f>
        <v>FORGING</v>
      </c>
      <c r="J371" s="78" t="s">
        <v>601</v>
      </c>
      <c r="K371" s="87" t="s">
        <v>2064</v>
      </c>
      <c r="L371" s="82" t="s">
        <v>2497</v>
      </c>
      <c r="M371" s="22"/>
      <c r="N371" s="22"/>
      <c r="O371" s="22"/>
      <c r="P371" s="19" t="s">
        <v>175</v>
      </c>
      <c r="Q371" s="26"/>
      <c r="R371" s="26"/>
      <c r="S371" s="47"/>
      <c r="T371" s="4"/>
      <c r="U371" s="20"/>
      <c r="V371" s="47"/>
      <c r="W371" s="43"/>
      <c r="X371" s="66" t="e">
        <f>VLOOKUP(D371,#REF!,2,0)</f>
        <v>#REF!</v>
      </c>
      <c r="Y371" s="67" t="b">
        <f>F371=I371</f>
        <v>1</v>
      </c>
    </row>
    <row r="372" spans="1:26" ht="13.65" customHeight="1">
      <c r="A372" s="91">
        <v>371</v>
      </c>
      <c r="B372" s="52"/>
      <c r="C372" s="3" t="str">
        <f>VLOOKUP(D372,'lista 1'!$A$2:$F3890,4,0)</f>
        <v>SĘDZIMIR KRZYSZTOF</v>
      </c>
      <c r="D372" s="74">
        <v>2991</v>
      </c>
      <c r="E372" s="4" t="str">
        <f>VLOOKUP(D372,'lista 1'!$A$2:$F$1802,5,0)</f>
        <v>TM</v>
      </c>
      <c r="F372" s="59" t="str">
        <f>VLOOKUP(G372,'lista obszary'!A:B,2,0)</f>
        <v>FORGING</v>
      </c>
      <c r="G372" s="76" t="s">
        <v>771</v>
      </c>
      <c r="H372" s="85" t="s">
        <v>1370</v>
      </c>
      <c r="I372" s="59" t="str">
        <f>VLOOKUP(J372,'lista obszary'!A:B,2,0)</f>
        <v>FORGING</v>
      </c>
      <c r="J372" s="78" t="s">
        <v>601</v>
      </c>
      <c r="K372" s="87" t="s">
        <v>2064</v>
      </c>
      <c r="L372" s="82" t="s">
        <v>2497</v>
      </c>
      <c r="M372" s="22"/>
      <c r="N372" s="22"/>
      <c r="O372" s="22"/>
      <c r="P372" s="19" t="s">
        <v>175</v>
      </c>
      <c r="Q372" s="26"/>
      <c r="R372" s="26"/>
      <c r="S372" s="47"/>
      <c r="T372" s="4"/>
      <c r="U372" s="20"/>
      <c r="V372" s="47"/>
      <c r="W372" s="43"/>
      <c r="X372" s="66" t="e">
        <f>VLOOKUP(D372,#REF!,2,0)</f>
        <v>#REF!</v>
      </c>
      <c r="Y372" s="67" t="b">
        <f>F372=I372</f>
        <v>1</v>
      </c>
    </row>
    <row r="373" spans="1:26" ht="13.65" customHeight="1">
      <c r="A373" s="91">
        <v>372</v>
      </c>
      <c r="B373" s="52"/>
      <c r="C373" s="3" t="e">
        <f>VLOOKUP(D373,'lista 1'!$A$2:$F3891,4,0)</f>
        <v>#N/A</v>
      </c>
      <c r="D373" s="74">
        <v>64399</v>
      </c>
      <c r="E373" s="4" t="e">
        <f>VLOOKUP(D373,'lista 1'!$A$2:$F$1802,5,0)</f>
        <v>#N/A</v>
      </c>
      <c r="F373" s="59" t="str">
        <f>VLOOKUP(G373,'lista obszary'!A:B,2,0)</f>
        <v>FORGING</v>
      </c>
      <c r="G373" s="76" t="s">
        <v>771</v>
      </c>
      <c r="H373" s="85" t="s">
        <v>1370</v>
      </c>
      <c r="I373" s="59" t="str">
        <f>VLOOKUP(J373,'lista obszary'!A:B,2,0)</f>
        <v>FORGING</v>
      </c>
      <c r="J373" s="78" t="s">
        <v>601</v>
      </c>
      <c r="K373" s="87" t="s">
        <v>2064</v>
      </c>
      <c r="L373" s="82" t="s">
        <v>2497</v>
      </c>
      <c r="M373" s="22"/>
      <c r="N373" s="22"/>
      <c r="O373" s="22"/>
      <c r="P373" s="19" t="s">
        <v>175</v>
      </c>
      <c r="Q373" s="26"/>
      <c r="R373" s="26"/>
      <c r="S373" s="47"/>
      <c r="T373" s="4"/>
      <c r="U373" s="20"/>
      <c r="V373" s="47"/>
      <c r="W373" s="43"/>
      <c r="X373" s="66" t="e">
        <f>VLOOKUP(D373,#REF!,2,0)</f>
        <v>#REF!</v>
      </c>
      <c r="Y373" s="67" t="b">
        <f>F373=I373</f>
        <v>1</v>
      </c>
      <c r="Z373" s="67"/>
    </row>
    <row r="374" spans="1:26" ht="13.65" customHeight="1">
      <c r="A374" s="91">
        <v>373</v>
      </c>
      <c r="B374" s="52"/>
      <c r="C374" s="3" t="e">
        <f>VLOOKUP(D374,'lista 1'!$A$2:$F3892,4,0)</f>
        <v>#N/A</v>
      </c>
      <c r="D374" s="74">
        <v>64323</v>
      </c>
      <c r="E374" s="4" t="e">
        <f>VLOOKUP(D374,'lista 1'!$A$2:$F$1802,5,0)</f>
        <v>#N/A</v>
      </c>
      <c r="F374" s="59" t="str">
        <f>VLOOKUP(G374,'lista obszary'!A:B,2,0)</f>
        <v>ENGINES</v>
      </c>
      <c r="G374" s="76" t="s">
        <v>238</v>
      </c>
      <c r="H374" s="85" t="s">
        <v>1584</v>
      </c>
      <c r="I374" s="59" t="str">
        <f>VLOOKUP(J374,'lista obszary'!A:B,2,0)</f>
        <v>ENGINES</v>
      </c>
      <c r="J374" s="78" t="s">
        <v>438</v>
      </c>
      <c r="K374" s="87" t="s">
        <v>1390</v>
      </c>
      <c r="L374" s="82" t="s">
        <v>2497</v>
      </c>
      <c r="M374" s="22"/>
      <c r="N374" s="22"/>
      <c r="O374" s="22"/>
      <c r="P374" s="19" t="s">
        <v>175</v>
      </c>
      <c r="Q374" s="26"/>
      <c r="R374" s="26"/>
      <c r="S374" s="47"/>
      <c r="T374" s="4" t="e">
        <f>VLOOKUP(#REF!,#REF!,2,0)</f>
        <v>#REF!</v>
      </c>
      <c r="U374" s="20" t="e">
        <f t="shared" ref="U374:U405" si="10">L374-T374</f>
        <v>#REF!</v>
      </c>
      <c r="V374" s="47"/>
      <c r="W374" s="43"/>
      <c r="X374" s="66" t="e">
        <f>VLOOKUP(D374,#REF!,2,0)</f>
        <v>#REF!</v>
      </c>
      <c r="Y374" s="67" t="s">
        <v>2643</v>
      </c>
      <c r="Z374" s="67"/>
    </row>
    <row r="375" spans="1:26" ht="13.65" customHeight="1">
      <c r="A375" s="91">
        <v>374</v>
      </c>
      <c r="B375" s="52"/>
      <c r="C375" s="3" t="e">
        <f>VLOOKUP(D375,'lista 1'!$A$2:$F3893,4,0)</f>
        <v>#N/A</v>
      </c>
      <c r="D375" s="74">
        <v>70510</v>
      </c>
      <c r="E375" s="4" t="e">
        <f>VLOOKUP(D375,'lista 1'!$A$2:$F$1802,5,0)</f>
        <v>#N/A</v>
      </c>
      <c r="F375" s="59" t="str">
        <f>VLOOKUP(G375,'lista obszary'!A:B,2,0)</f>
        <v>ENGINES</v>
      </c>
      <c r="G375" s="76" t="s">
        <v>238</v>
      </c>
      <c r="H375" s="85" t="s">
        <v>1584</v>
      </c>
      <c r="I375" s="59" t="str">
        <f>VLOOKUP(J375,'lista obszary'!A:B,2,0)</f>
        <v>ENGINES</v>
      </c>
      <c r="J375" s="78" t="s">
        <v>438</v>
      </c>
      <c r="K375" s="87" t="s">
        <v>1390</v>
      </c>
      <c r="L375" s="82" t="s">
        <v>2497</v>
      </c>
      <c r="M375" s="22"/>
      <c r="N375" s="22"/>
      <c r="O375" s="22"/>
      <c r="P375" s="19" t="s">
        <v>175</v>
      </c>
      <c r="Q375" s="26"/>
      <c r="R375" s="26"/>
      <c r="S375" s="47"/>
      <c r="T375" s="4" t="e">
        <f>VLOOKUP(#REF!,#REF!,2,0)</f>
        <v>#REF!</v>
      </c>
      <c r="U375" s="20" t="e">
        <f t="shared" si="10"/>
        <v>#REF!</v>
      </c>
      <c r="V375" s="47"/>
      <c r="W375" s="43"/>
      <c r="X375" s="66" t="e">
        <f>VLOOKUP(D375,#REF!,2,0)</f>
        <v>#REF!</v>
      </c>
      <c r="Y375" s="67" t="b">
        <f>F375=I375</f>
        <v>1</v>
      </c>
      <c r="Z375" s="67"/>
    </row>
    <row r="376" spans="1:26" ht="13.65" customHeight="1">
      <c r="A376" s="91">
        <v>375</v>
      </c>
      <c r="B376" s="52"/>
      <c r="C376" s="3" t="str">
        <f>VLOOKUP(D376,'lista 1'!$A$2:$F3894,4,0)</f>
        <v>BIJAK KONRAD</v>
      </c>
      <c r="D376" s="74">
        <v>564</v>
      </c>
      <c r="E376" s="4" t="str">
        <f>VLOOKUP(D376,'lista 1'!$A$2:$F$1802,5,0)</f>
        <v>TM2</v>
      </c>
      <c r="F376" s="59" t="str">
        <f>VLOOKUP(G376,'lista obszary'!A:B,2,0)</f>
        <v>FORGING</v>
      </c>
      <c r="G376" s="76" t="s">
        <v>1335</v>
      </c>
      <c r="H376" s="85" t="s">
        <v>1897</v>
      </c>
      <c r="I376" s="59" t="str">
        <f>VLOOKUP(J376,'lista obszary'!A:B,2,0)</f>
        <v>FORGING</v>
      </c>
      <c r="J376" s="78" t="s">
        <v>601</v>
      </c>
      <c r="K376" s="87" t="s">
        <v>2064</v>
      </c>
      <c r="L376" s="82" t="s">
        <v>2497</v>
      </c>
      <c r="M376" s="22"/>
      <c r="N376" s="22"/>
      <c r="O376" s="22"/>
      <c r="P376" s="19" t="s">
        <v>175</v>
      </c>
      <c r="Q376" s="26"/>
      <c r="R376" s="26"/>
      <c r="S376" s="47"/>
      <c r="T376" s="4" t="e">
        <f>VLOOKUP(#REF!,#REF!,2,0)</f>
        <v>#REF!</v>
      </c>
      <c r="U376" s="20" t="e">
        <f t="shared" si="10"/>
        <v>#REF!</v>
      </c>
      <c r="V376" s="47"/>
      <c r="W376" s="43"/>
      <c r="X376" s="66" t="e">
        <f>VLOOKUP(D376,#REF!,2,0)</f>
        <v>#REF!</v>
      </c>
      <c r="Y376" s="67" t="s">
        <v>2643</v>
      </c>
    </row>
    <row r="377" spans="1:26" ht="13.65" customHeight="1">
      <c r="A377" s="91">
        <v>376</v>
      </c>
      <c r="B377" s="52"/>
      <c r="C377" s="3" t="str">
        <f>VLOOKUP(D377,'lista 1'!$A$2:$F3895,4,0)</f>
        <v>WYSOCKI ARTUR</v>
      </c>
      <c r="D377" s="74">
        <v>1374</v>
      </c>
      <c r="E377" s="4" t="str">
        <f>VLOOKUP(D377,'lista 1'!$A$2:$F$1802,5,0)</f>
        <v>TM2</v>
      </c>
      <c r="F377" s="59" t="str">
        <f>VLOOKUP(G377,'lista obszary'!A:B,2,0)</f>
        <v>FORGING</v>
      </c>
      <c r="G377" s="76" t="s">
        <v>1335</v>
      </c>
      <c r="H377" s="85" t="s">
        <v>1897</v>
      </c>
      <c r="I377" s="59" t="str">
        <f>VLOOKUP(J377,'lista obszary'!A:B,2,0)</f>
        <v>FORGING</v>
      </c>
      <c r="J377" s="78" t="s">
        <v>601</v>
      </c>
      <c r="K377" s="87" t="s">
        <v>2064</v>
      </c>
      <c r="L377" s="82" t="s">
        <v>2497</v>
      </c>
      <c r="M377" s="22"/>
      <c r="N377" s="22"/>
      <c r="O377" s="22"/>
      <c r="P377" s="19" t="s">
        <v>175</v>
      </c>
      <c r="Q377" s="26"/>
      <c r="R377" s="26"/>
      <c r="S377" s="47"/>
      <c r="T377" s="4" t="e">
        <f>VLOOKUP(#REF!,#REF!,2,0)</f>
        <v>#REF!</v>
      </c>
      <c r="U377" s="20" t="e">
        <f t="shared" si="10"/>
        <v>#REF!</v>
      </c>
      <c r="V377" s="47"/>
      <c r="W377" s="43"/>
      <c r="X377" s="66" t="e">
        <f>VLOOKUP(D377,#REF!,2,0)</f>
        <v>#REF!</v>
      </c>
      <c r="Y377" s="67" t="b">
        <f>F377=I377</f>
        <v>1</v>
      </c>
    </row>
    <row r="378" spans="1:26" ht="13.65" customHeight="1">
      <c r="A378" s="91">
        <v>377</v>
      </c>
      <c r="B378" s="52"/>
      <c r="C378" s="3" t="str">
        <f>VLOOKUP(D378,'lista 1'!$A$2:$F3896,4,0)</f>
        <v>DĄBROWICZ MICHAŁ</v>
      </c>
      <c r="D378" s="74">
        <v>1067</v>
      </c>
      <c r="E378" s="4" t="str">
        <f>VLOOKUP(D378,'lista 1'!$A$2:$F$1802,5,0)</f>
        <v>TM2</v>
      </c>
      <c r="F378" s="59" t="str">
        <f>VLOOKUP(G378,'lista obszary'!A:B,2,0)</f>
        <v>FORGING</v>
      </c>
      <c r="G378" s="76" t="s">
        <v>601</v>
      </c>
      <c r="H378" s="85" t="s">
        <v>2064</v>
      </c>
      <c r="I378" s="59" t="str">
        <f>VLOOKUP(J378,'lista obszary'!A:B,2,0)</f>
        <v>FORGING</v>
      </c>
      <c r="J378" s="78" t="s">
        <v>845</v>
      </c>
      <c r="K378" s="87" t="s">
        <v>1379</v>
      </c>
      <c r="L378" s="82" t="s">
        <v>2497</v>
      </c>
      <c r="M378" s="22"/>
      <c r="N378" s="22"/>
      <c r="O378" s="22"/>
      <c r="P378" s="19" t="s">
        <v>175</v>
      </c>
      <c r="Q378" s="26"/>
      <c r="R378" s="26"/>
      <c r="S378" s="47"/>
      <c r="T378" s="4" t="e">
        <f>VLOOKUP(#REF!,#REF!,2,0)</f>
        <v>#REF!</v>
      </c>
      <c r="U378" s="20" t="e">
        <f t="shared" si="10"/>
        <v>#REF!</v>
      </c>
      <c r="V378" s="47"/>
      <c r="W378" s="43"/>
      <c r="X378" s="66" t="e">
        <f>VLOOKUP(D378,#REF!,2,0)</f>
        <v>#REF!</v>
      </c>
      <c r="Y378" s="67" t="b">
        <f>F378=I378</f>
        <v>1</v>
      </c>
    </row>
    <row r="379" spans="1:26" ht="13.65" customHeight="1">
      <c r="A379" s="91">
        <v>378</v>
      </c>
      <c r="B379" s="52"/>
      <c r="C379" s="3" t="str">
        <f>VLOOKUP(D379,'lista 1'!$A$2:$F3897,4,0)</f>
        <v>DABIC MAREK</v>
      </c>
      <c r="D379" s="74">
        <v>1287</v>
      </c>
      <c r="E379" s="4" t="str">
        <f>VLOOKUP(D379,'lista 1'!$A$2:$F$1802,5,0)</f>
        <v>TM2</v>
      </c>
      <c r="F379" s="59" t="str">
        <f>VLOOKUP(G379,'lista obszary'!A:B,2,0)</f>
        <v>FORGING</v>
      </c>
      <c r="G379" s="76" t="s">
        <v>845</v>
      </c>
      <c r="H379" s="85" t="s">
        <v>1379</v>
      </c>
      <c r="I379" s="59" t="str">
        <f>VLOOKUP(J379,'lista obszary'!A:B,2,0)</f>
        <v>FORGING</v>
      </c>
      <c r="J379" s="78" t="s">
        <v>1223</v>
      </c>
      <c r="K379" s="87" t="s">
        <v>1369</v>
      </c>
      <c r="L379" s="82" t="s">
        <v>2497</v>
      </c>
      <c r="M379" s="22"/>
      <c r="N379" s="22"/>
      <c r="O379" s="22"/>
      <c r="P379" s="19" t="s">
        <v>175</v>
      </c>
      <c r="Q379" s="26"/>
      <c r="R379" s="26"/>
      <c r="S379" s="47"/>
      <c r="T379" s="4" t="e">
        <f>VLOOKUP(#REF!,#REF!,2,0)</f>
        <v>#REF!</v>
      </c>
      <c r="U379" s="20" t="e">
        <f t="shared" si="10"/>
        <v>#REF!</v>
      </c>
      <c r="V379" s="47"/>
      <c r="W379" s="43"/>
      <c r="X379" s="66" t="e">
        <f>VLOOKUP(D379,#REF!,2,0)</f>
        <v>#REF!</v>
      </c>
      <c r="Y379" s="67" t="b">
        <f>F379=I379</f>
        <v>1</v>
      </c>
    </row>
    <row r="380" spans="1:26" ht="13.65" customHeight="1">
      <c r="A380" s="91">
        <v>379</v>
      </c>
      <c r="B380" s="52"/>
      <c r="C380" s="3" t="e">
        <f>VLOOKUP(D380,'lista 1'!$A$2:$F3898,4,0)</f>
        <v>#N/A</v>
      </c>
      <c r="D380" s="74">
        <v>64270</v>
      </c>
      <c r="E380" s="4" t="e">
        <f>VLOOKUP(D380,'lista 1'!$A$2:$F$1802,5,0)</f>
        <v>#N/A</v>
      </c>
      <c r="F380" s="59" t="str">
        <f>VLOOKUP(G380,'lista obszary'!A:B,2,0)</f>
        <v>EC60</v>
      </c>
      <c r="G380" s="76" t="s">
        <v>549</v>
      </c>
      <c r="H380" s="85" t="s">
        <v>1881</v>
      </c>
      <c r="I380" s="59" t="str">
        <f>VLOOKUP(J380,'lista obszary'!A:B,2,0)</f>
        <v>EC60</v>
      </c>
      <c r="J380" s="78" t="s">
        <v>1351</v>
      </c>
      <c r="K380" s="87" t="s">
        <v>1881</v>
      </c>
      <c r="L380" s="82" t="s">
        <v>2498</v>
      </c>
      <c r="M380" s="22"/>
      <c r="N380" s="22"/>
      <c r="O380" s="22"/>
      <c r="P380" s="19" t="s">
        <v>175</v>
      </c>
      <c r="Q380" s="26"/>
      <c r="R380" s="26"/>
      <c r="S380" s="47"/>
      <c r="T380" s="4" t="e">
        <f>VLOOKUP(#REF!,#REF!,2,0)</f>
        <v>#REF!</v>
      </c>
      <c r="U380" s="20" t="e">
        <f t="shared" si="10"/>
        <v>#REF!</v>
      </c>
      <c r="V380" s="47"/>
      <c r="W380" s="43"/>
      <c r="X380" s="66" t="e">
        <f>VLOOKUP(D380,#REF!,2,0)</f>
        <v>#REF!</v>
      </c>
      <c r="Y380" s="67" t="b">
        <f>F380=I380</f>
        <v>1</v>
      </c>
    </row>
    <row r="381" spans="1:26" ht="13.65" customHeight="1">
      <c r="A381" s="91">
        <v>380</v>
      </c>
      <c r="B381" s="52"/>
      <c r="C381" s="3" t="e">
        <f>VLOOKUP(D381,'lista 1'!$A$2:$F3899,4,0)</f>
        <v>#N/A</v>
      </c>
      <c r="D381" s="74">
        <v>70439</v>
      </c>
      <c r="E381" s="4" t="e">
        <f>VLOOKUP(D381,'lista 1'!$A$2:$F$1802,5,0)</f>
        <v>#N/A</v>
      </c>
      <c r="F381" s="59" t="str">
        <f>VLOOKUP(G381,'lista obszary'!A:B,2,0)</f>
        <v>IL</v>
      </c>
      <c r="G381" s="76" t="s">
        <v>1609</v>
      </c>
      <c r="H381" s="85" t="s">
        <v>1923</v>
      </c>
      <c r="I381" s="59" t="str">
        <f>VLOOKUP(J381,'lista obszary'!A:B,2,0)</f>
        <v>IL</v>
      </c>
      <c r="J381" s="78" t="s">
        <v>2329</v>
      </c>
      <c r="K381" s="87" t="s">
        <v>1551</v>
      </c>
      <c r="L381" s="82" t="s">
        <v>2498</v>
      </c>
      <c r="M381" s="22"/>
      <c r="N381" s="22"/>
      <c r="O381" s="22"/>
      <c r="P381" s="19" t="s">
        <v>175</v>
      </c>
      <c r="Q381" s="26"/>
      <c r="R381" s="26"/>
      <c r="S381" s="47"/>
      <c r="T381" s="4" t="e">
        <f>VLOOKUP(#REF!,#REF!,2,0)</f>
        <v>#REF!</v>
      </c>
      <c r="U381" s="20" t="e">
        <f t="shared" si="10"/>
        <v>#REF!</v>
      </c>
      <c r="V381" s="47"/>
      <c r="W381" s="43"/>
      <c r="X381" s="66" t="e">
        <f>VLOOKUP(D381,#REF!,2,0)</f>
        <v>#REF!</v>
      </c>
      <c r="Y381" s="67" t="s">
        <v>2643</v>
      </c>
      <c r="Z381" s="67"/>
    </row>
    <row r="382" spans="1:26" ht="13.65" customHeight="1">
      <c r="A382" s="91">
        <v>381</v>
      </c>
      <c r="B382" s="52"/>
      <c r="C382" s="3" t="e">
        <f>VLOOKUP(D382,'lista 1'!$A$2:$F3900,4,0)</f>
        <v>#N/A</v>
      </c>
      <c r="D382" s="74">
        <v>64389</v>
      </c>
      <c r="E382" s="4" t="e">
        <f>VLOOKUP(D382,'lista 1'!$A$2:$F$1802,5,0)</f>
        <v>#N/A</v>
      </c>
      <c r="F382" s="59" t="str">
        <f>VLOOKUP(G382,'lista obszary'!A:B,2,0)</f>
        <v>IL</v>
      </c>
      <c r="G382" s="76" t="s">
        <v>1609</v>
      </c>
      <c r="H382" s="85" t="s">
        <v>1923</v>
      </c>
      <c r="I382" s="59" t="str">
        <f>VLOOKUP(J382,'lista obszary'!A:B,2,0)</f>
        <v>IL</v>
      </c>
      <c r="J382" s="78" t="s">
        <v>2329</v>
      </c>
      <c r="K382" s="87" t="s">
        <v>1551</v>
      </c>
      <c r="L382" s="82" t="s">
        <v>2498</v>
      </c>
      <c r="M382" s="22"/>
      <c r="N382" s="22"/>
      <c r="O382" s="22"/>
      <c r="P382" s="19" t="s">
        <v>175</v>
      </c>
      <c r="Q382" s="26"/>
      <c r="R382" s="26"/>
      <c r="S382" s="47"/>
      <c r="T382" s="4" t="e">
        <f>VLOOKUP(#REF!,#REF!,2,0)</f>
        <v>#REF!</v>
      </c>
      <c r="U382" s="20" t="e">
        <f t="shared" si="10"/>
        <v>#REF!</v>
      </c>
      <c r="V382" s="47"/>
      <c r="W382" s="43"/>
      <c r="X382" s="66" t="e">
        <f>VLOOKUP(D382,#REF!,2,0)</f>
        <v>#REF!</v>
      </c>
      <c r="Y382" s="67" t="s">
        <v>2643</v>
      </c>
      <c r="Z382" s="67"/>
    </row>
    <row r="383" spans="1:26" ht="13.65" customHeight="1">
      <c r="A383" s="91">
        <v>382</v>
      </c>
      <c r="B383" s="52"/>
      <c r="C383" s="3" t="e">
        <f>VLOOKUP(D383,'lista 1'!$A$2:$F3901,4,0)</f>
        <v>#N/A</v>
      </c>
      <c r="D383" s="74">
        <v>70440</v>
      </c>
      <c r="E383" s="4" t="e">
        <f>VLOOKUP(D383,'lista 1'!$A$2:$F$1802,5,0)</f>
        <v>#N/A</v>
      </c>
      <c r="F383" s="59" t="str">
        <f>VLOOKUP(G383,'lista obszary'!A:B,2,0)</f>
        <v>IL</v>
      </c>
      <c r="G383" s="76" t="s">
        <v>1609</v>
      </c>
      <c r="H383" s="85" t="s">
        <v>1923</v>
      </c>
      <c r="I383" s="59" t="str">
        <f>VLOOKUP(J383,'lista obszary'!A:B,2,0)</f>
        <v>IL</v>
      </c>
      <c r="J383" s="78" t="s">
        <v>2329</v>
      </c>
      <c r="K383" s="87" t="s">
        <v>1551</v>
      </c>
      <c r="L383" s="82" t="s">
        <v>2498</v>
      </c>
      <c r="M383" s="22"/>
      <c r="N383" s="22"/>
      <c r="O383" s="22"/>
      <c r="P383" s="19" t="s">
        <v>175</v>
      </c>
      <c r="Q383" s="26"/>
      <c r="R383" s="26"/>
      <c r="S383" s="47"/>
      <c r="T383" s="4" t="e">
        <f>VLOOKUP(#REF!,#REF!,2,0)</f>
        <v>#REF!</v>
      </c>
      <c r="U383" s="20" t="e">
        <f t="shared" si="10"/>
        <v>#REF!</v>
      </c>
      <c r="V383" s="47"/>
      <c r="W383" s="43"/>
      <c r="X383" s="66" t="e">
        <f>VLOOKUP(D383,#REF!,2,0)</f>
        <v>#REF!</v>
      </c>
      <c r="Y383" s="67" t="s">
        <v>2643</v>
      </c>
      <c r="Z383" s="67"/>
    </row>
    <row r="384" spans="1:26" ht="13.65" customHeight="1">
      <c r="A384" s="91">
        <v>383</v>
      </c>
      <c r="B384" s="52"/>
      <c r="C384" s="3" t="e">
        <f>VLOOKUP(D384,'lista 1'!$A$2:$F3902,4,0)</f>
        <v>#N/A</v>
      </c>
      <c r="D384" s="74">
        <v>70449</v>
      </c>
      <c r="E384" s="4" t="e">
        <f>VLOOKUP(D384,'lista 1'!$A$2:$F$1802,5,0)</f>
        <v>#N/A</v>
      </c>
      <c r="F384" s="59" t="str">
        <f>VLOOKUP(G384,'lista obszary'!A:B,2,0)</f>
        <v>IL</v>
      </c>
      <c r="G384" s="76" t="s">
        <v>1609</v>
      </c>
      <c r="H384" s="85" t="s">
        <v>1923</v>
      </c>
      <c r="I384" s="59" t="str">
        <f>VLOOKUP(J384,'lista obszary'!A:B,2,0)</f>
        <v>IL</v>
      </c>
      <c r="J384" s="78" t="s">
        <v>2329</v>
      </c>
      <c r="K384" s="87" t="s">
        <v>1551</v>
      </c>
      <c r="L384" s="82" t="s">
        <v>2498</v>
      </c>
      <c r="M384" s="22"/>
      <c r="N384" s="22"/>
      <c r="O384" s="22"/>
      <c r="P384" s="19" t="s">
        <v>175</v>
      </c>
      <c r="Q384" s="26"/>
      <c r="R384" s="26"/>
      <c r="S384" s="47"/>
      <c r="T384" s="4" t="e">
        <f>VLOOKUP(#REF!,#REF!,2,0)</f>
        <v>#REF!</v>
      </c>
      <c r="U384" s="20" t="e">
        <f t="shared" si="10"/>
        <v>#REF!</v>
      </c>
      <c r="V384" s="47"/>
      <c r="W384" s="43"/>
      <c r="X384" s="66" t="e">
        <f>VLOOKUP(D384,#REF!,2,0)</f>
        <v>#REF!</v>
      </c>
      <c r="Y384" s="67" t="s">
        <v>2643</v>
      </c>
      <c r="Z384" s="67"/>
    </row>
    <row r="385" spans="1:26" ht="13.65" customHeight="1">
      <c r="A385" s="91">
        <v>384</v>
      </c>
      <c r="B385" s="52"/>
      <c r="C385" s="3" t="str">
        <f>VLOOKUP(D385,'lista 1'!$A$2:$F3903,4,0)</f>
        <v>KURIATA EDYTA</v>
      </c>
      <c r="D385" s="74">
        <v>2462</v>
      </c>
      <c r="E385" s="4" t="str">
        <f>VLOOKUP(D385,'lista 1'!$A$2:$F$1802,5,0)</f>
        <v>TM2</v>
      </c>
      <c r="F385" s="59" t="str">
        <f>VLOOKUP(G385,'lista obszary'!A:B,2,0)</f>
        <v>EC60</v>
      </c>
      <c r="G385" s="76" t="s">
        <v>549</v>
      </c>
      <c r="H385" s="85" t="s">
        <v>1881</v>
      </c>
      <c r="I385" s="59" t="str">
        <f>VLOOKUP(J385,'lista obszary'!A:B,2,0)</f>
        <v>EC60</v>
      </c>
      <c r="J385" s="78" t="s">
        <v>1045</v>
      </c>
      <c r="K385" s="87" t="s">
        <v>1926</v>
      </c>
      <c r="L385" s="82" t="s">
        <v>2499</v>
      </c>
      <c r="M385" s="22"/>
      <c r="N385" s="22"/>
      <c r="O385" s="22"/>
      <c r="P385" s="19" t="s">
        <v>175</v>
      </c>
      <c r="Q385" s="26"/>
      <c r="R385" s="26"/>
      <c r="S385" s="47"/>
      <c r="T385" s="4" t="e">
        <f>VLOOKUP(#REF!,#REF!,2,0)</f>
        <v>#REF!</v>
      </c>
      <c r="U385" s="20" t="e">
        <f t="shared" si="10"/>
        <v>#REF!</v>
      </c>
      <c r="V385" s="47"/>
      <c r="W385" s="43"/>
      <c r="X385" s="66" t="e">
        <f>VLOOKUP(D385,#REF!,2,0)</f>
        <v>#REF!</v>
      </c>
      <c r="Y385" s="67" t="b">
        <f>F385=I385</f>
        <v>1</v>
      </c>
    </row>
    <row r="386" spans="1:26" ht="13.65" customHeight="1">
      <c r="A386" s="91">
        <v>385</v>
      </c>
      <c r="B386" s="52"/>
      <c r="C386" s="3" t="e">
        <f>VLOOKUP(D386,'lista 1'!$A$2:$F3904,4,0)</f>
        <v>#N/A</v>
      </c>
      <c r="D386" s="74">
        <v>70514</v>
      </c>
      <c r="E386" s="4" t="e">
        <f>VLOOKUP(D386,'lista 1'!$A$2:$F$1802,5,0)</f>
        <v>#N/A</v>
      </c>
      <c r="F386" s="59" t="str">
        <f>VLOOKUP(G386,'lista obszary'!A:B,2,0)</f>
        <v>IL</v>
      </c>
      <c r="G386" s="76" t="s">
        <v>515</v>
      </c>
      <c r="H386" s="85" t="s">
        <v>1574</v>
      </c>
      <c r="I386" s="59" t="str">
        <f>VLOOKUP(J386,'lista obszary'!A:B,2,0)</f>
        <v>IL</v>
      </c>
      <c r="J386" s="78" t="s">
        <v>511</v>
      </c>
      <c r="K386" s="87" t="s">
        <v>2472</v>
      </c>
      <c r="L386" s="82" t="s">
        <v>2499</v>
      </c>
      <c r="M386" s="22"/>
      <c r="N386" s="22"/>
      <c r="O386" s="22"/>
      <c r="P386" s="19" t="s">
        <v>175</v>
      </c>
      <c r="Q386" s="26"/>
      <c r="R386" s="26"/>
      <c r="S386" s="47"/>
      <c r="T386" s="4" t="e">
        <f>VLOOKUP(#REF!,#REF!,2,0)</f>
        <v>#REF!</v>
      </c>
      <c r="U386" s="20" t="e">
        <f t="shared" si="10"/>
        <v>#REF!</v>
      </c>
      <c r="V386" s="47"/>
      <c r="W386" s="43"/>
      <c r="X386" s="66" t="e">
        <f>VLOOKUP(D386,#REF!,2,0)</f>
        <v>#REF!</v>
      </c>
      <c r="Y386" s="67" t="s">
        <v>2643</v>
      </c>
      <c r="Z386" s="67"/>
    </row>
    <row r="387" spans="1:26" ht="13.65" customHeight="1">
      <c r="A387" s="91">
        <v>386</v>
      </c>
      <c r="B387" s="52"/>
      <c r="C387" s="3" t="str">
        <f>VLOOKUP(D387,'lista 1'!$A$2:$F3905,4,0)</f>
        <v>STANKOWSKA JOANNA</v>
      </c>
      <c r="D387" s="74">
        <v>568</v>
      </c>
      <c r="E387" s="4" t="str">
        <f>VLOOKUP(D387,'lista 1'!$A$2:$F$1802,5,0)</f>
        <v>TM</v>
      </c>
      <c r="F387" s="59" t="str">
        <f>VLOOKUP(G387,'lista obszary'!A:B,2,0)</f>
        <v>ENGINES</v>
      </c>
      <c r="G387" s="76" t="s">
        <v>602</v>
      </c>
      <c r="H387" s="85" t="s">
        <v>1392</v>
      </c>
      <c r="I387" s="59" t="str">
        <f>VLOOKUP(J387,'lista obszary'!A:B,2,0)</f>
        <v>QC</v>
      </c>
      <c r="J387" s="78" t="s">
        <v>632</v>
      </c>
      <c r="K387" s="87" t="s">
        <v>1393</v>
      </c>
      <c r="L387" s="82" t="s">
        <v>2502</v>
      </c>
      <c r="M387" s="22"/>
      <c r="N387" s="22"/>
      <c r="O387" s="22"/>
      <c r="P387" s="19" t="s">
        <v>175</v>
      </c>
      <c r="Q387" s="26"/>
      <c r="R387" s="26"/>
      <c r="S387" s="47"/>
      <c r="T387" s="4" t="e">
        <f>VLOOKUP(#REF!,#REF!,2,0)</f>
        <v>#REF!</v>
      </c>
      <c r="U387" s="20" t="e">
        <f t="shared" si="10"/>
        <v>#REF!</v>
      </c>
      <c r="V387" s="47"/>
      <c r="W387" s="43"/>
      <c r="X387" s="66" t="e">
        <f>VLOOKUP(D387,#REF!,2,0)</f>
        <v>#REF!</v>
      </c>
      <c r="Y387" s="67" t="s">
        <v>2644</v>
      </c>
      <c r="Z387" s="67"/>
    </row>
    <row r="388" spans="1:26" ht="13.65" customHeight="1">
      <c r="A388" s="91">
        <v>387</v>
      </c>
      <c r="B388" s="52"/>
      <c r="C388" s="3" t="str">
        <f>VLOOKUP(D388,'lista 1'!$A$2:$F3906,4,0)</f>
        <v>SATORA SYLWIA</v>
      </c>
      <c r="D388" s="74">
        <v>2340</v>
      </c>
      <c r="E388" s="4" t="str">
        <f>VLOOKUP(D388,'lista 1'!$A$2:$F$1802,5,0)</f>
        <v>TM2</v>
      </c>
      <c r="F388" s="59" t="str">
        <f>VLOOKUP(G388,'lista obszary'!A:B,2,0)</f>
        <v>ENGINES</v>
      </c>
      <c r="G388" s="76" t="s">
        <v>238</v>
      </c>
      <c r="H388" s="85" t="s">
        <v>1584</v>
      </c>
      <c r="I388" s="59" t="str">
        <f>VLOOKUP(J388,'lista obszary'!A:B,2,0)</f>
        <v>ENGINES</v>
      </c>
      <c r="J388" s="78" t="s">
        <v>318</v>
      </c>
      <c r="K388" s="87" t="s">
        <v>1380</v>
      </c>
      <c r="L388" s="82" t="s">
        <v>2502</v>
      </c>
      <c r="M388" s="22"/>
      <c r="N388" s="22"/>
      <c r="O388" s="22"/>
      <c r="P388" s="19" t="s">
        <v>175</v>
      </c>
      <c r="Q388" s="26"/>
      <c r="R388" s="26"/>
      <c r="S388" s="47"/>
      <c r="T388" s="4" t="e">
        <f>VLOOKUP(#REF!,#REF!,2,0)</f>
        <v>#REF!</v>
      </c>
      <c r="U388" s="20" t="e">
        <f t="shared" si="10"/>
        <v>#REF!</v>
      </c>
      <c r="V388" s="47"/>
      <c r="W388" s="43"/>
      <c r="X388" s="66" t="e">
        <f>VLOOKUP(D388,#REF!,2,0)</f>
        <v>#REF!</v>
      </c>
      <c r="Y388" s="67" t="b">
        <f>F388=I388</f>
        <v>1</v>
      </c>
    </row>
    <row r="389" spans="1:26" ht="13.65" customHeight="1">
      <c r="A389" s="91">
        <v>388</v>
      </c>
      <c r="B389" s="52"/>
      <c r="C389" s="3" t="e">
        <f>VLOOKUP(D389,'lista 1'!$A$2:$F3907,4,0)</f>
        <v>#N/A</v>
      </c>
      <c r="D389" s="74">
        <v>70522</v>
      </c>
      <c r="E389" s="4" t="s">
        <v>643</v>
      </c>
      <c r="F389" s="59" t="str">
        <f>VLOOKUP(G389,'lista obszary'!A:B,2,0)</f>
        <v>IL</v>
      </c>
      <c r="G389" s="76" t="s">
        <v>1609</v>
      </c>
      <c r="H389" s="85" t="s">
        <v>1923</v>
      </c>
      <c r="I389" s="59" t="str">
        <f>VLOOKUP(J389,'lista obszary'!A:B,2,0)</f>
        <v>IL</v>
      </c>
      <c r="J389" s="78" t="s">
        <v>1062</v>
      </c>
      <c r="K389" s="87" t="s">
        <v>1562</v>
      </c>
      <c r="L389" s="82" t="s">
        <v>2502</v>
      </c>
      <c r="M389" s="22"/>
      <c r="N389" s="22"/>
      <c r="O389" s="22"/>
      <c r="P389" s="19" t="s">
        <v>175</v>
      </c>
      <c r="Q389" s="26"/>
      <c r="R389" s="26"/>
      <c r="S389" s="47"/>
      <c r="T389" s="4" t="e">
        <f>VLOOKUP(#REF!,#REF!,2,0)</f>
        <v>#REF!</v>
      </c>
      <c r="U389" s="20" t="e">
        <f t="shared" si="10"/>
        <v>#REF!</v>
      </c>
      <c r="V389" s="47"/>
      <c r="W389" s="43"/>
      <c r="X389" s="66" t="e">
        <f>VLOOKUP(D389,#REF!,2,0)</f>
        <v>#REF!</v>
      </c>
      <c r="Y389" s="67" t="s">
        <v>2643</v>
      </c>
      <c r="Z389" s="67"/>
    </row>
    <row r="390" spans="1:26" ht="13.65" customHeight="1">
      <c r="A390" s="91">
        <v>389</v>
      </c>
      <c r="B390" s="52"/>
      <c r="C390" s="3" t="e">
        <f>VLOOKUP(D390,'lista 1'!$A$2:$F3908,4,0)</f>
        <v>#N/A</v>
      </c>
      <c r="D390" s="74">
        <v>70525</v>
      </c>
      <c r="E390" s="4" t="s">
        <v>643</v>
      </c>
      <c r="F390" s="59" t="str">
        <f>VLOOKUP(G390,'lista obszary'!A:B,2,0)</f>
        <v>CASTING</v>
      </c>
      <c r="G390" s="76" t="s">
        <v>475</v>
      </c>
      <c r="H390" s="85" t="s">
        <v>540</v>
      </c>
      <c r="I390" s="59" t="str">
        <f>VLOOKUP(J390,'lista obszary'!A:B,2,0)</f>
        <v>CASTING</v>
      </c>
      <c r="J390" s="78" t="s">
        <v>685</v>
      </c>
      <c r="K390" s="87" t="s">
        <v>1559</v>
      </c>
      <c r="L390" s="82" t="s">
        <v>2502</v>
      </c>
      <c r="M390" s="22"/>
      <c r="N390" s="22"/>
      <c r="O390" s="22"/>
      <c r="P390" s="19" t="s">
        <v>175</v>
      </c>
      <c r="Q390" s="26"/>
      <c r="R390" s="26"/>
      <c r="S390" s="47"/>
      <c r="T390" s="4" t="e">
        <f>VLOOKUP(#REF!,#REF!,2,0)</f>
        <v>#REF!</v>
      </c>
      <c r="U390" s="20" t="e">
        <f t="shared" si="10"/>
        <v>#REF!</v>
      </c>
      <c r="V390" s="47"/>
      <c r="W390" s="43"/>
      <c r="X390" s="66" t="e">
        <f>VLOOKUP(D390,#REF!,2,0)</f>
        <v>#REF!</v>
      </c>
      <c r="Y390" s="67" t="s">
        <v>2643</v>
      </c>
      <c r="Z390" s="67"/>
    </row>
    <row r="391" spans="1:26" ht="13.65" customHeight="1">
      <c r="A391" s="91">
        <v>390</v>
      </c>
      <c r="B391" s="52"/>
      <c r="C391" s="3" t="e">
        <f>VLOOKUP(D391,'lista 1'!$A$2:$F3909,4,0)</f>
        <v>#N/A</v>
      </c>
      <c r="D391" s="74">
        <v>64414</v>
      </c>
      <c r="E391" s="4" t="e">
        <f>VLOOKUP(D391,'lista 1'!$A$2:$F$1802,5,0)</f>
        <v>#N/A</v>
      </c>
      <c r="F391" s="59" t="str">
        <f>VLOOKUP(G391,'lista obszary'!A:B,2,0)</f>
        <v>EC60</v>
      </c>
      <c r="G391" s="76" t="s">
        <v>1045</v>
      </c>
      <c r="H391" s="85" t="s">
        <v>1926</v>
      </c>
      <c r="I391" s="59" t="str">
        <f>VLOOKUP(J391,'lista obszary'!A:B,2,0)</f>
        <v>EC60</v>
      </c>
      <c r="J391" s="78" t="s">
        <v>1325</v>
      </c>
      <c r="K391" s="87" t="s">
        <v>2159</v>
      </c>
      <c r="L391" s="82" t="s">
        <v>2501</v>
      </c>
      <c r="M391" s="22"/>
      <c r="N391" s="22"/>
      <c r="O391" s="22"/>
      <c r="P391" s="19" t="s">
        <v>175</v>
      </c>
      <c r="Q391" s="26"/>
      <c r="R391" s="26"/>
      <c r="S391" s="47"/>
      <c r="T391" s="4" t="e">
        <f>VLOOKUP(#REF!,#REF!,2,0)</f>
        <v>#REF!</v>
      </c>
      <c r="U391" s="20" t="e">
        <f t="shared" si="10"/>
        <v>#REF!</v>
      </c>
      <c r="V391" s="47"/>
      <c r="W391" s="43"/>
      <c r="X391" s="66" t="e">
        <f>VLOOKUP(D391,#REF!,2,0)</f>
        <v>#REF!</v>
      </c>
      <c r="Y391" s="67" t="s">
        <v>2648</v>
      </c>
      <c r="Z391" s="67"/>
    </row>
    <row r="392" spans="1:26" ht="13.65" customHeight="1">
      <c r="A392" s="91">
        <v>391</v>
      </c>
      <c r="B392" s="52"/>
      <c r="C392" s="3" t="str">
        <f>VLOOKUP(D392,'lista 1'!$A$2:$F3910,4,0)</f>
        <v>WYSOCKI ARTUR</v>
      </c>
      <c r="D392" s="74">
        <v>1374</v>
      </c>
      <c r="E392" s="4" t="str">
        <f>VLOOKUP(D392,'lista 1'!$A$2:$F$1802,5,0)</f>
        <v>TM2</v>
      </c>
      <c r="F392" s="59" t="str">
        <f>VLOOKUP(G392,'lista obszary'!A:B,2,0)</f>
        <v>FORGING</v>
      </c>
      <c r="G392" s="76" t="s">
        <v>601</v>
      </c>
      <c r="H392" s="85" t="s">
        <v>2064</v>
      </c>
      <c r="I392" s="59" t="str">
        <f>VLOOKUP(J392,'lista obszary'!A:B,2,0)</f>
        <v>FORGING</v>
      </c>
      <c r="J392" s="78" t="s">
        <v>1335</v>
      </c>
      <c r="K392" s="87" t="s">
        <v>1543</v>
      </c>
      <c r="L392" s="82" t="s">
        <v>2504</v>
      </c>
      <c r="M392" s="22"/>
      <c r="N392" s="22"/>
      <c r="O392" s="22"/>
      <c r="P392" s="19" t="s">
        <v>175</v>
      </c>
      <c r="Q392" s="26"/>
      <c r="R392" s="26"/>
      <c r="S392" s="47"/>
      <c r="T392" s="4" t="e">
        <f>VLOOKUP(#REF!,#REF!,2,0)</f>
        <v>#REF!</v>
      </c>
      <c r="U392" s="20" t="e">
        <f t="shared" si="10"/>
        <v>#REF!</v>
      </c>
      <c r="V392" s="47"/>
      <c r="W392" s="43"/>
      <c r="X392" s="66" t="e">
        <f>VLOOKUP(D392,#REF!,2,0)</f>
        <v>#REF!</v>
      </c>
      <c r="Y392" s="67" t="b">
        <f>F392=I392</f>
        <v>1</v>
      </c>
    </row>
    <row r="393" spans="1:26" ht="13.65" customHeight="1">
      <c r="A393" s="91">
        <v>392</v>
      </c>
      <c r="B393" s="52"/>
      <c r="C393" s="3" t="str">
        <f>VLOOKUP(D393,'lista 1'!$A$2:$F3911,4,0)</f>
        <v>SUŁKOWSKI PAWEŁ</v>
      </c>
      <c r="D393" s="74">
        <v>2811</v>
      </c>
      <c r="E393" s="4" t="str">
        <f>VLOOKUP(D393,'lista 1'!$A$2:$F$1802,5,0)</f>
        <v>TM2</v>
      </c>
      <c r="F393" s="59" t="str">
        <f>VLOOKUP(G393,'lista obszary'!A:B,2,0)</f>
        <v>FORGING</v>
      </c>
      <c r="G393" s="76" t="s">
        <v>601</v>
      </c>
      <c r="H393" s="85" t="s">
        <v>2064</v>
      </c>
      <c r="I393" s="59" t="str">
        <f>VLOOKUP(J393,'lista obszary'!A:B,2,0)</f>
        <v>HV PJT</v>
      </c>
      <c r="J393" s="78" t="s">
        <v>1967</v>
      </c>
      <c r="K393" s="87" t="s">
        <v>2064</v>
      </c>
      <c r="L393" s="82" t="s">
        <v>2504</v>
      </c>
      <c r="M393" s="22"/>
      <c r="N393" s="22"/>
      <c r="O393" s="22"/>
      <c r="P393" s="19" t="s">
        <v>175</v>
      </c>
      <c r="Q393" s="26"/>
      <c r="R393" s="26"/>
      <c r="S393" s="47"/>
      <c r="T393" s="4" t="e">
        <f>VLOOKUP(#REF!,#REF!,2,0)</f>
        <v>#REF!</v>
      </c>
      <c r="U393" s="20" t="e">
        <f t="shared" si="10"/>
        <v>#REF!</v>
      </c>
      <c r="V393" s="47"/>
      <c r="W393" s="43"/>
      <c r="X393" s="66" t="e">
        <f>VLOOKUP(D393,#REF!,2,0)</f>
        <v>#REF!</v>
      </c>
      <c r="Y393" s="67" t="s">
        <v>2643</v>
      </c>
    </row>
    <row r="394" spans="1:26" ht="13.65" customHeight="1">
      <c r="A394" s="91">
        <v>393</v>
      </c>
      <c r="B394" s="52"/>
      <c r="C394" s="3" t="str">
        <f>VLOOKUP(D394,'lista 1'!$A$2:$F3912,4,0)</f>
        <v>BIJAK KONRAD</v>
      </c>
      <c r="D394" s="74">
        <v>564</v>
      </c>
      <c r="E394" s="4" t="str">
        <f>VLOOKUP(D394,'lista 1'!$A$2:$F$1802,5,0)</f>
        <v>TM2</v>
      </c>
      <c r="F394" s="59" t="str">
        <f>VLOOKUP(G394,'lista obszary'!A:B,2,0)</f>
        <v>FORGING</v>
      </c>
      <c r="G394" s="76" t="s">
        <v>601</v>
      </c>
      <c r="H394" s="85" t="s">
        <v>2064</v>
      </c>
      <c r="I394" s="59" t="str">
        <f>VLOOKUP(J394,'lista obszary'!A:B,2,0)</f>
        <v>HV PJT</v>
      </c>
      <c r="J394" s="78" t="s">
        <v>1967</v>
      </c>
      <c r="K394" s="87" t="s">
        <v>2064</v>
      </c>
      <c r="L394" s="82" t="s">
        <v>2504</v>
      </c>
      <c r="M394" s="22"/>
      <c r="N394" s="22"/>
      <c r="O394" s="22"/>
      <c r="P394" s="19" t="s">
        <v>175</v>
      </c>
      <c r="Q394" s="26"/>
      <c r="R394" s="26"/>
      <c r="S394" s="47"/>
      <c r="T394" s="4" t="e">
        <f>VLOOKUP(#REF!,#REF!,2,0)</f>
        <v>#REF!</v>
      </c>
      <c r="U394" s="20" t="e">
        <f t="shared" si="10"/>
        <v>#REF!</v>
      </c>
      <c r="V394" s="47"/>
      <c r="W394" s="43"/>
      <c r="X394" s="66" t="e">
        <f>VLOOKUP(D394,#REF!,2,0)</f>
        <v>#REF!</v>
      </c>
      <c r="Y394" s="67" t="s">
        <v>2643</v>
      </c>
    </row>
    <row r="395" spans="1:26" ht="13.65" customHeight="1">
      <c r="A395" s="91">
        <v>394</v>
      </c>
      <c r="B395" s="52"/>
      <c r="C395" s="3" t="e">
        <f>VLOOKUP(D395,'lista 1'!$A$2:$F3913,4,0)</f>
        <v>#N/A</v>
      </c>
      <c r="D395" s="74">
        <v>64399</v>
      </c>
      <c r="E395" s="4" t="e">
        <f>VLOOKUP(D395,'lista 1'!$A$2:$F$1802,5,0)</f>
        <v>#N/A</v>
      </c>
      <c r="F395" s="59" t="str">
        <f>VLOOKUP(G395,'lista obszary'!A:B,2,0)</f>
        <v>FORGING</v>
      </c>
      <c r="G395" s="76" t="s">
        <v>601</v>
      </c>
      <c r="H395" s="85" t="s">
        <v>2064</v>
      </c>
      <c r="I395" s="59" t="str">
        <f>VLOOKUP(J395,'lista obszary'!A:B,2,0)</f>
        <v>FORGING</v>
      </c>
      <c r="J395" s="78" t="s">
        <v>771</v>
      </c>
      <c r="K395" s="87" t="s">
        <v>1370</v>
      </c>
      <c r="L395" s="82" t="s">
        <v>2504</v>
      </c>
      <c r="M395" s="22"/>
      <c r="N395" s="22"/>
      <c r="O395" s="22"/>
      <c r="P395" s="19" t="s">
        <v>175</v>
      </c>
      <c r="Q395" s="26"/>
      <c r="R395" s="26"/>
      <c r="S395" s="47"/>
      <c r="T395" s="4" t="e">
        <f>VLOOKUP(#REF!,#REF!,2,0)</f>
        <v>#REF!</v>
      </c>
      <c r="U395" s="20" t="e">
        <f t="shared" si="10"/>
        <v>#REF!</v>
      </c>
      <c r="V395" s="47"/>
      <c r="W395" s="43"/>
      <c r="X395" s="66" t="e">
        <f>VLOOKUP(D395,#REF!,2,0)</f>
        <v>#REF!</v>
      </c>
      <c r="Y395" s="67" t="b">
        <f>F395=I395</f>
        <v>1</v>
      </c>
      <c r="Z395" s="67"/>
    </row>
    <row r="396" spans="1:26" ht="13.65" customHeight="1">
      <c r="A396" s="91">
        <v>395</v>
      </c>
      <c r="B396" s="52"/>
      <c r="C396" s="3" t="str">
        <f>VLOOKUP(D396,'lista 1'!$A$2:$F3914,4,0)</f>
        <v>SĘDZIMIR KRZYSZTOF</v>
      </c>
      <c r="D396" s="74">
        <v>2991</v>
      </c>
      <c r="E396" s="4" t="str">
        <f>VLOOKUP(D396,'lista 1'!$A$2:$F$1802,5,0)</f>
        <v>TM</v>
      </c>
      <c r="F396" s="59" t="str">
        <f>VLOOKUP(G396,'lista obszary'!A:B,2,0)</f>
        <v>FORGING</v>
      </c>
      <c r="G396" s="76" t="s">
        <v>601</v>
      </c>
      <c r="H396" s="85" t="s">
        <v>2064</v>
      </c>
      <c r="I396" s="59" t="str">
        <f>VLOOKUP(J396,'lista obszary'!A:B,2,0)</f>
        <v>FORGING</v>
      </c>
      <c r="J396" s="78" t="s">
        <v>771</v>
      </c>
      <c r="K396" s="87" t="s">
        <v>1370</v>
      </c>
      <c r="L396" s="82" t="s">
        <v>2504</v>
      </c>
      <c r="M396" s="22"/>
      <c r="N396" s="22"/>
      <c r="O396" s="22"/>
      <c r="P396" s="19" t="s">
        <v>175</v>
      </c>
      <c r="Q396" s="26"/>
      <c r="R396" s="26"/>
      <c r="S396" s="47"/>
      <c r="T396" s="4" t="e">
        <f>VLOOKUP(#REF!,#REF!,2,0)</f>
        <v>#REF!</v>
      </c>
      <c r="U396" s="20" t="e">
        <f t="shared" si="10"/>
        <v>#REF!</v>
      </c>
      <c r="V396" s="47"/>
      <c r="W396" s="43"/>
      <c r="X396" s="66" t="e">
        <f>VLOOKUP(D396,#REF!,2,0)</f>
        <v>#REF!</v>
      </c>
      <c r="Y396" s="67" t="b">
        <f>F396=I396</f>
        <v>1</v>
      </c>
    </row>
    <row r="397" spans="1:26" ht="13.65" customHeight="1">
      <c r="A397" s="91">
        <v>396</v>
      </c>
      <c r="B397" s="52"/>
      <c r="C397" s="3" t="str">
        <f>VLOOKUP(D397,'lista 1'!$A$2:$F3915,4,0)</f>
        <v>WALKOWIAK RYSZARD</v>
      </c>
      <c r="D397" s="74">
        <v>2812</v>
      </c>
      <c r="E397" s="4" t="str">
        <f>VLOOKUP(D397,'lista 1'!$A$2:$F$1802,5,0)</f>
        <v>TM2</v>
      </c>
      <c r="F397" s="59" t="str">
        <f>VLOOKUP(G397,'lista obszary'!A:B,2,0)</f>
        <v>FORGING</v>
      </c>
      <c r="G397" s="76" t="s">
        <v>601</v>
      </c>
      <c r="H397" s="85" t="s">
        <v>2064</v>
      </c>
      <c r="I397" s="59" t="str">
        <f>VLOOKUP(J397,'lista obszary'!A:B,2,0)</f>
        <v>FORGING</v>
      </c>
      <c r="J397" s="78" t="s">
        <v>1350</v>
      </c>
      <c r="K397" s="87" t="s">
        <v>1370</v>
      </c>
      <c r="L397" s="82" t="s">
        <v>2504</v>
      </c>
      <c r="M397" s="22"/>
      <c r="N397" s="22"/>
      <c r="O397" s="22"/>
      <c r="P397" s="19" t="s">
        <v>175</v>
      </c>
      <c r="Q397" s="26"/>
      <c r="R397" s="26"/>
      <c r="S397" s="47"/>
      <c r="T397" s="4" t="e">
        <f>VLOOKUP(#REF!,#REF!,2,0)</f>
        <v>#REF!</v>
      </c>
      <c r="U397" s="20" t="e">
        <f t="shared" si="10"/>
        <v>#REF!</v>
      </c>
      <c r="V397" s="47"/>
      <c r="W397" s="43"/>
      <c r="X397" s="66" t="e">
        <f>VLOOKUP(D397,#REF!,2,0)</f>
        <v>#REF!</v>
      </c>
      <c r="Y397" s="67" t="b">
        <f>F397=I397</f>
        <v>1</v>
      </c>
    </row>
    <row r="398" spans="1:26" ht="13.65" customHeight="1">
      <c r="A398" s="91">
        <v>397</v>
      </c>
      <c r="B398" s="52"/>
      <c r="C398" s="3" t="str">
        <f>VLOOKUP(D398,'lista 1'!$A$2:$F3916,4,0)</f>
        <v>WOŹNIAK SŁAWOMIR</v>
      </c>
      <c r="D398" s="74">
        <v>141</v>
      </c>
      <c r="E398" s="4" t="str">
        <f>VLOOKUP(D398,'lista 1'!$A$2:$F$1802,5,0)</f>
        <v>TM2</v>
      </c>
      <c r="F398" s="59" t="str">
        <f>VLOOKUP(G398,'lista obszary'!A:B,2,0)</f>
        <v>QC</v>
      </c>
      <c r="G398" s="76" t="s">
        <v>2436</v>
      </c>
      <c r="H398" s="85" t="s">
        <v>1924</v>
      </c>
      <c r="I398" s="59" t="str">
        <f>VLOOKUP(J398,'lista obszary'!A:B,2,0)</f>
        <v>QC</v>
      </c>
      <c r="J398" s="78" t="s">
        <v>2276</v>
      </c>
      <c r="K398" s="87" t="s">
        <v>1913</v>
      </c>
      <c r="L398" s="82" t="s">
        <v>2500</v>
      </c>
      <c r="M398" s="22"/>
      <c r="N398" s="22"/>
      <c r="O398" s="22"/>
      <c r="P398" s="19" t="s">
        <v>175</v>
      </c>
      <c r="Q398" s="26"/>
      <c r="R398" s="26"/>
      <c r="S398" s="47"/>
      <c r="T398" s="4" t="e">
        <f>VLOOKUP(#REF!,#REF!,2,0)</f>
        <v>#REF!</v>
      </c>
      <c r="U398" s="20" t="e">
        <f t="shared" si="10"/>
        <v>#REF!</v>
      </c>
      <c r="V398" s="47"/>
      <c r="W398" s="43"/>
      <c r="X398" s="66" t="e">
        <f>VLOOKUP(D398,#REF!,2,0)</f>
        <v>#REF!</v>
      </c>
      <c r="Y398" s="67" t="s">
        <v>2643</v>
      </c>
    </row>
    <row r="399" spans="1:26" ht="13.65" customHeight="1">
      <c r="A399" s="91">
        <v>398</v>
      </c>
      <c r="B399" s="52"/>
      <c r="C399" s="3" t="str">
        <f>VLOOKUP(D399,'lista 1'!$A$2:$F3917,4,0)</f>
        <v>ADAMCZYK MAŁGORZATA</v>
      </c>
      <c r="D399" s="74">
        <v>2064</v>
      </c>
      <c r="E399" s="4" t="str">
        <f>VLOOKUP(D399,'lista 1'!$A$2:$F$1802,5,0)</f>
        <v>TM</v>
      </c>
      <c r="F399" s="59" t="str">
        <f>VLOOKUP(G399,'lista obszary'!A:B,2,0)</f>
        <v>ENGINES</v>
      </c>
      <c r="G399" s="76" t="s">
        <v>608</v>
      </c>
      <c r="H399" s="85" t="s">
        <v>1584</v>
      </c>
      <c r="I399" s="59" t="str">
        <f>VLOOKUP(J399,'lista obszary'!A:B,2,0)</f>
        <v>HV</v>
      </c>
      <c r="J399" s="78" t="s">
        <v>2448</v>
      </c>
      <c r="K399" s="87" t="s">
        <v>1555</v>
      </c>
      <c r="L399" s="82" t="s">
        <v>2500</v>
      </c>
      <c r="M399" s="22"/>
      <c r="N399" s="22"/>
      <c r="O399" s="22"/>
      <c r="P399" s="19" t="s">
        <v>175</v>
      </c>
      <c r="Q399" s="26"/>
      <c r="R399" s="26"/>
      <c r="S399" s="47"/>
      <c r="T399" s="4" t="e">
        <f>VLOOKUP(#REF!,#REF!,2,0)</f>
        <v>#REF!</v>
      </c>
      <c r="U399" s="20" t="e">
        <f t="shared" si="10"/>
        <v>#REF!</v>
      </c>
      <c r="V399" s="47"/>
      <c r="W399" s="43"/>
      <c r="X399" s="66" t="e">
        <f>VLOOKUP(D399,#REF!,2,0)</f>
        <v>#REF!</v>
      </c>
      <c r="Y399" s="67" t="s">
        <v>2644</v>
      </c>
      <c r="Z399" s="67"/>
    </row>
    <row r="400" spans="1:26" ht="13.65" customHeight="1">
      <c r="A400" s="91">
        <v>399</v>
      </c>
      <c r="B400" s="52"/>
      <c r="C400" s="3" t="str">
        <f>VLOOKUP(D400,'lista 1'!$A$2:$F3918,4,0)</f>
        <v>FLADER AGNIESZKA</v>
      </c>
      <c r="D400" s="74">
        <v>1656</v>
      </c>
      <c r="E400" s="4" t="str">
        <f>VLOOKUP(D400,'lista 1'!$A$2:$F$1802,5,0)</f>
        <v>AC TL</v>
      </c>
      <c r="F400" s="59" t="str">
        <f>VLOOKUP(G400,'lista obszary'!A:B,2,0)</f>
        <v>EPKM</v>
      </c>
      <c r="G400" s="76" t="s">
        <v>934</v>
      </c>
      <c r="H400" s="85" t="s">
        <v>347</v>
      </c>
      <c r="I400" s="59" t="str">
        <f>VLOOKUP(J400,'lista obszary'!A:B,2,0)</f>
        <v>HV PJT</v>
      </c>
      <c r="J400" s="78" t="s">
        <v>2337</v>
      </c>
      <c r="K400" s="87" t="s">
        <v>2157</v>
      </c>
      <c r="L400" s="82" t="s">
        <v>2503</v>
      </c>
      <c r="M400" s="22"/>
      <c r="N400" s="22"/>
      <c r="O400" s="22"/>
      <c r="P400" s="19" t="s">
        <v>175</v>
      </c>
      <c r="Q400" s="26"/>
      <c r="R400" s="26"/>
      <c r="S400" s="47"/>
      <c r="T400" s="4" t="e">
        <f>VLOOKUP(#REF!,#REF!,2,0)</f>
        <v>#REF!</v>
      </c>
      <c r="U400" s="20" t="e">
        <f t="shared" si="10"/>
        <v>#REF!</v>
      </c>
      <c r="V400" s="47"/>
      <c r="W400" s="43"/>
      <c r="X400" s="66" t="e">
        <f>VLOOKUP(D400,#REF!,2,0)</f>
        <v>#REF!</v>
      </c>
      <c r="Y400" s="67" t="b">
        <f>F400=I400</f>
        <v>0</v>
      </c>
    </row>
    <row r="401" spans="1:26" ht="13.65" customHeight="1">
      <c r="A401" s="91">
        <v>400</v>
      </c>
      <c r="B401" s="52"/>
      <c r="C401" s="3" t="str">
        <f>VLOOKUP(D401,'lista 1'!$A$2:$F3919,4,0)</f>
        <v>GRABOWSKI ROBERT</v>
      </c>
      <c r="D401" s="74">
        <v>718</v>
      </c>
      <c r="E401" s="4" t="str">
        <f>VLOOKUP(D401,'lista 1'!$A$2:$F$1802,5,0)</f>
        <v>TL</v>
      </c>
      <c r="F401" s="59" t="str">
        <f>VLOOKUP(G401,'lista obszary'!A:B,2,0)</f>
        <v>HV PJT</v>
      </c>
      <c r="G401" s="76" t="s">
        <v>2337</v>
      </c>
      <c r="H401" s="85" t="s">
        <v>2157</v>
      </c>
      <c r="I401" s="59" t="str">
        <f>VLOOKUP(J401,'lista obszary'!A:B,2,0)</f>
        <v>HV</v>
      </c>
      <c r="J401" s="78" t="s">
        <v>2449</v>
      </c>
      <c r="K401" s="87" t="s">
        <v>340</v>
      </c>
      <c r="L401" s="82" t="s">
        <v>2503</v>
      </c>
      <c r="M401" s="22"/>
      <c r="N401" s="22"/>
      <c r="O401" s="22"/>
      <c r="P401" s="19" t="s">
        <v>175</v>
      </c>
      <c r="Q401" s="26"/>
      <c r="R401" s="26"/>
      <c r="S401" s="47"/>
      <c r="T401" s="4" t="e">
        <f>VLOOKUP(#REF!,#REF!,2,0)</f>
        <v>#REF!</v>
      </c>
      <c r="U401" s="20" t="e">
        <f t="shared" si="10"/>
        <v>#REF!</v>
      </c>
      <c r="V401" s="47"/>
      <c r="W401" s="43"/>
      <c r="X401" s="66" t="e">
        <f>VLOOKUP(D401,#REF!,2,0)</f>
        <v>#REF!</v>
      </c>
      <c r="Y401" s="67" t="s">
        <v>2643</v>
      </c>
      <c r="Z401" s="67" t="s">
        <v>1629</v>
      </c>
    </row>
    <row r="402" spans="1:26" ht="13.65" customHeight="1">
      <c r="A402" s="91">
        <v>401</v>
      </c>
      <c r="B402" s="52"/>
      <c r="C402" s="3" t="str">
        <f>VLOOKUP(D402,'lista 1'!$A$2:$F3920,4,0)</f>
        <v>BAWOŁ PRZEMYSŁAW</v>
      </c>
      <c r="D402" s="74">
        <v>1089</v>
      </c>
      <c r="E402" s="4" t="str">
        <f>VLOOKUP(D402,'lista 1'!$A$2:$F$1802,5,0)</f>
        <v>TM2</v>
      </c>
      <c r="F402" s="59" t="str">
        <f>VLOOKUP(G402,'lista obszary'!A:B,2,0)</f>
        <v>FORGING</v>
      </c>
      <c r="G402" s="76" t="s">
        <v>1335</v>
      </c>
      <c r="H402" s="85" t="s">
        <v>1543</v>
      </c>
      <c r="I402" s="59" t="str">
        <f>VLOOKUP(J402,'lista obszary'!A:B,2,0)</f>
        <v>FORGING</v>
      </c>
      <c r="J402" s="78" t="s">
        <v>1350</v>
      </c>
      <c r="K402" s="87" t="s">
        <v>1378</v>
      </c>
      <c r="L402" s="82" t="s">
        <v>2503</v>
      </c>
      <c r="M402" s="22"/>
      <c r="N402" s="22"/>
      <c r="O402" s="22"/>
      <c r="P402" s="19" t="s">
        <v>175</v>
      </c>
      <c r="Q402" s="26"/>
      <c r="R402" s="26"/>
      <c r="S402" s="47"/>
      <c r="T402" s="4" t="e">
        <f>VLOOKUP(#REF!,#REF!,2,0)</f>
        <v>#REF!</v>
      </c>
      <c r="U402" s="20" t="e">
        <f t="shared" si="10"/>
        <v>#REF!</v>
      </c>
      <c r="V402" s="47"/>
      <c r="W402" s="43"/>
      <c r="X402" s="66" t="e">
        <f>VLOOKUP(D402,#REF!,2,0)</f>
        <v>#REF!</v>
      </c>
      <c r="Y402" s="67" t="s">
        <v>2643</v>
      </c>
      <c r="Z402" s="67"/>
    </row>
    <row r="403" spans="1:26" ht="13.65" customHeight="1">
      <c r="A403" s="91">
        <v>402</v>
      </c>
      <c r="B403" s="52"/>
      <c r="C403" s="3" t="str">
        <f>VLOOKUP(D403,'lista 1'!$A$2:$F3921,4,0)</f>
        <v>KALINOWSKI ARTUR</v>
      </c>
      <c r="D403" s="74">
        <v>336</v>
      </c>
      <c r="E403" s="4" t="str">
        <f>VLOOKUP(D403,'lista 1'!$A$2:$F$1802,5,0)</f>
        <v>GRL</v>
      </c>
      <c r="F403" s="59" t="str">
        <f>VLOOKUP(G403,'lista obszary'!A:B,2,0)</f>
        <v>FORGING</v>
      </c>
      <c r="G403" s="76" t="s">
        <v>1350</v>
      </c>
      <c r="H403" s="85" t="s">
        <v>1378</v>
      </c>
      <c r="I403" s="59" t="str">
        <f>VLOOKUP(J403,'lista obszary'!A:B,2,0)</f>
        <v>FORGING</v>
      </c>
      <c r="J403" s="78" t="s">
        <v>1223</v>
      </c>
      <c r="K403" s="87" t="s">
        <v>2090</v>
      </c>
      <c r="L403" s="82" t="s">
        <v>2503</v>
      </c>
      <c r="M403" s="22"/>
      <c r="N403" s="22"/>
      <c r="O403" s="22"/>
      <c r="P403" s="19" t="s">
        <v>175</v>
      </c>
      <c r="Q403" s="26"/>
      <c r="R403" s="26"/>
      <c r="S403" s="47"/>
      <c r="T403" s="4" t="e">
        <f>VLOOKUP(#REF!,#REF!,2,0)</f>
        <v>#REF!</v>
      </c>
      <c r="U403" s="20" t="e">
        <f t="shared" si="10"/>
        <v>#REF!</v>
      </c>
      <c r="V403" s="47"/>
      <c r="W403" s="43"/>
      <c r="X403" s="66" t="e">
        <f>VLOOKUP(D403,#REF!,2,0)</f>
        <v>#REF!</v>
      </c>
      <c r="Y403" s="67" t="s">
        <v>2643</v>
      </c>
      <c r="Z403" s="67"/>
    </row>
    <row r="404" spans="1:26" ht="13.65" customHeight="1">
      <c r="A404" s="91">
        <v>403</v>
      </c>
      <c r="B404" s="52"/>
      <c r="C404" s="3" t="str">
        <f>VLOOKUP(D404,'lista 1'!$A$2:$F3922,4,0)</f>
        <v>MARCZAK PIOTR</v>
      </c>
      <c r="D404" s="74">
        <v>785</v>
      </c>
      <c r="E404" s="4" t="str">
        <f>VLOOKUP(D404,'lista 1'!$A$2:$F$1802,5,0)</f>
        <v>TM2</v>
      </c>
      <c r="F404" s="59" t="str">
        <f>VLOOKUP(G404,'lista obszary'!A:B,2,0)</f>
        <v>CASTING</v>
      </c>
      <c r="G404" s="76" t="s">
        <v>395</v>
      </c>
      <c r="H404" s="85" t="s">
        <v>1550</v>
      </c>
      <c r="I404" s="59" t="str">
        <f>VLOOKUP(J404,'lista obszary'!A:B,2,0)</f>
        <v>CASTING</v>
      </c>
      <c r="J404" s="78" t="s">
        <v>475</v>
      </c>
      <c r="K404" s="87" t="s">
        <v>540</v>
      </c>
      <c r="L404" s="82" t="s">
        <v>2503</v>
      </c>
      <c r="M404" s="22"/>
      <c r="N404" s="22"/>
      <c r="O404" s="22"/>
      <c r="P404" s="19" t="s">
        <v>175</v>
      </c>
      <c r="Q404" s="26"/>
      <c r="R404" s="26"/>
      <c r="S404" s="47"/>
      <c r="T404" s="4" t="e">
        <f>VLOOKUP(#REF!,#REF!,2,0)</f>
        <v>#REF!</v>
      </c>
      <c r="U404" s="20" t="e">
        <f t="shared" si="10"/>
        <v>#REF!</v>
      </c>
      <c r="V404" s="47"/>
      <c r="W404" s="43"/>
      <c r="X404" s="66" t="e">
        <f>VLOOKUP(D404,#REF!,2,0)</f>
        <v>#REF!</v>
      </c>
      <c r="Y404" s="67" t="s">
        <v>2643</v>
      </c>
      <c r="Z404" s="67"/>
    </row>
    <row r="405" spans="1:26" ht="13.65" customHeight="1">
      <c r="A405" s="91">
        <v>404</v>
      </c>
      <c r="B405" s="52"/>
      <c r="C405" s="3" t="str">
        <f>VLOOKUP(D405,'lista 1'!$A$2:$F3923,4,0)</f>
        <v>MOLOCIOS MICHAŁ</v>
      </c>
      <c r="D405" s="74">
        <v>956</v>
      </c>
      <c r="E405" s="4" t="str">
        <f>VLOOKUP(D405,'lista 1'!$A$2:$F$1802,5,0)</f>
        <v>AC GRL</v>
      </c>
      <c r="F405" s="59" t="str">
        <f>VLOOKUP(G405,'lista obszary'!A:B,2,0)</f>
        <v>EC60</v>
      </c>
      <c r="G405" s="76" t="s">
        <v>844</v>
      </c>
      <c r="H405" s="85" t="s">
        <v>1903</v>
      </c>
      <c r="I405" s="59" t="str">
        <f>VLOOKUP(J405,'lista obszary'!A:B,2,0)</f>
        <v>HV PJT</v>
      </c>
      <c r="J405" s="78" t="s">
        <v>2377</v>
      </c>
      <c r="K405" s="87" t="s">
        <v>1395</v>
      </c>
      <c r="L405" s="82" t="s">
        <v>2505</v>
      </c>
      <c r="M405" s="22"/>
      <c r="N405" s="22"/>
      <c r="O405" s="22"/>
      <c r="P405" s="19" t="s">
        <v>175</v>
      </c>
      <c r="Q405" s="26"/>
      <c r="R405" s="26"/>
      <c r="S405" s="47"/>
      <c r="T405" s="4" t="e">
        <f>VLOOKUP(#REF!,#REF!,2,0)</f>
        <v>#REF!</v>
      </c>
      <c r="U405" s="20" t="e">
        <f t="shared" si="10"/>
        <v>#REF!</v>
      </c>
      <c r="V405" s="47"/>
      <c r="W405" s="43"/>
      <c r="X405" s="66" t="e">
        <f>VLOOKUP(D405,#REF!,2,0)</f>
        <v>#REF!</v>
      </c>
      <c r="Y405" s="67" t="b">
        <f>F405=I405</f>
        <v>0</v>
      </c>
    </row>
    <row r="406" spans="1:26" ht="13.65" customHeight="1">
      <c r="A406" s="91">
        <v>405</v>
      </c>
      <c r="B406" s="52"/>
      <c r="C406" s="3" t="str">
        <f>VLOOKUP(D406,'lista 1'!$A$2:$F3924,4,0)</f>
        <v>BORUŃ MARCIN</v>
      </c>
      <c r="D406" s="74">
        <v>867</v>
      </c>
      <c r="E406" s="4" t="str">
        <f>VLOOKUP(D406,'lista 1'!$A$2:$F$1802,5,0)</f>
        <v>TL2</v>
      </c>
      <c r="F406" s="59" t="str">
        <f>VLOOKUP(G406,'lista obszary'!A:B,2,0)</f>
        <v>MTB0</v>
      </c>
      <c r="G406" s="76" t="s">
        <v>1090</v>
      </c>
      <c r="H406" s="85" t="s">
        <v>1565</v>
      </c>
      <c r="I406" s="59" t="str">
        <f>VLOOKUP(J406,'lista obszary'!A:B,2,0)</f>
        <v>HV PJT</v>
      </c>
      <c r="J406" s="78" t="s">
        <v>2377</v>
      </c>
      <c r="K406" s="87" t="s">
        <v>1395</v>
      </c>
      <c r="L406" s="82" t="s">
        <v>2505</v>
      </c>
      <c r="M406" s="22"/>
      <c r="N406" s="22"/>
      <c r="O406" s="22"/>
      <c r="P406" s="19" t="s">
        <v>175</v>
      </c>
      <c r="Q406" s="26"/>
      <c r="R406" s="26"/>
      <c r="S406" s="47"/>
      <c r="T406" s="4" t="e">
        <f>VLOOKUP(#REF!,#REF!,2,0)</f>
        <v>#REF!</v>
      </c>
      <c r="U406" s="20" t="e">
        <f t="shared" ref="U406:U437" si="11">L406-T406</f>
        <v>#REF!</v>
      </c>
      <c r="V406" s="47"/>
      <c r="W406" s="43"/>
      <c r="X406" s="66" t="e">
        <f>VLOOKUP(D406,#REF!,2,0)</f>
        <v>#REF!</v>
      </c>
      <c r="Y406" s="67" t="b">
        <f>F406=I406</f>
        <v>0</v>
      </c>
    </row>
    <row r="407" spans="1:26" ht="13.65" customHeight="1">
      <c r="A407" s="91">
        <v>406</v>
      </c>
      <c r="B407" s="52"/>
      <c r="C407" s="3" t="str">
        <f>VLOOKUP(D407,'lista 1'!$A$2:$F3925,4,0)</f>
        <v>TUMIDAJEWICZ RAFAŁ</v>
      </c>
      <c r="D407" s="74">
        <v>287</v>
      </c>
      <c r="E407" s="4" t="str">
        <f>VLOOKUP(D407,'lista 1'!$A$2:$F$1802,5,0)</f>
        <v>AC GRL</v>
      </c>
      <c r="F407" s="59" t="str">
        <f>VLOOKUP(G407,'lista obszary'!A:B,2,0)</f>
        <v>ENGINES</v>
      </c>
      <c r="G407" s="76" t="s">
        <v>1999</v>
      </c>
      <c r="H407" s="85" t="s">
        <v>1902</v>
      </c>
      <c r="I407" s="59" t="str">
        <f>VLOOKUP(J407,'lista obszary'!A:B,2,0)</f>
        <v>HV PJT</v>
      </c>
      <c r="J407" s="78" t="s">
        <v>2377</v>
      </c>
      <c r="K407" s="87" t="s">
        <v>1395</v>
      </c>
      <c r="L407" s="82" t="s">
        <v>2505</v>
      </c>
      <c r="M407" s="22"/>
      <c r="N407" s="22"/>
      <c r="O407" s="22"/>
      <c r="P407" s="19" t="s">
        <v>175</v>
      </c>
      <c r="Q407" s="26"/>
      <c r="R407" s="26"/>
      <c r="S407" s="47"/>
      <c r="T407" s="4" t="e">
        <f>VLOOKUP(#REF!,#REF!,2,0)</f>
        <v>#REF!</v>
      </c>
      <c r="U407" s="20" t="e">
        <f t="shared" si="11"/>
        <v>#REF!</v>
      </c>
      <c r="V407" s="47"/>
      <c r="W407" s="43"/>
      <c r="X407" s="66" t="e">
        <f>VLOOKUP(D407,#REF!,2,0)</f>
        <v>#REF!</v>
      </c>
      <c r="Y407" s="67" t="s">
        <v>2644</v>
      </c>
      <c r="Z407" s="67"/>
    </row>
    <row r="408" spans="1:26" ht="13.65" customHeight="1">
      <c r="A408" s="91">
        <v>407</v>
      </c>
      <c r="B408" s="55"/>
      <c r="C408" s="3" t="str">
        <f>VLOOKUP(D408,'lista 1'!$A$2:$F3926,4,0)</f>
        <v>TASIOR KRZYSZTOF</v>
      </c>
      <c r="D408" s="74">
        <v>1441</v>
      </c>
      <c r="E408" s="53" t="str">
        <f>VLOOKUP(D408,'lista 1'!$A$2:$F$1802,5,0)</f>
        <v>TM2</v>
      </c>
      <c r="F408" s="59" t="str">
        <f>VLOOKUP(G408,'lista obszary'!A:B,2,0)</f>
        <v>EC60</v>
      </c>
      <c r="G408" s="76" t="s">
        <v>592</v>
      </c>
      <c r="H408" s="85" t="s">
        <v>1907</v>
      </c>
      <c r="I408" s="59" t="str">
        <f>VLOOKUP(J408,'lista obszary'!A:B,2,0)</f>
        <v>HV PJT</v>
      </c>
      <c r="J408" s="78" t="s">
        <v>2377</v>
      </c>
      <c r="K408" s="87" t="s">
        <v>1395</v>
      </c>
      <c r="L408" s="82" t="s">
        <v>2505</v>
      </c>
      <c r="M408" s="54"/>
      <c r="N408" s="54"/>
      <c r="O408" s="54"/>
      <c r="P408" s="55" t="s">
        <v>2530</v>
      </c>
      <c r="Q408" s="26"/>
      <c r="R408" s="26"/>
      <c r="S408" s="47"/>
      <c r="T408" s="4" t="e">
        <f>VLOOKUP(#REF!,#REF!,2,0)</f>
        <v>#REF!</v>
      </c>
      <c r="U408" s="20" t="e">
        <f t="shared" si="11"/>
        <v>#REF!</v>
      </c>
      <c r="V408" s="47"/>
      <c r="W408" s="43"/>
      <c r="X408" s="66" t="e">
        <f>VLOOKUP(D408,#REF!,2,0)</f>
        <v>#REF!</v>
      </c>
      <c r="Y408" s="67" t="s">
        <v>2644</v>
      </c>
      <c r="Z408" s="67"/>
    </row>
    <row r="409" spans="1:26" ht="13.65" customHeight="1">
      <c r="A409" s="91">
        <v>408</v>
      </c>
      <c r="B409" s="52"/>
      <c r="C409" s="3" t="e">
        <f>VLOOKUP(D409,'lista 1'!$A$2:$F3927,4,0)</f>
        <v>#N/A</v>
      </c>
      <c r="D409" s="74">
        <v>70513</v>
      </c>
      <c r="E409" s="4" t="e">
        <f>VLOOKUP(D409,'lista 1'!$A$2:$F$1802,5,0)</f>
        <v>#N/A</v>
      </c>
      <c r="F409" s="59" t="str">
        <f>VLOOKUP(G409,'lista obszary'!A:B,2,0)</f>
        <v>IL</v>
      </c>
      <c r="G409" s="76" t="s">
        <v>515</v>
      </c>
      <c r="H409" s="85" t="s">
        <v>1574</v>
      </c>
      <c r="I409" s="59" t="str">
        <f>VLOOKUP(J409,'lista obszary'!A:B,2,0)</f>
        <v>IL</v>
      </c>
      <c r="J409" s="78" t="s">
        <v>2087</v>
      </c>
      <c r="K409" s="87" t="s">
        <v>2112</v>
      </c>
      <c r="L409" s="82" t="s">
        <v>2517</v>
      </c>
      <c r="M409" s="22"/>
      <c r="N409" s="22"/>
      <c r="O409" s="22"/>
      <c r="P409" s="19" t="s">
        <v>175</v>
      </c>
      <c r="Q409" s="26"/>
      <c r="R409" s="26"/>
      <c r="S409" s="47"/>
      <c r="T409" s="4" t="e">
        <f>VLOOKUP(#REF!,#REF!,2,0)</f>
        <v>#REF!</v>
      </c>
      <c r="U409" s="20" t="e">
        <f t="shared" si="11"/>
        <v>#REF!</v>
      </c>
      <c r="V409" s="47"/>
      <c r="W409" s="43"/>
      <c r="X409" s="66" t="e">
        <f>VLOOKUP(D409,#REF!,2,0)</f>
        <v>#REF!</v>
      </c>
      <c r="Y409" s="67" t="s">
        <v>2643</v>
      </c>
      <c r="Z409" s="67"/>
    </row>
    <row r="410" spans="1:26" ht="13.65" customHeight="1">
      <c r="A410" s="91">
        <v>409</v>
      </c>
      <c r="B410" s="52"/>
      <c r="C410" s="3" t="e">
        <f>VLOOKUP(D410,'lista 1'!$A$2:$F3928,4,0)</f>
        <v>#N/A</v>
      </c>
      <c r="D410" s="74">
        <v>64354</v>
      </c>
      <c r="E410" s="4" t="e">
        <f>VLOOKUP(D410,'lista 1'!$A$2:$F$1802,5,0)</f>
        <v>#N/A</v>
      </c>
      <c r="F410" s="59" t="str">
        <f>VLOOKUP(G410,'lista obszary'!A:B,2,0)</f>
        <v>HV</v>
      </c>
      <c r="G410" s="76" t="s">
        <v>2448</v>
      </c>
      <c r="H410" s="85" t="s">
        <v>1555</v>
      </c>
      <c r="I410" s="59" t="str">
        <f>VLOOKUP(J410,'lista obszary'!A:B,2,0)</f>
        <v>HV</v>
      </c>
      <c r="J410" s="78" t="s">
        <v>2073</v>
      </c>
      <c r="K410" s="87" t="s">
        <v>2471</v>
      </c>
      <c r="L410" s="82" t="s">
        <v>2517</v>
      </c>
      <c r="M410" s="22"/>
      <c r="N410" s="22"/>
      <c r="O410" s="22"/>
      <c r="P410" s="19" t="s">
        <v>175</v>
      </c>
      <c r="Q410" s="26"/>
      <c r="R410" s="26"/>
      <c r="S410" s="47"/>
      <c r="T410" s="4" t="e">
        <f>VLOOKUP(#REF!,#REF!,2,0)</f>
        <v>#REF!</v>
      </c>
      <c r="U410" s="20" t="e">
        <f t="shared" si="11"/>
        <v>#REF!</v>
      </c>
      <c r="V410" s="47"/>
      <c r="W410" s="43"/>
      <c r="X410" s="66" t="e">
        <f>VLOOKUP(D410,#REF!,2,0)</f>
        <v>#REF!</v>
      </c>
      <c r="Y410" s="67" t="s">
        <v>2648</v>
      </c>
    </row>
    <row r="411" spans="1:26" ht="13.65" customHeight="1">
      <c r="A411" s="91">
        <v>410</v>
      </c>
      <c r="B411" s="52"/>
      <c r="C411" s="3" t="e">
        <f>VLOOKUP(D411,'lista 1'!$A$2:$F3929,4,0)</f>
        <v>#N/A</v>
      </c>
      <c r="D411" s="74">
        <v>64433</v>
      </c>
      <c r="E411" s="4" t="e">
        <f>VLOOKUP(D411,'lista 1'!$A$2:$F$1802,5,0)</f>
        <v>#N/A</v>
      </c>
      <c r="F411" s="59" t="str">
        <f>VLOOKUP(G411,'lista obszary'!A:B,2,0)</f>
        <v>IL</v>
      </c>
      <c r="G411" s="76" t="s">
        <v>1062</v>
      </c>
      <c r="H411" s="85" t="s">
        <v>1562</v>
      </c>
      <c r="I411" s="59" t="str">
        <f>VLOOKUP(J411,'lista obszary'!A:B,2,0)</f>
        <v>IL</v>
      </c>
      <c r="J411" s="78" t="s">
        <v>515</v>
      </c>
      <c r="K411" s="87" t="s">
        <v>1574</v>
      </c>
      <c r="L411" s="82" t="s">
        <v>2517</v>
      </c>
      <c r="M411" s="22"/>
      <c r="N411" s="22"/>
      <c r="O411" s="22"/>
      <c r="P411" s="19" t="s">
        <v>175</v>
      </c>
      <c r="Q411" s="26"/>
      <c r="R411" s="26"/>
      <c r="S411" s="47"/>
      <c r="T411" s="4" t="e">
        <f>VLOOKUP(#REF!,#REF!,2,0)</f>
        <v>#REF!</v>
      </c>
      <c r="U411" s="20" t="e">
        <f t="shared" si="11"/>
        <v>#REF!</v>
      </c>
      <c r="V411" s="47"/>
      <c r="W411" s="43"/>
      <c r="X411" s="66" t="e">
        <f>VLOOKUP(D411,#REF!,2,0)</f>
        <v>#REF!</v>
      </c>
      <c r="Y411" s="67" t="s">
        <v>2643</v>
      </c>
      <c r="Z411" s="67"/>
    </row>
    <row r="412" spans="1:26" ht="13.65" customHeight="1">
      <c r="A412" s="91">
        <v>411</v>
      </c>
      <c r="B412" s="52" t="s">
        <v>174</v>
      </c>
      <c r="C412" s="3" t="str">
        <f>VLOOKUP(D412,'lista 1'!$A$2:$F3930,4,0)</f>
        <v>KWIATKOWSKI SŁAWOMIR</v>
      </c>
      <c r="D412" s="74">
        <v>237</v>
      </c>
      <c r="E412" s="4" t="str">
        <f>VLOOKUP(D412,'lista 1'!$A$2:$F$1802,5,0)</f>
        <v>TL2</v>
      </c>
      <c r="F412" s="59" t="str">
        <f>VLOOKUP(G412,'lista obszary'!A:B,2,0)</f>
        <v>EC60</v>
      </c>
      <c r="G412" s="76" t="s">
        <v>570</v>
      </c>
      <c r="H412" s="85" t="s">
        <v>1893</v>
      </c>
      <c r="I412" s="59" t="str">
        <f>VLOOKUP(J412,'lista obszary'!A:B,2,0)</f>
        <v>EC60</v>
      </c>
      <c r="J412" s="78" t="s">
        <v>1969</v>
      </c>
      <c r="K412" s="87" t="s">
        <v>1907</v>
      </c>
      <c r="L412" s="82" t="s">
        <v>2519</v>
      </c>
      <c r="M412" s="22"/>
      <c r="N412" s="22"/>
      <c r="O412" s="22"/>
      <c r="P412" s="26" t="s">
        <v>175</v>
      </c>
      <c r="Q412" s="26"/>
      <c r="R412" s="26"/>
      <c r="S412" s="47"/>
      <c r="T412" s="4" t="e">
        <f>VLOOKUP(#REF!,#REF!,2,0)</f>
        <v>#REF!</v>
      </c>
      <c r="U412" s="20" t="e">
        <f t="shared" si="11"/>
        <v>#REF!</v>
      </c>
      <c r="V412" s="47"/>
      <c r="W412" s="43"/>
      <c r="X412" s="66" t="e">
        <f>VLOOKUP(D412,#REF!,2,0)</f>
        <v>#REF!</v>
      </c>
      <c r="Y412" s="67" t="s">
        <v>2643</v>
      </c>
      <c r="Z412" s="67"/>
    </row>
    <row r="413" spans="1:26" ht="13.65" customHeight="1">
      <c r="A413" s="91">
        <v>412</v>
      </c>
      <c r="B413" s="52" t="s">
        <v>174</v>
      </c>
      <c r="C413" s="3" t="str">
        <f>VLOOKUP(D413,'lista 1'!$A$2:$F3931,4,0)</f>
        <v>GÓRKA GERARD</v>
      </c>
      <c r="D413" s="74">
        <v>723</v>
      </c>
      <c r="E413" s="4" t="str">
        <f>VLOOKUP(D413,'lista 1'!$A$2:$F$1802,5,0)</f>
        <v>TL2</v>
      </c>
      <c r="F413" s="59" t="str">
        <f>VLOOKUP(G413,'lista obszary'!A:B,2,0)</f>
        <v>EC60</v>
      </c>
      <c r="G413" s="76" t="s">
        <v>1969</v>
      </c>
      <c r="H413" s="85" t="s">
        <v>1887</v>
      </c>
      <c r="I413" s="59" t="str">
        <f>VLOOKUP(J413,'lista obszary'!A:B,2,0)</f>
        <v>EC60</v>
      </c>
      <c r="J413" s="78" t="s">
        <v>549</v>
      </c>
      <c r="K413" s="87" t="s">
        <v>1881</v>
      </c>
      <c r="L413" s="82" t="s">
        <v>2519</v>
      </c>
      <c r="M413" s="22"/>
      <c r="N413" s="22"/>
      <c r="O413" s="22"/>
      <c r="P413" s="19" t="s">
        <v>175</v>
      </c>
      <c r="Q413" s="26"/>
      <c r="R413" s="26"/>
      <c r="S413" s="47"/>
      <c r="T413" s="4" t="e">
        <f>VLOOKUP(#REF!,#REF!,2,0)</f>
        <v>#REF!</v>
      </c>
      <c r="U413" s="20" t="e">
        <f t="shared" si="11"/>
        <v>#REF!</v>
      </c>
      <c r="V413" s="47"/>
      <c r="W413" s="43"/>
      <c r="X413" s="66" t="e">
        <f>VLOOKUP(D413,#REF!,2,0)</f>
        <v>#REF!</v>
      </c>
      <c r="Y413" s="67" t="s">
        <v>2643</v>
      </c>
      <c r="Z413" s="67"/>
    </row>
    <row r="414" spans="1:26" ht="13.65" customHeight="1">
      <c r="A414" s="91">
        <v>413</v>
      </c>
      <c r="B414" s="52" t="s">
        <v>2533</v>
      </c>
      <c r="C414" s="3" t="str">
        <f>VLOOKUP(D414,'lista 1'!$A$2:$F3932,4,0)</f>
        <v>JANCZURA PIOTR</v>
      </c>
      <c r="D414" s="74">
        <v>1381</v>
      </c>
      <c r="E414" s="4" t="str">
        <f>VLOOKUP(D414,'lista 1'!$A$2:$F$1802,5,0)</f>
        <v>TM</v>
      </c>
      <c r="F414" s="59" t="str">
        <f>VLOOKUP(G414,'lista obszary'!A:B,2,0)</f>
        <v>EC60</v>
      </c>
      <c r="G414" s="76" t="s">
        <v>570</v>
      </c>
      <c r="H414" s="85" t="s">
        <v>1893</v>
      </c>
      <c r="I414" s="59" t="str">
        <f>VLOOKUP(J414,'lista obszary'!A:B,2,0)</f>
        <v>CASTING</v>
      </c>
      <c r="J414" s="78" t="s">
        <v>685</v>
      </c>
      <c r="K414" s="87" t="s">
        <v>1559</v>
      </c>
      <c r="L414" s="82" t="s">
        <v>2519</v>
      </c>
      <c r="M414" s="22"/>
      <c r="N414" s="22"/>
      <c r="O414" s="22"/>
      <c r="P414" s="26"/>
      <c r="Q414" s="26"/>
      <c r="R414" s="26"/>
      <c r="S414" s="47"/>
      <c r="T414" s="4" t="e">
        <f>VLOOKUP(#REF!,#REF!,2,0)</f>
        <v>#REF!</v>
      </c>
      <c r="U414" s="20" t="e">
        <f t="shared" si="11"/>
        <v>#REF!</v>
      </c>
      <c r="V414" s="47"/>
      <c r="W414" s="43"/>
      <c r="X414" s="66" t="e">
        <f>VLOOKUP(D414,#REF!,2,0)</f>
        <v>#REF!</v>
      </c>
      <c r="Y414" s="67" t="b">
        <f>F414=I414</f>
        <v>0</v>
      </c>
    </row>
    <row r="415" spans="1:26" ht="13.65" customHeight="1">
      <c r="A415" s="91">
        <v>414</v>
      </c>
      <c r="B415" s="52" t="s">
        <v>174</v>
      </c>
      <c r="C415" s="3" t="str">
        <f>VLOOKUP(D415,'lista 1'!$A$2:$F3933,4,0)</f>
        <v>WOJCIECHOWSKI ŁUKASZ</v>
      </c>
      <c r="D415" s="74">
        <v>2373</v>
      </c>
      <c r="E415" s="4" t="str">
        <f>VLOOKUP(D415,'lista 1'!$A$2:$F$1802,5,0)</f>
        <v>TM2</v>
      </c>
      <c r="F415" s="59" t="str">
        <f>VLOOKUP(G415,'lista obszary'!A:B,2,0)</f>
        <v>EC60</v>
      </c>
      <c r="G415" s="76" t="s">
        <v>224</v>
      </c>
      <c r="H415" s="85" t="s">
        <v>1912</v>
      </c>
      <c r="I415" s="59" t="str">
        <f>VLOOKUP(J415,'lista obszary'!A:B,2,0)</f>
        <v>EC60</v>
      </c>
      <c r="J415" s="78" t="s">
        <v>549</v>
      </c>
      <c r="K415" s="87" t="s">
        <v>1881</v>
      </c>
      <c r="L415" s="82" t="s">
        <v>2519</v>
      </c>
      <c r="M415" s="22"/>
      <c r="N415" s="22"/>
      <c r="O415" s="22"/>
      <c r="P415" s="19" t="s">
        <v>175</v>
      </c>
      <c r="Q415" s="26"/>
      <c r="R415" s="26"/>
      <c r="S415" s="47"/>
      <c r="T415" s="4" t="e">
        <f>VLOOKUP(#REF!,#REF!,2,0)</f>
        <v>#REF!</v>
      </c>
      <c r="U415" s="20" t="e">
        <f t="shared" si="11"/>
        <v>#REF!</v>
      </c>
      <c r="V415" s="47"/>
      <c r="W415" s="43"/>
      <c r="X415" s="66" t="e">
        <f>VLOOKUP(D415,#REF!,2,0)</f>
        <v>#REF!</v>
      </c>
      <c r="Y415" s="67" t="b">
        <f>F415=I415</f>
        <v>1</v>
      </c>
    </row>
    <row r="416" spans="1:26" ht="13.65" customHeight="1">
      <c r="A416" s="91">
        <v>415</v>
      </c>
      <c r="B416" s="52" t="s">
        <v>2533</v>
      </c>
      <c r="C416" s="3" t="str">
        <f>VLOOKUP(D416,'lista 1'!$A$2:$F3934,4,0)</f>
        <v>CHABROWSKI MARCIN</v>
      </c>
      <c r="D416" s="74">
        <v>2438</v>
      </c>
      <c r="E416" s="4" t="str">
        <f>VLOOKUP(D416,'lista 1'!$A$2:$F$1802,5,0)</f>
        <v>TM2</v>
      </c>
      <c r="F416" s="59" t="str">
        <f>VLOOKUP(G416,'lista obszary'!A:B,2,0)</f>
        <v>EC60</v>
      </c>
      <c r="G416" s="76" t="s">
        <v>1045</v>
      </c>
      <c r="H416" s="85" t="s">
        <v>1926</v>
      </c>
      <c r="I416" s="59" t="str">
        <f>VLOOKUP(J416,'lista obszary'!A:B,2,0)</f>
        <v>HV PJT</v>
      </c>
      <c r="J416" s="78" t="s">
        <v>2378</v>
      </c>
      <c r="K416" s="87" t="s">
        <v>544</v>
      </c>
      <c r="L416" s="82" t="s">
        <v>2519</v>
      </c>
      <c r="M416" s="22"/>
      <c r="N416" s="22"/>
      <c r="O416" s="22"/>
      <c r="P416" s="19" t="s">
        <v>175</v>
      </c>
      <c r="Q416" s="26"/>
      <c r="R416" s="26"/>
      <c r="S416" s="47"/>
      <c r="T416" s="4" t="e">
        <f>VLOOKUP(#REF!,#REF!,2,0)</f>
        <v>#REF!</v>
      </c>
      <c r="U416" s="20" t="e">
        <f t="shared" si="11"/>
        <v>#REF!</v>
      </c>
      <c r="V416" s="47"/>
      <c r="W416" s="43"/>
      <c r="X416" s="66" t="e">
        <f>VLOOKUP(D416,#REF!,2,0)</f>
        <v>#REF!</v>
      </c>
      <c r="Y416" s="67" t="s">
        <v>2644</v>
      </c>
      <c r="Z416" s="67"/>
    </row>
    <row r="417" spans="1:26" ht="13.65" customHeight="1">
      <c r="A417" s="91">
        <v>416</v>
      </c>
      <c r="B417" s="52" t="s">
        <v>2533</v>
      </c>
      <c r="C417" s="3" t="e">
        <f>VLOOKUP(D417,'lista 1'!$A$2:$F3935,4,0)</f>
        <v>#N/A</v>
      </c>
      <c r="D417" s="74">
        <v>64281</v>
      </c>
      <c r="E417" s="4" t="e">
        <f>VLOOKUP(D417,'lista 1'!$A$2:$F$1802,5,0)</f>
        <v>#N/A</v>
      </c>
      <c r="F417" s="59" t="str">
        <f>VLOOKUP(G417,'lista obszary'!A:B,2,0)</f>
        <v>EC60</v>
      </c>
      <c r="G417" s="76" t="s">
        <v>1045</v>
      </c>
      <c r="H417" s="85" t="s">
        <v>1926</v>
      </c>
      <c r="I417" s="59" t="str">
        <f>VLOOKUP(J417,'lista obszary'!A:B,2,0)</f>
        <v>MTB0</v>
      </c>
      <c r="J417" s="78" t="s">
        <v>452</v>
      </c>
      <c r="K417" s="87" t="s">
        <v>346</v>
      </c>
      <c r="L417" s="82" t="s">
        <v>2519</v>
      </c>
      <c r="M417" s="22"/>
      <c r="N417" s="22"/>
      <c r="O417" s="22"/>
      <c r="P417" s="26"/>
      <c r="Q417" s="26"/>
      <c r="R417" s="26"/>
      <c r="S417" s="47"/>
      <c r="T417" s="4" t="e">
        <f>VLOOKUP(#REF!,#REF!,2,0)</f>
        <v>#REF!</v>
      </c>
      <c r="U417" s="20" t="e">
        <f t="shared" si="11"/>
        <v>#REF!</v>
      </c>
      <c r="V417" s="47"/>
      <c r="W417" s="43"/>
      <c r="X417" s="66" t="e">
        <f>VLOOKUP(D417,#REF!,2,0)</f>
        <v>#REF!</v>
      </c>
      <c r="Y417" s="67" t="s">
        <v>2644</v>
      </c>
      <c r="Z417" s="67"/>
    </row>
    <row r="418" spans="1:26" ht="13.65" customHeight="1">
      <c r="A418" s="91">
        <v>417</v>
      </c>
      <c r="B418" s="52" t="s">
        <v>2533</v>
      </c>
      <c r="C418" s="3" t="e">
        <f>VLOOKUP(D418,'lista 1'!$A$2:$F3936,4,0)</f>
        <v>#N/A</v>
      </c>
      <c r="D418" s="74">
        <v>64358</v>
      </c>
      <c r="E418" s="4" t="e">
        <f>VLOOKUP(D418,'lista 1'!$A$2:$F$1802,5,0)</f>
        <v>#N/A</v>
      </c>
      <c r="F418" s="59" t="str">
        <f>VLOOKUP(G418,'lista obszary'!A:B,2,0)</f>
        <v>EC60</v>
      </c>
      <c r="G418" s="76" t="s">
        <v>1325</v>
      </c>
      <c r="H418" s="85" t="s">
        <v>2159</v>
      </c>
      <c r="I418" s="59" t="str">
        <f>VLOOKUP(J418,'lista obszary'!A:B,2,0)</f>
        <v>MTB0</v>
      </c>
      <c r="J418" s="78" t="s">
        <v>1090</v>
      </c>
      <c r="K418" s="87" t="s">
        <v>1908</v>
      </c>
      <c r="L418" s="82" t="s">
        <v>2519</v>
      </c>
      <c r="M418" s="22"/>
      <c r="N418" s="22"/>
      <c r="O418" s="22"/>
      <c r="P418" s="19" t="s">
        <v>175</v>
      </c>
      <c r="Q418" s="26"/>
      <c r="R418" s="26"/>
      <c r="S418" s="47"/>
      <c r="T418" s="4" t="e">
        <f>VLOOKUP(#REF!,#REF!,2,0)</f>
        <v>#REF!</v>
      </c>
      <c r="U418" s="20" t="e">
        <f t="shared" si="11"/>
        <v>#REF!</v>
      </c>
      <c r="V418" s="47"/>
      <c r="W418" s="43"/>
      <c r="X418" s="66" t="e">
        <f>VLOOKUP(D418,#REF!,2,0)</f>
        <v>#REF!</v>
      </c>
      <c r="Y418" s="67" t="s">
        <v>2648</v>
      </c>
    </row>
    <row r="419" spans="1:26" ht="13.65" customHeight="1">
      <c r="A419" s="91">
        <v>418</v>
      </c>
      <c r="B419" s="52" t="s">
        <v>2533</v>
      </c>
      <c r="C419" s="3" t="e">
        <f>VLOOKUP(D419,'lista 1'!$A$2:$F3937,4,0)</f>
        <v>#N/A</v>
      </c>
      <c r="D419" s="74">
        <v>64411</v>
      </c>
      <c r="E419" s="4" t="e">
        <f>VLOOKUP(D419,'lista 1'!$A$2:$F$1802,5,0)</f>
        <v>#N/A</v>
      </c>
      <c r="F419" s="59" t="str">
        <f>VLOOKUP(G419,'lista obszary'!A:B,2,0)</f>
        <v>EC60</v>
      </c>
      <c r="G419" s="76" t="s">
        <v>844</v>
      </c>
      <c r="H419" s="85" t="s">
        <v>1903</v>
      </c>
      <c r="I419" s="59" t="str">
        <f>VLOOKUP(J419,'lista obszary'!A:B,2,0)</f>
        <v>MTB0</v>
      </c>
      <c r="J419" s="78" t="s">
        <v>1262</v>
      </c>
      <c r="K419" s="87" t="s">
        <v>1383</v>
      </c>
      <c r="L419" s="82" t="s">
        <v>2519</v>
      </c>
      <c r="M419" s="22"/>
      <c r="N419" s="22"/>
      <c r="O419" s="22"/>
      <c r="P419" s="19" t="s">
        <v>175</v>
      </c>
      <c r="Q419" s="26"/>
      <c r="R419" s="26"/>
      <c r="S419" s="47"/>
      <c r="T419" s="4" t="e">
        <f>VLOOKUP(#REF!,#REF!,2,0)</f>
        <v>#REF!</v>
      </c>
      <c r="U419" s="20" t="e">
        <f t="shared" si="11"/>
        <v>#REF!</v>
      </c>
      <c r="V419" s="47"/>
      <c r="W419" s="43"/>
      <c r="X419" s="66" t="e">
        <f>VLOOKUP(D419,#REF!,2,0)</f>
        <v>#REF!</v>
      </c>
      <c r="Y419" s="67" t="s">
        <v>2644</v>
      </c>
      <c r="Z419" s="67"/>
    </row>
    <row r="420" spans="1:26" ht="13.65" customHeight="1">
      <c r="A420" s="91">
        <v>419</v>
      </c>
      <c r="B420" s="52" t="s">
        <v>2533</v>
      </c>
      <c r="C420" s="3" t="str">
        <f>VLOOKUP(D420,'lista 1'!$A$2:$F3938,4,0)</f>
        <v>SZOT IRENEUSZ</v>
      </c>
      <c r="D420" s="74">
        <v>424</v>
      </c>
      <c r="E420" s="4" t="str">
        <f>VLOOKUP(D420,'lista 1'!$A$2:$F$1802,5,0)</f>
        <v>TL2</v>
      </c>
      <c r="F420" s="59" t="str">
        <f>VLOOKUP(G420,'lista obszary'!A:B,2,0)</f>
        <v>ENGINES</v>
      </c>
      <c r="G420" s="76" t="s">
        <v>772</v>
      </c>
      <c r="H420" s="85" t="s">
        <v>1389</v>
      </c>
      <c r="I420" s="59" t="str">
        <f>VLOOKUP(J420,'lista obszary'!A:B,2,0)</f>
        <v>DOJO/QCC/KAIZEN</v>
      </c>
      <c r="J420" s="78" t="s">
        <v>1991</v>
      </c>
      <c r="K420" s="87" t="s">
        <v>1572</v>
      </c>
      <c r="L420" s="82" t="s">
        <v>2519</v>
      </c>
      <c r="M420" s="22"/>
      <c r="N420" s="22"/>
      <c r="O420" s="22"/>
      <c r="P420" s="19" t="s">
        <v>175</v>
      </c>
      <c r="Q420" s="26"/>
      <c r="R420" s="26"/>
      <c r="S420" s="47"/>
      <c r="T420" s="4" t="e">
        <f>VLOOKUP(#REF!,#REF!,2,0)</f>
        <v>#REF!</v>
      </c>
      <c r="U420" s="20" t="e">
        <f t="shared" si="11"/>
        <v>#REF!</v>
      </c>
      <c r="V420" s="47"/>
      <c r="W420" s="43"/>
      <c r="X420" s="66" t="e">
        <f>VLOOKUP(D420,#REF!,2,0)</f>
        <v>#REF!</v>
      </c>
      <c r="Y420" s="67" t="s">
        <v>2644</v>
      </c>
      <c r="Z420" s="67"/>
    </row>
    <row r="421" spans="1:26" ht="13.65" customHeight="1">
      <c r="A421" s="91">
        <v>420</v>
      </c>
      <c r="B421" s="52" t="s">
        <v>174</v>
      </c>
      <c r="C421" s="3" t="e">
        <f>VLOOKUP(D421,'lista 1'!$A$2:$F3939,4,0)</f>
        <v>#N/A</v>
      </c>
      <c r="D421" s="74">
        <v>70530</v>
      </c>
      <c r="E421" s="4" t="e">
        <f>VLOOKUP(D421,'lista 1'!$A$2:$F$1802,5,0)</f>
        <v>#N/A</v>
      </c>
      <c r="F421" s="59" t="str">
        <f>VLOOKUP(G421,'lista obszary'!A:B,2,0)</f>
        <v>T/O COVERAGE</v>
      </c>
      <c r="G421" s="76" t="s">
        <v>1259</v>
      </c>
      <c r="H421" s="85" t="s">
        <v>1565</v>
      </c>
      <c r="I421" s="59" t="str">
        <f>VLOOKUP(J421,'lista obszary'!A:B,2,0)</f>
        <v>MTB0</v>
      </c>
      <c r="J421" s="78" t="s">
        <v>503</v>
      </c>
      <c r="K421" s="87" t="s">
        <v>1565</v>
      </c>
      <c r="L421" s="82" t="s">
        <v>2519</v>
      </c>
      <c r="M421" s="22"/>
      <c r="N421" s="22"/>
      <c r="O421" s="22"/>
      <c r="P421" s="19" t="s">
        <v>175</v>
      </c>
      <c r="Q421" s="26"/>
      <c r="R421" s="26"/>
      <c r="S421" s="47"/>
      <c r="T421" s="4" t="e">
        <f>VLOOKUP(#REF!,#REF!,2,0)</f>
        <v>#REF!</v>
      </c>
      <c r="U421" s="20" t="e">
        <f t="shared" si="11"/>
        <v>#REF!</v>
      </c>
      <c r="V421" s="47"/>
      <c r="W421" s="43"/>
      <c r="X421" s="66" t="e">
        <f>VLOOKUP(D421,#REF!,2,0)</f>
        <v>#REF!</v>
      </c>
      <c r="Y421" s="67" t="s">
        <v>2644</v>
      </c>
      <c r="Z421" s="67"/>
    </row>
    <row r="422" spans="1:26" ht="13.65" customHeight="1">
      <c r="A422" s="91">
        <v>421</v>
      </c>
      <c r="B422" s="52" t="s">
        <v>174</v>
      </c>
      <c r="C422" s="3" t="str">
        <f>VLOOKUP(D422,'lista 1'!$A$2:$F3940,4,0)</f>
        <v>BIERNAT PIOTR</v>
      </c>
      <c r="D422" s="74">
        <v>521</v>
      </c>
      <c r="E422" s="4" t="str">
        <f>VLOOKUP(D422,'lista 1'!$A$2:$F$1802,5,0)</f>
        <v>AC TL</v>
      </c>
      <c r="F422" s="59" t="str">
        <f>VLOOKUP(G422,'lista obszary'!A:B,2,0)</f>
        <v>IL</v>
      </c>
      <c r="G422" s="76" t="s">
        <v>2087</v>
      </c>
      <c r="H422" s="85" t="s">
        <v>2112</v>
      </c>
      <c r="I422" s="59" t="str">
        <f>VLOOKUP(J422,'lista obszary'!A:B,2,0)</f>
        <v>IL</v>
      </c>
      <c r="J422" s="78" t="s">
        <v>881</v>
      </c>
      <c r="K422" s="87" t="s">
        <v>1561</v>
      </c>
      <c r="L422" s="82" t="s">
        <v>2519</v>
      </c>
      <c r="M422" s="22"/>
      <c r="N422" s="22"/>
      <c r="O422" s="22"/>
      <c r="P422" s="19" t="s">
        <v>175</v>
      </c>
      <c r="Q422" s="26"/>
      <c r="R422" s="26"/>
      <c r="S422" s="47"/>
      <c r="T422" s="4" t="e">
        <f>VLOOKUP(#REF!,#REF!,2,0)</f>
        <v>#REF!</v>
      </c>
      <c r="U422" s="20" t="e">
        <f t="shared" si="11"/>
        <v>#REF!</v>
      </c>
      <c r="V422" s="47"/>
      <c r="W422" s="43"/>
      <c r="X422" s="66" t="e">
        <f>VLOOKUP(D422,#REF!,2,0)</f>
        <v>#REF!</v>
      </c>
      <c r="Y422" s="67" t="s">
        <v>2643</v>
      </c>
      <c r="Z422" s="67"/>
    </row>
    <row r="423" spans="1:26" ht="13.65" customHeight="1">
      <c r="A423" s="91">
        <v>422</v>
      </c>
      <c r="B423" s="52" t="s">
        <v>174</v>
      </c>
      <c r="C423" s="3" t="str">
        <f>VLOOKUP(D423,'lista 1'!$A$2:$F3941,4,0)</f>
        <v>GOŁYŹNIAK PAWEŁ</v>
      </c>
      <c r="D423" s="74">
        <v>765</v>
      </c>
      <c r="E423" s="4" t="str">
        <f>VLOOKUP(D423,'lista 1'!$A$2:$F$1802,5,0)</f>
        <v>TL</v>
      </c>
      <c r="F423" s="59" t="str">
        <f>VLOOKUP(G423,'lista obszary'!A:B,2,0)</f>
        <v>IL</v>
      </c>
      <c r="G423" s="76" t="s">
        <v>2087</v>
      </c>
      <c r="H423" s="85" t="s">
        <v>2112</v>
      </c>
      <c r="I423" s="59" t="str">
        <f>VLOOKUP(J423,'lista obszary'!A:B,2,0)</f>
        <v>IL</v>
      </c>
      <c r="J423" s="78" t="s">
        <v>2402</v>
      </c>
      <c r="K423" s="87" t="s">
        <v>1927</v>
      </c>
      <c r="L423" s="82" t="s">
        <v>2519</v>
      </c>
      <c r="M423" s="22"/>
      <c r="N423" s="22"/>
      <c r="O423" s="22"/>
      <c r="P423" s="19" t="s">
        <v>175</v>
      </c>
      <c r="Q423" s="26"/>
      <c r="R423" s="26"/>
      <c r="S423" s="47"/>
      <c r="T423" s="4" t="e">
        <f>VLOOKUP(#REF!,#REF!,2,0)</f>
        <v>#REF!</v>
      </c>
      <c r="U423" s="20" t="e">
        <f t="shared" si="11"/>
        <v>#REF!</v>
      </c>
      <c r="V423" s="47"/>
      <c r="W423" s="43"/>
      <c r="X423" s="66" t="e">
        <f>VLOOKUP(D423,#REF!,2,0)</f>
        <v>#REF!</v>
      </c>
      <c r="Y423" s="67" t="s">
        <v>2643</v>
      </c>
      <c r="Z423" s="67"/>
    </row>
    <row r="424" spans="1:26" ht="13.65" customHeight="1">
      <c r="A424" s="91">
        <v>423</v>
      </c>
      <c r="B424" s="52" t="s">
        <v>174</v>
      </c>
      <c r="C424" s="3" t="str">
        <f>VLOOKUP(D424,'lista 1'!$A$2:$F3942,4,0)</f>
        <v>PODSIADŁY GRZEGORZ</v>
      </c>
      <c r="D424" s="74">
        <v>890</v>
      </c>
      <c r="E424" s="4" t="str">
        <f>VLOOKUP(D424,'lista 1'!$A$2:$F$1802,5,0)</f>
        <v>GRL</v>
      </c>
      <c r="F424" s="59" t="str">
        <f>VLOOKUP(G424,'lista obszary'!A:B,2,0)</f>
        <v>IL</v>
      </c>
      <c r="G424" s="76" t="s">
        <v>517</v>
      </c>
      <c r="H424" s="85" t="s">
        <v>1909</v>
      </c>
      <c r="I424" s="59" t="str">
        <f>VLOOKUP(J424,'lista obszary'!A:B,2,0)</f>
        <v>IL</v>
      </c>
      <c r="J424" s="78" t="s">
        <v>2012</v>
      </c>
      <c r="K424" s="87" t="s">
        <v>1927</v>
      </c>
      <c r="L424" s="82" t="s">
        <v>2519</v>
      </c>
      <c r="M424" s="22"/>
      <c r="N424" s="22"/>
      <c r="O424" s="22"/>
      <c r="P424" s="19" t="s">
        <v>175</v>
      </c>
      <c r="Q424" s="26"/>
      <c r="R424" s="26"/>
      <c r="S424" s="47"/>
      <c r="T424" s="4" t="e">
        <f>VLOOKUP(#REF!,#REF!,2,0)</f>
        <v>#REF!</v>
      </c>
      <c r="U424" s="20" t="e">
        <f t="shared" si="11"/>
        <v>#REF!</v>
      </c>
      <c r="V424" s="47"/>
      <c r="W424" s="43"/>
      <c r="X424" s="66" t="e">
        <f>VLOOKUP(D424,#REF!,2,0)</f>
        <v>#REF!</v>
      </c>
      <c r="Y424" s="67" t="b">
        <f>F424=I424</f>
        <v>1</v>
      </c>
    </row>
    <row r="425" spans="1:26" ht="13.65" customHeight="1">
      <c r="A425" s="91">
        <v>424</v>
      </c>
      <c r="B425" s="52" t="s">
        <v>174</v>
      </c>
      <c r="C425" s="3" t="str">
        <f>VLOOKUP(D425,'lista 1'!$A$2:$F3943,4,0)</f>
        <v>KANIA ROBERT</v>
      </c>
      <c r="D425" s="74">
        <v>992</v>
      </c>
      <c r="E425" s="4" t="str">
        <f>VLOOKUP(D425,'lista 1'!$A$2:$F$1802,5,0)</f>
        <v>AC GRL</v>
      </c>
      <c r="F425" s="59" t="str">
        <f>VLOOKUP(G425,'lista obszary'!A:B,2,0)</f>
        <v>IL</v>
      </c>
      <c r="G425" s="76" t="s">
        <v>2087</v>
      </c>
      <c r="H425" s="85" t="s">
        <v>2112</v>
      </c>
      <c r="I425" s="59" t="str">
        <f>VLOOKUP(J425,'lista obszary'!A:B,2,0)</f>
        <v>IL</v>
      </c>
      <c r="J425" s="78" t="s">
        <v>517</v>
      </c>
      <c r="K425" s="87" t="s">
        <v>1909</v>
      </c>
      <c r="L425" s="82" t="s">
        <v>2519</v>
      </c>
      <c r="M425" s="22"/>
      <c r="N425" s="22"/>
      <c r="O425" s="22"/>
      <c r="P425" s="19" t="s">
        <v>175</v>
      </c>
      <c r="Q425" s="26"/>
      <c r="R425" s="26"/>
      <c r="S425" s="47"/>
      <c r="T425" s="4" t="e">
        <f>VLOOKUP(#REF!,#REF!,2,0)</f>
        <v>#REF!</v>
      </c>
      <c r="U425" s="20" t="e">
        <f t="shared" si="11"/>
        <v>#REF!</v>
      </c>
      <c r="V425" s="47"/>
      <c r="W425" s="43"/>
      <c r="X425" s="66" t="e">
        <f>VLOOKUP(D425,#REF!,2,0)</f>
        <v>#REF!</v>
      </c>
      <c r="Y425" s="67" t="s">
        <v>2643</v>
      </c>
      <c r="Z425" s="67"/>
    </row>
    <row r="426" spans="1:26" ht="13.65" customHeight="1">
      <c r="A426" s="91">
        <v>425</v>
      </c>
      <c r="B426" s="52" t="s">
        <v>174</v>
      </c>
      <c r="C426" s="3" t="str">
        <f>VLOOKUP(D426,'lista 1'!$A$2:$F3944,4,0)</f>
        <v>KOKOSZKA ROBERT</v>
      </c>
      <c r="D426" s="74">
        <v>1898</v>
      </c>
      <c r="E426" s="4" t="str">
        <f>VLOOKUP(D426,'lista 1'!$A$2:$F$1802,5,0)</f>
        <v>TM2</v>
      </c>
      <c r="F426" s="59" t="str">
        <f>VLOOKUP(G426,'lista obszary'!A:B,2,0)</f>
        <v>IL</v>
      </c>
      <c r="G426" s="76" t="s">
        <v>517</v>
      </c>
      <c r="H426" s="85" t="s">
        <v>2520</v>
      </c>
      <c r="I426" s="59" t="str">
        <f>VLOOKUP(J426,'lista obszary'!A:B,2,0)</f>
        <v>IL</v>
      </c>
      <c r="J426" s="78" t="s">
        <v>2087</v>
      </c>
      <c r="K426" s="87" t="s">
        <v>2112</v>
      </c>
      <c r="L426" s="82" t="s">
        <v>2519</v>
      </c>
      <c r="M426" s="22"/>
      <c r="N426" s="22"/>
      <c r="O426" s="22"/>
      <c r="P426" s="19" t="s">
        <v>175</v>
      </c>
      <c r="Q426" s="26"/>
      <c r="R426" s="26"/>
      <c r="S426" s="47"/>
      <c r="T426" s="4" t="e">
        <f>VLOOKUP(#REF!,#REF!,2,0)</f>
        <v>#REF!</v>
      </c>
      <c r="U426" s="20" t="e">
        <f t="shared" si="11"/>
        <v>#REF!</v>
      </c>
      <c r="V426" s="47"/>
      <c r="W426" s="43"/>
      <c r="X426" s="66" t="e">
        <f>VLOOKUP(D426,#REF!,2,0)</f>
        <v>#REF!</v>
      </c>
      <c r="Y426" s="67" t="s">
        <v>2643</v>
      </c>
      <c r="Z426" s="67"/>
    </row>
    <row r="427" spans="1:26" ht="13.65" customHeight="1">
      <c r="A427" s="91">
        <v>426</v>
      </c>
      <c r="B427" s="52" t="s">
        <v>174</v>
      </c>
      <c r="C427" s="3" t="str">
        <f>VLOOKUP(D427,'lista 1'!$A$2:$F3945,4,0)</f>
        <v>HECZKO MARIUSZ</v>
      </c>
      <c r="D427" s="74">
        <v>2235</v>
      </c>
      <c r="E427" s="4" t="str">
        <f>VLOOKUP(D427,'lista 1'!$A$2:$F$1802,5,0)</f>
        <v>TL</v>
      </c>
      <c r="F427" s="59" t="str">
        <f>VLOOKUP(G427,'lista obszary'!A:B,2,0)</f>
        <v>IL</v>
      </c>
      <c r="G427" s="76" t="s">
        <v>517</v>
      </c>
      <c r="H427" s="85" t="s">
        <v>1909</v>
      </c>
      <c r="I427" s="59" t="str">
        <f>VLOOKUP(J427,'lista obszary'!A:B,2,0)</f>
        <v>IL</v>
      </c>
      <c r="J427" s="78" t="s">
        <v>2521</v>
      </c>
      <c r="K427" s="87" t="s">
        <v>2520</v>
      </c>
      <c r="L427" s="82" t="s">
        <v>2519</v>
      </c>
      <c r="M427" s="22"/>
      <c r="N427" s="22"/>
      <c r="O427" s="22"/>
      <c r="P427" s="19" t="s">
        <v>175</v>
      </c>
      <c r="Q427" s="26"/>
      <c r="R427" s="26"/>
      <c r="S427" s="47"/>
      <c r="T427" s="4" t="e">
        <f>VLOOKUP(#REF!,#REF!,2,0)</f>
        <v>#REF!</v>
      </c>
      <c r="U427" s="20" t="e">
        <f t="shared" si="11"/>
        <v>#REF!</v>
      </c>
      <c r="V427" s="47"/>
      <c r="W427" s="43"/>
      <c r="X427" s="66" t="e">
        <f>VLOOKUP(D427,#REF!,2,0)</f>
        <v>#REF!</v>
      </c>
      <c r="Y427" s="67" t="s">
        <v>2643</v>
      </c>
      <c r="Z427" s="67"/>
    </row>
    <row r="428" spans="1:26" ht="13.65" customHeight="1">
      <c r="A428" s="91">
        <v>427</v>
      </c>
      <c r="B428" s="52" t="s">
        <v>174</v>
      </c>
      <c r="C428" s="3" t="str">
        <f>VLOOKUP(D428,'lista 1'!$A$2:$F3946,4,0)</f>
        <v>KUNICKA AGNIESZKA</v>
      </c>
      <c r="D428" s="74">
        <v>1616</v>
      </c>
      <c r="E428" s="4" t="str">
        <f>VLOOKUP(D428,'lista 1'!$A$2:$F$1802,5,0)</f>
        <v>TM2</v>
      </c>
      <c r="F428" s="59" t="str">
        <f>VLOOKUP(G428,'lista obszary'!A:B,2,0)</f>
        <v>MTB0</v>
      </c>
      <c r="G428" s="76" t="s">
        <v>452</v>
      </c>
      <c r="H428" s="85" t="s">
        <v>346</v>
      </c>
      <c r="I428" s="59" t="str">
        <f>VLOOKUP(J428,'lista obszary'!A:B,2,0)</f>
        <v>MTB0</v>
      </c>
      <c r="J428" s="78" t="s">
        <v>504</v>
      </c>
      <c r="K428" s="87" t="s">
        <v>2488</v>
      </c>
      <c r="L428" s="82" t="s">
        <v>2519</v>
      </c>
      <c r="M428" s="22"/>
      <c r="N428" s="22"/>
      <c r="O428" s="22"/>
      <c r="P428" s="19" t="s">
        <v>175</v>
      </c>
      <c r="Q428" s="26"/>
      <c r="R428" s="26"/>
      <c r="S428" s="47"/>
      <c r="T428" s="4" t="e">
        <f>VLOOKUP(#REF!,#REF!,2,0)</f>
        <v>#REF!</v>
      </c>
      <c r="U428" s="20" t="e">
        <f t="shared" si="11"/>
        <v>#REF!</v>
      </c>
      <c r="V428" s="47"/>
      <c r="W428" s="43"/>
      <c r="X428" s="66" t="e">
        <f>VLOOKUP(D428,#REF!,2,0)</f>
        <v>#REF!</v>
      </c>
      <c r="Y428" s="67" t="b">
        <f>F428=I428</f>
        <v>1</v>
      </c>
    </row>
    <row r="429" spans="1:26" ht="13.65" customHeight="1">
      <c r="A429" s="91">
        <v>428</v>
      </c>
      <c r="B429" s="52" t="s">
        <v>2533</v>
      </c>
      <c r="C429" s="3" t="str">
        <f>VLOOKUP(D429,'lista 1'!$A$2:$F3947,4,0)</f>
        <v>MOLKA MAREK</v>
      </c>
      <c r="D429" s="74">
        <v>246</v>
      </c>
      <c r="E429" s="4" t="str">
        <f>VLOOKUP(D429,'lista 1'!$A$2:$F$1802,5,0)</f>
        <v>TL2</v>
      </c>
      <c r="F429" s="59" t="str">
        <f>VLOOKUP(G429,'lista obszary'!A:B,2,0)</f>
        <v>ENGINEERING</v>
      </c>
      <c r="G429" s="76" t="s">
        <v>1451</v>
      </c>
      <c r="H429" s="85" t="s">
        <v>2053</v>
      </c>
      <c r="I429" s="59" t="str">
        <f>VLOOKUP(J429,'lista obszary'!A:B,2,0)</f>
        <v>ENGINES</v>
      </c>
      <c r="J429" s="78" t="s">
        <v>772</v>
      </c>
      <c r="K429" s="87" t="s">
        <v>1389</v>
      </c>
      <c r="L429" s="82" t="s">
        <v>2519</v>
      </c>
      <c r="M429" s="22"/>
      <c r="N429" s="22"/>
      <c r="O429" s="22"/>
      <c r="P429" s="19" t="s">
        <v>175</v>
      </c>
      <c r="Q429" s="26"/>
      <c r="R429" s="26"/>
      <c r="S429" s="47"/>
      <c r="T429" s="4" t="e">
        <f>VLOOKUP(#REF!,#REF!,2,0)</f>
        <v>#REF!</v>
      </c>
      <c r="U429" s="20" t="e">
        <f t="shared" si="11"/>
        <v>#REF!</v>
      </c>
      <c r="V429" s="47"/>
      <c r="W429" s="43"/>
      <c r="X429" s="66" t="e">
        <f>VLOOKUP(D429,#REF!,2,0)</f>
        <v>#REF!</v>
      </c>
      <c r="Y429" s="67" t="s">
        <v>2644</v>
      </c>
      <c r="Z429" s="67"/>
    </row>
    <row r="430" spans="1:26" ht="13.65" customHeight="1">
      <c r="A430" s="91">
        <v>429</v>
      </c>
      <c r="B430" s="52" t="s">
        <v>174</v>
      </c>
      <c r="C430" s="3" t="str">
        <f>VLOOKUP(D430,'lista 1'!$A$2:$F3948,4,0)</f>
        <v>KULIK SŁAWOMIR</v>
      </c>
      <c r="D430" s="74">
        <v>1675</v>
      </c>
      <c r="E430" s="4" t="str">
        <f>VLOOKUP(D430,'lista 1'!$A$2:$F$1802,5,0)</f>
        <v>TM2</v>
      </c>
      <c r="F430" s="59" t="str">
        <f>VLOOKUP(G430,'lista obszary'!A:B,2,0)</f>
        <v>QC</v>
      </c>
      <c r="G430" s="76" t="s">
        <v>2161</v>
      </c>
      <c r="H430" s="85" t="s">
        <v>1567</v>
      </c>
      <c r="I430" s="59" t="str">
        <f>VLOOKUP(J430,'lista obszary'!A:B,2,0)</f>
        <v>QC</v>
      </c>
      <c r="J430" s="78" t="s">
        <v>2023</v>
      </c>
      <c r="K430" s="87" t="s">
        <v>1554</v>
      </c>
      <c r="L430" s="82" t="s">
        <v>2519</v>
      </c>
      <c r="M430" s="22"/>
      <c r="N430" s="22"/>
      <c r="O430" s="22"/>
      <c r="P430" s="19" t="s">
        <v>175</v>
      </c>
      <c r="Q430" s="26"/>
      <c r="R430" s="26"/>
      <c r="S430" s="47"/>
      <c r="T430" s="4" t="e">
        <f>VLOOKUP(#REF!,#REF!,2,0)</f>
        <v>#REF!</v>
      </c>
      <c r="U430" s="20" t="e">
        <f t="shared" si="11"/>
        <v>#REF!</v>
      </c>
      <c r="V430" s="47"/>
      <c r="W430" s="43"/>
      <c r="X430" s="66" t="e">
        <f>VLOOKUP(D430,#REF!,2,0)</f>
        <v>#REF!</v>
      </c>
      <c r="Y430" s="67" t="s">
        <v>2643</v>
      </c>
      <c r="Z430" s="67"/>
    </row>
    <row r="431" spans="1:26" ht="13.65" customHeight="1">
      <c r="A431" s="91">
        <v>430</v>
      </c>
      <c r="B431" s="52" t="s">
        <v>174</v>
      </c>
      <c r="C431" s="3" t="e">
        <f>VLOOKUP(D431,'lista 1'!$A$2:$F3949,4,0)</f>
        <v>#N/A</v>
      </c>
      <c r="D431" s="74">
        <v>64443</v>
      </c>
      <c r="E431" s="4" t="e">
        <f>VLOOKUP(D431,'lista 1'!$A$2:$F$1802,5,0)</f>
        <v>#N/A</v>
      </c>
      <c r="F431" s="59" t="e">
        <f>VLOOKUP(G431,'lista obszary'!A:B,2,0)</f>
        <v>#N/A</v>
      </c>
      <c r="G431" s="76" t="s">
        <v>2527</v>
      </c>
      <c r="H431" s="85" t="s">
        <v>1564</v>
      </c>
      <c r="I431" s="59" t="str">
        <f>VLOOKUP(J431,'lista obszary'!A:B,2,0)</f>
        <v>ENGINES</v>
      </c>
      <c r="J431" s="78" t="s">
        <v>318</v>
      </c>
      <c r="K431" s="87" t="s">
        <v>1380</v>
      </c>
      <c r="L431" s="82" t="s">
        <v>2519</v>
      </c>
      <c r="M431" s="22"/>
      <c r="N431" s="22"/>
      <c r="O431" s="22"/>
      <c r="P431" s="19" t="s">
        <v>175</v>
      </c>
      <c r="Q431" s="26"/>
      <c r="R431" s="26"/>
      <c r="S431" s="47"/>
      <c r="T431" s="4" t="e">
        <f>VLOOKUP(#REF!,#REF!,2,0)</f>
        <v>#REF!</v>
      </c>
      <c r="U431" s="20" t="e">
        <f t="shared" si="11"/>
        <v>#REF!</v>
      </c>
      <c r="V431" s="47"/>
      <c r="W431" s="43"/>
      <c r="X431" s="66" t="e">
        <f>VLOOKUP(D431,#REF!,2,0)</f>
        <v>#REF!</v>
      </c>
      <c r="Y431" s="67" t="e">
        <f>F431=I431</f>
        <v>#N/A</v>
      </c>
      <c r="Z431" s="67"/>
    </row>
    <row r="432" spans="1:26" ht="13.65" customHeight="1">
      <c r="A432" s="91">
        <v>431</v>
      </c>
      <c r="B432" s="52" t="s">
        <v>174</v>
      </c>
      <c r="C432" s="3" t="str">
        <f>VLOOKUP(D432,'lista 1'!$A$2:$F3950,4,0)</f>
        <v>PANKOWSKI KRZYSZTOF</v>
      </c>
      <c r="D432" s="74">
        <v>146</v>
      </c>
      <c r="E432" s="4" t="str">
        <f>VLOOKUP(D432,'lista 1'!$A$2:$F$1802,5,0)</f>
        <v>TM2</v>
      </c>
      <c r="F432" s="59" t="str">
        <f>VLOOKUP(G432,'lista obszary'!A:B,2,0)</f>
        <v>EC60</v>
      </c>
      <c r="G432" s="76" t="s">
        <v>570</v>
      </c>
      <c r="H432" s="85" t="s">
        <v>1893</v>
      </c>
      <c r="I432" s="59" t="str">
        <f>VLOOKUP(J432,'lista obszary'!A:B,2,0)</f>
        <v>EC60</v>
      </c>
      <c r="J432" s="78" t="s">
        <v>549</v>
      </c>
      <c r="K432" s="87" t="s">
        <v>1881</v>
      </c>
      <c r="L432" s="82" t="s">
        <v>2522</v>
      </c>
      <c r="M432" s="22"/>
      <c r="N432" s="22"/>
      <c r="O432" s="22"/>
      <c r="P432" s="19" t="s">
        <v>175</v>
      </c>
      <c r="Q432" s="26"/>
      <c r="R432" s="26"/>
      <c r="S432" s="47"/>
      <c r="T432" s="4" t="e">
        <f>VLOOKUP(#REF!,#REF!,2,0)</f>
        <v>#REF!</v>
      </c>
      <c r="U432" s="20" t="e">
        <f t="shared" si="11"/>
        <v>#REF!</v>
      </c>
      <c r="V432" s="47"/>
      <c r="W432" s="43"/>
      <c r="X432" s="66" t="e">
        <f>VLOOKUP(D432,#REF!,2,0)</f>
        <v>#REF!</v>
      </c>
      <c r="Y432" s="67" t="b">
        <f>F432=I432</f>
        <v>1</v>
      </c>
    </row>
    <row r="433" spans="1:26" ht="13.65" customHeight="1">
      <c r="A433" s="91">
        <v>432</v>
      </c>
      <c r="B433" s="52" t="s">
        <v>174</v>
      </c>
      <c r="C433" s="3" t="str">
        <f>VLOOKUP(D433,'lista 1'!$A$2:$F3951,4,0)</f>
        <v>ŻUKOWSKI PAWEŁ</v>
      </c>
      <c r="D433" s="74">
        <v>1029</v>
      </c>
      <c r="E433" s="4" t="str">
        <f>VLOOKUP(D433,'lista 1'!$A$2:$F$1802,5,0)</f>
        <v>TM2</v>
      </c>
      <c r="F433" s="59" t="str">
        <f>VLOOKUP(G433,'lista obszary'!A:B,2,0)</f>
        <v>EC60</v>
      </c>
      <c r="G433" s="76" t="s">
        <v>1325</v>
      </c>
      <c r="H433" s="85" t="s">
        <v>2159</v>
      </c>
      <c r="I433" s="59" t="str">
        <f>VLOOKUP(J433,'lista obszary'!A:B,2,0)</f>
        <v>EC60</v>
      </c>
      <c r="J433" s="78" t="s">
        <v>549</v>
      </c>
      <c r="K433" s="87" t="s">
        <v>1881</v>
      </c>
      <c r="L433" s="82" t="s">
        <v>2522</v>
      </c>
      <c r="M433" s="22"/>
      <c r="N433" s="22"/>
      <c r="O433" s="22"/>
      <c r="P433" s="19" t="s">
        <v>175</v>
      </c>
      <c r="Q433" s="26"/>
      <c r="R433" s="26"/>
      <c r="S433" s="47"/>
      <c r="T433" s="4" t="e">
        <f>VLOOKUP(#REF!,#REF!,2,0)</f>
        <v>#REF!</v>
      </c>
      <c r="U433" s="20" t="e">
        <f t="shared" si="11"/>
        <v>#REF!</v>
      </c>
      <c r="V433" s="47"/>
      <c r="W433" s="43"/>
      <c r="X433" s="66" t="e">
        <f>VLOOKUP(D433,#REF!,2,0)</f>
        <v>#REF!</v>
      </c>
      <c r="Y433" s="67" t="b">
        <f>F433=I433</f>
        <v>1</v>
      </c>
    </row>
    <row r="434" spans="1:26" ht="13.65" customHeight="1">
      <c r="A434" s="91">
        <v>433</v>
      </c>
      <c r="B434" s="52" t="s">
        <v>174</v>
      </c>
      <c r="C434" s="3" t="e">
        <f>VLOOKUP(D434,'lista 1'!$A$2:$F3952,4,0)</f>
        <v>#N/A</v>
      </c>
      <c r="D434" s="74">
        <v>1710</v>
      </c>
      <c r="E434" s="4" t="e">
        <f>VLOOKUP(D434,'lista 1'!$A$2:$F$1802,5,0)</f>
        <v>#N/A</v>
      </c>
      <c r="F434" s="59" t="str">
        <f>VLOOKUP(G434,'lista obszary'!A:B,2,0)</f>
        <v>EC60</v>
      </c>
      <c r="G434" s="76" t="s">
        <v>844</v>
      </c>
      <c r="H434" s="85" t="s">
        <v>1903</v>
      </c>
      <c r="I434" s="59" t="str">
        <f>VLOOKUP(J434,'lista obszary'!A:B,2,0)</f>
        <v>EC60</v>
      </c>
      <c r="J434" s="78" t="s">
        <v>549</v>
      </c>
      <c r="K434" s="87" t="s">
        <v>1881</v>
      </c>
      <c r="L434" s="82" t="s">
        <v>2522</v>
      </c>
      <c r="M434" s="22"/>
      <c r="N434" s="22"/>
      <c r="O434" s="22"/>
      <c r="P434" s="19" t="s">
        <v>175</v>
      </c>
      <c r="Q434" s="26"/>
      <c r="R434" s="26"/>
      <c r="S434" s="47"/>
      <c r="T434" s="4" t="e">
        <f>VLOOKUP(#REF!,#REF!,2,0)</f>
        <v>#REF!</v>
      </c>
      <c r="U434" s="20" t="e">
        <f t="shared" si="11"/>
        <v>#REF!</v>
      </c>
      <c r="V434" s="47"/>
      <c r="W434" s="43"/>
      <c r="X434" s="66" t="e">
        <f>VLOOKUP(D434,#REF!,2,0)</f>
        <v>#REF!</v>
      </c>
      <c r="Y434" s="67" t="b">
        <f>F434=I434</f>
        <v>1</v>
      </c>
    </row>
    <row r="435" spans="1:26" ht="13.65" customHeight="1">
      <c r="A435" s="91">
        <v>434</v>
      </c>
      <c r="B435" s="52" t="s">
        <v>174</v>
      </c>
      <c r="C435" s="3" t="str">
        <f>VLOOKUP(D435,'lista 1'!$A$2:$F3953,4,0)</f>
        <v>CZARNECKA GRAŻYNA</v>
      </c>
      <c r="D435" s="74">
        <v>2211</v>
      </c>
      <c r="E435" s="4" t="str">
        <f>VLOOKUP(D435,'lista 1'!$A$2:$F$1802,5,0)</f>
        <v>TM2</v>
      </c>
      <c r="F435" s="59" t="str">
        <f>VLOOKUP(G435,'lista obszary'!A:B,2,0)</f>
        <v>EC60</v>
      </c>
      <c r="G435" s="76" t="s">
        <v>1325</v>
      </c>
      <c r="H435" s="85" t="s">
        <v>2159</v>
      </c>
      <c r="I435" s="59" t="str">
        <f>VLOOKUP(J435,'lista obszary'!A:B,2,0)</f>
        <v>EC60</v>
      </c>
      <c r="J435" s="78" t="s">
        <v>549</v>
      </c>
      <c r="K435" s="87" t="s">
        <v>1881</v>
      </c>
      <c r="L435" s="82" t="s">
        <v>2522</v>
      </c>
      <c r="M435" s="22"/>
      <c r="N435" s="22"/>
      <c r="O435" s="22"/>
      <c r="P435" s="19" t="s">
        <v>175</v>
      </c>
      <c r="Q435" s="26"/>
      <c r="R435" s="26"/>
      <c r="S435" s="47"/>
      <c r="T435" s="4" t="e">
        <f>VLOOKUP(#REF!,#REF!,2,0)</f>
        <v>#REF!</v>
      </c>
      <c r="U435" s="20" t="e">
        <f t="shared" si="11"/>
        <v>#REF!</v>
      </c>
      <c r="V435" s="47"/>
      <c r="W435" s="43"/>
      <c r="X435" s="66" t="e">
        <f>VLOOKUP(D435,#REF!,2,0)</f>
        <v>#REF!</v>
      </c>
      <c r="Y435" s="67" t="s">
        <v>2643</v>
      </c>
    </row>
    <row r="436" spans="1:26" ht="13.65" customHeight="1">
      <c r="A436" s="91">
        <v>435</v>
      </c>
      <c r="B436" s="52" t="s">
        <v>174</v>
      </c>
      <c r="C436" s="3" t="str">
        <f>VLOOKUP(D436,'lista 1'!$A$2:$F3954,4,0)</f>
        <v>SABAK AGNIESZKA</v>
      </c>
      <c r="D436" s="74">
        <v>2995</v>
      </c>
      <c r="E436" s="4" t="str">
        <f>VLOOKUP(D436,'lista 1'!$A$2:$F$1802,5,0)</f>
        <v>TM</v>
      </c>
      <c r="F436" s="59" t="str">
        <f>VLOOKUP(G436,'lista obszary'!A:B,2,0)</f>
        <v>EC60</v>
      </c>
      <c r="G436" s="76" t="s">
        <v>844</v>
      </c>
      <c r="H436" s="85" t="s">
        <v>1903</v>
      </c>
      <c r="I436" s="59" t="str">
        <f>VLOOKUP(J436,'lista obszary'!A:B,2,0)</f>
        <v>EC60</v>
      </c>
      <c r="J436" s="78" t="s">
        <v>549</v>
      </c>
      <c r="K436" s="87" t="s">
        <v>1881</v>
      </c>
      <c r="L436" s="82" t="s">
        <v>2522</v>
      </c>
      <c r="M436" s="22"/>
      <c r="N436" s="22"/>
      <c r="O436" s="22"/>
      <c r="P436" s="19" t="s">
        <v>175</v>
      </c>
      <c r="Q436" s="26"/>
      <c r="R436" s="26"/>
      <c r="S436" s="47"/>
      <c r="T436" s="4" t="e">
        <f>VLOOKUP(#REF!,#REF!,2,0)</f>
        <v>#REF!</v>
      </c>
      <c r="U436" s="20" t="e">
        <f t="shared" si="11"/>
        <v>#REF!</v>
      </c>
      <c r="V436" s="47"/>
      <c r="W436" s="43"/>
      <c r="X436" s="66" t="e">
        <f>VLOOKUP(D436,#REF!,2,0)</f>
        <v>#REF!</v>
      </c>
      <c r="Y436" s="67" t="s">
        <v>2643</v>
      </c>
    </row>
    <row r="437" spans="1:26" ht="13.65" customHeight="1">
      <c r="A437" s="91">
        <v>436</v>
      </c>
      <c r="B437" s="52" t="s">
        <v>174</v>
      </c>
      <c r="C437" s="3" t="e">
        <f>VLOOKUP(D437,'lista 1'!$A$2:$F3955,4,0)</f>
        <v>#N/A</v>
      </c>
      <c r="D437" s="74">
        <v>64250</v>
      </c>
      <c r="E437" s="4" t="e">
        <f>VLOOKUP(D437,'lista 1'!$A$2:$F$1802,5,0)</f>
        <v>#N/A</v>
      </c>
      <c r="F437" s="59" t="str">
        <f>VLOOKUP(G437,'lista obszary'!A:B,2,0)</f>
        <v>EC60</v>
      </c>
      <c r="G437" s="76" t="s">
        <v>844</v>
      </c>
      <c r="H437" s="85" t="s">
        <v>1903</v>
      </c>
      <c r="I437" s="59" t="str">
        <f>VLOOKUP(J437,'lista obszary'!A:B,2,0)</f>
        <v>EC60</v>
      </c>
      <c r="J437" s="78" t="s">
        <v>549</v>
      </c>
      <c r="K437" s="87" t="s">
        <v>1881</v>
      </c>
      <c r="L437" s="82" t="s">
        <v>2522</v>
      </c>
      <c r="M437" s="22"/>
      <c r="N437" s="22"/>
      <c r="O437" s="22"/>
      <c r="P437" s="19" t="s">
        <v>175</v>
      </c>
      <c r="Q437" s="26"/>
      <c r="R437" s="26"/>
      <c r="S437" s="47"/>
      <c r="T437" s="4" t="e">
        <f>VLOOKUP(#REF!,#REF!,2,0)</f>
        <v>#REF!</v>
      </c>
      <c r="U437" s="20" t="e">
        <f t="shared" si="11"/>
        <v>#REF!</v>
      </c>
      <c r="V437" s="47"/>
      <c r="W437" s="43"/>
      <c r="X437" s="66" t="e">
        <f>VLOOKUP(D437,#REF!,2,0)</f>
        <v>#REF!</v>
      </c>
      <c r="Y437" s="67" t="b">
        <f>F437=I437</f>
        <v>1</v>
      </c>
    </row>
    <row r="438" spans="1:26" ht="13.65" customHeight="1">
      <c r="A438" s="91">
        <v>437</v>
      </c>
      <c r="B438" s="52" t="s">
        <v>174</v>
      </c>
      <c r="C438" s="3" t="e">
        <f>VLOOKUP(D438,'lista 1'!$A$2:$F3956,4,0)</f>
        <v>#N/A</v>
      </c>
      <c r="D438" s="74">
        <v>64414</v>
      </c>
      <c r="E438" s="4" t="e">
        <f>VLOOKUP(D438,'lista 1'!$A$2:$F$1802,5,0)</f>
        <v>#N/A</v>
      </c>
      <c r="F438" s="59" t="str">
        <f>VLOOKUP(G438,'lista obszary'!A:B,2,0)</f>
        <v>EC60</v>
      </c>
      <c r="G438" s="76" t="s">
        <v>1325</v>
      </c>
      <c r="H438" s="85" t="s">
        <v>2159</v>
      </c>
      <c r="I438" s="59" t="str">
        <f>VLOOKUP(J438,'lista obszary'!A:B,2,0)</f>
        <v>EC60</v>
      </c>
      <c r="J438" s="78" t="s">
        <v>549</v>
      </c>
      <c r="K438" s="87" t="s">
        <v>1881</v>
      </c>
      <c r="L438" s="82" t="s">
        <v>2522</v>
      </c>
      <c r="M438" s="22"/>
      <c r="N438" s="22"/>
      <c r="O438" s="22"/>
      <c r="P438" s="19" t="s">
        <v>175</v>
      </c>
      <c r="Q438" s="26"/>
      <c r="R438" s="26"/>
      <c r="S438" s="47"/>
      <c r="T438" s="4" t="e">
        <f>VLOOKUP(#REF!,#REF!,2,0)</f>
        <v>#REF!</v>
      </c>
      <c r="U438" s="20" t="e">
        <f t="shared" ref="U438:U461" si="12">L438-T438</f>
        <v>#REF!</v>
      </c>
      <c r="V438" s="47"/>
      <c r="W438" s="43"/>
      <c r="X438" s="66" t="e">
        <f>VLOOKUP(D438,#REF!,2,0)</f>
        <v>#REF!</v>
      </c>
      <c r="Y438" s="67" t="s">
        <v>2648</v>
      </c>
    </row>
    <row r="439" spans="1:26" ht="13.65" customHeight="1">
      <c r="A439" s="91">
        <v>438</v>
      </c>
      <c r="B439" s="52" t="s">
        <v>174</v>
      </c>
      <c r="C439" s="3" t="e">
        <f>VLOOKUP(D439,'lista 1'!$A$2:$F3957,4,0)</f>
        <v>#N/A</v>
      </c>
      <c r="D439" s="74">
        <v>70457</v>
      </c>
      <c r="E439" s="4" t="e">
        <f>VLOOKUP(D439,'lista 1'!$A$2:$F$1802,5,0)</f>
        <v>#N/A</v>
      </c>
      <c r="F439" s="59" t="str">
        <f>VLOOKUP(G439,'lista obszary'!A:B,2,0)</f>
        <v>EC60</v>
      </c>
      <c r="G439" s="76" t="s">
        <v>1325</v>
      </c>
      <c r="H439" s="85" t="s">
        <v>2159</v>
      </c>
      <c r="I439" s="59" t="str">
        <f>VLOOKUP(J439,'lista obszary'!A:B,2,0)</f>
        <v>EC60</v>
      </c>
      <c r="J439" s="78" t="s">
        <v>549</v>
      </c>
      <c r="K439" s="87" t="s">
        <v>1881</v>
      </c>
      <c r="L439" s="82" t="s">
        <v>2522</v>
      </c>
      <c r="M439" s="22"/>
      <c r="N439" s="22"/>
      <c r="O439" s="22"/>
      <c r="P439" s="19" t="s">
        <v>175</v>
      </c>
      <c r="Q439" s="26"/>
      <c r="R439" s="26"/>
      <c r="S439" s="47"/>
      <c r="T439" s="4" t="e">
        <f>VLOOKUP(#REF!,#REF!,2,0)</f>
        <v>#REF!</v>
      </c>
      <c r="U439" s="20" t="e">
        <f t="shared" si="12"/>
        <v>#REF!</v>
      </c>
      <c r="V439" s="47"/>
      <c r="W439" s="43"/>
      <c r="X439" s="66" t="e">
        <f>VLOOKUP(D439,#REF!,2,0)</f>
        <v>#REF!</v>
      </c>
      <c r="Y439" s="67" t="s">
        <v>2648</v>
      </c>
    </row>
    <row r="440" spans="1:26" ht="13.65" customHeight="1">
      <c r="A440" s="91">
        <v>439</v>
      </c>
      <c r="B440" s="52" t="s">
        <v>174</v>
      </c>
      <c r="C440" s="3" t="e">
        <f>VLOOKUP(D440,'lista 1'!$A$2:$F3958,4,0)</f>
        <v>#N/A</v>
      </c>
      <c r="D440" s="74">
        <v>70507</v>
      </c>
      <c r="E440" s="4" t="e">
        <f>VLOOKUP(D440,'lista 1'!$A$2:$F$1802,5,0)</f>
        <v>#N/A</v>
      </c>
      <c r="F440" s="59" t="str">
        <f>VLOOKUP(G440,'lista obszary'!A:B,2,0)</f>
        <v>EC60</v>
      </c>
      <c r="G440" s="76" t="s">
        <v>1325</v>
      </c>
      <c r="H440" s="85" t="s">
        <v>2159</v>
      </c>
      <c r="I440" s="59" t="str">
        <f>VLOOKUP(J440,'lista obszary'!A:B,2,0)</f>
        <v>EC60</v>
      </c>
      <c r="J440" s="78" t="s">
        <v>549</v>
      </c>
      <c r="K440" s="87" t="s">
        <v>1881</v>
      </c>
      <c r="L440" s="82" t="s">
        <v>2522</v>
      </c>
      <c r="M440" s="22"/>
      <c r="N440" s="22"/>
      <c r="O440" s="22"/>
      <c r="P440" s="19" t="s">
        <v>175</v>
      </c>
      <c r="Q440" s="26"/>
      <c r="R440" s="26"/>
      <c r="S440" s="47"/>
      <c r="T440" s="4" t="e">
        <f>VLOOKUP(#REF!,#REF!,2,0)</f>
        <v>#REF!</v>
      </c>
      <c r="U440" s="20" t="e">
        <f t="shared" si="12"/>
        <v>#REF!</v>
      </c>
      <c r="V440" s="47"/>
      <c r="W440" s="43"/>
      <c r="X440" s="66" t="e">
        <f>VLOOKUP(D440,#REF!,2,0)</f>
        <v>#REF!</v>
      </c>
      <c r="Y440" s="67" t="b">
        <f>F440=I440</f>
        <v>1</v>
      </c>
      <c r="Z440" s="67"/>
    </row>
    <row r="441" spans="1:26" ht="14.25" customHeight="1">
      <c r="A441" s="91">
        <v>440</v>
      </c>
      <c r="B441" s="52" t="s">
        <v>174</v>
      </c>
      <c r="C441" s="3" t="e">
        <f>VLOOKUP(D441,'lista 1'!$A$2:$F3959,4,0)</f>
        <v>#N/A</v>
      </c>
      <c r="D441" s="74">
        <v>70412</v>
      </c>
      <c r="E441" s="4" t="e">
        <f>VLOOKUP(D441,'lista 1'!$A$2:$F$1802,5,0)</f>
        <v>#N/A</v>
      </c>
      <c r="F441" s="59" t="str">
        <f>VLOOKUP(G441,'lista obszary'!A:B,2,0)</f>
        <v>ENGINES</v>
      </c>
      <c r="G441" s="76" t="s">
        <v>597</v>
      </c>
      <c r="H441" s="85" t="s">
        <v>1892</v>
      </c>
      <c r="I441" s="59" t="str">
        <f>VLOOKUP(J441,'lista obszary'!A:B,2,0)</f>
        <v>ENGINES</v>
      </c>
      <c r="J441" s="78" t="s">
        <v>608</v>
      </c>
      <c r="K441" s="87" t="s">
        <v>1584</v>
      </c>
      <c r="L441" s="82" t="s">
        <v>2525</v>
      </c>
      <c r="M441" s="22"/>
      <c r="N441" s="22"/>
      <c r="O441" s="22"/>
      <c r="P441" s="19" t="s">
        <v>175</v>
      </c>
      <c r="Q441" s="26"/>
      <c r="R441" s="26"/>
      <c r="S441" s="47"/>
      <c r="T441" s="4" t="e">
        <f>VLOOKUP(#REF!,#REF!,2,0)</f>
        <v>#REF!</v>
      </c>
      <c r="U441" s="20" t="e">
        <f t="shared" si="12"/>
        <v>#REF!</v>
      </c>
      <c r="V441" s="47"/>
      <c r="W441" s="43"/>
      <c r="X441" s="66" t="e">
        <f>VLOOKUP(D441,#REF!,2,0)</f>
        <v>#REF!</v>
      </c>
      <c r="Y441" s="67" t="s">
        <v>2643</v>
      </c>
      <c r="Z441" s="67" t="b">
        <f>I441=F441</f>
        <v>1</v>
      </c>
    </row>
    <row r="442" spans="1:26" ht="13.65" customHeight="1">
      <c r="A442" s="91">
        <v>441</v>
      </c>
      <c r="B442" s="52" t="s">
        <v>174</v>
      </c>
      <c r="C442" s="3" t="str">
        <f>VLOOKUP(D442,'lista 1'!$A$2:$F3960,4,0)</f>
        <v>JANKOWSKA ANNA</v>
      </c>
      <c r="D442" s="74">
        <v>3033</v>
      </c>
      <c r="E442" s="4" t="str">
        <f>VLOOKUP(D442,'lista 1'!$A$2:$F$1802,5,0)</f>
        <v>TM</v>
      </c>
      <c r="F442" s="59" t="str">
        <f>VLOOKUP(G442,'lista obszary'!A:B,2,0)</f>
        <v>ENGINES</v>
      </c>
      <c r="G442" s="76" t="s">
        <v>1483</v>
      </c>
      <c r="H442" s="85" t="s">
        <v>2406</v>
      </c>
      <c r="I442" s="59" t="str">
        <f>VLOOKUP(J442,'lista obszary'!A:B,2,0)</f>
        <v>ENGINES</v>
      </c>
      <c r="J442" s="78" t="s">
        <v>318</v>
      </c>
      <c r="K442" s="87" t="s">
        <v>1380</v>
      </c>
      <c r="L442" s="82" t="s">
        <v>2526</v>
      </c>
      <c r="M442" s="22"/>
      <c r="N442" s="22"/>
      <c r="O442" s="22"/>
      <c r="P442" s="19" t="s">
        <v>175</v>
      </c>
      <c r="Q442" s="26"/>
      <c r="R442" s="26"/>
      <c r="S442" s="47"/>
      <c r="T442" s="4" t="e">
        <f>VLOOKUP(#REF!,#REF!,2,0)</f>
        <v>#REF!</v>
      </c>
      <c r="U442" s="20" t="e">
        <f t="shared" si="12"/>
        <v>#REF!</v>
      </c>
      <c r="V442" s="47"/>
      <c r="W442" s="43"/>
      <c r="X442" s="66" t="e">
        <f>VLOOKUP(D442,#REF!,2,0)</f>
        <v>#REF!</v>
      </c>
      <c r="Y442" s="67" t="s">
        <v>2643</v>
      </c>
      <c r="Z442" s="67" t="b">
        <f>I442=F442</f>
        <v>1</v>
      </c>
    </row>
    <row r="443" spans="1:26" ht="13.65" customHeight="1">
      <c r="A443" s="91">
        <v>442</v>
      </c>
      <c r="B443" s="52" t="s">
        <v>174</v>
      </c>
      <c r="C443" s="3" t="e">
        <f>VLOOKUP(D443,'lista 1'!$A$2:$F3961,4,0)</f>
        <v>#N/A</v>
      </c>
      <c r="D443" s="74">
        <v>64415</v>
      </c>
      <c r="E443" s="4" t="e">
        <f>VLOOKUP(D443,'lista 1'!$A$2:$F$1802,5,0)</f>
        <v>#N/A</v>
      </c>
      <c r="F443" s="59" t="str">
        <f>VLOOKUP(G443,'lista obszary'!A:B,2,0)</f>
        <v>ENGINES</v>
      </c>
      <c r="G443" s="76" t="s">
        <v>1483</v>
      </c>
      <c r="H443" s="85" t="s">
        <v>2406</v>
      </c>
      <c r="I443" s="59" t="str">
        <f>VLOOKUP(J443,'lista obszary'!A:B,2,0)</f>
        <v>ENGINES</v>
      </c>
      <c r="J443" s="78" t="s">
        <v>597</v>
      </c>
      <c r="K443" s="87" t="s">
        <v>1892</v>
      </c>
      <c r="L443" s="82" t="s">
        <v>2526</v>
      </c>
      <c r="M443" s="22"/>
      <c r="N443" s="22"/>
      <c r="O443" s="22"/>
      <c r="P443" s="19" t="s">
        <v>175</v>
      </c>
      <c r="Q443" s="26"/>
      <c r="R443" s="26"/>
      <c r="S443" s="47"/>
      <c r="T443" s="4" t="e">
        <f>VLOOKUP(#REF!,#REF!,2,0)</f>
        <v>#REF!</v>
      </c>
      <c r="U443" s="20" t="e">
        <f t="shared" si="12"/>
        <v>#REF!</v>
      </c>
      <c r="V443" s="47"/>
      <c r="W443" s="43"/>
      <c r="X443" s="66" t="e">
        <f>VLOOKUP(D443,#REF!,2,0)</f>
        <v>#REF!</v>
      </c>
      <c r="Y443" s="67" t="b">
        <f>F443=I443</f>
        <v>1</v>
      </c>
    </row>
    <row r="444" spans="1:26" ht="13.65" customHeight="1">
      <c r="A444" s="91">
        <v>443</v>
      </c>
      <c r="B444" s="52" t="s">
        <v>2533</v>
      </c>
      <c r="C444" s="3" t="str">
        <f>VLOOKUP(D444,'lista 1'!$A$2:$F3962,4,0)</f>
        <v>PIERZCHAŁA MARIUSZ</v>
      </c>
      <c r="D444" s="74">
        <v>1020</v>
      </c>
      <c r="E444" s="4" t="str">
        <f>VLOOKUP(D444,'lista 1'!$A$2:$F$1802,5,0)</f>
        <v>TM2</v>
      </c>
      <c r="F444" s="59" t="str">
        <f>VLOOKUP(G444,'lista obszary'!A:B,2,0)</f>
        <v>EC60</v>
      </c>
      <c r="G444" s="76" t="s">
        <v>570</v>
      </c>
      <c r="H444" s="85" t="s">
        <v>1893</v>
      </c>
      <c r="I444" s="59" t="str">
        <f>VLOOKUP(J444,'lista obszary'!A:B,2,0)</f>
        <v>IL</v>
      </c>
      <c r="J444" s="78" t="s">
        <v>1062</v>
      </c>
      <c r="K444" s="87" t="s">
        <v>1562</v>
      </c>
      <c r="L444" s="82" t="s">
        <v>2523</v>
      </c>
      <c r="M444" s="22"/>
      <c r="N444" s="22"/>
      <c r="O444" s="22"/>
      <c r="P444" s="19" t="s">
        <v>175</v>
      </c>
      <c r="Q444" s="26"/>
      <c r="R444" s="26"/>
      <c r="S444" s="47"/>
      <c r="T444" s="4" t="e">
        <f>VLOOKUP(#REF!,#REF!,2,0)</f>
        <v>#REF!</v>
      </c>
      <c r="U444" s="20" t="e">
        <f t="shared" si="12"/>
        <v>#REF!</v>
      </c>
      <c r="V444" s="47"/>
      <c r="W444" s="43"/>
      <c r="X444" s="66" t="e">
        <f>VLOOKUP(D444,#REF!,2,0)</f>
        <v>#REF!</v>
      </c>
      <c r="Y444" s="67" t="b">
        <f>F444=I444</f>
        <v>0</v>
      </c>
    </row>
    <row r="445" spans="1:26" ht="13.65" customHeight="1">
      <c r="A445" s="91">
        <v>444</v>
      </c>
      <c r="B445" s="52" t="s">
        <v>2533</v>
      </c>
      <c r="C445" s="3" t="str">
        <f>VLOOKUP(D445,'lista 1'!$A$2:$F3963,4,0)</f>
        <v>WALDOWSKA RENATA</v>
      </c>
      <c r="D445" s="74">
        <v>2053</v>
      </c>
      <c r="E445" s="4" t="str">
        <f>VLOOKUP(D445,'lista 1'!$A$2:$F$1802,5,0)</f>
        <v>TM2</v>
      </c>
      <c r="F445" s="59" t="str">
        <f>VLOOKUP(G445,'lista obszary'!A:B,2,0)</f>
        <v>EC60</v>
      </c>
      <c r="G445" s="76" t="s">
        <v>1325</v>
      </c>
      <c r="H445" s="85" t="s">
        <v>2159</v>
      </c>
      <c r="I445" s="59" t="str">
        <f>VLOOKUP(J445,'lista obszary'!A:B,2,0)</f>
        <v>HV</v>
      </c>
      <c r="J445" s="78" t="s">
        <v>2448</v>
      </c>
      <c r="K445" s="87" t="s">
        <v>1555</v>
      </c>
      <c r="L445" s="82" t="s">
        <v>2523</v>
      </c>
      <c r="M445" s="22"/>
      <c r="N445" s="22"/>
      <c r="O445" s="22"/>
      <c r="P445" s="19" t="s">
        <v>175</v>
      </c>
      <c r="Q445" s="26"/>
      <c r="R445" s="26"/>
      <c r="S445" s="47"/>
      <c r="T445" s="4" t="e">
        <f>VLOOKUP(#REF!,#REF!,2,0)</f>
        <v>#REF!</v>
      </c>
      <c r="U445" s="20" t="e">
        <f t="shared" si="12"/>
        <v>#REF!</v>
      </c>
      <c r="V445" s="47"/>
      <c r="W445" s="43"/>
      <c r="X445" s="66" t="e">
        <f>VLOOKUP(D445,#REF!,2,0)</f>
        <v>#REF!</v>
      </c>
      <c r="Y445" s="67" t="s">
        <v>2645</v>
      </c>
      <c r="Z445" s="67" t="b">
        <f>I445=F445</f>
        <v>0</v>
      </c>
    </row>
    <row r="446" spans="1:26" ht="13.65" customHeight="1">
      <c r="A446" s="91">
        <v>445</v>
      </c>
      <c r="B446" s="52" t="s">
        <v>2533</v>
      </c>
      <c r="C446" s="3" t="str">
        <f>VLOOKUP(D446,'lista 1'!$A$2:$F3964,4,0)</f>
        <v>KALINOWSKI ANDRZEJ</v>
      </c>
      <c r="D446" s="74">
        <v>2819</v>
      </c>
      <c r="E446" s="4" t="str">
        <f>VLOOKUP(D446,'lista 1'!$A$2:$F$1802,5,0)</f>
        <v>TM</v>
      </c>
      <c r="F446" s="59" t="str">
        <f>VLOOKUP(G446,'lista obszary'!A:B,2,0)</f>
        <v>EC60</v>
      </c>
      <c r="G446" s="76" t="s">
        <v>1045</v>
      </c>
      <c r="H446" s="85" t="s">
        <v>1926</v>
      </c>
      <c r="I446" s="59" t="str">
        <f>VLOOKUP(J446,'lista obszary'!A:B,2,0)</f>
        <v>IL</v>
      </c>
      <c r="J446" s="78" t="s">
        <v>507</v>
      </c>
      <c r="K446" s="87" t="s">
        <v>1562</v>
      </c>
      <c r="L446" s="82" t="s">
        <v>2523</v>
      </c>
      <c r="M446" s="22"/>
      <c r="N446" s="22"/>
      <c r="O446" s="22"/>
      <c r="P446" s="19" t="s">
        <v>175</v>
      </c>
      <c r="Q446" s="26"/>
      <c r="R446" s="26"/>
      <c r="S446" s="47"/>
      <c r="T446" s="4" t="e">
        <f>VLOOKUP(#REF!,#REF!,2,0)</f>
        <v>#REF!</v>
      </c>
      <c r="U446" s="20" t="e">
        <f t="shared" si="12"/>
        <v>#REF!</v>
      </c>
      <c r="V446" s="47"/>
      <c r="W446" s="43"/>
      <c r="X446" s="66" t="e">
        <f>VLOOKUP(D446,#REF!,2,0)</f>
        <v>#REF!</v>
      </c>
      <c r="Y446" s="67" t="s">
        <v>2645</v>
      </c>
      <c r="Z446" s="67" t="b">
        <f>I446=F446</f>
        <v>0</v>
      </c>
    </row>
    <row r="447" spans="1:26" ht="13.65" customHeight="1">
      <c r="A447" s="91">
        <v>446</v>
      </c>
      <c r="B447" s="52" t="s">
        <v>2533</v>
      </c>
      <c r="C447" s="3" t="str">
        <f>VLOOKUP(D447,'lista 1'!$A$2:$F3965,4,0)</f>
        <v>KOKOCIŃSKI DARIUSZ</v>
      </c>
      <c r="D447" s="74">
        <v>2925</v>
      </c>
      <c r="E447" s="4" t="str">
        <f>VLOOKUP(D447,'lista 1'!$A$2:$F$1802,5,0)</f>
        <v>TM</v>
      </c>
      <c r="F447" s="59" t="str">
        <f>VLOOKUP(G447,'lista obszary'!A:B,2,0)</f>
        <v>EC60</v>
      </c>
      <c r="G447" s="76" t="s">
        <v>570</v>
      </c>
      <c r="H447" s="85" t="s">
        <v>1893</v>
      </c>
      <c r="I447" s="59" t="str">
        <f>VLOOKUP(J447,'lista obszary'!A:B,2,0)</f>
        <v>IL</v>
      </c>
      <c r="J447" s="78" t="s">
        <v>1063</v>
      </c>
      <c r="K447" s="87" t="s">
        <v>2524</v>
      </c>
      <c r="L447" s="82" t="s">
        <v>2523</v>
      </c>
      <c r="M447" s="22"/>
      <c r="N447" s="22"/>
      <c r="O447" s="22"/>
      <c r="P447" s="19" t="s">
        <v>175</v>
      </c>
      <c r="Q447" s="26"/>
      <c r="R447" s="26"/>
      <c r="S447" s="47"/>
      <c r="T447" s="4" t="e">
        <f>VLOOKUP(#REF!,#REF!,2,0)</f>
        <v>#REF!</v>
      </c>
      <c r="U447" s="20" t="e">
        <f t="shared" si="12"/>
        <v>#REF!</v>
      </c>
      <c r="V447" s="47"/>
      <c r="W447" s="43"/>
      <c r="X447" s="66" t="e">
        <f>VLOOKUP(D447,#REF!,2,0)</f>
        <v>#REF!</v>
      </c>
      <c r="Y447" s="67" t="b">
        <f>F447=I447</f>
        <v>0</v>
      </c>
    </row>
    <row r="448" spans="1:26" ht="13.65" customHeight="1">
      <c r="A448" s="91">
        <v>447</v>
      </c>
      <c r="B448" s="52" t="s">
        <v>2533</v>
      </c>
      <c r="C448" s="3" t="e">
        <f>VLOOKUP(D448,'lista 1'!$A$2:$F3966,4,0)</f>
        <v>#N/A</v>
      </c>
      <c r="D448" s="74">
        <v>64244</v>
      </c>
      <c r="E448" s="4" t="e">
        <f>VLOOKUP(D448,'lista 1'!$A$2:$F$1802,5,0)</f>
        <v>#N/A</v>
      </c>
      <c r="F448" s="59" t="str">
        <f>VLOOKUP(G448,'lista obszary'!A:B,2,0)</f>
        <v>EC60</v>
      </c>
      <c r="G448" s="76" t="s">
        <v>1325</v>
      </c>
      <c r="H448" s="85" t="s">
        <v>2159</v>
      </c>
      <c r="I448" s="59" t="str">
        <f>VLOOKUP(J448,'lista obszary'!A:B,2,0)</f>
        <v>ENGINES</v>
      </c>
      <c r="J448" s="78" t="s">
        <v>318</v>
      </c>
      <c r="K448" s="87" t="s">
        <v>1380</v>
      </c>
      <c r="L448" s="82" t="s">
        <v>2523</v>
      </c>
      <c r="M448" s="22"/>
      <c r="N448" s="22"/>
      <c r="O448" s="22"/>
      <c r="P448" s="19" t="s">
        <v>175</v>
      </c>
      <c r="Q448" s="26"/>
      <c r="R448" s="26"/>
      <c r="S448" s="47"/>
      <c r="T448" s="4" t="e">
        <f>VLOOKUP(#REF!,#REF!,2,0)</f>
        <v>#REF!</v>
      </c>
      <c r="U448" s="20" t="e">
        <f t="shared" si="12"/>
        <v>#REF!</v>
      </c>
      <c r="V448" s="47"/>
      <c r="W448" s="43"/>
      <c r="X448" s="66" t="e">
        <f>VLOOKUP(D448,#REF!,2,0)</f>
        <v>#REF!</v>
      </c>
      <c r="Y448" s="67" t="s">
        <v>2645</v>
      </c>
      <c r="Z448" s="67" t="b">
        <f>I448=F448</f>
        <v>0</v>
      </c>
    </row>
    <row r="449" spans="1:26" ht="13.65" customHeight="1">
      <c r="A449" s="91">
        <v>448</v>
      </c>
      <c r="B449" s="52" t="s">
        <v>174</v>
      </c>
      <c r="C449" s="3" t="str">
        <f>VLOOKUP(D449,'lista 1'!$A$2:$F3967,4,0)</f>
        <v>NOWAKOWSKA MAŁGORZATA</v>
      </c>
      <c r="D449" s="74">
        <v>2301</v>
      </c>
      <c r="E449" s="4" t="str">
        <f>VLOOKUP(D449,'lista 1'!$A$2:$F$1802,5,0)</f>
        <v>TM</v>
      </c>
      <c r="F449" s="59" t="str">
        <f>VLOOKUP(G449,'lista obszary'!A:B,2,0)</f>
        <v>ENGINES</v>
      </c>
      <c r="G449" s="76" t="s">
        <v>438</v>
      </c>
      <c r="H449" s="85" t="s">
        <v>1390</v>
      </c>
      <c r="I449" s="59" t="str">
        <f>VLOOKUP(J449,'lista obszary'!A:B,2,0)</f>
        <v>ENGINES</v>
      </c>
      <c r="J449" s="78" t="s">
        <v>608</v>
      </c>
      <c r="K449" s="87" t="s">
        <v>1584</v>
      </c>
      <c r="L449" s="82" t="s">
        <v>2523</v>
      </c>
      <c r="M449" s="22"/>
      <c r="N449" s="22"/>
      <c r="O449" s="22"/>
      <c r="P449" s="19" t="s">
        <v>175</v>
      </c>
      <c r="Q449" s="26"/>
      <c r="R449" s="26"/>
      <c r="S449" s="47"/>
      <c r="T449" s="4" t="e">
        <f>VLOOKUP(#REF!,#REF!,2,0)</f>
        <v>#REF!</v>
      </c>
      <c r="U449" s="20" t="e">
        <f t="shared" si="12"/>
        <v>#REF!</v>
      </c>
      <c r="V449" s="47"/>
      <c r="W449" s="43"/>
      <c r="X449" s="66" t="e">
        <f>VLOOKUP(D449,#REF!,2,0)</f>
        <v>#REF!</v>
      </c>
      <c r="Y449" s="67" t="b">
        <f>F449=I449</f>
        <v>1</v>
      </c>
    </row>
    <row r="450" spans="1:26" ht="13.65" customHeight="1">
      <c r="A450" s="91">
        <v>449</v>
      </c>
      <c r="B450" s="52" t="s">
        <v>174</v>
      </c>
      <c r="C450" s="3" t="str">
        <f>VLOOKUP(D450,'lista 1'!$A$2:$F3968,4,0)</f>
        <v>MALINOWSKI MARIUSZ</v>
      </c>
      <c r="D450" s="74">
        <v>185</v>
      </c>
      <c r="E450" s="4" t="str">
        <f>VLOOKUP(D450,'lista 1'!$A$2:$F$1802,5,0)</f>
        <v>TL</v>
      </c>
      <c r="F450" s="59" t="str">
        <f>VLOOKUP(G450,'lista obszary'!A:B,2,0)</f>
        <v>IL</v>
      </c>
      <c r="G450" s="76" t="s">
        <v>1062</v>
      </c>
      <c r="H450" s="85" t="s">
        <v>1562</v>
      </c>
      <c r="I450" s="59" t="str">
        <f>VLOOKUP(J450,'lista obszary'!A:B,2,0)</f>
        <v>IL</v>
      </c>
      <c r="J450" s="78" t="s">
        <v>2087</v>
      </c>
      <c r="K450" s="87" t="s">
        <v>2112</v>
      </c>
      <c r="L450" s="82" t="s">
        <v>2523</v>
      </c>
      <c r="M450" s="22"/>
      <c r="N450" s="22"/>
      <c r="O450" s="22"/>
      <c r="P450" s="19" t="s">
        <v>175</v>
      </c>
      <c r="Q450" s="26"/>
      <c r="R450" s="26"/>
      <c r="S450" s="47"/>
      <c r="T450" s="4" t="e">
        <f>VLOOKUP(#REF!,#REF!,2,0)</f>
        <v>#REF!</v>
      </c>
      <c r="U450" s="20" t="e">
        <f t="shared" si="12"/>
        <v>#REF!</v>
      </c>
      <c r="V450" s="47"/>
      <c r="W450" s="43"/>
      <c r="X450" s="66" t="e">
        <f>VLOOKUP(D450,#REF!,2,0)</f>
        <v>#REF!</v>
      </c>
      <c r="Y450" s="67" t="s">
        <v>2643</v>
      </c>
      <c r="Z450" s="67" t="b">
        <f>I450=F450</f>
        <v>1</v>
      </c>
    </row>
    <row r="451" spans="1:26" ht="13.65" customHeight="1">
      <c r="A451" s="91">
        <v>450</v>
      </c>
      <c r="B451" s="52" t="s">
        <v>174</v>
      </c>
      <c r="C451" s="3" t="str">
        <f>VLOOKUP(D451,'lista 1'!$A$2:$F3969,4,0)</f>
        <v>INGRAM JACEK</v>
      </c>
      <c r="D451" s="74">
        <v>518</v>
      </c>
      <c r="E451" s="4" t="str">
        <f>VLOOKUP(D451,'lista 1'!$A$2:$F$1802,5,0)</f>
        <v>AC GRL</v>
      </c>
      <c r="F451" s="59" t="str">
        <f>VLOOKUP(G451,'lista obszary'!A:B,2,0)</f>
        <v>IL</v>
      </c>
      <c r="G451" s="76" t="s">
        <v>881</v>
      </c>
      <c r="H451" s="85" t="s">
        <v>1561</v>
      </c>
      <c r="I451" s="59" t="str">
        <f>VLOOKUP(J451,'lista obszary'!A:B,2,0)</f>
        <v>IL</v>
      </c>
      <c r="J451" s="78" t="s">
        <v>2473</v>
      </c>
      <c r="K451" s="87" t="s">
        <v>1909</v>
      </c>
      <c r="L451" s="82" t="s">
        <v>2523</v>
      </c>
      <c r="M451" s="22"/>
      <c r="N451" s="22"/>
      <c r="O451" s="22"/>
      <c r="P451" s="19" t="s">
        <v>175</v>
      </c>
      <c r="Q451" s="26"/>
      <c r="R451" s="26"/>
      <c r="S451" s="47"/>
      <c r="T451" s="4" t="e">
        <f>VLOOKUP(#REF!,#REF!,2,0)</f>
        <v>#REF!</v>
      </c>
      <c r="U451" s="20" t="e">
        <f t="shared" si="12"/>
        <v>#REF!</v>
      </c>
      <c r="V451" s="47"/>
      <c r="W451" s="43"/>
      <c r="X451" s="66" t="e">
        <f>VLOOKUP(D451,#REF!,2,0)</f>
        <v>#REF!</v>
      </c>
      <c r="Y451" s="67" t="s">
        <v>2643</v>
      </c>
      <c r="Z451" s="67" t="b">
        <f>I451=F451</f>
        <v>1</v>
      </c>
    </row>
    <row r="452" spans="1:26" ht="13.65" customHeight="1">
      <c r="A452" s="91">
        <v>451</v>
      </c>
      <c r="B452" s="52" t="s">
        <v>174</v>
      </c>
      <c r="C452" s="3" t="str">
        <f>VLOOKUP(D452,'lista 1'!$A$2:$F3970,4,0)</f>
        <v>MIKA WOJCIECH</v>
      </c>
      <c r="D452" s="74">
        <v>2286</v>
      </c>
      <c r="E452" s="4" t="str">
        <f>VLOOKUP(D452,'lista 1'!$A$2:$F$1802,5,0)</f>
        <v>AC TL</v>
      </c>
      <c r="F452" s="59" t="str">
        <f>VLOOKUP(G452,'lista obszary'!A:B,2,0)</f>
        <v>IL</v>
      </c>
      <c r="G452" s="76" t="s">
        <v>1063</v>
      </c>
      <c r="H452" s="85" t="s">
        <v>1560</v>
      </c>
      <c r="I452" s="59" t="str">
        <f>VLOOKUP(J452,'lista obszary'!A:B,2,0)</f>
        <v>IL</v>
      </c>
      <c r="J452" s="78" t="s">
        <v>1062</v>
      </c>
      <c r="K452" s="87" t="s">
        <v>1562</v>
      </c>
      <c r="L452" s="82" t="s">
        <v>2523</v>
      </c>
      <c r="M452" s="22"/>
      <c r="N452" s="22"/>
      <c r="O452" s="22"/>
      <c r="P452" s="19" t="s">
        <v>175</v>
      </c>
      <c r="Q452" s="26"/>
      <c r="R452" s="26"/>
      <c r="S452" s="47"/>
      <c r="T452" s="4" t="e">
        <f>VLOOKUP(#REF!,#REF!,2,0)</f>
        <v>#REF!</v>
      </c>
      <c r="U452" s="20" t="e">
        <f t="shared" si="12"/>
        <v>#REF!</v>
      </c>
      <c r="V452" s="47"/>
      <c r="W452" s="43"/>
      <c r="X452" s="66" t="e">
        <f>VLOOKUP(D452,#REF!,2,0)</f>
        <v>#REF!</v>
      </c>
      <c r="Y452" s="67" t="s">
        <v>2643</v>
      </c>
      <c r="Z452" s="67" t="b">
        <f>I452=F452</f>
        <v>1</v>
      </c>
    </row>
    <row r="453" spans="1:26" ht="12.75" customHeight="1">
      <c r="A453" s="91">
        <v>452</v>
      </c>
      <c r="B453" s="52" t="s">
        <v>174</v>
      </c>
      <c r="C453" s="3" t="e">
        <f>VLOOKUP(D453,'lista 1'!$A$2:$F3971,4,0)</f>
        <v>#N/A</v>
      </c>
      <c r="D453" s="74">
        <v>70533</v>
      </c>
      <c r="E453" s="4" t="e">
        <f>VLOOKUP(D453,'lista 1'!$A$2:$F$1802,5,0)</f>
        <v>#N/A</v>
      </c>
      <c r="F453" s="59" t="str">
        <f>VLOOKUP(G453,'lista obszary'!A:B,2,0)</f>
        <v>IL</v>
      </c>
      <c r="G453" s="76" t="s">
        <v>514</v>
      </c>
      <c r="H453" s="85" t="s">
        <v>2472</v>
      </c>
      <c r="I453" s="59" t="str">
        <f>VLOOKUP(J453,'lista obszary'!A:B,2,0)</f>
        <v>IL</v>
      </c>
      <c r="J453" s="78" t="s">
        <v>2329</v>
      </c>
      <c r="K453" s="87" t="s">
        <v>1551</v>
      </c>
      <c r="L453" s="82" t="s">
        <v>2523</v>
      </c>
      <c r="M453" s="22"/>
      <c r="N453" s="22"/>
      <c r="O453" s="22"/>
      <c r="P453" s="19" t="s">
        <v>175</v>
      </c>
      <c r="Q453" s="26"/>
      <c r="R453" s="26"/>
      <c r="S453" s="47"/>
      <c r="T453" s="4" t="e">
        <f>VLOOKUP(#REF!,#REF!,2,0)</f>
        <v>#REF!</v>
      </c>
      <c r="U453" s="20" t="e">
        <f t="shared" si="12"/>
        <v>#REF!</v>
      </c>
      <c r="V453" s="47"/>
      <c r="W453" s="43"/>
      <c r="X453" s="66" t="e">
        <f>VLOOKUP(D453,#REF!,2,0)</f>
        <v>#REF!</v>
      </c>
      <c r="Y453" s="67" t="s">
        <v>2643</v>
      </c>
      <c r="Z453" s="67" t="b">
        <f>I453=F453</f>
        <v>1</v>
      </c>
    </row>
    <row r="454" spans="1:26" ht="13.65" customHeight="1">
      <c r="A454" s="91">
        <v>453</v>
      </c>
      <c r="B454" s="52" t="s">
        <v>174</v>
      </c>
      <c r="C454" s="3" t="e">
        <f>VLOOKUP(D454,'lista 1'!$A$2:$F3972,4,0)</f>
        <v>#N/A</v>
      </c>
      <c r="D454" s="74">
        <v>70532</v>
      </c>
      <c r="E454" s="4" t="e">
        <f>VLOOKUP(D454,'lista 1'!$A$2:$F$1802,5,0)</f>
        <v>#N/A</v>
      </c>
      <c r="F454" s="59" t="str">
        <f>VLOOKUP(G454,'lista obszary'!A:B,2,0)</f>
        <v>IL</v>
      </c>
      <c r="G454" s="76" t="s">
        <v>1063</v>
      </c>
      <c r="H454" s="85" t="s">
        <v>1560</v>
      </c>
      <c r="I454" s="59" t="str">
        <f>VLOOKUP(J454,'lista obszary'!A:B,2,0)</f>
        <v>IL</v>
      </c>
      <c r="J454" s="78" t="s">
        <v>514</v>
      </c>
      <c r="K454" s="87" t="s">
        <v>2472</v>
      </c>
      <c r="L454" s="82" t="s">
        <v>2531</v>
      </c>
      <c r="M454" s="22"/>
      <c r="N454" s="22"/>
      <c r="O454" s="22"/>
      <c r="P454" s="19" t="s">
        <v>175</v>
      </c>
      <c r="Q454" s="26"/>
      <c r="R454" s="26"/>
      <c r="S454" s="47"/>
      <c r="T454" s="4" t="e">
        <f>VLOOKUP(#REF!,#REF!,2,0)</f>
        <v>#REF!</v>
      </c>
      <c r="U454" s="20" t="e">
        <f t="shared" si="12"/>
        <v>#REF!</v>
      </c>
      <c r="V454" s="47"/>
      <c r="W454" s="43"/>
      <c r="X454" s="66" t="e">
        <f>VLOOKUP(D454,#REF!,2,0)</f>
        <v>#REF!</v>
      </c>
      <c r="Y454" s="67" t="s">
        <v>2643</v>
      </c>
      <c r="Z454" s="67" t="b">
        <f>I454=F454</f>
        <v>1</v>
      </c>
    </row>
    <row r="455" spans="1:26" ht="13.65" customHeight="1">
      <c r="A455" s="91">
        <v>454</v>
      </c>
      <c r="B455" s="52" t="s">
        <v>2533</v>
      </c>
      <c r="C455" s="3" t="str">
        <f>VLOOKUP(D455,'lista 1'!$A$2:$F3973,4,0)</f>
        <v>PANKOWSKI KRZYSZTOF</v>
      </c>
      <c r="D455" s="74">
        <v>146</v>
      </c>
      <c r="E455" s="4" t="str">
        <f>VLOOKUP(D455,'lista 1'!$A$2:$F$1802,5,0)</f>
        <v>TM2</v>
      </c>
      <c r="F455" s="59" t="str">
        <f>VLOOKUP(G455,'lista obszary'!A:B,2,0)</f>
        <v>EC60</v>
      </c>
      <c r="G455" s="76" t="s">
        <v>549</v>
      </c>
      <c r="H455" s="85" t="s">
        <v>1881</v>
      </c>
      <c r="I455" s="59" t="str">
        <f>VLOOKUP(J455,'lista obszary'!A:B,2,0)</f>
        <v>CASTING</v>
      </c>
      <c r="J455" s="78" t="s">
        <v>683</v>
      </c>
      <c r="K455" s="87" t="s">
        <v>1900</v>
      </c>
      <c r="L455" s="82" t="s">
        <v>2529</v>
      </c>
      <c r="M455" s="34"/>
      <c r="N455" s="34"/>
      <c r="O455" s="34"/>
      <c r="P455" s="19" t="s">
        <v>175</v>
      </c>
      <c r="Q455" s="26"/>
      <c r="R455" s="26"/>
      <c r="S455" s="47"/>
      <c r="T455" s="4" t="e">
        <f>VLOOKUP(#REF!,#REF!,2,0)</f>
        <v>#REF!</v>
      </c>
      <c r="U455" s="20" t="e">
        <f t="shared" si="12"/>
        <v>#REF!</v>
      </c>
      <c r="V455" s="47"/>
      <c r="W455" s="43"/>
      <c r="X455" s="66" t="e">
        <f>VLOOKUP(D455,#REF!,2,0)</f>
        <v>#REF!</v>
      </c>
      <c r="Y455" s="67" t="b">
        <f>F455=I455</f>
        <v>0</v>
      </c>
    </row>
    <row r="456" spans="1:26" ht="13.65" customHeight="1">
      <c r="A456" s="91">
        <v>455</v>
      </c>
      <c r="B456" s="52" t="s">
        <v>2533</v>
      </c>
      <c r="C456" s="3" t="str">
        <f>VLOOKUP(D456,'lista 1'!$A$2:$F3974,4,0)</f>
        <v>ACELA MARIUSZ</v>
      </c>
      <c r="D456" s="74">
        <v>274</v>
      </c>
      <c r="E456" s="4" t="str">
        <f>VLOOKUP(D456,'lista 1'!$A$2:$F$1802,5,0)</f>
        <v>TM2</v>
      </c>
      <c r="F456" s="59" t="str">
        <f>VLOOKUP(G456,'lista obszary'!A:B,2,0)</f>
        <v>EC60</v>
      </c>
      <c r="G456" s="76" t="s">
        <v>844</v>
      </c>
      <c r="H456" s="85" t="s">
        <v>1903</v>
      </c>
      <c r="I456" s="59" t="str">
        <f>VLOOKUP(J456,'lista obszary'!A:B,2,0)</f>
        <v>ENGINES</v>
      </c>
      <c r="J456" s="78" t="s">
        <v>438</v>
      </c>
      <c r="K456" s="87" t="s">
        <v>1390</v>
      </c>
      <c r="L456" s="82" t="s">
        <v>2529</v>
      </c>
      <c r="M456" s="22"/>
      <c r="N456" s="22"/>
      <c r="O456" s="22"/>
      <c r="P456" s="19" t="s">
        <v>175</v>
      </c>
      <c r="Q456" s="26"/>
      <c r="R456" s="26"/>
      <c r="S456" s="47"/>
      <c r="T456" s="4" t="e">
        <f>VLOOKUP(#REF!,#REF!,2,0)</f>
        <v>#REF!</v>
      </c>
      <c r="U456" s="20" t="e">
        <f t="shared" si="12"/>
        <v>#REF!</v>
      </c>
      <c r="V456" s="47"/>
      <c r="W456" s="43"/>
      <c r="X456" s="66" t="e">
        <f>VLOOKUP(D456,#REF!,2,0)</f>
        <v>#REF!</v>
      </c>
      <c r="Y456" s="67" t="s">
        <v>2645</v>
      </c>
      <c r="Z456" s="67" t="b">
        <f>I456=F456</f>
        <v>0</v>
      </c>
    </row>
    <row r="457" spans="1:26" ht="13.65" customHeight="1">
      <c r="A457" s="91">
        <v>456</v>
      </c>
      <c r="B457" s="52" t="s">
        <v>174</v>
      </c>
      <c r="C457" s="3" t="str">
        <f>VLOOKUP(D457,'lista 1'!$A$2:$F3975,4,0)</f>
        <v>CIECHANOWICZ TOMASZ</v>
      </c>
      <c r="D457" s="74">
        <v>601</v>
      </c>
      <c r="E457" s="4" t="str">
        <f>VLOOKUP(D457,'lista 1'!$A$2:$F$1802,5,0)</f>
        <v>TL</v>
      </c>
      <c r="F457" s="59" t="str">
        <f>VLOOKUP(G457,'lista obszary'!A:B,2,0)</f>
        <v>EC60</v>
      </c>
      <c r="G457" s="76" t="s">
        <v>1325</v>
      </c>
      <c r="H457" s="85" t="s">
        <v>2159</v>
      </c>
      <c r="I457" s="59" t="str">
        <f>VLOOKUP(J457,'lista obszary'!A:B,2,0)</f>
        <v>EC60</v>
      </c>
      <c r="J457" s="78" t="s">
        <v>844</v>
      </c>
      <c r="K457" s="87" t="s">
        <v>1903</v>
      </c>
      <c r="L457" s="82" t="s">
        <v>2529</v>
      </c>
      <c r="M457" s="22"/>
      <c r="N457" s="22"/>
      <c r="O457" s="22"/>
      <c r="P457" s="19" t="s">
        <v>175</v>
      </c>
      <c r="Q457" s="26"/>
      <c r="R457" s="26"/>
      <c r="S457" s="47"/>
      <c r="T457" s="4" t="e">
        <f>VLOOKUP(#REF!,#REF!,2,0)</f>
        <v>#REF!</v>
      </c>
      <c r="U457" s="20" t="e">
        <f t="shared" si="12"/>
        <v>#REF!</v>
      </c>
      <c r="V457" s="47"/>
      <c r="W457" s="43"/>
      <c r="X457" s="66" t="e">
        <f>VLOOKUP(D457,#REF!,2,0)</f>
        <v>#REF!</v>
      </c>
      <c r="Y457" s="67" t="s">
        <v>2643</v>
      </c>
      <c r="Z457" s="67" t="b">
        <f>I457=F457</f>
        <v>1</v>
      </c>
    </row>
    <row r="458" spans="1:26" ht="13.65" customHeight="1">
      <c r="A458" s="91">
        <v>457</v>
      </c>
      <c r="B458" s="52" t="s">
        <v>2533</v>
      </c>
      <c r="C458" s="3" t="str">
        <f>VLOOKUP(D458,'lista 1'!$A$2:$F3976,4,0)</f>
        <v>ŻUKOWSKI PAWEŁ</v>
      </c>
      <c r="D458" s="74">
        <v>1029</v>
      </c>
      <c r="E458" s="4" t="str">
        <f>VLOOKUP(D458,'lista 1'!$A$2:$F$1802,5,0)</f>
        <v>TM2</v>
      </c>
      <c r="F458" s="59" t="str">
        <f>VLOOKUP(G458,'lista obszary'!A:B,2,0)</f>
        <v>EC60</v>
      </c>
      <c r="G458" s="76" t="s">
        <v>549</v>
      </c>
      <c r="H458" s="85" t="s">
        <v>1881</v>
      </c>
      <c r="I458" s="59" t="str">
        <f>VLOOKUP(J458,'lista obszary'!A:B,2,0)</f>
        <v>HV</v>
      </c>
      <c r="J458" s="78" t="s">
        <v>2448</v>
      </c>
      <c r="K458" s="87" t="s">
        <v>1555</v>
      </c>
      <c r="L458" s="82" t="s">
        <v>2529</v>
      </c>
      <c r="M458" s="22"/>
      <c r="N458" s="22"/>
      <c r="O458" s="22"/>
      <c r="P458" s="19" t="s">
        <v>175</v>
      </c>
      <c r="Q458" s="26"/>
      <c r="R458" s="26"/>
      <c r="S458" s="47"/>
      <c r="T458" s="4" t="e">
        <f>VLOOKUP(#REF!,#REF!,2,0)</f>
        <v>#REF!</v>
      </c>
      <c r="U458" s="20" t="e">
        <f t="shared" si="12"/>
        <v>#REF!</v>
      </c>
      <c r="V458" s="47"/>
      <c r="W458" s="43"/>
      <c r="X458" s="66" t="e">
        <f>VLOOKUP(D458,#REF!,2,0)</f>
        <v>#REF!</v>
      </c>
      <c r="Y458" s="67" t="b">
        <f>F458=I458</f>
        <v>0</v>
      </c>
    </row>
    <row r="459" spans="1:26" ht="13.65" customHeight="1">
      <c r="A459" s="91">
        <v>458</v>
      </c>
      <c r="B459" s="52" t="s">
        <v>2533</v>
      </c>
      <c r="C459" s="3" t="e">
        <f>VLOOKUP(D459,'lista 1'!$A$2:$F3977,4,0)</f>
        <v>#N/A</v>
      </c>
      <c r="D459" s="74">
        <v>64414</v>
      </c>
      <c r="E459" s="4" t="e">
        <f>VLOOKUP(D459,'lista 1'!$A$2:$F$1802,5,0)</f>
        <v>#N/A</v>
      </c>
      <c r="F459" s="59" t="str">
        <f>VLOOKUP(G459,'lista obszary'!A:B,2,0)</f>
        <v>EC60</v>
      </c>
      <c r="G459" s="76" t="s">
        <v>549</v>
      </c>
      <c r="H459" s="85" t="s">
        <v>1881</v>
      </c>
      <c r="I459" s="59" t="str">
        <f>VLOOKUP(J459,'lista obszary'!A:B,2,0)</f>
        <v>HV</v>
      </c>
      <c r="J459" s="78" t="s">
        <v>2069</v>
      </c>
      <c r="K459" s="87" t="s">
        <v>528</v>
      </c>
      <c r="L459" s="82" t="s">
        <v>2529</v>
      </c>
      <c r="M459" s="22"/>
      <c r="N459" s="22"/>
      <c r="O459" s="22"/>
      <c r="P459" s="19" t="s">
        <v>175</v>
      </c>
      <c r="Q459" s="26"/>
      <c r="R459" s="26"/>
      <c r="S459" s="47"/>
      <c r="T459" s="4" t="e">
        <f>VLOOKUP(#REF!,#REF!,2,0)</f>
        <v>#REF!</v>
      </c>
      <c r="U459" s="20" t="e">
        <f t="shared" si="12"/>
        <v>#REF!</v>
      </c>
      <c r="V459" s="47"/>
      <c r="W459" s="43"/>
      <c r="X459" s="66" t="e">
        <f>VLOOKUP(D459,#REF!,2,0)</f>
        <v>#REF!</v>
      </c>
      <c r="Y459" s="67" t="s">
        <v>2648</v>
      </c>
    </row>
    <row r="460" spans="1:26" ht="13.65" customHeight="1">
      <c r="A460" s="91">
        <v>459</v>
      </c>
      <c r="B460" s="52" t="s">
        <v>2533</v>
      </c>
      <c r="C460" s="3" t="e">
        <f>VLOOKUP(D460,'lista 1'!$A$2:$F3978,4,0)</f>
        <v>#N/A</v>
      </c>
      <c r="D460" s="74">
        <v>70457</v>
      </c>
      <c r="E460" s="4" t="e">
        <f>VLOOKUP(D460,'lista 1'!$A$2:$F$1802,5,0)</f>
        <v>#N/A</v>
      </c>
      <c r="F460" s="59" t="str">
        <f>VLOOKUP(G460,'lista obszary'!A:B,2,0)</f>
        <v>EC60</v>
      </c>
      <c r="G460" s="76" t="s">
        <v>549</v>
      </c>
      <c r="H460" s="85" t="s">
        <v>1881</v>
      </c>
      <c r="I460" s="59" t="str">
        <f>VLOOKUP(J460,'lista obszary'!A:B,2,0)</f>
        <v>ENGINES</v>
      </c>
      <c r="J460" s="78" t="s">
        <v>772</v>
      </c>
      <c r="K460" s="87" t="s">
        <v>1389</v>
      </c>
      <c r="L460" s="82" t="s">
        <v>2529</v>
      </c>
      <c r="M460" s="22"/>
      <c r="N460" s="22"/>
      <c r="O460" s="22"/>
      <c r="P460" s="19" t="s">
        <v>175</v>
      </c>
      <c r="Q460" s="26"/>
      <c r="R460" s="26"/>
      <c r="S460" s="47"/>
      <c r="T460" s="4" t="e">
        <f>VLOOKUP(#REF!,#REF!,2,0)</f>
        <v>#REF!</v>
      </c>
      <c r="U460" s="20" t="e">
        <f t="shared" si="12"/>
        <v>#REF!</v>
      </c>
      <c r="V460" s="47"/>
      <c r="W460" s="43"/>
      <c r="X460" s="66" t="e">
        <f>VLOOKUP(D460,#REF!,2,0)</f>
        <v>#REF!</v>
      </c>
      <c r="Y460" s="67" t="s">
        <v>2648</v>
      </c>
    </row>
    <row r="461" spans="1:26" ht="13.65" customHeight="1">
      <c r="A461" s="91">
        <v>460</v>
      </c>
      <c r="B461" s="52" t="s">
        <v>2533</v>
      </c>
      <c r="C461" s="3" t="e">
        <f>VLOOKUP(D461,'lista 1'!$A$2:$F3979,4,0)</f>
        <v>#N/A</v>
      </c>
      <c r="D461" s="74">
        <v>70507</v>
      </c>
      <c r="E461" s="4" t="e">
        <f>VLOOKUP(D461,'lista 1'!$A$2:$F$1802,5,0)</f>
        <v>#N/A</v>
      </c>
      <c r="F461" s="59" t="str">
        <f>VLOOKUP(G461,'lista obszary'!A:B,2,0)</f>
        <v>EC60</v>
      </c>
      <c r="G461" s="76" t="s">
        <v>549</v>
      </c>
      <c r="H461" s="85" t="s">
        <v>1881</v>
      </c>
      <c r="I461" s="59" t="str">
        <f>VLOOKUP(J461,'lista obszary'!A:B,2,0)</f>
        <v>EC60</v>
      </c>
      <c r="J461" s="78" t="s">
        <v>1325</v>
      </c>
      <c r="K461" s="87" t="s">
        <v>2159</v>
      </c>
      <c r="L461" s="82" t="s">
        <v>2529</v>
      </c>
      <c r="M461" s="22"/>
      <c r="N461" s="22"/>
      <c r="O461" s="22"/>
      <c r="P461" s="19" t="s">
        <v>175</v>
      </c>
      <c r="Q461" s="26"/>
      <c r="R461" s="26"/>
      <c r="S461" s="47"/>
      <c r="T461" s="4" t="e">
        <f>VLOOKUP(#REF!,#REF!,2,0)</f>
        <v>#REF!</v>
      </c>
      <c r="U461" s="20" t="e">
        <f t="shared" si="12"/>
        <v>#REF!</v>
      </c>
      <c r="V461" s="47"/>
      <c r="W461" s="43"/>
      <c r="X461" s="66" t="e">
        <f>VLOOKUP(D461,#REF!,2,0)</f>
        <v>#REF!</v>
      </c>
      <c r="Y461" s="67" t="b">
        <f>F461=I461</f>
        <v>1</v>
      </c>
      <c r="Z461" s="67"/>
    </row>
    <row r="462" spans="1:26" ht="13.65" customHeight="1">
      <c r="A462" s="91">
        <v>461</v>
      </c>
      <c r="B462" s="52" t="s">
        <v>2533</v>
      </c>
      <c r="C462" s="3" t="str">
        <f>VLOOKUP(D462,'lista 1'!$A$2:$F3980,4,0)</f>
        <v>ZBIERSKI ZDZISŁAW</v>
      </c>
      <c r="D462" s="74">
        <v>1028</v>
      </c>
      <c r="E462" s="4" t="str">
        <f>VLOOKUP(D462,'lista 1'!$A$2:$F$1802,5,0)</f>
        <v>TM</v>
      </c>
      <c r="F462" s="59" t="str">
        <f>VLOOKUP(G462,'lista obszary'!A:B,2,0)</f>
        <v>ENGINES</v>
      </c>
      <c r="G462" s="76" t="s">
        <v>437</v>
      </c>
      <c r="H462" s="85"/>
      <c r="I462" s="59" t="str">
        <f>VLOOKUP(J462,'lista obszary'!A:B,2,0)</f>
        <v>IL</v>
      </c>
      <c r="J462" s="78" t="s">
        <v>507</v>
      </c>
      <c r="K462" s="87" t="s">
        <v>1562</v>
      </c>
      <c r="L462" s="82" t="s">
        <v>2529</v>
      </c>
      <c r="M462" s="22"/>
      <c r="N462" s="22"/>
      <c r="O462" s="22"/>
      <c r="P462" s="19" t="s">
        <v>175</v>
      </c>
      <c r="Q462" s="26"/>
      <c r="R462" s="26"/>
      <c r="S462" s="47"/>
      <c r="T462" s="4"/>
      <c r="U462" s="20"/>
      <c r="V462" s="47"/>
      <c r="W462" s="43"/>
      <c r="X462" s="66" t="e">
        <f>VLOOKUP(D462,#REF!,2,0)</f>
        <v>#REF!</v>
      </c>
      <c r="Y462" s="67" t="s">
        <v>2645</v>
      </c>
      <c r="Z462" s="67" t="b">
        <f>I462=F462</f>
        <v>0</v>
      </c>
    </row>
    <row r="463" spans="1:26" ht="13.65" customHeight="1">
      <c r="A463" s="91">
        <v>462</v>
      </c>
      <c r="B463" s="52" t="s">
        <v>174</v>
      </c>
      <c r="C463" s="3" t="str">
        <f>VLOOKUP(D463,'lista 1'!$A$2:$F3981,4,0)</f>
        <v>KOTLIŃSKI PIOTR</v>
      </c>
      <c r="D463" s="74">
        <v>1108</v>
      </c>
      <c r="E463" s="4" t="str">
        <f>VLOOKUP(D463,'lista 1'!$A$2:$F$1802,5,0)</f>
        <v>TM2</v>
      </c>
      <c r="F463" s="59" t="str">
        <f>VLOOKUP(G463,'lista obszary'!A:B,2,0)</f>
        <v>QC</v>
      </c>
      <c r="G463" s="76" t="s">
        <v>453</v>
      </c>
      <c r="H463" s="85" t="s">
        <v>1880</v>
      </c>
      <c r="I463" s="59" t="str">
        <f>VLOOKUP(J463,'lista obszary'!A:B,2,0)</f>
        <v>QC</v>
      </c>
      <c r="J463" s="78" t="s">
        <v>2436</v>
      </c>
      <c r="K463" s="87" t="s">
        <v>1924</v>
      </c>
      <c r="L463" s="82" t="s">
        <v>2529</v>
      </c>
      <c r="M463" s="22"/>
      <c r="N463" s="22"/>
      <c r="O463" s="22"/>
      <c r="P463" s="19" t="s">
        <v>175</v>
      </c>
      <c r="Q463" s="26"/>
      <c r="R463" s="26"/>
      <c r="S463" s="47"/>
      <c r="T463" s="4" t="e">
        <f>VLOOKUP(#REF!,#REF!,2,0)</f>
        <v>#REF!</v>
      </c>
      <c r="U463" s="20" t="e">
        <f>L463-T463</f>
        <v>#REF!</v>
      </c>
      <c r="V463" s="47"/>
      <c r="W463" s="43"/>
      <c r="X463" s="66" t="e">
        <f>VLOOKUP(D463,#REF!,2,0)</f>
        <v>#REF!</v>
      </c>
      <c r="Y463" s="67" t="s">
        <v>2643</v>
      </c>
      <c r="Z463" s="67" t="b">
        <f>I463=F463</f>
        <v>1</v>
      </c>
    </row>
    <row r="464" spans="1:26" ht="13.65" customHeight="1">
      <c r="A464" s="91">
        <v>463</v>
      </c>
      <c r="B464" s="52" t="s">
        <v>174</v>
      </c>
      <c r="C464" s="3" t="str">
        <f>VLOOKUP(D464,'lista 1'!$A$2:$F3982,4,0)</f>
        <v>CHAK RADOSŁAW</v>
      </c>
      <c r="D464" s="74">
        <v>2495</v>
      </c>
      <c r="E464" s="4" t="str">
        <f>VLOOKUP(D464,'lista 1'!$A$2:$F$1802,5,0)</f>
        <v>TM2</v>
      </c>
      <c r="F464" s="59" t="str">
        <f>VLOOKUP(G464,'lista obszary'!A:B,2,0)</f>
        <v>QC</v>
      </c>
      <c r="G464" s="76" t="s">
        <v>2436</v>
      </c>
      <c r="H464" s="85" t="s">
        <v>1924</v>
      </c>
      <c r="I464" s="59" t="str">
        <f>VLOOKUP(J464,'lista obszary'!A:B,2,0)</f>
        <v>QC</v>
      </c>
      <c r="J464" s="78" t="s">
        <v>2091</v>
      </c>
      <c r="K464" s="87" t="s">
        <v>1924</v>
      </c>
      <c r="L464" s="82" t="s">
        <v>2529</v>
      </c>
      <c r="M464" s="22"/>
      <c r="N464" s="22"/>
      <c r="O464" s="22"/>
      <c r="P464" s="19" t="s">
        <v>175</v>
      </c>
      <c r="Q464" s="26"/>
      <c r="R464" s="26"/>
      <c r="S464" s="47"/>
      <c r="T464" s="4" t="e">
        <f>VLOOKUP(#REF!,#REF!,2,0)</f>
        <v>#REF!</v>
      </c>
      <c r="U464" s="20" t="e">
        <f>L464-T464</f>
        <v>#REF!</v>
      </c>
      <c r="V464" s="47"/>
      <c r="W464" s="43"/>
      <c r="X464" s="66" t="e">
        <f>VLOOKUP(D464,#REF!,2,0)</f>
        <v>#REF!</v>
      </c>
      <c r="Y464" s="67" t="b">
        <f>F464=I464</f>
        <v>1</v>
      </c>
    </row>
    <row r="465" spans="1:26" ht="13.65" customHeight="1">
      <c r="A465" s="91">
        <v>464</v>
      </c>
      <c r="B465" s="52" t="s">
        <v>174</v>
      </c>
      <c r="C465" s="3" t="str">
        <f>VLOOKUP(D465,'lista 1'!$A$2:$F3983,4,0)</f>
        <v>ILING WIOLETA</v>
      </c>
      <c r="D465" s="74">
        <v>2238</v>
      </c>
      <c r="E465" s="4" t="str">
        <f>VLOOKUP(D465,'lista 1'!$A$2:$F$1802,5,0)</f>
        <v>TM</v>
      </c>
      <c r="F465" s="59" t="str">
        <f>VLOOKUP(G465,'lista obszary'!A:B,2,0)</f>
        <v>ENGINES</v>
      </c>
      <c r="G465" s="76" t="s">
        <v>597</v>
      </c>
      <c r="H465" s="85" t="s">
        <v>1892</v>
      </c>
      <c r="I465" s="59" t="str">
        <f>VLOOKUP(J465,'lista obszary'!A:B,2,0)</f>
        <v>ENGINES</v>
      </c>
      <c r="J465" s="78" t="s">
        <v>438</v>
      </c>
      <c r="K465" s="87" t="s">
        <v>1390</v>
      </c>
      <c r="L465" s="82" t="s">
        <v>2532</v>
      </c>
      <c r="M465" s="22"/>
      <c r="N465" s="22"/>
      <c r="O465" s="22"/>
      <c r="P465" s="19" t="s">
        <v>175</v>
      </c>
      <c r="Q465" s="26"/>
      <c r="R465" s="26"/>
      <c r="S465" s="47"/>
      <c r="T465" s="4"/>
      <c r="U465" s="20"/>
      <c r="V465" s="47"/>
      <c r="W465" s="43"/>
      <c r="X465" s="66" t="e">
        <f>VLOOKUP(D465,#REF!,2,0)</f>
        <v>#REF!</v>
      </c>
      <c r="Y465" s="67" t="s">
        <v>2643</v>
      </c>
      <c r="Z465" s="67" t="b">
        <f>I465=F465</f>
        <v>1</v>
      </c>
    </row>
    <row r="466" spans="1:26" ht="13.65" customHeight="1">
      <c r="A466" s="91">
        <v>465</v>
      </c>
      <c r="B466" s="52" t="s">
        <v>2533</v>
      </c>
      <c r="C466" s="3" t="str">
        <f>VLOOKUP(D466,'lista 1'!$A$2:$F3984,4,0)</f>
        <v>JASIŃSKI RADOSŁAW</v>
      </c>
      <c r="D466" s="74">
        <v>211</v>
      </c>
      <c r="E466" s="4" t="str">
        <f>VLOOKUP(D466,'lista 1'!$A$2:$F$1802,5,0)</f>
        <v>TL</v>
      </c>
      <c r="F466" s="59" t="str">
        <f>VLOOKUP(G466,'lista obszary'!A:B,2,0)</f>
        <v>EC60</v>
      </c>
      <c r="G466" s="76" t="s">
        <v>844</v>
      </c>
      <c r="H466" s="85" t="s">
        <v>1903</v>
      </c>
      <c r="I466" s="59" t="str">
        <f>VLOOKUP(J466,'lista obszary'!A:B,2,0)</f>
        <v>DOJO/QCC/KAIZEN</v>
      </c>
      <c r="J466" s="78" t="s">
        <v>1991</v>
      </c>
      <c r="K466" s="87" t="s">
        <v>1572</v>
      </c>
      <c r="L466" s="82" t="s">
        <v>2528</v>
      </c>
      <c r="M466" s="34"/>
      <c r="N466" s="34"/>
      <c r="O466" s="34"/>
      <c r="P466" s="19" t="s">
        <v>175</v>
      </c>
      <c r="Q466" s="26"/>
      <c r="R466" s="26"/>
      <c r="S466" s="47"/>
      <c r="T466" s="4"/>
      <c r="U466" s="20"/>
      <c r="V466" s="47"/>
      <c r="W466" s="43"/>
      <c r="X466" s="66" t="e">
        <f>VLOOKUP(D466,#REF!,2,0)</f>
        <v>#REF!</v>
      </c>
      <c r="Y466" s="67" t="s">
        <v>2645</v>
      </c>
      <c r="Z466" s="67" t="b">
        <f>I466=F466</f>
        <v>0</v>
      </c>
    </row>
    <row r="467" spans="1:26" ht="13.65" customHeight="1">
      <c r="A467" s="91">
        <v>466</v>
      </c>
      <c r="B467" s="52" t="s">
        <v>2533</v>
      </c>
      <c r="C467" s="3" t="str">
        <f>VLOOKUP(D467,'lista 1'!$A$2:$F3985,4,0)</f>
        <v>SABAK AGNIESZKA</v>
      </c>
      <c r="D467" s="74">
        <v>2995</v>
      </c>
      <c r="E467" s="4" t="str">
        <f>VLOOKUP(D467,'lista 1'!$A$2:$F$1802,5,0)</f>
        <v>TM</v>
      </c>
      <c r="F467" s="59" t="str">
        <f>VLOOKUP(G467,'lista obszary'!A:B,2,0)</f>
        <v>EC60</v>
      </c>
      <c r="G467" s="76" t="s">
        <v>549</v>
      </c>
      <c r="H467" s="85" t="s">
        <v>1881</v>
      </c>
      <c r="I467" s="59" t="str">
        <f>VLOOKUP(J467,'lista obszary'!A:B,2,0)</f>
        <v>ENGINES</v>
      </c>
      <c r="J467" s="78" t="s">
        <v>597</v>
      </c>
      <c r="K467" s="87" t="s">
        <v>1892</v>
      </c>
      <c r="L467" s="82" t="s">
        <v>2528</v>
      </c>
      <c r="M467" s="22"/>
      <c r="N467" s="22"/>
      <c r="O467" s="22"/>
      <c r="P467" s="19" t="s">
        <v>175</v>
      </c>
      <c r="Q467" s="26"/>
      <c r="R467" s="26"/>
      <c r="S467" s="47"/>
      <c r="T467" s="4"/>
      <c r="U467" s="20"/>
      <c r="V467" s="47"/>
      <c r="W467" s="43"/>
      <c r="X467" s="66" t="e">
        <f>VLOOKUP(D467,#REF!,2,0)</f>
        <v>#REF!</v>
      </c>
      <c r="Y467" s="67" t="s">
        <v>2643</v>
      </c>
    </row>
    <row r="468" spans="1:26" ht="13.65" customHeight="1">
      <c r="A468" s="91">
        <v>467</v>
      </c>
      <c r="B468" s="19" t="s">
        <v>174</v>
      </c>
      <c r="C468" s="3" t="str">
        <f>VLOOKUP(D468,'lista 1'!$A$2:$F3986,4,0)</f>
        <v>KRYSTKOWIAK GRZEGORZ</v>
      </c>
      <c r="D468" s="73">
        <v>706</v>
      </c>
      <c r="E468" s="4" t="str">
        <f>VLOOKUP(D468,'lista 1'!$A$2:$F$1802,5,0)</f>
        <v>TM2</v>
      </c>
      <c r="F468" s="59" t="str">
        <f>VLOOKUP(G468,'lista obszary'!A:B,2,0)</f>
        <v>HV</v>
      </c>
      <c r="G468" s="76" t="s">
        <v>2448</v>
      </c>
      <c r="H468" s="85" t="s">
        <v>1555</v>
      </c>
      <c r="I468" s="59" t="str">
        <f>VLOOKUP(J468,'lista obszary'!A:B,2,0)</f>
        <v>IL</v>
      </c>
      <c r="J468" s="78" t="s">
        <v>1039</v>
      </c>
      <c r="K468" s="87" t="s">
        <v>1561</v>
      </c>
      <c r="L468" s="82" t="s">
        <v>2528</v>
      </c>
      <c r="M468" s="19"/>
      <c r="N468" s="3"/>
      <c r="O468" s="5"/>
      <c r="P468" s="19" t="s">
        <v>175</v>
      </c>
      <c r="Q468" s="26"/>
      <c r="R468" s="26"/>
      <c r="S468" s="47"/>
      <c r="T468" s="4" t="e">
        <f>VLOOKUP(#REF!,#REF!,2,0)</f>
        <v>#REF!</v>
      </c>
      <c r="U468" s="20" t="e">
        <f t="shared" ref="U468:U503" si="13">L468-T468</f>
        <v>#REF!</v>
      </c>
      <c r="V468" s="47"/>
      <c r="W468" s="43"/>
      <c r="X468" s="66" t="e">
        <f>VLOOKUP(D468,#REF!,2,0)</f>
        <v>#REF!</v>
      </c>
      <c r="Y468" s="67" t="s">
        <v>2645</v>
      </c>
    </row>
    <row r="469" spans="1:26" ht="13.65" customHeight="1">
      <c r="A469" s="91">
        <v>468</v>
      </c>
      <c r="B469" s="52" t="s">
        <v>1973</v>
      </c>
      <c r="C469" s="3" t="str">
        <f>VLOOKUP(D469,'lista 1'!$A$2:$F3987,4,0)</f>
        <v>CZAPSKI RAFAŁ</v>
      </c>
      <c r="D469" s="74">
        <v>88</v>
      </c>
      <c r="E469" s="4" t="str">
        <f>VLOOKUP(D469,'lista 1'!$A$2:$F$1802,5,0)</f>
        <v>SSPC</v>
      </c>
      <c r="F469" s="59" t="str">
        <f>VLOOKUP(G469,'lista obszary'!A:B,2,0)</f>
        <v>HR</v>
      </c>
      <c r="G469" s="76" t="s">
        <v>810</v>
      </c>
      <c r="H469" s="85" t="s">
        <v>2105</v>
      </c>
      <c r="I469" s="59" t="str">
        <f>VLOOKUP(J469,'lista obszary'!A:B,2,0)</f>
        <v>HR</v>
      </c>
      <c r="J469" s="78" t="s">
        <v>969</v>
      </c>
      <c r="K469" s="87" t="s">
        <v>2534</v>
      </c>
      <c r="L469" s="82" t="s">
        <v>2535</v>
      </c>
      <c r="M469" s="22"/>
      <c r="N469" s="22"/>
      <c r="O469" s="22"/>
      <c r="P469" s="19" t="s">
        <v>175</v>
      </c>
      <c r="Q469" s="26"/>
      <c r="R469" s="26"/>
      <c r="S469" s="47"/>
      <c r="T469" s="4" t="e">
        <f>VLOOKUP(#REF!,#REF!,2,0)</f>
        <v>#REF!</v>
      </c>
      <c r="U469" s="20" t="e">
        <f t="shared" si="13"/>
        <v>#REF!</v>
      </c>
      <c r="V469" s="47"/>
      <c r="W469" s="43"/>
      <c r="X469" s="66" t="e">
        <f>VLOOKUP(D469,#REF!,2,0)</f>
        <v>#REF!</v>
      </c>
      <c r="Y469" s="67" t="s">
        <v>2643</v>
      </c>
      <c r="Z469" s="67" t="b">
        <f>I469=F469</f>
        <v>1</v>
      </c>
    </row>
    <row r="470" spans="1:26" ht="13.65" customHeight="1">
      <c r="A470" s="91">
        <v>469</v>
      </c>
      <c r="B470" s="52" t="s">
        <v>174</v>
      </c>
      <c r="C470" s="3" t="str">
        <f>VLOOKUP(D470,'lista 1'!$A$2:$F3988,4,0)</f>
        <v>PŁUSA ANDRZEJ</v>
      </c>
      <c r="D470" s="74">
        <v>590</v>
      </c>
      <c r="E470" s="4" t="str">
        <f>VLOOKUP(D470,'lista 1'!$A$2:$F$1802,5,0)</f>
        <v>TL MNX</v>
      </c>
      <c r="F470" s="59" t="str">
        <f>VLOOKUP(G470,'lista obszary'!A:B,2,0)</f>
        <v>CASTING</v>
      </c>
      <c r="G470" s="76" t="s">
        <v>2148</v>
      </c>
      <c r="H470" s="85" t="s">
        <v>539</v>
      </c>
      <c r="I470" s="59" t="str">
        <f>VLOOKUP(J470,'lista obszary'!A:B,2,0)</f>
        <v>CASTING</v>
      </c>
      <c r="J470" s="78" t="s">
        <v>2552</v>
      </c>
      <c r="K470" s="87" t="s">
        <v>539</v>
      </c>
      <c r="L470" s="82" t="s">
        <v>2535</v>
      </c>
      <c r="M470" s="22"/>
      <c r="N470" s="22"/>
      <c r="O470" s="22"/>
      <c r="P470" s="19" t="s">
        <v>175</v>
      </c>
      <c r="Q470" s="26"/>
      <c r="R470" s="26"/>
      <c r="S470" s="47"/>
      <c r="T470" s="4" t="e">
        <f>VLOOKUP(#REF!,#REF!,2,0)</f>
        <v>#REF!</v>
      </c>
      <c r="U470" s="20" t="e">
        <f t="shared" si="13"/>
        <v>#REF!</v>
      </c>
      <c r="V470" s="47"/>
      <c r="W470" s="43"/>
      <c r="X470" s="66" t="e">
        <f>VLOOKUP(D470,#REF!,2,0)</f>
        <v>#REF!</v>
      </c>
      <c r="Y470" s="67" t="s">
        <v>2643</v>
      </c>
      <c r="Z470" s="67" t="b">
        <f>I470=F470</f>
        <v>1</v>
      </c>
    </row>
    <row r="471" spans="1:26" ht="13.65" customHeight="1">
      <c r="A471" s="91">
        <v>470</v>
      </c>
      <c r="B471" s="52" t="s">
        <v>174</v>
      </c>
      <c r="C471" s="3" t="str">
        <f>VLOOKUP(D471,'lista 1'!$A$2:$F3989,4,0)</f>
        <v>CIESIELSKI RADOSŁAW</v>
      </c>
      <c r="D471" s="74">
        <v>598</v>
      </c>
      <c r="E471" s="4" t="str">
        <f>VLOOKUP(D471,'lista 1'!$A$2:$F$1802,5,0)</f>
        <v>STECH</v>
      </c>
      <c r="F471" s="59" t="str">
        <f>VLOOKUP(G471,'lista obszary'!A:B,2,0)</f>
        <v>ENGINEERING</v>
      </c>
      <c r="G471" s="76" t="s">
        <v>351</v>
      </c>
      <c r="H471" s="85" t="s">
        <v>2053</v>
      </c>
      <c r="I471" s="59" t="str">
        <f>VLOOKUP(J471,'lista obszary'!A:B,2,0)</f>
        <v>ENGINEERING</v>
      </c>
      <c r="J471" s="78" t="s">
        <v>1123</v>
      </c>
      <c r="K471" s="87" t="s">
        <v>1941</v>
      </c>
      <c r="L471" s="82" t="s">
        <v>2535</v>
      </c>
      <c r="M471" s="22"/>
      <c r="N471" s="22"/>
      <c r="O471" s="22"/>
      <c r="P471" s="19" t="s">
        <v>175</v>
      </c>
      <c r="Q471" s="26"/>
      <c r="R471" s="26"/>
      <c r="S471" s="47"/>
      <c r="T471" s="4" t="e">
        <f>VLOOKUP(#REF!,#REF!,2,0)</f>
        <v>#REF!</v>
      </c>
      <c r="U471" s="20" t="e">
        <f t="shared" si="13"/>
        <v>#REF!</v>
      </c>
      <c r="V471" s="47"/>
      <c r="W471" s="43"/>
      <c r="X471" s="66" t="e">
        <f>VLOOKUP(D471,#REF!,2,0)</f>
        <v>#REF!</v>
      </c>
      <c r="Y471" s="67" t="s">
        <v>2643</v>
      </c>
      <c r="Z471" s="67" t="b">
        <f>I471=F471</f>
        <v>1</v>
      </c>
    </row>
    <row r="472" spans="1:26" ht="13.65" customHeight="1">
      <c r="A472" s="91">
        <v>471</v>
      </c>
      <c r="B472" s="52" t="s">
        <v>174</v>
      </c>
      <c r="C472" s="3" t="str">
        <f>VLOOKUP(D472,'lista 1'!$A$2:$F3990,4,0)</f>
        <v>KOT GRZEGORZ</v>
      </c>
      <c r="D472" s="74">
        <v>664</v>
      </c>
      <c r="E472" s="4" t="str">
        <f>VLOOKUP(D472,'lista 1'!$A$2:$F$1802,5,0)</f>
        <v>TM MNX2</v>
      </c>
      <c r="F472" s="59" t="str">
        <f>VLOOKUP(G472,'lista obszary'!A:B,2,0)</f>
        <v>CASTING</v>
      </c>
      <c r="G472" s="76" t="s">
        <v>2148</v>
      </c>
      <c r="H472" s="85" t="s">
        <v>539</v>
      </c>
      <c r="I472" s="59" t="str">
        <f>VLOOKUP(J472,'lista obszary'!A:B,2,0)</f>
        <v>CASTING</v>
      </c>
      <c r="J472" s="78" t="s">
        <v>2552</v>
      </c>
      <c r="K472" s="87" t="s">
        <v>539</v>
      </c>
      <c r="L472" s="82" t="s">
        <v>2535</v>
      </c>
      <c r="M472" s="22"/>
      <c r="N472" s="22"/>
      <c r="O472" s="22"/>
      <c r="P472" s="19" t="s">
        <v>175</v>
      </c>
      <c r="Q472" s="26"/>
      <c r="R472" s="26"/>
      <c r="S472" s="47"/>
      <c r="T472" s="4" t="e">
        <f>VLOOKUP(#REF!,#REF!,2,0)</f>
        <v>#REF!</v>
      </c>
      <c r="U472" s="20" t="e">
        <f t="shared" si="13"/>
        <v>#REF!</v>
      </c>
      <c r="V472" s="47"/>
      <c r="W472" s="43"/>
      <c r="X472" s="66" t="e">
        <f>VLOOKUP(D472,#REF!,2,0)</f>
        <v>#REF!</v>
      </c>
      <c r="Y472" s="67" t="b">
        <f>F472=I472</f>
        <v>1</v>
      </c>
    </row>
    <row r="473" spans="1:26" ht="13.65" customHeight="1">
      <c r="A473" s="91">
        <v>472</v>
      </c>
      <c r="B473" s="52" t="s">
        <v>2533</v>
      </c>
      <c r="C473" s="3" t="str">
        <f>VLOOKUP(D473,'lista 1'!$A$2:$F3991,4,0)</f>
        <v>SZYMAŃSKI KRZYSZTOF</v>
      </c>
      <c r="D473" s="74">
        <v>752</v>
      </c>
      <c r="E473" s="4" t="str">
        <f>VLOOKUP(D473,'lista 1'!$A$2:$F$1802,5,0)</f>
        <v>TM2</v>
      </c>
      <c r="F473" s="59" t="str">
        <f>VLOOKUP(G473,'lista obszary'!A:B,2,0)</f>
        <v>EC60</v>
      </c>
      <c r="G473" s="76" t="s">
        <v>1045</v>
      </c>
      <c r="H473" s="85" t="s">
        <v>1926</v>
      </c>
      <c r="I473" s="59" t="str">
        <f>VLOOKUP(J473,'lista obszary'!A:B,2,0)</f>
        <v>HV</v>
      </c>
      <c r="J473" s="78" t="s">
        <v>2069</v>
      </c>
      <c r="K473" s="87" t="s">
        <v>528</v>
      </c>
      <c r="L473" s="82" t="s">
        <v>2535</v>
      </c>
      <c r="M473" s="22"/>
      <c r="N473" s="22"/>
      <c r="O473" s="22"/>
      <c r="P473" s="19" t="s">
        <v>175</v>
      </c>
      <c r="Q473" s="26"/>
      <c r="R473" s="26"/>
      <c r="S473" s="47"/>
      <c r="T473" s="4" t="e">
        <f>VLOOKUP(#REF!,#REF!,2,0)</f>
        <v>#REF!</v>
      </c>
      <c r="U473" s="20" t="e">
        <f t="shared" si="13"/>
        <v>#REF!</v>
      </c>
      <c r="V473" s="47"/>
      <c r="W473" s="43"/>
      <c r="X473" s="66" t="e">
        <f>VLOOKUP(D473,#REF!,2,0)</f>
        <v>#REF!</v>
      </c>
      <c r="Y473" s="67" t="s">
        <v>2645</v>
      </c>
      <c r="Z473" s="67" t="b">
        <f>I473=F473</f>
        <v>0</v>
      </c>
    </row>
    <row r="474" spans="1:26" ht="13.65" customHeight="1">
      <c r="A474" s="91">
        <v>473</v>
      </c>
      <c r="B474" s="52" t="s">
        <v>174</v>
      </c>
      <c r="C474" s="3" t="str">
        <f>VLOOKUP(D474,'lista 1'!$A$2:$F3992,4,0)</f>
        <v>RESZEL KRZYSZTOF</v>
      </c>
      <c r="D474" s="74">
        <v>931</v>
      </c>
      <c r="E474" s="4" t="str">
        <f>VLOOKUP(D474,'lista 1'!$A$2:$F$1802,5,0)</f>
        <v>TM MNX2</v>
      </c>
      <c r="F474" s="59" t="str">
        <f>VLOOKUP(G474,'lista obszary'!A:B,2,0)</f>
        <v>CASTING</v>
      </c>
      <c r="G474" s="76" t="s">
        <v>2148</v>
      </c>
      <c r="H474" s="85" t="s">
        <v>539</v>
      </c>
      <c r="I474" s="59" t="str">
        <f>VLOOKUP(J474,'lista obszary'!A:B,2,0)</f>
        <v>CASTING</v>
      </c>
      <c r="J474" s="78" t="s">
        <v>2552</v>
      </c>
      <c r="K474" s="87" t="s">
        <v>539</v>
      </c>
      <c r="L474" s="82" t="s">
        <v>2535</v>
      </c>
      <c r="M474" s="22"/>
      <c r="N474" s="22"/>
      <c r="O474" s="22"/>
      <c r="P474" s="19" t="s">
        <v>175</v>
      </c>
      <c r="Q474" s="26"/>
      <c r="R474" s="26"/>
      <c r="S474" s="47"/>
      <c r="T474" s="4" t="e">
        <f>VLOOKUP(#REF!,#REF!,2,0)</f>
        <v>#REF!</v>
      </c>
      <c r="U474" s="20" t="e">
        <f t="shared" si="13"/>
        <v>#REF!</v>
      </c>
      <c r="V474" s="47"/>
      <c r="W474" s="43"/>
      <c r="X474" s="66" t="e">
        <f>VLOOKUP(D474,#REF!,2,0)</f>
        <v>#REF!</v>
      </c>
      <c r="Y474" s="67" t="b">
        <f>F474=I474</f>
        <v>1</v>
      </c>
    </row>
    <row r="475" spans="1:26" ht="13.65" customHeight="1">
      <c r="A475" s="91">
        <v>474</v>
      </c>
      <c r="B475" s="52" t="s">
        <v>174</v>
      </c>
      <c r="C475" s="3" t="str">
        <f>VLOOKUP(D475,'lista 1'!$A$2:$F3993,4,0)</f>
        <v>KOGUT PAWEŁ</v>
      </c>
      <c r="D475" s="74">
        <v>1707</v>
      </c>
      <c r="E475" s="4" t="str">
        <f>VLOOKUP(D475,'lista 1'!$A$2:$F$1802,5,0)</f>
        <v>TM MNX2</v>
      </c>
      <c r="F475" s="59" t="str">
        <f>VLOOKUP(G475,'lista obszary'!A:B,2,0)</f>
        <v>CASTING</v>
      </c>
      <c r="G475" s="76" t="s">
        <v>2150</v>
      </c>
      <c r="H475" s="85" t="s">
        <v>539</v>
      </c>
      <c r="I475" s="59" t="str">
        <f>VLOOKUP(J475,'lista obszary'!A:B,2,0)</f>
        <v>CASTING</v>
      </c>
      <c r="J475" s="78" t="s">
        <v>2552</v>
      </c>
      <c r="K475" s="87" t="s">
        <v>539</v>
      </c>
      <c r="L475" s="82" t="s">
        <v>2535</v>
      </c>
      <c r="M475" s="22"/>
      <c r="N475" s="22"/>
      <c r="O475" s="22"/>
      <c r="P475" s="19" t="s">
        <v>175</v>
      </c>
      <c r="Q475" s="26"/>
      <c r="R475" s="26"/>
      <c r="S475" s="47"/>
      <c r="T475" s="4" t="e">
        <f>VLOOKUP(#REF!,#REF!,2,0)</f>
        <v>#REF!</v>
      </c>
      <c r="U475" s="20" t="e">
        <f t="shared" si="13"/>
        <v>#REF!</v>
      </c>
      <c r="V475" s="47"/>
      <c r="W475" s="43"/>
      <c r="X475" s="66" t="e">
        <f>VLOOKUP(D475,#REF!,2,0)</f>
        <v>#REF!</v>
      </c>
      <c r="Y475" s="67" t="b">
        <f>F475=I475</f>
        <v>1</v>
      </c>
    </row>
    <row r="476" spans="1:26" ht="13.65" customHeight="1">
      <c r="A476" s="91">
        <v>475</v>
      </c>
      <c r="B476" s="52" t="s">
        <v>1973</v>
      </c>
      <c r="C476" s="3" t="str">
        <f>VLOOKUP(D476,'lista 1'!$A$2:$F3994,4,0)</f>
        <v>OGRODNIK MAGDALENA</v>
      </c>
      <c r="D476" s="74">
        <v>2136</v>
      </c>
      <c r="E476" s="4" t="str">
        <f>VLOOKUP(D476,'lista 1'!$A$2:$F$1802,5,0)</f>
        <v>SPC</v>
      </c>
      <c r="F476" s="59" t="str">
        <f>VLOOKUP(G476,'lista obszary'!A:B,2,0)</f>
        <v>HR</v>
      </c>
      <c r="G476" s="76" t="s">
        <v>810</v>
      </c>
      <c r="H476" s="85" t="s">
        <v>2105</v>
      </c>
      <c r="I476" s="59" t="str">
        <f>VLOOKUP(J476,'lista obszary'!A:B,2,0)</f>
        <v>HR</v>
      </c>
      <c r="J476" s="78" t="s">
        <v>969</v>
      </c>
      <c r="K476" s="87" t="s">
        <v>2534</v>
      </c>
      <c r="L476" s="82" t="s">
        <v>2535</v>
      </c>
      <c r="M476" s="22"/>
      <c r="N476" s="22"/>
      <c r="O476" s="22"/>
      <c r="P476" s="19" t="s">
        <v>175</v>
      </c>
      <c r="Q476" s="26"/>
      <c r="R476" s="26"/>
      <c r="S476" s="47"/>
      <c r="T476" s="4" t="e">
        <f>VLOOKUP(#REF!,#REF!,2,0)</f>
        <v>#REF!</v>
      </c>
      <c r="U476" s="20" t="e">
        <f t="shared" si="13"/>
        <v>#REF!</v>
      </c>
      <c r="V476" s="47"/>
      <c r="W476" s="43"/>
      <c r="X476" s="66" t="e">
        <f>VLOOKUP(D476,#REF!,2,0)</f>
        <v>#REF!</v>
      </c>
      <c r="Y476" s="67" t="s">
        <v>2643</v>
      </c>
      <c r="Z476" s="67" t="b">
        <f t="shared" ref="Z476:Z482" si="14">I476=F476</f>
        <v>1</v>
      </c>
    </row>
    <row r="477" spans="1:26" ht="13.65" customHeight="1">
      <c r="A477" s="91">
        <v>476</v>
      </c>
      <c r="B477" s="52" t="s">
        <v>174</v>
      </c>
      <c r="C477" s="3" t="str">
        <f>VLOOKUP(D477,'lista 1'!$A$2:$F3995,4,0)</f>
        <v>GAŁA WIKTOR</v>
      </c>
      <c r="D477" s="74">
        <v>2177</v>
      </c>
      <c r="E477" s="4" t="str">
        <f>VLOOKUP(D477,'lista 1'!$A$2:$F$1802,5,0)</f>
        <v>ENG</v>
      </c>
      <c r="F477" s="59" t="str">
        <f>VLOOKUP(G477,'lista obszary'!A:B,2,0)</f>
        <v>ENGINEERING</v>
      </c>
      <c r="G477" s="76" t="s">
        <v>2108</v>
      </c>
      <c r="H477" s="85" t="s">
        <v>1932</v>
      </c>
      <c r="I477" s="59" t="str">
        <f>VLOOKUP(J477,'lista obszary'!A:B,2,0)</f>
        <v>ENGINEERING</v>
      </c>
      <c r="J477" s="78" t="s">
        <v>2274</v>
      </c>
      <c r="K477" s="87" t="s">
        <v>1932</v>
      </c>
      <c r="L477" s="82" t="s">
        <v>2535</v>
      </c>
      <c r="M477" s="22"/>
      <c r="N477" s="22"/>
      <c r="O477" s="22"/>
      <c r="P477" s="19" t="s">
        <v>175</v>
      </c>
      <c r="Q477" s="26"/>
      <c r="R477" s="26"/>
      <c r="S477" s="47"/>
      <c r="T477" s="4" t="e">
        <f>VLOOKUP(#REF!,#REF!,2,0)</f>
        <v>#REF!</v>
      </c>
      <c r="U477" s="20" t="e">
        <f t="shared" si="13"/>
        <v>#REF!</v>
      </c>
      <c r="V477" s="47"/>
      <c r="W477" s="43"/>
      <c r="X477" s="66" t="e">
        <f>VLOOKUP(D477,#REF!,2,0)</f>
        <v>#REF!</v>
      </c>
      <c r="Y477" s="67" t="s">
        <v>2643</v>
      </c>
      <c r="Z477" s="67" t="b">
        <f t="shared" si="14"/>
        <v>1</v>
      </c>
    </row>
    <row r="478" spans="1:26" ht="13.65" customHeight="1">
      <c r="A478" s="91">
        <v>477</v>
      </c>
      <c r="B478" s="52" t="s">
        <v>174</v>
      </c>
      <c r="C478" s="3" t="str">
        <f>VLOOKUP(D478,'lista 1'!$A$2:$F3996,4,0)</f>
        <v>SUCHAN TOMASZ</v>
      </c>
      <c r="D478" s="74">
        <v>2763</v>
      </c>
      <c r="E478" s="4" t="str">
        <f>VLOOKUP(D478,'lista 1'!$A$2:$F$1802,5,0)</f>
        <v>SENG</v>
      </c>
      <c r="F478" s="59" t="str">
        <f>VLOOKUP(G478,'lista obszary'!A:B,2,0)</f>
        <v>ENGINEERING</v>
      </c>
      <c r="G478" s="76" t="s">
        <v>2108</v>
      </c>
      <c r="H478" s="85" t="s">
        <v>1932</v>
      </c>
      <c r="I478" s="59" t="str">
        <f>VLOOKUP(J478,'lista obszary'!A:B,2,0)</f>
        <v>ENGINEERING</v>
      </c>
      <c r="J478" s="78" t="s">
        <v>2274</v>
      </c>
      <c r="K478" s="87" t="s">
        <v>1932</v>
      </c>
      <c r="L478" s="82" t="s">
        <v>2535</v>
      </c>
      <c r="M478" s="22"/>
      <c r="N478" s="22"/>
      <c r="O478" s="22"/>
      <c r="P478" s="19" t="s">
        <v>175</v>
      </c>
      <c r="Q478" s="26"/>
      <c r="R478" s="26"/>
      <c r="S478" s="47"/>
      <c r="T478" s="4" t="e">
        <f>VLOOKUP(#REF!,#REF!,2,0)</f>
        <v>#REF!</v>
      </c>
      <c r="U478" s="20" t="e">
        <f t="shared" si="13"/>
        <v>#REF!</v>
      </c>
      <c r="V478" s="47"/>
      <c r="W478" s="43"/>
      <c r="X478" s="66" t="e">
        <f>VLOOKUP(D478,#REF!,2,0)</f>
        <v>#REF!</v>
      </c>
      <c r="Y478" s="67" t="s">
        <v>2643</v>
      </c>
      <c r="Z478" s="67" t="b">
        <f t="shared" si="14"/>
        <v>1</v>
      </c>
    </row>
    <row r="479" spans="1:26" ht="13.65" customHeight="1">
      <c r="A479" s="91">
        <v>478</v>
      </c>
      <c r="B479" s="52" t="s">
        <v>174</v>
      </c>
      <c r="C479" s="3" t="str">
        <f>VLOOKUP(D479,'lista 1'!$A$2:$F3997,4,0)</f>
        <v>LECHNIO ZBIGNIEW</v>
      </c>
      <c r="D479" s="74">
        <v>2974</v>
      </c>
      <c r="E479" s="4" t="str">
        <f>VLOOKUP(D479,'lista 1'!$A$2:$F$1802,5,0)</f>
        <v>ENG</v>
      </c>
      <c r="F479" s="59" t="str">
        <f>VLOOKUP(G479,'lista obszary'!A:B,2,0)</f>
        <v>ENGINEERING</v>
      </c>
      <c r="G479" s="76" t="s">
        <v>1123</v>
      </c>
      <c r="H479" s="85" t="s">
        <v>1941</v>
      </c>
      <c r="I479" s="59" t="str">
        <f>VLOOKUP(J479,'lista obszary'!A:B,2,0)</f>
        <v>ENGINEERING</v>
      </c>
      <c r="J479" s="78" t="s">
        <v>351</v>
      </c>
      <c r="K479" s="87" t="s">
        <v>2053</v>
      </c>
      <c r="L479" s="82" t="s">
        <v>2535</v>
      </c>
      <c r="M479" s="22"/>
      <c r="N479" s="22"/>
      <c r="O479" s="22"/>
      <c r="P479" s="19" t="s">
        <v>175</v>
      </c>
      <c r="Q479" s="26"/>
      <c r="R479" s="26"/>
      <c r="S479" s="47"/>
      <c r="T479" s="4" t="e">
        <f>VLOOKUP(#REF!,#REF!,2,0)</f>
        <v>#REF!</v>
      </c>
      <c r="U479" s="20" t="e">
        <f t="shared" si="13"/>
        <v>#REF!</v>
      </c>
      <c r="V479" s="47"/>
      <c r="W479" s="43"/>
      <c r="X479" s="66" t="e">
        <f>VLOOKUP(D479,#REF!,2,0)</f>
        <v>#REF!</v>
      </c>
      <c r="Y479" s="67" t="s">
        <v>2643</v>
      </c>
      <c r="Z479" s="67" t="b">
        <f t="shared" si="14"/>
        <v>1</v>
      </c>
    </row>
    <row r="480" spans="1:26" ht="13.65" customHeight="1">
      <c r="A480" s="91">
        <v>479</v>
      </c>
      <c r="B480" s="52" t="s">
        <v>174</v>
      </c>
      <c r="C480" s="3" t="str">
        <f>VLOOKUP(D480,'lista 1'!$A$2:$F3998,4,0)</f>
        <v>PENCONEK PATRYK</v>
      </c>
      <c r="D480" s="74">
        <v>3065</v>
      </c>
      <c r="E480" s="4" t="str">
        <f>VLOOKUP(D480,'lista 1'!$A$2:$F$1802,5,0)</f>
        <v>SENG</v>
      </c>
      <c r="F480" s="59" t="str">
        <f>VLOOKUP(G480,'lista obszary'!A:B,2,0)</f>
        <v>ENGINEERING</v>
      </c>
      <c r="G480" s="76" t="s">
        <v>2274</v>
      </c>
      <c r="H480" s="85" t="s">
        <v>1932</v>
      </c>
      <c r="I480" s="59" t="str">
        <f>VLOOKUP(J480,'lista obszary'!A:B,2,0)</f>
        <v>ENGINEERING</v>
      </c>
      <c r="J480" s="78" t="s">
        <v>2108</v>
      </c>
      <c r="K480" s="87" t="s">
        <v>1932</v>
      </c>
      <c r="L480" s="82" t="s">
        <v>2535</v>
      </c>
      <c r="M480" s="22"/>
      <c r="N480" s="22"/>
      <c r="O480" s="22"/>
      <c r="P480" s="19" t="s">
        <v>175</v>
      </c>
      <c r="Q480" s="26"/>
      <c r="R480" s="26"/>
      <c r="S480" s="47"/>
      <c r="T480" s="4" t="e">
        <f>VLOOKUP(#REF!,#REF!,2,0)</f>
        <v>#REF!</v>
      </c>
      <c r="U480" s="20" t="e">
        <f t="shared" si="13"/>
        <v>#REF!</v>
      </c>
      <c r="V480" s="47"/>
      <c r="W480" s="43"/>
      <c r="X480" s="66" t="e">
        <f>VLOOKUP(D480,#REF!,2,0)</f>
        <v>#REF!</v>
      </c>
      <c r="Y480" s="67" t="s">
        <v>2643</v>
      </c>
      <c r="Z480" s="67" t="b">
        <f t="shared" si="14"/>
        <v>1</v>
      </c>
    </row>
    <row r="481" spans="1:26" ht="13.65" customHeight="1">
      <c r="A481" s="91">
        <v>480</v>
      </c>
      <c r="B481" s="52" t="s">
        <v>1973</v>
      </c>
      <c r="C481" s="3" t="str">
        <f>VLOOKUP(D481,'lista 1'!$A$2:$F3999,4,0)</f>
        <v>NOWICKI MAREK</v>
      </c>
      <c r="D481" s="74">
        <v>3066</v>
      </c>
      <c r="E481" s="4" t="str">
        <f>VLOOKUP(D481,'lista 1'!$A$2:$F$1802,5,0)</f>
        <v>JTM MNX</v>
      </c>
      <c r="F481" s="59" t="str">
        <f>VLOOKUP(G481,'lista obszary'!A:B,2,0)</f>
        <v>MNX WN</v>
      </c>
      <c r="G481" s="76" t="s">
        <v>2316</v>
      </c>
      <c r="H481" s="85" t="s">
        <v>1894</v>
      </c>
      <c r="I481" s="59" t="str">
        <f>VLOOKUP(J481,'lista obszary'!A:B,2,0)</f>
        <v>MNX WN</v>
      </c>
      <c r="J481" s="78" t="s">
        <v>2094</v>
      </c>
      <c r="K481" s="87" t="s">
        <v>1894</v>
      </c>
      <c r="L481" s="82" t="s">
        <v>2535</v>
      </c>
      <c r="M481" s="22"/>
      <c r="N481" s="22"/>
      <c r="O481" s="22"/>
      <c r="P481" s="19" t="s">
        <v>175</v>
      </c>
      <c r="Q481" s="26"/>
      <c r="R481" s="26"/>
      <c r="S481" s="47"/>
      <c r="T481" s="4" t="e">
        <f>VLOOKUP(#REF!,#REF!,2,0)</f>
        <v>#REF!</v>
      </c>
      <c r="U481" s="20" t="e">
        <f t="shared" si="13"/>
        <v>#REF!</v>
      </c>
      <c r="V481" s="47"/>
      <c r="W481" s="43"/>
      <c r="X481" s="66" t="e">
        <f>VLOOKUP(D481,#REF!,2,0)</f>
        <v>#REF!</v>
      </c>
      <c r="Y481" s="67" t="s">
        <v>2645</v>
      </c>
      <c r="Z481" s="67" t="b">
        <f t="shared" si="14"/>
        <v>1</v>
      </c>
    </row>
    <row r="482" spans="1:26" ht="13.65" customHeight="1">
      <c r="A482" s="91">
        <v>481</v>
      </c>
      <c r="B482" s="52" t="s">
        <v>1973</v>
      </c>
      <c r="C482" s="3" t="str">
        <f>VLOOKUP(D482,'lista 1'!$A$2:$F4000,4,0)</f>
        <v>RANOWICZ PIOTR</v>
      </c>
      <c r="D482" s="74">
        <v>3107</v>
      </c>
      <c r="E482" s="4" t="str">
        <f>VLOOKUP(D482,'lista 1'!$A$2:$F$1802,5,0)</f>
        <v>TM MNX</v>
      </c>
      <c r="F482" s="59" t="str">
        <f>VLOOKUP(G482,'lista obszary'!A:B,2,0)</f>
        <v>MNX WN</v>
      </c>
      <c r="G482" s="76" t="s">
        <v>2317</v>
      </c>
      <c r="H482" s="85" t="s">
        <v>2544</v>
      </c>
      <c r="I482" s="59" t="str">
        <f>VLOOKUP(J482,'lista obszary'!A:B,2,0)</f>
        <v>MNX WN</v>
      </c>
      <c r="J482" s="78" t="s">
        <v>2094</v>
      </c>
      <c r="K482" s="87" t="s">
        <v>2544</v>
      </c>
      <c r="L482" s="82" t="s">
        <v>2535</v>
      </c>
      <c r="M482" s="22"/>
      <c r="N482" s="22"/>
      <c r="O482" s="22"/>
      <c r="P482" s="19" t="s">
        <v>175</v>
      </c>
      <c r="Q482" s="26"/>
      <c r="R482" s="26"/>
      <c r="S482" s="47"/>
      <c r="T482" s="4" t="e">
        <f>VLOOKUP(#REF!,#REF!,2,0)</f>
        <v>#REF!</v>
      </c>
      <c r="U482" s="20" t="e">
        <f t="shared" si="13"/>
        <v>#REF!</v>
      </c>
      <c r="V482" s="47"/>
      <c r="W482" s="43"/>
      <c r="X482" s="66" t="e">
        <f>VLOOKUP(D482,#REF!,2,0)</f>
        <v>#REF!</v>
      </c>
      <c r="Y482" s="67" t="s">
        <v>2645</v>
      </c>
      <c r="Z482" s="67" t="b">
        <f t="shared" si="14"/>
        <v>1</v>
      </c>
    </row>
    <row r="483" spans="1:26" ht="13.65" customHeight="1">
      <c r="A483" s="91">
        <v>482</v>
      </c>
      <c r="B483" s="52" t="s">
        <v>174</v>
      </c>
      <c r="C483" s="3" t="str">
        <f>VLOOKUP(D483,'lista 1'!$A$2:$F4001,4,0)</f>
        <v>DABIC MAREK</v>
      </c>
      <c r="D483" s="74">
        <v>1287</v>
      </c>
      <c r="E483" s="4" t="str">
        <f>VLOOKUP(D483,'lista 1'!$A$2:$F$1802,5,0)</f>
        <v>TM2</v>
      </c>
      <c r="F483" s="59" t="str">
        <f>VLOOKUP(G483,'lista obszary'!A:B,2,0)</f>
        <v>FORGING</v>
      </c>
      <c r="G483" s="76" t="s">
        <v>1223</v>
      </c>
      <c r="H483" s="85" t="s">
        <v>1575</v>
      </c>
      <c r="I483" s="59" t="str">
        <f>VLOOKUP(J483,'lista obszary'!A:B,2,0)</f>
        <v>FORGING</v>
      </c>
      <c r="J483" s="78" t="s">
        <v>845</v>
      </c>
      <c r="K483" s="87" t="s">
        <v>1379</v>
      </c>
      <c r="L483" s="82" t="s">
        <v>2545</v>
      </c>
      <c r="M483" s="22"/>
      <c r="N483" s="22"/>
      <c r="O483" s="22"/>
      <c r="P483" s="19" t="s">
        <v>175</v>
      </c>
      <c r="Q483" s="26"/>
      <c r="R483" s="26"/>
      <c r="S483" s="47"/>
      <c r="T483" s="4" t="e">
        <f>VLOOKUP(#REF!,#REF!,2,0)</f>
        <v>#REF!</v>
      </c>
      <c r="U483" s="20" t="e">
        <f t="shared" si="13"/>
        <v>#REF!</v>
      </c>
      <c r="V483" s="47"/>
      <c r="W483" s="43"/>
      <c r="X483" s="66" t="e">
        <f>VLOOKUP(D483,#REF!,2,0)</f>
        <v>#REF!</v>
      </c>
      <c r="Y483" s="67" t="b">
        <f>F483=I483</f>
        <v>1</v>
      </c>
    </row>
    <row r="484" spans="1:26" ht="13.65" customHeight="1">
      <c r="A484" s="91">
        <v>483</v>
      </c>
      <c r="B484" s="52" t="s">
        <v>174</v>
      </c>
      <c r="C484" s="3" t="str">
        <f>VLOOKUP(D484,'lista 1'!$A$2:$F4002,4,0)</f>
        <v>CZARNECKA GRAŻYNA</v>
      </c>
      <c r="D484" s="74">
        <v>2211</v>
      </c>
      <c r="E484" s="4" t="str">
        <f>VLOOKUP(D484,'lista 1'!$A$2:$F$1802,5,0)</f>
        <v>TM2</v>
      </c>
      <c r="F484" s="59" t="str">
        <f>VLOOKUP(G484,'lista obszary'!A:B,2,0)</f>
        <v>EC60</v>
      </c>
      <c r="G484" s="76" t="s">
        <v>549</v>
      </c>
      <c r="H484" s="85" t="s">
        <v>1881</v>
      </c>
      <c r="I484" s="59" t="str">
        <f>VLOOKUP(J484,'lista obszary'!A:B,2,0)</f>
        <v>EC60</v>
      </c>
      <c r="J484" s="78" t="s">
        <v>1325</v>
      </c>
      <c r="K484" s="87" t="s">
        <v>2159</v>
      </c>
      <c r="L484" s="82" t="s">
        <v>2545</v>
      </c>
      <c r="M484" s="22"/>
      <c r="N484" s="22"/>
      <c r="O484" s="22"/>
      <c r="P484" s="19" t="s">
        <v>175</v>
      </c>
      <c r="Q484" s="26"/>
      <c r="R484" s="26"/>
      <c r="S484" s="47"/>
      <c r="T484" s="4" t="e">
        <f>VLOOKUP(#REF!,#REF!,2,0)</f>
        <v>#REF!</v>
      </c>
      <c r="U484" s="20" t="e">
        <f t="shared" si="13"/>
        <v>#REF!</v>
      </c>
      <c r="V484" s="47"/>
      <c r="W484" s="43"/>
      <c r="X484" s="66" t="e">
        <f>VLOOKUP(D484,#REF!,2,0)</f>
        <v>#REF!</v>
      </c>
      <c r="Y484" s="67" t="s">
        <v>2643</v>
      </c>
    </row>
    <row r="485" spans="1:26" ht="13.65" customHeight="1">
      <c r="A485" s="91">
        <v>484</v>
      </c>
      <c r="B485" s="52" t="s">
        <v>2533</v>
      </c>
      <c r="C485" s="3" t="e">
        <f>VLOOKUP(D485,'lista 1'!$A$2:$F4003,4,0)</f>
        <v>#N/A</v>
      </c>
      <c r="D485" s="74">
        <v>64250</v>
      </c>
      <c r="E485" s="4" t="e">
        <f>VLOOKUP(D485,'lista 1'!$A$2:$F$1802,5,0)</f>
        <v>#N/A</v>
      </c>
      <c r="F485" s="59" t="str">
        <f>VLOOKUP(G485,'lista obszary'!A:B,2,0)</f>
        <v>EC60</v>
      </c>
      <c r="G485" s="76" t="s">
        <v>549</v>
      </c>
      <c r="H485" s="85" t="s">
        <v>1881</v>
      </c>
      <c r="I485" s="59" t="str">
        <f>VLOOKUP(J485,'lista obszary'!A:B,2,0)</f>
        <v>ENGINES</v>
      </c>
      <c r="J485" s="78" t="s">
        <v>1264</v>
      </c>
      <c r="K485" s="87" t="s">
        <v>2546</v>
      </c>
      <c r="L485" s="82" t="s">
        <v>2545</v>
      </c>
      <c r="M485" s="22"/>
      <c r="N485" s="22"/>
      <c r="O485" s="22"/>
      <c r="P485" s="19" t="s">
        <v>175</v>
      </c>
      <c r="Q485" s="26"/>
      <c r="R485" s="26"/>
      <c r="S485" s="47"/>
      <c r="T485" s="4" t="e">
        <f>VLOOKUP(#REF!,#REF!,2,0)</f>
        <v>#REF!</v>
      </c>
      <c r="U485" s="20" t="e">
        <f t="shared" si="13"/>
        <v>#REF!</v>
      </c>
      <c r="V485" s="47"/>
      <c r="W485" s="43"/>
      <c r="X485" s="66" t="e">
        <f>VLOOKUP(D485,#REF!,2,0)</f>
        <v>#REF!</v>
      </c>
      <c r="Y485" s="67" t="b">
        <f>F485=I485</f>
        <v>0</v>
      </c>
    </row>
    <row r="486" spans="1:26" ht="13.65" customHeight="1">
      <c r="A486" s="91">
        <v>485</v>
      </c>
      <c r="B486" s="52" t="s">
        <v>174</v>
      </c>
      <c r="C486" s="3" t="e">
        <f>VLOOKUP(D486,'lista 1'!$A$2:$F4004,4,0)</f>
        <v>#N/A</v>
      </c>
      <c r="D486" s="74">
        <v>64381</v>
      </c>
      <c r="E486" s="4" t="e">
        <f>VLOOKUP(D486,'lista 1'!$A$2:$F$1802,5,0)</f>
        <v>#N/A</v>
      </c>
      <c r="F486" s="59" t="str">
        <f>VLOOKUP(G486,'lista obszary'!A:B,2,0)</f>
        <v>FORGING</v>
      </c>
      <c r="G486" s="76" t="s">
        <v>771</v>
      </c>
      <c r="H486" s="85" t="s">
        <v>1370</v>
      </c>
      <c r="I486" s="59" t="str">
        <f>VLOOKUP(J486,'lista obszary'!A:B,2,0)</f>
        <v>FORGING</v>
      </c>
      <c r="J486" s="78" t="s">
        <v>1223</v>
      </c>
      <c r="K486" s="87" t="s">
        <v>1575</v>
      </c>
      <c r="L486" s="82" t="s">
        <v>2545</v>
      </c>
      <c r="M486" s="22"/>
      <c r="N486" s="22"/>
      <c r="O486" s="22"/>
      <c r="P486" s="19" t="s">
        <v>175</v>
      </c>
      <c r="Q486" s="26"/>
      <c r="R486" s="26"/>
      <c r="S486" s="47"/>
      <c r="T486" s="4" t="e">
        <f>VLOOKUP(#REF!,#REF!,2,0)</f>
        <v>#REF!</v>
      </c>
      <c r="U486" s="20" t="e">
        <f t="shared" si="13"/>
        <v>#REF!</v>
      </c>
      <c r="V486" s="47"/>
      <c r="W486" s="43"/>
      <c r="X486" s="66" t="e">
        <f>VLOOKUP(D486,#REF!,2,0)</f>
        <v>#REF!</v>
      </c>
      <c r="Y486" s="67" t="s">
        <v>2643</v>
      </c>
      <c r="Z486" s="67" t="b">
        <f>I486=F486</f>
        <v>1</v>
      </c>
    </row>
    <row r="487" spans="1:26" ht="13.65" customHeight="1">
      <c r="A487" s="91">
        <v>486</v>
      </c>
      <c r="B487" s="52" t="s">
        <v>174</v>
      </c>
      <c r="C487" s="3" t="e">
        <f>VLOOKUP(D487,'lista 1'!$A$2:$F4005,4,0)</f>
        <v>#N/A</v>
      </c>
      <c r="D487" s="74">
        <v>64418</v>
      </c>
      <c r="E487" s="4" t="e">
        <f>VLOOKUP(D487,'lista 1'!$A$2:$F$1802,5,0)</f>
        <v>#N/A</v>
      </c>
      <c r="F487" s="59" t="str">
        <f>VLOOKUP(G487,'lista obszary'!A:B,2,0)</f>
        <v>FORGING</v>
      </c>
      <c r="G487" s="76" t="s">
        <v>771</v>
      </c>
      <c r="H487" s="85" t="s">
        <v>1370</v>
      </c>
      <c r="I487" s="59" t="str">
        <f>VLOOKUP(J487,'lista obszary'!A:B,2,0)</f>
        <v>FORGING</v>
      </c>
      <c r="J487" s="78" t="s">
        <v>845</v>
      </c>
      <c r="K487" s="87" t="s">
        <v>1379</v>
      </c>
      <c r="L487" s="82" t="s">
        <v>2545</v>
      </c>
      <c r="M487" s="22"/>
      <c r="N487" s="22"/>
      <c r="O487" s="22"/>
      <c r="P487" s="19" t="s">
        <v>175</v>
      </c>
      <c r="Q487" s="26"/>
      <c r="R487" s="26"/>
      <c r="S487" s="47"/>
      <c r="T487" s="4" t="e">
        <f>VLOOKUP(#REF!,#REF!,2,0)</f>
        <v>#REF!</v>
      </c>
      <c r="U487" s="20" t="e">
        <f t="shared" si="13"/>
        <v>#REF!</v>
      </c>
      <c r="V487" s="47"/>
      <c r="W487" s="43"/>
      <c r="X487" s="66" t="e">
        <f>VLOOKUP(D487,#REF!,2,0)</f>
        <v>#REF!</v>
      </c>
      <c r="Y487" s="67" t="b">
        <f>F487=I487</f>
        <v>1</v>
      </c>
    </row>
    <row r="488" spans="1:26" ht="13.65" customHeight="1">
      <c r="A488" s="91">
        <v>487</v>
      </c>
      <c r="B488" s="52" t="s">
        <v>2533</v>
      </c>
      <c r="C488" s="3" t="e">
        <f>VLOOKUP(D488,'lista 1'!$A$2:$F4006,4,0)</f>
        <v>#N/A</v>
      </c>
      <c r="D488" s="74">
        <v>70457</v>
      </c>
      <c r="E488" s="4" t="e">
        <f>VLOOKUP(D488,'lista 1'!$A$2:$F$1802,5,0)</f>
        <v>#N/A</v>
      </c>
      <c r="F488" s="59" t="str">
        <f>VLOOKUP(G488,'lista obszary'!A:B,2,0)</f>
        <v>EC60</v>
      </c>
      <c r="G488" s="76" t="s">
        <v>1325</v>
      </c>
      <c r="H488" s="85" t="s">
        <v>2159</v>
      </c>
      <c r="I488" s="59" t="str">
        <f>VLOOKUP(J488,'lista obszary'!A:B,2,0)</f>
        <v>ENGINES</v>
      </c>
      <c r="J488" s="78" t="s">
        <v>772</v>
      </c>
      <c r="K488" s="87" t="s">
        <v>1389</v>
      </c>
      <c r="L488" s="82" t="s">
        <v>2545</v>
      </c>
      <c r="M488" s="22"/>
      <c r="N488" s="22"/>
      <c r="O488" s="22"/>
      <c r="P488" s="19" t="s">
        <v>175</v>
      </c>
      <c r="Q488" s="26"/>
      <c r="R488" s="26"/>
      <c r="S488" s="47"/>
      <c r="T488" s="4" t="e">
        <f>VLOOKUP(#REF!,#REF!,2,0)</f>
        <v>#REF!</v>
      </c>
      <c r="U488" s="20" t="e">
        <f t="shared" si="13"/>
        <v>#REF!</v>
      </c>
      <c r="V488" s="47"/>
      <c r="W488" s="43"/>
      <c r="X488" s="66" t="e">
        <f>VLOOKUP(D488,#REF!,2,0)</f>
        <v>#REF!</v>
      </c>
      <c r="Y488" s="67" t="s">
        <v>2648</v>
      </c>
    </row>
    <row r="489" spans="1:26" ht="13.65" customHeight="1">
      <c r="A489" s="91">
        <v>488</v>
      </c>
      <c r="B489" s="65" t="s">
        <v>174</v>
      </c>
      <c r="C489" s="3" t="str">
        <f>VLOOKUP(D489,'lista 1'!$A$2:$F4007,4,0)</f>
        <v>CZARNECKA GRAŻYNA</v>
      </c>
      <c r="D489" s="74">
        <v>2211</v>
      </c>
      <c r="E489" s="4" t="str">
        <f>VLOOKUP(D489,'lista 1'!$A$2:$F$1802,5,0)</f>
        <v>TM2</v>
      </c>
      <c r="F489" s="59" t="str">
        <f>VLOOKUP(G489,'lista obszary'!A:B,2,0)</f>
        <v>EC60</v>
      </c>
      <c r="G489" s="76" t="s">
        <v>549</v>
      </c>
      <c r="H489" s="85" t="s">
        <v>1881</v>
      </c>
      <c r="I489" s="59" t="str">
        <f>VLOOKUP(J489,'lista obszary'!A:B,2,0)</f>
        <v>EC60</v>
      </c>
      <c r="J489" s="78" t="s">
        <v>1325</v>
      </c>
      <c r="K489" s="87" t="s">
        <v>2159</v>
      </c>
      <c r="L489" s="82" t="s">
        <v>2545</v>
      </c>
      <c r="M489" s="22" t="s">
        <v>2567</v>
      </c>
      <c r="N489" s="22"/>
      <c r="O489" s="22"/>
      <c r="P489" s="19" t="s">
        <v>175</v>
      </c>
      <c r="Q489" s="26"/>
      <c r="R489" s="26"/>
      <c r="S489" s="47"/>
      <c r="T489" s="4" t="e">
        <f>VLOOKUP(#REF!,#REF!,2,0)</f>
        <v>#REF!</v>
      </c>
      <c r="U489" s="20" t="e">
        <f t="shared" si="13"/>
        <v>#REF!</v>
      </c>
      <c r="V489" s="47"/>
      <c r="W489" s="43"/>
      <c r="X489" s="66" t="e">
        <f>VLOOKUP(D489,#REF!,2,0)</f>
        <v>#REF!</v>
      </c>
      <c r="Y489" s="67" t="s">
        <v>2643</v>
      </c>
    </row>
    <row r="490" spans="1:26" ht="13.65" customHeight="1">
      <c r="A490" s="91">
        <v>489</v>
      </c>
      <c r="B490" s="52" t="s">
        <v>174</v>
      </c>
      <c r="C490" s="3" t="str">
        <f>VLOOKUP(D490,'lista 1'!$A$2:$F4008,4,0)</f>
        <v>BIJAK KONRAD</v>
      </c>
      <c r="D490" s="74">
        <v>564</v>
      </c>
      <c r="E490" s="4" t="str">
        <f>VLOOKUP(D490,'lista 1'!$A$2:$F$1802,5,0)</f>
        <v>TM2</v>
      </c>
      <c r="F490" s="59" t="str">
        <f>VLOOKUP(G490,'lista obszary'!A:B,2,0)</f>
        <v>HV PJT</v>
      </c>
      <c r="G490" s="76" t="s">
        <v>1967</v>
      </c>
      <c r="H490" s="85" t="s">
        <v>2064</v>
      </c>
      <c r="I490" s="59" t="str">
        <f>VLOOKUP(J490,'lista obszary'!A:B,2,0)</f>
        <v>FORGING</v>
      </c>
      <c r="J490" s="78" t="s">
        <v>1350</v>
      </c>
      <c r="K490" s="87" t="s">
        <v>1378</v>
      </c>
      <c r="L490" s="82" t="s">
        <v>2548</v>
      </c>
      <c r="M490" s="22"/>
      <c r="N490" s="22"/>
      <c r="O490" s="22"/>
      <c r="P490" s="19" t="s">
        <v>175</v>
      </c>
      <c r="Q490" s="26"/>
      <c r="R490" s="26"/>
      <c r="S490" s="47"/>
      <c r="T490" s="4" t="e">
        <f>VLOOKUP(#REF!,#REF!,2,0)</f>
        <v>#REF!</v>
      </c>
      <c r="U490" s="20" t="e">
        <f t="shared" si="13"/>
        <v>#REF!</v>
      </c>
      <c r="V490" s="47"/>
      <c r="W490" s="43"/>
      <c r="X490" s="66" t="e">
        <f>VLOOKUP(D490,#REF!,2,0)</f>
        <v>#REF!</v>
      </c>
      <c r="Y490" s="67" t="s">
        <v>2643</v>
      </c>
    </row>
    <row r="491" spans="1:26" ht="13.65" customHeight="1">
      <c r="A491" s="91">
        <v>490</v>
      </c>
      <c r="B491" s="52" t="s">
        <v>174</v>
      </c>
      <c r="C491" s="3" t="str">
        <f>VLOOKUP(D491,'lista 1'!$A$2:$F4009,4,0)</f>
        <v>NOWOCZEK MACIEJ</v>
      </c>
      <c r="D491" s="74">
        <v>1123</v>
      </c>
      <c r="E491" s="4" t="str">
        <f>VLOOKUP(D491,'lista 1'!$A$2:$F$1802,5,0)</f>
        <v>AC TL</v>
      </c>
      <c r="F491" s="59" t="str">
        <f>VLOOKUP(G491,'lista obszary'!A:B,2,0)</f>
        <v>ENGINES</v>
      </c>
      <c r="G491" s="76" t="s">
        <v>1483</v>
      </c>
      <c r="H491" s="85" t="s">
        <v>2406</v>
      </c>
      <c r="I491" s="59" t="str">
        <f>VLOOKUP(J491,'lista obszary'!A:B,2,0)</f>
        <v>ENGINES</v>
      </c>
      <c r="J491" s="78" t="s">
        <v>1081</v>
      </c>
      <c r="K491" s="87" t="s">
        <v>2547</v>
      </c>
      <c r="L491" s="82" t="s">
        <v>2548</v>
      </c>
      <c r="M491" s="22"/>
      <c r="N491" s="22"/>
      <c r="O491" s="22"/>
      <c r="P491" s="19" t="s">
        <v>175</v>
      </c>
      <c r="Q491" s="26"/>
      <c r="R491" s="26"/>
      <c r="S491" s="47"/>
      <c r="T491" s="4" t="e">
        <f>VLOOKUP(#REF!,#REF!,2,0)</f>
        <v>#REF!</v>
      </c>
      <c r="U491" s="20" t="e">
        <f t="shared" si="13"/>
        <v>#REF!</v>
      </c>
      <c r="V491" s="47"/>
      <c r="W491" s="43"/>
      <c r="X491" s="66" t="e">
        <f>VLOOKUP(D491,#REF!,2,0)</f>
        <v>#REF!</v>
      </c>
      <c r="Y491" s="67" t="s">
        <v>2643</v>
      </c>
      <c r="Z491" s="67" t="b">
        <f>I491=F491</f>
        <v>1</v>
      </c>
    </row>
    <row r="492" spans="1:26" ht="13.65" customHeight="1">
      <c r="A492" s="91">
        <v>491</v>
      </c>
      <c r="B492" s="52" t="s">
        <v>174</v>
      </c>
      <c r="C492" s="3" t="str">
        <f>VLOOKUP(D492,'lista 1'!$A$2:$F4010,4,0)</f>
        <v>KOCHAJKIEWICZ ADAM</v>
      </c>
      <c r="D492" s="74">
        <v>1238</v>
      </c>
      <c r="E492" s="4" t="str">
        <f>VLOOKUP(D492,'lista 1'!$A$2:$F$1802,5,0)</f>
        <v>TM2</v>
      </c>
      <c r="F492" s="59" t="str">
        <f>VLOOKUP(G492,'lista obszary'!A:B,2,0)</f>
        <v>EC60</v>
      </c>
      <c r="G492" s="76" t="s">
        <v>1045</v>
      </c>
      <c r="H492" s="85" t="s">
        <v>1926</v>
      </c>
      <c r="I492" s="59" t="str">
        <f>VLOOKUP(J492,'lista obszary'!A:B,2,0)</f>
        <v>EC60</v>
      </c>
      <c r="J492" s="78" t="s">
        <v>549</v>
      </c>
      <c r="K492" s="87" t="s">
        <v>1881</v>
      </c>
      <c r="L492" s="82" t="s">
        <v>2548</v>
      </c>
      <c r="M492" s="22"/>
      <c r="N492" s="22"/>
      <c r="O492" s="22"/>
      <c r="P492" s="19" t="s">
        <v>175</v>
      </c>
      <c r="Q492" s="26"/>
      <c r="R492" s="26"/>
      <c r="S492" s="47"/>
      <c r="T492" s="4" t="e">
        <f>VLOOKUP(#REF!,#REF!,2,0)</f>
        <v>#REF!</v>
      </c>
      <c r="U492" s="20" t="e">
        <f t="shared" si="13"/>
        <v>#REF!</v>
      </c>
      <c r="V492" s="47"/>
      <c r="W492" s="43"/>
      <c r="X492" s="66" t="e">
        <f>VLOOKUP(D492,#REF!,2,0)</f>
        <v>#REF!</v>
      </c>
      <c r="Y492" s="67" t="s">
        <v>2643</v>
      </c>
      <c r="Z492" s="67" t="b">
        <f>I492=F492</f>
        <v>1</v>
      </c>
    </row>
    <row r="493" spans="1:26" ht="13.65" customHeight="1">
      <c r="A493" s="91">
        <v>492</v>
      </c>
      <c r="B493" s="52" t="s">
        <v>2533</v>
      </c>
      <c r="C493" s="3" t="str">
        <f>VLOOKUP(D493,'lista 1'!$A$2:$F4011,4,0)</f>
        <v>CABAŁA WIESŁAW</v>
      </c>
      <c r="D493" s="74">
        <v>1562</v>
      </c>
      <c r="E493" s="4" t="str">
        <f>VLOOKUP(D493,'lista 1'!$A$2:$F$1802,5,0)</f>
        <v>AC GRL</v>
      </c>
      <c r="F493" s="59" t="str">
        <f>VLOOKUP(G493,'lista obszary'!A:B,2,0)</f>
        <v>EC60</v>
      </c>
      <c r="G493" s="76" t="s">
        <v>224</v>
      </c>
      <c r="H493" s="85" t="s">
        <v>1912</v>
      </c>
      <c r="I493" s="59" t="str">
        <f>VLOOKUP(J493,'lista obszary'!A:B,2,0)</f>
        <v>EPKM</v>
      </c>
      <c r="J493" s="78" t="s">
        <v>934</v>
      </c>
      <c r="K493" s="87" t="s">
        <v>347</v>
      </c>
      <c r="L493" s="82" t="s">
        <v>2548</v>
      </c>
      <c r="M493" s="22"/>
      <c r="N493" s="22"/>
      <c r="O493" s="22"/>
      <c r="P493" s="19" t="s">
        <v>175</v>
      </c>
      <c r="Q493" s="26"/>
      <c r="R493" s="26"/>
      <c r="S493" s="47"/>
      <c r="T493" s="4" t="e">
        <f>VLOOKUP(#REF!,#REF!,2,0)</f>
        <v>#REF!</v>
      </c>
      <c r="U493" s="20" t="e">
        <f t="shared" si="13"/>
        <v>#REF!</v>
      </c>
      <c r="V493" s="47"/>
      <c r="W493" s="43"/>
      <c r="X493" s="66" t="e">
        <f>VLOOKUP(D493,#REF!,2,0)</f>
        <v>#REF!</v>
      </c>
      <c r="Y493" s="67" t="b">
        <f>F493=I493</f>
        <v>0</v>
      </c>
    </row>
    <row r="494" spans="1:26" ht="13.65" customHeight="1">
      <c r="A494" s="91">
        <v>493</v>
      </c>
      <c r="B494" s="52" t="s">
        <v>174</v>
      </c>
      <c r="C494" s="3" t="str">
        <f>VLOOKUP(D494,'lista 1'!$A$2:$F4012,4,0)</f>
        <v>KUNICKA AGNIESZKA</v>
      </c>
      <c r="D494" s="74">
        <v>1616</v>
      </c>
      <c r="E494" s="4" t="str">
        <f>VLOOKUP(D494,'lista 1'!$A$2:$F$1802,5,0)</f>
        <v>TM2</v>
      </c>
      <c r="F494" s="59" t="str">
        <f>VLOOKUP(G494,'lista obszary'!A:B,2,0)</f>
        <v>MTB0</v>
      </c>
      <c r="G494" s="76" t="s">
        <v>504</v>
      </c>
      <c r="H494" s="85" t="s">
        <v>2488</v>
      </c>
      <c r="I494" s="59" t="str">
        <f>VLOOKUP(J494,'lista obszary'!A:B,2,0)</f>
        <v>MTB0</v>
      </c>
      <c r="J494" s="78" t="s">
        <v>452</v>
      </c>
      <c r="K494" s="87" t="s">
        <v>346</v>
      </c>
      <c r="L494" s="82" t="s">
        <v>2548</v>
      </c>
      <c r="M494" s="22"/>
      <c r="N494" s="22"/>
      <c r="O494" s="22"/>
      <c r="P494" s="19" t="s">
        <v>175</v>
      </c>
      <c r="Q494" s="26"/>
      <c r="R494" s="26"/>
      <c r="S494" s="47"/>
      <c r="T494" s="4" t="e">
        <f>VLOOKUP(#REF!,#REF!,2,0)</f>
        <v>#REF!</v>
      </c>
      <c r="U494" s="20" t="e">
        <f t="shared" si="13"/>
        <v>#REF!</v>
      </c>
      <c r="V494" s="47"/>
      <c r="W494" s="43"/>
      <c r="X494" s="66" t="e">
        <f>VLOOKUP(D494,#REF!,2,0)</f>
        <v>#REF!</v>
      </c>
      <c r="Y494" s="67" t="b">
        <f>F494=I494</f>
        <v>1</v>
      </c>
    </row>
    <row r="495" spans="1:26" ht="13.65" customHeight="1">
      <c r="A495" s="91">
        <v>494</v>
      </c>
      <c r="B495" s="52" t="s">
        <v>174</v>
      </c>
      <c r="C495" s="3" t="str">
        <f>VLOOKUP(D495,'lista 1'!$A$2:$F4013,4,0)</f>
        <v>WOJCIECHOWSKI ŁUKASZ</v>
      </c>
      <c r="D495" s="74">
        <v>2373</v>
      </c>
      <c r="E495" s="4" t="str">
        <f>VLOOKUP(D495,'lista 1'!$A$2:$F$1802,5,0)</f>
        <v>TM2</v>
      </c>
      <c r="F495" s="59" t="str">
        <f>VLOOKUP(G495,'lista obszary'!A:B,2,0)</f>
        <v>EC60</v>
      </c>
      <c r="G495" s="76" t="s">
        <v>549</v>
      </c>
      <c r="H495" s="85" t="s">
        <v>1881</v>
      </c>
      <c r="I495" s="59" t="str">
        <f>VLOOKUP(J495,'lista obszary'!A:B,2,0)</f>
        <v>EC60</v>
      </c>
      <c r="J495" s="78" t="s">
        <v>224</v>
      </c>
      <c r="K495" s="87" t="s">
        <v>1912</v>
      </c>
      <c r="L495" s="82" t="s">
        <v>2548</v>
      </c>
      <c r="M495" s="22"/>
      <c r="N495" s="22"/>
      <c r="O495" s="22"/>
      <c r="P495" s="19" t="s">
        <v>175</v>
      </c>
      <c r="Q495" s="26"/>
      <c r="R495" s="26"/>
      <c r="S495" s="47"/>
      <c r="T495" s="4" t="e">
        <f>VLOOKUP(#REF!,#REF!,2,0)</f>
        <v>#REF!</v>
      </c>
      <c r="U495" s="20" t="e">
        <f t="shared" si="13"/>
        <v>#REF!</v>
      </c>
      <c r="V495" s="47"/>
      <c r="W495" s="43"/>
      <c r="X495" s="66" t="e">
        <f>VLOOKUP(D495,#REF!,2,0)</f>
        <v>#REF!</v>
      </c>
      <c r="Y495" s="67" t="b">
        <f>F495=I495</f>
        <v>1</v>
      </c>
    </row>
    <row r="496" spans="1:26" ht="13.65" customHeight="1">
      <c r="A496" s="91">
        <v>495</v>
      </c>
      <c r="B496" s="52" t="s">
        <v>174</v>
      </c>
      <c r="C496" s="3" t="str">
        <f>VLOOKUP(D496,'lista 1'!$A$2:$F4014,4,0)</f>
        <v>SUŁKOWSKI PAWEŁ</v>
      </c>
      <c r="D496" s="74">
        <v>2811</v>
      </c>
      <c r="E496" s="4" t="str">
        <f>VLOOKUP(D496,'lista 1'!$A$2:$F$1802,5,0)</f>
        <v>TM2</v>
      </c>
      <c r="F496" s="59" t="str">
        <f>VLOOKUP(G496,'lista obszary'!A:B,2,0)</f>
        <v>HV PJT</v>
      </c>
      <c r="G496" s="76" t="s">
        <v>1967</v>
      </c>
      <c r="H496" s="85" t="s">
        <v>2064</v>
      </c>
      <c r="I496" s="59" t="str">
        <f>VLOOKUP(J496,'lista obszary'!A:B,2,0)</f>
        <v>FORGING</v>
      </c>
      <c r="J496" s="78" t="s">
        <v>1350</v>
      </c>
      <c r="K496" s="87" t="s">
        <v>1378</v>
      </c>
      <c r="L496" s="82" t="s">
        <v>2548</v>
      </c>
      <c r="M496" s="22"/>
      <c r="N496" s="22"/>
      <c r="O496" s="22"/>
      <c r="P496" s="19" t="s">
        <v>175</v>
      </c>
      <c r="Q496" s="26"/>
      <c r="R496" s="26"/>
      <c r="S496" s="47"/>
      <c r="T496" s="4" t="e">
        <f>VLOOKUP(#REF!,#REF!,2,0)</f>
        <v>#REF!</v>
      </c>
      <c r="U496" s="20" t="e">
        <f t="shared" si="13"/>
        <v>#REF!</v>
      </c>
      <c r="V496" s="47"/>
      <c r="W496" s="43"/>
      <c r="X496" s="66" t="e">
        <f>VLOOKUP(D496,#REF!,2,0)</f>
        <v>#REF!</v>
      </c>
      <c r="Y496" s="67" t="s">
        <v>2643</v>
      </c>
    </row>
    <row r="497" spans="1:26" ht="13.65" customHeight="1">
      <c r="A497" s="91">
        <v>496</v>
      </c>
      <c r="B497" s="52" t="s">
        <v>174</v>
      </c>
      <c r="C497" s="3" t="e">
        <f>VLOOKUP(D497,'lista 1'!$A$2:$F4015,4,0)</f>
        <v>#N/A</v>
      </c>
      <c r="D497" s="74">
        <v>3091</v>
      </c>
      <c r="E497" s="4" t="e">
        <f>VLOOKUP(D497,'lista 1'!$A$2:$F$1802,5,0)</f>
        <v>#N/A</v>
      </c>
      <c r="F497" s="59" t="str">
        <f>VLOOKUP(G497,'lista obszary'!A:B,2,0)</f>
        <v>ENGINES</v>
      </c>
      <c r="G497" s="76" t="s">
        <v>1081</v>
      </c>
      <c r="H497" s="85" t="s">
        <v>2547</v>
      </c>
      <c r="I497" s="59" t="str">
        <f>VLOOKUP(J497,'lista obszary'!A:B,2,0)</f>
        <v>ENGINES</v>
      </c>
      <c r="J497" s="78" t="s">
        <v>1483</v>
      </c>
      <c r="K497" s="87" t="s">
        <v>2406</v>
      </c>
      <c r="L497" s="82" t="s">
        <v>2548</v>
      </c>
      <c r="M497" s="22"/>
      <c r="N497" s="22"/>
      <c r="O497" s="22"/>
      <c r="P497" s="19" t="s">
        <v>175</v>
      </c>
      <c r="Q497" s="26"/>
      <c r="R497" s="26"/>
      <c r="S497" s="47"/>
      <c r="T497" s="4" t="e">
        <f>VLOOKUP(#REF!,#REF!,2,0)</f>
        <v>#REF!</v>
      </c>
      <c r="U497" s="20" t="e">
        <f t="shared" si="13"/>
        <v>#REF!</v>
      </c>
      <c r="V497" s="47"/>
      <c r="W497" s="43"/>
      <c r="X497" s="66" t="e">
        <f>VLOOKUP(D497,#REF!,2,0)</f>
        <v>#REF!</v>
      </c>
      <c r="Y497" s="67" t="s">
        <v>2643</v>
      </c>
      <c r="Z497" s="67" t="b">
        <f>I497=F497</f>
        <v>1</v>
      </c>
    </row>
    <row r="498" spans="1:26" ht="13.65" customHeight="1">
      <c r="A498" s="91">
        <v>497</v>
      </c>
      <c r="B498" s="52" t="s">
        <v>174</v>
      </c>
      <c r="C498" s="3" t="e">
        <f>VLOOKUP(D498,'lista 1'!$A$2:$F4016,4,0)</f>
        <v>#N/A</v>
      </c>
      <c r="D498" s="74">
        <v>64448</v>
      </c>
      <c r="E498" s="4" t="e">
        <f>VLOOKUP(D498,'lista 1'!$A$2:$F$1802,5,0)</f>
        <v>#N/A</v>
      </c>
      <c r="F498" s="59" t="str">
        <f>VLOOKUP(G498,'lista obszary'!A:B,2,0)</f>
        <v>IL</v>
      </c>
      <c r="G498" s="76" t="s">
        <v>1039</v>
      </c>
      <c r="H498" s="85" t="s">
        <v>1561</v>
      </c>
      <c r="I498" s="59" t="str">
        <f>VLOOKUP(J498,'lista obszary'!A:B,2,0)</f>
        <v>IL</v>
      </c>
      <c r="J498" s="78" t="s">
        <v>2473</v>
      </c>
      <c r="K498" s="87" t="s">
        <v>2158</v>
      </c>
      <c r="L498" s="82" t="s">
        <v>2548</v>
      </c>
      <c r="M498" s="22"/>
      <c r="N498" s="22"/>
      <c r="O498" s="22"/>
      <c r="P498" s="19" t="s">
        <v>175</v>
      </c>
      <c r="Q498" s="26"/>
      <c r="R498" s="26"/>
      <c r="S498" s="47"/>
      <c r="T498" s="4" t="e">
        <f>VLOOKUP(#REF!,#REF!,2,0)</f>
        <v>#REF!</v>
      </c>
      <c r="U498" s="20" t="e">
        <f t="shared" si="13"/>
        <v>#REF!</v>
      </c>
      <c r="V498" s="47"/>
      <c r="W498" s="43"/>
      <c r="X498" s="66" t="e">
        <f>VLOOKUP(D498,#REF!,2,0)</f>
        <v>#REF!</v>
      </c>
      <c r="Y498" s="67" t="b">
        <f>F498=I498</f>
        <v>1</v>
      </c>
    </row>
    <row r="499" spans="1:26" ht="13.65" customHeight="1">
      <c r="A499" s="91">
        <v>498</v>
      </c>
      <c r="B499" s="52" t="s">
        <v>174</v>
      </c>
      <c r="C499" s="3" t="e">
        <f>VLOOKUP(D499,'lista 1'!$A$2:$F4017,4,0)</f>
        <v>#N/A</v>
      </c>
      <c r="D499" s="74">
        <v>70534</v>
      </c>
      <c r="E499" s="4" t="e">
        <f>VLOOKUP(D499,'lista 1'!$A$2:$F$1802,5,0)</f>
        <v>#N/A</v>
      </c>
      <c r="F499" s="59" t="str">
        <f>VLOOKUP(G499,'lista obszary'!A:B,2,0)</f>
        <v>IL</v>
      </c>
      <c r="G499" s="76" t="s">
        <v>1039</v>
      </c>
      <c r="H499" s="85" t="s">
        <v>1561</v>
      </c>
      <c r="I499" s="59" t="str">
        <f>VLOOKUP(J499,'lista obszary'!A:B,2,0)</f>
        <v>IL</v>
      </c>
      <c r="J499" s="78" t="s">
        <v>507</v>
      </c>
      <c r="K499" s="87" t="s">
        <v>1562</v>
      </c>
      <c r="L499" s="82" t="s">
        <v>2548</v>
      </c>
      <c r="M499" s="22"/>
      <c r="N499" s="22"/>
      <c r="O499" s="22"/>
      <c r="P499" s="19" t="s">
        <v>175</v>
      </c>
      <c r="Q499" s="26"/>
      <c r="R499" s="26"/>
      <c r="S499" s="47"/>
      <c r="T499" s="4" t="e">
        <f>VLOOKUP(#REF!,#REF!,2,0)</f>
        <v>#REF!</v>
      </c>
      <c r="U499" s="20" t="e">
        <f t="shared" si="13"/>
        <v>#REF!</v>
      </c>
      <c r="V499" s="47"/>
      <c r="W499" s="43"/>
      <c r="X499" s="66" t="e">
        <f>VLOOKUP(D499,#REF!,2,0)</f>
        <v>#REF!</v>
      </c>
      <c r="Y499" s="67" t="b">
        <f>F499=I499</f>
        <v>1</v>
      </c>
    </row>
    <row r="500" spans="1:26" ht="13.65" customHeight="1">
      <c r="A500" s="91">
        <v>499</v>
      </c>
      <c r="B500" s="52" t="s">
        <v>174</v>
      </c>
      <c r="C500" s="3" t="str">
        <f>VLOOKUP(D500,'lista 1'!$A$2:$F4018,4,0)</f>
        <v>CIEŚLAK ZDZISŁAW</v>
      </c>
      <c r="D500" s="74">
        <v>144</v>
      </c>
      <c r="E500" s="4" t="str">
        <f>VLOOKUP(D500,'lista 1'!$A$2:$F$1802,5,0)</f>
        <v>TL MNX2</v>
      </c>
      <c r="F500" s="59" t="str">
        <f>VLOOKUP(G500,'lista obszary'!A:B,2,0)</f>
        <v>MNX MW</v>
      </c>
      <c r="G500" s="76" t="s">
        <v>2029</v>
      </c>
      <c r="H500" s="85" t="s">
        <v>1385</v>
      </c>
      <c r="I500" s="59" t="str">
        <f>VLOOKUP(J500,'lista obszary'!A:B,2,0)</f>
        <v>MNX DM</v>
      </c>
      <c r="J500" s="78" t="s">
        <v>271</v>
      </c>
      <c r="K500" s="87" t="s">
        <v>2136</v>
      </c>
      <c r="L500" s="82" t="s">
        <v>2549</v>
      </c>
      <c r="M500" s="22"/>
      <c r="N500" s="22"/>
      <c r="O500" s="22"/>
      <c r="P500" s="19" t="s">
        <v>175</v>
      </c>
      <c r="Q500" s="26"/>
      <c r="R500" s="26"/>
      <c r="S500" s="47"/>
      <c r="T500" s="4" t="e">
        <f>VLOOKUP(#REF!,#REF!,2,0)</f>
        <v>#REF!</v>
      </c>
      <c r="U500" s="20" t="e">
        <f t="shared" si="13"/>
        <v>#REF!</v>
      </c>
      <c r="V500" s="47"/>
      <c r="W500" s="43"/>
      <c r="X500" s="66" t="e">
        <f>VLOOKUP(D500,#REF!,2,0)</f>
        <v>#REF!</v>
      </c>
      <c r="Y500" s="67" t="s">
        <v>2643</v>
      </c>
      <c r="Z500" s="67" t="b">
        <f>I500=F500</f>
        <v>0</v>
      </c>
    </row>
    <row r="501" spans="1:26" ht="13.65" customHeight="1">
      <c r="A501" s="91">
        <v>500</v>
      </c>
      <c r="B501" s="52" t="s">
        <v>174</v>
      </c>
      <c r="C501" s="3" t="str">
        <f>VLOOKUP(D501,'lista 1'!$A$2:$F4019,4,0)</f>
        <v>GÓRNIAK KAMIL</v>
      </c>
      <c r="D501" s="74">
        <v>1979</v>
      </c>
      <c r="E501" s="4" t="str">
        <f>VLOOKUP(D501,'lista 1'!$A$2:$F$1802,5,0)</f>
        <v>TM</v>
      </c>
      <c r="F501" s="59" t="str">
        <f>VLOOKUP(G501,'lista obszary'!A:B,2,0)</f>
        <v>CASTING</v>
      </c>
      <c r="G501" s="76" t="s">
        <v>475</v>
      </c>
      <c r="H501" s="85" t="s">
        <v>540</v>
      </c>
      <c r="I501" s="59" t="str">
        <f>VLOOKUP(J501,'lista obszary'!A:B,2,0)</f>
        <v>CASTING</v>
      </c>
      <c r="J501" s="78" t="s">
        <v>395</v>
      </c>
      <c r="K501" s="87" t="s">
        <v>1550</v>
      </c>
      <c r="L501" s="82" t="s">
        <v>2549</v>
      </c>
      <c r="M501" s="22"/>
      <c r="N501" s="22"/>
      <c r="O501" s="22"/>
      <c r="P501" s="19" t="s">
        <v>175</v>
      </c>
      <c r="Q501" s="26"/>
      <c r="R501" s="26"/>
      <c r="S501" s="47"/>
      <c r="T501" s="4" t="e">
        <f>VLOOKUP(#REF!,#REF!,2,0)</f>
        <v>#REF!</v>
      </c>
      <c r="U501" s="20" t="e">
        <f t="shared" si="13"/>
        <v>#REF!</v>
      </c>
      <c r="V501" s="47"/>
      <c r="W501" s="43"/>
      <c r="X501" s="66" t="e">
        <f>VLOOKUP(D501,#REF!,2,0)</f>
        <v>#REF!</v>
      </c>
      <c r="Y501" s="67" t="s">
        <v>2643</v>
      </c>
      <c r="Z501" s="67" t="b">
        <f>I501=F501</f>
        <v>1</v>
      </c>
    </row>
    <row r="502" spans="1:26" ht="13.65" customHeight="1">
      <c r="A502" s="91">
        <v>501</v>
      </c>
      <c r="B502" s="52" t="s">
        <v>174</v>
      </c>
      <c r="C502" s="3" t="str">
        <f>VLOOKUP(D502,'lista 1'!$A$2:$F4020,4,0)</f>
        <v>NOWAKOWSKA MAŁGORZATA</v>
      </c>
      <c r="D502" s="74">
        <v>2301</v>
      </c>
      <c r="E502" s="4" t="str">
        <f>VLOOKUP(D502,'lista 1'!$A$2:$F$1802,5,0)</f>
        <v>TM</v>
      </c>
      <c r="F502" s="59" t="str">
        <f>VLOOKUP(G502,'lista obszary'!A:B,2,0)</f>
        <v>ENGINES</v>
      </c>
      <c r="G502" s="76" t="s">
        <v>608</v>
      </c>
      <c r="H502" s="85" t="s">
        <v>1584</v>
      </c>
      <c r="I502" s="59" t="str">
        <f>VLOOKUP(J502,'lista obszary'!A:B,2,0)</f>
        <v>ENGINES</v>
      </c>
      <c r="J502" s="78" t="s">
        <v>1264</v>
      </c>
      <c r="K502" s="87" t="s">
        <v>2546</v>
      </c>
      <c r="L502" s="82" t="s">
        <v>2549</v>
      </c>
      <c r="M502" s="22"/>
      <c r="N502" s="22"/>
      <c r="O502" s="22"/>
      <c r="P502" s="19" t="s">
        <v>175</v>
      </c>
      <c r="Q502" s="26"/>
      <c r="R502" s="26"/>
      <c r="S502" s="47"/>
      <c r="T502" s="4" t="e">
        <f>VLOOKUP(#REF!,#REF!,2,0)</f>
        <v>#REF!</v>
      </c>
      <c r="U502" s="20" t="e">
        <f t="shared" si="13"/>
        <v>#REF!</v>
      </c>
      <c r="V502" s="47"/>
      <c r="W502" s="43"/>
      <c r="X502" s="66" t="e">
        <f>VLOOKUP(D502,#REF!,2,0)</f>
        <v>#REF!</v>
      </c>
      <c r="Y502" s="67" t="b">
        <f>F502=I502</f>
        <v>1</v>
      </c>
    </row>
    <row r="503" spans="1:26" ht="13.65" customHeight="1">
      <c r="A503" s="91">
        <v>502</v>
      </c>
      <c r="B503" s="52" t="s">
        <v>174</v>
      </c>
      <c r="C503" s="3" t="str">
        <f>VLOOKUP(D503,'lista 1'!$A$2:$F4021,4,0)</f>
        <v>SUS DAMIAN</v>
      </c>
      <c r="D503" s="74">
        <v>2526</v>
      </c>
      <c r="E503" s="4" t="str">
        <f>VLOOKUP(D503,'lista 1'!$A$2:$F$1802,5,0)</f>
        <v>TM</v>
      </c>
      <c r="F503" s="59" t="str">
        <f>VLOOKUP(G503,'lista obszary'!A:B,2,0)</f>
        <v>FORGING</v>
      </c>
      <c r="G503" s="76" t="s">
        <v>1226</v>
      </c>
      <c r="H503" s="85" t="s">
        <v>1378</v>
      </c>
      <c r="I503" s="59" t="str">
        <f>VLOOKUP(J503,'lista obszary'!A:B,2,0)</f>
        <v>FORGING</v>
      </c>
      <c r="J503" s="78" t="s">
        <v>1350</v>
      </c>
      <c r="K503" s="87" t="s">
        <v>1378</v>
      </c>
      <c r="L503" s="82" t="s">
        <v>2549</v>
      </c>
      <c r="M503" s="22"/>
      <c r="N503" s="22"/>
      <c r="O503" s="22"/>
      <c r="P503" s="19" t="s">
        <v>175</v>
      </c>
      <c r="Q503" s="26"/>
      <c r="R503" s="26"/>
      <c r="S503" s="47"/>
      <c r="T503" s="4" t="e">
        <f>VLOOKUP(#REF!,#REF!,2,0)</f>
        <v>#REF!</v>
      </c>
      <c r="U503" s="20" t="e">
        <f t="shared" si="13"/>
        <v>#REF!</v>
      </c>
      <c r="V503" s="47"/>
      <c r="W503" s="43"/>
      <c r="X503" s="66" t="e">
        <f>VLOOKUP(D503,#REF!,2,0)</f>
        <v>#REF!</v>
      </c>
      <c r="Y503" s="67" t="s">
        <v>2643</v>
      </c>
      <c r="Z503" s="67" t="b">
        <f>I503=F503</f>
        <v>1</v>
      </c>
    </row>
    <row r="504" spans="1:26" ht="13.65" customHeight="1">
      <c r="A504" s="91">
        <v>503</v>
      </c>
      <c r="B504" s="52" t="s">
        <v>2533</v>
      </c>
      <c r="C504" s="3" t="str">
        <f>VLOOKUP(D504,'lista 1'!$A$2:$F4022,4,0)</f>
        <v>SABAK AGNIESZKA</v>
      </c>
      <c r="D504" s="74">
        <v>2995</v>
      </c>
      <c r="E504" s="4" t="str">
        <f>VLOOKUP(D504,'lista 1'!$A$2:$F$1802,5,0)</f>
        <v>TM</v>
      </c>
      <c r="F504" s="59" t="str">
        <f>VLOOKUP(G504,'lista obszary'!A:B,2,0)</f>
        <v>ENGINES</v>
      </c>
      <c r="G504" s="76" t="s">
        <v>597</v>
      </c>
      <c r="H504" s="85" t="s">
        <v>1892</v>
      </c>
      <c r="I504" s="59" t="str">
        <f>VLOOKUP(J504,'lista obszary'!A:B,2,0)</f>
        <v>EC60</v>
      </c>
      <c r="J504" s="78" t="s">
        <v>549</v>
      </c>
      <c r="K504" s="87" t="s">
        <v>1881</v>
      </c>
      <c r="L504" s="82" t="s">
        <v>2549</v>
      </c>
      <c r="M504" s="22"/>
      <c r="N504" s="22"/>
      <c r="O504" s="22"/>
      <c r="P504" s="19" t="s">
        <v>175</v>
      </c>
      <c r="Q504" s="26"/>
      <c r="R504" s="26"/>
      <c r="S504" s="47"/>
      <c r="T504" s="4"/>
      <c r="U504" s="20"/>
      <c r="V504" s="47"/>
      <c r="W504" s="43"/>
      <c r="X504" s="66" t="e">
        <f>VLOOKUP(D504,#REF!,2,0)</f>
        <v>#REF!</v>
      </c>
      <c r="Y504" s="67" t="s">
        <v>2643</v>
      </c>
    </row>
    <row r="505" spans="1:26" ht="13.65" customHeight="1">
      <c r="A505" s="91">
        <v>504</v>
      </c>
      <c r="B505" s="52" t="s">
        <v>174</v>
      </c>
      <c r="C505" s="3" t="str">
        <f>VLOOKUP(D505,'lista 1'!$A$2:$F4023,4,0)</f>
        <v>KUBIAK RAFAŁ</v>
      </c>
      <c r="D505" s="74">
        <v>412</v>
      </c>
      <c r="E505" s="4" t="str">
        <f>VLOOKUP(D505,'lista 1'!$A$2:$F$1802,5,0)</f>
        <v>GRL MNX2</v>
      </c>
      <c r="F505" s="59" t="str">
        <f>VLOOKUP(G505,'lista obszary'!A:B,2,0)</f>
        <v>CASTING</v>
      </c>
      <c r="G505" s="76" t="s">
        <v>690</v>
      </c>
      <c r="H505" s="85" t="s">
        <v>1955</v>
      </c>
      <c r="I505" s="59" t="str">
        <f>VLOOKUP(J505,'lista obszary'!A:B,2,0)</f>
        <v>CASTING</v>
      </c>
      <c r="J505" s="78" t="s">
        <v>711</v>
      </c>
      <c r="K505" s="87" t="s">
        <v>1955</v>
      </c>
      <c r="L505" s="82" t="s">
        <v>2553</v>
      </c>
      <c r="M505" s="22"/>
      <c r="N505" s="22"/>
      <c r="O505" s="22"/>
      <c r="P505" s="19" t="s">
        <v>175</v>
      </c>
      <c r="Q505" s="26"/>
      <c r="R505" s="26"/>
      <c r="S505" s="47"/>
      <c r="T505" s="4" t="e">
        <f>VLOOKUP(#REF!,#REF!,2,0)</f>
        <v>#REF!</v>
      </c>
      <c r="U505" s="20" t="e">
        <f t="shared" ref="U505:U536" si="15">L505-T505</f>
        <v>#REF!</v>
      </c>
      <c r="V505" s="47"/>
      <c r="W505" s="43"/>
      <c r="X505" s="66" t="e">
        <f>VLOOKUP(D505,#REF!,2,0)</f>
        <v>#REF!</v>
      </c>
      <c r="Y505" s="67" t="s">
        <v>2643</v>
      </c>
      <c r="Z505" s="67" t="b">
        <f>I505=F505</f>
        <v>1</v>
      </c>
    </row>
    <row r="506" spans="1:26" ht="13.65" customHeight="1">
      <c r="A506" s="91">
        <v>505</v>
      </c>
      <c r="B506" s="52" t="s">
        <v>174</v>
      </c>
      <c r="C506" s="3" t="str">
        <f>VLOOKUP(D506,'lista 1'!$A$2:$F4024,4,0)</f>
        <v>KOMARNICKI JACEK</v>
      </c>
      <c r="D506" s="74">
        <v>1163</v>
      </c>
      <c r="E506" s="4" t="str">
        <f>VLOOKUP(D506,'lista 1'!$A$2:$F$1802,5,0)</f>
        <v>TM MNX2</v>
      </c>
      <c r="F506" s="59" t="str">
        <f>VLOOKUP(G506,'lista obszary'!A:B,2,0)</f>
        <v>CASTING</v>
      </c>
      <c r="G506" s="76" t="s">
        <v>2150</v>
      </c>
      <c r="H506" s="85" t="s">
        <v>539</v>
      </c>
      <c r="I506" s="59" t="str">
        <f>VLOOKUP(J506,'lista obszary'!A:B,2,0)</f>
        <v>CASTING</v>
      </c>
      <c r="J506" s="78" t="s">
        <v>2552</v>
      </c>
      <c r="K506" s="87" t="s">
        <v>539</v>
      </c>
      <c r="L506" s="82" t="s">
        <v>2553</v>
      </c>
      <c r="M506" s="22"/>
      <c r="N506" s="22"/>
      <c r="O506" s="22"/>
      <c r="P506" s="19" t="s">
        <v>175</v>
      </c>
      <c r="Q506" s="26"/>
      <c r="R506" s="26"/>
      <c r="S506" s="47"/>
      <c r="T506" s="4" t="e">
        <f>VLOOKUP(#REF!,#REF!,2,0)</f>
        <v>#REF!</v>
      </c>
      <c r="U506" s="20" t="e">
        <f t="shared" si="15"/>
        <v>#REF!</v>
      </c>
      <c r="V506" s="47"/>
      <c r="W506" s="43"/>
      <c r="X506" s="66" t="e">
        <f>VLOOKUP(D506,#REF!,2,0)</f>
        <v>#REF!</v>
      </c>
      <c r="Y506" s="67" t="s">
        <v>2643</v>
      </c>
      <c r="Z506" s="67" t="b">
        <f>I506=F506</f>
        <v>1</v>
      </c>
    </row>
    <row r="507" spans="1:26" ht="13.65" customHeight="1">
      <c r="A507" s="91">
        <v>506</v>
      </c>
      <c r="B507" s="52" t="s">
        <v>174</v>
      </c>
      <c r="C507" s="3" t="str">
        <f>VLOOKUP(D507,'lista 1'!$A$2:$F4025,4,0)</f>
        <v>CHRYSZCZANOWICZ BOGDAN</v>
      </c>
      <c r="D507" s="74">
        <v>1410</v>
      </c>
      <c r="E507" s="4" t="str">
        <f>VLOOKUP(D507,'lista 1'!$A$2:$F$1802,5,0)</f>
        <v>TM MNX2</v>
      </c>
      <c r="F507" s="59" t="str">
        <f>VLOOKUP(G507,'lista obszary'!A:B,2,0)</f>
        <v>CASTING</v>
      </c>
      <c r="G507" s="76" t="s">
        <v>2150</v>
      </c>
      <c r="H507" s="85" t="s">
        <v>539</v>
      </c>
      <c r="I507" s="59" t="str">
        <f>VLOOKUP(J507,'lista obszary'!A:B,2,0)</f>
        <v>CASTING</v>
      </c>
      <c r="J507" s="78" t="s">
        <v>1873</v>
      </c>
      <c r="K507" s="87" t="s">
        <v>539</v>
      </c>
      <c r="L507" s="82" t="s">
        <v>2553</v>
      </c>
      <c r="M507" s="22"/>
      <c r="N507" s="22"/>
      <c r="O507" s="22"/>
      <c r="P507" s="19" t="s">
        <v>175</v>
      </c>
      <c r="Q507" s="26"/>
      <c r="R507" s="26"/>
      <c r="S507" s="47"/>
      <c r="T507" s="4" t="e">
        <f>VLOOKUP(#REF!,#REF!,2,0)</f>
        <v>#REF!</v>
      </c>
      <c r="U507" s="20" t="e">
        <f t="shared" si="15"/>
        <v>#REF!</v>
      </c>
      <c r="V507" s="47"/>
      <c r="W507" s="43"/>
      <c r="X507" s="66" t="e">
        <f>VLOOKUP(D507,#REF!,2,0)</f>
        <v>#REF!</v>
      </c>
      <c r="Y507" s="67" t="s">
        <v>2643</v>
      </c>
    </row>
    <row r="508" spans="1:26" ht="13.65" customHeight="1">
      <c r="A508" s="91">
        <v>507</v>
      </c>
      <c r="B508" s="52" t="s">
        <v>174</v>
      </c>
      <c r="C508" s="3" t="str">
        <f>VLOOKUP(D508,'lista 1'!$A$2:$F4026,4,0)</f>
        <v>KOKOCIŃSKI DARIUSZ</v>
      </c>
      <c r="D508" s="74">
        <v>2925</v>
      </c>
      <c r="E508" s="4" t="str">
        <f>VLOOKUP(D508,'lista 1'!$A$2:$F$1802,5,0)</f>
        <v>TM</v>
      </c>
      <c r="F508" s="59" t="str">
        <f>VLOOKUP(G508,'lista obszary'!A:B,2,0)</f>
        <v>IL</v>
      </c>
      <c r="G508" s="76" t="s">
        <v>1063</v>
      </c>
      <c r="H508" s="85" t="s">
        <v>1560</v>
      </c>
      <c r="I508" s="59" t="str">
        <f>VLOOKUP(J508,'lista obszary'!A:B,2,0)</f>
        <v>IL</v>
      </c>
      <c r="J508" s="78" t="s">
        <v>1039</v>
      </c>
      <c r="K508" s="87" t="s">
        <v>1561</v>
      </c>
      <c r="L508" s="82" t="s">
        <v>2553</v>
      </c>
      <c r="M508" s="22"/>
      <c r="N508" s="22"/>
      <c r="O508" s="22"/>
      <c r="P508" s="19" t="s">
        <v>175</v>
      </c>
      <c r="Q508" s="26"/>
      <c r="R508" s="26"/>
      <c r="S508" s="47"/>
      <c r="T508" s="4" t="e">
        <f>VLOOKUP(#REF!,#REF!,2,0)</f>
        <v>#REF!</v>
      </c>
      <c r="U508" s="20" t="e">
        <f t="shared" si="15"/>
        <v>#REF!</v>
      </c>
      <c r="V508" s="47"/>
      <c r="W508" s="43"/>
      <c r="X508" s="66" t="e">
        <f>VLOOKUP(D508,#REF!,2,0)</f>
        <v>#REF!</v>
      </c>
      <c r="Y508" s="67" t="b">
        <f>F508=I508</f>
        <v>1</v>
      </c>
    </row>
    <row r="509" spans="1:26" ht="13.65" customHeight="1">
      <c r="A509" s="91">
        <v>508</v>
      </c>
      <c r="B509" s="52" t="s">
        <v>174</v>
      </c>
      <c r="C509" s="3" t="str">
        <f>VLOOKUP(D509,'lista 1'!$A$2:$F4027,4,0)</f>
        <v>OBACZ PIOTR</v>
      </c>
      <c r="D509" s="74">
        <v>2994</v>
      </c>
      <c r="E509" s="4" t="str">
        <f>VLOOKUP(D509,'lista 1'!$A$2:$F$1802,5,0)</f>
        <v>TM</v>
      </c>
      <c r="F509" s="59" t="str">
        <f>VLOOKUP(G509,'lista obszary'!A:B,2,0)</f>
        <v>CASTING</v>
      </c>
      <c r="G509" s="76" t="s">
        <v>2150</v>
      </c>
      <c r="H509" s="85" t="s">
        <v>539</v>
      </c>
      <c r="I509" s="59" t="str">
        <f>VLOOKUP(J509,'lista obszary'!A:B,2,0)</f>
        <v>CASTING</v>
      </c>
      <c r="J509" s="78" t="s">
        <v>2552</v>
      </c>
      <c r="K509" s="87" t="s">
        <v>539</v>
      </c>
      <c r="L509" s="82" t="s">
        <v>2553</v>
      </c>
      <c r="M509" s="22"/>
      <c r="N509" s="22"/>
      <c r="O509" s="22"/>
      <c r="P509" s="19" t="s">
        <v>175</v>
      </c>
      <c r="Q509" s="26"/>
      <c r="R509" s="26"/>
      <c r="S509" s="47"/>
      <c r="T509" s="4" t="e">
        <f>VLOOKUP(#REF!,#REF!,2,0)</f>
        <v>#REF!</v>
      </c>
      <c r="U509" s="20" t="e">
        <f t="shared" si="15"/>
        <v>#REF!</v>
      </c>
      <c r="V509" s="47"/>
      <c r="W509" s="43"/>
      <c r="X509" s="66" t="e">
        <f>VLOOKUP(D509,#REF!,2,0)</f>
        <v>#REF!</v>
      </c>
      <c r="Y509" s="67" t="b">
        <f>F509=I509</f>
        <v>1</v>
      </c>
    </row>
    <row r="510" spans="1:26" ht="13.65" customHeight="1">
      <c r="A510" s="91">
        <v>509</v>
      </c>
      <c r="B510" s="52" t="s">
        <v>174</v>
      </c>
      <c r="C510" s="3" t="str">
        <f>VLOOKUP(D510,'lista 1'!$A$2:$F4028,4,0)</f>
        <v>MAJKA BARTŁOMIEJ</v>
      </c>
      <c r="D510" s="74">
        <v>3013</v>
      </c>
      <c r="E510" s="4" t="str">
        <f>VLOOKUP(D510,'lista 1'!$A$2:$F$1802,5,0)</f>
        <v>TM MNX</v>
      </c>
      <c r="F510" s="59" t="str">
        <f>VLOOKUP(G510,'lista obszary'!A:B,2,0)</f>
        <v>CASTING</v>
      </c>
      <c r="G510" s="76" t="s">
        <v>2148</v>
      </c>
      <c r="H510" s="85" t="s">
        <v>539</v>
      </c>
      <c r="I510" s="59" t="str">
        <f>VLOOKUP(J510,'lista obszary'!A:B,2,0)</f>
        <v>CASTING</v>
      </c>
      <c r="J510" s="78" t="s">
        <v>1875</v>
      </c>
      <c r="K510" s="87" t="s">
        <v>539</v>
      </c>
      <c r="L510" s="82" t="s">
        <v>2553</v>
      </c>
      <c r="M510" s="22"/>
      <c r="N510" s="22"/>
      <c r="O510" s="22"/>
      <c r="P510" s="19" t="s">
        <v>175</v>
      </c>
      <c r="Q510" s="26"/>
      <c r="R510" s="26"/>
      <c r="S510" s="47"/>
      <c r="T510" s="4" t="e">
        <f>VLOOKUP(#REF!,#REF!,2,0)</f>
        <v>#REF!</v>
      </c>
      <c r="U510" s="20" t="e">
        <f t="shared" si="15"/>
        <v>#REF!</v>
      </c>
      <c r="V510" s="47"/>
      <c r="W510" s="43"/>
      <c r="X510" s="66" t="e">
        <f>VLOOKUP(D510,#REF!,2,0)</f>
        <v>#REF!</v>
      </c>
      <c r="Y510" s="67" t="b">
        <f>F510=I510</f>
        <v>1</v>
      </c>
    </row>
    <row r="511" spans="1:26" ht="13.65" customHeight="1">
      <c r="A511" s="91">
        <v>510</v>
      </c>
      <c r="B511" s="52" t="s">
        <v>174</v>
      </c>
      <c r="C511" s="3" t="str">
        <f>VLOOKUP(D511,'lista 1'!$A$2:$F4029,4,0)</f>
        <v>MIARA SEBASTIAN</v>
      </c>
      <c r="D511" s="74">
        <v>2009</v>
      </c>
      <c r="E511" s="4" t="str">
        <f>VLOOKUP(D511,'lista 1'!$A$2:$F$1802,5,0)</f>
        <v>ASM</v>
      </c>
      <c r="F511" s="59" t="str">
        <f>VLOOKUP(G511,'lista obszary'!A:B,2,0)</f>
        <v>QE</v>
      </c>
      <c r="G511" s="76" t="s">
        <v>2059</v>
      </c>
      <c r="H511" s="85" t="s">
        <v>1925</v>
      </c>
      <c r="I511" s="59" t="str">
        <f>VLOOKUP(J511,'lista obszary'!A:B,2,0)</f>
        <v>QE</v>
      </c>
      <c r="J511" s="78" t="s">
        <v>219</v>
      </c>
      <c r="K511" s="87" t="s">
        <v>1925</v>
      </c>
      <c r="L511" s="82" t="s">
        <v>2553</v>
      </c>
      <c r="M511" s="22"/>
      <c r="N511" s="22"/>
      <c r="O511" s="22"/>
      <c r="P511" s="19" t="s">
        <v>175</v>
      </c>
      <c r="Q511" s="26"/>
      <c r="R511" s="26"/>
      <c r="S511" s="47"/>
      <c r="T511" s="4" t="e">
        <f>VLOOKUP(#REF!,#REF!,2,0)</f>
        <v>#REF!</v>
      </c>
      <c r="U511" s="20" t="e">
        <f t="shared" si="15"/>
        <v>#REF!</v>
      </c>
      <c r="V511" s="47"/>
      <c r="W511" s="43"/>
      <c r="X511" s="66" t="e">
        <f>VLOOKUP(D511,#REF!,2,0)</f>
        <v>#REF!</v>
      </c>
      <c r="Y511" s="67" t="s">
        <v>2643</v>
      </c>
      <c r="Z511" s="67" t="b">
        <f>I511=F511</f>
        <v>1</v>
      </c>
    </row>
    <row r="512" spans="1:26" ht="13.65" customHeight="1">
      <c r="A512" s="91">
        <v>511</v>
      </c>
      <c r="B512" s="52" t="s">
        <v>174</v>
      </c>
      <c r="C512" s="3" t="str">
        <f>VLOOKUP(D512,'lista 1'!$A$2:$F4030,4,0)</f>
        <v>KRAWCZYK ANDRZEJ</v>
      </c>
      <c r="D512" s="74">
        <v>546</v>
      </c>
      <c r="E512" s="4" t="str">
        <f>VLOOKUP(D512,'lista 1'!$A$2:$F$1802,5,0)</f>
        <v>TM MNX2</v>
      </c>
      <c r="F512" s="59" t="str">
        <f>VLOOKUP(G512,'lista obszary'!A:B,2,0)</f>
        <v>CASTING</v>
      </c>
      <c r="G512" s="76" t="s">
        <v>2150</v>
      </c>
      <c r="H512" s="85" t="s">
        <v>539</v>
      </c>
      <c r="I512" s="59" t="str">
        <f>VLOOKUP(J512,'lista obszary'!A:B,2,0)</f>
        <v>CASTING</v>
      </c>
      <c r="J512" s="78" t="s">
        <v>1874</v>
      </c>
      <c r="K512" s="87" t="s">
        <v>539</v>
      </c>
      <c r="L512" s="82" t="s">
        <v>2553</v>
      </c>
      <c r="M512" s="22"/>
      <c r="N512" s="22"/>
      <c r="O512" s="22"/>
      <c r="P512" s="19" t="s">
        <v>175</v>
      </c>
      <c r="Q512" s="26"/>
      <c r="R512" s="26"/>
      <c r="S512" s="47"/>
      <c r="T512" s="4" t="e">
        <f>VLOOKUP(#REF!,#REF!,2,0)</f>
        <v>#REF!</v>
      </c>
      <c r="U512" s="20" t="e">
        <f t="shared" si="15"/>
        <v>#REF!</v>
      </c>
      <c r="V512" s="47"/>
      <c r="W512" s="43"/>
      <c r="X512" s="66" t="e">
        <f>VLOOKUP(D512,#REF!,2,0)</f>
        <v>#REF!</v>
      </c>
      <c r="Y512" s="67" t="s">
        <v>2643</v>
      </c>
    </row>
    <row r="513" spans="1:26" ht="13.65" customHeight="1">
      <c r="A513" s="91">
        <v>512</v>
      </c>
      <c r="B513" s="52" t="s">
        <v>174</v>
      </c>
      <c r="C513" s="3" t="str">
        <f>VLOOKUP(D513,'lista 1'!$A$2:$F4031,4,0)</f>
        <v>ANTKOWIAK MARCIN</v>
      </c>
      <c r="D513" s="74">
        <v>330</v>
      </c>
      <c r="E513" s="4" t="str">
        <f>VLOOKUP(D513,'lista 1'!$A$2:$F$1802,5,0)</f>
        <v>TL2</v>
      </c>
      <c r="F513" s="59" t="str">
        <f>VLOOKUP(G513,'lista obszary'!A:B,2,0)</f>
        <v>MTB0</v>
      </c>
      <c r="G513" s="76" t="s">
        <v>435</v>
      </c>
      <c r="H513" s="85" t="s">
        <v>2488</v>
      </c>
      <c r="I513" s="59" t="str">
        <f>VLOOKUP(J513,'lista obszary'!A:B,2,0)</f>
        <v>MTB0</v>
      </c>
      <c r="J513" s="78" t="s">
        <v>220</v>
      </c>
      <c r="K513" s="87" t="s">
        <v>1877</v>
      </c>
      <c r="L513" s="82" t="s">
        <v>2550</v>
      </c>
      <c r="M513" s="22"/>
      <c r="N513" s="22"/>
      <c r="O513" s="22"/>
      <c r="P513" s="19" t="s">
        <v>175</v>
      </c>
      <c r="Q513" s="26" t="s">
        <v>2101</v>
      </c>
      <c r="R513" s="60">
        <v>43815</v>
      </c>
      <c r="S513" s="47"/>
      <c r="T513" s="4" t="e">
        <f>VLOOKUP(#REF!,#REF!,2,0)</f>
        <v>#REF!</v>
      </c>
      <c r="U513" s="20" t="e">
        <f t="shared" si="15"/>
        <v>#REF!</v>
      </c>
      <c r="V513" s="47"/>
      <c r="W513" s="43"/>
      <c r="X513" s="66" t="e">
        <f>VLOOKUP(D513,#REF!,2,0)</f>
        <v>#REF!</v>
      </c>
      <c r="Y513" s="67" t="s">
        <v>2643</v>
      </c>
      <c r="Z513" s="67" t="b">
        <f>I513=F513</f>
        <v>1</v>
      </c>
    </row>
    <row r="514" spans="1:26" ht="13.65" customHeight="1">
      <c r="A514" s="91">
        <v>513</v>
      </c>
      <c r="B514" s="52" t="s">
        <v>174</v>
      </c>
      <c r="C514" s="3" t="str">
        <f>VLOOKUP(D514,'lista 1'!$A$2:$F4032,4,0)</f>
        <v>GORDZIEJEWSKA SYLWIA</v>
      </c>
      <c r="D514" s="74">
        <v>567</v>
      </c>
      <c r="E514" s="4" t="str">
        <f>VLOOKUP(D514,'lista 1'!$A$2:$F$1802,5,0)</f>
        <v>TL2</v>
      </c>
      <c r="F514" s="59" t="str">
        <f>VLOOKUP(G514,'lista obszary'!A:B,2,0)</f>
        <v>HV PJT</v>
      </c>
      <c r="G514" s="76" t="s">
        <v>2377</v>
      </c>
      <c r="H514" s="85" t="s">
        <v>1395</v>
      </c>
      <c r="I514" s="59" t="str">
        <f>VLOOKUP(J514,'lista obszary'!A:B,2,0)</f>
        <v>HV</v>
      </c>
      <c r="J514" s="78" t="s">
        <v>2323</v>
      </c>
      <c r="K514" s="87" t="s">
        <v>1904</v>
      </c>
      <c r="L514" s="82" t="s">
        <v>2550</v>
      </c>
      <c r="M514" s="22"/>
      <c r="N514" s="22"/>
      <c r="O514" s="22"/>
      <c r="P514" s="19" t="s">
        <v>175</v>
      </c>
      <c r="Q514" s="26"/>
      <c r="R514" s="26"/>
      <c r="S514" s="47"/>
      <c r="T514" s="4" t="e">
        <f>VLOOKUP(#REF!,#REF!,2,0)</f>
        <v>#REF!</v>
      </c>
      <c r="U514" s="20" t="e">
        <f t="shared" si="15"/>
        <v>#REF!</v>
      </c>
      <c r="V514" s="47"/>
      <c r="W514" s="43"/>
      <c r="X514" s="66" t="e">
        <f>VLOOKUP(D514,#REF!,2,0)</f>
        <v>#REF!</v>
      </c>
      <c r="Y514" s="67" t="s">
        <v>2643</v>
      </c>
    </row>
    <row r="515" spans="1:26" ht="13.65" customHeight="1">
      <c r="A515" s="91">
        <v>514</v>
      </c>
      <c r="B515" s="52" t="s">
        <v>174</v>
      </c>
      <c r="C515" s="3" t="str">
        <f>VLOOKUP(D515,'lista 1'!$A$2:$F4033,4,0)</f>
        <v>SULANOWSKI PIOTR</v>
      </c>
      <c r="D515" s="74">
        <v>573</v>
      </c>
      <c r="E515" s="4" t="str">
        <f>VLOOKUP(D515,'lista 1'!$A$2:$F$1802,5,0)</f>
        <v>TL</v>
      </c>
      <c r="F515" s="59" t="str">
        <f>VLOOKUP(G515,'lista obszary'!A:B,2,0)</f>
        <v>MTB0</v>
      </c>
      <c r="G515" s="76" t="s">
        <v>1270</v>
      </c>
      <c r="H515" s="85" t="s">
        <v>346</v>
      </c>
      <c r="I515" s="59" t="str">
        <f>VLOOKUP(J515,'lista obszary'!A:B,2,0)</f>
        <v>MTB0</v>
      </c>
      <c r="J515" s="78" t="s">
        <v>220</v>
      </c>
      <c r="K515" s="87" t="s">
        <v>1877</v>
      </c>
      <c r="L515" s="82" t="s">
        <v>2550</v>
      </c>
      <c r="M515" s="22"/>
      <c r="N515" s="22"/>
      <c r="O515" s="22"/>
      <c r="P515" s="19" t="s">
        <v>175</v>
      </c>
      <c r="Q515" s="26"/>
      <c r="R515" s="26"/>
      <c r="S515" s="47"/>
      <c r="T515" s="4" t="e">
        <f>VLOOKUP(#REF!,#REF!,2,0)</f>
        <v>#REF!</v>
      </c>
      <c r="U515" s="20" t="e">
        <f t="shared" si="15"/>
        <v>#REF!</v>
      </c>
      <c r="V515" s="47"/>
      <c r="W515" s="43"/>
      <c r="X515" s="66" t="e">
        <f>VLOOKUP(D515,#REF!,2,0)</f>
        <v>#REF!</v>
      </c>
      <c r="Y515" s="67" t="s">
        <v>2643</v>
      </c>
      <c r="Z515" s="67" t="b">
        <f>I515=F515</f>
        <v>1</v>
      </c>
    </row>
    <row r="516" spans="1:26" ht="13.65" customHeight="1">
      <c r="A516" s="91">
        <v>515</v>
      </c>
      <c r="B516" s="52" t="s">
        <v>174</v>
      </c>
      <c r="C516" s="3" t="str">
        <f>VLOOKUP(D516,'lista 1'!$A$2:$F4034,4,0)</f>
        <v>GRABOWIK MACIEJ</v>
      </c>
      <c r="D516" s="74">
        <v>596</v>
      </c>
      <c r="E516" s="4" t="str">
        <f>VLOOKUP(D516,'lista 1'!$A$2:$F$1802,5,0)</f>
        <v>TL</v>
      </c>
      <c r="F516" s="59" t="str">
        <f>VLOOKUP(G516,'lista obszary'!A:B,2,0)</f>
        <v>MTB0</v>
      </c>
      <c r="G516" s="76" t="s">
        <v>1262</v>
      </c>
      <c r="H516" s="85" t="s">
        <v>1383</v>
      </c>
      <c r="I516" s="59" t="str">
        <f>VLOOKUP(J516,'lista obszary'!A:B,2,0)</f>
        <v>MTB0</v>
      </c>
      <c r="J516" s="78" t="s">
        <v>220</v>
      </c>
      <c r="K516" s="87" t="s">
        <v>1877</v>
      </c>
      <c r="L516" s="82" t="s">
        <v>2550</v>
      </c>
      <c r="M516" s="22"/>
      <c r="N516" s="22"/>
      <c r="O516" s="22"/>
      <c r="P516" s="19" t="s">
        <v>175</v>
      </c>
      <c r="Q516" s="26" t="s">
        <v>2101</v>
      </c>
      <c r="R516" s="60">
        <v>43815</v>
      </c>
      <c r="S516" s="47"/>
      <c r="T516" s="4" t="e">
        <f>VLOOKUP(#REF!,#REF!,2,0)</f>
        <v>#REF!</v>
      </c>
      <c r="U516" s="20" t="e">
        <f t="shared" si="15"/>
        <v>#REF!</v>
      </c>
      <c r="V516" s="47"/>
      <c r="W516" s="43"/>
      <c r="X516" s="66" t="e">
        <f>VLOOKUP(D516,#REF!,2,0)</f>
        <v>#REF!</v>
      </c>
      <c r="Y516" s="67" t="s">
        <v>2643</v>
      </c>
      <c r="Z516" s="67" t="b">
        <f>I516=F516</f>
        <v>1</v>
      </c>
    </row>
    <row r="517" spans="1:26" ht="13.65" customHeight="1">
      <c r="A517" s="91">
        <v>516</v>
      </c>
      <c r="B517" s="52" t="s">
        <v>174</v>
      </c>
      <c r="C517" s="3" t="str">
        <f>VLOOKUP(D517,'lista 1'!$A$2:$F4035,4,0)</f>
        <v>WOJCIESZKO ARKADIUSZ</v>
      </c>
      <c r="D517" s="74">
        <v>640</v>
      </c>
      <c r="E517" s="4" t="str">
        <f>VLOOKUP(D517,'lista 1'!$A$2:$F$1802,5,0)</f>
        <v>AC TL</v>
      </c>
      <c r="F517" s="59" t="str">
        <f>VLOOKUP(G517,'lista obszary'!A:B,2,0)</f>
        <v>MTB0</v>
      </c>
      <c r="G517" s="76" t="s">
        <v>1452</v>
      </c>
      <c r="H517" s="85" t="s">
        <v>1386</v>
      </c>
      <c r="I517" s="59" t="str">
        <f>VLOOKUP(J517,'lista obszary'!A:B,2,0)</f>
        <v>MTB0</v>
      </c>
      <c r="J517" s="78" t="s">
        <v>220</v>
      </c>
      <c r="K517" s="87" t="s">
        <v>1877</v>
      </c>
      <c r="L517" s="82" t="s">
        <v>2550</v>
      </c>
      <c r="M517" s="22"/>
      <c r="N517" s="22"/>
      <c r="O517" s="22"/>
      <c r="P517" s="19" t="s">
        <v>175</v>
      </c>
      <c r="Q517" s="26"/>
      <c r="R517" s="26"/>
      <c r="S517" s="47"/>
      <c r="T517" s="4" t="e">
        <f>VLOOKUP(#REF!,#REF!,2,0)</f>
        <v>#REF!</v>
      </c>
      <c r="U517" s="20" t="e">
        <f t="shared" si="15"/>
        <v>#REF!</v>
      </c>
      <c r="V517" s="47"/>
      <c r="W517" s="43"/>
      <c r="X517" s="66" t="e">
        <f>VLOOKUP(D517,#REF!,2,0)</f>
        <v>#REF!</v>
      </c>
      <c r="Y517" s="67" t="s">
        <v>2643</v>
      </c>
      <c r="Z517" s="67" t="b">
        <f>I517=F517</f>
        <v>1</v>
      </c>
    </row>
    <row r="518" spans="1:26" ht="13.65" customHeight="1">
      <c r="A518" s="91">
        <v>517</v>
      </c>
      <c r="B518" s="52" t="s">
        <v>174</v>
      </c>
      <c r="C518" s="3" t="str">
        <f>VLOOKUP(D518,'lista 1'!$A$2:$F4036,4,0)</f>
        <v>KRYSTKOWIAK GRZEGORZ</v>
      </c>
      <c r="D518" s="74">
        <v>706</v>
      </c>
      <c r="E518" s="4" t="str">
        <f>VLOOKUP(D518,'lista 1'!$A$2:$F$1802,5,0)</f>
        <v>TM2</v>
      </c>
      <c r="F518" s="59" t="str">
        <f>VLOOKUP(G518,'lista obszary'!A:B,2,0)</f>
        <v>IL</v>
      </c>
      <c r="G518" s="76" t="s">
        <v>1039</v>
      </c>
      <c r="H518" s="85" t="s">
        <v>1561</v>
      </c>
      <c r="I518" s="59" t="str">
        <f>VLOOKUP(J518,'lista obszary'!A:B,2,0)</f>
        <v>IL</v>
      </c>
      <c r="J518" s="78" t="s">
        <v>1063</v>
      </c>
      <c r="K518" s="87" t="s">
        <v>1560</v>
      </c>
      <c r="L518" s="82" t="s">
        <v>2550</v>
      </c>
      <c r="M518" s="22"/>
      <c r="N518" s="22"/>
      <c r="O518" s="22"/>
      <c r="P518" s="19" t="s">
        <v>175</v>
      </c>
      <c r="Q518" s="26"/>
      <c r="R518" s="26"/>
      <c r="S518" s="47"/>
      <c r="T518" s="4" t="e">
        <f>VLOOKUP(#REF!,#REF!,2,0)</f>
        <v>#REF!</v>
      </c>
      <c r="U518" s="20" t="e">
        <f t="shared" si="15"/>
        <v>#REF!</v>
      </c>
      <c r="V518" s="47"/>
      <c r="W518" s="43"/>
      <c r="X518" s="66" t="e">
        <f>VLOOKUP(D518,#REF!,2,0)</f>
        <v>#REF!</v>
      </c>
      <c r="Y518" s="67" t="s">
        <v>2645</v>
      </c>
    </row>
    <row r="519" spans="1:26" ht="13.65" customHeight="1">
      <c r="A519" s="91">
        <v>518</v>
      </c>
      <c r="B519" s="52" t="s">
        <v>174</v>
      </c>
      <c r="C519" s="3" t="str">
        <f>VLOOKUP(D519,'lista 1'!$A$2:$F4037,4,0)</f>
        <v>KOŚKIEWICZ DARIUSZ</v>
      </c>
      <c r="D519" s="74">
        <v>710</v>
      </c>
      <c r="E519" s="4" t="str">
        <f>VLOOKUP(D519,'lista 1'!$A$2:$F$1802,5,0)</f>
        <v>AC TL</v>
      </c>
      <c r="F519" s="59" t="str">
        <f>VLOOKUP(G519,'lista obszary'!A:B,2,0)</f>
        <v>MTB0</v>
      </c>
      <c r="G519" s="76" t="s">
        <v>503</v>
      </c>
      <c r="H519" s="85" t="s">
        <v>1565</v>
      </c>
      <c r="I519" s="59" t="str">
        <f>VLOOKUP(J519,'lista obszary'!A:B,2,0)</f>
        <v>MTB0</v>
      </c>
      <c r="J519" s="78" t="s">
        <v>220</v>
      </c>
      <c r="K519" s="87" t="s">
        <v>1877</v>
      </c>
      <c r="L519" s="82" t="s">
        <v>2550</v>
      </c>
      <c r="M519" s="22"/>
      <c r="N519" s="22"/>
      <c r="O519" s="22"/>
      <c r="P519" s="19" t="s">
        <v>175</v>
      </c>
      <c r="Q519" s="26"/>
      <c r="R519" s="26"/>
      <c r="S519" s="47"/>
      <c r="T519" s="4" t="e">
        <f>VLOOKUP(#REF!,#REF!,2,0)</f>
        <v>#REF!</v>
      </c>
      <c r="U519" s="20" t="e">
        <f t="shared" si="15"/>
        <v>#REF!</v>
      </c>
      <c r="V519" s="47"/>
      <c r="W519" s="43"/>
      <c r="X519" s="66" t="e">
        <f>VLOOKUP(D519,#REF!,2,0)</f>
        <v>#REF!</v>
      </c>
      <c r="Y519" s="67" t="b">
        <f>F519=I519</f>
        <v>1</v>
      </c>
    </row>
    <row r="520" spans="1:26" ht="13.65" customHeight="1">
      <c r="A520" s="91">
        <v>519</v>
      </c>
      <c r="B520" s="52" t="s">
        <v>2533</v>
      </c>
      <c r="C520" s="3" t="str">
        <f>VLOOKUP(D520,'lista 1'!$A$2:$F4038,4,0)</f>
        <v>GRABOWSKI ROBERT</v>
      </c>
      <c r="D520" s="74">
        <v>718</v>
      </c>
      <c r="E520" s="4" t="str">
        <f>VLOOKUP(D520,'lista 1'!$A$2:$F$1802,5,0)</f>
        <v>TL</v>
      </c>
      <c r="F520" s="59" t="str">
        <f>VLOOKUP(G520,'lista obszary'!A:B,2,0)</f>
        <v>HV</v>
      </c>
      <c r="G520" s="76" t="s">
        <v>2449</v>
      </c>
      <c r="H520" s="85" t="s">
        <v>2551</v>
      </c>
      <c r="I520" s="59" t="str">
        <f>VLOOKUP(J520,'lista obszary'!A:B,2,0)</f>
        <v>EPKM</v>
      </c>
      <c r="J520" s="78" t="s">
        <v>934</v>
      </c>
      <c r="K520" s="87" t="s">
        <v>347</v>
      </c>
      <c r="L520" s="82" t="s">
        <v>2550</v>
      </c>
      <c r="M520" s="22"/>
      <c r="N520" s="22"/>
      <c r="O520" s="22"/>
      <c r="P520" s="19" t="s">
        <v>175</v>
      </c>
      <c r="Q520" s="26"/>
      <c r="R520" s="26"/>
      <c r="S520" s="47"/>
      <c r="T520" s="4" t="e">
        <f>VLOOKUP(#REF!,#REF!,2,0)</f>
        <v>#REF!</v>
      </c>
      <c r="U520" s="20" t="e">
        <f t="shared" si="15"/>
        <v>#REF!</v>
      </c>
      <c r="V520" s="47"/>
      <c r="W520" s="43"/>
      <c r="X520" s="66" t="e">
        <f>VLOOKUP(D520,#REF!,2,0)</f>
        <v>#REF!</v>
      </c>
      <c r="Y520" s="67" t="s">
        <v>2643</v>
      </c>
      <c r="Z520" s="67" t="s">
        <v>1629</v>
      </c>
    </row>
    <row r="521" spans="1:26" ht="13.65" customHeight="1">
      <c r="A521" s="91">
        <v>520</v>
      </c>
      <c r="B521" s="52" t="s">
        <v>2533</v>
      </c>
      <c r="C521" s="3" t="str">
        <f>VLOOKUP(D521,'lista 1'!$A$2:$F4039,4,0)</f>
        <v>ZIÓŁKOWSKI MARCIN</v>
      </c>
      <c r="D521" s="74">
        <v>728</v>
      </c>
      <c r="E521" s="4" t="str">
        <f>VLOOKUP(D521,'lista 1'!$A$2:$F$1802,5,0)</f>
        <v>TL2</v>
      </c>
      <c r="F521" s="59" t="str">
        <f>VLOOKUP(G521,'lista obszary'!A:B,2,0)</f>
        <v>EPKM</v>
      </c>
      <c r="G521" s="76" t="s">
        <v>934</v>
      </c>
      <c r="H521" s="85" t="s">
        <v>347</v>
      </c>
      <c r="I521" s="59" t="str">
        <f>VLOOKUP(J521,'lista obszary'!A:B,2,0)</f>
        <v>HV PJT</v>
      </c>
      <c r="J521" s="78" t="s">
        <v>2378</v>
      </c>
      <c r="K521" s="87" t="s">
        <v>544</v>
      </c>
      <c r="L521" s="82" t="s">
        <v>2550</v>
      </c>
      <c r="M521" s="22"/>
      <c r="N521" s="22"/>
      <c r="O521" s="22"/>
      <c r="P521" s="19" t="s">
        <v>175</v>
      </c>
      <c r="Q521" s="26"/>
      <c r="R521" s="26"/>
      <c r="S521" s="47"/>
      <c r="T521" s="4" t="e">
        <f>VLOOKUP(#REF!,#REF!,2,0)</f>
        <v>#REF!</v>
      </c>
      <c r="U521" s="20" t="e">
        <f t="shared" si="15"/>
        <v>#REF!</v>
      </c>
      <c r="V521" s="47"/>
      <c r="W521" s="43"/>
      <c r="X521" s="66" t="e">
        <f>VLOOKUP(D521,#REF!,2,0)</f>
        <v>#REF!</v>
      </c>
      <c r="Y521" s="67" t="s">
        <v>2643</v>
      </c>
      <c r="Z521" s="67" t="s">
        <v>1629</v>
      </c>
    </row>
    <row r="522" spans="1:26" ht="13.65" customHeight="1">
      <c r="A522" s="91">
        <v>521</v>
      </c>
      <c r="B522" s="52" t="s">
        <v>174</v>
      </c>
      <c r="C522" s="3" t="str">
        <f>VLOOKUP(D522,'lista 1'!$A$2:$F4040,4,0)</f>
        <v>MACIULEWICZ ZBIGNIEW</v>
      </c>
      <c r="D522" s="74">
        <v>788</v>
      </c>
      <c r="E522" s="4" t="str">
        <f>VLOOKUP(D522,'lista 1'!$A$2:$F$1802,5,0)</f>
        <v>TM2</v>
      </c>
      <c r="F522" s="59" t="str">
        <f>VLOOKUP(G522,'lista obszary'!A:B,2,0)</f>
        <v>MTB0</v>
      </c>
      <c r="G522" s="76" t="s">
        <v>1262</v>
      </c>
      <c r="H522" s="85" t="s">
        <v>1383</v>
      </c>
      <c r="I522" s="59" t="str">
        <f>VLOOKUP(J522,'lista obszary'!A:B,2,0)</f>
        <v>MTB0</v>
      </c>
      <c r="J522" s="78" t="s">
        <v>220</v>
      </c>
      <c r="K522" s="87" t="s">
        <v>1877</v>
      </c>
      <c r="L522" s="82" t="s">
        <v>2550</v>
      </c>
      <c r="M522" s="22"/>
      <c r="N522" s="22"/>
      <c r="O522" s="22"/>
      <c r="P522" s="19" t="s">
        <v>175</v>
      </c>
      <c r="Q522" s="26"/>
      <c r="R522" s="26"/>
      <c r="S522" s="47"/>
      <c r="T522" s="4" t="e">
        <f>VLOOKUP(#REF!,#REF!,2,0)</f>
        <v>#REF!</v>
      </c>
      <c r="U522" s="20" t="e">
        <f t="shared" si="15"/>
        <v>#REF!</v>
      </c>
      <c r="V522" s="47"/>
      <c r="W522" s="43"/>
      <c r="X522" s="66" t="e">
        <f>VLOOKUP(D522,#REF!,2,0)</f>
        <v>#REF!</v>
      </c>
      <c r="Y522" s="67" t="s">
        <v>2643</v>
      </c>
      <c r="Z522" s="67" t="b">
        <f>I522=F522</f>
        <v>1</v>
      </c>
    </row>
    <row r="523" spans="1:26" ht="13.65" customHeight="1">
      <c r="A523" s="91">
        <v>522</v>
      </c>
      <c r="B523" s="52" t="s">
        <v>174</v>
      </c>
      <c r="C523" s="3" t="str">
        <f>VLOOKUP(D523,'lista 1'!$A$2:$F4041,4,0)</f>
        <v>KARNIEJ MARIUSZ</v>
      </c>
      <c r="D523" s="74">
        <v>873</v>
      </c>
      <c r="E523" s="4" t="str">
        <f>VLOOKUP(D523,'lista 1'!$A$2:$F$1802,5,0)</f>
        <v>AC TL</v>
      </c>
      <c r="F523" s="59" t="str">
        <f>VLOOKUP(G523,'lista obszary'!A:B,2,0)</f>
        <v>MTB0</v>
      </c>
      <c r="G523" s="76" t="s">
        <v>1090</v>
      </c>
      <c r="H523" s="85" t="s">
        <v>1908</v>
      </c>
      <c r="I523" s="59" t="str">
        <f>VLOOKUP(J523,'lista obszary'!A:B,2,0)</f>
        <v>MTB0</v>
      </c>
      <c r="J523" s="78" t="s">
        <v>220</v>
      </c>
      <c r="K523" s="87" t="s">
        <v>1877</v>
      </c>
      <c r="L523" s="82" t="s">
        <v>2550</v>
      </c>
      <c r="M523" s="22"/>
      <c r="N523" s="22"/>
      <c r="O523" s="22"/>
      <c r="P523" s="19" t="s">
        <v>175</v>
      </c>
      <c r="Q523" s="26" t="s">
        <v>2101</v>
      </c>
      <c r="R523" s="60">
        <v>43815</v>
      </c>
      <c r="S523" s="47"/>
      <c r="T523" s="4" t="e">
        <f>VLOOKUP(#REF!,#REF!,2,0)</f>
        <v>#REF!</v>
      </c>
      <c r="U523" s="20" t="e">
        <f t="shared" si="15"/>
        <v>#REF!</v>
      </c>
      <c r="V523" s="47"/>
      <c r="W523" s="43"/>
      <c r="X523" s="66" t="e">
        <f>VLOOKUP(D523,#REF!,2,0)</f>
        <v>#REF!</v>
      </c>
      <c r="Y523" s="67" t="b">
        <f>F523=I523</f>
        <v>1</v>
      </c>
    </row>
    <row r="524" spans="1:26" ht="13.65" customHeight="1">
      <c r="A524" s="91">
        <v>523</v>
      </c>
      <c r="B524" s="52" t="s">
        <v>174</v>
      </c>
      <c r="C524" s="3" t="str">
        <f>VLOOKUP(D524,'lista 1'!$A$2:$F4042,4,0)</f>
        <v>FEDOROWICZ ŁUKASZ</v>
      </c>
      <c r="D524" s="74">
        <v>1085</v>
      </c>
      <c r="E524" s="4" t="str">
        <f>VLOOKUP(D524,'lista 1'!$A$2:$F$1802,5,0)</f>
        <v>ASM</v>
      </c>
      <c r="F524" s="59" t="str">
        <f>VLOOKUP(G524,'lista obszary'!A:B,2,0)</f>
        <v>QE</v>
      </c>
      <c r="G524" s="76" t="s">
        <v>219</v>
      </c>
      <c r="H524" s="85" t="s">
        <v>1925</v>
      </c>
      <c r="I524" s="59" t="str">
        <f>VLOOKUP(J524,'lista obszary'!A:B,2,0)</f>
        <v>QC OFFICE</v>
      </c>
      <c r="J524" s="78" t="s">
        <v>1484</v>
      </c>
      <c r="K524" s="87" t="s">
        <v>1895</v>
      </c>
      <c r="L524" s="82" t="s">
        <v>2550</v>
      </c>
      <c r="M524" s="22"/>
      <c r="N524" s="22"/>
      <c r="O524" s="22"/>
      <c r="P524" s="19" t="s">
        <v>175</v>
      </c>
      <c r="Q524" s="26"/>
      <c r="R524" s="26"/>
      <c r="S524" s="47"/>
      <c r="T524" s="4" t="e">
        <f>VLOOKUP(#REF!,#REF!,2,0)</f>
        <v>#REF!</v>
      </c>
      <c r="U524" s="20" t="e">
        <f t="shared" si="15"/>
        <v>#REF!</v>
      </c>
      <c r="V524" s="47"/>
      <c r="W524" s="43"/>
      <c r="X524" s="66" t="e">
        <f>VLOOKUP(D524,#REF!,2,0)</f>
        <v>#REF!</v>
      </c>
      <c r="Y524" s="67" t="s">
        <v>2643</v>
      </c>
      <c r="Z524" s="67" t="b">
        <f>I524=F524</f>
        <v>0</v>
      </c>
    </row>
    <row r="525" spans="1:26" ht="13.65" customHeight="1">
      <c r="A525" s="91">
        <v>524</v>
      </c>
      <c r="B525" s="52" t="s">
        <v>174</v>
      </c>
      <c r="C525" s="3" t="str">
        <f>VLOOKUP(D525,'lista 1'!$A$2:$F4043,4,0)</f>
        <v>ADAMCZYK JAKUB</v>
      </c>
      <c r="D525" s="74">
        <v>1246</v>
      </c>
      <c r="E525" s="4" t="str">
        <f>VLOOKUP(D525,'lista 1'!$A$2:$F$1802,5,0)</f>
        <v>TL2</v>
      </c>
      <c r="F525" s="59" t="str">
        <f>VLOOKUP(G525,'lista obszary'!A:B,2,0)</f>
        <v>HV</v>
      </c>
      <c r="G525" s="76" t="s">
        <v>2323</v>
      </c>
      <c r="H525" s="85" t="s">
        <v>1904</v>
      </c>
      <c r="I525" s="59" t="str">
        <f>VLOOKUP(J525,'lista obszary'!A:B,2,0)</f>
        <v>HV PJT</v>
      </c>
      <c r="J525" s="78" t="s">
        <v>2377</v>
      </c>
      <c r="K525" s="87" t="s">
        <v>1395</v>
      </c>
      <c r="L525" s="82" t="s">
        <v>2550</v>
      </c>
      <c r="M525" s="22"/>
      <c r="N525" s="22"/>
      <c r="O525" s="22"/>
      <c r="P525" s="19" t="s">
        <v>175</v>
      </c>
      <c r="Q525" s="26"/>
      <c r="R525" s="26"/>
      <c r="S525" s="47"/>
      <c r="T525" s="4" t="e">
        <f>VLOOKUP(#REF!,#REF!,2,0)</f>
        <v>#REF!</v>
      </c>
      <c r="U525" s="20" t="e">
        <f t="shared" si="15"/>
        <v>#REF!</v>
      </c>
      <c r="V525" s="47"/>
      <c r="W525" s="43"/>
      <c r="X525" s="66" t="e">
        <f>VLOOKUP(D525,#REF!,2,0)</f>
        <v>#REF!</v>
      </c>
      <c r="Y525" s="67" t="b">
        <f>F525=I525</f>
        <v>0</v>
      </c>
    </row>
    <row r="526" spans="1:26" ht="13.65" customHeight="1">
      <c r="A526" s="91">
        <v>525</v>
      </c>
      <c r="B526" s="52" t="s">
        <v>2533</v>
      </c>
      <c r="C526" s="3" t="str">
        <f>VLOOKUP(D526,'lista 1'!$A$2:$F4044,4,0)</f>
        <v>CABAŁA WIESŁAW</v>
      </c>
      <c r="D526" s="74">
        <v>1562</v>
      </c>
      <c r="E526" s="4" t="str">
        <f>VLOOKUP(D526,'lista 1'!$A$2:$F$1802,5,0)</f>
        <v>AC GRL</v>
      </c>
      <c r="F526" s="59" t="str">
        <f>VLOOKUP(G526,'lista obszary'!A:B,2,0)</f>
        <v>EC60</v>
      </c>
      <c r="G526" s="76" t="s">
        <v>224</v>
      </c>
      <c r="H526" s="85" t="s">
        <v>1912</v>
      </c>
      <c r="I526" s="59" t="str">
        <f>VLOOKUP(J526,'lista obszary'!A:B,2,0)</f>
        <v>EPKM</v>
      </c>
      <c r="J526" s="78" t="s">
        <v>934</v>
      </c>
      <c r="K526" s="87" t="s">
        <v>347</v>
      </c>
      <c r="L526" s="82" t="s">
        <v>2550</v>
      </c>
      <c r="M526" s="22"/>
      <c r="N526" s="22"/>
      <c r="O526" s="22"/>
      <c r="P526" s="19" t="s">
        <v>175</v>
      </c>
      <c r="Q526" s="26"/>
      <c r="R526" s="26"/>
      <c r="S526" s="47"/>
      <c r="T526" s="4" t="e">
        <f>VLOOKUP(#REF!,#REF!,2,0)</f>
        <v>#REF!</v>
      </c>
      <c r="U526" s="20" t="e">
        <f t="shared" si="15"/>
        <v>#REF!</v>
      </c>
      <c r="V526" s="47"/>
      <c r="W526" s="43"/>
      <c r="X526" s="66" t="e">
        <f>VLOOKUP(D526,#REF!,2,0)</f>
        <v>#REF!</v>
      </c>
      <c r="Y526" s="67" t="b">
        <f>F526=I526</f>
        <v>0</v>
      </c>
    </row>
    <row r="527" spans="1:26" ht="13.65" customHeight="1">
      <c r="A527" s="91">
        <v>526</v>
      </c>
      <c r="B527" s="52" t="s">
        <v>174</v>
      </c>
      <c r="C527" s="3" t="str">
        <f>VLOOKUP(D527,'lista 1'!$A$2:$F4045,4,0)</f>
        <v>STROJNA AGNIESZKA</v>
      </c>
      <c r="D527" s="74">
        <v>1598</v>
      </c>
      <c r="E527" s="4" t="str">
        <f>VLOOKUP(D527,'lista 1'!$A$2:$F$1802,5,0)</f>
        <v>TM2</v>
      </c>
      <c r="F527" s="59" t="str">
        <f>VLOOKUP(G527,'lista obszary'!A:B,2,0)</f>
        <v>MTB0</v>
      </c>
      <c r="G527" s="76" t="s">
        <v>503</v>
      </c>
      <c r="H527" s="85" t="s">
        <v>1565</v>
      </c>
      <c r="I527" s="59" t="str">
        <f>VLOOKUP(J527,'lista obszary'!A:B,2,0)</f>
        <v>MTB0</v>
      </c>
      <c r="J527" s="78" t="s">
        <v>220</v>
      </c>
      <c r="K527" s="87" t="s">
        <v>1877</v>
      </c>
      <c r="L527" s="82" t="s">
        <v>2550</v>
      </c>
      <c r="M527" s="22"/>
      <c r="N527" s="22"/>
      <c r="O527" s="22"/>
      <c r="P527" s="19" t="s">
        <v>175</v>
      </c>
      <c r="Q527" s="26"/>
      <c r="R527" s="26"/>
      <c r="S527" s="47"/>
      <c r="T527" s="4" t="e">
        <f>VLOOKUP(#REF!,#REF!,2,0)</f>
        <v>#REF!</v>
      </c>
      <c r="U527" s="20" t="e">
        <f t="shared" si="15"/>
        <v>#REF!</v>
      </c>
      <c r="V527" s="47"/>
      <c r="W527" s="43"/>
      <c r="X527" s="66" t="e">
        <f>VLOOKUP(D527,#REF!,2,0)</f>
        <v>#REF!</v>
      </c>
      <c r="Y527" s="67" t="b">
        <f>F527=I527</f>
        <v>1</v>
      </c>
    </row>
    <row r="528" spans="1:26" ht="13.65" customHeight="1">
      <c r="A528" s="91">
        <v>527</v>
      </c>
      <c r="B528" s="52" t="s">
        <v>174</v>
      </c>
      <c r="C528" s="3" t="str">
        <f>VLOOKUP(D528,'lista 1'!$A$2:$F4046,4,0)</f>
        <v>STAWICKI ŁUKASZ</v>
      </c>
      <c r="D528" s="74">
        <v>1603</v>
      </c>
      <c r="E528" s="4" t="str">
        <f>VLOOKUP(D528,'lista 1'!$A$2:$F$1802,5,0)</f>
        <v>TL</v>
      </c>
      <c r="F528" s="59" t="str">
        <f>VLOOKUP(G528,'lista obszary'!A:B,2,0)</f>
        <v>MTB0</v>
      </c>
      <c r="G528" s="76" t="s">
        <v>503</v>
      </c>
      <c r="H528" s="85" t="s">
        <v>1565</v>
      </c>
      <c r="I528" s="59" t="str">
        <f>VLOOKUP(J528,'lista obszary'!A:B,2,0)</f>
        <v>MTB0</v>
      </c>
      <c r="J528" s="78" t="s">
        <v>220</v>
      </c>
      <c r="K528" s="87" t="s">
        <v>1877</v>
      </c>
      <c r="L528" s="82" t="s">
        <v>2550</v>
      </c>
      <c r="M528" s="22"/>
      <c r="N528" s="22"/>
      <c r="O528" s="22"/>
      <c r="P528" s="19" t="s">
        <v>175</v>
      </c>
      <c r="Q528" s="26"/>
      <c r="R528" s="26"/>
      <c r="S528" s="47"/>
      <c r="T528" s="4" t="e">
        <f>VLOOKUP(#REF!,#REF!,2,0)</f>
        <v>#REF!</v>
      </c>
      <c r="U528" s="20" t="e">
        <f t="shared" si="15"/>
        <v>#REF!</v>
      </c>
      <c r="V528" s="47"/>
      <c r="W528" s="43"/>
      <c r="X528" s="66" t="e">
        <f>VLOOKUP(D528,#REF!,2,0)</f>
        <v>#REF!</v>
      </c>
      <c r="Y528" s="67" t="s">
        <v>2643</v>
      </c>
      <c r="Z528" s="67" t="b">
        <f>I528=F528</f>
        <v>1</v>
      </c>
    </row>
    <row r="529" spans="1:26" ht="13.65" customHeight="1">
      <c r="A529" s="91">
        <v>528</v>
      </c>
      <c r="B529" s="52" t="s">
        <v>174</v>
      </c>
      <c r="C529" s="3" t="str">
        <f>VLOOKUP(D529,'lista 1'!$A$2:$F4047,4,0)</f>
        <v>JURKOWSKI NORBERT</v>
      </c>
      <c r="D529" s="74">
        <v>1626</v>
      </c>
      <c r="E529" s="4" t="str">
        <f>VLOOKUP(D529,'lista 1'!$A$2:$F$1802,5,0)</f>
        <v>AC TL</v>
      </c>
      <c r="F529" s="59" t="str">
        <f>VLOOKUP(G529,'lista obszary'!A:B,2,0)</f>
        <v>MTB0</v>
      </c>
      <c r="G529" s="76" t="s">
        <v>452</v>
      </c>
      <c r="H529" s="85" t="s">
        <v>346</v>
      </c>
      <c r="I529" s="59" t="str">
        <f>VLOOKUP(J529,'lista obszary'!A:B,2,0)</f>
        <v>MTB0</v>
      </c>
      <c r="J529" s="78" t="s">
        <v>220</v>
      </c>
      <c r="K529" s="87" t="s">
        <v>1877</v>
      </c>
      <c r="L529" s="82" t="s">
        <v>2550</v>
      </c>
      <c r="M529" s="22"/>
      <c r="N529" s="22"/>
      <c r="O529" s="22"/>
      <c r="P529" s="19" t="s">
        <v>175</v>
      </c>
      <c r="Q529" s="26" t="s">
        <v>2101</v>
      </c>
      <c r="R529" s="60">
        <v>43815</v>
      </c>
      <c r="S529" s="47"/>
      <c r="T529" s="4" t="e">
        <f>VLOOKUP(#REF!,#REF!,2,0)</f>
        <v>#REF!</v>
      </c>
      <c r="U529" s="20" t="e">
        <f t="shared" si="15"/>
        <v>#REF!</v>
      </c>
      <c r="V529" s="47"/>
      <c r="W529" s="43"/>
      <c r="X529" s="66" t="e">
        <f>VLOOKUP(D529,#REF!,2,0)</f>
        <v>#REF!</v>
      </c>
      <c r="Y529" s="67" t="s">
        <v>2643</v>
      </c>
      <c r="Z529" s="67" t="b">
        <f>I529=F529</f>
        <v>1</v>
      </c>
    </row>
    <row r="530" spans="1:26" ht="13.65" customHeight="1">
      <c r="A530" s="91">
        <v>529</v>
      </c>
      <c r="B530" s="52" t="s">
        <v>174</v>
      </c>
      <c r="C530" s="3" t="str">
        <f>VLOOKUP(D530,'lista 1'!$A$2:$F4048,4,0)</f>
        <v>SERWIN RADOSŁAW</v>
      </c>
      <c r="D530" s="74">
        <v>1921</v>
      </c>
      <c r="E530" s="4" t="str">
        <f>VLOOKUP(D530,'lista 1'!$A$2:$F$1802,5,0)</f>
        <v>TM</v>
      </c>
      <c r="F530" s="59" t="str">
        <f>VLOOKUP(G530,'lista obszary'!A:B,2,0)</f>
        <v>MTB0</v>
      </c>
      <c r="G530" s="76" t="s">
        <v>435</v>
      </c>
      <c r="H530" s="85" t="s">
        <v>2488</v>
      </c>
      <c r="I530" s="59" t="str">
        <f>VLOOKUP(J530,'lista obszary'!A:B,2,0)</f>
        <v>MTB0</v>
      </c>
      <c r="J530" s="78" t="s">
        <v>220</v>
      </c>
      <c r="K530" s="87" t="s">
        <v>1877</v>
      </c>
      <c r="L530" s="82" t="s">
        <v>2550</v>
      </c>
      <c r="M530" s="22"/>
      <c r="N530" s="22"/>
      <c r="O530" s="22"/>
      <c r="P530" s="19" t="s">
        <v>175</v>
      </c>
      <c r="Q530" s="26" t="s">
        <v>2101</v>
      </c>
      <c r="R530" s="60">
        <v>43815</v>
      </c>
      <c r="S530" s="47"/>
      <c r="T530" s="4" t="e">
        <f>VLOOKUP(#REF!,#REF!,2,0)</f>
        <v>#REF!</v>
      </c>
      <c r="U530" s="20" t="e">
        <f t="shared" si="15"/>
        <v>#REF!</v>
      </c>
      <c r="V530" s="47"/>
      <c r="W530" s="43"/>
      <c r="X530" s="66" t="e">
        <f>VLOOKUP(D530,#REF!,2,0)</f>
        <v>#REF!</v>
      </c>
      <c r="Y530" s="67" t="b">
        <f>F530=I530</f>
        <v>1</v>
      </c>
    </row>
    <row r="531" spans="1:26" ht="13.65" customHeight="1">
      <c r="A531" s="91">
        <v>530</v>
      </c>
      <c r="B531" s="52" t="s">
        <v>174</v>
      </c>
      <c r="C531" s="3" t="str">
        <f>VLOOKUP(D531,'lista 1'!$A$2:$F4049,4,0)</f>
        <v>BRANCZEL KRZYSZTOF</v>
      </c>
      <c r="D531" s="74">
        <v>1939</v>
      </c>
      <c r="E531" s="4" t="str">
        <f>VLOOKUP(D531,'lista 1'!$A$2:$F$1802,5,0)</f>
        <v>TL</v>
      </c>
      <c r="F531" s="59" t="str">
        <f>VLOOKUP(G531,'lista obszary'!A:B,2,0)</f>
        <v>MTB0</v>
      </c>
      <c r="G531" s="76" t="s">
        <v>1452</v>
      </c>
      <c r="H531" s="85" t="s">
        <v>1386</v>
      </c>
      <c r="I531" s="59" t="str">
        <f>VLOOKUP(J531,'lista obszary'!A:B,2,0)</f>
        <v>MTB0</v>
      </c>
      <c r="J531" s="78" t="s">
        <v>220</v>
      </c>
      <c r="K531" s="87" t="s">
        <v>1877</v>
      </c>
      <c r="L531" s="82" t="s">
        <v>2550</v>
      </c>
      <c r="M531" s="22"/>
      <c r="N531" s="22"/>
      <c r="O531" s="22"/>
      <c r="P531" s="19" t="s">
        <v>175</v>
      </c>
      <c r="Q531" s="26"/>
      <c r="R531" s="26"/>
      <c r="S531" s="47"/>
      <c r="T531" s="4" t="e">
        <f>VLOOKUP(#REF!,#REF!,2,0)</f>
        <v>#REF!</v>
      </c>
      <c r="U531" s="20" t="e">
        <f t="shared" si="15"/>
        <v>#REF!</v>
      </c>
      <c r="V531" s="47"/>
      <c r="W531" s="43"/>
      <c r="X531" s="66" t="e">
        <f>VLOOKUP(D531,#REF!,2,0)</f>
        <v>#REF!</v>
      </c>
      <c r="Y531" s="67" t="b">
        <f>F531=I531</f>
        <v>1</v>
      </c>
    </row>
    <row r="532" spans="1:26" ht="13.65" customHeight="1">
      <c r="A532" s="91">
        <v>531</v>
      </c>
      <c r="B532" s="52" t="s">
        <v>174</v>
      </c>
      <c r="C532" s="3" t="str">
        <f>VLOOKUP(D532,'lista 1'!$A$2:$F4050,4,0)</f>
        <v>KOT AGNIESZKA</v>
      </c>
      <c r="D532" s="74">
        <v>2090</v>
      </c>
      <c r="E532" s="4" t="str">
        <f>VLOOKUP(D532,'lista 1'!$A$2:$F$1802,5,0)</f>
        <v>TM</v>
      </c>
      <c r="F532" s="59" t="str">
        <f>VLOOKUP(G532,'lista obszary'!A:B,2,0)</f>
        <v>MTB0</v>
      </c>
      <c r="G532" s="76" t="s">
        <v>454</v>
      </c>
      <c r="H532" s="85" t="s">
        <v>1383</v>
      </c>
      <c r="I532" s="59" t="str">
        <f>VLOOKUP(J532,'lista obszary'!A:B,2,0)</f>
        <v>MTB0</v>
      </c>
      <c r="J532" s="78" t="s">
        <v>220</v>
      </c>
      <c r="K532" s="87" t="s">
        <v>1877</v>
      </c>
      <c r="L532" s="82" t="s">
        <v>2550</v>
      </c>
      <c r="M532" s="22"/>
      <c r="N532" s="22"/>
      <c r="O532" s="22"/>
      <c r="P532" s="19" t="s">
        <v>175</v>
      </c>
      <c r="Q532" s="26"/>
      <c r="R532" s="26"/>
      <c r="S532" s="47"/>
      <c r="T532" s="4" t="e">
        <f>VLOOKUP(#REF!,#REF!,2,0)</f>
        <v>#REF!</v>
      </c>
      <c r="U532" s="20" t="e">
        <f t="shared" si="15"/>
        <v>#REF!</v>
      </c>
      <c r="V532" s="47"/>
      <c r="W532" s="43"/>
      <c r="X532" s="66" t="e">
        <f>VLOOKUP(D532,#REF!,2,0)</f>
        <v>#REF!</v>
      </c>
      <c r="Y532" s="67" t="b">
        <f>F532=I532</f>
        <v>1</v>
      </c>
    </row>
    <row r="533" spans="1:26" ht="13.65" customHeight="1">
      <c r="A533" s="91">
        <v>532</v>
      </c>
      <c r="B533" s="52" t="s">
        <v>174</v>
      </c>
      <c r="C533" s="3" t="str">
        <f>VLOOKUP(D533,'lista 1'!$A$2:$F4051,4,0)</f>
        <v>WOJTOWICZ WIESŁAW</v>
      </c>
      <c r="D533" s="74">
        <v>2185</v>
      </c>
      <c r="E533" s="4" t="str">
        <f>VLOOKUP(D533,'lista 1'!$A$2:$F$1802,5,0)</f>
        <v>AC TL</v>
      </c>
      <c r="F533" s="59" t="str">
        <f>VLOOKUP(G533,'lista obszary'!A:B,2,0)</f>
        <v>MTB0</v>
      </c>
      <c r="G533" s="76" t="s">
        <v>1270</v>
      </c>
      <c r="H533" s="85" t="s">
        <v>346</v>
      </c>
      <c r="I533" s="59" t="str">
        <f>VLOOKUP(J533,'lista obszary'!A:B,2,0)</f>
        <v>MTB0</v>
      </c>
      <c r="J533" s="78" t="s">
        <v>220</v>
      </c>
      <c r="K533" s="87" t="s">
        <v>1877</v>
      </c>
      <c r="L533" s="82" t="s">
        <v>2550</v>
      </c>
      <c r="M533" s="22"/>
      <c r="N533" s="22"/>
      <c r="O533" s="22"/>
      <c r="P533" s="19" t="s">
        <v>175</v>
      </c>
      <c r="Q533" s="26"/>
      <c r="R533" s="26"/>
      <c r="S533" s="47"/>
      <c r="T533" s="4" t="e">
        <f>VLOOKUP(#REF!,#REF!,2,0)</f>
        <v>#REF!</v>
      </c>
      <c r="U533" s="20" t="e">
        <f t="shared" si="15"/>
        <v>#REF!</v>
      </c>
      <c r="V533" s="47"/>
      <c r="W533" s="43"/>
      <c r="X533" s="66" t="e">
        <f>VLOOKUP(D533,#REF!,2,0)</f>
        <v>#REF!</v>
      </c>
      <c r="Y533" s="67" t="s">
        <v>2643</v>
      </c>
      <c r="Z533" s="67" t="b">
        <f>I533=F533</f>
        <v>1</v>
      </c>
    </row>
    <row r="534" spans="1:26" ht="13.65" customHeight="1">
      <c r="A534" s="91">
        <v>533</v>
      </c>
      <c r="B534" s="52" t="s">
        <v>174</v>
      </c>
      <c r="C534" s="3" t="str">
        <f>VLOOKUP(D534,'lista 1'!$A$2:$F4052,4,0)</f>
        <v>MATUSIAK AGNIESZKA</v>
      </c>
      <c r="D534" s="74">
        <v>2446</v>
      </c>
      <c r="E534" s="4" t="str">
        <f>VLOOKUP(D534,'lista 1'!$A$2:$F$1802,5,0)</f>
        <v>TM2</v>
      </c>
      <c r="F534" s="59" t="str">
        <f>VLOOKUP(G534,'lista obszary'!A:B,2,0)</f>
        <v>MTB0</v>
      </c>
      <c r="G534" s="76" t="s">
        <v>1262</v>
      </c>
      <c r="H534" s="85" t="s">
        <v>1383</v>
      </c>
      <c r="I534" s="59" t="str">
        <f>VLOOKUP(J534,'lista obszary'!A:B,2,0)</f>
        <v>MTB0</v>
      </c>
      <c r="J534" s="78" t="s">
        <v>220</v>
      </c>
      <c r="K534" s="87" t="s">
        <v>1877</v>
      </c>
      <c r="L534" s="82" t="s">
        <v>2550</v>
      </c>
      <c r="M534" s="22"/>
      <c r="N534" s="22"/>
      <c r="O534" s="22"/>
      <c r="P534" s="19" t="s">
        <v>175</v>
      </c>
      <c r="Q534" s="26" t="s">
        <v>2101</v>
      </c>
      <c r="R534" s="60">
        <v>43815</v>
      </c>
      <c r="S534" s="47"/>
      <c r="T534" s="4" t="e">
        <f>VLOOKUP(#REF!,#REF!,2,0)</f>
        <v>#REF!</v>
      </c>
      <c r="U534" s="20" t="e">
        <f t="shared" si="15"/>
        <v>#REF!</v>
      </c>
      <c r="V534" s="47"/>
      <c r="W534" s="43"/>
      <c r="X534" s="66" t="e">
        <f>VLOOKUP(D534,#REF!,2,0)</f>
        <v>#REF!</v>
      </c>
      <c r="Y534" s="67" t="s">
        <v>2643</v>
      </c>
      <c r="Z534" s="67" t="b">
        <f>I534=F534</f>
        <v>1</v>
      </c>
    </row>
    <row r="535" spans="1:26" ht="13.65" customHeight="1">
      <c r="A535" s="91">
        <v>534</v>
      </c>
      <c r="B535" s="52" t="s">
        <v>174</v>
      </c>
      <c r="C535" s="3" t="str">
        <f>VLOOKUP(D535,'lista 1'!$A$2:$F4053,4,0)</f>
        <v>STACHOWCZYK DANIEL</v>
      </c>
      <c r="D535" s="74">
        <v>2472</v>
      </c>
      <c r="E535" s="4" t="str">
        <f>VLOOKUP(D535,'lista 1'!$A$2:$F$1802,5,0)</f>
        <v>AC TL</v>
      </c>
      <c r="F535" s="59" t="str">
        <f>VLOOKUP(G535,'lista obszary'!A:B,2,0)</f>
        <v>MTB0</v>
      </c>
      <c r="G535" s="76" t="s">
        <v>452</v>
      </c>
      <c r="H535" s="85" t="s">
        <v>346</v>
      </c>
      <c r="I535" s="59" t="str">
        <f>VLOOKUP(J535,'lista obszary'!A:B,2,0)</f>
        <v>MTB0</v>
      </c>
      <c r="J535" s="78" t="s">
        <v>220</v>
      </c>
      <c r="K535" s="87" t="s">
        <v>1877</v>
      </c>
      <c r="L535" s="82" t="s">
        <v>2550</v>
      </c>
      <c r="M535" s="22"/>
      <c r="N535" s="22"/>
      <c r="O535" s="22"/>
      <c r="P535" s="19" t="s">
        <v>175</v>
      </c>
      <c r="Q535" s="26"/>
      <c r="R535" s="26"/>
      <c r="S535" s="47"/>
      <c r="T535" s="4" t="e">
        <f>VLOOKUP(#REF!,#REF!,2,0)</f>
        <v>#REF!</v>
      </c>
      <c r="U535" s="20" t="e">
        <f t="shared" si="15"/>
        <v>#REF!</v>
      </c>
      <c r="V535" s="47"/>
      <c r="W535" s="43"/>
      <c r="X535" s="66" t="e">
        <f>VLOOKUP(D535,#REF!,2,0)</f>
        <v>#REF!</v>
      </c>
      <c r="Y535" s="67" t="s">
        <v>2643</v>
      </c>
      <c r="Z535" s="67" t="b">
        <f>I535=F535</f>
        <v>1</v>
      </c>
    </row>
    <row r="536" spans="1:26" ht="13.65" customHeight="1">
      <c r="A536" s="91">
        <v>535</v>
      </c>
      <c r="B536" s="52" t="s">
        <v>174</v>
      </c>
      <c r="C536" s="3" t="e">
        <f>VLOOKUP(D536,'lista 1'!$A$2:$F4054,4,0)</f>
        <v>#N/A</v>
      </c>
      <c r="D536" s="74">
        <v>64346</v>
      </c>
      <c r="E536" s="4" t="e">
        <f>VLOOKUP(D536,'lista 1'!$A$2:$F$1802,5,0)</f>
        <v>#N/A</v>
      </c>
      <c r="F536" s="59" t="str">
        <f>VLOOKUP(G536,'lista obszary'!A:B,2,0)</f>
        <v>MTB0</v>
      </c>
      <c r="G536" s="76" t="s">
        <v>454</v>
      </c>
      <c r="H536" s="85" t="s">
        <v>1383</v>
      </c>
      <c r="I536" s="59" t="str">
        <f>VLOOKUP(J536,'lista obszary'!A:B,2,0)</f>
        <v>MTB0</v>
      </c>
      <c r="J536" s="78" t="s">
        <v>220</v>
      </c>
      <c r="K536" s="87" t="s">
        <v>1877</v>
      </c>
      <c r="L536" s="82" t="s">
        <v>2550</v>
      </c>
      <c r="M536" s="22"/>
      <c r="N536" s="22"/>
      <c r="O536" s="22"/>
      <c r="P536" s="19" t="s">
        <v>175</v>
      </c>
      <c r="Q536" s="26"/>
      <c r="R536" s="26"/>
      <c r="S536" s="47"/>
      <c r="T536" s="4" t="e">
        <f>VLOOKUP(#REF!,#REF!,2,0)</f>
        <v>#REF!</v>
      </c>
      <c r="U536" s="20" t="e">
        <f t="shared" si="15"/>
        <v>#REF!</v>
      </c>
      <c r="V536" s="47"/>
      <c r="W536" s="43"/>
      <c r="X536" s="66" t="e">
        <f>VLOOKUP(D536,#REF!,2,0)</f>
        <v>#REF!</v>
      </c>
      <c r="Y536" s="67" t="b">
        <f>F536=I536</f>
        <v>1</v>
      </c>
    </row>
    <row r="537" spans="1:26" ht="13.65" customHeight="1">
      <c r="A537" s="91">
        <v>536</v>
      </c>
      <c r="B537" s="52" t="s">
        <v>2533</v>
      </c>
      <c r="C537" s="3" t="e">
        <f>VLOOKUP(D537,'lista 1'!$A$2:$F4055,4,0)</f>
        <v>#N/A</v>
      </c>
      <c r="D537" s="74">
        <v>64358</v>
      </c>
      <c r="E537" s="4" t="e">
        <f>VLOOKUP(D537,'lista 1'!$A$2:$F$1802,5,0)</f>
        <v>#N/A</v>
      </c>
      <c r="F537" s="59" t="str">
        <f>VLOOKUP(G537,'lista obszary'!A:B,2,0)</f>
        <v>MTB0</v>
      </c>
      <c r="G537" s="76" t="s">
        <v>1090</v>
      </c>
      <c r="H537" s="85" t="s">
        <v>1908</v>
      </c>
      <c r="I537" s="59" t="str">
        <f>VLOOKUP(J537,'lista obszary'!A:B,2,0)</f>
        <v>EC60</v>
      </c>
      <c r="J537" s="78" t="s">
        <v>549</v>
      </c>
      <c r="K537" s="87" t="s">
        <v>1881</v>
      </c>
      <c r="L537" s="82" t="s">
        <v>2550</v>
      </c>
      <c r="M537" s="22"/>
      <c r="N537" s="22"/>
      <c r="O537" s="22"/>
      <c r="P537" s="19" t="s">
        <v>175</v>
      </c>
      <c r="Q537" s="26"/>
      <c r="R537" s="26"/>
      <c r="S537" s="47"/>
      <c r="T537" s="4" t="e">
        <f>VLOOKUP(#REF!,#REF!,2,0)</f>
        <v>#REF!</v>
      </c>
      <c r="U537" s="20" t="e">
        <f t="shared" ref="U537:U559" si="16">L537-T537</f>
        <v>#REF!</v>
      </c>
      <c r="V537" s="47"/>
      <c r="W537" s="43"/>
      <c r="X537" s="66" t="e">
        <f>VLOOKUP(D537,#REF!,2,0)</f>
        <v>#REF!</v>
      </c>
      <c r="Y537" s="67" t="s">
        <v>2648</v>
      </c>
    </row>
    <row r="538" spans="1:26" ht="13.65" customHeight="1">
      <c r="A538" s="91">
        <v>537</v>
      </c>
      <c r="B538" s="52" t="s">
        <v>174</v>
      </c>
      <c r="C538" s="3" t="e">
        <f>VLOOKUP(D538,'lista 1'!$A$2:$F4056,4,0)</f>
        <v>#N/A</v>
      </c>
      <c r="D538" s="74">
        <v>64418</v>
      </c>
      <c r="E538" s="4" t="e">
        <f>VLOOKUP(D538,'lista 1'!$A$2:$F$1802,5,0)</f>
        <v>#N/A</v>
      </c>
      <c r="F538" s="59" t="str">
        <f>VLOOKUP(G538,'lista obszary'!A:B,2,0)</f>
        <v>FORGING</v>
      </c>
      <c r="G538" s="76" t="s">
        <v>845</v>
      </c>
      <c r="H538" s="85" t="s">
        <v>1379</v>
      </c>
      <c r="I538" s="59" t="str">
        <f>VLOOKUP(J538,'lista obszary'!A:B,2,0)</f>
        <v>FORGING</v>
      </c>
      <c r="J538" s="78" t="s">
        <v>771</v>
      </c>
      <c r="K538" s="87" t="s">
        <v>1370</v>
      </c>
      <c r="L538" s="82" t="s">
        <v>2550</v>
      </c>
      <c r="M538" s="22"/>
      <c r="N538" s="22"/>
      <c r="O538" s="22"/>
      <c r="P538" s="19" t="s">
        <v>175</v>
      </c>
      <c r="Q538" s="26"/>
      <c r="R538" s="26"/>
      <c r="S538" s="47"/>
      <c r="T538" s="4" t="e">
        <f>VLOOKUP(#REF!,#REF!,2,0)</f>
        <v>#REF!</v>
      </c>
      <c r="U538" s="20" t="e">
        <f t="shared" si="16"/>
        <v>#REF!</v>
      </c>
      <c r="V538" s="47"/>
      <c r="W538" s="43"/>
      <c r="X538" s="66" t="e">
        <f>VLOOKUP(D538,#REF!,2,0)</f>
        <v>#REF!</v>
      </c>
      <c r="Y538" s="67" t="b">
        <f>F538=I538</f>
        <v>1</v>
      </c>
    </row>
    <row r="539" spans="1:26" ht="13.65" customHeight="1">
      <c r="A539" s="91">
        <v>538</v>
      </c>
      <c r="B539" s="52" t="s">
        <v>174</v>
      </c>
      <c r="C539" s="3" t="e">
        <f>VLOOKUP(D539,'lista 1'!$A$2:$F4057,4,0)</f>
        <v>#N/A</v>
      </c>
      <c r="D539" s="74">
        <v>64448</v>
      </c>
      <c r="E539" s="4" t="e">
        <f>VLOOKUP(D539,'lista 1'!$A$2:$F$1802,5,0)</f>
        <v>#N/A</v>
      </c>
      <c r="F539" s="59" t="str">
        <f>VLOOKUP(G539,'lista obszary'!A:B,2,0)</f>
        <v>IL</v>
      </c>
      <c r="G539" s="76" t="s">
        <v>1039</v>
      </c>
      <c r="H539" s="85" t="s">
        <v>1561</v>
      </c>
      <c r="I539" s="59" t="str">
        <f>VLOOKUP(J539,'lista obszary'!A:B,2,0)</f>
        <v>IL</v>
      </c>
      <c r="J539" s="78" t="s">
        <v>2473</v>
      </c>
      <c r="K539" s="87" t="s">
        <v>2158</v>
      </c>
      <c r="L539" s="82" t="s">
        <v>2550</v>
      </c>
      <c r="M539" s="22"/>
      <c r="N539" s="22"/>
      <c r="O539" s="22"/>
      <c r="P539" s="19" t="s">
        <v>175</v>
      </c>
      <c r="Q539" s="26"/>
      <c r="R539" s="26"/>
      <c r="S539" s="47"/>
      <c r="T539" s="4" t="e">
        <f>VLOOKUP(#REF!,#REF!,2,0)</f>
        <v>#REF!</v>
      </c>
      <c r="U539" s="20" t="e">
        <f t="shared" si="16"/>
        <v>#REF!</v>
      </c>
      <c r="V539" s="47"/>
      <c r="W539" s="43"/>
      <c r="X539" s="66" t="e">
        <f>VLOOKUP(D539,#REF!,2,0)</f>
        <v>#REF!</v>
      </c>
      <c r="Y539" s="67" t="b">
        <f>F539=I539</f>
        <v>1</v>
      </c>
    </row>
    <row r="540" spans="1:26" ht="13.65" customHeight="1">
      <c r="A540" s="91">
        <v>539</v>
      </c>
      <c r="B540" s="52" t="s">
        <v>2533</v>
      </c>
      <c r="C540" s="3" t="e">
        <f>VLOOKUP(D540,'lista 1'!$A$2:$F4058,4,0)</f>
        <v>#N/A</v>
      </c>
      <c r="D540" s="74">
        <v>70520</v>
      </c>
      <c r="E540" s="4" t="e">
        <f>VLOOKUP(D540,'lista 1'!$A$2:$F$1802,5,0)</f>
        <v>#N/A</v>
      </c>
      <c r="F540" s="59" t="str">
        <f>VLOOKUP(G540,'lista obszary'!A:B,2,0)</f>
        <v>MTB0</v>
      </c>
      <c r="G540" s="76" t="s">
        <v>503</v>
      </c>
      <c r="H540" s="85" t="s">
        <v>1565</v>
      </c>
      <c r="I540" s="59" t="str">
        <f>VLOOKUP(J540,'lista obszary'!A:B,2,0)</f>
        <v>EC60</v>
      </c>
      <c r="J540" s="78" t="s">
        <v>549</v>
      </c>
      <c r="K540" s="87" t="s">
        <v>1881</v>
      </c>
      <c r="L540" s="82" t="s">
        <v>2550</v>
      </c>
      <c r="M540" s="22"/>
      <c r="N540" s="22"/>
      <c r="O540" s="22"/>
      <c r="P540" s="19" t="s">
        <v>175</v>
      </c>
      <c r="Q540" s="26"/>
      <c r="R540" s="26"/>
      <c r="S540" s="47"/>
      <c r="T540" s="4" t="e">
        <f>VLOOKUP(#REF!,#REF!,2,0)</f>
        <v>#REF!</v>
      </c>
      <c r="U540" s="20" t="e">
        <f t="shared" si="16"/>
        <v>#REF!</v>
      </c>
      <c r="V540" s="47"/>
      <c r="W540" s="43"/>
      <c r="X540" s="66" t="e">
        <f>VLOOKUP(D540,#REF!,2,0)</f>
        <v>#REF!</v>
      </c>
      <c r="Y540" s="67" t="b">
        <f>F540=I540</f>
        <v>0</v>
      </c>
    </row>
    <row r="541" spans="1:26" ht="13.65" customHeight="1">
      <c r="A541" s="91">
        <v>540</v>
      </c>
      <c r="B541" s="52" t="s">
        <v>174</v>
      </c>
      <c r="C541" s="3" t="e">
        <f>VLOOKUP(D541,'lista 1'!$A$2:$F4059,4,0)</f>
        <v>#N/A</v>
      </c>
      <c r="D541" s="74">
        <v>70534</v>
      </c>
      <c r="E541" s="4" t="e">
        <f>VLOOKUP(D541,'lista 1'!$A$2:$F$1802,5,0)</f>
        <v>#N/A</v>
      </c>
      <c r="F541" s="59" t="str">
        <f>VLOOKUP(G541,'lista obszary'!A:B,2,0)</f>
        <v>IL</v>
      </c>
      <c r="G541" s="76" t="s">
        <v>1039</v>
      </c>
      <c r="H541" s="85" t="s">
        <v>1561</v>
      </c>
      <c r="I541" s="59" t="str">
        <f>VLOOKUP(J541,'lista obszary'!A:B,2,0)</f>
        <v>IL</v>
      </c>
      <c r="J541" s="78" t="s">
        <v>507</v>
      </c>
      <c r="K541" s="87" t="s">
        <v>1562</v>
      </c>
      <c r="L541" s="82" t="s">
        <v>2550</v>
      </c>
      <c r="M541" s="22"/>
      <c r="N541" s="22"/>
      <c r="O541" s="22"/>
      <c r="P541" s="19" t="s">
        <v>175</v>
      </c>
      <c r="Q541" s="26"/>
      <c r="R541" s="26"/>
      <c r="S541" s="47"/>
      <c r="T541" s="4" t="e">
        <f>VLOOKUP(#REF!,#REF!,2,0)</f>
        <v>#REF!</v>
      </c>
      <c r="U541" s="20" t="e">
        <f t="shared" si="16"/>
        <v>#REF!</v>
      </c>
      <c r="V541" s="47"/>
      <c r="W541" s="43"/>
      <c r="X541" s="66" t="e">
        <f>VLOOKUP(D541,#REF!,2,0)</f>
        <v>#REF!</v>
      </c>
      <c r="Y541" s="67" t="b">
        <f>F541=I541</f>
        <v>1</v>
      </c>
    </row>
    <row r="542" spans="1:26" ht="13.65" customHeight="1">
      <c r="A542" s="91">
        <v>541</v>
      </c>
      <c r="B542" s="52" t="s">
        <v>174</v>
      </c>
      <c r="C542" s="3" t="str">
        <f>VLOOKUP(D542,'lista 1'!$A$2:$F4060,4,0)</f>
        <v>ŚWIĘTONIOWSKI ADAM</v>
      </c>
      <c r="D542" s="74">
        <v>341</v>
      </c>
      <c r="E542" s="4" t="str">
        <f>VLOOKUP(D542,'lista 1'!$A$2:$F$1802,5,0)</f>
        <v>TM2</v>
      </c>
      <c r="F542" s="59" t="str">
        <f>VLOOKUP(G542,'lista obszary'!A:B,2,0)</f>
        <v>FORGING</v>
      </c>
      <c r="G542" s="76" t="s">
        <v>1214</v>
      </c>
      <c r="H542" s="85" t="s">
        <v>1370</v>
      </c>
      <c r="I542" s="59" t="str">
        <f>VLOOKUP(J542,'lista obszary'!A:B,2,0)</f>
        <v>FORGING</v>
      </c>
      <c r="J542" s="78" t="s">
        <v>771</v>
      </c>
      <c r="K542" s="87" t="s">
        <v>1370</v>
      </c>
      <c r="L542" s="82" t="s">
        <v>2554</v>
      </c>
      <c r="M542" s="22"/>
      <c r="N542" s="22"/>
      <c r="O542" s="22"/>
      <c r="P542" s="19" t="s">
        <v>175</v>
      </c>
      <c r="Q542" s="26"/>
      <c r="R542" s="26"/>
      <c r="S542" s="47"/>
      <c r="T542" s="4" t="e">
        <f>VLOOKUP(#REF!,#REF!,2,0)</f>
        <v>#REF!</v>
      </c>
      <c r="U542" s="20" t="e">
        <f t="shared" si="16"/>
        <v>#REF!</v>
      </c>
      <c r="V542" s="47"/>
      <c r="W542" s="43"/>
      <c r="X542" s="66" t="e">
        <f>VLOOKUP(D542,#REF!,2,0)</f>
        <v>#REF!</v>
      </c>
      <c r="Y542" s="67" t="s">
        <v>2643</v>
      </c>
      <c r="Z542" s="67" t="b">
        <f t="shared" ref="Z542:Z549" si="17">I542=F542</f>
        <v>1</v>
      </c>
    </row>
    <row r="543" spans="1:26" ht="13.65" customHeight="1">
      <c r="A543" s="91">
        <v>542</v>
      </c>
      <c r="B543" s="52" t="s">
        <v>2533</v>
      </c>
      <c r="C543" s="3" t="str">
        <f>VLOOKUP(D543,'lista 1'!$A$2:$F4061,4,0)</f>
        <v>NAPIÓRA TOMASZ</v>
      </c>
      <c r="D543" s="74">
        <v>507</v>
      </c>
      <c r="E543" s="4" t="str">
        <f>VLOOKUP(D543,'lista 1'!$A$2:$F$1802,5,0)</f>
        <v>TM2</v>
      </c>
      <c r="F543" s="59" t="str">
        <f>VLOOKUP(G543,'lista obszary'!A:B,2,0)</f>
        <v>ENGINES</v>
      </c>
      <c r="G543" s="76" t="s">
        <v>596</v>
      </c>
      <c r="H543" s="85" t="s">
        <v>2277</v>
      </c>
      <c r="I543" s="59" t="str">
        <f>VLOOKUP(J543,'lista obszary'!A:B,2,0)</f>
        <v>HV</v>
      </c>
      <c r="J543" s="78" t="s">
        <v>2325</v>
      </c>
      <c r="K543" s="87" t="s">
        <v>345</v>
      </c>
      <c r="L543" s="82" t="s">
        <v>2554</v>
      </c>
      <c r="M543" s="22"/>
      <c r="N543" s="22"/>
      <c r="O543" s="22"/>
      <c r="P543" s="19" t="s">
        <v>175</v>
      </c>
      <c r="Q543" s="26"/>
      <c r="R543" s="26"/>
      <c r="S543" s="47"/>
      <c r="T543" s="4" t="e">
        <f>VLOOKUP(#REF!,#REF!,2,0)</f>
        <v>#REF!</v>
      </c>
      <c r="U543" s="20" t="e">
        <f t="shared" si="16"/>
        <v>#REF!</v>
      </c>
      <c r="V543" s="47"/>
      <c r="W543" s="43"/>
      <c r="X543" s="66" t="e">
        <f>VLOOKUP(D543,#REF!,2,0)</f>
        <v>#REF!</v>
      </c>
      <c r="Y543" s="67" t="s">
        <v>2645</v>
      </c>
      <c r="Z543" s="67" t="b">
        <f t="shared" si="17"/>
        <v>0</v>
      </c>
    </row>
    <row r="544" spans="1:26" ht="13.65" customHeight="1">
      <c r="A544" s="91">
        <v>543</v>
      </c>
      <c r="B544" s="52" t="s">
        <v>174</v>
      </c>
      <c r="C544" s="3" t="str">
        <f>VLOOKUP(D544,'lista 1'!$A$2:$F4062,4,0)</f>
        <v>DROŻDŻ GRZEGORZ</v>
      </c>
      <c r="D544" s="74">
        <v>555</v>
      </c>
      <c r="E544" s="4" t="str">
        <f>VLOOKUP(D544,'lista 1'!$A$2:$F$1802,5,0)</f>
        <v>TM2</v>
      </c>
      <c r="F544" s="59" t="str">
        <f>VLOOKUP(G544,'lista obszary'!A:B,2,0)</f>
        <v>FORGING</v>
      </c>
      <c r="G544" s="76" t="s">
        <v>1226</v>
      </c>
      <c r="H544" s="85" t="s">
        <v>1378</v>
      </c>
      <c r="I544" s="59" t="str">
        <f>VLOOKUP(J544,'lista obszary'!A:B,2,0)</f>
        <v>FORGING</v>
      </c>
      <c r="J544" s="78" t="s">
        <v>771</v>
      </c>
      <c r="K544" s="87" t="s">
        <v>1370</v>
      </c>
      <c r="L544" s="82" t="s">
        <v>2554</v>
      </c>
      <c r="M544" s="22"/>
      <c r="N544" s="22"/>
      <c r="O544" s="22"/>
      <c r="P544" s="19" t="s">
        <v>175</v>
      </c>
      <c r="Q544" s="26"/>
      <c r="R544" s="26"/>
      <c r="S544" s="47"/>
      <c r="T544" s="4" t="e">
        <f>VLOOKUP(#REF!,#REF!,2,0)</f>
        <v>#REF!</v>
      </c>
      <c r="U544" s="20" t="e">
        <f t="shared" si="16"/>
        <v>#REF!</v>
      </c>
      <c r="V544" s="47"/>
      <c r="W544" s="43"/>
      <c r="X544" s="66" t="e">
        <f>VLOOKUP(D544,#REF!,2,0)</f>
        <v>#REF!</v>
      </c>
      <c r="Y544" s="67" t="s">
        <v>2643</v>
      </c>
      <c r="Z544" s="67" t="b">
        <f t="shared" si="17"/>
        <v>1</v>
      </c>
    </row>
    <row r="545" spans="1:26" ht="13.65" customHeight="1">
      <c r="A545" s="91">
        <v>544</v>
      </c>
      <c r="B545" s="52" t="s">
        <v>174</v>
      </c>
      <c r="C545" s="3" t="str">
        <f>VLOOKUP(D545,'lista 1'!$A$2:$F4063,4,0)</f>
        <v>GÓRNY MIECZYSŁAW</v>
      </c>
      <c r="D545" s="74">
        <v>612</v>
      </c>
      <c r="E545" s="4" t="str">
        <f>VLOOKUP(D545,'lista 1'!$A$2:$F$1802,5,0)</f>
        <v>TM2</v>
      </c>
      <c r="F545" s="59" t="str">
        <f>VLOOKUP(G545,'lista obszary'!A:B,2,0)</f>
        <v>FORGING</v>
      </c>
      <c r="G545" s="76" t="s">
        <v>1350</v>
      </c>
      <c r="H545" s="85" t="s">
        <v>1378</v>
      </c>
      <c r="I545" s="59" t="str">
        <f>VLOOKUP(J545,'lista obszary'!A:B,2,0)</f>
        <v>FORGING</v>
      </c>
      <c r="J545" s="78" t="s">
        <v>1335</v>
      </c>
      <c r="K545" s="87" t="s">
        <v>1543</v>
      </c>
      <c r="L545" s="82" t="s">
        <v>2554</v>
      </c>
      <c r="M545" s="22"/>
      <c r="N545" s="22"/>
      <c r="O545" s="22"/>
      <c r="P545" s="19" t="s">
        <v>175</v>
      </c>
      <c r="Q545" s="26"/>
      <c r="R545" s="26"/>
      <c r="S545" s="47"/>
      <c r="T545" s="4" t="e">
        <f>VLOOKUP(#REF!,#REF!,2,0)</f>
        <v>#REF!</v>
      </c>
      <c r="U545" s="20" t="e">
        <f t="shared" si="16"/>
        <v>#REF!</v>
      </c>
      <c r="V545" s="47"/>
      <c r="W545" s="43"/>
      <c r="X545" s="66" t="e">
        <f>VLOOKUP(D545,#REF!,2,0)</f>
        <v>#REF!</v>
      </c>
      <c r="Y545" s="67" t="s">
        <v>2643</v>
      </c>
      <c r="Z545" s="67" t="b">
        <f t="shared" si="17"/>
        <v>1</v>
      </c>
    </row>
    <row r="546" spans="1:26" ht="13.65" customHeight="1">
      <c r="A546" s="91">
        <v>545</v>
      </c>
      <c r="B546" s="52" t="s">
        <v>174</v>
      </c>
      <c r="C546" s="3" t="str">
        <f>VLOOKUP(D546,'lista 1'!$A$2:$F4064,4,0)</f>
        <v>DĄBROWSKI MAREK</v>
      </c>
      <c r="D546" s="74">
        <v>1288</v>
      </c>
      <c r="E546" s="4" t="str">
        <f>VLOOKUP(D546,'lista 1'!$A$2:$F$1802,5,0)</f>
        <v>TM2</v>
      </c>
      <c r="F546" s="59" t="str">
        <f>VLOOKUP(G546,'lista obszary'!A:B,2,0)</f>
        <v>ENGINES</v>
      </c>
      <c r="G546" s="76" t="s">
        <v>1264</v>
      </c>
      <c r="H546" s="85" t="s">
        <v>1396</v>
      </c>
      <c r="I546" s="59" t="str">
        <f>VLOOKUP(J546,'lista obszary'!A:B,2,0)</f>
        <v>ENGINES</v>
      </c>
      <c r="J546" s="78" t="s">
        <v>238</v>
      </c>
      <c r="K546" s="87" t="s">
        <v>1584</v>
      </c>
      <c r="L546" s="82" t="s">
        <v>2554</v>
      </c>
      <c r="M546" s="22"/>
      <c r="N546" s="22"/>
      <c r="O546" s="22"/>
      <c r="P546" s="19" t="s">
        <v>175</v>
      </c>
      <c r="Q546" s="26"/>
      <c r="R546" s="26"/>
      <c r="S546" s="47"/>
      <c r="T546" s="4" t="e">
        <f>VLOOKUP(#REF!,#REF!,2,0)</f>
        <v>#REF!</v>
      </c>
      <c r="U546" s="20" t="e">
        <f t="shared" si="16"/>
        <v>#REF!</v>
      </c>
      <c r="V546" s="47"/>
      <c r="W546" s="43"/>
      <c r="X546" s="66" t="e">
        <f>VLOOKUP(D546,#REF!,2,0)</f>
        <v>#REF!</v>
      </c>
      <c r="Y546" s="67" t="s">
        <v>2643</v>
      </c>
      <c r="Z546" s="67" t="b">
        <f t="shared" si="17"/>
        <v>1</v>
      </c>
    </row>
    <row r="547" spans="1:26" ht="13.65" customHeight="1">
      <c r="A547" s="91">
        <v>546</v>
      </c>
      <c r="B547" s="52" t="s">
        <v>174</v>
      </c>
      <c r="C547" s="3" t="str">
        <f>VLOOKUP(D547,'lista 1'!$A$2:$F4065,4,0)</f>
        <v>KOGUT RADOSŁAW</v>
      </c>
      <c r="D547" s="74">
        <v>1398</v>
      </c>
      <c r="E547" s="4" t="str">
        <f>VLOOKUP(D547,'lista 1'!$A$2:$F$1802,5,0)</f>
        <v>AC TL</v>
      </c>
      <c r="F547" s="59" t="str">
        <f>VLOOKUP(G547,'lista obszary'!A:B,2,0)</f>
        <v>ENGINES</v>
      </c>
      <c r="G547" s="76" t="s">
        <v>602</v>
      </c>
      <c r="H547" s="85" t="s">
        <v>1392</v>
      </c>
      <c r="I547" s="59" t="str">
        <f>VLOOKUP(J547,'lista obszary'!A:B,2,0)</f>
        <v>ENGINES</v>
      </c>
      <c r="J547" s="78" t="s">
        <v>238</v>
      </c>
      <c r="K547" s="87" t="s">
        <v>1584</v>
      </c>
      <c r="L547" s="82" t="s">
        <v>2554</v>
      </c>
      <c r="M547" s="22"/>
      <c r="N547" s="22"/>
      <c r="O547" s="22"/>
      <c r="P547" s="19" t="s">
        <v>175</v>
      </c>
      <c r="Q547" s="26"/>
      <c r="R547" s="26"/>
      <c r="S547" s="47"/>
      <c r="T547" s="4" t="e">
        <f>VLOOKUP(#REF!,#REF!,2,0)</f>
        <v>#REF!</v>
      </c>
      <c r="U547" s="20" t="e">
        <f t="shared" si="16"/>
        <v>#REF!</v>
      </c>
      <c r="V547" s="47"/>
      <c r="W547" s="43"/>
      <c r="X547" s="66" t="e">
        <f>VLOOKUP(D547,#REF!,2,0)</f>
        <v>#REF!</v>
      </c>
      <c r="Y547" s="67" t="s">
        <v>2643</v>
      </c>
      <c r="Z547" s="67" t="b">
        <f t="shared" si="17"/>
        <v>1</v>
      </c>
    </row>
    <row r="548" spans="1:26" ht="13.65" customHeight="1">
      <c r="A548" s="91">
        <v>547</v>
      </c>
      <c r="B548" s="52" t="s">
        <v>174</v>
      </c>
      <c r="C548" s="3" t="str">
        <f>VLOOKUP(D548,'lista 1'!$A$2:$F4066,4,0)</f>
        <v>CZERWIAK MARCIN</v>
      </c>
      <c r="D548" s="74">
        <v>1464</v>
      </c>
      <c r="E548" s="4" t="str">
        <f>VLOOKUP(D548,'lista 1'!$A$2:$F$1802,5,0)</f>
        <v>TM2</v>
      </c>
      <c r="F548" s="59" t="str">
        <f>VLOOKUP(G548,'lista obszary'!A:B,2,0)</f>
        <v>ENGINES</v>
      </c>
      <c r="G548" s="76" t="s">
        <v>595</v>
      </c>
      <c r="H548" s="85" t="s">
        <v>1906</v>
      </c>
      <c r="I548" s="59" t="str">
        <f>VLOOKUP(J548,'lista obszary'!A:B,2,0)</f>
        <v>ENGINES</v>
      </c>
      <c r="J548" s="78" t="s">
        <v>238</v>
      </c>
      <c r="K548" s="87" t="s">
        <v>1584</v>
      </c>
      <c r="L548" s="82" t="s">
        <v>2554</v>
      </c>
      <c r="M548" s="22"/>
      <c r="N548" s="22"/>
      <c r="O548" s="22"/>
      <c r="P548" s="19" t="s">
        <v>175</v>
      </c>
      <c r="Q548" s="26"/>
      <c r="R548" s="26"/>
      <c r="S548" s="47"/>
      <c r="T548" s="4" t="e">
        <f>VLOOKUP(#REF!,#REF!,2,0)</f>
        <v>#REF!</v>
      </c>
      <c r="U548" s="20" t="e">
        <f t="shared" si="16"/>
        <v>#REF!</v>
      </c>
      <c r="V548" s="47"/>
      <c r="W548" s="43"/>
      <c r="X548" s="66" t="e">
        <f>VLOOKUP(D548,#REF!,2,0)</f>
        <v>#REF!</v>
      </c>
      <c r="Y548" s="67" t="s">
        <v>2643</v>
      </c>
      <c r="Z548" s="67" t="b">
        <f t="shared" si="17"/>
        <v>1</v>
      </c>
    </row>
    <row r="549" spans="1:26" ht="13.65" customHeight="1">
      <c r="A549" s="91">
        <v>548</v>
      </c>
      <c r="B549" s="52" t="s">
        <v>174</v>
      </c>
      <c r="C549" s="3" t="str">
        <f>VLOOKUP(D549,'lista 1'!$A$2:$F4067,4,0)</f>
        <v>SCHNEIDER PAWEŁ</v>
      </c>
      <c r="D549" s="74">
        <v>1521</v>
      </c>
      <c r="E549" s="4" t="str">
        <f>VLOOKUP(D549,'lista 1'!$A$2:$F$1802,5,0)</f>
        <v>AC TL</v>
      </c>
      <c r="F549" s="59" t="str">
        <f>VLOOKUP(G549,'lista obszary'!A:B,2,0)</f>
        <v>ENGINES</v>
      </c>
      <c r="G549" s="76" t="s">
        <v>318</v>
      </c>
      <c r="H549" s="85" t="s">
        <v>1380</v>
      </c>
      <c r="I549" s="59" t="str">
        <f>VLOOKUP(J549,'lista obszary'!A:B,2,0)</f>
        <v>ENGINES</v>
      </c>
      <c r="J549" s="78" t="s">
        <v>238</v>
      </c>
      <c r="K549" s="87" t="s">
        <v>1584</v>
      </c>
      <c r="L549" s="82" t="s">
        <v>2554</v>
      </c>
      <c r="M549" s="22"/>
      <c r="N549" s="22"/>
      <c r="O549" s="22"/>
      <c r="P549" s="19" t="s">
        <v>175</v>
      </c>
      <c r="Q549" s="26"/>
      <c r="R549" s="26"/>
      <c r="S549" s="47"/>
      <c r="T549" s="4" t="e">
        <f>VLOOKUP(#REF!,#REF!,2,0)</f>
        <v>#REF!</v>
      </c>
      <c r="U549" s="20" t="e">
        <f t="shared" si="16"/>
        <v>#REF!</v>
      </c>
      <c r="V549" s="47"/>
      <c r="W549" s="43"/>
      <c r="X549" s="66" t="e">
        <f>VLOOKUP(D549,#REF!,2,0)</f>
        <v>#REF!</v>
      </c>
      <c r="Y549" s="67" t="s">
        <v>2643</v>
      </c>
      <c r="Z549" s="67" t="b">
        <f t="shared" si="17"/>
        <v>1</v>
      </c>
    </row>
    <row r="550" spans="1:26" ht="13.65" customHeight="1">
      <c r="A550" s="91">
        <v>549</v>
      </c>
      <c r="B550" s="52" t="s">
        <v>174</v>
      </c>
      <c r="C550" s="3" t="str">
        <f>VLOOKUP(D550,'lista 1'!$A$2:$F4068,4,0)</f>
        <v>STROJNA AGNIESZKA</v>
      </c>
      <c r="D550" s="74">
        <v>1598</v>
      </c>
      <c r="E550" s="4" t="str">
        <f>VLOOKUP(D550,'lista 1'!$A$2:$F$1802,5,0)</f>
        <v>TM2</v>
      </c>
      <c r="F550" s="59" t="str">
        <f>VLOOKUP(G550,'lista obszary'!A:B,2,0)</f>
        <v>MTB0</v>
      </c>
      <c r="G550" s="76" t="s">
        <v>220</v>
      </c>
      <c r="H550" s="85" t="s">
        <v>1877</v>
      </c>
      <c r="I550" s="59" t="str">
        <f>VLOOKUP(J550,'lista obszary'!A:B,2,0)</f>
        <v>MTB0</v>
      </c>
      <c r="J550" s="78" t="s">
        <v>503</v>
      </c>
      <c r="K550" s="87" t="s">
        <v>1565</v>
      </c>
      <c r="L550" s="82" t="s">
        <v>2554</v>
      </c>
      <c r="M550" s="22"/>
      <c r="N550" s="22"/>
      <c r="O550" s="22"/>
      <c r="P550" s="19" t="s">
        <v>175</v>
      </c>
      <c r="Q550" s="26"/>
      <c r="R550" s="26"/>
      <c r="S550" s="47"/>
      <c r="T550" s="4" t="e">
        <f>VLOOKUP(#REF!,#REF!,2,0)</f>
        <v>#REF!</v>
      </c>
      <c r="U550" s="20" t="e">
        <f t="shared" si="16"/>
        <v>#REF!</v>
      </c>
      <c r="V550" s="47"/>
      <c r="W550" s="43"/>
      <c r="X550" s="66" t="e">
        <f>VLOOKUP(D550,#REF!,2,0)</f>
        <v>#REF!</v>
      </c>
      <c r="Y550" s="67" t="b">
        <f>F550=I550</f>
        <v>1</v>
      </c>
    </row>
    <row r="551" spans="1:26" ht="13.65" customHeight="1">
      <c r="A551" s="91">
        <v>550</v>
      </c>
      <c r="B551" s="52" t="s">
        <v>174</v>
      </c>
      <c r="C551" s="3" t="str">
        <f>VLOOKUP(D551,'lista 1'!$A$2:$F4069,4,0)</f>
        <v>WILK MARZENA</v>
      </c>
      <c r="D551" s="74">
        <v>1644</v>
      </c>
      <c r="E551" s="4" t="str">
        <f>VLOOKUP(D551,'lista 1'!$A$2:$F$1802,5,0)</f>
        <v>AC TL</v>
      </c>
      <c r="F551" s="59" t="str">
        <f>VLOOKUP(G551,'lista obszary'!A:B,2,0)</f>
        <v>ENGINES</v>
      </c>
      <c r="G551" s="76" t="s">
        <v>597</v>
      </c>
      <c r="H551" s="85" t="s">
        <v>1892</v>
      </c>
      <c r="I551" s="59" t="str">
        <f>VLOOKUP(J551,'lista obszary'!A:B,2,0)</f>
        <v>ENGINES</v>
      </c>
      <c r="J551" s="78" t="s">
        <v>238</v>
      </c>
      <c r="K551" s="87" t="s">
        <v>1584</v>
      </c>
      <c r="L551" s="82" t="s">
        <v>2554</v>
      </c>
      <c r="M551" s="22"/>
      <c r="N551" s="22"/>
      <c r="O551" s="22"/>
      <c r="P551" s="19" t="s">
        <v>175</v>
      </c>
      <c r="Q551" s="26"/>
      <c r="R551" s="26"/>
      <c r="S551" s="47"/>
      <c r="T551" s="4" t="e">
        <f>VLOOKUP(#REF!,#REF!,2,0)</f>
        <v>#REF!</v>
      </c>
      <c r="U551" s="20" t="e">
        <f t="shared" si="16"/>
        <v>#REF!</v>
      </c>
      <c r="V551" s="47"/>
      <c r="W551" s="43"/>
      <c r="X551" s="66" t="e">
        <f>VLOOKUP(D551,#REF!,2,0)</f>
        <v>#REF!</v>
      </c>
      <c r="Y551" s="67" t="s">
        <v>2643</v>
      </c>
      <c r="Z551" s="67" t="b">
        <f>I551=F551</f>
        <v>1</v>
      </c>
    </row>
    <row r="552" spans="1:26" ht="13.65" customHeight="1">
      <c r="A552" s="91">
        <v>551</v>
      </c>
      <c r="B552" s="52" t="s">
        <v>174</v>
      </c>
      <c r="C552" s="3" t="str">
        <f>VLOOKUP(D552,'lista 1'!$A$2:$F4070,4,0)</f>
        <v>BEDNARZ ZENONA</v>
      </c>
      <c r="D552" s="74">
        <v>1685</v>
      </c>
      <c r="E552" s="4" t="str">
        <f>VLOOKUP(D552,'lista 1'!$A$2:$F$1802,5,0)</f>
        <v>TM2</v>
      </c>
      <c r="F552" s="59" t="str">
        <f>VLOOKUP(G552,'lista obszary'!A:B,2,0)</f>
        <v>ENGINES</v>
      </c>
      <c r="G552" s="76" t="s">
        <v>178</v>
      </c>
      <c r="H552" s="85" t="s">
        <v>1556</v>
      </c>
      <c r="I552" s="59" t="str">
        <f>VLOOKUP(J552,'lista obszary'!A:B,2,0)</f>
        <v>ENGINES</v>
      </c>
      <c r="J552" s="78" t="s">
        <v>238</v>
      </c>
      <c r="K552" s="87" t="s">
        <v>1584</v>
      </c>
      <c r="L552" s="82" t="s">
        <v>2554</v>
      </c>
      <c r="M552" s="22"/>
      <c r="N552" s="22"/>
      <c r="O552" s="22"/>
      <c r="P552" s="19" t="s">
        <v>175</v>
      </c>
      <c r="Q552" s="26"/>
      <c r="R552" s="26"/>
      <c r="S552" s="47"/>
      <c r="T552" s="4" t="e">
        <f>VLOOKUP(#REF!,#REF!,2,0)</f>
        <v>#REF!</v>
      </c>
      <c r="U552" s="20" t="e">
        <f t="shared" si="16"/>
        <v>#REF!</v>
      </c>
      <c r="V552" s="47"/>
      <c r="W552" s="43"/>
      <c r="X552" s="66" t="e">
        <f>VLOOKUP(D552,#REF!,2,0)</f>
        <v>#REF!</v>
      </c>
      <c r="Y552" s="67" t="b">
        <f>F552=I552</f>
        <v>1</v>
      </c>
    </row>
    <row r="553" spans="1:26" ht="13.65" customHeight="1">
      <c r="A553" s="91">
        <v>552</v>
      </c>
      <c r="B553" s="52" t="s">
        <v>174</v>
      </c>
      <c r="C553" s="3" t="str">
        <f>VLOOKUP(D553,'lista 1'!$A$2:$F4071,4,0)</f>
        <v>CEBULA ANETA</v>
      </c>
      <c r="D553" s="74">
        <v>1772</v>
      </c>
      <c r="E553" s="4" t="str">
        <f>VLOOKUP(D553,'lista 1'!$A$2:$F$1802,5,0)</f>
        <v>TM2</v>
      </c>
      <c r="F553" s="59" t="str">
        <f>VLOOKUP(G553,'lista obszary'!A:B,2,0)</f>
        <v>ENGINES</v>
      </c>
      <c r="G553" s="76" t="s">
        <v>1264</v>
      </c>
      <c r="H553" s="85" t="s">
        <v>1396</v>
      </c>
      <c r="I553" s="59" t="str">
        <f>VLOOKUP(J553,'lista obszary'!A:B,2,0)</f>
        <v>ENGINES</v>
      </c>
      <c r="J553" s="78" t="s">
        <v>238</v>
      </c>
      <c r="K553" s="87" t="s">
        <v>1584</v>
      </c>
      <c r="L553" s="82" t="s">
        <v>2554</v>
      </c>
      <c r="M553" s="22"/>
      <c r="N553" s="22"/>
      <c r="O553" s="22"/>
      <c r="P553" s="19" t="s">
        <v>175</v>
      </c>
      <c r="Q553" s="26"/>
      <c r="R553" s="26"/>
      <c r="S553" s="47"/>
      <c r="T553" s="4" t="e">
        <f>VLOOKUP(#REF!,#REF!,2,0)</f>
        <v>#REF!</v>
      </c>
      <c r="U553" s="20" t="e">
        <f t="shared" si="16"/>
        <v>#REF!</v>
      </c>
      <c r="V553" s="47"/>
      <c r="W553" s="43"/>
      <c r="X553" s="66" t="e">
        <f>VLOOKUP(D553,#REF!,2,0)</f>
        <v>#REF!</v>
      </c>
      <c r="Y553" s="67" t="s">
        <v>2643</v>
      </c>
      <c r="Z553" s="67" t="b">
        <f>I553=F553</f>
        <v>1</v>
      </c>
    </row>
    <row r="554" spans="1:26" ht="13.65" customHeight="1">
      <c r="A554" s="91">
        <v>553</v>
      </c>
      <c r="B554" s="52" t="s">
        <v>174</v>
      </c>
      <c r="C554" s="3" t="str">
        <f>VLOOKUP(D554,'lista 1'!$A$2:$F4072,4,0)</f>
        <v>BRANCZEL KRZYSZTOF</v>
      </c>
      <c r="D554" s="74">
        <v>1939</v>
      </c>
      <c r="E554" s="4" t="str">
        <f>VLOOKUP(D554,'lista 1'!$A$2:$F$1802,5,0)</f>
        <v>TL</v>
      </c>
      <c r="F554" s="59" t="str">
        <f>VLOOKUP(G554,'lista obszary'!A:B,2,0)</f>
        <v>MTB0</v>
      </c>
      <c r="G554" s="76" t="s">
        <v>220</v>
      </c>
      <c r="H554" s="85" t="s">
        <v>1877</v>
      </c>
      <c r="I554" s="59" t="str">
        <f>VLOOKUP(J554,'lista obszary'!A:B,2,0)</f>
        <v>MTB0</v>
      </c>
      <c r="J554" s="78" t="s">
        <v>1452</v>
      </c>
      <c r="K554" s="87" t="s">
        <v>1386</v>
      </c>
      <c r="L554" s="82" t="s">
        <v>2554</v>
      </c>
      <c r="M554" s="22"/>
      <c r="N554" s="22"/>
      <c r="O554" s="22"/>
      <c r="P554" s="19" t="s">
        <v>175</v>
      </c>
      <c r="Q554" s="26"/>
      <c r="R554" s="26"/>
      <c r="S554" s="47"/>
      <c r="T554" s="4" t="e">
        <f>VLOOKUP(#REF!,#REF!,2,0)</f>
        <v>#REF!</v>
      </c>
      <c r="U554" s="20" t="e">
        <f t="shared" si="16"/>
        <v>#REF!</v>
      </c>
      <c r="V554" s="47"/>
      <c r="W554" s="43"/>
      <c r="X554" s="66" t="e">
        <f>VLOOKUP(D554,#REF!,2,0)</f>
        <v>#REF!</v>
      </c>
      <c r="Y554" s="67" t="b">
        <f>F554=I554</f>
        <v>1</v>
      </c>
    </row>
    <row r="555" spans="1:26" ht="13.65" customHeight="1">
      <c r="A555" s="91">
        <v>554</v>
      </c>
      <c r="B555" s="52" t="s">
        <v>174</v>
      </c>
      <c r="C555" s="3" t="str">
        <f>VLOOKUP(D555,'lista 1'!$A$2:$F4073,4,0)</f>
        <v>SOŁTYS KRZYSZTOF</v>
      </c>
      <c r="D555" s="74">
        <v>2030</v>
      </c>
      <c r="E555" s="4" t="str">
        <f>VLOOKUP(D555,'lista 1'!$A$2:$F$1802,5,0)</f>
        <v>TM2</v>
      </c>
      <c r="F555" s="59" t="str">
        <f>VLOOKUP(G555,'lista obszary'!A:B,2,0)</f>
        <v>ENGINES</v>
      </c>
      <c r="G555" s="76" t="s">
        <v>318</v>
      </c>
      <c r="H555" s="85" t="s">
        <v>1380</v>
      </c>
      <c r="I555" s="59" t="str">
        <f>VLOOKUP(J555,'lista obszary'!A:B,2,0)</f>
        <v>ENGINES</v>
      </c>
      <c r="J555" s="78" t="s">
        <v>238</v>
      </c>
      <c r="K555" s="87" t="s">
        <v>1584</v>
      </c>
      <c r="L555" s="82" t="s">
        <v>2554</v>
      </c>
      <c r="M555" s="22"/>
      <c r="N555" s="22"/>
      <c r="O555" s="22"/>
      <c r="P555" s="19" t="s">
        <v>175</v>
      </c>
      <c r="Q555" s="26"/>
      <c r="R555" s="26"/>
      <c r="S555" s="47"/>
      <c r="T555" s="4" t="e">
        <f>VLOOKUP(#REF!,#REF!,2,0)</f>
        <v>#REF!</v>
      </c>
      <c r="U555" s="20" t="e">
        <f t="shared" si="16"/>
        <v>#REF!</v>
      </c>
      <c r="V555" s="47"/>
      <c r="W555" s="43"/>
      <c r="X555" s="66" t="e">
        <f>VLOOKUP(D555,#REF!,2,0)</f>
        <v>#REF!</v>
      </c>
      <c r="Y555" s="67" t="s">
        <v>2643</v>
      </c>
      <c r="Z555" s="67" t="b">
        <f>I555=F555</f>
        <v>1</v>
      </c>
    </row>
    <row r="556" spans="1:26" ht="13.65" customHeight="1">
      <c r="A556" s="91">
        <v>555</v>
      </c>
      <c r="B556" s="52" t="s">
        <v>174</v>
      </c>
      <c r="C556" s="3" t="str">
        <f>VLOOKUP(D556,'lista 1'!$A$2:$F4074,4,0)</f>
        <v>SOCZAWA MARCIN</v>
      </c>
      <c r="D556" s="74">
        <v>2165</v>
      </c>
      <c r="E556" s="4" t="str">
        <f>VLOOKUP(D556,'lista 1'!$A$2:$F$1802,5,0)</f>
        <v>AC TL</v>
      </c>
      <c r="F556" s="59" t="str">
        <f>VLOOKUP(G556,'lista obszary'!A:B,2,0)</f>
        <v>ENGINES</v>
      </c>
      <c r="G556" s="76" t="s">
        <v>318</v>
      </c>
      <c r="H556" s="85" t="s">
        <v>1380</v>
      </c>
      <c r="I556" s="59" t="str">
        <f>VLOOKUP(J556,'lista obszary'!A:B,2,0)</f>
        <v>ENGINES</v>
      </c>
      <c r="J556" s="78" t="s">
        <v>238</v>
      </c>
      <c r="K556" s="87" t="s">
        <v>1584</v>
      </c>
      <c r="L556" s="82" t="s">
        <v>2554</v>
      </c>
      <c r="M556" s="22"/>
      <c r="N556" s="22"/>
      <c r="O556" s="22"/>
      <c r="P556" s="19" t="s">
        <v>175</v>
      </c>
      <c r="Q556" s="26"/>
      <c r="R556" s="26"/>
      <c r="S556" s="47"/>
      <c r="T556" s="4" t="e">
        <f>VLOOKUP(#REF!,#REF!,2,0)</f>
        <v>#REF!</v>
      </c>
      <c r="U556" s="20" t="e">
        <f t="shared" si="16"/>
        <v>#REF!</v>
      </c>
      <c r="V556" s="47"/>
      <c r="W556" s="43"/>
      <c r="X556" s="66" t="e">
        <f>VLOOKUP(D556,#REF!,2,0)</f>
        <v>#REF!</v>
      </c>
      <c r="Y556" s="67" t="s">
        <v>2643</v>
      </c>
      <c r="Z556" s="67" t="b">
        <f>I556=F556</f>
        <v>1</v>
      </c>
    </row>
    <row r="557" spans="1:26" ht="13.65" customHeight="1">
      <c r="A557" s="91">
        <v>556</v>
      </c>
      <c r="B557" s="52" t="s">
        <v>174</v>
      </c>
      <c r="C557" s="3" t="str">
        <f>VLOOKUP(D557,'lista 1'!$A$2:$F4075,4,0)</f>
        <v>KARCZEWSKA MARIOLA</v>
      </c>
      <c r="D557" s="74">
        <v>2179</v>
      </c>
      <c r="E557" s="4" t="str">
        <f>VLOOKUP(D557,'lista 1'!$A$2:$F$1802,5,0)</f>
        <v>TM2</v>
      </c>
      <c r="F557" s="59" t="str">
        <f>VLOOKUP(G557,'lista obszary'!A:B,2,0)</f>
        <v>ENGINES</v>
      </c>
      <c r="G557" s="76" t="s">
        <v>597</v>
      </c>
      <c r="H557" s="85" t="s">
        <v>1892</v>
      </c>
      <c r="I557" s="59" t="str">
        <f>VLOOKUP(J557,'lista obszary'!A:B,2,0)</f>
        <v>ENGINES</v>
      </c>
      <c r="J557" s="78" t="s">
        <v>238</v>
      </c>
      <c r="K557" s="87" t="s">
        <v>1584</v>
      </c>
      <c r="L557" s="82" t="s">
        <v>2554</v>
      </c>
      <c r="M557" s="22"/>
      <c r="N557" s="22"/>
      <c r="O557" s="22"/>
      <c r="P557" s="19" t="s">
        <v>175</v>
      </c>
      <c r="Q557" s="26"/>
      <c r="R557" s="26"/>
      <c r="S557" s="47"/>
      <c r="T557" s="4" t="e">
        <f>VLOOKUP(#REF!,#REF!,2,0)</f>
        <v>#REF!</v>
      </c>
      <c r="U557" s="20" t="e">
        <f t="shared" si="16"/>
        <v>#REF!</v>
      </c>
      <c r="V557" s="47"/>
      <c r="W557" s="43"/>
      <c r="X557" s="66" t="e">
        <f>VLOOKUP(D557,#REF!,2,0)</f>
        <v>#REF!</v>
      </c>
      <c r="Y557" s="67" t="b">
        <f>F557=I557</f>
        <v>1</v>
      </c>
    </row>
    <row r="558" spans="1:26" ht="13.65" customHeight="1">
      <c r="A558" s="91">
        <v>557</v>
      </c>
      <c r="B558" s="52" t="s">
        <v>174</v>
      </c>
      <c r="C558" s="3" t="str">
        <f>VLOOKUP(D558,'lista 1'!$A$2:$F4076,4,0)</f>
        <v>KULIŃSKA ANETA</v>
      </c>
      <c r="D558" s="74">
        <v>2269</v>
      </c>
      <c r="E558" s="4" t="str">
        <f>VLOOKUP(D558,'lista 1'!$A$2:$F$1802,5,0)</f>
        <v>TM2</v>
      </c>
      <c r="F558" s="59" t="str">
        <f>VLOOKUP(G558,'lista obszary'!A:B,2,0)</f>
        <v>ENGINES</v>
      </c>
      <c r="G558" s="76" t="s">
        <v>602</v>
      </c>
      <c r="H558" s="85" t="s">
        <v>1392</v>
      </c>
      <c r="I558" s="59" t="str">
        <f>VLOOKUP(J558,'lista obszary'!A:B,2,0)</f>
        <v>ENGINES</v>
      </c>
      <c r="J558" s="78" t="s">
        <v>238</v>
      </c>
      <c r="K558" s="87" t="s">
        <v>1584</v>
      </c>
      <c r="L558" s="82" t="s">
        <v>2554</v>
      </c>
      <c r="M558" s="22"/>
      <c r="N558" s="22"/>
      <c r="O558" s="22"/>
      <c r="P558" s="19" t="s">
        <v>175</v>
      </c>
      <c r="Q558" s="26"/>
      <c r="R558" s="26"/>
      <c r="S558" s="47"/>
      <c r="T558" s="4" t="e">
        <f>VLOOKUP(#REF!,#REF!,2,0)</f>
        <v>#REF!</v>
      </c>
      <c r="U558" s="20" t="e">
        <f t="shared" si="16"/>
        <v>#REF!</v>
      </c>
      <c r="V558" s="47"/>
      <c r="W558" s="43"/>
      <c r="X558" s="66" t="e">
        <f>VLOOKUP(D558,#REF!,2,0)</f>
        <v>#REF!</v>
      </c>
      <c r="Y558" s="67" t="b">
        <f>F558=I558</f>
        <v>1</v>
      </c>
    </row>
    <row r="559" spans="1:26" ht="13.65" customHeight="1">
      <c r="A559" s="91">
        <v>558</v>
      </c>
      <c r="B559" s="52" t="s">
        <v>2533</v>
      </c>
      <c r="C559" s="3" t="str">
        <f>VLOOKUP(D559,'lista 1'!$A$2:$F4077,4,0)</f>
        <v>MISIAK IRENEUSZ</v>
      </c>
      <c r="D559" s="74">
        <v>2288</v>
      </c>
      <c r="E559" s="4" t="str">
        <f>VLOOKUP(D559,'lista 1'!$A$2:$F$1802,5,0)</f>
        <v>TM</v>
      </c>
      <c r="F559" s="59" t="str">
        <f>VLOOKUP(G559,'lista obszary'!A:B,2,0)</f>
        <v>ENGINES</v>
      </c>
      <c r="G559" s="76" t="s">
        <v>597</v>
      </c>
      <c r="H559" s="85" t="s">
        <v>1892</v>
      </c>
      <c r="I559" s="59" t="str">
        <f>VLOOKUP(J559,'lista obszary'!A:B,2,0)</f>
        <v>EC60</v>
      </c>
      <c r="J559" s="78" t="s">
        <v>549</v>
      </c>
      <c r="K559" s="87" t="s">
        <v>1881</v>
      </c>
      <c r="L559" s="82" t="s">
        <v>2554</v>
      </c>
      <c r="M559" s="22"/>
      <c r="N559" s="22"/>
      <c r="O559" s="22"/>
      <c r="P559" s="19" t="s">
        <v>175</v>
      </c>
      <c r="Q559" s="26"/>
      <c r="R559" s="26"/>
      <c r="S559" s="47"/>
      <c r="T559" s="4" t="e">
        <f>VLOOKUP(#REF!,#REF!,2,0)</f>
        <v>#REF!</v>
      </c>
      <c r="U559" s="20" t="e">
        <f t="shared" si="16"/>
        <v>#REF!</v>
      </c>
      <c r="V559" s="47"/>
      <c r="W559" s="43"/>
      <c r="X559" s="66" t="e">
        <f>VLOOKUP(D559,#REF!,2,0)</f>
        <v>#REF!</v>
      </c>
      <c r="Y559" s="67" t="b">
        <f>F559=I559</f>
        <v>0</v>
      </c>
    </row>
    <row r="560" spans="1:26" ht="13.65" customHeight="1">
      <c r="A560" s="91">
        <v>559</v>
      </c>
      <c r="B560" s="52" t="s">
        <v>2533</v>
      </c>
      <c r="C560" s="3" t="str">
        <f>VLOOKUP(D560,'lista 1'!$A$2:$F4078,4,0)</f>
        <v>MISIAK IRENEUSZ</v>
      </c>
      <c r="D560" s="74">
        <v>2288</v>
      </c>
      <c r="E560" s="4" t="str">
        <f>VLOOKUP(D560,'lista 1'!$A$2:$F$1802,5,0)</f>
        <v>TM</v>
      </c>
      <c r="F560" s="59" t="str">
        <f>VLOOKUP(G560,'lista obszary'!A:B,2,0)</f>
        <v>EC60</v>
      </c>
      <c r="G560" s="76" t="s">
        <v>549</v>
      </c>
      <c r="H560" s="85" t="s">
        <v>1881</v>
      </c>
      <c r="I560" s="59" t="str">
        <f>VLOOKUP(J560,'lista obszary'!A:B,2,0)</f>
        <v>EC60</v>
      </c>
      <c r="J560" s="78" t="s">
        <v>1325</v>
      </c>
      <c r="K560" s="87" t="s">
        <v>2159</v>
      </c>
      <c r="L560" s="82" t="s">
        <v>2554</v>
      </c>
      <c r="M560" s="22"/>
      <c r="N560" s="22"/>
      <c r="O560" s="22"/>
      <c r="P560" s="19" t="s">
        <v>175</v>
      </c>
      <c r="Q560" s="26"/>
      <c r="R560" s="26"/>
      <c r="S560" s="47"/>
      <c r="T560" s="4"/>
      <c r="U560" s="20"/>
      <c r="V560" s="47"/>
      <c r="W560" s="43"/>
      <c r="X560" s="66" t="e">
        <f>VLOOKUP(D560,#REF!,2,0)</f>
        <v>#REF!</v>
      </c>
      <c r="Y560" s="67" t="b">
        <f>F560=I560</f>
        <v>1</v>
      </c>
    </row>
    <row r="561" spans="1:26" ht="13.65" customHeight="1">
      <c r="A561" s="91">
        <v>560</v>
      </c>
      <c r="B561" s="52" t="s">
        <v>174</v>
      </c>
      <c r="C561" s="3" t="str">
        <f>VLOOKUP(D561,'lista 1'!$A$2:$F4079,4,0)</f>
        <v>PABIS ELŻBIETA</v>
      </c>
      <c r="D561" s="74">
        <v>2313</v>
      </c>
      <c r="E561" s="4" t="str">
        <f>VLOOKUP(D561,'lista 1'!$A$2:$F$1802,5,0)</f>
        <v>TM</v>
      </c>
      <c r="F561" s="59" t="str">
        <f>VLOOKUP(G561,'lista obszary'!A:B,2,0)</f>
        <v>ENGINES</v>
      </c>
      <c r="G561" s="76" t="s">
        <v>438</v>
      </c>
      <c r="H561" s="85" t="s">
        <v>1390</v>
      </c>
      <c r="I561" s="59" t="str">
        <f>VLOOKUP(J561,'lista obszary'!A:B,2,0)</f>
        <v>ENGINES</v>
      </c>
      <c r="J561" s="78" t="s">
        <v>238</v>
      </c>
      <c r="K561" s="87" t="s">
        <v>1584</v>
      </c>
      <c r="L561" s="82" t="s">
        <v>2554</v>
      </c>
      <c r="M561" s="22"/>
      <c r="N561" s="22"/>
      <c r="O561" s="22"/>
      <c r="P561" s="19" t="s">
        <v>175</v>
      </c>
      <c r="Q561" s="26"/>
      <c r="R561" s="26"/>
      <c r="S561" s="47"/>
      <c r="T561" s="4" t="e">
        <f>VLOOKUP(#REF!,#REF!,2,0)</f>
        <v>#REF!</v>
      </c>
      <c r="U561" s="20" t="e">
        <f t="shared" ref="U561:U574" si="18">L561-T561</f>
        <v>#REF!</v>
      </c>
      <c r="V561" s="47"/>
      <c r="W561" s="43"/>
      <c r="X561" s="66" t="e">
        <f>VLOOKUP(D561,#REF!,2,0)</f>
        <v>#REF!</v>
      </c>
      <c r="Y561" s="67" t="s">
        <v>2643</v>
      </c>
      <c r="Z561" s="67" t="b">
        <f>I561=F561</f>
        <v>1</v>
      </c>
    </row>
    <row r="562" spans="1:26" ht="13.65" customHeight="1">
      <c r="A562" s="91">
        <v>561</v>
      </c>
      <c r="B562" s="52" t="s">
        <v>174</v>
      </c>
      <c r="C562" s="3" t="str">
        <f>VLOOKUP(D562,'lista 1'!$A$2:$F4080,4,0)</f>
        <v>KOZIEŁ ADRIANNA</v>
      </c>
      <c r="D562" s="74">
        <v>2583</v>
      </c>
      <c r="E562" s="4" t="str">
        <f>VLOOKUP(D562,'lista 1'!$A$2:$F$1802,5,0)</f>
        <v>TM</v>
      </c>
      <c r="F562" s="59" t="str">
        <f>VLOOKUP(G562,'lista obszary'!A:B,2,0)</f>
        <v>MTB0</v>
      </c>
      <c r="G562" s="76" t="s">
        <v>503</v>
      </c>
      <c r="H562" s="85" t="s">
        <v>1565</v>
      </c>
      <c r="I562" s="59" t="str">
        <f>VLOOKUP(J562,'lista obszary'!A:B,2,0)</f>
        <v>MTB0</v>
      </c>
      <c r="J562" s="78" t="s">
        <v>607</v>
      </c>
      <c r="K562" s="87" t="s">
        <v>1877</v>
      </c>
      <c r="L562" s="82" t="s">
        <v>2554</v>
      </c>
      <c r="M562" s="22"/>
      <c r="N562" s="22"/>
      <c r="O562" s="22"/>
      <c r="P562" s="19" t="s">
        <v>175</v>
      </c>
      <c r="Q562" s="26"/>
      <c r="R562" s="26"/>
      <c r="S562" s="47"/>
      <c r="T562" s="4" t="e">
        <f>VLOOKUP(#REF!,#REF!,2,0)</f>
        <v>#REF!</v>
      </c>
      <c r="U562" s="20" t="e">
        <f t="shared" si="18"/>
        <v>#REF!</v>
      </c>
      <c r="V562" s="47"/>
      <c r="W562" s="43"/>
      <c r="X562" s="66" t="e">
        <f>VLOOKUP(D562,#REF!,2,0)</f>
        <v>#REF!</v>
      </c>
      <c r="Y562" s="67" t="b">
        <f>F562=I562</f>
        <v>1</v>
      </c>
    </row>
    <row r="563" spans="1:26" ht="13.65" customHeight="1">
      <c r="A563" s="91">
        <v>562</v>
      </c>
      <c r="B563" s="52" t="s">
        <v>2533</v>
      </c>
      <c r="C563" s="3" t="str">
        <f>VLOOKUP(D563,'lista 1'!$A$2:$F4081,4,0)</f>
        <v>KWIATKOWSKA IWONA</v>
      </c>
      <c r="D563" s="74">
        <v>2600</v>
      </c>
      <c r="E563" s="4" t="str">
        <f>VLOOKUP(D563,'lista 1'!$A$2:$F$1802,5,0)</f>
        <v>TM2</v>
      </c>
      <c r="F563" s="59" t="str">
        <f>VLOOKUP(G563,'lista obszary'!A:B,2,0)</f>
        <v>MTB0</v>
      </c>
      <c r="G563" s="76" t="s">
        <v>208</v>
      </c>
      <c r="H563" s="85" t="s">
        <v>1386</v>
      </c>
      <c r="I563" s="59" t="str">
        <f>VLOOKUP(J563,'lista obszary'!A:B,2,0)</f>
        <v>HV</v>
      </c>
      <c r="J563" s="78" t="s">
        <v>2324</v>
      </c>
      <c r="K563" s="87" t="s">
        <v>2326</v>
      </c>
      <c r="L563" s="82" t="s">
        <v>2554</v>
      </c>
      <c r="M563" s="22"/>
      <c r="N563" s="22"/>
      <c r="O563" s="22"/>
      <c r="P563" s="19" t="s">
        <v>175</v>
      </c>
      <c r="Q563" s="26"/>
      <c r="R563" s="26"/>
      <c r="S563" s="47"/>
      <c r="T563" s="4" t="e">
        <f>VLOOKUP(#REF!,#REF!,2,0)</f>
        <v>#REF!</v>
      </c>
      <c r="U563" s="20" t="e">
        <f t="shared" si="18"/>
        <v>#REF!</v>
      </c>
      <c r="V563" s="47"/>
      <c r="W563" s="43"/>
      <c r="X563" s="66" t="e">
        <f>VLOOKUP(D563,#REF!,2,0)</f>
        <v>#REF!</v>
      </c>
      <c r="Y563" s="67" t="s">
        <v>2645</v>
      </c>
      <c r="Z563" s="67" t="b">
        <f>I563=F563</f>
        <v>0</v>
      </c>
    </row>
    <row r="564" spans="1:26" ht="13.65" customHeight="1">
      <c r="A564" s="91">
        <v>563</v>
      </c>
      <c r="B564" s="52" t="s">
        <v>174</v>
      </c>
      <c r="C564" s="3" t="str">
        <f>VLOOKUP(D564,'lista 1'!$A$2:$F4082,4,0)</f>
        <v>ŻUCHOWSKI TOMASZ</v>
      </c>
      <c r="D564" s="74">
        <v>2745</v>
      </c>
      <c r="E564" s="4" t="str">
        <f>VLOOKUP(D564,'lista 1'!$A$2:$F$1802,5,0)</f>
        <v>TM2</v>
      </c>
      <c r="F564" s="59" t="str">
        <f>VLOOKUP(G564,'lista obszary'!A:B,2,0)</f>
        <v>ENGINES</v>
      </c>
      <c r="G564" s="76" t="s">
        <v>438</v>
      </c>
      <c r="H564" s="85" t="s">
        <v>1390</v>
      </c>
      <c r="I564" s="59" t="str">
        <f>VLOOKUP(J564,'lista obszary'!A:B,2,0)</f>
        <v>ENGINES</v>
      </c>
      <c r="J564" s="78" t="s">
        <v>238</v>
      </c>
      <c r="K564" s="87" t="s">
        <v>1584</v>
      </c>
      <c r="L564" s="82" t="s">
        <v>2554</v>
      </c>
      <c r="M564" s="22"/>
      <c r="N564" s="22"/>
      <c r="O564" s="22"/>
      <c r="P564" s="19" t="s">
        <v>175</v>
      </c>
      <c r="Q564" s="26"/>
      <c r="R564" s="26"/>
      <c r="S564" s="47"/>
      <c r="T564" s="4" t="e">
        <f>VLOOKUP(#REF!,#REF!,2,0)</f>
        <v>#REF!</v>
      </c>
      <c r="U564" s="20" t="e">
        <f t="shared" si="18"/>
        <v>#REF!</v>
      </c>
      <c r="V564" s="47"/>
      <c r="W564" s="43"/>
      <c r="X564" s="66" t="e">
        <f>VLOOKUP(D564,#REF!,2,0)</f>
        <v>#REF!</v>
      </c>
      <c r="Y564" s="67" t="s">
        <v>2643</v>
      </c>
      <c r="Z564" s="67" t="b">
        <f>I564=F564</f>
        <v>1</v>
      </c>
    </row>
    <row r="565" spans="1:26" ht="13.65" customHeight="1">
      <c r="A565" s="91">
        <v>564</v>
      </c>
      <c r="B565" s="52" t="s">
        <v>174</v>
      </c>
      <c r="C565" s="3" t="e">
        <f>VLOOKUP(D565,'lista 1'!$A$2:$F4083,4,0)</f>
        <v>#N/A</v>
      </c>
      <c r="D565" s="74">
        <v>64343</v>
      </c>
      <c r="E565" s="4" t="e">
        <f>VLOOKUP(D565,'lista 1'!$A$2:$F$1802,5,0)</f>
        <v>#N/A</v>
      </c>
      <c r="F565" s="59" t="str">
        <f>VLOOKUP(G565,'lista obszary'!A:B,2,0)</f>
        <v>ENGINES</v>
      </c>
      <c r="G565" s="76" t="s">
        <v>597</v>
      </c>
      <c r="H565" s="85" t="s">
        <v>1892</v>
      </c>
      <c r="I565" s="59" t="str">
        <f>VLOOKUP(J565,'lista obszary'!A:B,2,0)</f>
        <v>ENGINES</v>
      </c>
      <c r="J565" s="78" t="s">
        <v>772</v>
      </c>
      <c r="K565" s="87" t="s">
        <v>1389</v>
      </c>
      <c r="L565" s="82" t="s">
        <v>2554</v>
      </c>
      <c r="M565" s="22"/>
      <c r="N565" s="22"/>
      <c r="O565" s="22"/>
      <c r="P565" s="19" t="s">
        <v>175</v>
      </c>
      <c r="Q565" s="26"/>
      <c r="R565" s="26"/>
      <c r="S565" s="47"/>
      <c r="T565" s="4" t="e">
        <f>VLOOKUP(#REF!,#REF!,2,0)</f>
        <v>#REF!</v>
      </c>
      <c r="U565" s="20" t="e">
        <f t="shared" si="18"/>
        <v>#REF!</v>
      </c>
      <c r="V565" s="47"/>
      <c r="W565" s="43"/>
      <c r="X565" s="66" t="e">
        <f>VLOOKUP(D565,#REF!,2,0)</f>
        <v>#REF!</v>
      </c>
      <c r="Y565" s="67" t="s">
        <v>2643</v>
      </c>
      <c r="Z565" s="67" t="b">
        <f>I565=F565</f>
        <v>1</v>
      </c>
    </row>
    <row r="566" spans="1:26" ht="13.65" customHeight="1">
      <c r="A566" s="91">
        <v>565</v>
      </c>
      <c r="B566" s="52" t="s">
        <v>2533</v>
      </c>
      <c r="C566" s="3" t="e">
        <f>VLOOKUP(D566,'lista 1'!$A$2:$F4084,4,0)</f>
        <v>#N/A</v>
      </c>
      <c r="D566" s="74">
        <v>64415</v>
      </c>
      <c r="E566" s="4" t="e">
        <f>VLOOKUP(D566,'lista 1'!$A$2:$F$1802,5,0)</f>
        <v>#N/A</v>
      </c>
      <c r="F566" s="59" t="str">
        <f>VLOOKUP(G566,'lista obszary'!A:B,2,0)</f>
        <v>ENGINES</v>
      </c>
      <c r="G566" s="76" t="s">
        <v>597</v>
      </c>
      <c r="H566" s="85" t="s">
        <v>1892</v>
      </c>
      <c r="I566" s="59" t="str">
        <f>VLOOKUP(J566,'lista obszary'!A:B,2,0)</f>
        <v>FORGING</v>
      </c>
      <c r="J566" s="78" t="s">
        <v>1226</v>
      </c>
      <c r="K566" s="87" t="s">
        <v>1378</v>
      </c>
      <c r="L566" s="82" t="s">
        <v>2554</v>
      </c>
      <c r="M566" s="22"/>
      <c r="N566" s="22"/>
      <c r="O566" s="22"/>
      <c r="P566" s="19" t="s">
        <v>175</v>
      </c>
      <c r="Q566" s="26"/>
      <c r="R566" s="26"/>
      <c r="S566" s="47"/>
      <c r="T566" s="4" t="e">
        <f>VLOOKUP(#REF!,#REF!,2,0)</f>
        <v>#REF!</v>
      </c>
      <c r="U566" s="20" t="e">
        <f t="shared" si="18"/>
        <v>#REF!</v>
      </c>
      <c r="V566" s="47"/>
      <c r="W566" s="43"/>
      <c r="X566" s="66" t="e">
        <f>VLOOKUP(D566,#REF!,2,0)</f>
        <v>#REF!</v>
      </c>
      <c r="Y566" s="67" t="b">
        <f>F566=I566</f>
        <v>0</v>
      </c>
    </row>
    <row r="567" spans="1:26" ht="13.65" customHeight="1">
      <c r="A567" s="91">
        <v>566</v>
      </c>
      <c r="B567" s="52" t="s">
        <v>174</v>
      </c>
      <c r="C567" s="3" t="e">
        <f>VLOOKUP(D567,'lista 1'!$A$2:$F4085,4,0)</f>
        <v>#N/A</v>
      </c>
      <c r="D567" s="74">
        <v>64437</v>
      </c>
      <c r="E567" s="4" t="e">
        <f>VLOOKUP(D567,'lista 1'!$A$2:$F$1802,5,0)</f>
        <v>#N/A</v>
      </c>
      <c r="F567" s="59" t="str">
        <f>VLOOKUP(G567,'lista obszary'!A:B,2,0)</f>
        <v>ENGINES</v>
      </c>
      <c r="G567" s="76" t="s">
        <v>602</v>
      </c>
      <c r="H567" s="85" t="s">
        <v>1392</v>
      </c>
      <c r="I567" s="59" t="str">
        <f>VLOOKUP(J567,'lista obszary'!A:B,2,0)</f>
        <v>ENGINES</v>
      </c>
      <c r="J567" s="78" t="s">
        <v>597</v>
      </c>
      <c r="K567" s="87" t="s">
        <v>1892</v>
      </c>
      <c r="L567" s="82" t="s">
        <v>2554</v>
      </c>
      <c r="M567" s="22"/>
      <c r="N567" s="22"/>
      <c r="O567" s="22"/>
      <c r="P567" s="19" t="s">
        <v>175</v>
      </c>
      <c r="Q567" s="26"/>
      <c r="R567" s="26"/>
      <c r="S567" s="47"/>
      <c r="T567" s="4" t="e">
        <f>VLOOKUP(#REF!,#REF!,2,0)</f>
        <v>#REF!</v>
      </c>
      <c r="U567" s="20" t="e">
        <f t="shared" si="18"/>
        <v>#REF!</v>
      </c>
      <c r="V567" s="47"/>
      <c r="W567" s="43"/>
      <c r="X567" s="66" t="e">
        <f>VLOOKUP(D567,#REF!,2,0)</f>
        <v>#REF!</v>
      </c>
      <c r="Y567" s="67" t="s">
        <v>2643</v>
      </c>
      <c r="Z567" s="67" t="b">
        <f>I567=F567</f>
        <v>1</v>
      </c>
    </row>
    <row r="568" spans="1:26" ht="13.65" customHeight="1">
      <c r="A568" s="91">
        <v>567</v>
      </c>
      <c r="B568" s="52" t="s">
        <v>174</v>
      </c>
      <c r="C568" s="3" t="e">
        <f>VLOOKUP(D568,'lista 1'!$A$2:$F4086,4,0)</f>
        <v>#N/A</v>
      </c>
      <c r="D568" s="74">
        <v>70500</v>
      </c>
      <c r="E568" s="4" t="e">
        <f>VLOOKUP(D568,'lista 1'!$A$2:$F$1802,5,0)</f>
        <v>#N/A</v>
      </c>
      <c r="F568" s="59" t="str">
        <f>VLOOKUP(G568,'lista obszary'!A:B,2,0)</f>
        <v>ENGINES</v>
      </c>
      <c r="G568" s="76" t="s">
        <v>437</v>
      </c>
      <c r="H568" s="85" t="s">
        <v>342</v>
      </c>
      <c r="I568" s="59" t="str">
        <f>VLOOKUP(J568,'lista obszary'!A:B,2,0)</f>
        <v>ENGINES</v>
      </c>
      <c r="J568" s="78" t="s">
        <v>238</v>
      </c>
      <c r="K568" s="87" t="s">
        <v>1584</v>
      </c>
      <c r="L568" s="82" t="s">
        <v>2554</v>
      </c>
      <c r="M568" s="22"/>
      <c r="N568" s="22"/>
      <c r="O568" s="22"/>
      <c r="P568" s="19" t="s">
        <v>175</v>
      </c>
      <c r="Q568" s="26"/>
      <c r="R568" s="26"/>
      <c r="S568" s="47"/>
      <c r="T568" s="4" t="e">
        <f>VLOOKUP(#REF!,#REF!,2,0)</f>
        <v>#REF!</v>
      </c>
      <c r="U568" s="20" t="e">
        <f t="shared" si="18"/>
        <v>#REF!</v>
      </c>
      <c r="V568" s="47"/>
      <c r="W568" s="43"/>
      <c r="X568" s="66" t="e">
        <f>VLOOKUP(D568,#REF!,2,0)</f>
        <v>#REF!</v>
      </c>
      <c r="Y568" s="67" t="b">
        <f>F568=I568</f>
        <v>1</v>
      </c>
    </row>
    <row r="569" spans="1:26" ht="13.65" customHeight="1">
      <c r="A569" s="91">
        <v>568</v>
      </c>
      <c r="B569" s="52" t="s">
        <v>2533</v>
      </c>
      <c r="C569" s="3" t="e">
        <f>VLOOKUP(D569,'lista 1'!$A$2:$F4087,4,0)</f>
        <v>#N/A</v>
      </c>
      <c r="D569" s="74">
        <v>70511</v>
      </c>
      <c r="E569" s="4" t="e">
        <f>VLOOKUP(D569,'lista 1'!$A$2:$F$1802,5,0)</f>
        <v>#N/A</v>
      </c>
      <c r="F569" s="59" t="str">
        <f>VLOOKUP(G569,'lista obszary'!A:B,2,0)</f>
        <v>ENGINES</v>
      </c>
      <c r="G569" s="76" t="s">
        <v>595</v>
      </c>
      <c r="H569" s="85" t="s">
        <v>1906</v>
      </c>
      <c r="I569" s="59" t="str">
        <f>VLOOKUP(J569,'lista obszary'!A:B,2,0)</f>
        <v>FORGING</v>
      </c>
      <c r="J569" s="78" t="s">
        <v>1336</v>
      </c>
      <c r="K569" s="87" t="s">
        <v>1379</v>
      </c>
      <c r="L569" s="82" t="s">
        <v>2554</v>
      </c>
      <c r="M569" s="22"/>
      <c r="N569" s="22"/>
      <c r="O569" s="22"/>
      <c r="P569" s="19" t="s">
        <v>175</v>
      </c>
      <c r="Q569" s="26"/>
      <c r="R569" s="26"/>
      <c r="S569" s="47"/>
      <c r="T569" s="4" t="e">
        <f>VLOOKUP(#REF!,#REF!,2,0)</f>
        <v>#REF!</v>
      </c>
      <c r="U569" s="20" t="e">
        <f t="shared" si="18"/>
        <v>#REF!</v>
      </c>
      <c r="V569" s="47"/>
      <c r="W569" s="43"/>
      <c r="X569" s="66" t="e">
        <f>VLOOKUP(D569,#REF!,2,0)</f>
        <v>#REF!</v>
      </c>
      <c r="Y569" s="67" t="s">
        <v>2645</v>
      </c>
      <c r="Z569" s="67" t="b">
        <f>I569=F569</f>
        <v>0</v>
      </c>
    </row>
    <row r="570" spans="1:26" ht="13.65" customHeight="1">
      <c r="A570" s="91">
        <v>569</v>
      </c>
      <c r="B570" s="52" t="s">
        <v>174</v>
      </c>
      <c r="C570" s="3" t="str">
        <f>VLOOKUP(D570,'lista 1'!$A$2:$F4088,4,0)</f>
        <v>SERWIN RADOSŁAW</v>
      </c>
      <c r="D570" s="74">
        <v>1921</v>
      </c>
      <c r="E570" s="4" t="str">
        <f>VLOOKUP(D570,'lista 1'!$A$2:$F$1802,5,0)</f>
        <v>TM</v>
      </c>
      <c r="F570" s="59" t="str">
        <f>VLOOKUP(G570,'lista obszary'!A:B,2,0)</f>
        <v>MTB0</v>
      </c>
      <c r="G570" s="76" t="s">
        <v>220</v>
      </c>
      <c r="H570" s="85" t="s">
        <v>2558</v>
      </c>
      <c r="I570" s="59" t="str">
        <f>VLOOKUP(J570,'lista obszary'!A:B,2,0)</f>
        <v>MTB0</v>
      </c>
      <c r="J570" s="78" t="s">
        <v>435</v>
      </c>
      <c r="K570" s="87" t="s">
        <v>2488</v>
      </c>
      <c r="L570" s="82" t="s">
        <v>2557</v>
      </c>
      <c r="M570" s="22"/>
      <c r="N570" s="22"/>
      <c r="O570" s="22"/>
      <c r="P570" s="19" t="s">
        <v>175</v>
      </c>
      <c r="Q570" s="26"/>
      <c r="R570" s="26"/>
      <c r="S570" s="47"/>
      <c r="T570" s="4" t="e">
        <f>VLOOKUP(#REF!,#REF!,2,0)</f>
        <v>#REF!</v>
      </c>
      <c r="U570" s="20" t="e">
        <f t="shared" si="18"/>
        <v>#REF!</v>
      </c>
      <c r="V570" s="47"/>
      <c r="W570" s="43"/>
      <c r="X570" s="66" t="e">
        <f>VLOOKUP(D570,#REF!,2,0)</f>
        <v>#REF!</v>
      </c>
      <c r="Y570" s="67" t="b">
        <f>F570=I570</f>
        <v>1</v>
      </c>
    </row>
    <row r="571" spans="1:26" ht="13.65" customHeight="1">
      <c r="A571" s="91">
        <v>570</v>
      </c>
      <c r="B571" s="52" t="s">
        <v>2533</v>
      </c>
      <c r="C571" s="3" t="e">
        <f>VLOOKUP(D571,'lista 1'!$A$2:$F4089,4,0)</f>
        <v>#N/A</v>
      </c>
      <c r="D571" s="74">
        <v>70434</v>
      </c>
      <c r="E571" s="4" t="e">
        <f>VLOOKUP(D571,'lista 1'!$A$2:$F$1802,5,0)</f>
        <v>#N/A</v>
      </c>
      <c r="F571" s="59" t="str">
        <f>VLOOKUP(G571,'lista obszary'!A:B,2,0)</f>
        <v>MTB0</v>
      </c>
      <c r="G571" s="76" t="s">
        <v>435</v>
      </c>
      <c r="H571" s="85" t="s">
        <v>2556</v>
      </c>
      <c r="I571" s="59" t="str">
        <f>VLOOKUP(J571,'lista obszary'!A:B,2,0)</f>
        <v>EC60</v>
      </c>
      <c r="J571" s="78" t="s">
        <v>570</v>
      </c>
      <c r="K571" s="87" t="s">
        <v>1893</v>
      </c>
      <c r="L571" s="82" t="s">
        <v>2557</v>
      </c>
      <c r="M571" s="22"/>
      <c r="N571" s="22"/>
      <c r="O571" s="22"/>
      <c r="P571" s="19" t="s">
        <v>175</v>
      </c>
      <c r="Q571" s="26"/>
      <c r="R571" s="26"/>
      <c r="S571" s="47"/>
      <c r="T571" s="4" t="e">
        <f>VLOOKUP(#REF!,#REF!,2,0)</f>
        <v>#REF!</v>
      </c>
      <c r="U571" s="20" t="e">
        <f t="shared" si="18"/>
        <v>#REF!</v>
      </c>
      <c r="V571" s="47"/>
      <c r="W571" s="43"/>
      <c r="X571" s="66" t="e">
        <f>VLOOKUP(D571,#REF!,2,0)</f>
        <v>#REF!</v>
      </c>
      <c r="Y571" s="67" t="s">
        <v>2645</v>
      </c>
      <c r="Z571" s="67" t="b">
        <f>I571=F571</f>
        <v>0</v>
      </c>
    </row>
    <row r="572" spans="1:26" ht="13.65" customHeight="1">
      <c r="A572" s="91">
        <v>571</v>
      </c>
      <c r="B572" s="52" t="s">
        <v>174</v>
      </c>
      <c r="C572" s="3" t="e">
        <f>VLOOKUP(D572,'lista 1'!$A$2:$F4090,4,0)</f>
        <v>#N/A</v>
      </c>
      <c r="D572" s="74">
        <v>1710</v>
      </c>
      <c r="E572" s="4" t="e">
        <f>VLOOKUP(D572,'lista 1'!$A$2:$F$1802,5,0)</f>
        <v>#N/A</v>
      </c>
      <c r="F572" s="59" t="str">
        <f>VLOOKUP(G572,'lista obszary'!A:B,2,0)</f>
        <v>EC60</v>
      </c>
      <c r="G572" s="76" t="s">
        <v>549</v>
      </c>
      <c r="H572" s="85" t="s">
        <v>1881</v>
      </c>
      <c r="I572" s="59" t="str">
        <f>VLOOKUP(J572,'lista obszary'!A:B,2,0)</f>
        <v>EC60</v>
      </c>
      <c r="J572" s="78" t="s">
        <v>844</v>
      </c>
      <c r="K572" s="87" t="s">
        <v>1903</v>
      </c>
      <c r="L572" s="82" t="s">
        <v>2555</v>
      </c>
      <c r="M572" s="22"/>
      <c r="N572" s="22"/>
      <c r="O572" s="22"/>
      <c r="P572" s="19" t="s">
        <v>175</v>
      </c>
      <c r="Q572" s="26"/>
      <c r="R572" s="26"/>
      <c r="S572" s="47"/>
      <c r="T572" s="4" t="e">
        <f>VLOOKUP(#REF!,#REF!,2,0)</f>
        <v>#REF!</v>
      </c>
      <c r="U572" s="20" t="e">
        <f t="shared" si="18"/>
        <v>#REF!</v>
      </c>
      <c r="V572" s="47"/>
      <c r="W572" s="43"/>
      <c r="X572" s="66" t="e">
        <f>VLOOKUP(D572,#REF!,2,0)</f>
        <v>#REF!</v>
      </c>
      <c r="Y572" s="67" t="b">
        <f>F572=I572</f>
        <v>1</v>
      </c>
    </row>
    <row r="573" spans="1:26" ht="13.65" customHeight="1">
      <c r="A573" s="91">
        <v>572</v>
      </c>
      <c r="B573" s="52" t="s">
        <v>174</v>
      </c>
      <c r="C573" s="3" t="str">
        <f>VLOOKUP(D573,'lista 1'!$A$2:$F4091,4,0)</f>
        <v>SABAK AGNIESZKA</v>
      </c>
      <c r="D573" s="74">
        <v>2995</v>
      </c>
      <c r="E573" s="4" t="str">
        <f>VLOOKUP(D573,'lista 1'!$A$2:$F$1802,5,0)</f>
        <v>TM</v>
      </c>
      <c r="F573" s="59" t="str">
        <f>VLOOKUP(G573,'lista obszary'!A:B,2,0)</f>
        <v>EC60</v>
      </c>
      <c r="G573" s="76" t="s">
        <v>549</v>
      </c>
      <c r="H573" s="85" t="s">
        <v>1881</v>
      </c>
      <c r="I573" s="59" t="str">
        <f>VLOOKUP(J573,'lista obszary'!A:B,2,0)</f>
        <v>EC60</v>
      </c>
      <c r="J573" s="78" t="s">
        <v>844</v>
      </c>
      <c r="K573" s="87" t="s">
        <v>1903</v>
      </c>
      <c r="L573" s="82" t="s">
        <v>2555</v>
      </c>
      <c r="M573" s="22"/>
      <c r="N573" s="22"/>
      <c r="O573" s="22"/>
      <c r="P573" s="19" t="s">
        <v>175</v>
      </c>
      <c r="Q573" s="26"/>
      <c r="R573" s="26"/>
      <c r="S573" s="47"/>
      <c r="T573" s="4" t="e">
        <f>VLOOKUP(#REF!,#REF!,2,0)</f>
        <v>#REF!</v>
      </c>
      <c r="U573" s="20" t="e">
        <f t="shared" si="18"/>
        <v>#REF!</v>
      </c>
      <c r="V573" s="47"/>
      <c r="W573" s="43"/>
      <c r="X573" s="66" t="e">
        <f>VLOOKUP(D573,#REF!,2,0)</f>
        <v>#REF!</v>
      </c>
      <c r="Y573" s="67" t="s">
        <v>2643</v>
      </c>
    </row>
    <row r="574" spans="1:26" ht="13.65" customHeight="1">
      <c r="A574" s="91">
        <v>573</v>
      </c>
      <c r="B574" s="52" t="s">
        <v>174</v>
      </c>
      <c r="C574" s="3" t="str">
        <f>VLOOKUP(D574,'lista 1'!$A$2:$F4092,4,0)</f>
        <v>SOŁTYSIK MAGDALENA</v>
      </c>
      <c r="D574" s="74">
        <v>3005</v>
      </c>
      <c r="E574" s="4" t="str">
        <f>VLOOKUP(D574,'lista 1'!$A$2:$F$1802,5,0)</f>
        <v>TM</v>
      </c>
      <c r="F574" s="59" t="str">
        <f>VLOOKUP(G574,'lista obszary'!A:B,2,0)</f>
        <v>ENGINES</v>
      </c>
      <c r="G574" s="76" t="s">
        <v>596</v>
      </c>
      <c r="H574" s="85" t="s">
        <v>2277</v>
      </c>
      <c r="I574" s="59" t="str">
        <f>VLOOKUP(J574,'lista obszary'!A:B,2,0)</f>
        <v>ENGINES</v>
      </c>
      <c r="J574" s="78" t="s">
        <v>238</v>
      </c>
      <c r="K574" s="87" t="s">
        <v>1584</v>
      </c>
      <c r="L574" s="82" t="s">
        <v>2555</v>
      </c>
      <c r="M574" s="22"/>
      <c r="N574" s="22"/>
      <c r="O574" s="22"/>
      <c r="P574" s="19" t="s">
        <v>175</v>
      </c>
      <c r="Q574" s="26"/>
      <c r="R574" s="26"/>
      <c r="S574" s="47"/>
      <c r="T574" s="4" t="e">
        <f>VLOOKUP(#REF!,#REF!,2,0)</f>
        <v>#REF!</v>
      </c>
      <c r="U574" s="20" t="e">
        <f t="shared" si="18"/>
        <v>#REF!</v>
      </c>
      <c r="V574" s="47"/>
      <c r="W574" s="43"/>
      <c r="X574" s="66" t="e">
        <f>VLOOKUP(D574,#REF!,2,0)</f>
        <v>#REF!</v>
      </c>
      <c r="Y574" s="67" t="s">
        <v>2643</v>
      </c>
      <c r="Z574" s="67" t="b">
        <f>I574=F574</f>
        <v>1</v>
      </c>
    </row>
    <row r="575" spans="1:26" ht="13.65" customHeight="1">
      <c r="A575" s="91">
        <v>574</v>
      </c>
      <c r="B575" s="52" t="s">
        <v>2533</v>
      </c>
      <c r="C575" s="3" t="e">
        <f>VLOOKUP(D575,'lista 1'!$A$2:$F4093,4,0)</f>
        <v>#N/A</v>
      </c>
      <c r="D575" s="74">
        <v>64358</v>
      </c>
      <c r="E575" s="4" t="e">
        <f>VLOOKUP(D575,'lista 1'!$A$2:$F$1802,5,0)</f>
        <v>#N/A</v>
      </c>
      <c r="F575" s="59" t="str">
        <f>VLOOKUP(G575,'lista obszary'!A:B,2,0)</f>
        <v>EC60</v>
      </c>
      <c r="G575" s="76" t="s">
        <v>549</v>
      </c>
      <c r="H575" s="85" t="s">
        <v>1881</v>
      </c>
      <c r="I575" s="59" t="str">
        <f>VLOOKUP(J575,'lista obszary'!A:B,2,0)</f>
        <v>EC60</v>
      </c>
      <c r="J575" s="78" t="s">
        <v>1325</v>
      </c>
      <c r="K575" s="87" t="s">
        <v>2159</v>
      </c>
      <c r="L575" s="82" t="s">
        <v>2555</v>
      </c>
      <c r="M575" s="22"/>
      <c r="N575" s="22"/>
      <c r="O575" s="22"/>
      <c r="P575" s="19" t="s">
        <v>175</v>
      </c>
      <c r="Q575" s="26"/>
      <c r="R575" s="26"/>
      <c r="S575" s="47"/>
      <c r="T575" s="4"/>
      <c r="U575" s="20"/>
      <c r="V575" s="47"/>
      <c r="W575" s="43"/>
      <c r="X575" s="66" t="e">
        <f>VLOOKUP(D575,#REF!,2,0)</f>
        <v>#REF!</v>
      </c>
      <c r="Y575" s="67" t="s">
        <v>2648</v>
      </c>
    </row>
    <row r="576" spans="1:26" ht="13.65" customHeight="1">
      <c r="A576" s="91">
        <v>575</v>
      </c>
      <c r="B576" s="52" t="s">
        <v>174</v>
      </c>
      <c r="C576" s="3" t="e">
        <f>VLOOKUP(D576,'lista 1'!$A$2:$F4094,4,0)</f>
        <v>#N/A</v>
      </c>
      <c r="D576" s="74">
        <v>70415</v>
      </c>
      <c r="E576" s="4" t="e">
        <f>VLOOKUP(D576,'lista 1'!$A$2:$F$1802,5,0)</f>
        <v>#N/A</v>
      </c>
      <c r="F576" s="59" t="str">
        <f>VLOOKUP(G576,'lista obszary'!A:B,2,0)</f>
        <v>EC60</v>
      </c>
      <c r="G576" s="76" t="s">
        <v>844</v>
      </c>
      <c r="H576" s="85" t="s">
        <v>1903</v>
      </c>
      <c r="I576" s="59" t="str">
        <f>VLOOKUP(J576,'lista obszary'!A:B,2,0)</f>
        <v>EC60</v>
      </c>
      <c r="J576" s="78" t="s">
        <v>570</v>
      </c>
      <c r="K576" s="87" t="s">
        <v>1893</v>
      </c>
      <c r="L576" s="82" t="s">
        <v>2555</v>
      </c>
      <c r="M576" s="22"/>
      <c r="N576" s="22"/>
      <c r="O576" s="22"/>
      <c r="P576" s="19" t="s">
        <v>175</v>
      </c>
      <c r="Q576" s="26"/>
      <c r="R576" s="26"/>
      <c r="S576" s="47"/>
      <c r="T576" s="4" t="e">
        <f>VLOOKUP(#REF!,#REF!,2,0)</f>
        <v>#REF!</v>
      </c>
      <c r="U576" s="20" t="e">
        <f>L576-T576</f>
        <v>#REF!</v>
      </c>
      <c r="V576" s="47"/>
      <c r="W576" s="43"/>
      <c r="X576" s="66" t="e">
        <f>VLOOKUP(D576,#REF!,2,0)</f>
        <v>#REF!</v>
      </c>
      <c r="Y576" s="67" t="s">
        <v>2643</v>
      </c>
      <c r="Z576" s="67" t="b">
        <f>I576=F576</f>
        <v>1</v>
      </c>
    </row>
    <row r="577" spans="1:26" ht="13.65" customHeight="1">
      <c r="A577" s="91">
        <v>576</v>
      </c>
      <c r="B577" s="52" t="s">
        <v>174</v>
      </c>
      <c r="C577" s="3" t="e">
        <f>VLOOKUP(D577,'lista 1'!$A$2:$F4095,4,0)</f>
        <v>#N/A</v>
      </c>
      <c r="D577" s="74">
        <v>70520</v>
      </c>
      <c r="E577" s="4" t="e">
        <f>VLOOKUP(D577,'lista 1'!$A$2:$F$1802,5,0)</f>
        <v>#N/A</v>
      </c>
      <c r="F577" s="59" t="str">
        <f>VLOOKUP(G577,'lista obszary'!A:B,2,0)</f>
        <v>EC60</v>
      </c>
      <c r="G577" s="76" t="s">
        <v>549</v>
      </c>
      <c r="H577" s="85" t="s">
        <v>1881</v>
      </c>
      <c r="I577" s="59" t="str">
        <f>VLOOKUP(J577,'lista obszary'!A:B,2,0)</f>
        <v>EC60</v>
      </c>
      <c r="J577" s="78" t="s">
        <v>1325</v>
      </c>
      <c r="K577" s="87" t="s">
        <v>1881</v>
      </c>
      <c r="L577" s="82" t="s">
        <v>2555</v>
      </c>
      <c r="M577" s="22"/>
      <c r="N577" s="22"/>
      <c r="O577" s="22"/>
      <c r="P577" s="19" t="s">
        <v>175</v>
      </c>
      <c r="Q577" s="26"/>
      <c r="R577" s="26"/>
      <c r="S577" s="47"/>
      <c r="T577" s="4" t="e">
        <f>VLOOKUP(#REF!,#REF!,2,0)</f>
        <v>#REF!</v>
      </c>
      <c r="U577" s="20" t="e">
        <f>L577-T577</f>
        <v>#REF!</v>
      </c>
      <c r="V577" s="47"/>
      <c r="W577" s="43"/>
      <c r="X577" s="66" t="e">
        <f>VLOOKUP(D577,#REF!,2,0)</f>
        <v>#REF!</v>
      </c>
      <c r="Y577" s="67" t="b">
        <f>F577=I577</f>
        <v>1</v>
      </c>
    </row>
    <row r="578" spans="1:26" ht="13.65" customHeight="1">
      <c r="A578" s="91">
        <v>577</v>
      </c>
      <c r="B578" s="52" t="s">
        <v>174</v>
      </c>
      <c r="C578" s="3" t="str">
        <f>VLOOKUP(D578,'lista 1'!$A$2:$F4096,4,0)</f>
        <v>KOŚKIEWICZ DARIUSZ</v>
      </c>
      <c r="D578" s="74">
        <v>710</v>
      </c>
      <c r="E578" s="4" t="str">
        <f>VLOOKUP(D578,'lista 1'!$A$2:$F$1802,5,0)</f>
        <v>AC TL</v>
      </c>
      <c r="F578" s="59" t="str">
        <f>VLOOKUP(G578,'lista obszary'!A:B,2,0)</f>
        <v>MTB0</v>
      </c>
      <c r="G578" s="76" t="s">
        <v>220</v>
      </c>
      <c r="H578" s="85" t="s">
        <v>1877</v>
      </c>
      <c r="I578" s="59" t="str">
        <f>VLOOKUP(J578,'lista obszary'!A:B,2,0)</f>
        <v>MTB0</v>
      </c>
      <c r="J578" s="78" t="s">
        <v>503</v>
      </c>
      <c r="K578" s="87" t="s">
        <v>1565</v>
      </c>
      <c r="L578" s="82" t="s">
        <v>2568</v>
      </c>
      <c r="M578" s="22"/>
      <c r="N578" s="22"/>
      <c r="O578" s="22"/>
      <c r="P578" s="19" t="s">
        <v>175</v>
      </c>
      <c r="Q578" s="26"/>
      <c r="R578" s="26"/>
      <c r="S578" s="47"/>
      <c r="T578" s="4"/>
      <c r="U578" s="20"/>
      <c r="V578" s="47"/>
      <c r="W578" s="43"/>
      <c r="X578" s="66" t="e">
        <f>VLOOKUP(D578,#REF!,2,0)</f>
        <v>#REF!</v>
      </c>
      <c r="Y578" s="67" t="b">
        <f>F578=I578</f>
        <v>1</v>
      </c>
    </row>
    <row r="579" spans="1:26" ht="13.65" customHeight="1">
      <c r="A579" s="91">
        <v>578</v>
      </c>
      <c r="B579" s="52" t="s">
        <v>174</v>
      </c>
      <c r="C579" s="3" t="str">
        <f>VLOOKUP(D579,'lista 1'!$A$2:$F4097,4,0)</f>
        <v>BOGACZ ANETA</v>
      </c>
      <c r="D579" s="74">
        <v>2199</v>
      </c>
      <c r="E579" s="4" t="str">
        <f>VLOOKUP(D579,'lista 1'!$A$2:$F$1802,5,0)</f>
        <v>TM</v>
      </c>
      <c r="F579" s="59" t="str">
        <f>VLOOKUP(G579,'lista obszary'!A:B,2,0)</f>
        <v>ENGINES</v>
      </c>
      <c r="G579" s="76" t="s">
        <v>772</v>
      </c>
      <c r="H579" s="85" t="s">
        <v>1389</v>
      </c>
      <c r="I579" s="59" t="str">
        <f>VLOOKUP(J579,'lista obszary'!A:B,2,0)</f>
        <v>ENGINES</v>
      </c>
      <c r="J579" s="78" t="s">
        <v>596</v>
      </c>
      <c r="K579" s="87" t="s">
        <v>2277</v>
      </c>
      <c r="L579" s="82" t="s">
        <v>2568</v>
      </c>
      <c r="M579" s="22"/>
      <c r="N579" s="22"/>
      <c r="O579" s="22"/>
      <c r="P579" s="19" t="s">
        <v>175</v>
      </c>
      <c r="Q579" s="26"/>
      <c r="R579" s="26"/>
      <c r="S579" s="47"/>
      <c r="T579" s="4" t="e">
        <f>VLOOKUP(#REF!,#REF!,2,0)</f>
        <v>#REF!</v>
      </c>
      <c r="U579" s="20" t="e">
        <f t="shared" ref="U579:U642" si="19">L579-T579</f>
        <v>#REF!</v>
      </c>
      <c r="V579" s="47"/>
      <c r="W579" s="43"/>
      <c r="X579" s="66" t="e">
        <f>VLOOKUP(D579,#REF!,2,0)</f>
        <v>#REF!</v>
      </c>
      <c r="Y579" s="67" t="s">
        <v>2643</v>
      </c>
      <c r="Z579" s="67" t="b">
        <f>I579=F579</f>
        <v>1</v>
      </c>
    </row>
    <row r="580" spans="1:26" ht="13.65" customHeight="1">
      <c r="A580" s="91">
        <v>579</v>
      </c>
      <c r="B580" s="52" t="s">
        <v>174</v>
      </c>
      <c r="C580" s="3" t="str">
        <f>VLOOKUP(D580,'lista 1'!$A$2:$F4098,4,0)</f>
        <v>CHŁODNICKA ANNA</v>
      </c>
      <c r="D580" s="74">
        <v>2207</v>
      </c>
      <c r="E580" s="4" t="str">
        <f>VLOOKUP(D580,'lista 1'!$A$2:$F$1802,5,0)</f>
        <v>TM2</v>
      </c>
      <c r="F580" s="59" t="str">
        <f>VLOOKUP(G580,'lista obszary'!A:B,2,0)</f>
        <v>HV</v>
      </c>
      <c r="G580" s="76" t="s">
        <v>2325</v>
      </c>
      <c r="H580" s="85" t="s">
        <v>345</v>
      </c>
      <c r="I580" s="59" t="str">
        <f>VLOOKUP(J580,'lista obszary'!A:B,2,0)</f>
        <v>HV</v>
      </c>
      <c r="J580" s="78" t="s">
        <v>2069</v>
      </c>
      <c r="K580" s="87" t="s">
        <v>528</v>
      </c>
      <c r="L580" s="82" t="s">
        <v>2568</v>
      </c>
      <c r="M580" s="22"/>
      <c r="N580" s="22"/>
      <c r="O580" s="22"/>
      <c r="P580" s="19" t="s">
        <v>175</v>
      </c>
      <c r="Q580" s="26"/>
      <c r="R580" s="26"/>
      <c r="S580" s="47"/>
      <c r="T580" s="4" t="e">
        <f>VLOOKUP(#REF!,#REF!,2,0)</f>
        <v>#REF!</v>
      </c>
      <c r="U580" s="20" t="e">
        <f t="shared" si="19"/>
        <v>#REF!</v>
      </c>
      <c r="V580" s="47"/>
      <c r="W580" s="43"/>
      <c r="X580" s="66" t="e">
        <f>VLOOKUP(D580,#REF!,2,0)</f>
        <v>#REF!</v>
      </c>
      <c r="Y580" s="67" t="b">
        <f>F580=I580</f>
        <v>1</v>
      </c>
    </row>
    <row r="581" spans="1:26" ht="13.65" customHeight="1">
      <c r="A581" s="91">
        <v>580</v>
      </c>
      <c r="B581" s="52" t="s">
        <v>174</v>
      </c>
      <c r="C581" s="3" t="str">
        <f>VLOOKUP(D581,'lista 1'!$A$2:$F4099,4,0)</f>
        <v>MAZURSKI DANIEL</v>
      </c>
      <c r="D581" s="74">
        <v>476</v>
      </c>
      <c r="E581" s="4" t="str">
        <f>VLOOKUP(D581,'lista 1'!$A$2:$F$1802,5,0)</f>
        <v>ASM</v>
      </c>
      <c r="F581" s="59" t="str">
        <f>VLOOKUP(G581,'lista obszary'!A:B,2,0)</f>
        <v>QC</v>
      </c>
      <c r="G581" s="76" t="s">
        <v>1348</v>
      </c>
      <c r="H581" s="85" t="s">
        <v>1895</v>
      </c>
      <c r="I581" s="59" t="str">
        <f>VLOOKUP(J581,'lista obszary'!A:B,2,0)</f>
        <v>QC OFFICE</v>
      </c>
      <c r="J581" s="78" t="s">
        <v>1484</v>
      </c>
      <c r="K581" s="87" t="s">
        <v>1895</v>
      </c>
      <c r="L581" s="82" t="s">
        <v>2568</v>
      </c>
      <c r="M581" s="22"/>
      <c r="N581" s="22"/>
      <c r="O581" s="22"/>
      <c r="P581" s="19" t="s">
        <v>175</v>
      </c>
      <c r="Q581" s="26"/>
      <c r="R581" s="26"/>
      <c r="S581" s="47"/>
      <c r="T581" s="4" t="e">
        <f>VLOOKUP(#REF!,#REF!,2,0)</f>
        <v>#REF!</v>
      </c>
      <c r="U581" s="20" t="e">
        <f t="shared" si="19"/>
        <v>#REF!</v>
      </c>
      <c r="V581" s="47"/>
      <c r="W581" s="43"/>
      <c r="X581" s="66" t="e">
        <f>VLOOKUP(D581,#REF!,2,0)</f>
        <v>#REF!</v>
      </c>
      <c r="Y581" s="67" t="s">
        <v>2643</v>
      </c>
      <c r="Z581" s="67" t="b">
        <f>I581=F581</f>
        <v>0</v>
      </c>
    </row>
    <row r="582" spans="1:26" ht="13.65" customHeight="1">
      <c r="A582" s="91">
        <v>581</v>
      </c>
      <c r="B582" s="52" t="s">
        <v>2533</v>
      </c>
      <c r="C582" s="3" t="str">
        <f>VLOOKUP(D582,'lista 1'!$A$2:$F4100,4,0)</f>
        <v>BYLICKI DOMINIK</v>
      </c>
      <c r="D582" s="74">
        <v>2965</v>
      </c>
      <c r="E582" s="4" t="str">
        <f>VLOOKUP(D582,'lista 1'!$A$2:$F$1802,5,0)</f>
        <v>TM</v>
      </c>
      <c r="F582" s="59" t="str">
        <f>VLOOKUP(G582,'lista obszary'!A:B,2,0)</f>
        <v>ENGINES</v>
      </c>
      <c r="G582" s="76" t="s">
        <v>596</v>
      </c>
      <c r="H582" s="85" t="s">
        <v>2277</v>
      </c>
      <c r="I582" s="59" t="str">
        <f>VLOOKUP(J582,'lista obszary'!A:B,2,0)</f>
        <v>EC60</v>
      </c>
      <c r="J582" s="78" t="s">
        <v>549</v>
      </c>
      <c r="K582" s="87" t="s">
        <v>1881</v>
      </c>
      <c r="L582" s="82" t="s">
        <v>2569</v>
      </c>
      <c r="M582" s="22"/>
      <c r="N582" s="22"/>
      <c r="O582" s="22"/>
      <c r="P582" s="19" t="s">
        <v>175</v>
      </c>
      <c r="Q582" s="26"/>
      <c r="R582" s="26"/>
      <c r="S582" s="47"/>
      <c r="T582" s="4" t="e">
        <f>VLOOKUP(#REF!,#REF!,2,0)</f>
        <v>#REF!</v>
      </c>
      <c r="U582" s="20" t="e">
        <f t="shared" si="19"/>
        <v>#REF!</v>
      </c>
      <c r="V582" s="47"/>
      <c r="W582" s="43"/>
      <c r="X582" s="66" t="e">
        <f>VLOOKUP(D582,#REF!,2,0)</f>
        <v>#REF!</v>
      </c>
      <c r="Y582" s="67" t="s">
        <v>2645</v>
      </c>
      <c r="Z582" s="67" t="b">
        <f>I582=F582</f>
        <v>0</v>
      </c>
    </row>
    <row r="583" spans="1:26" ht="13.65" customHeight="1">
      <c r="A583" s="91">
        <v>582</v>
      </c>
      <c r="B583" s="52" t="s">
        <v>2533</v>
      </c>
      <c r="C583" s="3" t="str">
        <f>VLOOKUP(D583,'lista 1'!$A$2:$F4101,4,0)</f>
        <v>BAŃKA MAGDALENA</v>
      </c>
      <c r="D583" s="74">
        <v>2365</v>
      </c>
      <c r="E583" s="4" t="str">
        <f>VLOOKUP(D583,'lista 1'!$A$2:$F$1802,5,0)</f>
        <v>TM2</v>
      </c>
      <c r="F583" s="59" t="str">
        <f>VLOOKUP(G583,'lista obszary'!A:B,2,0)</f>
        <v>ENGINES</v>
      </c>
      <c r="G583" s="76" t="s">
        <v>178</v>
      </c>
      <c r="H583" s="85" t="s">
        <v>1556</v>
      </c>
      <c r="I583" s="59" t="str">
        <f>VLOOKUP(J583,'lista obszary'!A:B,2,0)</f>
        <v>EC60</v>
      </c>
      <c r="J583" s="78" t="s">
        <v>549</v>
      </c>
      <c r="K583" s="87" t="s">
        <v>1881</v>
      </c>
      <c r="L583" s="82" t="s">
        <v>2569</v>
      </c>
      <c r="M583" s="22"/>
      <c r="N583" s="22"/>
      <c r="O583" s="22"/>
      <c r="P583" s="19" t="s">
        <v>175</v>
      </c>
      <c r="Q583" s="26"/>
      <c r="R583" s="26"/>
      <c r="S583" s="47"/>
      <c r="T583" s="4" t="e">
        <f>VLOOKUP(#REF!,#REF!,2,0)</f>
        <v>#REF!</v>
      </c>
      <c r="U583" s="20" t="e">
        <f t="shared" si="19"/>
        <v>#REF!</v>
      </c>
      <c r="V583" s="47"/>
      <c r="W583" s="43"/>
      <c r="X583" s="66" t="e">
        <f>VLOOKUP(D583,#REF!,2,0)</f>
        <v>#REF!</v>
      </c>
      <c r="Y583" s="67" t="s">
        <v>2645</v>
      </c>
      <c r="Z583" s="67" t="b">
        <f>I583=F583</f>
        <v>0</v>
      </c>
    </row>
    <row r="584" spans="1:26" ht="13.65" customHeight="1">
      <c r="A584" s="91">
        <v>583</v>
      </c>
      <c r="B584" s="52" t="s">
        <v>174</v>
      </c>
      <c r="C584" s="3" t="str">
        <f>VLOOKUP(D584,'lista 1'!$A$2:$F4102,4,0)</f>
        <v>JANCZURA PIOTR</v>
      </c>
      <c r="D584" s="74">
        <v>1381</v>
      </c>
      <c r="E584" s="4" t="str">
        <f>VLOOKUP(D584,'lista 1'!$A$2:$F$1802,5,0)</f>
        <v>TM</v>
      </c>
      <c r="F584" s="59" t="str">
        <f>VLOOKUP(G584,'lista obszary'!A:B,2,0)</f>
        <v>CASTING</v>
      </c>
      <c r="G584" s="76" t="s">
        <v>685</v>
      </c>
      <c r="H584" s="85" t="s">
        <v>1559</v>
      </c>
      <c r="I584" s="59" t="str">
        <f>VLOOKUP(J584,'lista obszary'!A:B,2,0)</f>
        <v>CASTING</v>
      </c>
      <c r="J584" s="78" t="s">
        <v>683</v>
      </c>
      <c r="K584" s="87" t="s">
        <v>1900</v>
      </c>
      <c r="L584" s="82" t="s">
        <v>2569</v>
      </c>
      <c r="M584" s="22"/>
      <c r="N584" s="22"/>
      <c r="O584" s="22"/>
      <c r="P584" s="19" t="s">
        <v>175</v>
      </c>
      <c r="Q584" s="26"/>
      <c r="R584" s="26"/>
      <c r="S584" s="47"/>
      <c r="T584" s="4" t="e">
        <f>VLOOKUP(#REF!,#REF!,2,0)</f>
        <v>#REF!</v>
      </c>
      <c r="U584" s="20" t="e">
        <f t="shared" si="19"/>
        <v>#REF!</v>
      </c>
      <c r="V584" s="47"/>
      <c r="W584" s="43"/>
      <c r="X584" s="66" t="e">
        <f>VLOOKUP(D584,#REF!,2,0)</f>
        <v>#REF!</v>
      </c>
      <c r="Y584" s="67" t="b">
        <f>F584=I584</f>
        <v>1</v>
      </c>
    </row>
    <row r="585" spans="1:26" ht="13.65" customHeight="1">
      <c r="A585" s="91">
        <v>584</v>
      </c>
      <c r="B585" s="52" t="s">
        <v>174</v>
      </c>
      <c r="C585" s="3" t="str">
        <f>VLOOKUP(D585,'lista 1'!$A$2:$F4103,4,0)</f>
        <v>KARNIEJ MARIUSZ</v>
      </c>
      <c r="D585" s="74">
        <v>873</v>
      </c>
      <c r="E585" s="4" t="str">
        <f>VLOOKUP(D585,'lista 1'!$A$2:$F$1802,5,0)</f>
        <v>AC TL</v>
      </c>
      <c r="F585" s="59" t="str">
        <f>VLOOKUP(G585,'lista obszary'!A:B,2,0)</f>
        <v>MTB0</v>
      </c>
      <c r="G585" s="76" t="s">
        <v>220</v>
      </c>
      <c r="H585" s="85" t="s">
        <v>1877</v>
      </c>
      <c r="I585" s="59" t="str">
        <f>VLOOKUP(J585,'lista obszary'!A:B,2,0)</f>
        <v>MTB0</v>
      </c>
      <c r="J585" s="78" t="s">
        <v>1090</v>
      </c>
      <c r="K585" s="87" t="s">
        <v>1908</v>
      </c>
      <c r="L585" s="82" t="s">
        <v>2559</v>
      </c>
      <c r="M585" s="22"/>
      <c r="N585" s="22"/>
      <c r="O585" s="22"/>
      <c r="P585" s="19" t="s">
        <v>175</v>
      </c>
      <c r="Q585" s="26"/>
      <c r="R585" s="26"/>
      <c r="S585" s="47"/>
      <c r="T585" s="4" t="e">
        <f>VLOOKUP(#REF!,#REF!,2,0)</f>
        <v>#REF!</v>
      </c>
      <c r="U585" s="20" t="e">
        <f t="shared" si="19"/>
        <v>#REF!</v>
      </c>
      <c r="V585" s="47"/>
      <c r="W585" s="43"/>
      <c r="X585" s="66" t="e">
        <f>VLOOKUP(D585,#REF!,2,0)</f>
        <v>#REF!</v>
      </c>
      <c r="Y585" s="67" t="b">
        <f>F585=I585</f>
        <v>1</v>
      </c>
    </row>
    <row r="586" spans="1:26" ht="13.65" customHeight="1">
      <c r="A586" s="91">
        <v>585</v>
      </c>
      <c r="B586" s="52" t="s">
        <v>174</v>
      </c>
      <c r="C586" s="3" t="str">
        <f>VLOOKUP(D586,'lista 1'!$A$2:$F4104,4,0)</f>
        <v>GORDZIEJEWSKA SYLWIA</v>
      </c>
      <c r="D586" s="74">
        <v>567</v>
      </c>
      <c r="E586" s="4" t="str">
        <f>VLOOKUP(D586,'lista 1'!$A$2:$F$1802,5,0)</f>
        <v>TL2</v>
      </c>
      <c r="F586" s="59" t="str">
        <f>VLOOKUP(G586,'lista obszary'!A:B,2,0)</f>
        <v>HV</v>
      </c>
      <c r="G586" s="76" t="s">
        <v>2323</v>
      </c>
      <c r="H586" s="85" t="s">
        <v>1904</v>
      </c>
      <c r="I586" s="59" t="str">
        <f>VLOOKUP(J586,'lista obszary'!A:B,2,0)</f>
        <v>HV PJT</v>
      </c>
      <c r="J586" s="78" t="s">
        <v>2377</v>
      </c>
      <c r="K586" s="87" t="s">
        <v>1395</v>
      </c>
      <c r="L586" s="82" t="s">
        <v>2559</v>
      </c>
      <c r="M586" s="22"/>
      <c r="N586" s="22"/>
      <c r="O586" s="22"/>
      <c r="P586" s="19" t="s">
        <v>175</v>
      </c>
      <c r="Q586" s="26"/>
      <c r="R586" s="26"/>
      <c r="S586" s="47"/>
      <c r="T586" s="4" t="e">
        <f>VLOOKUP(#REF!,#REF!,2,0)</f>
        <v>#REF!</v>
      </c>
      <c r="U586" s="20" t="e">
        <f t="shared" si="19"/>
        <v>#REF!</v>
      </c>
      <c r="V586" s="47"/>
      <c r="W586" s="43"/>
      <c r="X586" s="66" t="e">
        <f>VLOOKUP(D586,#REF!,2,0)</f>
        <v>#REF!</v>
      </c>
      <c r="Y586" s="67" t="s">
        <v>2643</v>
      </c>
    </row>
    <row r="587" spans="1:26" ht="13.65" customHeight="1">
      <c r="A587" s="91">
        <v>586</v>
      </c>
      <c r="B587" s="52" t="s">
        <v>174</v>
      </c>
      <c r="C587" s="3" t="e">
        <f>VLOOKUP(D587,'lista 1'!$A$2:$F4105,4,0)</f>
        <v>#N/A</v>
      </c>
      <c r="D587" s="74">
        <v>64346</v>
      </c>
      <c r="E587" s="4" t="e">
        <f>VLOOKUP(D587,'lista 1'!$A$2:$F$1802,5,0)</f>
        <v>#N/A</v>
      </c>
      <c r="F587" s="59" t="str">
        <f>VLOOKUP(G587,'lista obszary'!A:B,2,0)</f>
        <v>MTB0</v>
      </c>
      <c r="G587" s="76" t="s">
        <v>220</v>
      </c>
      <c r="H587" s="85" t="s">
        <v>1877</v>
      </c>
      <c r="I587" s="59" t="str">
        <f>VLOOKUP(J587,'lista obszary'!A:B,2,0)</f>
        <v>MTB0</v>
      </c>
      <c r="J587" s="78" t="s">
        <v>1452</v>
      </c>
      <c r="K587" s="87" t="s">
        <v>1386</v>
      </c>
      <c r="L587" s="82" t="s">
        <v>2559</v>
      </c>
      <c r="M587" s="22"/>
      <c r="N587" s="22"/>
      <c r="O587" s="22"/>
      <c r="P587" s="19" t="s">
        <v>175</v>
      </c>
      <c r="Q587" s="26"/>
      <c r="R587" s="26"/>
      <c r="S587" s="47"/>
      <c r="T587" s="4" t="e">
        <f>VLOOKUP(#REF!,#REF!,2,0)</f>
        <v>#REF!</v>
      </c>
      <c r="U587" s="20" t="e">
        <f t="shared" si="19"/>
        <v>#REF!</v>
      </c>
      <c r="V587" s="47"/>
      <c r="W587" s="43"/>
      <c r="X587" s="66" t="e">
        <f>VLOOKUP(D587,#REF!,2,0)</f>
        <v>#REF!</v>
      </c>
      <c r="Y587" s="67" t="b">
        <f>F587=I587</f>
        <v>1</v>
      </c>
    </row>
    <row r="588" spans="1:26" ht="13.65" customHeight="1">
      <c r="A588" s="91">
        <v>587</v>
      </c>
      <c r="B588" s="52" t="s">
        <v>174</v>
      </c>
      <c r="C588" s="3" t="str">
        <f>VLOOKUP(D588,'lista 1'!$A$2:$F4106,4,0)</f>
        <v>JĘDRUSIK MACIEJ</v>
      </c>
      <c r="D588" s="74">
        <v>852</v>
      </c>
      <c r="E588" s="4" t="str">
        <f>VLOOKUP(D588,'lista 1'!$A$2:$F$1802,5,0)</f>
        <v>GRL</v>
      </c>
      <c r="F588" s="59" t="str">
        <f>VLOOKUP(G588,'lista obszary'!A:B,2,0)</f>
        <v>IL</v>
      </c>
      <c r="G588" s="76" t="s">
        <v>2473</v>
      </c>
      <c r="H588" s="85" t="s">
        <v>1909</v>
      </c>
      <c r="I588" s="59" t="str">
        <f>VLOOKUP(J588,'lista obszary'!A:B,2,0)</f>
        <v>IL</v>
      </c>
      <c r="J588" s="78" t="s">
        <v>2402</v>
      </c>
      <c r="K588" s="87" t="s">
        <v>1561</v>
      </c>
      <c r="L588" s="82" t="s">
        <v>2559</v>
      </c>
      <c r="M588" s="22"/>
      <c r="N588" s="22"/>
      <c r="O588" s="22"/>
      <c r="P588" s="26"/>
      <c r="Q588" s="26"/>
      <c r="R588" s="26"/>
      <c r="S588" s="47"/>
      <c r="T588" s="4" t="e">
        <f>VLOOKUP(#REF!,#REF!,2,0)</f>
        <v>#REF!</v>
      </c>
      <c r="U588" s="20" t="e">
        <f t="shared" si="19"/>
        <v>#REF!</v>
      </c>
      <c r="V588" s="47"/>
      <c r="W588" s="43"/>
      <c r="X588" s="66" t="e">
        <f>VLOOKUP(D588,#REF!,2,0)</f>
        <v>#REF!</v>
      </c>
      <c r="Y588" s="67" t="s">
        <v>2643</v>
      </c>
      <c r="Z588" s="67" t="b">
        <f t="shared" ref="Z588:Z594" si="20">I588=F588</f>
        <v>1</v>
      </c>
    </row>
    <row r="589" spans="1:26" ht="13.65" customHeight="1">
      <c r="A589" s="91">
        <v>588</v>
      </c>
      <c r="B589" s="52" t="s">
        <v>174</v>
      </c>
      <c r="C589" s="3" t="str">
        <f>VLOOKUP(D589,'lista 1'!$A$2:$F4107,4,0)</f>
        <v>CIESZOWIC ANDRZEJ</v>
      </c>
      <c r="D589" s="74">
        <v>2078</v>
      </c>
      <c r="E589" s="4" t="str">
        <f>VLOOKUP(D589,'lista 1'!$A$2:$F$1802,5,0)</f>
        <v>TM2</v>
      </c>
      <c r="F589" s="59" t="str">
        <f>VLOOKUP(G589,'lista obszary'!A:B,2,0)</f>
        <v>IL</v>
      </c>
      <c r="G589" s="76" t="s">
        <v>512</v>
      </c>
      <c r="H589" s="85" t="s">
        <v>1574</v>
      </c>
      <c r="I589" s="59" t="str">
        <f>VLOOKUP(J589,'lista obszary'!A:B,2,0)</f>
        <v>IL</v>
      </c>
      <c r="J589" s="78" t="s">
        <v>515</v>
      </c>
      <c r="K589" s="87" t="s">
        <v>1574</v>
      </c>
      <c r="L589" s="82" t="s">
        <v>2559</v>
      </c>
      <c r="M589" s="22"/>
      <c r="N589" s="22"/>
      <c r="O589" s="22"/>
      <c r="P589" s="26"/>
      <c r="Q589" s="26"/>
      <c r="R589" s="26"/>
      <c r="S589" s="47"/>
      <c r="T589" s="4" t="e">
        <f>VLOOKUP(#REF!,#REF!,2,0)</f>
        <v>#REF!</v>
      </c>
      <c r="U589" s="20" t="e">
        <f t="shared" si="19"/>
        <v>#REF!</v>
      </c>
      <c r="V589" s="47"/>
      <c r="W589" s="43"/>
      <c r="X589" s="66" t="e">
        <f>VLOOKUP(D589,#REF!,2,0)</f>
        <v>#REF!</v>
      </c>
      <c r="Y589" s="67" t="s">
        <v>2643</v>
      </c>
      <c r="Z589" s="67" t="b">
        <f t="shared" si="20"/>
        <v>1</v>
      </c>
    </row>
    <row r="590" spans="1:26" ht="13.65" customHeight="1">
      <c r="A590" s="91">
        <v>589</v>
      </c>
      <c r="B590" s="52" t="s">
        <v>174</v>
      </c>
      <c r="C590" s="3" t="str">
        <f>VLOOKUP(D590,'lista 1'!$A$2:$F4108,4,0)</f>
        <v>STANIÓRSKI SŁAWOMIR</v>
      </c>
      <c r="D590" s="74">
        <v>621</v>
      </c>
      <c r="E590" s="4" t="str">
        <f>VLOOKUP(D590,'lista 1'!$A$2:$F$1802,5,0)</f>
        <v>TM</v>
      </c>
      <c r="F590" s="59" t="str">
        <f>VLOOKUP(G590,'lista obszary'!A:B,2,0)</f>
        <v>IL</v>
      </c>
      <c r="G590" s="76" t="s">
        <v>2087</v>
      </c>
      <c r="H590" s="85" t="s">
        <v>2112</v>
      </c>
      <c r="I590" s="59" t="str">
        <f>VLOOKUP(J590,'lista obszary'!A:B,2,0)</f>
        <v>IL</v>
      </c>
      <c r="J590" s="78" t="s">
        <v>2402</v>
      </c>
      <c r="K590" s="87" t="s">
        <v>1909</v>
      </c>
      <c r="L590" s="82" t="s">
        <v>2559</v>
      </c>
      <c r="M590" s="22"/>
      <c r="N590" s="22"/>
      <c r="O590" s="22"/>
      <c r="P590" s="26"/>
      <c r="Q590" s="26"/>
      <c r="R590" s="26"/>
      <c r="S590" s="47"/>
      <c r="T590" s="4" t="e">
        <f>VLOOKUP(#REF!,#REF!,2,0)</f>
        <v>#REF!</v>
      </c>
      <c r="U590" s="20" t="e">
        <f t="shared" si="19"/>
        <v>#REF!</v>
      </c>
      <c r="V590" s="47"/>
      <c r="W590" s="43"/>
      <c r="X590" s="66" t="e">
        <f>VLOOKUP(D590,#REF!,2,0)</f>
        <v>#REF!</v>
      </c>
      <c r="Y590" s="67" t="s">
        <v>2643</v>
      </c>
      <c r="Z590" s="67" t="b">
        <f t="shared" si="20"/>
        <v>1</v>
      </c>
    </row>
    <row r="591" spans="1:26" ht="13.65" customHeight="1">
      <c r="A591" s="91">
        <v>590</v>
      </c>
      <c r="B591" s="52" t="s">
        <v>174</v>
      </c>
      <c r="C591" s="3" t="str">
        <f>VLOOKUP(D591,'lista 1'!$A$2:$F4109,4,0)</f>
        <v>SZCZĘSNY RAFAŁ</v>
      </c>
      <c r="D591" s="74">
        <v>422</v>
      </c>
      <c r="E591" s="4" t="str">
        <f>VLOOKUP(D591,'lista 1'!$A$2:$F$1802,5,0)</f>
        <v>TM</v>
      </c>
      <c r="F591" s="59" t="str">
        <f>VLOOKUP(G591,'lista obszary'!A:B,2,0)</f>
        <v>IL</v>
      </c>
      <c r="G591" s="76" t="s">
        <v>511</v>
      </c>
      <c r="H591" s="85" t="s">
        <v>2472</v>
      </c>
      <c r="I591" s="59" t="str">
        <f>VLOOKUP(J591,'lista obszary'!A:B,2,0)</f>
        <v>IL</v>
      </c>
      <c r="J591" s="78" t="s">
        <v>2402</v>
      </c>
      <c r="K591" s="87" t="s">
        <v>1909</v>
      </c>
      <c r="L591" s="82" t="s">
        <v>2559</v>
      </c>
      <c r="M591" s="22"/>
      <c r="N591" s="22"/>
      <c r="O591" s="22"/>
      <c r="P591" s="26"/>
      <c r="Q591" s="26"/>
      <c r="R591" s="26"/>
      <c r="S591" s="47"/>
      <c r="T591" s="4" t="e">
        <f>VLOOKUP(#REF!,#REF!,2,0)</f>
        <v>#REF!</v>
      </c>
      <c r="U591" s="20" t="e">
        <f t="shared" si="19"/>
        <v>#REF!</v>
      </c>
      <c r="V591" s="47"/>
      <c r="W591" s="43"/>
      <c r="X591" s="66" t="e">
        <f>VLOOKUP(D591,#REF!,2,0)</f>
        <v>#REF!</v>
      </c>
      <c r="Y591" s="67" t="s">
        <v>2643</v>
      </c>
      <c r="Z591" s="67" t="b">
        <f t="shared" si="20"/>
        <v>1</v>
      </c>
    </row>
    <row r="592" spans="1:26" ht="13.65" customHeight="1">
      <c r="A592" s="91">
        <v>591</v>
      </c>
      <c r="B592" s="52"/>
      <c r="C592" s="3" t="str">
        <f>VLOOKUP(D592,'lista 1'!$A$2:$F4110,4,0)</f>
        <v>RACZYŃSKI ARTUR</v>
      </c>
      <c r="D592" s="74">
        <v>1783</v>
      </c>
      <c r="E592" s="4" t="str">
        <f>VLOOKUP(D592,'lista 1'!$A$2:$F$1802,5,0)</f>
        <v>ENG</v>
      </c>
      <c r="F592" s="59" t="str">
        <f>VLOOKUP(G592,'lista obszary'!A:B,2,0)</f>
        <v>QE</v>
      </c>
      <c r="G592" s="76" t="s">
        <v>2130</v>
      </c>
      <c r="H592" s="85" t="s">
        <v>2129</v>
      </c>
      <c r="I592" s="59" t="str">
        <f>VLOOKUP(J592,'lista obszary'!A:B,2,0)</f>
        <v>QE</v>
      </c>
      <c r="J592" s="78" t="s">
        <v>2580</v>
      </c>
      <c r="K592" s="87" t="s">
        <v>2581</v>
      </c>
      <c r="L592" s="82" t="s">
        <v>2559</v>
      </c>
      <c r="M592" s="22"/>
      <c r="N592" s="22"/>
      <c r="O592" s="22"/>
      <c r="P592" s="26"/>
      <c r="Q592" s="26"/>
      <c r="R592" s="26"/>
      <c r="S592" s="47"/>
      <c r="T592" s="4" t="e">
        <f>VLOOKUP(#REF!,#REF!,2,0)</f>
        <v>#REF!</v>
      </c>
      <c r="U592" s="20" t="e">
        <f t="shared" si="19"/>
        <v>#REF!</v>
      </c>
      <c r="V592" s="47"/>
      <c r="W592" s="43"/>
      <c r="X592" s="66" t="e">
        <f>VLOOKUP(D592,#REF!,2,0)</f>
        <v>#REF!</v>
      </c>
      <c r="Y592" s="67" t="s">
        <v>2643</v>
      </c>
      <c r="Z592" s="67" t="b">
        <f t="shared" si="20"/>
        <v>1</v>
      </c>
    </row>
    <row r="593" spans="1:26" ht="13.65" customHeight="1">
      <c r="A593" s="91">
        <v>592</v>
      </c>
      <c r="B593" s="52"/>
      <c r="C593" s="3" t="str">
        <f>VLOOKUP(D593,'lista 1'!$A$2:$F4111,4,0)</f>
        <v>ŚLEPOKURA PIOTR</v>
      </c>
      <c r="D593" s="74">
        <v>2844</v>
      </c>
      <c r="E593" s="4" t="str">
        <f>VLOOKUP(D593,'lista 1'!$A$2:$F$1802,5,0)</f>
        <v>SENG</v>
      </c>
      <c r="F593" s="59" t="str">
        <f>VLOOKUP(G593,'lista obszary'!A:B,2,0)</f>
        <v>QE</v>
      </c>
      <c r="G593" s="76" t="s">
        <v>681</v>
      </c>
      <c r="H593" s="85" t="s">
        <v>1936</v>
      </c>
      <c r="I593" s="59" t="str">
        <f>VLOOKUP(J593,'lista obszary'!A:B,2,0)</f>
        <v>QE</v>
      </c>
      <c r="J593" s="78" t="s">
        <v>2580</v>
      </c>
      <c r="K593" s="87" t="s">
        <v>2581</v>
      </c>
      <c r="L593" s="82" t="s">
        <v>2559</v>
      </c>
      <c r="M593" s="22"/>
      <c r="N593" s="22"/>
      <c r="O593" s="22"/>
      <c r="P593" s="26"/>
      <c r="Q593" s="26"/>
      <c r="R593" s="26"/>
      <c r="S593" s="47"/>
      <c r="T593" s="4" t="e">
        <f>VLOOKUP(#REF!,#REF!,2,0)</f>
        <v>#REF!</v>
      </c>
      <c r="U593" s="20" t="e">
        <f t="shared" si="19"/>
        <v>#REF!</v>
      </c>
      <c r="V593" s="47"/>
      <c r="W593" s="43"/>
      <c r="X593" s="66" t="e">
        <f>VLOOKUP(D593,#REF!,2,0)</f>
        <v>#REF!</v>
      </c>
      <c r="Y593" s="67" t="s">
        <v>2643</v>
      </c>
      <c r="Z593" s="67" t="b">
        <f t="shared" si="20"/>
        <v>1</v>
      </c>
    </row>
    <row r="594" spans="1:26" ht="13.65" customHeight="1">
      <c r="A594" s="91">
        <v>593</v>
      </c>
      <c r="B594" s="52"/>
      <c r="C594" s="3" t="str">
        <f>VLOOKUP(D594,'lista 1'!$A$2:$F4112,4,0)</f>
        <v>JĘDRASIK MARCIN</v>
      </c>
      <c r="D594" s="74">
        <v>464</v>
      </c>
      <c r="E594" s="4" t="str">
        <f>VLOOKUP(D594,'lista 1'!$A$2:$F$1802,5,0)</f>
        <v>TECH</v>
      </c>
      <c r="F594" s="59" t="str">
        <f>VLOOKUP(G594,'lista obszary'!A:B,2,0)</f>
        <v>QE</v>
      </c>
      <c r="G594" s="76" t="s">
        <v>2059</v>
      </c>
      <c r="H594" s="85" t="s">
        <v>1936</v>
      </c>
      <c r="I594" s="59" t="str">
        <f>VLOOKUP(J594,'lista obszary'!A:B,2,0)</f>
        <v>QE</v>
      </c>
      <c r="J594" s="78" t="s">
        <v>2580</v>
      </c>
      <c r="K594" s="87" t="s">
        <v>2581</v>
      </c>
      <c r="L594" s="82" t="s">
        <v>2559</v>
      </c>
      <c r="M594" s="22"/>
      <c r="N594" s="22"/>
      <c r="O594" s="22"/>
      <c r="P594" s="26"/>
      <c r="Q594" s="26"/>
      <c r="R594" s="26"/>
      <c r="S594" s="47"/>
      <c r="T594" s="4" t="e">
        <f>VLOOKUP(#REF!,#REF!,2,0)</f>
        <v>#REF!</v>
      </c>
      <c r="U594" s="20" t="e">
        <f t="shared" si="19"/>
        <v>#REF!</v>
      </c>
      <c r="V594" s="47"/>
      <c r="W594" s="43"/>
      <c r="X594" s="66" t="e">
        <f>VLOOKUP(D594,#REF!,2,0)</f>
        <v>#REF!</v>
      </c>
      <c r="Y594" s="67" t="s">
        <v>2643</v>
      </c>
      <c r="Z594" s="67" t="b">
        <f t="shared" si="20"/>
        <v>1</v>
      </c>
    </row>
    <row r="595" spans="1:26" ht="13.65" customHeight="1">
      <c r="A595" s="91">
        <v>594</v>
      </c>
      <c r="B595" s="52" t="s">
        <v>174</v>
      </c>
      <c r="C595" s="3" t="str">
        <f>VLOOKUP(D595,'lista 1'!$A$2:$F4113,4,0)</f>
        <v>PUCIŁOWSKI KRZYSZTOF</v>
      </c>
      <c r="D595" s="74">
        <v>2092</v>
      </c>
      <c r="E595" s="4" t="str">
        <f>VLOOKUP(D595,'lista 1'!$A$2:$F$1802,5,0)</f>
        <v>TM2</v>
      </c>
      <c r="F595" s="59" t="str">
        <f>VLOOKUP(G595,'lista obszary'!A:B,2,0)</f>
        <v>CASTING</v>
      </c>
      <c r="G595" s="76" t="s">
        <v>685</v>
      </c>
      <c r="H595" s="85" t="s">
        <v>1559</v>
      </c>
      <c r="I595" s="59" t="str">
        <f>VLOOKUP(J595,'lista obszary'!A:B,2,0)</f>
        <v>CASTING</v>
      </c>
      <c r="J595" s="78" t="s">
        <v>1598</v>
      </c>
      <c r="K595" s="87" t="s">
        <v>1920</v>
      </c>
      <c r="L595" s="82" t="s">
        <v>2571</v>
      </c>
      <c r="M595" s="22"/>
      <c r="N595" s="22"/>
      <c r="O595" s="22"/>
      <c r="P595" s="26"/>
      <c r="Q595" s="26"/>
      <c r="R595" s="26"/>
      <c r="S595" s="47"/>
      <c r="T595" s="4" t="e">
        <f>VLOOKUP(#REF!,#REF!,2,0)</f>
        <v>#REF!</v>
      </c>
      <c r="U595" s="20" t="e">
        <f t="shared" si="19"/>
        <v>#REF!</v>
      </c>
      <c r="V595" s="47"/>
      <c r="W595" s="43"/>
      <c r="X595" s="66" t="e">
        <f>VLOOKUP(D595,#REF!,2,0)</f>
        <v>#REF!</v>
      </c>
      <c r="Y595" s="67" t="b">
        <f>F595=I595</f>
        <v>1</v>
      </c>
    </row>
    <row r="596" spans="1:26" ht="13.65" customHeight="1">
      <c r="A596" s="91">
        <v>595</v>
      </c>
      <c r="B596" s="52" t="s">
        <v>174</v>
      </c>
      <c r="C596" s="3" t="str">
        <f>VLOOKUP(D596,'lista 1'!$A$2:$F4114,4,0)</f>
        <v>SACHS ROMAN</v>
      </c>
      <c r="D596" s="74">
        <v>346</v>
      </c>
      <c r="E596" s="4" t="str">
        <f>VLOOKUP(D596,'lista 1'!$A$2:$F$1802,5,0)</f>
        <v>TM</v>
      </c>
      <c r="F596" s="59" t="str">
        <f>VLOOKUP(G596,'lista obszary'!A:B,2,0)</f>
        <v>MTB0</v>
      </c>
      <c r="G596" s="76" t="s">
        <v>1262</v>
      </c>
      <c r="H596" s="85" t="s">
        <v>1383</v>
      </c>
      <c r="I596" s="59" t="str">
        <f>VLOOKUP(J596,'lista obszary'!A:B,2,0)</f>
        <v>MTB0</v>
      </c>
      <c r="J596" s="78" t="s">
        <v>1452</v>
      </c>
      <c r="K596" s="87" t="s">
        <v>1386</v>
      </c>
      <c r="L596" s="82" t="s">
        <v>2570</v>
      </c>
      <c r="M596" s="22"/>
      <c r="N596" s="22"/>
      <c r="O596" s="22"/>
      <c r="P596" s="19" t="s">
        <v>175</v>
      </c>
      <c r="Q596" s="26"/>
      <c r="R596" s="26"/>
      <c r="S596" s="47"/>
      <c r="T596" s="4" t="e">
        <f>VLOOKUP(#REF!,#REF!,2,0)</f>
        <v>#REF!</v>
      </c>
      <c r="U596" s="20" t="e">
        <f t="shared" si="19"/>
        <v>#REF!</v>
      </c>
      <c r="V596" s="47"/>
      <c r="W596" s="43"/>
      <c r="X596" s="66" t="e">
        <f>VLOOKUP(D596,#REF!,2,0)</f>
        <v>#REF!</v>
      </c>
      <c r="Y596" s="67" t="s">
        <v>2643</v>
      </c>
      <c r="Z596" s="67" t="b">
        <f>I596=F596</f>
        <v>1</v>
      </c>
    </row>
    <row r="597" spans="1:26" ht="13.65" customHeight="1">
      <c r="A597" s="91">
        <v>596</v>
      </c>
      <c r="B597" s="52" t="s">
        <v>174</v>
      </c>
      <c r="C597" s="3" t="str">
        <f>VLOOKUP(D597,'lista 1'!$A$2:$F4115,4,0)</f>
        <v>BOREK RAFAŁ</v>
      </c>
      <c r="D597" s="74">
        <v>965</v>
      </c>
      <c r="E597" s="4" t="str">
        <f>VLOOKUP(D597,'lista 1'!$A$2:$F$1802,5,0)</f>
        <v>TL2</v>
      </c>
      <c r="F597" s="59" t="str">
        <f>VLOOKUP(G597,'lista obszary'!A:B,2,0)</f>
        <v>HV</v>
      </c>
      <c r="G597" s="76" t="s">
        <v>2448</v>
      </c>
      <c r="H597" s="85" t="s">
        <v>1555</v>
      </c>
      <c r="I597" s="59" t="str">
        <f>VLOOKUP(J597,'lista obszary'!A:B,2,0)</f>
        <v>HV</v>
      </c>
      <c r="J597" s="78" t="s">
        <v>2073</v>
      </c>
      <c r="K597" s="87" t="s">
        <v>2471</v>
      </c>
      <c r="L597" s="82" t="s">
        <v>2570</v>
      </c>
      <c r="M597" s="22"/>
      <c r="N597" s="22"/>
      <c r="O597" s="22"/>
      <c r="P597" s="26"/>
      <c r="Q597" s="26"/>
      <c r="R597" s="26"/>
      <c r="S597" s="47"/>
      <c r="T597" s="4" t="e">
        <f>VLOOKUP(#REF!,#REF!,2,0)</f>
        <v>#REF!</v>
      </c>
      <c r="U597" s="20" t="e">
        <f t="shared" si="19"/>
        <v>#REF!</v>
      </c>
      <c r="V597" s="47"/>
      <c r="W597" s="43"/>
      <c r="X597" s="66" t="e">
        <f>VLOOKUP(D597,#REF!,2,0)</f>
        <v>#REF!</v>
      </c>
      <c r="Y597" s="67" t="s">
        <v>2643</v>
      </c>
    </row>
    <row r="598" spans="1:26" ht="13.65" customHeight="1">
      <c r="A598" s="91">
        <v>597</v>
      </c>
      <c r="B598" s="52" t="s">
        <v>174</v>
      </c>
      <c r="C598" s="3" t="str">
        <f>VLOOKUP(D598,'lista 1'!$A$2:$F4116,4,0)</f>
        <v>OSAJDA ARTUR</v>
      </c>
      <c r="D598" s="74">
        <v>247</v>
      </c>
      <c r="E598" s="4" t="str">
        <f>VLOOKUP(D598,'lista 1'!$A$2:$F$1802,5,0)</f>
        <v>TL2</v>
      </c>
      <c r="F598" s="59" t="str">
        <f>VLOOKUP(G598,'lista obszary'!A:B,2,0)</f>
        <v>HV</v>
      </c>
      <c r="G598" s="76" t="s">
        <v>2073</v>
      </c>
      <c r="H598" s="85" t="s">
        <v>2471</v>
      </c>
      <c r="I598" s="59" t="str">
        <f>VLOOKUP(J598,'lista obszary'!A:B,2,0)</f>
        <v>HV</v>
      </c>
      <c r="J598" s="78" t="s">
        <v>2323</v>
      </c>
      <c r="K598" s="87" t="s">
        <v>1904</v>
      </c>
      <c r="L598" s="82" t="s">
        <v>2570</v>
      </c>
      <c r="M598" s="22"/>
      <c r="N598" s="22"/>
      <c r="O598" s="22"/>
      <c r="P598" s="26"/>
      <c r="Q598" s="26"/>
      <c r="R598" s="26"/>
      <c r="S598" s="47"/>
      <c r="T598" s="4" t="e">
        <f>VLOOKUP(#REF!,#REF!,2,0)</f>
        <v>#REF!</v>
      </c>
      <c r="U598" s="20" t="e">
        <f t="shared" si="19"/>
        <v>#REF!</v>
      </c>
      <c r="V598" s="47"/>
      <c r="W598" s="43"/>
      <c r="X598" s="66" t="e">
        <f>VLOOKUP(D598,#REF!,2,0)</f>
        <v>#REF!</v>
      </c>
      <c r="Y598" s="67" t="s">
        <v>2643</v>
      </c>
    </row>
    <row r="599" spans="1:26" ht="13.65" customHeight="1">
      <c r="A599" s="91">
        <v>598</v>
      </c>
      <c r="B599" s="52"/>
      <c r="C599" s="3" t="str">
        <f>VLOOKUP(D599,'lista 1'!$A$2:$F4117,4,0)</f>
        <v>KOŁDA SEBASTIAN</v>
      </c>
      <c r="D599" s="74">
        <v>1107</v>
      </c>
      <c r="E599" s="4" t="str">
        <f>VLOOKUP(D599,'lista 1'!$A$2:$F$1802,5,0)</f>
        <v>TL2</v>
      </c>
      <c r="F599" s="59" t="str">
        <f>VLOOKUP(G599,'lista obszary'!A:B,2,0)</f>
        <v>EPKM</v>
      </c>
      <c r="G599" s="76" t="s">
        <v>934</v>
      </c>
      <c r="H599" s="85" t="s">
        <v>1901</v>
      </c>
      <c r="I599" s="59" t="str">
        <f>VLOOKUP(J599,'lista obszary'!A:B,2,0)</f>
        <v>ENGINES</v>
      </c>
      <c r="J599" s="78" t="s">
        <v>602</v>
      </c>
      <c r="K599" s="87" t="s">
        <v>1392</v>
      </c>
      <c r="L599" s="82" t="s">
        <v>2570</v>
      </c>
      <c r="M599" s="22"/>
      <c r="N599" s="22"/>
      <c r="O599" s="22"/>
      <c r="P599" s="26"/>
      <c r="Q599" s="26"/>
      <c r="R599" s="26"/>
      <c r="S599" s="47"/>
      <c r="T599" s="4" t="e">
        <f>VLOOKUP(#REF!,#REF!,2,0)</f>
        <v>#REF!</v>
      </c>
      <c r="U599" s="20" t="e">
        <f t="shared" si="19"/>
        <v>#REF!</v>
      </c>
      <c r="V599" s="47"/>
      <c r="W599" s="43"/>
      <c r="X599" s="66" t="e">
        <f>VLOOKUP(D599,#REF!,2,0)</f>
        <v>#REF!</v>
      </c>
      <c r="Y599" s="67" t="b">
        <f t="shared" ref="Y599:Y606" si="21">F599=I599</f>
        <v>0</v>
      </c>
    </row>
    <row r="600" spans="1:26" ht="13.65" customHeight="1">
      <c r="A600" s="91">
        <v>599</v>
      </c>
      <c r="B600" s="52" t="s">
        <v>1973</v>
      </c>
      <c r="C600" s="3" t="str">
        <f>VLOOKUP(D600,'lista 1'!$A$2:$F4118,4,0)</f>
        <v>ADAMCZYK MIROSŁAW</v>
      </c>
      <c r="D600" s="74">
        <v>696</v>
      </c>
      <c r="E600" s="4" t="str">
        <f>VLOOKUP(D600,'lista 1'!$A$2:$F$1802,5,0)</f>
        <v>TM2</v>
      </c>
      <c r="F600" s="59" t="str">
        <f>VLOOKUP(G600,'lista obszary'!A:B,2,0)</f>
        <v>ENGINES</v>
      </c>
      <c r="G600" s="76" t="s">
        <v>318</v>
      </c>
      <c r="H600" s="85" t="s">
        <v>1392</v>
      </c>
      <c r="I600" s="59" t="str">
        <f>VLOOKUP(J600,'lista obszary'!A:B,2,0)</f>
        <v>ENGINES</v>
      </c>
      <c r="J600" s="78" t="s">
        <v>238</v>
      </c>
      <c r="K600" s="87" t="s">
        <v>1584</v>
      </c>
      <c r="L600" s="82" t="s">
        <v>2572</v>
      </c>
      <c r="M600" s="22"/>
      <c r="N600" s="22"/>
      <c r="O600" s="22"/>
      <c r="P600" s="26"/>
      <c r="Q600" s="26"/>
      <c r="R600" s="26"/>
      <c r="S600" s="47"/>
      <c r="T600" s="4" t="e">
        <f>VLOOKUP(#REF!,#REF!,2,0)</f>
        <v>#REF!</v>
      </c>
      <c r="U600" s="20" t="e">
        <f t="shared" si="19"/>
        <v>#REF!</v>
      </c>
      <c r="V600" s="47"/>
      <c r="W600" s="43"/>
      <c r="X600" s="66" t="e">
        <f>VLOOKUP(D600,#REF!,2,0)</f>
        <v>#REF!</v>
      </c>
      <c r="Y600" s="67" t="b">
        <f t="shared" si="21"/>
        <v>1</v>
      </c>
    </row>
    <row r="601" spans="1:26" ht="13.65" customHeight="1">
      <c r="A601" s="91">
        <v>600</v>
      </c>
      <c r="B601" s="52"/>
      <c r="C601" s="3" t="str">
        <f>VLOOKUP(D601,'lista 1'!$A$2:$F4119,4,0)</f>
        <v>ADAMCZYK MIROSŁAW</v>
      </c>
      <c r="D601" s="74">
        <v>696</v>
      </c>
      <c r="E601" s="4" t="str">
        <f>VLOOKUP(D601,'lista 1'!$A$2:$F$1802,5,0)</f>
        <v>TM2</v>
      </c>
      <c r="F601" s="59" t="str">
        <f>VLOOKUP(G601,'lista obszary'!A:B,2,0)</f>
        <v>ENGINES</v>
      </c>
      <c r="G601" s="76" t="s">
        <v>602</v>
      </c>
      <c r="H601" s="85" t="s">
        <v>1392</v>
      </c>
      <c r="I601" s="59" t="str">
        <f>VLOOKUP(J601,'lista obszary'!A:B,2,0)</f>
        <v>ENGINES</v>
      </c>
      <c r="J601" s="78" t="s">
        <v>238</v>
      </c>
      <c r="K601" s="87" t="s">
        <v>1584</v>
      </c>
      <c r="L601" s="82" t="s">
        <v>2572</v>
      </c>
      <c r="M601" s="22"/>
      <c r="N601" s="22"/>
      <c r="O601" s="22"/>
      <c r="P601" s="26"/>
      <c r="Q601" s="26"/>
      <c r="R601" s="26"/>
      <c r="S601" s="47"/>
      <c r="T601" s="4" t="e">
        <f>VLOOKUP(#REF!,#REF!,2,0)</f>
        <v>#REF!</v>
      </c>
      <c r="U601" s="20" t="e">
        <f t="shared" si="19"/>
        <v>#REF!</v>
      </c>
      <c r="V601" s="47"/>
      <c r="W601" s="43"/>
      <c r="X601" s="66" t="e">
        <f>VLOOKUP(D601,#REF!,2,0)</f>
        <v>#REF!</v>
      </c>
      <c r="Y601" s="67" t="b">
        <f t="shared" si="21"/>
        <v>1</v>
      </c>
    </row>
    <row r="602" spans="1:26" ht="13.65" customHeight="1">
      <c r="A602" s="91">
        <v>601</v>
      </c>
      <c r="B602" s="52"/>
      <c r="C602" s="3" t="str">
        <f>VLOOKUP(D602,'lista 1'!$A$2:$F4120,4,0)</f>
        <v>KOT AGNIESZKA</v>
      </c>
      <c r="D602" s="74">
        <v>2090</v>
      </c>
      <c r="E602" s="4" t="str">
        <f>VLOOKUP(D602,'lista 1'!$A$2:$F$1802,5,0)</f>
        <v>TM</v>
      </c>
      <c r="F602" s="59" t="str">
        <f>VLOOKUP(G602,'lista obszary'!A:B,2,0)</f>
        <v>MTB0</v>
      </c>
      <c r="G602" s="76" t="s">
        <v>220</v>
      </c>
      <c r="H602" s="85" t="s">
        <v>1877</v>
      </c>
      <c r="I602" s="59" t="str">
        <f>VLOOKUP(J602,'lista obszary'!A:B,2,0)</f>
        <v>MTB0</v>
      </c>
      <c r="J602" s="78" t="s">
        <v>454</v>
      </c>
      <c r="K602" s="87" t="s">
        <v>1383</v>
      </c>
      <c r="L602" s="82" t="s">
        <v>2572</v>
      </c>
      <c r="M602" s="22"/>
      <c r="N602" s="22"/>
      <c r="O602" s="22"/>
      <c r="P602" s="26"/>
      <c r="Q602" s="26"/>
      <c r="R602" s="26"/>
      <c r="S602" s="47"/>
      <c r="T602" s="4" t="e">
        <f>VLOOKUP(#REF!,#REF!,2,0)</f>
        <v>#REF!</v>
      </c>
      <c r="U602" s="20" t="e">
        <f t="shared" si="19"/>
        <v>#REF!</v>
      </c>
      <c r="V602" s="47"/>
      <c r="W602" s="43"/>
      <c r="X602" s="66" t="e">
        <f>VLOOKUP(D602,#REF!,2,0)</f>
        <v>#REF!</v>
      </c>
      <c r="Y602" s="67" t="b">
        <f t="shared" si="21"/>
        <v>1</v>
      </c>
    </row>
    <row r="603" spans="1:26" ht="13.65" customHeight="1">
      <c r="A603" s="91">
        <v>602</v>
      </c>
      <c r="B603" s="52"/>
      <c r="C603" s="3" t="str">
        <f>VLOOKUP(D603,'lista 1'!$A$2:$F4121,4,0)</f>
        <v>PIERZCHAŁA MARIUSZ</v>
      </c>
      <c r="D603" s="74">
        <v>1020</v>
      </c>
      <c r="E603" s="4" t="str">
        <f>VLOOKUP(D603,'lista 1'!$A$2:$F$1802,5,0)</f>
        <v>TM2</v>
      </c>
      <c r="F603" s="59" t="str">
        <f>VLOOKUP(G603,'lista obszary'!A:B,2,0)</f>
        <v>IL</v>
      </c>
      <c r="G603" s="76" t="s">
        <v>1062</v>
      </c>
      <c r="H603" s="85" t="s">
        <v>1562</v>
      </c>
      <c r="I603" s="59" t="str">
        <f>VLOOKUP(J603,'lista obszary'!A:B,2,0)</f>
        <v>FORGING</v>
      </c>
      <c r="J603" s="78" t="s">
        <v>849</v>
      </c>
      <c r="K603" s="87" t="s">
        <v>1543</v>
      </c>
      <c r="L603" s="82" t="s">
        <v>2583</v>
      </c>
      <c r="M603" s="22"/>
      <c r="N603" s="22"/>
      <c r="O603" s="22"/>
      <c r="P603" s="26"/>
      <c r="Q603" s="26"/>
      <c r="R603" s="26"/>
      <c r="S603" s="47"/>
      <c r="T603" s="4" t="e">
        <f>VLOOKUP(#REF!,#REF!,2,0)</f>
        <v>#REF!</v>
      </c>
      <c r="U603" s="20" t="e">
        <f t="shared" si="19"/>
        <v>#REF!</v>
      </c>
      <c r="V603" s="47"/>
      <c r="W603" s="43"/>
      <c r="X603" s="66" t="e">
        <f>VLOOKUP(D603,#REF!,2,0)</f>
        <v>#REF!</v>
      </c>
      <c r="Y603" s="67" t="b">
        <f t="shared" si="21"/>
        <v>0</v>
      </c>
    </row>
    <row r="604" spans="1:26" ht="13.65" customHeight="1">
      <c r="A604" s="91">
        <v>603</v>
      </c>
      <c r="B604" s="52"/>
      <c r="C604" s="3" t="e">
        <f>VLOOKUP(D604,'lista 1'!$A$2:$F4122,4,0)</f>
        <v>#N/A</v>
      </c>
      <c r="D604" s="74">
        <v>64442</v>
      </c>
      <c r="E604" s="4" t="e">
        <f>VLOOKUP(D604,'lista 1'!$A$2:$F$1802,5,0)</f>
        <v>#N/A</v>
      </c>
      <c r="F604" s="59" t="e">
        <f>VLOOKUP(G604,'lista obszary'!A:B,2,0)</f>
        <v>#N/A</v>
      </c>
      <c r="G604" s="76" t="s">
        <v>2527</v>
      </c>
      <c r="H604" s="85" t="s">
        <v>1904</v>
      </c>
      <c r="I604" s="59" t="str">
        <f>VLOOKUP(J604,'lista obszary'!A:B,2,0)</f>
        <v>HV</v>
      </c>
      <c r="J604" s="78" t="s">
        <v>2323</v>
      </c>
      <c r="K604" s="87" t="s">
        <v>1904</v>
      </c>
      <c r="L604" s="82" t="s">
        <v>2583</v>
      </c>
      <c r="M604" s="22"/>
      <c r="N604" s="22"/>
      <c r="O604" s="22"/>
      <c r="P604" s="26"/>
      <c r="Q604" s="26"/>
      <c r="R604" s="26"/>
      <c r="S604" s="47"/>
      <c r="T604" s="4" t="e">
        <f>VLOOKUP(#REF!,#REF!,2,0)</f>
        <v>#REF!</v>
      </c>
      <c r="U604" s="20" t="e">
        <f t="shared" si="19"/>
        <v>#REF!</v>
      </c>
      <c r="V604" s="47"/>
      <c r="W604" s="43"/>
      <c r="X604" s="66" t="e">
        <f>VLOOKUP(D604,#REF!,2,0)</f>
        <v>#REF!</v>
      </c>
      <c r="Y604" s="67" t="e">
        <f t="shared" si="21"/>
        <v>#N/A</v>
      </c>
      <c r="Z604" s="67" t="e">
        <f>I604=F604</f>
        <v>#N/A</v>
      </c>
    </row>
    <row r="605" spans="1:26" ht="13.65" customHeight="1">
      <c r="A605" s="91">
        <v>604</v>
      </c>
      <c r="B605" s="52"/>
      <c r="C605" s="3" t="str">
        <f>VLOOKUP(D605,'lista 1'!$A$2:$F4123,4,0)</f>
        <v>JĘDRASZCZYK PRZEMYSŁAW</v>
      </c>
      <c r="D605" s="74">
        <v>516</v>
      </c>
      <c r="E605" s="4" t="str">
        <f>VLOOKUP(D605,'lista 1'!$A$2:$F$1802,5,0)</f>
        <v>TM2</v>
      </c>
      <c r="F605" s="59" t="str">
        <f>VLOOKUP(G605,'lista obszary'!A:B,2,0)</f>
        <v>HV</v>
      </c>
      <c r="G605" s="76" t="s">
        <v>2323</v>
      </c>
      <c r="H605" s="85" t="s">
        <v>1904</v>
      </c>
      <c r="I605" s="59" t="str">
        <f>VLOOKUP(J605,'lista obszary'!A:B,2,0)</f>
        <v>HV</v>
      </c>
      <c r="J605" s="78" t="s">
        <v>2448</v>
      </c>
      <c r="K605" s="87" t="s">
        <v>1555</v>
      </c>
      <c r="L605" s="82" t="s">
        <v>2583</v>
      </c>
      <c r="M605" s="22"/>
      <c r="N605" s="22"/>
      <c r="O605" s="22"/>
      <c r="P605" s="26"/>
      <c r="Q605" s="26"/>
      <c r="R605" s="26"/>
      <c r="S605" s="47"/>
      <c r="T605" s="4" t="e">
        <f>VLOOKUP(#REF!,#REF!,2,0)</f>
        <v>#REF!</v>
      </c>
      <c r="U605" s="20" t="e">
        <f t="shared" si="19"/>
        <v>#REF!</v>
      </c>
      <c r="V605" s="47"/>
      <c r="W605" s="43"/>
      <c r="X605" s="66" t="e">
        <f>VLOOKUP(D605,#REF!,2,0)</f>
        <v>#REF!</v>
      </c>
      <c r="Y605" s="67" t="b">
        <f t="shared" si="21"/>
        <v>1</v>
      </c>
    </row>
    <row r="606" spans="1:26" ht="13.65" customHeight="1">
      <c r="A606" s="91">
        <v>605</v>
      </c>
      <c r="B606" s="52"/>
      <c r="C606" s="3" t="str">
        <f>VLOOKUP(D606,'lista 1'!$A$2:$F4124,4,0)</f>
        <v>SZOPA EWA</v>
      </c>
      <c r="D606" s="74">
        <v>2325</v>
      </c>
      <c r="E606" s="4" t="str">
        <f>VLOOKUP(D606,'lista 1'!$A$2:$F$1802,5,0)</f>
        <v>TM2</v>
      </c>
      <c r="F606" s="59" t="str">
        <f>VLOOKUP(G606,'lista obszary'!A:B,2,0)</f>
        <v>EC60</v>
      </c>
      <c r="G606" s="76" t="s">
        <v>1351</v>
      </c>
      <c r="H606" s="85" t="s">
        <v>1881</v>
      </c>
      <c r="I606" s="59" t="str">
        <f>VLOOKUP(J606,'lista obszary'!A:B,2,0)</f>
        <v>EC60</v>
      </c>
      <c r="J606" s="78" t="s">
        <v>549</v>
      </c>
      <c r="K606" s="87" t="s">
        <v>1881</v>
      </c>
      <c r="L606" s="82" t="s">
        <v>2583</v>
      </c>
      <c r="M606" s="22"/>
      <c r="N606" s="22"/>
      <c r="O606" s="22"/>
      <c r="P606" s="26"/>
      <c r="Q606" s="26"/>
      <c r="R606" s="26"/>
      <c r="S606" s="47"/>
      <c r="T606" s="4" t="e">
        <f>VLOOKUP(#REF!,#REF!,2,0)</f>
        <v>#REF!</v>
      </c>
      <c r="U606" s="20" t="e">
        <f t="shared" si="19"/>
        <v>#REF!</v>
      </c>
      <c r="V606" s="47"/>
      <c r="W606" s="43"/>
      <c r="X606" s="66" t="e">
        <f>VLOOKUP(D606,#REF!,2,0)</f>
        <v>#REF!</v>
      </c>
      <c r="Y606" s="67" t="b">
        <f t="shared" si="21"/>
        <v>1</v>
      </c>
    </row>
    <row r="607" spans="1:26" ht="13.65" customHeight="1">
      <c r="A607" s="91">
        <v>606</v>
      </c>
      <c r="B607" s="52"/>
      <c r="C607" s="3" t="str">
        <f>VLOOKUP(D607,'lista 1'!$A$2:$F4125,4,0)</f>
        <v>GRZEBIELA PAWEŁ</v>
      </c>
      <c r="D607" s="74">
        <v>1999</v>
      </c>
      <c r="E607" s="4" t="str">
        <f>VLOOKUP(D607,'lista 1'!$A$2:$F$1802,5,0)</f>
        <v>TM2</v>
      </c>
      <c r="F607" s="59" t="str">
        <f>VLOOKUP(G607,'lista obszary'!A:B,2,0)</f>
        <v>CASTING</v>
      </c>
      <c r="G607" s="76" t="s">
        <v>684</v>
      </c>
      <c r="H607" s="85" t="s">
        <v>541</v>
      </c>
      <c r="I607" s="59" t="str">
        <f>VLOOKUP(J607,'lista obszary'!A:B,2,0)</f>
        <v>CASTING</v>
      </c>
      <c r="J607" s="78" t="s">
        <v>1598</v>
      </c>
      <c r="K607" s="87" t="s">
        <v>1920</v>
      </c>
      <c r="L607" s="82" t="s">
        <v>2579</v>
      </c>
      <c r="M607" s="22"/>
      <c r="N607" s="22"/>
      <c r="O607" s="22"/>
      <c r="P607" s="26"/>
      <c r="Q607" s="26"/>
      <c r="R607" s="26"/>
      <c r="S607" s="47"/>
      <c r="T607" s="4" t="e">
        <f>VLOOKUP(#REF!,#REF!,2,0)</f>
        <v>#REF!</v>
      </c>
      <c r="U607" s="20" t="e">
        <f t="shared" si="19"/>
        <v>#REF!</v>
      </c>
      <c r="V607" s="47"/>
      <c r="W607" s="43"/>
      <c r="X607" s="66" t="e">
        <f>VLOOKUP(D607,#REF!,2,0)</f>
        <v>#REF!</v>
      </c>
      <c r="Y607" s="67" t="s">
        <v>2643</v>
      </c>
      <c r="Z607" s="67" t="b">
        <f>I607=F607</f>
        <v>1</v>
      </c>
    </row>
    <row r="608" spans="1:26" ht="13.65" customHeight="1">
      <c r="A608" s="91">
        <v>607</v>
      </c>
      <c r="B608" s="52"/>
      <c r="C608" s="3" t="str">
        <f>VLOOKUP(D608,'lista 1'!$A$2:$F4126,4,0)</f>
        <v>RYŻLEWICZ KRZYSZTOF</v>
      </c>
      <c r="D608" s="74">
        <v>2998</v>
      </c>
      <c r="E608" s="4" t="str">
        <f>VLOOKUP(D608,'lista 1'!$A$2:$F$1802,5,0)</f>
        <v>TM</v>
      </c>
      <c r="F608" s="59" t="str">
        <f>VLOOKUP(G608,'lista obszary'!A:B,2,0)</f>
        <v>CASTING</v>
      </c>
      <c r="G608" s="76" t="s">
        <v>683</v>
      </c>
      <c r="H608" s="85" t="s">
        <v>1900</v>
      </c>
      <c r="I608" s="59" t="str">
        <f>VLOOKUP(J608,'lista obszary'!A:B,2,0)</f>
        <v>CASTING</v>
      </c>
      <c r="J608" s="78" t="s">
        <v>1598</v>
      </c>
      <c r="K608" s="87" t="s">
        <v>1920</v>
      </c>
      <c r="L608" s="82" t="s">
        <v>2579</v>
      </c>
      <c r="M608" s="22"/>
      <c r="N608" s="22"/>
      <c r="O608" s="22"/>
      <c r="P608" s="26"/>
      <c r="Q608" s="26"/>
      <c r="R608" s="26"/>
      <c r="S608" s="47"/>
      <c r="T608" s="4" t="e">
        <f>VLOOKUP(#REF!,#REF!,2,0)</f>
        <v>#REF!</v>
      </c>
      <c r="U608" s="20" t="e">
        <f t="shared" si="19"/>
        <v>#REF!</v>
      </c>
      <c r="V608" s="47"/>
      <c r="W608" s="43"/>
      <c r="X608" s="66" t="e">
        <f>VLOOKUP(D608,#REF!,2,0)</f>
        <v>#REF!</v>
      </c>
      <c r="Y608" s="67" t="b">
        <f>F608=I608</f>
        <v>1</v>
      </c>
    </row>
    <row r="609" spans="1:27" ht="13.65" customHeight="1">
      <c r="A609" s="91">
        <v>608</v>
      </c>
      <c r="B609" s="52"/>
      <c r="C609" s="3" t="str">
        <f>VLOOKUP(D609,'lista 1'!$A$2:$F4127,4,0)</f>
        <v>BINKIEWICZ GRZEGORZ</v>
      </c>
      <c r="D609" s="74">
        <v>1496</v>
      </c>
      <c r="E609" s="4" t="str">
        <f>VLOOKUP(D609,'lista 1'!$A$2:$F$1802,5,0)</f>
        <v>TM2</v>
      </c>
      <c r="F609" s="59" t="str">
        <f>VLOOKUP(G609,'lista obszary'!A:B,2,0)</f>
        <v>CASTING</v>
      </c>
      <c r="G609" s="76" t="s">
        <v>685</v>
      </c>
      <c r="H609" s="85" t="s">
        <v>1559</v>
      </c>
      <c r="I609" s="59" t="str">
        <f>VLOOKUP(J609,'lista obszary'!A:B,2,0)</f>
        <v>CASTING</v>
      </c>
      <c r="J609" s="78" t="s">
        <v>1598</v>
      </c>
      <c r="K609" s="87" t="s">
        <v>1920</v>
      </c>
      <c r="L609" s="82" t="s">
        <v>2579</v>
      </c>
      <c r="M609" s="22"/>
      <c r="N609" s="22"/>
      <c r="O609" s="22"/>
      <c r="P609" s="26"/>
      <c r="Q609" s="26"/>
      <c r="R609" s="26"/>
      <c r="S609" s="47"/>
      <c r="T609" s="4" t="e">
        <f>VLOOKUP(#REF!,#REF!,2,0)</f>
        <v>#REF!</v>
      </c>
      <c r="U609" s="20" t="e">
        <f t="shared" si="19"/>
        <v>#REF!</v>
      </c>
      <c r="V609" s="47"/>
      <c r="W609" s="43"/>
      <c r="X609" s="66" t="e">
        <f>VLOOKUP(D609,#REF!,2,0)</f>
        <v>#REF!</v>
      </c>
      <c r="Y609" s="67" t="s">
        <v>2643</v>
      </c>
      <c r="Z609" s="67" t="b">
        <f>I609=F609</f>
        <v>1</v>
      </c>
    </row>
    <row r="610" spans="1:27" ht="13.65" customHeight="1">
      <c r="A610" s="91">
        <v>609</v>
      </c>
      <c r="B610" s="52"/>
      <c r="C610" s="3" t="str">
        <f>VLOOKUP(D610,'lista 1'!$A$2:$F4128,4,0)</f>
        <v>KARCZEWSKA MARIOLA</v>
      </c>
      <c r="D610" s="74">
        <v>2179</v>
      </c>
      <c r="E610" s="4" t="str">
        <f>VLOOKUP(D610,'lista 1'!$A$2:$F$1802,5,0)</f>
        <v>TM2</v>
      </c>
      <c r="F610" s="59" t="str">
        <f>VLOOKUP(G610,'lista obszary'!A:B,2,0)</f>
        <v>ENGINES</v>
      </c>
      <c r="G610" s="76" t="s">
        <v>238</v>
      </c>
      <c r="H610" s="85" t="s">
        <v>1584</v>
      </c>
      <c r="I610" s="59" t="str">
        <f>VLOOKUP(J610,'lista obszary'!A:B,2,0)</f>
        <v>HV</v>
      </c>
      <c r="J610" s="78" t="s">
        <v>2323</v>
      </c>
      <c r="K610" s="87" t="s">
        <v>1904</v>
      </c>
      <c r="L610" s="82" t="s">
        <v>2578</v>
      </c>
      <c r="M610" s="22"/>
      <c r="N610" s="22"/>
      <c r="O610" s="22"/>
      <c r="P610" s="26"/>
      <c r="Q610" s="26"/>
      <c r="R610" s="26"/>
      <c r="S610" s="47"/>
      <c r="T610" s="4" t="e">
        <f>VLOOKUP(#REF!,#REF!,2,0)</f>
        <v>#REF!</v>
      </c>
      <c r="U610" s="20" t="e">
        <f t="shared" si="19"/>
        <v>#REF!</v>
      </c>
      <c r="V610" s="47"/>
      <c r="W610" s="43"/>
      <c r="X610" s="66" t="e">
        <f>VLOOKUP(D610,#REF!,2,0)</f>
        <v>#REF!</v>
      </c>
      <c r="Y610" s="67" t="b">
        <f>F610=I610</f>
        <v>0</v>
      </c>
    </row>
    <row r="611" spans="1:27" ht="13.65" customHeight="1">
      <c r="A611" s="91">
        <v>610</v>
      </c>
      <c r="B611" s="52"/>
      <c r="C611" s="3" t="str">
        <f>VLOOKUP(D611,'lista 1'!$A$2:$F4129,4,0)</f>
        <v>JAGIELSKI MARIUSZ</v>
      </c>
      <c r="D611" s="74">
        <v>2982</v>
      </c>
      <c r="E611" s="4" t="str">
        <f>VLOOKUP(D611,'lista 1'!$A$2:$F$1802,5,0)</f>
        <v>AC JENG</v>
      </c>
      <c r="F611" s="59" t="str">
        <f>VLOOKUP(G611,'lista obszary'!A:B,2,0)</f>
        <v>MNX WN</v>
      </c>
      <c r="G611" s="76" t="s">
        <v>2314</v>
      </c>
      <c r="H611" s="85" t="s">
        <v>1898</v>
      </c>
      <c r="I611" s="59" t="str">
        <f>VLOOKUP(J611,'lista obszary'!A:B,2,0)</f>
        <v>MNX WN</v>
      </c>
      <c r="J611" s="78" t="s">
        <v>2314</v>
      </c>
      <c r="K611" s="87" t="s">
        <v>1905</v>
      </c>
      <c r="L611" s="82" t="s">
        <v>2584</v>
      </c>
      <c r="M611" s="22"/>
      <c r="N611" s="22"/>
      <c r="O611" s="22"/>
      <c r="P611" s="26"/>
      <c r="Q611" s="26"/>
      <c r="R611" s="26"/>
      <c r="S611" s="47"/>
      <c r="T611" s="4" t="e">
        <f>VLOOKUP(#REF!,#REF!,2,0)</f>
        <v>#REF!</v>
      </c>
      <c r="U611" s="20" t="e">
        <f t="shared" si="19"/>
        <v>#REF!</v>
      </c>
      <c r="V611" s="47"/>
      <c r="W611" s="43"/>
      <c r="X611" s="66" t="e">
        <f>VLOOKUP(D611,#REF!,2,0)</f>
        <v>#REF!</v>
      </c>
      <c r="Y611" s="67" t="s">
        <v>2643</v>
      </c>
      <c r="Z611" s="67" t="b">
        <f>I611=F611</f>
        <v>1</v>
      </c>
    </row>
    <row r="612" spans="1:27" s="66" customFormat="1" ht="13.65" customHeight="1">
      <c r="A612" s="91">
        <v>611</v>
      </c>
      <c r="B612" s="52"/>
      <c r="C612" s="3" t="str">
        <f>VLOOKUP(D612,'lista 1'!$A$2:$F4130,4,0)</f>
        <v>GRABOWSKI ROBERT</v>
      </c>
      <c r="D612" s="74">
        <v>718</v>
      </c>
      <c r="E612" s="4" t="str">
        <f>VLOOKUP(D612,'lista 1'!$A$2:$F$1802,5,0)</f>
        <v>TL</v>
      </c>
      <c r="F612" s="59" t="str">
        <f>VLOOKUP(G612,'lista obszary'!A:B,2,0)</f>
        <v>EPKM</v>
      </c>
      <c r="G612" s="76" t="s">
        <v>934</v>
      </c>
      <c r="H612" s="85" t="s">
        <v>347</v>
      </c>
      <c r="I612" s="59" t="str">
        <f>VLOOKUP(J612,'lista obszary'!A:B,2,0)</f>
        <v>HV PJT</v>
      </c>
      <c r="J612" s="78" t="s">
        <v>2337</v>
      </c>
      <c r="K612" s="87" t="s">
        <v>2157</v>
      </c>
      <c r="L612" s="82" t="s">
        <v>2585</v>
      </c>
      <c r="M612" s="22"/>
      <c r="N612" s="22"/>
      <c r="O612" s="22"/>
      <c r="P612" s="26"/>
      <c r="Q612" s="26"/>
      <c r="R612" s="26"/>
      <c r="S612" s="47"/>
      <c r="T612" s="4" t="e">
        <f>VLOOKUP(#REF!,#REF!,2,0)</f>
        <v>#REF!</v>
      </c>
      <c r="U612" s="20" t="e">
        <f t="shared" si="19"/>
        <v>#REF!</v>
      </c>
      <c r="V612" s="47"/>
      <c r="W612" s="43"/>
      <c r="X612" s="66" t="e">
        <f>VLOOKUP(D612,#REF!,2,0)</f>
        <v>#REF!</v>
      </c>
      <c r="Y612" s="67" t="s">
        <v>2643</v>
      </c>
      <c r="Z612" s="67" t="s">
        <v>1629</v>
      </c>
      <c r="AA612" s="1"/>
    </row>
    <row r="613" spans="1:27" ht="13.65" customHeight="1">
      <c r="A613" s="91">
        <v>612</v>
      </c>
      <c r="B613" s="52"/>
      <c r="C613" s="3" t="str">
        <f>VLOOKUP(D613,'lista 1'!$A$2:$F4131,4,0)</f>
        <v>BOGDAN RADOSŁAW</v>
      </c>
      <c r="D613" s="74">
        <v>1713</v>
      </c>
      <c r="E613" s="4" t="str">
        <f>VLOOKUP(D613,'lista 1'!$A$2:$F$1802,5,0)</f>
        <v>TM MNX2</v>
      </c>
      <c r="F613" s="59" t="str">
        <f>VLOOKUP(G613,'lista obszary'!A:B,2,0)</f>
        <v>MNX TK</v>
      </c>
      <c r="G613" s="76" t="s">
        <v>1480</v>
      </c>
      <c r="H613" s="85" t="s">
        <v>2181</v>
      </c>
      <c r="I613" s="59" t="str">
        <f>VLOOKUP(J613,'lista obszary'!A:B,2,0)</f>
        <v>MNX TK</v>
      </c>
      <c r="J613" s="78" t="s">
        <v>1971</v>
      </c>
      <c r="K613" s="87" t="s">
        <v>2099</v>
      </c>
      <c r="L613" s="82" t="s">
        <v>2585</v>
      </c>
      <c r="M613" s="22"/>
      <c r="N613" s="22"/>
      <c r="O613" s="22"/>
      <c r="P613" s="26"/>
      <c r="Q613" s="26"/>
      <c r="R613" s="26"/>
      <c r="S613" s="47"/>
      <c r="T613" s="4" t="e">
        <f>VLOOKUP(#REF!,#REF!,2,0)</f>
        <v>#REF!</v>
      </c>
      <c r="U613" s="20" t="e">
        <f t="shared" si="19"/>
        <v>#REF!</v>
      </c>
      <c r="V613" s="47"/>
      <c r="W613" s="43"/>
      <c r="X613" s="66" t="e">
        <f>VLOOKUP(D613,#REF!,2,0)</f>
        <v>#REF!</v>
      </c>
      <c r="Y613" s="67" t="b">
        <f>F613=I613</f>
        <v>1</v>
      </c>
    </row>
    <row r="614" spans="1:27" ht="13.65" customHeight="1">
      <c r="A614" s="91">
        <v>613</v>
      </c>
      <c r="B614" s="52"/>
      <c r="C614" s="3" t="str">
        <f>VLOOKUP(D614,'lista 1'!$A$2:$F4132,4,0)</f>
        <v>KOMORNICZAK MACIEJ</v>
      </c>
      <c r="D614" s="74">
        <v>256</v>
      </c>
      <c r="E614" s="4" t="str">
        <f>VLOOKUP(D614,'lista 1'!$A$2:$F$1802,5,0)</f>
        <v>ASM</v>
      </c>
      <c r="F614" s="59" t="str">
        <f>VLOOKUP(G614,'lista obszary'!A:B,2,0)</f>
        <v>EC60 OFFICE</v>
      </c>
      <c r="G614" s="76" t="s">
        <v>328</v>
      </c>
      <c r="H614" s="85" t="s">
        <v>1881</v>
      </c>
      <c r="I614" s="59" t="str">
        <f>VLOOKUP(J614,'lista obszary'!A:B,2,0)</f>
        <v>EPKM</v>
      </c>
      <c r="J614" s="78" t="s">
        <v>934</v>
      </c>
      <c r="K614" s="87" t="s">
        <v>1896</v>
      </c>
      <c r="L614" s="82" t="s">
        <v>2585</v>
      </c>
      <c r="M614" s="22"/>
      <c r="N614" s="22"/>
      <c r="O614" s="22"/>
      <c r="P614" s="26"/>
      <c r="Q614" s="26"/>
      <c r="R614" s="26"/>
      <c r="S614" s="47"/>
      <c r="T614" s="4" t="e">
        <f>VLOOKUP(#REF!,#REF!,2,0)</f>
        <v>#REF!</v>
      </c>
      <c r="U614" s="20" t="e">
        <f t="shared" si="19"/>
        <v>#REF!</v>
      </c>
      <c r="V614" s="47"/>
      <c r="W614" s="43"/>
      <c r="X614" s="66" t="e">
        <f>VLOOKUP(D614,#REF!,2,0)</f>
        <v>#REF!</v>
      </c>
      <c r="Y614" s="67" t="s">
        <v>2645</v>
      </c>
      <c r="Z614" s="67" t="b">
        <f>I614=F614</f>
        <v>0</v>
      </c>
    </row>
    <row r="615" spans="1:27" ht="13.65" customHeight="1">
      <c r="A615" s="91">
        <v>614</v>
      </c>
      <c r="B615" s="52" t="s">
        <v>2533</v>
      </c>
      <c r="C615" s="3" t="str">
        <f>VLOOKUP(D615,'lista 1'!$A$2:$F4133,4,0)</f>
        <v>DEPTALSKI JAROSŁAW</v>
      </c>
      <c r="D615" s="74">
        <v>434</v>
      </c>
      <c r="E615" s="4" t="str">
        <f>VLOOKUP(D615,'lista 1'!$A$2:$F$1802,5,0)</f>
        <v>ASM</v>
      </c>
      <c r="F615" s="59" t="str">
        <f>VLOOKUP(G615,'lista obszary'!A:B,2,0)</f>
        <v>BENKYOKAI</v>
      </c>
      <c r="G615" s="76" t="s">
        <v>935</v>
      </c>
      <c r="H615" s="85" t="s">
        <v>1896</v>
      </c>
      <c r="I615" s="59" t="str">
        <f>VLOOKUP(J615,'lista obszary'!A:B,2,0)</f>
        <v>ENGINES OFFICE</v>
      </c>
      <c r="J615" s="78" t="s">
        <v>850</v>
      </c>
      <c r="K615" s="87" t="s">
        <v>1584</v>
      </c>
      <c r="L615" s="82" t="s">
        <v>2585</v>
      </c>
      <c r="M615" s="22"/>
      <c r="N615" s="22"/>
      <c r="O615" s="22"/>
      <c r="P615" s="26"/>
      <c r="Q615" s="26"/>
      <c r="R615" s="26"/>
      <c r="S615" s="47"/>
      <c r="T615" s="4" t="e">
        <f>VLOOKUP(#REF!,#REF!,2,0)</f>
        <v>#REF!</v>
      </c>
      <c r="U615" s="20" t="e">
        <f t="shared" si="19"/>
        <v>#REF!</v>
      </c>
      <c r="V615" s="47"/>
      <c r="W615" s="43"/>
      <c r="X615" s="66" t="e">
        <f>VLOOKUP(D615,#REF!,2,0)</f>
        <v>#REF!</v>
      </c>
      <c r="Y615" s="67" t="s">
        <v>2645</v>
      </c>
      <c r="Z615" s="67" t="b">
        <f>I615=F615</f>
        <v>0</v>
      </c>
    </row>
    <row r="616" spans="1:27" s="66" customFormat="1" ht="13.65" customHeight="1">
      <c r="A616" s="91">
        <v>615</v>
      </c>
      <c r="B616" s="52" t="s">
        <v>2533</v>
      </c>
      <c r="C616" s="3" t="str">
        <f>VLOOKUP(D616,'lista 1'!$A$2:$F4134,4,0)</f>
        <v>MUSIAŁ GRZEGORZ</v>
      </c>
      <c r="D616" s="74">
        <v>69</v>
      </c>
      <c r="E616" s="4" t="str">
        <f>VLOOKUP(D616,'lista 1'!$A$2:$F$1802,5,0)</f>
        <v>ASM</v>
      </c>
      <c r="F616" s="59" t="str">
        <f>VLOOKUP(G616,'lista obszary'!A:B,2,0)</f>
        <v>ENGINES OFFICE</v>
      </c>
      <c r="G616" s="76" t="s">
        <v>850</v>
      </c>
      <c r="H616" s="85" t="s">
        <v>1584</v>
      </c>
      <c r="I616" s="59" t="str">
        <f>VLOOKUP(J616,'lista obszary'!A:B,2,0)</f>
        <v>TNGA</v>
      </c>
      <c r="J616" s="78" t="s">
        <v>2694</v>
      </c>
      <c r="K616" s="87" t="s">
        <v>2684</v>
      </c>
      <c r="L616" s="82" t="s">
        <v>2585</v>
      </c>
      <c r="M616" s="22"/>
      <c r="N616" s="22"/>
      <c r="O616" s="22"/>
      <c r="P616" s="26"/>
      <c r="Q616" s="26"/>
      <c r="R616" s="26"/>
      <c r="S616" s="47"/>
      <c r="T616" s="4" t="e">
        <f>VLOOKUP(#REF!,#REF!,2,0)</f>
        <v>#REF!</v>
      </c>
      <c r="U616" s="20" t="e">
        <f t="shared" si="19"/>
        <v>#REF!</v>
      </c>
      <c r="V616" s="47"/>
      <c r="W616" s="43"/>
      <c r="X616" s="66" t="e">
        <f>VLOOKUP(D616,#REF!,2,0)</f>
        <v>#REF!</v>
      </c>
      <c r="Y616" s="67" t="s">
        <v>2645</v>
      </c>
      <c r="Z616" s="67" t="b">
        <f>I616=F616</f>
        <v>0</v>
      </c>
      <c r="AA616" s="1"/>
    </row>
    <row r="617" spans="1:27" s="66" customFormat="1" ht="13.65" customHeight="1">
      <c r="A617" s="91">
        <v>616</v>
      </c>
      <c r="B617" s="52" t="s">
        <v>2533</v>
      </c>
      <c r="C617" s="3" t="str">
        <f>VLOOKUP(D617,'lista 1'!$A$2:$F4135,4,0)</f>
        <v>SOWA ROBERT</v>
      </c>
      <c r="D617" s="74">
        <v>850</v>
      </c>
      <c r="E617" s="4" t="str">
        <f>VLOOKUP(D617,'lista 1'!$A$2:$F$1802,5,0)</f>
        <v>TM MNX2</v>
      </c>
      <c r="F617" s="59" t="str">
        <f>VLOOKUP(G617,'lista obszary'!A:B,2,0)</f>
        <v>EPKM</v>
      </c>
      <c r="G617" s="76" t="s">
        <v>934</v>
      </c>
      <c r="H617" s="85" t="s">
        <v>347</v>
      </c>
      <c r="I617" s="59" t="str">
        <f>VLOOKUP(J617,'lista obszary'!A:B,2,0)</f>
        <v>CASTING</v>
      </c>
      <c r="J617" s="78" t="s">
        <v>2469</v>
      </c>
      <c r="K617" s="87" t="s">
        <v>547</v>
      </c>
      <c r="L617" s="82" t="s">
        <v>2585</v>
      </c>
      <c r="M617" s="30"/>
      <c r="N617" s="30"/>
      <c r="O617" s="30"/>
      <c r="P617" s="31"/>
      <c r="Q617" s="31"/>
      <c r="R617" s="31"/>
      <c r="S617" s="45"/>
      <c r="T617" s="4" t="e">
        <f>VLOOKUP(#REF!,#REF!,2,0)</f>
        <v>#REF!</v>
      </c>
      <c r="U617" s="20" t="e">
        <f t="shared" si="19"/>
        <v>#REF!</v>
      </c>
      <c r="V617" s="45"/>
      <c r="W617" s="49"/>
      <c r="X617" s="66" t="e">
        <f>VLOOKUP(D617,#REF!,2,0)</f>
        <v>#REF!</v>
      </c>
      <c r="Y617" s="67" t="b">
        <f>F617=I617</f>
        <v>0</v>
      </c>
      <c r="AA617" s="1"/>
    </row>
    <row r="618" spans="1:27" s="66" customFormat="1" ht="13.65" customHeight="1">
      <c r="A618" s="91">
        <v>617</v>
      </c>
      <c r="B618" s="52"/>
      <c r="C618" s="3" t="str">
        <f>VLOOKUP(D618,'lista 1'!$A$2:$F4136,4,0)</f>
        <v>RYŻLEWICZ KRZYSZTOF</v>
      </c>
      <c r="D618" s="74">
        <v>2998</v>
      </c>
      <c r="E618" s="4" t="str">
        <f>VLOOKUP(D618,'lista 1'!$A$2:$F$1802,5,0)</f>
        <v>TM</v>
      </c>
      <c r="F618" s="59" t="str">
        <f>VLOOKUP(G618,'lista obszary'!A:B,2,0)</f>
        <v>CASTING</v>
      </c>
      <c r="G618" s="76" t="s">
        <v>1598</v>
      </c>
      <c r="H618" s="85" t="s">
        <v>1920</v>
      </c>
      <c r="I618" s="59" t="str">
        <f>VLOOKUP(J618,'lista obszary'!A:B,2,0)</f>
        <v>CASTING</v>
      </c>
      <c r="J618" s="78" t="s">
        <v>683</v>
      </c>
      <c r="K618" s="87" t="s">
        <v>1900</v>
      </c>
      <c r="L618" s="82" t="s">
        <v>2586</v>
      </c>
      <c r="M618" s="30"/>
      <c r="N618" s="30"/>
      <c r="O618" s="30"/>
      <c r="P618" s="31"/>
      <c r="Q618" s="31"/>
      <c r="R618" s="31"/>
      <c r="S618" s="45"/>
      <c r="T618" s="4" t="e">
        <f>VLOOKUP(#REF!,#REF!,2,0)</f>
        <v>#REF!</v>
      </c>
      <c r="U618" s="20" t="e">
        <f t="shared" si="19"/>
        <v>#REF!</v>
      </c>
      <c r="V618" s="45"/>
      <c r="W618" s="49"/>
      <c r="X618" s="66" t="e">
        <f>VLOOKUP(D618,#REF!,2,0)</f>
        <v>#REF!</v>
      </c>
      <c r="Y618" s="67" t="b">
        <f>F618=I618</f>
        <v>1</v>
      </c>
      <c r="AA618" s="1"/>
    </row>
    <row r="619" spans="1:27" s="66" customFormat="1" ht="13.65" customHeight="1">
      <c r="A619" s="91">
        <v>618</v>
      </c>
      <c r="B619" s="52" t="s">
        <v>1973</v>
      </c>
      <c r="C619" s="3" t="str">
        <f>VLOOKUP(D619,'lista 1'!$A$2:$F4137,4,0)</f>
        <v>TRÓLKA JAKUB</v>
      </c>
      <c r="D619" s="74">
        <v>1363</v>
      </c>
      <c r="E619" s="4" t="str">
        <f>VLOOKUP(D619,'lista 1'!$A$2:$F$1802,5,0)</f>
        <v>TM2</v>
      </c>
      <c r="F619" s="59" t="str">
        <f>VLOOKUP(G619,'lista obszary'!A:B,2,0)</f>
        <v>CASTING</v>
      </c>
      <c r="G619" s="76" t="s">
        <v>683</v>
      </c>
      <c r="H619" s="85" t="s">
        <v>1900</v>
      </c>
      <c r="I619" s="59" t="str">
        <f>VLOOKUP(J619,'lista obszary'!A:B,2,0)</f>
        <v>HV PJT</v>
      </c>
      <c r="J619" s="78" t="s">
        <v>2086</v>
      </c>
      <c r="K619" s="87" t="s">
        <v>1569</v>
      </c>
      <c r="L619" s="82" t="s">
        <v>2586</v>
      </c>
      <c r="M619" s="30"/>
      <c r="N619" s="30"/>
      <c r="O619" s="30"/>
      <c r="P619" s="31"/>
      <c r="Q619" s="31"/>
      <c r="R619" s="31"/>
      <c r="S619" s="45"/>
      <c r="T619" s="4" t="e">
        <f>VLOOKUP(#REF!,#REF!,2,0)</f>
        <v>#REF!</v>
      </c>
      <c r="U619" s="20" t="e">
        <f t="shared" si="19"/>
        <v>#REF!</v>
      </c>
      <c r="V619" s="45"/>
      <c r="W619" s="49"/>
      <c r="X619" s="66" t="e">
        <f>VLOOKUP(D619,#REF!,2,0)</f>
        <v>#REF!</v>
      </c>
      <c r="Y619" s="67" t="s">
        <v>2645</v>
      </c>
      <c r="Z619" s="67" t="b">
        <f>I619=F619</f>
        <v>0</v>
      </c>
    </row>
    <row r="620" spans="1:27" ht="13.65" customHeight="1">
      <c r="A620" s="91">
        <v>619</v>
      </c>
      <c r="B620" s="52" t="s">
        <v>1973</v>
      </c>
      <c r="C620" s="3" t="str">
        <f>VLOOKUP(D620,'lista 1'!$A$2:$F4138,4,0)</f>
        <v>SZCZĘSNY MICHAŁ</v>
      </c>
      <c r="D620" s="74">
        <v>2140</v>
      </c>
      <c r="E620" s="4" t="str">
        <f>VLOOKUP(D620,'lista 1'!$A$2:$F$1802,5,0)</f>
        <v>TM2</v>
      </c>
      <c r="F620" s="59" t="str">
        <f>VLOOKUP(G620,'lista obszary'!A:B,2,0)</f>
        <v>CASTING</v>
      </c>
      <c r="G620" s="76" t="s">
        <v>685</v>
      </c>
      <c r="H620" s="85" t="s">
        <v>1559</v>
      </c>
      <c r="I620" s="59" t="str">
        <f>VLOOKUP(J620,'lista obszary'!A:B,2,0)</f>
        <v>HV PJT</v>
      </c>
      <c r="J620" s="78" t="s">
        <v>2086</v>
      </c>
      <c r="K620" s="87" t="s">
        <v>1569</v>
      </c>
      <c r="L620" s="82" t="s">
        <v>2586</v>
      </c>
      <c r="M620" s="30"/>
      <c r="N620" s="30"/>
      <c r="O620" s="30"/>
      <c r="P620" s="31"/>
      <c r="Q620" s="31"/>
      <c r="R620" s="31"/>
      <c r="S620" s="45"/>
      <c r="T620" s="4" t="e">
        <f>VLOOKUP(#REF!,#REF!,2,0)</f>
        <v>#REF!</v>
      </c>
      <c r="U620" s="20" t="e">
        <f t="shared" si="19"/>
        <v>#REF!</v>
      </c>
      <c r="V620" s="45"/>
      <c r="W620" s="49"/>
      <c r="X620" s="66" t="e">
        <f>VLOOKUP(D620,#REF!,2,0)</f>
        <v>#REF!</v>
      </c>
      <c r="Y620" s="67" t="s">
        <v>2645</v>
      </c>
      <c r="Z620" s="67" t="b">
        <f>I620=F620</f>
        <v>0</v>
      </c>
      <c r="AA620" s="66"/>
    </row>
    <row r="621" spans="1:27" s="66" customFormat="1" ht="13.65" customHeight="1">
      <c r="A621" s="91">
        <v>620</v>
      </c>
      <c r="B621" s="52" t="s">
        <v>1973</v>
      </c>
      <c r="C621" s="3" t="str">
        <f>VLOOKUP(D621,'lista 1'!$A$2:$F4139,4,0)</f>
        <v>KUŹMA PIOTR</v>
      </c>
      <c r="D621" s="74">
        <v>857</v>
      </c>
      <c r="E621" s="4" t="str">
        <f>VLOOKUP(D621,'lista 1'!$A$2:$F$1802,5,0)</f>
        <v>TM2</v>
      </c>
      <c r="F621" s="59" t="str">
        <f>VLOOKUP(G621,'lista obszary'!A:B,2,0)</f>
        <v>CASTING</v>
      </c>
      <c r="G621" s="76" t="s">
        <v>475</v>
      </c>
      <c r="H621" s="85" t="s">
        <v>540</v>
      </c>
      <c r="I621" s="59" t="str">
        <f>VLOOKUP(J621,'lista obszary'!A:B,2,0)</f>
        <v>HV PJT</v>
      </c>
      <c r="J621" s="78" t="s">
        <v>2086</v>
      </c>
      <c r="K621" s="87" t="s">
        <v>1569</v>
      </c>
      <c r="L621" s="82" t="s">
        <v>2586</v>
      </c>
      <c r="M621" s="30"/>
      <c r="N621" s="30"/>
      <c r="O621" s="30"/>
      <c r="P621" s="31"/>
      <c r="Q621" s="31"/>
      <c r="R621" s="31"/>
      <c r="S621" s="45"/>
      <c r="T621" s="4" t="e">
        <f>VLOOKUP(#REF!,#REF!,2,0)</f>
        <v>#REF!</v>
      </c>
      <c r="U621" s="20" t="e">
        <f t="shared" si="19"/>
        <v>#REF!</v>
      </c>
      <c r="V621" s="45"/>
      <c r="W621" s="49"/>
      <c r="X621" s="66" t="e">
        <f>VLOOKUP(D621,#REF!,2,0)</f>
        <v>#REF!</v>
      </c>
      <c r="Y621" s="67" t="s">
        <v>2645</v>
      </c>
      <c r="AA621" s="1"/>
    </row>
    <row r="622" spans="1:27" ht="13.65" customHeight="1">
      <c r="A622" s="91">
        <v>621</v>
      </c>
      <c r="B622" s="52"/>
      <c r="C622" s="3" t="str">
        <f>VLOOKUP(D622,'lista 1'!$A$2:$F4140,4,0)</f>
        <v>KAŁENDEK DAMIAN</v>
      </c>
      <c r="D622" s="74">
        <v>2150</v>
      </c>
      <c r="E622" s="4" t="str">
        <f>VLOOKUP(D622,'lista 1'!$A$2:$F$1802,5,0)</f>
        <v>TL</v>
      </c>
      <c r="F622" s="59" t="str">
        <f>VLOOKUP(G622,'lista obszary'!A:B,2,0)</f>
        <v>EPKM</v>
      </c>
      <c r="G622" s="76" t="s">
        <v>934</v>
      </c>
      <c r="H622" s="85" t="s">
        <v>347</v>
      </c>
      <c r="I622" s="59" t="str">
        <f>VLOOKUP(J622,'lista obszary'!A:B,2,0)</f>
        <v>CASTING</v>
      </c>
      <c r="J622" s="78" t="s">
        <v>685</v>
      </c>
      <c r="K622" s="87" t="s">
        <v>1559</v>
      </c>
      <c r="L622" s="82" t="s">
        <v>2586</v>
      </c>
      <c r="M622" s="30"/>
      <c r="N622" s="30"/>
      <c r="O622" s="30"/>
      <c r="P622" s="31"/>
      <c r="Q622" s="31"/>
      <c r="R622" s="31"/>
      <c r="S622" s="45"/>
      <c r="T622" s="4" t="e">
        <f>VLOOKUP(#REF!,#REF!,2,0)</f>
        <v>#REF!</v>
      </c>
      <c r="U622" s="20" t="e">
        <f t="shared" si="19"/>
        <v>#REF!</v>
      </c>
      <c r="V622" s="45"/>
      <c r="W622" s="49"/>
      <c r="X622" s="66" t="e">
        <f>VLOOKUP(D622,#REF!,2,0)</f>
        <v>#REF!</v>
      </c>
      <c r="Y622" s="67" t="s">
        <v>2645</v>
      </c>
      <c r="AA622" s="66"/>
    </row>
    <row r="623" spans="1:27" ht="13.65" customHeight="1">
      <c r="A623" s="91">
        <v>622</v>
      </c>
      <c r="B623" s="52"/>
      <c r="C623" s="3" t="e">
        <f>VLOOKUP(D623,'lista 1'!$A$2:$F4141,4,0)</f>
        <v>#N/A</v>
      </c>
      <c r="D623" s="74">
        <v>70517</v>
      </c>
      <c r="E623" s="4" t="e">
        <f>VLOOKUP(D623,'lista 1'!$A$2:$F$1802,5,0)</f>
        <v>#N/A</v>
      </c>
      <c r="F623" s="59" t="str">
        <f>VLOOKUP(G623,'lista obszary'!A:B,2,0)</f>
        <v>CASTING</v>
      </c>
      <c r="G623" s="76" t="s">
        <v>685</v>
      </c>
      <c r="H623" s="85" t="s">
        <v>1559</v>
      </c>
      <c r="I623" s="59" t="str">
        <f>VLOOKUP(J623,'lista obszary'!A:B,2,0)</f>
        <v>CASTING</v>
      </c>
      <c r="J623" s="78" t="s">
        <v>475</v>
      </c>
      <c r="K623" s="87" t="s">
        <v>540</v>
      </c>
      <c r="L623" s="82" t="s">
        <v>2586</v>
      </c>
      <c r="M623" s="22"/>
      <c r="N623" s="22"/>
      <c r="O623" s="22"/>
      <c r="P623" s="26"/>
      <c r="Q623" s="26"/>
      <c r="R623" s="26"/>
      <c r="S623" s="47"/>
      <c r="T623" s="4" t="e">
        <f>VLOOKUP(#REF!,#REF!,2,0)</f>
        <v>#REF!</v>
      </c>
      <c r="U623" s="20" t="e">
        <f t="shared" si="19"/>
        <v>#REF!</v>
      </c>
      <c r="V623" s="47"/>
      <c r="W623" s="43"/>
      <c r="X623" s="66" t="e">
        <f>VLOOKUP(D623,#REF!,2,0)</f>
        <v>#REF!</v>
      </c>
      <c r="Y623" s="67" t="s">
        <v>2643</v>
      </c>
      <c r="Z623" s="67" t="b">
        <f>I623=F623</f>
        <v>1</v>
      </c>
    </row>
    <row r="624" spans="1:27" s="66" customFormat="1" ht="13.65" customHeight="1">
      <c r="A624" s="91">
        <v>623</v>
      </c>
      <c r="B624" s="52" t="s">
        <v>174</v>
      </c>
      <c r="C624" s="3" t="str">
        <f>VLOOKUP(D624,'lista 1'!$A$2:$F4142,4,0)</f>
        <v>PUCIŁOWSKI KRZYSZTOF</v>
      </c>
      <c r="D624" s="74">
        <v>2092</v>
      </c>
      <c r="E624" s="4" t="str">
        <f>VLOOKUP(D624,'lista 1'!$A$2:$F$1802,5,0)</f>
        <v>TM2</v>
      </c>
      <c r="F624" s="59" t="str">
        <f>VLOOKUP(G624,'lista obszary'!A:B,2,0)</f>
        <v>CASTING</v>
      </c>
      <c r="G624" s="76" t="s">
        <v>1598</v>
      </c>
      <c r="H624" s="85" t="s">
        <v>1920</v>
      </c>
      <c r="I624" s="59" t="str">
        <f>VLOOKUP(J624,'lista obszary'!A:B,2,0)</f>
        <v>CASTING</v>
      </c>
      <c r="J624" s="78" t="s">
        <v>685</v>
      </c>
      <c r="K624" s="87" t="s">
        <v>1559</v>
      </c>
      <c r="L624" s="82" t="s">
        <v>2586</v>
      </c>
      <c r="M624" s="30"/>
      <c r="N624" s="30"/>
      <c r="O624" s="30"/>
      <c r="P624" s="31"/>
      <c r="Q624" s="31"/>
      <c r="R624" s="31"/>
      <c r="S624" s="45"/>
      <c r="T624" s="4" t="e">
        <f>VLOOKUP(#REF!,#REF!,2,0)</f>
        <v>#REF!</v>
      </c>
      <c r="U624" s="20" t="e">
        <f t="shared" si="19"/>
        <v>#REF!</v>
      </c>
      <c r="V624" s="45"/>
      <c r="W624" s="49"/>
      <c r="X624" s="66" t="e">
        <f>VLOOKUP(D624,#REF!,2,0)</f>
        <v>#REF!</v>
      </c>
      <c r="Y624" s="67" t="b">
        <f>F624=I624</f>
        <v>1</v>
      </c>
      <c r="AA624" s="1"/>
    </row>
    <row r="625" spans="1:26" ht="13.65" customHeight="1">
      <c r="A625" s="91">
        <v>624</v>
      </c>
      <c r="B625" s="52" t="s">
        <v>2533</v>
      </c>
      <c r="C625" s="3" t="str">
        <f>VLOOKUP(D625,'lista 1'!$A$2:$F4143,4,0)</f>
        <v>MAGRYTA ARTUR</v>
      </c>
      <c r="D625" s="74">
        <v>2102</v>
      </c>
      <c r="E625" s="4" t="str">
        <f>VLOOKUP(D625,'lista 1'!$A$2:$F$1802,5,0)</f>
        <v>TM2</v>
      </c>
      <c r="F625" s="59" t="str">
        <f>VLOOKUP(G625,'lista obszary'!A:B,2,0)</f>
        <v>EPKM</v>
      </c>
      <c r="G625" s="76" t="s">
        <v>934</v>
      </c>
      <c r="H625" s="85" t="s">
        <v>347</v>
      </c>
      <c r="I625" s="59" t="str">
        <f>VLOOKUP(J625,'lista obszary'!A:B,2,0)</f>
        <v>HV PJT</v>
      </c>
      <c r="J625" s="78" t="s">
        <v>2086</v>
      </c>
      <c r="K625" s="87" t="s">
        <v>1569</v>
      </c>
      <c r="L625" s="82" t="s">
        <v>2586</v>
      </c>
      <c r="M625" s="22"/>
      <c r="N625" s="22"/>
      <c r="O625" s="22"/>
      <c r="P625" s="26"/>
      <c r="Q625" s="26"/>
      <c r="R625" s="26"/>
      <c r="S625" s="47"/>
      <c r="T625" s="4" t="e">
        <f>VLOOKUP(#REF!,#REF!,2,0)</f>
        <v>#REF!</v>
      </c>
      <c r="U625" s="20" t="e">
        <f t="shared" si="19"/>
        <v>#REF!</v>
      </c>
      <c r="V625" s="47"/>
      <c r="W625" s="43"/>
      <c r="X625" s="66" t="e">
        <f>VLOOKUP(D625,#REF!,2,0)</f>
        <v>#REF!</v>
      </c>
      <c r="Y625" s="67" t="b">
        <f>F625=I625</f>
        <v>0</v>
      </c>
    </row>
    <row r="626" spans="1:26" ht="13.65" customHeight="1">
      <c r="A626" s="91">
        <v>625</v>
      </c>
      <c r="B626" s="52"/>
      <c r="C626" s="3" t="e">
        <f>VLOOKUP(D626,'lista 1'!$A$2:$F4144,4,0)</f>
        <v>#N/A</v>
      </c>
      <c r="D626" s="74">
        <v>70500</v>
      </c>
      <c r="E626" s="4" t="s">
        <v>643</v>
      </c>
      <c r="F626" s="59" t="str">
        <f>VLOOKUP(G626,'lista obszary'!A:B,2,0)</f>
        <v>ENGINES</v>
      </c>
      <c r="G626" s="76" t="s">
        <v>238</v>
      </c>
      <c r="H626" s="85" t="s">
        <v>1584</v>
      </c>
      <c r="I626" s="59" t="str">
        <f>VLOOKUP(J626,'lista obszary'!A:B,2,0)</f>
        <v>ENGINES</v>
      </c>
      <c r="J626" s="78" t="s">
        <v>437</v>
      </c>
      <c r="K626" s="87" t="s">
        <v>342</v>
      </c>
      <c r="L626" s="82" t="s">
        <v>2586</v>
      </c>
      <c r="M626" s="22"/>
      <c r="N626" s="22"/>
      <c r="O626" s="22"/>
      <c r="P626" s="26"/>
      <c r="Q626" s="26"/>
      <c r="R626" s="26"/>
      <c r="S626" s="47"/>
      <c r="T626" s="4" t="e">
        <f>VLOOKUP(#REF!,#REF!,2,0)</f>
        <v>#REF!</v>
      </c>
      <c r="U626" s="20" t="e">
        <f t="shared" si="19"/>
        <v>#REF!</v>
      </c>
      <c r="V626" s="47"/>
      <c r="W626" s="43"/>
      <c r="X626" s="66" t="e">
        <f>VLOOKUP(D626,#REF!,2,0)</f>
        <v>#REF!</v>
      </c>
      <c r="Y626" s="67" t="b">
        <f>F626=I626</f>
        <v>1</v>
      </c>
    </row>
    <row r="627" spans="1:26" ht="13.65" customHeight="1">
      <c r="A627" s="91">
        <v>626</v>
      </c>
      <c r="B627" s="52"/>
      <c r="C627" s="3" t="str">
        <f>VLOOKUP(D627,'lista 1'!$A$2:$F4145,4,0)</f>
        <v>BEDNARZ ZENONA</v>
      </c>
      <c r="D627" s="74">
        <v>1685</v>
      </c>
      <c r="E627" s="4" t="s">
        <v>223</v>
      </c>
      <c r="F627" s="59" t="str">
        <f>VLOOKUP(G627,'lista obszary'!A:B,2,0)</f>
        <v>ENGINES</v>
      </c>
      <c r="G627" s="76" t="s">
        <v>238</v>
      </c>
      <c r="H627" s="85" t="s">
        <v>1584</v>
      </c>
      <c r="I627" s="59" t="str">
        <f>VLOOKUP(J627,'lista obszary'!A:B,2,0)</f>
        <v>ENGINES</v>
      </c>
      <c r="J627" s="78" t="s">
        <v>178</v>
      </c>
      <c r="K627" s="87" t="s">
        <v>1556</v>
      </c>
      <c r="L627" s="82" t="s">
        <v>2586</v>
      </c>
      <c r="M627" s="22"/>
      <c r="N627" s="22"/>
      <c r="O627" s="22"/>
      <c r="P627" s="26"/>
      <c r="Q627" s="26"/>
      <c r="R627" s="26"/>
      <c r="S627" s="47"/>
      <c r="T627" s="4" t="e">
        <f>VLOOKUP(#REF!,#REF!,2,0)</f>
        <v>#REF!</v>
      </c>
      <c r="U627" s="20" t="e">
        <f t="shared" si="19"/>
        <v>#REF!</v>
      </c>
      <c r="V627" s="47"/>
      <c r="W627" s="43"/>
      <c r="X627" s="66" t="e">
        <f>VLOOKUP(D627,#REF!,2,0)</f>
        <v>#REF!</v>
      </c>
      <c r="Y627" s="67" t="b">
        <f>F627=I627</f>
        <v>1</v>
      </c>
    </row>
    <row r="628" spans="1:26" ht="13.65" customHeight="1">
      <c r="A628" s="91">
        <v>627</v>
      </c>
      <c r="B628" s="52"/>
      <c r="C628" s="3" t="str">
        <f>VLOOKUP(D628,'lista 1'!$A$2:$F4146,4,0)</f>
        <v>KULIŃSKA ANETA</v>
      </c>
      <c r="D628" s="74">
        <v>2269</v>
      </c>
      <c r="E628" s="4" t="s">
        <v>223</v>
      </c>
      <c r="F628" s="59" t="str">
        <f>VLOOKUP(G628,'lista obszary'!A:B,2,0)</f>
        <v>ENGINES</v>
      </c>
      <c r="G628" s="76" t="s">
        <v>238</v>
      </c>
      <c r="H628" s="85" t="s">
        <v>1584</v>
      </c>
      <c r="I628" s="59" t="str">
        <f>VLOOKUP(J628,'lista obszary'!A:B,2,0)</f>
        <v>ENGINES</v>
      </c>
      <c r="J628" s="78" t="s">
        <v>602</v>
      </c>
      <c r="K628" s="87" t="s">
        <v>1392</v>
      </c>
      <c r="L628" s="82" t="s">
        <v>2586</v>
      </c>
      <c r="M628" s="22"/>
      <c r="N628" s="22"/>
      <c r="O628" s="22"/>
      <c r="P628" s="26"/>
      <c r="Q628" s="26"/>
      <c r="R628" s="26"/>
      <c r="S628" s="47"/>
      <c r="T628" s="4" t="e">
        <f>VLOOKUP(#REF!,#REF!,2,0)</f>
        <v>#REF!</v>
      </c>
      <c r="U628" s="20" t="e">
        <f t="shared" si="19"/>
        <v>#REF!</v>
      </c>
      <c r="V628" s="47"/>
      <c r="W628" s="43"/>
      <c r="X628" s="66" t="e">
        <f>VLOOKUP(D628,#REF!,2,0)</f>
        <v>#REF!</v>
      </c>
      <c r="Y628" s="67" t="b">
        <f>F628=I628</f>
        <v>1</v>
      </c>
    </row>
    <row r="629" spans="1:26" ht="13.65" customHeight="1">
      <c r="A629" s="91">
        <v>628</v>
      </c>
      <c r="B629" s="52"/>
      <c r="C629" s="3" t="e">
        <f>VLOOKUP(D629,'lista 1'!$A$2:$F4147,4,0)</f>
        <v>#N/A</v>
      </c>
      <c r="D629" s="74">
        <v>70526</v>
      </c>
      <c r="E629" s="4" t="s">
        <v>643</v>
      </c>
      <c r="F629" s="59" t="str">
        <f>VLOOKUP(G629,'lista obszary'!A:B,2,0)</f>
        <v>IL</v>
      </c>
      <c r="G629" s="76" t="s">
        <v>1062</v>
      </c>
      <c r="H629" s="85" t="s">
        <v>1562</v>
      </c>
      <c r="I629" s="59" t="str">
        <f>VLOOKUP(J629,'lista obszary'!A:B,2,0)</f>
        <v>IL</v>
      </c>
      <c r="J629" s="78" t="s">
        <v>507</v>
      </c>
      <c r="K629" s="87" t="s">
        <v>1562</v>
      </c>
      <c r="L629" s="82" t="s">
        <v>2586</v>
      </c>
      <c r="M629" s="22"/>
      <c r="N629" s="22"/>
      <c r="O629" s="22"/>
      <c r="P629" s="26"/>
      <c r="Q629" s="26"/>
      <c r="R629" s="26"/>
      <c r="S629" s="47"/>
      <c r="T629" s="4" t="e">
        <f>VLOOKUP(#REF!,#REF!,2,0)</f>
        <v>#REF!</v>
      </c>
      <c r="U629" s="20" t="e">
        <f t="shared" si="19"/>
        <v>#REF!</v>
      </c>
      <c r="V629" s="47"/>
      <c r="W629" s="43"/>
      <c r="X629" s="66" t="e">
        <f>VLOOKUP(D629,#REF!,2,0)</f>
        <v>#REF!</v>
      </c>
      <c r="Y629" s="67" t="s">
        <v>2643</v>
      </c>
      <c r="Z629" s="67" t="b">
        <f t="shared" ref="Z629:Z636" si="22">I629=F629</f>
        <v>1</v>
      </c>
    </row>
    <row r="630" spans="1:26" ht="13.65" customHeight="1">
      <c r="A630" s="91">
        <v>629</v>
      </c>
      <c r="B630" s="52"/>
      <c r="C630" s="3" t="str">
        <f>VLOOKUP(D630,'lista 1'!$A$2:$F4148,4,0)</f>
        <v>MASZKA ARKADIUSZ</v>
      </c>
      <c r="D630" s="74">
        <v>2996</v>
      </c>
      <c r="E630" s="4" t="s">
        <v>2128</v>
      </c>
      <c r="F630" s="59" t="str">
        <f>VLOOKUP(G630,'lista obszary'!A:B,2,0)</f>
        <v>IL</v>
      </c>
      <c r="G630" s="76" t="s">
        <v>234</v>
      </c>
      <c r="H630" s="85" t="s">
        <v>1560</v>
      </c>
      <c r="I630" s="59" t="str">
        <f>VLOOKUP(J630,'lista obszary'!A:B,2,0)</f>
        <v>IL</v>
      </c>
      <c r="J630" s="78" t="s">
        <v>1063</v>
      </c>
      <c r="K630" s="87" t="s">
        <v>1560</v>
      </c>
      <c r="L630" s="82" t="s">
        <v>2586</v>
      </c>
      <c r="M630" s="22"/>
      <c r="N630" s="22"/>
      <c r="O630" s="22"/>
      <c r="P630" s="26"/>
      <c r="Q630" s="26"/>
      <c r="R630" s="26"/>
      <c r="S630" s="47"/>
      <c r="T630" s="4" t="e">
        <f>VLOOKUP(#REF!,#REF!,2,0)</f>
        <v>#REF!</v>
      </c>
      <c r="U630" s="20" t="e">
        <f t="shared" si="19"/>
        <v>#REF!</v>
      </c>
      <c r="V630" s="47"/>
      <c r="W630" s="43"/>
      <c r="X630" s="66" t="e">
        <f>VLOOKUP(D630,#REF!,2,0)</f>
        <v>#REF!</v>
      </c>
      <c r="Y630" s="67" t="s">
        <v>2643</v>
      </c>
      <c r="Z630" s="67" t="b">
        <f t="shared" si="22"/>
        <v>1</v>
      </c>
    </row>
    <row r="631" spans="1:26" ht="13.65" customHeight="1">
      <c r="A631" s="91">
        <v>630</v>
      </c>
      <c r="B631" s="52"/>
      <c r="C631" s="3" t="str">
        <f>VLOOKUP(D631,'lista 1'!$A$2:$F4149,4,0)</f>
        <v>SKONECZNY SEBASTIAN</v>
      </c>
      <c r="D631" s="74">
        <v>1056</v>
      </c>
      <c r="E631" s="4" t="s">
        <v>223</v>
      </c>
      <c r="F631" s="59" t="str">
        <f>VLOOKUP(G631,'lista obszary'!A:B,2,0)</f>
        <v>IL</v>
      </c>
      <c r="G631" s="76" t="s">
        <v>234</v>
      </c>
      <c r="H631" s="85" t="s">
        <v>1560</v>
      </c>
      <c r="I631" s="59" t="str">
        <f>VLOOKUP(J631,'lista obszary'!A:B,2,0)</f>
        <v>IL</v>
      </c>
      <c r="J631" s="78" t="s">
        <v>1063</v>
      </c>
      <c r="K631" s="87" t="s">
        <v>1560</v>
      </c>
      <c r="L631" s="82" t="s">
        <v>2586</v>
      </c>
      <c r="M631" s="22"/>
      <c r="N631" s="22"/>
      <c r="O631" s="22"/>
      <c r="P631" s="26"/>
      <c r="Q631" s="26"/>
      <c r="R631" s="26"/>
      <c r="S631" s="47"/>
      <c r="T631" s="4" t="e">
        <f>VLOOKUP(#REF!,#REF!,2,0)</f>
        <v>#REF!</v>
      </c>
      <c r="U631" s="20" t="e">
        <f t="shared" si="19"/>
        <v>#REF!</v>
      </c>
      <c r="V631" s="47"/>
      <c r="W631" s="43"/>
      <c r="X631" s="66" t="e">
        <f>VLOOKUP(D631,#REF!,2,0)</f>
        <v>#REF!</v>
      </c>
      <c r="Y631" s="67" t="s">
        <v>2643</v>
      </c>
      <c r="Z631" s="67" t="b">
        <f t="shared" si="22"/>
        <v>1</v>
      </c>
    </row>
    <row r="632" spans="1:26" ht="13.65" customHeight="1">
      <c r="A632" s="91">
        <v>631</v>
      </c>
      <c r="B632" s="52"/>
      <c r="C632" s="3" t="str">
        <f>VLOOKUP(D632,'lista 1'!$A$2:$F4150,4,0)</f>
        <v>SKITOWSKI PAWEŁ</v>
      </c>
      <c r="D632" s="74">
        <v>249</v>
      </c>
      <c r="E632" s="4" t="s">
        <v>223</v>
      </c>
      <c r="F632" s="59" t="str">
        <f>VLOOKUP(G632,'lista obszary'!A:B,2,0)</f>
        <v>IL</v>
      </c>
      <c r="G632" s="76" t="s">
        <v>1063</v>
      </c>
      <c r="H632" s="85" t="s">
        <v>1560</v>
      </c>
      <c r="I632" s="59" t="str">
        <f>VLOOKUP(J632,'lista obszary'!A:B,2,0)</f>
        <v>IL</v>
      </c>
      <c r="J632" s="78" t="s">
        <v>234</v>
      </c>
      <c r="K632" s="87" t="s">
        <v>1560</v>
      </c>
      <c r="L632" s="82" t="s">
        <v>2586</v>
      </c>
      <c r="M632" s="22"/>
      <c r="N632" s="22"/>
      <c r="O632" s="22"/>
      <c r="P632" s="26"/>
      <c r="Q632" s="26"/>
      <c r="R632" s="26"/>
      <c r="S632" s="47"/>
      <c r="T632" s="4" t="e">
        <f>VLOOKUP(#REF!,#REF!,2,0)</f>
        <v>#REF!</v>
      </c>
      <c r="U632" s="20" t="e">
        <f t="shared" si="19"/>
        <v>#REF!</v>
      </c>
      <c r="V632" s="47"/>
      <c r="W632" s="43"/>
      <c r="X632" s="66" t="e">
        <f>VLOOKUP(D632,#REF!,2,0)</f>
        <v>#REF!</v>
      </c>
      <c r="Y632" s="67" t="s">
        <v>2643</v>
      </c>
      <c r="Z632" s="67" t="b">
        <f t="shared" si="22"/>
        <v>1</v>
      </c>
    </row>
    <row r="633" spans="1:26" ht="13.65" customHeight="1">
      <c r="A633" s="91">
        <v>632</v>
      </c>
      <c r="B633" s="52"/>
      <c r="C633" s="3" t="str">
        <f>VLOOKUP(D633,'lista 1'!$A$2:$F4151,4,0)</f>
        <v>WIŚNIEWSKI MACIEJ</v>
      </c>
      <c r="D633" s="74">
        <v>3113</v>
      </c>
      <c r="E633" s="4" t="s">
        <v>2128</v>
      </c>
      <c r="F633" s="59" t="str">
        <f>VLOOKUP(G633,'lista obszary'!A:B,2,0)</f>
        <v>IL</v>
      </c>
      <c r="G633" s="76" t="s">
        <v>1063</v>
      </c>
      <c r="H633" s="85" t="s">
        <v>1560</v>
      </c>
      <c r="I633" s="59" t="str">
        <f>VLOOKUP(J633,'lista obszary'!A:B,2,0)</f>
        <v>IL</v>
      </c>
      <c r="J633" s="78" t="s">
        <v>234</v>
      </c>
      <c r="K633" s="87" t="s">
        <v>1560</v>
      </c>
      <c r="L633" s="82" t="s">
        <v>2586</v>
      </c>
      <c r="M633" s="22"/>
      <c r="N633" s="22"/>
      <c r="O633" s="22"/>
      <c r="P633" s="26"/>
      <c r="Q633" s="26"/>
      <c r="R633" s="26"/>
      <c r="S633" s="47"/>
      <c r="T633" s="4" t="e">
        <f>VLOOKUP(#REF!,#REF!,2,0)</f>
        <v>#REF!</v>
      </c>
      <c r="U633" s="20" t="e">
        <f t="shared" si="19"/>
        <v>#REF!</v>
      </c>
      <c r="V633" s="47"/>
      <c r="W633" s="43"/>
      <c r="X633" s="66" t="e">
        <f>VLOOKUP(D633,#REF!,2,0)</f>
        <v>#REF!</v>
      </c>
      <c r="Y633" s="67" t="s">
        <v>2643</v>
      </c>
      <c r="Z633" s="67" t="b">
        <f t="shared" si="22"/>
        <v>1</v>
      </c>
    </row>
    <row r="634" spans="1:26" ht="13.65" customHeight="1">
      <c r="A634" s="91">
        <v>633</v>
      </c>
      <c r="B634" s="52"/>
      <c r="C634" s="3" t="str">
        <f>VLOOKUP(D634,'lista 1'!$A$2:$F4152,4,0)</f>
        <v>WASZKIEWICZ DANIEL</v>
      </c>
      <c r="D634" s="94">
        <v>947</v>
      </c>
      <c r="E634" s="4" t="s">
        <v>1339</v>
      </c>
      <c r="F634" s="59" t="str">
        <f>VLOOKUP(G634,'lista obszary'!A:B,2,0)</f>
        <v>EPKM</v>
      </c>
      <c r="G634" s="76" t="s">
        <v>934</v>
      </c>
      <c r="H634" s="85" t="s">
        <v>1901</v>
      </c>
      <c r="I634" s="59" t="str">
        <f>VLOOKUP(J634,'lista obszary'!A:B,2,0)</f>
        <v>EC60</v>
      </c>
      <c r="J634" s="78" t="s">
        <v>549</v>
      </c>
      <c r="K634" s="87" t="s">
        <v>1881</v>
      </c>
      <c r="L634" s="82" t="s">
        <v>2586</v>
      </c>
      <c r="M634" s="22"/>
      <c r="N634" s="22"/>
      <c r="O634" s="22"/>
      <c r="P634" s="26"/>
      <c r="Q634" s="26"/>
      <c r="R634" s="26"/>
      <c r="S634" s="47"/>
      <c r="T634" s="4" t="e">
        <f>VLOOKUP(#REF!,#REF!,2,0)</f>
        <v>#REF!</v>
      </c>
      <c r="U634" s="20" t="e">
        <f t="shared" si="19"/>
        <v>#REF!</v>
      </c>
      <c r="V634" s="47"/>
      <c r="W634" s="43"/>
      <c r="X634" s="66" t="e">
        <f>VLOOKUP(D634,#REF!,2,0)</f>
        <v>#REF!</v>
      </c>
      <c r="Y634" s="67" t="s">
        <v>2645</v>
      </c>
      <c r="Z634" s="67" t="b">
        <f t="shared" si="22"/>
        <v>0</v>
      </c>
    </row>
    <row r="635" spans="1:26" ht="13.65" customHeight="1">
      <c r="A635" s="91">
        <v>634</v>
      </c>
      <c r="B635" s="52"/>
      <c r="C635" s="3" t="str">
        <f>VLOOKUP(D635,'lista 1'!$A$2:$F4153,4,0)</f>
        <v>ŻUCHOWSKI TOMASZ</v>
      </c>
      <c r="D635" s="94">
        <v>2745</v>
      </c>
      <c r="E635" s="4" t="s">
        <v>223</v>
      </c>
      <c r="F635" s="59" t="str">
        <f>VLOOKUP(G635,'lista obszary'!A:B,2,0)</f>
        <v>ENGINES</v>
      </c>
      <c r="G635" s="76" t="s">
        <v>238</v>
      </c>
      <c r="H635" s="85" t="s">
        <v>1584</v>
      </c>
      <c r="I635" s="59" t="str">
        <f>VLOOKUP(J635,'lista obszary'!A:B,2,0)</f>
        <v>ENGINES</v>
      </c>
      <c r="J635" s="78" t="s">
        <v>437</v>
      </c>
      <c r="K635" s="87" t="s">
        <v>342</v>
      </c>
      <c r="L635" s="82" t="s">
        <v>2586</v>
      </c>
      <c r="M635" s="22"/>
      <c r="N635" s="22"/>
      <c r="O635" s="22"/>
      <c r="P635" s="26"/>
      <c r="Q635" s="26"/>
      <c r="R635" s="26"/>
      <c r="S635" s="47"/>
      <c r="T635" s="4" t="e">
        <f>VLOOKUP(#REF!,#REF!,2,0)</f>
        <v>#REF!</v>
      </c>
      <c r="U635" s="20" t="e">
        <f t="shared" si="19"/>
        <v>#REF!</v>
      </c>
      <c r="V635" s="47"/>
      <c r="W635" s="43"/>
      <c r="X635" s="66" t="e">
        <f>VLOOKUP(D635,#REF!,2,0)</f>
        <v>#REF!</v>
      </c>
      <c r="Y635" s="67" t="s">
        <v>2643</v>
      </c>
      <c r="Z635" s="67" t="b">
        <f t="shared" si="22"/>
        <v>1</v>
      </c>
    </row>
    <row r="636" spans="1:26" ht="13.65" customHeight="1">
      <c r="A636" s="91">
        <v>635</v>
      </c>
      <c r="B636" s="52"/>
      <c r="C636" s="3" t="str">
        <f>VLOOKUP(D636,'lista 1'!$A$2:$F4154,4,0)</f>
        <v>CZERWIAK MARCIN</v>
      </c>
      <c r="D636" s="94">
        <v>1464</v>
      </c>
      <c r="E636" s="4" t="s">
        <v>223</v>
      </c>
      <c r="F636" s="59" t="str">
        <f>VLOOKUP(G636,'lista obszary'!A:B,2,0)</f>
        <v>ENGINES</v>
      </c>
      <c r="G636" s="76" t="s">
        <v>238</v>
      </c>
      <c r="H636" s="85" t="s">
        <v>1584</v>
      </c>
      <c r="I636" s="59" t="str">
        <f>VLOOKUP(J636,'lista obszary'!A:B,2,0)</f>
        <v>ENGINES</v>
      </c>
      <c r="J636" s="78" t="s">
        <v>595</v>
      </c>
      <c r="K636" s="87" t="s">
        <v>1906</v>
      </c>
      <c r="L636" s="82" t="s">
        <v>2586</v>
      </c>
      <c r="M636" s="22"/>
      <c r="N636" s="22"/>
      <c r="O636" s="22"/>
      <c r="P636" s="26"/>
      <c r="Q636" s="26"/>
      <c r="R636" s="26"/>
      <c r="S636" s="47"/>
      <c r="T636" s="4" t="e">
        <f>VLOOKUP(#REF!,#REF!,2,0)</f>
        <v>#REF!</v>
      </c>
      <c r="U636" s="20" t="e">
        <f t="shared" si="19"/>
        <v>#REF!</v>
      </c>
      <c r="V636" s="47"/>
      <c r="W636" s="43"/>
      <c r="X636" s="66" t="e">
        <f>VLOOKUP(D636,#REF!,2,0)</f>
        <v>#REF!</v>
      </c>
      <c r="Y636" s="67" t="s">
        <v>2643</v>
      </c>
      <c r="Z636" s="67" t="b">
        <f t="shared" si="22"/>
        <v>1</v>
      </c>
    </row>
    <row r="637" spans="1:26" ht="13.65" customHeight="1">
      <c r="A637" s="91">
        <v>636</v>
      </c>
      <c r="B637" s="52" t="s">
        <v>2533</v>
      </c>
      <c r="C637" s="3" t="str">
        <f>VLOOKUP(D637,'lista 1'!$A$2:$F4155,4,0)</f>
        <v>KAŁENDEK DAMIAN</v>
      </c>
      <c r="D637" s="74">
        <v>2150</v>
      </c>
      <c r="E637" s="4" t="str">
        <f>VLOOKUP(D637,'lista 1'!$A$2:$F$1802,5,0)</f>
        <v>TL</v>
      </c>
      <c r="F637" s="59" t="str">
        <f>VLOOKUP(G637,'lista obszary'!A:B,2,0)</f>
        <v>EPKM</v>
      </c>
      <c r="G637" s="76" t="s">
        <v>934</v>
      </c>
      <c r="H637" s="85" t="s">
        <v>347</v>
      </c>
      <c r="I637" s="59" t="str">
        <f>VLOOKUP(J637,'lista obszary'!A:B,2,0)</f>
        <v>CASTING</v>
      </c>
      <c r="J637" s="78" t="s">
        <v>685</v>
      </c>
      <c r="K637" s="87" t="s">
        <v>1559</v>
      </c>
      <c r="L637" s="82" t="s">
        <v>2589</v>
      </c>
      <c r="M637" s="22"/>
      <c r="N637" s="22"/>
      <c r="O637" s="22"/>
      <c r="P637" s="26"/>
      <c r="Q637" s="26"/>
      <c r="R637" s="26"/>
      <c r="S637" s="47"/>
      <c r="T637" s="4" t="e">
        <f>VLOOKUP(#REF!,#REF!,2,0)</f>
        <v>#REF!</v>
      </c>
      <c r="U637" s="20" t="e">
        <f t="shared" si="19"/>
        <v>#REF!</v>
      </c>
      <c r="V637" s="47"/>
      <c r="W637" s="43"/>
      <c r="X637" s="66" t="e">
        <f>VLOOKUP(D637,#REF!,2,0)</f>
        <v>#REF!</v>
      </c>
      <c r="Y637" s="67" t="s">
        <v>2645</v>
      </c>
    </row>
    <row r="638" spans="1:26" ht="13.65" customHeight="1">
      <c r="A638" s="91">
        <v>637</v>
      </c>
      <c r="B638" s="52"/>
      <c r="C638" s="3" t="str">
        <f>VLOOKUP(D638,'lista 1'!$A$2:$F4156,4,0)</f>
        <v>SZOPA EWA</v>
      </c>
      <c r="D638" s="74">
        <v>2325</v>
      </c>
      <c r="E638" s="4" t="str">
        <f>VLOOKUP(D638,'lista 1'!$A$2:$F$1802,5,0)</f>
        <v>TM2</v>
      </c>
      <c r="F638" s="59" t="str">
        <f>VLOOKUP(G638,'lista obszary'!A:B,2,0)</f>
        <v>EC60</v>
      </c>
      <c r="G638" s="76" t="s">
        <v>549</v>
      </c>
      <c r="H638" s="85" t="s">
        <v>1881</v>
      </c>
      <c r="I638" s="59" t="str">
        <f>VLOOKUP(J638,'lista obszary'!A:B,2,0)</f>
        <v>EC60</v>
      </c>
      <c r="J638" s="78" t="s">
        <v>1045</v>
      </c>
      <c r="K638" s="87" t="s">
        <v>1926</v>
      </c>
      <c r="L638" s="82" t="s">
        <v>2587</v>
      </c>
      <c r="M638" s="22"/>
      <c r="N638" s="22"/>
      <c r="O638" s="22"/>
      <c r="P638" s="26"/>
      <c r="Q638" s="26"/>
      <c r="R638" s="26"/>
      <c r="S638" s="47"/>
      <c r="T638" s="4" t="e">
        <f>VLOOKUP(#REF!,#REF!,2,0)</f>
        <v>#REF!</v>
      </c>
      <c r="U638" s="20" t="e">
        <f t="shared" si="19"/>
        <v>#REF!</v>
      </c>
      <c r="V638" s="47"/>
      <c r="W638" s="43"/>
      <c r="X638" s="66" t="e">
        <f>VLOOKUP(D638,#REF!,2,0)</f>
        <v>#REF!</v>
      </c>
      <c r="Y638" s="67" t="b">
        <f>F638=I638</f>
        <v>1</v>
      </c>
    </row>
    <row r="639" spans="1:26" ht="13.65" customHeight="1">
      <c r="A639" s="91">
        <v>638</v>
      </c>
      <c r="B639" s="52"/>
      <c r="C639" s="3" t="str">
        <f>VLOOKUP(D639,'lista 1'!$A$2:$F4157,4,0)</f>
        <v>HOFFMAN PATRYCJUSZ</v>
      </c>
      <c r="D639" s="74">
        <v>2029</v>
      </c>
      <c r="E639" s="4" t="str">
        <f>VLOOKUP(D639,'lista 1'!$A$2:$F$1802,5,0)</f>
        <v>TM2</v>
      </c>
      <c r="F639" s="59" t="str">
        <f>VLOOKUP(G639,'lista obszary'!A:B,2,0)</f>
        <v>EC60</v>
      </c>
      <c r="G639" s="76" t="s">
        <v>1325</v>
      </c>
      <c r="H639" s="85" t="s">
        <v>2159</v>
      </c>
      <c r="I639" s="59" t="str">
        <f>VLOOKUP(J639,'lista obszary'!A:B,2,0)</f>
        <v>EC60</v>
      </c>
      <c r="J639" s="78" t="s">
        <v>549</v>
      </c>
      <c r="K639" s="87" t="s">
        <v>1881</v>
      </c>
      <c r="L639" s="82" t="s">
        <v>2587</v>
      </c>
      <c r="M639" s="22"/>
      <c r="N639" s="22"/>
      <c r="O639" s="22"/>
      <c r="P639" s="26"/>
      <c r="Q639" s="26"/>
      <c r="R639" s="26"/>
      <c r="S639" s="47"/>
      <c r="T639" s="4" t="e">
        <f>VLOOKUP(#REF!,#REF!,2,0)</f>
        <v>#REF!</v>
      </c>
      <c r="U639" s="20" t="e">
        <f t="shared" si="19"/>
        <v>#REF!</v>
      </c>
      <c r="V639" s="47"/>
      <c r="W639" s="43"/>
      <c r="X639" s="66" t="e">
        <f>VLOOKUP(D639,#REF!,2,0)</f>
        <v>#REF!</v>
      </c>
      <c r="Y639" s="67" t="s">
        <v>2643</v>
      </c>
      <c r="Z639" s="67" t="b">
        <f t="shared" ref="Z639:Z644" si="23">I639=F639</f>
        <v>1</v>
      </c>
    </row>
    <row r="640" spans="1:26" ht="13.65" customHeight="1">
      <c r="A640" s="91">
        <v>639</v>
      </c>
      <c r="B640" s="52"/>
      <c r="C640" s="3" t="str">
        <f>VLOOKUP(D640,'lista 1'!$A$2:$F4158,4,0)</f>
        <v>BOBIN PIOTR</v>
      </c>
      <c r="D640" s="74">
        <v>2928</v>
      </c>
      <c r="E640" s="4" t="str">
        <f>VLOOKUP(D640,'lista 1'!$A$2:$F$1802,5,0)</f>
        <v>TM</v>
      </c>
      <c r="F640" s="59" t="str">
        <f>VLOOKUP(G640,'lista obszary'!A:B,2,0)</f>
        <v>EC60</v>
      </c>
      <c r="G640" s="76" t="s">
        <v>1325</v>
      </c>
      <c r="H640" s="85" t="s">
        <v>2159</v>
      </c>
      <c r="I640" s="59" t="str">
        <f>VLOOKUP(J640,'lista obszary'!A:B,2,0)</f>
        <v>EC60</v>
      </c>
      <c r="J640" s="78" t="s">
        <v>549</v>
      </c>
      <c r="K640" s="87" t="s">
        <v>1881</v>
      </c>
      <c r="L640" s="82" t="s">
        <v>2587</v>
      </c>
      <c r="M640" s="22"/>
      <c r="N640" s="22"/>
      <c r="O640" s="22"/>
      <c r="P640" s="26"/>
      <c r="Q640" s="26"/>
      <c r="R640" s="26"/>
      <c r="S640" s="47"/>
      <c r="T640" s="4" t="e">
        <f>VLOOKUP(#REF!,#REF!,2,0)</f>
        <v>#REF!</v>
      </c>
      <c r="U640" s="20" t="e">
        <f t="shared" si="19"/>
        <v>#REF!</v>
      </c>
      <c r="V640" s="47"/>
      <c r="W640" s="43"/>
      <c r="X640" s="66" t="e">
        <f>VLOOKUP(D640,#REF!,2,0)</f>
        <v>#REF!</v>
      </c>
      <c r="Y640" s="67" t="s">
        <v>2643</v>
      </c>
      <c r="Z640" s="67" t="b">
        <f t="shared" si="23"/>
        <v>1</v>
      </c>
    </row>
    <row r="641" spans="1:27" ht="13.65" customHeight="1">
      <c r="A641" s="91">
        <v>640</v>
      </c>
      <c r="B641" s="52"/>
      <c r="C641" s="3" t="str">
        <f>VLOOKUP(D641,'lista 1'!$A$2:$F4159,4,0)</f>
        <v>KARDASZ MICHAŁ</v>
      </c>
      <c r="D641" s="74">
        <v>3137</v>
      </c>
      <c r="E641" s="4" t="str">
        <f>VLOOKUP(D641,'lista 1'!$A$2:$F$1802,5,0)</f>
        <v>TM</v>
      </c>
      <c r="F641" s="59" t="str">
        <f>VLOOKUP(G641,'lista obszary'!A:B,2,0)</f>
        <v>EC60</v>
      </c>
      <c r="G641" s="76" t="s">
        <v>570</v>
      </c>
      <c r="H641" s="85" t="s">
        <v>1893</v>
      </c>
      <c r="I641" s="59" t="str">
        <f>VLOOKUP(J641,'lista obszary'!A:B,2,0)</f>
        <v>EC60</v>
      </c>
      <c r="J641" s="78" t="s">
        <v>549</v>
      </c>
      <c r="K641" s="87" t="s">
        <v>1881</v>
      </c>
      <c r="L641" s="82" t="s">
        <v>2587</v>
      </c>
      <c r="M641" s="22"/>
      <c r="N641" s="22"/>
      <c r="O641" s="22"/>
      <c r="P641" s="26"/>
      <c r="Q641" s="26"/>
      <c r="R641" s="26"/>
      <c r="S641" s="47"/>
      <c r="T641" s="4" t="e">
        <f>VLOOKUP(#REF!,#REF!,2,0)</f>
        <v>#REF!</v>
      </c>
      <c r="U641" s="20" t="e">
        <f t="shared" si="19"/>
        <v>#REF!</v>
      </c>
      <c r="V641" s="47"/>
      <c r="W641" s="43"/>
      <c r="X641" s="66" t="e">
        <f>VLOOKUP(D641,#REF!,2,0)</f>
        <v>#REF!</v>
      </c>
      <c r="Y641" s="67" t="s">
        <v>2643</v>
      </c>
      <c r="Z641" s="67" t="b">
        <f t="shared" si="23"/>
        <v>1</v>
      </c>
    </row>
    <row r="642" spans="1:27" ht="13.65" customHeight="1">
      <c r="A642" s="91">
        <v>641</v>
      </c>
      <c r="B642" s="52"/>
      <c r="C642" s="3" t="e">
        <f>VLOOKUP(D642,'lista 1'!$A$2:$F4160,4,0)</f>
        <v>#N/A</v>
      </c>
      <c r="D642" s="74">
        <v>70348</v>
      </c>
      <c r="E642" s="4" t="s">
        <v>643</v>
      </c>
      <c r="F642" s="59" t="str">
        <f>VLOOKUP(G642,'lista obszary'!A:B,2,0)</f>
        <v>EC60</v>
      </c>
      <c r="G642" s="76" t="s">
        <v>224</v>
      </c>
      <c r="H642" s="85" t="s">
        <v>1912</v>
      </c>
      <c r="I642" s="59" t="str">
        <f>VLOOKUP(J642,'lista obszary'!A:B,2,0)</f>
        <v>EC60</v>
      </c>
      <c r="J642" s="78" t="s">
        <v>549</v>
      </c>
      <c r="K642" s="87" t="s">
        <v>1881</v>
      </c>
      <c r="L642" s="82" t="s">
        <v>2587</v>
      </c>
      <c r="M642" s="22"/>
      <c r="N642" s="22"/>
      <c r="O642" s="22"/>
      <c r="P642" s="26"/>
      <c r="Q642" s="26"/>
      <c r="R642" s="26"/>
      <c r="S642" s="47"/>
      <c r="T642" s="4" t="e">
        <f>VLOOKUP(#REF!,#REF!,2,0)</f>
        <v>#REF!</v>
      </c>
      <c r="U642" s="20" t="e">
        <f t="shared" si="19"/>
        <v>#REF!</v>
      </c>
      <c r="V642" s="47"/>
      <c r="W642" s="43"/>
      <c r="X642" s="66" t="e">
        <f>VLOOKUP(D642,#REF!,2,0)</f>
        <v>#REF!</v>
      </c>
      <c r="Y642" s="67" t="s">
        <v>2643</v>
      </c>
      <c r="Z642" s="67" t="b">
        <f t="shared" si="23"/>
        <v>1</v>
      </c>
    </row>
    <row r="643" spans="1:27" ht="13.65" customHeight="1">
      <c r="A643" s="91">
        <v>642</v>
      </c>
      <c r="B643" s="52"/>
      <c r="C643" s="3" t="str">
        <f>VLOOKUP(D643,'lista 1'!$A$2:$F4161,4,0)</f>
        <v>DĄBROWSKI MAREK</v>
      </c>
      <c r="D643" s="94">
        <v>1288</v>
      </c>
      <c r="E643" s="4" t="s">
        <v>223</v>
      </c>
      <c r="F643" s="59" t="str">
        <f>VLOOKUP(G643,'lista obszary'!A:B,2,0)</f>
        <v>ENGINES</v>
      </c>
      <c r="G643" s="76" t="s">
        <v>238</v>
      </c>
      <c r="H643" s="85" t="s">
        <v>1584</v>
      </c>
      <c r="I643" s="59" t="str">
        <f>VLOOKUP(J643,'lista obszary'!A:B,2,0)</f>
        <v>ENGINES</v>
      </c>
      <c r="J643" s="78" t="s">
        <v>1081</v>
      </c>
      <c r="K643" s="87" t="s">
        <v>2547</v>
      </c>
      <c r="L643" s="82" t="s">
        <v>2620</v>
      </c>
      <c r="M643" s="22"/>
      <c r="N643" s="22"/>
      <c r="O643" s="22"/>
      <c r="P643" s="26"/>
      <c r="Q643" s="26"/>
      <c r="R643" s="26"/>
      <c r="S643" s="47"/>
      <c r="T643" s="4" t="e">
        <f>VLOOKUP(#REF!,#REF!,2,0)</f>
        <v>#REF!</v>
      </c>
      <c r="U643" s="20" t="e">
        <f t="shared" ref="U643:U674" si="24">L643-T643</f>
        <v>#REF!</v>
      </c>
      <c r="V643" s="47"/>
      <c r="W643" s="43"/>
      <c r="X643" s="66" t="e">
        <f>VLOOKUP(D643,#REF!,2,0)</f>
        <v>#REF!</v>
      </c>
      <c r="Y643" s="67" t="s">
        <v>2643</v>
      </c>
      <c r="Z643" s="67" t="b">
        <f t="shared" si="23"/>
        <v>1</v>
      </c>
    </row>
    <row r="644" spans="1:27" ht="13.65" customHeight="1">
      <c r="A644" s="91">
        <v>643</v>
      </c>
      <c r="B644" s="52"/>
      <c r="C644" s="3" t="str">
        <f>VLOOKUP(D644,'lista 1'!$A$2:$F4162,4,0)</f>
        <v>PADUCH PRZEMYSŁAW</v>
      </c>
      <c r="D644" s="94">
        <v>2315</v>
      </c>
      <c r="E644" s="4" t="s">
        <v>2623</v>
      </c>
      <c r="F644" s="59" t="str">
        <f>VLOOKUP(G644,'lista obszary'!A:B,2,0)</f>
        <v>CASTING</v>
      </c>
      <c r="G644" s="76" t="s">
        <v>711</v>
      </c>
      <c r="H644" s="85" t="s">
        <v>543</v>
      </c>
      <c r="I644" s="59" t="str">
        <f>VLOOKUP(J644,'lista obszary'!A:B,2,0)</f>
        <v>HV PJT</v>
      </c>
      <c r="J644" s="78" t="s">
        <v>2086</v>
      </c>
      <c r="K644" s="87" t="s">
        <v>1569</v>
      </c>
      <c r="L644" s="82" t="s">
        <v>2620</v>
      </c>
      <c r="M644" s="22"/>
      <c r="N644" s="22"/>
      <c r="O644" s="22"/>
      <c r="P644" s="26"/>
      <c r="Q644" s="26"/>
      <c r="R644" s="26"/>
      <c r="S644" s="47"/>
      <c r="T644" s="4" t="e">
        <f>VLOOKUP(#REF!,#REF!,2,0)</f>
        <v>#REF!</v>
      </c>
      <c r="U644" s="20" t="e">
        <f t="shared" si="24"/>
        <v>#REF!</v>
      </c>
      <c r="V644" s="47"/>
      <c r="W644" s="43"/>
      <c r="X644" s="66" t="e">
        <f>VLOOKUP(D644,#REF!,2,0)</f>
        <v>#REF!</v>
      </c>
      <c r="Y644" s="67" t="s">
        <v>2645</v>
      </c>
      <c r="Z644" s="67" t="b">
        <f t="shared" si="23"/>
        <v>0</v>
      </c>
      <c r="AA644" s="71" t="s">
        <v>25</v>
      </c>
    </row>
    <row r="645" spans="1:27" ht="13.65" customHeight="1">
      <c r="A645" s="91">
        <v>644</v>
      </c>
      <c r="B645" s="27"/>
      <c r="C645" s="3" t="str">
        <f>VLOOKUP(D645,'lista 1'!$A$2:$F4163,4,0)</f>
        <v>SOCZAWA MARCIN</v>
      </c>
      <c r="D645" s="74">
        <v>2165</v>
      </c>
      <c r="E645" s="27" t="str">
        <f>VLOOKUP(D645,'lista 1'!$A$2:$F$3770,5,0)</f>
        <v>AC TL</v>
      </c>
      <c r="F645" s="59" t="str">
        <f>VLOOKUP(G645,'lista obszary'!A:B,2,0)</f>
        <v>ENGINES</v>
      </c>
      <c r="G645" s="76" t="s">
        <v>238</v>
      </c>
      <c r="H645" s="85" t="s">
        <v>1584</v>
      </c>
      <c r="I645" s="59" t="str">
        <f>VLOOKUP(J645,'lista obszary'!A:B,2,0)</f>
        <v>ENGINES</v>
      </c>
      <c r="J645" s="78" t="s">
        <v>318</v>
      </c>
      <c r="K645" s="87" t="s">
        <v>1380</v>
      </c>
      <c r="L645" s="82" t="s">
        <v>2650</v>
      </c>
      <c r="M645" s="22"/>
      <c r="N645" s="22"/>
      <c r="O645" s="22"/>
      <c r="P645" s="26"/>
      <c r="Q645" s="26"/>
      <c r="R645" s="26"/>
      <c r="S645" s="47"/>
      <c r="T645" s="4" t="e">
        <f>VLOOKUP(#REF!,#REF!,2,0)</f>
        <v>#REF!</v>
      </c>
      <c r="U645" s="20" t="e">
        <f t="shared" si="24"/>
        <v>#REF!</v>
      </c>
      <c r="V645" s="47"/>
      <c r="W645" s="43"/>
      <c r="X645" s="66" t="e">
        <f>VLOOKUP(D645,#REF!,2,0)</f>
        <v>#REF!</v>
      </c>
      <c r="Y645" s="67" t="b">
        <f t="shared" ref="Y645:Y674" si="25">F645=I645</f>
        <v>1</v>
      </c>
    </row>
    <row r="646" spans="1:27" ht="13.65" customHeight="1">
      <c r="A646" s="91">
        <v>645</v>
      </c>
      <c r="B646" s="27"/>
      <c r="C646" s="3" t="str">
        <f>VLOOKUP(D646,'lista 1'!$A$2:$F4164,4,0)</f>
        <v>SOŁTYS KRZYSZTOF</v>
      </c>
      <c r="D646" s="74">
        <v>2030</v>
      </c>
      <c r="E646" s="27" t="str">
        <f>VLOOKUP(D646,'lista 1'!$A$2:$F$1802,5,0)</f>
        <v>TM2</v>
      </c>
      <c r="F646" s="59" t="str">
        <f>VLOOKUP(G646,'lista obszary'!A:B,2,0)</f>
        <v>ENGINES</v>
      </c>
      <c r="G646" s="76" t="s">
        <v>238</v>
      </c>
      <c r="H646" s="85" t="s">
        <v>1584</v>
      </c>
      <c r="I646" s="59" t="str">
        <f>VLOOKUP(J646,'lista obszary'!A:B,2,0)</f>
        <v>ENGINES</v>
      </c>
      <c r="J646" s="78" t="s">
        <v>318</v>
      </c>
      <c r="K646" s="87" t="s">
        <v>1380</v>
      </c>
      <c r="L646" s="82" t="s">
        <v>2650</v>
      </c>
      <c r="M646" s="22"/>
      <c r="N646" s="22"/>
      <c r="O646" s="22"/>
      <c r="P646" s="26"/>
      <c r="Q646" s="26"/>
      <c r="R646" s="26"/>
      <c r="S646" s="47"/>
      <c r="T646" s="4" t="e">
        <f>VLOOKUP(#REF!,#REF!,2,0)</f>
        <v>#REF!</v>
      </c>
      <c r="U646" s="20" t="e">
        <f t="shared" si="24"/>
        <v>#REF!</v>
      </c>
      <c r="V646" s="47"/>
      <c r="W646" s="43"/>
      <c r="X646" s="66" t="e">
        <f>VLOOKUP(D646,#REF!,2,0)</f>
        <v>#REF!</v>
      </c>
      <c r="Y646" s="67" t="b">
        <f t="shared" si="25"/>
        <v>1</v>
      </c>
    </row>
    <row r="647" spans="1:27" ht="13.65" customHeight="1">
      <c r="A647" s="91">
        <v>646</v>
      </c>
      <c r="B647" s="27"/>
      <c r="C647" s="3" t="str">
        <f>VLOOKUP(D647,'lista 1'!$A$2:$F4165,4,0)</f>
        <v>CZUCZUK KATARZYNA</v>
      </c>
      <c r="D647" s="74">
        <v>1438</v>
      </c>
      <c r="E647" s="27" t="str">
        <f>VLOOKUP(D647,'lista 1'!$A$2:$F$1802,5,0)</f>
        <v>TM2</v>
      </c>
      <c r="F647" s="59" t="str">
        <f>VLOOKUP(G647,'lista obszary'!A:B,2,0)</f>
        <v>QC</v>
      </c>
      <c r="G647" s="76" t="s">
        <v>1288</v>
      </c>
      <c r="H647" s="85" t="s">
        <v>1895</v>
      </c>
      <c r="I647" s="59" t="str">
        <f>VLOOKUP(J647,'lista obszary'!A:B,2,0)</f>
        <v>QC</v>
      </c>
      <c r="J647" s="78" t="s">
        <v>453</v>
      </c>
      <c r="K647" s="87" t="s">
        <v>1880</v>
      </c>
      <c r="L647" s="82" t="s">
        <v>2650</v>
      </c>
      <c r="M647" s="22"/>
      <c r="N647" s="22"/>
      <c r="O647" s="22"/>
      <c r="P647" s="26"/>
      <c r="Q647" s="26"/>
      <c r="R647" s="26"/>
      <c r="S647" s="47"/>
      <c r="T647" s="4" t="e">
        <f>VLOOKUP(#REF!,#REF!,2,0)</f>
        <v>#REF!</v>
      </c>
      <c r="U647" s="20" t="e">
        <f t="shared" si="24"/>
        <v>#REF!</v>
      </c>
      <c r="V647" s="47"/>
      <c r="W647" s="43"/>
      <c r="X647" s="66" t="e">
        <f>VLOOKUP(D647,#REF!,2,0)</f>
        <v>#REF!</v>
      </c>
      <c r="Y647" s="67" t="b">
        <f t="shared" si="25"/>
        <v>1</v>
      </c>
    </row>
    <row r="648" spans="1:27" ht="13.65" customHeight="1">
      <c r="A648" s="91">
        <v>647</v>
      </c>
      <c r="B648" s="27"/>
      <c r="C648" s="3" t="str">
        <f>VLOOKUP(D648,'lista 1'!$A$2:$F4166,4,0)</f>
        <v>ADAMCZYK MIROSŁAW</v>
      </c>
      <c r="D648" s="74">
        <v>696</v>
      </c>
      <c r="E648" s="27" t="str">
        <f>VLOOKUP(D648,'lista 1'!$A$2:$F$1802,5,0)</f>
        <v>TM2</v>
      </c>
      <c r="F648" s="59" t="str">
        <f>VLOOKUP(G648,'lista obszary'!A:B,2,0)</f>
        <v>ENGINES</v>
      </c>
      <c r="G648" s="76" t="s">
        <v>238</v>
      </c>
      <c r="H648" s="85" t="s">
        <v>1584</v>
      </c>
      <c r="I648" s="59" t="str">
        <f>VLOOKUP(J648,'lista obszary'!A:B,2,0)</f>
        <v>ENGINES</v>
      </c>
      <c r="J648" s="78" t="s">
        <v>602</v>
      </c>
      <c r="K648" s="87" t="s">
        <v>1392</v>
      </c>
      <c r="L648" s="82" t="s">
        <v>2650</v>
      </c>
      <c r="M648" s="22"/>
      <c r="N648" s="22"/>
      <c r="O648" s="22"/>
      <c r="P648" s="26"/>
      <c r="Q648" s="26"/>
      <c r="R648" s="26"/>
      <c r="S648" s="47"/>
      <c r="T648" s="4" t="e">
        <f>VLOOKUP(#REF!,#REF!,2,0)</f>
        <v>#REF!</v>
      </c>
      <c r="U648" s="20" t="e">
        <f t="shared" si="24"/>
        <v>#REF!</v>
      </c>
      <c r="V648" s="47"/>
      <c r="W648" s="43"/>
      <c r="X648" s="66" t="e">
        <f>VLOOKUP(D648,#REF!,2,0)</f>
        <v>#REF!</v>
      </c>
      <c r="Y648" s="67" t="b">
        <f t="shared" si="25"/>
        <v>1</v>
      </c>
    </row>
    <row r="649" spans="1:27" ht="13.65" customHeight="1">
      <c r="A649" s="91">
        <v>648</v>
      </c>
      <c r="B649" s="27"/>
      <c r="C649" s="3" t="str">
        <f>VLOOKUP(D649,'lista 1'!$A$2:$F4167,4,0)</f>
        <v>KOGUT RADOSŁAW</v>
      </c>
      <c r="D649" s="74">
        <v>1398</v>
      </c>
      <c r="E649" s="27" t="str">
        <f>VLOOKUP(D649,'lista 1'!$A$2:$F$1802,5,0)</f>
        <v>AC TL</v>
      </c>
      <c r="F649" s="59" t="str">
        <f>VLOOKUP(G649,'lista obszary'!A:B,2,0)</f>
        <v>ENGINES</v>
      </c>
      <c r="G649" s="76" t="s">
        <v>238</v>
      </c>
      <c r="H649" s="85" t="s">
        <v>1584</v>
      </c>
      <c r="I649" s="59" t="str">
        <f>VLOOKUP(J649,'lista obszary'!A:B,2,0)</f>
        <v>ENGINES</v>
      </c>
      <c r="J649" s="78" t="s">
        <v>602</v>
      </c>
      <c r="K649" s="87" t="s">
        <v>1392</v>
      </c>
      <c r="L649" s="82" t="s">
        <v>2650</v>
      </c>
      <c r="M649" s="22"/>
      <c r="N649" s="22"/>
      <c r="O649" s="22"/>
      <c r="P649" s="26"/>
      <c r="Q649" s="26"/>
      <c r="R649" s="26"/>
      <c r="S649" s="47"/>
      <c r="T649" s="4" t="e">
        <f>VLOOKUP(#REF!,#REF!,2,0)</f>
        <v>#REF!</v>
      </c>
      <c r="U649" s="20" t="e">
        <f t="shared" si="24"/>
        <v>#REF!</v>
      </c>
      <c r="V649" s="47"/>
      <c r="W649" s="43"/>
      <c r="X649" s="66" t="e">
        <f>VLOOKUP(D649,#REF!,2,0)</f>
        <v>#REF!</v>
      </c>
      <c r="Y649" s="67" t="b">
        <f t="shared" si="25"/>
        <v>1</v>
      </c>
    </row>
    <row r="650" spans="1:27" ht="13.65" customHeight="1">
      <c r="A650" s="91">
        <v>656</v>
      </c>
      <c r="B650" s="27"/>
      <c r="C650" s="3" t="str">
        <f>VLOOKUP(D650,'lista 1'!$A$2:$F4175,4,0)</f>
        <v>GRZEBIELA PAWEŁ</v>
      </c>
      <c r="D650" s="74">
        <v>1999</v>
      </c>
      <c r="E650" s="27" t="str">
        <f>VLOOKUP(D650,'lista 1'!$A$2:$F$1802,5,0)</f>
        <v>TM2</v>
      </c>
      <c r="F650" s="59" t="str">
        <f>VLOOKUP(G650,'lista obszary'!A:B,2,0)</f>
        <v>CASTING</v>
      </c>
      <c r="G650" s="76" t="s">
        <v>1598</v>
      </c>
      <c r="H650" s="85" t="s">
        <v>1920</v>
      </c>
      <c r="I650" s="59" t="str">
        <f>VLOOKUP(J650,'lista obszary'!A:B,2,0)</f>
        <v>CASTING</v>
      </c>
      <c r="J650" s="78" t="s">
        <v>684</v>
      </c>
      <c r="K650" s="87" t="s">
        <v>541</v>
      </c>
      <c r="L650" s="82" t="s">
        <v>2650</v>
      </c>
      <c r="M650" s="22"/>
      <c r="N650" s="22"/>
      <c r="O650" s="22"/>
      <c r="P650" s="26"/>
      <c r="Q650" s="26"/>
      <c r="R650" s="26"/>
      <c r="S650" s="47"/>
      <c r="T650" s="4" t="e">
        <f>VLOOKUP(#REF!,#REF!,2,0)</f>
        <v>#REF!</v>
      </c>
      <c r="U650" s="20" t="e">
        <f t="shared" si="24"/>
        <v>#REF!</v>
      </c>
      <c r="V650" s="47"/>
      <c r="W650" s="43"/>
      <c r="X650" s="66" t="e">
        <f>VLOOKUP(D650,#REF!,2,0)</f>
        <v>#REF!</v>
      </c>
      <c r="Y650" s="67" t="b">
        <f t="shared" si="25"/>
        <v>1</v>
      </c>
    </row>
    <row r="651" spans="1:27" ht="13.65" customHeight="1">
      <c r="A651" s="91">
        <v>657</v>
      </c>
      <c r="B651" s="27"/>
      <c r="C651" s="3" t="str">
        <f>VLOOKUP(D651,'lista 1'!$A$2:$F4176,4,0)</f>
        <v>BINKIEWICZ GRZEGORZ</v>
      </c>
      <c r="D651" s="74">
        <v>1496</v>
      </c>
      <c r="E651" s="27" t="str">
        <f>VLOOKUP(D651,'lista 1'!$A$2:$F$1802,5,0)</f>
        <v>TM2</v>
      </c>
      <c r="F651" s="59" t="str">
        <f>VLOOKUP(G651,'lista obszary'!A:B,2,0)</f>
        <v>CASTING</v>
      </c>
      <c r="G651" s="76" t="s">
        <v>1598</v>
      </c>
      <c r="H651" s="85" t="s">
        <v>1920</v>
      </c>
      <c r="I651" s="59" t="str">
        <f>VLOOKUP(J651,'lista obszary'!A:B,2,0)</f>
        <v>CASTING</v>
      </c>
      <c r="J651" s="78" t="s">
        <v>684</v>
      </c>
      <c r="K651" s="87" t="s">
        <v>1559</v>
      </c>
      <c r="L651" s="82" t="s">
        <v>2650</v>
      </c>
      <c r="M651" s="22"/>
      <c r="N651" s="22"/>
      <c r="O651" s="22"/>
      <c r="P651" s="26"/>
      <c r="Q651" s="26"/>
      <c r="R651" s="26"/>
      <c r="S651" s="47"/>
      <c r="T651" s="4" t="e">
        <f>VLOOKUP(#REF!,#REF!,2,0)</f>
        <v>#REF!</v>
      </c>
      <c r="U651" s="20" t="e">
        <f t="shared" si="24"/>
        <v>#REF!</v>
      </c>
      <c r="V651" s="47"/>
      <c r="W651" s="43"/>
      <c r="X651" s="66" t="e">
        <f>VLOOKUP(D651,#REF!,2,0)</f>
        <v>#REF!</v>
      </c>
      <c r="Y651" s="67" t="b">
        <f t="shared" si="25"/>
        <v>1</v>
      </c>
    </row>
    <row r="652" spans="1:27" ht="13.65" customHeight="1">
      <c r="A652" s="91">
        <v>658</v>
      </c>
      <c r="B652" s="27"/>
      <c r="C652" s="3" t="str">
        <f>VLOOKUP(D652,'lista 1'!$A$2:$F4177,4,0)</f>
        <v>BAŃKA MAGDALENA</v>
      </c>
      <c r="D652" s="74">
        <v>2365</v>
      </c>
      <c r="E652" s="27" t="str">
        <f>VLOOKUP(D652,'lista 1'!$A$2:$F$1802,5,0)</f>
        <v>TM2</v>
      </c>
      <c r="F652" s="59" t="str">
        <f>VLOOKUP(G652,'lista obszary'!A:B,2,0)</f>
        <v>EC60</v>
      </c>
      <c r="G652" s="76" t="s">
        <v>549</v>
      </c>
      <c r="H652" s="85" t="s">
        <v>1881</v>
      </c>
      <c r="I652" s="59" t="str">
        <f>VLOOKUP(J652,'lista obszary'!A:B,2,0)</f>
        <v>ENGINES</v>
      </c>
      <c r="J652" s="78" t="s">
        <v>178</v>
      </c>
      <c r="K652" s="87" t="s">
        <v>1556</v>
      </c>
      <c r="L652" s="82" t="s">
        <v>2650</v>
      </c>
      <c r="M652" s="22"/>
      <c r="N652" s="22"/>
      <c r="O652" s="22"/>
      <c r="P652" s="26"/>
      <c r="Q652" s="26"/>
      <c r="R652" s="26"/>
      <c r="S652" s="47"/>
      <c r="T652" s="4" t="e">
        <f>VLOOKUP(#REF!,#REF!,2,0)</f>
        <v>#REF!</v>
      </c>
      <c r="U652" s="20" t="e">
        <f t="shared" si="24"/>
        <v>#REF!</v>
      </c>
      <c r="V652" s="47"/>
      <c r="W652" s="43"/>
      <c r="X652" s="66" t="e">
        <f>VLOOKUP(D652,#REF!,2,0)</f>
        <v>#REF!</v>
      </c>
      <c r="Y652" s="67" t="b">
        <f t="shared" si="25"/>
        <v>0</v>
      </c>
    </row>
    <row r="653" spans="1:27" ht="13.65" customHeight="1">
      <c r="A653" s="91">
        <v>659</v>
      </c>
      <c r="B653" s="27"/>
      <c r="C653" s="3" t="str">
        <f>VLOOKUP(D653,'lista 1'!$A$2:$F4178,4,0)</f>
        <v>BYLICKI DOMINIK</v>
      </c>
      <c r="D653" s="74">
        <v>2965</v>
      </c>
      <c r="E653" s="27" t="str">
        <f>VLOOKUP(D653,'lista 1'!$A$2:$F$1802,5,0)</f>
        <v>TM</v>
      </c>
      <c r="F653" s="59" t="str">
        <f>VLOOKUP(G653,'lista obszary'!A:B,2,0)</f>
        <v>EC60</v>
      </c>
      <c r="G653" s="76" t="s">
        <v>549</v>
      </c>
      <c r="H653" s="85" t="s">
        <v>1881</v>
      </c>
      <c r="I653" s="59" t="str">
        <f>VLOOKUP(J653,'lista obszary'!A:B,2,0)</f>
        <v>ENGINES</v>
      </c>
      <c r="J653" s="78" t="s">
        <v>596</v>
      </c>
      <c r="K653" s="87" t="s">
        <v>2277</v>
      </c>
      <c r="L653" s="82" t="s">
        <v>2650</v>
      </c>
      <c r="M653" s="22"/>
      <c r="N653" s="22"/>
      <c r="O653" s="22"/>
      <c r="P653" s="26"/>
      <c r="Q653" s="26"/>
      <c r="R653" s="26"/>
      <c r="S653" s="47"/>
      <c r="T653" s="4" t="e">
        <f>VLOOKUP(#REF!,#REF!,2,0)</f>
        <v>#REF!</v>
      </c>
      <c r="U653" s="20" t="e">
        <f t="shared" si="24"/>
        <v>#REF!</v>
      </c>
      <c r="V653" s="47"/>
      <c r="W653" s="43"/>
      <c r="X653" s="66" t="e">
        <f>VLOOKUP(D653,#REF!,2,0)</f>
        <v>#REF!</v>
      </c>
      <c r="Y653" s="67" t="b">
        <f t="shared" si="25"/>
        <v>0</v>
      </c>
    </row>
    <row r="654" spans="1:27" ht="13.65" customHeight="1">
      <c r="A654" s="91">
        <v>660</v>
      </c>
      <c r="B654" s="27"/>
      <c r="C654" s="3" t="e">
        <f>VLOOKUP(D654,'lista 1'!$A$2:$F4179,4,0)</f>
        <v>#N/A</v>
      </c>
      <c r="D654" s="74">
        <v>70511</v>
      </c>
      <c r="E654" s="27" t="e">
        <f>VLOOKUP(D654,'lista 1'!$A$2:$F$1802,5,0)</f>
        <v>#N/A</v>
      </c>
      <c r="F654" s="59" t="str">
        <f>VLOOKUP(G654,'lista obszary'!A:B,2,0)</f>
        <v>FORGING</v>
      </c>
      <c r="G654" s="76" t="s">
        <v>1336</v>
      </c>
      <c r="H654" s="85" t="s">
        <v>1379</v>
      </c>
      <c r="I654" s="59" t="str">
        <f>VLOOKUP(J654,'lista obszary'!A:B,2,0)</f>
        <v>ENGINES</v>
      </c>
      <c r="J654" s="78" t="s">
        <v>595</v>
      </c>
      <c r="K654" s="87" t="s">
        <v>1906</v>
      </c>
      <c r="L654" s="82" t="s">
        <v>2650</v>
      </c>
      <c r="M654" s="22"/>
      <c r="N654" s="22"/>
      <c r="O654" s="22"/>
      <c r="P654" s="26"/>
      <c r="Q654" s="26"/>
      <c r="R654" s="26"/>
      <c r="S654" s="47"/>
      <c r="T654" s="4" t="e">
        <f>VLOOKUP(#REF!,#REF!,2,0)</f>
        <v>#REF!</v>
      </c>
      <c r="U654" s="20" t="e">
        <f t="shared" si="24"/>
        <v>#REF!</v>
      </c>
      <c r="V654" s="47"/>
      <c r="W654" s="43"/>
      <c r="X654" s="66" t="e">
        <f>VLOOKUP(D654,#REF!,2,0)</f>
        <v>#REF!</v>
      </c>
      <c r="Y654" s="67" t="b">
        <f t="shared" si="25"/>
        <v>0</v>
      </c>
    </row>
    <row r="655" spans="1:27" ht="13.65" customHeight="1">
      <c r="A655" s="91">
        <v>661</v>
      </c>
      <c r="B655" s="27"/>
      <c r="C655" s="3" t="str">
        <f>VLOOKUP(D655,'lista 1'!$A$2:$F4180,4,0)</f>
        <v>CEBULA ANETA</v>
      </c>
      <c r="D655" s="74">
        <v>1772</v>
      </c>
      <c r="E655" s="27" t="str">
        <f>VLOOKUP(D655,'lista 1'!$A$2:$F$1802,5,0)</f>
        <v>TM2</v>
      </c>
      <c r="F655" s="59" t="str">
        <f>VLOOKUP(G655,'lista obszary'!A:B,2,0)</f>
        <v>ENGINES</v>
      </c>
      <c r="G655" s="76" t="s">
        <v>238</v>
      </c>
      <c r="H655" s="85" t="s">
        <v>1584</v>
      </c>
      <c r="I655" s="59" t="str">
        <f>VLOOKUP(J655,'lista obszary'!A:B,2,0)</f>
        <v>ENGINES</v>
      </c>
      <c r="J655" s="78" t="s">
        <v>1264</v>
      </c>
      <c r="K655" s="87" t="s">
        <v>2546</v>
      </c>
      <c r="L655" s="82" t="s">
        <v>2650</v>
      </c>
      <c r="M655" s="22"/>
      <c r="N655" s="22"/>
      <c r="O655" s="22"/>
      <c r="P655" s="26"/>
      <c r="Q655" s="26"/>
      <c r="R655" s="26"/>
      <c r="S655" s="47"/>
      <c r="T655" s="4" t="e">
        <f>VLOOKUP(#REF!,#REF!,2,0)</f>
        <v>#REF!</v>
      </c>
      <c r="U655" s="20" t="e">
        <f t="shared" si="24"/>
        <v>#REF!</v>
      </c>
      <c r="V655" s="47"/>
      <c r="W655" s="43"/>
      <c r="X655" s="66" t="e">
        <f>VLOOKUP(D655,#REF!,2,0)</f>
        <v>#REF!</v>
      </c>
      <c r="Y655" s="67" t="b">
        <f t="shared" si="25"/>
        <v>1</v>
      </c>
    </row>
    <row r="656" spans="1:27" ht="13.65" customHeight="1">
      <c r="A656" s="91">
        <v>662</v>
      </c>
      <c r="B656" s="27"/>
      <c r="C656" s="3" t="str">
        <f>VLOOKUP(D656,'lista 1'!$A$2:$F4181,4,0)</f>
        <v>WILK MARZENA</v>
      </c>
      <c r="D656" s="74">
        <v>1644</v>
      </c>
      <c r="E656" s="27" t="str">
        <f>VLOOKUP(D656,'lista 1'!$A$2:$F$1802,5,0)</f>
        <v>AC TL</v>
      </c>
      <c r="F656" s="59" t="str">
        <f>VLOOKUP(G656,'lista obszary'!A:B,2,0)</f>
        <v>ENGINES</v>
      </c>
      <c r="G656" s="76" t="s">
        <v>238</v>
      </c>
      <c r="H656" s="85" t="s">
        <v>1584</v>
      </c>
      <c r="I656" s="59" t="str">
        <f>VLOOKUP(J656,'lista obszary'!A:B,2,0)</f>
        <v>ENGINES</v>
      </c>
      <c r="J656" s="78" t="s">
        <v>597</v>
      </c>
      <c r="K656" s="87" t="s">
        <v>1892</v>
      </c>
      <c r="L656" s="82" t="s">
        <v>2650</v>
      </c>
      <c r="M656" s="22"/>
      <c r="N656" s="22"/>
      <c r="O656" s="22"/>
      <c r="P656" s="26"/>
      <c r="Q656" s="26"/>
      <c r="R656" s="26"/>
      <c r="S656" s="47"/>
      <c r="T656" s="4" t="e">
        <f>VLOOKUP(#REF!,#REF!,2,0)</f>
        <v>#REF!</v>
      </c>
      <c r="U656" s="20" t="e">
        <f t="shared" si="24"/>
        <v>#REF!</v>
      </c>
      <c r="V656" s="47"/>
      <c r="W656" s="43"/>
      <c r="X656" s="66" t="e">
        <f>VLOOKUP(D656,#REF!,2,0)</f>
        <v>#REF!</v>
      </c>
      <c r="Y656" s="67" t="b">
        <f t="shared" si="25"/>
        <v>1</v>
      </c>
    </row>
    <row r="657" spans="1:25" ht="13.65" customHeight="1">
      <c r="A657" s="91">
        <v>663</v>
      </c>
      <c r="B657" s="27"/>
      <c r="C657" s="3" t="str">
        <f>VLOOKUP(D657,'lista 1'!$A$2:$F4182,4,0)</f>
        <v>SOŁTYSIK MAGDALENA</v>
      </c>
      <c r="D657" s="74">
        <v>3005</v>
      </c>
      <c r="E657" s="27" t="str">
        <f>VLOOKUP(D657,'lista 1'!$A$2:$F$1802,5,0)</f>
        <v>TM</v>
      </c>
      <c r="F657" s="59" t="str">
        <f>VLOOKUP(G657,'lista obszary'!A:B,2,0)</f>
        <v>ENGINES</v>
      </c>
      <c r="G657" s="76" t="s">
        <v>238</v>
      </c>
      <c r="H657" s="85" t="s">
        <v>1584</v>
      </c>
      <c r="I657" s="59" t="str">
        <f>VLOOKUP(J657,'lista obszary'!A:B,2,0)</f>
        <v>ENGINES</v>
      </c>
      <c r="J657" s="78" t="s">
        <v>596</v>
      </c>
      <c r="K657" s="87" t="s">
        <v>2277</v>
      </c>
      <c r="L657" s="82" t="s">
        <v>2650</v>
      </c>
      <c r="M657" s="22"/>
      <c r="N657" s="22"/>
      <c r="O657" s="22"/>
      <c r="P657" s="26"/>
      <c r="Q657" s="26"/>
      <c r="R657" s="26"/>
      <c r="S657" s="47"/>
      <c r="T657" s="4" t="e">
        <f>VLOOKUP(#REF!,#REF!,2,0)</f>
        <v>#REF!</v>
      </c>
      <c r="U657" s="20" t="e">
        <f t="shared" si="24"/>
        <v>#REF!</v>
      </c>
      <c r="V657" s="47"/>
      <c r="W657" s="43"/>
      <c r="X657" s="66" t="e">
        <f>VLOOKUP(D657,#REF!,2,0)</f>
        <v>#REF!</v>
      </c>
      <c r="Y657" s="67" t="b">
        <f t="shared" si="25"/>
        <v>1</v>
      </c>
    </row>
    <row r="658" spans="1:25" ht="13.65" customHeight="1">
      <c r="A658" s="91">
        <v>664</v>
      </c>
      <c r="B658" s="27"/>
      <c r="C658" s="3" t="str">
        <f>VLOOKUP(D658,'lista 1'!$A$2:$F4183,4,0)</f>
        <v>PRENETA ROMAN</v>
      </c>
      <c r="D658" s="74">
        <v>1128</v>
      </c>
      <c r="E658" s="27" t="str">
        <f>VLOOKUP(D658,'lista 1'!$A$2:$F$1802,5,0)</f>
        <v>TM2</v>
      </c>
      <c r="F658" s="59" t="str">
        <f>VLOOKUP(G658,'lista obszary'!A:B,2,0)</f>
        <v>CASTING</v>
      </c>
      <c r="G658" s="76" t="s">
        <v>684</v>
      </c>
      <c r="H658" s="85" t="s">
        <v>541</v>
      </c>
      <c r="I658" s="59" t="str">
        <f>VLOOKUP(J658,'lista obszary'!A:B,2,0)</f>
        <v>CASTING</v>
      </c>
      <c r="J658" s="78" t="s">
        <v>685</v>
      </c>
      <c r="K658" s="87" t="s">
        <v>1559</v>
      </c>
      <c r="L658" s="82" t="s">
        <v>2650</v>
      </c>
      <c r="M658" s="22"/>
      <c r="N658" s="22"/>
      <c r="O658" s="22"/>
      <c r="P658" s="26"/>
      <c r="Q658" s="26"/>
      <c r="R658" s="26"/>
      <c r="S658" s="47"/>
      <c r="T658" s="4" t="e">
        <f>VLOOKUP(#REF!,#REF!,2,0)</f>
        <v>#REF!</v>
      </c>
      <c r="U658" s="20" t="e">
        <f t="shared" si="24"/>
        <v>#REF!</v>
      </c>
      <c r="V658" s="47"/>
      <c r="W658" s="43"/>
      <c r="X658" s="66" t="e">
        <f>VLOOKUP(D658,#REF!,2,0)</f>
        <v>#REF!</v>
      </c>
      <c r="Y658" s="67" t="b">
        <f t="shared" si="25"/>
        <v>1</v>
      </c>
    </row>
    <row r="659" spans="1:25" ht="13.65" customHeight="1">
      <c r="A659" s="91">
        <v>665</v>
      </c>
      <c r="B659" s="27"/>
      <c r="C659" s="3" t="str">
        <f>VLOOKUP(D659,'lista 1'!$A$2:$F4184,4,0)</f>
        <v>DĄBROWSKI MAREK</v>
      </c>
      <c r="D659" s="74">
        <v>1288</v>
      </c>
      <c r="E659" s="27" t="str">
        <f>VLOOKUP(D659,'lista 1'!$A$2:$F$1802,5,0)</f>
        <v>TM2</v>
      </c>
      <c r="F659" s="59" t="str">
        <f>VLOOKUP(G659,'lista obszary'!A:B,2,0)</f>
        <v>ENGINES</v>
      </c>
      <c r="G659" s="76" t="s">
        <v>1081</v>
      </c>
      <c r="H659" s="85" t="s">
        <v>2547</v>
      </c>
      <c r="I659" s="59" t="str">
        <f>VLOOKUP(J659,'lista obszary'!A:B,2,0)</f>
        <v>ENGINES</v>
      </c>
      <c r="J659" s="78" t="s">
        <v>1264</v>
      </c>
      <c r="K659" s="87" t="s">
        <v>2546</v>
      </c>
      <c r="L659" s="82" t="s">
        <v>2650</v>
      </c>
      <c r="M659" s="22"/>
      <c r="N659" s="22"/>
      <c r="O659" s="22"/>
      <c r="P659" s="26"/>
      <c r="Q659" s="26"/>
      <c r="R659" s="26"/>
      <c r="S659" s="47"/>
      <c r="T659" s="4" t="e">
        <f>VLOOKUP(#REF!,#REF!,2,0)</f>
        <v>#REF!</v>
      </c>
      <c r="U659" s="20" t="e">
        <f t="shared" si="24"/>
        <v>#REF!</v>
      </c>
      <c r="V659" s="47"/>
      <c r="W659" s="43"/>
      <c r="X659" s="66" t="e">
        <f>VLOOKUP(D659,#REF!,2,0)</f>
        <v>#REF!</v>
      </c>
      <c r="Y659" s="67" t="b">
        <f t="shared" si="25"/>
        <v>1</v>
      </c>
    </row>
    <row r="660" spans="1:25" ht="13.65" customHeight="1">
      <c r="A660" s="91">
        <v>667</v>
      </c>
      <c r="B660" s="27"/>
      <c r="C660" s="3" t="e">
        <f>VLOOKUP(D660,'lista 1'!$A$2:$F4186,4,0)</f>
        <v>#N/A</v>
      </c>
      <c r="D660" s="74">
        <v>2985</v>
      </c>
      <c r="E660" s="27" t="e">
        <f>VLOOKUP(D660,'lista 1'!$A$2:$F$1802,5,0)</f>
        <v>#N/A</v>
      </c>
      <c r="F660" s="59" t="str">
        <f>VLOOKUP(G660,'lista obszary'!A:B,2,0)</f>
        <v>ENGINES</v>
      </c>
      <c r="G660" s="76" t="s">
        <v>597</v>
      </c>
      <c r="H660" s="85" t="s">
        <v>1892</v>
      </c>
      <c r="I660" s="59" t="str">
        <f>VLOOKUP(J660,'lista obszary'!A:B,2,0)</f>
        <v>ENGINES</v>
      </c>
      <c r="J660" s="78" t="s">
        <v>772</v>
      </c>
      <c r="K660" s="87" t="s">
        <v>1389</v>
      </c>
      <c r="L660" s="82" t="s">
        <v>2650</v>
      </c>
      <c r="M660" s="22"/>
      <c r="N660" s="22"/>
      <c r="O660" s="22"/>
      <c r="P660" s="26"/>
      <c r="Q660" s="26"/>
      <c r="R660" s="26"/>
      <c r="S660" s="47"/>
      <c r="T660" s="4" t="e">
        <f>VLOOKUP(#REF!,#REF!,2,0)</f>
        <v>#REF!</v>
      </c>
      <c r="U660" s="20" t="e">
        <f t="shared" si="24"/>
        <v>#REF!</v>
      </c>
      <c r="V660" s="47"/>
      <c r="W660" s="43"/>
      <c r="X660" s="66" t="e">
        <f>VLOOKUP(D660,#REF!,2,0)</f>
        <v>#REF!</v>
      </c>
      <c r="Y660" s="67" t="b">
        <f t="shared" si="25"/>
        <v>1</v>
      </c>
    </row>
    <row r="661" spans="1:25" ht="13.65" customHeight="1">
      <c r="A661" s="91">
        <v>703</v>
      </c>
      <c r="B661" s="27"/>
      <c r="C661" s="3" t="str">
        <f>VLOOKUP(D661,'lista 1'!$A$2:$F4222,4,0)</f>
        <v>BEDNARZ ZENONA</v>
      </c>
      <c r="D661" s="74">
        <v>1685</v>
      </c>
      <c r="E661" s="27" t="str">
        <f>VLOOKUP(D661,'lista 1'!$A$2:$F$1802,5,0)</f>
        <v>TM2</v>
      </c>
      <c r="F661" s="59" t="str">
        <f>VLOOKUP(G661,'lista obszary'!A:B,2,0)</f>
        <v>ENGINES</v>
      </c>
      <c r="G661" s="76" t="s">
        <v>178</v>
      </c>
      <c r="H661" s="85" t="s">
        <v>1556</v>
      </c>
      <c r="I661" s="59" t="str">
        <f>VLOOKUP(J661,'lista obszary'!A:B,2,0)</f>
        <v>ENGINES</v>
      </c>
      <c r="J661" s="78" t="s">
        <v>178</v>
      </c>
      <c r="K661" s="87" t="s">
        <v>1556</v>
      </c>
      <c r="L661" s="82" t="s">
        <v>2650</v>
      </c>
      <c r="M661" s="22"/>
      <c r="N661" s="22"/>
      <c r="O661" s="22"/>
      <c r="P661" s="26"/>
      <c r="Q661" s="26"/>
      <c r="R661" s="26"/>
      <c r="S661" s="47"/>
      <c r="T661" s="4" t="e">
        <f>VLOOKUP(#REF!,#REF!,2,0)</f>
        <v>#REF!</v>
      </c>
      <c r="U661" s="20" t="e">
        <f t="shared" si="24"/>
        <v>#REF!</v>
      </c>
      <c r="V661" s="47"/>
      <c r="W661" s="43"/>
      <c r="Y661" s="67" t="b">
        <f t="shared" si="25"/>
        <v>1</v>
      </c>
    </row>
    <row r="662" spans="1:25" ht="13.65" customHeight="1">
      <c r="A662" s="91">
        <v>652</v>
      </c>
      <c r="B662" s="27"/>
      <c r="C662" s="3" t="e">
        <f>VLOOKUP(D662,'lista 1'!$A$2:$F4171,4,0)</f>
        <v>#N/A</v>
      </c>
      <c r="D662" s="74">
        <v>64470</v>
      </c>
      <c r="E662" s="27" t="e">
        <f>VLOOKUP(D662,'lista 1'!$A$2:$F$1802,5,0)</f>
        <v>#N/A</v>
      </c>
      <c r="F662" s="59" t="str">
        <f>VLOOKUP(G662,'lista obszary'!A:B,2,0)</f>
        <v>IL</v>
      </c>
      <c r="G662" s="76" t="s">
        <v>515</v>
      </c>
      <c r="H662" s="85" t="s">
        <v>1574</v>
      </c>
      <c r="I662" s="59" t="str">
        <f>VLOOKUP(J662,'lista obszary'!A:B,2,0)</f>
        <v>IL</v>
      </c>
      <c r="J662" s="78" t="s">
        <v>514</v>
      </c>
      <c r="K662" s="87" t="s">
        <v>2693</v>
      </c>
      <c r="L662" s="82" t="s">
        <v>2652</v>
      </c>
      <c r="M662" s="22"/>
      <c r="N662" s="22"/>
      <c r="O662" s="22"/>
      <c r="P662" s="26"/>
      <c r="Q662" s="26"/>
      <c r="R662" s="26"/>
      <c r="S662" s="47"/>
      <c r="T662" s="4" t="e">
        <f>VLOOKUP(#REF!,#REF!,2,0)</f>
        <v>#REF!</v>
      </c>
      <c r="U662" s="20" t="e">
        <f t="shared" si="24"/>
        <v>#REF!</v>
      </c>
      <c r="V662" s="47"/>
      <c r="W662" s="43"/>
      <c r="X662" s="66" t="e">
        <f>VLOOKUP(D662,#REF!,2,0)</f>
        <v>#REF!</v>
      </c>
      <c r="Y662" s="67" t="b">
        <f t="shared" si="25"/>
        <v>1</v>
      </c>
    </row>
    <row r="663" spans="1:25" ht="13.65" customHeight="1">
      <c r="A663" s="91">
        <v>649</v>
      </c>
      <c r="B663" s="27"/>
      <c r="C663" s="3" t="str">
        <f>VLOOKUP(D663,'lista 1'!$A$2:$F4168,4,0)</f>
        <v>MACIULEWICZ ZBIGNIEW</v>
      </c>
      <c r="D663" s="74">
        <v>788</v>
      </c>
      <c r="E663" s="27" t="str">
        <f>VLOOKUP(D663,'lista 1'!$A$2:$F$1802,5,0)</f>
        <v>TM2</v>
      </c>
      <c r="F663" s="59" t="str">
        <f>VLOOKUP(G663,'lista obszary'!A:B,2,0)</f>
        <v>MTB0</v>
      </c>
      <c r="G663" s="76" t="s">
        <v>220</v>
      </c>
      <c r="H663" s="85" t="s">
        <v>1877</v>
      </c>
      <c r="I663" s="59" t="str">
        <f>VLOOKUP(J663,'lista obszary'!A:B,2,0)</f>
        <v>MTB0</v>
      </c>
      <c r="J663" s="78" t="s">
        <v>1262</v>
      </c>
      <c r="K663" s="87" t="s">
        <v>1383</v>
      </c>
      <c r="L663" s="82" t="s">
        <v>2651</v>
      </c>
      <c r="M663" s="22"/>
      <c r="N663" s="22"/>
      <c r="O663" s="22"/>
      <c r="P663" s="26"/>
      <c r="Q663" s="26"/>
      <c r="R663" s="26"/>
      <c r="S663" s="47"/>
      <c r="T663" s="4" t="e">
        <f>VLOOKUP(#REF!,#REF!,2,0)</f>
        <v>#REF!</v>
      </c>
      <c r="U663" s="20" t="e">
        <f t="shared" si="24"/>
        <v>#REF!</v>
      </c>
      <c r="V663" s="47"/>
      <c r="W663" s="43"/>
      <c r="X663" s="66" t="e">
        <f>VLOOKUP(D663,#REF!,2,0)</f>
        <v>#REF!</v>
      </c>
      <c r="Y663" s="67" t="b">
        <f t="shared" si="25"/>
        <v>1</v>
      </c>
    </row>
    <row r="664" spans="1:25" ht="13.65" customHeight="1">
      <c r="A664" s="91">
        <v>650</v>
      </c>
      <c r="B664" s="27"/>
      <c r="C664" s="3" t="str">
        <f>VLOOKUP(D664,'lista 1'!$A$2:$F4169,4,0)</f>
        <v>GRABOWIK MACIEJ</v>
      </c>
      <c r="D664" s="74">
        <v>596</v>
      </c>
      <c r="E664" s="27" t="str">
        <f>VLOOKUP(D664,'lista 1'!$A$2:$F$1802,5,0)</f>
        <v>TL</v>
      </c>
      <c r="F664" s="59" t="str">
        <f>VLOOKUP(G664,'lista obszary'!A:B,2,0)</f>
        <v>MTB0</v>
      </c>
      <c r="G664" s="76" t="s">
        <v>220</v>
      </c>
      <c r="H664" s="85" t="s">
        <v>1877</v>
      </c>
      <c r="I664" s="59" t="str">
        <f>VLOOKUP(J664,'lista obszary'!A:B,2,0)</f>
        <v>MTB0</v>
      </c>
      <c r="J664" s="78" t="s">
        <v>1262</v>
      </c>
      <c r="K664" s="87" t="s">
        <v>1383</v>
      </c>
      <c r="L664" s="82" t="s">
        <v>2651</v>
      </c>
      <c r="M664" s="22"/>
      <c r="N664" s="22"/>
      <c r="O664" s="22"/>
      <c r="P664" s="26"/>
      <c r="Q664" s="26"/>
      <c r="R664" s="26"/>
      <c r="S664" s="47"/>
      <c r="T664" s="4" t="e">
        <f>VLOOKUP(#REF!,#REF!,2,0)</f>
        <v>#REF!</v>
      </c>
      <c r="U664" s="20" t="e">
        <f t="shared" si="24"/>
        <v>#REF!</v>
      </c>
      <c r="V664" s="47"/>
      <c r="W664" s="43"/>
      <c r="X664" s="66" t="e">
        <f>VLOOKUP(D664,#REF!,2,0)</f>
        <v>#REF!</v>
      </c>
      <c r="Y664" s="67" t="b">
        <f t="shared" si="25"/>
        <v>1</v>
      </c>
    </row>
    <row r="665" spans="1:25" ht="13.65" customHeight="1">
      <c r="A665" s="91">
        <v>651</v>
      </c>
      <c r="B665" s="27"/>
      <c r="C665" s="3" t="str">
        <f>VLOOKUP(D665,'lista 1'!$A$2:$F4170,4,0)</f>
        <v>ANTKOWIAK MARCIN</v>
      </c>
      <c r="D665" s="74">
        <v>330</v>
      </c>
      <c r="E665" s="27" t="str">
        <f>VLOOKUP(D665,'lista 1'!$A$2:$F$1802,5,0)</f>
        <v>TL2</v>
      </c>
      <c r="F665" s="59" t="str">
        <f>VLOOKUP(G665,'lista obszary'!A:B,2,0)</f>
        <v>MTB0</v>
      </c>
      <c r="G665" s="76" t="s">
        <v>220</v>
      </c>
      <c r="H665" s="85" t="s">
        <v>1877</v>
      </c>
      <c r="I665" s="59" t="str">
        <f>VLOOKUP(J665,'lista obszary'!A:B,2,0)</f>
        <v>MTB0</v>
      </c>
      <c r="J665" s="78" t="s">
        <v>435</v>
      </c>
      <c r="K665" s="87" t="s">
        <v>2488</v>
      </c>
      <c r="L665" s="82" t="s">
        <v>2651</v>
      </c>
      <c r="M665" s="22"/>
      <c r="N665" s="22"/>
      <c r="O665" s="22"/>
      <c r="P665" s="26"/>
      <c r="Q665" s="26"/>
      <c r="R665" s="26"/>
      <c r="S665" s="47"/>
      <c r="T665" s="4" t="e">
        <f>VLOOKUP(#REF!,#REF!,2,0)</f>
        <v>#REF!</v>
      </c>
      <c r="U665" s="20" t="e">
        <f t="shared" si="24"/>
        <v>#REF!</v>
      </c>
      <c r="V665" s="47"/>
      <c r="W665" s="43"/>
      <c r="X665" s="66" t="e">
        <f>VLOOKUP(D665,#REF!,2,0)</f>
        <v>#REF!</v>
      </c>
      <c r="Y665" s="67" t="b">
        <f t="shared" si="25"/>
        <v>1</v>
      </c>
    </row>
    <row r="666" spans="1:25" ht="13.65" customHeight="1">
      <c r="A666" s="91">
        <v>653</v>
      </c>
      <c r="B666" s="27"/>
      <c r="C666" s="3" t="str">
        <f>VLOOKUP(D666,'lista 1'!$A$2:$F4172,4,0)</f>
        <v>SULANOWSKI PIOTR</v>
      </c>
      <c r="D666" s="74">
        <v>573</v>
      </c>
      <c r="E666" s="27" t="str">
        <f>VLOOKUP(D666,'lista 1'!$A$2:$F$1802,5,0)</f>
        <v>TL</v>
      </c>
      <c r="F666" s="59" t="str">
        <f>VLOOKUP(G666,'lista obszary'!A:B,2,0)</f>
        <v>MTB0</v>
      </c>
      <c r="G666" s="76" t="s">
        <v>220</v>
      </c>
      <c r="H666" s="85" t="s">
        <v>1877</v>
      </c>
      <c r="I666" s="59" t="str">
        <f>VLOOKUP(J666,'lista obszary'!A:B,2,0)</f>
        <v>MTB0</v>
      </c>
      <c r="J666" s="78" t="s">
        <v>1270</v>
      </c>
      <c r="K666" s="87" t="s">
        <v>346</v>
      </c>
      <c r="L666" s="82" t="s">
        <v>2651</v>
      </c>
      <c r="M666" s="22"/>
      <c r="N666" s="22"/>
      <c r="O666" s="22"/>
      <c r="P666" s="26"/>
      <c r="Q666" s="26"/>
      <c r="R666" s="26"/>
      <c r="S666" s="47"/>
      <c r="T666" s="4" t="e">
        <f>VLOOKUP(#REF!,#REF!,2,0)</f>
        <v>#REF!</v>
      </c>
      <c r="U666" s="20" t="e">
        <f t="shared" si="24"/>
        <v>#REF!</v>
      </c>
      <c r="V666" s="47"/>
      <c r="W666" s="43"/>
      <c r="X666" s="66" t="e">
        <f>VLOOKUP(D666,#REF!,2,0)</f>
        <v>#REF!</v>
      </c>
      <c r="Y666" s="67" t="b">
        <f t="shared" si="25"/>
        <v>1</v>
      </c>
    </row>
    <row r="667" spans="1:25" ht="13.65" customHeight="1">
      <c r="A667" s="91">
        <v>654</v>
      </c>
      <c r="B667" s="27"/>
      <c r="C667" s="3" t="str">
        <f>VLOOKUP(D667,'lista 1'!$A$2:$F4173,4,0)</f>
        <v>WOJTOWICZ WIESŁAW</v>
      </c>
      <c r="D667" s="74">
        <v>2185</v>
      </c>
      <c r="E667" s="27" t="str">
        <f>VLOOKUP(D667,'lista 1'!$A$2:$F$1802,5,0)</f>
        <v>AC TL</v>
      </c>
      <c r="F667" s="59" t="str">
        <f>VLOOKUP(G667,'lista obszary'!A:B,2,0)</f>
        <v>MTB0</v>
      </c>
      <c r="G667" s="76" t="s">
        <v>220</v>
      </c>
      <c r="H667" s="85" t="s">
        <v>1877</v>
      </c>
      <c r="I667" s="59" t="str">
        <f>VLOOKUP(J667,'lista obszary'!A:B,2,0)</f>
        <v>MTB0</v>
      </c>
      <c r="J667" s="78" t="s">
        <v>1270</v>
      </c>
      <c r="K667" s="87" t="s">
        <v>346</v>
      </c>
      <c r="L667" s="82" t="s">
        <v>2651</v>
      </c>
      <c r="M667" s="22"/>
      <c r="N667" s="22"/>
      <c r="O667" s="22"/>
      <c r="P667" s="26"/>
      <c r="Q667" s="26"/>
      <c r="R667" s="26"/>
      <c r="S667" s="47"/>
      <c r="T667" s="4" t="e">
        <f>VLOOKUP(#REF!,#REF!,2,0)</f>
        <v>#REF!</v>
      </c>
      <c r="U667" s="20" t="e">
        <f t="shared" si="24"/>
        <v>#REF!</v>
      </c>
      <c r="V667" s="47"/>
      <c r="W667" s="43"/>
      <c r="X667" s="66" t="e">
        <f>VLOOKUP(D667,#REF!,2,0)</f>
        <v>#REF!</v>
      </c>
      <c r="Y667" s="67" t="b">
        <f t="shared" si="25"/>
        <v>1</v>
      </c>
    </row>
    <row r="668" spans="1:25" ht="13.65" customHeight="1">
      <c r="A668" s="91">
        <v>655</v>
      </c>
      <c r="B668" s="27"/>
      <c r="C668" s="3" t="str">
        <f>VLOOKUP(D668,'lista 1'!$A$2:$F4174,4,0)</f>
        <v>LASKOWSKI EDWARD</v>
      </c>
      <c r="D668" s="74">
        <v>2956</v>
      </c>
      <c r="E668" s="27" t="str">
        <f>VLOOKUP(D668,'lista 1'!$A$2:$F$1802,5,0)</f>
        <v>TM MNX</v>
      </c>
      <c r="F668" s="59" t="str">
        <f>VLOOKUP(G668,'lista obszary'!A:B,2,0)</f>
        <v>CASTING</v>
      </c>
      <c r="G668" s="76" t="s">
        <v>691</v>
      </c>
      <c r="H668" s="85" t="s">
        <v>547</v>
      </c>
      <c r="I668" s="59" t="str">
        <f>VLOOKUP(J668,'lista obszary'!A:B,2,0)</f>
        <v>HV PJT</v>
      </c>
      <c r="J668" s="78" t="s">
        <v>2086</v>
      </c>
      <c r="K668" s="87" t="s">
        <v>1569</v>
      </c>
      <c r="L668" s="82" t="s">
        <v>2651</v>
      </c>
      <c r="M668" s="22"/>
      <c r="N668" s="22"/>
      <c r="O668" s="22"/>
      <c r="P668" s="26"/>
      <c r="Q668" s="26"/>
      <c r="R668" s="26"/>
      <c r="S668" s="47"/>
      <c r="T668" s="4" t="e">
        <f>VLOOKUP(#REF!,#REF!,2,0)</f>
        <v>#REF!</v>
      </c>
      <c r="U668" s="20" t="e">
        <f t="shared" si="24"/>
        <v>#REF!</v>
      </c>
      <c r="V668" s="47"/>
      <c r="W668" s="43"/>
      <c r="X668" s="66" t="e">
        <f>VLOOKUP(D668,#REF!,2,0)</f>
        <v>#REF!</v>
      </c>
      <c r="Y668" s="67" t="b">
        <f t="shared" si="25"/>
        <v>0</v>
      </c>
    </row>
    <row r="669" spans="1:25" ht="13.65" customHeight="1">
      <c r="A669" s="91">
        <v>666</v>
      </c>
      <c r="B669" s="27"/>
      <c r="C669" s="3" t="e">
        <f>VLOOKUP(D669,'lista 1'!$A$2:$F4185,4,0)</f>
        <v>#N/A</v>
      </c>
      <c r="D669" s="74">
        <v>64437</v>
      </c>
      <c r="E669" s="27" t="e">
        <f>VLOOKUP(D669,'lista 1'!$A$2:$F$1802,5,0)</f>
        <v>#N/A</v>
      </c>
      <c r="F669" s="59" t="str">
        <f>VLOOKUP(G669,'lista obszary'!A:B,2,0)</f>
        <v>ENGINES</v>
      </c>
      <c r="G669" s="76" t="s">
        <v>597</v>
      </c>
      <c r="H669" s="85" t="s">
        <v>1892</v>
      </c>
      <c r="I669" s="59" t="str">
        <f>VLOOKUP(J669,'lista obszary'!A:B,2,0)</f>
        <v>ENGINES</v>
      </c>
      <c r="J669" s="78" t="s">
        <v>602</v>
      </c>
      <c r="K669" s="87" t="s">
        <v>1392</v>
      </c>
      <c r="L669" s="82" t="s">
        <v>2651</v>
      </c>
      <c r="M669" s="22"/>
      <c r="N669" s="22"/>
      <c r="O669" s="22"/>
      <c r="P669" s="26"/>
      <c r="Q669" s="26"/>
      <c r="R669" s="26"/>
      <c r="S669" s="47"/>
      <c r="T669" s="4" t="e">
        <f>VLOOKUP(#REF!,#REF!,2,0)</f>
        <v>#REF!</v>
      </c>
      <c r="U669" s="20" t="e">
        <f t="shared" si="24"/>
        <v>#REF!</v>
      </c>
      <c r="V669" s="47"/>
      <c r="W669" s="43"/>
      <c r="X669" s="66" t="e">
        <f>VLOOKUP(D669,#REF!,2,0)</f>
        <v>#REF!</v>
      </c>
      <c r="Y669" s="67" t="b">
        <f t="shared" si="25"/>
        <v>1</v>
      </c>
    </row>
    <row r="670" spans="1:25" ht="13.65" customHeight="1">
      <c r="A670" s="91">
        <v>693</v>
      </c>
      <c r="B670" s="27"/>
      <c r="C670" s="3" t="str">
        <f>VLOOKUP(D670,'lista 1'!$A$2:$F4212,4,0)</f>
        <v>STANIÓRSKI SŁAWOMIR</v>
      </c>
      <c r="D670" s="74">
        <v>621</v>
      </c>
      <c r="E670" s="27" t="str">
        <f>VLOOKUP(D670,'lista 1'!$A$2:$F$1802,5,0)</f>
        <v>TM</v>
      </c>
      <c r="F670" s="59" t="str">
        <f>VLOOKUP(G670,'lista obszary'!A:B,2,0)</f>
        <v>IL</v>
      </c>
      <c r="G670" s="76" t="s">
        <v>2687</v>
      </c>
      <c r="H670" s="85" t="s">
        <v>1561</v>
      </c>
      <c r="I670" s="59" t="str">
        <f>VLOOKUP(J670,'lista obszary'!A:B,2,0)</f>
        <v>IL</v>
      </c>
      <c r="J670" s="78" t="s">
        <v>512</v>
      </c>
      <c r="K670" s="87" t="s">
        <v>1574</v>
      </c>
      <c r="L670" s="82" t="s">
        <v>2651</v>
      </c>
      <c r="M670" s="22"/>
      <c r="N670" s="22"/>
      <c r="O670" s="22"/>
      <c r="P670" s="26"/>
      <c r="Q670" s="26"/>
      <c r="R670" s="26"/>
      <c r="S670" s="47"/>
      <c r="T670" s="4" t="e">
        <f>VLOOKUP(#REF!,#REF!,2,0)</f>
        <v>#REF!</v>
      </c>
      <c r="U670" s="20" t="e">
        <f t="shared" si="24"/>
        <v>#REF!</v>
      </c>
      <c r="V670" s="47"/>
      <c r="W670" s="43"/>
      <c r="Y670" s="67" t="b">
        <f t="shared" si="25"/>
        <v>1</v>
      </c>
    </row>
    <row r="671" spans="1:25" ht="13.65" customHeight="1">
      <c r="A671" s="91">
        <v>694</v>
      </c>
      <c r="B671" s="27"/>
      <c r="C671" s="8" t="s">
        <v>2691</v>
      </c>
      <c r="D671" s="74">
        <v>64464</v>
      </c>
      <c r="E671" s="27" t="str">
        <f>VLOOKUP(D671,'lista 1'!$A$2:$F$1802,5,0)</f>
        <v>TCZ</v>
      </c>
      <c r="F671" s="59" t="str">
        <f>VLOOKUP(G671,'lista obszary'!A:B,2,0)</f>
        <v>IL</v>
      </c>
      <c r="G671" s="76" t="s">
        <v>514</v>
      </c>
      <c r="H671" s="85" t="s">
        <v>2472</v>
      </c>
      <c r="I671" s="59" t="e">
        <f>VLOOKUP(J671,'lista obszary'!A:B,2,0)</f>
        <v>#N/A</v>
      </c>
      <c r="J671" s="78" t="s">
        <v>2688</v>
      </c>
      <c r="K671" s="87" t="s">
        <v>2472</v>
      </c>
      <c r="L671" s="82" t="s">
        <v>2651</v>
      </c>
      <c r="M671" s="22"/>
      <c r="N671" s="22"/>
      <c r="O671" s="22"/>
      <c r="P671" s="26"/>
      <c r="Q671" s="26"/>
      <c r="R671" s="26"/>
      <c r="S671" s="47"/>
      <c r="T671" s="4" t="e">
        <f>VLOOKUP(#REF!,#REF!,2,0)</f>
        <v>#REF!</v>
      </c>
      <c r="U671" s="20" t="e">
        <f t="shared" si="24"/>
        <v>#REF!</v>
      </c>
      <c r="V671" s="47"/>
      <c r="W671" s="43"/>
      <c r="Y671" s="67" t="e">
        <f t="shared" si="25"/>
        <v>#N/A</v>
      </c>
    </row>
    <row r="672" spans="1:25" ht="13.65" customHeight="1">
      <c r="A672" s="91">
        <v>679</v>
      </c>
      <c r="B672" s="27"/>
      <c r="C672" s="3" t="e">
        <f>VLOOKUP(D672,'lista 1'!$A$2:$F4198,4,0)</f>
        <v>#N/A</v>
      </c>
      <c r="D672" s="74">
        <v>1750</v>
      </c>
      <c r="E672" s="27" t="s">
        <v>451</v>
      </c>
      <c r="F672" s="59" t="s">
        <v>450</v>
      </c>
      <c r="G672" s="76" t="s">
        <v>2087</v>
      </c>
      <c r="H672" s="85" t="s">
        <v>2112</v>
      </c>
      <c r="I672" s="59" t="s">
        <v>450</v>
      </c>
      <c r="J672" s="78" t="s">
        <v>1063</v>
      </c>
      <c r="K672" s="87" t="s">
        <v>1560</v>
      </c>
      <c r="L672" s="82" t="s">
        <v>2671</v>
      </c>
      <c r="M672" s="22"/>
      <c r="N672" s="22"/>
      <c r="O672" s="22"/>
      <c r="P672" s="26"/>
      <c r="Q672" s="26"/>
      <c r="R672" s="26"/>
      <c r="S672" s="47"/>
      <c r="T672" s="4" t="e">
        <f>VLOOKUP(#REF!,#REF!,2,0)</f>
        <v>#REF!</v>
      </c>
      <c r="U672" s="20" t="e">
        <f t="shared" si="24"/>
        <v>#REF!</v>
      </c>
      <c r="V672" s="47"/>
      <c r="W672" s="43"/>
      <c r="Y672" s="67" t="b">
        <f t="shared" si="25"/>
        <v>1</v>
      </c>
    </row>
    <row r="673" spans="1:25" ht="13.65" customHeight="1">
      <c r="A673" s="91">
        <v>695</v>
      </c>
      <c r="B673" s="27"/>
      <c r="C673" s="3" t="str">
        <f>VLOOKUP(D673,'lista 1'!$A$2:$F4214,4,0)</f>
        <v>MARCIŃCZYK PIOTR</v>
      </c>
      <c r="D673" s="74">
        <v>732</v>
      </c>
      <c r="E673" s="29" t="s">
        <v>223</v>
      </c>
      <c r="F673" s="59" t="str">
        <f>VLOOKUP(G673,'lista obszary'!A:B,2,0)</f>
        <v>CASTING</v>
      </c>
      <c r="G673" s="76" t="s">
        <v>395</v>
      </c>
      <c r="H673" s="85" t="s">
        <v>1550</v>
      </c>
      <c r="I673" s="59" t="str">
        <f>VLOOKUP(J673,'lista obszary'!A:B,2,0)</f>
        <v>CASTING</v>
      </c>
      <c r="J673" s="78" t="s">
        <v>683</v>
      </c>
      <c r="K673" s="87" t="s">
        <v>1900</v>
      </c>
      <c r="L673" s="82" t="s">
        <v>2671</v>
      </c>
      <c r="M673" s="22"/>
      <c r="N673" s="22"/>
      <c r="O673" s="22"/>
      <c r="P673" s="26"/>
      <c r="Q673" s="26"/>
      <c r="R673" s="26"/>
      <c r="S673" s="47"/>
      <c r="T673" s="4" t="e">
        <f>VLOOKUP(#REF!,#REF!,2,0)</f>
        <v>#REF!</v>
      </c>
      <c r="U673" s="20" t="e">
        <f t="shared" si="24"/>
        <v>#REF!</v>
      </c>
      <c r="V673" s="47"/>
      <c r="W673" s="43"/>
      <c r="Y673" s="67" t="b">
        <f t="shared" si="25"/>
        <v>1</v>
      </c>
    </row>
    <row r="674" spans="1:25" ht="13.65" customHeight="1">
      <c r="A674" s="91">
        <v>680</v>
      </c>
      <c r="B674" s="27"/>
      <c r="C674" s="3" t="str">
        <f>VLOOKUP(D674,'lista 1'!$A$2:$F4199,4,0)</f>
        <v>CIEŚLAK ZDZISŁAW</v>
      </c>
      <c r="D674" s="74">
        <v>144</v>
      </c>
      <c r="E674" s="27" t="str">
        <f>VLOOKUP(D674,'lista 1'!$A$2:$F$1802,5,0)</f>
        <v>TL MNX2</v>
      </c>
      <c r="F674" s="59" t="str">
        <f>VLOOKUP(G674,'lista obszary'!A:B,2,0)</f>
        <v>MNX DM</v>
      </c>
      <c r="G674" s="76" t="s">
        <v>271</v>
      </c>
      <c r="H674" s="85" t="s">
        <v>2136</v>
      </c>
      <c r="I674" s="59" t="str">
        <f>VLOOKUP(J674,'lista obszary'!A:B,2,0)</f>
        <v>MNX MW</v>
      </c>
      <c r="J674" s="78" t="s">
        <v>2029</v>
      </c>
      <c r="K674" s="87" t="s">
        <v>1385</v>
      </c>
      <c r="L674" s="82" t="s">
        <v>2671</v>
      </c>
      <c r="M674" s="22"/>
      <c r="N674" s="22"/>
      <c r="O674" s="22"/>
      <c r="P674" s="26"/>
      <c r="Q674" s="26"/>
      <c r="R674" s="26"/>
      <c r="S674" s="47"/>
      <c r="T674" s="4" t="e">
        <f>VLOOKUP(#REF!,#REF!,2,0)</f>
        <v>#REF!</v>
      </c>
      <c r="U674" s="20" t="e">
        <f t="shared" si="24"/>
        <v>#REF!</v>
      </c>
      <c r="V674" s="47"/>
      <c r="W674" s="43"/>
      <c r="Y674" s="67" t="b">
        <f t="shared" si="25"/>
        <v>0</v>
      </c>
    </row>
    <row r="675" spans="1:25" ht="13.65" customHeight="1">
      <c r="A675" s="92">
        <f t="shared" ref="A675:A680" si="26">A674+1</f>
        <v>681</v>
      </c>
      <c r="B675" s="27"/>
      <c r="C675" s="28" t="str">
        <f>VLOOKUP(D675,'lista 1'!$A$2:$F$1802,4,0)</f>
        <v>MATUSIAK AGNIESZKA</v>
      </c>
      <c r="D675" s="74">
        <v>2446</v>
      </c>
      <c r="E675" s="27" t="str">
        <f>VLOOKUP(D675,'lista 1'!$A$2:$F$1802,5,0)</f>
        <v>TM2</v>
      </c>
      <c r="F675" s="59" t="str">
        <f>VLOOKUP(G675,'lista 3'!$A$1:$C$467,3,0)</f>
        <v xml:space="preserve">MTB </v>
      </c>
      <c r="G675" s="76" t="s">
        <v>220</v>
      </c>
      <c r="H675" s="85" t="s">
        <v>1877</v>
      </c>
      <c r="I675" s="59" t="str">
        <f>VLOOKUP(J675,'lista 3'!$A$1:$C$467,3,0)</f>
        <v xml:space="preserve">MTB </v>
      </c>
      <c r="J675" s="78" t="s">
        <v>1262</v>
      </c>
      <c r="K675" s="87" t="s">
        <v>1383</v>
      </c>
      <c r="L675" s="82" t="s">
        <v>2704</v>
      </c>
      <c r="M675" s="22"/>
      <c r="N675" s="22"/>
      <c r="O675" s="22"/>
      <c r="P675" s="26"/>
      <c r="Q675" s="26"/>
      <c r="R675" s="26"/>
      <c r="S675" s="47"/>
      <c r="T675" s="4" t="e">
        <f>VLOOKUP(#REF!,#REF!,2,0)</f>
        <v>#REF!</v>
      </c>
      <c r="U675" s="20" t="e">
        <f t="shared" ref="U675:U731" si="27">L675-T675</f>
        <v>#REF!</v>
      </c>
      <c r="V675" s="47"/>
      <c r="W675" s="43"/>
      <c r="X675" s="66" t="e">
        <f>VLOOKUP(D675,#REF!,2,0)</f>
        <v>#REF!</v>
      </c>
      <c r="Y675" s="67" t="b">
        <f t="shared" ref="Y675:Y733" si="28">F675=I675</f>
        <v>1</v>
      </c>
    </row>
    <row r="676" spans="1:25" ht="13.65" customHeight="1">
      <c r="A676" s="92">
        <f t="shared" si="26"/>
        <v>682</v>
      </c>
      <c r="B676" s="27"/>
      <c r="C676" s="28" t="str">
        <f>VLOOKUP(D676,'lista 1'!$A$2:$F$1802,4,0)</f>
        <v>GÓRKA GERARD</v>
      </c>
      <c r="D676" s="74">
        <v>723</v>
      </c>
      <c r="E676" s="27" t="str">
        <f>VLOOKUP(D676,'lista 1'!$A$2:$F$1802,5,0)</f>
        <v>TL2</v>
      </c>
      <c r="F676" s="59" t="str">
        <f>VLOOKUP(G676,'lista 3'!$A$1:$C$467,3,0)</f>
        <v>EC60</v>
      </c>
      <c r="G676" s="76" t="s">
        <v>549</v>
      </c>
      <c r="H676" s="85" t="s">
        <v>1881</v>
      </c>
      <c r="I676" s="59" t="str">
        <f>VLOOKUP(J676,'lista 3'!$A$1:$C$467,3,0)</f>
        <v>EC60</v>
      </c>
      <c r="J676" s="78" t="s">
        <v>1969</v>
      </c>
      <c r="K676" s="87" t="s">
        <v>1887</v>
      </c>
      <c r="L676" s="82" t="s">
        <v>2730</v>
      </c>
      <c r="M676" s="22"/>
      <c r="N676" s="22"/>
      <c r="O676" s="22"/>
      <c r="P676" s="26"/>
      <c r="Q676" s="26"/>
      <c r="R676" s="26"/>
      <c r="S676" s="47"/>
      <c r="T676" s="4" t="e">
        <f>VLOOKUP(#REF!,#REF!,2,0)</f>
        <v>#REF!</v>
      </c>
      <c r="U676" s="20" t="e">
        <f t="shared" si="27"/>
        <v>#REF!</v>
      </c>
      <c r="V676" s="47"/>
      <c r="W676" s="43"/>
      <c r="X676" s="66" t="e">
        <f>VLOOKUP(D676,#REF!,2,0)</f>
        <v>#REF!</v>
      </c>
      <c r="Y676" s="67" t="b">
        <f t="shared" si="28"/>
        <v>1</v>
      </c>
    </row>
    <row r="677" spans="1:25" ht="13.65" customHeight="1">
      <c r="A677" s="92">
        <f t="shared" si="26"/>
        <v>683</v>
      </c>
      <c r="B677" s="27"/>
      <c r="C677" s="28" t="str">
        <f>VLOOKUP(D677,'lista 1'!$A$2:$F$1802,4,0)</f>
        <v>WASZKIEWICZ DANIEL</v>
      </c>
      <c r="D677" s="74">
        <v>947</v>
      </c>
      <c r="E677" s="27" t="str">
        <f>VLOOKUP(D677,'lista 1'!$A$2:$F$1802,5,0)</f>
        <v>TL</v>
      </c>
      <c r="F677" s="59" t="str">
        <f>VLOOKUP(G677,'lista 3'!$A$1:$C$467,3,0)</f>
        <v>EC60</v>
      </c>
      <c r="G677" s="76" t="s">
        <v>549</v>
      </c>
      <c r="H677" s="85" t="s">
        <v>1881</v>
      </c>
      <c r="I677" s="59" t="str">
        <f>VLOOKUP(J677,'lista 3'!$A$1:$C$467,3,0)</f>
        <v>EC60</v>
      </c>
      <c r="J677" s="78" t="s">
        <v>1969</v>
      </c>
      <c r="K677" s="87" t="s">
        <v>1887</v>
      </c>
      <c r="L677" s="82" t="s">
        <v>2730</v>
      </c>
      <c r="M677" s="22"/>
      <c r="N677" s="22"/>
      <c r="O677" s="22"/>
      <c r="P677" s="26"/>
      <c r="Q677" s="26"/>
      <c r="R677" s="26"/>
      <c r="S677" s="47"/>
      <c r="T677" s="4" t="e">
        <f>VLOOKUP(#REF!,#REF!,2,0)</f>
        <v>#REF!</v>
      </c>
      <c r="U677" s="20" t="e">
        <f t="shared" si="27"/>
        <v>#REF!</v>
      </c>
      <c r="V677" s="47"/>
      <c r="W677" s="43"/>
      <c r="X677" s="66" t="e">
        <f>VLOOKUP(D677,#REF!,2,0)</f>
        <v>#REF!</v>
      </c>
      <c r="Y677" s="67" t="b">
        <f t="shared" si="28"/>
        <v>1</v>
      </c>
    </row>
    <row r="678" spans="1:25" ht="13.65" customHeight="1">
      <c r="A678" s="92">
        <f t="shared" si="26"/>
        <v>684</v>
      </c>
      <c r="B678" s="27"/>
      <c r="C678" s="28" t="str">
        <f>VLOOKUP(D678,'lista 1'!$A$2:$F$1802,4,0)</f>
        <v>JAKUBANIS DANIEL</v>
      </c>
      <c r="D678" s="74">
        <v>255</v>
      </c>
      <c r="E678" s="27" t="str">
        <f>VLOOKUP(D678,'lista 1'!$A$2:$F$1802,5,0)</f>
        <v>AC TECH</v>
      </c>
      <c r="F678" s="59" t="str">
        <f>VLOOKUP(G678,'lista 3'!$A$1:$C$467,3,0)</f>
        <v>EC60</v>
      </c>
      <c r="G678" s="76" t="s">
        <v>1969</v>
      </c>
      <c r="H678" s="85" t="s">
        <v>1887</v>
      </c>
      <c r="I678" s="59" t="e">
        <f>VLOOKUP(J678,'lista 3'!$A$1:$C$467,3,0)</f>
        <v>#N/A</v>
      </c>
      <c r="J678" s="78" t="s">
        <v>2672</v>
      </c>
      <c r="K678" s="87" t="s">
        <v>1932</v>
      </c>
      <c r="L678" s="82" t="s">
        <v>2730</v>
      </c>
      <c r="M678" s="22"/>
      <c r="N678" s="22"/>
      <c r="O678" s="22"/>
      <c r="P678" s="26"/>
      <c r="Q678" s="26"/>
      <c r="R678" s="26"/>
      <c r="S678" s="47"/>
      <c r="T678" s="4" t="e">
        <f>VLOOKUP(#REF!,#REF!,2,0)</f>
        <v>#REF!</v>
      </c>
      <c r="U678" s="20" t="e">
        <f t="shared" si="27"/>
        <v>#REF!</v>
      </c>
      <c r="V678" s="47"/>
      <c r="W678" s="43"/>
      <c r="X678" s="66" t="e">
        <f>VLOOKUP(D678,#REF!,2,0)</f>
        <v>#REF!</v>
      </c>
      <c r="Y678" s="67" t="e">
        <f t="shared" si="28"/>
        <v>#N/A</v>
      </c>
    </row>
    <row r="679" spans="1:25" ht="13.65" customHeight="1">
      <c r="A679" s="92">
        <f t="shared" si="26"/>
        <v>685</v>
      </c>
      <c r="B679" s="27"/>
      <c r="C679" s="28" t="str">
        <f>VLOOKUP(D679,'lista 1'!$A$2:$F$1802,4,0)</f>
        <v>KURNYTA STANISŁAW</v>
      </c>
      <c r="D679" s="74">
        <v>1670</v>
      </c>
      <c r="E679" s="27" t="str">
        <f>VLOOKUP(D679,'lista 1'!$A$2:$F$1802,5,0)</f>
        <v>TL</v>
      </c>
      <c r="F679" s="59" t="str">
        <f>VLOOKUP(G679,'lista 3'!$A$1:$C$467,3,0)</f>
        <v>QC</v>
      </c>
      <c r="G679" s="76" t="s">
        <v>2331</v>
      </c>
      <c r="H679" s="87" t="s">
        <v>1913</v>
      </c>
      <c r="I679" s="59" t="e">
        <f>VLOOKUP(J679,'lista 3'!$A$1:$C$467,3,0)</f>
        <v>#N/A</v>
      </c>
      <c r="J679" s="78" t="s">
        <v>2728</v>
      </c>
      <c r="K679" s="87" t="s">
        <v>1913</v>
      </c>
      <c r="L679" s="82" t="s">
        <v>2706</v>
      </c>
      <c r="M679" s="22"/>
      <c r="N679" s="22"/>
      <c r="O679" s="22"/>
      <c r="P679" s="26"/>
      <c r="Q679" s="26"/>
      <c r="R679" s="26"/>
      <c r="S679" s="47"/>
      <c r="T679" s="4" t="e">
        <f>VLOOKUP(#REF!,#REF!,2,0)</f>
        <v>#REF!</v>
      </c>
      <c r="U679" s="20" t="e">
        <f t="shared" si="27"/>
        <v>#REF!</v>
      </c>
      <c r="V679" s="47"/>
      <c r="W679" s="43"/>
      <c r="X679" s="66" t="e">
        <f>VLOOKUP(D679,#REF!,2,0)</f>
        <v>#REF!</v>
      </c>
      <c r="Y679" s="67" t="e">
        <f t="shared" si="28"/>
        <v>#N/A</v>
      </c>
    </row>
    <row r="680" spans="1:25" ht="13.65" customHeight="1">
      <c r="A680" s="92">
        <f t="shared" si="26"/>
        <v>686</v>
      </c>
      <c r="B680" s="27"/>
      <c r="C680" s="28" t="str">
        <f>VLOOKUP(D680,'lista 1'!$A$2:$F$1802,4,0)</f>
        <v>WOŹNIAK SŁAWOMIR</v>
      </c>
      <c r="D680" s="74">
        <v>141</v>
      </c>
      <c r="E680" s="27" t="str">
        <f>VLOOKUP(D680,'lista 1'!$A$2:$F$1802,5,0)</f>
        <v>TM2</v>
      </c>
      <c r="F680" s="59" t="str">
        <f>VLOOKUP(G680,'lista 3'!$A$1:$C$467,3,0)</f>
        <v>QC</v>
      </c>
      <c r="G680" s="76" t="s">
        <v>2331</v>
      </c>
      <c r="H680" s="85" t="s">
        <v>1913</v>
      </c>
      <c r="I680" s="59" t="e">
        <f>VLOOKUP(J680,'lista 3'!$A$1:$C$467,3,0)</f>
        <v>#N/A</v>
      </c>
      <c r="J680" s="78" t="s">
        <v>2729</v>
      </c>
      <c r="K680" s="87" t="s">
        <v>1913</v>
      </c>
      <c r="L680" s="82" t="s">
        <v>2706</v>
      </c>
      <c r="M680" s="22"/>
      <c r="N680" s="22"/>
      <c r="O680" s="22"/>
      <c r="P680" s="26"/>
      <c r="Q680" s="26"/>
      <c r="R680" s="26"/>
      <c r="S680" s="47"/>
      <c r="T680" s="4" t="e">
        <f>VLOOKUP(#REF!,#REF!,2,0)</f>
        <v>#REF!</v>
      </c>
      <c r="U680" s="20" t="e">
        <f t="shared" si="27"/>
        <v>#REF!</v>
      </c>
      <c r="V680" s="47"/>
      <c r="W680" s="43"/>
      <c r="X680" s="66" t="e">
        <f>VLOOKUP(D680,#REF!,2,0)</f>
        <v>#REF!</v>
      </c>
      <c r="Y680" s="67" t="e">
        <f t="shared" si="28"/>
        <v>#N/A</v>
      </c>
    </row>
    <row r="681" spans="1:25" ht="13.65" customHeight="1">
      <c r="A681" s="92" t="e">
        <f>#REF!+1</f>
        <v>#REF!</v>
      </c>
      <c r="B681" s="27"/>
      <c r="C681" s="28" t="str">
        <f>VLOOKUP(D681,'lista 1'!$A$2:$F$1802,4,0)</f>
        <v>KRYCH RAFAŁ</v>
      </c>
      <c r="D681" s="74">
        <v>1317</v>
      </c>
      <c r="E681" s="27" t="str">
        <f>VLOOKUP(D681,'lista 1'!$A$2:$F$1802,5,0)</f>
        <v>AC TL</v>
      </c>
      <c r="F681" s="59" t="str">
        <f>VLOOKUP(G681,'lista 3'!$A$1:$C$467,3,0)</f>
        <v>Casting</v>
      </c>
      <c r="G681" s="76" t="s">
        <v>684</v>
      </c>
      <c r="H681" s="85" t="s">
        <v>541</v>
      </c>
      <c r="I681" s="59" t="str">
        <f>VLOOKUP(J681,'lista 3'!$A$1:$C$467,3,0)</f>
        <v>Casting</v>
      </c>
      <c r="J681" s="78" t="s">
        <v>683</v>
      </c>
      <c r="K681" s="87" t="s">
        <v>1900</v>
      </c>
      <c r="L681" s="82" t="s">
        <v>2705</v>
      </c>
      <c r="M681" s="22"/>
      <c r="N681" s="22"/>
      <c r="O681" s="22"/>
      <c r="P681" s="26"/>
      <c r="Q681" s="26"/>
      <c r="R681" s="26"/>
      <c r="S681" s="47"/>
      <c r="T681" s="4" t="e">
        <f>VLOOKUP(#REF!,#REF!,2,0)</f>
        <v>#REF!</v>
      </c>
      <c r="U681" s="20" t="e">
        <f t="shared" si="27"/>
        <v>#REF!</v>
      </c>
      <c r="V681" s="47"/>
      <c r="W681" s="43"/>
      <c r="X681" s="66" t="e">
        <f>VLOOKUP(D681,#REF!,2,0)</f>
        <v>#REF!</v>
      </c>
      <c r="Y681" s="67" t="b">
        <f t="shared" si="28"/>
        <v>1</v>
      </c>
    </row>
    <row r="682" spans="1:25" ht="13.65" customHeight="1">
      <c r="A682" s="92" t="e">
        <f t="shared" ref="A682:A713" si="29">A681+1</f>
        <v>#REF!</v>
      </c>
      <c r="B682" s="27"/>
      <c r="C682" s="28" t="e">
        <f>VLOOKUP(D682,'lista 1'!$A$2:$F$1802,4,0)</f>
        <v>#N/A</v>
      </c>
      <c r="D682" s="74"/>
      <c r="E682" s="27" t="e">
        <f>VLOOKUP(D682,'lista 1'!$A$2:$F$1802,5,0)</f>
        <v>#N/A</v>
      </c>
      <c r="F682" s="59" t="e">
        <f>VLOOKUP(G682,'lista 3'!$A$1:$C$467,3,0)</f>
        <v>#N/A</v>
      </c>
      <c r="G682" s="76"/>
      <c r="H682" s="85"/>
      <c r="I682" s="59" t="e">
        <f>VLOOKUP(J682,'lista 3'!$A$1:$C$467,3,0)</f>
        <v>#N/A</v>
      </c>
      <c r="J682" s="78"/>
      <c r="K682" s="87"/>
      <c r="L682" s="82"/>
      <c r="M682" s="22"/>
      <c r="N682" s="22"/>
      <c r="O682" s="22"/>
      <c r="P682" s="26"/>
      <c r="Q682" s="26"/>
      <c r="R682" s="26"/>
      <c r="S682" s="47"/>
      <c r="T682" s="4" t="e">
        <f>VLOOKUP(#REF!,#REF!,2,0)</f>
        <v>#REF!</v>
      </c>
      <c r="U682" s="20" t="e">
        <f t="shared" si="27"/>
        <v>#REF!</v>
      </c>
      <c r="V682" s="47"/>
      <c r="W682" s="43"/>
      <c r="X682" s="66" t="e">
        <f>VLOOKUP(D682,#REF!,2,0)</f>
        <v>#REF!</v>
      </c>
      <c r="Y682" s="67" t="e">
        <f t="shared" si="28"/>
        <v>#N/A</v>
      </c>
    </row>
    <row r="683" spans="1:25" ht="13.65" customHeight="1">
      <c r="A683" s="92" t="e">
        <f t="shared" si="29"/>
        <v>#REF!</v>
      </c>
      <c r="B683" s="27"/>
      <c r="C683" s="28" t="e">
        <f>VLOOKUP(D683,'lista 1'!$A$2:$F$1802,4,0)</f>
        <v>#N/A</v>
      </c>
      <c r="D683" s="74"/>
      <c r="E683" s="27" t="e">
        <f>VLOOKUP(D683,'lista 1'!$A$2:$F$1802,5,0)</f>
        <v>#N/A</v>
      </c>
      <c r="F683" s="59" t="e">
        <f>VLOOKUP(G683,'lista 3'!$A$1:$C$467,3,0)</f>
        <v>#N/A</v>
      </c>
      <c r="G683" s="76"/>
      <c r="H683" s="85"/>
      <c r="I683" s="59" t="e">
        <f>VLOOKUP(J683,'lista 3'!$A$1:$C$467,3,0)</f>
        <v>#N/A</v>
      </c>
      <c r="J683" s="78"/>
      <c r="K683" s="87"/>
      <c r="L683" s="82"/>
      <c r="M683" s="22"/>
      <c r="N683" s="22"/>
      <c r="O683" s="22"/>
      <c r="P683" s="26"/>
      <c r="Q683" s="26"/>
      <c r="R683" s="26"/>
      <c r="S683" s="47"/>
      <c r="T683" s="4" t="e">
        <f>VLOOKUP(#REF!,#REF!,2,0)</f>
        <v>#REF!</v>
      </c>
      <c r="U683" s="20" t="e">
        <f t="shared" si="27"/>
        <v>#REF!</v>
      </c>
      <c r="V683" s="47"/>
      <c r="W683" s="43"/>
      <c r="X683" s="66" t="e">
        <f>VLOOKUP(D683,#REF!,2,0)</f>
        <v>#REF!</v>
      </c>
      <c r="Y683" s="67" t="e">
        <f t="shared" si="28"/>
        <v>#N/A</v>
      </c>
    </row>
    <row r="684" spans="1:25" ht="13.65" customHeight="1">
      <c r="A684" s="92" t="e">
        <f t="shared" si="29"/>
        <v>#REF!</v>
      </c>
      <c r="B684" s="27"/>
      <c r="C684" s="28" t="e">
        <f>VLOOKUP(D684,'lista 1'!$A$2:$F$1802,4,0)</f>
        <v>#N/A</v>
      </c>
      <c r="D684" s="74"/>
      <c r="E684" s="27" t="e">
        <f>VLOOKUP(D684,'lista 1'!$A$2:$F$1802,5,0)</f>
        <v>#N/A</v>
      </c>
      <c r="F684" s="59" t="e">
        <f>VLOOKUP(G684,'lista 3'!$A$1:$C$467,3,0)</f>
        <v>#N/A</v>
      </c>
      <c r="G684" s="76"/>
      <c r="H684" s="85"/>
      <c r="I684" s="59" t="e">
        <f>VLOOKUP(J684,'lista 3'!$A$1:$C$467,3,0)</f>
        <v>#N/A</v>
      </c>
      <c r="J684" s="78"/>
      <c r="K684" s="87"/>
      <c r="L684" s="82"/>
      <c r="M684" s="22"/>
      <c r="N684" s="22"/>
      <c r="O684" s="22"/>
      <c r="P684" s="26"/>
      <c r="Q684" s="26"/>
      <c r="R684" s="26"/>
      <c r="S684" s="47"/>
      <c r="T684" s="4" t="e">
        <f>VLOOKUP(#REF!,#REF!,2,0)</f>
        <v>#REF!</v>
      </c>
      <c r="U684" s="20" t="e">
        <f t="shared" si="27"/>
        <v>#REF!</v>
      </c>
      <c r="V684" s="47"/>
      <c r="W684" s="43"/>
      <c r="X684" s="66" t="e">
        <f>VLOOKUP(D684,#REF!,2,0)</f>
        <v>#REF!</v>
      </c>
      <c r="Y684" s="67" t="e">
        <f t="shared" si="28"/>
        <v>#N/A</v>
      </c>
    </row>
    <row r="685" spans="1:25" ht="13.65" customHeight="1">
      <c r="A685" s="92" t="e">
        <f t="shared" si="29"/>
        <v>#REF!</v>
      </c>
      <c r="B685" s="27"/>
      <c r="C685" s="28" t="e">
        <f>VLOOKUP(D685,'lista 1'!$A$2:$F$1802,4,0)</f>
        <v>#N/A</v>
      </c>
      <c r="D685" s="74"/>
      <c r="E685" s="27" t="e">
        <f>VLOOKUP(D685,'lista 1'!$A$2:$F$1802,5,0)</f>
        <v>#N/A</v>
      </c>
      <c r="F685" s="59" t="e">
        <f>VLOOKUP(G685,'lista 3'!$A$1:$C$467,3,0)</f>
        <v>#N/A</v>
      </c>
      <c r="G685" s="76"/>
      <c r="H685" s="85"/>
      <c r="I685" s="59" t="e">
        <f>VLOOKUP(J685,'lista 3'!$A$1:$C$467,3,0)</f>
        <v>#N/A</v>
      </c>
      <c r="J685" s="78"/>
      <c r="K685" s="87"/>
      <c r="L685" s="82"/>
      <c r="M685" s="22"/>
      <c r="N685" s="22"/>
      <c r="O685" s="22"/>
      <c r="P685" s="26"/>
      <c r="Q685" s="26"/>
      <c r="R685" s="26"/>
      <c r="S685" s="47"/>
      <c r="T685" s="4" t="e">
        <f>VLOOKUP(#REF!,#REF!,2,0)</f>
        <v>#REF!</v>
      </c>
      <c r="U685" s="20" t="e">
        <f t="shared" si="27"/>
        <v>#REF!</v>
      </c>
      <c r="V685" s="47"/>
      <c r="W685" s="43"/>
      <c r="X685" s="66" t="e">
        <f>VLOOKUP(D685,#REF!,2,0)</f>
        <v>#REF!</v>
      </c>
      <c r="Y685" s="67" t="e">
        <f t="shared" si="28"/>
        <v>#N/A</v>
      </c>
    </row>
    <row r="686" spans="1:25" ht="13.65" customHeight="1">
      <c r="A686" s="92" t="e">
        <f t="shared" si="29"/>
        <v>#REF!</v>
      </c>
      <c r="B686" s="27"/>
      <c r="C686" s="28" t="e">
        <f>VLOOKUP(D686,'lista 1'!$A$2:$F$1802,4,0)</f>
        <v>#N/A</v>
      </c>
      <c r="D686" s="74"/>
      <c r="E686" s="27" t="e">
        <f>VLOOKUP(D686,'lista 1'!$A$2:$F$1802,5,0)</f>
        <v>#N/A</v>
      </c>
      <c r="F686" s="59" t="e">
        <f>VLOOKUP(G686,'lista 3'!$A$1:$C$467,3,0)</f>
        <v>#N/A</v>
      </c>
      <c r="G686" s="76"/>
      <c r="H686" s="85"/>
      <c r="I686" s="59" t="e">
        <f>VLOOKUP(J686,'lista 3'!$A$1:$C$467,3,0)</f>
        <v>#N/A</v>
      </c>
      <c r="J686" s="78"/>
      <c r="K686" s="87"/>
      <c r="L686" s="82"/>
      <c r="M686" s="22"/>
      <c r="N686" s="22"/>
      <c r="O686" s="22"/>
      <c r="P686" s="26"/>
      <c r="Q686" s="26"/>
      <c r="R686" s="26"/>
      <c r="S686" s="47"/>
      <c r="T686" s="4" t="e">
        <f>VLOOKUP(#REF!,#REF!,2,0)</f>
        <v>#REF!</v>
      </c>
      <c r="U686" s="20" t="e">
        <f t="shared" si="27"/>
        <v>#REF!</v>
      </c>
      <c r="V686" s="47"/>
      <c r="W686" s="43"/>
      <c r="X686" s="66" t="e">
        <f>VLOOKUP(D686,#REF!,2,0)</f>
        <v>#REF!</v>
      </c>
      <c r="Y686" s="67" t="e">
        <f t="shared" si="28"/>
        <v>#N/A</v>
      </c>
    </row>
    <row r="687" spans="1:25" ht="13.65" customHeight="1">
      <c r="A687" s="92" t="e">
        <f t="shared" si="29"/>
        <v>#REF!</v>
      </c>
      <c r="B687" s="27"/>
      <c r="C687" s="28" t="e">
        <f>VLOOKUP(D687,'lista 1'!$A$2:$F$1802,4,0)</f>
        <v>#N/A</v>
      </c>
      <c r="D687" s="74"/>
      <c r="E687" s="27" t="e">
        <f>VLOOKUP(D687,'lista 1'!$A$2:$F$1802,5,0)</f>
        <v>#N/A</v>
      </c>
      <c r="F687" s="59" t="e">
        <f>VLOOKUP(G687,'lista 3'!$A$1:$C$467,3,0)</f>
        <v>#N/A</v>
      </c>
      <c r="G687" s="76"/>
      <c r="H687" s="85"/>
      <c r="I687" s="59" t="e">
        <f>VLOOKUP(J687,'lista 3'!$A$1:$C$467,3,0)</f>
        <v>#N/A</v>
      </c>
      <c r="J687" s="78"/>
      <c r="K687" s="87"/>
      <c r="L687" s="82"/>
      <c r="M687" s="22"/>
      <c r="N687" s="22"/>
      <c r="O687" s="22"/>
      <c r="P687" s="26"/>
      <c r="Q687" s="26"/>
      <c r="R687" s="26"/>
      <c r="S687" s="47"/>
      <c r="T687" s="4" t="e">
        <f>VLOOKUP(#REF!,#REF!,2,0)</f>
        <v>#REF!</v>
      </c>
      <c r="U687" s="20" t="e">
        <f t="shared" si="27"/>
        <v>#REF!</v>
      </c>
      <c r="V687" s="47"/>
      <c r="W687" s="43"/>
      <c r="X687" s="66" t="e">
        <f>VLOOKUP(D687,#REF!,2,0)</f>
        <v>#REF!</v>
      </c>
      <c r="Y687" s="67" t="e">
        <f t="shared" si="28"/>
        <v>#N/A</v>
      </c>
    </row>
    <row r="688" spans="1:25" ht="13.65" customHeight="1">
      <c r="A688" s="92" t="e">
        <f t="shared" si="29"/>
        <v>#REF!</v>
      </c>
      <c r="B688" s="27"/>
      <c r="C688" s="28" t="e">
        <f>VLOOKUP(D688,'lista 1'!$A$2:$F$1802,4,0)</f>
        <v>#N/A</v>
      </c>
      <c r="D688" s="74"/>
      <c r="E688" s="27" t="e">
        <f>VLOOKUP(D688,'lista 1'!$A$2:$F$1802,5,0)</f>
        <v>#N/A</v>
      </c>
      <c r="F688" s="59" t="e">
        <f>VLOOKUP(G688,'lista 3'!$A$1:$C$467,3,0)</f>
        <v>#N/A</v>
      </c>
      <c r="G688" s="76"/>
      <c r="H688" s="85"/>
      <c r="I688" s="59" t="e">
        <f>VLOOKUP(J688,'lista 3'!$A$1:$C$467,3,0)</f>
        <v>#N/A</v>
      </c>
      <c r="J688" s="78"/>
      <c r="K688" s="87"/>
      <c r="L688" s="82"/>
      <c r="M688" s="22"/>
      <c r="N688" s="22"/>
      <c r="O688" s="22"/>
      <c r="P688" s="26"/>
      <c r="Q688" s="26"/>
      <c r="R688" s="26"/>
      <c r="S688" s="47"/>
      <c r="T688" s="4" t="e">
        <f>VLOOKUP(#REF!,#REF!,2,0)</f>
        <v>#REF!</v>
      </c>
      <c r="U688" s="20" t="e">
        <f t="shared" si="27"/>
        <v>#REF!</v>
      </c>
      <c r="V688" s="47"/>
      <c r="W688" s="43"/>
      <c r="X688" s="66" t="e">
        <f>VLOOKUP(D688,#REF!,2,0)</f>
        <v>#REF!</v>
      </c>
      <c r="Y688" s="67" t="e">
        <f t="shared" si="28"/>
        <v>#N/A</v>
      </c>
    </row>
    <row r="689" spans="1:25" ht="13.65" customHeight="1">
      <c r="A689" s="92" t="e">
        <f t="shared" si="29"/>
        <v>#REF!</v>
      </c>
      <c r="B689" s="27"/>
      <c r="C689" s="28" t="e">
        <f>VLOOKUP(D689,'lista 1'!$A$2:$F$1802,4,0)</f>
        <v>#N/A</v>
      </c>
      <c r="D689" s="74"/>
      <c r="E689" s="27" t="e">
        <f>VLOOKUP(D689,'lista 1'!$A$2:$F$1802,5,0)</f>
        <v>#N/A</v>
      </c>
      <c r="F689" s="59" t="e">
        <f>VLOOKUP(G689,'lista 3'!$A$1:$C$467,3,0)</f>
        <v>#N/A</v>
      </c>
      <c r="G689" s="76"/>
      <c r="H689" s="85"/>
      <c r="I689" s="59" t="e">
        <f>VLOOKUP(J689,'lista 3'!$A$1:$C$467,3,0)</f>
        <v>#N/A</v>
      </c>
      <c r="J689" s="78"/>
      <c r="K689" s="87"/>
      <c r="L689" s="82"/>
      <c r="M689" s="22"/>
      <c r="N689" s="22"/>
      <c r="O689" s="22"/>
      <c r="P689" s="26"/>
      <c r="Q689" s="26"/>
      <c r="R689" s="26"/>
      <c r="S689" s="47"/>
      <c r="T689" s="4" t="e">
        <f>VLOOKUP(#REF!,#REF!,2,0)</f>
        <v>#REF!</v>
      </c>
      <c r="U689" s="20" t="e">
        <f t="shared" si="27"/>
        <v>#REF!</v>
      </c>
      <c r="V689" s="47"/>
      <c r="W689" s="43"/>
      <c r="X689" s="66" t="e">
        <f>VLOOKUP(D689,#REF!,2,0)</f>
        <v>#REF!</v>
      </c>
      <c r="Y689" s="67" t="e">
        <f t="shared" si="28"/>
        <v>#N/A</v>
      </c>
    </row>
    <row r="690" spans="1:25" ht="13.65" customHeight="1">
      <c r="A690" s="92" t="e">
        <f t="shared" si="29"/>
        <v>#REF!</v>
      </c>
      <c r="B690" s="27"/>
      <c r="C690" s="28" t="e">
        <f>VLOOKUP(D690,'lista 1'!$A$2:$F$1802,4,0)</f>
        <v>#N/A</v>
      </c>
      <c r="D690" s="74"/>
      <c r="E690" s="27" t="e">
        <f>VLOOKUP(D690,'lista 1'!$A$2:$F$1802,5,0)</f>
        <v>#N/A</v>
      </c>
      <c r="F690" s="59" t="e">
        <f>VLOOKUP(G690,'lista 3'!$A$1:$C$467,3,0)</f>
        <v>#N/A</v>
      </c>
      <c r="G690" s="76"/>
      <c r="H690" s="85"/>
      <c r="I690" s="59" t="e">
        <f>VLOOKUP(J690,'lista 3'!$A$1:$C$467,3,0)</f>
        <v>#N/A</v>
      </c>
      <c r="J690" s="78"/>
      <c r="K690" s="87"/>
      <c r="L690" s="82"/>
      <c r="M690" s="22"/>
      <c r="N690" s="22"/>
      <c r="O690" s="22"/>
      <c r="P690" s="26"/>
      <c r="Q690" s="26"/>
      <c r="R690" s="26"/>
      <c r="S690" s="47"/>
      <c r="T690" s="4" t="e">
        <f>VLOOKUP(#REF!,#REF!,2,0)</f>
        <v>#REF!</v>
      </c>
      <c r="U690" s="20" t="e">
        <f t="shared" si="27"/>
        <v>#REF!</v>
      </c>
      <c r="V690" s="47"/>
      <c r="W690" s="43"/>
      <c r="X690" s="66" t="e">
        <f>VLOOKUP(D690,#REF!,2,0)</f>
        <v>#REF!</v>
      </c>
      <c r="Y690" s="67" t="e">
        <f t="shared" si="28"/>
        <v>#N/A</v>
      </c>
    </row>
    <row r="691" spans="1:25" ht="13.65" customHeight="1">
      <c r="A691" s="92" t="e">
        <f t="shared" si="29"/>
        <v>#REF!</v>
      </c>
      <c r="B691" s="27"/>
      <c r="C691" s="28" t="e">
        <f>VLOOKUP(D691,'lista 1'!$A$2:$F$1802,4,0)</f>
        <v>#N/A</v>
      </c>
      <c r="D691" s="74"/>
      <c r="E691" s="27" t="e">
        <f>VLOOKUP(D691,'lista 1'!$A$2:$F$1802,5,0)</f>
        <v>#N/A</v>
      </c>
      <c r="F691" s="59" t="e">
        <f>VLOOKUP(G691,'lista 3'!$A$1:$C$467,3,0)</f>
        <v>#N/A</v>
      </c>
      <c r="G691" s="76"/>
      <c r="H691" s="85"/>
      <c r="I691" s="59" t="e">
        <f>VLOOKUP(J691,'lista 3'!$A$1:$C$467,3,0)</f>
        <v>#N/A</v>
      </c>
      <c r="J691" s="78"/>
      <c r="K691" s="87"/>
      <c r="L691" s="82"/>
      <c r="M691" s="22"/>
      <c r="N691" s="22"/>
      <c r="O691" s="22"/>
      <c r="P691" s="26"/>
      <c r="Q691" s="26"/>
      <c r="R691" s="26"/>
      <c r="S691" s="47"/>
      <c r="T691" s="4" t="e">
        <f>VLOOKUP(#REF!,#REF!,2,0)</f>
        <v>#REF!</v>
      </c>
      <c r="U691" s="20" t="e">
        <f t="shared" si="27"/>
        <v>#REF!</v>
      </c>
      <c r="V691" s="47"/>
      <c r="W691" s="43"/>
      <c r="X691" s="66" t="e">
        <f>VLOOKUP(D691,#REF!,2,0)</f>
        <v>#REF!</v>
      </c>
      <c r="Y691" s="67" t="e">
        <f t="shared" si="28"/>
        <v>#N/A</v>
      </c>
    </row>
    <row r="692" spans="1:25" ht="13.65" customHeight="1">
      <c r="A692" s="92" t="e">
        <f t="shared" si="29"/>
        <v>#REF!</v>
      </c>
      <c r="B692" s="27"/>
      <c r="C692" s="28" t="e">
        <f>VLOOKUP(D692,'lista 1'!$A$2:$F$1802,4,0)</f>
        <v>#N/A</v>
      </c>
      <c r="D692" s="74"/>
      <c r="E692" s="27" t="e">
        <f>VLOOKUP(D692,'lista 1'!$A$2:$F$1802,5,0)</f>
        <v>#N/A</v>
      </c>
      <c r="F692" s="59" t="e">
        <f>VLOOKUP(G692,'lista 3'!$A$1:$C$467,3,0)</f>
        <v>#N/A</v>
      </c>
      <c r="G692" s="76"/>
      <c r="H692" s="85"/>
      <c r="I692" s="59" t="e">
        <f>VLOOKUP(J692,'lista 3'!$A$1:$C$467,3,0)</f>
        <v>#N/A</v>
      </c>
      <c r="J692" s="78"/>
      <c r="K692" s="87"/>
      <c r="L692" s="82"/>
      <c r="M692" s="22"/>
      <c r="N692" s="22"/>
      <c r="O692" s="22"/>
      <c r="P692" s="26"/>
      <c r="Q692" s="26"/>
      <c r="R692" s="26"/>
      <c r="S692" s="47"/>
      <c r="T692" s="4" t="e">
        <f>VLOOKUP(#REF!,#REF!,2,0)</f>
        <v>#REF!</v>
      </c>
      <c r="U692" s="20" t="e">
        <f t="shared" si="27"/>
        <v>#REF!</v>
      </c>
      <c r="V692" s="47"/>
      <c r="W692" s="43"/>
      <c r="X692" s="66" t="e">
        <f>VLOOKUP(D692,#REF!,2,0)</f>
        <v>#REF!</v>
      </c>
      <c r="Y692" s="67" t="e">
        <f t="shared" si="28"/>
        <v>#N/A</v>
      </c>
    </row>
    <row r="693" spans="1:25" ht="13.65" customHeight="1">
      <c r="A693" s="92" t="e">
        <f t="shared" si="29"/>
        <v>#REF!</v>
      </c>
      <c r="B693" s="27"/>
      <c r="C693" s="28" t="e">
        <f>VLOOKUP(D693,'lista 1'!$A$2:$F$1802,4,0)</f>
        <v>#N/A</v>
      </c>
      <c r="D693" s="74"/>
      <c r="E693" s="27" t="e">
        <f>VLOOKUP(D693,'lista 1'!$A$2:$F$1802,5,0)</f>
        <v>#N/A</v>
      </c>
      <c r="F693" s="59" t="e">
        <f>VLOOKUP(G693,'lista 3'!$A$1:$C$467,3,0)</f>
        <v>#N/A</v>
      </c>
      <c r="G693" s="76"/>
      <c r="H693" s="85"/>
      <c r="I693" s="59" t="e">
        <f>VLOOKUP(J693,'lista 3'!$A$1:$C$467,3,0)</f>
        <v>#N/A</v>
      </c>
      <c r="J693" s="78"/>
      <c r="K693" s="87"/>
      <c r="L693" s="82"/>
      <c r="M693" s="22"/>
      <c r="N693" s="22"/>
      <c r="O693" s="22"/>
      <c r="P693" s="26"/>
      <c r="Q693" s="26"/>
      <c r="R693" s="26"/>
      <c r="S693" s="47"/>
      <c r="T693" s="4" t="e">
        <f>VLOOKUP(#REF!,#REF!,2,0)</f>
        <v>#REF!</v>
      </c>
      <c r="U693" s="20" t="e">
        <f t="shared" si="27"/>
        <v>#REF!</v>
      </c>
      <c r="V693" s="47"/>
      <c r="W693" s="43"/>
      <c r="X693" s="66" t="e">
        <f>VLOOKUP(D693,#REF!,2,0)</f>
        <v>#REF!</v>
      </c>
      <c r="Y693" s="67" t="e">
        <f t="shared" si="28"/>
        <v>#N/A</v>
      </c>
    </row>
    <row r="694" spans="1:25" ht="13.65" customHeight="1">
      <c r="A694" s="92" t="e">
        <f t="shared" si="29"/>
        <v>#REF!</v>
      </c>
      <c r="B694" s="27"/>
      <c r="C694" s="28" t="e">
        <f>VLOOKUP(D694,'lista 1'!$A$2:$F$1802,4,0)</f>
        <v>#N/A</v>
      </c>
      <c r="D694" s="74"/>
      <c r="E694" s="27" t="e">
        <f>VLOOKUP(D694,'lista 1'!$A$2:$F$1802,5,0)</f>
        <v>#N/A</v>
      </c>
      <c r="F694" s="59" t="e">
        <f>VLOOKUP(G694,'lista 3'!$A$1:$C$467,3,0)</f>
        <v>#N/A</v>
      </c>
      <c r="G694" s="76"/>
      <c r="H694" s="85"/>
      <c r="I694" s="59" t="e">
        <f>VLOOKUP(J694,'lista 3'!$A$1:$C$467,3,0)</f>
        <v>#N/A</v>
      </c>
      <c r="J694" s="78"/>
      <c r="K694" s="87"/>
      <c r="L694" s="82"/>
      <c r="M694" s="22"/>
      <c r="N694" s="22"/>
      <c r="O694" s="22"/>
      <c r="P694" s="26"/>
      <c r="Q694" s="26"/>
      <c r="R694" s="26"/>
      <c r="S694" s="47"/>
      <c r="T694" s="4" t="e">
        <f>VLOOKUP(#REF!,#REF!,2,0)</f>
        <v>#REF!</v>
      </c>
      <c r="U694" s="20" t="e">
        <f t="shared" si="27"/>
        <v>#REF!</v>
      </c>
      <c r="V694" s="47"/>
      <c r="W694" s="43"/>
      <c r="X694" s="66" t="e">
        <f>VLOOKUP(D694,#REF!,2,0)</f>
        <v>#REF!</v>
      </c>
      <c r="Y694" s="67" t="e">
        <f t="shared" si="28"/>
        <v>#N/A</v>
      </c>
    </row>
    <row r="695" spans="1:25" ht="13.65" customHeight="1">
      <c r="A695" s="92" t="e">
        <f t="shared" si="29"/>
        <v>#REF!</v>
      </c>
      <c r="B695" s="27"/>
      <c r="C695" s="28" t="e">
        <f>VLOOKUP(D695,'lista 1'!$A$2:$F$1802,4,0)</f>
        <v>#N/A</v>
      </c>
      <c r="D695" s="74"/>
      <c r="E695" s="27" t="e">
        <f>VLOOKUP(D695,'lista 1'!$A$2:$F$1802,5,0)</f>
        <v>#N/A</v>
      </c>
      <c r="F695" s="59" t="e">
        <f>VLOOKUP(G695,'lista 3'!$A$1:$C$467,3,0)</f>
        <v>#N/A</v>
      </c>
      <c r="G695" s="76"/>
      <c r="H695" s="85"/>
      <c r="I695" s="59" t="e">
        <f>VLOOKUP(J695,'lista 3'!$A$1:$C$467,3,0)</f>
        <v>#N/A</v>
      </c>
      <c r="J695" s="78"/>
      <c r="K695" s="87"/>
      <c r="L695" s="82"/>
      <c r="M695" s="22"/>
      <c r="N695" s="22"/>
      <c r="O695" s="22"/>
      <c r="P695" s="26"/>
      <c r="Q695" s="26"/>
      <c r="R695" s="26"/>
      <c r="S695" s="47"/>
      <c r="T695" s="4" t="e">
        <f>VLOOKUP(#REF!,#REF!,2,0)</f>
        <v>#REF!</v>
      </c>
      <c r="U695" s="20" t="e">
        <f t="shared" si="27"/>
        <v>#REF!</v>
      </c>
      <c r="V695" s="47"/>
      <c r="W695" s="43"/>
      <c r="X695" s="66" t="e">
        <f>VLOOKUP(D695,#REF!,2,0)</f>
        <v>#REF!</v>
      </c>
      <c r="Y695" s="67" t="e">
        <f t="shared" si="28"/>
        <v>#N/A</v>
      </c>
    </row>
    <row r="696" spans="1:25" ht="13.65" customHeight="1">
      <c r="A696" s="92" t="e">
        <f t="shared" si="29"/>
        <v>#REF!</v>
      </c>
      <c r="B696" s="27"/>
      <c r="C696" s="28" t="e">
        <f>VLOOKUP(D696,'lista 1'!$A$2:$F$1802,4,0)</f>
        <v>#N/A</v>
      </c>
      <c r="D696" s="74"/>
      <c r="E696" s="27" t="e">
        <f>VLOOKUP(D696,'lista 1'!$A$2:$F$1802,5,0)</f>
        <v>#N/A</v>
      </c>
      <c r="F696" s="59" t="e">
        <f>VLOOKUP(G696,'lista 3'!$A$1:$C$467,3,0)</f>
        <v>#N/A</v>
      </c>
      <c r="G696" s="76"/>
      <c r="H696" s="85"/>
      <c r="I696" s="59" t="e">
        <f>VLOOKUP(J696,'lista 3'!$A$1:$C$467,3,0)</f>
        <v>#N/A</v>
      </c>
      <c r="J696" s="78"/>
      <c r="K696" s="87"/>
      <c r="L696" s="82"/>
      <c r="M696" s="22"/>
      <c r="N696" s="22"/>
      <c r="O696" s="22"/>
      <c r="P696" s="26"/>
      <c r="Q696" s="26"/>
      <c r="R696" s="26"/>
      <c r="S696" s="47"/>
      <c r="T696" s="4" t="e">
        <f>VLOOKUP(#REF!,#REF!,2,0)</f>
        <v>#REF!</v>
      </c>
      <c r="U696" s="20" t="e">
        <f t="shared" si="27"/>
        <v>#REF!</v>
      </c>
      <c r="V696" s="47"/>
      <c r="W696" s="43"/>
      <c r="X696" s="66" t="e">
        <f>VLOOKUP(D696,#REF!,2,0)</f>
        <v>#REF!</v>
      </c>
      <c r="Y696" s="67" t="e">
        <f t="shared" si="28"/>
        <v>#N/A</v>
      </c>
    </row>
    <row r="697" spans="1:25" ht="13.65" customHeight="1">
      <c r="A697" s="92" t="e">
        <f t="shared" si="29"/>
        <v>#REF!</v>
      </c>
      <c r="B697" s="27"/>
      <c r="C697" s="28" t="e">
        <f>VLOOKUP(D697,'lista 1'!$A$2:$F$1802,4,0)</f>
        <v>#N/A</v>
      </c>
      <c r="D697" s="74"/>
      <c r="E697" s="27" t="e">
        <f>VLOOKUP(D697,'lista 1'!$A$2:$F$1802,5,0)</f>
        <v>#N/A</v>
      </c>
      <c r="F697" s="59" t="e">
        <f>VLOOKUP(G697,'lista 3'!$A$1:$C$467,3,0)</f>
        <v>#N/A</v>
      </c>
      <c r="G697" s="76"/>
      <c r="H697" s="85"/>
      <c r="I697" s="59" t="e">
        <f>VLOOKUP(J697,'lista 3'!$A$1:$C$467,3,0)</f>
        <v>#N/A</v>
      </c>
      <c r="J697" s="78"/>
      <c r="K697" s="87"/>
      <c r="L697" s="82"/>
      <c r="M697" s="22"/>
      <c r="N697" s="22"/>
      <c r="O697" s="22"/>
      <c r="P697" s="26"/>
      <c r="Q697" s="26"/>
      <c r="R697" s="26"/>
      <c r="S697" s="47"/>
      <c r="T697" s="4" t="e">
        <f>VLOOKUP(#REF!,#REF!,2,0)</f>
        <v>#REF!</v>
      </c>
      <c r="U697" s="20" t="e">
        <f t="shared" si="27"/>
        <v>#REF!</v>
      </c>
      <c r="V697" s="47"/>
      <c r="W697" s="43"/>
      <c r="X697" s="66" t="e">
        <f>VLOOKUP(D697,#REF!,2,0)</f>
        <v>#REF!</v>
      </c>
      <c r="Y697" s="67" t="e">
        <f t="shared" si="28"/>
        <v>#N/A</v>
      </c>
    </row>
    <row r="698" spans="1:25" ht="13.65" customHeight="1">
      <c r="A698" s="92" t="e">
        <f t="shared" si="29"/>
        <v>#REF!</v>
      </c>
      <c r="B698" s="27"/>
      <c r="C698" s="28" t="e">
        <f>VLOOKUP(D698,'lista 1'!$A$2:$F$1802,4,0)</f>
        <v>#N/A</v>
      </c>
      <c r="D698" s="74"/>
      <c r="E698" s="27" t="e">
        <f>VLOOKUP(D698,'lista 1'!$A$2:$F$1802,5,0)</f>
        <v>#N/A</v>
      </c>
      <c r="F698" s="59" t="e">
        <f>VLOOKUP(G698,'lista 3'!$A$1:$C$467,3,0)</f>
        <v>#N/A</v>
      </c>
      <c r="G698" s="76"/>
      <c r="H698" s="85"/>
      <c r="I698" s="59" t="e">
        <f>VLOOKUP(J698,'lista 3'!$A$1:$C$467,3,0)</f>
        <v>#N/A</v>
      </c>
      <c r="J698" s="78"/>
      <c r="K698" s="87"/>
      <c r="L698" s="82"/>
      <c r="M698" s="22"/>
      <c r="N698" s="22"/>
      <c r="O698" s="22"/>
      <c r="P698" s="26"/>
      <c r="Q698" s="26"/>
      <c r="R698" s="26"/>
      <c r="S698" s="47"/>
      <c r="T698" s="4" t="e">
        <f>VLOOKUP(#REF!,#REF!,2,0)</f>
        <v>#REF!</v>
      </c>
      <c r="U698" s="20" t="e">
        <f t="shared" si="27"/>
        <v>#REF!</v>
      </c>
      <c r="V698" s="47"/>
      <c r="W698" s="43"/>
      <c r="X698" s="66" t="e">
        <f>VLOOKUP(D698,#REF!,2,0)</f>
        <v>#REF!</v>
      </c>
      <c r="Y698" s="67" t="e">
        <f t="shared" si="28"/>
        <v>#N/A</v>
      </c>
    </row>
    <row r="699" spans="1:25" ht="13.65" customHeight="1">
      <c r="A699" s="92" t="e">
        <f t="shared" si="29"/>
        <v>#REF!</v>
      </c>
      <c r="B699" s="27"/>
      <c r="C699" s="28" t="e">
        <f>VLOOKUP(D699,'lista 1'!$A$2:$F$1802,4,0)</f>
        <v>#N/A</v>
      </c>
      <c r="D699" s="74"/>
      <c r="E699" s="27" t="e">
        <f>VLOOKUP(D699,'lista 1'!$A$2:$F$1802,5,0)</f>
        <v>#N/A</v>
      </c>
      <c r="F699" s="59" t="e">
        <f>VLOOKUP(G699,'lista 3'!$A$1:$C$467,3,0)</f>
        <v>#N/A</v>
      </c>
      <c r="G699" s="76"/>
      <c r="H699" s="85"/>
      <c r="I699" s="59" t="e">
        <f>VLOOKUP(J699,'lista 3'!$A$1:$C$467,3,0)</f>
        <v>#N/A</v>
      </c>
      <c r="J699" s="78"/>
      <c r="K699" s="87"/>
      <c r="L699" s="82"/>
      <c r="M699" s="22"/>
      <c r="N699" s="22"/>
      <c r="O699" s="22"/>
      <c r="P699" s="26"/>
      <c r="Q699" s="26"/>
      <c r="R699" s="26"/>
      <c r="S699" s="47"/>
      <c r="T699" s="4" t="e">
        <f>VLOOKUP(#REF!,#REF!,2,0)</f>
        <v>#REF!</v>
      </c>
      <c r="U699" s="20" t="e">
        <f t="shared" si="27"/>
        <v>#REF!</v>
      </c>
      <c r="V699" s="47"/>
      <c r="W699" s="43"/>
      <c r="X699" s="66" t="e">
        <f>VLOOKUP(D699,#REF!,2,0)</f>
        <v>#REF!</v>
      </c>
      <c r="Y699" s="67" t="e">
        <f t="shared" si="28"/>
        <v>#N/A</v>
      </c>
    </row>
    <row r="700" spans="1:25" ht="13.65" customHeight="1">
      <c r="A700" s="92" t="e">
        <f t="shared" si="29"/>
        <v>#REF!</v>
      </c>
      <c r="B700" s="27"/>
      <c r="C700" s="28" t="e">
        <f>VLOOKUP(D700,'lista 1'!$A$2:$F$1802,4,0)</f>
        <v>#N/A</v>
      </c>
      <c r="D700" s="74"/>
      <c r="E700" s="27" t="e">
        <f>VLOOKUP(D700,'lista 1'!$A$2:$F$1802,5,0)</f>
        <v>#N/A</v>
      </c>
      <c r="F700" s="59" t="e">
        <f>VLOOKUP(G700,'lista 3'!$A$1:$C$467,3,0)</f>
        <v>#N/A</v>
      </c>
      <c r="G700" s="76"/>
      <c r="H700" s="85"/>
      <c r="I700" s="59" t="e">
        <f>VLOOKUP(J700,'lista 3'!$A$1:$C$467,3,0)</f>
        <v>#N/A</v>
      </c>
      <c r="J700" s="78"/>
      <c r="K700" s="87"/>
      <c r="L700" s="82"/>
      <c r="M700" s="22"/>
      <c r="N700" s="22"/>
      <c r="O700" s="22"/>
      <c r="P700" s="26"/>
      <c r="Q700" s="26"/>
      <c r="R700" s="26"/>
      <c r="S700" s="47"/>
      <c r="T700" s="4" t="e">
        <f>VLOOKUP(#REF!,#REF!,2,0)</f>
        <v>#REF!</v>
      </c>
      <c r="U700" s="20" t="e">
        <f t="shared" si="27"/>
        <v>#REF!</v>
      </c>
      <c r="V700" s="47"/>
      <c r="W700" s="43"/>
      <c r="X700" s="66" t="e">
        <f>VLOOKUP(D700,#REF!,2,0)</f>
        <v>#REF!</v>
      </c>
      <c r="Y700" s="67" t="e">
        <f t="shared" si="28"/>
        <v>#N/A</v>
      </c>
    </row>
    <row r="701" spans="1:25" ht="13.65" customHeight="1">
      <c r="A701" s="92" t="e">
        <f t="shared" si="29"/>
        <v>#REF!</v>
      </c>
      <c r="B701" s="27"/>
      <c r="C701" s="28" t="e">
        <f>VLOOKUP(D701,'lista 1'!$A$2:$F$1802,4,0)</f>
        <v>#N/A</v>
      </c>
      <c r="D701" s="74"/>
      <c r="E701" s="27" t="e">
        <f>VLOOKUP(D701,'lista 1'!$A$2:$F$1802,5,0)</f>
        <v>#N/A</v>
      </c>
      <c r="F701" s="59" t="e">
        <f>VLOOKUP(G701,'lista 3'!$A$1:$C$467,3,0)</f>
        <v>#N/A</v>
      </c>
      <c r="G701" s="76"/>
      <c r="H701" s="85"/>
      <c r="I701" s="59" t="e">
        <f>VLOOKUP(J701,'lista 3'!$A$1:$C$467,3,0)</f>
        <v>#N/A</v>
      </c>
      <c r="J701" s="78"/>
      <c r="K701" s="87"/>
      <c r="L701" s="82"/>
      <c r="M701" s="22"/>
      <c r="N701" s="22"/>
      <c r="O701" s="22"/>
      <c r="P701" s="26"/>
      <c r="Q701" s="26"/>
      <c r="R701" s="26"/>
      <c r="S701" s="47"/>
      <c r="T701" s="4" t="e">
        <f>VLOOKUP(#REF!,#REF!,2,0)</f>
        <v>#REF!</v>
      </c>
      <c r="U701" s="20" t="e">
        <f t="shared" si="27"/>
        <v>#REF!</v>
      </c>
      <c r="V701" s="47"/>
      <c r="W701" s="43"/>
      <c r="X701" s="66" t="e">
        <f>VLOOKUP(D701,#REF!,2,0)</f>
        <v>#REF!</v>
      </c>
      <c r="Y701" s="67" t="e">
        <f t="shared" si="28"/>
        <v>#N/A</v>
      </c>
    </row>
    <row r="702" spans="1:25" ht="13.65" customHeight="1">
      <c r="A702" s="92" t="e">
        <f t="shared" si="29"/>
        <v>#REF!</v>
      </c>
      <c r="B702" s="27"/>
      <c r="C702" s="28" t="e">
        <f>VLOOKUP(D702,'lista 1'!$A$2:$F$1802,4,0)</f>
        <v>#N/A</v>
      </c>
      <c r="D702" s="74"/>
      <c r="E702" s="27" t="e">
        <f>VLOOKUP(D702,'lista 1'!$A$2:$F$1802,5,0)</f>
        <v>#N/A</v>
      </c>
      <c r="F702" s="59" t="e">
        <f>VLOOKUP(G702,'lista 3'!$A$1:$C$467,3,0)</f>
        <v>#N/A</v>
      </c>
      <c r="G702" s="76"/>
      <c r="H702" s="85"/>
      <c r="I702" s="59" t="e">
        <f>VLOOKUP(J702,'lista 3'!$A$1:$C$467,3,0)</f>
        <v>#N/A</v>
      </c>
      <c r="J702" s="78"/>
      <c r="K702" s="87"/>
      <c r="L702" s="82"/>
      <c r="M702" s="22"/>
      <c r="N702" s="22"/>
      <c r="O702" s="22"/>
      <c r="P702" s="26"/>
      <c r="Q702" s="26"/>
      <c r="R702" s="26"/>
      <c r="S702" s="47"/>
      <c r="T702" s="4" t="e">
        <f>VLOOKUP(#REF!,#REF!,2,0)</f>
        <v>#REF!</v>
      </c>
      <c r="U702" s="20" t="e">
        <f t="shared" si="27"/>
        <v>#REF!</v>
      </c>
      <c r="V702" s="47"/>
      <c r="W702" s="43"/>
      <c r="X702" s="66" t="e">
        <f>VLOOKUP(D702,#REF!,2,0)</f>
        <v>#REF!</v>
      </c>
      <c r="Y702" s="67" t="e">
        <f t="shared" si="28"/>
        <v>#N/A</v>
      </c>
    </row>
    <row r="703" spans="1:25" ht="13.65" customHeight="1">
      <c r="A703" s="92" t="e">
        <f t="shared" si="29"/>
        <v>#REF!</v>
      </c>
      <c r="B703" s="27"/>
      <c r="C703" s="28" t="e">
        <f>VLOOKUP(D703,'lista 1'!$A$2:$F$1802,4,0)</f>
        <v>#N/A</v>
      </c>
      <c r="D703" s="74"/>
      <c r="E703" s="27" t="e">
        <f>VLOOKUP(D703,'lista 1'!$A$2:$F$1802,5,0)</f>
        <v>#N/A</v>
      </c>
      <c r="F703" s="59" t="e">
        <f>VLOOKUP(G703,'lista 3'!$A$1:$C$467,3,0)</f>
        <v>#N/A</v>
      </c>
      <c r="G703" s="76"/>
      <c r="H703" s="85"/>
      <c r="I703" s="59" t="e">
        <f>VLOOKUP(J703,'lista 3'!$A$1:$C$467,3,0)</f>
        <v>#N/A</v>
      </c>
      <c r="J703" s="78"/>
      <c r="K703" s="87"/>
      <c r="L703" s="82"/>
      <c r="M703" s="22"/>
      <c r="N703" s="22"/>
      <c r="O703" s="22"/>
      <c r="P703" s="26"/>
      <c r="Q703" s="26"/>
      <c r="R703" s="26"/>
      <c r="S703" s="47"/>
      <c r="T703" s="4" t="e">
        <f>VLOOKUP(#REF!,#REF!,2,0)</f>
        <v>#REF!</v>
      </c>
      <c r="U703" s="20" t="e">
        <f t="shared" si="27"/>
        <v>#REF!</v>
      </c>
      <c r="V703" s="47"/>
      <c r="W703" s="43"/>
      <c r="X703" s="66" t="e">
        <f>VLOOKUP(D703,#REF!,2,0)</f>
        <v>#REF!</v>
      </c>
      <c r="Y703" s="67" t="e">
        <f t="shared" si="28"/>
        <v>#N/A</v>
      </c>
    </row>
    <row r="704" spans="1:25" ht="13.65" customHeight="1">
      <c r="A704" s="92" t="e">
        <f t="shared" si="29"/>
        <v>#REF!</v>
      </c>
      <c r="B704" s="27"/>
      <c r="C704" s="28" t="e">
        <f>VLOOKUP(D704,'lista 1'!$A$2:$F$1802,4,0)</f>
        <v>#N/A</v>
      </c>
      <c r="D704" s="74"/>
      <c r="E704" s="27" t="e">
        <f>VLOOKUP(D704,'lista 1'!$A$2:$F$1802,5,0)</f>
        <v>#N/A</v>
      </c>
      <c r="F704" s="59" t="e">
        <f>VLOOKUP(G704,'lista 3'!$A$1:$C$467,3,0)</f>
        <v>#N/A</v>
      </c>
      <c r="G704" s="76"/>
      <c r="H704" s="85"/>
      <c r="I704" s="59" t="e">
        <f>VLOOKUP(J704,'lista 3'!$A$1:$C$467,3,0)</f>
        <v>#N/A</v>
      </c>
      <c r="J704" s="78"/>
      <c r="K704" s="87"/>
      <c r="L704" s="82"/>
      <c r="M704" s="22"/>
      <c r="N704" s="22"/>
      <c r="O704" s="22"/>
      <c r="P704" s="26"/>
      <c r="Q704" s="26"/>
      <c r="R704" s="26"/>
      <c r="S704" s="47"/>
      <c r="T704" s="4" t="e">
        <f>VLOOKUP(#REF!,#REF!,2,0)</f>
        <v>#REF!</v>
      </c>
      <c r="U704" s="20" t="e">
        <f t="shared" si="27"/>
        <v>#REF!</v>
      </c>
      <c r="V704" s="47"/>
      <c r="W704" s="43"/>
      <c r="X704" s="66" t="e">
        <f>VLOOKUP(D704,#REF!,2,0)</f>
        <v>#REF!</v>
      </c>
      <c r="Y704" s="67" t="e">
        <f t="shared" si="28"/>
        <v>#N/A</v>
      </c>
    </row>
    <row r="705" spans="1:25" ht="13.65" customHeight="1">
      <c r="A705" s="92" t="e">
        <f t="shared" si="29"/>
        <v>#REF!</v>
      </c>
      <c r="B705" s="27"/>
      <c r="C705" s="28" t="e">
        <f>VLOOKUP(D705,'lista 1'!$A$2:$F$1802,4,0)</f>
        <v>#N/A</v>
      </c>
      <c r="D705" s="74"/>
      <c r="E705" s="27" t="e">
        <f>VLOOKUP(D705,'lista 1'!$A$2:$F$1802,5,0)</f>
        <v>#N/A</v>
      </c>
      <c r="F705" s="59" t="e">
        <f>VLOOKUP(G705,'lista 3'!$A$1:$C$467,3,0)</f>
        <v>#N/A</v>
      </c>
      <c r="G705" s="76"/>
      <c r="H705" s="85"/>
      <c r="I705" s="59" t="e">
        <f>VLOOKUP(J705,'lista 3'!$A$1:$C$467,3,0)</f>
        <v>#N/A</v>
      </c>
      <c r="J705" s="78"/>
      <c r="K705" s="87"/>
      <c r="L705" s="82"/>
      <c r="M705" s="22"/>
      <c r="N705" s="22"/>
      <c r="O705" s="22"/>
      <c r="P705" s="26"/>
      <c r="Q705" s="26"/>
      <c r="R705" s="26"/>
      <c r="S705" s="47"/>
      <c r="T705" s="4" t="e">
        <f>VLOOKUP(#REF!,#REF!,2,0)</f>
        <v>#REF!</v>
      </c>
      <c r="U705" s="20" t="e">
        <f t="shared" si="27"/>
        <v>#REF!</v>
      </c>
      <c r="V705" s="47"/>
      <c r="W705" s="43"/>
      <c r="X705" s="66" t="e">
        <f>VLOOKUP(D705,#REF!,2,0)</f>
        <v>#REF!</v>
      </c>
      <c r="Y705" s="67" t="e">
        <f t="shared" si="28"/>
        <v>#N/A</v>
      </c>
    </row>
    <row r="706" spans="1:25" ht="13.65" customHeight="1">
      <c r="A706" s="92" t="e">
        <f t="shared" si="29"/>
        <v>#REF!</v>
      </c>
      <c r="B706" s="27"/>
      <c r="C706" s="28" t="e">
        <f>VLOOKUP(D706,'lista 1'!$A$2:$F$1802,4,0)</f>
        <v>#N/A</v>
      </c>
      <c r="D706" s="74"/>
      <c r="E706" s="27" t="e">
        <f>VLOOKUP(D706,'lista 1'!$A$2:$F$1802,5,0)</f>
        <v>#N/A</v>
      </c>
      <c r="F706" s="59" t="e">
        <f>VLOOKUP(G706,'lista 3'!$A$1:$C$467,3,0)</f>
        <v>#N/A</v>
      </c>
      <c r="G706" s="76"/>
      <c r="H706" s="85"/>
      <c r="I706" s="59" t="e">
        <f>VLOOKUP(J706,'lista 3'!$A$1:$C$467,3,0)</f>
        <v>#N/A</v>
      </c>
      <c r="J706" s="78"/>
      <c r="K706" s="87"/>
      <c r="L706" s="82"/>
      <c r="M706" s="22"/>
      <c r="N706" s="22"/>
      <c r="O706" s="22"/>
      <c r="P706" s="26"/>
      <c r="Q706" s="26"/>
      <c r="R706" s="26"/>
      <c r="S706" s="47"/>
      <c r="T706" s="4" t="e">
        <f>VLOOKUP(#REF!,#REF!,2,0)</f>
        <v>#REF!</v>
      </c>
      <c r="U706" s="20" t="e">
        <f t="shared" si="27"/>
        <v>#REF!</v>
      </c>
      <c r="V706" s="47"/>
      <c r="W706" s="43"/>
      <c r="X706" s="66" t="e">
        <f>VLOOKUP(D706,#REF!,2,0)</f>
        <v>#REF!</v>
      </c>
      <c r="Y706" s="67" t="e">
        <f t="shared" si="28"/>
        <v>#N/A</v>
      </c>
    </row>
    <row r="707" spans="1:25" ht="13.65" customHeight="1">
      <c r="A707" s="92" t="e">
        <f t="shared" si="29"/>
        <v>#REF!</v>
      </c>
      <c r="B707" s="27"/>
      <c r="C707" s="28" t="e">
        <f>VLOOKUP(D707,'lista 1'!$A$2:$F$1802,4,0)</f>
        <v>#N/A</v>
      </c>
      <c r="D707" s="74"/>
      <c r="E707" s="27" t="e">
        <f>VLOOKUP(D707,'lista 1'!$A$2:$F$1802,5,0)</f>
        <v>#N/A</v>
      </c>
      <c r="F707" s="59" t="e">
        <f>VLOOKUP(G707,'lista 3'!$A$1:$C$467,3,0)</f>
        <v>#N/A</v>
      </c>
      <c r="G707" s="76"/>
      <c r="H707" s="85"/>
      <c r="I707" s="59" t="e">
        <f>VLOOKUP(J707,'lista 3'!$A$1:$C$467,3,0)</f>
        <v>#N/A</v>
      </c>
      <c r="J707" s="78"/>
      <c r="K707" s="87"/>
      <c r="L707" s="82"/>
      <c r="M707" s="22"/>
      <c r="N707" s="22"/>
      <c r="O707" s="22"/>
      <c r="P707" s="26"/>
      <c r="Q707" s="26"/>
      <c r="R707" s="26"/>
      <c r="S707" s="47"/>
      <c r="T707" s="4" t="e">
        <f>VLOOKUP(#REF!,#REF!,2,0)</f>
        <v>#REF!</v>
      </c>
      <c r="U707" s="20" t="e">
        <f t="shared" si="27"/>
        <v>#REF!</v>
      </c>
      <c r="V707" s="47"/>
      <c r="W707" s="43"/>
      <c r="X707" s="66" t="e">
        <f>VLOOKUP(D707,#REF!,2,0)</f>
        <v>#REF!</v>
      </c>
      <c r="Y707" s="67" t="e">
        <f t="shared" si="28"/>
        <v>#N/A</v>
      </c>
    </row>
    <row r="708" spans="1:25" ht="13.65" customHeight="1">
      <c r="A708" s="92" t="e">
        <f t="shared" si="29"/>
        <v>#REF!</v>
      </c>
      <c r="B708" s="27"/>
      <c r="C708" s="28" t="e">
        <f>VLOOKUP(D708,'lista 1'!$A$2:$F$1802,4,0)</f>
        <v>#N/A</v>
      </c>
      <c r="D708" s="74"/>
      <c r="E708" s="27" t="e">
        <f>VLOOKUP(D708,'lista 1'!$A$2:$F$1802,5,0)</f>
        <v>#N/A</v>
      </c>
      <c r="F708" s="59" t="e">
        <f>VLOOKUP(G708,'lista 3'!$A$1:$C$467,3,0)</f>
        <v>#N/A</v>
      </c>
      <c r="G708" s="76"/>
      <c r="H708" s="85"/>
      <c r="I708" s="59" t="e">
        <f>VLOOKUP(J708,'lista 3'!$A$1:$C$467,3,0)</f>
        <v>#N/A</v>
      </c>
      <c r="J708" s="78"/>
      <c r="K708" s="87"/>
      <c r="L708" s="82"/>
      <c r="M708" s="22"/>
      <c r="N708" s="22"/>
      <c r="O708" s="22"/>
      <c r="P708" s="26"/>
      <c r="Q708" s="26"/>
      <c r="R708" s="26"/>
      <c r="S708" s="47"/>
      <c r="T708" s="4" t="e">
        <f>VLOOKUP(#REF!,#REF!,2,0)</f>
        <v>#REF!</v>
      </c>
      <c r="U708" s="20" t="e">
        <f t="shared" si="27"/>
        <v>#REF!</v>
      </c>
      <c r="V708" s="47"/>
      <c r="W708" s="43"/>
      <c r="X708" s="66" t="e">
        <f>VLOOKUP(D708,#REF!,2,0)</f>
        <v>#REF!</v>
      </c>
      <c r="Y708" s="67" t="e">
        <f t="shared" si="28"/>
        <v>#N/A</v>
      </c>
    </row>
    <row r="709" spans="1:25" ht="13.65" customHeight="1">
      <c r="A709" s="92" t="e">
        <f t="shared" si="29"/>
        <v>#REF!</v>
      </c>
      <c r="B709" s="27"/>
      <c r="C709" s="28" t="e">
        <f>VLOOKUP(D709,'lista 1'!$A$2:$F$1802,4,0)</f>
        <v>#N/A</v>
      </c>
      <c r="D709" s="74"/>
      <c r="E709" s="27" t="e">
        <f>VLOOKUP(D709,'lista 1'!$A$2:$F$1802,5,0)</f>
        <v>#N/A</v>
      </c>
      <c r="F709" s="59" t="e">
        <f>VLOOKUP(G709,'lista 3'!$A$1:$C$467,3,0)</f>
        <v>#N/A</v>
      </c>
      <c r="G709" s="76"/>
      <c r="H709" s="85"/>
      <c r="I709" s="59" t="e">
        <f>VLOOKUP(J709,'lista 3'!$A$1:$C$467,3,0)</f>
        <v>#N/A</v>
      </c>
      <c r="J709" s="78"/>
      <c r="K709" s="87"/>
      <c r="L709" s="82"/>
      <c r="M709" s="22"/>
      <c r="N709" s="22"/>
      <c r="O709" s="22"/>
      <c r="P709" s="26"/>
      <c r="Q709" s="26"/>
      <c r="R709" s="26"/>
      <c r="S709" s="47"/>
      <c r="T709" s="4" t="e">
        <f>VLOOKUP(#REF!,#REF!,2,0)</f>
        <v>#REF!</v>
      </c>
      <c r="U709" s="20" t="e">
        <f t="shared" si="27"/>
        <v>#REF!</v>
      </c>
      <c r="V709" s="47"/>
      <c r="W709" s="43"/>
      <c r="X709" s="66" t="e">
        <f>VLOOKUP(D709,#REF!,2,0)</f>
        <v>#REF!</v>
      </c>
      <c r="Y709" s="67" t="e">
        <f t="shared" si="28"/>
        <v>#N/A</v>
      </c>
    </row>
    <row r="710" spans="1:25" ht="13.65" customHeight="1">
      <c r="A710" s="92" t="e">
        <f t="shared" si="29"/>
        <v>#REF!</v>
      </c>
      <c r="B710" s="27"/>
      <c r="C710" s="28" t="e">
        <f>VLOOKUP(D710,'lista 1'!$A$2:$F$1802,4,0)</f>
        <v>#N/A</v>
      </c>
      <c r="D710" s="74"/>
      <c r="E710" s="27" t="e">
        <f>VLOOKUP(D710,'lista 1'!$A$2:$F$1802,5,0)</f>
        <v>#N/A</v>
      </c>
      <c r="F710" s="59" t="e">
        <f>VLOOKUP(G710,'lista 3'!$A$1:$C$467,3,0)</f>
        <v>#N/A</v>
      </c>
      <c r="G710" s="76"/>
      <c r="H710" s="85"/>
      <c r="I710" s="59" t="e">
        <f>VLOOKUP(J710,'lista 3'!$A$1:$C$467,3,0)</f>
        <v>#N/A</v>
      </c>
      <c r="J710" s="78"/>
      <c r="K710" s="87"/>
      <c r="L710" s="82"/>
      <c r="M710" s="22"/>
      <c r="N710" s="22"/>
      <c r="O710" s="22"/>
      <c r="P710" s="26"/>
      <c r="Q710" s="26"/>
      <c r="R710" s="26"/>
      <c r="S710" s="47"/>
      <c r="T710" s="4" t="e">
        <f>VLOOKUP(#REF!,#REF!,2,0)</f>
        <v>#REF!</v>
      </c>
      <c r="U710" s="20" t="e">
        <f t="shared" si="27"/>
        <v>#REF!</v>
      </c>
      <c r="V710" s="47"/>
      <c r="W710" s="43"/>
      <c r="X710" s="66" t="e">
        <f>VLOOKUP(D710,#REF!,2,0)</f>
        <v>#REF!</v>
      </c>
      <c r="Y710" s="67" t="e">
        <f t="shared" si="28"/>
        <v>#N/A</v>
      </c>
    </row>
    <row r="711" spans="1:25" ht="13.65" customHeight="1">
      <c r="A711" s="92" t="e">
        <f t="shared" si="29"/>
        <v>#REF!</v>
      </c>
      <c r="B711" s="27"/>
      <c r="C711" s="28" t="e">
        <f>VLOOKUP(D711,'lista 1'!$A$2:$F$1802,4,0)</f>
        <v>#N/A</v>
      </c>
      <c r="D711" s="74"/>
      <c r="E711" s="27" t="e">
        <f>VLOOKUP(D711,'lista 1'!$A$2:$F$1802,5,0)</f>
        <v>#N/A</v>
      </c>
      <c r="F711" s="59" t="e">
        <f>VLOOKUP(G711,'lista 3'!$A$1:$C$467,3,0)</f>
        <v>#N/A</v>
      </c>
      <c r="G711" s="76"/>
      <c r="H711" s="85"/>
      <c r="I711" s="59" t="e">
        <f>VLOOKUP(J711,'lista 3'!$A$1:$C$467,3,0)</f>
        <v>#N/A</v>
      </c>
      <c r="J711" s="78"/>
      <c r="K711" s="87"/>
      <c r="L711" s="82"/>
      <c r="M711" s="22"/>
      <c r="N711" s="22"/>
      <c r="O711" s="22"/>
      <c r="P711" s="26"/>
      <c r="Q711" s="26"/>
      <c r="R711" s="26"/>
      <c r="S711" s="47"/>
      <c r="T711" s="4" t="e">
        <f>VLOOKUP(#REF!,#REF!,2,0)</f>
        <v>#REF!</v>
      </c>
      <c r="U711" s="20" t="e">
        <f t="shared" si="27"/>
        <v>#REF!</v>
      </c>
      <c r="V711" s="47"/>
      <c r="W711" s="43"/>
      <c r="X711" s="66" t="e">
        <f>VLOOKUP(D711,#REF!,2,0)</f>
        <v>#REF!</v>
      </c>
      <c r="Y711" s="67" t="e">
        <f t="shared" si="28"/>
        <v>#N/A</v>
      </c>
    </row>
    <row r="712" spans="1:25" ht="13.65" customHeight="1">
      <c r="A712" s="92" t="e">
        <f t="shared" si="29"/>
        <v>#REF!</v>
      </c>
      <c r="B712" s="27"/>
      <c r="C712" s="28" t="e">
        <f>VLOOKUP(D712,'lista 1'!$A$2:$F$1802,4,0)</f>
        <v>#N/A</v>
      </c>
      <c r="D712" s="74"/>
      <c r="E712" s="27" t="e">
        <f>VLOOKUP(D712,'lista 1'!$A$2:$F$1802,5,0)</f>
        <v>#N/A</v>
      </c>
      <c r="F712" s="59" t="e">
        <f>VLOOKUP(G712,'lista 3'!$A$1:$C$467,3,0)</f>
        <v>#N/A</v>
      </c>
      <c r="G712" s="76"/>
      <c r="H712" s="85"/>
      <c r="I712" s="59" t="e">
        <f>VLOOKUP(J712,'lista 3'!$A$1:$C$467,3,0)</f>
        <v>#N/A</v>
      </c>
      <c r="J712" s="78"/>
      <c r="K712" s="87"/>
      <c r="L712" s="82"/>
      <c r="M712" s="22"/>
      <c r="N712" s="22"/>
      <c r="O712" s="22"/>
      <c r="P712" s="26"/>
      <c r="Q712" s="26"/>
      <c r="R712" s="26"/>
      <c r="S712" s="47"/>
      <c r="T712" s="4" t="e">
        <f>VLOOKUP(#REF!,#REF!,2,0)</f>
        <v>#REF!</v>
      </c>
      <c r="U712" s="20" t="e">
        <f t="shared" si="27"/>
        <v>#REF!</v>
      </c>
      <c r="V712" s="47"/>
      <c r="W712" s="43"/>
      <c r="X712" s="66" t="e">
        <f>VLOOKUP(D712,#REF!,2,0)</f>
        <v>#REF!</v>
      </c>
      <c r="Y712" s="67" t="e">
        <f t="shared" si="28"/>
        <v>#N/A</v>
      </c>
    </row>
    <row r="713" spans="1:25" ht="13.65" customHeight="1">
      <c r="A713" s="92" t="e">
        <f t="shared" si="29"/>
        <v>#REF!</v>
      </c>
      <c r="B713" s="27"/>
      <c r="C713" s="28" t="e">
        <f>VLOOKUP(D713,'lista 1'!$A$2:$F$1802,4,0)</f>
        <v>#N/A</v>
      </c>
      <c r="D713" s="74"/>
      <c r="E713" s="27" t="e">
        <f>VLOOKUP(D713,'lista 1'!$A$2:$F$1802,5,0)</f>
        <v>#N/A</v>
      </c>
      <c r="F713" s="59" t="e">
        <f>VLOOKUP(G713,'lista 3'!$A$1:$C$467,3,0)</f>
        <v>#N/A</v>
      </c>
      <c r="G713" s="76"/>
      <c r="H713" s="85"/>
      <c r="I713" s="59" t="e">
        <f>VLOOKUP(J713,'lista 3'!$A$1:$C$467,3,0)</f>
        <v>#N/A</v>
      </c>
      <c r="J713" s="78"/>
      <c r="K713" s="87"/>
      <c r="L713" s="82"/>
      <c r="M713" s="22"/>
      <c r="N713" s="22"/>
      <c r="O713" s="22"/>
      <c r="P713" s="26"/>
      <c r="Q713" s="26"/>
      <c r="R713" s="26"/>
      <c r="S713" s="47"/>
      <c r="T713" s="4" t="e">
        <f>VLOOKUP(#REF!,#REF!,2,0)</f>
        <v>#REF!</v>
      </c>
      <c r="U713" s="20" t="e">
        <f t="shared" si="27"/>
        <v>#REF!</v>
      </c>
      <c r="V713" s="47"/>
      <c r="W713" s="43"/>
      <c r="X713" s="66" t="e">
        <f>VLOOKUP(D713,#REF!,2,0)</f>
        <v>#REF!</v>
      </c>
      <c r="Y713" s="67" t="e">
        <f t="shared" si="28"/>
        <v>#N/A</v>
      </c>
    </row>
    <row r="714" spans="1:25" ht="13.65" customHeight="1">
      <c r="A714" s="92" t="e">
        <f t="shared" ref="A714:A745" si="30">A713+1</f>
        <v>#REF!</v>
      </c>
      <c r="B714" s="27"/>
      <c r="C714" s="28" t="e">
        <f>VLOOKUP(D714,'lista 1'!$A$2:$F$1802,4,0)</f>
        <v>#N/A</v>
      </c>
      <c r="D714" s="74"/>
      <c r="E714" s="27" t="e">
        <f>VLOOKUP(D714,'lista 1'!$A$2:$F$1802,5,0)</f>
        <v>#N/A</v>
      </c>
      <c r="F714" s="59" t="e">
        <f>VLOOKUP(G714,'lista 3'!$A$1:$C$467,3,0)</f>
        <v>#N/A</v>
      </c>
      <c r="G714" s="76"/>
      <c r="H714" s="85"/>
      <c r="I714" s="59" t="e">
        <f>VLOOKUP(J714,'lista 3'!$A$1:$C$467,3,0)</f>
        <v>#N/A</v>
      </c>
      <c r="J714" s="78"/>
      <c r="K714" s="87"/>
      <c r="L714" s="82"/>
      <c r="M714" s="22"/>
      <c r="N714" s="22"/>
      <c r="O714" s="22"/>
      <c r="P714" s="26"/>
      <c r="Q714" s="26"/>
      <c r="R714" s="26"/>
      <c r="S714" s="47"/>
      <c r="T714" s="4" t="e">
        <f>VLOOKUP(#REF!,#REF!,2,0)</f>
        <v>#REF!</v>
      </c>
      <c r="U714" s="20" t="e">
        <f t="shared" si="27"/>
        <v>#REF!</v>
      </c>
      <c r="V714" s="47"/>
      <c r="W714" s="43"/>
      <c r="X714" s="66" t="e">
        <f>VLOOKUP(D714,#REF!,2,0)</f>
        <v>#REF!</v>
      </c>
      <c r="Y714" s="67" t="e">
        <f t="shared" si="28"/>
        <v>#N/A</v>
      </c>
    </row>
    <row r="715" spans="1:25" ht="13.65" customHeight="1">
      <c r="A715" s="92" t="e">
        <f t="shared" si="30"/>
        <v>#REF!</v>
      </c>
      <c r="B715" s="27"/>
      <c r="C715" s="28" t="e">
        <f>VLOOKUP(D715,'lista 1'!$A$2:$F$1802,4,0)</f>
        <v>#N/A</v>
      </c>
      <c r="D715" s="74"/>
      <c r="E715" s="27" t="e">
        <f>VLOOKUP(D715,'lista 1'!$A$2:$F$1802,5,0)</f>
        <v>#N/A</v>
      </c>
      <c r="F715" s="59" t="e">
        <f>VLOOKUP(G715,'lista 3'!$A$1:$C$467,3,0)</f>
        <v>#N/A</v>
      </c>
      <c r="G715" s="76"/>
      <c r="H715" s="85"/>
      <c r="I715" s="59" t="e">
        <f>VLOOKUP(J715,'lista 3'!$A$1:$C$467,3,0)</f>
        <v>#N/A</v>
      </c>
      <c r="J715" s="78"/>
      <c r="K715" s="87"/>
      <c r="L715" s="82"/>
      <c r="M715" s="22"/>
      <c r="N715" s="22"/>
      <c r="O715" s="22"/>
      <c r="P715" s="26"/>
      <c r="Q715" s="26"/>
      <c r="R715" s="26"/>
      <c r="S715" s="47"/>
      <c r="T715" s="4" t="e">
        <f>VLOOKUP(#REF!,#REF!,2,0)</f>
        <v>#REF!</v>
      </c>
      <c r="U715" s="20" t="e">
        <f t="shared" si="27"/>
        <v>#REF!</v>
      </c>
      <c r="V715" s="47"/>
      <c r="W715" s="43"/>
      <c r="X715" s="66" t="e">
        <f>VLOOKUP(D715,#REF!,2,0)</f>
        <v>#REF!</v>
      </c>
      <c r="Y715" s="67" t="e">
        <f t="shared" si="28"/>
        <v>#N/A</v>
      </c>
    </row>
    <row r="716" spans="1:25" ht="13.65" customHeight="1">
      <c r="A716" s="92" t="e">
        <f t="shared" si="30"/>
        <v>#REF!</v>
      </c>
      <c r="B716" s="27"/>
      <c r="C716" s="28" t="e">
        <f>VLOOKUP(D716,'lista 1'!$A$2:$F$1802,4,0)</f>
        <v>#N/A</v>
      </c>
      <c r="D716" s="74"/>
      <c r="E716" s="27" t="e">
        <f>VLOOKUP(D716,'lista 1'!$A$2:$F$1802,5,0)</f>
        <v>#N/A</v>
      </c>
      <c r="F716" s="59" t="e">
        <f>VLOOKUP(G716,'lista 3'!$A$1:$C$467,3,0)</f>
        <v>#N/A</v>
      </c>
      <c r="G716" s="76"/>
      <c r="H716" s="85"/>
      <c r="I716" s="59" t="e">
        <f>VLOOKUP(J716,'lista 3'!$A$1:$C$467,3,0)</f>
        <v>#N/A</v>
      </c>
      <c r="J716" s="78"/>
      <c r="K716" s="87"/>
      <c r="L716" s="82"/>
      <c r="M716" s="22"/>
      <c r="N716" s="22"/>
      <c r="O716" s="22"/>
      <c r="P716" s="26"/>
      <c r="Q716" s="26"/>
      <c r="R716" s="26"/>
      <c r="S716" s="47"/>
      <c r="T716" s="4" t="e">
        <f>VLOOKUP(#REF!,#REF!,2,0)</f>
        <v>#REF!</v>
      </c>
      <c r="U716" s="20" t="e">
        <f t="shared" si="27"/>
        <v>#REF!</v>
      </c>
      <c r="V716" s="47"/>
      <c r="W716" s="43"/>
      <c r="X716" s="66" t="e">
        <f>VLOOKUP(D716,#REF!,2,0)</f>
        <v>#REF!</v>
      </c>
      <c r="Y716" s="67" t="e">
        <f t="shared" si="28"/>
        <v>#N/A</v>
      </c>
    </row>
    <row r="717" spans="1:25" ht="13.65" customHeight="1">
      <c r="A717" s="92" t="e">
        <f t="shared" si="30"/>
        <v>#REF!</v>
      </c>
      <c r="B717" s="27"/>
      <c r="C717" s="28" t="e">
        <f>VLOOKUP(D717,'lista 1'!$A$2:$F$1802,4,0)</f>
        <v>#N/A</v>
      </c>
      <c r="D717" s="74"/>
      <c r="E717" s="27" t="e">
        <f>VLOOKUP(D717,'lista 1'!$A$2:$F$1802,5,0)</f>
        <v>#N/A</v>
      </c>
      <c r="F717" s="59" t="e">
        <f>VLOOKUP(G717,'lista 3'!$A$1:$C$467,3,0)</f>
        <v>#N/A</v>
      </c>
      <c r="G717" s="76"/>
      <c r="H717" s="85"/>
      <c r="I717" s="59" t="e">
        <f>VLOOKUP(J717,'lista 3'!$A$1:$C$467,3,0)</f>
        <v>#N/A</v>
      </c>
      <c r="J717" s="78"/>
      <c r="K717" s="87"/>
      <c r="L717" s="82"/>
      <c r="M717" s="22"/>
      <c r="N717" s="22"/>
      <c r="O717" s="22"/>
      <c r="P717" s="26"/>
      <c r="Q717" s="26"/>
      <c r="R717" s="26"/>
      <c r="S717" s="47"/>
      <c r="T717" s="4" t="e">
        <f>VLOOKUP(#REF!,#REF!,2,0)</f>
        <v>#REF!</v>
      </c>
      <c r="U717" s="20" t="e">
        <f t="shared" si="27"/>
        <v>#REF!</v>
      </c>
      <c r="V717" s="47"/>
      <c r="W717" s="43"/>
      <c r="X717" s="66" t="e">
        <f>VLOOKUP(D717,#REF!,2,0)</f>
        <v>#REF!</v>
      </c>
      <c r="Y717" s="67" t="e">
        <f t="shared" si="28"/>
        <v>#N/A</v>
      </c>
    </row>
    <row r="718" spans="1:25" ht="13.65" customHeight="1">
      <c r="A718" s="92" t="e">
        <f t="shared" si="30"/>
        <v>#REF!</v>
      </c>
      <c r="B718" s="27"/>
      <c r="C718" s="28" t="e">
        <f>VLOOKUP(D718,'lista 1'!$A$2:$F$1802,4,0)</f>
        <v>#N/A</v>
      </c>
      <c r="D718" s="74"/>
      <c r="E718" s="27" t="e">
        <f>VLOOKUP(D718,'lista 1'!$A$2:$F$1802,5,0)</f>
        <v>#N/A</v>
      </c>
      <c r="F718" s="59" t="e">
        <f>VLOOKUP(G718,'lista 3'!$A$1:$C$467,3,0)</f>
        <v>#N/A</v>
      </c>
      <c r="G718" s="76"/>
      <c r="H718" s="85"/>
      <c r="I718" s="59" t="e">
        <f>VLOOKUP(J718,'lista 3'!$A$1:$C$467,3,0)</f>
        <v>#N/A</v>
      </c>
      <c r="J718" s="78"/>
      <c r="K718" s="87"/>
      <c r="L718" s="82"/>
      <c r="M718" s="22"/>
      <c r="N718" s="22"/>
      <c r="O718" s="22"/>
      <c r="P718" s="26"/>
      <c r="Q718" s="26"/>
      <c r="R718" s="26"/>
      <c r="S718" s="47"/>
      <c r="T718" s="4" t="e">
        <f>VLOOKUP(#REF!,#REF!,2,0)</f>
        <v>#REF!</v>
      </c>
      <c r="U718" s="20" t="e">
        <f t="shared" si="27"/>
        <v>#REF!</v>
      </c>
      <c r="V718" s="47"/>
      <c r="W718" s="43"/>
      <c r="X718" s="66" t="e">
        <f>VLOOKUP(D718,#REF!,2,0)</f>
        <v>#REF!</v>
      </c>
      <c r="Y718" s="67" t="e">
        <f t="shared" si="28"/>
        <v>#N/A</v>
      </c>
    </row>
    <row r="719" spans="1:25" ht="13.65" customHeight="1">
      <c r="A719" s="92" t="e">
        <f t="shared" si="30"/>
        <v>#REF!</v>
      </c>
      <c r="B719" s="27"/>
      <c r="C719" s="28" t="e">
        <f>VLOOKUP(D719,'lista 1'!$A$2:$F$1802,4,0)</f>
        <v>#N/A</v>
      </c>
      <c r="D719" s="74"/>
      <c r="E719" s="27" t="e">
        <f>VLOOKUP(D719,'lista 1'!$A$2:$F$1802,5,0)</f>
        <v>#N/A</v>
      </c>
      <c r="F719" s="59" t="e">
        <f>VLOOKUP(G719,'lista 3'!$A$1:$C$467,3,0)</f>
        <v>#N/A</v>
      </c>
      <c r="G719" s="76"/>
      <c r="H719" s="85"/>
      <c r="I719" s="59" t="e">
        <f>VLOOKUP(J719,'lista 3'!$A$1:$C$467,3,0)</f>
        <v>#N/A</v>
      </c>
      <c r="J719" s="78"/>
      <c r="K719" s="87"/>
      <c r="L719" s="82"/>
      <c r="M719" s="22"/>
      <c r="N719" s="22"/>
      <c r="O719" s="22"/>
      <c r="P719" s="26"/>
      <c r="Q719" s="26"/>
      <c r="R719" s="26"/>
      <c r="S719" s="47"/>
      <c r="T719" s="4" t="e">
        <f>VLOOKUP(#REF!,#REF!,2,0)</f>
        <v>#REF!</v>
      </c>
      <c r="U719" s="20" t="e">
        <f t="shared" si="27"/>
        <v>#REF!</v>
      </c>
      <c r="V719" s="47"/>
      <c r="W719" s="43"/>
      <c r="X719" s="66" t="e">
        <f>VLOOKUP(D719,#REF!,2,0)</f>
        <v>#REF!</v>
      </c>
      <c r="Y719" s="67" t="e">
        <f t="shared" si="28"/>
        <v>#N/A</v>
      </c>
    </row>
    <row r="720" spans="1:25" ht="13.65" customHeight="1">
      <c r="A720" s="92" t="e">
        <f t="shared" si="30"/>
        <v>#REF!</v>
      </c>
      <c r="B720" s="27"/>
      <c r="C720" s="28" t="e">
        <f>VLOOKUP(D720,'lista 1'!$A$2:$F$1802,4,0)</f>
        <v>#N/A</v>
      </c>
      <c r="D720" s="74"/>
      <c r="E720" s="27" t="e">
        <f>VLOOKUP(D720,'lista 1'!$A$2:$F$1802,5,0)</f>
        <v>#N/A</v>
      </c>
      <c r="F720" s="59" t="e">
        <f>VLOOKUP(G720,'lista 3'!$A$1:$C$467,3,0)</f>
        <v>#N/A</v>
      </c>
      <c r="G720" s="76"/>
      <c r="H720" s="85"/>
      <c r="I720" s="59" t="e">
        <f>VLOOKUP(J720,'lista 3'!$A$1:$C$467,3,0)</f>
        <v>#N/A</v>
      </c>
      <c r="J720" s="78"/>
      <c r="K720" s="87"/>
      <c r="L720" s="82"/>
      <c r="M720" s="22"/>
      <c r="N720" s="22"/>
      <c r="O720" s="22"/>
      <c r="P720" s="26"/>
      <c r="Q720" s="26"/>
      <c r="R720" s="26"/>
      <c r="S720" s="47"/>
      <c r="T720" s="4" t="e">
        <f>VLOOKUP(#REF!,#REF!,2,0)</f>
        <v>#REF!</v>
      </c>
      <c r="U720" s="20" t="e">
        <f t="shared" si="27"/>
        <v>#REF!</v>
      </c>
      <c r="V720" s="47"/>
      <c r="W720" s="43"/>
      <c r="X720" s="66" t="e">
        <f>VLOOKUP(D720,#REF!,2,0)</f>
        <v>#REF!</v>
      </c>
      <c r="Y720" s="67" t="e">
        <f t="shared" si="28"/>
        <v>#N/A</v>
      </c>
    </row>
    <row r="721" spans="1:25" ht="13.65" customHeight="1">
      <c r="A721" s="92" t="e">
        <f t="shared" si="30"/>
        <v>#REF!</v>
      </c>
      <c r="B721" s="27"/>
      <c r="C721" s="28" t="e">
        <f>VLOOKUP(D721,'lista 1'!$A$2:$F$1802,4,0)</f>
        <v>#N/A</v>
      </c>
      <c r="D721" s="74"/>
      <c r="E721" s="27" t="e">
        <f>VLOOKUP(D721,'lista 1'!$A$2:$F$1802,5,0)</f>
        <v>#N/A</v>
      </c>
      <c r="F721" s="59" t="e">
        <f>VLOOKUP(G721,'lista 3'!$A$1:$C$467,3,0)</f>
        <v>#N/A</v>
      </c>
      <c r="G721" s="76"/>
      <c r="H721" s="85"/>
      <c r="I721" s="59" t="e">
        <f>VLOOKUP(J721,'lista 3'!$A$1:$C$467,3,0)</f>
        <v>#N/A</v>
      </c>
      <c r="J721" s="78"/>
      <c r="K721" s="87"/>
      <c r="L721" s="82"/>
      <c r="M721" s="22"/>
      <c r="N721" s="22"/>
      <c r="O721" s="22"/>
      <c r="P721" s="26"/>
      <c r="Q721" s="26"/>
      <c r="R721" s="26"/>
      <c r="S721" s="47"/>
      <c r="T721" s="4" t="e">
        <f>VLOOKUP(#REF!,#REF!,2,0)</f>
        <v>#REF!</v>
      </c>
      <c r="U721" s="20" t="e">
        <f t="shared" si="27"/>
        <v>#REF!</v>
      </c>
      <c r="V721" s="47"/>
      <c r="W721" s="43"/>
      <c r="X721" s="66" t="e">
        <f>VLOOKUP(D721,#REF!,2,0)</f>
        <v>#REF!</v>
      </c>
      <c r="Y721" s="67" t="e">
        <f t="shared" si="28"/>
        <v>#N/A</v>
      </c>
    </row>
    <row r="722" spans="1:25" ht="13.65" customHeight="1">
      <c r="A722" s="92" t="e">
        <f t="shared" si="30"/>
        <v>#REF!</v>
      </c>
      <c r="B722" s="27"/>
      <c r="C722" s="28" t="e">
        <f>VLOOKUP(D722,'lista 1'!$A$2:$F$1802,4,0)</f>
        <v>#N/A</v>
      </c>
      <c r="D722" s="74"/>
      <c r="E722" s="27" t="e">
        <f>VLOOKUP(D722,'lista 1'!$A$2:$F$1802,5,0)</f>
        <v>#N/A</v>
      </c>
      <c r="F722" s="59" t="e">
        <f>VLOOKUP(G722,'lista 3'!$A$1:$C$467,3,0)</f>
        <v>#N/A</v>
      </c>
      <c r="G722" s="76"/>
      <c r="H722" s="85"/>
      <c r="I722" s="59" t="e">
        <f>VLOOKUP(J722,'lista 3'!$A$1:$C$467,3,0)</f>
        <v>#N/A</v>
      </c>
      <c r="J722" s="78"/>
      <c r="K722" s="87"/>
      <c r="L722" s="82"/>
      <c r="M722" s="22"/>
      <c r="N722" s="22"/>
      <c r="O722" s="22"/>
      <c r="P722" s="26"/>
      <c r="Q722" s="26"/>
      <c r="R722" s="26"/>
      <c r="S722" s="47"/>
      <c r="T722" s="4" t="e">
        <f>VLOOKUP(#REF!,#REF!,2,0)</f>
        <v>#REF!</v>
      </c>
      <c r="U722" s="20" t="e">
        <f t="shared" si="27"/>
        <v>#REF!</v>
      </c>
      <c r="V722" s="47"/>
      <c r="W722" s="43"/>
      <c r="X722" s="66" t="e">
        <f>VLOOKUP(D722,#REF!,2,0)</f>
        <v>#REF!</v>
      </c>
      <c r="Y722" s="67" t="e">
        <f t="shared" si="28"/>
        <v>#N/A</v>
      </c>
    </row>
    <row r="723" spans="1:25" ht="13.65" customHeight="1">
      <c r="A723" s="92" t="e">
        <f t="shared" si="30"/>
        <v>#REF!</v>
      </c>
      <c r="B723" s="27"/>
      <c r="C723" s="28" t="e">
        <f>VLOOKUP(D723,'lista 1'!$A$2:$F$1802,4,0)</f>
        <v>#N/A</v>
      </c>
      <c r="D723" s="74"/>
      <c r="E723" s="27" t="e">
        <f>VLOOKUP(D723,'lista 1'!$A$2:$F$1802,5,0)</f>
        <v>#N/A</v>
      </c>
      <c r="F723" s="59" t="e">
        <f>VLOOKUP(G723,'lista 3'!$A$1:$C$467,3,0)</f>
        <v>#N/A</v>
      </c>
      <c r="G723" s="76"/>
      <c r="H723" s="85"/>
      <c r="I723" s="59" t="e">
        <f>VLOOKUP(J723,'lista 3'!$A$1:$C$467,3,0)</f>
        <v>#N/A</v>
      </c>
      <c r="J723" s="78"/>
      <c r="K723" s="87"/>
      <c r="L723" s="82"/>
      <c r="M723" s="22"/>
      <c r="N723" s="22"/>
      <c r="O723" s="22"/>
      <c r="P723" s="26"/>
      <c r="Q723" s="26"/>
      <c r="R723" s="26"/>
      <c r="S723" s="47"/>
      <c r="T723" s="4" t="e">
        <f>VLOOKUP(#REF!,#REF!,2,0)</f>
        <v>#REF!</v>
      </c>
      <c r="U723" s="20" t="e">
        <f t="shared" si="27"/>
        <v>#REF!</v>
      </c>
      <c r="V723" s="47"/>
      <c r="W723" s="43"/>
      <c r="X723" s="66" t="e">
        <f>VLOOKUP(D723,#REF!,2,0)</f>
        <v>#REF!</v>
      </c>
      <c r="Y723" s="67" t="e">
        <f t="shared" si="28"/>
        <v>#N/A</v>
      </c>
    </row>
    <row r="724" spans="1:25" ht="13.65" customHeight="1">
      <c r="A724" s="92" t="e">
        <f t="shared" si="30"/>
        <v>#REF!</v>
      </c>
      <c r="B724" s="27"/>
      <c r="C724" s="28" t="e">
        <f>VLOOKUP(D724,'lista 1'!$A$2:$F$1802,4,0)</f>
        <v>#N/A</v>
      </c>
      <c r="D724" s="74"/>
      <c r="E724" s="27" t="e">
        <f>VLOOKUP(D724,'lista 1'!$A$2:$F$1802,5,0)</f>
        <v>#N/A</v>
      </c>
      <c r="F724" s="59" t="e">
        <f>VLOOKUP(G724,'lista 3'!$A$1:$C$467,3,0)</f>
        <v>#N/A</v>
      </c>
      <c r="G724" s="76"/>
      <c r="H724" s="85"/>
      <c r="I724" s="59" t="e">
        <f>VLOOKUP(J724,'lista 3'!$A$1:$C$467,3,0)</f>
        <v>#N/A</v>
      </c>
      <c r="J724" s="78"/>
      <c r="K724" s="87"/>
      <c r="L724" s="82"/>
      <c r="M724" s="22"/>
      <c r="N724" s="22"/>
      <c r="O724" s="22"/>
      <c r="P724" s="26"/>
      <c r="Q724" s="26"/>
      <c r="R724" s="26"/>
      <c r="S724" s="47"/>
      <c r="T724" s="4" t="e">
        <f>VLOOKUP(#REF!,#REF!,2,0)</f>
        <v>#REF!</v>
      </c>
      <c r="U724" s="20" t="e">
        <f t="shared" si="27"/>
        <v>#REF!</v>
      </c>
      <c r="V724" s="47"/>
      <c r="W724" s="43"/>
      <c r="X724" s="66" t="e">
        <f>VLOOKUP(D724,#REF!,2,0)</f>
        <v>#REF!</v>
      </c>
      <c r="Y724" s="67" t="e">
        <f t="shared" si="28"/>
        <v>#N/A</v>
      </c>
    </row>
    <row r="725" spans="1:25" ht="13.65" customHeight="1">
      <c r="A725" s="92" t="e">
        <f t="shared" si="30"/>
        <v>#REF!</v>
      </c>
      <c r="B725" s="27"/>
      <c r="C725" s="28" t="e">
        <f>VLOOKUP(D725,'lista 1'!$A$2:$F$1802,4,0)</f>
        <v>#N/A</v>
      </c>
      <c r="D725" s="74"/>
      <c r="E725" s="27" t="e">
        <f>VLOOKUP(D725,'lista 1'!$A$2:$F$1802,5,0)</f>
        <v>#N/A</v>
      </c>
      <c r="F725" s="59" t="e">
        <f>VLOOKUP(G725,'lista 3'!$A$1:$C$467,3,0)</f>
        <v>#N/A</v>
      </c>
      <c r="G725" s="76"/>
      <c r="H725" s="85"/>
      <c r="I725" s="59" t="e">
        <f>VLOOKUP(J725,'lista 3'!$A$1:$C$467,3,0)</f>
        <v>#N/A</v>
      </c>
      <c r="J725" s="78"/>
      <c r="K725" s="87"/>
      <c r="L725" s="82"/>
      <c r="M725" s="22"/>
      <c r="N725" s="22"/>
      <c r="O725" s="22"/>
      <c r="P725" s="26"/>
      <c r="Q725" s="26"/>
      <c r="R725" s="26"/>
      <c r="S725" s="47"/>
      <c r="T725" s="4" t="e">
        <f>VLOOKUP(#REF!,#REF!,2,0)</f>
        <v>#REF!</v>
      </c>
      <c r="U725" s="20" t="e">
        <f t="shared" si="27"/>
        <v>#REF!</v>
      </c>
      <c r="V725" s="47"/>
      <c r="W725" s="43"/>
      <c r="X725" s="66" t="e">
        <f>VLOOKUP(D725,#REF!,2,0)</f>
        <v>#REF!</v>
      </c>
      <c r="Y725" s="67" t="e">
        <f t="shared" si="28"/>
        <v>#N/A</v>
      </c>
    </row>
    <row r="726" spans="1:25" ht="13.65" customHeight="1">
      <c r="A726" s="92" t="e">
        <f t="shared" si="30"/>
        <v>#REF!</v>
      </c>
      <c r="B726" s="27"/>
      <c r="C726" s="28" t="e">
        <f>VLOOKUP(D726,'lista 1'!$A$2:$F$1802,4,0)</f>
        <v>#N/A</v>
      </c>
      <c r="D726" s="74"/>
      <c r="E726" s="27" t="e">
        <f>VLOOKUP(D726,'lista 1'!$A$2:$F$1802,5,0)</f>
        <v>#N/A</v>
      </c>
      <c r="F726" s="59" t="e">
        <f>VLOOKUP(G726,'lista 3'!$A$1:$C$467,3,0)</f>
        <v>#N/A</v>
      </c>
      <c r="G726" s="76"/>
      <c r="H726" s="85"/>
      <c r="I726" s="59" t="e">
        <f>VLOOKUP(J726,'lista 3'!$A$1:$C$467,3,0)</f>
        <v>#N/A</v>
      </c>
      <c r="J726" s="78"/>
      <c r="K726" s="87"/>
      <c r="L726" s="82"/>
      <c r="M726" s="22"/>
      <c r="N726" s="22"/>
      <c r="O726" s="22"/>
      <c r="P726" s="26"/>
      <c r="Q726" s="26"/>
      <c r="R726" s="26"/>
      <c r="S726" s="47"/>
      <c r="T726" s="4" t="e">
        <f>VLOOKUP(#REF!,#REF!,2,0)</f>
        <v>#REF!</v>
      </c>
      <c r="U726" s="20" t="e">
        <f t="shared" si="27"/>
        <v>#REF!</v>
      </c>
      <c r="V726" s="47"/>
      <c r="W726" s="43"/>
      <c r="X726" s="66" t="e">
        <f>VLOOKUP(D726,#REF!,2,0)</f>
        <v>#REF!</v>
      </c>
      <c r="Y726" s="67" t="e">
        <f t="shared" si="28"/>
        <v>#N/A</v>
      </c>
    </row>
    <row r="727" spans="1:25" ht="13.65" customHeight="1">
      <c r="A727" s="92" t="e">
        <f t="shared" si="30"/>
        <v>#REF!</v>
      </c>
      <c r="B727" s="27"/>
      <c r="C727" s="28" t="e">
        <f>VLOOKUP(D727,'lista 1'!$A$2:$F$1802,4,0)</f>
        <v>#N/A</v>
      </c>
      <c r="D727" s="74"/>
      <c r="E727" s="27" t="e">
        <f>VLOOKUP(D727,'lista 1'!$A$2:$F$1802,5,0)</f>
        <v>#N/A</v>
      </c>
      <c r="F727" s="59" t="e">
        <f>VLOOKUP(G727,'lista 3'!$A$1:$C$467,3,0)</f>
        <v>#N/A</v>
      </c>
      <c r="G727" s="76"/>
      <c r="H727" s="85"/>
      <c r="I727" s="59" t="e">
        <f>VLOOKUP(J727,'lista 3'!$A$1:$C$467,3,0)</f>
        <v>#N/A</v>
      </c>
      <c r="J727" s="78"/>
      <c r="K727" s="87"/>
      <c r="L727" s="82"/>
      <c r="M727" s="22"/>
      <c r="N727" s="22"/>
      <c r="O727" s="22"/>
      <c r="P727" s="26"/>
      <c r="Q727" s="26"/>
      <c r="R727" s="26"/>
      <c r="S727" s="47"/>
      <c r="T727" s="4" t="e">
        <f>VLOOKUP(#REF!,#REF!,2,0)</f>
        <v>#REF!</v>
      </c>
      <c r="U727" s="20" t="e">
        <f t="shared" si="27"/>
        <v>#REF!</v>
      </c>
      <c r="V727" s="47"/>
      <c r="W727" s="43"/>
      <c r="X727" s="66" t="e">
        <f>VLOOKUP(D727,#REF!,2,0)</f>
        <v>#REF!</v>
      </c>
      <c r="Y727" s="67" t="e">
        <f t="shared" si="28"/>
        <v>#N/A</v>
      </c>
    </row>
    <row r="728" spans="1:25" ht="13.65" customHeight="1">
      <c r="A728" s="92" t="e">
        <f t="shared" si="30"/>
        <v>#REF!</v>
      </c>
      <c r="B728" s="27"/>
      <c r="C728" s="28" t="e">
        <f>VLOOKUP(D728,'lista 1'!$A$2:$F$1802,4,0)</f>
        <v>#N/A</v>
      </c>
      <c r="D728" s="74"/>
      <c r="E728" s="27" t="e">
        <f>VLOOKUP(D728,'lista 1'!$A$2:$F$1802,5,0)</f>
        <v>#N/A</v>
      </c>
      <c r="F728" s="59" t="e">
        <f>VLOOKUP(G728,'lista 3'!$A$1:$C$467,3,0)</f>
        <v>#N/A</v>
      </c>
      <c r="G728" s="76"/>
      <c r="H728" s="85"/>
      <c r="I728" s="59" t="e">
        <f>VLOOKUP(J728,'lista 3'!$A$1:$C$467,3,0)</f>
        <v>#N/A</v>
      </c>
      <c r="J728" s="78"/>
      <c r="K728" s="87"/>
      <c r="L728" s="82"/>
      <c r="M728" s="22"/>
      <c r="N728" s="22"/>
      <c r="O728" s="22"/>
      <c r="P728" s="26"/>
      <c r="Q728" s="26"/>
      <c r="R728" s="26"/>
      <c r="S728" s="47"/>
      <c r="T728" s="4" t="e">
        <f>VLOOKUP(#REF!,#REF!,2,0)</f>
        <v>#REF!</v>
      </c>
      <c r="U728" s="20" t="e">
        <f t="shared" si="27"/>
        <v>#REF!</v>
      </c>
      <c r="V728" s="47"/>
      <c r="W728" s="43"/>
      <c r="X728" s="66" t="e">
        <f>VLOOKUP(D728,#REF!,2,0)</f>
        <v>#REF!</v>
      </c>
      <c r="Y728" s="67" t="e">
        <f t="shared" si="28"/>
        <v>#N/A</v>
      </c>
    </row>
    <row r="729" spans="1:25" ht="13.65" customHeight="1">
      <c r="A729" s="92" t="e">
        <f t="shared" si="30"/>
        <v>#REF!</v>
      </c>
      <c r="B729" s="27"/>
      <c r="C729" s="28" t="e">
        <f>VLOOKUP(D729,'lista 1'!$A$2:$F$1802,4,0)</f>
        <v>#N/A</v>
      </c>
      <c r="D729" s="74"/>
      <c r="E729" s="27" t="e">
        <f>VLOOKUP(D729,'lista 1'!$A$2:$F$1802,5,0)</f>
        <v>#N/A</v>
      </c>
      <c r="F729" s="59" t="e">
        <f>VLOOKUP(G729,'lista 3'!$A$1:$C$467,3,0)</f>
        <v>#N/A</v>
      </c>
      <c r="G729" s="76"/>
      <c r="H729" s="85"/>
      <c r="I729" s="59" t="e">
        <f>VLOOKUP(J729,'lista 3'!$A$1:$C$467,3,0)</f>
        <v>#N/A</v>
      </c>
      <c r="J729" s="78"/>
      <c r="K729" s="87"/>
      <c r="L729" s="82"/>
      <c r="M729" s="22"/>
      <c r="N729" s="22"/>
      <c r="O729" s="22"/>
      <c r="P729" s="26"/>
      <c r="Q729" s="26"/>
      <c r="R729" s="26"/>
      <c r="S729" s="47"/>
      <c r="T729" s="4" t="e">
        <f>VLOOKUP(#REF!,#REF!,2,0)</f>
        <v>#REF!</v>
      </c>
      <c r="U729" s="20" t="e">
        <f t="shared" si="27"/>
        <v>#REF!</v>
      </c>
      <c r="V729" s="47"/>
      <c r="W729" s="43"/>
      <c r="X729" s="66" t="e">
        <f>VLOOKUP(D729,#REF!,2,0)</f>
        <v>#REF!</v>
      </c>
      <c r="Y729" s="67" t="e">
        <f t="shared" si="28"/>
        <v>#N/A</v>
      </c>
    </row>
    <row r="730" spans="1:25" ht="13.65" customHeight="1">
      <c r="A730" s="92" t="e">
        <f t="shared" si="30"/>
        <v>#REF!</v>
      </c>
      <c r="B730" s="27"/>
      <c r="C730" s="28" t="e">
        <f>VLOOKUP(D730,'lista 1'!$A$2:$F$1802,4,0)</f>
        <v>#N/A</v>
      </c>
      <c r="D730" s="74"/>
      <c r="E730" s="27" t="e">
        <f>VLOOKUP(D730,'lista 1'!$A$2:$F$1802,5,0)</f>
        <v>#N/A</v>
      </c>
      <c r="F730" s="59" t="e">
        <f>VLOOKUP(G730,'lista 3'!$A$1:$C$467,3,0)</f>
        <v>#N/A</v>
      </c>
      <c r="G730" s="76"/>
      <c r="H730" s="85"/>
      <c r="I730" s="59" t="e">
        <f>VLOOKUP(J730,'lista 3'!$A$1:$C$467,3,0)</f>
        <v>#N/A</v>
      </c>
      <c r="J730" s="78"/>
      <c r="K730" s="87"/>
      <c r="L730" s="82"/>
      <c r="M730" s="22"/>
      <c r="N730" s="22"/>
      <c r="O730" s="22"/>
      <c r="P730" s="26"/>
      <c r="Q730" s="26"/>
      <c r="R730" s="26"/>
      <c r="S730" s="47"/>
      <c r="T730" s="4" t="e">
        <f>VLOOKUP(#REF!,#REF!,2,0)</f>
        <v>#REF!</v>
      </c>
      <c r="U730" s="20" t="e">
        <f t="shared" si="27"/>
        <v>#REF!</v>
      </c>
      <c r="V730" s="47"/>
      <c r="W730" s="43"/>
      <c r="X730" s="66" t="e">
        <f>VLOOKUP(D730,#REF!,2,0)</f>
        <v>#REF!</v>
      </c>
      <c r="Y730" s="67" t="e">
        <f t="shared" si="28"/>
        <v>#N/A</v>
      </c>
    </row>
    <row r="731" spans="1:25" ht="13.65" customHeight="1">
      <c r="A731" s="92" t="e">
        <f t="shared" si="30"/>
        <v>#REF!</v>
      </c>
      <c r="B731" s="27"/>
      <c r="C731" s="28" t="e">
        <f>VLOOKUP(D731,'lista 1'!$A$2:$F$1802,4,0)</f>
        <v>#N/A</v>
      </c>
      <c r="D731" s="74"/>
      <c r="E731" s="27" t="e">
        <f>VLOOKUP(D731,'lista 1'!$A$2:$F$1802,5,0)</f>
        <v>#N/A</v>
      </c>
      <c r="F731" s="59" t="e">
        <f>VLOOKUP(G731,'lista 3'!$A$1:$C$467,3,0)</f>
        <v>#N/A</v>
      </c>
      <c r="G731" s="76"/>
      <c r="H731" s="85"/>
      <c r="I731" s="59" t="e">
        <f>VLOOKUP(J731,'lista 3'!$A$1:$C$467,3,0)</f>
        <v>#N/A</v>
      </c>
      <c r="J731" s="78"/>
      <c r="K731" s="87"/>
      <c r="L731" s="82"/>
      <c r="M731" s="22"/>
      <c r="N731" s="22"/>
      <c r="O731" s="22"/>
      <c r="P731" s="26"/>
      <c r="Q731" s="26"/>
      <c r="R731" s="26"/>
      <c r="S731" s="47"/>
      <c r="T731" s="4" t="e">
        <f>VLOOKUP(#REF!,#REF!,2,0)</f>
        <v>#REF!</v>
      </c>
      <c r="U731" s="20" t="e">
        <f t="shared" si="27"/>
        <v>#REF!</v>
      </c>
      <c r="V731" s="47"/>
      <c r="W731" s="43"/>
      <c r="X731" s="66" t="e">
        <f>VLOOKUP(D731,#REF!,2,0)</f>
        <v>#REF!</v>
      </c>
      <c r="Y731" s="67" t="e">
        <f t="shared" si="28"/>
        <v>#N/A</v>
      </c>
    </row>
    <row r="732" spans="1:25" ht="13.65" customHeight="1">
      <c r="A732" s="92" t="e">
        <f t="shared" si="30"/>
        <v>#REF!</v>
      </c>
      <c r="B732" s="27"/>
      <c r="C732" s="28" t="e">
        <f>VLOOKUP(D732,'lista 1'!$A$2:$F$1802,4,0)</f>
        <v>#N/A</v>
      </c>
      <c r="D732" s="74"/>
      <c r="E732" s="27" t="e">
        <f>VLOOKUP(D732,'lista 1'!$A$2:$F$1802,5,0)</f>
        <v>#N/A</v>
      </c>
      <c r="F732" s="59" t="e">
        <f>VLOOKUP(G732,'lista 3'!$A$1:$C$467,3,0)</f>
        <v>#N/A</v>
      </c>
      <c r="G732" s="76"/>
      <c r="H732" s="85"/>
      <c r="I732" s="59" t="e">
        <f>VLOOKUP(J732,'lista 3'!$A$1:$C$467,3,0)</f>
        <v>#N/A</v>
      </c>
      <c r="J732" s="78"/>
      <c r="K732" s="87"/>
      <c r="L732" s="82"/>
      <c r="M732" s="22"/>
      <c r="N732" s="22"/>
      <c r="O732" s="22"/>
      <c r="P732" s="26"/>
      <c r="Q732" s="26"/>
      <c r="R732" s="26"/>
      <c r="S732" s="47"/>
      <c r="T732" s="4" t="e">
        <f>VLOOKUP(#REF!,#REF!,2,0)</f>
        <v>#REF!</v>
      </c>
      <c r="U732" s="20" t="e">
        <f t="shared" ref="U732:U795" si="31">L732-T732</f>
        <v>#REF!</v>
      </c>
      <c r="V732" s="47"/>
      <c r="W732" s="43"/>
      <c r="X732" s="66" t="e">
        <f>VLOOKUP(D732,#REF!,2,0)</f>
        <v>#REF!</v>
      </c>
      <c r="Y732" s="67" t="e">
        <f t="shared" si="28"/>
        <v>#N/A</v>
      </c>
    </row>
    <row r="733" spans="1:25" ht="13.65" customHeight="1">
      <c r="A733" s="92" t="e">
        <f t="shared" si="30"/>
        <v>#REF!</v>
      </c>
      <c r="B733" s="27"/>
      <c r="C733" s="28" t="e">
        <f>VLOOKUP(D733,'lista 1'!$A$2:$F$1802,4,0)</f>
        <v>#N/A</v>
      </c>
      <c r="D733" s="74"/>
      <c r="E733" s="27" t="e">
        <f>VLOOKUP(D733,'lista 1'!$A$2:$F$1802,5,0)</f>
        <v>#N/A</v>
      </c>
      <c r="F733" s="59" t="e">
        <f>VLOOKUP(G733,'lista 3'!$A$1:$C$467,3,0)</f>
        <v>#N/A</v>
      </c>
      <c r="G733" s="76"/>
      <c r="H733" s="85"/>
      <c r="I733" s="59" t="e">
        <f>VLOOKUP(J733,'lista 3'!$A$1:$C$467,3,0)</f>
        <v>#N/A</v>
      </c>
      <c r="J733" s="78"/>
      <c r="K733" s="87"/>
      <c r="L733" s="82"/>
      <c r="M733" s="22"/>
      <c r="N733" s="22"/>
      <c r="O733" s="22"/>
      <c r="P733" s="26"/>
      <c r="Q733" s="26"/>
      <c r="R733" s="26"/>
      <c r="S733" s="47"/>
      <c r="T733" s="4" t="e">
        <f>VLOOKUP(#REF!,#REF!,2,0)</f>
        <v>#REF!</v>
      </c>
      <c r="U733" s="20" t="e">
        <f t="shared" si="31"/>
        <v>#REF!</v>
      </c>
      <c r="V733" s="47"/>
      <c r="W733" s="43"/>
      <c r="X733" s="66" t="e">
        <f>VLOOKUP(D733,#REF!,2,0)</f>
        <v>#REF!</v>
      </c>
      <c r="Y733" s="67" t="e">
        <f t="shared" si="28"/>
        <v>#N/A</v>
      </c>
    </row>
    <row r="734" spans="1:25" ht="13.65" customHeight="1">
      <c r="A734" s="92" t="e">
        <f t="shared" si="30"/>
        <v>#REF!</v>
      </c>
      <c r="B734" s="27"/>
      <c r="C734" s="28" t="e">
        <f>VLOOKUP(D734,'lista 1'!$A$2:$F$1802,4,0)</f>
        <v>#N/A</v>
      </c>
      <c r="D734" s="74"/>
      <c r="E734" s="27" t="e">
        <f>VLOOKUP(D734,'lista 1'!$A$2:$F$1802,5,0)</f>
        <v>#N/A</v>
      </c>
      <c r="F734" s="59" t="e">
        <f>VLOOKUP(G734,'lista 3'!$A$1:$C$467,3,0)</f>
        <v>#N/A</v>
      </c>
      <c r="G734" s="76"/>
      <c r="H734" s="85"/>
      <c r="I734" s="59" t="e">
        <f>VLOOKUP(J734,'lista 3'!$A$1:$C$467,3,0)</f>
        <v>#N/A</v>
      </c>
      <c r="J734" s="78"/>
      <c r="K734" s="87"/>
      <c r="L734" s="82"/>
      <c r="M734" s="22"/>
      <c r="N734" s="22"/>
      <c r="O734" s="22"/>
      <c r="P734" s="26"/>
      <c r="Q734" s="26"/>
      <c r="R734" s="26"/>
      <c r="S734" s="47"/>
      <c r="T734" s="4" t="e">
        <f>VLOOKUP(#REF!,#REF!,2,0)</f>
        <v>#REF!</v>
      </c>
      <c r="U734" s="20" t="e">
        <f t="shared" si="31"/>
        <v>#REF!</v>
      </c>
      <c r="V734" s="47"/>
      <c r="W734" s="43"/>
      <c r="X734" s="66" t="e">
        <f>VLOOKUP(D734,#REF!,2,0)</f>
        <v>#REF!</v>
      </c>
      <c r="Y734" s="67" t="e">
        <f t="shared" ref="Y734:Y797" si="32">F734=I734</f>
        <v>#N/A</v>
      </c>
    </row>
    <row r="735" spans="1:25" ht="13.65" customHeight="1">
      <c r="A735" s="92" t="e">
        <f t="shared" si="30"/>
        <v>#REF!</v>
      </c>
      <c r="B735" s="27"/>
      <c r="C735" s="28" t="e">
        <f>VLOOKUP(D735,'lista 1'!$A$2:$F$1802,4,0)</f>
        <v>#N/A</v>
      </c>
      <c r="D735" s="74"/>
      <c r="E735" s="27" t="e">
        <f>VLOOKUP(D735,'lista 1'!$A$2:$F$1802,5,0)</f>
        <v>#N/A</v>
      </c>
      <c r="F735" s="59" t="e">
        <f>VLOOKUP(G735,'lista 3'!$A$1:$C$467,3,0)</f>
        <v>#N/A</v>
      </c>
      <c r="G735" s="76"/>
      <c r="H735" s="85"/>
      <c r="I735" s="59" t="e">
        <f>VLOOKUP(J735,'lista 3'!$A$1:$C$467,3,0)</f>
        <v>#N/A</v>
      </c>
      <c r="J735" s="78"/>
      <c r="K735" s="87"/>
      <c r="L735" s="82"/>
      <c r="M735" s="22"/>
      <c r="N735" s="22"/>
      <c r="O735" s="22"/>
      <c r="P735" s="26"/>
      <c r="Q735" s="26"/>
      <c r="R735" s="26"/>
      <c r="S735" s="47"/>
      <c r="T735" s="4" t="e">
        <f>VLOOKUP(#REF!,#REF!,2,0)</f>
        <v>#REF!</v>
      </c>
      <c r="U735" s="20" t="e">
        <f t="shared" si="31"/>
        <v>#REF!</v>
      </c>
      <c r="V735" s="47"/>
      <c r="W735" s="43"/>
      <c r="X735" s="66" t="e">
        <f>VLOOKUP(D735,#REF!,2,0)</f>
        <v>#REF!</v>
      </c>
      <c r="Y735" s="67" t="e">
        <f t="shared" si="32"/>
        <v>#N/A</v>
      </c>
    </row>
    <row r="736" spans="1:25" ht="13.65" customHeight="1">
      <c r="A736" s="92" t="e">
        <f t="shared" si="30"/>
        <v>#REF!</v>
      </c>
      <c r="B736" s="27"/>
      <c r="C736" s="28" t="e">
        <f>VLOOKUP(D736,'lista 1'!$A$2:$F$1802,4,0)</f>
        <v>#N/A</v>
      </c>
      <c r="D736" s="74"/>
      <c r="E736" s="27" t="e">
        <f>VLOOKUP(D736,'lista 1'!$A$2:$F$1802,5,0)</f>
        <v>#N/A</v>
      </c>
      <c r="F736" s="59" t="e">
        <f>VLOOKUP(G736,'lista 3'!$A$1:$C$467,3,0)</f>
        <v>#N/A</v>
      </c>
      <c r="G736" s="76"/>
      <c r="H736" s="85"/>
      <c r="I736" s="59" t="e">
        <f>VLOOKUP(J736,'lista 3'!$A$1:$C$467,3,0)</f>
        <v>#N/A</v>
      </c>
      <c r="J736" s="78"/>
      <c r="K736" s="87"/>
      <c r="L736" s="82"/>
      <c r="M736" s="22"/>
      <c r="N736" s="22"/>
      <c r="O736" s="22"/>
      <c r="P736" s="26"/>
      <c r="Q736" s="26"/>
      <c r="R736" s="26"/>
      <c r="S736" s="47"/>
      <c r="T736" s="4" t="e">
        <f>VLOOKUP(#REF!,#REF!,2,0)</f>
        <v>#REF!</v>
      </c>
      <c r="U736" s="20" t="e">
        <f t="shared" si="31"/>
        <v>#REF!</v>
      </c>
      <c r="V736" s="47"/>
      <c r="W736" s="43"/>
      <c r="X736" s="66" t="e">
        <f>VLOOKUP(D736,#REF!,2,0)</f>
        <v>#REF!</v>
      </c>
      <c r="Y736" s="67" t="e">
        <f t="shared" si="32"/>
        <v>#N/A</v>
      </c>
    </row>
    <row r="737" spans="1:25" ht="13.65" customHeight="1">
      <c r="A737" s="92" t="e">
        <f t="shared" si="30"/>
        <v>#REF!</v>
      </c>
      <c r="B737" s="27"/>
      <c r="C737" s="28" t="e">
        <f>VLOOKUP(D737,'lista 1'!$A$2:$F$1802,4,0)</f>
        <v>#N/A</v>
      </c>
      <c r="D737" s="74"/>
      <c r="E737" s="27" t="e">
        <f>VLOOKUP(D737,'lista 1'!$A$2:$F$1802,5,0)</f>
        <v>#N/A</v>
      </c>
      <c r="F737" s="59" t="e">
        <f>VLOOKUP(G737,'lista 3'!$A$1:$C$467,3,0)</f>
        <v>#N/A</v>
      </c>
      <c r="G737" s="76"/>
      <c r="H737" s="85"/>
      <c r="I737" s="59" t="e">
        <f>VLOOKUP(J737,'lista 3'!$A$1:$C$467,3,0)</f>
        <v>#N/A</v>
      </c>
      <c r="J737" s="78"/>
      <c r="K737" s="87"/>
      <c r="L737" s="82"/>
      <c r="M737" s="22"/>
      <c r="N737" s="22"/>
      <c r="O737" s="22"/>
      <c r="P737" s="26"/>
      <c r="Q737" s="26"/>
      <c r="R737" s="26"/>
      <c r="S737" s="47"/>
      <c r="T737" s="4" t="e">
        <f>VLOOKUP(#REF!,#REF!,2,0)</f>
        <v>#REF!</v>
      </c>
      <c r="U737" s="20" t="e">
        <f t="shared" si="31"/>
        <v>#REF!</v>
      </c>
      <c r="V737" s="47"/>
      <c r="W737" s="43"/>
      <c r="X737" s="66" t="e">
        <f>VLOOKUP(D737,#REF!,2,0)</f>
        <v>#REF!</v>
      </c>
      <c r="Y737" s="67" t="e">
        <f t="shared" si="32"/>
        <v>#N/A</v>
      </c>
    </row>
    <row r="738" spans="1:25" ht="13.65" customHeight="1">
      <c r="A738" s="92" t="e">
        <f t="shared" si="30"/>
        <v>#REF!</v>
      </c>
      <c r="B738" s="27"/>
      <c r="C738" s="28" t="e">
        <f>VLOOKUP(D738,'lista 1'!$A$2:$F$1802,4,0)</f>
        <v>#N/A</v>
      </c>
      <c r="D738" s="74"/>
      <c r="E738" s="27" t="e">
        <f>VLOOKUP(D738,'lista 1'!$A$2:$F$1802,5,0)</f>
        <v>#N/A</v>
      </c>
      <c r="F738" s="59" t="e">
        <f>VLOOKUP(G738,'lista 3'!$A$1:$C$467,3,0)</f>
        <v>#N/A</v>
      </c>
      <c r="G738" s="76"/>
      <c r="H738" s="85"/>
      <c r="I738" s="59" t="e">
        <f>VLOOKUP(J738,'lista 3'!$A$1:$C$467,3,0)</f>
        <v>#N/A</v>
      </c>
      <c r="J738" s="78"/>
      <c r="K738" s="87"/>
      <c r="L738" s="82"/>
      <c r="M738" s="22"/>
      <c r="N738" s="22"/>
      <c r="O738" s="22"/>
      <c r="P738" s="26"/>
      <c r="Q738" s="26"/>
      <c r="R738" s="26"/>
      <c r="S738" s="47"/>
      <c r="T738" s="4" t="e">
        <f>VLOOKUP(#REF!,#REF!,2,0)</f>
        <v>#REF!</v>
      </c>
      <c r="U738" s="20" t="e">
        <f t="shared" si="31"/>
        <v>#REF!</v>
      </c>
      <c r="V738" s="47"/>
      <c r="W738" s="43"/>
      <c r="X738" s="66" t="e">
        <f>VLOOKUP(D738,#REF!,2,0)</f>
        <v>#REF!</v>
      </c>
      <c r="Y738" s="67" t="e">
        <f t="shared" si="32"/>
        <v>#N/A</v>
      </c>
    </row>
    <row r="739" spans="1:25" ht="13.65" customHeight="1">
      <c r="A739" s="92" t="e">
        <f t="shared" si="30"/>
        <v>#REF!</v>
      </c>
      <c r="B739" s="27"/>
      <c r="C739" s="28" t="e">
        <f>VLOOKUP(D739,'lista 1'!$A$2:$F$1802,4,0)</f>
        <v>#N/A</v>
      </c>
      <c r="D739" s="74"/>
      <c r="E739" s="27" t="e">
        <f>VLOOKUP(D739,'lista 1'!$A$2:$F$1802,5,0)</f>
        <v>#N/A</v>
      </c>
      <c r="F739" s="59" t="e">
        <f>VLOOKUP(G739,'lista 3'!$A$1:$C$467,3,0)</f>
        <v>#N/A</v>
      </c>
      <c r="G739" s="76"/>
      <c r="H739" s="85"/>
      <c r="I739" s="59" t="e">
        <f>VLOOKUP(J739,'lista 3'!$A$1:$C$467,3,0)</f>
        <v>#N/A</v>
      </c>
      <c r="J739" s="78"/>
      <c r="K739" s="87"/>
      <c r="L739" s="82"/>
      <c r="M739" s="22"/>
      <c r="N739" s="22"/>
      <c r="O739" s="22"/>
      <c r="P739" s="26"/>
      <c r="Q739" s="26"/>
      <c r="R739" s="26"/>
      <c r="S739" s="47"/>
      <c r="T739" s="4" t="e">
        <f>VLOOKUP(#REF!,#REF!,2,0)</f>
        <v>#REF!</v>
      </c>
      <c r="U739" s="20" t="e">
        <f t="shared" si="31"/>
        <v>#REF!</v>
      </c>
      <c r="V739" s="47"/>
      <c r="W739" s="43"/>
      <c r="X739" s="66" t="e">
        <f>VLOOKUP(D739,#REF!,2,0)</f>
        <v>#REF!</v>
      </c>
      <c r="Y739" s="67" t="e">
        <f t="shared" si="32"/>
        <v>#N/A</v>
      </c>
    </row>
    <row r="740" spans="1:25" ht="13.65" customHeight="1">
      <c r="A740" s="92" t="e">
        <f t="shared" si="30"/>
        <v>#REF!</v>
      </c>
      <c r="B740" s="27"/>
      <c r="C740" s="28" t="e">
        <f>VLOOKUP(D740,'lista 1'!$A$2:$F$1802,4,0)</f>
        <v>#N/A</v>
      </c>
      <c r="D740" s="74"/>
      <c r="E740" s="27" t="e">
        <f>VLOOKUP(D740,'lista 1'!$A$2:$F$1802,5,0)</f>
        <v>#N/A</v>
      </c>
      <c r="F740" s="59" t="e">
        <f>VLOOKUP(G740,'lista 3'!$A$1:$C$467,3,0)</f>
        <v>#N/A</v>
      </c>
      <c r="G740" s="76"/>
      <c r="H740" s="85"/>
      <c r="I740" s="59" t="e">
        <f>VLOOKUP(J740,'lista 3'!$A$1:$C$467,3,0)</f>
        <v>#N/A</v>
      </c>
      <c r="J740" s="78"/>
      <c r="K740" s="87"/>
      <c r="L740" s="82"/>
      <c r="M740" s="22"/>
      <c r="N740" s="22"/>
      <c r="O740" s="22"/>
      <c r="P740" s="26"/>
      <c r="Q740" s="26"/>
      <c r="R740" s="26"/>
      <c r="S740" s="47"/>
      <c r="T740" s="4" t="e">
        <f>VLOOKUP(#REF!,#REF!,2,0)</f>
        <v>#REF!</v>
      </c>
      <c r="U740" s="20" t="e">
        <f t="shared" si="31"/>
        <v>#REF!</v>
      </c>
      <c r="V740" s="47"/>
      <c r="W740" s="43"/>
      <c r="X740" s="66" t="e">
        <f>VLOOKUP(D740,#REF!,2,0)</f>
        <v>#REF!</v>
      </c>
      <c r="Y740" s="67" t="e">
        <f t="shared" si="32"/>
        <v>#N/A</v>
      </c>
    </row>
    <row r="741" spans="1:25" ht="13.65" customHeight="1">
      <c r="A741" s="92" t="e">
        <f t="shared" si="30"/>
        <v>#REF!</v>
      </c>
      <c r="B741" s="27"/>
      <c r="C741" s="28" t="e">
        <f>VLOOKUP(D741,'lista 1'!$A$2:$F$1802,4,0)</f>
        <v>#N/A</v>
      </c>
      <c r="D741" s="74"/>
      <c r="E741" s="27" t="e">
        <f>VLOOKUP(D741,'lista 1'!$A$2:$F$1802,5,0)</f>
        <v>#N/A</v>
      </c>
      <c r="F741" s="59" t="e">
        <f>VLOOKUP(G741,'lista 3'!$A$1:$C$467,3,0)</f>
        <v>#N/A</v>
      </c>
      <c r="G741" s="76"/>
      <c r="H741" s="85"/>
      <c r="I741" s="59" t="e">
        <f>VLOOKUP(J741,'lista 3'!$A$1:$C$467,3,0)</f>
        <v>#N/A</v>
      </c>
      <c r="J741" s="78"/>
      <c r="K741" s="87"/>
      <c r="L741" s="82"/>
      <c r="M741" s="22"/>
      <c r="N741" s="22"/>
      <c r="O741" s="22"/>
      <c r="P741" s="26"/>
      <c r="Q741" s="26"/>
      <c r="R741" s="26"/>
      <c r="S741" s="47"/>
      <c r="T741" s="4" t="e">
        <f>VLOOKUP(#REF!,#REF!,2,0)</f>
        <v>#REF!</v>
      </c>
      <c r="U741" s="20" t="e">
        <f t="shared" si="31"/>
        <v>#REF!</v>
      </c>
      <c r="V741" s="47"/>
      <c r="W741" s="43"/>
      <c r="X741" s="66" t="e">
        <f>VLOOKUP(D741,#REF!,2,0)</f>
        <v>#REF!</v>
      </c>
      <c r="Y741" s="67" t="e">
        <f t="shared" si="32"/>
        <v>#N/A</v>
      </c>
    </row>
    <row r="742" spans="1:25" ht="13.65" customHeight="1">
      <c r="A742" s="92" t="e">
        <f t="shared" si="30"/>
        <v>#REF!</v>
      </c>
      <c r="B742" s="27"/>
      <c r="C742" s="28" t="e">
        <f>VLOOKUP(D742,'lista 1'!$A$2:$F$1802,4,0)</f>
        <v>#N/A</v>
      </c>
      <c r="D742" s="74"/>
      <c r="E742" s="27" t="e">
        <f>VLOOKUP(D742,'lista 1'!$A$2:$F$1802,5,0)</f>
        <v>#N/A</v>
      </c>
      <c r="F742" s="59" t="e">
        <f>VLOOKUP(G742,'lista 3'!$A$1:$C$467,3,0)</f>
        <v>#N/A</v>
      </c>
      <c r="G742" s="76"/>
      <c r="H742" s="85"/>
      <c r="I742" s="59" t="e">
        <f>VLOOKUP(J742,'lista 3'!$A$1:$C$467,3,0)</f>
        <v>#N/A</v>
      </c>
      <c r="J742" s="78"/>
      <c r="K742" s="87"/>
      <c r="L742" s="82"/>
      <c r="M742" s="22"/>
      <c r="N742" s="22"/>
      <c r="O742" s="22"/>
      <c r="P742" s="26"/>
      <c r="Q742" s="26"/>
      <c r="R742" s="26"/>
      <c r="S742" s="47"/>
      <c r="T742" s="4" t="e">
        <f>VLOOKUP(#REF!,#REF!,2,0)</f>
        <v>#REF!</v>
      </c>
      <c r="U742" s="20" t="e">
        <f t="shared" si="31"/>
        <v>#REF!</v>
      </c>
      <c r="V742" s="47"/>
      <c r="W742" s="43"/>
      <c r="X742" s="66" t="e">
        <f>VLOOKUP(D742,#REF!,2,0)</f>
        <v>#REF!</v>
      </c>
      <c r="Y742" s="67" t="e">
        <f t="shared" si="32"/>
        <v>#N/A</v>
      </c>
    </row>
    <row r="743" spans="1:25" ht="13.65" customHeight="1">
      <c r="A743" s="92" t="e">
        <f t="shared" si="30"/>
        <v>#REF!</v>
      </c>
      <c r="B743" s="27"/>
      <c r="C743" s="28" t="e">
        <f>VLOOKUP(D743,'lista 1'!$A$2:$F$1802,4,0)</f>
        <v>#N/A</v>
      </c>
      <c r="D743" s="74"/>
      <c r="E743" s="27" t="e">
        <f>VLOOKUP(D743,'lista 1'!$A$2:$F$1802,5,0)</f>
        <v>#N/A</v>
      </c>
      <c r="F743" s="59" t="e">
        <f>VLOOKUP(G743,'lista 3'!$A$1:$C$467,3,0)</f>
        <v>#N/A</v>
      </c>
      <c r="G743" s="76"/>
      <c r="H743" s="85"/>
      <c r="I743" s="59" t="e">
        <f>VLOOKUP(J743,'lista 3'!$A$1:$C$467,3,0)</f>
        <v>#N/A</v>
      </c>
      <c r="J743" s="78"/>
      <c r="K743" s="87"/>
      <c r="L743" s="82"/>
      <c r="M743" s="22"/>
      <c r="N743" s="22"/>
      <c r="O743" s="22"/>
      <c r="P743" s="26"/>
      <c r="Q743" s="26"/>
      <c r="R743" s="26"/>
      <c r="S743" s="47"/>
      <c r="T743" s="4" t="e">
        <f>VLOOKUP(#REF!,#REF!,2,0)</f>
        <v>#REF!</v>
      </c>
      <c r="U743" s="20" t="e">
        <f t="shared" si="31"/>
        <v>#REF!</v>
      </c>
      <c r="V743" s="47"/>
      <c r="W743" s="43"/>
      <c r="X743" s="66" t="e">
        <f>VLOOKUP(D743,#REF!,2,0)</f>
        <v>#REF!</v>
      </c>
      <c r="Y743" s="67" t="e">
        <f t="shared" si="32"/>
        <v>#N/A</v>
      </c>
    </row>
    <row r="744" spans="1:25" ht="13.65" customHeight="1">
      <c r="A744" s="92" t="e">
        <f t="shared" si="30"/>
        <v>#REF!</v>
      </c>
      <c r="B744" s="27"/>
      <c r="C744" s="28" t="e">
        <f>VLOOKUP(D744,'lista 1'!$A$2:$F$1802,4,0)</f>
        <v>#N/A</v>
      </c>
      <c r="D744" s="74"/>
      <c r="E744" s="27" t="e">
        <f>VLOOKUP(D744,'lista 1'!$A$2:$F$1802,5,0)</f>
        <v>#N/A</v>
      </c>
      <c r="F744" s="59" t="e">
        <f>VLOOKUP(G744,'lista 3'!$A$1:$C$467,3,0)</f>
        <v>#N/A</v>
      </c>
      <c r="G744" s="76"/>
      <c r="H744" s="85"/>
      <c r="I744" s="59" t="e">
        <f>VLOOKUP(J744,'lista 3'!$A$1:$C$467,3,0)</f>
        <v>#N/A</v>
      </c>
      <c r="J744" s="78"/>
      <c r="K744" s="87"/>
      <c r="L744" s="82"/>
      <c r="M744" s="22"/>
      <c r="N744" s="22"/>
      <c r="O744" s="22"/>
      <c r="P744" s="26"/>
      <c r="Q744" s="26"/>
      <c r="R744" s="26"/>
      <c r="S744" s="47"/>
      <c r="T744" s="4" t="e">
        <f>VLOOKUP(#REF!,#REF!,2,0)</f>
        <v>#REF!</v>
      </c>
      <c r="U744" s="20" t="e">
        <f t="shared" si="31"/>
        <v>#REF!</v>
      </c>
      <c r="V744" s="47"/>
      <c r="W744" s="43"/>
      <c r="X744" s="66" t="e">
        <f>VLOOKUP(D744,#REF!,2,0)</f>
        <v>#REF!</v>
      </c>
      <c r="Y744" s="67" t="e">
        <f t="shared" si="32"/>
        <v>#N/A</v>
      </c>
    </row>
    <row r="745" spans="1:25" ht="13.65" customHeight="1">
      <c r="A745" s="92" t="e">
        <f t="shared" si="30"/>
        <v>#REF!</v>
      </c>
      <c r="B745" s="27"/>
      <c r="C745" s="28" t="e">
        <f>VLOOKUP(D745,'lista 1'!$A$2:$F$1802,4,0)</f>
        <v>#N/A</v>
      </c>
      <c r="D745" s="74"/>
      <c r="E745" s="27" t="e">
        <f>VLOOKUP(D745,'lista 1'!$A$2:$F$1802,5,0)</f>
        <v>#N/A</v>
      </c>
      <c r="F745" s="59" t="e">
        <f>VLOOKUP(G745,'lista 3'!$A$1:$C$467,3,0)</f>
        <v>#N/A</v>
      </c>
      <c r="G745" s="76"/>
      <c r="H745" s="85"/>
      <c r="I745" s="59" t="e">
        <f>VLOOKUP(J745,'lista 3'!$A$1:$C$467,3,0)</f>
        <v>#N/A</v>
      </c>
      <c r="J745" s="78"/>
      <c r="K745" s="87"/>
      <c r="L745" s="82"/>
      <c r="M745" s="22"/>
      <c r="N745" s="22"/>
      <c r="O745" s="22"/>
      <c r="P745" s="26"/>
      <c r="Q745" s="26"/>
      <c r="R745" s="26"/>
      <c r="S745" s="47"/>
      <c r="T745" s="4" t="e">
        <f>VLOOKUP(#REF!,#REF!,2,0)</f>
        <v>#REF!</v>
      </c>
      <c r="U745" s="20" t="e">
        <f t="shared" si="31"/>
        <v>#REF!</v>
      </c>
      <c r="V745" s="47"/>
      <c r="W745" s="43"/>
      <c r="X745" s="66" t="e">
        <f>VLOOKUP(D745,#REF!,2,0)</f>
        <v>#REF!</v>
      </c>
      <c r="Y745" s="67" t="e">
        <f t="shared" si="32"/>
        <v>#N/A</v>
      </c>
    </row>
    <row r="746" spans="1:25" ht="13.65" customHeight="1">
      <c r="A746" s="92" t="e">
        <f t="shared" ref="A746:A777" si="33">A745+1</f>
        <v>#REF!</v>
      </c>
      <c r="B746" s="27"/>
      <c r="C746" s="28" t="e">
        <f>VLOOKUP(D746,'lista 1'!$A$2:$F$1802,4,0)</f>
        <v>#N/A</v>
      </c>
      <c r="D746" s="74"/>
      <c r="E746" s="27" t="e">
        <f>VLOOKUP(D746,'lista 1'!$A$2:$F$1802,5,0)</f>
        <v>#N/A</v>
      </c>
      <c r="F746" s="59" t="e">
        <f>VLOOKUP(G746,'lista 3'!$A$1:$C$467,3,0)</f>
        <v>#N/A</v>
      </c>
      <c r="G746" s="76"/>
      <c r="H746" s="85"/>
      <c r="I746" s="59" t="e">
        <f>VLOOKUP(J746,'lista 3'!$A$1:$C$467,3,0)</f>
        <v>#N/A</v>
      </c>
      <c r="J746" s="78"/>
      <c r="K746" s="87"/>
      <c r="L746" s="82"/>
      <c r="M746" s="22"/>
      <c r="N746" s="22"/>
      <c r="O746" s="22"/>
      <c r="P746" s="26"/>
      <c r="Q746" s="26"/>
      <c r="R746" s="26"/>
      <c r="S746" s="47"/>
      <c r="T746" s="4" t="e">
        <f>VLOOKUP(#REF!,#REF!,2,0)</f>
        <v>#REF!</v>
      </c>
      <c r="U746" s="20" t="e">
        <f t="shared" si="31"/>
        <v>#REF!</v>
      </c>
      <c r="V746" s="47"/>
      <c r="W746" s="43"/>
      <c r="X746" s="66" t="e">
        <f>VLOOKUP(D746,#REF!,2,0)</f>
        <v>#REF!</v>
      </c>
      <c r="Y746" s="67" t="e">
        <f t="shared" si="32"/>
        <v>#N/A</v>
      </c>
    </row>
    <row r="747" spans="1:25" ht="13.65" customHeight="1">
      <c r="A747" s="92" t="e">
        <f t="shared" si="33"/>
        <v>#REF!</v>
      </c>
      <c r="B747" s="27"/>
      <c r="C747" s="28" t="e">
        <f>VLOOKUP(D747,'lista 1'!$A$2:$F$1802,4,0)</f>
        <v>#N/A</v>
      </c>
      <c r="D747" s="74"/>
      <c r="E747" s="27" t="e">
        <f>VLOOKUP(D747,'lista 1'!$A$2:$F$1802,5,0)</f>
        <v>#N/A</v>
      </c>
      <c r="F747" s="59" t="e">
        <f>VLOOKUP(G747,'lista 3'!$A$1:$C$467,3,0)</f>
        <v>#N/A</v>
      </c>
      <c r="G747" s="76"/>
      <c r="H747" s="85"/>
      <c r="I747" s="59" t="e">
        <f>VLOOKUP(J747,'lista 3'!$A$1:$C$467,3,0)</f>
        <v>#N/A</v>
      </c>
      <c r="J747" s="78"/>
      <c r="K747" s="87"/>
      <c r="L747" s="82"/>
      <c r="M747" s="22"/>
      <c r="N747" s="22"/>
      <c r="O747" s="22"/>
      <c r="P747" s="26"/>
      <c r="Q747" s="26"/>
      <c r="R747" s="26"/>
      <c r="S747" s="47"/>
      <c r="T747" s="4" t="e">
        <f>VLOOKUP(#REF!,#REF!,2,0)</f>
        <v>#REF!</v>
      </c>
      <c r="U747" s="20" t="e">
        <f t="shared" si="31"/>
        <v>#REF!</v>
      </c>
      <c r="V747" s="47"/>
      <c r="W747" s="43"/>
      <c r="X747" s="66" t="e">
        <f>VLOOKUP(D747,#REF!,2,0)</f>
        <v>#REF!</v>
      </c>
      <c r="Y747" s="67" t="e">
        <f t="shared" si="32"/>
        <v>#N/A</v>
      </c>
    </row>
    <row r="748" spans="1:25" ht="13.65" customHeight="1">
      <c r="A748" s="92" t="e">
        <f t="shared" si="33"/>
        <v>#REF!</v>
      </c>
      <c r="B748" s="27"/>
      <c r="C748" s="28" t="e">
        <f>VLOOKUP(D748,'lista 1'!$A$2:$F$1802,4,0)</f>
        <v>#N/A</v>
      </c>
      <c r="D748" s="74"/>
      <c r="E748" s="27" t="e">
        <f>VLOOKUP(D748,'lista 1'!$A$2:$F$1802,5,0)</f>
        <v>#N/A</v>
      </c>
      <c r="F748" s="59" t="e">
        <f>VLOOKUP(G748,'lista 3'!$A$1:$C$467,3,0)</f>
        <v>#N/A</v>
      </c>
      <c r="G748" s="76"/>
      <c r="H748" s="85"/>
      <c r="I748" s="59" t="e">
        <f>VLOOKUP(J748,'lista 3'!$A$1:$C$467,3,0)</f>
        <v>#N/A</v>
      </c>
      <c r="J748" s="78"/>
      <c r="K748" s="87"/>
      <c r="L748" s="82"/>
      <c r="M748" s="22"/>
      <c r="N748" s="22"/>
      <c r="O748" s="22"/>
      <c r="P748" s="26"/>
      <c r="Q748" s="26"/>
      <c r="R748" s="26"/>
      <c r="S748" s="47"/>
      <c r="T748" s="4" t="e">
        <f>VLOOKUP(#REF!,#REF!,2,0)</f>
        <v>#REF!</v>
      </c>
      <c r="U748" s="20" t="e">
        <f t="shared" si="31"/>
        <v>#REF!</v>
      </c>
      <c r="V748" s="47"/>
      <c r="W748" s="43"/>
      <c r="X748" s="66" t="e">
        <f>VLOOKUP(D748,#REF!,2,0)</f>
        <v>#REF!</v>
      </c>
      <c r="Y748" s="67" t="e">
        <f t="shared" si="32"/>
        <v>#N/A</v>
      </c>
    </row>
    <row r="749" spans="1:25" ht="13.65" customHeight="1">
      <c r="A749" s="92" t="e">
        <f t="shared" si="33"/>
        <v>#REF!</v>
      </c>
      <c r="B749" s="27"/>
      <c r="C749" s="28" t="e">
        <f>VLOOKUP(D749,'lista 1'!$A$2:$F$1802,4,0)</f>
        <v>#N/A</v>
      </c>
      <c r="D749" s="74"/>
      <c r="E749" s="27" t="e">
        <f>VLOOKUP(D749,'lista 1'!$A$2:$F$1802,5,0)</f>
        <v>#N/A</v>
      </c>
      <c r="F749" s="59" t="e">
        <f>VLOOKUP(G749,'lista 3'!$A$1:$C$467,3,0)</f>
        <v>#N/A</v>
      </c>
      <c r="G749" s="76"/>
      <c r="H749" s="85"/>
      <c r="I749" s="59" t="e">
        <f>VLOOKUP(J749,'lista 3'!$A$1:$C$467,3,0)</f>
        <v>#N/A</v>
      </c>
      <c r="J749" s="78"/>
      <c r="K749" s="87"/>
      <c r="L749" s="82"/>
      <c r="M749" s="22"/>
      <c r="N749" s="22"/>
      <c r="O749" s="22"/>
      <c r="P749" s="26"/>
      <c r="Q749" s="26"/>
      <c r="R749" s="26"/>
      <c r="S749" s="47"/>
      <c r="T749" s="4" t="e">
        <f>VLOOKUP(#REF!,#REF!,2,0)</f>
        <v>#REF!</v>
      </c>
      <c r="U749" s="20" t="e">
        <f t="shared" si="31"/>
        <v>#REF!</v>
      </c>
      <c r="V749" s="47"/>
      <c r="W749" s="43"/>
      <c r="X749" s="66" t="e">
        <f>VLOOKUP(D749,#REF!,2,0)</f>
        <v>#REF!</v>
      </c>
      <c r="Y749" s="67" t="e">
        <f t="shared" si="32"/>
        <v>#N/A</v>
      </c>
    </row>
    <row r="750" spans="1:25" ht="13.65" customHeight="1">
      <c r="A750" s="92" t="e">
        <f t="shared" si="33"/>
        <v>#REF!</v>
      </c>
      <c r="B750" s="27"/>
      <c r="C750" s="28" t="e">
        <f>VLOOKUP(D750,'lista 1'!$A$2:$F$1802,4,0)</f>
        <v>#N/A</v>
      </c>
      <c r="D750" s="74"/>
      <c r="E750" s="27" t="e">
        <f>VLOOKUP(D750,'lista 1'!$A$2:$F$1802,5,0)</f>
        <v>#N/A</v>
      </c>
      <c r="F750" s="59" t="e">
        <f>VLOOKUP(G750,'lista 3'!$A$1:$C$467,3,0)</f>
        <v>#N/A</v>
      </c>
      <c r="G750" s="76"/>
      <c r="H750" s="85"/>
      <c r="I750" s="59" t="e">
        <f>VLOOKUP(J750,'lista 3'!$A$1:$C$467,3,0)</f>
        <v>#N/A</v>
      </c>
      <c r="J750" s="78"/>
      <c r="K750" s="87"/>
      <c r="L750" s="82"/>
      <c r="M750" s="22"/>
      <c r="N750" s="22"/>
      <c r="O750" s="22"/>
      <c r="P750" s="26"/>
      <c r="Q750" s="26"/>
      <c r="R750" s="26"/>
      <c r="S750" s="47"/>
      <c r="T750" s="4" t="e">
        <f>VLOOKUP(#REF!,#REF!,2,0)</f>
        <v>#REF!</v>
      </c>
      <c r="U750" s="20" t="e">
        <f t="shared" si="31"/>
        <v>#REF!</v>
      </c>
      <c r="V750" s="47"/>
      <c r="W750" s="43"/>
      <c r="X750" s="66" t="e">
        <f>VLOOKUP(D750,#REF!,2,0)</f>
        <v>#REF!</v>
      </c>
      <c r="Y750" s="67" t="e">
        <f t="shared" si="32"/>
        <v>#N/A</v>
      </c>
    </row>
    <row r="751" spans="1:25" ht="13.65" customHeight="1">
      <c r="A751" s="92" t="e">
        <f t="shared" si="33"/>
        <v>#REF!</v>
      </c>
      <c r="B751" s="27"/>
      <c r="C751" s="28" t="e">
        <f>VLOOKUP(D751,'lista 1'!$A$2:$F$1802,4,0)</f>
        <v>#N/A</v>
      </c>
      <c r="D751" s="74"/>
      <c r="E751" s="27" t="e">
        <f>VLOOKUP(D751,'lista 1'!$A$2:$F$1802,5,0)</f>
        <v>#N/A</v>
      </c>
      <c r="F751" s="59" t="e">
        <f>VLOOKUP(G751,'lista 3'!$A$1:$C$467,3,0)</f>
        <v>#N/A</v>
      </c>
      <c r="G751" s="76"/>
      <c r="H751" s="85"/>
      <c r="I751" s="59" t="e">
        <f>VLOOKUP(J751,'lista 3'!$A$1:$C$467,3,0)</f>
        <v>#N/A</v>
      </c>
      <c r="J751" s="78"/>
      <c r="K751" s="87"/>
      <c r="L751" s="82"/>
      <c r="M751" s="22"/>
      <c r="N751" s="22"/>
      <c r="O751" s="22"/>
      <c r="P751" s="26"/>
      <c r="Q751" s="26"/>
      <c r="R751" s="26"/>
      <c r="S751" s="47"/>
      <c r="T751" s="4" t="e">
        <f>VLOOKUP(#REF!,#REF!,2,0)</f>
        <v>#REF!</v>
      </c>
      <c r="U751" s="20" t="e">
        <f t="shared" si="31"/>
        <v>#REF!</v>
      </c>
      <c r="V751" s="47"/>
      <c r="W751" s="43"/>
      <c r="X751" s="66" t="e">
        <f>VLOOKUP(D751,#REF!,2,0)</f>
        <v>#REF!</v>
      </c>
      <c r="Y751" s="67" t="e">
        <f t="shared" si="32"/>
        <v>#N/A</v>
      </c>
    </row>
    <row r="752" spans="1:25" ht="13.65" customHeight="1">
      <c r="A752" s="92" t="e">
        <f t="shared" si="33"/>
        <v>#REF!</v>
      </c>
      <c r="B752" s="18"/>
      <c r="C752" s="3" t="e">
        <f>VLOOKUP(D752,'lista 1'!$A$2:$F$1802,4,0)</f>
        <v>#N/A</v>
      </c>
      <c r="D752" s="73"/>
      <c r="E752" s="4" t="e">
        <f>VLOOKUP(D752,'lista 1'!$A$2:$F$1802,5,0)</f>
        <v>#N/A</v>
      </c>
      <c r="F752" s="59" t="e">
        <f>VLOOKUP(G752,'lista 3'!$A$1:$C$467,3,0)</f>
        <v>#N/A</v>
      </c>
      <c r="G752" s="76"/>
      <c r="H752" s="85"/>
      <c r="I752" s="59" t="e">
        <f>VLOOKUP(J752,'lista 3'!$A$1:$C$467,3,0)</f>
        <v>#N/A</v>
      </c>
      <c r="J752" s="79"/>
      <c r="K752" s="87"/>
      <c r="L752" s="82"/>
      <c r="M752" s="22"/>
      <c r="N752" s="22"/>
      <c r="O752" s="22"/>
      <c r="P752" s="26"/>
      <c r="Q752" s="26"/>
      <c r="R752" s="26"/>
      <c r="S752" s="47"/>
      <c r="T752" s="4" t="e">
        <f>VLOOKUP(#REF!,#REF!,2,0)</f>
        <v>#REF!</v>
      </c>
      <c r="U752" s="20" t="e">
        <f t="shared" si="31"/>
        <v>#REF!</v>
      </c>
      <c r="V752" s="47"/>
      <c r="W752" s="43"/>
      <c r="X752" s="66" t="e">
        <f>VLOOKUP(D752,#REF!,2,0)</f>
        <v>#REF!</v>
      </c>
      <c r="Y752" s="67" t="e">
        <f t="shared" si="32"/>
        <v>#N/A</v>
      </c>
    </row>
    <row r="753" spans="1:25" ht="13.65" customHeight="1">
      <c r="A753" s="92" t="e">
        <f t="shared" si="33"/>
        <v>#REF!</v>
      </c>
      <c r="B753" s="18"/>
      <c r="C753" s="3" t="e">
        <f>VLOOKUP(D753,'lista 1'!$A$2:$F$1802,4,0)</f>
        <v>#N/A</v>
      </c>
      <c r="D753" s="73"/>
      <c r="E753" s="4" t="e">
        <f>VLOOKUP(D753,'lista 1'!$A$2:$F$1802,5,0)</f>
        <v>#N/A</v>
      </c>
      <c r="F753" s="59" t="e">
        <f>VLOOKUP(G753,'lista 3'!$A$1:$C$467,3,0)</f>
        <v>#N/A</v>
      </c>
      <c r="G753" s="76"/>
      <c r="H753" s="85"/>
      <c r="I753" s="59" t="e">
        <f>VLOOKUP(J753,'lista 3'!$A$1:$C$467,3,0)</f>
        <v>#N/A</v>
      </c>
      <c r="J753" s="79"/>
      <c r="K753" s="87"/>
      <c r="L753" s="82"/>
      <c r="M753" s="22"/>
      <c r="N753" s="22"/>
      <c r="O753" s="22"/>
      <c r="P753" s="26"/>
      <c r="Q753" s="26"/>
      <c r="R753" s="26"/>
      <c r="S753" s="47"/>
      <c r="T753" s="4" t="e">
        <f>VLOOKUP(#REF!,#REF!,2,0)</f>
        <v>#REF!</v>
      </c>
      <c r="U753" s="20" t="e">
        <f t="shared" si="31"/>
        <v>#REF!</v>
      </c>
      <c r="V753" s="47"/>
      <c r="W753" s="43"/>
      <c r="X753" s="66" t="e">
        <f>VLOOKUP(D753,#REF!,2,0)</f>
        <v>#REF!</v>
      </c>
      <c r="Y753" s="67" t="e">
        <f t="shared" si="32"/>
        <v>#N/A</v>
      </c>
    </row>
    <row r="754" spans="1:25" ht="13.65" customHeight="1">
      <c r="A754" s="92" t="e">
        <f t="shared" si="33"/>
        <v>#REF!</v>
      </c>
      <c r="B754" s="18"/>
      <c r="C754" s="3" t="e">
        <f>VLOOKUP(D754,'lista 1'!$A$2:$F$1802,4,0)</f>
        <v>#N/A</v>
      </c>
      <c r="D754" s="73"/>
      <c r="E754" s="4" t="e">
        <f>VLOOKUP(D754,'lista 1'!$A$2:$F$1802,5,0)</f>
        <v>#N/A</v>
      </c>
      <c r="F754" s="59" t="e">
        <f>VLOOKUP(G754,'lista 3'!$A$1:$C$467,3,0)</f>
        <v>#N/A</v>
      </c>
      <c r="G754" s="76"/>
      <c r="H754" s="85"/>
      <c r="I754" s="59" t="e">
        <f>VLOOKUP(J754,'lista 3'!$A$1:$C$467,3,0)</f>
        <v>#N/A</v>
      </c>
      <c r="J754" s="79"/>
      <c r="K754" s="87"/>
      <c r="L754" s="82"/>
      <c r="M754" s="22"/>
      <c r="N754" s="22"/>
      <c r="O754" s="22"/>
      <c r="P754" s="26"/>
      <c r="Q754" s="26"/>
      <c r="R754" s="26"/>
      <c r="S754" s="47"/>
      <c r="T754" s="4" t="e">
        <f>VLOOKUP(#REF!,#REF!,2,0)</f>
        <v>#REF!</v>
      </c>
      <c r="U754" s="20" t="e">
        <f t="shared" si="31"/>
        <v>#REF!</v>
      </c>
      <c r="V754" s="47"/>
      <c r="W754" s="43"/>
      <c r="X754" s="66" t="e">
        <f>VLOOKUP(D754,#REF!,2,0)</f>
        <v>#REF!</v>
      </c>
      <c r="Y754" s="67" t="e">
        <f t="shared" si="32"/>
        <v>#N/A</v>
      </c>
    </row>
    <row r="755" spans="1:25" ht="13.65" customHeight="1">
      <c r="A755" s="92" t="e">
        <f t="shared" si="33"/>
        <v>#REF!</v>
      </c>
      <c r="B755" s="18"/>
      <c r="C755" s="3" t="e">
        <f>VLOOKUP(D755,'lista 1'!$A$2:$F$1802,4,0)</f>
        <v>#N/A</v>
      </c>
      <c r="D755" s="73"/>
      <c r="E755" s="4" t="e">
        <f>VLOOKUP(D755,'lista 1'!$A$2:$F$1802,5,0)</f>
        <v>#N/A</v>
      </c>
      <c r="F755" s="59" t="e">
        <f>VLOOKUP(G755,'lista 3'!$A$1:$C$467,3,0)</f>
        <v>#N/A</v>
      </c>
      <c r="G755" s="76"/>
      <c r="H755" s="85"/>
      <c r="I755" s="59" t="e">
        <f>VLOOKUP(J755,'lista 3'!$A$1:$C$467,3,0)</f>
        <v>#N/A</v>
      </c>
      <c r="J755" s="79"/>
      <c r="K755" s="87"/>
      <c r="L755" s="82"/>
      <c r="M755" s="22"/>
      <c r="N755" s="22"/>
      <c r="O755" s="22"/>
      <c r="P755" s="26"/>
      <c r="Q755" s="26"/>
      <c r="R755" s="26"/>
      <c r="S755" s="47"/>
      <c r="T755" s="4" t="e">
        <f>VLOOKUP(#REF!,#REF!,2,0)</f>
        <v>#REF!</v>
      </c>
      <c r="U755" s="20" t="e">
        <f t="shared" si="31"/>
        <v>#REF!</v>
      </c>
      <c r="V755" s="47"/>
      <c r="W755" s="43"/>
      <c r="X755" s="66" t="e">
        <f>VLOOKUP(D755,#REF!,2,0)</f>
        <v>#REF!</v>
      </c>
      <c r="Y755" s="67" t="e">
        <f t="shared" si="32"/>
        <v>#N/A</v>
      </c>
    </row>
    <row r="756" spans="1:25" ht="13.65" customHeight="1">
      <c r="A756" s="92" t="e">
        <f t="shared" si="33"/>
        <v>#REF!</v>
      </c>
      <c r="B756" s="18"/>
      <c r="C756" s="3" t="e">
        <f>VLOOKUP(D756,'lista 1'!$A$2:$F$1802,4,0)</f>
        <v>#N/A</v>
      </c>
      <c r="D756" s="73"/>
      <c r="E756" s="4" t="e">
        <f>VLOOKUP(D756,'lista 1'!$A$2:$F$1802,5,0)</f>
        <v>#N/A</v>
      </c>
      <c r="F756" s="59" t="e">
        <f>VLOOKUP(G756,'lista 3'!$A$1:$C$467,3,0)</f>
        <v>#N/A</v>
      </c>
      <c r="G756" s="76"/>
      <c r="H756" s="85"/>
      <c r="I756" s="59" t="e">
        <f>VLOOKUP(J756,'lista 3'!$A$1:$C$467,3,0)</f>
        <v>#N/A</v>
      </c>
      <c r="J756" s="79"/>
      <c r="K756" s="87"/>
      <c r="L756" s="82"/>
      <c r="M756" s="22"/>
      <c r="N756" s="22"/>
      <c r="O756" s="22"/>
      <c r="P756" s="26"/>
      <c r="Q756" s="26"/>
      <c r="R756" s="26"/>
      <c r="S756" s="47"/>
      <c r="T756" s="4" t="e">
        <f>VLOOKUP(#REF!,#REF!,2,0)</f>
        <v>#REF!</v>
      </c>
      <c r="U756" s="20" t="e">
        <f t="shared" si="31"/>
        <v>#REF!</v>
      </c>
      <c r="V756" s="47"/>
      <c r="W756" s="43"/>
      <c r="X756" s="66" t="e">
        <f>VLOOKUP(D756,#REF!,2,0)</f>
        <v>#REF!</v>
      </c>
      <c r="Y756" s="67" t="e">
        <f t="shared" si="32"/>
        <v>#N/A</v>
      </c>
    </row>
    <row r="757" spans="1:25" ht="13.65" customHeight="1">
      <c r="A757" s="92" t="e">
        <f t="shared" si="33"/>
        <v>#REF!</v>
      </c>
      <c r="B757" s="18"/>
      <c r="C757" s="3" t="e">
        <f>VLOOKUP(D757,'lista 1'!$A$2:$F$1802,4,0)</f>
        <v>#N/A</v>
      </c>
      <c r="D757" s="73"/>
      <c r="E757" s="4" t="e">
        <f>VLOOKUP(D757,'lista 1'!$A$2:$F$1802,5,0)</f>
        <v>#N/A</v>
      </c>
      <c r="F757" s="59" t="e">
        <f>VLOOKUP(G757,'lista 3'!$A$1:$C$467,3,0)</f>
        <v>#N/A</v>
      </c>
      <c r="G757" s="76"/>
      <c r="H757" s="85"/>
      <c r="I757" s="59" t="e">
        <f>VLOOKUP(J757,'lista 3'!$A$1:$C$467,3,0)</f>
        <v>#N/A</v>
      </c>
      <c r="J757" s="79"/>
      <c r="K757" s="87"/>
      <c r="L757" s="82"/>
      <c r="M757" s="22"/>
      <c r="N757" s="22"/>
      <c r="O757" s="22"/>
      <c r="P757" s="26"/>
      <c r="Q757" s="26"/>
      <c r="R757" s="26"/>
      <c r="S757" s="47"/>
      <c r="T757" s="4" t="e">
        <f>VLOOKUP(#REF!,#REF!,2,0)</f>
        <v>#REF!</v>
      </c>
      <c r="U757" s="20" t="e">
        <f t="shared" si="31"/>
        <v>#REF!</v>
      </c>
      <c r="V757" s="47"/>
      <c r="W757" s="43"/>
      <c r="X757" s="66" t="e">
        <f>VLOOKUP(D757,#REF!,2,0)</f>
        <v>#REF!</v>
      </c>
      <c r="Y757" s="67" t="e">
        <f t="shared" si="32"/>
        <v>#N/A</v>
      </c>
    </row>
    <row r="758" spans="1:25" ht="13.65" customHeight="1">
      <c r="A758" s="92" t="e">
        <f t="shared" si="33"/>
        <v>#REF!</v>
      </c>
      <c r="B758" s="18"/>
      <c r="C758" s="3" t="e">
        <f>VLOOKUP(D758,'lista 1'!$A$2:$F$1802,4,0)</f>
        <v>#N/A</v>
      </c>
      <c r="D758" s="73"/>
      <c r="E758" s="4" t="e">
        <f>VLOOKUP(D758,'lista 1'!$A$2:$F$1802,5,0)</f>
        <v>#N/A</v>
      </c>
      <c r="F758" s="59" t="e">
        <f>VLOOKUP(G758,'lista 3'!$A$1:$C$467,3,0)</f>
        <v>#N/A</v>
      </c>
      <c r="G758" s="76"/>
      <c r="H758" s="85"/>
      <c r="I758" s="59" t="e">
        <f>VLOOKUP(J758,'lista 3'!$A$1:$C$467,3,0)</f>
        <v>#N/A</v>
      </c>
      <c r="J758" s="79"/>
      <c r="K758" s="87"/>
      <c r="L758" s="82"/>
      <c r="M758" s="22"/>
      <c r="N758" s="22"/>
      <c r="O758" s="22"/>
      <c r="P758" s="26"/>
      <c r="Q758" s="26"/>
      <c r="R758" s="26"/>
      <c r="S758" s="47"/>
      <c r="T758" s="4" t="e">
        <f>VLOOKUP(#REF!,#REF!,2,0)</f>
        <v>#REF!</v>
      </c>
      <c r="U758" s="20" t="e">
        <f t="shared" si="31"/>
        <v>#REF!</v>
      </c>
      <c r="V758" s="47"/>
      <c r="W758" s="43"/>
      <c r="X758" s="66" t="e">
        <f>VLOOKUP(D758,#REF!,2,0)</f>
        <v>#REF!</v>
      </c>
      <c r="Y758" s="67" t="e">
        <f t="shared" si="32"/>
        <v>#N/A</v>
      </c>
    </row>
    <row r="759" spans="1:25" ht="13.65" customHeight="1">
      <c r="A759" s="92" t="e">
        <f t="shared" si="33"/>
        <v>#REF!</v>
      </c>
      <c r="B759" s="18"/>
      <c r="C759" s="3" t="e">
        <f>VLOOKUP(D759,'lista 1'!$A$2:$F$1802,4,0)</f>
        <v>#N/A</v>
      </c>
      <c r="D759" s="73"/>
      <c r="E759" s="4" t="e">
        <f>VLOOKUP(D759,'lista 1'!$A$2:$F$1802,5,0)</f>
        <v>#N/A</v>
      </c>
      <c r="F759" s="59" t="e">
        <f>VLOOKUP(G759,'lista 3'!$A$1:$C$467,3,0)</f>
        <v>#N/A</v>
      </c>
      <c r="G759" s="76"/>
      <c r="H759" s="85"/>
      <c r="I759" s="59" t="e">
        <f>VLOOKUP(J759,'lista 3'!$A$1:$C$467,3,0)</f>
        <v>#N/A</v>
      </c>
      <c r="J759" s="79"/>
      <c r="K759" s="87"/>
      <c r="L759" s="82"/>
      <c r="M759" s="22"/>
      <c r="N759" s="22"/>
      <c r="O759" s="22"/>
      <c r="P759" s="26"/>
      <c r="Q759" s="26"/>
      <c r="R759" s="26"/>
      <c r="S759" s="47"/>
      <c r="T759" s="4" t="e">
        <f>VLOOKUP(#REF!,#REF!,2,0)</f>
        <v>#REF!</v>
      </c>
      <c r="U759" s="20" t="e">
        <f t="shared" si="31"/>
        <v>#REF!</v>
      </c>
      <c r="V759" s="47"/>
      <c r="W759" s="43"/>
      <c r="X759" s="66" t="e">
        <f>VLOOKUP(D759,#REF!,2,0)</f>
        <v>#REF!</v>
      </c>
      <c r="Y759" s="67" t="e">
        <f t="shared" si="32"/>
        <v>#N/A</v>
      </c>
    </row>
    <row r="760" spans="1:25" ht="13.65" customHeight="1">
      <c r="A760" s="92" t="e">
        <f t="shared" si="33"/>
        <v>#REF!</v>
      </c>
      <c r="B760" s="18"/>
      <c r="C760" s="3" t="e">
        <f>VLOOKUP(D760,'lista 1'!$A$2:$F$1802,4,0)</f>
        <v>#N/A</v>
      </c>
      <c r="D760" s="73"/>
      <c r="E760" s="4" t="e">
        <f>VLOOKUP(D760,'lista 1'!$A$2:$F$1802,5,0)</f>
        <v>#N/A</v>
      </c>
      <c r="F760" s="59" t="e">
        <f>VLOOKUP(G760,'lista 3'!$A$1:$C$467,3,0)</f>
        <v>#N/A</v>
      </c>
      <c r="G760" s="76"/>
      <c r="H760" s="85"/>
      <c r="I760" s="59" t="e">
        <f>VLOOKUP(J760,'lista 3'!$A$1:$C$467,3,0)</f>
        <v>#N/A</v>
      </c>
      <c r="J760" s="79"/>
      <c r="K760" s="87"/>
      <c r="L760" s="82"/>
      <c r="M760" s="22"/>
      <c r="N760" s="22"/>
      <c r="O760" s="22"/>
      <c r="P760" s="26"/>
      <c r="Q760" s="26"/>
      <c r="R760" s="26"/>
      <c r="S760" s="47"/>
      <c r="T760" s="4" t="e">
        <f>VLOOKUP(#REF!,#REF!,2,0)</f>
        <v>#REF!</v>
      </c>
      <c r="U760" s="20" t="e">
        <f t="shared" si="31"/>
        <v>#REF!</v>
      </c>
      <c r="V760" s="47"/>
      <c r="W760" s="43"/>
      <c r="X760" s="66" t="e">
        <f>VLOOKUP(D760,#REF!,2,0)</f>
        <v>#REF!</v>
      </c>
      <c r="Y760" s="67" t="e">
        <f t="shared" si="32"/>
        <v>#N/A</v>
      </c>
    </row>
    <row r="761" spans="1:25" ht="13.65" customHeight="1">
      <c r="A761" s="92" t="e">
        <f t="shared" si="33"/>
        <v>#REF!</v>
      </c>
      <c r="B761" s="18"/>
      <c r="C761" s="3" t="e">
        <f>VLOOKUP(D761,'lista 1'!$A$2:$F$1802,4,0)</f>
        <v>#N/A</v>
      </c>
      <c r="D761" s="73"/>
      <c r="E761" s="4" t="e">
        <f>VLOOKUP(D761,'lista 1'!$A$2:$F$1802,5,0)</f>
        <v>#N/A</v>
      </c>
      <c r="F761" s="59" t="e">
        <f>VLOOKUP(G761,'lista 3'!$A$1:$C$467,3,0)</f>
        <v>#N/A</v>
      </c>
      <c r="G761" s="76"/>
      <c r="H761" s="85"/>
      <c r="I761" s="59" t="e">
        <f>VLOOKUP(J761,'lista 3'!$A$1:$C$467,3,0)</f>
        <v>#N/A</v>
      </c>
      <c r="J761" s="79"/>
      <c r="K761" s="87"/>
      <c r="L761" s="82"/>
      <c r="M761" s="22"/>
      <c r="N761" s="22"/>
      <c r="O761" s="22"/>
      <c r="P761" s="26"/>
      <c r="Q761" s="26"/>
      <c r="R761" s="26"/>
      <c r="S761" s="47"/>
      <c r="T761" s="4" t="e">
        <f>VLOOKUP(#REF!,#REF!,2,0)</f>
        <v>#REF!</v>
      </c>
      <c r="U761" s="20" t="e">
        <f t="shared" si="31"/>
        <v>#REF!</v>
      </c>
      <c r="V761" s="47"/>
      <c r="W761" s="43"/>
      <c r="X761" s="66" t="e">
        <f>VLOOKUP(D761,#REF!,2,0)</f>
        <v>#REF!</v>
      </c>
      <c r="Y761" s="67" t="e">
        <f t="shared" si="32"/>
        <v>#N/A</v>
      </c>
    </row>
    <row r="762" spans="1:25" ht="13.65" customHeight="1">
      <c r="A762" s="92" t="e">
        <f t="shared" si="33"/>
        <v>#REF!</v>
      </c>
      <c r="B762" s="18"/>
      <c r="C762" s="3" t="e">
        <f>VLOOKUP(D762,'lista 1'!$A$2:$F$1802,4,0)</f>
        <v>#N/A</v>
      </c>
      <c r="D762" s="73"/>
      <c r="E762" s="4" t="e">
        <f>VLOOKUP(D762,'lista 1'!$A$2:$F$1802,5,0)</f>
        <v>#N/A</v>
      </c>
      <c r="F762" s="59" t="e">
        <f>VLOOKUP(G762,'lista 3'!$A$1:$C$467,3,0)</f>
        <v>#N/A</v>
      </c>
      <c r="G762" s="76"/>
      <c r="H762" s="85"/>
      <c r="I762" s="59" t="e">
        <f>VLOOKUP(J762,'lista 3'!$A$1:$C$467,3,0)</f>
        <v>#N/A</v>
      </c>
      <c r="J762" s="79"/>
      <c r="K762" s="87"/>
      <c r="L762" s="82"/>
      <c r="M762" s="22"/>
      <c r="N762" s="22"/>
      <c r="O762" s="22"/>
      <c r="P762" s="26"/>
      <c r="Q762" s="26"/>
      <c r="R762" s="26"/>
      <c r="S762" s="47"/>
      <c r="T762" s="4" t="e">
        <f>VLOOKUP(#REF!,#REF!,2,0)</f>
        <v>#REF!</v>
      </c>
      <c r="U762" s="20" t="e">
        <f t="shared" si="31"/>
        <v>#REF!</v>
      </c>
      <c r="V762" s="47"/>
      <c r="W762" s="43"/>
      <c r="X762" s="66" t="e">
        <f>VLOOKUP(D762,#REF!,2,0)</f>
        <v>#REF!</v>
      </c>
      <c r="Y762" s="67" t="e">
        <f t="shared" si="32"/>
        <v>#N/A</v>
      </c>
    </row>
    <row r="763" spans="1:25" ht="13.65" customHeight="1">
      <c r="A763" s="92" t="e">
        <f t="shared" si="33"/>
        <v>#REF!</v>
      </c>
      <c r="B763" s="18"/>
      <c r="C763" s="3" t="e">
        <f>VLOOKUP(D763,'lista 1'!$A$2:$F$1802,4,0)</f>
        <v>#N/A</v>
      </c>
      <c r="D763" s="73"/>
      <c r="E763" s="4" t="e">
        <f>VLOOKUP(D763,'lista 1'!$A$2:$F$1802,5,0)</f>
        <v>#N/A</v>
      </c>
      <c r="F763" s="59" t="e">
        <f>VLOOKUP(G763,'lista 3'!$A$1:$C$467,3,0)</f>
        <v>#N/A</v>
      </c>
      <c r="G763" s="76"/>
      <c r="H763" s="85"/>
      <c r="I763" s="59" t="e">
        <f>VLOOKUP(J763,'lista 3'!$A$1:$C$467,3,0)</f>
        <v>#N/A</v>
      </c>
      <c r="J763" s="79"/>
      <c r="K763" s="87"/>
      <c r="L763" s="82"/>
      <c r="M763" s="22"/>
      <c r="N763" s="22"/>
      <c r="O763" s="22"/>
      <c r="P763" s="26"/>
      <c r="Q763" s="26"/>
      <c r="R763" s="26"/>
      <c r="S763" s="47"/>
      <c r="T763" s="4" t="e">
        <f>VLOOKUP(#REF!,#REF!,2,0)</f>
        <v>#REF!</v>
      </c>
      <c r="U763" s="20" t="e">
        <f t="shared" si="31"/>
        <v>#REF!</v>
      </c>
      <c r="V763" s="47"/>
      <c r="W763" s="43"/>
      <c r="X763" s="66" t="e">
        <f>VLOOKUP(D763,#REF!,2,0)</f>
        <v>#REF!</v>
      </c>
      <c r="Y763" s="67" t="e">
        <f t="shared" si="32"/>
        <v>#N/A</v>
      </c>
    </row>
    <row r="764" spans="1:25" ht="13.65" customHeight="1">
      <c r="A764" s="92" t="e">
        <f t="shared" si="33"/>
        <v>#REF!</v>
      </c>
      <c r="B764" s="18"/>
      <c r="C764" s="3" t="e">
        <f>VLOOKUP(D764,'lista 1'!$A$2:$F$1802,4,0)</f>
        <v>#N/A</v>
      </c>
      <c r="D764" s="73"/>
      <c r="E764" s="4" t="e">
        <f>VLOOKUP(D764,'lista 1'!$A$2:$F$1802,5,0)</f>
        <v>#N/A</v>
      </c>
      <c r="F764" s="59" t="e">
        <f>VLOOKUP(G764,'lista 3'!$A$1:$C$467,3,0)</f>
        <v>#N/A</v>
      </c>
      <c r="G764" s="76"/>
      <c r="H764" s="85"/>
      <c r="I764" s="59" t="e">
        <f>VLOOKUP(J764,'lista 3'!$A$1:$C$467,3,0)</f>
        <v>#N/A</v>
      </c>
      <c r="J764" s="79"/>
      <c r="K764" s="87"/>
      <c r="L764" s="82"/>
      <c r="M764" s="22"/>
      <c r="N764" s="22"/>
      <c r="O764" s="22"/>
      <c r="P764" s="26"/>
      <c r="Q764" s="26"/>
      <c r="R764" s="26"/>
      <c r="S764" s="47"/>
      <c r="T764" s="4" t="e">
        <f>VLOOKUP(#REF!,#REF!,2,0)</f>
        <v>#REF!</v>
      </c>
      <c r="U764" s="20" t="e">
        <f t="shared" si="31"/>
        <v>#REF!</v>
      </c>
      <c r="V764" s="47"/>
      <c r="W764" s="43"/>
      <c r="X764" s="66" t="e">
        <f>VLOOKUP(D764,#REF!,2,0)</f>
        <v>#REF!</v>
      </c>
      <c r="Y764" s="67" t="e">
        <f t="shared" si="32"/>
        <v>#N/A</v>
      </c>
    </row>
    <row r="765" spans="1:25" ht="13.65" customHeight="1">
      <c r="A765" s="92" t="e">
        <f t="shared" si="33"/>
        <v>#REF!</v>
      </c>
      <c r="B765" s="18"/>
      <c r="C765" s="3" t="e">
        <f>VLOOKUP(D765,'lista 1'!$A$2:$F$1802,4,0)</f>
        <v>#N/A</v>
      </c>
      <c r="D765" s="73"/>
      <c r="E765" s="4" t="e">
        <f>VLOOKUP(D765,'lista 1'!$A$2:$F$1802,5,0)</f>
        <v>#N/A</v>
      </c>
      <c r="F765" s="59" t="e">
        <f>VLOOKUP(G765,'lista 3'!$A$1:$C$467,3,0)</f>
        <v>#N/A</v>
      </c>
      <c r="G765" s="76"/>
      <c r="H765" s="85"/>
      <c r="I765" s="59" t="e">
        <f>VLOOKUP(J765,'lista 3'!$A$1:$C$467,3,0)</f>
        <v>#N/A</v>
      </c>
      <c r="J765" s="79"/>
      <c r="K765" s="87"/>
      <c r="L765" s="82"/>
      <c r="M765" s="22"/>
      <c r="N765" s="22"/>
      <c r="O765" s="22"/>
      <c r="P765" s="26"/>
      <c r="Q765" s="26"/>
      <c r="R765" s="26"/>
      <c r="S765" s="47"/>
      <c r="T765" s="4" t="e">
        <f>VLOOKUP(#REF!,#REF!,2,0)</f>
        <v>#REF!</v>
      </c>
      <c r="U765" s="20" t="e">
        <f t="shared" si="31"/>
        <v>#REF!</v>
      </c>
      <c r="V765" s="47"/>
      <c r="W765" s="43"/>
      <c r="X765" s="66" t="e">
        <f>VLOOKUP(D765,#REF!,2,0)</f>
        <v>#REF!</v>
      </c>
      <c r="Y765" s="67" t="e">
        <f t="shared" si="32"/>
        <v>#N/A</v>
      </c>
    </row>
    <row r="766" spans="1:25" ht="13.65" customHeight="1">
      <c r="A766" s="92" t="e">
        <f t="shared" si="33"/>
        <v>#REF!</v>
      </c>
      <c r="B766" s="18"/>
      <c r="C766" s="3" t="e">
        <f>VLOOKUP(D766,'lista 1'!$A$2:$F$1802,4,0)</f>
        <v>#N/A</v>
      </c>
      <c r="D766" s="73"/>
      <c r="E766" s="4" t="e">
        <f>VLOOKUP(D766,'lista 1'!$A$2:$F$1802,5,0)</f>
        <v>#N/A</v>
      </c>
      <c r="F766" s="59" t="e">
        <f>VLOOKUP(G766,'lista 3'!$A$1:$C$467,3,0)</f>
        <v>#N/A</v>
      </c>
      <c r="G766" s="76"/>
      <c r="H766" s="85"/>
      <c r="I766" s="59" t="e">
        <f>VLOOKUP(J766,'lista 3'!$A$1:$C$467,3,0)</f>
        <v>#N/A</v>
      </c>
      <c r="J766" s="79"/>
      <c r="K766" s="87"/>
      <c r="L766" s="82"/>
      <c r="M766" s="22"/>
      <c r="N766" s="22"/>
      <c r="O766" s="22"/>
      <c r="P766" s="26"/>
      <c r="Q766" s="26"/>
      <c r="R766" s="26"/>
      <c r="S766" s="47"/>
      <c r="T766" s="4" t="e">
        <f>VLOOKUP(#REF!,#REF!,2,0)</f>
        <v>#REF!</v>
      </c>
      <c r="U766" s="20" t="e">
        <f t="shared" si="31"/>
        <v>#REF!</v>
      </c>
      <c r="V766" s="47"/>
      <c r="W766" s="43"/>
      <c r="X766" s="66" t="e">
        <f>VLOOKUP(D766,#REF!,2,0)</f>
        <v>#REF!</v>
      </c>
      <c r="Y766" s="67" t="e">
        <f t="shared" si="32"/>
        <v>#N/A</v>
      </c>
    </row>
    <row r="767" spans="1:25" ht="13.65" customHeight="1">
      <c r="A767" s="92" t="e">
        <f t="shared" si="33"/>
        <v>#REF!</v>
      </c>
      <c r="B767" s="18"/>
      <c r="C767" s="3" t="e">
        <f>VLOOKUP(D767,'lista 1'!$A$2:$F$1802,4,0)</f>
        <v>#N/A</v>
      </c>
      <c r="D767" s="73"/>
      <c r="E767" s="4" t="e">
        <f>VLOOKUP(D767,'lista 1'!$A$2:$F$1802,5,0)</f>
        <v>#N/A</v>
      </c>
      <c r="F767" s="59" t="e">
        <f>VLOOKUP(G767,'lista 3'!$A$1:$C$467,3,0)</f>
        <v>#N/A</v>
      </c>
      <c r="G767" s="76"/>
      <c r="H767" s="85"/>
      <c r="I767" s="59" t="e">
        <f>VLOOKUP(J767,'lista 3'!$A$1:$C$467,3,0)</f>
        <v>#N/A</v>
      </c>
      <c r="J767" s="79"/>
      <c r="K767" s="87"/>
      <c r="L767" s="82"/>
      <c r="M767" s="22"/>
      <c r="N767" s="22"/>
      <c r="O767" s="22"/>
      <c r="P767" s="26"/>
      <c r="Q767" s="26"/>
      <c r="R767" s="26"/>
      <c r="S767" s="47"/>
      <c r="T767" s="4" t="e">
        <f>VLOOKUP(#REF!,#REF!,2,0)</f>
        <v>#REF!</v>
      </c>
      <c r="U767" s="20" t="e">
        <f t="shared" si="31"/>
        <v>#REF!</v>
      </c>
      <c r="V767" s="47"/>
      <c r="W767" s="43"/>
      <c r="X767" s="66" t="e">
        <f>VLOOKUP(D767,#REF!,2,0)</f>
        <v>#REF!</v>
      </c>
      <c r="Y767" s="67" t="e">
        <f t="shared" si="32"/>
        <v>#N/A</v>
      </c>
    </row>
    <row r="768" spans="1:25" ht="13.65" customHeight="1">
      <c r="A768" s="92" t="e">
        <f t="shared" si="33"/>
        <v>#REF!</v>
      </c>
      <c r="B768" s="18"/>
      <c r="C768" s="3" t="e">
        <f>VLOOKUP(D768,'lista 1'!$A$2:$F$1802,4,0)</f>
        <v>#N/A</v>
      </c>
      <c r="D768" s="73"/>
      <c r="E768" s="4" t="e">
        <f>VLOOKUP(D768,'lista 1'!$A$2:$F$1802,5,0)</f>
        <v>#N/A</v>
      </c>
      <c r="F768" s="59" t="e">
        <f>VLOOKUP(G768,'lista 3'!$A$1:$C$467,3,0)</f>
        <v>#N/A</v>
      </c>
      <c r="G768" s="76"/>
      <c r="H768" s="85"/>
      <c r="I768" s="59" t="e">
        <f>VLOOKUP(J768,'lista 3'!$A$1:$C$467,3,0)</f>
        <v>#N/A</v>
      </c>
      <c r="J768" s="79"/>
      <c r="K768" s="87"/>
      <c r="L768" s="82"/>
      <c r="M768" s="22"/>
      <c r="N768" s="22"/>
      <c r="O768" s="22"/>
      <c r="P768" s="26"/>
      <c r="Q768" s="26"/>
      <c r="R768" s="26"/>
      <c r="S768" s="47"/>
      <c r="T768" s="4" t="e">
        <f>VLOOKUP(#REF!,#REF!,2,0)</f>
        <v>#REF!</v>
      </c>
      <c r="U768" s="20" t="e">
        <f t="shared" si="31"/>
        <v>#REF!</v>
      </c>
      <c r="V768" s="47"/>
      <c r="W768" s="43"/>
      <c r="X768" s="66" t="e">
        <f>VLOOKUP(D768,#REF!,2,0)</f>
        <v>#REF!</v>
      </c>
      <c r="Y768" s="67" t="e">
        <f t="shared" si="32"/>
        <v>#N/A</v>
      </c>
    </row>
    <row r="769" spans="1:25" ht="13.65" customHeight="1">
      <c r="A769" s="92" t="e">
        <f t="shared" si="33"/>
        <v>#REF!</v>
      </c>
      <c r="B769" s="18"/>
      <c r="C769" s="3" t="e">
        <f>VLOOKUP(D769,'lista 1'!$A$2:$F$1802,4,0)</f>
        <v>#N/A</v>
      </c>
      <c r="D769" s="73"/>
      <c r="E769" s="4" t="e">
        <f>VLOOKUP(D769,'lista 1'!$A$2:$F$1802,5,0)</f>
        <v>#N/A</v>
      </c>
      <c r="F769" s="59" t="e">
        <f>VLOOKUP(G769,'lista 3'!$A$1:$C$467,3,0)</f>
        <v>#N/A</v>
      </c>
      <c r="G769" s="76"/>
      <c r="H769" s="85"/>
      <c r="I769" s="59" t="e">
        <f>VLOOKUP(J769,'lista 3'!$A$1:$C$467,3,0)</f>
        <v>#N/A</v>
      </c>
      <c r="J769" s="79"/>
      <c r="K769" s="87"/>
      <c r="L769" s="82"/>
      <c r="M769" s="22"/>
      <c r="N769" s="22"/>
      <c r="O769" s="22"/>
      <c r="P769" s="26"/>
      <c r="Q769" s="26"/>
      <c r="R769" s="26"/>
      <c r="S769" s="47"/>
      <c r="T769" s="4" t="e">
        <f>VLOOKUP(#REF!,#REF!,2,0)</f>
        <v>#REF!</v>
      </c>
      <c r="U769" s="20" t="e">
        <f t="shared" si="31"/>
        <v>#REF!</v>
      </c>
      <c r="V769" s="47"/>
      <c r="W769" s="43"/>
      <c r="X769" s="66" t="e">
        <f>VLOOKUP(D769,#REF!,2,0)</f>
        <v>#REF!</v>
      </c>
      <c r="Y769" s="67" t="e">
        <f t="shared" si="32"/>
        <v>#N/A</v>
      </c>
    </row>
    <row r="770" spans="1:25" ht="13.65" customHeight="1">
      <c r="A770" s="92" t="e">
        <f t="shared" si="33"/>
        <v>#REF!</v>
      </c>
      <c r="B770" s="18"/>
      <c r="C770" s="3" t="e">
        <f>VLOOKUP(D770,'lista 1'!$A$2:$F$1802,4,0)</f>
        <v>#N/A</v>
      </c>
      <c r="D770" s="73"/>
      <c r="E770" s="4" t="e">
        <f>VLOOKUP(D770,'lista 1'!$A$2:$F$1802,5,0)</f>
        <v>#N/A</v>
      </c>
      <c r="F770" s="59" t="e">
        <f>VLOOKUP(G770,'lista 3'!$A$1:$C$467,3,0)</f>
        <v>#N/A</v>
      </c>
      <c r="G770" s="76"/>
      <c r="H770" s="85"/>
      <c r="I770" s="59" t="e">
        <f>VLOOKUP(J770,'lista 3'!$A$1:$C$467,3,0)</f>
        <v>#N/A</v>
      </c>
      <c r="J770" s="79"/>
      <c r="K770" s="87"/>
      <c r="L770" s="82"/>
      <c r="M770" s="22"/>
      <c r="N770" s="22"/>
      <c r="O770" s="22"/>
      <c r="P770" s="26"/>
      <c r="Q770" s="26"/>
      <c r="R770" s="26"/>
      <c r="S770" s="47"/>
      <c r="T770" s="4" t="e">
        <f>VLOOKUP(#REF!,#REF!,2,0)</f>
        <v>#REF!</v>
      </c>
      <c r="U770" s="20" t="e">
        <f t="shared" si="31"/>
        <v>#REF!</v>
      </c>
      <c r="V770" s="47"/>
      <c r="W770" s="43"/>
      <c r="X770" s="66" t="e">
        <f>VLOOKUP(D770,#REF!,2,0)</f>
        <v>#REF!</v>
      </c>
      <c r="Y770" s="67" t="e">
        <f t="shared" si="32"/>
        <v>#N/A</v>
      </c>
    </row>
    <row r="771" spans="1:25" ht="13.65" customHeight="1">
      <c r="A771" s="92" t="e">
        <f t="shared" si="33"/>
        <v>#REF!</v>
      </c>
      <c r="B771" s="18"/>
      <c r="C771" s="3" t="e">
        <f>VLOOKUP(D771,'lista 1'!$A$2:$F$1802,4,0)</f>
        <v>#N/A</v>
      </c>
      <c r="D771" s="73"/>
      <c r="E771" s="4" t="e">
        <f>VLOOKUP(D771,'lista 1'!$A$2:$F$1802,5,0)</f>
        <v>#N/A</v>
      </c>
      <c r="F771" s="59" t="e">
        <f>VLOOKUP(G771,'lista 3'!$A$1:$C$467,3,0)</f>
        <v>#N/A</v>
      </c>
      <c r="G771" s="76"/>
      <c r="H771" s="85"/>
      <c r="I771" s="59" t="e">
        <f>VLOOKUP(J771,'lista 3'!$A$1:$C$467,3,0)</f>
        <v>#N/A</v>
      </c>
      <c r="J771" s="79"/>
      <c r="K771" s="87"/>
      <c r="L771" s="82"/>
      <c r="M771" s="22"/>
      <c r="N771" s="22"/>
      <c r="O771" s="22"/>
      <c r="P771" s="26"/>
      <c r="Q771" s="26"/>
      <c r="R771" s="26"/>
      <c r="S771" s="47"/>
      <c r="T771" s="4" t="e">
        <f>VLOOKUP(#REF!,#REF!,2,0)</f>
        <v>#REF!</v>
      </c>
      <c r="U771" s="20" t="e">
        <f t="shared" si="31"/>
        <v>#REF!</v>
      </c>
      <c r="V771" s="47"/>
      <c r="W771" s="43"/>
      <c r="X771" s="66" t="e">
        <f>VLOOKUP(D771,#REF!,2,0)</f>
        <v>#REF!</v>
      </c>
      <c r="Y771" s="67" t="e">
        <f t="shared" si="32"/>
        <v>#N/A</v>
      </c>
    </row>
    <row r="772" spans="1:25" ht="13.65" customHeight="1">
      <c r="A772" s="92" t="e">
        <f t="shared" si="33"/>
        <v>#REF!</v>
      </c>
      <c r="B772" s="18"/>
      <c r="C772" s="3" t="e">
        <f>VLOOKUP(D772,'lista 1'!$A$2:$F$1802,4,0)</f>
        <v>#N/A</v>
      </c>
      <c r="D772" s="73"/>
      <c r="E772" s="4" t="e">
        <f>VLOOKUP(D772,'lista 1'!$A$2:$F$1802,5,0)</f>
        <v>#N/A</v>
      </c>
      <c r="F772" s="59" t="e">
        <f>VLOOKUP(G772,'lista 3'!$A$1:$C$467,3,0)</f>
        <v>#N/A</v>
      </c>
      <c r="G772" s="76"/>
      <c r="H772" s="85"/>
      <c r="I772" s="59" t="e">
        <f>VLOOKUP(J772,'lista 3'!$A$1:$C$467,3,0)</f>
        <v>#N/A</v>
      </c>
      <c r="J772" s="79"/>
      <c r="K772" s="87"/>
      <c r="L772" s="82"/>
      <c r="M772" s="22"/>
      <c r="N772" s="22"/>
      <c r="O772" s="22"/>
      <c r="P772" s="26"/>
      <c r="Q772" s="26"/>
      <c r="R772" s="26"/>
      <c r="S772" s="47"/>
      <c r="T772" s="4" t="e">
        <f>VLOOKUP(#REF!,#REF!,2,0)</f>
        <v>#REF!</v>
      </c>
      <c r="U772" s="20" t="e">
        <f t="shared" si="31"/>
        <v>#REF!</v>
      </c>
      <c r="V772" s="47"/>
      <c r="W772" s="43"/>
      <c r="X772" s="66" t="e">
        <f>VLOOKUP(D772,#REF!,2,0)</f>
        <v>#REF!</v>
      </c>
      <c r="Y772" s="67" t="e">
        <f t="shared" si="32"/>
        <v>#N/A</v>
      </c>
    </row>
    <row r="773" spans="1:25" ht="13.65" customHeight="1">
      <c r="A773" s="92" t="e">
        <f t="shared" si="33"/>
        <v>#REF!</v>
      </c>
      <c r="B773" s="18"/>
      <c r="C773" s="3" t="e">
        <f>VLOOKUP(D773,'lista 1'!$A$2:$F$1802,4,0)</f>
        <v>#N/A</v>
      </c>
      <c r="D773" s="73"/>
      <c r="E773" s="4" t="e">
        <f>VLOOKUP(D773,'lista 1'!$A$2:$F$1802,5,0)</f>
        <v>#N/A</v>
      </c>
      <c r="F773" s="59" t="e">
        <f>VLOOKUP(G773,'lista 3'!$A$1:$C$467,3,0)</f>
        <v>#N/A</v>
      </c>
      <c r="G773" s="76"/>
      <c r="H773" s="85"/>
      <c r="I773" s="59" t="e">
        <f>VLOOKUP(J773,'lista 3'!$A$1:$C$467,3,0)</f>
        <v>#N/A</v>
      </c>
      <c r="J773" s="79"/>
      <c r="K773" s="87"/>
      <c r="L773" s="82"/>
      <c r="M773" s="22"/>
      <c r="N773" s="22"/>
      <c r="O773" s="22"/>
      <c r="P773" s="26"/>
      <c r="Q773" s="26"/>
      <c r="R773" s="26"/>
      <c r="S773" s="47"/>
      <c r="T773" s="4" t="e">
        <f>VLOOKUP(#REF!,#REF!,2,0)</f>
        <v>#REF!</v>
      </c>
      <c r="U773" s="20" t="e">
        <f t="shared" si="31"/>
        <v>#REF!</v>
      </c>
      <c r="V773" s="47"/>
      <c r="W773" s="43"/>
      <c r="X773" s="66" t="e">
        <f>VLOOKUP(D773,#REF!,2,0)</f>
        <v>#REF!</v>
      </c>
      <c r="Y773" s="67" t="e">
        <f t="shared" si="32"/>
        <v>#N/A</v>
      </c>
    </row>
    <row r="774" spans="1:25" ht="13.65" customHeight="1">
      <c r="A774" s="92" t="e">
        <f t="shared" si="33"/>
        <v>#REF!</v>
      </c>
      <c r="B774" s="18"/>
      <c r="C774" s="3" t="e">
        <f>VLOOKUP(D774,'lista 1'!$A$2:$F$1802,4,0)</f>
        <v>#N/A</v>
      </c>
      <c r="D774" s="73"/>
      <c r="E774" s="4" t="e">
        <f>VLOOKUP(D774,'lista 1'!$A$2:$F$1802,5,0)</f>
        <v>#N/A</v>
      </c>
      <c r="F774" s="59" t="e">
        <f>VLOOKUP(G774,'lista 3'!$A$1:$C$467,3,0)</f>
        <v>#N/A</v>
      </c>
      <c r="G774" s="76"/>
      <c r="H774" s="85"/>
      <c r="I774" s="59" t="e">
        <f>VLOOKUP(J774,'lista 3'!$A$1:$C$467,3,0)</f>
        <v>#N/A</v>
      </c>
      <c r="J774" s="79"/>
      <c r="K774" s="87"/>
      <c r="L774" s="82"/>
      <c r="M774" s="22"/>
      <c r="N774" s="22"/>
      <c r="O774" s="22"/>
      <c r="P774" s="26"/>
      <c r="Q774" s="26"/>
      <c r="R774" s="26"/>
      <c r="S774" s="47"/>
      <c r="T774" s="4" t="e">
        <f>VLOOKUP(#REF!,#REF!,2,0)</f>
        <v>#REF!</v>
      </c>
      <c r="U774" s="20" t="e">
        <f t="shared" si="31"/>
        <v>#REF!</v>
      </c>
      <c r="V774" s="47"/>
      <c r="W774" s="43"/>
      <c r="X774" s="66" t="e">
        <f>VLOOKUP(D774,#REF!,2,0)</f>
        <v>#REF!</v>
      </c>
      <c r="Y774" s="67" t="e">
        <f t="shared" si="32"/>
        <v>#N/A</v>
      </c>
    </row>
    <row r="775" spans="1:25" ht="13.65" customHeight="1">
      <c r="A775" s="92" t="e">
        <f t="shared" si="33"/>
        <v>#REF!</v>
      </c>
      <c r="B775" s="18"/>
      <c r="C775" s="3" t="e">
        <f>VLOOKUP(D775,'lista 1'!$A$2:$F$1802,4,0)</f>
        <v>#N/A</v>
      </c>
      <c r="D775" s="73"/>
      <c r="E775" s="4" t="e">
        <f>VLOOKUP(D775,'lista 1'!$A$2:$F$1802,5,0)</f>
        <v>#N/A</v>
      </c>
      <c r="F775" s="59" t="e">
        <f>VLOOKUP(G775,'lista 3'!$A$1:$C$467,3,0)</f>
        <v>#N/A</v>
      </c>
      <c r="G775" s="76"/>
      <c r="H775" s="85"/>
      <c r="I775" s="59" t="e">
        <f>VLOOKUP(J775,'lista 3'!$A$1:$C$467,3,0)</f>
        <v>#N/A</v>
      </c>
      <c r="J775" s="79"/>
      <c r="K775" s="87"/>
      <c r="L775" s="82"/>
      <c r="M775" s="22"/>
      <c r="N775" s="22"/>
      <c r="O775" s="22"/>
      <c r="P775" s="26"/>
      <c r="Q775" s="26"/>
      <c r="R775" s="26"/>
      <c r="S775" s="47"/>
      <c r="T775" s="4" t="e">
        <f>VLOOKUP(#REF!,#REF!,2,0)</f>
        <v>#REF!</v>
      </c>
      <c r="U775" s="20" t="e">
        <f t="shared" si="31"/>
        <v>#REF!</v>
      </c>
      <c r="V775" s="47"/>
      <c r="W775" s="43"/>
      <c r="X775" s="66" t="e">
        <f>VLOOKUP(D775,#REF!,2,0)</f>
        <v>#REF!</v>
      </c>
      <c r="Y775" s="67" t="e">
        <f t="shared" si="32"/>
        <v>#N/A</v>
      </c>
    </row>
    <row r="776" spans="1:25" ht="13.65" customHeight="1">
      <c r="A776" s="92" t="e">
        <f t="shared" si="33"/>
        <v>#REF!</v>
      </c>
      <c r="B776" s="18"/>
      <c r="C776" s="3" t="e">
        <f>VLOOKUP(D776,'lista 1'!$A$2:$F$1802,4,0)</f>
        <v>#N/A</v>
      </c>
      <c r="D776" s="73"/>
      <c r="E776" s="4" t="e">
        <f>VLOOKUP(D776,'lista 1'!$A$2:$F$1802,5,0)</f>
        <v>#N/A</v>
      </c>
      <c r="F776" s="59" t="e">
        <f>VLOOKUP(G776,'lista 3'!$A$1:$C$467,3,0)</f>
        <v>#N/A</v>
      </c>
      <c r="G776" s="76"/>
      <c r="H776" s="85"/>
      <c r="I776" s="59" t="e">
        <f>VLOOKUP(J776,'lista 3'!$A$1:$C$467,3,0)</f>
        <v>#N/A</v>
      </c>
      <c r="J776" s="79"/>
      <c r="K776" s="87"/>
      <c r="L776" s="82"/>
      <c r="M776" s="22"/>
      <c r="N776" s="22"/>
      <c r="O776" s="22"/>
      <c r="P776" s="26"/>
      <c r="Q776" s="26"/>
      <c r="R776" s="26"/>
      <c r="S776" s="47"/>
      <c r="T776" s="4" t="e">
        <f>VLOOKUP(#REF!,#REF!,2,0)</f>
        <v>#REF!</v>
      </c>
      <c r="U776" s="20" t="e">
        <f t="shared" si="31"/>
        <v>#REF!</v>
      </c>
      <c r="V776" s="47"/>
      <c r="W776" s="43"/>
      <c r="X776" s="66" t="e">
        <f>VLOOKUP(D776,#REF!,2,0)</f>
        <v>#REF!</v>
      </c>
      <c r="Y776" s="67" t="e">
        <f t="shared" si="32"/>
        <v>#N/A</v>
      </c>
    </row>
    <row r="777" spans="1:25" ht="13.65" customHeight="1">
      <c r="A777" s="92" t="e">
        <f t="shared" si="33"/>
        <v>#REF!</v>
      </c>
      <c r="B777" s="18"/>
      <c r="C777" s="3" t="e">
        <f>VLOOKUP(D777,'lista 1'!$A$2:$F$1802,4,0)</f>
        <v>#N/A</v>
      </c>
      <c r="D777" s="73"/>
      <c r="E777" s="4" t="e">
        <f>VLOOKUP(D777,'lista 1'!$A$2:$F$1802,5,0)</f>
        <v>#N/A</v>
      </c>
      <c r="F777" s="59" t="e">
        <f>VLOOKUP(G777,'lista 3'!$A$1:$C$467,3,0)</f>
        <v>#N/A</v>
      </c>
      <c r="G777" s="76"/>
      <c r="H777" s="85"/>
      <c r="I777" s="59" t="e">
        <f>VLOOKUP(J777,'lista 3'!$A$1:$C$467,3,0)</f>
        <v>#N/A</v>
      </c>
      <c r="J777" s="79"/>
      <c r="K777" s="87"/>
      <c r="L777" s="82"/>
      <c r="M777" s="22"/>
      <c r="N777" s="22"/>
      <c r="O777" s="22"/>
      <c r="P777" s="26"/>
      <c r="Q777" s="26"/>
      <c r="R777" s="26"/>
      <c r="S777" s="47"/>
      <c r="T777" s="4" t="e">
        <f>VLOOKUP(#REF!,#REF!,2,0)</f>
        <v>#REF!</v>
      </c>
      <c r="U777" s="20" t="e">
        <f t="shared" si="31"/>
        <v>#REF!</v>
      </c>
      <c r="V777" s="47"/>
      <c r="W777" s="43"/>
      <c r="X777" s="66" t="e">
        <f>VLOOKUP(D777,#REF!,2,0)</f>
        <v>#REF!</v>
      </c>
      <c r="Y777" s="67" t="e">
        <f t="shared" si="32"/>
        <v>#N/A</v>
      </c>
    </row>
    <row r="778" spans="1:25" ht="13.65" customHeight="1">
      <c r="A778" s="92" t="e">
        <f t="shared" ref="A778:A809" si="34">A777+1</f>
        <v>#REF!</v>
      </c>
      <c r="B778" s="18"/>
      <c r="C778" s="3" t="e">
        <f>VLOOKUP(D778,'lista 1'!$A$2:$F$1802,4,0)</f>
        <v>#N/A</v>
      </c>
      <c r="D778" s="73"/>
      <c r="E778" s="4" t="e">
        <f>VLOOKUP(D778,'lista 1'!$A$2:$F$1802,5,0)</f>
        <v>#N/A</v>
      </c>
      <c r="F778" s="59" t="e">
        <f>VLOOKUP(G778,'lista 3'!$A$1:$C$467,3,0)</f>
        <v>#N/A</v>
      </c>
      <c r="G778" s="76"/>
      <c r="H778" s="85"/>
      <c r="I778" s="59" t="e">
        <f>VLOOKUP(J778,'lista 3'!$A$1:$C$467,3,0)</f>
        <v>#N/A</v>
      </c>
      <c r="J778" s="79"/>
      <c r="K778" s="87"/>
      <c r="L778" s="82"/>
      <c r="M778" s="22"/>
      <c r="N778" s="22"/>
      <c r="O778" s="22"/>
      <c r="P778" s="26"/>
      <c r="Q778" s="26"/>
      <c r="R778" s="26"/>
      <c r="S778" s="47"/>
      <c r="T778" s="4" t="e">
        <f>VLOOKUP(#REF!,#REF!,2,0)</f>
        <v>#REF!</v>
      </c>
      <c r="U778" s="20" t="e">
        <f t="shared" si="31"/>
        <v>#REF!</v>
      </c>
      <c r="V778" s="47"/>
      <c r="W778" s="43"/>
      <c r="X778" s="66" t="e">
        <f>VLOOKUP(D778,#REF!,2,0)</f>
        <v>#REF!</v>
      </c>
      <c r="Y778" s="67" t="e">
        <f t="shared" si="32"/>
        <v>#N/A</v>
      </c>
    </row>
    <row r="779" spans="1:25" ht="13.65" customHeight="1">
      <c r="A779" s="92" t="e">
        <f t="shared" si="34"/>
        <v>#REF!</v>
      </c>
      <c r="B779" s="18"/>
      <c r="C779" s="3" t="e">
        <f>VLOOKUP(D779,'lista 1'!$A$2:$F$1802,4,0)</f>
        <v>#N/A</v>
      </c>
      <c r="D779" s="73"/>
      <c r="E779" s="4" t="e">
        <f>VLOOKUP(D779,'lista 1'!$A$2:$F$1802,5,0)</f>
        <v>#N/A</v>
      </c>
      <c r="F779" s="59" t="e">
        <f>VLOOKUP(G779,'lista 3'!$A$1:$C$467,3,0)</f>
        <v>#N/A</v>
      </c>
      <c r="G779" s="76"/>
      <c r="H779" s="85"/>
      <c r="I779" s="59" t="e">
        <f>VLOOKUP(J779,'lista 3'!$A$1:$C$467,3,0)</f>
        <v>#N/A</v>
      </c>
      <c r="J779" s="79"/>
      <c r="K779" s="87"/>
      <c r="L779" s="82"/>
      <c r="M779" s="22"/>
      <c r="N779" s="22"/>
      <c r="O779" s="22"/>
      <c r="P779" s="26"/>
      <c r="Q779" s="26"/>
      <c r="R779" s="26"/>
      <c r="S779" s="47"/>
      <c r="T779" s="4" t="e">
        <f>VLOOKUP(#REF!,#REF!,2,0)</f>
        <v>#REF!</v>
      </c>
      <c r="U779" s="20" t="e">
        <f t="shared" si="31"/>
        <v>#REF!</v>
      </c>
      <c r="V779" s="47"/>
      <c r="W779" s="43"/>
      <c r="X779" s="66" t="e">
        <f>VLOOKUP(D779,#REF!,2,0)</f>
        <v>#REF!</v>
      </c>
      <c r="Y779" s="67" t="e">
        <f t="shared" si="32"/>
        <v>#N/A</v>
      </c>
    </row>
    <row r="780" spans="1:25" ht="13.65" customHeight="1">
      <c r="A780" s="92" t="e">
        <f t="shared" si="34"/>
        <v>#REF!</v>
      </c>
      <c r="B780" s="18"/>
      <c r="C780" s="3" t="e">
        <f>VLOOKUP(D780,'lista 1'!$A$2:$F$1802,4,0)</f>
        <v>#N/A</v>
      </c>
      <c r="D780" s="73"/>
      <c r="E780" s="4" t="e">
        <f>VLOOKUP(D780,'lista 1'!$A$2:$F$1802,5,0)</f>
        <v>#N/A</v>
      </c>
      <c r="F780" s="59" t="e">
        <f>VLOOKUP(G780,'lista 3'!$A$1:$C$467,3,0)</f>
        <v>#N/A</v>
      </c>
      <c r="G780" s="76"/>
      <c r="H780" s="85"/>
      <c r="I780" s="59" t="e">
        <f>VLOOKUP(J780,'lista 3'!$A$1:$C$467,3,0)</f>
        <v>#N/A</v>
      </c>
      <c r="J780" s="79"/>
      <c r="K780" s="87"/>
      <c r="L780" s="82"/>
      <c r="M780" s="22"/>
      <c r="N780" s="22"/>
      <c r="O780" s="22"/>
      <c r="P780" s="26"/>
      <c r="Q780" s="26"/>
      <c r="R780" s="26"/>
      <c r="S780" s="47"/>
      <c r="T780" s="4" t="e">
        <f>VLOOKUP(#REF!,#REF!,2,0)</f>
        <v>#REF!</v>
      </c>
      <c r="U780" s="20" t="e">
        <f t="shared" si="31"/>
        <v>#REF!</v>
      </c>
      <c r="V780" s="47"/>
      <c r="W780" s="43"/>
      <c r="X780" s="66" t="e">
        <f>VLOOKUP(D780,#REF!,2,0)</f>
        <v>#REF!</v>
      </c>
      <c r="Y780" s="67" t="e">
        <f t="shared" si="32"/>
        <v>#N/A</v>
      </c>
    </row>
    <row r="781" spans="1:25" ht="13.65" customHeight="1">
      <c r="A781" s="92" t="e">
        <f t="shared" si="34"/>
        <v>#REF!</v>
      </c>
      <c r="B781" s="18"/>
      <c r="C781" s="3" t="e">
        <f>VLOOKUP(D781,'lista 1'!$A$2:$F$1802,4,0)</f>
        <v>#N/A</v>
      </c>
      <c r="D781" s="73"/>
      <c r="E781" s="4" t="e">
        <f>VLOOKUP(D781,'lista 1'!$A$2:$F$1802,5,0)</f>
        <v>#N/A</v>
      </c>
      <c r="F781" s="59" t="e">
        <f>VLOOKUP(G781,'lista 3'!$A$1:$C$467,3,0)</f>
        <v>#N/A</v>
      </c>
      <c r="G781" s="76"/>
      <c r="H781" s="85"/>
      <c r="I781" s="59" t="e">
        <f>VLOOKUP(J781,'lista 3'!$A$1:$C$467,3,0)</f>
        <v>#N/A</v>
      </c>
      <c r="J781" s="79"/>
      <c r="K781" s="87"/>
      <c r="L781" s="82"/>
      <c r="M781" s="22"/>
      <c r="N781" s="22"/>
      <c r="O781" s="22"/>
      <c r="P781" s="26"/>
      <c r="Q781" s="26"/>
      <c r="R781" s="26"/>
      <c r="S781" s="47"/>
      <c r="T781" s="4" t="e">
        <f>VLOOKUP(#REF!,#REF!,2,0)</f>
        <v>#REF!</v>
      </c>
      <c r="U781" s="20" t="e">
        <f t="shared" si="31"/>
        <v>#REF!</v>
      </c>
      <c r="V781" s="47"/>
      <c r="W781" s="43"/>
      <c r="X781" s="66" t="e">
        <f>VLOOKUP(D781,#REF!,2,0)</f>
        <v>#REF!</v>
      </c>
      <c r="Y781" s="67" t="e">
        <f t="shared" si="32"/>
        <v>#N/A</v>
      </c>
    </row>
    <row r="782" spans="1:25" ht="13.65" customHeight="1">
      <c r="A782" s="92" t="e">
        <f t="shared" si="34"/>
        <v>#REF!</v>
      </c>
      <c r="B782" s="18"/>
      <c r="C782" s="3" t="e">
        <f>VLOOKUP(D782,'lista 1'!$A$2:$F$1802,4,0)</f>
        <v>#N/A</v>
      </c>
      <c r="D782" s="73"/>
      <c r="E782" s="4" t="e">
        <f>VLOOKUP(D782,'lista 1'!$A$2:$F$1802,5,0)</f>
        <v>#N/A</v>
      </c>
      <c r="F782" s="59" t="e">
        <f>VLOOKUP(G782,'lista 3'!$A$1:$C$467,3,0)</f>
        <v>#N/A</v>
      </c>
      <c r="G782" s="76"/>
      <c r="H782" s="85"/>
      <c r="I782" s="59" t="e">
        <f>VLOOKUP(J782,'lista 3'!$A$1:$C$467,3,0)</f>
        <v>#N/A</v>
      </c>
      <c r="J782" s="79"/>
      <c r="K782" s="87"/>
      <c r="L782" s="82"/>
      <c r="M782" s="22"/>
      <c r="N782" s="22"/>
      <c r="O782" s="22"/>
      <c r="P782" s="26"/>
      <c r="Q782" s="26"/>
      <c r="R782" s="26"/>
      <c r="S782" s="47"/>
      <c r="T782" s="4" t="e">
        <f>VLOOKUP(#REF!,#REF!,2,0)</f>
        <v>#REF!</v>
      </c>
      <c r="U782" s="20" t="e">
        <f t="shared" si="31"/>
        <v>#REF!</v>
      </c>
      <c r="V782" s="47"/>
      <c r="W782" s="43"/>
      <c r="X782" s="66" t="e">
        <f>VLOOKUP(D782,#REF!,2,0)</f>
        <v>#REF!</v>
      </c>
      <c r="Y782" s="67" t="e">
        <f t="shared" si="32"/>
        <v>#N/A</v>
      </c>
    </row>
    <row r="783" spans="1:25" ht="13.65" customHeight="1">
      <c r="A783" s="92" t="e">
        <f t="shared" si="34"/>
        <v>#REF!</v>
      </c>
      <c r="B783" s="18"/>
      <c r="C783" s="3" t="e">
        <f>VLOOKUP(D783,'lista 1'!$A$2:$F$1802,4,0)</f>
        <v>#N/A</v>
      </c>
      <c r="D783" s="73"/>
      <c r="E783" s="4" t="e">
        <f>VLOOKUP(D783,'lista 1'!$A$2:$F$1802,5,0)</f>
        <v>#N/A</v>
      </c>
      <c r="F783" s="59" t="e">
        <f>VLOOKUP(G783,'lista 3'!$A$1:$C$467,3,0)</f>
        <v>#N/A</v>
      </c>
      <c r="G783" s="76"/>
      <c r="H783" s="85"/>
      <c r="I783" s="59" t="e">
        <f>VLOOKUP(J783,'lista 3'!$A$1:$C$467,3,0)</f>
        <v>#N/A</v>
      </c>
      <c r="J783" s="79"/>
      <c r="K783" s="87"/>
      <c r="L783" s="82"/>
      <c r="M783" s="22"/>
      <c r="N783" s="22"/>
      <c r="O783" s="22"/>
      <c r="P783" s="26"/>
      <c r="Q783" s="26"/>
      <c r="R783" s="26"/>
      <c r="S783" s="47"/>
      <c r="T783" s="4" t="e">
        <f>VLOOKUP(#REF!,#REF!,2,0)</f>
        <v>#REF!</v>
      </c>
      <c r="U783" s="20" t="e">
        <f t="shared" si="31"/>
        <v>#REF!</v>
      </c>
      <c r="V783" s="47"/>
      <c r="W783" s="43"/>
      <c r="X783" s="66" t="e">
        <f>VLOOKUP(D783,#REF!,2,0)</f>
        <v>#REF!</v>
      </c>
      <c r="Y783" s="67" t="e">
        <f t="shared" si="32"/>
        <v>#N/A</v>
      </c>
    </row>
    <row r="784" spans="1:25" ht="13.65" customHeight="1">
      <c r="A784" s="92" t="e">
        <f t="shared" si="34"/>
        <v>#REF!</v>
      </c>
      <c r="B784" s="18"/>
      <c r="C784" s="3" t="e">
        <f>VLOOKUP(D784,'lista 1'!$A$2:$F$1802,4,0)</f>
        <v>#N/A</v>
      </c>
      <c r="D784" s="73"/>
      <c r="E784" s="4" t="e">
        <f>VLOOKUP(D784,'lista 1'!$A$2:$F$1802,5,0)</f>
        <v>#N/A</v>
      </c>
      <c r="F784" s="59" t="e">
        <f>VLOOKUP(G784,'lista 3'!$A$1:$C$467,3,0)</f>
        <v>#N/A</v>
      </c>
      <c r="G784" s="76"/>
      <c r="H784" s="85"/>
      <c r="I784" s="59" t="e">
        <f>VLOOKUP(J784,'lista 3'!$A$1:$C$467,3,0)</f>
        <v>#N/A</v>
      </c>
      <c r="J784" s="79"/>
      <c r="K784" s="87"/>
      <c r="L784" s="82"/>
      <c r="M784" s="22"/>
      <c r="N784" s="22"/>
      <c r="O784" s="22"/>
      <c r="P784" s="26"/>
      <c r="Q784" s="26"/>
      <c r="R784" s="26"/>
      <c r="S784" s="47"/>
      <c r="T784" s="4" t="e">
        <f>VLOOKUP(#REF!,#REF!,2,0)</f>
        <v>#REF!</v>
      </c>
      <c r="U784" s="20" t="e">
        <f t="shared" si="31"/>
        <v>#REF!</v>
      </c>
      <c r="V784" s="47"/>
      <c r="W784" s="43"/>
      <c r="X784" s="66" t="e">
        <f>VLOOKUP(D784,#REF!,2,0)</f>
        <v>#REF!</v>
      </c>
      <c r="Y784" s="67" t="e">
        <f t="shared" si="32"/>
        <v>#N/A</v>
      </c>
    </row>
    <row r="785" spans="1:25" ht="13.65" customHeight="1">
      <c r="A785" s="92" t="e">
        <f t="shared" si="34"/>
        <v>#REF!</v>
      </c>
      <c r="B785" s="18"/>
      <c r="C785" s="3" t="e">
        <f>VLOOKUP(D785,'lista 1'!$A$2:$F$1802,4,0)</f>
        <v>#N/A</v>
      </c>
      <c r="D785" s="73"/>
      <c r="E785" s="4" t="e">
        <f>VLOOKUP(D785,'lista 1'!$A$2:$F$1802,5,0)</f>
        <v>#N/A</v>
      </c>
      <c r="F785" s="59" t="e">
        <f>VLOOKUP(G785,'lista 3'!$A$1:$C$467,3,0)</f>
        <v>#N/A</v>
      </c>
      <c r="G785" s="76"/>
      <c r="H785" s="85"/>
      <c r="I785" s="59" t="e">
        <f>VLOOKUP(J785,'lista 3'!$A$1:$C$467,3,0)</f>
        <v>#N/A</v>
      </c>
      <c r="J785" s="79"/>
      <c r="K785" s="87"/>
      <c r="L785" s="82"/>
      <c r="M785" s="22"/>
      <c r="N785" s="22"/>
      <c r="O785" s="22"/>
      <c r="P785" s="26"/>
      <c r="Q785" s="26"/>
      <c r="R785" s="26"/>
      <c r="S785" s="47"/>
      <c r="T785" s="4" t="e">
        <f>VLOOKUP(#REF!,#REF!,2,0)</f>
        <v>#REF!</v>
      </c>
      <c r="U785" s="20" t="e">
        <f t="shared" si="31"/>
        <v>#REF!</v>
      </c>
      <c r="V785" s="47"/>
      <c r="W785" s="43"/>
      <c r="X785" s="66" t="e">
        <f>VLOOKUP(D785,#REF!,2,0)</f>
        <v>#REF!</v>
      </c>
      <c r="Y785" s="67" t="e">
        <f t="shared" si="32"/>
        <v>#N/A</v>
      </c>
    </row>
    <row r="786" spans="1:25" ht="13.65" customHeight="1">
      <c r="A786" s="92" t="e">
        <f t="shared" si="34"/>
        <v>#REF!</v>
      </c>
      <c r="B786" s="18"/>
      <c r="C786" s="3" t="e">
        <f>VLOOKUP(D786,'lista 1'!$A$2:$F$1802,4,0)</f>
        <v>#N/A</v>
      </c>
      <c r="D786" s="73"/>
      <c r="E786" s="4" t="e">
        <f>VLOOKUP(D786,'lista 1'!$A$2:$F$1802,5,0)</f>
        <v>#N/A</v>
      </c>
      <c r="F786" s="59" t="e">
        <f>VLOOKUP(G786,'lista 3'!$A$1:$C$467,3,0)</f>
        <v>#N/A</v>
      </c>
      <c r="G786" s="76"/>
      <c r="H786" s="85"/>
      <c r="I786" s="59" t="e">
        <f>VLOOKUP(J786,'lista 3'!$A$1:$C$467,3,0)</f>
        <v>#N/A</v>
      </c>
      <c r="J786" s="79"/>
      <c r="K786" s="87"/>
      <c r="L786" s="82"/>
      <c r="M786" s="22"/>
      <c r="N786" s="22"/>
      <c r="O786" s="22"/>
      <c r="P786" s="26"/>
      <c r="Q786" s="26"/>
      <c r="R786" s="26"/>
      <c r="S786" s="47"/>
      <c r="T786" s="4" t="e">
        <f>VLOOKUP(#REF!,#REF!,2,0)</f>
        <v>#REF!</v>
      </c>
      <c r="U786" s="20" t="e">
        <f t="shared" si="31"/>
        <v>#REF!</v>
      </c>
      <c r="V786" s="47"/>
      <c r="W786" s="43"/>
      <c r="X786" s="66" t="e">
        <f>VLOOKUP(D786,#REF!,2,0)</f>
        <v>#REF!</v>
      </c>
      <c r="Y786" s="67" t="e">
        <f t="shared" si="32"/>
        <v>#N/A</v>
      </c>
    </row>
    <row r="787" spans="1:25" ht="13.65" customHeight="1">
      <c r="A787" s="92" t="e">
        <f t="shared" si="34"/>
        <v>#REF!</v>
      </c>
      <c r="B787" s="18"/>
      <c r="C787" s="3" t="e">
        <f>VLOOKUP(D787,'lista 1'!$A$2:$F$1802,4,0)</f>
        <v>#N/A</v>
      </c>
      <c r="D787" s="73"/>
      <c r="E787" s="4" t="e">
        <f>VLOOKUP(D787,'lista 1'!$A$2:$F$1802,5,0)</f>
        <v>#N/A</v>
      </c>
      <c r="F787" s="59" t="e">
        <f>VLOOKUP(G787,'lista 3'!$A$1:$C$467,3,0)</f>
        <v>#N/A</v>
      </c>
      <c r="G787" s="76"/>
      <c r="H787" s="85"/>
      <c r="I787" s="59" t="e">
        <f>VLOOKUP(J787,'lista 3'!$A$1:$C$467,3,0)</f>
        <v>#N/A</v>
      </c>
      <c r="J787" s="79"/>
      <c r="K787" s="87"/>
      <c r="L787" s="82"/>
      <c r="M787" s="22"/>
      <c r="N787" s="22"/>
      <c r="O787" s="22"/>
      <c r="P787" s="26"/>
      <c r="Q787" s="26"/>
      <c r="R787" s="26"/>
      <c r="S787" s="47"/>
      <c r="T787" s="4" t="e">
        <f>VLOOKUP(#REF!,#REF!,2,0)</f>
        <v>#REF!</v>
      </c>
      <c r="U787" s="20" t="e">
        <f t="shared" si="31"/>
        <v>#REF!</v>
      </c>
      <c r="V787" s="47"/>
      <c r="W787" s="43"/>
      <c r="X787" s="66" t="e">
        <f>VLOOKUP(D787,#REF!,2,0)</f>
        <v>#REF!</v>
      </c>
      <c r="Y787" s="67" t="e">
        <f t="shared" si="32"/>
        <v>#N/A</v>
      </c>
    </row>
    <row r="788" spans="1:25" ht="13.65" customHeight="1">
      <c r="A788" s="92" t="e">
        <f t="shared" si="34"/>
        <v>#REF!</v>
      </c>
      <c r="B788" s="18"/>
      <c r="C788" s="3" t="e">
        <f>VLOOKUP(D788,'lista 1'!$A$2:$F$1802,4,0)</f>
        <v>#N/A</v>
      </c>
      <c r="D788" s="73"/>
      <c r="E788" s="4" t="e">
        <f>VLOOKUP(D788,'lista 1'!$A$2:$F$1802,5,0)</f>
        <v>#N/A</v>
      </c>
      <c r="F788" s="59" t="e">
        <f>VLOOKUP(G788,'lista 3'!$A$1:$C$467,3,0)</f>
        <v>#N/A</v>
      </c>
      <c r="G788" s="76"/>
      <c r="H788" s="85"/>
      <c r="I788" s="59" t="e">
        <f>VLOOKUP(J788,'lista 3'!$A$1:$C$467,3,0)</f>
        <v>#N/A</v>
      </c>
      <c r="J788" s="79"/>
      <c r="K788" s="87"/>
      <c r="L788" s="82"/>
      <c r="M788" s="22"/>
      <c r="N788" s="22"/>
      <c r="O788" s="22"/>
      <c r="P788" s="26"/>
      <c r="Q788" s="26"/>
      <c r="R788" s="26"/>
      <c r="S788" s="47"/>
      <c r="T788" s="4" t="e">
        <f>VLOOKUP(#REF!,#REF!,2,0)</f>
        <v>#REF!</v>
      </c>
      <c r="U788" s="20" t="e">
        <f t="shared" si="31"/>
        <v>#REF!</v>
      </c>
      <c r="V788" s="47"/>
      <c r="W788" s="43"/>
      <c r="X788" s="66" t="e">
        <f>VLOOKUP(D788,#REF!,2,0)</f>
        <v>#REF!</v>
      </c>
      <c r="Y788" s="67" t="e">
        <f t="shared" si="32"/>
        <v>#N/A</v>
      </c>
    </row>
    <row r="789" spans="1:25" ht="13.65" customHeight="1">
      <c r="A789" s="92" t="e">
        <f t="shared" si="34"/>
        <v>#REF!</v>
      </c>
      <c r="B789" s="18"/>
      <c r="C789" s="3" t="e">
        <f>VLOOKUP(D789,'lista 1'!$A$2:$F$1802,4,0)</f>
        <v>#N/A</v>
      </c>
      <c r="D789" s="73"/>
      <c r="E789" s="4" t="e">
        <f>VLOOKUP(D789,'lista 1'!$A$2:$F$1802,5,0)</f>
        <v>#N/A</v>
      </c>
      <c r="F789" s="59" t="e">
        <f>VLOOKUP(G789,'lista 3'!$A$1:$C$467,3,0)</f>
        <v>#N/A</v>
      </c>
      <c r="G789" s="76"/>
      <c r="H789" s="85"/>
      <c r="I789" s="59" t="e">
        <f>VLOOKUP(J789,'lista 3'!$A$1:$C$467,3,0)</f>
        <v>#N/A</v>
      </c>
      <c r="J789" s="79"/>
      <c r="K789" s="87"/>
      <c r="L789" s="82"/>
      <c r="M789" s="22"/>
      <c r="N789" s="22"/>
      <c r="O789" s="22"/>
      <c r="P789" s="26"/>
      <c r="Q789" s="26"/>
      <c r="R789" s="26"/>
      <c r="S789" s="47"/>
      <c r="T789" s="4" t="e">
        <f>VLOOKUP(#REF!,#REF!,2,0)</f>
        <v>#REF!</v>
      </c>
      <c r="U789" s="20" t="e">
        <f t="shared" si="31"/>
        <v>#REF!</v>
      </c>
      <c r="V789" s="47"/>
      <c r="W789" s="43"/>
      <c r="X789" s="66" t="e">
        <f>VLOOKUP(D789,#REF!,2,0)</f>
        <v>#REF!</v>
      </c>
      <c r="Y789" s="67" t="e">
        <f t="shared" si="32"/>
        <v>#N/A</v>
      </c>
    </row>
    <row r="790" spans="1:25" ht="13.65" customHeight="1">
      <c r="A790" s="92" t="e">
        <f t="shared" si="34"/>
        <v>#REF!</v>
      </c>
      <c r="B790" s="18"/>
      <c r="C790" s="3" t="e">
        <f>VLOOKUP(D790,'lista 1'!$A$2:$F$1802,4,0)</f>
        <v>#N/A</v>
      </c>
      <c r="D790" s="73"/>
      <c r="E790" s="4" t="e">
        <f>VLOOKUP(D790,'lista 1'!$A$2:$F$1802,5,0)</f>
        <v>#N/A</v>
      </c>
      <c r="F790" s="59" t="e">
        <f>VLOOKUP(G790,'lista 3'!$A$1:$C$467,3,0)</f>
        <v>#N/A</v>
      </c>
      <c r="G790" s="76"/>
      <c r="H790" s="85"/>
      <c r="I790" s="59" t="e">
        <f>VLOOKUP(J790,'lista 3'!$A$1:$C$467,3,0)</f>
        <v>#N/A</v>
      </c>
      <c r="J790" s="79"/>
      <c r="K790" s="87"/>
      <c r="L790" s="82"/>
      <c r="M790" s="22"/>
      <c r="N790" s="22"/>
      <c r="O790" s="22"/>
      <c r="P790" s="26"/>
      <c r="Q790" s="26"/>
      <c r="R790" s="26"/>
      <c r="S790" s="47"/>
      <c r="T790" s="4" t="e">
        <f>VLOOKUP(#REF!,#REF!,2,0)</f>
        <v>#REF!</v>
      </c>
      <c r="U790" s="20" t="e">
        <f t="shared" si="31"/>
        <v>#REF!</v>
      </c>
      <c r="V790" s="47"/>
      <c r="W790" s="43"/>
      <c r="X790" s="66" t="e">
        <f>VLOOKUP(D790,#REF!,2,0)</f>
        <v>#REF!</v>
      </c>
      <c r="Y790" s="67" t="e">
        <f t="shared" si="32"/>
        <v>#N/A</v>
      </c>
    </row>
    <row r="791" spans="1:25" ht="13.65" customHeight="1">
      <c r="A791" s="92" t="e">
        <f t="shared" si="34"/>
        <v>#REF!</v>
      </c>
      <c r="B791" s="18"/>
      <c r="C791" s="3" t="e">
        <f>VLOOKUP(D791,'lista 1'!$A$2:$F$1802,4,0)</f>
        <v>#N/A</v>
      </c>
      <c r="D791" s="73"/>
      <c r="E791" s="4" t="e">
        <f>VLOOKUP(D791,'lista 1'!$A$2:$F$1802,5,0)</f>
        <v>#N/A</v>
      </c>
      <c r="F791" s="59" t="e">
        <f>VLOOKUP(G791,'lista 3'!$A$1:$C$467,3,0)</f>
        <v>#N/A</v>
      </c>
      <c r="G791" s="76"/>
      <c r="H791" s="85"/>
      <c r="I791" s="59" t="e">
        <f>VLOOKUP(J791,'lista 3'!$A$1:$C$467,3,0)</f>
        <v>#N/A</v>
      </c>
      <c r="J791" s="79"/>
      <c r="K791" s="87"/>
      <c r="L791" s="82"/>
      <c r="M791" s="22"/>
      <c r="N791" s="22"/>
      <c r="O791" s="22"/>
      <c r="P791" s="26"/>
      <c r="Q791" s="26"/>
      <c r="R791" s="26"/>
      <c r="S791" s="47"/>
      <c r="T791" s="4" t="e">
        <f>VLOOKUP(#REF!,#REF!,2,0)</f>
        <v>#REF!</v>
      </c>
      <c r="U791" s="20" t="e">
        <f t="shared" si="31"/>
        <v>#REF!</v>
      </c>
      <c r="V791" s="47"/>
      <c r="W791" s="43"/>
      <c r="X791" s="66" t="e">
        <f>VLOOKUP(D791,#REF!,2,0)</f>
        <v>#REF!</v>
      </c>
      <c r="Y791" s="67" t="e">
        <f t="shared" si="32"/>
        <v>#N/A</v>
      </c>
    </row>
    <row r="792" spans="1:25" ht="13.65" customHeight="1">
      <c r="A792" s="92" t="e">
        <f t="shared" si="34"/>
        <v>#REF!</v>
      </c>
      <c r="B792" s="18"/>
      <c r="C792" s="3" t="e">
        <f>VLOOKUP(D792,'lista 1'!$A$2:$F$1802,4,0)</f>
        <v>#N/A</v>
      </c>
      <c r="D792" s="73"/>
      <c r="E792" s="4" t="e">
        <f>VLOOKUP(D792,'lista 1'!$A$2:$F$1802,5,0)</f>
        <v>#N/A</v>
      </c>
      <c r="F792" s="59" t="e">
        <f>VLOOKUP(G792,'lista 3'!$A$1:$C$467,3,0)</f>
        <v>#N/A</v>
      </c>
      <c r="G792" s="76"/>
      <c r="H792" s="85"/>
      <c r="I792" s="59" t="e">
        <f>VLOOKUP(J792,'lista 3'!$A$1:$C$467,3,0)</f>
        <v>#N/A</v>
      </c>
      <c r="J792" s="79"/>
      <c r="K792" s="87"/>
      <c r="L792" s="82"/>
      <c r="M792" s="22"/>
      <c r="N792" s="22"/>
      <c r="O792" s="22"/>
      <c r="P792" s="26"/>
      <c r="Q792" s="26"/>
      <c r="R792" s="26"/>
      <c r="S792" s="47"/>
      <c r="T792" s="4" t="e">
        <f>VLOOKUP(#REF!,#REF!,2,0)</f>
        <v>#REF!</v>
      </c>
      <c r="U792" s="20" t="e">
        <f t="shared" si="31"/>
        <v>#REF!</v>
      </c>
      <c r="V792" s="47"/>
      <c r="W792" s="43"/>
      <c r="X792" s="66" t="e">
        <f>VLOOKUP(D792,#REF!,2,0)</f>
        <v>#REF!</v>
      </c>
      <c r="Y792" s="67" t="e">
        <f t="shared" si="32"/>
        <v>#N/A</v>
      </c>
    </row>
    <row r="793" spans="1:25" ht="13.65" customHeight="1">
      <c r="A793" s="92" t="e">
        <f t="shared" si="34"/>
        <v>#REF!</v>
      </c>
      <c r="B793" s="18"/>
      <c r="C793" s="3" t="e">
        <f>VLOOKUP(D793,'lista 1'!$A$2:$F$1802,4,0)</f>
        <v>#N/A</v>
      </c>
      <c r="D793" s="73"/>
      <c r="E793" s="4" t="e">
        <f>VLOOKUP(D793,'lista 1'!$A$2:$F$1802,5,0)</f>
        <v>#N/A</v>
      </c>
      <c r="F793" s="59" t="e">
        <f>VLOOKUP(G793,'lista 3'!$A$1:$C$467,3,0)</f>
        <v>#N/A</v>
      </c>
      <c r="G793" s="76"/>
      <c r="H793" s="85"/>
      <c r="I793" s="59" t="e">
        <f>VLOOKUP(J793,'lista 3'!$A$1:$C$467,3,0)</f>
        <v>#N/A</v>
      </c>
      <c r="J793" s="79"/>
      <c r="K793" s="87"/>
      <c r="L793" s="82"/>
      <c r="M793" s="22"/>
      <c r="N793" s="22"/>
      <c r="O793" s="22"/>
      <c r="P793" s="26"/>
      <c r="Q793" s="26"/>
      <c r="R793" s="26"/>
      <c r="S793" s="47"/>
      <c r="T793" s="4" t="e">
        <f>VLOOKUP(#REF!,#REF!,2,0)</f>
        <v>#REF!</v>
      </c>
      <c r="U793" s="20" t="e">
        <f t="shared" si="31"/>
        <v>#REF!</v>
      </c>
      <c r="V793" s="47"/>
      <c r="W793" s="43"/>
      <c r="X793" s="66" t="e">
        <f>VLOOKUP(D793,#REF!,2,0)</f>
        <v>#REF!</v>
      </c>
      <c r="Y793" s="67" t="e">
        <f t="shared" si="32"/>
        <v>#N/A</v>
      </c>
    </row>
    <row r="794" spans="1:25" ht="13.65" customHeight="1">
      <c r="A794" s="92" t="e">
        <f t="shared" si="34"/>
        <v>#REF!</v>
      </c>
      <c r="B794" s="18"/>
      <c r="C794" s="3" t="e">
        <f>VLOOKUP(D794,'lista 1'!$A$2:$F$1802,4,0)</f>
        <v>#N/A</v>
      </c>
      <c r="D794" s="73"/>
      <c r="E794" s="4" t="e">
        <f>VLOOKUP(D794,'lista 1'!$A$2:$F$1802,5,0)</f>
        <v>#N/A</v>
      </c>
      <c r="F794" s="59" t="e">
        <f>VLOOKUP(G794,'lista 3'!$A$1:$C$467,3,0)</f>
        <v>#N/A</v>
      </c>
      <c r="G794" s="76"/>
      <c r="H794" s="85"/>
      <c r="I794" s="59" t="e">
        <f>VLOOKUP(J794,'lista 3'!$A$1:$C$467,3,0)</f>
        <v>#N/A</v>
      </c>
      <c r="J794" s="79"/>
      <c r="K794" s="87"/>
      <c r="L794" s="82"/>
      <c r="M794" s="22"/>
      <c r="N794" s="22"/>
      <c r="O794" s="22"/>
      <c r="P794" s="26"/>
      <c r="Q794" s="26"/>
      <c r="R794" s="26"/>
      <c r="S794" s="47"/>
      <c r="T794" s="4" t="e">
        <f>VLOOKUP(#REF!,#REF!,2,0)</f>
        <v>#REF!</v>
      </c>
      <c r="U794" s="20" t="e">
        <f t="shared" si="31"/>
        <v>#REF!</v>
      </c>
      <c r="V794" s="47"/>
      <c r="W794" s="43"/>
      <c r="X794" s="66" t="e">
        <f>VLOOKUP(D794,#REF!,2,0)</f>
        <v>#REF!</v>
      </c>
      <c r="Y794" s="67" t="e">
        <f t="shared" si="32"/>
        <v>#N/A</v>
      </c>
    </row>
    <row r="795" spans="1:25" ht="13.65" customHeight="1">
      <c r="A795" s="92" t="e">
        <f t="shared" si="34"/>
        <v>#REF!</v>
      </c>
      <c r="B795" s="18"/>
      <c r="C795" s="3" t="e">
        <f>VLOOKUP(D795,'lista 1'!$A$2:$F$1802,4,0)</f>
        <v>#N/A</v>
      </c>
      <c r="D795" s="73"/>
      <c r="E795" s="4" t="e">
        <f>VLOOKUP(D795,'lista 1'!$A$2:$F$1802,5,0)</f>
        <v>#N/A</v>
      </c>
      <c r="F795" s="59" t="e">
        <f>VLOOKUP(G795,'lista 3'!$A$1:$C$467,3,0)</f>
        <v>#N/A</v>
      </c>
      <c r="G795" s="76"/>
      <c r="H795" s="85"/>
      <c r="I795" s="59" t="e">
        <f>VLOOKUP(J795,'lista 3'!$A$1:$C$467,3,0)</f>
        <v>#N/A</v>
      </c>
      <c r="J795" s="79"/>
      <c r="K795" s="87"/>
      <c r="L795" s="82"/>
      <c r="M795" s="22"/>
      <c r="N795" s="22"/>
      <c r="O795" s="22"/>
      <c r="P795" s="26"/>
      <c r="Q795" s="26"/>
      <c r="R795" s="26"/>
      <c r="S795" s="47"/>
      <c r="T795" s="4" t="e">
        <f>VLOOKUP(#REF!,#REF!,2,0)</f>
        <v>#REF!</v>
      </c>
      <c r="U795" s="20" t="e">
        <f t="shared" si="31"/>
        <v>#REF!</v>
      </c>
      <c r="V795" s="47"/>
      <c r="W795" s="43"/>
      <c r="X795" s="66" t="e">
        <f>VLOOKUP(D795,#REF!,2,0)</f>
        <v>#REF!</v>
      </c>
      <c r="Y795" s="67" t="e">
        <f t="shared" si="32"/>
        <v>#N/A</v>
      </c>
    </row>
    <row r="796" spans="1:25" ht="13.65" customHeight="1">
      <c r="A796" s="92" t="e">
        <f t="shared" si="34"/>
        <v>#REF!</v>
      </c>
      <c r="B796" s="18"/>
      <c r="C796" s="3" t="e">
        <f>VLOOKUP(D796,'lista 1'!$A$2:$F$1802,4,0)</f>
        <v>#N/A</v>
      </c>
      <c r="D796" s="73"/>
      <c r="E796" s="4" t="e">
        <f>VLOOKUP(D796,'lista 1'!$A$2:$F$1802,5,0)</f>
        <v>#N/A</v>
      </c>
      <c r="F796" s="59" t="e">
        <f>VLOOKUP(G796,'lista 3'!$A$1:$C$467,3,0)</f>
        <v>#N/A</v>
      </c>
      <c r="G796" s="76"/>
      <c r="H796" s="85"/>
      <c r="I796" s="59" t="e">
        <f>VLOOKUP(J796,'lista 3'!$A$1:$C$467,3,0)</f>
        <v>#N/A</v>
      </c>
      <c r="J796" s="79"/>
      <c r="K796" s="87"/>
      <c r="L796" s="82"/>
      <c r="M796" s="22"/>
      <c r="N796" s="22"/>
      <c r="O796" s="22"/>
      <c r="P796" s="26"/>
      <c r="Q796" s="26"/>
      <c r="R796" s="26"/>
      <c r="S796" s="47"/>
      <c r="T796" s="4" t="e">
        <f>VLOOKUP(#REF!,#REF!,2,0)</f>
        <v>#REF!</v>
      </c>
      <c r="U796" s="20" t="e">
        <f t="shared" ref="U796:U859" si="35">L796-T796</f>
        <v>#REF!</v>
      </c>
      <c r="V796" s="47"/>
      <c r="W796" s="43"/>
      <c r="X796" s="66" t="e">
        <f>VLOOKUP(D796,#REF!,2,0)</f>
        <v>#REF!</v>
      </c>
      <c r="Y796" s="67" t="e">
        <f t="shared" si="32"/>
        <v>#N/A</v>
      </c>
    </row>
    <row r="797" spans="1:25" ht="13.65" customHeight="1">
      <c r="A797" s="92" t="e">
        <f t="shared" si="34"/>
        <v>#REF!</v>
      </c>
      <c r="B797" s="18"/>
      <c r="C797" s="3" t="e">
        <f>VLOOKUP(D797,'lista 1'!$A$2:$F$1802,4,0)</f>
        <v>#N/A</v>
      </c>
      <c r="D797" s="73"/>
      <c r="E797" s="4" t="e">
        <f>VLOOKUP(D797,'lista 1'!$A$2:$F$1802,5,0)</f>
        <v>#N/A</v>
      </c>
      <c r="F797" s="59" t="e">
        <f>VLOOKUP(G797,'lista 3'!$A$1:$C$467,3,0)</f>
        <v>#N/A</v>
      </c>
      <c r="G797" s="76"/>
      <c r="H797" s="85"/>
      <c r="I797" s="59" t="e">
        <f>VLOOKUP(J797,'lista 3'!$A$1:$C$467,3,0)</f>
        <v>#N/A</v>
      </c>
      <c r="J797" s="79"/>
      <c r="K797" s="87"/>
      <c r="L797" s="82"/>
      <c r="M797" s="22"/>
      <c r="N797" s="22"/>
      <c r="O797" s="22"/>
      <c r="P797" s="26"/>
      <c r="Q797" s="26"/>
      <c r="R797" s="26"/>
      <c r="S797" s="47"/>
      <c r="T797" s="4" t="e">
        <f>VLOOKUP(#REF!,#REF!,2,0)</f>
        <v>#REF!</v>
      </c>
      <c r="U797" s="20" t="e">
        <f t="shared" si="35"/>
        <v>#REF!</v>
      </c>
      <c r="V797" s="47"/>
      <c r="W797" s="43"/>
      <c r="X797" s="66" t="e">
        <f>VLOOKUP(D797,#REF!,2,0)</f>
        <v>#REF!</v>
      </c>
      <c r="Y797" s="67" t="e">
        <f t="shared" si="32"/>
        <v>#N/A</v>
      </c>
    </row>
    <row r="798" spans="1:25" ht="13.65" customHeight="1">
      <c r="A798" s="92" t="e">
        <f t="shared" si="34"/>
        <v>#REF!</v>
      </c>
      <c r="B798" s="18"/>
      <c r="C798" s="3" t="e">
        <f>VLOOKUP(D798,'lista 1'!$A$2:$F$1802,4,0)</f>
        <v>#N/A</v>
      </c>
      <c r="D798" s="73"/>
      <c r="E798" s="4" t="e">
        <f>VLOOKUP(D798,'lista 1'!$A$2:$F$1802,5,0)</f>
        <v>#N/A</v>
      </c>
      <c r="F798" s="59" t="e">
        <f>VLOOKUP(G798,'lista 3'!$A$1:$C$467,3,0)</f>
        <v>#N/A</v>
      </c>
      <c r="G798" s="76"/>
      <c r="H798" s="85"/>
      <c r="I798" s="59" t="e">
        <f>VLOOKUP(J798,'lista 3'!$A$1:$C$467,3,0)</f>
        <v>#N/A</v>
      </c>
      <c r="J798" s="79"/>
      <c r="K798" s="87"/>
      <c r="L798" s="82"/>
      <c r="M798" s="22"/>
      <c r="N798" s="22"/>
      <c r="O798" s="22"/>
      <c r="P798" s="26"/>
      <c r="Q798" s="26"/>
      <c r="R798" s="26"/>
      <c r="S798" s="47"/>
      <c r="T798" s="4" t="e">
        <f>VLOOKUP(#REF!,#REF!,2,0)</f>
        <v>#REF!</v>
      </c>
      <c r="U798" s="20" t="e">
        <f t="shared" si="35"/>
        <v>#REF!</v>
      </c>
      <c r="V798" s="47"/>
      <c r="W798" s="43"/>
      <c r="X798" s="66" t="e">
        <f>VLOOKUP(D798,#REF!,2,0)</f>
        <v>#REF!</v>
      </c>
      <c r="Y798" s="67" t="e">
        <f t="shared" ref="Y798:Y861" si="36">F798=I798</f>
        <v>#N/A</v>
      </c>
    </row>
    <row r="799" spans="1:25" ht="13.65" customHeight="1">
      <c r="A799" s="92" t="e">
        <f t="shared" si="34"/>
        <v>#REF!</v>
      </c>
      <c r="B799" s="18"/>
      <c r="C799" s="3" t="e">
        <f>VLOOKUP(D799,'lista 1'!$A$2:$F$1802,4,0)</f>
        <v>#N/A</v>
      </c>
      <c r="D799" s="73"/>
      <c r="E799" s="4" t="e">
        <f>VLOOKUP(D799,'lista 1'!$A$2:$F$1802,5,0)</f>
        <v>#N/A</v>
      </c>
      <c r="F799" s="59" t="e">
        <f>VLOOKUP(G799,'lista 3'!$A$1:$C$467,3,0)</f>
        <v>#N/A</v>
      </c>
      <c r="G799" s="76"/>
      <c r="H799" s="85"/>
      <c r="I799" s="59" t="e">
        <f>VLOOKUP(J799,'lista 3'!$A$1:$C$467,3,0)</f>
        <v>#N/A</v>
      </c>
      <c r="J799" s="79"/>
      <c r="K799" s="87"/>
      <c r="L799" s="82"/>
      <c r="M799" s="22"/>
      <c r="N799" s="22"/>
      <c r="O799" s="22"/>
      <c r="P799" s="26"/>
      <c r="Q799" s="26"/>
      <c r="R799" s="26"/>
      <c r="S799" s="47"/>
      <c r="T799" s="4" t="e">
        <f>VLOOKUP(#REF!,#REF!,2,0)</f>
        <v>#REF!</v>
      </c>
      <c r="U799" s="20" t="e">
        <f t="shared" si="35"/>
        <v>#REF!</v>
      </c>
      <c r="V799" s="47"/>
      <c r="W799" s="43"/>
      <c r="X799" s="66" t="e">
        <f>VLOOKUP(D799,#REF!,2,0)</f>
        <v>#REF!</v>
      </c>
      <c r="Y799" s="67" t="e">
        <f t="shared" si="36"/>
        <v>#N/A</v>
      </c>
    </row>
    <row r="800" spans="1:25" ht="13.65" customHeight="1">
      <c r="A800" s="92" t="e">
        <f t="shared" si="34"/>
        <v>#REF!</v>
      </c>
      <c r="B800" s="18"/>
      <c r="C800" s="3" t="e">
        <f>VLOOKUP(D800,'lista 1'!$A$2:$F$1802,4,0)</f>
        <v>#N/A</v>
      </c>
      <c r="D800" s="73"/>
      <c r="E800" s="4" t="e">
        <f>VLOOKUP(D800,'lista 1'!$A$2:$F$1802,5,0)</f>
        <v>#N/A</v>
      </c>
      <c r="F800" s="59" t="e">
        <f>VLOOKUP(G800,'lista 3'!$A$1:$C$467,3,0)</f>
        <v>#N/A</v>
      </c>
      <c r="G800" s="76"/>
      <c r="H800" s="85"/>
      <c r="I800" s="59" t="e">
        <f>VLOOKUP(J800,'lista 3'!$A$1:$C$467,3,0)</f>
        <v>#N/A</v>
      </c>
      <c r="J800" s="79"/>
      <c r="K800" s="87"/>
      <c r="L800" s="82"/>
      <c r="M800" s="22"/>
      <c r="N800" s="22"/>
      <c r="O800" s="22"/>
      <c r="P800" s="26"/>
      <c r="Q800" s="26"/>
      <c r="R800" s="26"/>
      <c r="S800" s="47"/>
      <c r="T800" s="4" t="e">
        <f>VLOOKUP(#REF!,#REF!,2,0)</f>
        <v>#REF!</v>
      </c>
      <c r="U800" s="20" t="e">
        <f t="shared" si="35"/>
        <v>#REF!</v>
      </c>
      <c r="V800" s="47"/>
      <c r="W800" s="43"/>
      <c r="X800" s="66" t="e">
        <f>VLOOKUP(D800,#REF!,2,0)</f>
        <v>#REF!</v>
      </c>
      <c r="Y800" s="67" t="e">
        <f t="shared" si="36"/>
        <v>#N/A</v>
      </c>
    </row>
    <row r="801" spans="1:27" ht="13.65" customHeight="1">
      <c r="A801" s="92" t="e">
        <f t="shared" si="34"/>
        <v>#REF!</v>
      </c>
      <c r="B801" s="18"/>
      <c r="C801" s="3" t="e">
        <f>VLOOKUP(D801,'lista 1'!$A$2:$F$1802,4,0)</f>
        <v>#N/A</v>
      </c>
      <c r="D801" s="73"/>
      <c r="E801" s="4" t="e">
        <f>VLOOKUP(D801,'lista 1'!$A$2:$F$1802,5,0)</f>
        <v>#N/A</v>
      </c>
      <c r="F801" s="59" t="e">
        <f>VLOOKUP(G801,'lista 3'!$A$1:$C$467,3,0)</f>
        <v>#N/A</v>
      </c>
      <c r="G801" s="76"/>
      <c r="H801" s="85"/>
      <c r="I801" s="59" t="e">
        <f>VLOOKUP(J801,'lista 3'!$A$1:$C$467,3,0)</f>
        <v>#N/A</v>
      </c>
      <c r="J801" s="79"/>
      <c r="K801" s="87"/>
      <c r="L801" s="82"/>
      <c r="M801" s="22"/>
      <c r="N801" s="22"/>
      <c r="O801" s="22"/>
      <c r="P801" s="26"/>
      <c r="Q801" s="26"/>
      <c r="R801" s="26"/>
      <c r="S801" s="47"/>
      <c r="T801" s="4" t="e">
        <f>VLOOKUP(#REF!,#REF!,2,0)</f>
        <v>#REF!</v>
      </c>
      <c r="U801" s="20" t="e">
        <f t="shared" si="35"/>
        <v>#REF!</v>
      </c>
      <c r="V801" s="47"/>
      <c r="W801" s="43"/>
      <c r="X801" s="66" t="e">
        <f>VLOOKUP(D801,#REF!,2,0)</f>
        <v>#REF!</v>
      </c>
      <c r="Y801" s="67" t="e">
        <f t="shared" si="36"/>
        <v>#N/A</v>
      </c>
    </row>
    <row r="802" spans="1:27" ht="13.65" customHeight="1">
      <c r="A802" s="92" t="e">
        <f t="shared" si="34"/>
        <v>#REF!</v>
      </c>
      <c r="B802" s="18"/>
      <c r="C802" s="3" t="e">
        <f>VLOOKUP(D802,'lista 1'!$A$2:$F$1802,4,0)</f>
        <v>#N/A</v>
      </c>
      <c r="D802" s="73"/>
      <c r="E802" s="4" t="e">
        <f>VLOOKUP(D802,'lista 1'!$A$2:$F$1802,5,0)</f>
        <v>#N/A</v>
      </c>
      <c r="F802" s="59" t="e">
        <f>VLOOKUP(G802,'lista 3'!$A$1:$C$467,3,0)</f>
        <v>#N/A</v>
      </c>
      <c r="G802" s="76"/>
      <c r="H802" s="85"/>
      <c r="I802" s="59" t="e">
        <f>VLOOKUP(J802,'lista 3'!$A$1:$C$467,3,0)</f>
        <v>#N/A</v>
      </c>
      <c r="J802" s="79"/>
      <c r="K802" s="87"/>
      <c r="L802" s="82"/>
      <c r="M802" s="22"/>
      <c r="N802" s="22"/>
      <c r="O802" s="22"/>
      <c r="P802" s="26"/>
      <c r="Q802" s="26"/>
      <c r="R802" s="26"/>
      <c r="S802" s="47"/>
      <c r="T802" s="4" t="e">
        <f>VLOOKUP(#REF!,#REF!,2,0)</f>
        <v>#REF!</v>
      </c>
      <c r="U802" s="20" t="e">
        <f t="shared" si="35"/>
        <v>#REF!</v>
      </c>
      <c r="V802" s="47"/>
      <c r="W802" s="43"/>
      <c r="X802" s="66" t="e">
        <f>VLOOKUP(D802,#REF!,2,0)</f>
        <v>#REF!</v>
      </c>
      <c r="Y802" s="67" t="e">
        <f t="shared" si="36"/>
        <v>#N/A</v>
      </c>
    </row>
    <row r="803" spans="1:27" ht="13.65" customHeight="1">
      <c r="A803" s="92" t="e">
        <f t="shared" si="34"/>
        <v>#REF!</v>
      </c>
      <c r="B803" s="18"/>
      <c r="C803" s="3" t="e">
        <f>VLOOKUP(D803,'lista 1'!$A$2:$F$1802,4,0)</f>
        <v>#N/A</v>
      </c>
      <c r="D803" s="73"/>
      <c r="E803" s="4" t="e">
        <f>VLOOKUP(D803,'lista 1'!$A$2:$F$1802,5,0)</f>
        <v>#N/A</v>
      </c>
      <c r="F803" s="59" t="e">
        <f>VLOOKUP(G803,'lista 3'!$A$1:$C$467,3,0)</f>
        <v>#N/A</v>
      </c>
      <c r="G803" s="76"/>
      <c r="H803" s="85"/>
      <c r="I803" s="59" t="e">
        <f>VLOOKUP(J803,'lista 3'!$A$1:$C$467,3,0)</f>
        <v>#N/A</v>
      </c>
      <c r="J803" s="79"/>
      <c r="K803" s="87"/>
      <c r="L803" s="82"/>
      <c r="M803" s="22"/>
      <c r="N803" s="22"/>
      <c r="O803" s="22"/>
      <c r="P803" s="26"/>
      <c r="Q803" s="26"/>
      <c r="R803" s="26"/>
      <c r="S803" s="47"/>
      <c r="T803" s="4" t="e">
        <f>VLOOKUP(#REF!,#REF!,2,0)</f>
        <v>#REF!</v>
      </c>
      <c r="U803" s="20" t="e">
        <f t="shared" si="35"/>
        <v>#REF!</v>
      </c>
      <c r="V803" s="47"/>
      <c r="W803" s="43"/>
      <c r="X803" s="66" t="e">
        <f>VLOOKUP(D803,#REF!,2,0)</f>
        <v>#REF!</v>
      </c>
      <c r="Y803" s="67" t="e">
        <f t="shared" si="36"/>
        <v>#N/A</v>
      </c>
    </row>
    <row r="804" spans="1:27" ht="13.65" customHeight="1">
      <c r="A804" s="92" t="e">
        <f t="shared" si="34"/>
        <v>#REF!</v>
      </c>
      <c r="B804" s="18"/>
      <c r="C804" s="3" t="e">
        <f>VLOOKUP(D804,'lista 1'!$A$2:$F$1802,4,0)</f>
        <v>#N/A</v>
      </c>
      <c r="D804" s="73"/>
      <c r="E804" s="4" t="e">
        <f>VLOOKUP(D804,'lista 1'!$A$2:$F$1802,5,0)</f>
        <v>#N/A</v>
      </c>
      <c r="F804" s="59" t="e">
        <f>VLOOKUP(G804,'lista 3'!$A$1:$C$467,3,0)</f>
        <v>#N/A</v>
      </c>
      <c r="G804" s="76"/>
      <c r="H804" s="85"/>
      <c r="I804" s="59" t="e">
        <f>VLOOKUP(J804,'lista 3'!$A$1:$C$467,3,0)</f>
        <v>#N/A</v>
      </c>
      <c r="J804" s="79"/>
      <c r="K804" s="87"/>
      <c r="L804" s="82"/>
      <c r="M804" s="22"/>
      <c r="N804" s="22"/>
      <c r="O804" s="22"/>
      <c r="P804" s="26"/>
      <c r="Q804" s="26"/>
      <c r="R804" s="26"/>
      <c r="S804" s="47"/>
      <c r="T804" s="4" t="e">
        <f>VLOOKUP(#REF!,#REF!,2,0)</f>
        <v>#REF!</v>
      </c>
      <c r="U804" s="20" t="e">
        <f t="shared" si="35"/>
        <v>#REF!</v>
      </c>
      <c r="V804" s="47"/>
      <c r="W804" s="43"/>
      <c r="X804" s="66" t="e">
        <f>VLOOKUP(D804,#REF!,2,0)</f>
        <v>#REF!</v>
      </c>
      <c r="Y804" s="67" t="e">
        <f t="shared" si="36"/>
        <v>#N/A</v>
      </c>
    </row>
    <row r="805" spans="1:27" ht="13.65" customHeight="1">
      <c r="A805" s="92" t="e">
        <f t="shared" si="34"/>
        <v>#REF!</v>
      </c>
      <c r="B805" s="18"/>
      <c r="C805" s="3" t="e">
        <f>VLOOKUP(D805,'lista 1'!$A$2:$F$1802,4,0)</f>
        <v>#N/A</v>
      </c>
      <c r="D805" s="73"/>
      <c r="E805" s="4" t="e">
        <f>VLOOKUP(D805,'lista 1'!$A$2:$F$1802,5,0)</f>
        <v>#N/A</v>
      </c>
      <c r="F805" s="59" t="e">
        <f>VLOOKUP(G805,'lista 3'!$A$1:$C$467,3,0)</f>
        <v>#N/A</v>
      </c>
      <c r="G805" s="76"/>
      <c r="H805" s="85"/>
      <c r="I805" s="59" t="e">
        <f>VLOOKUP(J805,'lista 3'!$A$1:$C$467,3,0)</f>
        <v>#N/A</v>
      </c>
      <c r="J805" s="79"/>
      <c r="K805" s="87"/>
      <c r="L805" s="82"/>
      <c r="M805" s="22"/>
      <c r="N805" s="22"/>
      <c r="O805" s="22"/>
      <c r="P805" s="26"/>
      <c r="Q805" s="26"/>
      <c r="R805" s="26"/>
      <c r="S805" s="47"/>
      <c r="T805" s="4" t="e">
        <f>VLOOKUP(#REF!,#REF!,2,0)</f>
        <v>#REF!</v>
      </c>
      <c r="U805" s="20" t="e">
        <f t="shared" si="35"/>
        <v>#REF!</v>
      </c>
      <c r="V805" s="47"/>
      <c r="W805" s="43"/>
      <c r="X805" s="66" t="e">
        <f>VLOOKUP(D805,#REF!,2,0)</f>
        <v>#REF!</v>
      </c>
      <c r="Y805" s="67" t="e">
        <f t="shared" si="36"/>
        <v>#N/A</v>
      </c>
    </row>
    <row r="806" spans="1:27" ht="13.65" customHeight="1">
      <c r="A806" s="92" t="e">
        <f t="shared" si="34"/>
        <v>#REF!</v>
      </c>
      <c r="B806" s="18"/>
      <c r="C806" s="3" t="e">
        <f>VLOOKUP(D806,'lista 1'!$A$2:$F$1802,4,0)</f>
        <v>#N/A</v>
      </c>
      <c r="D806" s="73"/>
      <c r="E806" s="4" t="e">
        <f>VLOOKUP(D806,'lista 1'!$A$2:$F$1802,5,0)</f>
        <v>#N/A</v>
      </c>
      <c r="F806" s="59" t="e">
        <f>VLOOKUP(G806,'lista 3'!$A$1:$C$467,3,0)</f>
        <v>#N/A</v>
      </c>
      <c r="G806" s="76"/>
      <c r="H806" s="85"/>
      <c r="I806" s="59" t="e">
        <f>VLOOKUP(J806,'lista 3'!$A$1:$C$467,3,0)</f>
        <v>#N/A</v>
      </c>
      <c r="J806" s="79"/>
      <c r="K806" s="87"/>
      <c r="L806" s="82"/>
      <c r="M806" s="22"/>
      <c r="N806" s="22"/>
      <c r="O806" s="22"/>
      <c r="P806" s="26"/>
      <c r="Q806" s="26"/>
      <c r="R806" s="26"/>
      <c r="S806" s="47"/>
      <c r="T806" s="4" t="e">
        <f>VLOOKUP(#REF!,#REF!,2,0)</f>
        <v>#REF!</v>
      </c>
      <c r="U806" s="20" t="e">
        <f t="shared" si="35"/>
        <v>#REF!</v>
      </c>
      <c r="V806" s="47"/>
      <c r="W806" s="43"/>
      <c r="X806" s="66" t="e">
        <f>VLOOKUP(D806,#REF!,2,0)</f>
        <v>#REF!</v>
      </c>
      <c r="Y806" s="67" t="e">
        <f t="shared" si="36"/>
        <v>#N/A</v>
      </c>
    </row>
    <row r="807" spans="1:27" ht="13.65" customHeight="1">
      <c r="A807" s="92" t="e">
        <f t="shared" si="34"/>
        <v>#REF!</v>
      </c>
      <c r="B807" s="18"/>
      <c r="C807" s="3" t="e">
        <f>VLOOKUP(D807,'lista 1'!$A$2:$F$1802,4,0)</f>
        <v>#N/A</v>
      </c>
      <c r="D807" s="73"/>
      <c r="E807" s="4" t="e">
        <f>VLOOKUP(D807,'lista 1'!$A$2:$F$1802,5,0)</f>
        <v>#N/A</v>
      </c>
      <c r="F807" s="59" t="e">
        <f>VLOOKUP(G807,'lista 3'!$A$1:$C$467,3,0)</f>
        <v>#N/A</v>
      </c>
      <c r="G807" s="76"/>
      <c r="H807" s="85"/>
      <c r="I807" s="59" t="e">
        <f>VLOOKUP(J807,'lista 3'!$A$1:$C$467,3,0)</f>
        <v>#N/A</v>
      </c>
      <c r="J807" s="79"/>
      <c r="K807" s="87"/>
      <c r="L807" s="82"/>
      <c r="M807" s="22"/>
      <c r="N807" s="22"/>
      <c r="O807" s="22"/>
      <c r="P807" s="26"/>
      <c r="Q807" s="26"/>
      <c r="R807" s="26"/>
      <c r="S807" s="47"/>
      <c r="T807" s="4" t="e">
        <f>VLOOKUP(#REF!,#REF!,2,0)</f>
        <v>#REF!</v>
      </c>
      <c r="U807" s="20" t="e">
        <f t="shared" si="35"/>
        <v>#REF!</v>
      </c>
      <c r="V807" s="47"/>
      <c r="W807" s="43"/>
      <c r="X807" s="66" t="e">
        <f>VLOOKUP(D807,#REF!,2,0)</f>
        <v>#REF!</v>
      </c>
      <c r="Y807" s="67" t="e">
        <f t="shared" si="36"/>
        <v>#N/A</v>
      </c>
    </row>
    <row r="808" spans="1:27" ht="13.65" customHeight="1">
      <c r="A808" s="92" t="e">
        <f t="shared" si="34"/>
        <v>#REF!</v>
      </c>
      <c r="B808" s="18"/>
      <c r="C808" s="3" t="e">
        <f>VLOOKUP(D808,'lista 1'!$A$2:$F$1802,4,0)</f>
        <v>#N/A</v>
      </c>
      <c r="D808" s="73"/>
      <c r="E808" s="4" t="e">
        <f>VLOOKUP(D808,'lista 1'!$A$2:$F$1802,5,0)</f>
        <v>#N/A</v>
      </c>
      <c r="F808" s="59" t="e">
        <f>VLOOKUP(G808,'lista 3'!$A$1:$C$467,3,0)</f>
        <v>#N/A</v>
      </c>
      <c r="G808" s="76"/>
      <c r="H808" s="85"/>
      <c r="I808" s="59" t="e">
        <f>VLOOKUP(J808,'lista 3'!$A$1:$C$467,3,0)</f>
        <v>#N/A</v>
      </c>
      <c r="J808" s="79"/>
      <c r="K808" s="87"/>
      <c r="L808" s="82"/>
      <c r="M808" s="22"/>
      <c r="N808" s="22"/>
      <c r="O808" s="22"/>
      <c r="P808" s="26"/>
      <c r="Q808" s="26"/>
      <c r="R808" s="26"/>
      <c r="S808" s="47"/>
      <c r="T808" s="4" t="e">
        <f>VLOOKUP(#REF!,#REF!,2,0)</f>
        <v>#REF!</v>
      </c>
      <c r="U808" s="20" t="e">
        <f t="shared" si="35"/>
        <v>#REF!</v>
      </c>
      <c r="V808" s="47"/>
      <c r="W808" s="43"/>
      <c r="X808" s="66" t="e">
        <f>VLOOKUP(D808,#REF!,2,0)</f>
        <v>#REF!</v>
      </c>
      <c r="Y808" s="67" t="e">
        <f t="shared" si="36"/>
        <v>#N/A</v>
      </c>
    </row>
    <row r="809" spans="1:27" ht="13.65" customHeight="1">
      <c r="A809" s="92" t="e">
        <f t="shared" si="34"/>
        <v>#REF!</v>
      </c>
      <c r="B809" s="18"/>
      <c r="C809" s="3" t="e">
        <f>VLOOKUP(D809,'lista 1'!$A$2:$F$1802,4,0)</f>
        <v>#N/A</v>
      </c>
      <c r="D809" s="73"/>
      <c r="E809" s="4" t="e">
        <f>VLOOKUP(D809,'lista 1'!$A$2:$F$1802,5,0)</f>
        <v>#N/A</v>
      </c>
      <c r="F809" s="59" t="e">
        <f>VLOOKUP(G809,'lista 3'!$A$1:$C$467,3,0)</f>
        <v>#N/A</v>
      </c>
      <c r="G809" s="76"/>
      <c r="H809" s="85"/>
      <c r="I809" s="59" t="e">
        <f>VLOOKUP(J809,'lista 3'!$A$1:$C$467,3,0)</f>
        <v>#N/A</v>
      </c>
      <c r="J809" s="79"/>
      <c r="K809" s="87"/>
      <c r="L809" s="82"/>
      <c r="M809" s="22"/>
      <c r="N809" s="22"/>
      <c r="O809" s="22"/>
      <c r="P809" s="26"/>
      <c r="Q809" s="26"/>
      <c r="R809" s="26"/>
      <c r="S809" s="47"/>
      <c r="T809" s="4" t="e">
        <f>VLOOKUP(#REF!,#REF!,2,0)</f>
        <v>#REF!</v>
      </c>
      <c r="U809" s="20" t="e">
        <f t="shared" si="35"/>
        <v>#REF!</v>
      </c>
      <c r="V809" s="47"/>
      <c r="W809" s="43"/>
      <c r="X809" s="66" t="e">
        <f>VLOOKUP(D809,#REF!,2,0)</f>
        <v>#REF!</v>
      </c>
      <c r="Y809" s="67" t="e">
        <f t="shared" si="36"/>
        <v>#N/A</v>
      </c>
    </row>
    <row r="810" spans="1:27" ht="13.65" customHeight="1">
      <c r="A810" s="92" t="e">
        <f t="shared" ref="A810:A841" si="37">A809+1</f>
        <v>#REF!</v>
      </c>
      <c r="B810" s="18"/>
      <c r="C810" s="3" t="e">
        <f>VLOOKUP(D810,'lista 1'!$A$2:$F$1802,4,0)</f>
        <v>#N/A</v>
      </c>
      <c r="D810" s="73"/>
      <c r="E810" s="4" t="e">
        <f>VLOOKUP(D810,'lista 1'!$A$2:$F$1802,5,0)</f>
        <v>#N/A</v>
      </c>
      <c r="F810" s="59" t="e">
        <f>VLOOKUP(G810,'lista 3'!$A$1:$C$467,3,0)</f>
        <v>#N/A</v>
      </c>
      <c r="G810" s="76"/>
      <c r="H810" s="85"/>
      <c r="I810" s="59" t="e">
        <f>VLOOKUP(J810,'lista 3'!$A$1:$C$467,3,0)</f>
        <v>#N/A</v>
      </c>
      <c r="J810" s="79"/>
      <c r="K810" s="87"/>
      <c r="L810" s="82"/>
      <c r="M810" s="22"/>
      <c r="N810" s="22"/>
      <c r="O810" s="22"/>
      <c r="P810" s="26"/>
      <c r="Q810" s="26"/>
      <c r="R810" s="26"/>
      <c r="S810" s="47"/>
      <c r="T810" s="4" t="e">
        <f>VLOOKUP(#REF!,#REF!,2,0)</f>
        <v>#REF!</v>
      </c>
      <c r="U810" s="20" t="e">
        <f t="shared" si="35"/>
        <v>#REF!</v>
      </c>
      <c r="V810" s="47"/>
      <c r="W810" s="43"/>
      <c r="X810" s="66" t="e">
        <f>VLOOKUP(D810,#REF!,2,0)</f>
        <v>#REF!</v>
      </c>
      <c r="Y810" s="67" t="e">
        <f t="shared" si="36"/>
        <v>#N/A</v>
      </c>
    </row>
    <row r="811" spans="1:27" ht="13.65" customHeight="1">
      <c r="A811" s="92" t="e">
        <f t="shared" si="37"/>
        <v>#REF!</v>
      </c>
      <c r="B811" s="18"/>
      <c r="C811" s="3" t="e">
        <f>VLOOKUP(D811,'lista 1'!$A$2:$F$1802,4,0)</f>
        <v>#N/A</v>
      </c>
      <c r="D811" s="73"/>
      <c r="E811" s="4" t="e">
        <f>VLOOKUP(D811,'lista 1'!$A$2:$F$1802,5,0)</f>
        <v>#N/A</v>
      </c>
      <c r="F811" s="59" t="e">
        <f>VLOOKUP(G811,'lista 3'!$A$1:$C$467,3,0)</f>
        <v>#N/A</v>
      </c>
      <c r="G811" s="76"/>
      <c r="H811" s="85"/>
      <c r="I811" s="59" t="e">
        <f>VLOOKUP(J811,'lista 3'!$A$1:$C$467,3,0)</f>
        <v>#N/A</v>
      </c>
      <c r="J811" s="79"/>
      <c r="K811" s="87"/>
      <c r="L811" s="82"/>
      <c r="M811" s="22"/>
      <c r="N811" s="22"/>
      <c r="O811" s="22"/>
      <c r="P811" s="26"/>
      <c r="Q811" s="26"/>
      <c r="R811" s="26"/>
      <c r="S811" s="47"/>
      <c r="T811" s="4" t="e">
        <f>VLOOKUP(#REF!,#REF!,2,0)</f>
        <v>#REF!</v>
      </c>
      <c r="U811" s="20" t="e">
        <f t="shared" si="35"/>
        <v>#REF!</v>
      </c>
      <c r="V811" s="47"/>
      <c r="W811" s="43"/>
      <c r="X811" s="66" t="e">
        <f>VLOOKUP(D811,#REF!,2,0)</f>
        <v>#REF!</v>
      </c>
      <c r="Y811" s="67" t="e">
        <f t="shared" si="36"/>
        <v>#N/A</v>
      </c>
    </row>
    <row r="812" spans="1:27" ht="13.65" customHeight="1">
      <c r="A812" s="92" t="e">
        <f t="shared" si="37"/>
        <v>#REF!</v>
      </c>
      <c r="B812" s="18"/>
      <c r="C812" s="3" t="e">
        <f>VLOOKUP(D812,'lista 1'!$A$2:$F$1802,4,0)</f>
        <v>#N/A</v>
      </c>
      <c r="D812" s="73"/>
      <c r="E812" s="4" t="e">
        <f>VLOOKUP(D812,'lista 1'!$A$2:$F$1802,5,0)</f>
        <v>#N/A</v>
      </c>
      <c r="F812" s="59" t="e">
        <f>VLOOKUP(G812,'lista 3'!$A$1:$C$467,3,0)</f>
        <v>#N/A</v>
      </c>
      <c r="G812" s="76"/>
      <c r="H812" s="85"/>
      <c r="I812" s="59" t="e">
        <f>VLOOKUP(J812,'lista 3'!$A$1:$C$467,3,0)</f>
        <v>#N/A</v>
      </c>
      <c r="J812" s="79"/>
      <c r="K812" s="87"/>
      <c r="L812" s="82"/>
      <c r="M812" s="22"/>
      <c r="N812" s="22"/>
      <c r="O812" s="22"/>
      <c r="P812" s="26"/>
      <c r="Q812" s="26"/>
      <c r="R812" s="26"/>
      <c r="S812" s="47"/>
      <c r="T812" s="4" t="e">
        <f>VLOOKUP(#REF!,#REF!,2,0)</f>
        <v>#REF!</v>
      </c>
      <c r="U812" s="20" t="e">
        <f t="shared" si="35"/>
        <v>#REF!</v>
      </c>
      <c r="V812" s="47"/>
      <c r="W812" s="43"/>
      <c r="X812" s="66" t="e">
        <f>VLOOKUP(D812,#REF!,2,0)</f>
        <v>#REF!</v>
      </c>
      <c r="Y812" s="67" t="e">
        <f t="shared" si="36"/>
        <v>#N/A</v>
      </c>
    </row>
    <row r="813" spans="1:27" ht="13.65" customHeight="1">
      <c r="A813" s="92" t="e">
        <f t="shared" si="37"/>
        <v>#REF!</v>
      </c>
      <c r="B813" s="18"/>
      <c r="C813" s="3" t="e">
        <f>VLOOKUP(D813,'lista 1'!$A$2:$F$1802,4,0)</f>
        <v>#N/A</v>
      </c>
      <c r="D813" s="73"/>
      <c r="E813" s="4" t="e">
        <f>VLOOKUP(D813,'lista 1'!$A$2:$F$1802,5,0)</f>
        <v>#N/A</v>
      </c>
      <c r="F813" s="59" t="e">
        <f>VLOOKUP(G813,'lista 3'!$A$1:$C$467,3,0)</f>
        <v>#N/A</v>
      </c>
      <c r="G813" s="76"/>
      <c r="H813" s="85"/>
      <c r="I813" s="59" t="e">
        <f>VLOOKUP(J813,'lista 3'!$A$1:$C$467,3,0)</f>
        <v>#N/A</v>
      </c>
      <c r="J813" s="79"/>
      <c r="K813" s="87"/>
      <c r="L813" s="82"/>
      <c r="M813" s="22"/>
      <c r="N813" s="22"/>
      <c r="O813" s="22"/>
      <c r="P813" s="26"/>
      <c r="Q813" s="26"/>
      <c r="R813" s="26"/>
      <c r="S813" s="47"/>
      <c r="T813" s="4" t="e">
        <f>VLOOKUP(#REF!,#REF!,2,0)</f>
        <v>#REF!</v>
      </c>
      <c r="U813" s="20" t="e">
        <f t="shared" si="35"/>
        <v>#REF!</v>
      </c>
      <c r="V813" s="47"/>
      <c r="W813" s="43"/>
      <c r="X813" s="66" t="e">
        <f>VLOOKUP(D813,#REF!,2,0)</f>
        <v>#REF!</v>
      </c>
      <c r="Y813" s="67" t="e">
        <f t="shared" si="36"/>
        <v>#N/A</v>
      </c>
    </row>
    <row r="814" spans="1:27" ht="13.65" customHeight="1">
      <c r="A814" s="92" t="e">
        <f t="shared" si="37"/>
        <v>#REF!</v>
      </c>
      <c r="B814" s="18"/>
      <c r="C814" s="3" t="e">
        <f>VLOOKUP(D814,'lista 1'!$A$2:$F$1802,4,0)</f>
        <v>#N/A</v>
      </c>
      <c r="D814" s="73"/>
      <c r="E814" s="4" t="e">
        <f>VLOOKUP(D814,'lista 1'!$A$2:$F$1802,5,0)</f>
        <v>#N/A</v>
      </c>
      <c r="F814" s="59" t="e">
        <f>VLOOKUP(G814,'lista 3'!$A$1:$C$467,3,0)</f>
        <v>#N/A</v>
      </c>
      <c r="G814" s="76"/>
      <c r="H814" s="85"/>
      <c r="I814" s="59" t="e">
        <f>VLOOKUP(J814,'lista 3'!$A$1:$C$467,3,0)</f>
        <v>#N/A</v>
      </c>
      <c r="J814" s="79"/>
      <c r="K814" s="87"/>
      <c r="L814" s="82"/>
      <c r="M814" s="22"/>
      <c r="N814" s="22"/>
      <c r="O814" s="22"/>
      <c r="P814" s="26"/>
      <c r="Q814" s="26"/>
      <c r="R814" s="26"/>
      <c r="S814" s="47"/>
      <c r="T814" s="4" t="e">
        <f>VLOOKUP(#REF!,#REF!,2,0)</f>
        <v>#REF!</v>
      </c>
      <c r="U814" s="20" t="e">
        <f t="shared" si="35"/>
        <v>#REF!</v>
      </c>
      <c r="V814" s="47"/>
      <c r="W814" s="43"/>
      <c r="X814" s="66" t="e">
        <f>VLOOKUP(D814,#REF!,2,0)</f>
        <v>#REF!</v>
      </c>
      <c r="Y814" s="67" t="e">
        <f t="shared" si="36"/>
        <v>#N/A</v>
      </c>
      <c r="AA814" s="96"/>
    </row>
    <row r="815" spans="1:27" ht="13.65" customHeight="1">
      <c r="A815" s="92" t="e">
        <f t="shared" si="37"/>
        <v>#REF!</v>
      </c>
      <c r="B815" s="18"/>
      <c r="C815" s="3" t="e">
        <f>VLOOKUP(D815,'lista 1'!$A$2:$F$1802,4,0)</f>
        <v>#N/A</v>
      </c>
      <c r="D815" s="73"/>
      <c r="E815" s="4" t="e">
        <f>VLOOKUP(D815,'lista 1'!$A$2:$F$1802,5,0)</f>
        <v>#N/A</v>
      </c>
      <c r="F815" s="59" t="e">
        <f>VLOOKUP(G815,'lista 3'!$A$1:$C$467,3,0)</f>
        <v>#N/A</v>
      </c>
      <c r="G815" s="76"/>
      <c r="H815" s="85"/>
      <c r="I815" s="59" t="e">
        <f>VLOOKUP(J815,'lista 3'!$A$1:$C$467,3,0)</f>
        <v>#N/A</v>
      </c>
      <c r="J815" s="79"/>
      <c r="K815" s="87"/>
      <c r="L815" s="82"/>
      <c r="M815" s="22"/>
      <c r="N815" s="22"/>
      <c r="O815" s="22"/>
      <c r="P815" s="26"/>
      <c r="Q815" s="26"/>
      <c r="R815" s="26"/>
      <c r="S815" s="47"/>
      <c r="T815" s="4" t="e">
        <f>VLOOKUP(#REF!,#REF!,2,0)</f>
        <v>#REF!</v>
      </c>
      <c r="U815" s="20" t="e">
        <f t="shared" si="35"/>
        <v>#REF!</v>
      </c>
      <c r="V815" s="47"/>
      <c r="W815" s="43"/>
      <c r="X815" s="66" t="e">
        <f>VLOOKUP(D815,#REF!,2,0)</f>
        <v>#REF!</v>
      </c>
      <c r="Y815" s="67" t="e">
        <f t="shared" si="36"/>
        <v>#N/A</v>
      </c>
      <c r="AA815" s="95"/>
    </row>
    <row r="816" spans="1:27" ht="13.65" customHeight="1">
      <c r="A816" s="92" t="e">
        <f t="shared" si="37"/>
        <v>#REF!</v>
      </c>
      <c r="B816" s="18"/>
      <c r="C816" s="3" t="e">
        <f>VLOOKUP(D816,'lista 1'!$A$2:$F$1802,4,0)</f>
        <v>#N/A</v>
      </c>
      <c r="D816" s="73"/>
      <c r="E816" s="4" t="e">
        <f>VLOOKUP(D816,'lista 1'!$A$2:$F$1802,5,0)</f>
        <v>#N/A</v>
      </c>
      <c r="F816" s="59" t="e">
        <f>VLOOKUP(G816,'lista 3'!$A$1:$C$467,3,0)</f>
        <v>#N/A</v>
      </c>
      <c r="G816" s="76"/>
      <c r="H816" s="85"/>
      <c r="I816" s="59" t="e">
        <f>VLOOKUP(J816,'lista 3'!$A$1:$C$467,3,0)</f>
        <v>#N/A</v>
      </c>
      <c r="J816" s="79"/>
      <c r="K816" s="87"/>
      <c r="L816" s="82"/>
      <c r="M816" s="22"/>
      <c r="N816" s="22"/>
      <c r="O816" s="22"/>
      <c r="P816" s="26"/>
      <c r="Q816" s="26"/>
      <c r="R816" s="26"/>
      <c r="S816" s="47"/>
      <c r="T816" s="4" t="e">
        <f>VLOOKUP(#REF!,#REF!,2,0)</f>
        <v>#REF!</v>
      </c>
      <c r="U816" s="20" t="e">
        <f t="shared" si="35"/>
        <v>#REF!</v>
      </c>
      <c r="V816" s="47"/>
      <c r="W816" s="43"/>
      <c r="X816" s="66" t="e">
        <f>VLOOKUP(D816,#REF!,2,0)</f>
        <v>#REF!</v>
      </c>
      <c r="Y816" s="67" t="e">
        <f t="shared" si="36"/>
        <v>#N/A</v>
      </c>
      <c r="AA816" s="96"/>
    </row>
    <row r="817" spans="1:27" ht="13.65" customHeight="1">
      <c r="A817" s="92" t="e">
        <f t="shared" si="37"/>
        <v>#REF!</v>
      </c>
      <c r="B817" s="18"/>
      <c r="C817" s="3" t="e">
        <f>VLOOKUP(D817,'lista 1'!$A$2:$F$1802,4,0)</f>
        <v>#N/A</v>
      </c>
      <c r="D817" s="73"/>
      <c r="E817" s="4" t="e">
        <f>VLOOKUP(D817,'lista 1'!$A$2:$F$1802,5,0)</f>
        <v>#N/A</v>
      </c>
      <c r="F817" s="59" t="e">
        <f>VLOOKUP(G817,'lista 3'!$A$1:$C$467,3,0)</f>
        <v>#N/A</v>
      </c>
      <c r="G817" s="76"/>
      <c r="H817" s="85"/>
      <c r="I817" s="59" t="e">
        <f>VLOOKUP(J817,'lista 3'!$A$1:$C$467,3,0)</f>
        <v>#N/A</v>
      </c>
      <c r="J817" s="79"/>
      <c r="K817" s="87"/>
      <c r="L817" s="82"/>
      <c r="M817" s="22"/>
      <c r="N817" s="22"/>
      <c r="O817" s="22"/>
      <c r="P817" s="26"/>
      <c r="Q817" s="26"/>
      <c r="R817" s="26"/>
      <c r="S817" s="47"/>
      <c r="T817" s="4" t="e">
        <f>VLOOKUP(#REF!,#REF!,2,0)</f>
        <v>#REF!</v>
      </c>
      <c r="U817" s="20" t="e">
        <f t="shared" si="35"/>
        <v>#REF!</v>
      </c>
      <c r="V817" s="47"/>
      <c r="W817" s="43"/>
      <c r="X817" s="66" t="e">
        <f>VLOOKUP(D817,#REF!,2,0)</f>
        <v>#REF!</v>
      </c>
      <c r="Y817" s="67" t="e">
        <f t="shared" si="36"/>
        <v>#N/A</v>
      </c>
      <c r="AA817" s="96"/>
    </row>
    <row r="818" spans="1:27" ht="13.65" customHeight="1">
      <c r="A818" s="92" t="e">
        <f t="shared" si="37"/>
        <v>#REF!</v>
      </c>
      <c r="B818" s="18"/>
      <c r="C818" s="3" t="e">
        <f>VLOOKUP(D818,'lista 1'!$A$2:$F$1802,4,0)</f>
        <v>#N/A</v>
      </c>
      <c r="D818" s="73"/>
      <c r="E818" s="4" t="e">
        <f>VLOOKUP(D818,'lista 1'!$A$2:$F$1802,5,0)</f>
        <v>#N/A</v>
      </c>
      <c r="F818" s="59" t="e">
        <f>VLOOKUP(G818,'lista 3'!$A$1:$C$467,3,0)</f>
        <v>#N/A</v>
      </c>
      <c r="G818" s="76"/>
      <c r="H818" s="85"/>
      <c r="I818" s="59" t="e">
        <f>VLOOKUP(J818,'lista 3'!$A$1:$C$467,3,0)</f>
        <v>#N/A</v>
      </c>
      <c r="J818" s="79"/>
      <c r="K818" s="87"/>
      <c r="L818" s="82"/>
      <c r="M818" s="22"/>
      <c r="N818" s="22"/>
      <c r="O818" s="22"/>
      <c r="P818" s="26"/>
      <c r="Q818" s="26"/>
      <c r="R818" s="26"/>
      <c r="S818" s="47"/>
      <c r="T818" s="4" t="e">
        <f>VLOOKUP(#REF!,#REF!,2,0)</f>
        <v>#REF!</v>
      </c>
      <c r="U818" s="20" t="e">
        <f t="shared" si="35"/>
        <v>#REF!</v>
      </c>
      <c r="V818" s="47"/>
      <c r="W818" s="43"/>
      <c r="X818" s="66" t="e">
        <f>VLOOKUP(D818,#REF!,2,0)</f>
        <v>#REF!</v>
      </c>
      <c r="Y818" s="67" t="e">
        <f t="shared" si="36"/>
        <v>#N/A</v>
      </c>
      <c r="AA818" s="99"/>
    </row>
    <row r="819" spans="1:27" ht="13.65" customHeight="1">
      <c r="A819" s="92" t="e">
        <f t="shared" si="37"/>
        <v>#REF!</v>
      </c>
      <c r="B819" s="18"/>
      <c r="C819" s="3" t="e">
        <f>VLOOKUP(D819,'lista 1'!$A$2:$F$1802,4,0)</f>
        <v>#N/A</v>
      </c>
      <c r="D819" s="73"/>
      <c r="E819" s="4" t="e">
        <f>VLOOKUP(D819,'lista 1'!$A$2:$F$1802,5,0)</f>
        <v>#N/A</v>
      </c>
      <c r="F819" s="59" t="e">
        <f>VLOOKUP(G819,'lista 3'!$A$1:$C$467,3,0)</f>
        <v>#N/A</v>
      </c>
      <c r="G819" s="76"/>
      <c r="H819" s="85"/>
      <c r="I819" s="59" t="e">
        <f>VLOOKUP(J819,'lista 3'!$A$1:$C$467,3,0)</f>
        <v>#N/A</v>
      </c>
      <c r="J819" s="79"/>
      <c r="K819" s="87"/>
      <c r="L819" s="82"/>
      <c r="M819" s="22"/>
      <c r="N819" s="22"/>
      <c r="O819" s="22"/>
      <c r="P819" s="26"/>
      <c r="Q819" s="26"/>
      <c r="R819" s="26"/>
      <c r="S819" s="47"/>
      <c r="T819" s="4" t="e">
        <f>VLOOKUP(#REF!,#REF!,2,0)</f>
        <v>#REF!</v>
      </c>
      <c r="U819" s="20" t="e">
        <f t="shared" si="35"/>
        <v>#REF!</v>
      </c>
      <c r="V819" s="47"/>
      <c r="W819" s="43"/>
      <c r="X819" s="66" t="e">
        <f>VLOOKUP(D819,#REF!,2,0)</f>
        <v>#REF!</v>
      </c>
      <c r="Y819" s="67" t="e">
        <f t="shared" si="36"/>
        <v>#N/A</v>
      </c>
      <c r="AA819" s="96"/>
    </row>
    <row r="820" spans="1:27" ht="13.65" customHeight="1">
      <c r="A820" s="92" t="e">
        <f t="shared" si="37"/>
        <v>#REF!</v>
      </c>
      <c r="B820" s="18"/>
      <c r="C820" s="3" t="e">
        <f>VLOOKUP(D820,'lista 1'!$A$2:$F$1802,4,0)</f>
        <v>#N/A</v>
      </c>
      <c r="D820" s="73"/>
      <c r="E820" s="4" t="e">
        <f>VLOOKUP(D820,'lista 1'!$A$2:$F$1802,5,0)</f>
        <v>#N/A</v>
      </c>
      <c r="F820" s="59" t="e">
        <f>VLOOKUP(G820,'lista 3'!$A$1:$C$467,3,0)</f>
        <v>#N/A</v>
      </c>
      <c r="G820" s="76"/>
      <c r="H820" s="85"/>
      <c r="I820" s="59" t="e">
        <f>VLOOKUP(J820,'lista 3'!$A$1:$C$467,3,0)</f>
        <v>#N/A</v>
      </c>
      <c r="J820" s="79"/>
      <c r="K820" s="87"/>
      <c r="L820" s="82"/>
      <c r="M820" s="22"/>
      <c r="N820" s="22"/>
      <c r="O820" s="22"/>
      <c r="P820" s="26"/>
      <c r="Q820" s="26"/>
      <c r="R820" s="26"/>
      <c r="S820" s="47"/>
      <c r="T820" s="4" t="e">
        <f>VLOOKUP(#REF!,#REF!,2,0)</f>
        <v>#REF!</v>
      </c>
      <c r="U820" s="20" t="e">
        <f t="shared" si="35"/>
        <v>#REF!</v>
      </c>
      <c r="V820" s="47"/>
      <c r="W820" s="43"/>
      <c r="X820" s="66" t="e">
        <f>VLOOKUP(D820,#REF!,2,0)</f>
        <v>#REF!</v>
      </c>
      <c r="Y820" s="67" t="e">
        <f t="shared" si="36"/>
        <v>#N/A</v>
      </c>
      <c r="AA820" s="96"/>
    </row>
    <row r="821" spans="1:27" ht="13.65" customHeight="1">
      <c r="A821" s="92" t="e">
        <f t="shared" si="37"/>
        <v>#REF!</v>
      </c>
      <c r="B821" s="18"/>
      <c r="C821" s="3" t="e">
        <f>VLOOKUP(D821,'lista 1'!$A$2:$F$1802,4,0)</f>
        <v>#N/A</v>
      </c>
      <c r="D821" s="73"/>
      <c r="E821" s="4" t="e">
        <f>VLOOKUP(D821,'lista 1'!$A$2:$F$1802,5,0)</f>
        <v>#N/A</v>
      </c>
      <c r="F821" s="59" t="e">
        <f>VLOOKUP(G821,'lista 3'!$A$1:$C$467,3,0)</f>
        <v>#N/A</v>
      </c>
      <c r="G821" s="76"/>
      <c r="H821" s="85"/>
      <c r="I821" s="59" t="e">
        <f>VLOOKUP(J821,'lista 3'!$A$1:$C$467,3,0)</f>
        <v>#N/A</v>
      </c>
      <c r="J821" s="79"/>
      <c r="K821" s="87"/>
      <c r="L821" s="82"/>
      <c r="M821" s="22"/>
      <c r="N821" s="22"/>
      <c r="O821" s="22"/>
      <c r="P821" s="26"/>
      <c r="Q821" s="26"/>
      <c r="R821" s="26"/>
      <c r="S821" s="47"/>
      <c r="T821" s="4" t="e">
        <f>VLOOKUP(#REF!,#REF!,2,0)</f>
        <v>#REF!</v>
      </c>
      <c r="U821" s="20" t="e">
        <f t="shared" si="35"/>
        <v>#REF!</v>
      </c>
      <c r="V821" s="47"/>
      <c r="W821" s="43"/>
      <c r="X821" s="66" t="e">
        <f>VLOOKUP(D821,#REF!,2,0)</f>
        <v>#REF!</v>
      </c>
      <c r="Y821" s="67" t="e">
        <f t="shared" si="36"/>
        <v>#N/A</v>
      </c>
      <c r="AA821" s="95"/>
    </row>
    <row r="822" spans="1:27" ht="13.65" customHeight="1">
      <c r="A822" s="92" t="e">
        <f t="shared" si="37"/>
        <v>#REF!</v>
      </c>
      <c r="B822" s="18"/>
      <c r="C822" s="3" t="e">
        <f>VLOOKUP(D822,'lista 1'!$A$2:$F$1802,4,0)</f>
        <v>#N/A</v>
      </c>
      <c r="D822" s="73"/>
      <c r="E822" s="4" t="e">
        <f>VLOOKUP(D822,'lista 1'!$A$2:$F$1802,5,0)</f>
        <v>#N/A</v>
      </c>
      <c r="F822" s="59" t="e">
        <f>VLOOKUP(G822,'lista 3'!$A$1:$C$467,3,0)</f>
        <v>#N/A</v>
      </c>
      <c r="G822" s="76"/>
      <c r="H822" s="85"/>
      <c r="I822" s="59" t="e">
        <f>VLOOKUP(J822,'lista 3'!$A$1:$C$467,3,0)</f>
        <v>#N/A</v>
      </c>
      <c r="J822" s="79"/>
      <c r="K822" s="87"/>
      <c r="L822" s="82"/>
      <c r="M822" s="22"/>
      <c r="N822" s="22"/>
      <c r="O822" s="22"/>
      <c r="P822" s="26"/>
      <c r="Q822" s="26"/>
      <c r="R822" s="26"/>
      <c r="S822" s="47"/>
      <c r="T822" s="4" t="e">
        <f>VLOOKUP(#REF!,#REF!,2,0)</f>
        <v>#REF!</v>
      </c>
      <c r="U822" s="20" t="e">
        <f t="shared" si="35"/>
        <v>#REF!</v>
      </c>
      <c r="V822" s="47"/>
      <c r="W822" s="43"/>
      <c r="X822" s="66" t="e">
        <f>VLOOKUP(D822,#REF!,2,0)</f>
        <v>#REF!</v>
      </c>
      <c r="Y822" s="67" t="e">
        <f t="shared" si="36"/>
        <v>#N/A</v>
      </c>
      <c r="AA822" s="96"/>
    </row>
    <row r="823" spans="1:27" ht="13.65" customHeight="1">
      <c r="A823" s="92" t="e">
        <f t="shared" si="37"/>
        <v>#REF!</v>
      </c>
      <c r="B823" s="18"/>
      <c r="C823" s="3" t="e">
        <f>VLOOKUP(D823,'lista 1'!$A$2:$F$1802,4,0)</f>
        <v>#N/A</v>
      </c>
      <c r="D823" s="73"/>
      <c r="E823" s="4" t="e">
        <f>VLOOKUP(D823,'lista 1'!$A$2:$F$1802,5,0)</f>
        <v>#N/A</v>
      </c>
      <c r="F823" s="59" t="e">
        <f>VLOOKUP(G823,'lista 3'!$A$1:$C$467,3,0)</f>
        <v>#N/A</v>
      </c>
      <c r="G823" s="76"/>
      <c r="H823" s="85"/>
      <c r="I823" s="59" t="e">
        <f>VLOOKUP(J823,'lista 3'!$A$1:$C$467,3,0)</f>
        <v>#N/A</v>
      </c>
      <c r="J823" s="79"/>
      <c r="K823" s="87"/>
      <c r="L823" s="82"/>
      <c r="M823" s="22"/>
      <c r="N823" s="22"/>
      <c r="O823" s="22"/>
      <c r="P823" s="26"/>
      <c r="Q823" s="26"/>
      <c r="R823" s="26"/>
      <c r="S823" s="47"/>
      <c r="T823" s="4" t="e">
        <f>VLOOKUP(#REF!,#REF!,2,0)</f>
        <v>#REF!</v>
      </c>
      <c r="U823" s="20" t="e">
        <f t="shared" si="35"/>
        <v>#REF!</v>
      </c>
      <c r="V823" s="47"/>
      <c r="W823" s="43"/>
      <c r="X823" s="66" t="e">
        <f>VLOOKUP(D823,#REF!,2,0)</f>
        <v>#REF!</v>
      </c>
      <c r="Y823" s="67" t="e">
        <f t="shared" si="36"/>
        <v>#N/A</v>
      </c>
      <c r="AA823" s="96"/>
    </row>
    <row r="824" spans="1:27" ht="13.65" customHeight="1">
      <c r="A824" s="92" t="e">
        <f t="shared" si="37"/>
        <v>#REF!</v>
      </c>
      <c r="B824" s="18"/>
      <c r="C824" s="3" t="e">
        <f>VLOOKUP(D824,'lista 1'!$A$2:$F$1802,4,0)</f>
        <v>#N/A</v>
      </c>
      <c r="D824" s="73"/>
      <c r="E824" s="4" t="e">
        <f>VLOOKUP(D824,'lista 1'!$A$2:$F$1802,5,0)</f>
        <v>#N/A</v>
      </c>
      <c r="F824" s="59" t="e">
        <f>VLOOKUP(G824,'lista 3'!$A$1:$C$467,3,0)</f>
        <v>#N/A</v>
      </c>
      <c r="G824" s="76"/>
      <c r="H824" s="85"/>
      <c r="I824" s="59" t="e">
        <f>VLOOKUP(J824,'lista 3'!$A$1:$C$467,3,0)</f>
        <v>#N/A</v>
      </c>
      <c r="J824" s="79"/>
      <c r="K824" s="87"/>
      <c r="L824" s="82"/>
      <c r="M824" s="22"/>
      <c r="N824" s="22"/>
      <c r="O824" s="22"/>
      <c r="P824" s="26"/>
      <c r="Q824" s="26"/>
      <c r="R824" s="26"/>
      <c r="S824" s="47"/>
      <c r="T824" s="4" t="e">
        <f>VLOOKUP(#REF!,#REF!,2,0)</f>
        <v>#REF!</v>
      </c>
      <c r="U824" s="20" t="e">
        <f t="shared" si="35"/>
        <v>#REF!</v>
      </c>
      <c r="V824" s="47"/>
      <c r="W824" s="43"/>
      <c r="X824" s="66" t="e">
        <f>VLOOKUP(D824,#REF!,2,0)</f>
        <v>#REF!</v>
      </c>
      <c r="Y824" s="67" t="e">
        <f t="shared" si="36"/>
        <v>#N/A</v>
      </c>
      <c r="AA824" s="96"/>
    </row>
    <row r="825" spans="1:27" ht="13.65" customHeight="1">
      <c r="A825" s="92" t="e">
        <f t="shared" si="37"/>
        <v>#REF!</v>
      </c>
      <c r="B825" s="18"/>
      <c r="C825" s="3" t="e">
        <f>VLOOKUP(D825,'lista 1'!$A$2:$F$1802,4,0)</f>
        <v>#N/A</v>
      </c>
      <c r="D825" s="73"/>
      <c r="E825" s="4" t="e">
        <f>VLOOKUP(D825,'lista 1'!$A$2:$F$1802,5,0)</f>
        <v>#N/A</v>
      </c>
      <c r="F825" s="59" t="e">
        <f>VLOOKUP(G825,'lista 3'!$A$1:$C$467,3,0)</f>
        <v>#N/A</v>
      </c>
      <c r="G825" s="76"/>
      <c r="H825" s="85"/>
      <c r="I825" s="59" t="e">
        <f>VLOOKUP(J825,'lista 3'!$A$1:$C$467,3,0)</f>
        <v>#N/A</v>
      </c>
      <c r="J825" s="79"/>
      <c r="K825" s="87"/>
      <c r="L825" s="82"/>
      <c r="M825" s="22"/>
      <c r="N825" s="22"/>
      <c r="O825" s="22"/>
      <c r="P825" s="26"/>
      <c r="Q825" s="26"/>
      <c r="R825" s="26"/>
      <c r="S825" s="47"/>
      <c r="T825" s="4" t="e">
        <f>VLOOKUP(#REF!,#REF!,2,0)</f>
        <v>#REF!</v>
      </c>
      <c r="U825" s="20" t="e">
        <f t="shared" si="35"/>
        <v>#REF!</v>
      </c>
      <c r="V825" s="47"/>
      <c r="W825" s="43"/>
      <c r="X825" s="66" t="e">
        <f>VLOOKUP(D825,#REF!,2,0)</f>
        <v>#REF!</v>
      </c>
      <c r="Y825" s="67" t="e">
        <f t="shared" si="36"/>
        <v>#N/A</v>
      </c>
      <c r="AA825" s="96"/>
    </row>
    <row r="826" spans="1:27" ht="13.65" customHeight="1">
      <c r="A826" s="92" t="e">
        <f t="shared" si="37"/>
        <v>#REF!</v>
      </c>
      <c r="B826" s="18"/>
      <c r="C826" s="3" t="e">
        <f>VLOOKUP(D826,'lista 1'!$A$2:$F$1802,4,0)</f>
        <v>#N/A</v>
      </c>
      <c r="D826" s="73"/>
      <c r="E826" s="4" t="e">
        <f>VLOOKUP(D826,'lista 1'!$A$2:$F$1802,5,0)</f>
        <v>#N/A</v>
      </c>
      <c r="F826" s="59" t="e">
        <f>VLOOKUP(G826,'lista 3'!$A$1:$C$467,3,0)</f>
        <v>#N/A</v>
      </c>
      <c r="G826" s="76"/>
      <c r="H826" s="85"/>
      <c r="I826" s="59" t="e">
        <f>VLOOKUP(J826,'lista 3'!$A$1:$C$467,3,0)</f>
        <v>#N/A</v>
      </c>
      <c r="J826" s="79"/>
      <c r="K826" s="87"/>
      <c r="L826" s="82"/>
      <c r="M826" s="22"/>
      <c r="N826" s="22"/>
      <c r="O826" s="22"/>
      <c r="P826" s="26"/>
      <c r="Q826" s="26"/>
      <c r="R826" s="26"/>
      <c r="S826" s="47"/>
      <c r="T826" s="4" t="e">
        <f>VLOOKUP(#REF!,#REF!,2,0)</f>
        <v>#REF!</v>
      </c>
      <c r="U826" s="20" t="e">
        <f t="shared" si="35"/>
        <v>#REF!</v>
      </c>
      <c r="V826" s="47"/>
      <c r="W826" s="43"/>
      <c r="X826" s="66" t="e">
        <f>VLOOKUP(D826,#REF!,2,0)</f>
        <v>#REF!</v>
      </c>
      <c r="Y826" s="67" t="e">
        <f t="shared" si="36"/>
        <v>#N/A</v>
      </c>
      <c r="AA826" s="98"/>
    </row>
    <row r="827" spans="1:27" ht="13.65" customHeight="1">
      <c r="A827" s="92" t="e">
        <f t="shared" si="37"/>
        <v>#REF!</v>
      </c>
      <c r="B827" s="18"/>
      <c r="C827" s="3" t="e">
        <f>VLOOKUP(D827,'lista 1'!$A$2:$F$1802,4,0)</f>
        <v>#N/A</v>
      </c>
      <c r="D827" s="73"/>
      <c r="E827" s="4" t="e">
        <f>VLOOKUP(D827,'lista 1'!$A$2:$F$1802,5,0)</f>
        <v>#N/A</v>
      </c>
      <c r="F827" s="59" t="e">
        <f>VLOOKUP(G827,'lista 3'!$A$1:$C$467,3,0)</f>
        <v>#N/A</v>
      </c>
      <c r="G827" s="76"/>
      <c r="H827" s="85"/>
      <c r="I827" s="59" t="e">
        <f>VLOOKUP(J827,'lista 3'!$A$1:$C$467,3,0)</f>
        <v>#N/A</v>
      </c>
      <c r="J827" s="79"/>
      <c r="K827" s="87"/>
      <c r="L827" s="82"/>
      <c r="M827" s="22"/>
      <c r="N827" s="22"/>
      <c r="O827" s="22"/>
      <c r="P827" s="26"/>
      <c r="Q827" s="26"/>
      <c r="R827" s="26"/>
      <c r="S827" s="47"/>
      <c r="T827" s="4" t="e">
        <f>VLOOKUP(#REF!,#REF!,2,0)</f>
        <v>#REF!</v>
      </c>
      <c r="U827" s="20" t="e">
        <f t="shared" si="35"/>
        <v>#REF!</v>
      </c>
      <c r="V827" s="47"/>
      <c r="W827" s="43"/>
      <c r="X827" s="66" t="e">
        <f>VLOOKUP(D827,#REF!,2,0)</f>
        <v>#REF!</v>
      </c>
      <c r="Y827" s="67" t="e">
        <f t="shared" si="36"/>
        <v>#N/A</v>
      </c>
      <c r="AA827" s="97"/>
    </row>
    <row r="828" spans="1:27" ht="13.65" customHeight="1">
      <c r="A828" s="92" t="e">
        <f t="shared" si="37"/>
        <v>#REF!</v>
      </c>
      <c r="B828" s="18"/>
      <c r="C828" s="3" t="e">
        <f>VLOOKUP(D828,'lista 1'!$A$2:$F$1802,4,0)</f>
        <v>#N/A</v>
      </c>
      <c r="D828" s="73"/>
      <c r="E828" s="4" t="e">
        <f>VLOOKUP(D828,'lista 1'!$A$2:$F$1802,5,0)</f>
        <v>#N/A</v>
      </c>
      <c r="F828" s="59" t="e">
        <f>VLOOKUP(G828,'lista 3'!$A$1:$C$467,3,0)</f>
        <v>#N/A</v>
      </c>
      <c r="G828" s="76"/>
      <c r="H828" s="85"/>
      <c r="I828" s="59" t="e">
        <f>VLOOKUP(J828,'lista 3'!$A$1:$C$467,3,0)</f>
        <v>#N/A</v>
      </c>
      <c r="J828" s="79"/>
      <c r="K828" s="87"/>
      <c r="L828" s="82"/>
      <c r="M828" s="22"/>
      <c r="N828" s="22"/>
      <c r="O828" s="22"/>
      <c r="P828" s="26"/>
      <c r="Q828" s="26"/>
      <c r="R828" s="26"/>
      <c r="S828" s="47"/>
      <c r="T828" s="4" t="e">
        <f>VLOOKUP(#REF!,#REF!,2,0)</f>
        <v>#REF!</v>
      </c>
      <c r="U828" s="20" t="e">
        <f t="shared" si="35"/>
        <v>#REF!</v>
      </c>
      <c r="V828" s="47"/>
      <c r="W828" s="43"/>
      <c r="X828" s="66" t="e">
        <f>VLOOKUP(D828,#REF!,2,0)</f>
        <v>#REF!</v>
      </c>
      <c r="Y828" s="67" t="e">
        <f t="shared" si="36"/>
        <v>#N/A</v>
      </c>
      <c r="AA828" s="96"/>
    </row>
    <row r="829" spans="1:27" ht="13.65" customHeight="1">
      <c r="A829" s="92" t="e">
        <f t="shared" si="37"/>
        <v>#REF!</v>
      </c>
      <c r="B829" s="18"/>
      <c r="C829" s="3" t="e">
        <f>VLOOKUP(D829,'lista 1'!$A$2:$F$1802,4,0)</f>
        <v>#N/A</v>
      </c>
      <c r="D829" s="73"/>
      <c r="E829" s="4" t="e">
        <f>VLOOKUP(D829,'lista 1'!$A$2:$F$1802,5,0)</f>
        <v>#N/A</v>
      </c>
      <c r="F829" s="59" t="e">
        <f>VLOOKUP(G829,'lista 3'!$A$1:$C$467,3,0)</f>
        <v>#N/A</v>
      </c>
      <c r="G829" s="76"/>
      <c r="H829" s="85"/>
      <c r="I829" s="59" t="e">
        <f>VLOOKUP(J829,'lista 3'!$A$1:$C$467,3,0)</f>
        <v>#N/A</v>
      </c>
      <c r="J829" s="79"/>
      <c r="K829" s="87"/>
      <c r="L829" s="82"/>
      <c r="M829" s="22"/>
      <c r="N829" s="22"/>
      <c r="O829" s="22"/>
      <c r="P829" s="26"/>
      <c r="Q829" s="26"/>
      <c r="R829" s="26"/>
      <c r="S829" s="47"/>
      <c r="T829" s="4" t="e">
        <f>VLOOKUP(#REF!,#REF!,2,0)</f>
        <v>#REF!</v>
      </c>
      <c r="U829" s="20" t="e">
        <f t="shared" si="35"/>
        <v>#REF!</v>
      </c>
      <c r="V829" s="47"/>
      <c r="W829" s="43"/>
      <c r="X829" s="66" t="e">
        <f>VLOOKUP(D829,#REF!,2,0)</f>
        <v>#REF!</v>
      </c>
      <c r="Y829" s="67" t="e">
        <f t="shared" si="36"/>
        <v>#N/A</v>
      </c>
      <c r="AA829" s="96"/>
    </row>
    <row r="830" spans="1:27" ht="13.65" customHeight="1">
      <c r="A830" s="92" t="e">
        <f t="shared" si="37"/>
        <v>#REF!</v>
      </c>
      <c r="B830" s="18"/>
      <c r="C830" s="3" t="e">
        <f>VLOOKUP(D830,'lista 1'!$A$2:$F$1802,4,0)</f>
        <v>#N/A</v>
      </c>
      <c r="D830" s="73"/>
      <c r="E830" s="4" t="e">
        <f>VLOOKUP(D830,'lista 1'!$A$2:$F$1802,5,0)</f>
        <v>#N/A</v>
      </c>
      <c r="F830" s="59" t="e">
        <f>VLOOKUP(G830,'lista 3'!$A$1:$C$467,3,0)</f>
        <v>#N/A</v>
      </c>
      <c r="G830" s="76"/>
      <c r="H830" s="85"/>
      <c r="I830" s="59" t="e">
        <f>VLOOKUP(J830,'lista 3'!$A$1:$C$467,3,0)</f>
        <v>#N/A</v>
      </c>
      <c r="J830" s="79"/>
      <c r="K830" s="87"/>
      <c r="L830" s="82"/>
      <c r="M830" s="22"/>
      <c r="N830" s="22"/>
      <c r="O830" s="22"/>
      <c r="P830" s="26"/>
      <c r="Q830" s="26"/>
      <c r="R830" s="26"/>
      <c r="S830" s="47"/>
      <c r="T830" s="4" t="e">
        <f>VLOOKUP(#REF!,#REF!,2,0)</f>
        <v>#REF!</v>
      </c>
      <c r="U830" s="20" t="e">
        <f t="shared" si="35"/>
        <v>#REF!</v>
      </c>
      <c r="V830" s="47"/>
      <c r="W830" s="43"/>
      <c r="X830" s="66" t="e">
        <f>VLOOKUP(D830,#REF!,2,0)</f>
        <v>#REF!</v>
      </c>
      <c r="Y830" s="67" t="e">
        <f t="shared" si="36"/>
        <v>#N/A</v>
      </c>
      <c r="AA830" s="96"/>
    </row>
    <row r="831" spans="1:27" ht="13.65" customHeight="1">
      <c r="A831" s="92" t="e">
        <f t="shared" si="37"/>
        <v>#REF!</v>
      </c>
      <c r="B831" s="18"/>
      <c r="C831" s="3" t="e">
        <f>VLOOKUP(D831,'lista 1'!$A$2:$F$1802,4,0)</f>
        <v>#N/A</v>
      </c>
      <c r="D831" s="73"/>
      <c r="E831" s="4" t="e">
        <f>VLOOKUP(D831,'lista 1'!$A$2:$F$1802,5,0)</f>
        <v>#N/A</v>
      </c>
      <c r="F831" s="59" t="e">
        <f>VLOOKUP(G831,'lista 3'!$A$1:$C$467,3,0)</f>
        <v>#N/A</v>
      </c>
      <c r="G831" s="76"/>
      <c r="H831" s="85"/>
      <c r="I831" s="59" t="e">
        <f>VLOOKUP(J831,'lista 3'!$A$1:$C$467,3,0)</f>
        <v>#N/A</v>
      </c>
      <c r="J831" s="79"/>
      <c r="K831" s="87"/>
      <c r="L831" s="82"/>
      <c r="M831" s="22"/>
      <c r="N831" s="22"/>
      <c r="O831" s="22"/>
      <c r="P831" s="26"/>
      <c r="Q831" s="26"/>
      <c r="R831" s="26"/>
      <c r="S831" s="47"/>
      <c r="T831" s="4" t="e">
        <f>VLOOKUP(#REF!,#REF!,2,0)</f>
        <v>#REF!</v>
      </c>
      <c r="U831" s="20" t="e">
        <f t="shared" si="35"/>
        <v>#REF!</v>
      </c>
      <c r="V831" s="47"/>
      <c r="W831" s="43"/>
      <c r="X831" s="66" t="e">
        <f>VLOOKUP(D831,#REF!,2,0)</f>
        <v>#REF!</v>
      </c>
      <c r="Y831" s="67" t="e">
        <f t="shared" si="36"/>
        <v>#N/A</v>
      </c>
      <c r="AA831" s="95"/>
    </row>
    <row r="832" spans="1:27" ht="13.65" customHeight="1">
      <c r="A832" s="92" t="e">
        <f t="shared" si="37"/>
        <v>#REF!</v>
      </c>
      <c r="B832" s="18"/>
      <c r="C832" s="3" t="e">
        <f>VLOOKUP(D832,'lista 1'!$A$2:$F$1802,4,0)</f>
        <v>#N/A</v>
      </c>
      <c r="D832" s="73"/>
      <c r="E832" s="4" t="e">
        <f>VLOOKUP(D832,'lista 1'!$A$2:$F$1802,5,0)</f>
        <v>#N/A</v>
      </c>
      <c r="F832" s="59" t="e">
        <f>VLOOKUP(G832,'lista 3'!$A$1:$C$467,3,0)</f>
        <v>#N/A</v>
      </c>
      <c r="G832" s="76"/>
      <c r="H832" s="85"/>
      <c r="I832" s="59" t="e">
        <f>VLOOKUP(J832,'lista 3'!$A$1:$C$467,3,0)</f>
        <v>#N/A</v>
      </c>
      <c r="J832" s="79"/>
      <c r="K832" s="87"/>
      <c r="L832" s="82"/>
      <c r="M832" s="22"/>
      <c r="N832" s="22"/>
      <c r="O832" s="22"/>
      <c r="P832" s="26"/>
      <c r="Q832" s="26"/>
      <c r="R832" s="26"/>
      <c r="S832" s="47"/>
      <c r="T832" s="4" t="e">
        <f>VLOOKUP(#REF!,#REF!,2,0)</f>
        <v>#REF!</v>
      </c>
      <c r="U832" s="20" t="e">
        <f t="shared" si="35"/>
        <v>#REF!</v>
      </c>
      <c r="V832" s="47"/>
      <c r="W832" s="43"/>
      <c r="X832" s="66" t="e">
        <f>VLOOKUP(D832,#REF!,2,0)</f>
        <v>#REF!</v>
      </c>
      <c r="Y832" s="67" t="e">
        <f t="shared" si="36"/>
        <v>#N/A</v>
      </c>
      <c r="AA832" s="9"/>
    </row>
    <row r="833" spans="1:27" ht="13.65" customHeight="1">
      <c r="A833" s="92" t="e">
        <f t="shared" si="37"/>
        <v>#REF!</v>
      </c>
      <c r="B833" s="18"/>
      <c r="C833" s="3" t="e">
        <f>VLOOKUP(D833,'lista 1'!$A$2:$F$1802,4,0)</f>
        <v>#N/A</v>
      </c>
      <c r="D833" s="73"/>
      <c r="E833" s="4" t="e">
        <f>VLOOKUP(D833,'lista 1'!$A$2:$F$1802,5,0)</f>
        <v>#N/A</v>
      </c>
      <c r="F833" s="59" t="e">
        <f>VLOOKUP(G833,'lista 3'!$A$1:$C$467,3,0)</f>
        <v>#N/A</v>
      </c>
      <c r="G833" s="76"/>
      <c r="H833" s="85"/>
      <c r="I833" s="59" t="e">
        <f>VLOOKUP(J833,'lista 3'!$A$1:$C$467,3,0)</f>
        <v>#N/A</v>
      </c>
      <c r="J833" s="79"/>
      <c r="K833" s="87"/>
      <c r="L833" s="82"/>
      <c r="M833" s="22"/>
      <c r="N833" s="22"/>
      <c r="O833" s="22"/>
      <c r="P833" s="26"/>
      <c r="Q833" s="26"/>
      <c r="R833" s="26"/>
      <c r="S833" s="47"/>
      <c r="T833" s="4" t="e">
        <f>VLOOKUP(#REF!,#REF!,2,0)</f>
        <v>#REF!</v>
      </c>
      <c r="U833" s="20" t="e">
        <f t="shared" si="35"/>
        <v>#REF!</v>
      </c>
      <c r="V833" s="47"/>
      <c r="W833" s="43"/>
      <c r="X833" s="66" t="e">
        <f>VLOOKUP(D833,#REF!,2,0)</f>
        <v>#REF!</v>
      </c>
      <c r="Y833" s="67" t="e">
        <f t="shared" si="36"/>
        <v>#N/A</v>
      </c>
      <c r="AA833" s="9"/>
    </row>
    <row r="834" spans="1:27" ht="13.65" customHeight="1">
      <c r="A834" s="92" t="e">
        <f t="shared" si="37"/>
        <v>#REF!</v>
      </c>
      <c r="B834" s="18"/>
      <c r="C834" s="3" t="e">
        <f>VLOOKUP(D834,'lista 1'!$A$2:$F$1802,4,0)</f>
        <v>#N/A</v>
      </c>
      <c r="D834" s="73"/>
      <c r="E834" s="4" t="e">
        <f>VLOOKUP(D834,'lista 1'!$A$2:$F$1802,5,0)</f>
        <v>#N/A</v>
      </c>
      <c r="F834" s="59" t="e">
        <f>VLOOKUP(G834,'lista 3'!$A$1:$C$467,3,0)</f>
        <v>#N/A</v>
      </c>
      <c r="G834" s="76"/>
      <c r="H834" s="85"/>
      <c r="I834" s="59" t="e">
        <f>VLOOKUP(J834,'lista 3'!$A$1:$C$467,3,0)</f>
        <v>#N/A</v>
      </c>
      <c r="J834" s="79"/>
      <c r="K834" s="87"/>
      <c r="L834" s="82"/>
      <c r="M834" s="22"/>
      <c r="N834" s="22"/>
      <c r="O834" s="22"/>
      <c r="P834" s="26"/>
      <c r="Q834" s="26"/>
      <c r="R834" s="26"/>
      <c r="S834" s="47"/>
      <c r="T834" s="4" t="e">
        <f>VLOOKUP(#REF!,#REF!,2,0)</f>
        <v>#REF!</v>
      </c>
      <c r="U834" s="20" t="e">
        <f t="shared" si="35"/>
        <v>#REF!</v>
      </c>
      <c r="V834" s="47"/>
      <c r="W834" s="43"/>
      <c r="X834" s="66" t="e">
        <f>VLOOKUP(D834,#REF!,2,0)</f>
        <v>#REF!</v>
      </c>
      <c r="Y834" s="67" t="e">
        <f t="shared" si="36"/>
        <v>#N/A</v>
      </c>
      <c r="AA834" s="9"/>
    </row>
    <row r="835" spans="1:27" ht="13.65" customHeight="1">
      <c r="A835" s="92" t="e">
        <f t="shared" si="37"/>
        <v>#REF!</v>
      </c>
      <c r="B835" s="18"/>
      <c r="C835" s="3" t="e">
        <f>VLOOKUP(D835,'lista 1'!$A$2:$F$1802,4,0)</f>
        <v>#N/A</v>
      </c>
      <c r="D835" s="73"/>
      <c r="E835" s="4" t="e">
        <f>VLOOKUP(D835,'lista 1'!$A$2:$F$1802,5,0)</f>
        <v>#N/A</v>
      </c>
      <c r="F835" s="59" t="e">
        <f>VLOOKUP(G835,'lista 3'!$A$1:$C$467,3,0)</f>
        <v>#N/A</v>
      </c>
      <c r="G835" s="76"/>
      <c r="H835" s="85"/>
      <c r="I835" s="59" t="e">
        <f>VLOOKUP(J835,'lista 3'!$A$1:$C$467,3,0)</f>
        <v>#N/A</v>
      </c>
      <c r="J835" s="79"/>
      <c r="K835" s="87"/>
      <c r="L835" s="82"/>
      <c r="M835" s="22"/>
      <c r="N835" s="22"/>
      <c r="O835" s="22"/>
      <c r="P835" s="26"/>
      <c r="Q835" s="26"/>
      <c r="R835" s="26"/>
      <c r="S835" s="47"/>
      <c r="T835" s="4" t="e">
        <f>VLOOKUP(#REF!,#REF!,2,0)</f>
        <v>#REF!</v>
      </c>
      <c r="U835" s="20" t="e">
        <f t="shared" si="35"/>
        <v>#REF!</v>
      </c>
      <c r="V835" s="47"/>
      <c r="W835" s="43"/>
      <c r="X835" s="66" t="e">
        <f>VLOOKUP(D835,#REF!,2,0)</f>
        <v>#REF!</v>
      </c>
      <c r="Y835" s="67" t="e">
        <f t="shared" si="36"/>
        <v>#N/A</v>
      </c>
    </row>
    <row r="836" spans="1:27" ht="13.65" customHeight="1">
      <c r="A836" s="92" t="e">
        <f t="shared" si="37"/>
        <v>#REF!</v>
      </c>
      <c r="B836" s="18"/>
      <c r="C836" s="3" t="e">
        <f>VLOOKUP(D836,'lista 1'!$A$2:$F$1802,4,0)</f>
        <v>#N/A</v>
      </c>
      <c r="D836" s="73"/>
      <c r="E836" s="4" t="e">
        <f>VLOOKUP(D836,'lista 1'!$A$2:$F$1802,5,0)</f>
        <v>#N/A</v>
      </c>
      <c r="F836" s="59" t="e">
        <f>VLOOKUP(G836,'lista 3'!$A$1:$C$467,3,0)</f>
        <v>#N/A</v>
      </c>
      <c r="G836" s="76"/>
      <c r="H836" s="85"/>
      <c r="I836" s="59" t="e">
        <f>VLOOKUP(J836,'lista 3'!$A$1:$C$467,3,0)</f>
        <v>#N/A</v>
      </c>
      <c r="J836" s="79"/>
      <c r="K836" s="87"/>
      <c r="L836" s="82"/>
      <c r="M836" s="22"/>
      <c r="N836" s="22"/>
      <c r="O836" s="22"/>
      <c r="P836" s="26"/>
      <c r="Q836" s="26"/>
      <c r="R836" s="26"/>
      <c r="S836" s="47"/>
      <c r="T836" s="4" t="e">
        <f>VLOOKUP(#REF!,#REF!,2,0)</f>
        <v>#REF!</v>
      </c>
      <c r="U836" s="20" t="e">
        <f t="shared" si="35"/>
        <v>#REF!</v>
      </c>
      <c r="V836" s="47"/>
      <c r="W836" s="43"/>
      <c r="X836" s="66" t="e">
        <f>VLOOKUP(D836,#REF!,2,0)</f>
        <v>#REF!</v>
      </c>
      <c r="Y836" s="67" t="e">
        <f t="shared" si="36"/>
        <v>#N/A</v>
      </c>
    </row>
    <row r="837" spans="1:27" ht="13.65" customHeight="1">
      <c r="A837" s="92" t="e">
        <f t="shared" si="37"/>
        <v>#REF!</v>
      </c>
      <c r="B837" s="18"/>
      <c r="C837" s="3" t="e">
        <f>VLOOKUP(D837,'lista 1'!$A$2:$F$1802,4,0)</f>
        <v>#N/A</v>
      </c>
      <c r="D837" s="73"/>
      <c r="E837" s="4" t="e">
        <f>VLOOKUP(D837,'lista 1'!$A$2:$F$1802,5,0)</f>
        <v>#N/A</v>
      </c>
      <c r="F837" s="59" t="e">
        <f>VLOOKUP(G837,'lista 3'!$A$1:$C$467,3,0)</f>
        <v>#N/A</v>
      </c>
      <c r="G837" s="76"/>
      <c r="H837" s="85"/>
      <c r="I837" s="59" t="e">
        <f>VLOOKUP(J837,'lista 3'!$A$1:$C$467,3,0)</f>
        <v>#N/A</v>
      </c>
      <c r="J837" s="79"/>
      <c r="K837" s="87"/>
      <c r="L837" s="82"/>
      <c r="M837" s="22"/>
      <c r="N837" s="22"/>
      <c r="O837" s="22"/>
      <c r="P837" s="26"/>
      <c r="Q837" s="26"/>
      <c r="R837" s="26"/>
      <c r="S837" s="47"/>
      <c r="T837" s="4" t="e">
        <f>VLOOKUP(#REF!,#REF!,2,0)</f>
        <v>#REF!</v>
      </c>
      <c r="U837" s="20" t="e">
        <f t="shared" si="35"/>
        <v>#REF!</v>
      </c>
      <c r="V837" s="47"/>
      <c r="W837" s="43"/>
      <c r="X837" s="66" t="e">
        <f>VLOOKUP(D837,#REF!,2,0)</f>
        <v>#REF!</v>
      </c>
      <c r="Y837" s="67" t="e">
        <f t="shared" si="36"/>
        <v>#N/A</v>
      </c>
    </row>
    <row r="838" spans="1:27" ht="13.65" customHeight="1">
      <c r="A838" s="92" t="e">
        <f t="shared" si="37"/>
        <v>#REF!</v>
      </c>
      <c r="B838" s="18"/>
      <c r="C838" s="3" t="e">
        <f>VLOOKUP(D838,'lista 1'!$A$2:$F$1802,4,0)</f>
        <v>#N/A</v>
      </c>
      <c r="D838" s="73"/>
      <c r="E838" s="4" t="e">
        <f>VLOOKUP(D838,'lista 1'!$A$2:$F$1802,5,0)</f>
        <v>#N/A</v>
      </c>
      <c r="F838" s="59" t="e">
        <f>VLOOKUP(G838,'lista 3'!$A$1:$C$467,3,0)</f>
        <v>#N/A</v>
      </c>
      <c r="G838" s="76"/>
      <c r="H838" s="85"/>
      <c r="I838" s="59" t="e">
        <f>VLOOKUP(J838,'lista 3'!$A$1:$C$467,3,0)</f>
        <v>#N/A</v>
      </c>
      <c r="J838" s="79"/>
      <c r="K838" s="87"/>
      <c r="L838" s="82"/>
      <c r="M838" s="22"/>
      <c r="N838" s="22"/>
      <c r="O838" s="22"/>
      <c r="P838" s="26"/>
      <c r="Q838" s="26"/>
      <c r="R838" s="26"/>
      <c r="S838" s="47"/>
      <c r="T838" s="4" t="e">
        <f>VLOOKUP(#REF!,#REF!,2,0)</f>
        <v>#REF!</v>
      </c>
      <c r="U838" s="20" t="e">
        <f t="shared" si="35"/>
        <v>#REF!</v>
      </c>
      <c r="V838" s="47"/>
      <c r="W838" s="43"/>
      <c r="X838" s="66" t="e">
        <f>VLOOKUP(D838,#REF!,2,0)</f>
        <v>#REF!</v>
      </c>
      <c r="Y838" s="67" t="e">
        <f t="shared" si="36"/>
        <v>#N/A</v>
      </c>
    </row>
    <row r="839" spans="1:27" ht="13.65" customHeight="1">
      <c r="A839" s="92" t="e">
        <f t="shared" si="37"/>
        <v>#REF!</v>
      </c>
      <c r="B839" s="18"/>
      <c r="C839" s="3" t="e">
        <f>VLOOKUP(D839,'lista 1'!$A$2:$F$1802,4,0)</f>
        <v>#N/A</v>
      </c>
      <c r="D839" s="73"/>
      <c r="E839" s="4" t="e">
        <f>VLOOKUP(D839,'lista 1'!$A$2:$F$1802,5,0)</f>
        <v>#N/A</v>
      </c>
      <c r="F839" s="59" t="e">
        <f>VLOOKUP(G839,'lista 3'!$A$1:$C$467,3,0)</f>
        <v>#N/A</v>
      </c>
      <c r="G839" s="76"/>
      <c r="H839" s="85"/>
      <c r="I839" s="59" t="e">
        <f>VLOOKUP(J839,'lista 3'!$A$1:$C$467,3,0)</f>
        <v>#N/A</v>
      </c>
      <c r="J839" s="79"/>
      <c r="K839" s="87"/>
      <c r="L839" s="82"/>
      <c r="M839" s="22"/>
      <c r="N839" s="22"/>
      <c r="O839" s="22"/>
      <c r="P839" s="26"/>
      <c r="Q839" s="26"/>
      <c r="R839" s="26"/>
      <c r="S839" s="47"/>
      <c r="T839" s="4" t="e">
        <f>VLOOKUP(#REF!,#REF!,2,0)</f>
        <v>#REF!</v>
      </c>
      <c r="U839" s="20" t="e">
        <f t="shared" si="35"/>
        <v>#REF!</v>
      </c>
      <c r="V839" s="47"/>
      <c r="W839" s="43"/>
      <c r="X839" s="66" t="e">
        <f>VLOOKUP(D839,#REF!,2,0)</f>
        <v>#REF!</v>
      </c>
      <c r="Y839" s="67" t="e">
        <f t="shared" si="36"/>
        <v>#N/A</v>
      </c>
    </row>
    <row r="840" spans="1:27" ht="13.65" customHeight="1">
      <c r="A840" s="92" t="e">
        <f t="shared" si="37"/>
        <v>#REF!</v>
      </c>
      <c r="B840" s="18"/>
      <c r="C840" s="3" t="e">
        <f>VLOOKUP(D840,'lista 1'!$A$2:$F$1802,4,0)</f>
        <v>#N/A</v>
      </c>
      <c r="D840" s="73"/>
      <c r="E840" s="4" t="e">
        <f>VLOOKUP(D840,'lista 1'!$A$2:$F$1802,5,0)</f>
        <v>#N/A</v>
      </c>
      <c r="F840" s="59" t="e">
        <f>VLOOKUP(G840,'lista 3'!$A$1:$C$467,3,0)</f>
        <v>#N/A</v>
      </c>
      <c r="G840" s="76"/>
      <c r="H840" s="85"/>
      <c r="I840" s="59" t="e">
        <f>VLOOKUP(J840,'lista 3'!$A$1:$C$467,3,0)</f>
        <v>#N/A</v>
      </c>
      <c r="J840" s="79"/>
      <c r="K840" s="87"/>
      <c r="L840" s="82"/>
      <c r="M840" s="22"/>
      <c r="N840" s="22"/>
      <c r="O840" s="22"/>
      <c r="P840" s="26"/>
      <c r="Q840" s="26"/>
      <c r="R840" s="26"/>
      <c r="S840" s="47"/>
      <c r="T840" s="4" t="e">
        <f>VLOOKUP(#REF!,#REF!,2,0)</f>
        <v>#REF!</v>
      </c>
      <c r="U840" s="20" t="e">
        <f t="shared" si="35"/>
        <v>#REF!</v>
      </c>
      <c r="V840" s="47"/>
      <c r="W840" s="43"/>
      <c r="X840" s="66" t="e">
        <f>VLOOKUP(D840,#REF!,2,0)</f>
        <v>#REF!</v>
      </c>
      <c r="Y840" s="67" t="e">
        <f t="shared" si="36"/>
        <v>#N/A</v>
      </c>
    </row>
    <row r="841" spans="1:27" ht="13.65" customHeight="1">
      <c r="A841" s="92" t="e">
        <f t="shared" si="37"/>
        <v>#REF!</v>
      </c>
      <c r="B841" s="18"/>
      <c r="C841" s="3" t="e">
        <f>VLOOKUP(D841,'lista 1'!$A$2:$F$1802,4,0)</f>
        <v>#N/A</v>
      </c>
      <c r="D841" s="73"/>
      <c r="E841" s="4" t="e">
        <f>VLOOKUP(D841,'lista 1'!$A$2:$F$1802,5,0)</f>
        <v>#N/A</v>
      </c>
      <c r="F841" s="59" t="e">
        <f>VLOOKUP(G841,'lista 3'!$A$1:$C$467,3,0)</f>
        <v>#N/A</v>
      </c>
      <c r="G841" s="76"/>
      <c r="H841" s="85"/>
      <c r="I841" s="59" t="e">
        <f>VLOOKUP(J841,'lista 3'!$A$1:$C$467,3,0)</f>
        <v>#N/A</v>
      </c>
      <c r="J841" s="79"/>
      <c r="K841" s="87"/>
      <c r="L841" s="82"/>
      <c r="M841" s="22"/>
      <c r="N841" s="22"/>
      <c r="O841" s="22"/>
      <c r="P841" s="26"/>
      <c r="Q841" s="26"/>
      <c r="R841" s="26"/>
      <c r="S841" s="47"/>
      <c r="T841" s="4" t="e">
        <f>VLOOKUP(#REF!,#REF!,2,0)</f>
        <v>#REF!</v>
      </c>
      <c r="U841" s="20" t="e">
        <f t="shared" si="35"/>
        <v>#REF!</v>
      </c>
      <c r="V841" s="47"/>
      <c r="W841" s="43"/>
      <c r="X841" s="66" t="e">
        <f>VLOOKUP(D841,#REF!,2,0)</f>
        <v>#REF!</v>
      </c>
      <c r="Y841" s="67" t="e">
        <f t="shared" si="36"/>
        <v>#N/A</v>
      </c>
    </row>
    <row r="842" spans="1:27" ht="13.65" customHeight="1">
      <c r="A842" s="92" t="e">
        <f t="shared" ref="A842:A854" si="38">A841+1</f>
        <v>#REF!</v>
      </c>
      <c r="B842" s="18"/>
      <c r="C842" s="3" t="e">
        <f>VLOOKUP(D842,'lista 1'!$A$2:$F$1802,4,0)</f>
        <v>#N/A</v>
      </c>
      <c r="D842" s="73"/>
      <c r="E842" s="4" t="e">
        <f>VLOOKUP(D842,'lista 1'!$A$2:$F$1802,5,0)</f>
        <v>#N/A</v>
      </c>
      <c r="F842" s="59" t="e">
        <f>VLOOKUP(G842,'lista 3'!$A$1:$C$467,3,0)</f>
        <v>#N/A</v>
      </c>
      <c r="G842" s="76"/>
      <c r="H842" s="85"/>
      <c r="I842" s="59" t="e">
        <f>VLOOKUP(J842,'lista 3'!$A$1:$C$467,3,0)</f>
        <v>#N/A</v>
      </c>
      <c r="J842" s="79"/>
      <c r="K842" s="87"/>
      <c r="L842" s="82"/>
      <c r="M842" s="22"/>
      <c r="N842" s="22"/>
      <c r="O842" s="22"/>
      <c r="P842" s="26"/>
      <c r="Q842" s="26"/>
      <c r="R842" s="26"/>
      <c r="S842" s="47"/>
      <c r="T842" s="4" t="e">
        <f>VLOOKUP(#REF!,#REF!,2,0)</f>
        <v>#REF!</v>
      </c>
      <c r="U842" s="20" t="e">
        <f t="shared" si="35"/>
        <v>#REF!</v>
      </c>
      <c r="V842" s="47"/>
      <c r="W842" s="43"/>
      <c r="X842" s="66" t="e">
        <f>VLOOKUP(D842,#REF!,2,0)</f>
        <v>#REF!</v>
      </c>
      <c r="Y842" s="67" t="e">
        <f t="shared" si="36"/>
        <v>#N/A</v>
      </c>
    </row>
    <row r="843" spans="1:27" ht="13.65" customHeight="1">
      <c r="A843" s="92" t="e">
        <f t="shared" si="38"/>
        <v>#REF!</v>
      </c>
      <c r="B843" s="18"/>
      <c r="C843" s="3" t="e">
        <f>VLOOKUP(D843,'lista 1'!$A$2:$F$1802,4,0)</f>
        <v>#N/A</v>
      </c>
      <c r="D843" s="73"/>
      <c r="E843" s="4" t="e">
        <f>VLOOKUP(D843,'lista 1'!$A$2:$F$1802,5,0)</f>
        <v>#N/A</v>
      </c>
      <c r="F843" s="59" t="e">
        <f>VLOOKUP(G843,'lista 3'!$A$1:$C$467,3,0)</f>
        <v>#N/A</v>
      </c>
      <c r="G843" s="76"/>
      <c r="H843" s="85"/>
      <c r="I843" s="59" t="e">
        <f>VLOOKUP(J843,'lista 3'!$A$1:$C$467,3,0)</f>
        <v>#N/A</v>
      </c>
      <c r="J843" s="79"/>
      <c r="K843" s="87"/>
      <c r="L843" s="82"/>
      <c r="M843" s="22"/>
      <c r="N843" s="22"/>
      <c r="O843" s="22"/>
      <c r="P843" s="26"/>
      <c r="Q843" s="26"/>
      <c r="R843" s="26"/>
      <c r="S843" s="47"/>
      <c r="T843" s="4" t="e">
        <f>VLOOKUP(#REF!,#REF!,2,0)</f>
        <v>#REF!</v>
      </c>
      <c r="U843" s="20" t="e">
        <f t="shared" si="35"/>
        <v>#REF!</v>
      </c>
      <c r="V843" s="47"/>
      <c r="W843" s="43"/>
      <c r="X843" s="66" t="e">
        <f>VLOOKUP(D843,#REF!,2,0)</f>
        <v>#REF!</v>
      </c>
      <c r="Y843" s="67" t="e">
        <f t="shared" si="36"/>
        <v>#N/A</v>
      </c>
    </row>
    <row r="844" spans="1:27" ht="13.65" customHeight="1">
      <c r="A844" s="92" t="e">
        <f t="shared" si="38"/>
        <v>#REF!</v>
      </c>
      <c r="B844" s="18"/>
      <c r="C844" s="3" t="e">
        <f>VLOOKUP(D844,'lista 1'!$A$2:$F$1802,4,0)</f>
        <v>#N/A</v>
      </c>
      <c r="D844" s="73"/>
      <c r="E844" s="4" t="e">
        <f>VLOOKUP(D844,'lista 1'!$A$2:$F$1802,5,0)</f>
        <v>#N/A</v>
      </c>
      <c r="F844" s="59" t="e">
        <f>VLOOKUP(G844,'lista 3'!$A$1:$C$467,3,0)</f>
        <v>#N/A</v>
      </c>
      <c r="G844" s="76"/>
      <c r="H844" s="85"/>
      <c r="I844" s="59" t="e">
        <f>VLOOKUP(J844,'lista 3'!$A$1:$C$467,3,0)</f>
        <v>#N/A</v>
      </c>
      <c r="J844" s="79"/>
      <c r="K844" s="87"/>
      <c r="L844" s="82"/>
      <c r="M844" s="22"/>
      <c r="N844" s="22"/>
      <c r="O844" s="22"/>
      <c r="P844" s="26"/>
      <c r="Q844" s="26"/>
      <c r="R844" s="26"/>
      <c r="S844" s="47"/>
      <c r="T844" s="4" t="e">
        <f>VLOOKUP(#REF!,#REF!,2,0)</f>
        <v>#REF!</v>
      </c>
      <c r="U844" s="20" t="e">
        <f t="shared" si="35"/>
        <v>#REF!</v>
      </c>
      <c r="V844" s="47"/>
      <c r="W844" s="43"/>
      <c r="X844" s="66" t="e">
        <f>VLOOKUP(D844,#REF!,2,0)</f>
        <v>#REF!</v>
      </c>
      <c r="Y844" s="67" t="e">
        <f t="shared" si="36"/>
        <v>#N/A</v>
      </c>
    </row>
    <row r="845" spans="1:27" ht="13.65" customHeight="1">
      <c r="A845" s="92" t="e">
        <f t="shared" si="38"/>
        <v>#REF!</v>
      </c>
      <c r="B845" s="18"/>
      <c r="C845" s="3" t="e">
        <f>VLOOKUP(D845,'lista 1'!$A$2:$F$1802,4,0)</f>
        <v>#N/A</v>
      </c>
      <c r="D845" s="73"/>
      <c r="E845" s="4" t="e">
        <f>VLOOKUP(D845,'lista 1'!$A$2:$F$1802,5,0)</f>
        <v>#N/A</v>
      </c>
      <c r="F845" s="59" t="e">
        <f>VLOOKUP(G845,'lista 3'!$A$1:$C$467,3,0)</f>
        <v>#N/A</v>
      </c>
      <c r="G845" s="76"/>
      <c r="H845" s="85"/>
      <c r="I845" s="59" t="e">
        <f>VLOOKUP(J845,'lista 3'!$A$1:$C$467,3,0)</f>
        <v>#N/A</v>
      </c>
      <c r="J845" s="79"/>
      <c r="K845" s="87"/>
      <c r="L845" s="82"/>
      <c r="M845" s="22"/>
      <c r="N845" s="22"/>
      <c r="O845" s="22"/>
      <c r="P845" s="26"/>
      <c r="Q845" s="26"/>
      <c r="R845" s="26"/>
      <c r="S845" s="47"/>
      <c r="T845" s="4" t="e">
        <f>VLOOKUP(#REF!,#REF!,2,0)</f>
        <v>#REF!</v>
      </c>
      <c r="U845" s="20" t="e">
        <f t="shared" si="35"/>
        <v>#REF!</v>
      </c>
      <c r="V845" s="47"/>
      <c r="W845" s="43"/>
      <c r="X845" s="66" t="e">
        <f>VLOOKUP(D845,#REF!,2,0)</f>
        <v>#REF!</v>
      </c>
      <c r="Y845" s="67" t="e">
        <f t="shared" si="36"/>
        <v>#N/A</v>
      </c>
    </row>
    <row r="846" spans="1:27" ht="13.65" customHeight="1">
      <c r="A846" s="92" t="e">
        <f t="shared" si="38"/>
        <v>#REF!</v>
      </c>
      <c r="B846" s="18"/>
      <c r="C846" s="3" t="e">
        <f>VLOOKUP(D846,'lista 1'!$A$2:$F$1802,4,0)</f>
        <v>#N/A</v>
      </c>
      <c r="D846" s="73"/>
      <c r="E846" s="4" t="e">
        <f>VLOOKUP(D846,'lista 1'!$A$2:$F$1802,5,0)</f>
        <v>#N/A</v>
      </c>
      <c r="F846" s="59" t="e">
        <f>VLOOKUP(G846,'lista 3'!$A$1:$C$467,3,0)</f>
        <v>#N/A</v>
      </c>
      <c r="G846" s="76"/>
      <c r="H846" s="85"/>
      <c r="I846" s="59" t="e">
        <f>VLOOKUP(J846,'lista 3'!$A$1:$C$467,3,0)</f>
        <v>#N/A</v>
      </c>
      <c r="J846" s="79"/>
      <c r="K846" s="87"/>
      <c r="L846" s="82"/>
      <c r="M846" s="22"/>
      <c r="N846" s="22"/>
      <c r="O846" s="22"/>
      <c r="P846" s="26"/>
      <c r="Q846" s="26"/>
      <c r="R846" s="26"/>
      <c r="S846" s="47"/>
      <c r="T846" s="4" t="e">
        <f>VLOOKUP(#REF!,#REF!,2,0)</f>
        <v>#REF!</v>
      </c>
      <c r="U846" s="20" t="e">
        <f t="shared" si="35"/>
        <v>#REF!</v>
      </c>
      <c r="V846" s="47"/>
      <c r="W846" s="43"/>
      <c r="X846" s="66" t="e">
        <f>VLOOKUP(D846,#REF!,2,0)</f>
        <v>#REF!</v>
      </c>
      <c r="Y846" s="67" t="e">
        <f t="shared" si="36"/>
        <v>#N/A</v>
      </c>
    </row>
    <row r="847" spans="1:27" ht="13.65" customHeight="1">
      <c r="A847" s="92" t="e">
        <f t="shared" si="38"/>
        <v>#REF!</v>
      </c>
      <c r="B847" s="18"/>
      <c r="C847" s="3" t="e">
        <f>VLOOKUP(D847,'lista 1'!$A$2:$F$1802,4,0)</f>
        <v>#N/A</v>
      </c>
      <c r="D847" s="73"/>
      <c r="E847" s="4" t="e">
        <f>VLOOKUP(D847,'lista 1'!$A$2:$F$1802,5,0)</f>
        <v>#N/A</v>
      </c>
      <c r="F847" s="59" t="e">
        <f>VLOOKUP(G847,'lista 3'!$A$1:$C$467,3,0)</f>
        <v>#N/A</v>
      </c>
      <c r="G847" s="76"/>
      <c r="H847" s="85"/>
      <c r="I847" s="59" t="e">
        <f>VLOOKUP(J847,'lista 3'!$A$1:$C$467,3,0)</f>
        <v>#N/A</v>
      </c>
      <c r="J847" s="79"/>
      <c r="K847" s="87"/>
      <c r="L847" s="82"/>
      <c r="M847" s="22"/>
      <c r="N847" s="22"/>
      <c r="O847" s="22"/>
      <c r="P847" s="26"/>
      <c r="Q847" s="26"/>
      <c r="R847" s="26"/>
      <c r="S847" s="47"/>
      <c r="T847" s="4" t="e">
        <f>VLOOKUP(#REF!,#REF!,2,0)</f>
        <v>#REF!</v>
      </c>
      <c r="U847" s="20" t="e">
        <f t="shared" si="35"/>
        <v>#REF!</v>
      </c>
      <c r="V847" s="47"/>
      <c r="W847" s="43"/>
      <c r="X847" s="66" t="e">
        <f>VLOOKUP(D847,#REF!,2,0)</f>
        <v>#REF!</v>
      </c>
      <c r="Y847" s="67" t="e">
        <f t="shared" si="36"/>
        <v>#N/A</v>
      </c>
    </row>
    <row r="848" spans="1:27" ht="13.65" customHeight="1">
      <c r="A848" s="92" t="e">
        <f t="shared" si="38"/>
        <v>#REF!</v>
      </c>
      <c r="B848" s="18"/>
      <c r="C848" s="3" t="e">
        <f>VLOOKUP(D848,'lista 1'!$A$2:$F$1802,4,0)</f>
        <v>#N/A</v>
      </c>
      <c r="D848" s="73"/>
      <c r="E848" s="4" t="e">
        <f>VLOOKUP(D848,'lista 1'!$A$2:$F$1802,5,0)</f>
        <v>#N/A</v>
      </c>
      <c r="F848" s="59" t="e">
        <f>VLOOKUP(G848,'lista 3'!$A$1:$C$467,3,0)</f>
        <v>#N/A</v>
      </c>
      <c r="G848" s="76"/>
      <c r="H848" s="85"/>
      <c r="I848" s="59" t="e">
        <f>VLOOKUP(J848,'lista 3'!$A$1:$C$467,3,0)</f>
        <v>#N/A</v>
      </c>
      <c r="J848" s="79"/>
      <c r="K848" s="87"/>
      <c r="L848" s="82"/>
      <c r="M848" s="22"/>
      <c r="N848" s="22"/>
      <c r="O848" s="22"/>
      <c r="P848" s="26"/>
      <c r="Q848" s="26"/>
      <c r="R848" s="26"/>
      <c r="S848" s="47"/>
      <c r="T848" s="4" t="e">
        <f>VLOOKUP(#REF!,#REF!,2,0)</f>
        <v>#REF!</v>
      </c>
      <c r="U848" s="20" t="e">
        <f t="shared" si="35"/>
        <v>#REF!</v>
      </c>
      <c r="V848" s="47"/>
      <c r="W848" s="43"/>
      <c r="X848" s="66" t="e">
        <f>VLOOKUP(D848,#REF!,2,0)</f>
        <v>#REF!</v>
      </c>
      <c r="Y848" s="67" t="e">
        <f t="shared" si="36"/>
        <v>#N/A</v>
      </c>
    </row>
    <row r="849" spans="1:25" ht="13.65" customHeight="1">
      <c r="A849" s="92" t="e">
        <f t="shared" si="38"/>
        <v>#REF!</v>
      </c>
      <c r="B849" s="18"/>
      <c r="C849" s="3" t="e">
        <f>VLOOKUP(D849,'lista 1'!$A$2:$F$1802,4,0)</f>
        <v>#N/A</v>
      </c>
      <c r="D849" s="73"/>
      <c r="E849" s="4" t="e">
        <f>VLOOKUP(D849,'lista 1'!$A$2:$F$1802,5,0)</f>
        <v>#N/A</v>
      </c>
      <c r="F849" s="59" t="e">
        <f>VLOOKUP(G849,'lista 3'!$A$1:$C$467,3,0)</f>
        <v>#N/A</v>
      </c>
      <c r="G849" s="76"/>
      <c r="H849" s="85"/>
      <c r="I849" s="59" t="e">
        <f>VLOOKUP(J849,'lista 3'!$A$1:$C$467,3,0)</f>
        <v>#N/A</v>
      </c>
      <c r="J849" s="79"/>
      <c r="K849" s="87"/>
      <c r="L849" s="82"/>
      <c r="M849" s="22"/>
      <c r="N849" s="22"/>
      <c r="O849" s="22"/>
      <c r="P849" s="26"/>
      <c r="Q849" s="26"/>
      <c r="R849" s="26"/>
      <c r="S849" s="47"/>
      <c r="T849" s="4" t="e">
        <f>VLOOKUP(#REF!,#REF!,2,0)</f>
        <v>#REF!</v>
      </c>
      <c r="U849" s="20" t="e">
        <f t="shared" si="35"/>
        <v>#REF!</v>
      </c>
      <c r="V849" s="47"/>
      <c r="W849" s="43"/>
      <c r="X849" s="66" t="e">
        <f>VLOOKUP(D849,#REF!,2,0)</f>
        <v>#REF!</v>
      </c>
      <c r="Y849" s="67" t="e">
        <f t="shared" si="36"/>
        <v>#N/A</v>
      </c>
    </row>
    <row r="850" spans="1:25" ht="13.65" customHeight="1">
      <c r="A850" s="92" t="e">
        <f t="shared" si="38"/>
        <v>#REF!</v>
      </c>
      <c r="B850" s="18"/>
      <c r="C850" s="3" t="e">
        <f>VLOOKUP(D850,'lista 1'!$A$2:$F$1802,4,0)</f>
        <v>#N/A</v>
      </c>
      <c r="D850" s="73"/>
      <c r="E850" s="4" t="e">
        <f>VLOOKUP(D850,'lista 1'!$A$2:$F$1802,5,0)</f>
        <v>#N/A</v>
      </c>
      <c r="F850" s="59" t="e">
        <f>VLOOKUP(G850,'lista 3'!$A$1:$C$467,3,0)</f>
        <v>#N/A</v>
      </c>
      <c r="G850" s="76"/>
      <c r="H850" s="85"/>
      <c r="I850" s="59" t="e">
        <f>VLOOKUP(J850,'lista 3'!$A$1:$C$467,3,0)</f>
        <v>#N/A</v>
      </c>
      <c r="J850" s="79"/>
      <c r="K850" s="87"/>
      <c r="L850" s="82"/>
      <c r="M850" s="22"/>
      <c r="N850" s="22"/>
      <c r="O850" s="22"/>
      <c r="P850" s="26"/>
      <c r="Q850" s="26"/>
      <c r="R850" s="26"/>
      <c r="S850" s="47"/>
      <c r="T850" s="4" t="e">
        <f>VLOOKUP(#REF!,#REF!,2,0)</f>
        <v>#REF!</v>
      </c>
      <c r="U850" s="20" t="e">
        <f t="shared" si="35"/>
        <v>#REF!</v>
      </c>
      <c r="V850" s="47"/>
      <c r="W850" s="43"/>
      <c r="X850" s="66" t="e">
        <f>VLOOKUP(D850,#REF!,2,0)</f>
        <v>#REF!</v>
      </c>
      <c r="Y850" s="67" t="e">
        <f t="shared" si="36"/>
        <v>#N/A</v>
      </c>
    </row>
    <row r="851" spans="1:25" ht="13.65" customHeight="1">
      <c r="A851" s="92" t="e">
        <f t="shared" si="38"/>
        <v>#REF!</v>
      </c>
      <c r="B851" s="18"/>
      <c r="C851" s="3" t="e">
        <f>VLOOKUP(D851,'lista 1'!$A$2:$F$1802,4,0)</f>
        <v>#N/A</v>
      </c>
      <c r="D851" s="73"/>
      <c r="E851" s="4" t="e">
        <f>VLOOKUP(D851,'lista 1'!$A$2:$F$1802,5,0)</f>
        <v>#N/A</v>
      </c>
      <c r="F851" s="59" t="e">
        <f>VLOOKUP(G851,'lista 3'!$A$1:$C$467,3,0)</f>
        <v>#N/A</v>
      </c>
      <c r="G851" s="76"/>
      <c r="H851" s="85"/>
      <c r="I851" s="59" t="e">
        <f>VLOOKUP(J851,'lista 3'!$A$1:$C$467,3,0)</f>
        <v>#N/A</v>
      </c>
      <c r="J851" s="79"/>
      <c r="K851" s="87"/>
      <c r="L851" s="82"/>
      <c r="M851" s="22"/>
      <c r="N851" s="22"/>
      <c r="O851" s="22"/>
      <c r="P851" s="26"/>
      <c r="Q851" s="26"/>
      <c r="R851" s="26"/>
      <c r="S851" s="47"/>
      <c r="T851" s="4" t="e">
        <f>VLOOKUP(#REF!,#REF!,2,0)</f>
        <v>#REF!</v>
      </c>
      <c r="U851" s="20" t="e">
        <f t="shared" si="35"/>
        <v>#REF!</v>
      </c>
      <c r="V851" s="47"/>
      <c r="W851" s="43"/>
      <c r="X851" s="66" t="e">
        <f>VLOOKUP(D851,#REF!,2,0)</f>
        <v>#REF!</v>
      </c>
      <c r="Y851" s="67" t="e">
        <f t="shared" si="36"/>
        <v>#N/A</v>
      </c>
    </row>
    <row r="852" spans="1:25" ht="13.65" customHeight="1">
      <c r="A852" s="92" t="e">
        <f t="shared" si="38"/>
        <v>#REF!</v>
      </c>
      <c r="B852" s="18"/>
      <c r="C852" s="3" t="e">
        <f>VLOOKUP(D852,'lista 1'!$A$2:$F$1802,4,0)</f>
        <v>#N/A</v>
      </c>
      <c r="D852" s="73"/>
      <c r="E852" s="4" t="e">
        <f>VLOOKUP(D852,'lista 1'!$A$2:$F$1802,5,0)</f>
        <v>#N/A</v>
      </c>
      <c r="F852" s="59" t="e">
        <f>VLOOKUP(G852,'lista 3'!$A$1:$C$467,3,0)</f>
        <v>#N/A</v>
      </c>
      <c r="G852" s="76"/>
      <c r="H852" s="85"/>
      <c r="I852" s="59" t="e">
        <f>VLOOKUP(J852,'lista 3'!$A$1:$C$467,3,0)</f>
        <v>#N/A</v>
      </c>
      <c r="J852" s="79"/>
      <c r="K852" s="87"/>
      <c r="L852" s="82"/>
      <c r="M852" s="22"/>
      <c r="N852" s="22"/>
      <c r="O852" s="22"/>
      <c r="P852" s="26"/>
      <c r="Q852" s="26"/>
      <c r="R852" s="26"/>
      <c r="S852" s="47"/>
      <c r="T852" s="4" t="e">
        <f>VLOOKUP(#REF!,#REF!,2,0)</f>
        <v>#REF!</v>
      </c>
      <c r="U852" s="20" t="e">
        <f t="shared" si="35"/>
        <v>#REF!</v>
      </c>
      <c r="V852" s="47"/>
      <c r="W852" s="43"/>
      <c r="X852" s="66" t="e">
        <f>VLOOKUP(D852,#REF!,2,0)</f>
        <v>#REF!</v>
      </c>
      <c r="Y852" s="67" t="e">
        <f t="shared" si="36"/>
        <v>#N/A</v>
      </c>
    </row>
    <row r="853" spans="1:25" ht="13.65" customHeight="1">
      <c r="A853" s="92" t="e">
        <f t="shared" si="38"/>
        <v>#REF!</v>
      </c>
      <c r="B853" s="18"/>
      <c r="C853" s="3" t="e">
        <f>VLOOKUP(D853,'lista 1'!$A$2:$F$1802,4,0)</f>
        <v>#N/A</v>
      </c>
      <c r="D853" s="73"/>
      <c r="E853" s="4" t="e">
        <f>VLOOKUP(D853,'lista 1'!$A$2:$F$1802,5,0)</f>
        <v>#N/A</v>
      </c>
      <c r="F853" s="59" t="e">
        <f>VLOOKUP(G853,'lista 3'!$A$1:$C$467,3,0)</f>
        <v>#N/A</v>
      </c>
      <c r="G853" s="76"/>
      <c r="H853" s="85"/>
      <c r="I853" s="59" t="e">
        <f>VLOOKUP(J853,'lista 3'!$A$1:$C$467,3,0)</f>
        <v>#N/A</v>
      </c>
      <c r="J853" s="79"/>
      <c r="K853" s="87"/>
      <c r="L853" s="82"/>
      <c r="M853" s="22"/>
      <c r="N853" s="22"/>
      <c r="O853" s="22"/>
      <c r="P853" s="26"/>
      <c r="Q853" s="26"/>
      <c r="R853" s="26"/>
      <c r="S853" s="47"/>
      <c r="T853" s="4" t="e">
        <f>VLOOKUP(#REF!,#REF!,2,0)</f>
        <v>#REF!</v>
      </c>
      <c r="U853" s="20" t="e">
        <f t="shared" si="35"/>
        <v>#REF!</v>
      </c>
      <c r="V853" s="47"/>
      <c r="W853" s="43"/>
      <c r="X853" s="66" t="e">
        <f>VLOOKUP(D853,#REF!,2,0)</f>
        <v>#REF!</v>
      </c>
      <c r="Y853" s="67" t="e">
        <f t="shared" si="36"/>
        <v>#N/A</v>
      </c>
    </row>
    <row r="854" spans="1:25" ht="13.65" customHeight="1">
      <c r="A854" s="92" t="e">
        <f t="shared" si="38"/>
        <v>#REF!</v>
      </c>
      <c r="B854" s="18"/>
      <c r="C854" s="3" t="e">
        <f>VLOOKUP(D854,'lista 1'!$A$2:$F$1802,4,0)</f>
        <v>#N/A</v>
      </c>
      <c r="D854" s="73"/>
      <c r="E854" s="4" t="e">
        <f>VLOOKUP(D854,'lista 1'!$A$2:$F$1802,5,0)</f>
        <v>#N/A</v>
      </c>
      <c r="F854" s="59" t="e">
        <f>VLOOKUP(G854,'lista 3'!$A$1:$C$467,3,0)</f>
        <v>#N/A</v>
      </c>
      <c r="G854" s="76"/>
      <c r="H854" s="85"/>
      <c r="I854" s="59" t="e">
        <f>VLOOKUP(J854,'lista 3'!$A$1:$C$467,3,0)</f>
        <v>#N/A</v>
      </c>
      <c r="J854" s="79"/>
      <c r="K854" s="87"/>
      <c r="L854" s="82"/>
      <c r="M854" s="22"/>
      <c r="N854" s="22"/>
      <c r="O854" s="22"/>
      <c r="P854" s="26"/>
      <c r="Q854" s="26"/>
      <c r="R854" s="26"/>
      <c r="S854" s="47"/>
      <c r="T854" s="4" t="e">
        <f>VLOOKUP(#REF!,#REF!,2,0)</f>
        <v>#REF!</v>
      </c>
      <c r="U854" s="20" t="e">
        <f t="shared" si="35"/>
        <v>#REF!</v>
      </c>
      <c r="V854" s="47"/>
      <c r="W854" s="43"/>
      <c r="X854" s="66" t="e">
        <f>VLOOKUP(D854,#REF!,2,0)</f>
        <v>#REF!</v>
      </c>
      <c r="Y854" s="67" t="e">
        <f t="shared" si="36"/>
        <v>#N/A</v>
      </c>
    </row>
    <row r="855" spans="1:25" ht="13.65" customHeight="1">
      <c r="A855" s="92"/>
      <c r="B855" s="27"/>
      <c r="C855" s="3" t="e">
        <f>VLOOKUP(D855,'lista 1'!$A$2:$F4296,4,0)</f>
        <v>#N/A</v>
      </c>
      <c r="D855" s="74"/>
      <c r="E855" s="27" t="e">
        <f>VLOOKUP(D855,'lista 1'!$A$2:$F$1802,5,0)</f>
        <v>#N/A</v>
      </c>
      <c r="F855" s="59" t="e">
        <f>VLOOKUP(G855,'lista obszary'!A:B,2,0)</f>
        <v>#N/A</v>
      </c>
      <c r="G855" s="76"/>
      <c r="H855" s="85"/>
      <c r="I855" s="59" t="e">
        <f>VLOOKUP(J855,'lista obszary'!A:B,2,0)</f>
        <v>#N/A</v>
      </c>
      <c r="J855" s="78"/>
      <c r="K855" s="87"/>
      <c r="L855" s="82"/>
      <c r="M855" s="22"/>
      <c r="N855" s="22"/>
      <c r="O855" s="22"/>
      <c r="P855" s="26"/>
      <c r="Q855" s="26"/>
      <c r="R855" s="26"/>
      <c r="S855" s="47"/>
      <c r="T855" s="4" t="e">
        <f>VLOOKUP(#REF!,#REF!,2,0)</f>
        <v>#REF!</v>
      </c>
      <c r="U855" s="20" t="e">
        <f t="shared" si="35"/>
        <v>#REF!</v>
      </c>
      <c r="V855" s="47"/>
      <c r="W855" s="43"/>
      <c r="Y855" s="67" t="e">
        <f t="shared" si="36"/>
        <v>#N/A</v>
      </c>
    </row>
    <row r="856" spans="1:25" ht="13.65" customHeight="1">
      <c r="A856" s="92"/>
      <c r="B856" s="27"/>
      <c r="C856" s="3" t="e">
        <f>VLOOKUP(D856,'lista 1'!$A$2:$F4297,4,0)</f>
        <v>#N/A</v>
      </c>
      <c r="D856" s="74"/>
      <c r="E856" s="27" t="e">
        <f>VLOOKUP(D856,'lista 1'!$A$2:$F$1802,5,0)</f>
        <v>#N/A</v>
      </c>
      <c r="F856" s="59" t="e">
        <f>VLOOKUP(G856,'lista obszary'!A:B,2,0)</f>
        <v>#N/A</v>
      </c>
      <c r="G856" s="76"/>
      <c r="H856" s="85"/>
      <c r="I856" s="59" t="e">
        <f>VLOOKUP(J856,'lista obszary'!A:B,2,0)</f>
        <v>#N/A</v>
      </c>
      <c r="J856" s="78"/>
      <c r="K856" s="87"/>
      <c r="L856" s="82"/>
      <c r="M856" s="22"/>
      <c r="N856" s="22"/>
      <c r="O856" s="22"/>
      <c r="P856" s="26"/>
      <c r="Q856" s="26"/>
      <c r="R856" s="26"/>
      <c r="S856" s="47"/>
      <c r="T856" s="4" t="e">
        <f>VLOOKUP(#REF!,#REF!,2,0)</f>
        <v>#REF!</v>
      </c>
      <c r="U856" s="20" t="e">
        <f t="shared" si="35"/>
        <v>#REF!</v>
      </c>
      <c r="V856" s="47"/>
      <c r="W856" s="43"/>
      <c r="Y856" s="67" t="e">
        <f t="shared" si="36"/>
        <v>#N/A</v>
      </c>
    </row>
    <row r="857" spans="1:25" ht="13.65" customHeight="1">
      <c r="A857" s="92"/>
      <c r="B857" s="27"/>
      <c r="C857" s="3" t="e">
        <f>VLOOKUP(D857,'lista 1'!$A$2:$F4298,4,0)</f>
        <v>#N/A</v>
      </c>
      <c r="D857" s="74"/>
      <c r="E857" s="27" t="e">
        <f>VLOOKUP(D857,'lista 1'!$A$2:$F$1802,5,0)</f>
        <v>#N/A</v>
      </c>
      <c r="F857" s="59" t="e">
        <f>VLOOKUP(G857,'lista obszary'!A:B,2,0)</f>
        <v>#N/A</v>
      </c>
      <c r="G857" s="76"/>
      <c r="H857" s="85"/>
      <c r="I857" s="59" t="e">
        <f>VLOOKUP(J857,'lista obszary'!A:B,2,0)</f>
        <v>#N/A</v>
      </c>
      <c r="J857" s="78"/>
      <c r="K857" s="87"/>
      <c r="L857" s="82"/>
      <c r="M857" s="22"/>
      <c r="N857" s="22"/>
      <c r="O857" s="22"/>
      <c r="P857" s="26"/>
      <c r="Q857" s="26"/>
      <c r="R857" s="26"/>
      <c r="S857" s="47"/>
      <c r="T857" s="4" t="e">
        <f>VLOOKUP(#REF!,#REF!,2,0)</f>
        <v>#REF!</v>
      </c>
      <c r="U857" s="20" t="e">
        <f t="shared" si="35"/>
        <v>#REF!</v>
      </c>
      <c r="V857" s="47"/>
      <c r="W857" s="43"/>
      <c r="Y857" s="67" t="e">
        <f t="shared" si="36"/>
        <v>#N/A</v>
      </c>
    </row>
    <row r="858" spans="1:25" ht="13.65" customHeight="1">
      <c r="A858" s="92"/>
      <c r="B858" s="27"/>
      <c r="C858" s="3" t="e">
        <f>VLOOKUP(D858,'lista 1'!$A$2:$F4299,4,0)</f>
        <v>#N/A</v>
      </c>
      <c r="D858" s="74"/>
      <c r="E858" s="27" t="e">
        <f>VLOOKUP(D858,'lista 1'!$A$2:$F$1802,5,0)</f>
        <v>#N/A</v>
      </c>
      <c r="F858" s="59" t="e">
        <f>VLOOKUP(G858,'lista obszary'!A:B,2,0)</f>
        <v>#N/A</v>
      </c>
      <c r="G858" s="76"/>
      <c r="H858" s="85"/>
      <c r="I858" s="59" t="e">
        <f>VLOOKUP(J858,'lista obszary'!A:B,2,0)</f>
        <v>#N/A</v>
      </c>
      <c r="J858" s="78"/>
      <c r="K858" s="87"/>
      <c r="L858" s="82"/>
      <c r="M858" s="22"/>
      <c r="N858" s="22"/>
      <c r="O858" s="22"/>
      <c r="P858" s="26"/>
      <c r="Q858" s="26"/>
      <c r="R858" s="26"/>
      <c r="S858" s="47"/>
      <c r="T858" s="4" t="e">
        <f>VLOOKUP(#REF!,#REF!,2,0)</f>
        <v>#REF!</v>
      </c>
      <c r="U858" s="20" t="e">
        <f t="shared" si="35"/>
        <v>#REF!</v>
      </c>
      <c r="V858" s="47"/>
      <c r="W858" s="43"/>
      <c r="Y858" s="67" t="e">
        <f t="shared" si="36"/>
        <v>#N/A</v>
      </c>
    </row>
    <row r="859" spans="1:25" ht="13.65" customHeight="1">
      <c r="A859" s="92"/>
      <c r="B859" s="27"/>
      <c r="C859" s="3" t="e">
        <f>VLOOKUP(D859,'lista 1'!$A$2:$F4300,4,0)</f>
        <v>#N/A</v>
      </c>
      <c r="D859" s="74"/>
      <c r="E859" s="27" t="e">
        <f>VLOOKUP(D859,'lista 1'!$A$2:$F$1802,5,0)</f>
        <v>#N/A</v>
      </c>
      <c r="F859" s="59" t="e">
        <f>VLOOKUP(G859,'lista obszary'!A:B,2,0)</f>
        <v>#N/A</v>
      </c>
      <c r="G859" s="76"/>
      <c r="H859" s="85"/>
      <c r="I859" s="59" t="e">
        <f>VLOOKUP(J859,'lista obszary'!A:B,2,0)</f>
        <v>#N/A</v>
      </c>
      <c r="J859" s="78"/>
      <c r="K859" s="87"/>
      <c r="L859" s="82"/>
      <c r="M859" s="22"/>
      <c r="N859" s="22"/>
      <c r="O859" s="22"/>
      <c r="P859" s="26"/>
      <c r="Q859" s="26"/>
      <c r="R859" s="26"/>
      <c r="S859" s="47"/>
      <c r="T859" s="4" t="e">
        <f>VLOOKUP(#REF!,#REF!,2,0)</f>
        <v>#REF!</v>
      </c>
      <c r="U859" s="20" t="e">
        <f t="shared" si="35"/>
        <v>#REF!</v>
      </c>
      <c r="V859" s="47"/>
      <c r="W859" s="43"/>
      <c r="Y859" s="67" t="e">
        <f t="shared" si="36"/>
        <v>#N/A</v>
      </c>
    </row>
    <row r="860" spans="1:25" ht="13.65" customHeight="1">
      <c r="A860" s="92"/>
      <c r="B860" s="27"/>
      <c r="C860" s="3" t="e">
        <f>VLOOKUP(D860,'lista 1'!$A$2:$F4301,4,0)</f>
        <v>#N/A</v>
      </c>
      <c r="D860" s="74"/>
      <c r="E860" s="27" t="e">
        <f>VLOOKUP(D860,'lista 1'!$A$2:$F$1802,5,0)</f>
        <v>#N/A</v>
      </c>
      <c r="F860" s="59" t="e">
        <f>VLOOKUP(G860,'lista obszary'!A:B,2,0)</f>
        <v>#N/A</v>
      </c>
      <c r="G860" s="76"/>
      <c r="H860" s="85"/>
      <c r="I860" s="59" t="e">
        <f>VLOOKUP(J860,'lista obszary'!A:B,2,0)</f>
        <v>#N/A</v>
      </c>
      <c r="J860" s="78"/>
      <c r="K860" s="87"/>
      <c r="L860" s="82"/>
      <c r="M860" s="22"/>
      <c r="N860" s="22"/>
      <c r="O860" s="22"/>
      <c r="P860" s="26"/>
      <c r="Q860" s="26"/>
      <c r="R860" s="26"/>
      <c r="S860" s="47"/>
      <c r="T860" s="4" t="e">
        <f>VLOOKUP(#REF!,#REF!,2,0)</f>
        <v>#REF!</v>
      </c>
      <c r="U860" s="20" t="e">
        <f t="shared" ref="U860:U923" si="39">L860-T860</f>
        <v>#REF!</v>
      </c>
      <c r="V860" s="47"/>
      <c r="W860" s="43"/>
      <c r="Y860" s="67" t="e">
        <f t="shared" si="36"/>
        <v>#N/A</v>
      </c>
    </row>
    <row r="861" spans="1:25" ht="13.65" customHeight="1">
      <c r="A861" s="92"/>
      <c r="B861" s="27"/>
      <c r="C861" s="3" t="e">
        <f>VLOOKUP(D861,'lista 1'!$A$2:$F4302,4,0)</f>
        <v>#N/A</v>
      </c>
      <c r="D861" s="74"/>
      <c r="E861" s="27" t="e">
        <f>VLOOKUP(D861,'lista 1'!$A$2:$F$1802,5,0)</f>
        <v>#N/A</v>
      </c>
      <c r="F861" s="59" t="e">
        <f>VLOOKUP(G861,'lista obszary'!A:B,2,0)</f>
        <v>#N/A</v>
      </c>
      <c r="G861" s="76"/>
      <c r="H861" s="85"/>
      <c r="I861" s="59" t="e">
        <f>VLOOKUP(J861,'lista obszary'!A:B,2,0)</f>
        <v>#N/A</v>
      </c>
      <c r="J861" s="78"/>
      <c r="K861" s="87"/>
      <c r="L861" s="82"/>
      <c r="M861" s="22"/>
      <c r="N861" s="22"/>
      <c r="O861" s="22"/>
      <c r="P861" s="26"/>
      <c r="Q861" s="26"/>
      <c r="R861" s="26"/>
      <c r="S861" s="47"/>
      <c r="T861" s="4" t="e">
        <f>VLOOKUP(#REF!,#REF!,2,0)</f>
        <v>#REF!</v>
      </c>
      <c r="U861" s="20" t="e">
        <f t="shared" si="39"/>
        <v>#REF!</v>
      </c>
      <c r="V861" s="47"/>
      <c r="W861" s="43"/>
      <c r="Y861" s="67" t="e">
        <f t="shared" si="36"/>
        <v>#N/A</v>
      </c>
    </row>
    <row r="862" spans="1:25" ht="13.65" customHeight="1">
      <c r="A862" s="92"/>
      <c r="B862" s="27"/>
      <c r="C862" s="3" t="e">
        <f>VLOOKUP(D862,'lista 1'!$A$2:$F4303,4,0)</f>
        <v>#N/A</v>
      </c>
      <c r="D862" s="74"/>
      <c r="E862" s="27" t="e">
        <f>VLOOKUP(D862,'lista 1'!$A$2:$F$1802,5,0)</f>
        <v>#N/A</v>
      </c>
      <c r="F862" s="59" t="e">
        <f>VLOOKUP(G862,'lista obszary'!A:B,2,0)</f>
        <v>#N/A</v>
      </c>
      <c r="G862" s="76"/>
      <c r="H862" s="85"/>
      <c r="I862" s="59" t="e">
        <f>VLOOKUP(J862,'lista obszary'!A:B,2,0)</f>
        <v>#N/A</v>
      </c>
      <c r="J862" s="78"/>
      <c r="K862" s="87"/>
      <c r="L862" s="82"/>
      <c r="M862" s="22"/>
      <c r="N862" s="22"/>
      <c r="O862" s="22"/>
      <c r="P862" s="26"/>
      <c r="Q862" s="26"/>
      <c r="R862" s="26"/>
      <c r="S862" s="47"/>
      <c r="T862" s="4" t="e">
        <f>VLOOKUP(#REF!,#REF!,2,0)</f>
        <v>#REF!</v>
      </c>
      <c r="U862" s="20" t="e">
        <f t="shared" si="39"/>
        <v>#REF!</v>
      </c>
      <c r="V862" s="47"/>
      <c r="W862" s="43"/>
      <c r="Y862" s="67" t="e">
        <f t="shared" ref="Y862:Y925" si="40">F862=I862</f>
        <v>#N/A</v>
      </c>
    </row>
    <row r="863" spans="1:25" ht="13.65" customHeight="1">
      <c r="A863" s="92"/>
      <c r="B863" s="27"/>
      <c r="C863" s="3" t="e">
        <f>VLOOKUP(D863,'lista 1'!$A$2:$F4304,4,0)</f>
        <v>#N/A</v>
      </c>
      <c r="D863" s="74"/>
      <c r="E863" s="27" t="e">
        <f>VLOOKUP(D863,'lista 1'!$A$2:$F$1802,5,0)</f>
        <v>#N/A</v>
      </c>
      <c r="F863" s="59" t="e">
        <f>VLOOKUP(G863,'lista obszary'!A:B,2,0)</f>
        <v>#N/A</v>
      </c>
      <c r="G863" s="76"/>
      <c r="H863" s="85"/>
      <c r="I863" s="59" t="e">
        <f>VLOOKUP(J863,'lista obszary'!A:B,2,0)</f>
        <v>#N/A</v>
      </c>
      <c r="J863" s="78"/>
      <c r="K863" s="87"/>
      <c r="L863" s="82"/>
      <c r="M863" s="22"/>
      <c r="N863" s="22"/>
      <c r="O863" s="22"/>
      <c r="P863" s="26"/>
      <c r="Q863" s="26"/>
      <c r="R863" s="26"/>
      <c r="S863" s="47"/>
      <c r="T863" s="4" t="e">
        <f>VLOOKUP(#REF!,#REF!,2,0)</f>
        <v>#REF!</v>
      </c>
      <c r="U863" s="20" t="e">
        <f t="shared" si="39"/>
        <v>#REF!</v>
      </c>
      <c r="V863" s="47"/>
      <c r="W863" s="43"/>
      <c r="Y863" s="67" t="e">
        <f t="shared" si="40"/>
        <v>#N/A</v>
      </c>
    </row>
    <row r="864" spans="1:25" ht="13.65" customHeight="1">
      <c r="A864" s="92"/>
      <c r="B864" s="27"/>
      <c r="C864" s="3" t="e">
        <f>VLOOKUP(D864,'lista 1'!$A$2:$F4305,4,0)</f>
        <v>#N/A</v>
      </c>
      <c r="D864" s="74"/>
      <c r="E864" s="27" t="e">
        <f>VLOOKUP(D864,'lista 1'!$A$2:$F$1802,5,0)</f>
        <v>#N/A</v>
      </c>
      <c r="F864" s="59" t="e">
        <f>VLOOKUP(G864,'lista obszary'!A:B,2,0)</f>
        <v>#N/A</v>
      </c>
      <c r="G864" s="76"/>
      <c r="H864" s="85"/>
      <c r="I864" s="59" t="e">
        <f>VLOOKUP(J864,'lista obszary'!A:B,2,0)</f>
        <v>#N/A</v>
      </c>
      <c r="J864" s="78"/>
      <c r="K864" s="87"/>
      <c r="L864" s="82"/>
      <c r="M864" s="22"/>
      <c r="N864" s="22"/>
      <c r="O864" s="22"/>
      <c r="P864" s="26"/>
      <c r="Q864" s="26"/>
      <c r="R864" s="26"/>
      <c r="S864" s="47"/>
      <c r="T864" s="4" t="e">
        <f>VLOOKUP(#REF!,#REF!,2,0)</f>
        <v>#REF!</v>
      </c>
      <c r="U864" s="20" t="e">
        <f t="shared" si="39"/>
        <v>#REF!</v>
      </c>
      <c r="V864" s="47"/>
      <c r="W864" s="43"/>
      <c r="Y864" s="67" t="e">
        <f t="shared" si="40"/>
        <v>#N/A</v>
      </c>
    </row>
    <row r="865" spans="1:25" ht="13.65" customHeight="1">
      <c r="A865" s="92"/>
      <c r="B865" s="27"/>
      <c r="C865" s="3" t="e">
        <f>VLOOKUP(D865,'lista 1'!$A$2:$F4306,4,0)</f>
        <v>#N/A</v>
      </c>
      <c r="D865" s="74"/>
      <c r="E865" s="27" t="e">
        <f>VLOOKUP(D865,'lista 1'!$A$2:$F$1802,5,0)</f>
        <v>#N/A</v>
      </c>
      <c r="F865" s="59" t="e">
        <f>VLOOKUP(G865,'lista obszary'!A:B,2,0)</f>
        <v>#N/A</v>
      </c>
      <c r="G865" s="76"/>
      <c r="H865" s="85"/>
      <c r="I865" s="59" t="e">
        <f>VLOOKUP(J865,'lista obszary'!A:B,2,0)</f>
        <v>#N/A</v>
      </c>
      <c r="J865" s="78"/>
      <c r="K865" s="87"/>
      <c r="L865" s="82"/>
      <c r="M865" s="22"/>
      <c r="N865" s="22"/>
      <c r="O865" s="22"/>
      <c r="P865" s="26"/>
      <c r="Q865" s="26"/>
      <c r="R865" s="26"/>
      <c r="S865" s="47"/>
      <c r="T865" s="4" t="e">
        <f>VLOOKUP(#REF!,#REF!,2,0)</f>
        <v>#REF!</v>
      </c>
      <c r="U865" s="20" t="e">
        <f t="shared" si="39"/>
        <v>#REF!</v>
      </c>
      <c r="V865" s="47"/>
      <c r="W865" s="43"/>
      <c r="Y865" s="67" t="e">
        <f t="shared" si="40"/>
        <v>#N/A</v>
      </c>
    </row>
    <row r="866" spans="1:25" ht="13.65" customHeight="1">
      <c r="A866" s="92"/>
      <c r="B866" s="27"/>
      <c r="C866" s="3" t="e">
        <f>VLOOKUP(D866,'lista 1'!$A$2:$F4307,4,0)</f>
        <v>#N/A</v>
      </c>
      <c r="D866" s="74"/>
      <c r="E866" s="27" t="e">
        <f>VLOOKUP(D866,'lista 1'!$A$2:$F$1802,5,0)</f>
        <v>#N/A</v>
      </c>
      <c r="F866" s="59" t="e">
        <f>VLOOKUP(G866,'lista obszary'!A:B,2,0)</f>
        <v>#N/A</v>
      </c>
      <c r="G866" s="76"/>
      <c r="H866" s="85"/>
      <c r="I866" s="59" t="e">
        <f>VLOOKUP(J866,'lista obszary'!A:B,2,0)</f>
        <v>#N/A</v>
      </c>
      <c r="J866" s="78"/>
      <c r="K866" s="87"/>
      <c r="L866" s="82"/>
      <c r="M866" s="22"/>
      <c r="N866" s="22"/>
      <c r="O866" s="22"/>
      <c r="P866" s="26"/>
      <c r="Q866" s="26"/>
      <c r="R866" s="26"/>
      <c r="S866" s="47"/>
      <c r="T866" s="4" t="e">
        <f>VLOOKUP(#REF!,#REF!,2,0)</f>
        <v>#REF!</v>
      </c>
      <c r="U866" s="20" t="e">
        <f t="shared" si="39"/>
        <v>#REF!</v>
      </c>
      <c r="V866" s="47"/>
      <c r="W866" s="43"/>
      <c r="Y866" s="67" t="e">
        <f t="shared" si="40"/>
        <v>#N/A</v>
      </c>
    </row>
    <row r="867" spans="1:25" ht="13.65" customHeight="1">
      <c r="A867" s="92"/>
      <c r="B867" s="27"/>
      <c r="C867" s="3" t="e">
        <f>VLOOKUP(D867,'lista 1'!$A$2:$F4308,4,0)</f>
        <v>#N/A</v>
      </c>
      <c r="D867" s="74"/>
      <c r="E867" s="27" t="e">
        <f>VLOOKUP(D867,'lista 1'!$A$2:$F$1802,5,0)</f>
        <v>#N/A</v>
      </c>
      <c r="F867" s="59" t="e">
        <f>VLOOKUP(G867,'lista obszary'!A:B,2,0)</f>
        <v>#N/A</v>
      </c>
      <c r="G867" s="76"/>
      <c r="H867" s="85"/>
      <c r="I867" s="59" t="e">
        <f>VLOOKUP(J867,'lista obszary'!A:B,2,0)</f>
        <v>#N/A</v>
      </c>
      <c r="J867" s="78"/>
      <c r="K867" s="87"/>
      <c r="L867" s="82"/>
      <c r="M867" s="22"/>
      <c r="N867" s="22"/>
      <c r="O867" s="22"/>
      <c r="P867" s="26"/>
      <c r="Q867" s="26"/>
      <c r="R867" s="26"/>
      <c r="S867" s="47"/>
      <c r="T867" s="4" t="e">
        <f>VLOOKUP(#REF!,#REF!,2,0)</f>
        <v>#REF!</v>
      </c>
      <c r="U867" s="20" t="e">
        <f t="shared" si="39"/>
        <v>#REF!</v>
      </c>
      <c r="V867" s="47"/>
      <c r="W867" s="43"/>
      <c r="Y867" s="67" t="e">
        <f t="shared" si="40"/>
        <v>#N/A</v>
      </c>
    </row>
    <row r="868" spans="1:25" ht="13.65" customHeight="1">
      <c r="A868" s="92"/>
      <c r="B868" s="27"/>
      <c r="C868" s="3" t="e">
        <f>VLOOKUP(D868,'lista 1'!$A$2:$F4309,4,0)</f>
        <v>#N/A</v>
      </c>
      <c r="D868" s="74"/>
      <c r="E868" s="27" t="e">
        <f>VLOOKUP(D868,'lista 1'!$A$2:$F$1802,5,0)</f>
        <v>#N/A</v>
      </c>
      <c r="F868" s="59" t="e">
        <f>VLOOKUP(G868,'lista obszary'!A:B,2,0)</f>
        <v>#N/A</v>
      </c>
      <c r="G868" s="76"/>
      <c r="H868" s="85"/>
      <c r="I868" s="59" t="e">
        <f>VLOOKUP(J868,'lista obszary'!A:B,2,0)</f>
        <v>#N/A</v>
      </c>
      <c r="J868" s="78"/>
      <c r="K868" s="87"/>
      <c r="L868" s="82"/>
      <c r="M868" s="22"/>
      <c r="N868" s="22"/>
      <c r="O868" s="22"/>
      <c r="P868" s="26"/>
      <c r="Q868" s="26"/>
      <c r="R868" s="26"/>
      <c r="S868" s="47"/>
      <c r="T868" s="4" t="e">
        <f>VLOOKUP(#REF!,#REF!,2,0)</f>
        <v>#REF!</v>
      </c>
      <c r="U868" s="20" t="e">
        <f t="shared" si="39"/>
        <v>#REF!</v>
      </c>
      <c r="V868" s="47"/>
      <c r="W868" s="43"/>
      <c r="Y868" s="67" t="e">
        <f t="shared" si="40"/>
        <v>#N/A</v>
      </c>
    </row>
    <row r="869" spans="1:25" ht="13.65" customHeight="1">
      <c r="A869" s="92"/>
      <c r="B869" s="27"/>
      <c r="C869" s="3" t="e">
        <f>VLOOKUP(D869,'lista 1'!$A$2:$F4310,4,0)</f>
        <v>#N/A</v>
      </c>
      <c r="D869" s="74"/>
      <c r="E869" s="27" t="e">
        <f>VLOOKUP(D869,'lista 1'!$A$2:$F$1802,5,0)</f>
        <v>#N/A</v>
      </c>
      <c r="F869" s="59" t="e">
        <f>VLOOKUP(G869,'lista obszary'!A:B,2,0)</f>
        <v>#N/A</v>
      </c>
      <c r="G869" s="76"/>
      <c r="H869" s="85"/>
      <c r="I869" s="59" t="e">
        <f>VLOOKUP(J869,'lista obszary'!A:B,2,0)</f>
        <v>#N/A</v>
      </c>
      <c r="J869" s="78"/>
      <c r="K869" s="87"/>
      <c r="L869" s="82"/>
      <c r="M869" s="22"/>
      <c r="N869" s="22"/>
      <c r="O869" s="22"/>
      <c r="P869" s="26"/>
      <c r="Q869" s="26"/>
      <c r="R869" s="26"/>
      <c r="S869" s="47"/>
      <c r="T869" s="4" t="e">
        <f>VLOOKUP(#REF!,#REF!,2,0)</f>
        <v>#REF!</v>
      </c>
      <c r="U869" s="20" t="e">
        <f t="shared" si="39"/>
        <v>#REF!</v>
      </c>
      <c r="V869" s="47"/>
      <c r="W869" s="43"/>
      <c r="Y869" s="67" t="e">
        <f t="shared" si="40"/>
        <v>#N/A</v>
      </c>
    </row>
    <row r="870" spans="1:25" ht="13.65" customHeight="1">
      <c r="A870" s="92"/>
      <c r="B870" s="27"/>
      <c r="C870" s="3" t="e">
        <f>VLOOKUP(D870,'lista 1'!$A$2:$F4311,4,0)</f>
        <v>#N/A</v>
      </c>
      <c r="D870" s="74"/>
      <c r="E870" s="27" t="e">
        <f>VLOOKUP(D870,'lista 1'!$A$2:$F$1802,5,0)</f>
        <v>#N/A</v>
      </c>
      <c r="F870" s="59" t="e">
        <f>VLOOKUP(G870,'lista obszary'!A:B,2,0)</f>
        <v>#N/A</v>
      </c>
      <c r="G870" s="76"/>
      <c r="H870" s="85"/>
      <c r="I870" s="59" t="e">
        <f>VLOOKUP(J870,'lista obszary'!A:B,2,0)</f>
        <v>#N/A</v>
      </c>
      <c r="J870" s="78"/>
      <c r="K870" s="87"/>
      <c r="L870" s="82"/>
      <c r="M870" s="22"/>
      <c r="N870" s="22"/>
      <c r="O870" s="22"/>
      <c r="P870" s="26"/>
      <c r="Q870" s="26"/>
      <c r="R870" s="26"/>
      <c r="S870" s="47"/>
      <c r="T870" s="4" t="e">
        <f>VLOOKUP(#REF!,#REF!,2,0)</f>
        <v>#REF!</v>
      </c>
      <c r="U870" s="20" t="e">
        <f t="shared" si="39"/>
        <v>#REF!</v>
      </c>
      <c r="V870" s="47"/>
      <c r="W870" s="43"/>
      <c r="Y870" s="67" t="e">
        <f t="shared" si="40"/>
        <v>#N/A</v>
      </c>
    </row>
    <row r="871" spans="1:25" ht="13.65" customHeight="1">
      <c r="A871" s="92"/>
      <c r="B871" s="27"/>
      <c r="C871" s="3" t="e">
        <f>VLOOKUP(D871,'lista 1'!$A$2:$F4312,4,0)</f>
        <v>#N/A</v>
      </c>
      <c r="D871" s="74"/>
      <c r="E871" s="27" t="e">
        <f>VLOOKUP(D871,'lista 1'!$A$2:$F$1802,5,0)</f>
        <v>#N/A</v>
      </c>
      <c r="F871" s="59" t="e">
        <f>VLOOKUP(G871,'lista obszary'!A:B,2,0)</f>
        <v>#N/A</v>
      </c>
      <c r="G871" s="76"/>
      <c r="H871" s="85"/>
      <c r="I871" s="59" t="e">
        <f>VLOOKUP(J871,'lista obszary'!A:B,2,0)</f>
        <v>#N/A</v>
      </c>
      <c r="J871" s="78"/>
      <c r="K871" s="87"/>
      <c r="L871" s="82"/>
      <c r="M871" s="22"/>
      <c r="N871" s="22"/>
      <c r="O871" s="22"/>
      <c r="P871" s="26"/>
      <c r="Q871" s="26"/>
      <c r="R871" s="26"/>
      <c r="S871" s="47"/>
      <c r="T871" s="4" t="e">
        <f>VLOOKUP(#REF!,#REF!,2,0)</f>
        <v>#REF!</v>
      </c>
      <c r="U871" s="20" t="e">
        <f t="shared" si="39"/>
        <v>#REF!</v>
      </c>
      <c r="V871" s="47"/>
      <c r="W871" s="43"/>
      <c r="Y871" s="67" t="e">
        <f t="shared" si="40"/>
        <v>#N/A</v>
      </c>
    </row>
    <row r="872" spans="1:25" ht="13.65" customHeight="1">
      <c r="A872" s="92"/>
      <c r="B872" s="27"/>
      <c r="C872" s="3" t="e">
        <f>VLOOKUP(D872,'lista 1'!$A$2:$F4313,4,0)</f>
        <v>#N/A</v>
      </c>
      <c r="D872" s="74"/>
      <c r="E872" s="27" t="e">
        <f>VLOOKUP(D872,'lista 1'!$A$2:$F$1802,5,0)</f>
        <v>#N/A</v>
      </c>
      <c r="F872" s="59" t="e">
        <f>VLOOKUP(G872,'lista obszary'!A:B,2,0)</f>
        <v>#N/A</v>
      </c>
      <c r="G872" s="76"/>
      <c r="H872" s="85"/>
      <c r="I872" s="59" t="e">
        <f>VLOOKUP(J872,'lista obszary'!A:B,2,0)</f>
        <v>#N/A</v>
      </c>
      <c r="J872" s="78"/>
      <c r="K872" s="87"/>
      <c r="L872" s="82"/>
      <c r="M872" s="22"/>
      <c r="N872" s="22"/>
      <c r="O872" s="22"/>
      <c r="P872" s="26"/>
      <c r="Q872" s="26"/>
      <c r="R872" s="26"/>
      <c r="S872" s="47"/>
      <c r="T872" s="4" t="e">
        <f>VLOOKUP(#REF!,#REF!,2,0)</f>
        <v>#REF!</v>
      </c>
      <c r="U872" s="20" t="e">
        <f t="shared" si="39"/>
        <v>#REF!</v>
      </c>
      <c r="V872" s="47"/>
      <c r="W872" s="43"/>
      <c r="Y872" s="67" t="e">
        <f t="shared" si="40"/>
        <v>#N/A</v>
      </c>
    </row>
    <row r="873" spans="1:25" ht="13.65" customHeight="1">
      <c r="A873" s="92"/>
      <c r="B873" s="27"/>
      <c r="C873" s="3" t="e">
        <f>VLOOKUP(D873,'lista 1'!$A$2:$F4314,4,0)</f>
        <v>#N/A</v>
      </c>
      <c r="D873" s="74"/>
      <c r="E873" s="27" t="e">
        <f>VLOOKUP(D873,'lista 1'!$A$2:$F$1802,5,0)</f>
        <v>#N/A</v>
      </c>
      <c r="F873" s="59" t="e">
        <f>VLOOKUP(G873,'lista 3'!$A$1:$C$467,3,0)</f>
        <v>#N/A</v>
      </c>
      <c r="G873" s="76"/>
      <c r="H873" s="85"/>
      <c r="I873" s="59" t="e">
        <f>VLOOKUP(J873,'lista obszary'!A:B,2,0)</f>
        <v>#N/A</v>
      </c>
      <c r="J873" s="78"/>
      <c r="K873" s="87"/>
      <c r="L873" s="82"/>
      <c r="M873" s="22"/>
      <c r="N873" s="22"/>
      <c r="O873" s="22"/>
      <c r="P873" s="26"/>
      <c r="Q873" s="26"/>
      <c r="R873" s="26"/>
      <c r="S873" s="47"/>
      <c r="T873" s="4" t="e">
        <f>VLOOKUP(#REF!,#REF!,2,0)</f>
        <v>#REF!</v>
      </c>
      <c r="U873" s="20" t="e">
        <f t="shared" si="39"/>
        <v>#REF!</v>
      </c>
      <c r="V873" s="47"/>
      <c r="W873" s="43"/>
      <c r="Y873" s="67" t="e">
        <f t="shared" si="40"/>
        <v>#N/A</v>
      </c>
    </row>
    <row r="874" spans="1:25" ht="13.65" customHeight="1">
      <c r="A874" s="92"/>
      <c r="B874" s="27"/>
      <c r="C874" s="3" t="e">
        <f>VLOOKUP(D874,'lista 1'!$A$2:$F4315,4,0)</f>
        <v>#N/A</v>
      </c>
      <c r="D874" s="74"/>
      <c r="E874" s="27" t="e">
        <f>VLOOKUP(D874,'lista 1'!$A$2:$F$1802,5,0)</f>
        <v>#N/A</v>
      </c>
      <c r="F874" s="59" t="e">
        <f>VLOOKUP(G874,'lista 3'!$A$1:$C$467,3,0)</f>
        <v>#N/A</v>
      </c>
      <c r="G874" s="76"/>
      <c r="H874" s="85"/>
      <c r="I874" s="59" t="e">
        <f>VLOOKUP(J874,'lista obszary'!A:B,2,0)</f>
        <v>#N/A</v>
      </c>
      <c r="J874" s="78"/>
      <c r="K874" s="87"/>
      <c r="L874" s="82"/>
      <c r="M874" s="22"/>
      <c r="N874" s="22"/>
      <c r="O874" s="22"/>
      <c r="P874" s="26"/>
      <c r="Q874" s="26"/>
      <c r="R874" s="26"/>
      <c r="S874" s="47"/>
      <c r="T874" s="4" t="e">
        <f>VLOOKUP(#REF!,#REF!,2,0)</f>
        <v>#REF!</v>
      </c>
      <c r="U874" s="20" t="e">
        <f t="shared" si="39"/>
        <v>#REF!</v>
      </c>
      <c r="V874" s="47"/>
      <c r="W874" s="43"/>
      <c r="Y874" s="67" t="e">
        <f t="shared" si="40"/>
        <v>#N/A</v>
      </c>
    </row>
    <row r="875" spans="1:25" ht="13.65" customHeight="1">
      <c r="A875" s="92"/>
      <c r="B875" s="27"/>
      <c r="C875" s="3" t="e">
        <f>VLOOKUP(D875,'lista 1'!$A$2:$F4316,4,0)</f>
        <v>#N/A</v>
      </c>
      <c r="D875" s="74"/>
      <c r="E875" s="27" t="e">
        <f>VLOOKUP(D875,'lista 1'!$A$2:$F$1802,5,0)</f>
        <v>#N/A</v>
      </c>
      <c r="F875" s="59" t="e">
        <f>VLOOKUP(G875,'lista 3'!$A$1:$C$467,3,0)</f>
        <v>#N/A</v>
      </c>
      <c r="G875" s="76"/>
      <c r="H875" s="85"/>
      <c r="I875" s="59" t="e">
        <f>VLOOKUP(J875,'lista 3'!$A$1:$C$467,3,0)</f>
        <v>#N/A</v>
      </c>
      <c r="J875" s="78"/>
      <c r="K875" s="87"/>
      <c r="L875" s="82"/>
      <c r="M875" s="22"/>
      <c r="N875" s="22"/>
      <c r="O875" s="22"/>
      <c r="P875" s="26"/>
      <c r="Q875" s="26"/>
      <c r="R875" s="26"/>
      <c r="S875" s="47"/>
      <c r="T875" s="4" t="e">
        <f>VLOOKUP(#REF!,#REF!,2,0)</f>
        <v>#REF!</v>
      </c>
      <c r="U875" s="20" t="e">
        <f t="shared" si="39"/>
        <v>#REF!</v>
      </c>
      <c r="V875" s="47"/>
      <c r="W875" s="43"/>
      <c r="Y875" s="67" t="e">
        <f t="shared" si="40"/>
        <v>#N/A</v>
      </c>
    </row>
    <row r="876" spans="1:25" ht="13.65" customHeight="1">
      <c r="A876" s="92"/>
      <c r="B876" s="27"/>
      <c r="C876" s="3" t="e">
        <f>VLOOKUP(D876,'lista 1'!$A$2:$F4317,4,0)</f>
        <v>#N/A</v>
      </c>
      <c r="D876" s="74"/>
      <c r="E876" s="27" t="e">
        <f>VLOOKUP(D876,'lista 1'!$A$2:$F$1802,5,0)</f>
        <v>#N/A</v>
      </c>
      <c r="F876" s="59" t="e">
        <f>VLOOKUP(G876,'lista 3'!$A$1:$C$467,3,0)</f>
        <v>#N/A</v>
      </c>
      <c r="G876" s="76"/>
      <c r="H876" s="85"/>
      <c r="I876" s="59" t="e">
        <f>VLOOKUP(J876,'lista 3'!$A$1:$C$467,3,0)</f>
        <v>#N/A</v>
      </c>
      <c r="J876" s="78"/>
      <c r="K876" s="87"/>
      <c r="L876" s="82"/>
      <c r="M876" s="22"/>
      <c r="N876" s="22"/>
      <c r="O876" s="22"/>
      <c r="P876" s="26"/>
      <c r="Q876" s="26"/>
      <c r="R876" s="26"/>
      <c r="S876" s="47"/>
      <c r="T876" s="4" t="e">
        <f>VLOOKUP(#REF!,#REF!,2,0)</f>
        <v>#REF!</v>
      </c>
      <c r="U876" s="20" t="e">
        <f t="shared" si="39"/>
        <v>#REF!</v>
      </c>
      <c r="V876" s="47"/>
      <c r="W876" s="43"/>
      <c r="Y876" s="67" t="e">
        <f t="shared" si="40"/>
        <v>#N/A</v>
      </c>
    </row>
    <row r="877" spans="1:25" ht="13.65" customHeight="1">
      <c r="A877" s="92"/>
      <c r="B877" s="27"/>
      <c r="C877" s="3" t="e">
        <f>VLOOKUP(D877,'lista 1'!$A$2:$F4318,4,0)</f>
        <v>#N/A</v>
      </c>
      <c r="D877" s="74"/>
      <c r="E877" s="27" t="e">
        <f>VLOOKUP(D877,'lista 1'!$A$2:$F$1802,5,0)</f>
        <v>#N/A</v>
      </c>
      <c r="F877" s="59" t="e">
        <f>VLOOKUP(G877,'lista 3'!$A$1:$C$467,3,0)</f>
        <v>#N/A</v>
      </c>
      <c r="G877" s="76"/>
      <c r="H877" s="85"/>
      <c r="I877" s="59" t="e">
        <f>VLOOKUP(J877,'lista 3'!$A$1:$C$467,3,0)</f>
        <v>#N/A</v>
      </c>
      <c r="J877" s="78"/>
      <c r="K877" s="87"/>
      <c r="L877" s="82"/>
      <c r="M877" s="22"/>
      <c r="N877" s="22"/>
      <c r="O877" s="22"/>
      <c r="P877" s="26"/>
      <c r="Q877" s="26"/>
      <c r="R877" s="26"/>
      <c r="S877" s="47"/>
      <c r="T877" s="4" t="e">
        <f>VLOOKUP(#REF!,#REF!,2,0)</f>
        <v>#REF!</v>
      </c>
      <c r="U877" s="20" t="e">
        <f t="shared" si="39"/>
        <v>#REF!</v>
      </c>
      <c r="V877" s="47"/>
      <c r="W877" s="43"/>
      <c r="Y877" s="67" t="e">
        <f t="shared" si="40"/>
        <v>#N/A</v>
      </c>
    </row>
    <row r="878" spans="1:25" ht="13.65" customHeight="1">
      <c r="A878" s="92"/>
      <c r="B878" s="27"/>
      <c r="C878" s="3" t="e">
        <f>VLOOKUP(D878,'lista 1'!$A$2:$F4319,4,0)</f>
        <v>#N/A</v>
      </c>
      <c r="D878" s="74"/>
      <c r="E878" s="27" t="e">
        <f>VLOOKUP(D878,'lista 1'!$A$2:$F$1802,5,0)</f>
        <v>#N/A</v>
      </c>
      <c r="F878" s="59" t="e">
        <f>VLOOKUP(G878,'lista 3'!$A$1:$C$467,3,0)</f>
        <v>#N/A</v>
      </c>
      <c r="G878" s="76"/>
      <c r="H878" s="85"/>
      <c r="I878" s="59" t="e">
        <f>VLOOKUP(J878,'lista 3'!$A$1:$C$467,3,0)</f>
        <v>#N/A</v>
      </c>
      <c r="J878" s="78"/>
      <c r="K878" s="87"/>
      <c r="L878" s="82"/>
      <c r="M878" s="22"/>
      <c r="N878" s="22"/>
      <c r="O878" s="22"/>
      <c r="P878" s="26"/>
      <c r="Q878" s="26"/>
      <c r="R878" s="26"/>
      <c r="S878" s="47"/>
      <c r="T878" s="4" t="e">
        <f>VLOOKUP(#REF!,#REF!,2,0)</f>
        <v>#REF!</v>
      </c>
      <c r="U878" s="20" t="e">
        <f t="shared" si="39"/>
        <v>#REF!</v>
      </c>
      <c r="V878" s="47"/>
      <c r="W878" s="43"/>
      <c r="Y878" s="67" t="e">
        <f t="shared" si="40"/>
        <v>#N/A</v>
      </c>
    </row>
    <row r="879" spans="1:25" ht="13.65" customHeight="1">
      <c r="A879" s="92"/>
      <c r="B879" s="27"/>
      <c r="C879" s="3" t="e">
        <f>VLOOKUP(D879,'lista 1'!$A$2:$F4320,4,0)</f>
        <v>#N/A</v>
      </c>
      <c r="D879" s="74"/>
      <c r="E879" s="27" t="e">
        <f>VLOOKUP(D879,'lista 1'!$A$2:$F$1802,5,0)</f>
        <v>#N/A</v>
      </c>
      <c r="F879" s="59" t="e">
        <f>VLOOKUP(G879,'lista 3'!$A$1:$C$467,3,0)</f>
        <v>#N/A</v>
      </c>
      <c r="G879" s="76"/>
      <c r="H879" s="85"/>
      <c r="I879" s="59" t="e">
        <f>VLOOKUP(J879,'lista 3'!$A$1:$C$467,3,0)</f>
        <v>#N/A</v>
      </c>
      <c r="J879" s="78"/>
      <c r="K879" s="87"/>
      <c r="L879" s="82"/>
      <c r="M879" s="22"/>
      <c r="N879" s="22"/>
      <c r="O879" s="22"/>
      <c r="P879" s="26"/>
      <c r="Q879" s="26"/>
      <c r="R879" s="26"/>
      <c r="S879" s="47"/>
      <c r="T879" s="4" t="e">
        <f>VLOOKUP(#REF!,#REF!,2,0)</f>
        <v>#REF!</v>
      </c>
      <c r="U879" s="20" t="e">
        <f t="shared" si="39"/>
        <v>#REF!</v>
      </c>
      <c r="V879" s="47"/>
      <c r="W879" s="43"/>
      <c r="Y879" s="67" t="e">
        <f t="shared" si="40"/>
        <v>#N/A</v>
      </c>
    </row>
    <row r="880" spans="1:25" ht="13.65" customHeight="1">
      <c r="A880" s="92"/>
      <c r="B880" s="27"/>
      <c r="C880" s="3" t="e">
        <f>VLOOKUP(D880,'lista 1'!$A$2:$F4321,4,0)</f>
        <v>#N/A</v>
      </c>
      <c r="D880" s="74"/>
      <c r="E880" s="27" t="e">
        <f>VLOOKUP(D880,'lista 1'!$A$2:$F$1802,5,0)</f>
        <v>#N/A</v>
      </c>
      <c r="F880" s="59" t="e">
        <f>VLOOKUP(G880,'lista 3'!$A$1:$C$467,3,0)</f>
        <v>#N/A</v>
      </c>
      <c r="G880" s="76"/>
      <c r="H880" s="85"/>
      <c r="I880" s="59" t="e">
        <f>VLOOKUP(J880,'lista 3'!$A$1:$C$467,3,0)</f>
        <v>#N/A</v>
      </c>
      <c r="J880" s="78"/>
      <c r="K880" s="87"/>
      <c r="L880" s="82"/>
      <c r="M880" s="22"/>
      <c r="N880" s="22"/>
      <c r="O880" s="22"/>
      <c r="P880" s="26"/>
      <c r="Q880" s="26"/>
      <c r="R880" s="26"/>
      <c r="S880" s="47"/>
      <c r="T880" s="4" t="e">
        <f>VLOOKUP(#REF!,#REF!,2,0)</f>
        <v>#REF!</v>
      </c>
      <c r="U880" s="20" t="e">
        <f t="shared" si="39"/>
        <v>#REF!</v>
      </c>
      <c r="V880" s="47"/>
      <c r="W880" s="43"/>
      <c r="Y880" s="67" t="e">
        <f t="shared" si="40"/>
        <v>#N/A</v>
      </c>
    </row>
    <row r="881" spans="1:25" ht="13.65" customHeight="1">
      <c r="A881" s="92"/>
      <c r="B881" s="27"/>
      <c r="C881" s="3" t="e">
        <f>VLOOKUP(D881,'lista 1'!$A$2:$F4322,4,0)</f>
        <v>#N/A</v>
      </c>
      <c r="D881" s="74"/>
      <c r="E881" s="27" t="e">
        <f>VLOOKUP(D881,'lista 1'!$A$2:$F$1802,5,0)</f>
        <v>#N/A</v>
      </c>
      <c r="F881" s="59" t="e">
        <f>VLOOKUP(G881,'lista 3'!$A$1:$C$467,3,0)</f>
        <v>#N/A</v>
      </c>
      <c r="G881" s="76"/>
      <c r="H881" s="85"/>
      <c r="I881" s="59" t="e">
        <f>VLOOKUP(J881,'lista 3'!$A$1:$C$467,3,0)</f>
        <v>#N/A</v>
      </c>
      <c r="J881" s="78"/>
      <c r="K881" s="87"/>
      <c r="L881" s="82"/>
      <c r="M881" s="22"/>
      <c r="N881" s="22"/>
      <c r="O881" s="22"/>
      <c r="P881" s="26"/>
      <c r="Q881" s="26"/>
      <c r="R881" s="26"/>
      <c r="S881" s="47"/>
      <c r="T881" s="4" t="e">
        <f>VLOOKUP(#REF!,#REF!,2,0)</f>
        <v>#REF!</v>
      </c>
      <c r="U881" s="20" t="e">
        <f t="shared" si="39"/>
        <v>#REF!</v>
      </c>
      <c r="V881" s="47"/>
      <c r="W881" s="43"/>
      <c r="Y881" s="67" t="e">
        <f t="shared" si="40"/>
        <v>#N/A</v>
      </c>
    </row>
    <row r="882" spans="1:25" ht="13.65" customHeight="1">
      <c r="A882" s="92"/>
      <c r="B882" s="27"/>
      <c r="C882" s="3" t="e">
        <f>VLOOKUP(D882,'lista 1'!$A$2:$F4323,4,0)</f>
        <v>#N/A</v>
      </c>
      <c r="D882" s="74"/>
      <c r="E882" s="27" t="e">
        <f>VLOOKUP(D882,'lista 1'!$A$2:$F$1802,5,0)</f>
        <v>#N/A</v>
      </c>
      <c r="F882" s="59" t="e">
        <f>VLOOKUP(G882,'lista 3'!$A$1:$C$467,3,0)</f>
        <v>#N/A</v>
      </c>
      <c r="G882" s="76"/>
      <c r="H882" s="85"/>
      <c r="I882" s="59" t="e">
        <f>VLOOKUP(J882,'lista 3'!$A$1:$C$467,3,0)</f>
        <v>#N/A</v>
      </c>
      <c r="J882" s="78"/>
      <c r="K882" s="87"/>
      <c r="L882" s="82"/>
      <c r="M882" s="22"/>
      <c r="N882" s="22"/>
      <c r="O882" s="22"/>
      <c r="P882" s="26"/>
      <c r="Q882" s="26"/>
      <c r="R882" s="26"/>
      <c r="S882" s="47"/>
      <c r="T882" s="4" t="e">
        <f>VLOOKUP(#REF!,#REF!,2,0)</f>
        <v>#REF!</v>
      </c>
      <c r="U882" s="20" t="e">
        <f t="shared" si="39"/>
        <v>#REF!</v>
      </c>
      <c r="V882" s="47"/>
      <c r="W882" s="43"/>
      <c r="Y882" s="67" t="e">
        <f t="shared" si="40"/>
        <v>#N/A</v>
      </c>
    </row>
    <row r="883" spans="1:25" ht="13.65" customHeight="1">
      <c r="A883" s="92"/>
      <c r="B883" s="27"/>
      <c r="C883" s="3" t="e">
        <f>VLOOKUP(D883,'lista 1'!$A$2:$F4324,4,0)</f>
        <v>#N/A</v>
      </c>
      <c r="D883" s="74"/>
      <c r="E883" s="27" t="e">
        <f>VLOOKUP(D883,'lista 1'!$A$2:$F$1802,5,0)</f>
        <v>#N/A</v>
      </c>
      <c r="F883" s="59" t="e">
        <f>VLOOKUP(G883,'lista 3'!$A$1:$C$467,3,0)</f>
        <v>#N/A</v>
      </c>
      <c r="G883" s="76"/>
      <c r="H883" s="85"/>
      <c r="I883" s="59" t="e">
        <f>VLOOKUP(J883,'lista 3'!$A$1:$C$467,3,0)</f>
        <v>#N/A</v>
      </c>
      <c r="J883" s="78"/>
      <c r="K883" s="87"/>
      <c r="L883" s="82"/>
      <c r="M883" s="22"/>
      <c r="N883" s="22"/>
      <c r="O883" s="22"/>
      <c r="P883" s="26"/>
      <c r="Q883" s="26"/>
      <c r="R883" s="26"/>
      <c r="S883" s="47"/>
      <c r="T883" s="4" t="e">
        <f>VLOOKUP(#REF!,#REF!,2,0)</f>
        <v>#REF!</v>
      </c>
      <c r="U883" s="20" t="e">
        <f t="shared" si="39"/>
        <v>#REF!</v>
      </c>
      <c r="V883" s="47"/>
      <c r="W883" s="43"/>
      <c r="Y883" s="67" t="e">
        <f t="shared" si="40"/>
        <v>#N/A</v>
      </c>
    </row>
    <row r="884" spans="1:25" ht="13.65" customHeight="1">
      <c r="A884" s="92"/>
      <c r="B884" s="27"/>
      <c r="C884" s="3" t="e">
        <f>VLOOKUP(D884,'lista 1'!$A$2:$F4325,4,0)</f>
        <v>#N/A</v>
      </c>
      <c r="D884" s="74"/>
      <c r="E884" s="27" t="e">
        <f>VLOOKUP(D884,'lista 1'!$A$2:$F$1802,5,0)</f>
        <v>#N/A</v>
      </c>
      <c r="F884" s="59" t="e">
        <f>VLOOKUP(G884,'lista 3'!$A$1:$C$467,3,0)</f>
        <v>#N/A</v>
      </c>
      <c r="G884" s="76"/>
      <c r="H884" s="85"/>
      <c r="I884" s="59" t="e">
        <f>VLOOKUP(J884,'lista 3'!$A$1:$C$467,3,0)</f>
        <v>#N/A</v>
      </c>
      <c r="J884" s="78"/>
      <c r="K884" s="87"/>
      <c r="L884" s="82"/>
      <c r="M884" s="22"/>
      <c r="N884" s="22"/>
      <c r="O884" s="22"/>
      <c r="P884" s="26"/>
      <c r="Q884" s="26"/>
      <c r="R884" s="26"/>
      <c r="S884" s="47"/>
      <c r="T884" s="4" t="e">
        <f>VLOOKUP(#REF!,#REF!,2,0)</f>
        <v>#REF!</v>
      </c>
      <c r="U884" s="20" t="e">
        <f t="shared" si="39"/>
        <v>#REF!</v>
      </c>
      <c r="V884" s="47"/>
      <c r="W884" s="43"/>
      <c r="Y884" s="67" t="e">
        <f t="shared" si="40"/>
        <v>#N/A</v>
      </c>
    </row>
    <row r="885" spans="1:25" ht="13.65" customHeight="1">
      <c r="A885" s="92"/>
      <c r="B885" s="27"/>
      <c r="C885" s="3" t="e">
        <f>VLOOKUP(D885,'lista 1'!$A$2:$F4326,4,0)</f>
        <v>#N/A</v>
      </c>
      <c r="D885" s="74"/>
      <c r="E885" s="27" t="e">
        <f>VLOOKUP(D885,'lista 1'!$A$2:$F$1802,5,0)</f>
        <v>#N/A</v>
      </c>
      <c r="F885" s="59" t="e">
        <f>VLOOKUP(G885,'lista 3'!$A$1:$C$467,3,0)</f>
        <v>#N/A</v>
      </c>
      <c r="G885" s="76"/>
      <c r="H885" s="85"/>
      <c r="I885" s="59" t="e">
        <f>VLOOKUP(J885,'lista 3'!$A$1:$C$467,3,0)</f>
        <v>#N/A</v>
      </c>
      <c r="J885" s="78"/>
      <c r="K885" s="87"/>
      <c r="L885" s="82"/>
      <c r="M885" s="22"/>
      <c r="N885" s="22"/>
      <c r="O885" s="22"/>
      <c r="P885" s="26"/>
      <c r="Q885" s="26"/>
      <c r="R885" s="26"/>
      <c r="S885" s="47"/>
      <c r="T885" s="4" t="e">
        <f>VLOOKUP(#REF!,#REF!,2,0)</f>
        <v>#REF!</v>
      </c>
      <c r="U885" s="20" t="e">
        <f t="shared" si="39"/>
        <v>#REF!</v>
      </c>
      <c r="V885" s="47"/>
      <c r="W885" s="43"/>
      <c r="Y885" s="67" t="e">
        <f t="shared" si="40"/>
        <v>#N/A</v>
      </c>
    </row>
    <row r="886" spans="1:25" ht="13.65" customHeight="1">
      <c r="A886" s="92"/>
      <c r="B886" s="27"/>
      <c r="C886" s="3" t="e">
        <f>VLOOKUP(D886,'lista 1'!$A$2:$F4327,4,0)</f>
        <v>#N/A</v>
      </c>
      <c r="D886" s="74"/>
      <c r="E886" s="27" t="e">
        <f>VLOOKUP(D886,'lista 1'!$A$2:$F$1802,5,0)</f>
        <v>#N/A</v>
      </c>
      <c r="F886" s="59" t="e">
        <f>VLOOKUP(G886,'lista 3'!$A$1:$C$467,3,0)</f>
        <v>#N/A</v>
      </c>
      <c r="G886" s="76"/>
      <c r="H886" s="85"/>
      <c r="I886" s="59" t="e">
        <f>VLOOKUP(J886,'lista 3'!$A$1:$C$467,3,0)</f>
        <v>#N/A</v>
      </c>
      <c r="J886" s="78"/>
      <c r="K886" s="87"/>
      <c r="L886" s="82"/>
      <c r="M886" s="22"/>
      <c r="N886" s="22"/>
      <c r="O886" s="22"/>
      <c r="P886" s="26"/>
      <c r="Q886" s="26"/>
      <c r="R886" s="26"/>
      <c r="S886" s="47"/>
      <c r="T886" s="4" t="e">
        <f>VLOOKUP(#REF!,#REF!,2,0)</f>
        <v>#REF!</v>
      </c>
      <c r="U886" s="20" t="e">
        <f t="shared" si="39"/>
        <v>#REF!</v>
      </c>
      <c r="V886" s="47"/>
      <c r="W886" s="43"/>
      <c r="Y886" s="67" t="e">
        <f t="shared" si="40"/>
        <v>#N/A</v>
      </c>
    </row>
    <row r="887" spans="1:25" ht="13.65" customHeight="1">
      <c r="A887" s="92"/>
      <c r="B887" s="27"/>
      <c r="C887" s="3" t="e">
        <f>VLOOKUP(D887,'lista 1'!$A$2:$F4328,4,0)</f>
        <v>#N/A</v>
      </c>
      <c r="D887" s="74"/>
      <c r="E887" s="27" t="e">
        <f>VLOOKUP(D887,'lista 1'!$A$2:$F$1802,5,0)</f>
        <v>#N/A</v>
      </c>
      <c r="F887" s="59" t="e">
        <f>VLOOKUP(G887,'lista 3'!$A$1:$C$467,3,0)</f>
        <v>#N/A</v>
      </c>
      <c r="G887" s="76"/>
      <c r="H887" s="85"/>
      <c r="I887" s="59" t="e">
        <f>VLOOKUP(J887,'lista 3'!$A$1:$C$467,3,0)</f>
        <v>#N/A</v>
      </c>
      <c r="J887" s="78"/>
      <c r="K887" s="87"/>
      <c r="L887" s="82"/>
      <c r="M887" s="22"/>
      <c r="N887" s="22"/>
      <c r="O887" s="22"/>
      <c r="P887" s="26"/>
      <c r="Q887" s="26"/>
      <c r="R887" s="26"/>
      <c r="S887" s="47"/>
      <c r="T887" s="4" t="e">
        <f>VLOOKUP(#REF!,#REF!,2,0)</f>
        <v>#REF!</v>
      </c>
      <c r="U887" s="20" t="e">
        <f t="shared" si="39"/>
        <v>#REF!</v>
      </c>
      <c r="V887" s="47"/>
      <c r="W887" s="43"/>
      <c r="Y887" s="67" t="e">
        <f t="shared" si="40"/>
        <v>#N/A</v>
      </c>
    </row>
    <row r="888" spans="1:25" ht="13.65" customHeight="1">
      <c r="A888" s="92"/>
      <c r="B888" s="27"/>
      <c r="C888" s="3" t="e">
        <f>VLOOKUP(D888,'lista 1'!$A$2:$F4329,4,0)</f>
        <v>#N/A</v>
      </c>
      <c r="D888" s="74"/>
      <c r="E888" s="27" t="e">
        <f>VLOOKUP(D888,'lista 1'!$A$2:$F$1802,5,0)</f>
        <v>#N/A</v>
      </c>
      <c r="F888" s="59" t="e">
        <f>VLOOKUP(G888,'lista 3'!$A$1:$C$467,3,0)</f>
        <v>#N/A</v>
      </c>
      <c r="G888" s="76"/>
      <c r="H888" s="85"/>
      <c r="I888" s="59" t="e">
        <f>VLOOKUP(J888,'lista 3'!$A$1:$C$467,3,0)</f>
        <v>#N/A</v>
      </c>
      <c r="J888" s="78"/>
      <c r="K888" s="87"/>
      <c r="L888" s="82"/>
      <c r="M888" s="22"/>
      <c r="N888" s="22"/>
      <c r="O888" s="22"/>
      <c r="P888" s="26"/>
      <c r="Q888" s="26"/>
      <c r="R888" s="26"/>
      <c r="S888" s="47"/>
      <c r="T888" s="4" t="e">
        <f>VLOOKUP(#REF!,#REF!,2,0)</f>
        <v>#REF!</v>
      </c>
      <c r="U888" s="20" t="e">
        <f t="shared" si="39"/>
        <v>#REF!</v>
      </c>
      <c r="V888" s="47"/>
      <c r="W888" s="43"/>
      <c r="Y888" s="67" t="e">
        <f t="shared" si="40"/>
        <v>#N/A</v>
      </c>
    </row>
    <row r="889" spans="1:25" ht="13.65" customHeight="1">
      <c r="A889" s="92"/>
      <c r="B889" s="27"/>
      <c r="C889" s="3" t="e">
        <f>VLOOKUP(D889,'lista 1'!$A$2:$F4330,4,0)</f>
        <v>#N/A</v>
      </c>
      <c r="D889" s="74"/>
      <c r="E889" s="27" t="e">
        <f>VLOOKUP(D889,'lista 1'!$A$2:$F$1802,5,0)</f>
        <v>#N/A</v>
      </c>
      <c r="F889" s="59" t="e">
        <f>VLOOKUP(G889,'lista 3'!$A$1:$C$467,3,0)</f>
        <v>#N/A</v>
      </c>
      <c r="G889" s="76"/>
      <c r="H889" s="85"/>
      <c r="I889" s="59" t="e">
        <f>VLOOKUP(J889,'lista 3'!$A$1:$C$467,3,0)</f>
        <v>#N/A</v>
      </c>
      <c r="J889" s="78"/>
      <c r="K889" s="87"/>
      <c r="L889" s="82"/>
      <c r="M889" s="22"/>
      <c r="N889" s="22"/>
      <c r="O889" s="22"/>
      <c r="P889" s="26"/>
      <c r="Q889" s="26"/>
      <c r="R889" s="26"/>
      <c r="S889" s="47"/>
      <c r="T889" s="4" t="e">
        <f>VLOOKUP(#REF!,#REF!,2,0)</f>
        <v>#REF!</v>
      </c>
      <c r="U889" s="20" t="e">
        <f t="shared" si="39"/>
        <v>#REF!</v>
      </c>
      <c r="V889" s="47"/>
      <c r="W889" s="43"/>
      <c r="Y889" s="67" t="e">
        <f t="shared" si="40"/>
        <v>#N/A</v>
      </c>
    </row>
    <row r="890" spans="1:25" ht="13.65" customHeight="1">
      <c r="A890" s="92"/>
      <c r="B890" s="27"/>
      <c r="C890" s="3" t="e">
        <f>VLOOKUP(D890,'lista 1'!$A$2:$F4331,4,0)</f>
        <v>#N/A</v>
      </c>
      <c r="D890" s="74"/>
      <c r="E890" s="27" t="e">
        <f>VLOOKUP(D890,'lista 1'!$A$2:$F$1802,5,0)</f>
        <v>#N/A</v>
      </c>
      <c r="F890" s="59" t="e">
        <f>VLOOKUP(G890,'lista 3'!$A$1:$C$467,3,0)</f>
        <v>#N/A</v>
      </c>
      <c r="G890" s="76"/>
      <c r="H890" s="85"/>
      <c r="I890" s="59" t="e">
        <f>VLOOKUP(J890,'lista 3'!$A$1:$C$467,3,0)</f>
        <v>#N/A</v>
      </c>
      <c r="J890" s="78"/>
      <c r="K890" s="87"/>
      <c r="L890" s="82"/>
      <c r="M890" s="22"/>
      <c r="N890" s="22"/>
      <c r="O890" s="22"/>
      <c r="P890" s="26"/>
      <c r="Q890" s="26"/>
      <c r="R890" s="26"/>
      <c r="S890" s="47"/>
      <c r="T890" s="4" t="e">
        <f>VLOOKUP(#REF!,#REF!,2,0)</f>
        <v>#REF!</v>
      </c>
      <c r="U890" s="20" t="e">
        <f t="shared" si="39"/>
        <v>#REF!</v>
      </c>
      <c r="V890" s="47"/>
      <c r="W890" s="43"/>
      <c r="Y890" s="67" t="e">
        <f t="shared" si="40"/>
        <v>#N/A</v>
      </c>
    </row>
    <row r="891" spans="1:25" ht="13.65" customHeight="1">
      <c r="A891" s="92"/>
      <c r="B891" s="27"/>
      <c r="C891" s="3" t="e">
        <f>VLOOKUP(D891,'lista 1'!$A$2:$F4332,4,0)</f>
        <v>#N/A</v>
      </c>
      <c r="D891" s="74"/>
      <c r="E891" s="27" t="e">
        <f>VLOOKUP(D891,'lista 1'!$A$2:$F$1802,5,0)</f>
        <v>#N/A</v>
      </c>
      <c r="F891" s="59" t="e">
        <f>VLOOKUP(G891,'lista 3'!$A$1:$C$467,3,0)</f>
        <v>#N/A</v>
      </c>
      <c r="G891" s="76"/>
      <c r="H891" s="85"/>
      <c r="I891" s="59" t="e">
        <f>VLOOKUP(J891,'lista 3'!$A$1:$C$467,3,0)</f>
        <v>#N/A</v>
      </c>
      <c r="J891" s="78"/>
      <c r="K891" s="87"/>
      <c r="L891" s="82"/>
      <c r="M891" s="22"/>
      <c r="N891" s="22"/>
      <c r="O891" s="22"/>
      <c r="P891" s="26"/>
      <c r="Q891" s="26"/>
      <c r="R891" s="26"/>
      <c r="S891" s="47"/>
      <c r="T891" s="4" t="e">
        <f>VLOOKUP(#REF!,#REF!,2,0)</f>
        <v>#REF!</v>
      </c>
      <c r="U891" s="20" t="e">
        <f t="shared" si="39"/>
        <v>#REF!</v>
      </c>
      <c r="V891" s="47"/>
      <c r="W891" s="43"/>
      <c r="Y891" s="67" t="e">
        <f t="shared" si="40"/>
        <v>#N/A</v>
      </c>
    </row>
    <row r="892" spans="1:25" ht="13.65" customHeight="1">
      <c r="A892" s="92"/>
      <c r="B892" s="27"/>
      <c r="C892" s="3" t="e">
        <f>VLOOKUP(D892,'lista 1'!$A$2:$F4333,4,0)</f>
        <v>#N/A</v>
      </c>
      <c r="D892" s="74"/>
      <c r="E892" s="27" t="e">
        <f>VLOOKUP(D892,'lista 1'!$A$2:$F$1802,5,0)</f>
        <v>#N/A</v>
      </c>
      <c r="F892" s="59" t="e">
        <f>VLOOKUP(G892,'lista 3'!$A$1:$C$467,3,0)</f>
        <v>#N/A</v>
      </c>
      <c r="G892" s="76"/>
      <c r="H892" s="85"/>
      <c r="I892" s="59" t="e">
        <f>VLOOKUP(J892,'lista 3'!$A$1:$C$467,3,0)</f>
        <v>#N/A</v>
      </c>
      <c r="J892" s="78"/>
      <c r="K892" s="87"/>
      <c r="L892" s="82"/>
      <c r="M892" s="22"/>
      <c r="N892" s="22"/>
      <c r="O892" s="22"/>
      <c r="P892" s="26"/>
      <c r="Q892" s="26"/>
      <c r="R892" s="26"/>
      <c r="S892" s="47"/>
      <c r="T892" s="4" t="e">
        <f>VLOOKUP(#REF!,#REF!,2,0)</f>
        <v>#REF!</v>
      </c>
      <c r="U892" s="20" t="e">
        <f t="shared" si="39"/>
        <v>#REF!</v>
      </c>
      <c r="V892" s="47"/>
      <c r="W892" s="43"/>
      <c r="Y892" s="67" t="e">
        <f t="shared" si="40"/>
        <v>#N/A</v>
      </c>
    </row>
    <row r="893" spans="1:25" ht="13.65" customHeight="1">
      <c r="A893" s="92"/>
      <c r="B893" s="27"/>
      <c r="C893" s="3" t="e">
        <f>VLOOKUP(D893,'lista 1'!$A$2:$F4334,4,0)</f>
        <v>#N/A</v>
      </c>
      <c r="D893" s="74"/>
      <c r="E893" s="27" t="e">
        <f>VLOOKUP(D893,'lista 1'!$A$2:$F$1802,5,0)</f>
        <v>#N/A</v>
      </c>
      <c r="F893" s="59" t="e">
        <f>VLOOKUP(G893,'lista 3'!$A$1:$C$467,3,0)</f>
        <v>#N/A</v>
      </c>
      <c r="G893" s="76"/>
      <c r="H893" s="85"/>
      <c r="I893" s="59" t="e">
        <f>VLOOKUP(J893,'lista 3'!$A$1:$C$467,3,0)</f>
        <v>#N/A</v>
      </c>
      <c r="J893" s="78"/>
      <c r="K893" s="87"/>
      <c r="L893" s="82"/>
      <c r="M893" s="22"/>
      <c r="N893" s="22"/>
      <c r="O893" s="22"/>
      <c r="P893" s="26"/>
      <c r="Q893" s="26"/>
      <c r="R893" s="26"/>
      <c r="S893" s="47"/>
      <c r="T893" s="4" t="e">
        <f>VLOOKUP(#REF!,#REF!,2,0)</f>
        <v>#REF!</v>
      </c>
      <c r="U893" s="20" t="e">
        <f t="shared" si="39"/>
        <v>#REF!</v>
      </c>
      <c r="V893" s="47"/>
      <c r="W893" s="43"/>
      <c r="Y893" s="67" t="e">
        <f t="shared" si="40"/>
        <v>#N/A</v>
      </c>
    </row>
    <row r="894" spans="1:25" ht="13.65" customHeight="1">
      <c r="A894" s="92"/>
      <c r="B894" s="27"/>
      <c r="C894" s="3" t="e">
        <f>VLOOKUP(D894,'lista 1'!$A$2:$F4335,4,0)</f>
        <v>#N/A</v>
      </c>
      <c r="D894" s="74"/>
      <c r="E894" s="27" t="e">
        <f>VLOOKUP(D894,'lista 1'!$A$2:$F$1802,5,0)</f>
        <v>#N/A</v>
      </c>
      <c r="F894" s="59" t="e">
        <f>VLOOKUP(G894,'lista 3'!$A$1:$C$467,3,0)</f>
        <v>#N/A</v>
      </c>
      <c r="G894" s="76"/>
      <c r="H894" s="85"/>
      <c r="I894" s="59" t="e">
        <f>VLOOKUP(J894,'lista 3'!$A$1:$C$467,3,0)</f>
        <v>#N/A</v>
      </c>
      <c r="J894" s="78"/>
      <c r="K894" s="87"/>
      <c r="L894" s="82"/>
      <c r="M894" s="22"/>
      <c r="N894" s="22"/>
      <c r="O894" s="22"/>
      <c r="P894" s="26"/>
      <c r="Q894" s="26"/>
      <c r="R894" s="26"/>
      <c r="S894" s="47"/>
      <c r="T894" s="4" t="e">
        <f>VLOOKUP(#REF!,#REF!,2,0)</f>
        <v>#REF!</v>
      </c>
      <c r="U894" s="20" t="e">
        <f t="shared" si="39"/>
        <v>#REF!</v>
      </c>
      <c r="V894" s="47"/>
      <c r="W894" s="43"/>
      <c r="Y894" s="67" t="e">
        <f t="shared" si="40"/>
        <v>#N/A</v>
      </c>
    </row>
    <row r="895" spans="1:25" ht="13.65" customHeight="1">
      <c r="A895" s="92"/>
      <c r="B895" s="27"/>
      <c r="C895" s="3" t="e">
        <f>VLOOKUP(D895,'lista 1'!$A$2:$F4336,4,0)</f>
        <v>#N/A</v>
      </c>
      <c r="D895" s="74"/>
      <c r="E895" s="27" t="e">
        <f>VLOOKUP(D895,'lista 1'!$A$2:$F$1802,5,0)</f>
        <v>#N/A</v>
      </c>
      <c r="F895" s="59" t="e">
        <f>VLOOKUP(G895,'lista 3'!$A$1:$C$467,3,0)</f>
        <v>#N/A</v>
      </c>
      <c r="G895" s="76"/>
      <c r="H895" s="85"/>
      <c r="I895" s="59" t="e">
        <f>VLOOKUP(J895,'lista 3'!$A$1:$C$467,3,0)</f>
        <v>#N/A</v>
      </c>
      <c r="J895" s="78"/>
      <c r="K895" s="87"/>
      <c r="L895" s="82"/>
      <c r="M895" s="22"/>
      <c r="N895" s="22"/>
      <c r="O895" s="22"/>
      <c r="P895" s="26"/>
      <c r="Q895" s="26"/>
      <c r="R895" s="26"/>
      <c r="S895" s="47"/>
      <c r="T895" s="4" t="e">
        <f>VLOOKUP(#REF!,#REF!,2,0)</f>
        <v>#REF!</v>
      </c>
      <c r="U895" s="20" t="e">
        <f t="shared" si="39"/>
        <v>#REF!</v>
      </c>
      <c r="V895" s="47"/>
      <c r="W895" s="43"/>
      <c r="Y895" s="67" t="e">
        <f t="shared" si="40"/>
        <v>#N/A</v>
      </c>
    </row>
    <row r="896" spans="1:25" ht="13.65" customHeight="1">
      <c r="A896" s="92"/>
      <c r="B896" s="27"/>
      <c r="C896" s="3" t="e">
        <f>VLOOKUP(D896,'lista 1'!$A$2:$F4337,4,0)</f>
        <v>#N/A</v>
      </c>
      <c r="D896" s="74"/>
      <c r="E896" s="27" t="e">
        <f>VLOOKUP(D896,'lista 1'!$A$2:$F$1802,5,0)</f>
        <v>#N/A</v>
      </c>
      <c r="F896" s="59" t="e">
        <f>VLOOKUP(G896,'lista 3'!$A$1:$C$467,3,0)</f>
        <v>#N/A</v>
      </c>
      <c r="G896" s="76"/>
      <c r="H896" s="85"/>
      <c r="I896" s="59" t="e">
        <f>VLOOKUP(J896,'lista 3'!$A$1:$C$467,3,0)</f>
        <v>#N/A</v>
      </c>
      <c r="J896" s="78"/>
      <c r="K896" s="87"/>
      <c r="L896" s="82"/>
      <c r="M896" s="22"/>
      <c r="N896" s="22"/>
      <c r="O896" s="22"/>
      <c r="P896" s="26"/>
      <c r="Q896" s="26"/>
      <c r="R896" s="26"/>
      <c r="S896" s="47"/>
      <c r="T896" s="4" t="e">
        <f>VLOOKUP(#REF!,#REF!,2,0)</f>
        <v>#REF!</v>
      </c>
      <c r="U896" s="20" t="e">
        <f t="shared" si="39"/>
        <v>#REF!</v>
      </c>
      <c r="V896" s="47"/>
      <c r="W896" s="43"/>
      <c r="Y896" s="67" t="e">
        <f t="shared" si="40"/>
        <v>#N/A</v>
      </c>
    </row>
    <row r="897" spans="1:25" ht="13.65" customHeight="1">
      <c r="A897" s="92"/>
      <c r="B897" s="27"/>
      <c r="C897" s="3" t="e">
        <f>VLOOKUP(D897,'lista 1'!$A$2:$F4338,4,0)</f>
        <v>#N/A</v>
      </c>
      <c r="D897" s="74"/>
      <c r="E897" s="27" t="e">
        <f>VLOOKUP(D897,'lista 1'!$A$2:$F$1802,5,0)</f>
        <v>#N/A</v>
      </c>
      <c r="F897" s="59" t="e">
        <f>VLOOKUP(G897,'lista 3'!$A$1:$C$467,3,0)</f>
        <v>#N/A</v>
      </c>
      <c r="G897" s="76"/>
      <c r="H897" s="85"/>
      <c r="I897" s="59" t="e">
        <f>VLOOKUP(J897,'lista 3'!$A$1:$C$467,3,0)</f>
        <v>#N/A</v>
      </c>
      <c r="J897" s="78"/>
      <c r="K897" s="87"/>
      <c r="L897" s="82"/>
      <c r="M897" s="22"/>
      <c r="N897" s="22"/>
      <c r="O897" s="22"/>
      <c r="P897" s="26"/>
      <c r="Q897" s="26"/>
      <c r="R897" s="26"/>
      <c r="S897" s="47"/>
      <c r="T897" s="4" t="e">
        <f>VLOOKUP(#REF!,#REF!,2,0)</f>
        <v>#REF!</v>
      </c>
      <c r="U897" s="20" t="e">
        <f t="shared" si="39"/>
        <v>#REF!</v>
      </c>
      <c r="V897" s="47"/>
      <c r="W897" s="43"/>
      <c r="Y897" s="67" t="e">
        <f t="shared" si="40"/>
        <v>#N/A</v>
      </c>
    </row>
    <row r="898" spans="1:25" ht="13.65" customHeight="1">
      <c r="A898" s="92"/>
      <c r="B898" s="27"/>
      <c r="C898" s="3" t="e">
        <f>VLOOKUP(D898,'lista 1'!$A$2:$F4339,4,0)</f>
        <v>#N/A</v>
      </c>
      <c r="D898" s="74"/>
      <c r="E898" s="27" t="e">
        <f>VLOOKUP(D898,'lista 1'!$A$2:$F$1802,5,0)</f>
        <v>#N/A</v>
      </c>
      <c r="F898" s="59" t="e">
        <f>VLOOKUP(G898,'lista 3'!$A$1:$C$467,3,0)</f>
        <v>#N/A</v>
      </c>
      <c r="G898" s="76"/>
      <c r="H898" s="85"/>
      <c r="I898" s="59" t="e">
        <f>VLOOKUP(J898,'lista 3'!$A$1:$C$467,3,0)</f>
        <v>#N/A</v>
      </c>
      <c r="J898" s="78"/>
      <c r="K898" s="87"/>
      <c r="L898" s="82"/>
      <c r="M898" s="22"/>
      <c r="N898" s="22"/>
      <c r="O898" s="22"/>
      <c r="P898" s="26"/>
      <c r="Q898" s="26"/>
      <c r="R898" s="26"/>
      <c r="S898" s="47"/>
      <c r="T898" s="4" t="e">
        <f>VLOOKUP(#REF!,#REF!,2,0)</f>
        <v>#REF!</v>
      </c>
      <c r="U898" s="20" t="e">
        <f t="shared" si="39"/>
        <v>#REF!</v>
      </c>
      <c r="V898" s="47"/>
      <c r="W898" s="43"/>
      <c r="Y898" s="67" t="e">
        <f t="shared" si="40"/>
        <v>#N/A</v>
      </c>
    </row>
    <row r="899" spans="1:25" ht="13.65" customHeight="1">
      <c r="A899" s="92"/>
      <c r="B899" s="27"/>
      <c r="C899" s="3" t="e">
        <f>VLOOKUP(D899,'lista 1'!$A$2:$F4340,4,0)</f>
        <v>#N/A</v>
      </c>
      <c r="D899" s="74"/>
      <c r="E899" s="27" t="e">
        <f>VLOOKUP(D899,'lista 1'!$A$2:$F$1802,5,0)</f>
        <v>#N/A</v>
      </c>
      <c r="F899" s="59" t="e">
        <f>VLOOKUP(G899,'lista 3'!$A$1:$C$467,3,0)</f>
        <v>#N/A</v>
      </c>
      <c r="G899" s="76"/>
      <c r="H899" s="85"/>
      <c r="I899" s="59" t="e">
        <f>VLOOKUP(J899,'lista 3'!$A$1:$C$467,3,0)</f>
        <v>#N/A</v>
      </c>
      <c r="J899" s="78"/>
      <c r="K899" s="87"/>
      <c r="L899" s="82"/>
      <c r="M899" s="22"/>
      <c r="N899" s="22"/>
      <c r="O899" s="22"/>
      <c r="P899" s="26"/>
      <c r="Q899" s="26"/>
      <c r="R899" s="26"/>
      <c r="S899" s="47"/>
      <c r="T899" s="4" t="e">
        <f>VLOOKUP(#REF!,#REF!,2,0)</f>
        <v>#REF!</v>
      </c>
      <c r="U899" s="20" t="e">
        <f t="shared" si="39"/>
        <v>#REF!</v>
      </c>
      <c r="V899" s="47"/>
      <c r="W899" s="43"/>
      <c r="Y899" s="67" t="e">
        <f t="shared" si="40"/>
        <v>#N/A</v>
      </c>
    </row>
    <row r="900" spans="1:25" ht="13.65" customHeight="1">
      <c r="A900" s="92"/>
      <c r="B900" s="27"/>
      <c r="C900" s="3" t="e">
        <f>VLOOKUP(D900,'lista 1'!$A$2:$F4341,4,0)</f>
        <v>#N/A</v>
      </c>
      <c r="D900" s="74"/>
      <c r="E900" s="27" t="e">
        <f>VLOOKUP(D900,'lista 1'!$A$2:$F$1802,5,0)</f>
        <v>#N/A</v>
      </c>
      <c r="F900" s="59" t="e">
        <f>VLOOKUP(G900,'lista 3'!$A$1:$C$467,3,0)</f>
        <v>#N/A</v>
      </c>
      <c r="G900" s="76"/>
      <c r="H900" s="85"/>
      <c r="I900" s="59" t="e">
        <f>VLOOKUP(J900,'lista 3'!$A$1:$C$467,3,0)</f>
        <v>#N/A</v>
      </c>
      <c r="J900" s="78"/>
      <c r="K900" s="87"/>
      <c r="L900" s="82"/>
      <c r="M900" s="22"/>
      <c r="N900" s="22"/>
      <c r="O900" s="22"/>
      <c r="P900" s="26"/>
      <c r="Q900" s="26"/>
      <c r="R900" s="26"/>
      <c r="S900" s="47"/>
      <c r="T900" s="4" t="e">
        <f>VLOOKUP(#REF!,#REF!,2,0)</f>
        <v>#REF!</v>
      </c>
      <c r="U900" s="20" t="e">
        <f t="shared" si="39"/>
        <v>#REF!</v>
      </c>
      <c r="V900" s="47"/>
      <c r="W900" s="43"/>
      <c r="Y900" s="67" t="e">
        <f t="shared" si="40"/>
        <v>#N/A</v>
      </c>
    </row>
    <row r="901" spans="1:25" ht="13.65" customHeight="1">
      <c r="A901" s="92"/>
      <c r="B901" s="27"/>
      <c r="C901" s="3" t="e">
        <f>VLOOKUP(D901,'lista 1'!$A$2:$F4342,4,0)</f>
        <v>#N/A</v>
      </c>
      <c r="D901" s="74"/>
      <c r="E901" s="27" t="e">
        <f>VLOOKUP(D901,'lista 1'!$A$2:$F$1802,5,0)</f>
        <v>#N/A</v>
      </c>
      <c r="F901" s="59" t="e">
        <f>VLOOKUP(G901,'lista 3'!$A$1:$C$467,3,0)</f>
        <v>#N/A</v>
      </c>
      <c r="G901" s="76"/>
      <c r="H901" s="85"/>
      <c r="I901" s="59" t="e">
        <f>VLOOKUP(J901,'lista 3'!$A$1:$C$467,3,0)</f>
        <v>#N/A</v>
      </c>
      <c r="J901" s="78"/>
      <c r="K901" s="87"/>
      <c r="L901" s="82"/>
      <c r="M901" s="22"/>
      <c r="N901" s="22"/>
      <c r="O901" s="22"/>
      <c r="P901" s="26"/>
      <c r="Q901" s="26"/>
      <c r="R901" s="26"/>
      <c r="S901" s="47"/>
      <c r="T901" s="4" t="e">
        <f>VLOOKUP(#REF!,#REF!,2,0)</f>
        <v>#REF!</v>
      </c>
      <c r="U901" s="20" t="e">
        <f t="shared" si="39"/>
        <v>#REF!</v>
      </c>
      <c r="V901" s="47"/>
      <c r="W901" s="43"/>
      <c r="Y901" s="67" t="e">
        <f t="shared" si="40"/>
        <v>#N/A</v>
      </c>
    </row>
    <row r="902" spans="1:25" ht="13.65" customHeight="1">
      <c r="A902" s="92"/>
      <c r="B902" s="27"/>
      <c r="C902" s="3" t="e">
        <f>VLOOKUP(D902,'lista 1'!$A$2:$F4343,4,0)</f>
        <v>#N/A</v>
      </c>
      <c r="D902" s="74"/>
      <c r="E902" s="27" t="e">
        <f>VLOOKUP(D902,'lista 1'!$A$2:$F$1802,5,0)</f>
        <v>#N/A</v>
      </c>
      <c r="F902" s="59" t="e">
        <f>VLOOKUP(G902,'lista 3'!$A$1:$C$467,3,0)</f>
        <v>#N/A</v>
      </c>
      <c r="G902" s="76"/>
      <c r="H902" s="85"/>
      <c r="I902" s="59" t="e">
        <f>VLOOKUP(J902,'lista 3'!$A$1:$C$467,3,0)</f>
        <v>#N/A</v>
      </c>
      <c r="J902" s="78"/>
      <c r="K902" s="87"/>
      <c r="L902" s="82"/>
      <c r="M902" s="22"/>
      <c r="N902" s="22"/>
      <c r="O902" s="22"/>
      <c r="P902" s="26"/>
      <c r="Q902" s="26"/>
      <c r="R902" s="26"/>
      <c r="S902" s="47"/>
      <c r="T902" s="4" t="e">
        <f>VLOOKUP(#REF!,#REF!,2,0)</f>
        <v>#REF!</v>
      </c>
      <c r="U902" s="20" t="e">
        <f t="shared" si="39"/>
        <v>#REF!</v>
      </c>
      <c r="V902" s="47"/>
      <c r="W902" s="43"/>
      <c r="Y902" s="67" t="e">
        <f t="shared" si="40"/>
        <v>#N/A</v>
      </c>
    </row>
    <row r="903" spans="1:25" ht="13.65" customHeight="1">
      <c r="A903" s="92"/>
      <c r="B903" s="27"/>
      <c r="C903" s="3" t="e">
        <f>VLOOKUP(D903,'lista 1'!$A$2:$F4344,4,0)</f>
        <v>#N/A</v>
      </c>
      <c r="D903" s="74"/>
      <c r="E903" s="27" t="e">
        <f>VLOOKUP(D903,'lista 1'!$A$2:$F$1802,5,0)</f>
        <v>#N/A</v>
      </c>
      <c r="F903" s="59" t="e">
        <f>VLOOKUP(G903,'lista 3'!$A$1:$C$467,3,0)</f>
        <v>#N/A</v>
      </c>
      <c r="G903" s="76"/>
      <c r="H903" s="85"/>
      <c r="I903" s="59" t="e">
        <f>VLOOKUP(J903,'lista 3'!$A$1:$C$467,3,0)</f>
        <v>#N/A</v>
      </c>
      <c r="J903" s="78"/>
      <c r="K903" s="87"/>
      <c r="L903" s="82"/>
      <c r="M903" s="22"/>
      <c r="N903" s="22"/>
      <c r="O903" s="22"/>
      <c r="P903" s="26"/>
      <c r="Q903" s="26"/>
      <c r="R903" s="26"/>
      <c r="S903" s="47"/>
      <c r="T903" s="4" t="e">
        <f>VLOOKUP(#REF!,#REF!,2,0)</f>
        <v>#REF!</v>
      </c>
      <c r="U903" s="20" t="e">
        <f t="shared" si="39"/>
        <v>#REF!</v>
      </c>
      <c r="V903" s="47"/>
      <c r="W903" s="43"/>
      <c r="Y903" s="67" t="e">
        <f t="shared" si="40"/>
        <v>#N/A</v>
      </c>
    </row>
    <row r="904" spans="1:25" ht="13.65" customHeight="1">
      <c r="A904" s="92"/>
      <c r="B904" s="27"/>
      <c r="C904" s="3" t="e">
        <f>VLOOKUP(D904,'lista 1'!$A$2:$F4345,4,0)</f>
        <v>#N/A</v>
      </c>
      <c r="D904" s="74"/>
      <c r="E904" s="27" t="e">
        <f>VLOOKUP(D904,'lista 1'!$A$2:$F$1802,5,0)</f>
        <v>#N/A</v>
      </c>
      <c r="F904" s="59" t="e">
        <f>VLOOKUP(G904,'lista 3'!$A$1:$C$467,3,0)</f>
        <v>#N/A</v>
      </c>
      <c r="G904" s="76"/>
      <c r="H904" s="85"/>
      <c r="I904" s="59" t="e">
        <f>VLOOKUP(J904,'lista 3'!$A$1:$C$467,3,0)</f>
        <v>#N/A</v>
      </c>
      <c r="J904" s="78"/>
      <c r="K904" s="87"/>
      <c r="L904" s="82"/>
      <c r="M904" s="22"/>
      <c r="N904" s="22"/>
      <c r="O904" s="22"/>
      <c r="P904" s="26"/>
      <c r="Q904" s="26"/>
      <c r="R904" s="26"/>
      <c r="S904" s="47"/>
      <c r="T904" s="4" t="e">
        <f>VLOOKUP(#REF!,#REF!,2,0)</f>
        <v>#REF!</v>
      </c>
      <c r="U904" s="20" t="e">
        <f t="shared" si="39"/>
        <v>#REF!</v>
      </c>
      <c r="V904" s="47"/>
      <c r="W904" s="43"/>
      <c r="Y904" s="67" t="e">
        <f t="shared" si="40"/>
        <v>#N/A</v>
      </c>
    </row>
    <row r="905" spans="1:25" ht="13.65" customHeight="1">
      <c r="A905" s="92"/>
      <c r="B905" s="27"/>
      <c r="C905" s="3" t="e">
        <f>VLOOKUP(D905,'lista 1'!$A$2:$F4346,4,0)</f>
        <v>#N/A</v>
      </c>
      <c r="D905" s="74"/>
      <c r="E905" s="27" t="e">
        <f>VLOOKUP(D905,'lista 1'!$A$2:$F$1802,5,0)</f>
        <v>#N/A</v>
      </c>
      <c r="F905" s="59" t="e">
        <f>VLOOKUP(G905,'lista 3'!$A$1:$C$467,3,0)</f>
        <v>#N/A</v>
      </c>
      <c r="G905" s="76"/>
      <c r="H905" s="85"/>
      <c r="I905" s="59" t="e">
        <f>VLOOKUP(J905,'lista 3'!$A$1:$C$467,3,0)</f>
        <v>#N/A</v>
      </c>
      <c r="J905" s="78"/>
      <c r="K905" s="87"/>
      <c r="L905" s="82"/>
      <c r="M905" s="22"/>
      <c r="N905" s="22"/>
      <c r="O905" s="22"/>
      <c r="P905" s="26"/>
      <c r="Q905" s="26"/>
      <c r="R905" s="26"/>
      <c r="S905" s="47"/>
      <c r="T905" s="4" t="e">
        <f>VLOOKUP(#REF!,#REF!,2,0)</f>
        <v>#REF!</v>
      </c>
      <c r="U905" s="20" t="e">
        <f t="shared" si="39"/>
        <v>#REF!</v>
      </c>
      <c r="V905" s="47"/>
      <c r="W905" s="43"/>
      <c r="Y905" s="67" t="e">
        <f t="shared" si="40"/>
        <v>#N/A</v>
      </c>
    </row>
    <row r="906" spans="1:25" ht="13.65" customHeight="1">
      <c r="A906" s="92"/>
      <c r="B906" s="27"/>
      <c r="C906" s="3" t="e">
        <f>VLOOKUP(D906,'lista 1'!$A$2:$F4347,4,0)</f>
        <v>#N/A</v>
      </c>
      <c r="D906" s="74"/>
      <c r="E906" s="27" t="e">
        <f>VLOOKUP(D906,'lista 1'!$A$2:$F$1802,5,0)</f>
        <v>#N/A</v>
      </c>
      <c r="F906" s="59" t="e">
        <f>VLOOKUP(G906,'lista 3'!$A$1:$C$467,3,0)</f>
        <v>#N/A</v>
      </c>
      <c r="G906" s="76"/>
      <c r="H906" s="85"/>
      <c r="I906" s="59" t="e">
        <f>VLOOKUP(J906,'lista 3'!$A$1:$C$467,3,0)</f>
        <v>#N/A</v>
      </c>
      <c r="J906" s="78"/>
      <c r="K906" s="87"/>
      <c r="L906" s="82"/>
      <c r="M906" s="22"/>
      <c r="N906" s="22"/>
      <c r="O906" s="22"/>
      <c r="P906" s="26"/>
      <c r="Q906" s="26"/>
      <c r="R906" s="26"/>
      <c r="S906" s="47"/>
      <c r="T906" s="4" t="e">
        <f>VLOOKUP(#REF!,#REF!,2,0)</f>
        <v>#REF!</v>
      </c>
      <c r="U906" s="20" t="e">
        <f t="shared" si="39"/>
        <v>#REF!</v>
      </c>
      <c r="V906" s="47"/>
      <c r="W906" s="43"/>
      <c r="Y906" s="67" t="e">
        <f t="shared" si="40"/>
        <v>#N/A</v>
      </c>
    </row>
    <row r="907" spans="1:25" ht="13.65" customHeight="1">
      <c r="A907" s="92"/>
      <c r="B907" s="27"/>
      <c r="C907" s="3" t="e">
        <f>VLOOKUP(D907,'lista 1'!$A$2:$F4348,4,0)</f>
        <v>#N/A</v>
      </c>
      <c r="D907" s="74"/>
      <c r="E907" s="27" t="e">
        <f>VLOOKUP(D907,'lista 1'!$A$2:$F$1802,5,0)</f>
        <v>#N/A</v>
      </c>
      <c r="F907" s="59" t="e">
        <f>VLOOKUP(G907,'lista 3'!$A$1:$C$467,3,0)</f>
        <v>#N/A</v>
      </c>
      <c r="G907" s="76"/>
      <c r="H907" s="85"/>
      <c r="I907" s="59" t="e">
        <f>VLOOKUP(J907,'lista 3'!$A$1:$C$467,3,0)</f>
        <v>#N/A</v>
      </c>
      <c r="J907" s="78"/>
      <c r="K907" s="87"/>
      <c r="L907" s="82"/>
      <c r="M907" s="22"/>
      <c r="N907" s="22"/>
      <c r="O907" s="22"/>
      <c r="P907" s="26"/>
      <c r="Q907" s="26"/>
      <c r="R907" s="26"/>
      <c r="S907" s="47"/>
      <c r="T907" s="4" t="e">
        <f>VLOOKUP(#REF!,#REF!,2,0)</f>
        <v>#REF!</v>
      </c>
      <c r="U907" s="20" t="e">
        <f t="shared" si="39"/>
        <v>#REF!</v>
      </c>
      <c r="V907" s="47"/>
      <c r="W907" s="43"/>
      <c r="Y907" s="67" t="e">
        <f t="shared" si="40"/>
        <v>#N/A</v>
      </c>
    </row>
    <row r="908" spans="1:25" ht="13.65" customHeight="1">
      <c r="A908" s="92"/>
      <c r="B908" s="27"/>
      <c r="C908" s="3" t="e">
        <f>VLOOKUP(D908,'lista 1'!$A$2:$F4349,4,0)</f>
        <v>#N/A</v>
      </c>
      <c r="D908" s="74"/>
      <c r="E908" s="27" t="e">
        <f>VLOOKUP(D908,'lista 1'!$A$2:$F$1802,5,0)</f>
        <v>#N/A</v>
      </c>
      <c r="F908" s="59" t="e">
        <f>VLOOKUP(G908,'lista 3'!$A$1:$C$467,3,0)</f>
        <v>#N/A</v>
      </c>
      <c r="G908" s="76"/>
      <c r="H908" s="85"/>
      <c r="I908" s="59" t="e">
        <f>VLOOKUP(J908,'lista 3'!$A$1:$C$467,3,0)</f>
        <v>#N/A</v>
      </c>
      <c r="J908" s="78"/>
      <c r="K908" s="87"/>
      <c r="L908" s="82"/>
      <c r="M908" s="22"/>
      <c r="N908" s="22"/>
      <c r="O908" s="22"/>
      <c r="P908" s="26"/>
      <c r="Q908" s="26"/>
      <c r="R908" s="26"/>
      <c r="S908" s="47"/>
      <c r="T908" s="4" t="e">
        <f>VLOOKUP(#REF!,#REF!,2,0)</f>
        <v>#REF!</v>
      </c>
      <c r="U908" s="20" t="e">
        <f t="shared" si="39"/>
        <v>#REF!</v>
      </c>
      <c r="V908" s="47"/>
      <c r="W908" s="43"/>
      <c r="Y908" s="67" t="e">
        <f t="shared" si="40"/>
        <v>#N/A</v>
      </c>
    </row>
    <row r="909" spans="1:25" ht="13.65" customHeight="1">
      <c r="A909" s="92"/>
      <c r="B909" s="27"/>
      <c r="C909" s="3" t="e">
        <f>VLOOKUP(D909,'lista 1'!$A$2:$F4350,4,0)</f>
        <v>#N/A</v>
      </c>
      <c r="D909" s="74"/>
      <c r="E909" s="27" t="e">
        <f>VLOOKUP(D909,'lista 1'!$A$2:$F$1802,5,0)</f>
        <v>#N/A</v>
      </c>
      <c r="F909" s="59" t="e">
        <f>VLOOKUP(G909,'lista 3'!$A$1:$C$467,3,0)</f>
        <v>#N/A</v>
      </c>
      <c r="G909" s="76"/>
      <c r="H909" s="85"/>
      <c r="I909" s="59" t="e">
        <f>VLOOKUP(J909,'lista 3'!$A$1:$C$467,3,0)</f>
        <v>#N/A</v>
      </c>
      <c r="J909" s="78"/>
      <c r="K909" s="87"/>
      <c r="L909" s="82"/>
      <c r="M909" s="22"/>
      <c r="N909" s="22"/>
      <c r="O909" s="22"/>
      <c r="P909" s="26"/>
      <c r="Q909" s="26"/>
      <c r="R909" s="26"/>
      <c r="S909" s="47"/>
      <c r="T909" s="4" t="e">
        <f>VLOOKUP(#REF!,#REF!,2,0)</f>
        <v>#REF!</v>
      </c>
      <c r="U909" s="20" t="e">
        <f t="shared" si="39"/>
        <v>#REF!</v>
      </c>
      <c r="V909" s="47"/>
      <c r="W909" s="43"/>
      <c r="Y909" s="67" t="e">
        <f t="shared" si="40"/>
        <v>#N/A</v>
      </c>
    </row>
    <row r="910" spans="1:25" ht="13.65" customHeight="1">
      <c r="A910" s="92"/>
      <c r="B910" s="27"/>
      <c r="C910" s="3" t="e">
        <f>VLOOKUP(D910,'lista 1'!$A$2:$F4351,4,0)</f>
        <v>#N/A</v>
      </c>
      <c r="D910" s="74"/>
      <c r="E910" s="27" t="e">
        <f>VLOOKUP(D910,'lista 1'!$A$2:$F$1802,5,0)</f>
        <v>#N/A</v>
      </c>
      <c r="F910" s="59" t="e">
        <f>VLOOKUP(G910,'lista 3'!$A$1:$C$467,3,0)</f>
        <v>#N/A</v>
      </c>
      <c r="G910" s="76"/>
      <c r="H910" s="85"/>
      <c r="I910" s="59" t="e">
        <f>VLOOKUP(J910,'lista 3'!$A$1:$C$467,3,0)</f>
        <v>#N/A</v>
      </c>
      <c r="J910" s="78"/>
      <c r="K910" s="87"/>
      <c r="L910" s="82"/>
      <c r="M910" s="22"/>
      <c r="N910" s="22"/>
      <c r="O910" s="22"/>
      <c r="P910" s="26"/>
      <c r="Q910" s="26"/>
      <c r="R910" s="26"/>
      <c r="S910" s="47"/>
      <c r="T910" s="4" t="e">
        <f>VLOOKUP(#REF!,#REF!,2,0)</f>
        <v>#REF!</v>
      </c>
      <c r="U910" s="20" t="e">
        <f t="shared" si="39"/>
        <v>#REF!</v>
      </c>
      <c r="V910" s="47"/>
      <c r="W910" s="43"/>
      <c r="Y910" s="67" t="e">
        <f t="shared" si="40"/>
        <v>#N/A</v>
      </c>
    </row>
    <row r="911" spans="1:25" ht="13.65" customHeight="1">
      <c r="A911" s="92"/>
      <c r="B911" s="27"/>
      <c r="C911" s="3" t="e">
        <f>VLOOKUP(D911,'lista 1'!$A$2:$F4352,4,0)</f>
        <v>#N/A</v>
      </c>
      <c r="D911" s="74"/>
      <c r="E911" s="27" t="e">
        <f>VLOOKUP(D911,'lista 1'!$A$2:$F$1802,5,0)</f>
        <v>#N/A</v>
      </c>
      <c r="F911" s="59" t="e">
        <f>VLOOKUP(G911,'lista 3'!$A$1:$C$467,3,0)</f>
        <v>#N/A</v>
      </c>
      <c r="G911" s="76"/>
      <c r="H911" s="85"/>
      <c r="I911" s="59" t="e">
        <f>VLOOKUP(J911,'lista 3'!$A$1:$C$467,3,0)</f>
        <v>#N/A</v>
      </c>
      <c r="J911" s="78"/>
      <c r="K911" s="87"/>
      <c r="L911" s="82"/>
      <c r="M911" s="22"/>
      <c r="N911" s="22"/>
      <c r="O911" s="22"/>
      <c r="P911" s="26"/>
      <c r="Q911" s="26"/>
      <c r="R911" s="26"/>
      <c r="S911" s="47"/>
      <c r="T911" s="4" t="e">
        <f>VLOOKUP(#REF!,#REF!,2,0)</f>
        <v>#REF!</v>
      </c>
      <c r="U911" s="20" t="e">
        <f t="shared" si="39"/>
        <v>#REF!</v>
      </c>
      <c r="V911" s="47"/>
      <c r="W911" s="43"/>
      <c r="Y911" s="67" t="e">
        <f t="shared" si="40"/>
        <v>#N/A</v>
      </c>
    </row>
    <row r="912" spans="1:25" ht="13.65" customHeight="1">
      <c r="A912" s="92"/>
      <c r="B912" s="27"/>
      <c r="C912" s="3" t="e">
        <f>VLOOKUP(D912,'lista 1'!$A$2:$F4353,4,0)</f>
        <v>#N/A</v>
      </c>
      <c r="D912" s="74"/>
      <c r="E912" s="27" t="e">
        <f>VLOOKUP(D912,'lista 1'!$A$2:$F$1802,5,0)</f>
        <v>#N/A</v>
      </c>
      <c r="F912" s="59" t="e">
        <f>VLOOKUP(G912,'lista 3'!$A$1:$C$467,3,0)</f>
        <v>#N/A</v>
      </c>
      <c r="G912" s="76"/>
      <c r="H912" s="85"/>
      <c r="I912" s="59" t="e">
        <f>VLOOKUP(J912,'lista 3'!$A$1:$C$467,3,0)</f>
        <v>#N/A</v>
      </c>
      <c r="J912" s="78"/>
      <c r="K912" s="87"/>
      <c r="L912" s="82"/>
      <c r="M912" s="22"/>
      <c r="N912" s="22"/>
      <c r="O912" s="22"/>
      <c r="P912" s="26"/>
      <c r="Q912" s="26"/>
      <c r="R912" s="26"/>
      <c r="S912" s="47"/>
      <c r="T912" s="4" t="e">
        <f>VLOOKUP(#REF!,#REF!,2,0)</f>
        <v>#REF!</v>
      </c>
      <c r="U912" s="20" t="e">
        <f t="shared" si="39"/>
        <v>#REF!</v>
      </c>
      <c r="V912" s="47"/>
      <c r="W912" s="43"/>
      <c r="Y912" s="67" t="e">
        <f t="shared" si="40"/>
        <v>#N/A</v>
      </c>
    </row>
    <row r="913" spans="1:25" ht="13.65" customHeight="1">
      <c r="A913" s="92"/>
      <c r="B913" s="27"/>
      <c r="C913" s="3" t="e">
        <f>VLOOKUP(D913,'lista 1'!$A$2:$F4354,4,0)</f>
        <v>#N/A</v>
      </c>
      <c r="D913" s="74"/>
      <c r="E913" s="27" t="e">
        <f>VLOOKUP(D913,'lista 1'!$A$2:$F$1802,5,0)</f>
        <v>#N/A</v>
      </c>
      <c r="F913" s="59" t="e">
        <f>VLOOKUP(G913,'lista 3'!$A$1:$C$467,3,0)</f>
        <v>#N/A</v>
      </c>
      <c r="G913" s="76"/>
      <c r="H913" s="85"/>
      <c r="I913" s="59" t="e">
        <f>VLOOKUP(J913,'lista 3'!$A$1:$C$467,3,0)</f>
        <v>#N/A</v>
      </c>
      <c r="J913" s="78"/>
      <c r="K913" s="87"/>
      <c r="L913" s="82"/>
      <c r="M913" s="22"/>
      <c r="N913" s="22"/>
      <c r="O913" s="22"/>
      <c r="P913" s="26"/>
      <c r="Q913" s="26"/>
      <c r="R913" s="26"/>
      <c r="S913" s="47"/>
      <c r="T913" s="4" t="e">
        <f>VLOOKUP(#REF!,#REF!,2,0)</f>
        <v>#REF!</v>
      </c>
      <c r="U913" s="20" t="e">
        <f t="shared" si="39"/>
        <v>#REF!</v>
      </c>
      <c r="V913" s="47"/>
      <c r="W913" s="43"/>
      <c r="Y913" s="67" t="e">
        <f t="shared" si="40"/>
        <v>#N/A</v>
      </c>
    </row>
    <row r="914" spans="1:25" ht="13.65" customHeight="1">
      <c r="A914" s="92"/>
      <c r="B914" s="27"/>
      <c r="C914" s="3" t="e">
        <f>VLOOKUP(D914,'lista 1'!$A$2:$F4355,4,0)</f>
        <v>#N/A</v>
      </c>
      <c r="D914" s="74"/>
      <c r="E914" s="27" t="e">
        <f>VLOOKUP(D914,'lista 1'!$A$2:$F$1802,5,0)</f>
        <v>#N/A</v>
      </c>
      <c r="F914" s="59" t="e">
        <f>VLOOKUP(G914,'lista 3'!$A$1:$C$467,3,0)</f>
        <v>#N/A</v>
      </c>
      <c r="G914" s="76"/>
      <c r="H914" s="85"/>
      <c r="I914" s="59" t="e">
        <f>VLOOKUP(J914,'lista 3'!$A$1:$C$467,3,0)</f>
        <v>#N/A</v>
      </c>
      <c r="J914" s="78"/>
      <c r="K914" s="87"/>
      <c r="L914" s="82"/>
      <c r="M914" s="22"/>
      <c r="N914" s="22"/>
      <c r="O914" s="22"/>
      <c r="P914" s="26"/>
      <c r="Q914" s="26"/>
      <c r="R914" s="26"/>
      <c r="S914" s="47"/>
      <c r="T914" s="4" t="e">
        <f>VLOOKUP(#REF!,#REF!,2,0)</f>
        <v>#REF!</v>
      </c>
      <c r="U914" s="20" t="e">
        <f t="shared" si="39"/>
        <v>#REF!</v>
      </c>
      <c r="V914" s="47"/>
      <c r="W914" s="43"/>
      <c r="Y914" s="67" t="e">
        <f t="shared" si="40"/>
        <v>#N/A</v>
      </c>
    </row>
    <row r="915" spans="1:25" ht="13.65" customHeight="1">
      <c r="A915" s="92"/>
      <c r="B915" s="27"/>
      <c r="C915" s="3" t="e">
        <f>VLOOKUP(D915,'lista 1'!$A$2:$F4356,4,0)</f>
        <v>#N/A</v>
      </c>
      <c r="D915" s="74"/>
      <c r="E915" s="27" t="e">
        <f>VLOOKUP(D915,'lista 1'!$A$2:$F$1802,5,0)</f>
        <v>#N/A</v>
      </c>
      <c r="F915" s="59" t="e">
        <f>VLOOKUP(G915,'lista 3'!$A$1:$C$467,3,0)</f>
        <v>#N/A</v>
      </c>
      <c r="G915" s="76"/>
      <c r="H915" s="85"/>
      <c r="I915" s="59" t="e">
        <f>VLOOKUP(J915,'lista 3'!$A$1:$C$467,3,0)</f>
        <v>#N/A</v>
      </c>
      <c r="J915" s="78"/>
      <c r="K915" s="87"/>
      <c r="L915" s="82"/>
      <c r="M915" s="22"/>
      <c r="N915" s="22"/>
      <c r="O915" s="22"/>
      <c r="P915" s="26"/>
      <c r="Q915" s="26"/>
      <c r="R915" s="26"/>
      <c r="S915" s="47"/>
      <c r="T915" s="4" t="e">
        <f>VLOOKUP(#REF!,#REF!,2,0)</f>
        <v>#REF!</v>
      </c>
      <c r="U915" s="20" t="e">
        <f t="shared" si="39"/>
        <v>#REF!</v>
      </c>
      <c r="V915" s="47"/>
      <c r="W915" s="43"/>
      <c r="Y915" s="67" t="e">
        <f t="shared" si="40"/>
        <v>#N/A</v>
      </c>
    </row>
    <row r="916" spans="1:25" ht="13.65" customHeight="1">
      <c r="A916" s="92"/>
      <c r="B916" s="27"/>
      <c r="C916" s="3" t="e">
        <f>VLOOKUP(D916,'lista 1'!$A$2:$F4357,4,0)</f>
        <v>#N/A</v>
      </c>
      <c r="D916" s="74"/>
      <c r="E916" s="27" t="e">
        <f>VLOOKUP(D916,'lista 1'!$A$2:$F$1802,5,0)</f>
        <v>#N/A</v>
      </c>
      <c r="F916" s="59" t="e">
        <f>VLOOKUP(G916,'lista 3'!$A$1:$C$467,3,0)</f>
        <v>#N/A</v>
      </c>
      <c r="G916" s="76"/>
      <c r="H916" s="85"/>
      <c r="I916" s="59" t="e">
        <f>VLOOKUP(J916,'lista 3'!$A$1:$C$467,3,0)</f>
        <v>#N/A</v>
      </c>
      <c r="J916" s="78"/>
      <c r="K916" s="87"/>
      <c r="L916" s="82"/>
      <c r="M916" s="22"/>
      <c r="N916" s="22"/>
      <c r="O916" s="22"/>
      <c r="P916" s="26"/>
      <c r="Q916" s="26"/>
      <c r="R916" s="26"/>
      <c r="S916" s="47"/>
      <c r="T916" s="4" t="e">
        <f>VLOOKUP(#REF!,#REF!,2,0)</f>
        <v>#REF!</v>
      </c>
      <c r="U916" s="20" t="e">
        <f t="shared" si="39"/>
        <v>#REF!</v>
      </c>
      <c r="V916" s="47"/>
      <c r="W916" s="43"/>
      <c r="Y916" s="67" t="e">
        <f t="shared" si="40"/>
        <v>#N/A</v>
      </c>
    </row>
    <row r="917" spans="1:25" ht="13.65" customHeight="1">
      <c r="A917" s="92"/>
      <c r="B917" s="27"/>
      <c r="C917" s="3" t="e">
        <f>VLOOKUP(D917,'lista 1'!$A$2:$F4358,4,0)</f>
        <v>#N/A</v>
      </c>
      <c r="D917" s="74"/>
      <c r="E917" s="27" t="e">
        <f>VLOOKUP(D917,'lista 1'!$A$2:$F$1802,5,0)</f>
        <v>#N/A</v>
      </c>
      <c r="F917" s="59" t="e">
        <f>VLOOKUP(G917,'lista 3'!$A$1:$C$467,3,0)</f>
        <v>#N/A</v>
      </c>
      <c r="G917" s="76"/>
      <c r="H917" s="85"/>
      <c r="I917" s="59" t="e">
        <f>VLOOKUP(J917,'lista 3'!$A$1:$C$467,3,0)</f>
        <v>#N/A</v>
      </c>
      <c r="J917" s="78"/>
      <c r="K917" s="87"/>
      <c r="L917" s="82"/>
      <c r="M917" s="22"/>
      <c r="N917" s="22"/>
      <c r="O917" s="22"/>
      <c r="P917" s="26"/>
      <c r="Q917" s="26"/>
      <c r="R917" s="26"/>
      <c r="S917" s="47"/>
      <c r="T917" s="4" t="e">
        <f>VLOOKUP(#REF!,#REF!,2,0)</f>
        <v>#REF!</v>
      </c>
      <c r="U917" s="20" t="e">
        <f t="shared" si="39"/>
        <v>#REF!</v>
      </c>
      <c r="V917" s="47"/>
      <c r="W917" s="43"/>
      <c r="Y917" s="67" t="e">
        <f t="shared" si="40"/>
        <v>#N/A</v>
      </c>
    </row>
    <row r="918" spans="1:25" ht="13.65" customHeight="1">
      <c r="A918" s="92"/>
      <c r="B918" s="27"/>
      <c r="C918" s="3" t="e">
        <f>VLOOKUP(D918,'lista 1'!$A$2:$F4359,4,0)</f>
        <v>#N/A</v>
      </c>
      <c r="D918" s="74"/>
      <c r="E918" s="27" t="e">
        <f>VLOOKUP(D918,'lista 1'!$A$2:$F$1802,5,0)</f>
        <v>#N/A</v>
      </c>
      <c r="F918" s="59" t="e">
        <f>VLOOKUP(G918,'lista 3'!$A$1:$C$467,3,0)</f>
        <v>#N/A</v>
      </c>
      <c r="G918" s="76"/>
      <c r="H918" s="85"/>
      <c r="I918" s="59" t="e">
        <f>VLOOKUP(J918,'lista 3'!$A$1:$C$467,3,0)</f>
        <v>#N/A</v>
      </c>
      <c r="J918" s="78"/>
      <c r="K918" s="87"/>
      <c r="L918" s="82"/>
      <c r="M918" s="22"/>
      <c r="N918" s="22"/>
      <c r="O918" s="22"/>
      <c r="P918" s="26"/>
      <c r="Q918" s="26"/>
      <c r="R918" s="26"/>
      <c r="S918" s="47"/>
      <c r="T918" s="4" t="e">
        <f>VLOOKUP(#REF!,#REF!,2,0)</f>
        <v>#REF!</v>
      </c>
      <c r="U918" s="20" t="e">
        <f t="shared" si="39"/>
        <v>#REF!</v>
      </c>
      <c r="V918" s="47"/>
      <c r="W918" s="43"/>
      <c r="Y918" s="67" t="e">
        <f t="shared" si="40"/>
        <v>#N/A</v>
      </c>
    </row>
    <row r="919" spans="1:25" ht="13.65" customHeight="1">
      <c r="A919" s="92"/>
      <c r="B919" s="27"/>
      <c r="C919" s="3" t="e">
        <f>VLOOKUP(D919,'lista 1'!$A$2:$F4360,4,0)</f>
        <v>#N/A</v>
      </c>
      <c r="D919" s="74"/>
      <c r="E919" s="27" t="e">
        <f>VLOOKUP(D919,'lista 1'!$A$2:$F$1802,5,0)</f>
        <v>#N/A</v>
      </c>
      <c r="F919" s="59" t="e">
        <f>VLOOKUP(G919,'lista 3'!$A$1:$C$467,3,0)</f>
        <v>#N/A</v>
      </c>
      <c r="G919" s="76"/>
      <c r="H919" s="85"/>
      <c r="I919" s="59" t="e">
        <f>VLOOKUP(J919,'lista 3'!$A$1:$C$467,3,0)</f>
        <v>#N/A</v>
      </c>
      <c r="J919" s="78"/>
      <c r="K919" s="87"/>
      <c r="L919" s="82"/>
      <c r="M919" s="22"/>
      <c r="N919" s="22"/>
      <c r="O919" s="22"/>
      <c r="P919" s="26"/>
      <c r="Q919" s="26"/>
      <c r="R919" s="26"/>
      <c r="S919" s="47"/>
      <c r="T919" s="4" t="e">
        <f>VLOOKUP(#REF!,#REF!,2,0)</f>
        <v>#REF!</v>
      </c>
      <c r="U919" s="20" t="e">
        <f t="shared" si="39"/>
        <v>#REF!</v>
      </c>
      <c r="V919" s="47"/>
      <c r="W919" s="43"/>
      <c r="Y919" s="67" t="e">
        <f t="shared" si="40"/>
        <v>#N/A</v>
      </c>
    </row>
    <row r="920" spans="1:25" ht="13.65" customHeight="1">
      <c r="A920" s="92"/>
      <c r="B920" s="27"/>
      <c r="C920" s="3" t="e">
        <f>VLOOKUP(D920,'lista 1'!$A$2:$F4361,4,0)</f>
        <v>#N/A</v>
      </c>
      <c r="D920" s="74"/>
      <c r="E920" s="27" t="e">
        <f>VLOOKUP(D920,'lista 1'!$A$2:$F$1802,5,0)</f>
        <v>#N/A</v>
      </c>
      <c r="F920" s="59" t="e">
        <f>VLOOKUP(G920,'lista 3'!$A$1:$C$467,3,0)</f>
        <v>#N/A</v>
      </c>
      <c r="G920" s="76"/>
      <c r="H920" s="85"/>
      <c r="I920" s="59" t="e">
        <f>VLOOKUP(J920,'lista 3'!$A$1:$C$467,3,0)</f>
        <v>#N/A</v>
      </c>
      <c r="J920" s="78"/>
      <c r="K920" s="87"/>
      <c r="L920" s="82"/>
      <c r="M920" s="22"/>
      <c r="N920" s="22"/>
      <c r="O920" s="22"/>
      <c r="P920" s="26"/>
      <c r="Q920" s="26"/>
      <c r="R920" s="26"/>
      <c r="S920" s="47"/>
      <c r="T920" s="4" t="e">
        <f>VLOOKUP(#REF!,#REF!,2,0)</f>
        <v>#REF!</v>
      </c>
      <c r="U920" s="20" t="e">
        <f t="shared" si="39"/>
        <v>#REF!</v>
      </c>
      <c r="V920" s="47"/>
      <c r="W920" s="43"/>
      <c r="Y920" s="67" t="e">
        <f t="shared" si="40"/>
        <v>#N/A</v>
      </c>
    </row>
    <row r="921" spans="1:25" ht="13.65" customHeight="1">
      <c r="A921" s="92"/>
      <c r="B921" s="27"/>
      <c r="C921" s="3" t="e">
        <f>VLOOKUP(D921,'lista 1'!$A$2:$F4362,4,0)</f>
        <v>#N/A</v>
      </c>
      <c r="D921" s="74"/>
      <c r="E921" s="27" t="e">
        <f>VLOOKUP(D921,'lista 1'!$A$2:$F$1802,5,0)</f>
        <v>#N/A</v>
      </c>
      <c r="F921" s="59" t="e">
        <f>VLOOKUP(G921,'lista 3'!$A$1:$C$467,3,0)</f>
        <v>#N/A</v>
      </c>
      <c r="G921" s="76"/>
      <c r="H921" s="85"/>
      <c r="I921" s="59" t="e">
        <f>VLOOKUP(J921,'lista 3'!$A$1:$C$467,3,0)</f>
        <v>#N/A</v>
      </c>
      <c r="J921" s="78"/>
      <c r="K921" s="87"/>
      <c r="L921" s="82"/>
      <c r="M921" s="22"/>
      <c r="N921" s="22"/>
      <c r="O921" s="22"/>
      <c r="P921" s="26"/>
      <c r="Q921" s="26"/>
      <c r="R921" s="26"/>
      <c r="S921" s="47"/>
      <c r="T921" s="4" t="e">
        <f>VLOOKUP(#REF!,#REF!,2,0)</f>
        <v>#REF!</v>
      </c>
      <c r="U921" s="20" t="e">
        <f t="shared" si="39"/>
        <v>#REF!</v>
      </c>
      <c r="V921" s="47"/>
      <c r="W921" s="43"/>
      <c r="Y921" s="67" t="e">
        <f t="shared" si="40"/>
        <v>#N/A</v>
      </c>
    </row>
    <row r="922" spans="1:25" ht="13.65" customHeight="1">
      <c r="A922" s="92"/>
      <c r="B922" s="27"/>
      <c r="C922" s="3" t="e">
        <f>VLOOKUP(D922,'lista 1'!$A$2:$F4363,4,0)</f>
        <v>#N/A</v>
      </c>
      <c r="D922" s="74"/>
      <c r="E922" s="27" t="e">
        <f>VLOOKUP(D922,'lista 1'!$A$2:$F$1802,5,0)</f>
        <v>#N/A</v>
      </c>
      <c r="F922" s="59" t="e">
        <f>VLOOKUP(G922,'lista 3'!$A$1:$C$467,3,0)</f>
        <v>#N/A</v>
      </c>
      <c r="G922" s="76"/>
      <c r="H922" s="85"/>
      <c r="I922" s="59" t="e">
        <f>VLOOKUP(J922,'lista 3'!$A$1:$C$467,3,0)</f>
        <v>#N/A</v>
      </c>
      <c r="J922" s="78"/>
      <c r="K922" s="87"/>
      <c r="L922" s="82"/>
      <c r="M922" s="22"/>
      <c r="N922" s="22"/>
      <c r="O922" s="22"/>
      <c r="P922" s="26"/>
      <c r="Q922" s="26"/>
      <c r="R922" s="26"/>
      <c r="S922" s="47"/>
      <c r="T922" s="4" t="e">
        <f>VLOOKUP(#REF!,#REF!,2,0)</f>
        <v>#REF!</v>
      </c>
      <c r="U922" s="20" t="e">
        <f t="shared" si="39"/>
        <v>#REF!</v>
      </c>
      <c r="V922" s="47"/>
      <c r="W922" s="43"/>
      <c r="Y922" s="67" t="e">
        <f t="shared" si="40"/>
        <v>#N/A</v>
      </c>
    </row>
    <row r="923" spans="1:25" ht="13.65" customHeight="1">
      <c r="A923" s="92"/>
      <c r="B923" s="27"/>
      <c r="C923" s="28" t="e">
        <f>VLOOKUP(D923,'lista 1'!$A$2:$F$1802,4,0)</f>
        <v>#N/A</v>
      </c>
      <c r="D923" s="74"/>
      <c r="E923" s="27" t="e">
        <f>VLOOKUP(D923,'lista 1'!$A$2:$F$1802,5,0)</f>
        <v>#N/A</v>
      </c>
      <c r="F923" s="59" t="e">
        <f>VLOOKUP(G923,'lista 3'!$A$1:$C$467,3,0)</f>
        <v>#N/A</v>
      </c>
      <c r="G923" s="76"/>
      <c r="H923" s="85"/>
      <c r="I923" s="59" t="e">
        <f>VLOOKUP(J923,'lista 3'!$A$1:$C$467,3,0)</f>
        <v>#N/A</v>
      </c>
      <c r="J923" s="78"/>
      <c r="K923" s="87"/>
      <c r="L923" s="82"/>
      <c r="M923" s="22"/>
      <c r="N923" s="22"/>
      <c r="O923" s="22"/>
      <c r="P923" s="26"/>
      <c r="Q923" s="26"/>
      <c r="R923" s="26"/>
      <c r="S923" s="47"/>
      <c r="T923" s="4" t="e">
        <f>VLOOKUP(#REF!,#REF!,2,0)</f>
        <v>#REF!</v>
      </c>
      <c r="U923" s="20" t="e">
        <f t="shared" si="39"/>
        <v>#REF!</v>
      </c>
      <c r="V923" s="47"/>
      <c r="W923" s="43"/>
      <c r="Y923" s="67" t="e">
        <f t="shared" si="40"/>
        <v>#N/A</v>
      </c>
    </row>
    <row r="924" spans="1:25" ht="13.65" customHeight="1">
      <c r="A924" s="92"/>
      <c r="B924" s="27"/>
      <c r="C924" s="28" t="e">
        <f>VLOOKUP(D924,'lista 1'!$A$2:$F$1802,4,0)</f>
        <v>#N/A</v>
      </c>
      <c r="D924" s="74"/>
      <c r="E924" s="27" t="e">
        <f>VLOOKUP(D924,'lista 1'!$A$2:$F$1802,5,0)</f>
        <v>#N/A</v>
      </c>
      <c r="F924" s="59" t="e">
        <f>VLOOKUP(G924,'lista 3'!$A$1:$C$467,3,0)</f>
        <v>#N/A</v>
      </c>
      <c r="G924" s="76"/>
      <c r="H924" s="85"/>
      <c r="I924" s="59" t="e">
        <f>VLOOKUP(J924,'lista 3'!$A$1:$C$467,3,0)</f>
        <v>#N/A</v>
      </c>
      <c r="J924" s="78"/>
      <c r="K924" s="87"/>
      <c r="L924" s="82"/>
      <c r="M924" s="22"/>
      <c r="N924" s="22"/>
      <c r="O924" s="22"/>
      <c r="P924" s="26"/>
      <c r="Q924" s="26"/>
      <c r="R924" s="26"/>
      <c r="S924" s="47"/>
      <c r="T924" s="4" t="e">
        <f>VLOOKUP(#REF!,#REF!,2,0)</f>
        <v>#REF!</v>
      </c>
      <c r="U924" s="20" t="e">
        <f t="shared" ref="U924:U987" si="41">L924-T924</f>
        <v>#REF!</v>
      </c>
      <c r="V924" s="47"/>
      <c r="W924" s="43"/>
      <c r="Y924" s="67" t="e">
        <f t="shared" si="40"/>
        <v>#N/A</v>
      </c>
    </row>
    <row r="925" spans="1:25" ht="13.65" customHeight="1">
      <c r="A925" s="92"/>
      <c r="B925" s="27"/>
      <c r="C925" s="28" t="e">
        <f>VLOOKUP(D925,'lista 1'!$A$2:$F$1802,4,0)</f>
        <v>#N/A</v>
      </c>
      <c r="D925" s="74"/>
      <c r="E925" s="27" t="e">
        <f>VLOOKUP(D925,'lista 1'!$A$2:$F$1802,5,0)</f>
        <v>#N/A</v>
      </c>
      <c r="F925" s="59" t="e">
        <f>VLOOKUP(G925,'lista 3'!$A$1:$C$467,3,0)</f>
        <v>#N/A</v>
      </c>
      <c r="G925" s="76"/>
      <c r="H925" s="85"/>
      <c r="I925" s="59" t="e">
        <f>VLOOKUP(J925,'lista 3'!$A$1:$C$467,3,0)</f>
        <v>#N/A</v>
      </c>
      <c r="J925" s="78"/>
      <c r="K925" s="87"/>
      <c r="L925" s="82"/>
      <c r="M925" s="22"/>
      <c r="N925" s="22"/>
      <c r="O925" s="22"/>
      <c r="P925" s="26"/>
      <c r="Q925" s="26"/>
      <c r="R925" s="26"/>
      <c r="S925" s="47"/>
      <c r="T925" s="4" t="e">
        <f>VLOOKUP(#REF!,#REF!,2,0)</f>
        <v>#REF!</v>
      </c>
      <c r="U925" s="20" t="e">
        <f t="shared" si="41"/>
        <v>#REF!</v>
      </c>
      <c r="V925" s="47"/>
      <c r="W925" s="43"/>
      <c r="Y925" s="67" t="e">
        <f t="shared" si="40"/>
        <v>#N/A</v>
      </c>
    </row>
    <row r="926" spans="1:25" ht="13.65" customHeight="1">
      <c r="A926" s="92"/>
      <c r="B926" s="27"/>
      <c r="C926" s="28" t="e">
        <f>VLOOKUP(D926,'lista 1'!$A$2:$F$1802,4,0)</f>
        <v>#N/A</v>
      </c>
      <c r="D926" s="74"/>
      <c r="E926" s="27" t="e">
        <f>VLOOKUP(D926,'lista 1'!$A$2:$F$1802,5,0)</f>
        <v>#N/A</v>
      </c>
      <c r="F926" s="59" t="e">
        <f>VLOOKUP(G926,'lista 3'!$A$1:$C$467,3,0)</f>
        <v>#N/A</v>
      </c>
      <c r="G926" s="76"/>
      <c r="H926" s="85"/>
      <c r="I926" s="59" t="e">
        <f>VLOOKUP(J926,'lista 3'!$A$1:$C$467,3,0)</f>
        <v>#N/A</v>
      </c>
      <c r="J926" s="78"/>
      <c r="K926" s="87"/>
      <c r="L926" s="82"/>
      <c r="M926" s="22"/>
      <c r="N926" s="22"/>
      <c r="O926" s="22"/>
      <c r="P926" s="26"/>
      <c r="Q926" s="26"/>
      <c r="R926" s="26"/>
      <c r="S926" s="47"/>
      <c r="T926" s="4" t="e">
        <f>VLOOKUP(#REF!,#REF!,2,0)</f>
        <v>#REF!</v>
      </c>
      <c r="U926" s="20" t="e">
        <f t="shared" si="41"/>
        <v>#REF!</v>
      </c>
      <c r="V926" s="47"/>
      <c r="W926" s="43"/>
      <c r="Y926" s="67" t="e">
        <f t="shared" ref="Y926:Y989" si="42">F926=I926</f>
        <v>#N/A</v>
      </c>
    </row>
    <row r="927" spans="1:25" ht="13.65" customHeight="1">
      <c r="A927" s="92"/>
      <c r="B927" s="27"/>
      <c r="C927" s="28" t="e">
        <f>VLOOKUP(D927,'lista 1'!$A$2:$F$1802,4,0)</f>
        <v>#N/A</v>
      </c>
      <c r="D927" s="74"/>
      <c r="E927" s="27" t="e">
        <f>VLOOKUP(D927,'lista 1'!$A$2:$F$1802,5,0)</f>
        <v>#N/A</v>
      </c>
      <c r="F927" s="59" t="e">
        <f>VLOOKUP(G927,'lista 3'!$A$1:$C$467,3,0)</f>
        <v>#N/A</v>
      </c>
      <c r="G927" s="76"/>
      <c r="H927" s="85"/>
      <c r="I927" s="59" t="e">
        <f>VLOOKUP(J927,'lista 3'!$A$1:$C$467,3,0)</f>
        <v>#N/A</v>
      </c>
      <c r="J927" s="78"/>
      <c r="K927" s="87"/>
      <c r="L927" s="82"/>
      <c r="M927" s="22"/>
      <c r="N927" s="22"/>
      <c r="O927" s="22"/>
      <c r="P927" s="26"/>
      <c r="Q927" s="26"/>
      <c r="R927" s="26"/>
      <c r="S927" s="47"/>
      <c r="T927" s="4" t="e">
        <f>VLOOKUP(#REF!,#REF!,2,0)</f>
        <v>#REF!</v>
      </c>
      <c r="U927" s="20" t="e">
        <f t="shared" si="41"/>
        <v>#REF!</v>
      </c>
      <c r="V927" s="47"/>
      <c r="W927" s="43"/>
      <c r="Y927" s="67" t="e">
        <f t="shared" si="42"/>
        <v>#N/A</v>
      </c>
    </row>
    <row r="928" spans="1:25" ht="13.65" customHeight="1">
      <c r="A928" s="92"/>
      <c r="B928" s="27"/>
      <c r="C928" s="28" t="e">
        <f>VLOOKUP(D928,'lista 1'!$A$2:$F$1802,4,0)</f>
        <v>#N/A</v>
      </c>
      <c r="D928" s="74"/>
      <c r="E928" s="27" t="e">
        <f>VLOOKUP(D928,'lista 1'!$A$2:$F$1802,5,0)</f>
        <v>#N/A</v>
      </c>
      <c r="F928" s="59" t="e">
        <f>VLOOKUP(G928,'lista 3'!$A$1:$C$467,3,0)</f>
        <v>#N/A</v>
      </c>
      <c r="G928" s="76"/>
      <c r="H928" s="85"/>
      <c r="I928" s="59" t="e">
        <f>VLOOKUP(J928,'lista 3'!$A$1:$C$467,3,0)</f>
        <v>#N/A</v>
      </c>
      <c r="J928" s="78"/>
      <c r="K928" s="87"/>
      <c r="L928" s="82"/>
      <c r="M928" s="22"/>
      <c r="N928" s="22"/>
      <c r="O928" s="22"/>
      <c r="P928" s="26"/>
      <c r="Q928" s="26"/>
      <c r="R928" s="26"/>
      <c r="S928" s="47"/>
      <c r="T928" s="4" t="e">
        <f>VLOOKUP(#REF!,#REF!,2,0)</f>
        <v>#REF!</v>
      </c>
      <c r="U928" s="20" t="e">
        <f t="shared" si="41"/>
        <v>#REF!</v>
      </c>
      <c r="V928" s="47"/>
      <c r="W928" s="43"/>
      <c r="Y928" s="67" t="e">
        <f t="shared" si="42"/>
        <v>#N/A</v>
      </c>
    </row>
    <row r="929" spans="1:25" ht="13.65" customHeight="1">
      <c r="A929" s="92"/>
      <c r="B929" s="27"/>
      <c r="C929" s="28" t="e">
        <f>VLOOKUP(D929,'lista 1'!$A$2:$F$1802,4,0)</f>
        <v>#N/A</v>
      </c>
      <c r="D929" s="74"/>
      <c r="E929" s="27" t="e">
        <f>VLOOKUP(D929,'lista 1'!$A$2:$F$1802,5,0)</f>
        <v>#N/A</v>
      </c>
      <c r="F929" s="59" t="e">
        <f>VLOOKUP(G929,'lista 3'!$A$1:$C$467,3,0)</f>
        <v>#N/A</v>
      </c>
      <c r="G929" s="76"/>
      <c r="H929" s="85"/>
      <c r="I929" s="59" t="e">
        <f>VLOOKUP(J929,'lista 3'!$A$1:$C$467,3,0)</f>
        <v>#N/A</v>
      </c>
      <c r="J929" s="78"/>
      <c r="K929" s="87"/>
      <c r="L929" s="82"/>
      <c r="M929" s="22"/>
      <c r="N929" s="22"/>
      <c r="O929" s="22"/>
      <c r="P929" s="26"/>
      <c r="Q929" s="26"/>
      <c r="R929" s="26"/>
      <c r="S929" s="47"/>
      <c r="T929" s="4" t="e">
        <f>VLOOKUP(#REF!,#REF!,2,0)</f>
        <v>#REF!</v>
      </c>
      <c r="U929" s="20" t="e">
        <f t="shared" si="41"/>
        <v>#REF!</v>
      </c>
      <c r="V929" s="47"/>
      <c r="W929" s="43"/>
      <c r="Y929" s="67" t="e">
        <f t="shared" si="42"/>
        <v>#N/A</v>
      </c>
    </row>
    <row r="930" spans="1:25" ht="13.65" customHeight="1">
      <c r="A930" s="92"/>
      <c r="B930" s="27"/>
      <c r="C930" s="28" t="e">
        <f>VLOOKUP(D930,'lista 1'!$A$2:$F$1802,4,0)</f>
        <v>#N/A</v>
      </c>
      <c r="D930" s="74"/>
      <c r="E930" s="27" t="e">
        <f>VLOOKUP(D930,'lista 1'!$A$2:$F$1802,5,0)</f>
        <v>#N/A</v>
      </c>
      <c r="F930" s="59" t="e">
        <f>VLOOKUP(G930,'lista 3'!$A$1:$C$467,3,0)</f>
        <v>#N/A</v>
      </c>
      <c r="G930" s="76"/>
      <c r="H930" s="85"/>
      <c r="I930" s="59" t="e">
        <f>VLOOKUP(J930,'lista 3'!$A$1:$C$467,3,0)</f>
        <v>#N/A</v>
      </c>
      <c r="J930" s="78"/>
      <c r="K930" s="87"/>
      <c r="L930" s="82"/>
      <c r="M930" s="22"/>
      <c r="N930" s="22"/>
      <c r="O930" s="22"/>
      <c r="P930" s="26"/>
      <c r="Q930" s="26"/>
      <c r="R930" s="26"/>
      <c r="S930" s="47"/>
      <c r="T930" s="4" t="e">
        <f>VLOOKUP(#REF!,#REF!,2,0)</f>
        <v>#REF!</v>
      </c>
      <c r="U930" s="20" t="e">
        <f t="shared" si="41"/>
        <v>#REF!</v>
      </c>
      <c r="V930" s="47"/>
      <c r="W930" s="43"/>
      <c r="Y930" s="67" t="e">
        <f t="shared" si="42"/>
        <v>#N/A</v>
      </c>
    </row>
    <row r="931" spans="1:25" ht="13.65" customHeight="1">
      <c r="A931" s="92"/>
      <c r="B931" s="27"/>
      <c r="C931" s="28" t="e">
        <f>VLOOKUP(D931,'lista 1'!$A$2:$F$1802,4,0)</f>
        <v>#N/A</v>
      </c>
      <c r="D931" s="74"/>
      <c r="E931" s="27" t="e">
        <f>VLOOKUP(D931,'lista 1'!$A$2:$F$1802,5,0)</f>
        <v>#N/A</v>
      </c>
      <c r="F931" s="59" t="e">
        <f>VLOOKUP(G931,'lista 3'!$A$1:$C$467,3,0)</f>
        <v>#N/A</v>
      </c>
      <c r="G931" s="76"/>
      <c r="H931" s="85"/>
      <c r="I931" s="59" t="e">
        <f>VLOOKUP(J931,'lista 3'!$A$1:$C$467,3,0)</f>
        <v>#N/A</v>
      </c>
      <c r="J931" s="78"/>
      <c r="K931" s="87"/>
      <c r="L931" s="82"/>
      <c r="M931" s="22"/>
      <c r="N931" s="22"/>
      <c r="O931" s="22"/>
      <c r="P931" s="26"/>
      <c r="Q931" s="26"/>
      <c r="R931" s="26"/>
      <c r="S931" s="47"/>
      <c r="T931" s="4" t="e">
        <f>VLOOKUP(#REF!,#REF!,2,0)</f>
        <v>#REF!</v>
      </c>
      <c r="U931" s="20" t="e">
        <f t="shared" si="41"/>
        <v>#REF!</v>
      </c>
      <c r="V931" s="47"/>
      <c r="W931" s="43"/>
      <c r="Y931" s="67" t="e">
        <f t="shared" si="42"/>
        <v>#N/A</v>
      </c>
    </row>
    <row r="932" spans="1:25" ht="13.65" customHeight="1">
      <c r="A932" s="92"/>
      <c r="B932" s="27"/>
      <c r="C932" s="28" t="e">
        <f>VLOOKUP(D932,'lista 1'!$A$2:$F$1802,4,0)</f>
        <v>#N/A</v>
      </c>
      <c r="D932" s="74"/>
      <c r="E932" s="27" t="e">
        <f>VLOOKUP(D932,'lista 1'!$A$2:$F$1802,5,0)</f>
        <v>#N/A</v>
      </c>
      <c r="F932" s="59" t="e">
        <f>VLOOKUP(G932,'lista 3'!$A$1:$C$467,3,0)</f>
        <v>#N/A</v>
      </c>
      <c r="G932" s="76"/>
      <c r="H932" s="85"/>
      <c r="I932" s="59" t="e">
        <f>VLOOKUP(J932,'lista 3'!$A$1:$C$467,3,0)</f>
        <v>#N/A</v>
      </c>
      <c r="J932" s="78"/>
      <c r="K932" s="87"/>
      <c r="L932" s="82"/>
      <c r="M932" s="22"/>
      <c r="N932" s="22"/>
      <c r="O932" s="22"/>
      <c r="P932" s="26"/>
      <c r="Q932" s="26"/>
      <c r="R932" s="26"/>
      <c r="S932" s="47"/>
      <c r="T932" s="4" t="e">
        <f>VLOOKUP(#REF!,#REF!,2,0)</f>
        <v>#REF!</v>
      </c>
      <c r="U932" s="20" t="e">
        <f t="shared" si="41"/>
        <v>#REF!</v>
      </c>
      <c r="V932" s="47"/>
      <c r="W932" s="43"/>
      <c r="Y932" s="67" t="e">
        <f t="shared" si="42"/>
        <v>#N/A</v>
      </c>
    </row>
    <row r="933" spans="1:25" ht="13.65" customHeight="1">
      <c r="A933" s="92"/>
      <c r="B933" s="27"/>
      <c r="C933" s="28" t="e">
        <f>VLOOKUP(D933,'lista 1'!$A$2:$F$1802,4,0)</f>
        <v>#N/A</v>
      </c>
      <c r="D933" s="74"/>
      <c r="E933" s="27" t="e">
        <f>VLOOKUP(D933,'lista 1'!$A$2:$F$1802,5,0)</f>
        <v>#N/A</v>
      </c>
      <c r="F933" s="59" t="e">
        <f>VLOOKUP(G933,'lista 3'!$A$1:$C$467,3,0)</f>
        <v>#N/A</v>
      </c>
      <c r="G933" s="76"/>
      <c r="H933" s="85"/>
      <c r="I933" s="59" t="e">
        <f>VLOOKUP(J933,'lista 3'!$A$1:$C$467,3,0)</f>
        <v>#N/A</v>
      </c>
      <c r="J933" s="78"/>
      <c r="K933" s="87"/>
      <c r="L933" s="82"/>
      <c r="M933" s="22"/>
      <c r="N933" s="22"/>
      <c r="O933" s="22"/>
      <c r="P933" s="26"/>
      <c r="Q933" s="26"/>
      <c r="R933" s="26"/>
      <c r="S933" s="47"/>
      <c r="T933" s="4" t="e">
        <f>VLOOKUP(#REF!,#REF!,2,0)</f>
        <v>#REF!</v>
      </c>
      <c r="U933" s="20" t="e">
        <f t="shared" si="41"/>
        <v>#REF!</v>
      </c>
      <c r="V933" s="47"/>
      <c r="W933" s="43"/>
      <c r="Y933" s="67" t="e">
        <f t="shared" si="42"/>
        <v>#N/A</v>
      </c>
    </row>
    <row r="934" spans="1:25" ht="13.65" customHeight="1">
      <c r="A934" s="92"/>
      <c r="B934" s="27"/>
      <c r="C934" s="28" t="e">
        <f>VLOOKUP(D934,'lista 1'!$A$2:$F$1802,4,0)</f>
        <v>#N/A</v>
      </c>
      <c r="D934" s="74"/>
      <c r="E934" s="27" t="e">
        <f>VLOOKUP(D934,'lista 1'!$A$2:$F$1802,5,0)</f>
        <v>#N/A</v>
      </c>
      <c r="F934" s="59" t="e">
        <f>VLOOKUP(G934,'lista 3'!$A$1:$C$467,3,0)</f>
        <v>#N/A</v>
      </c>
      <c r="G934" s="76"/>
      <c r="H934" s="85"/>
      <c r="I934" s="59" t="e">
        <f>VLOOKUP(J934,'lista 3'!$A$1:$C$467,3,0)</f>
        <v>#N/A</v>
      </c>
      <c r="J934" s="78"/>
      <c r="K934" s="87"/>
      <c r="L934" s="82"/>
      <c r="M934" s="22"/>
      <c r="N934" s="22"/>
      <c r="O934" s="22"/>
      <c r="P934" s="26"/>
      <c r="Q934" s="26"/>
      <c r="R934" s="26"/>
      <c r="S934" s="47"/>
      <c r="T934" s="4" t="e">
        <f>VLOOKUP(#REF!,#REF!,2,0)</f>
        <v>#REF!</v>
      </c>
      <c r="U934" s="20" t="e">
        <f t="shared" si="41"/>
        <v>#REF!</v>
      </c>
      <c r="V934" s="47"/>
      <c r="W934" s="43"/>
      <c r="Y934" s="67" t="e">
        <f t="shared" si="42"/>
        <v>#N/A</v>
      </c>
    </row>
    <row r="935" spans="1:25" ht="13.65" customHeight="1">
      <c r="A935" s="92"/>
      <c r="B935" s="27"/>
      <c r="C935" s="28" t="e">
        <f>VLOOKUP(D935,'lista 1'!$A$2:$F$1802,4,0)</f>
        <v>#N/A</v>
      </c>
      <c r="D935" s="74"/>
      <c r="E935" s="27" t="e">
        <f>VLOOKUP(D935,'lista 1'!$A$2:$F$1802,5,0)</f>
        <v>#N/A</v>
      </c>
      <c r="F935" s="59" t="e">
        <f>VLOOKUP(G935,'lista 3'!$A$1:$C$467,3,0)</f>
        <v>#N/A</v>
      </c>
      <c r="G935" s="76"/>
      <c r="H935" s="85"/>
      <c r="I935" s="59" t="e">
        <f>VLOOKUP(J935,'lista 3'!$A$1:$C$467,3,0)</f>
        <v>#N/A</v>
      </c>
      <c r="J935" s="78"/>
      <c r="K935" s="87"/>
      <c r="L935" s="82"/>
      <c r="M935" s="22"/>
      <c r="N935" s="22"/>
      <c r="O935" s="22"/>
      <c r="P935" s="26"/>
      <c r="Q935" s="26"/>
      <c r="R935" s="26"/>
      <c r="S935" s="47"/>
      <c r="T935" s="4" t="e">
        <f>VLOOKUP(#REF!,#REF!,2,0)</f>
        <v>#REF!</v>
      </c>
      <c r="U935" s="20" t="e">
        <f t="shared" si="41"/>
        <v>#REF!</v>
      </c>
      <c r="V935" s="47"/>
      <c r="W935" s="43"/>
      <c r="Y935" s="67" t="e">
        <f t="shared" si="42"/>
        <v>#N/A</v>
      </c>
    </row>
    <row r="936" spans="1:25" ht="13.65" customHeight="1">
      <c r="A936" s="92"/>
      <c r="B936" s="27"/>
      <c r="C936" s="28" t="e">
        <f>VLOOKUP(D936,'lista 1'!$A$2:$F$1802,4,0)</f>
        <v>#N/A</v>
      </c>
      <c r="D936" s="74"/>
      <c r="E936" s="27" t="e">
        <f>VLOOKUP(D936,'lista 1'!$A$2:$F$1802,5,0)</f>
        <v>#N/A</v>
      </c>
      <c r="F936" s="59" t="e">
        <f>VLOOKUP(G936,'lista 3'!$A$1:$C$467,3,0)</f>
        <v>#N/A</v>
      </c>
      <c r="G936" s="76"/>
      <c r="H936" s="85"/>
      <c r="I936" s="59" t="e">
        <f>VLOOKUP(J936,'lista 3'!$A$1:$C$467,3,0)</f>
        <v>#N/A</v>
      </c>
      <c r="J936" s="78"/>
      <c r="K936" s="87"/>
      <c r="L936" s="82"/>
      <c r="M936" s="22"/>
      <c r="N936" s="22"/>
      <c r="O936" s="22"/>
      <c r="P936" s="26"/>
      <c r="Q936" s="26"/>
      <c r="R936" s="26"/>
      <c r="S936" s="47"/>
      <c r="T936" s="4" t="e">
        <f>VLOOKUP(#REF!,#REF!,2,0)</f>
        <v>#REF!</v>
      </c>
      <c r="U936" s="20" t="e">
        <f t="shared" si="41"/>
        <v>#REF!</v>
      </c>
      <c r="V936" s="47"/>
      <c r="W936" s="43"/>
      <c r="Y936" s="67" t="e">
        <f t="shared" si="42"/>
        <v>#N/A</v>
      </c>
    </row>
    <row r="937" spans="1:25" ht="13.65" customHeight="1">
      <c r="A937" s="92"/>
      <c r="B937" s="27"/>
      <c r="C937" s="28" t="e">
        <f>VLOOKUP(D937,'lista 1'!$A$2:$F$1802,4,0)</f>
        <v>#N/A</v>
      </c>
      <c r="D937" s="74"/>
      <c r="E937" s="27" t="e">
        <f>VLOOKUP(D937,'lista 1'!$A$2:$F$1802,5,0)</f>
        <v>#N/A</v>
      </c>
      <c r="F937" s="59" t="e">
        <f>VLOOKUP(G937,'lista 3'!$A$1:$C$467,3,0)</f>
        <v>#N/A</v>
      </c>
      <c r="G937" s="76"/>
      <c r="H937" s="85"/>
      <c r="I937" s="59" t="e">
        <f>VLOOKUP(J937,'lista 3'!$A$1:$C$467,3,0)</f>
        <v>#N/A</v>
      </c>
      <c r="J937" s="78"/>
      <c r="K937" s="87"/>
      <c r="L937" s="82"/>
      <c r="M937" s="22"/>
      <c r="N937" s="22"/>
      <c r="O937" s="22"/>
      <c r="P937" s="26"/>
      <c r="Q937" s="26"/>
      <c r="R937" s="26"/>
      <c r="S937" s="47"/>
      <c r="T937" s="4" t="e">
        <f>VLOOKUP(#REF!,#REF!,2,0)</f>
        <v>#REF!</v>
      </c>
      <c r="U937" s="20" t="e">
        <f t="shared" si="41"/>
        <v>#REF!</v>
      </c>
      <c r="V937" s="47"/>
      <c r="W937" s="43"/>
      <c r="Y937" s="67" t="e">
        <f t="shared" si="42"/>
        <v>#N/A</v>
      </c>
    </row>
    <row r="938" spans="1:25" ht="13.65" customHeight="1">
      <c r="A938" s="92"/>
      <c r="B938" s="27"/>
      <c r="C938" s="28" t="e">
        <f>VLOOKUP(D938,'lista 1'!$A$2:$F$1802,4,0)</f>
        <v>#N/A</v>
      </c>
      <c r="D938" s="74"/>
      <c r="E938" s="27" t="e">
        <f>VLOOKUP(D938,'lista 1'!$A$2:$F$1802,5,0)</f>
        <v>#N/A</v>
      </c>
      <c r="F938" s="59" t="e">
        <f>VLOOKUP(G938,'lista 3'!$A$1:$C$467,3,0)</f>
        <v>#N/A</v>
      </c>
      <c r="G938" s="76"/>
      <c r="H938" s="85"/>
      <c r="I938" s="59" t="e">
        <f>VLOOKUP(J938,'lista 3'!$A$1:$C$467,3,0)</f>
        <v>#N/A</v>
      </c>
      <c r="J938" s="78"/>
      <c r="K938" s="87"/>
      <c r="L938" s="82"/>
      <c r="M938" s="22"/>
      <c r="N938" s="22"/>
      <c r="O938" s="22"/>
      <c r="P938" s="26"/>
      <c r="Q938" s="26"/>
      <c r="R938" s="26"/>
      <c r="S938" s="47"/>
      <c r="T938" s="4" t="e">
        <f>VLOOKUP(#REF!,#REF!,2,0)</f>
        <v>#REF!</v>
      </c>
      <c r="U938" s="20" t="e">
        <f t="shared" si="41"/>
        <v>#REF!</v>
      </c>
      <c r="V938" s="47"/>
      <c r="W938" s="43"/>
      <c r="Y938" s="67" t="e">
        <f t="shared" si="42"/>
        <v>#N/A</v>
      </c>
    </row>
    <row r="939" spans="1:25" ht="13.65" customHeight="1">
      <c r="A939" s="92"/>
      <c r="B939" s="27"/>
      <c r="C939" s="28" t="e">
        <f>VLOOKUP(D939,'lista 1'!$A$2:$F$1802,4,0)</f>
        <v>#N/A</v>
      </c>
      <c r="D939" s="74"/>
      <c r="E939" s="27" t="e">
        <f>VLOOKUP(D939,'lista 1'!$A$2:$F$1802,5,0)</f>
        <v>#N/A</v>
      </c>
      <c r="F939" s="59" t="e">
        <f>VLOOKUP(G939,'lista 3'!$A$1:$C$467,3,0)</f>
        <v>#N/A</v>
      </c>
      <c r="G939" s="76"/>
      <c r="H939" s="85"/>
      <c r="I939" s="59" t="e">
        <f>VLOOKUP(J939,'lista 3'!$A$1:$C$467,3,0)</f>
        <v>#N/A</v>
      </c>
      <c r="J939" s="78"/>
      <c r="K939" s="87"/>
      <c r="L939" s="82"/>
      <c r="M939" s="22"/>
      <c r="N939" s="22"/>
      <c r="O939" s="22"/>
      <c r="P939" s="26"/>
      <c r="Q939" s="26"/>
      <c r="R939" s="26"/>
      <c r="S939" s="47"/>
      <c r="T939" s="4" t="e">
        <f>VLOOKUP(#REF!,#REF!,2,0)</f>
        <v>#REF!</v>
      </c>
      <c r="U939" s="20" t="e">
        <f t="shared" si="41"/>
        <v>#REF!</v>
      </c>
      <c r="V939" s="47"/>
      <c r="W939" s="43"/>
      <c r="Y939" s="67" t="e">
        <f t="shared" si="42"/>
        <v>#N/A</v>
      </c>
    </row>
    <row r="940" spans="1:25" ht="13.65" customHeight="1">
      <c r="A940" s="92"/>
      <c r="B940" s="27"/>
      <c r="C940" s="28" t="e">
        <f>VLOOKUP(D940,'lista 1'!$A$2:$F$1802,4,0)</f>
        <v>#N/A</v>
      </c>
      <c r="D940" s="74"/>
      <c r="E940" s="27" t="e">
        <f>VLOOKUP(D940,'lista 1'!$A$2:$F$1802,5,0)</f>
        <v>#N/A</v>
      </c>
      <c r="F940" s="59" t="e">
        <f>VLOOKUP(G940,'lista 3'!$A$1:$C$467,3,0)</f>
        <v>#N/A</v>
      </c>
      <c r="G940" s="76"/>
      <c r="H940" s="85"/>
      <c r="I940" s="59" t="e">
        <f>VLOOKUP(J940,'lista 3'!$A$1:$C$467,3,0)</f>
        <v>#N/A</v>
      </c>
      <c r="J940" s="78"/>
      <c r="K940" s="87"/>
      <c r="L940" s="82"/>
      <c r="M940" s="22"/>
      <c r="N940" s="22"/>
      <c r="O940" s="22"/>
      <c r="P940" s="26"/>
      <c r="Q940" s="26"/>
      <c r="R940" s="26"/>
      <c r="S940" s="47"/>
      <c r="T940" s="4" t="e">
        <f>VLOOKUP(#REF!,#REF!,2,0)</f>
        <v>#REF!</v>
      </c>
      <c r="U940" s="20" t="e">
        <f t="shared" si="41"/>
        <v>#REF!</v>
      </c>
      <c r="V940" s="47"/>
      <c r="W940" s="43"/>
      <c r="Y940" s="67" t="e">
        <f t="shared" si="42"/>
        <v>#N/A</v>
      </c>
    </row>
    <row r="941" spans="1:25" ht="13.65" customHeight="1">
      <c r="A941" s="92"/>
      <c r="B941" s="27"/>
      <c r="C941" s="28" t="e">
        <f>VLOOKUP(D941,'lista 1'!$A$2:$F$1802,4,0)</f>
        <v>#N/A</v>
      </c>
      <c r="D941" s="74"/>
      <c r="E941" s="27" t="e">
        <f>VLOOKUP(D941,'lista 1'!$A$2:$F$1802,5,0)</f>
        <v>#N/A</v>
      </c>
      <c r="F941" s="59" t="e">
        <f>VLOOKUP(G941,'lista 3'!$A$1:$C$467,3,0)</f>
        <v>#N/A</v>
      </c>
      <c r="G941" s="76"/>
      <c r="H941" s="85"/>
      <c r="I941" s="59" t="e">
        <f>VLOOKUP(J941,'lista 3'!$A$1:$C$467,3,0)</f>
        <v>#N/A</v>
      </c>
      <c r="J941" s="78"/>
      <c r="K941" s="87"/>
      <c r="L941" s="82"/>
      <c r="M941" s="22"/>
      <c r="N941" s="22"/>
      <c r="O941" s="22"/>
      <c r="P941" s="26"/>
      <c r="Q941" s="26"/>
      <c r="R941" s="26"/>
      <c r="S941" s="47"/>
      <c r="T941" s="4" t="e">
        <f>VLOOKUP(#REF!,#REF!,2,0)</f>
        <v>#REF!</v>
      </c>
      <c r="U941" s="20" t="e">
        <f t="shared" si="41"/>
        <v>#REF!</v>
      </c>
      <c r="V941" s="47"/>
      <c r="W941" s="43"/>
      <c r="Y941" s="67" t="e">
        <f t="shared" si="42"/>
        <v>#N/A</v>
      </c>
    </row>
    <row r="942" spans="1:25" ht="13.65" customHeight="1">
      <c r="A942" s="92"/>
      <c r="B942" s="27"/>
      <c r="C942" s="28" t="e">
        <f>VLOOKUP(D942,'lista 1'!$A$2:$F$1802,4,0)</f>
        <v>#N/A</v>
      </c>
      <c r="D942" s="74"/>
      <c r="E942" s="27" t="e">
        <f>VLOOKUP(D942,'lista 1'!$A$2:$F$1802,5,0)</f>
        <v>#N/A</v>
      </c>
      <c r="F942" s="59" t="e">
        <f>VLOOKUP(G942,'lista 3'!$A$1:$C$467,3,0)</f>
        <v>#N/A</v>
      </c>
      <c r="G942" s="76"/>
      <c r="H942" s="85"/>
      <c r="I942" s="59" t="e">
        <f>VLOOKUP(J942,'lista 3'!$A$1:$C$467,3,0)</f>
        <v>#N/A</v>
      </c>
      <c r="J942" s="78"/>
      <c r="K942" s="87"/>
      <c r="L942" s="82"/>
      <c r="M942" s="22"/>
      <c r="N942" s="22"/>
      <c r="O942" s="22"/>
      <c r="P942" s="26"/>
      <c r="Q942" s="26"/>
      <c r="R942" s="26"/>
      <c r="S942" s="47"/>
      <c r="T942" s="4" t="e">
        <f>VLOOKUP(#REF!,#REF!,2,0)</f>
        <v>#REF!</v>
      </c>
      <c r="U942" s="20" t="e">
        <f t="shared" si="41"/>
        <v>#REF!</v>
      </c>
      <c r="V942" s="47"/>
      <c r="W942" s="43"/>
      <c r="Y942" s="67" t="e">
        <f t="shared" si="42"/>
        <v>#N/A</v>
      </c>
    </row>
    <row r="943" spans="1:25" ht="13.65" customHeight="1">
      <c r="A943" s="92"/>
      <c r="B943" s="27"/>
      <c r="C943" s="28" t="e">
        <f>VLOOKUP(D943,'lista 1'!$A$2:$F$1802,4,0)</f>
        <v>#N/A</v>
      </c>
      <c r="D943" s="74"/>
      <c r="E943" s="27" t="e">
        <f>VLOOKUP(D943,'lista 1'!$A$2:$F$1802,5,0)</f>
        <v>#N/A</v>
      </c>
      <c r="F943" s="59" t="e">
        <f>VLOOKUP(G943,'lista 3'!$A$1:$C$467,3,0)</f>
        <v>#N/A</v>
      </c>
      <c r="G943" s="76"/>
      <c r="H943" s="85"/>
      <c r="I943" s="59" t="e">
        <f>VLOOKUP(J943,'lista 3'!$A$1:$C$467,3,0)</f>
        <v>#N/A</v>
      </c>
      <c r="J943" s="78"/>
      <c r="K943" s="87"/>
      <c r="L943" s="82"/>
      <c r="M943" s="22"/>
      <c r="N943" s="22"/>
      <c r="O943" s="22"/>
      <c r="P943" s="26"/>
      <c r="Q943" s="26"/>
      <c r="R943" s="26"/>
      <c r="S943" s="47"/>
      <c r="T943" s="4" t="e">
        <f>VLOOKUP(#REF!,#REF!,2,0)</f>
        <v>#REF!</v>
      </c>
      <c r="U943" s="20" t="e">
        <f t="shared" si="41"/>
        <v>#REF!</v>
      </c>
      <c r="V943" s="47"/>
      <c r="W943" s="43"/>
      <c r="Y943" s="67" t="e">
        <f t="shared" si="42"/>
        <v>#N/A</v>
      </c>
    </row>
    <row r="944" spans="1:25" ht="13.65" customHeight="1">
      <c r="A944" s="92"/>
      <c r="B944" s="27"/>
      <c r="C944" s="28" t="e">
        <f>VLOOKUP(D944,'lista 1'!$A$2:$F$1802,4,0)</f>
        <v>#N/A</v>
      </c>
      <c r="D944" s="74"/>
      <c r="E944" s="27" t="e">
        <f>VLOOKUP(D944,'lista 1'!$A$2:$F$1802,5,0)</f>
        <v>#N/A</v>
      </c>
      <c r="F944" s="59" t="e">
        <f>VLOOKUP(G944,'lista 3'!$A$1:$C$467,3,0)</f>
        <v>#N/A</v>
      </c>
      <c r="G944" s="76"/>
      <c r="H944" s="85"/>
      <c r="I944" s="59" t="e">
        <f>VLOOKUP(J944,'lista 3'!$A$1:$C$467,3,0)</f>
        <v>#N/A</v>
      </c>
      <c r="J944" s="78"/>
      <c r="K944" s="87"/>
      <c r="L944" s="82"/>
      <c r="M944" s="22"/>
      <c r="N944" s="22"/>
      <c r="O944" s="22"/>
      <c r="P944" s="26"/>
      <c r="Q944" s="26"/>
      <c r="R944" s="26"/>
      <c r="S944" s="47"/>
      <c r="T944" s="4" t="e">
        <f>VLOOKUP(#REF!,#REF!,2,0)</f>
        <v>#REF!</v>
      </c>
      <c r="U944" s="20" t="e">
        <f t="shared" si="41"/>
        <v>#REF!</v>
      </c>
      <c r="V944" s="47"/>
      <c r="W944" s="43"/>
      <c r="Y944" s="67" t="e">
        <f t="shared" si="42"/>
        <v>#N/A</v>
      </c>
    </row>
    <row r="945" spans="1:25" ht="13.65" customHeight="1">
      <c r="A945" s="92"/>
      <c r="B945" s="27"/>
      <c r="C945" s="28" t="e">
        <f>VLOOKUP(D945,'lista 1'!$A$2:$F$1802,4,0)</f>
        <v>#N/A</v>
      </c>
      <c r="D945" s="74"/>
      <c r="E945" s="27" t="e">
        <f>VLOOKUP(D945,'lista 1'!$A$2:$F$1802,5,0)</f>
        <v>#N/A</v>
      </c>
      <c r="F945" s="59" t="e">
        <f>VLOOKUP(G945,'lista 3'!$A$1:$C$467,3,0)</f>
        <v>#N/A</v>
      </c>
      <c r="G945" s="76"/>
      <c r="H945" s="85"/>
      <c r="I945" s="59" t="e">
        <f>VLOOKUP(J945,'lista 3'!$A$1:$C$467,3,0)</f>
        <v>#N/A</v>
      </c>
      <c r="J945" s="78"/>
      <c r="K945" s="87"/>
      <c r="L945" s="82"/>
      <c r="M945" s="22"/>
      <c r="N945" s="22"/>
      <c r="O945" s="22"/>
      <c r="P945" s="26"/>
      <c r="Q945" s="26"/>
      <c r="R945" s="26"/>
      <c r="S945" s="47"/>
      <c r="T945" s="4" t="e">
        <f>VLOOKUP(#REF!,#REF!,2,0)</f>
        <v>#REF!</v>
      </c>
      <c r="U945" s="20" t="e">
        <f t="shared" si="41"/>
        <v>#REF!</v>
      </c>
      <c r="V945" s="47"/>
      <c r="W945" s="43"/>
      <c r="Y945" s="67" t="e">
        <f t="shared" si="42"/>
        <v>#N/A</v>
      </c>
    </row>
    <row r="946" spans="1:25" ht="13.65" customHeight="1">
      <c r="A946" s="92"/>
      <c r="B946" s="27"/>
      <c r="C946" s="28" t="e">
        <f>VLOOKUP(D946,'lista 1'!$A$2:$F$1802,4,0)</f>
        <v>#N/A</v>
      </c>
      <c r="D946" s="74"/>
      <c r="E946" s="27" t="e">
        <f>VLOOKUP(D946,'lista 1'!$A$2:$F$1802,5,0)</f>
        <v>#N/A</v>
      </c>
      <c r="F946" s="59" t="e">
        <f>VLOOKUP(G946,'lista 3'!$A$1:$C$467,3,0)</f>
        <v>#N/A</v>
      </c>
      <c r="G946" s="76"/>
      <c r="H946" s="85"/>
      <c r="I946" s="59" t="e">
        <f>VLOOKUP(J946,'lista 3'!$A$1:$C$467,3,0)</f>
        <v>#N/A</v>
      </c>
      <c r="J946" s="78"/>
      <c r="K946" s="87"/>
      <c r="L946" s="82"/>
      <c r="M946" s="22"/>
      <c r="N946" s="22"/>
      <c r="O946" s="22"/>
      <c r="P946" s="26"/>
      <c r="Q946" s="26"/>
      <c r="R946" s="26"/>
      <c r="S946" s="47"/>
      <c r="T946" s="4" t="e">
        <f>VLOOKUP(#REF!,#REF!,2,0)</f>
        <v>#REF!</v>
      </c>
      <c r="U946" s="20" t="e">
        <f t="shared" si="41"/>
        <v>#REF!</v>
      </c>
      <c r="V946" s="47"/>
      <c r="W946" s="43"/>
      <c r="Y946" s="67" t="e">
        <f t="shared" si="42"/>
        <v>#N/A</v>
      </c>
    </row>
    <row r="947" spans="1:25" ht="13.65" customHeight="1">
      <c r="A947" s="92"/>
      <c r="B947" s="27"/>
      <c r="C947" s="28" t="e">
        <f>VLOOKUP(D947,'lista 1'!$A$2:$F$1802,4,0)</f>
        <v>#N/A</v>
      </c>
      <c r="D947" s="74"/>
      <c r="E947" s="27" t="e">
        <f>VLOOKUP(D947,'lista 1'!$A$2:$F$1802,5,0)</f>
        <v>#N/A</v>
      </c>
      <c r="F947" s="59" t="e">
        <f>VLOOKUP(G947,'lista 3'!$A$1:$C$467,3,0)</f>
        <v>#N/A</v>
      </c>
      <c r="G947" s="76"/>
      <c r="H947" s="85"/>
      <c r="I947" s="59" t="e">
        <f>VLOOKUP(J947,'lista 3'!$A$1:$C$467,3,0)</f>
        <v>#N/A</v>
      </c>
      <c r="J947" s="78"/>
      <c r="K947" s="87"/>
      <c r="L947" s="82"/>
      <c r="M947" s="22"/>
      <c r="N947" s="22"/>
      <c r="O947" s="22"/>
      <c r="P947" s="26"/>
      <c r="Q947" s="26"/>
      <c r="R947" s="26"/>
      <c r="S947" s="47"/>
      <c r="T947" s="4" t="e">
        <f>VLOOKUP(#REF!,#REF!,2,0)</f>
        <v>#REF!</v>
      </c>
      <c r="U947" s="20" t="e">
        <f t="shared" si="41"/>
        <v>#REF!</v>
      </c>
      <c r="V947" s="47"/>
      <c r="W947" s="43"/>
      <c r="Y947" s="67" t="e">
        <f t="shared" si="42"/>
        <v>#N/A</v>
      </c>
    </row>
    <row r="948" spans="1:25" ht="13.65" customHeight="1">
      <c r="A948" s="92"/>
      <c r="B948" s="27"/>
      <c r="C948" s="28" t="e">
        <f>VLOOKUP(D948,'lista 1'!$A$2:$F$1802,4,0)</f>
        <v>#N/A</v>
      </c>
      <c r="D948" s="74"/>
      <c r="E948" s="27" t="e">
        <f>VLOOKUP(D948,'lista 1'!$A$2:$F$1802,5,0)</f>
        <v>#N/A</v>
      </c>
      <c r="F948" s="59" t="e">
        <f>VLOOKUP(G948,'lista 3'!$A$1:$C$467,3,0)</f>
        <v>#N/A</v>
      </c>
      <c r="G948" s="76"/>
      <c r="H948" s="85"/>
      <c r="I948" s="59" t="e">
        <f>VLOOKUP(J948,'lista 3'!$A$1:$C$467,3,0)</f>
        <v>#N/A</v>
      </c>
      <c r="J948" s="78"/>
      <c r="K948" s="87"/>
      <c r="L948" s="82"/>
      <c r="M948" s="22"/>
      <c r="N948" s="22"/>
      <c r="O948" s="22"/>
      <c r="P948" s="26"/>
      <c r="Q948" s="26"/>
      <c r="R948" s="26"/>
      <c r="S948" s="47"/>
      <c r="T948" s="4" t="e">
        <f>VLOOKUP(#REF!,#REF!,2,0)</f>
        <v>#REF!</v>
      </c>
      <c r="U948" s="20" t="e">
        <f t="shared" si="41"/>
        <v>#REF!</v>
      </c>
      <c r="V948" s="47"/>
      <c r="W948" s="43"/>
      <c r="Y948" s="67" t="e">
        <f t="shared" si="42"/>
        <v>#N/A</v>
      </c>
    </row>
    <row r="949" spans="1:25" ht="13.65" customHeight="1">
      <c r="A949" s="92"/>
      <c r="B949" s="27"/>
      <c r="C949" s="28" t="e">
        <f>VLOOKUP(D949,'lista 1'!$A$2:$F$1802,4,0)</f>
        <v>#N/A</v>
      </c>
      <c r="D949" s="74"/>
      <c r="E949" s="27" t="e">
        <f>VLOOKUP(D949,'lista 1'!$A$2:$F$1802,5,0)</f>
        <v>#N/A</v>
      </c>
      <c r="F949" s="59" t="e">
        <f>VLOOKUP(G949,'lista 3'!$A$1:$C$467,3,0)</f>
        <v>#N/A</v>
      </c>
      <c r="G949" s="76"/>
      <c r="H949" s="85"/>
      <c r="I949" s="59" t="e">
        <f>VLOOKUP(J949,'lista 3'!$A$1:$C$467,3,0)</f>
        <v>#N/A</v>
      </c>
      <c r="J949" s="78"/>
      <c r="K949" s="87"/>
      <c r="L949" s="82"/>
      <c r="M949" s="22"/>
      <c r="N949" s="22"/>
      <c r="O949" s="22"/>
      <c r="P949" s="26"/>
      <c r="Q949" s="26"/>
      <c r="R949" s="26"/>
      <c r="S949" s="47"/>
      <c r="T949" s="4" t="e">
        <f>VLOOKUP(#REF!,#REF!,2,0)</f>
        <v>#REF!</v>
      </c>
      <c r="U949" s="20" t="e">
        <f t="shared" si="41"/>
        <v>#REF!</v>
      </c>
      <c r="V949" s="47"/>
      <c r="W949" s="43"/>
      <c r="Y949" s="67" t="e">
        <f t="shared" si="42"/>
        <v>#N/A</v>
      </c>
    </row>
    <row r="950" spans="1:25" ht="13.65" customHeight="1">
      <c r="A950" s="92"/>
      <c r="B950" s="27"/>
      <c r="C950" s="28" t="e">
        <f>VLOOKUP(D950,'lista 1'!$A$2:$F$1802,4,0)</f>
        <v>#N/A</v>
      </c>
      <c r="D950" s="74"/>
      <c r="E950" s="27" t="e">
        <f>VLOOKUP(D950,'lista 1'!$A$2:$F$1802,5,0)</f>
        <v>#N/A</v>
      </c>
      <c r="F950" s="59" t="e">
        <f>VLOOKUP(G950,'lista 3'!$A$1:$C$467,3,0)</f>
        <v>#N/A</v>
      </c>
      <c r="G950" s="76"/>
      <c r="H950" s="85"/>
      <c r="I950" s="59" t="e">
        <f>VLOOKUP(J950,'lista 3'!$A$1:$C$467,3,0)</f>
        <v>#N/A</v>
      </c>
      <c r="J950" s="78"/>
      <c r="K950" s="87"/>
      <c r="L950" s="82"/>
      <c r="M950" s="22"/>
      <c r="N950" s="22"/>
      <c r="O950" s="22"/>
      <c r="P950" s="26"/>
      <c r="Q950" s="26"/>
      <c r="R950" s="26"/>
      <c r="S950" s="47"/>
      <c r="T950" s="4" t="e">
        <f>VLOOKUP(#REF!,#REF!,2,0)</f>
        <v>#REF!</v>
      </c>
      <c r="U950" s="20" t="e">
        <f t="shared" si="41"/>
        <v>#REF!</v>
      </c>
      <c r="V950" s="47"/>
      <c r="W950" s="43"/>
      <c r="Y950" s="67" t="e">
        <f t="shared" si="42"/>
        <v>#N/A</v>
      </c>
    </row>
    <row r="951" spans="1:25" ht="13.65" customHeight="1">
      <c r="A951" s="92"/>
      <c r="B951" s="27"/>
      <c r="C951" s="28" t="e">
        <f>VLOOKUP(D951,'lista 1'!$A$2:$F$1802,4,0)</f>
        <v>#N/A</v>
      </c>
      <c r="D951" s="74"/>
      <c r="E951" s="27" t="e">
        <f>VLOOKUP(D951,'lista 1'!$A$2:$F$1802,5,0)</f>
        <v>#N/A</v>
      </c>
      <c r="F951" s="59" t="e">
        <f>VLOOKUP(G951,'lista 3'!$A$1:$C$467,3,0)</f>
        <v>#N/A</v>
      </c>
      <c r="G951" s="76"/>
      <c r="H951" s="85"/>
      <c r="I951" s="59" t="e">
        <f>VLOOKUP(J951,'lista 3'!$A$1:$C$467,3,0)</f>
        <v>#N/A</v>
      </c>
      <c r="J951" s="78"/>
      <c r="K951" s="87"/>
      <c r="L951" s="82"/>
      <c r="M951" s="22"/>
      <c r="N951" s="22"/>
      <c r="O951" s="22"/>
      <c r="P951" s="26"/>
      <c r="Q951" s="26"/>
      <c r="R951" s="26"/>
      <c r="S951" s="47"/>
      <c r="T951" s="4" t="e">
        <f>VLOOKUP(#REF!,#REF!,2,0)</f>
        <v>#REF!</v>
      </c>
      <c r="U951" s="20" t="e">
        <f t="shared" si="41"/>
        <v>#REF!</v>
      </c>
      <c r="V951" s="47"/>
      <c r="W951" s="43"/>
      <c r="Y951" s="67" t="e">
        <f t="shared" si="42"/>
        <v>#N/A</v>
      </c>
    </row>
    <row r="952" spans="1:25" ht="13.65" customHeight="1">
      <c r="A952" s="92"/>
      <c r="B952" s="27"/>
      <c r="C952" s="28" t="e">
        <f>VLOOKUP(D952,'lista 1'!$A$2:$F$1802,4,0)</f>
        <v>#N/A</v>
      </c>
      <c r="D952" s="74"/>
      <c r="E952" s="27" t="e">
        <f>VLOOKUP(D952,'lista 1'!$A$2:$F$1802,5,0)</f>
        <v>#N/A</v>
      </c>
      <c r="F952" s="59" t="e">
        <f>VLOOKUP(G952,'lista 3'!$A$1:$C$467,3,0)</f>
        <v>#N/A</v>
      </c>
      <c r="G952" s="76"/>
      <c r="H952" s="85"/>
      <c r="I952" s="59" t="e">
        <f>VLOOKUP(J952,'lista 3'!$A$1:$C$467,3,0)</f>
        <v>#N/A</v>
      </c>
      <c r="J952" s="78"/>
      <c r="K952" s="87"/>
      <c r="L952" s="82"/>
      <c r="M952" s="22"/>
      <c r="N952" s="22"/>
      <c r="O952" s="22"/>
      <c r="P952" s="26"/>
      <c r="Q952" s="26"/>
      <c r="R952" s="26"/>
      <c r="S952" s="47"/>
      <c r="T952" s="4" t="e">
        <f>VLOOKUP(#REF!,#REF!,2,0)</f>
        <v>#REF!</v>
      </c>
      <c r="U952" s="20" t="e">
        <f t="shared" si="41"/>
        <v>#REF!</v>
      </c>
      <c r="V952" s="47"/>
      <c r="W952" s="43"/>
      <c r="Y952" s="67" t="e">
        <f t="shared" si="42"/>
        <v>#N/A</v>
      </c>
    </row>
    <row r="953" spans="1:25" ht="13.65" customHeight="1">
      <c r="A953" s="92"/>
      <c r="B953" s="27"/>
      <c r="C953" s="28" t="e">
        <f>VLOOKUP(D953,'lista 1'!$A$2:$F$1802,4,0)</f>
        <v>#N/A</v>
      </c>
      <c r="D953" s="74"/>
      <c r="E953" s="27" t="e">
        <f>VLOOKUP(D953,'lista 1'!$A$2:$F$1802,5,0)</f>
        <v>#N/A</v>
      </c>
      <c r="F953" s="59" t="e">
        <f>VLOOKUP(G953,'lista 3'!$A$1:$C$467,3,0)</f>
        <v>#N/A</v>
      </c>
      <c r="G953" s="76"/>
      <c r="H953" s="85"/>
      <c r="I953" s="59" t="e">
        <f>VLOOKUP(J953,'lista 3'!$A$1:$C$467,3,0)</f>
        <v>#N/A</v>
      </c>
      <c r="J953" s="78"/>
      <c r="K953" s="87"/>
      <c r="L953" s="82"/>
      <c r="M953" s="22"/>
      <c r="N953" s="22"/>
      <c r="O953" s="22"/>
      <c r="P953" s="26"/>
      <c r="Q953" s="26"/>
      <c r="R953" s="26"/>
      <c r="S953" s="47"/>
      <c r="T953" s="4" t="e">
        <f>VLOOKUP(#REF!,#REF!,2,0)</f>
        <v>#REF!</v>
      </c>
      <c r="U953" s="20" t="e">
        <f t="shared" si="41"/>
        <v>#REF!</v>
      </c>
      <c r="V953" s="47"/>
      <c r="W953" s="43"/>
      <c r="Y953" s="67" t="e">
        <f t="shared" si="42"/>
        <v>#N/A</v>
      </c>
    </row>
    <row r="954" spans="1:25" ht="13.65" customHeight="1">
      <c r="A954" s="92"/>
      <c r="B954" s="27"/>
      <c r="C954" s="28" t="e">
        <f>VLOOKUP(D954,'lista 1'!$A$2:$F$1802,4,0)</f>
        <v>#N/A</v>
      </c>
      <c r="D954" s="74"/>
      <c r="E954" s="27" t="e">
        <f>VLOOKUP(D954,'lista 1'!$A$2:$F$1802,5,0)</f>
        <v>#N/A</v>
      </c>
      <c r="F954" s="59" t="e">
        <f>VLOOKUP(G954,'lista 3'!$A$1:$C$467,3,0)</f>
        <v>#N/A</v>
      </c>
      <c r="G954" s="76"/>
      <c r="H954" s="85"/>
      <c r="I954" s="59" t="e">
        <f>VLOOKUP(J954,'lista 3'!$A$1:$C$467,3,0)</f>
        <v>#N/A</v>
      </c>
      <c r="J954" s="78"/>
      <c r="K954" s="87"/>
      <c r="L954" s="82"/>
      <c r="M954" s="22"/>
      <c r="N954" s="22"/>
      <c r="O954" s="22"/>
      <c r="P954" s="26"/>
      <c r="Q954" s="26"/>
      <c r="R954" s="26"/>
      <c r="S954" s="47"/>
      <c r="T954" s="4" t="e">
        <f>VLOOKUP(#REF!,#REF!,2,0)</f>
        <v>#REF!</v>
      </c>
      <c r="U954" s="20" t="e">
        <f t="shared" si="41"/>
        <v>#REF!</v>
      </c>
      <c r="V954" s="47"/>
      <c r="W954" s="43"/>
      <c r="Y954" s="67" t="e">
        <f t="shared" si="42"/>
        <v>#N/A</v>
      </c>
    </row>
    <row r="955" spans="1:25" ht="13.65" customHeight="1">
      <c r="A955" s="92"/>
      <c r="B955" s="27"/>
      <c r="C955" s="28" t="e">
        <f>VLOOKUP(D955,'lista 1'!$A$2:$F$1802,4,0)</f>
        <v>#N/A</v>
      </c>
      <c r="D955" s="74"/>
      <c r="E955" s="27" t="e">
        <f>VLOOKUP(D955,'lista 1'!$A$2:$F$1802,5,0)</f>
        <v>#N/A</v>
      </c>
      <c r="F955" s="59" t="e">
        <f>VLOOKUP(G955,'lista 3'!$A$1:$C$467,3,0)</f>
        <v>#N/A</v>
      </c>
      <c r="G955" s="76"/>
      <c r="H955" s="85"/>
      <c r="I955" s="59" t="e">
        <f>VLOOKUP(J955,'lista 3'!$A$1:$C$467,3,0)</f>
        <v>#N/A</v>
      </c>
      <c r="J955" s="78"/>
      <c r="K955" s="87"/>
      <c r="L955" s="82"/>
      <c r="M955" s="22"/>
      <c r="N955" s="22"/>
      <c r="O955" s="22"/>
      <c r="P955" s="26"/>
      <c r="Q955" s="26"/>
      <c r="R955" s="26"/>
      <c r="S955" s="47"/>
      <c r="T955" s="4" t="e">
        <f>VLOOKUP(#REF!,#REF!,2,0)</f>
        <v>#REF!</v>
      </c>
      <c r="U955" s="20" t="e">
        <f t="shared" si="41"/>
        <v>#REF!</v>
      </c>
      <c r="V955" s="47"/>
      <c r="W955" s="43"/>
      <c r="Y955" s="67" t="e">
        <f t="shared" si="42"/>
        <v>#N/A</v>
      </c>
    </row>
    <row r="956" spans="1:25" ht="13.65" customHeight="1">
      <c r="A956" s="92"/>
      <c r="B956" s="27"/>
      <c r="C956" s="28" t="e">
        <f>VLOOKUP(D956,'lista 1'!$A$2:$F$1802,4,0)</f>
        <v>#N/A</v>
      </c>
      <c r="D956" s="74"/>
      <c r="E956" s="27" t="e">
        <f>VLOOKUP(D956,'lista 1'!$A$2:$F$1802,5,0)</f>
        <v>#N/A</v>
      </c>
      <c r="F956" s="59" t="e">
        <f>VLOOKUP(G956,'lista 3'!$A$1:$C$467,3,0)</f>
        <v>#N/A</v>
      </c>
      <c r="G956" s="76"/>
      <c r="H956" s="85"/>
      <c r="I956" s="59" t="e">
        <f>VLOOKUP(J956,'lista 3'!$A$1:$C$467,3,0)</f>
        <v>#N/A</v>
      </c>
      <c r="J956" s="78"/>
      <c r="K956" s="87"/>
      <c r="L956" s="82"/>
      <c r="M956" s="22"/>
      <c r="N956" s="22"/>
      <c r="O956" s="22"/>
      <c r="P956" s="26"/>
      <c r="Q956" s="26"/>
      <c r="R956" s="26"/>
      <c r="S956" s="47"/>
      <c r="T956" s="4" t="e">
        <f>VLOOKUP(#REF!,#REF!,2,0)</f>
        <v>#REF!</v>
      </c>
      <c r="U956" s="20" t="e">
        <f t="shared" si="41"/>
        <v>#REF!</v>
      </c>
      <c r="V956" s="47"/>
      <c r="W956" s="43"/>
      <c r="Y956" s="67" t="e">
        <f t="shared" si="42"/>
        <v>#N/A</v>
      </c>
    </row>
    <row r="957" spans="1:25" ht="13.65" customHeight="1">
      <c r="A957" s="92"/>
      <c r="B957" s="27"/>
      <c r="C957" s="28" t="e">
        <f>VLOOKUP(D957,'lista 1'!$A$2:$F$1802,4,0)</f>
        <v>#N/A</v>
      </c>
      <c r="D957" s="74"/>
      <c r="E957" s="27" t="e">
        <f>VLOOKUP(D957,'lista 1'!$A$2:$F$1802,5,0)</f>
        <v>#N/A</v>
      </c>
      <c r="F957" s="59" t="e">
        <f>VLOOKUP(G957,'lista 3'!$A$1:$C$467,3,0)</f>
        <v>#N/A</v>
      </c>
      <c r="G957" s="76"/>
      <c r="H957" s="85"/>
      <c r="I957" s="59" t="e">
        <f>VLOOKUP(J957,'lista 3'!$A$1:$C$467,3,0)</f>
        <v>#N/A</v>
      </c>
      <c r="J957" s="78"/>
      <c r="K957" s="87"/>
      <c r="L957" s="82"/>
      <c r="M957" s="22"/>
      <c r="N957" s="22"/>
      <c r="O957" s="22"/>
      <c r="P957" s="26"/>
      <c r="Q957" s="26"/>
      <c r="R957" s="26"/>
      <c r="S957" s="47"/>
      <c r="T957" s="4" t="e">
        <f>VLOOKUP(#REF!,#REF!,2,0)</f>
        <v>#REF!</v>
      </c>
      <c r="U957" s="20" t="e">
        <f t="shared" si="41"/>
        <v>#REF!</v>
      </c>
      <c r="V957" s="47"/>
      <c r="W957" s="43"/>
      <c r="Y957" s="67" t="e">
        <f t="shared" si="42"/>
        <v>#N/A</v>
      </c>
    </row>
    <row r="958" spans="1:25" ht="13.65" customHeight="1">
      <c r="A958" s="92"/>
      <c r="B958" s="27"/>
      <c r="C958" s="28" t="e">
        <f>VLOOKUP(D958,'lista 1'!$A$2:$F$1802,4,0)</f>
        <v>#N/A</v>
      </c>
      <c r="D958" s="74"/>
      <c r="E958" s="27" t="e">
        <f>VLOOKUP(D958,'lista 1'!$A$2:$F$1802,5,0)</f>
        <v>#N/A</v>
      </c>
      <c r="F958" s="59" t="e">
        <f>VLOOKUP(G958,'lista 3'!$A$1:$C$467,3,0)</f>
        <v>#N/A</v>
      </c>
      <c r="G958" s="76"/>
      <c r="H958" s="85"/>
      <c r="I958" s="59" t="e">
        <f>VLOOKUP(J958,'lista 3'!$A$1:$C$467,3,0)</f>
        <v>#N/A</v>
      </c>
      <c r="J958" s="78"/>
      <c r="K958" s="87"/>
      <c r="L958" s="82"/>
      <c r="M958" s="22"/>
      <c r="N958" s="22"/>
      <c r="O958" s="22"/>
      <c r="P958" s="26"/>
      <c r="Q958" s="26"/>
      <c r="R958" s="26"/>
      <c r="S958" s="47"/>
      <c r="T958" s="4" t="e">
        <f>VLOOKUP(#REF!,#REF!,2,0)</f>
        <v>#REF!</v>
      </c>
      <c r="U958" s="20" t="e">
        <f t="shared" si="41"/>
        <v>#REF!</v>
      </c>
      <c r="V958" s="47"/>
      <c r="W958" s="43"/>
      <c r="Y958" s="67" t="e">
        <f t="shared" si="42"/>
        <v>#N/A</v>
      </c>
    </row>
    <row r="959" spans="1:25" ht="13.65" customHeight="1">
      <c r="A959" s="92"/>
      <c r="B959" s="27"/>
      <c r="C959" s="28" t="e">
        <f>VLOOKUP(D959,'lista 1'!$A$2:$F$1802,4,0)</f>
        <v>#N/A</v>
      </c>
      <c r="D959" s="74"/>
      <c r="E959" s="27" t="e">
        <f>VLOOKUP(D959,'lista 1'!$A$2:$F$1802,5,0)</f>
        <v>#N/A</v>
      </c>
      <c r="F959" s="59" t="e">
        <f>VLOOKUP(G959,'lista 3'!$A$1:$C$467,3,0)</f>
        <v>#N/A</v>
      </c>
      <c r="G959" s="76"/>
      <c r="H959" s="85"/>
      <c r="I959" s="59" t="e">
        <f>VLOOKUP(J959,'lista 3'!$A$1:$C$467,3,0)</f>
        <v>#N/A</v>
      </c>
      <c r="J959" s="78"/>
      <c r="K959" s="87"/>
      <c r="L959" s="82"/>
      <c r="M959" s="22"/>
      <c r="N959" s="22"/>
      <c r="O959" s="22"/>
      <c r="P959" s="26"/>
      <c r="Q959" s="26"/>
      <c r="R959" s="26"/>
      <c r="S959" s="47"/>
      <c r="T959" s="4" t="e">
        <f>VLOOKUP(#REF!,#REF!,2,0)</f>
        <v>#REF!</v>
      </c>
      <c r="U959" s="20" t="e">
        <f t="shared" si="41"/>
        <v>#REF!</v>
      </c>
      <c r="V959" s="47"/>
      <c r="W959" s="43"/>
      <c r="Y959" s="67" t="e">
        <f t="shared" si="42"/>
        <v>#N/A</v>
      </c>
    </row>
    <row r="960" spans="1:25" ht="13.65" customHeight="1">
      <c r="A960" s="92"/>
      <c r="B960" s="27"/>
      <c r="C960" s="28" t="e">
        <f>VLOOKUP(D960,'lista 1'!$A$2:$F$1802,4,0)</f>
        <v>#N/A</v>
      </c>
      <c r="D960" s="74"/>
      <c r="E960" s="27" t="e">
        <f>VLOOKUP(D960,'lista 1'!$A$2:$F$1802,5,0)</f>
        <v>#N/A</v>
      </c>
      <c r="F960" s="59" t="e">
        <f>VLOOKUP(G960,'lista 3'!$A$1:$C$467,3,0)</f>
        <v>#N/A</v>
      </c>
      <c r="G960" s="76"/>
      <c r="H960" s="85"/>
      <c r="I960" s="59" t="e">
        <f>VLOOKUP(J960,'lista 3'!$A$1:$C$467,3,0)</f>
        <v>#N/A</v>
      </c>
      <c r="J960" s="78"/>
      <c r="K960" s="87"/>
      <c r="L960" s="82"/>
      <c r="M960" s="22"/>
      <c r="N960" s="22"/>
      <c r="O960" s="22"/>
      <c r="P960" s="26"/>
      <c r="Q960" s="26"/>
      <c r="R960" s="26"/>
      <c r="S960" s="47"/>
      <c r="T960" s="4" t="e">
        <f>VLOOKUP(#REF!,#REF!,2,0)</f>
        <v>#REF!</v>
      </c>
      <c r="U960" s="20" t="e">
        <f t="shared" si="41"/>
        <v>#REF!</v>
      </c>
      <c r="V960" s="47"/>
      <c r="W960" s="43"/>
      <c r="Y960" s="67" t="e">
        <f t="shared" si="42"/>
        <v>#N/A</v>
      </c>
    </row>
    <row r="961" spans="1:25" ht="13.65" customHeight="1">
      <c r="A961" s="92"/>
      <c r="B961" s="27"/>
      <c r="C961" s="28" t="e">
        <f>VLOOKUP(D961,'lista 1'!$A$2:$F$1802,4,0)</f>
        <v>#N/A</v>
      </c>
      <c r="D961" s="74"/>
      <c r="E961" s="27" t="e">
        <f>VLOOKUP(D961,'lista 1'!$A$2:$F$1802,5,0)</f>
        <v>#N/A</v>
      </c>
      <c r="F961" s="59" t="e">
        <f>VLOOKUP(G961,'lista 3'!$A$1:$C$467,3,0)</f>
        <v>#N/A</v>
      </c>
      <c r="G961" s="76"/>
      <c r="H961" s="85"/>
      <c r="I961" s="59" t="e">
        <f>VLOOKUP(J961,'lista 3'!$A$1:$C$467,3,0)</f>
        <v>#N/A</v>
      </c>
      <c r="J961" s="78"/>
      <c r="K961" s="87"/>
      <c r="L961" s="82"/>
      <c r="M961" s="22"/>
      <c r="N961" s="22"/>
      <c r="O961" s="22"/>
      <c r="P961" s="26"/>
      <c r="Q961" s="26"/>
      <c r="R961" s="26"/>
      <c r="S961" s="47"/>
      <c r="T961" s="4" t="e">
        <f>VLOOKUP(#REF!,#REF!,2,0)</f>
        <v>#REF!</v>
      </c>
      <c r="U961" s="20" t="e">
        <f t="shared" si="41"/>
        <v>#REF!</v>
      </c>
      <c r="V961" s="47"/>
      <c r="W961" s="43"/>
      <c r="Y961" s="67" t="e">
        <f t="shared" si="42"/>
        <v>#N/A</v>
      </c>
    </row>
    <row r="962" spans="1:25" ht="13.65" customHeight="1">
      <c r="A962" s="92"/>
      <c r="B962" s="27"/>
      <c r="C962" s="28" t="e">
        <f>VLOOKUP(D962,'lista 1'!$A$2:$F$1802,4,0)</f>
        <v>#N/A</v>
      </c>
      <c r="D962" s="74"/>
      <c r="E962" s="27" t="e">
        <f>VLOOKUP(D962,'lista 1'!$A$2:$F$1802,5,0)</f>
        <v>#N/A</v>
      </c>
      <c r="F962" s="59" t="e">
        <f>VLOOKUP(G962,'lista 3'!$A$1:$C$467,3,0)</f>
        <v>#N/A</v>
      </c>
      <c r="G962" s="76"/>
      <c r="H962" s="85"/>
      <c r="I962" s="59" t="e">
        <f>VLOOKUP(J962,'lista 3'!$A$1:$C$467,3,0)</f>
        <v>#N/A</v>
      </c>
      <c r="J962" s="78"/>
      <c r="K962" s="87"/>
      <c r="L962" s="82"/>
      <c r="M962" s="22"/>
      <c r="N962" s="22"/>
      <c r="O962" s="22"/>
      <c r="P962" s="26"/>
      <c r="Q962" s="26"/>
      <c r="R962" s="26"/>
      <c r="S962" s="47"/>
      <c r="T962" s="4" t="e">
        <f>VLOOKUP(#REF!,#REF!,2,0)</f>
        <v>#REF!</v>
      </c>
      <c r="U962" s="20" t="e">
        <f t="shared" si="41"/>
        <v>#REF!</v>
      </c>
      <c r="V962" s="47"/>
      <c r="W962" s="43"/>
      <c r="Y962" s="67" t="e">
        <f t="shared" si="42"/>
        <v>#N/A</v>
      </c>
    </row>
    <row r="963" spans="1:25" ht="13.65" customHeight="1">
      <c r="A963" s="92"/>
      <c r="B963" s="27"/>
      <c r="C963" s="28" t="e">
        <f>VLOOKUP(D963,'lista 1'!$A$2:$F$1802,4,0)</f>
        <v>#N/A</v>
      </c>
      <c r="D963" s="74"/>
      <c r="E963" s="27" t="e">
        <f>VLOOKUP(D963,'lista 1'!$A$2:$F$1802,5,0)</f>
        <v>#N/A</v>
      </c>
      <c r="F963" s="59" t="e">
        <f>VLOOKUP(G963,'lista 3'!$A$1:$C$467,3,0)</f>
        <v>#N/A</v>
      </c>
      <c r="G963" s="76"/>
      <c r="H963" s="85"/>
      <c r="I963" s="59" t="e">
        <f>VLOOKUP(J963,'lista 3'!$A$1:$C$467,3,0)</f>
        <v>#N/A</v>
      </c>
      <c r="J963" s="78"/>
      <c r="K963" s="87"/>
      <c r="L963" s="82"/>
      <c r="M963" s="22"/>
      <c r="N963" s="22"/>
      <c r="O963" s="22"/>
      <c r="P963" s="26"/>
      <c r="Q963" s="26"/>
      <c r="R963" s="26"/>
      <c r="S963" s="47"/>
      <c r="T963" s="4" t="e">
        <f>VLOOKUP(#REF!,#REF!,2,0)</f>
        <v>#REF!</v>
      </c>
      <c r="U963" s="20" t="e">
        <f t="shared" si="41"/>
        <v>#REF!</v>
      </c>
      <c r="V963" s="47"/>
      <c r="W963" s="43"/>
      <c r="Y963" s="67" t="e">
        <f t="shared" si="42"/>
        <v>#N/A</v>
      </c>
    </row>
    <row r="964" spans="1:25" ht="13.65" customHeight="1">
      <c r="A964" s="92"/>
      <c r="B964" s="27"/>
      <c r="C964" s="28" t="e">
        <f>VLOOKUP(D964,'lista 1'!$A$2:$F$1802,4,0)</f>
        <v>#N/A</v>
      </c>
      <c r="D964" s="74"/>
      <c r="E964" s="27" t="e">
        <f>VLOOKUP(D964,'lista 1'!$A$2:$F$1802,5,0)</f>
        <v>#N/A</v>
      </c>
      <c r="F964" s="59" t="e">
        <f>VLOOKUP(G964,'lista 3'!$A$1:$C$467,3,0)</f>
        <v>#N/A</v>
      </c>
      <c r="G964" s="76"/>
      <c r="H964" s="85"/>
      <c r="I964" s="59" t="e">
        <f>VLOOKUP(J964,'lista 3'!$A$1:$C$467,3,0)</f>
        <v>#N/A</v>
      </c>
      <c r="J964" s="78"/>
      <c r="K964" s="87"/>
      <c r="L964" s="82"/>
      <c r="M964" s="22"/>
      <c r="N964" s="22"/>
      <c r="O964" s="22"/>
      <c r="P964" s="26"/>
      <c r="Q964" s="26"/>
      <c r="R964" s="26"/>
      <c r="S964" s="47"/>
      <c r="T964" s="4" t="e">
        <f>VLOOKUP(#REF!,#REF!,2,0)</f>
        <v>#REF!</v>
      </c>
      <c r="U964" s="20" t="e">
        <f t="shared" si="41"/>
        <v>#REF!</v>
      </c>
      <c r="V964" s="47"/>
      <c r="W964" s="43"/>
      <c r="Y964" s="67" t="e">
        <f t="shared" si="42"/>
        <v>#N/A</v>
      </c>
    </row>
    <row r="965" spans="1:25" ht="13.65" customHeight="1">
      <c r="A965" s="92"/>
      <c r="B965" s="27"/>
      <c r="C965" s="28" t="e">
        <f>VLOOKUP(D965,'lista 1'!$A$2:$F$1802,4,0)</f>
        <v>#N/A</v>
      </c>
      <c r="D965" s="74"/>
      <c r="E965" s="27" t="e">
        <f>VLOOKUP(D965,'lista 1'!$A$2:$F$1802,5,0)</f>
        <v>#N/A</v>
      </c>
      <c r="F965" s="59" t="e">
        <f>VLOOKUP(G965,'lista 3'!$A$1:$C$467,3,0)</f>
        <v>#N/A</v>
      </c>
      <c r="G965" s="76"/>
      <c r="H965" s="85"/>
      <c r="I965" s="59" t="e">
        <f>VLOOKUP(J965,'lista 3'!$A$1:$C$467,3,0)</f>
        <v>#N/A</v>
      </c>
      <c r="J965" s="78"/>
      <c r="K965" s="87"/>
      <c r="L965" s="82"/>
      <c r="M965" s="22"/>
      <c r="N965" s="22"/>
      <c r="O965" s="22"/>
      <c r="P965" s="26"/>
      <c r="Q965" s="26"/>
      <c r="R965" s="26"/>
      <c r="S965" s="47"/>
      <c r="T965" s="4" t="e">
        <f>VLOOKUP(#REF!,#REF!,2,0)</f>
        <v>#REF!</v>
      </c>
      <c r="U965" s="20" t="e">
        <f t="shared" si="41"/>
        <v>#REF!</v>
      </c>
      <c r="V965" s="47"/>
      <c r="W965" s="43"/>
      <c r="Y965" s="67" t="e">
        <f t="shared" si="42"/>
        <v>#N/A</v>
      </c>
    </row>
    <row r="966" spans="1:25" ht="13.65" customHeight="1">
      <c r="A966" s="92"/>
      <c r="B966" s="27"/>
      <c r="C966" s="28" t="e">
        <f>VLOOKUP(D966,'lista 1'!$A$2:$F$1802,4,0)</f>
        <v>#N/A</v>
      </c>
      <c r="D966" s="74"/>
      <c r="E966" s="27" t="e">
        <f>VLOOKUP(D966,'lista 1'!$A$2:$F$1802,5,0)</f>
        <v>#N/A</v>
      </c>
      <c r="F966" s="59" t="e">
        <f>VLOOKUP(G966,'lista 3'!$A$1:$C$467,3,0)</f>
        <v>#N/A</v>
      </c>
      <c r="G966" s="76"/>
      <c r="H966" s="85"/>
      <c r="I966" s="59" t="e">
        <f>VLOOKUP(J966,'lista 3'!$A$1:$C$467,3,0)</f>
        <v>#N/A</v>
      </c>
      <c r="J966" s="78"/>
      <c r="K966" s="87"/>
      <c r="L966" s="82"/>
      <c r="M966" s="22"/>
      <c r="N966" s="22"/>
      <c r="O966" s="22"/>
      <c r="P966" s="26"/>
      <c r="Q966" s="26"/>
      <c r="R966" s="26"/>
      <c r="S966" s="47"/>
      <c r="T966" s="4" t="e">
        <f>VLOOKUP(#REF!,#REF!,2,0)</f>
        <v>#REF!</v>
      </c>
      <c r="U966" s="20" t="e">
        <f t="shared" si="41"/>
        <v>#REF!</v>
      </c>
      <c r="V966" s="47"/>
      <c r="W966" s="43"/>
      <c r="Y966" s="67" t="e">
        <f t="shared" si="42"/>
        <v>#N/A</v>
      </c>
    </row>
    <row r="967" spans="1:25" ht="13.65" customHeight="1">
      <c r="A967" s="92"/>
      <c r="B967" s="27"/>
      <c r="C967" s="28" t="e">
        <f>VLOOKUP(D967,'lista 1'!$A$2:$F$1802,4,0)</f>
        <v>#N/A</v>
      </c>
      <c r="D967" s="74"/>
      <c r="E967" s="27" t="e">
        <f>VLOOKUP(D967,'lista 1'!$A$2:$F$1802,5,0)</f>
        <v>#N/A</v>
      </c>
      <c r="F967" s="59" t="e">
        <f>VLOOKUP(G967,'lista 3'!$A$1:$C$467,3,0)</f>
        <v>#N/A</v>
      </c>
      <c r="G967" s="76"/>
      <c r="H967" s="85"/>
      <c r="I967" s="59" t="e">
        <f>VLOOKUP(J967,'lista 3'!$A$1:$C$467,3,0)</f>
        <v>#N/A</v>
      </c>
      <c r="J967" s="78"/>
      <c r="K967" s="87"/>
      <c r="L967" s="82"/>
      <c r="M967" s="22"/>
      <c r="N967" s="22"/>
      <c r="O967" s="22"/>
      <c r="P967" s="26"/>
      <c r="Q967" s="26"/>
      <c r="R967" s="26"/>
      <c r="S967" s="47"/>
      <c r="T967" s="4" t="e">
        <f>VLOOKUP(#REF!,#REF!,2,0)</f>
        <v>#REF!</v>
      </c>
      <c r="U967" s="20" t="e">
        <f t="shared" si="41"/>
        <v>#REF!</v>
      </c>
      <c r="V967" s="47"/>
      <c r="W967" s="43"/>
      <c r="Y967" s="67" t="e">
        <f t="shared" si="42"/>
        <v>#N/A</v>
      </c>
    </row>
    <row r="968" spans="1:25" ht="13.65" customHeight="1">
      <c r="A968" s="92"/>
      <c r="B968" s="27"/>
      <c r="C968" s="28" t="e">
        <f>VLOOKUP(D968,'lista 1'!$A$2:$F$1802,4,0)</f>
        <v>#N/A</v>
      </c>
      <c r="D968" s="74"/>
      <c r="E968" s="27" t="e">
        <f>VLOOKUP(D968,'lista 1'!$A$2:$F$1802,5,0)</f>
        <v>#N/A</v>
      </c>
      <c r="F968" s="59" t="e">
        <f>VLOOKUP(G968,'lista 3'!$A$1:$C$467,3,0)</f>
        <v>#N/A</v>
      </c>
      <c r="G968" s="76"/>
      <c r="H968" s="85"/>
      <c r="I968" s="59" t="e">
        <f>VLOOKUP(J968,'lista 3'!$A$1:$C$467,3,0)</f>
        <v>#N/A</v>
      </c>
      <c r="J968" s="78"/>
      <c r="K968" s="87"/>
      <c r="L968" s="82"/>
      <c r="M968" s="22"/>
      <c r="N968" s="22"/>
      <c r="O968" s="22"/>
      <c r="P968" s="26"/>
      <c r="Q968" s="26"/>
      <c r="R968" s="26"/>
      <c r="S968" s="47"/>
      <c r="T968" s="4" t="e">
        <f>VLOOKUP(#REF!,#REF!,2,0)</f>
        <v>#REF!</v>
      </c>
      <c r="U968" s="20" t="e">
        <f t="shared" si="41"/>
        <v>#REF!</v>
      </c>
      <c r="V968" s="47"/>
      <c r="W968" s="43"/>
      <c r="Y968" s="67" t="e">
        <f t="shared" si="42"/>
        <v>#N/A</v>
      </c>
    </row>
    <row r="969" spans="1:25" ht="13.65" customHeight="1">
      <c r="A969" s="92"/>
      <c r="B969" s="27"/>
      <c r="C969" s="28" t="e">
        <f>VLOOKUP(D969,'lista 1'!$A$2:$F$1802,4,0)</f>
        <v>#N/A</v>
      </c>
      <c r="D969" s="74"/>
      <c r="E969" s="27" t="e">
        <f>VLOOKUP(D969,'lista 1'!$A$2:$F$1802,5,0)</f>
        <v>#N/A</v>
      </c>
      <c r="F969" s="59" t="e">
        <f>VLOOKUP(G969,'lista 3'!$A$1:$C$467,3,0)</f>
        <v>#N/A</v>
      </c>
      <c r="G969" s="76"/>
      <c r="H969" s="85"/>
      <c r="I969" s="59" t="e">
        <f>VLOOKUP(J969,'lista 3'!$A$1:$C$467,3,0)</f>
        <v>#N/A</v>
      </c>
      <c r="J969" s="78"/>
      <c r="K969" s="87"/>
      <c r="L969" s="82"/>
      <c r="M969" s="22"/>
      <c r="N969" s="22"/>
      <c r="O969" s="22"/>
      <c r="P969" s="26"/>
      <c r="Q969" s="26"/>
      <c r="R969" s="26"/>
      <c r="S969" s="47"/>
      <c r="T969" s="4" t="e">
        <f>VLOOKUP(#REF!,#REF!,2,0)</f>
        <v>#REF!</v>
      </c>
      <c r="U969" s="20" t="e">
        <f t="shared" si="41"/>
        <v>#REF!</v>
      </c>
      <c r="V969" s="47"/>
      <c r="W969" s="43"/>
      <c r="Y969" s="67" t="e">
        <f t="shared" si="42"/>
        <v>#N/A</v>
      </c>
    </row>
    <row r="970" spans="1:25" ht="13.65" customHeight="1">
      <c r="A970" s="92"/>
      <c r="B970" s="27"/>
      <c r="C970" s="28" t="e">
        <f>VLOOKUP(D970,'lista 1'!$A$2:$F$1802,4,0)</f>
        <v>#N/A</v>
      </c>
      <c r="D970" s="74"/>
      <c r="E970" s="27" t="e">
        <f>VLOOKUP(D970,'lista 1'!$A$2:$F$1802,5,0)</f>
        <v>#N/A</v>
      </c>
      <c r="F970" s="59" t="e">
        <f>VLOOKUP(G970,'lista 3'!$A$1:$C$467,3,0)</f>
        <v>#N/A</v>
      </c>
      <c r="G970" s="76"/>
      <c r="H970" s="85"/>
      <c r="I970" s="59" t="e">
        <f>VLOOKUP(J970,'lista 3'!$A$1:$C$467,3,0)</f>
        <v>#N/A</v>
      </c>
      <c r="J970" s="78"/>
      <c r="K970" s="87"/>
      <c r="L970" s="82"/>
      <c r="M970" s="22"/>
      <c r="N970" s="22"/>
      <c r="O970" s="22"/>
      <c r="P970" s="26"/>
      <c r="Q970" s="26"/>
      <c r="R970" s="26"/>
      <c r="S970" s="47"/>
      <c r="T970" s="4" t="e">
        <f>VLOOKUP(#REF!,#REF!,2,0)</f>
        <v>#REF!</v>
      </c>
      <c r="U970" s="20" t="e">
        <f t="shared" si="41"/>
        <v>#REF!</v>
      </c>
      <c r="V970" s="47"/>
      <c r="W970" s="43"/>
      <c r="Y970" s="67" t="e">
        <f t="shared" si="42"/>
        <v>#N/A</v>
      </c>
    </row>
    <row r="971" spans="1:25" ht="13.65" customHeight="1">
      <c r="A971" s="92"/>
      <c r="B971" s="27"/>
      <c r="C971" s="28" t="e">
        <f>VLOOKUP(D971,'lista 1'!$A$2:$F$1802,4,0)</f>
        <v>#N/A</v>
      </c>
      <c r="D971" s="74"/>
      <c r="E971" s="27" t="e">
        <f>VLOOKUP(D971,'lista 1'!$A$2:$F$1802,5,0)</f>
        <v>#N/A</v>
      </c>
      <c r="F971" s="59" t="e">
        <f>VLOOKUP(G971,'lista 3'!$A$1:$C$467,3,0)</f>
        <v>#N/A</v>
      </c>
      <c r="G971" s="76"/>
      <c r="H971" s="85"/>
      <c r="I971" s="59" t="e">
        <f>VLOOKUP(J971,'lista 3'!$A$1:$C$467,3,0)</f>
        <v>#N/A</v>
      </c>
      <c r="J971" s="78"/>
      <c r="K971" s="87"/>
      <c r="L971" s="82"/>
      <c r="M971" s="22"/>
      <c r="N971" s="22"/>
      <c r="O971" s="22"/>
      <c r="P971" s="26"/>
      <c r="Q971" s="26"/>
      <c r="R971" s="26"/>
      <c r="S971" s="47"/>
      <c r="T971" s="4" t="e">
        <f>VLOOKUP(#REF!,#REF!,2,0)</f>
        <v>#REF!</v>
      </c>
      <c r="U971" s="20" t="e">
        <f t="shared" si="41"/>
        <v>#REF!</v>
      </c>
      <c r="V971" s="47"/>
      <c r="W971" s="43"/>
      <c r="Y971" s="67" t="e">
        <f t="shared" si="42"/>
        <v>#N/A</v>
      </c>
    </row>
    <row r="972" spans="1:25" ht="13.65" customHeight="1">
      <c r="A972" s="92"/>
      <c r="B972" s="27"/>
      <c r="C972" s="28" t="e">
        <f>VLOOKUP(D972,'lista 1'!$A$2:$F$1802,4,0)</f>
        <v>#N/A</v>
      </c>
      <c r="D972" s="74"/>
      <c r="E972" s="27" t="e">
        <f>VLOOKUP(D972,'lista 1'!$A$2:$F$1802,5,0)</f>
        <v>#N/A</v>
      </c>
      <c r="F972" s="59" t="e">
        <f>VLOOKUP(G972,'lista 3'!$A$1:$C$467,3,0)</f>
        <v>#N/A</v>
      </c>
      <c r="G972" s="76"/>
      <c r="H972" s="85"/>
      <c r="I972" s="59" t="e">
        <f>VLOOKUP(J972,'lista 3'!$A$1:$C$467,3,0)</f>
        <v>#N/A</v>
      </c>
      <c r="J972" s="78"/>
      <c r="K972" s="87"/>
      <c r="L972" s="82"/>
      <c r="M972" s="22"/>
      <c r="N972" s="22"/>
      <c r="O972" s="22"/>
      <c r="P972" s="26"/>
      <c r="Q972" s="26"/>
      <c r="R972" s="26"/>
      <c r="S972" s="47"/>
      <c r="T972" s="4" t="e">
        <f>VLOOKUP(#REF!,#REF!,2,0)</f>
        <v>#REF!</v>
      </c>
      <c r="U972" s="20" t="e">
        <f t="shared" si="41"/>
        <v>#REF!</v>
      </c>
      <c r="V972" s="47"/>
      <c r="W972" s="43"/>
      <c r="Y972" s="67" t="e">
        <f t="shared" si="42"/>
        <v>#N/A</v>
      </c>
    </row>
    <row r="973" spans="1:25" ht="13.65" customHeight="1">
      <c r="A973" s="92"/>
      <c r="B973" s="27"/>
      <c r="C973" s="28" t="e">
        <f>VLOOKUP(D973,'lista 1'!$A$2:$F$1802,4,0)</f>
        <v>#N/A</v>
      </c>
      <c r="D973" s="74"/>
      <c r="E973" s="27" t="e">
        <f>VLOOKUP(D973,'lista 1'!$A$2:$F$1802,5,0)</f>
        <v>#N/A</v>
      </c>
      <c r="F973" s="59" t="e">
        <f>VLOOKUP(G973,'lista 3'!$A$1:$C$467,3,0)</f>
        <v>#N/A</v>
      </c>
      <c r="G973" s="76"/>
      <c r="H973" s="85"/>
      <c r="I973" s="59" t="e">
        <f>VLOOKUP(J973,'lista 3'!$A$1:$C$467,3,0)</f>
        <v>#N/A</v>
      </c>
      <c r="J973" s="78"/>
      <c r="K973" s="87"/>
      <c r="L973" s="82"/>
      <c r="M973" s="22"/>
      <c r="N973" s="22"/>
      <c r="O973" s="22"/>
      <c r="P973" s="26"/>
      <c r="Q973" s="26"/>
      <c r="R973" s="26"/>
      <c r="S973" s="47"/>
      <c r="T973" s="4" t="e">
        <f>VLOOKUP(#REF!,#REF!,2,0)</f>
        <v>#REF!</v>
      </c>
      <c r="U973" s="20" t="e">
        <f t="shared" si="41"/>
        <v>#REF!</v>
      </c>
      <c r="V973" s="47"/>
      <c r="W973" s="43"/>
      <c r="Y973" s="67" t="e">
        <f t="shared" si="42"/>
        <v>#N/A</v>
      </c>
    </row>
    <row r="974" spans="1:25" ht="13.65" customHeight="1">
      <c r="A974" s="92"/>
      <c r="B974" s="27"/>
      <c r="C974" s="28" t="e">
        <f>VLOOKUP(D974,'lista 1'!$A$2:$F$1802,4,0)</f>
        <v>#N/A</v>
      </c>
      <c r="D974" s="74"/>
      <c r="E974" s="27" t="e">
        <f>VLOOKUP(D974,'lista 1'!$A$2:$F$1802,5,0)</f>
        <v>#N/A</v>
      </c>
      <c r="F974" s="59" t="e">
        <f>VLOOKUP(G974,'lista 3'!$A$1:$C$467,3,0)</f>
        <v>#N/A</v>
      </c>
      <c r="G974" s="76"/>
      <c r="H974" s="85"/>
      <c r="I974" s="59" t="e">
        <f>VLOOKUP(J974,'lista 3'!$A$1:$C$467,3,0)</f>
        <v>#N/A</v>
      </c>
      <c r="J974" s="78"/>
      <c r="K974" s="87"/>
      <c r="L974" s="82"/>
      <c r="M974" s="22"/>
      <c r="N974" s="22"/>
      <c r="O974" s="22"/>
      <c r="P974" s="26"/>
      <c r="Q974" s="26"/>
      <c r="R974" s="26"/>
      <c r="S974" s="47"/>
      <c r="T974" s="4" t="e">
        <f>VLOOKUP(#REF!,#REF!,2,0)</f>
        <v>#REF!</v>
      </c>
      <c r="U974" s="20" t="e">
        <f t="shared" si="41"/>
        <v>#REF!</v>
      </c>
      <c r="V974" s="47"/>
      <c r="W974" s="43"/>
      <c r="Y974" s="67" t="e">
        <f t="shared" si="42"/>
        <v>#N/A</v>
      </c>
    </row>
    <row r="975" spans="1:25" ht="13.65" customHeight="1">
      <c r="A975" s="92"/>
      <c r="B975" s="27"/>
      <c r="C975" s="28" t="e">
        <f>VLOOKUP(D975,'lista 1'!$A$2:$F$1802,4,0)</f>
        <v>#N/A</v>
      </c>
      <c r="D975" s="74"/>
      <c r="E975" s="27" t="e">
        <f>VLOOKUP(D975,'lista 1'!$A$2:$F$1802,5,0)</f>
        <v>#N/A</v>
      </c>
      <c r="F975" s="59" t="e">
        <f>VLOOKUP(G975,'lista 3'!$A$1:$C$467,3,0)</f>
        <v>#N/A</v>
      </c>
      <c r="G975" s="76"/>
      <c r="H975" s="85"/>
      <c r="I975" s="59" t="e">
        <f>VLOOKUP(J975,'lista 3'!$A$1:$C$467,3,0)</f>
        <v>#N/A</v>
      </c>
      <c r="J975" s="78"/>
      <c r="K975" s="87"/>
      <c r="L975" s="82"/>
      <c r="M975" s="22"/>
      <c r="N975" s="22"/>
      <c r="O975" s="22"/>
      <c r="P975" s="26"/>
      <c r="Q975" s="26"/>
      <c r="R975" s="26"/>
      <c r="S975" s="47"/>
      <c r="T975" s="4" t="e">
        <f>VLOOKUP(#REF!,#REF!,2,0)</f>
        <v>#REF!</v>
      </c>
      <c r="U975" s="20" t="e">
        <f t="shared" si="41"/>
        <v>#REF!</v>
      </c>
      <c r="V975" s="47"/>
      <c r="W975" s="43"/>
      <c r="Y975" s="67" t="e">
        <f t="shared" si="42"/>
        <v>#N/A</v>
      </c>
    </row>
    <row r="976" spans="1:25" ht="13.65" customHeight="1">
      <c r="A976" s="92"/>
      <c r="B976" s="27"/>
      <c r="C976" s="28" t="e">
        <f>VLOOKUP(D976,'lista 1'!$A$2:$F$1802,4,0)</f>
        <v>#N/A</v>
      </c>
      <c r="D976" s="74"/>
      <c r="E976" s="27" t="e">
        <f>VLOOKUP(D976,'lista 1'!$A$2:$F$1802,5,0)</f>
        <v>#N/A</v>
      </c>
      <c r="F976" s="59" t="e">
        <f>VLOOKUP(G976,'lista 3'!$A$1:$C$467,3,0)</f>
        <v>#N/A</v>
      </c>
      <c r="G976" s="76"/>
      <c r="H976" s="85"/>
      <c r="I976" s="59" t="e">
        <f>VLOOKUP(J976,'lista 3'!$A$1:$C$467,3,0)</f>
        <v>#N/A</v>
      </c>
      <c r="J976" s="78"/>
      <c r="K976" s="87"/>
      <c r="L976" s="82"/>
      <c r="M976" s="22"/>
      <c r="N976" s="22"/>
      <c r="O976" s="22"/>
      <c r="P976" s="26"/>
      <c r="Q976" s="26"/>
      <c r="R976" s="26"/>
      <c r="S976" s="47"/>
      <c r="T976" s="4" t="e">
        <f>VLOOKUP(#REF!,#REF!,2,0)</f>
        <v>#REF!</v>
      </c>
      <c r="U976" s="20" t="e">
        <f t="shared" si="41"/>
        <v>#REF!</v>
      </c>
      <c r="V976" s="47"/>
      <c r="W976" s="43"/>
      <c r="Y976" s="67" t="e">
        <f t="shared" si="42"/>
        <v>#N/A</v>
      </c>
    </row>
    <row r="977" spans="1:25" ht="13.65" customHeight="1">
      <c r="A977" s="92"/>
      <c r="B977" s="27"/>
      <c r="C977" s="28" t="e">
        <f>VLOOKUP(D977,'lista 1'!$A$2:$F$1802,4,0)</f>
        <v>#N/A</v>
      </c>
      <c r="D977" s="74"/>
      <c r="E977" s="27" t="e">
        <f>VLOOKUP(D977,'lista 1'!$A$2:$F$1802,5,0)</f>
        <v>#N/A</v>
      </c>
      <c r="F977" s="59" t="e">
        <f>VLOOKUP(G977,'lista 3'!$A$1:$C$467,3,0)</f>
        <v>#N/A</v>
      </c>
      <c r="G977" s="76"/>
      <c r="H977" s="85"/>
      <c r="I977" s="59" t="e">
        <f>VLOOKUP(J977,'lista 3'!$A$1:$C$467,3,0)</f>
        <v>#N/A</v>
      </c>
      <c r="J977" s="78"/>
      <c r="K977" s="87"/>
      <c r="L977" s="82"/>
      <c r="M977" s="22"/>
      <c r="N977" s="22"/>
      <c r="O977" s="22"/>
      <c r="P977" s="26"/>
      <c r="Q977" s="26"/>
      <c r="R977" s="26"/>
      <c r="S977" s="47"/>
      <c r="T977" s="4" t="e">
        <f>VLOOKUP(#REF!,#REF!,2,0)</f>
        <v>#REF!</v>
      </c>
      <c r="U977" s="20" t="e">
        <f t="shared" si="41"/>
        <v>#REF!</v>
      </c>
      <c r="V977" s="47"/>
      <c r="W977" s="43"/>
      <c r="Y977" s="67" t="e">
        <f t="shared" si="42"/>
        <v>#N/A</v>
      </c>
    </row>
    <row r="978" spans="1:25" ht="13.65" customHeight="1">
      <c r="A978" s="92"/>
      <c r="B978" s="27"/>
      <c r="C978" s="28" t="e">
        <f>VLOOKUP(D978,'lista 1'!$A$2:$F$1802,4,0)</f>
        <v>#N/A</v>
      </c>
      <c r="D978" s="74"/>
      <c r="E978" s="27" t="e">
        <f>VLOOKUP(D978,'lista 1'!$A$2:$F$1802,5,0)</f>
        <v>#N/A</v>
      </c>
      <c r="F978" s="59" t="e">
        <f>VLOOKUP(G978,'lista 3'!$A$1:$C$467,3,0)</f>
        <v>#N/A</v>
      </c>
      <c r="G978" s="76"/>
      <c r="H978" s="85"/>
      <c r="I978" s="59" t="e">
        <f>VLOOKUP(J978,'lista 3'!$A$1:$C$467,3,0)</f>
        <v>#N/A</v>
      </c>
      <c r="J978" s="78"/>
      <c r="K978" s="87"/>
      <c r="L978" s="82"/>
      <c r="M978" s="22"/>
      <c r="N978" s="22"/>
      <c r="O978" s="22"/>
      <c r="P978" s="26"/>
      <c r="Q978" s="26"/>
      <c r="R978" s="26"/>
      <c r="S978" s="47"/>
      <c r="T978" s="4" t="e">
        <f>VLOOKUP(#REF!,#REF!,2,0)</f>
        <v>#REF!</v>
      </c>
      <c r="U978" s="20" t="e">
        <f t="shared" si="41"/>
        <v>#REF!</v>
      </c>
      <c r="V978" s="47"/>
      <c r="W978" s="43"/>
      <c r="Y978" s="67" t="e">
        <f t="shared" si="42"/>
        <v>#N/A</v>
      </c>
    </row>
    <row r="979" spans="1:25" ht="13.65" customHeight="1">
      <c r="A979" s="92"/>
      <c r="B979" s="27"/>
      <c r="C979" s="28" t="e">
        <f>VLOOKUP(D979,'lista 1'!$A$2:$F$1802,4,0)</f>
        <v>#N/A</v>
      </c>
      <c r="D979" s="74"/>
      <c r="E979" s="27" t="e">
        <f>VLOOKUP(D979,'lista 1'!$A$2:$F$1802,5,0)</f>
        <v>#N/A</v>
      </c>
      <c r="F979" s="59" t="e">
        <f>VLOOKUP(G979,'lista 3'!$A$1:$C$467,3,0)</f>
        <v>#N/A</v>
      </c>
      <c r="G979" s="76"/>
      <c r="H979" s="85"/>
      <c r="I979" s="59" t="e">
        <f>VLOOKUP(J979,'lista 3'!$A$1:$C$467,3,0)</f>
        <v>#N/A</v>
      </c>
      <c r="J979" s="78"/>
      <c r="K979" s="87"/>
      <c r="L979" s="82"/>
      <c r="M979" s="22"/>
      <c r="N979" s="22"/>
      <c r="O979" s="22"/>
      <c r="P979" s="26"/>
      <c r="Q979" s="26"/>
      <c r="R979" s="26"/>
      <c r="S979" s="47"/>
      <c r="T979" s="4" t="e">
        <f>VLOOKUP(#REF!,#REF!,2,0)</f>
        <v>#REF!</v>
      </c>
      <c r="U979" s="20" t="e">
        <f t="shared" si="41"/>
        <v>#REF!</v>
      </c>
      <c r="V979" s="47"/>
      <c r="W979" s="43"/>
      <c r="Y979" s="67" t="e">
        <f t="shared" si="42"/>
        <v>#N/A</v>
      </c>
    </row>
    <row r="980" spans="1:25" ht="13.65" customHeight="1">
      <c r="A980" s="92"/>
      <c r="B980" s="27"/>
      <c r="C980" s="28" t="e">
        <f>VLOOKUP(D980,'lista 1'!$A$2:$F$1802,4,0)</f>
        <v>#N/A</v>
      </c>
      <c r="D980" s="74"/>
      <c r="E980" s="27" t="e">
        <f>VLOOKUP(D980,'lista 1'!$A$2:$F$1802,5,0)</f>
        <v>#N/A</v>
      </c>
      <c r="F980" s="59" t="e">
        <f>VLOOKUP(G980,'lista 3'!$A$1:$C$467,3,0)</f>
        <v>#N/A</v>
      </c>
      <c r="G980" s="76"/>
      <c r="H980" s="85"/>
      <c r="I980" s="59" t="e">
        <f>VLOOKUP(J980,'lista 3'!$A$1:$C$467,3,0)</f>
        <v>#N/A</v>
      </c>
      <c r="J980" s="78"/>
      <c r="K980" s="87"/>
      <c r="L980" s="82"/>
      <c r="M980" s="22"/>
      <c r="N980" s="22"/>
      <c r="O980" s="22"/>
      <c r="P980" s="26"/>
      <c r="Q980" s="26"/>
      <c r="R980" s="26"/>
      <c r="S980" s="47"/>
      <c r="T980" s="4" t="e">
        <f>VLOOKUP(#REF!,#REF!,2,0)</f>
        <v>#REF!</v>
      </c>
      <c r="U980" s="20" t="e">
        <f t="shared" si="41"/>
        <v>#REF!</v>
      </c>
      <c r="V980" s="47"/>
      <c r="W980" s="43"/>
      <c r="Y980" s="67" t="e">
        <f t="shared" si="42"/>
        <v>#N/A</v>
      </c>
    </row>
    <row r="981" spans="1:25" ht="13.65" customHeight="1">
      <c r="A981" s="92"/>
      <c r="B981" s="27"/>
      <c r="C981" s="28" t="e">
        <f>VLOOKUP(D981,'lista 1'!$A$2:$F$1802,4,0)</f>
        <v>#N/A</v>
      </c>
      <c r="D981" s="74"/>
      <c r="E981" s="27" t="e">
        <f>VLOOKUP(D981,'lista 1'!$A$2:$F$1802,5,0)</f>
        <v>#N/A</v>
      </c>
      <c r="F981" s="59" t="e">
        <f>VLOOKUP(G981,'lista 3'!$A$1:$C$467,3,0)</f>
        <v>#N/A</v>
      </c>
      <c r="G981" s="76"/>
      <c r="H981" s="85"/>
      <c r="I981" s="59" t="e">
        <f>VLOOKUP(J981,'lista 3'!$A$1:$C$467,3,0)</f>
        <v>#N/A</v>
      </c>
      <c r="J981" s="78"/>
      <c r="K981" s="87"/>
      <c r="L981" s="82"/>
      <c r="M981" s="22"/>
      <c r="N981" s="22"/>
      <c r="O981" s="22"/>
      <c r="P981" s="26"/>
      <c r="Q981" s="26"/>
      <c r="R981" s="26"/>
      <c r="S981" s="47"/>
      <c r="T981" s="4" t="e">
        <f>VLOOKUP(#REF!,#REF!,2,0)</f>
        <v>#REF!</v>
      </c>
      <c r="U981" s="20" t="e">
        <f t="shared" si="41"/>
        <v>#REF!</v>
      </c>
      <c r="V981" s="47"/>
      <c r="W981" s="43"/>
      <c r="Y981" s="67" t="e">
        <f t="shared" si="42"/>
        <v>#N/A</v>
      </c>
    </row>
    <row r="982" spans="1:25" ht="13.65" customHeight="1">
      <c r="A982" s="92"/>
      <c r="B982" s="27"/>
      <c r="C982" s="28" t="e">
        <f>VLOOKUP(D982,'lista 1'!$A$2:$F$1802,4,0)</f>
        <v>#N/A</v>
      </c>
      <c r="D982" s="74"/>
      <c r="E982" s="27" t="e">
        <f>VLOOKUP(D982,'lista 1'!$A$2:$F$1802,5,0)</f>
        <v>#N/A</v>
      </c>
      <c r="F982" s="59" t="e">
        <f>VLOOKUP(G982,'lista 3'!$A$1:$C$467,3,0)</f>
        <v>#N/A</v>
      </c>
      <c r="G982" s="76"/>
      <c r="H982" s="85"/>
      <c r="I982" s="59" t="e">
        <f>VLOOKUP(J982,'lista 3'!$A$1:$C$467,3,0)</f>
        <v>#N/A</v>
      </c>
      <c r="J982" s="78"/>
      <c r="K982" s="87"/>
      <c r="L982" s="82"/>
      <c r="M982" s="22"/>
      <c r="N982" s="22"/>
      <c r="O982" s="22"/>
      <c r="P982" s="26"/>
      <c r="Q982" s="26"/>
      <c r="R982" s="26"/>
      <c r="S982" s="47"/>
      <c r="T982" s="4" t="e">
        <f>VLOOKUP(#REF!,#REF!,2,0)</f>
        <v>#REF!</v>
      </c>
      <c r="U982" s="20" t="e">
        <f t="shared" si="41"/>
        <v>#REF!</v>
      </c>
      <c r="V982" s="47"/>
      <c r="W982" s="43"/>
      <c r="Y982" s="67" t="e">
        <f t="shared" si="42"/>
        <v>#N/A</v>
      </c>
    </row>
    <row r="983" spans="1:25" ht="13.65" customHeight="1">
      <c r="A983" s="92"/>
      <c r="B983" s="27"/>
      <c r="C983" s="28" t="e">
        <f>VLOOKUP(D983,'lista 1'!$A$2:$F$1802,4,0)</f>
        <v>#N/A</v>
      </c>
      <c r="D983" s="74"/>
      <c r="E983" s="27" t="e">
        <f>VLOOKUP(D983,'lista 1'!$A$2:$F$1802,5,0)</f>
        <v>#N/A</v>
      </c>
      <c r="F983" s="59" t="e">
        <f>VLOOKUP(G983,'lista 3'!$A$1:$C$467,3,0)</f>
        <v>#N/A</v>
      </c>
      <c r="G983" s="76"/>
      <c r="H983" s="85"/>
      <c r="I983" s="59" t="e">
        <f>VLOOKUP(J983,'lista 3'!$A$1:$C$467,3,0)</f>
        <v>#N/A</v>
      </c>
      <c r="J983" s="78"/>
      <c r="K983" s="87"/>
      <c r="L983" s="82"/>
      <c r="M983" s="22"/>
      <c r="N983" s="22"/>
      <c r="O983" s="22"/>
      <c r="P983" s="26"/>
      <c r="Q983" s="26"/>
      <c r="R983" s="26"/>
      <c r="S983" s="47"/>
      <c r="T983" s="4" t="e">
        <f>VLOOKUP(#REF!,#REF!,2,0)</f>
        <v>#REF!</v>
      </c>
      <c r="U983" s="20" t="e">
        <f t="shared" si="41"/>
        <v>#REF!</v>
      </c>
      <c r="V983" s="47"/>
      <c r="W983" s="43"/>
      <c r="Y983" s="67" t="e">
        <f t="shared" si="42"/>
        <v>#N/A</v>
      </c>
    </row>
    <row r="984" spans="1:25" ht="13.65" customHeight="1">
      <c r="A984" s="92"/>
      <c r="B984" s="27"/>
      <c r="C984" s="28" t="e">
        <f>VLOOKUP(D984,'lista 1'!$A$2:$F$1802,4,0)</f>
        <v>#N/A</v>
      </c>
      <c r="D984" s="74"/>
      <c r="E984" s="27" t="e">
        <f>VLOOKUP(D984,'lista 1'!$A$2:$F$1802,5,0)</f>
        <v>#N/A</v>
      </c>
      <c r="F984" s="59" t="e">
        <f>VLOOKUP(G984,'lista 3'!$A$1:$C$467,3,0)</f>
        <v>#N/A</v>
      </c>
      <c r="G984" s="76"/>
      <c r="H984" s="85"/>
      <c r="I984" s="59" t="e">
        <f>VLOOKUP(J984,'lista 3'!$A$1:$C$467,3,0)</f>
        <v>#N/A</v>
      </c>
      <c r="J984" s="78"/>
      <c r="K984" s="87"/>
      <c r="L984" s="82"/>
      <c r="M984" s="22"/>
      <c r="N984" s="22"/>
      <c r="O984" s="22"/>
      <c r="P984" s="26"/>
      <c r="Q984" s="26"/>
      <c r="R984" s="26"/>
      <c r="S984" s="47"/>
      <c r="T984" s="4" t="e">
        <f>VLOOKUP(#REF!,#REF!,2,0)</f>
        <v>#REF!</v>
      </c>
      <c r="U984" s="20" t="e">
        <f t="shared" si="41"/>
        <v>#REF!</v>
      </c>
      <c r="V984" s="47"/>
      <c r="W984" s="43"/>
      <c r="Y984" s="67" t="e">
        <f t="shared" si="42"/>
        <v>#N/A</v>
      </c>
    </row>
    <row r="985" spans="1:25" ht="13.65" customHeight="1">
      <c r="A985" s="92"/>
      <c r="B985" s="27"/>
      <c r="C985" s="28" t="e">
        <f>VLOOKUP(D985,'lista 1'!$A$2:$F$1802,4,0)</f>
        <v>#N/A</v>
      </c>
      <c r="D985" s="74"/>
      <c r="E985" s="27" t="e">
        <f>VLOOKUP(D985,'lista 1'!$A$2:$F$1802,5,0)</f>
        <v>#N/A</v>
      </c>
      <c r="F985" s="59" t="e">
        <f>VLOOKUP(G985,'lista 3'!$A$1:$C$467,3,0)</f>
        <v>#N/A</v>
      </c>
      <c r="G985" s="76"/>
      <c r="H985" s="85"/>
      <c r="I985" s="59" t="e">
        <f>VLOOKUP(J985,'lista 3'!$A$1:$C$467,3,0)</f>
        <v>#N/A</v>
      </c>
      <c r="J985" s="78"/>
      <c r="K985" s="87"/>
      <c r="L985" s="82"/>
      <c r="M985" s="22"/>
      <c r="N985" s="22"/>
      <c r="O985" s="22"/>
      <c r="P985" s="26"/>
      <c r="Q985" s="26"/>
      <c r="R985" s="26"/>
      <c r="S985" s="47"/>
      <c r="T985" s="4" t="e">
        <f>VLOOKUP(#REF!,#REF!,2,0)</f>
        <v>#REF!</v>
      </c>
      <c r="U985" s="20" t="e">
        <f t="shared" si="41"/>
        <v>#REF!</v>
      </c>
      <c r="V985" s="47"/>
      <c r="W985" s="43"/>
      <c r="Y985" s="67" t="e">
        <f t="shared" si="42"/>
        <v>#N/A</v>
      </c>
    </row>
    <row r="986" spans="1:25" ht="13.65" customHeight="1">
      <c r="A986" s="92"/>
      <c r="B986" s="27"/>
      <c r="C986" s="28" t="e">
        <f>VLOOKUP(D986,'lista 1'!$A$2:$F$1802,4,0)</f>
        <v>#N/A</v>
      </c>
      <c r="D986" s="74"/>
      <c r="E986" s="27" t="e">
        <f>VLOOKUP(D986,'lista 1'!$A$2:$F$1802,5,0)</f>
        <v>#N/A</v>
      </c>
      <c r="F986" s="59" t="e">
        <f>VLOOKUP(G986,'lista 3'!$A$1:$C$467,3,0)</f>
        <v>#N/A</v>
      </c>
      <c r="G986" s="76"/>
      <c r="H986" s="85"/>
      <c r="I986" s="59" t="e">
        <f>VLOOKUP(J986,'lista 3'!$A$1:$C$467,3,0)</f>
        <v>#N/A</v>
      </c>
      <c r="J986" s="78"/>
      <c r="K986" s="87"/>
      <c r="L986" s="82"/>
      <c r="M986" s="22"/>
      <c r="N986" s="22"/>
      <c r="O986" s="22"/>
      <c r="P986" s="26"/>
      <c r="Q986" s="26"/>
      <c r="R986" s="26"/>
      <c r="S986" s="47"/>
      <c r="T986" s="4" t="e">
        <f>VLOOKUP(#REF!,#REF!,2,0)</f>
        <v>#REF!</v>
      </c>
      <c r="U986" s="20" t="e">
        <f t="shared" si="41"/>
        <v>#REF!</v>
      </c>
      <c r="V986" s="47"/>
      <c r="W986" s="43"/>
      <c r="Y986" s="67" t="e">
        <f t="shared" si="42"/>
        <v>#N/A</v>
      </c>
    </row>
    <row r="987" spans="1:25" ht="13.65" customHeight="1">
      <c r="A987" s="92"/>
      <c r="B987" s="27"/>
      <c r="C987" s="28" t="e">
        <f>VLOOKUP(D987,'lista 1'!$A$2:$F$1802,4,0)</f>
        <v>#N/A</v>
      </c>
      <c r="D987" s="74"/>
      <c r="E987" s="27" t="e">
        <f>VLOOKUP(D987,'lista 1'!$A$2:$F$1802,5,0)</f>
        <v>#N/A</v>
      </c>
      <c r="F987" s="59" t="e">
        <f>VLOOKUP(G987,'lista 3'!$A$1:$C$467,3,0)</f>
        <v>#N/A</v>
      </c>
      <c r="G987" s="76"/>
      <c r="H987" s="85"/>
      <c r="I987" s="59" t="e">
        <f>VLOOKUP(J987,'lista 3'!$A$1:$C$467,3,0)</f>
        <v>#N/A</v>
      </c>
      <c r="J987" s="78"/>
      <c r="K987" s="87"/>
      <c r="L987" s="82"/>
      <c r="M987" s="22"/>
      <c r="N987" s="22"/>
      <c r="O987" s="22"/>
      <c r="P987" s="26"/>
      <c r="Q987" s="26"/>
      <c r="R987" s="26"/>
      <c r="S987" s="47"/>
      <c r="T987" s="4" t="e">
        <f>VLOOKUP(#REF!,#REF!,2,0)</f>
        <v>#REF!</v>
      </c>
      <c r="U987" s="20" t="e">
        <f t="shared" si="41"/>
        <v>#REF!</v>
      </c>
      <c r="V987" s="47"/>
      <c r="W987" s="43"/>
      <c r="Y987" s="67" t="e">
        <f t="shared" si="42"/>
        <v>#N/A</v>
      </c>
    </row>
    <row r="988" spans="1:25" ht="13.65" customHeight="1">
      <c r="A988" s="92"/>
      <c r="B988" s="27"/>
      <c r="C988" s="28" t="e">
        <f>VLOOKUP(D988,'lista 1'!$A$2:$F$1802,4,0)</f>
        <v>#N/A</v>
      </c>
      <c r="D988" s="74"/>
      <c r="E988" s="27" t="e">
        <f>VLOOKUP(D988,'lista 1'!$A$2:$F$1802,5,0)</f>
        <v>#N/A</v>
      </c>
      <c r="F988" s="59" t="e">
        <f>VLOOKUP(G988,'lista 3'!$A$1:$C$467,3,0)</f>
        <v>#N/A</v>
      </c>
      <c r="G988" s="76"/>
      <c r="H988" s="85"/>
      <c r="I988" s="59" t="e">
        <f>VLOOKUP(J988,'lista 3'!$A$1:$C$467,3,0)</f>
        <v>#N/A</v>
      </c>
      <c r="J988" s="78"/>
      <c r="K988" s="87"/>
      <c r="L988" s="82"/>
      <c r="M988" s="22"/>
      <c r="N988" s="22"/>
      <c r="O988" s="22"/>
      <c r="P988" s="26"/>
      <c r="Q988" s="26"/>
      <c r="R988" s="26"/>
      <c r="S988" s="47"/>
      <c r="T988" s="4" t="e">
        <f>VLOOKUP(#REF!,#REF!,2,0)</f>
        <v>#REF!</v>
      </c>
      <c r="U988" s="20" t="e">
        <f t="shared" ref="U988:U1051" si="43">L988-T988</f>
        <v>#REF!</v>
      </c>
      <c r="V988" s="47"/>
      <c r="W988" s="43"/>
      <c r="Y988" s="67" t="e">
        <f t="shared" si="42"/>
        <v>#N/A</v>
      </c>
    </row>
    <row r="989" spans="1:25" ht="13.65" customHeight="1">
      <c r="A989" s="92"/>
      <c r="B989" s="27"/>
      <c r="C989" s="28" t="e">
        <f>VLOOKUP(D989,'lista 1'!$A$2:$F$1802,4,0)</f>
        <v>#N/A</v>
      </c>
      <c r="D989" s="74"/>
      <c r="E989" s="27" t="e">
        <f>VLOOKUP(D989,'lista 1'!$A$2:$F$1802,5,0)</f>
        <v>#N/A</v>
      </c>
      <c r="F989" s="59" t="e">
        <f>VLOOKUP(G989,'lista 3'!$A$1:$C$467,3,0)</f>
        <v>#N/A</v>
      </c>
      <c r="G989" s="76"/>
      <c r="H989" s="85"/>
      <c r="I989" s="59" t="e">
        <f>VLOOKUP(J989,'lista 3'!$A$1:$C$467,3,0)</f>
        <v>#N/A</v>
      </c>
      <c r="J989" s="78"/>
      <c r="K989" s="87"/>
      <c r="L989" s="82"/>
      <c r="M989" s="22"/>
      <c r="N989" s="22"/>
      <c r="O989" s="22"/>
      <c r="P989" s="26"/>
      <c r="Q989" s="26"/>
      <c r="R989" s="26"/>
      <c r="S989" s="47"/>
      <c r="T989" s="4" t="e">
        <f>VLOOKUP(#REF!,#REF!,2,0)</f>
        <v>#REF!</v>
      </c>
      <c r="U989" s="20" t="e">
        <f t="shared" si="43"/>
        <v>#REF!</v>
      </c>
      <c r="V989" s="47"/>
      <c r="W989" s="43"/>
      <c r="Y989" s="67" t="e">
        <f t="shared" si="42"/>
        <v>#N/A</v>
      </c>
    </row>
    <row r="990" spans="1:25" ht="13.65" customHeight="1">
      <c r="A990" s="92"/>
      <c r="B990" s="27"/>
      <c r="C990" s="28" t="e">
        <f>VLOOKUP(D990,'lista 1'!$A$2:$F$1802,4,0)</f>
        <v>#N/A</v>
      </c>
      <c r="D990" s="74"/>
      <c r="E990" s="27" t="e">
        <f>VLOOKUP(D990,'lista 1'!$A$2:$F$1802,5,0)</f>
        <v>#N/A</v>
      </c>
      <c r="F990" s="59" t="e">
        <f>VLOOKUP(G990,'lista 3'!$A$1:$C$467,3,0)</f>
        <v>#N/A</v>
      </c>
      <c r="G990" s="76"/>
      <c r="H990" s="85"/>
      <c r="I990" s="59" t="e">
        <f>VLOOKUP(J990,'lista 3'!$A$1:$C$467,3,0)</f>
        <v>#N/A</v>
      </c>
      <c r="J990" s="78"/>
      <c r="K990" s="87"/>
      <c r="L990" s="82"/>
      <c r="M990" s="22"/>
      <c r="N990" s="22"/>
      <c r="O990" s="22"/>
      <c r="P990" s="26"/>
      <c r="Q990" s="26"/>
      <c r="R990" s="26"/>
      <c r="S990" s="47"/>
      <c r="T990" s="4" t="e">
        <f>VLOOKUP(#REF!,#REF!,2,0)</f>
        <v>#REF!</v>
      </c>
      <c r="U990" s="20" t="e">
        <f t="shared" si="43"/>
        <v>#REF!</v>
      </c>
      <c r="V990" s="47"/>
      <c r="W990" s="43"/>
      <c r="Y990" s="67" t="e">
        <f t="shared" ref="Y990:Y1053" si="44">F990=I990</f>
        <v>#N/A</v>
      </c>
    </row>
    <row r="991" spans="1:25" ht="13.65" customHeight="1">
      <c r="A991" s="92"/>
      <c r="B991" s="27"/>
      <c r="C991" s="28" t="e">
        <f>VLOOKUP(D991,'lista 1'!$A$2:$F$1802,4,0)</f>
        <v>#N/A</v>
      </c>
      <c r="D991" s="74"/>
      <c r="E991" s="27" t="e">
        <f>VLOOKUP(D991,'lista 1'!$A$2:$F$1802,5,0)</f>
        <v>#N/A</v>
      </c>
      <c r="F991" s="59" t="e">
        <f>VLOOKUP(G991,'lista 3'!$A$1:$C$467,3,0)</f>
        <v>#N/A</v>
      </c>
      <c r="G991" s="76"/>
      <c r="H991" s="85"/>
      <c r="I991" s="59" t="e">
        <f>VLOOKUP(J991,'lista 3'!$A$1:$C$467,3,0)</f>
        <v>#N/A</v>
      </c>
      <c r="J991" s="78"/>
      <c r="K991" s="87"/>
      <c r="L991" s="82"/>
      <c r="M991" s="22"/>
      <c r="N991" s="22"/>
      <c r="O991" s="22"/>
      <c r="P991" s="26"/>
      <c r="Q991" s="26"/>
      <c r="R991" s="26"/>
      <c r="S991" s="47"/>
      <c r="T991" s="4" t="e">
        <f>VLOOKUP(#REF!,#REF!,2,0)</f>
        <v>#REF!</v>
      </c>
      <c r="U991" s="20" t="e">
        <f t="shared" si="43"/>
        <v>#REF!</v>
      </c>
      <c r="V991" s="47"/>
      <c r="W991" s="43"/>
      <c r="Y991" s="67" t="e">
        <f t="shared" si="44"/>
        <v>#N/A</v>
      </c>
    </row>
    <row r="992" spans="1:25" ht="13.65" customHeight="1">
      <c r="A992" s="92"/>
      <c r="B992" s="27"/>
      <c r="C992" s="28" t="e">
        <f>VLOOKUP(D992,'lista 1'!$A$2:$F$1802,4,0)</f>
        <v>#N/A</v>
      </c>
      <c r="D992" s="74"/>
      <c r="E992" s="27" t="e">
        <f>VLOOKUP(D992,'lista 1'!$A$2:$F$1802,5,0)</f>
        <v>#N/A</v>
      </c>
      <c r="F992" s="59" t="e">
        <f>VLOOKUP(G992,'lista 3'!$A$1:$C$467,3,0)</f>
        <v>#N/A</v>
      </c>
      <c r="G992" s="76"/>
      <c r="H992" s="85"/>
      <c r="I992" s="59" t="e">
        <f>VLOOKUP(J992,'lista 3'!$A$1:$C$467,3,0)</f>
        <v>#N/A</v>
      </c>
      <c r="J992" s="78"/>
      <c r="K992" s="87"/>
      <c r="L992" s="82"/>
      <c r="M992" s="22"/>
      <c r="N992" s="22"/>
      <c r="O992" s="22"/>
      <c r="P992" s="26"/>
      <c r="Q992" s="26"/>
      <c r="R992" s="26"/>
      <c r="S992" s="47"/>
      <c r="T992" s="4" t="e">
        <f>VLOOKUP(#REF!,#REF!,2,0)</f>
        <v>#REF!</v>
      </c>
      <c r="U992" s="20" t="e">
        <f t="shared" si="43"/>
        <v>#REF!</v>
      </c>
      <c r="V992" s="47"/>
      <c r="W992" s="43"/>
      <c r="Y992" s="67" t="e">
        <f t="shared" si="44"/>
        <v>#N/A</v>
      </c>
    </row>
    <row r="993" spans="1:25" ht="13.65" customHeight="1">
      <c r="A993" s="92"/>
      <c r="B993" s="27"/>
      <c r="C993" s="28" t="e">
        <f>VLOOKUP(D993,'lista 1'!$A$2:$F$1802,4,0)</f>
        <v>#N/A</v>
      </c>
      <c r="D993" s="74"/>
      <c r="E993" s="27" t="e">
        <f>VLOOKUP(D993,'lista 1'!$A$2:$F$1802,5,0)</f>
        <v>#N/A</v>
      </c>
      <c r="F993" s="59" t="e">
        <f>VLOOKUP(G993,'lista 3'!$A$1:$C$467,3,0)</f>
        <v>#N/A</v>
      </c>
      <c r="G993" s="76"/>
      <c r="H993" s="85"/>
      <c r="I993" s="59" t="e">
        <f>VLOOKUP(J993,'lista 3'!$A$1:$C$467,3,0)</f>
        <v>#N/A</v>
      </c>
      <c r="J993" s="78"/>
      <c r="K993" s="87"/>
      <c r="L993" s="82"/>
      <c r="M993" s="22"/>
      <c r="N993" s="22"/>
      <c r="O993" s="22"/>
      <c r="P993" s="26"/>
      <c r="Q993" s="26"/>
      <c r="R993" s="26"/>
      <c r="S993" s="47"/>
      <c r="T993" s="4" t="e">
        <f>VLOOKUP(#REF!,#REF!,2,0)</f>
        <v>#REF!</v>
      </c>
      <c r="U993" s="20" t="e">
        <f t="shared" si="43"/>
        <v>#REF!</v>
      </c>
      <c r="V993" s="47"/>
      <c r="W993" s="43"/>
      <c r="Y993" s="67" t="e">
        <f t="shared" si="44"/>
        <v>#N/A</v>
      </c>
    </row>
    <row r="994" spans="1:25" ht="13.65" customHeight="1">
      <c r="A994" s="92"/>
      <c r="B994" s="27"/>
      <c r="C994" s="28" t="e">
        <f>VLOOKUP(D994,'lista 1'!$A$2:$F$1802,4,0)</f>
        <v>#N/A</v>
      </c>
      <c r="D994" s="74"/>
      <c r="E994" s="27" t="e">
        <f>VLOOKUP(D994,'lista 1'!$A$2:$F$1802,5,0)</f>
        <v>#N/A</v>
      </c>
      <c r="F994" s="59" t="e">
        <f>VLOOKUP(G994,'lista 3'!$A$1:$C$467,3,0)</f>
        <v>#N/A</v>
      </c>
      <c r="G994" s="76"/>
      <c r="H994" s="85"/>
      <c r="I994" s="59" t="e">
        <f>VLOOKUP(J994,'lista 3'!$A$1:$C$467,3,0)</f>
        <v>#N/A</v>
      </c>
      <c r="J994" s="78"/>
      <c r="K994" s="87"/>
      <c r="L994" s="82"/>
      <c r="M994" s="22"/>
      <c r="N994" s="22"/>
      <c r="O994" s="22"/>
      <c r="P994" s="26"/>
      <c r="Q994" s="26"/>
      <c r="R994" s="26"/>
      <c r="S994" s="47"/>
      <c r="T994" s="4" t="e">
        <f>VLOOKUP(#REF!,#REF!,2,0)</f>
        <v>#REF!</v>
      </c>
      <c r="U994" s="20" t="e">
        <f t="shared" si="43"/>
        <v>#REF!</v>
      </c>
      <c r="V994" s="47"/>
      <c r="W994" s="43"/>
      <c r="Y994" s="67" t="e">
        <f t="shared" si="44"/>
        <v>#N/A</v>
      </c>
    </row>
    <row r="995" spans="1:25" ht="13.65" customHeight="1">
      <c r="A995" s="92"/>
      <c r="B995" s="27"/>
      <c r="C995" s="28" t="e">
        <f>VLOOKUP(D995,'lista 1'!$A$2:$F$1802,4,0)</f>
        <v>#N/A</v>
      </c>
      <c r="D995" s="74"/>
      <c r="E995" s="27" t="e">
        <f>VLOOKUP(D995,'lista 1'!$A$2:$F$1802,5,0)</f>
        <v>#N/A</v>
      </c>
      <c r="F995" s="59" t="e">
        <f>VLOOKUP(G995,'lista 3'!$A$1:$C$467,3,0)</f>
        <v>#N/A</v>
      </c>
      <c r="G995" s="76"/>
      <c r="H995" s="85"/>
      <c r="I995" s="59" t="e">
        <f>VLOOKUP(J995,'lista 3'!$A$1:$C$467,3,0)</f>
        <v>#N/A</v>
      </c>
      <c r="J995" s="78"/>
      <c r="K995" s="87"/>
      <c r="L995" s="82"/>
      <c r="M995" s="22"/>
      <c r="N995" s="22"/>
      <c r="O995" s="22"/>
      <c r="P995" s="26"/>
      <c r="Q995" s="26"/>
      <c r="R995" s="26"/>
      <c r="S995" s="47"/>
      <c r="T995" s="4" t="e">
        <f>VLOOKUP(#REF!,#REF!,2,0)</f>
        <v>#REF!</v>
      </c>
      <c r="U995" s="20" t="e">
        <f t="shared" si="43"/>
        <v>#REF!</v>
      </c>
      <c r="V995" s="47"/>
      <c r="W995" s="43"/>
      <c r="Y995" s="67" t="e">
        <f t="shared" si="44"/>
        <v>#N/A</v>
      </c>
    </row>
    <row r="996" spans="1:25" ht="13.65" customHeight="1">
      <c r="A996" s="92"/>
      <c r="B996" s="27"/>
      <c r="C996" s="28" t="e">
        <f>VLOOKUP(D996,'lista 1'!$A$2:$F$1802,4,0)</f>
        <v>#N/A</v>
      </c>
      <c r="D996" s="74"/>
      <c r="E996" s="27" t="e">
        <f>VLOOKUP(D996,'lista 1'!$A$2:$F$1802,5,0)</f>
        <v>#N/A</v>
      </c>
      <c r="F996" s="59" t="e">
        <f>VLOOKUP(G996,'lista 3'!$A$1:$C$467,3,0)</f>
        <v>#N/A</v>
      </c>
      <c r="G996" s="76"/>
      <c r="H996" s="85"/>
      <c r="I996" s="59" t="e">
        <f>VLOOKUP(J996,'lista 3'!$A$1:$C$467,3,0)</f>
        <v>#N/A</v>
      </c>
      <c r="J996" s="78"/>
      <c r="K996" s="87"/>
      <c r="L996" s="82"/>
      <c r="M996" s="22"/>
      <c r="N996" s="22"/>
      <c r="O996" s="22"/>
      <c r="P996" s="26"/>
      <c r="Q996" s="26"/>
      <c r="R996" s="26"/>
      <c r="S996" s="47"/>
      <c r="T996" s="4" t="e">
        <f>VLOOKUP(#REF!,#REF!,2,0)</f>
        <v>#REF!</v>
      </c>
      <c r="U996" s="20" t="e">
        <f t="shared" si="43"/>
        <v>#REF!</v>
      </c>
      <c r="V996" s="47"/>
      <c r="W996" s="43"/>
      <c r="Y996" s="67" t="e">
        <f t="shared" si="44"/>
        <v>#N/A</v>
      </c>
    </row>
    <row r="997" spans="1:25" ht="13.65" customHeight="1">
      <c r="A997" s="92"/>
      <c r="B997" s="27"/>
      <c r="C997" s="28" t="e">
        <f>VLOOKUP(D997,'lista 1'!$A$2:$F$1802,4,0)</f>
        <v>#N/A</v>
      </c>
      <c r="D997" s="74"/>
      <c r="E997" s="27" t="e">
        <f>VLOOKUP(D997,'lista 1'!$A$2:$F$1802,5,0)</f>
        <v>#N/A</v>
      </c>
      <c r="F997" s="59" t="e">
        <f>VLOOKUP(G997,'lista 3'!$A$1:$C$467,3,0)</f>
        <v>#N/A</v>
      </c>
      <c r="G997" s="76"/>
      <c r="H997" s="85"/>
      <c r="I997" s="59" t="e">
        <f>VLOOKUP(J997,'lista 3'!$A$1:$C$467,3,0)</f>
        <v>#N/A</v>
      </c>
      <c r="J997" s="78"/>
      <c r="K997" s="87"/>
      <c r="L997" s="82"/>
      <c r="M997" s="22"/>
      <c r="N997" s="22"/>
      <c r="O997" s="22"/>
      <c r="P997" s="26"/>
      <c r="Q997" s="26"/>
      <c r="R997" s="26"/>
      <c r="S997" s="47"/>
      <c r="T997" s="4" t="e">
        <f>VLOOKUP(#REF!,#REF!,2,0)</f>
        <v>#REF!</v>
      </c>
      <c r="U997" s="20" t="e">
        <f t="shared" si="43"/>
        <v>#REF!</v>
      </c>
      <c r="V997" s="47"/>
      <c r="W997" s="43"/>
      <c r="Y997" s="67" t="e">
        <f t="shared" si="44"/>
        <v>#N/A</v>
      </c>
    </row>
    <row r="998" spans="1:25" ht="13.65" customHeight="1">
      <c r="A998" s="92"/>
      <c r="B998" s="27"/>
      <c r="C998" s="28" t="e">
        <f>VLOOKUP(D998,'lista 1'!$A$2:$F$1802,4,0)</f>
        <v>#N/A</v>
      </c>
      <c r="D998" s="74"/>
      <c r="E998" s="27" t="e">
        <f>VLOOKUP(D998,'lista 1'!$A$2:$F$1802,5,0)</f>
        <v>#N/A</v>
      </c>
      <c r="F998" s="59" t="e">
        <f>VLOOKUP(G998,'lista 3'!$A$1:$C$467,3,0)</f>
        <v>#N/A</v>
      </c>
      <c r="G998" s="76"/>
      <c r="H998" s="85"/>
      <c r="I998" s="59" t="e">
        <f>VLOOKUP(J998,'lista 3'!$A$1:$C$467,3,0)</f>
        <v>#N/A</v>
      </c>
      <c r="J998" s="78"/>
      <c r="K998" s="87"/>
      <c r="L998" s="82"/>
      <c r="M998" s="22"/>
      <c r="N998" s="22"/>
      <c r="O998" s="22"/>
      <c r="P998" s="26"/>
      <c r="Q998" s="26"/>
      <c r="R998" s="26"/>
      <c r="S998" s="47"/>
      <c r="T998" s="4" t="e">
        <f>VLOOKUP(#REF!,#REF!,2,0)</f>
        <v>#REF!</v>
      </c>
      <c r="U998" s="20" t="e">
        <f t="shared" si="43"/>
        <v>#REF!</v>
      </c>
      <c r="V998" s="47"/>
      <c r="W998" s="43"/>
      <c r="Y998" s="67" t="e">
        <f t="shared" si="44"/>
        <v>#N/A</v>
      </c>
    </row>
    <row r="999" spans="1:25" ht="13.65" customHeight="1">
      <c r="A999" s="92"/>
      <c r="B999" s="27"/>
      <c r="C999" s="28" t="e">
        <f>VLOOKUP(D999,'lista 1'!$A$2:$F$1802,4,0)</f>
        <v>#N/A</v>
      </c>
      <c r="D999" s="74"/>
      <c r="E999" s="27" t="e">
        <f>VLOOKUP(D999,'lista 1'!$A$2:$F$1802,5,0)</f>
        <v>#N/A</v>
      </c>
      <c r="F999" s="59" t="e">
        <f>VLOOKUP(G999,'lista 3'!$A$1:$C$467,3,0)</f>
        <v>#N/A</v>
      </c>
      <c r="G999" s="76"/>
      <c r="H999" s="85"/>
      <c r="I999" s="59" t="e">
        <f>VLOOKUP(J999,'lista 3'!$A$1:$C$467,3,0)</f>
        <v>#N/A</v>
      </c>
      <c r="J999" s="78"/>
      <c r="K999" s="87"/>
      <c r="L999" s="82"/>
      <c r="M999" s="22"/>
      <c r="N999" s="22"/>
      <c r="O999" s="22"/>
      <c r="P999" s="26"/>
      <c r="Q999" s="26"/>
      <c r="R999" s="26"/>
      <c r="S999" s="47"/>
      <c r="T999" s="4" t="e">
        <f>VLOOKUP(#REF!,#REF!,2,0)</f>
        <v>#REF!</v>
      </c>
      <c r="U999" s="20" t="e">
        <f t="shared" si="43"/>
        <v>#REF!</v>
      </c>
      <c r="V999" s="47"/>
      <c r="W999" s="43"/>
      <c r="Y999" s="67" t="e">
        <f t="shared" si="44"/>
        <v>#N/A</v>
      </c>
    </row>
    <row r="1000" spans="1:25" ht="13.65" customHeight="1">
      <c r="A1000" s="92"/>
      <c r="B1000" s="27"/>
      <c r="C1000" s="28" t="e">
        <f>VLOOKUP(D1000,'lista 1'!$A$2:$F$1802,4,0)</f>
        <v>#N/A</v>
      </c>
      <c r="D1000" s="74"/>
      <c r="E1000" s="27" t="e">
        <f>VLOOKUP(D1000,'lista 1'!$A$2:$F$1802,5,0)</f>
        <v>#N/A</v>
      </c>
      <c r="F1000" s="59" t="e">
        <f>VLOOKUP(G1000,'lista 3'!$A$1:$C$467,3,0)</f>
        <v>#N/A</v>
      </c>
      <c r="G1000" s="76"/>
      <c r="H1000" s="85"/>
      <c r="I1000" s="59" t="e">
        <f>VLOOKUP(J1000,'lista 3'!$A$1:$C$467,3,0)</f>
        <v>#N/A</v>
      </c>
      <c r="J1000" s="78"/>
      <c r="K1000" s="87"/>
      <c r="L1000" s="82"/>
      <c r="M1000" s="22"/>
      <c r="N1000" s="22"/>
      <c r="O1000" s="22"/>
      <c r="P1000" s="26"/>
      <c r="Q1000" s="26"/>
      <c r="R1000" s="26"/>
      <c r="S1000" s="47"/>
      <c r="T1000" s="4" t="e">
        <f>VLOOKUP(#REF!,#REF!,2,0)</f>
        <v>#REF!</v>
      </c>
      <c r="U1000" s="20" t="e">
        <f t="shared" si="43"/>
        <v>#REF!</v>
      </c>
      <c r="V1000" s="47"/>
      <c r="W1000" s="43"/>
      <c r="Y1000" s="67" t="e">
        <f t="shared" si="44"/>
        <v>#N/A</v>
      </c>
    </row>
    <row r="1001" spans="1:25" ht="13.65" customHeight="1">
      <c r="A1001" s="92"/>
      <c r="B1001" s="27"/>
      <c r="C1001" s="28" t="e">
        <f>VLOOKUP(D1001,'lista 1'!$A$2:$F$1802,4,0)</f>
        <v>#N/A</v>
      </c>
      <c r="D1001" s="74"/>
      <c r="E1001" s="27" t="e">
        <f>VLOOKUP(D1001,'lista 1'!$A$2:$F$1802,5,0)</f>
        <v>#N/A</v>
      </c>
      <c r="F1001" s="59" t="e">
        <f>VLOOKUP(G1001,'lista 3'!$A$1:$C$467,3,0)</f>
        <v>#N/A</v>
      </c>
      <c r="G1001" s="76"/>
      <c r="H1001" s="85"/>
      <c r="I1001" s="59" t="e">
        <f>VLOOKUP(J1001,'lista 3'!$A$1:$C$467,3,0)</f>
        <v>#N/A</v>
      </c>
      <c r="J1001" s="78"/>
      <c r="K1001" s="87"/>
      <c r="L1001" s="82"/>
      <c r="M1001" s="22"/>
      <c r="N1001" s="22"/>
      <c r="O1001" s="22"/>
      <c r="P1001" s="26"/>
      <c r="Q1001" s="26"/>
      <c r="R1001" s="26"/>
      <c r="S1001" s="47"/>
      <c r="T1001" s="4" t="e">
        <f>VLOOKUP(#REF!,#REF!,2,0)</f>
        <v>#REF!</v>
      </c>
      <c r="U1001" s="20" t="e">
        <f t="shared" si="43"/>
        <v>#REF!</v>
      </c>
      <c r="V1001" s="47"/>
      <c r="W1001" s="43"/>
      <c r="Y1001" s="67" t="e">
        <f t="shared" si="44"/>
        <v>#N/A</v>
      </c>
    </row>
    <row r="1002" spans="1:25" ht="13.65" customHeight="1">
      <c r="A1002" s="92"/>
      <c r="B1002" s="27"/>
      <c r="C1002" s="28" t="e">
        <f>VLOOKUP(D1002,'lista 1'!$A$2:$F$1802,4,0)</f>
        <v>#N/A</v>
      </c>
      <c r="D1002" s="74"/>
      <c r="E1002" s="27" t="e">
        <f>VLOOKUP(D1002,'lista 1'!$A$2:$F$1802,5,0)</f>
        <v>#N/A</v>
      </c>
      <c r="F1002" s="59" t="e">
        <f>VLOOKUP(G1002,'lista 3'!$A$1:$C$467,3,0)</f>
        <v>#N/A</v>
      </c>
      <c r="G1002" s="76"/>
      <c r="H1002" s="85"/>
      <c r="I1002" s="59" t="e">
        <f>VLOOKUP(J1002,'lista 3'!$A$1:$C$467,3,0)</f>
        <v>#N/A</v>
      </c>
      <c r="J1002" s="78"/>
      <c r="K1002" s="87"/>
      <c r="L1002" s="82"/>
      <c r="M1002" s="22"/>
      <c r="N1002" s="22"/>
      <c r="O1002" s="22"/>
      <c r="P1002" s="26"/>
      <c r="Q1002" s="26"/>
      <c r="R1002" s="26"/>
      <c r="S1002" s="47"/>
      <c r="T1002" s="4" t="e">
        <f>VLOOKUP(#REF!,#REF!,2,0)</f>
        <v>#REF!</v>
      </c>
      <c r="U1002" s="20" t="e">
        <f t="shared" si="43"/>
        <v>#REF!</v>
      </c>
      <c r="V1002" s="47"/>
      <c r="W1002" s="43"/>
      <c r="Y1002" s="67" t="e">
        <f t="shared" si="44"/>
        <v>#N/A</v>
      </c>
    </row>
    <row r="1003" spans="1:25" ht="13.65" customHeight="1">
      <c r="A1003" s="92"/>
      <c r="B1003" s="27"/>
      <c r="C1003" s="28" t="e">
        <f>VLOOKUP(D1003,'lista 1'!$A$2:$F$1802,4,0)</f>
        <v>#N/A</v>
      </c>
      <c r="D1003" s="74"/>
      <c r="E1003" s="27" t="e">
        <f>VLOOKUP(D1003,'lista 1'!$A$2:$F$1802,5,0)</f>
        <v>#N/A</v>
      </c>
      <c r="F1003" s="59" t="e">
        <f>VLOOKUP(G1003,'lista 3'!$A$1:$C$467,3,0)</f>
        <v>#N/A</v>
      </c>
      <c r="G1003" s="76"/>
      <c r="H1003" s="85"/>
      <c r="I1003" s="59" t="e">
        <f>VLOOKUP(J1003,'lista 3'!$A$1:$C$467,3,0)</f>
        <v>#N/A</v>
      </c>
      <c r="J1003" s="78"/>
      <c r="K1003" s="87"/>
      <c r="L1003" s="82"/>
      <c r="M1003" s="22"/>
      <c r="N1003" s="22"/>
      <c r="O1003" s="22"/>
      <c r="P1003" s="26"/>
      <c r="Q1003" s="26"/>
      <c r="R1003" s="26"/>
      <c r="S1003" s="47"/>
      <c r="T1003" s="4" t="e">
        <f>VLOOKUP(#REF!,#REF!,2,0)</f>
        <v>#REF!</v>
      </c>
      <c r="U1003" s="20" t="e">
        <f t="shared" si="43"/>
        <v>#REF!</v>
      </c>
      <c r="V1003" s="47"/>
      <c r="W1003" s="43"/>
      <c r="Y1003" s="67" t="e">
        <f t="shared" si="44"/>
        <v>#N/A</v>
      </c>
    </row>
    <row r="1004" spans="1:25" ht="13.65" customHeight="1">
      <c r="A1004" s="92"/>
      <c r="B1004" s="27"/>
      <c r="C1004" s="28" t="e">
        <f>VLOOKUP(D1004,'lista 1'!$A$2:$F$1802,4,0)</f>
        <v>#N/A</v>
      </c>
      <c r="D1004" s="74"/>
      <c r="E1004" s="27" t="e">
        <f>VLOOKUP(D1004,'lista 1'!$A$2:$F$1802,5,0)</f>
        <v>#N/A</v>
      </c>
      <c r="F1004" s="59" t="e">
        <f>VLOOKUP(G1004,'lista 3'!$A$1:$C$467,3,0)</f>
        <v>#N/A</v>
      </c>
      <c r="G1004" s="76"/>
      <c r="H1004" s="85"/>
      <c r="I1004" s="59" t="e">
        <f>VLOOKUP(J1004,'lista 3'!$A$1:$C$467,3,0)</f>
        <v>#N/A</v>
      </c>
      <c r="J1004" s="78"/>
      <c r="K1004" s="87"/>
      <c r="L1004" s="82"/>
      <c r="M1004" s="22"/>
      <c r="N1004" s="22"/>
      <c r="O1004" s="22"/>
      <c r="P1004" s="26"/>
      <c r="Q1004" s="26"/>
      <c r="R1004" s="26"/>
      <c r="S1004" s="47"/>
      <c r="T1004" s="4" t="e">
        <f>VLOOKUP(#REF!,#REF!,2,0)</f>
        <v>#REF!</v>
      </c>
      <c r="U1004" s="20" t="e">
        <f t="shared" si="43"/>
        <v>#REF!</v>
      </c>
      <c r="V1004" s="47"/>
      <c r="W1004" s="43"/>
      <c r="Y1004" s="67" t="e">
        <f t="shared" si="44"/>
        <v>#N/A</v>
      </c>
    </row>
    <row r="1005" spans="1:25" ht="13.65" customHeight="1">
      <c r="A1005" s="92"/>
      <c r="B1005" s="27"/>
      <c r="C1005" s="28" t="e">
        <f>VLOOKUP(D1005,'lista 1'!$A$2:$F$1802,4,0)</f>
        <v>#N/A</v>
      </c>
      <c r="D1005" s="74"/>
      <c r="E1005" s="27" t="e">
        <f>VLOOKUP(D1005,'lista 1'!$A$2:$F$1802,5,0)</f>
        <v>#N/A</v>
      </c>
      <c r="F1005" s="59" t="e">
        <f>VLOOKUP(G1005,'lista 3'!$A$1:$C$467,3,0)</f>
        <v>#N/A</v>
      </c>
      <c r="G1005" s="76"/>
      <c r="H1005" s="85"/>
      <c r="I1005" s="59" t="e">
        <f>VLOOKUP(J1005,'lista 3'!$A$1:$C$467,3,0)</f>
        <v>#N/A</v>
      </c>
      <c r="J1005" s="78"/>
      <c r="K1005" s="87"/>
      <c r="L1005" s="82"/>
      <c r="M1005" s="22"/>
      <c r="N1005" s="22"/>
      <c r="O1005" s="22"/>
      <c r="P1005" s="26"/>
      <c r="Q1005" s="26"/>
      <c r="R1005" s="26"/>
      <c r="S1005" s="47"/>
      <c r="T1005" s="4" t="e">
        <f>VLOOKUP(#REF!,#REF!,2,0)</f>
        <v>#REF!</v>
      </c>
      <c r="U1005" s="20" t="e">
        <f t="shared" si="43"/>
        <v>#REF!</v>
      </c>
      <c r="V1005" s="47"/>
      <c r="W1005" s="43"/>
      <c r="Y1005" s="67" t="e">
        <f t="shared" si="44"/>
        <v>#N/A</v>
      </c>
    </row>
    <row r="1006" spans="1:25" ht="13.65" customHeight="1">
      <c r="A1006" s="92"/>
      <c r="B1006" s="27"/>
      <c r="C1006" s="28" t="e">
        <f>VLOOKUP(D1006,'lista 1'!$A$2:$F$1802,4,0)</f>
        <v>#N/A</v>
      </c>
      <c r="D1006" s="74"/>
      <c r="E1006" s="27" t="e">
        <f>VLOOKUP(D1006,'lista 1'!$A$2:$F$1802,5,0)</f>
        <v>#N/A</v>
      </c>
      <c r="F1006" s="59" t="e">
        <f>VLOOKUP(G1006,'lista 3'!$A$1:$C$467,3,0)</f>
        <v>#N/A</v>
      </c>
      <c r="G1006" s="76"/>
      <c r="H1006" s="85"/>
      <c r="I1006" s="59" t="e">
        <f>VLOOKUP(J1006,'lista 3'!$A$1:$C$467,3,0)</f>
        <v>#N/A</v>
      </c>
      <c r="J1006" s="78"/>
      <c r="K1006" s="87"/>
      <c r="L1006" s="82"/>
      <c r="M1006" s="22"/>
      <c r="N1006" s="22"/>
      <c r="O1006" s="22"/>
      <c r="P1006" s="26"/>
      <c r="Q1006" s="26"/>
      <c r="R1006" s="26"/>
      <c r="S1006" s="47"/>
      <c r="T1006" s="4" t="e">
        <f>VLOOKUP(#REF!,#REF!,2,0)</f>
        <v>#REF!</v>
      </c>
      <c r="U1006" s="20" t="e">
        <f t="shared" si="43"/>
        <v>#REF!</v>
      </c>
      <c r="V1006" s="47"/>
      <c r="W1006" s="43"/>
      <c r="Y1006" s="67" t="e">
        <f t="shared" si="44"/>
        <v>#N/A</v>
      </c>
    </row>
    <row r="1007" spans="1:25" ht="13.65" customHeight="1">
      <c r="A1007" s="92"/>
      <c r="B1007" s="27"/>
      <c r="C1007" s="28" t="e">
        <f>VLOOKUP(D1007,'lista 1'!$A$2:$F$1802,4,0)</f>
        <v>#N/A</v>
      </c>
      <c r="D1007" s="74"/>
      <c r="E1007" s="27" t="e">
        <f>VLOOKUP(D1007,'lista 1'!$A$2:$F$1802,5,0)</f>
        <v>#N/A</v>
      </c>
      <c r="F1007" s="59" t="e">
        <f>VLOOKUP(G1007,'lista 3'!$A$1:$C$467,3,0)</f>
        <v>#N/A</v>
      </c>
      <c r="G1007" s="76"/>
      <c r="H1007" s="85"/>
      <c r="I1007" s="59" t="e">
        <f>VLOOKUP(J1007,'lista 3'!$A$1:$C$467,3,0)</f>
        <v>#N/A</v>
      </c>
      <c r="J1007" s="78"/>
      <c r="K1007" s="87"/>
      <c r="L1007" s="82"/>
      <c r="M1007" s="22"/>
      <c r="N1007" s="22"/>
      <c r="O1007" s="22"/>
      <c r="P1007" s="26"/>
      <c r="Q1007" s="26"/>
      <c r="R1007" s="26"/>
      <c r="S1007" s="47"/>
      <c r="T1007" s="4" t="e">
        <f>VLOOKUP(#REF!,#REF!,2,0)</f>
        <v>#REF!</v>
      </c>
      <c r="U1007" s="20" t="e">
        <f t="shared" si="43"/>
        <v>#REF!</v>
      </c>
      <c r="V1007" s="47"/>
      <c r="W1007" s="43"/>
      <c r="Y1007" s="67" t="e">
        <f t="shared" si="44"/>
        <v>#N/A</v>
      </c>
    </row>
    <row r="1008" spans="1:25" ht="13.65" customHeight="1">
      <c r="A1008" s="92"/>
      <c r="B1008" s="27"/>
      <c r="C1008" s="28" t="e">
        <f>VLOOKUP(D1008,'lista 1'!$A$2:$F$1802,4,0)</f>
        <v>#N/A</v>
      </c>
      <c r="D1008" s="74"/>
      <c r="E1008" s="27" t="e">
        <f>VLOOKUP(D1008,'lista 1'!$A$2:$F$1802,5,0)</f>
        <v>#N/A</v>
      </c>
      <c r="F1008" s="59" t="e">
        <f>VLOOKUP(G1008,'lista 3'!$A$1:$C$467,3,0)</f>
        <v>#N/A</v>
      </c>
      <c r="G1008" s="76"/>
      <c r="H1008" s="85"/>
      <c r="I1008" s="59" t="e">
        <f>VLOOKUP(J1008,'lista 3'!$A$1:$C$467,3,0)</f>
        <v>#N/A</v>
      </c>
      <c r="J1008" s="78"/>
      <c r="K1008" s="87"/>
      <c r="L1008" s="82"/>
      <c r="M1008" s="22"/>
      <c r="N1008" s="22"/>
      <c r="O1008" s="22"/>
      <c r="P1008" s="26"/>
      <c r="Q1008" s="26"/>
      <c r="R1008" s="26"/>
      <c r="S1008" s="47"/>
      <c r="T1008" s="4" t="e">
        <f>VLOOKUP(#REF!,#REF!,2,0)</f>
        <v>#REF!</v>
      </c>
      <c r="U1008" s="20" t="e">
        <f t="shared" si="43"/>
        <v>#REF!</v>
      </c>
      <c r="V1008" s="47"/>
      <c r="W1008" s="43"/>
      <c r="Y1008" s="67" t="e">
        <f t="shared" si="44"/>
        <v>#N/A</v>
      </c>
    </row>
    <row r="1009" spans="1:25" ht="13.65" customHeight="1">
      <c r="A1009" s="92"/>
      <c r="B1009" s="27"/>
      <c r="C1009" s="28" t="e">
        <f>VLOOKUP(D1009,'lista 1'!$A$2:$F$1802,4,0)</f>
        <v>#N/A</v>
      </c>
      <c r="D1009" s="74"/>
      <c r="E1009" s="27" t="e">
        <f>VLOOKUP(D1009,'lista 1'!$A$2:$F$1802,5,0)</f>
        <v>#N/A</v>
      </c>
      <c r="F1009" s="59" t="e">
        <f>VLOOKUP(G1009,'lista 3'!$A$1:$C$467,3,0)</f>
        <v>#N/A</v>
      </c>
      <c r="G1009" s="76"/>
      <c r="H1009" s="85"/>
      <c r="I1009" s="59" t="e">
        <f>VLOOKUP(J1009,'lista 3'!$A$1:$C$467,3,0)</f>
        <v>#N/A</v>
      </c>
      <c r="J1009" s="78"/>
      <c r="K1009" s="87"/>
      <c r="L1009" s="82"/>
      <c r="M1009" s="22"/>
      <c r="N1009" s="22"/>
      <c r="O1009" s="22"/>
      <c r="P1009" s="26"/>
      <c r="Q1009" s="26"/>
      <c r="R1009" s="26"/>
      <c r="S1009" s="47"/>
      <c r="T1009" s="4" t="e">
        <f>VLOOKUP(#REF!,#REF!,2,0)</f>
        <v>#REF!</v>
      </c>
      <c r="U1009" s="20" t="e">
        <f t="shared" si="43"/>
        <v>#REF!</v>
      </c>
      <c r="V1009" s="47"/>
      <c r="W1009" s="43"/>
      <c r="Y1009" s="67" t="e">
        <f t="shared" si="44"/>
        <v>#N/A</v>
      </c>
    </row>
    <row r="1010" spans="1:25" ht="13.65" customHeight="1">
      <c r="A1010" s="92"/>
      <c r="B1010" s="27"/>
      <c r="C1010" s="28" t="e">
        <f>VLOOKUP(D1010,'lista 1'!$A$2:$F$1802,4,0)</f>
        <v>#N/A</v>
      </c>
      <c r="D1010" s="74"/>
      <c r="E1010" s="27" t="e">
        <f>VLOOKUP(D1010,'lista 1'!$A$2:$F$1802,5,0)</f>
        <v>#N/A</v>
      </c>
      <c r="F1010" s="59" t="e">
        <f>VLOOKUP(G1010,'lista 3'!$A$1:$C$467,3,0)</f>
        <v>#N/A</v>
      </c>
      <c r="G1010" s="76"/>
      <c r="H1010" s="85"/>
      <c r="I1010" s="59" t="e">
        <f>VLOOKUP(J1010,'lista 3'!$A$1:$C$467,3,0)</f>
        <v>#N/A</v>
      </c>
      <c r="J1010" s="78"/>
      <c r="K1010" s="87"/>
      <c r="L1010" s="82"/>
      <c r="M1010" s="22"/>
      <c r="N1010" s="22"/>
      <c r="O1010" s="22"/>
      <c r="P1010" s="26"/>
      <c r="Q1010" s="26"/>
      <c r="R1010" s="26"/>
      <c r="S1010" s="47"/>
      <c r="T1010" s="4" t="e">
        <f>VLOOKUP(#REF!,#REF!,2,0)</f>
        <v>#REF!</v>
      </c>
      <c r="U1010" s="20" t="e">
        <f t="shared" si="43"/>
        <v>#REF!</v>
      </c>
      <c r="V1010" s="47"/>
      <c r="W1010" s="43"/>
      <c r="Y1010" s="67" t="e">
        <f t="shared" si="44"/>
        <v>#N/A</v>
      </c>
    </row>
    <row r="1011" spans="1:25" ht="13.65" customHeight="1">
      <c r="A1011" s="92"/>
      <c r="B1011" s="27"/>
      <c r="C1011" s="28" t="e">
        <f>VLOOKUP(D1011,'lista 1'!$A$2:$F$1802,4,0)</f>
        <v>#N/A</v>
      </c>
      <c r="D1011" s="74"/>
      <c r="E1011" s="27" t="e">
        <f>VLOOKUP(D1011,'lista 1'!$A$2:$F$1802,5,0)</f>
        <v>#N/A</v>
      </c>
      <c r="F1011" s="59" t="e">
        <f>VLOOKUP(G1011,'lista 3'!$A$1:$C$467,3,0)</f>
        <v>#N/A</v>
      </c>
      <c r="G1011" s="76"/>
      <c r="H1011" s="85"/>
      <c r="I1011" s="59" t="e">
        <f>VLOOKUP(J1011,'lista 3'!$A$1:$C$467,3,0)</f>
        <v>#N/A</v>
      </c>
      <c r="J1011" s="78"/>
      <c r="K1011" s="87"/>
      <c r="L1011" s="82"/>
      <c r="M1011" s="22"/>
      <c r="N1011" s="22"/>
      <c r="O1011" s="22"/>
      <c r="P1011" s="26"/>
      <c r="Q1011" s="26"/>
      <c r="R1011" s="26"/>
      <c r="S1011" s="47"/>
      <c r="T1011" s="4" t="e">
        <f>VLOOKUP(#REF!,#REF!,2,0)</f>
        <v>#REF!</v>
      </c>
      <c r="U1011" s="20" t="e">
        <f t="shared" si="43"/>
        <v>#REF!</v>
      </c>
      <c r="V1011" s="47"/>
      <c r="W1011" s="43"/>
      <c r="Y1011" s="67" t="e">
        <f t="shared" si="44"/>
        <v>#N/A</v>
      </c>
    </row>
    <row r="1012" spans="1:25" ht="13.65" customHeight="1">
      <c r="A1012" s="92"/>
      <c r="B1012" s="27"/>
      <c r="C1012" s="28" t="e">
        <f>VLOOKUP(D1012,'lista 1'!$A$2:$F$1802,4,0)</f>
        <v>#N/A</v>
      </c>
      <c r="D1012" s="74"/>
      <c r="E1012" s="27" t="e">
        <f>VLOOKUP(D1012,'lista 1'!$A$2:$F$1802,5,0)</f>
        <v>#N/A</v>
      </c>
      <c r="F1012" s="59" t="e">
        <f>VLOOKUP(G1012,'lista 3'!$A$1:$C$467,3,0)</f>
        <v>#N/A</v>
      </c>
      <c r="G1012" s="76"/>
      <c r="H1012" s="85"/>
      <c r="I1012" s="59" t="e">
        <f>VLOOKUP(J1012,'lista 3'!$A$1:$C$467,3,0)</f>
        <v>#N/A</v>
      </c>
      <c r="J1012" s="78"/>
      <c r="K1012" s="87"/>
      <c r="L1012" s="82"/>
      <c r="M1012" s="22"/>
      <c r="N1012" s="22"/>
      <c r="O1012" s="22"/>
      <c r="P1012" s="26"/>
      <c r="Q1012" s="26"/>
      <c r="R1012" s="26"/>
      <c r="S1012" s="47"/>
      <c r="T1012" s="4" t="e">
        <f>VLOOKUP(#REF!,#REF!,2,0)</f>
        <v>#REF!</v>
      </c>
      <c r="U1012" s="20" t="e">
        <f t="shared" si="43"/>
        <v>#REF!</v>
      </c>
      <c r="V1012" s="47"/>
      <c r="W1012" s="43"/>
      <c r="Y1012" s="67" t="e">
        <f t="shared" si="44"/>
        <v>#N/A</v>
      </c>
    </row>
    <row r="1013" spans="1:25" ht="13.65" customHeight="1">
      <c r="A1013" s="92"/>
      <c r="B1013" s="27"/>
      <c r="C1013" s="28" t="e">
        <f>VLOOKUP(D1013,'lista 1'!$A$2:$F$1802,4,0)</f>
        <v>#N/A</v>
      </c>
      <c r="D1013" s="74"/>
      <c r="E1013" s="27" t="e">
        <f>VLOOKUP(D1013,'lista 1'!$A$2:$F$1802,5,0)</f>
        <v>#N/A</v>
      </c>
      <c r="F1013" s="59" t="e">
        <f>VLOOKUP(G1013,'lista 3'!$A$1:$C$467,3,0)</f>
        <v>#N/A</v>
      </c>
      <c r="G1013" s="76"/>
      <c r="H1013" s="85"/>
      <c r="I1013" s="59" t="e">
        <f>VLOOKUP(J1013,'lista 3'!$A$1:$C$467,3,0)</f>
        <v>#N/A</v>
      </c>
      <c r="J1013" s="78"/>
      <c r="K1013" s="87"/>
      <c r="L1013" s="82"/>
      <c r="M1013" s="22"/>
      <c r="N1013" s="22"/>
      <c r="O1013" s="22"/>
      <c r="P1013" s="26"/>
      <c r="Q1013" s="26"/>
      <c r="R1013" s="26"/>
      <c r="S1013" s="47"/>
      <c r="T1013" s="4" t="e">
        <f>VLOOKUP(#REF!,#REF!,2,0)</f>
        <v>#REF!</v>
      </c>
      <c r="U1013" s="20" t="e">
        <f t="shared" si="43"/>
        <v>#REF!</v>
      </c>
      <c r="V1013" s="47"/>
      <c r="W1013" s="43"/>
      <c r="Y1013" s="67" t="e">
        <f t="shared" si="44"/>
        <v>#N/A</v>
      </c>
    </row>
    <row r="1014" spans="1:25" ht="13.65" customHeight="1">
      <c r="A1014" s="92"/>
      <c r="B1014" s="27"/>
      <c r="C1014" s="28" t="e">
        <f>VLOOKUP(D1014,'lista 1'!$A$2:$F$1802,4,0)</f>
        <v>#N/A</v>
      </c>
      <c r="D1014" s="74"/>
      <c r="E1014" s="27" t="e">
        <f>VLOOKUP(D1014,'lista 1'!$A$2:$F$1802,5,0)</f>
        <v>#N/A</v>
      </c>
      <c r="F1014" s="59" t="e">
        <f>VLOOKUP(G1014,'lista 3'!$A$1:$C$467,3,0)</f>
        <v>#N/A</v>
      </c>
      <c r="G1014" s="76"/>
      <c r="H1014" s="85"/>
      <c r="I1014" s="59" t="e">
        <f>VLOOKUP(J1014,'lista 3'!$A$1:$C$467,3,0)</f>
        <v>#N/A</v>
      </c>
      <c r="J1014" s="78"/>
      <c r="K1014" s="87"/>
      <c r="L1014" s="82"/>
      <c r="M1014" s="22"/>
      <c r="N1014" s="22"/>
      <c r="O1014" s="22"/>
      <c r="P1014" s="26"/>
      <c r="Q1014" s="26"/>
      <c r="R1014" s="26"/>
      <c r="S1014" s="47"/>
      <c r="T1014" s="4" t="e">
        <f>VLOOKUP(#REF!,#REF!,2,0)</f>
        <v>#REF!</v>
      </c>
      <c r="U1014" s="20" t="e">
        <f t="shared" si="43"/>
        <v>#REF!</v>
      </c>
      <c r="V1014" s="47"/>
      <c r="W1014" s="43"/>
      <c r="Y1014" s="67" t="e">
        <f t="shared" si="44"/>
        <v>#N/A</v>
      </c>
    </row>
    <row r="1015" spans="1:25" ht="13.65" customHeight="1">
      <c r="A1015" s="92"/>
      <c r="B1015" s="27"/>
      <c r="C1015" s="28" t="e">
        <f>VLOOKUP(D1015,'lista 1'!$A$2:$F$1802,4,0)</f>
        <v>#N/A</v>
      </c>
      <c r="D1015" s="74"/>
      <c r="E1015" s="27" t="e">
        <f>VLOOKUP(D1015,'lista 1'!$A$2:$F$1802,5,0)</f>
        <v>#N/A</v>
      </c>
      <c r="F1015" s="59" t="e">
        <f>VLOOKUP(G1015,'lista 3'!$A$1:$C$467,3,0)</f>
        <v>#N/A</v>
      </c>
      <c r="G1015" s="76"/>
      <c r="H1015" s="85"/>
      <c r="I1015" s="59" t="e">
        <f>VLOOKUP(J1015,'lista 3'!$A$1:$C$467,3,0)</f>
        <v>#N/A</v>
      </c>
      <c r="J1015" s="78"/>
      <c r="K1015" s="87"/>
      <c r="L1015" s="82"/>
      <c r="M1015" s="22"/>
      <c r="N1015" s="22"/>
      <c r="O1015" s="22"/>
      <c r="P1015" s="26"/>
      <c r="Q1015" s="26"/>
      <c r="R1015" s="26"/>
      <c r="S1015" s="47"/>
      <c r="T1015" s="4" t="e">
        <f>VLOOKUP(#REF!,#REF!,2,0)</f>
        <v>#REF!</v>
      </c>
      <c r="U1015" s="20" t="e">
        <f t="shared" si="43"/>
        <v>#REF!</v>
      </c>
      <c r="V1015" s="47"/>
      <c r="W1015" s="43"/>
      <c r="Y1015" s="67" t="e">
        <f t="shared" si="44"/>
        <v>#N/A</v>
      </c>
    </row>
    <row r="1016" spans="1:25" ht="13.65" customHeight="1">
      <c r="A1016" s="92"/>
      <c r="B1016" s="27"/>
      <c r="C1016" s="28" t="e">
        <f>VLOOKUP(D1016,'lista 1'!$A$2:$F$1802,4,0)</f>
        <v>#N/A</v>
      </c>
      <c r="D1016" s="74"/>
      <c r="E1016" s="27" t="e">
        <f>VLOOKUP(D1016,'lista 1'!$A$2:$F$1802,5,0)</f>
        <v>#N/A</v>
      </c>
      <c r="F1016" s="59" t="e">
        <f>VLOOKUP(G1016,'lista 3'!$A$1:$C$467,3,0)</f>
        <v>#N/A</v>
      </c>
      <c r="G1016" s="76"/>
      <c r="H1016" s="85"/>
      <c r="I1016" s="59" t="e">
        <f>VLOOKUP(J1016,'lista 3'!$A$1:$C$467,3,0)</f>
        <v>#N/A</v>
      </c>
      <c r="J1016" s="78"/>
      <c r="K1016" s="87"/>
      <c r="L1016" s="82"/>
      <c r="M1016" s="22"/>
      <c r="N1016" s="22"/>
      <c r="O1016" s="22"/>
      <c r="P1016" s="26"/>
      <c r="Q1016" s="26"/>
      <c r="R1016" s="26"/>
      <c r="S1016" s="47"/>
      <c r="T1016" s="4" t="e">
        <f>VLOOKUP(#REF!,#REF!,2,0)</f>
        <v>#REF!</v>
      </c>
      <c r="U1016" s="20" t="e">
        <f t="shared" si="43"/>
        <v>#REF!</v>
      </c>
      <c r="V1016" s="47"/>
      <c r="W1016" s="43"/>
      <c r="Y1016" s="67" t="e">
        <f t="shared" si="44"/>
        <v>#N/A</v>
      </c>
    </row>
    <row r="1017" spans="1:25" ht="13.65" customHeight="1">
      <c r="A1017" s="92"/>
      <c r="B1017" s="27"/>
      <c r="C1017" s="28" t="e">
        <f>VLOOKUP(D1017,'lista 1'!$A$2:$F$1802,4,0)</f>
        <v>#N/A</v>
      </c>
      <c r="D1017" s="74"/>
      <c r="E1017" s="27" t="e">
        <f>VLOOKUP(D1017,'lista 1'!$A$2:$F$1802,5,0)</f>
        <v>#N/A</v>
      </c>
      <c r="F1017" s="59" t="e">
        <f>VLOOKUP(G1017,'lista 3'!$A$1:$C$467,3,0)</f>
        <v>#N/A</v>
      </c>
      <c r="G1017" s="76"/>
      <c r="H1017" s="85"/>
      <c r="I1017" s="59" t="e">
        <f>VLOOKUP(J1017,'lista 3'!$A$1:$C$467,3,0)</f>
        <v>#N/A</v>
      </c>
      <c r="J1017" s="78"/>
      <c r="K1017" s="87"/>
      <c r="L1017" s="82"/>
      <c r="M1017" s="22"/>
      <c r="N1017" s="22"/>
      <c r="O1017" s="22"/>
      <c r="P1017" s="26"/>
      <c r="Q1017" s="26"/>
      <c r="R1017" s="26"/>
      <c r="S1017" s="47"/>
      <c r="T1017" s="4" t="e">
        <f>VLOOKUP(#REF!,#REF!,2,0)</f>
        <v>#REF!</v>
      </c>
      <c r="U1017" s="20" t="e">
        <f t="shared" si="43"/>
        <v>#REF!</v>
      </c>
      <c r="V1017" s="47"/>
      <c r="W1017" s="43"/>
      <c r="Y1017" s="67" t="e">
        <f t="shared" si="44"/>
        <v>#N/A</v>
      </c>
    </row>
    <row r="1018" spans="1:25" ht="13.65" customHeight="1">
      <c r="A1018" s="92"/>
      <c r="B1018" s="27"/>
      <c r="C1018" s="28" t="e">
        <f>VLOOKUP(D1018,'lista 1'!$A$2:$F$1802,4,0)</f>
        <v>#N/A</v>
      </c>
      <c r="D1018" s="74"/>
      <c r="E1018" s="27" t="e">
        <f>VLOOKUP(D1018,'lista 1'!$A$2:$F$1802,5,0)</f>
        <v>#N/A</v>
      </c>
      <c r="F1018" s="59" t="e">
        <f>VLOOKUP(G1018,'lista 3'!$A$1:$C$467,3,0)</f>
        <v>#N/A</v>
      </c>
      <c r="G1018" s="76"/>
      <c r="H1018" s="85"/>
      <c r="I1018" s="59" t="e">
        <f>VLOOKUP(J1018,'lista 3'!$A$1:$C$467,3,0)</f>
        <v>#N/A</v>
      </c>
      <c r="J1018" s="78"/>
      <c r="K1018" s="87"/>
      <c r="L1018" s="82"/>
      <c r="M1018" s="22"/>
      <c r="N1018" s="22"/>
      <c r="O1018" s="22"/>
      <c r="P1018" s="26"/>
      <c r="Q1018" s="26"/>
      <c r="R1018" s="26"/>
      <c r="S1018" s="47"/>
      <c r="T1018" s="4" t="e">
        <f>VLOOKUP(#REF!,#REF!,2,0)</f>
        <v>#REF!</v>
      </c>
      <c r="U1018" s="20" t="e">
        <f t="shared" si="43"/>
        <v>#REF!</v>
      </c>
      <c r="V1018" s="47"/>
      <c r="W1018" s="43"/>
      <c r="Y1018" s="67" t="e">
        <f t="shared" si="44"/>
        <v>#N/A</v>
      </c>
    </row>
    <row r="1019" spans="1:25" ht="13.65" customHeight="1">
      <c r="A1019" s="92"/>
      <c r="B1019" s="27"/>
      <c r="C1019" s="28" t="e">
        <f>VLOOKUP(D1019,'lista 1'!$A$2:$F$1802,4,0)</f>
        <v>#N/A</v>
      </c>
      <c r="D1019" s="74"/>
      <c r="E1019" s="27" t="e">
        <f>VLOOKUP(D1019,'lista 1'!$A$2:$F$1802,5,0)</f>
        <v>#N/A</v>
      </c>
      <c r="F1019" s="59" t="e">
        <f>VLOOKUP(G1019,'lista 3'!$A$1:$C$467,3,0)</f>
        <v>#N/A</v>
      </c>
      <c r="G1019" s="76"/>
      <c r="H1019" s="85"/>
      <c r="I1019" s="59" t="e">
        <f>VLOOKUP(J1019,'lista 3'!$A$1:$C$467,3,0)</f>
        <v>#N/A</v>
      </c>
      <c r="J1019" s="78"/>
      <c r="K1019" s="87"/>
      <c r="L1019" s="82"/>
      <c r="M1019" s="22"/>
      <c r="N1019" s="22"/>
      <c r="O1019" s="22"/>
      <c r="P1019" s="26"/>
      <c r="Q1019" s="26"/>
      <c r="R1019" s="26"/>
      <c r="S1019" s="47"/>
      <c r="T1019" s="4" t="e">
        <f>VLOOKUP(#REF!,#REF!,2,0)</f>
        <v>#REF!</v>
      </c>
      <c r="U1019" s="20" t="e">
        <f t="shared" si="43"/>
        <v>#REF!</v>
      </c>
      <c r="V1019" s="47"/>
      <c r="W1019" s="43"/>
      <c r="Y1019" s="67" t="e">
        <f t="shared" si="44"/>
        <v>#N/A</v>
      </c>
    </row>
    <row r="1020" spans="1:25" ht="13.65" customHeight="1">
      <c r="A1020" s="92"/>
      <c r="B1020" s="27"/>
      <c r="C1020" s="28" t="e">
        <f>VLOOKUP(D1020,'lista 1'!$A$2:$F$1802,4,0)</f>
        <v>#N/A</v>
      </c>
      <c r="D1020" s="74"/>
      <c r="E1020" s="27" t="e">
        <f>VLOOKUP(D1020,'lista 1'!$A$2:$F$1802,5,0)</f>
        <v>#N/A</v>
      </c>
      <c r="F1020" s="59" t="e">
        <f>VLOOKUP(G1020,'lista 3'!$A$1:$C$467,3,0)</f>
        <v>#N/A</v>
      </c>
      <c r="G1020" s="76"/>
      <c r="H1020" s="85"/>
      <c r="I1020" s="59" t="e">
        <f>VLOOKUP(J1020,'lista 3'!$A$1:$C$467,3,0)</f>
        <v>#N/A</v>
      </c>
      <c r="J1020" s="78"/>
      <c r="K1020" s="87"/>
      <c r="L1020" s="82"/>
      <c r="M1020" s="22"/>
      <c r="N1020" s="22"/>
      <c r="O1020" s="22"/>
      <c r="P1020" s="26"/>
      <c r="Q1020" s="26"/>
      <c r="R1020" s="26"/>
      <c r="S1020" s="47"/>
      <c r="T1020" s="4" t="e">
        <f>VLOOKUP(#REF!,#REF!,2,0)</f>
        <v>#REF!</v>
      </c>
      <c r="U1020" s="20" t="e">
        <f t="shared" si="43"/>
        <v>#REF!</v>
      </c>
      <c r="V1020" s="47"/>
      <c r="W1020" s="43"/>
      <c r="Y1020" s="67" t="e">
        <f t="shared" si="44"/>
        <v>#N/A</v>
      </c>
    </row>
    <row r="1021" spans="1:25" ht="13.65" customHeight="1">
      <c r="A1021" s="92"/>
      <c r="B1021" s="27"/>
      <c r="C1021" s="28" t="e">
        <f>VLOOKUP(D1021,'lista 1'!$A$2:$F$1802,4,0)</f>
        <v>#N/A</v>
      </c>
      <c r="D1021" s="74"/>
      <c r="E1021" s="27" t="e">
        <f>VLOOKUP(D1021,'lista 1'!$A$2:$F$1802,5,0)</f>
        <v>#N/A</v>
      </c>
      <c r="F1021" s="59" t="e">
        <f>VLOOKUP(G1021,'lista 3'!$A$1:$C$467,3,0)</f>
        <v>#N/A</v>
      </c>
      <c r="G1021" s="76"/>
      <c r="H1021" s="85"/>
      <c r="I1021" s="59" t="e">
        <f>VLOOKUP(J1021,'lista 3'!$A$1:$C$467,3,0)</f>
        <v>#N/A</v>
      </c>
      <c r="J1021" s="78"/>
      <c r="K1021" s="87"/>
      <c r="L1021" s="82"/>
      <c r="M1021" s="22"/>
      <c r="N1021" s="22"/>
      <c r="O1021" s="22"/>
      <c r="P1021" s="26"/>
      <c r="Q1021" s="26"/>
      <c r="R1021" s="26"/>
      <c r="S1021" s="47"/>
      <c r="T1021" s="4" t="e">
        <f>VLOOKUP(#REF!,#REF!,2,0)</f>
        <v>#REF!</v>
      </c>
      <c r="U1021" s="20" t="e">
        <f t="shared" si="43"/>
        <v>#REF!</v>
      </c>
      <c r="V1021" s="47"/>
      <c r="W1021" s="43"/>
      <c r="Y1021" s="67" t="e">
        <f t="shared" si="44"/>
        <v>#N/A</v>
      </c>
    </row>
    <row r="1022" spans="1:25" ht="13.65" customHeight="1">
      <c r="A1022" s="92"/>
      <c r="B1022" s="27"/>
      <c r="C1022" s="28" t="e">
        <f>VLOOKUP(D1022,'lista 1'!$A$2:$F$1802,4,0)</f>
        <v>#N/A</v>
      </c>
      <c r="D1022" s="74"/>
      <c r="E1022" s="27" t="e">
        <f>VLOOKUP(D1022,'lista 1'!$A$2:$F$1802,5,0)</f>
        <v>#N/A</v>
      </c>
      <c r="F1022" s="59" t="e">
        <f>VLOOKUP(G1022,'lista 3'!$A$1:$C$467,3,0)</f>
        <v>#N/A</v>
      </c>
      <c r="G1022" s="76"/>
      <c r="H1022" s="85"/>
      <c r="I1022" s="59" t="e">
        <f>VLOOKUP(J1022,'lista 3'!$A$1:$C$467,3,0)</f>
        <v>#N/A</v>
      </c>
      <c r="J1022" s="78"/>
      <c r="K1022" s="87"/>
      <c r="L1022" s="82"/>
      <c r="M1022" s="22"/>
      <c r="N1022" s="22"/>
      <c r="O1022" s="22"/>
      <c r="P1022" s="26"/>
      <c r="Q1022" s="26"/>
      <c r="R1022" s="26"/>
      <c r="S1022" s="47"/>
      <c r="T1022" s="4" t="e">
        <f>VLOOKUP(#REF!,#REF!,2,0)</f>
        <v>#REF!</v>
      </c>
      <c r="U1022" s="20" t="e">
        <f t="shared" si="43"/>
        <v>#REF!</v>
      </c>
      <c r="V1022" s="47"/>
      <c r="W1022" s="43"/>
      <c r="Y1022" s="67" t="e">
        <f t="shared" si="44"/>
        <v>#N/A</v>
      </c>
    </row>
    <row r="1023" spans="1:25" ht="13.65" customHeight="1">
      <c r="A1023" s="92"/>
      <c r="B1023" s="27"/>
      <c r="C1023" s="28" t="e">
        <f>VLOOKUP(D1023,'lista 1'!$A$2:$F$1802,4,0)</f>
        <v>#N/A</v>
      </c>
      <c r="D1023" s="74"/>
      <c r="E1023" s="27" t="e">
        <f>VLOOKUP(D1023,'lista 1'!$A$2:$F$1802,5,0)</f>
        <v>#N/A</v>
      </c>
      <c r="F1023" s="59" t="e">
        <f>VLOOKUP(G1023,'lista 3'!$A$1:$C$467,3,0)</f>
        <v>#N/A</v>
      </c>
      <c r="G1023" s="76"/>
      <c r="H1023" s="85"/>
      <c r="I1023" s="59" t="e">
        <f>VLOOKUP(J1023,'lista 3'!$A$1:$C$467,3,0)</f>
        <v>#N/A</v>
      </c>
      <c r="J1023" s="78"/>
      <c r="K1023" s="87"/>
      <c r="L1023" s="82"/>
      <c r="M1023" s="22"/>
      <c r="N1023" s="22"/>
      <c r="O1023" s="22"/>
      <c r="P1023" s="26"/>
      <c r="Q1023" s="26"/>
      <c r="R1023" s="26"/>
      <c r="S1023" s="47"/>
      <c r="T1023" s="4" t="e">
        <f>VLOOKUP(#REF!,#REF!,2,0)</f>
        <v>#REF!</v>
      </c>
      <c r="U1023" s="20" t="e">
        <f t="shared" si="43"/>
        <v>#REF!</v>
      </c>
      <c r="V1023" s="47"/>
      <c r="W1023" s="43"/>
      <c r="Y1023" s="67" t="e">
        <f t="shared" si="44"/>
        <v>#N/A</v>
      </c>
    </row>
    <row r="1024" spans="1:25" ht="13.65" customHeight="1">
      <c r="A1024" s="92"/>
      <c r="B1024" s="27"/>
      <c r="C1024" s="28" t="e">
        <f>VLOOKUP(D1024,'lista 1'!$A$2:$F$1802,4,0)</f>
        <v>#N/A</v>
      </c>
      <c r="D1024" s="74"/>
      <c r="E1024" s="27" t="e">
        <f>VLOOKUP(D1024,'lista 1'!$A$2:$F$1802,5,0)</f>
        <v>#N/A</v>
      </c>
      <c r="F1024" s="59" t="e">
        <f>VLOOKUP(G1024,'lista 3'!$A$1:$C$467,3,0)</f>
        <v>#N/A</v>
      </c>
      <c r="G1024" s="76"/>
      <c r="H1024" s="85"/>
      <c r="I1024" s="59" t="e">
        <f>VLOOKUP(J1024,'lista 3'!$A$1:$C$467,3,0)</f>
        <v>#N/A</v>
      </c>
      <c r="J1024" s="78"/>
      <c r="K1024" s="87"/>
      <c r="L1024" s="82"/>
      <c r="M1024" s="22"/>
      <c r="N1024" s="22"/>
      <c r="O1024" s="22"/>
      <c r="P1024" s="26"/>
      <c r="Q1024" s="26"/>
      <c r="R1024" s="26"/>
      <c r="S1024" s="47"/>
      <c r="T1024" s="4" t="e">
        <f>VLOOKUP(#REF!,#REF!,2,0)</f>
        <v>#REF!</v>
      </c>
      <c r="U1024" s="20" t="e">
        <f t="shared" si="43"/>
        <v>#REF!</v>
      </c>
      <c r="V1024" s="47"/>
      <c r="W1024" s="43"/>
      <c r="Y1024" s="67" t="e">
        <f t="shared" si="44"/>
        <v>#N/A</v>
      </c>
    </row>
    <row r="1025" spans="1:25" ht="13.65" customHeight="1">
      <c r="A1025" s="92"/>
      <c r="B1025" s="27"/>
      <c r="C1025" s="28" t="e">
        <f>VLOOKUP(D1025,'lista 1'!$A$2:$F$1802,4,0)</f>
        <v>#N/A</v>
      </c>
      <c r="D1025" s="74"/>
      <c r="E1025" s="27" t="e">
        <f>VLOOKUP(D1025,'lista 1'!$A$2:$F$1802,5,0)</f>
        <v>#N/A</v>
      </c>
      <c r="F1025" s="59" t="e">
        <f>VLOOKUP(G1025,'lista 3'!$A$1:$C$467,3,0)</f>
        <v>#N/A</v>
      </c>
      <c r="G1025" s="76"/>
      <c r="H1025" s="85"/>
      <c r="I1025" s="59" t="e">
        <f>VLOOKUP(J1025,'lista 3'!$A$1:$C$467,3,0)</f>
        <v>#N/A</v>
      </c>
      <c r="J1025" s="78"/>
      <c r="K1025" s="87"/>
      <c r="L1025" s="82"/>
      <c r="M1025" s="22"/>
      <c r="N1025" s="22"/>
      <c r="O1025" s="22"/>
      <c r="P1025" s="26"/>
      <c r="Q1025" s="26"/>
      <c r="R1025" s="26"/>
      <c r="S1025" s="47"/>
      <c r="T1025" s="4" t="e">
        <f>VLOOKUP(#REF!,#REF!,2,0)</f>
        <v>#REF!</v>
      </c>
      <c r="U1025" s="20" t="e">
        <f t="shared" si="43"/>
        <v>#REF!</v>
      </c>
      <c r="V1025" s="47"/>
      <c r="W1025" s="43"/>
      <c r="Y1025" s="67" t="e">
        <f t="shared" si="44"/>
        <v>#N/A</v>
      </c>
    </row>
    <row r="1026" spans="1:25" ht="13.65" customHeight="1">
      <c r="A1026" s="92"/>
      <c r="B1026" s="27"/>
      <c r="C1026" s="28" t="e">
        <f>VLOOKUP(D1026,'lista 1'!$A$2:$F$1802,4,0)</f>
        <v>#N/A</v>
      </c>
      <c r="D1026" s="74"/>
      <c r="E1026" s="27" t="e">
        <f>VLOOKUP(D1026,'lista 1'!$A$2:$F$1802,5,0)</f>
        <v>#N/A</v>
      </c>
      <c r="F1026" s="59" t="e">
        <f>VLOOKUP(G1026,'lista 3'!$A$1:$C$467,3,0)</f>
        <v>#N/A</v>
      </c>
      <c r="G1026" s="76"/>
      <c r="H1026" s="85"/>
      <c r="I1026" s="59" t="e">
        <f>VLOOKUP(J1026,'lista 3'!$A$1:$C$467,3,0)</f>
        <v>#N/A</v>
      </c>
      <c r="J1026" s="78"/>
      <c r="K1026" s="87"/>
      <c r="L1026" s="82"/>
      <c r="M1026" s="22"/>
      <c r="N1026" s="22"/>
      <c r="O1026" s="22"/>
      <c r="P1026" s="26"/>
      <c r="Q1026" s="26"/>
      <c r="R1026" s="26"/>
      <c r="S1026" s="47"/>
      <c r="T1026" s="4" t="e">
        <f>VLOOKUP(#REF!,#REF!,2,0)</f>
        <v>#REF!</v>
      </c>
      <c r="U1026" s="20" t="e">
        <f t="shared" si="43"/>
        <v>#REF!</v>
      </c>
      <c r="V1026" s="47"/>
      <c r="W1026" s="43"/>
      <c r="Y1026" s="67" t="e">
        <f t="shared" si="44"/>
        <v>#N/A</v>
      </c>
    </row>
    <row r="1027" spans="1:25" ht="13.65" customHeight="1">
      <c r="A1027" s="92"/>
      <c r="B1027" s="27"/>
      <c r="C1027" s="28" t="e">
        <f>VLOOKUP(D1027,'lista 1'!$A$2:$F$1802,4,0)</f>
        <v>#N/A</v>
      </c>
      <c r="D1027" s="74"/>
      <c r="E1027" s="27" t="e">
        <f>VLOOKUP(D1027,'lista 1'!$A$2:$F$1802,5,0)</f>
        <v>#N/A</v>
      </c>
      <c r="F1027" s="59" t="e">
        <f>VLOOKUP(G1027,'lista 3'!$A$1:$C$467,3,0)</f>
        <v>#N/A</v>
      </c>
      <c r="G1027" s="76"/>
      <c r="H1027" s="85"/>
      <c r="I1027" s="59" t="e">
        <f>VLOOKUP(J1027,'lista 3'!$A$1:$C$467,3,0)</f>
        <v>#N/A</v>
      </c>
      <c r="J1027" s="78"/>
      <c r="K1027" s="87"/>
      <c r="L1027" s="82"/>
      <c r="M1027" s="22"/>
      <c r="N1027" s="22"/>
      <c r="O1027" s="22"/>
      <c r="P1027" s="26"/>
      <c r="Q1027" s="26"/>
      <c r="R1027" s="26"/>
      <c r="S1027" s="47"/>
      <c r="T1027" s="4" t="e">
        <f>VLOOKUP(#REF!,#REF!,2,0)</f>
        <v>#REF!</v>
      </c>
      <c r="U1027" s="20" t="e">
        <f t="shared" si="43"/>
        <v>#REF!</v>
      </c>
      <c r="V1027" s="47"/>
      <c r="W1027" s="43"/>
      <c r="Y1027" s="67" t="e">
        <f t="shared" si="44"/>
        <v>#N/A</v>
      </c>
    </row>
    <row r="1028" spans="1:25" ht="13.65" customHeight="1">
      <c r="A1028" s="92"/>
      <c r="B1028" s="27"/>
      <c r="C1028" s="28" t="e">
        <f>VLOOKUP(D1028,'lista 1'!$A$2:$F$1802,4,0)</f>
        <v>#N/A</v>
      </c>
      <c r="D1028" s="74"/>
      <c r="E1028" s="27" t="e">
        <f>VLOOKUP(D1028,'lista 1'!$A$2:$F$1802,5,0)</f>
        <v>#N/A</v>
      </c>
      <c r="F1028" s="59" t="e">
        <f>VLOOKUP(G1028,'lista 3'!$A$1:$C$467,3,0)</f>
        <v>#N/A</v>
      </c>
      <c r="G1028" s="76"/>
      <c r="H1028" s="85"/>
      <c r="I1028" s="59" t="e">
        <f>VLOOKUP(J1028,'lista 3'!$A$1:$C$467,3,0)</f>
        <v>#N/A</v>
      </c>
      <c r="J1028" s="78"/>
      <c r="K1028" s="87"/>
      <c r="L1028" s="82"/>
      <c r="M1028" s="22"/>
      <c r="N1028" s="22"/>
      <c r="O1028" s="22"/>
      <c r="P1028" s="26"/>
      <c r="Q1028" s="26"/>
      <c r="R1028" s="26"/>
      <c r="S1028" s="47"/>
      <c r="T1028" s="4" t="e">
        <f>VLOOKUP(#REF!,#REF!,2,0)</f>
        <v>#REF!</v>
      </c>
      <c r="U1028" s="20" t="e">
        <f t="shared" si="43"/>
        <v>#REF!</v>
      </c>
      <c r="V1028" s="47"/>
      <c r="W1028" s="43"/>
      <c r="Y1028" s="67" t="e">
        <f t="shared" si="44"/>
        <v>#N/A</v>
      </c>
    </row>
    <row r="1029" spans="1:25" ht="13.65" customHeight="1">
      <c r="A1029" s="92"/>
      <c r="B1029" s="27"/>
      <c r="C1029" s="28" t="e">
        <f>VLOOKUP(D1029,'lista 1'!$A$2:$F$1802,4,0)</f>
        <v>#N/A</v>
      </c>
      <c r="D1029" s="74"/>
      <c r="E1029" s="27" t="e">
        <f>VLOOKUP(D1029,'lista 1'!$A$2:$F$1802,5,0)</f>
        <v>#N/A</v>
      </c>
      <c r="F1029" s="59" t="e">
        <f>VLOOKUP(G1029,'lista 3'!$A$1:$C$467,3,0)</f>
        <v>#N/A</v>
      </c>
      <c r="G1029" s="76"/>
      <c r="H1029" s="85"/>
      <c r="I1029" s="59" t="e">
        <f>VLOOKUP(J1029,'lista 3'!$A$1:$C$467,3,0)</f>
        <v>#N/A</v>
      </c>
      <c r="J1029" s="78"/>
      <c r="K1029" s="87"/>
      <c r="L1029" s="82"/>
      <c r="M1029" s="22"/>
      <c r="N1029" s="22"/>
      <c r="O1029" s="22"/>
      <c r="P1029" s="26"/>
      <c r="Q1029" s="26"/>
      <c r="R1029" s="26"/>
      <c r="S1029" s="47"/>
      <c r="T1029" s="4" t="e">
        <f>VLOOKUP(#REF!,#REF!,2,0)</f>
        <v>#REF!</v>
      </c>
      <c r="U1029" s="20" t="e">
        <f t="shared" si="43"/>
        <v>#REF!</v>
      </c>
      <c r="V1029" s="47"/>
      <c r="W1029" s="43"/>
      <c r="Y1029" s="67" t="e">
        <f t="shared" si="44"/>
        <v>#N/A</v>
      </c>
    </row>
    <row r="1030" spans="1:25" ht="13.65" customHeight="1">
      <c r="A1030" s="92"/>
      <c r="B1030" s="27"/>
      <c r="C1030" s="28" t="e">
        <f>VLOOKUP(D1030,'lista 1'!$A$2:$F$1802,4,0)</f>
        <v>#N/A</v>
      </c>
      <c r="D1030" s="74"/>
      <c r="E1030" s="27" t="e">
        <f>VLOOKUP(D1030,'lista 1'!$A$2:$F$1802,5,0)</f>
        <v>#N/A</v>
      </c>
      <c r="F1030" s="59" t="e">
        <f>VLOOKUP(G1030,'lista 3'!$A$1:$C$467,3,0)</f>
        <v>#N/A</v>
      </c>
      <c r="G1030" s="76"/>
      <c r="H1030" s="85"/>
      <c r="I1030" s="59" t="e">
        <f>VLOOKUP(J1030,'lista 3'!$A$1:$C$467,3,0)</f>
        <v>#N/A</v>
      </c>
      <c r="J1030" s="78"/>
      <c r="K1030" s="87"/>
      <c r="L1030" s="82"/>
      <c r="M1030" s="22"/>
      <c r="N1030" s="22"/>
      <c r="O1030" s="22"/>
      <c r="P1030" s="26"/>
      <c r="Q1030" s="26"/>
      <c r="R1030" s="26"/>
      <c r="S1030" s="47"/>
      <c r="T1030" s="4" t="e">
        <f>VLOOKUP(#REF!,#REF!,2,0)</f>
        <v>#REF!</v>
      </c>
      <c r="U1030" s="20" t="e">
        <f t="shared" si="43"/>
        <v>#REF!</v>
      </c>
      <c r="V1030" s="47"/>
      <c r="W1030" s="43"/>
      <c r="Y1030" s="67" t="e">
        <f t="shared" si="44"/>
        <v>#N/A</v>
      </c>
    </row>
    <row r="1031" spans="1:25" ht="13.65" customHeight="1">
      <c r="A1031" s="92"/>
      <c r="B1031" s="27"/>
      <c r="C1031" s="28" t="e">
        <f>VLOOKUP(D1031,'lista 1'!$A$2:$F$1802,4,0)</f>
        <v>#N/A</v>
      </c>
      <c r="D1031" s="74"/>
      <c r="E1031" s="27" t="e">
        <f>VLOOKUP(D1031,'lista 1'!$A$2:$F$1802,5,0)</f>
        <v>#N/A</v>
      </c>
      <c r="F1031" s="59" t="e">
        <f>VLOOKUP(G1031,'lista 3'!$A$1:$C$467,3,0)</f>
        <v>#N/A</v>
      </c>
      <c r="G1031" s="76"/>
      <c r="H1031" s="85"/>
      <c r="I1031" s="59" t="e">
        <f>VLOOKUP(J1031,'lista 3'!$A$1:$C$467,3,0)</f>
        <v>#N/A</v>
      </c>
      <c r="J1031" s="78"/>
      <c r="K1031" s="87"/>
      <c r="L1031" s="82"/>
      <c r="M1031" s="22"/>
      <c r="N1031" s="22"/>
      <c r="O1031" s="22"/>
      <c r="P1031" s="26"/>
      <c r="Q1031" s="26"/>
      <c r="R1031" s="26"/>
      <c r="S1031" s="47"/>
      <c r="T1031" s="4" t="e">
        <f>VLOOKUP(#REF!,#REF!,2,0)</f>
        <v>#REF!</v>
      </c>
      <c r="U1031" s="20" t="e">
        <f t="shared" si="43"/>
        <v>#REF!</v>
      </c>
      <c r="V1031" s="47"/>
      <c r="W1031" s="43"/>
      <c r="Y1031" s="67" t="e">
        <f t="shared" si="44"/>
        <v>#N/A</v>
      </c>
    </row>
    <row r="1032" spans="1:25" ht="13.65" customHeight="1">
      <c r="A1032" s="92"/>
      <c r="B1032" s="27"/>
      <c r="C1032" s="28" t="e">
        <f>VLOOKUP(D1032,'lista 1'!$A$2:$F$1802,4,0)</f>
        <v>#N/A</v>
      </c>
      <c r="D1032" s="74"/>
      <c r="E1032" s="27" t="e">
        <f>VLOOKUP(D1032,'lista 1'!$A$2:$F$1802,5,0)</f>
        <v>#N/A</v>
      </c>
      <c r="F1032" s="59" t="e">
        <f>VLOOKUP(G1032,'lista 3'!$A$1:$C$467,3,0)</f>
        <v>#N/A</v>
      </c>
      <c r="G1032" s="76"/>
      <c r="H1032" s="85"/>
      <c r="I1032" s="59" t="e">
        <f>VLOOKUP(J1032,'lista 3'!$A$1:$C$467,3,0)</f>
        <v>#N/A</v>
      </c>
      <c r="J1032" s="78"/>
      <c r="K1032" s="87"/>
      <c r="L1032" s="82"/>
      <c r="M1032" s="22"/>
      <c r="N1032" s="22"/>
      <c r="O1032" s="22"/>
      <c r="P1032" s="26"/>
      <c r="Q1032" s="26"/>
      <c r="R1032" s="26"/>
      <c r="S1032" s="47"/>
      <c r="T1032" s="4" t="e">
        <f>VLOOKUP(#REF!,#REF!,2,0)</f>
        <v>#REF!</v>
      </c>
      <c r="U1032" s="20" t="e">
        <f t="shared" si="43"/>
        <v>#REF!</v>
      </c>
      <c r="V1032" s="47"/>
      <c r="W1032" s="43"/>
      <c r="Y1032" s="67" t="e">
        <f t="shared" si="44"/>
        <v>#N/A</v>
      </c>
    </row>
    <row r="1033" spans="1:25" ht="13.65" customHeight="1">
      <c r="A1033" s="92"/>
      <c r="B1033" s="27"/>
      <c r="C1033" s="28" t="e">
        <f>VLOOKUP(D1033,'lista 1'!$A$2:$F$1802,4,0)</f>
        <v>#N/A</v>
      </c>
      <c r="D1033" s="74"/>
      <c r="E1033" s="27" t="e">
        <f>VLOOKUP(D1033,'lista 1'!$A$2:$F$1802,5,0)</f>
        <v>#N/A</v>
      </c>
      <c r="F1033" s="59" t="e">
        <f>VLOOKUP(G1033,'lista 3'!$A$1:$C$467,3,0)</f>
        <v>#N/A</v>
      </c>
      <c r="G1033" s="76"/>
      <c r="H1033" s="85"/>
      <c r="I1033" s="59" t="e">
        <f>VLOOKUP(J1033,'lista 3'!$A$1:$C$467,3,0)</f>
        <v>#N/A</v>
      </c>
      <c r="J1033" s="78"/>
      <c r="K1033" s="87"/>
      <c r="L1033" s="82"/>
      <c r="M1033" s="22"/>
      <c r="N1033" s="22"/>
      <c r="O1033" s="22"/>
      <c r="P1033" s="26"/>
      <c r="Q1033" s="26"/>
      <c r="R1033" s="26"/>
      <c r="S1033" s="47"/>
      <c r="T1033" s="4" t="e">
        <f>VLOOKUP(#REF!,#REF!,2,0)</f>
        <v>#REF!</v>
      </c>
      <c r="U1033" s="20" t="e">
        <f t="shared" si="43"/>
        <v>#REF!</v>
      </c>
      <c r="V1033" s="47"/>
      <c r="W1033" s="43"/>
      <c r="Y1033" s="67" t="e">
        <f t="shared" si="44"/>
        <v>#N/A</v>
      </c>
    </row>
    <row r="1034" spans="1:25" ht="13.65" customHeight="1">
      <c r="A1034" s="92"/>
      <c r="B1034" s="27"/>
      <c r="C1034" s="28" t="e">
        <f>VLOOKUP(D1034,'lista 1'!$A$2:$F$1802,4,0)</f>
        <v>#N/A</v>
      </c>
      <c r="D1034" s="74"/>
      <c r="E1034" s="27" t="e">
        <f>VLOOKUP(D1034,'lista 1'!$A$2:$F$1802,5,0)</f>
        <v>#N/A</v>
      </c>
      <c r="F1034" s="59" t="e">
        <f>VLOOKUP(G1034,'lista 3'!$A$1:$C$467,3,0)</f>
        <v>#N/A</v>
      </c>
      <c r="G1034" s="76"/>
      <c r="H1034" s="85"/>
      <c r="I1034" s="59" t="e">
        <f>VLOOKUP(J1034,'lista 3'!$A$1:$C$467,3,0)</f>
        <v>#N/A</v>
      </c>
      <c r="J1034" s="78"/>
      <c r="K1034" s="87"/>
      <c r="L1034" s="82"/>
      <c r="M1034" s="22"/>
      <c r="N1034" s="22"/>
      <c r="O1034" s="22"/>
      <c r="P1034" s="26"/>
      <c r="Q1034" s="26"/>
      <c r="R1034" s="26"/>
      <c r="S1034" s="47"/>
      <c r="T1034" s="4" t="e">
        <f>VLOOKUP(#REF!,#REF!,2,0)</f>
        <v>#REF!</v>
      </c>
      <c r="U1034" s="20" t="e">
        <f t="shared" si="43"/>
        <v>#REF!</v>
      </c>
      <c r="V1034" s="47"/>
      <c r="W1034" s="43"/>
      <c r="Y1034" s="67" t="e">
        <f t="shared" si="44"/>
        <v>#N/A</v>
      </c>
    </row>
    <row r="1035" spans="1:25" ht="13.65" customHeight="1">
      <c r="A1035" s="92"/>
      <c r="B1035" s="27"/>
      <c r="C1035" s="28" t="e">
        <f>VLOOKUP(D1035,'lista 1'!$A$2:$F$1802,4,0)</f>
        <v>#N/A</v>
      </c>
      <c r="D1035" s="74"/>
      <c r="E1035" s="27" t="e">
        <f>VLOOKUP(D1035,'lista 1'!$A$2:$F$1802,5,0)</f>
        <v>#N/A</v>
      </c>
      <c r="F1035" s="59" t="e">
        <f>VLOOKUP(G1035,'lista 3'!$A$1:$C$467,3,0)</f>
        <v>#N/A</v>
      </c>
      <c r="G1035" s="76"/>
      <c r="H1035" s="85"/>
      <c r="I1035" s="59" t="e">
        <f>VLOOKUP(J1035,'lista 3'!$A$1:$C$467,3,0)</f>
        <v>#N/A</v>
      </c>
      <c r="J1035" s="78"/>
      <c r="K1035" s="87"/>
      <c r="L1035" s="82"/>
      <c r="M1035" s="22"/>
      <c r="N1035" s="22"/>
      <c r="O1035" s="22"/>
      <c r="P1035" s="26"/>
      <c r="Q1035" s="26"/>
      <c r="R1035" s="26"/>
      <c r="S1035" s="47"/>
      <c r="T1035" s="4" t="e">
        <f>VLOOKUP(#REF!,#REF!,2,0)</f>
        <v>#REF!</v>
      </c>
      <c r="U1035" s="20" t="e">
        <f t="shared" si="43"/>
        <v>#REF!</v>
      </c>
      <c r="V1035" s="47"/>
      <c r="W1035" s="43"/>
      <c r="Y1035" s="67" t="e">
        <f t="shared" si="44"/>
        <v>#N/A</v>
      </c>
    </row>
    <row r="1036" spans="1:25" ht="13.65" customHeight="1">
      <c r="A1036" s="92"/>
      <c r="B1036" s="27"/>
      <c r="C1036" s="28" t="e">
        <f>VLOOKUP(D1036,'lista 1'!$A$2:$F$1802,4,0)</f>
        <v>#N/A</v>
      </c>
      <c r="D1036" s="74"/>
      <c r="E1036" s="27" t="e">
        <f>VLOOKUP(D1036,'lista 1'!$A$2:$F$1802,5,0)</f>
        <v>#N/A</v>
      </c>
      <c r="F1036" s="59" t="e">
        <f>VLOOKUP(G1036,'lista 3'!$A$1:$C$467,3,0)</f>
        <v>#N/A</v>
      </c>
      <c r="G1036" s="76"/>
      <c r="H1036" s="85"/>
      <c r="I1036" s="59" t="e">
        <f>VLOOKUP(J1036,'lista 3'!$A$1:$C$467,3,0)</f>
        <v>#N/A</v>
      </c>
      <c r="J1036" s="78"/>
      <c r="K1036" s="87"/>
      <c r="L1036" s="82"/>
      <c r="M1036" s="22"/>
      <c r="N1036" s="22"/>
      <c r="O1036" s="22"/>
      <c r="P1036" s="26"/>
      <c r="Q1036" s="26"/>
      <c r="R1036" s="26"/>
      <c r="S1036" s="47"/>
      <c r="T1036" s="4" t="e">
        <f>VLOOKUP(#REF!,#REF!,2,0)</f>
        <v>#REF!</v>
      </c>
      <c r="U1036" s="20" t="e">
        <f t="shared" si="43"/>
        <v>#REF!</v>
      </c>
      <c r="V1036" s="47"/>
      <c r="W1036" s="43"/>
      <c r="Y1036" s="67" t="e">
        <f t="shared" si="44"/>
        <v>#N/A</v>
      </c>
    </row>
    <row r="1037" spans="1:25" ht="13.65" customHeight="1">
      <c r="A1037" s="92"/>
      <c r="B1037" s="27"/>
      <c r="C1037" s="28" t="e">
        <f>VLOOKUP(D1037,'lista 1'!$A$2:$F$1802,4,0)</f>
        <v>#N/A</v>
      </c>
      <c r="D1037" s="74"/>
      <c r="E1037" s="27" t="e">
        <f>VLOOKUP(D1037,'lista 1'!$A$2:$F$1802,5,0)</f>
        <v>#N/A</v>
      </c>
      <c r="F1037" s="59" t="e">
        <f>VLOOKUP(G1037,'lista 3'!$A$1:$C$467,3,0)</f>
        <v>#N/A</v>
      </c>
      <c r="G1037" s="76"/>
      <c r="H1037" s="85"/>
      <c r="I1037" s="59" t="e">
        <f>VLOOKUP(J1037,'lista 3'!$A$1:$C$467,3,0)</f>
        <v>#N/A</v>
      </c>
      <c r="J1037" s="78"/>
      <c r="K1037" s="87"/>
      <c r="L1037" s="82"/>
      <c r="M1037" s="22"/>
      <c r="N1037" s="22"/>
      <c r="O1037" s="22"/>
      <c r="P1037" s="26"/>
      <c r="Q1037" s="26"/>
      <c r="R1037" s="26"/>
      <c r="S1037" s="47"/>
      <c r="T1037" s="4" t="e">
        <f>VLOOKUP(#REF!,#REF!,2,0)</f>
        <v>#REF!</v>
      </c>
      <c r="U1037" s="20" t="e">
        <f t="shared" si="43"/>
        <v>#REF!</v>
      </c>
      <c r="V1037" s="47"/>
      <c r="W1037" s="43"/>
      <c r="Y1037" s="67" t="e">
        <f t="shared" si="44"/>
        <v>#N/A</v>
      </c>
    </row>
    <row r="1038" spans="1:25" ht="13.65" customHeight="1">
      <c r="A1038" s="92"/>
      <c r="B1038" s="27"/>
      <c r="C1038" s="28" t="e">
        <f>VLOOKUP(D1038,'lista 1'!$A$2:$F$1802,4,0)</f>
        <v>#N/A</v>
      </c>
      <c r="D1038" s="74"/>
      <c r="E1038" s="27" t="e">
        <f>VLOOKUP(D1038,'lista 1'!$A$2:$F$1802,5,0)</f>
        <v>#N/A</v>
      </c>
      <c r="F1038" s="59" t="e">
        <f>VLOOKUP(G1038,'lista 3'!$A$1:$C$467,3,0)</f>
        <v>#N/A</v>
      </c>
      <c r="G1038" s="76"/>
      <c r="H1038" s="85"/>
      <c r="I1038" s="59" t="e">
        <f>VLOOKUP(J1038,'lista 3'!$A$1:$C$467,3,0)</f>
        <v>#N/A</v>
      </c>
      <c r="J1038" s="78"/>
      <c r="K1038" s="87"/>
      <c r="L1038" s="82"/>
      <c r="M1038" s="22"/>
      <c r="N1038" s="22"/>
      <c r="O1038" s="22"/>
      <c r="P1038" s="26"/>
      <c r="Q1038" s="26"/>
      <c r="R1038" s="26"/>
      <c r="S1038" s="47"/>
      <c r="T1038" s="4" t="e">
        <f>VLOOKUP(#REF!,#REF!,2,0)</f>
        <v>#REF!</v>
      </c>
      <c r="U1038" s="20" t="e">
        <f t="shared" si="43"/>
        <v>#REF!</v>
      </c>
      <c r="V1038" s="47"/>
      <c r="W1038" s="43"/>
      <c r="Y1038" s="67" t="e">
        <f t="shared" si="44"/>
        <v>#N/A</v>
      </c>
    </row>
    <row r="1039" spans="1:25" ht="13.65" customHeight="1">
      <c r="A1039" s="92"/>
      <c r="B1039" s="27"/>
      <c r="C1039" s="28" t="e">
        <f>VLOOKUP(D1039,'lista 1'!$A$2:$F$1802,4,0)</f>
        <v>#N/A</v>
      </c>
      <c r="D1039" s="74"/>
      <c r="E1039" s="27" t="e">
        <f>VLOOKUP(D1039,'lista 1'!$A$2:$F$1802,5,0)</f>
        <v>#N/A</v>
      </c>
      <c r="F1039" s="59" t="e">
        <f>VLOOKUP(G1039,'lista 3'!$A$1:$C$467,3,0)</f>
        <v>#N/A</v>
      </c>
      <c r="G1039" s="76"/>
      <c r="H1039" s="85"/>
      <c r="I1039" s="59" t="e">
        <f>VLOOKUP(J1039,'lista 3'!$A$1:$C$467,3,0)</f>
        <v>#N/A</v>
      </c>
      <c r="J1039" s="78"/>
      <c r="K1039" s="87"/>
      <c r="L1039" s="82"/>
      <c r="M1039" s="22"/>
      <c r="N1039" s="22"/>
      <c r="O1039" s="22"/>
      <c r="P1039" s="26"/>
      <c r="Q1039" s="26"/>
      <c r="R1039" s="26"/>
      <c r="S1039" s="47"/>
      <c r="T1039" s="4" t="e">
        <f>VLOOKUP(#REF!,#REF!,2,0)</f>
        <v>#REF!</v>
      </c>
      <c r="U1039" s="20" t="e">
        <f t="shared" si="43"/>
        <v>#REF!</v>
      </c>
      <c r="V1039" s="47"/>
      <c r="W1039" s="43"/>
      <c r="Y1039" s="67" t="e">
        <f t="shared" si="44"/>
        <v>#N/A</v>
      </c>
    </row>
    <row r="1040" spans="1:25" ht="13.65" customHeight="1">
      <c r="A1040" s="92"/>
      <c r="B1040" s="27"/>
      <c r="C1040" s="28" t="e">
        <f>VLOOKUP(D1040,'lista 1'!$A$2:$F$1802,4,0)</f>
        <v>#N/A</v>
      </c>
      <c r="D1040" s="74"/>
      <c r="E1040" s="27" t="e">
        <f>VLOOKUP(D1040,'lista 1'!$A$2:$F$1802,5,0)</f>
        <v>#N/A</v>
      </c>
      <c r="F1040" s="59" t="e">
        <f>VLOOKUP(G1040,'lista 3'!$A$1:$C$467,3,0)</f>
        <v>#N/A</v>
      </c>
      <c r="G1040" s="76"/>
      <c r="H1040" s="85"/>
      <c r="I1040" s="59" t="e">
        <f>VLOOKUP(J1040,'lista 3'!$A$1:$C$467,3,0)</f>
        <v>#N/A</v>
      </c>
      <c r="J1040" s="78"/>
      <c r="K1040" s="87"/>
      <c r="L1040" s="82"/>
      <c r="M1040" s="22"/>
      <c r="N1040" s="22"/>
      <c r="O1040" s="22"/>
      <c r="P1040" s="26"/>
      <c r="Q1040" s="26"/>
      <c r="R1040" s="26"/>
      <c r="S1040" s="47"/>
      <c r="T1040" s="4" t="e">
        <f>VLOOKUP(#REF!,#REF!,2,0)</f>
        <v>#REF!</v>
      </c>
      <c r="U1040" s="20" t="e">
        <f t="shared" si="43"/>
        <v>#REF!</v>
      </c>
      <c r="V1040" s="47"/>
      <c r="W1040" s="43"/>
      <c r="Y1040" s="67" t="e">
        <f t="shared" si="44"/>
        <v>#N/A</v>
      </c>
    </row>
    <row r="1041" spans="1:25" ht="13.65" customHeight="1">
      <c r="A1041" s="92"/>
      <c r="B1041" s="27"/>
      <c r="C1041" s="28" t="e">
        <f>VLOOKUP(D1041,'lista 1'!$A$2:$F$1802,4,0)</f>
        <v>#N/A</v>
      </c>
      <c r="D1041" s="74"/>
      <c r="E1041" s="27" t="e">
        <f>VLOOKUP(D1041,'lista 1'!$A$2:$F$1802,5,0)</f>
        <v>#N/A</v>
      </c>
      <c r="F1041" s="59" t="e">
        <f>VLOOKUP(G1041,'lista 3'!$A$1:$C$467,3,0)</f>
        <v>#N/A</v>
      </c>
      <c r="G1041" s="76"/>
      <c r="H1041" s="85"/>
      <c r="I1041" s="59" t="e">
        <f>VLOOKUP(J1041,'lista 3'!$A$1:$C$467,3,0)</f>
        <v>#N/A</v>
      </c>
      <c r="J1041" s="78"/>
      <c r="K1041" s="87"/>
      <c r="L1041" s="82"/>
      <c r="M1041" s="22"/>
      <c r="N1041" s="22"/>
      <c r="O1041" s="22"/>
      <c r="P1041" s="26"/>
      <c r="Q1041" s="26"/>
      <c r="R1041" s="26"/>
      <c r="S1041" s="47"/>
      <c r="T1041" s="4" t="e">
        <f>VLOOKUP(#REF!,#REF!,2,0)</f>
        <v>#REF!</v>
      </c>
      <c r="U1041" s="20" t="e">
        <f t="shared" si="43"/>
        <v>#REF!</v>
      </c>
      <c r="V1041" s="47"/>
      <c r="W1041" s="43"/>
      <c r="Y1041" s="67" t="e">
        <f t="shared" si="44"/>
        <v>#N/A</v>
      </c>
    </row>
    <row r="1042" spans="1:25" ht="13.65" customHeight="1">
      <c r="A1042" s="92"/>
      <c r="B1042" s="27"/>
      <c r="C1042" s="28" t="e">
        <f>VLOOKUP(D1042,'lista 1'!$A$2:$F$1802,4,0)</f>
        <v>#N/A</v>
      </c>
      <c r="D1042" s="74"/>
      <c r="E1042" s="27" t="e">
        <f>VLOOKUP(D1042,'lista 1'!$A$2:$F$1802,5,0)</f>
        <v>#N/A</v>
      </c>
      <c r="F1042" s="59" t="e">
        <f>VLOOKUP(G1042,'lista 3'!$A$1:$C$467,3,0)</f>
        <v>#N/A</v>
      </c>
      <c r="G1042" s="76"/>
      <c r="H1042" s="85"/>
      <c r="I1042" s="59" t="e">
        <f>VLOOKUP(J1042,'lista 3'!$A$1:$C$467,3,0)</f>
        <v>#N/A</v>
      </c>
      <c r="J1042" s="78"/>
      <c r="K1042" s="87"/>
      <c r="L1042" s="82"/>
      <c r="M1042" s="22"/>
      <c r="N1042" s="22"/>
      <c r="O1042" s="22"/>
      <c r="P1042" s="26"/>
      <c r="Q1042" s="26"/>
      <c r="R1042" s="26"/>
      <c r="S1042" s="47"/>
      <c r="T1042" s="4" t="e">
        <f>VLOOKUP(#REF!,#REF!,2,0)</f>
        <v>#REF!</v>
      </c>
      <c r="U1042" s="20" t="e">
        <f t="shared" si="43"/>
        <v>#REF!</v>
      </c>
      <c r="V1042" s="47"/>
      <c r="W1042" s="43"/>
      <c r="Y1042" s="67" t="e">
        <f t="shared" si="44"/>
        <v>#N/A</v>
      </c>
    </row>
    <row r="1043" spans="1:25" ht="13.65" customHeight="1">
      <c r="A1043" s="92"/>
      <c r="B1043" s="27"/>
      <c r="C1043" s="28" t="e">
        <f>VLOOKUP(D1043,'lista 1'!$A$2:$F$1802,4,0)</f>
        <v>#N/A</v>
      </c>
      <c r="D1043" s="74"/>
      <c r="E1043" s="27" t="e">
        <f>VLOOKUP(D1043,'lista 1'!$A$2:$F$1802,5,0)</f>
        <v>#N/A</v>
      </c>
      <c r="F1043" s="59" t="e">
        <f>VLOOKUP(G1043,'lista 3'!$A$1:$C$467,3,0)</f>
        <v>#N/A</v>
      </c>
      <c r="G1043" s="76"/>
      <c r="H1043" s="85"/>
      <c r="I1043" s="59" t="e">
        <f>VLOOKUP(J1043,'lista 3'!$A$1:$C$467,3,0)</f>
        <v>#N/A</v>
      </c>
      <c r="J1043" s="78"/>
      <c r="K1043" s="87"/>
      <c r="L1043" s="82"/>
      <c r="M1043" s="22"/>
      <c r="N1043" s="22"/>
      <c r="O1043" s="22"/>
      <c r="P1043" s="26"/>
      <c r="Q1043" s="26"/>
      <c r="R1043" s="26"/>
      <c r="S1043" s="47"/>
      <c r="T1043" s="4" t="e">
        <f>VLOOKUP(#REF!,#REF!,2,0)</f>
        <v>#REF!</v>
      </c>
      <c r="U1043" s="20" t="e">
        <f t="shared" si="43"/>
        <v>#REF!</v>
      </c>
      <c r="V1043" s="47"/>
      <c r="W1043" s="43"/>
      <c r="Y1043" s="67" t="e">
        <f t="shared" si="44"/>
        <v>#N/A</v>
      </c>
    </row>
    <row r="1044" spans="1:25" ht="13.65" customHeight="1">
      <c r="A1044" s="92"/>
      <c r="B1044" s="27"/>
      <c r="C1044" s="28" t="e">
        <f>VLOOKUP(D1044,'lista 1'!$A$2:$F$1802,4,0)</f>
        <v>#N/A</v>
      </c>
      <c r="D1044" s="74"/>
      <c r="E1044" s="27" t="e">
        <f>VLOOKUP(D1044,'lista 1'!$A$2:$F$1802,5,0)</f>
        <v>#N/A</v>
      </c>
      <c r="F1044" s="59" t="e">
        <f>VLOOKUP(G1044,'lista 3'!$A$1:$C$467,3,0)</f>
        <v>#N/A</v>
      </c>
      <c r="G1044" s="76"/>
      <c r="H1044" s="85"/>
      <c r="I1044" s="59" t="e">
        <f>VLOOKUP(J1044,'lista 3'!$A$1:$C$467,3,0)</f>
        <v>#N/A</v>
      </c>
      <c r="J1044" s="78"/>
      <c r="K1044" s="87"/>
      <c r="L1044" s="82"/>
      <c r="M1044" s="22"/>
      <c r="N1044" s="22"/>
      <c r="O1044" s="22"/>
      <c r="P1044" s="26"/>
      <c r="Q1044" s="26"/>
      <c r="R1044" s="26"/>
      <c r="S1044" s="47"/>
      <c r="T1044" s="4" t="e">
        <f>VLOOKUP(#REF!,#REF!,2,0)</f>
        <v>#REF!</v>
      </c>
      <c r="U1044" s="20" t="e">
        <f t="shared" si="43"/>
        <v>#REF!</v>
      </c>
      <c r="V1044" s="47"/>
      <c r="W1044" s="43"/>
      <c r="Y1044" s="67" t="e">
        <f t="shared" si="44"/>
        <v>#N/A</v>
      </c>
    </row>
    <row r="1045" spans="1:25" ht="13.65" customHeight="1">
      <c r="A1045" s="92"/>
      <c r="B1045" s="27"/>
      <c r="C1045" s="28" t="e">
        <f>VLOOKUP(D1045,'lista 1'!$A$2:$F$1802,4,0)</f>
        <v>#N/A</v>
      </c>
      <c r="D1045" s="74"/>
      <c r="E1045" s="27" t="e">
        <f>VLOOKUP(D1045,'lista 1'!$A$2:$F$1802,5,0)</f>
        <v>#N/A</v>
      </c>
      <c r="F1045" s="59" t="e">
        <f>VLOOKUP(G1045,'lista 3'!$A$1:$C$467,3,0)</f>
        <v>#N/A</v>
      </c>
      <c r="G1045" s="76"/>
      <c r="H1045" s="85"/>
      <c r="I1045" s="59" t="e">
        <f>VLOOKUP(J1045,'lista 3'!$A$1:$C$467,3,0)</f>
        <v>#N/A</v>
      </c>
      <c r="J1045" s="78"/>
      <c r="K1045" s="87"/>
      <c r="L1045" s="82"/>
      <c r="M1045" s="22"/>
      <c r="N1045" s="22"/>
      <c r="O1045" s="22"/>
      <c r="P1045" s="26"/>
      <c r="Q1045" s="26"/>
      <c r="R1045" s="26"/>
      <c r="S1045" s="47"/>
      <c r="T1045" s="4" t="e">
        <f>VLOOKUP(#REF!,#REF!,2,0)</f>
        <v>#REF!</v>
      </c>
      <c r="U1045" s="20" t="e">
        <f t="shared" si="43"/>
        <v>#REF!</v>
      </c>
      <c r="V1045" s="47"/>
      <c r="W1045" s="43"/>
      <c r="Y1045" s="67" t="e">
        <f t="shared" si="44"/>
        <v>#N/A</v>
      </c>
    </row>
    <row r="1046" spans="1:25" ht="13.65" customHeight="1">
      <c r="A1046" s="92"/>
      <c r="B1046" s="27"/>
      <c r="C1046" s="28" t="e">
        <f>VLOOKUP(D1046,'lista 1'!$A$2:$F$1802,4,0)</f>
        <v>#N/A</v>
      </c>
      <c r="D1046" s="74"/>
      <c r="E1046" s="27" t="e">
        <f>VLOOKUP(D1046,'lista 1'!$A$2:$F$1802,5,0)</f>
        <v>#N/A</v>
      </c>
      <c r="F1046" s="59" t="e">
        <f>VLOOKUP(G1046,'lista 3'!$A$1:$C$467,3,0)</f>
        <v>#N/A</v>
      </c>
      <c r="G1046" s="76"/>
      <c r="H1046" s="85"/>
      <c r="I1046" s="59" t="e">
        <f>VLOOKUP(J1046,'lista 3'!$A$1:$C$467,3,0)</f>
        <v>#N/A</v>
      </c>
      <c r="J1046" s="78"/>
      <c r="K1046" s="87"/>
      <c r="L1046" s="82"/>
      <c r="M1046" s="22"/>
      <c r="N1046" s="22"/>
      <c r="O1046" s="22"/>
      <c r="P1046" s="26"/>
      <c r="Q1046" s="26"/>
      <c r="R1046" s="26"/>
      <c r="S1046" s="47"/>
      <c r="T1046" s="4" t="e">
        <f>VLOOKUP(#REF!,#REF!,2,0)</f>
        <v>#REF!</v>
      </c>
      <c r="U1046" s="20" t="e">
        <f t="shared" si="43"/>
        <v>#REF!</v>
      </c>
      <c r="V1046" s="47"/>
      <c r="W1046" s="43"/>
      <c r="Y1046" s="67" t="e">
        <f t="shared" si="44"/>
        <v>#N/A</v>
      </c>
    </row>
    <row r="1047" spans="1:25" ht="13.65" customHeight="1">
      <c r="A1047" s="92"/>
      <c r="B1047" s="27"/>
      <c r="C1047" s="28" t="e">
        <f>VLOOKUP(D1047,'lista 1'!$A$2:$F$1802,4,0)</f>
        <v>#N/A</v>
      </c>
      <c r="D1047" s="74"/>
      <c r="E1047" s="27" t="e">
        <f>VLOOKUP(D1047,'lista 1'!$A$2:$F$1802,5,0)</f>
        <v>#N/A</v>
      </c>
      <c r="F1047" s="59" t="e">
        <f>VLOOKUP(G1047,'lista 3'!$A$1:$C$467,3,0)</f>
        <v>#N/A</v>
      </c>
      <c r="G1047" s="76"/>
      <c r="H1047" s="85"/>
      <c r="I1047" s="59" t="e">
        <f>VLOOKUP(J1047,'lista 3'!$A$1:$C$467,3,0)</f>
        <v>#N/A</v>
      </c>
      <c r="J1047" s="78"/>
      <c r="K1047" s="87"/>
      <c r="L1047" s="82"/>
      <c r="M1047" s="22"/>
      <c r="N1047" s="22"/>
      <c r="O1047" s="22"/>
      <c r="P1047" s="26"/>
      <c r="Q1047" s="26"/>
      <c r="R1047" s="26"/>
      <c r="S1047" s="47"/>
      <c r="T1047" s="4" t="e">
        <f>VLOOKUP(#REF!,#REF!,2,0)</f>
        <v>#REF!</v>
      </c>
      <c r="U1047" s="20" t="e">
        <f t="shared" si="43"/>
        <v>#REF!</v>
      </c>
      <c r="V1047" s="47"/>
      <c r="W1047" s="43"/>
      <c r="Y1047" s="67" t="e">
        <f t="shared" si="44"/>
        <v>#N/A</v>
      </c>
    </row>
    <row r="1048" spans="1:25" ht="13.65" customHeight="1">
      <c r="A1048" s="92"/>
      <c r="B1048" s="27"/>
      <c r="C1048" s="28" t="e">
        <f>VLOOKUP(D1048,'lista 1'!$A$2:$F$1802,4,0)</f>
        <v>#N/A</v>
      </c>
      <c r="D1048" s="74"/>
      <c r="E1048" s="27" t="e">
        <f>VLOOKUP(D1048,'lista 1'!$A$2:$F$1802,5,0)</f>
        <v>#N/A</v>
      </c>
      <c r="F1048" s="59" t="e">
        <f>VLOOKUP(G1048,'lista 3'!$A$1:$C$467,3,0)</f>
        <v>#N/A</v>
      </c>
      <c r="G1048" s="76"/>
      <c r="H1048" s="85"/>
      <c r="I1048" s="59" t="e">
        <f>VLOOKUP(J1048,'lista 3'!$A$1:$C$467,3,0)</f>
        <v>#N/A</v>
      </c>
      <c r="J1048" s="78"/>
      <c r="K1048" s="87"/>
      <c r="L1048" s="82"/>
      <c r="M1048" s="22"/>
      <c r="N1048" s="22"/>
      <c r="O1048" s="22"/>
      <c r="P1048" s="26"/>
      <c r="Q1048" s="26"/>
      <c r="R1048" s="26"/>
      <c r="S1048" s="47"/>
      <c r="T1048" s="4" t="e">
        <f>VLOOKUP(#REF!,#REF!,2,0)</f>
        <v>#REF!</v>
      </c>
      <c r="U1048" s="20" t="e">
        <f t="shared" si="43"/>
        <v>#REF!</v>
      </c>
      <c r="V1048" s="47"/>
      <c r="W1048" s="43"/>
      <c r="Y1048" s="67" t="e">
        <f t="shared" si="44"/>
        <v>#N/A</v>
      </c>
    </row>
    <row r="1049" spans="1:25" ht="13.65" customHeight="1">
      <c r="A1049" s="92"/>
      <c r="B1049" s="27"/>
      <c r="C1049" s="28" t="e">
        <f>VLOOKUP(D1049,'lista 1'!$A$2:$F$1802,4,0)</f>
        <v>#N/A</v>
      </c>
      <c r="D1049" s="74"/>
      <c r="E1049" s="27" t="e">
        <f>VLOOKUP(D1049,'lista 1'!$A$2:$F$1802,5,0)</f>
        <v>#N/A</v>
      </c>
      <c r="F1049" s="59" t="e">
        <f>VLOOKUP(G1049,'lista 3'!$A$1:$C$467,3,0)</f>
        <v>#N/A</v>
      </c>
      <c r="G1049" s="76"/>
      <c r="H1049" s="85"/>
      <c r="I1049" s="59" t="e">
        <f>VLOOKUP(J1049,'lista 3'!$A$1:$C$467,3,0)</f>
        <v>#N/A</v>
      </c>
      <c r="J1049" s="78"/>
      <c r="K1049" s="87"/>
      <c r="L1049" s="82"/>
      <c r="M1049" s="22"/>
      <c r="N1049" s="22"/>
      <c r="O1049" s="22"/>
      <c r="P1049" s="26"/>
      <c r="Q1049" s="26"/>
      <c r="R1049" s="26"/>
      <c r="S1049" s="47"/>
      <c r="T1049" s="4" t="e">
        <f>VLOOKUP(#REF!,#REF!,2,0)</f>
        <v>#REF!</v>
      </c>
      <c r="U1049" s="20" t="e">
        <f t="shared" si="43"/>
        <v>#REF!</v>
      </c>
      <c r="V1049" s="47"/>
      <c r="W1049" s="43"/>
      <c r="Y1049" s="67" t="e">
        <f t="shared" si="44"/>
        <v>#N/A</v>
      </c>
    </row>
    <row r="1050" spans="1:25" ht="13.65" customHeight="1">
      <c r="A1050" s="92"/>
      <c r="B1050" s="27"/>
      <c r="C1050" s="28" t="e">
        <f>VLOOKUP(D1050,'lista 1'!$A$2:$F$1802,4,0)</f>
        <v>#N/A</v>
      </c>
      <c r="D1050" s="74"/>
      <c r="E1050" s="27" t="e">
        <f>VLOOKUP(D1050,'lista 1'!$A$2:$F$1802,5,0)</f>
        <v>#N/A</v>
      </c>
      <c r="F1050" s="59" t="e">
        <f>VLOOKUP(G1050,'lista 3'!$A$1:$C$467,3,0)</f>
        <v>#N/A</v>
      </c>
      <c r="G1050" s="76"/>
      <c r="H1050" s="85"/>
      <c r="I1050" s="59" t="e">
        <f>VLOOKUP(J1050,'lista 3'!$A$1:$C$467,3,0)</f>
        <v>#N/A</v>
      </c>
      <c r="J1050" s="78"/>
      <c r="K1050" s="87"/>
      <c r="L1050" s="82"/>
      <c r="M1050" s="22"/>
      <c r="N1050" s="22"/>
      <c r="O1050" s="22"/>
      <c r="P1050" s="26"/>
      <c r="Q1050" s="26"/>
      <c r="R1050" s="26"/>
      <c r="S1050" s="47"/>
      <c r="T1050" s="4" t="e">
        <f>VLOOKUP(#REF!,#REF!,2,0)</f>
        <v>#REF!</v>
      </c>
      <c r="U1050" s="20" t="e">
        <f t="shared" si="43"/>
        <v>#REF!</v>
      </c>
      <c r="V1050" s="47"/>
      <c r="W1050" s="43"/>
      <c r="Y1050" s="67" t="e">
        <f t="shared" si="44"/>
        <v>#N/A</v>
      </c>
    </row>
    <row r="1051" spans="1:25" ht="13.65" customHeight="1">
      <c r="A1051" s="92"/>
      <c r="B1051" s="27"/>
      <c r="C1051" s="28" t="e">
        <f>VLOOKUP(D1051,'lista 1'!$A$2:$F$1802,4,0)</f>
        <v>#N/A</v>
      </c>
      <c r="D1051" s="74"/>
      <c r="E1051" s="27" t="e">
        <f>VLOOKUP(D1051,'lista 1'!$A$2:$F$1802,5,0)</f>
        <v>#N/A</v>
      </c>
      <c r="F1051" s="59" t="e">
        <f>VLOOKUP(G1051,'lista 3'!$A$1:$C$467,3,0)</f>
        <v>#N/A</v>
      </c>
      <c r="G1051" s="76"/>
      <c r="H1051" s="85"/>
      <c r="I1051" s="59" t="e">
        <f>VLOOKUP(J1051,'lista 3'!$A$1:$C$467,3,0)</f>
        <v>#N/A</v>
      </c>
      <c r="J1051" s="78"/>
      <c r="K1051" s="87"/>
      <c r="L1051" s="82"/>
      <c r="M1051" s="22"/>
      <c r="N1051" s="22"/>
      <c r="O1051" s="22"/>
      <c r="P1051" s="26"/>
      <c r="Q1051" s="26"/>
      <c r="R1051" s="26"/>
      <c r="S1051" s="47"/>
      <c r="T1051" s="4" t="e">
        <f>VLOOKUP(#REF!,#REF!,2,0)</f>
        <v>#REF!</v>
      </c>
      <c r="U1051" s="20" t="e">
        <f t="shared" si="43"/>
        <v>#REF!</v>
      </c>
      <c r="V1051" s="47"/>
      <c r="W1051" s="43"/>
      <c r="Y1051" s="67" t="e">
        <f t="shared" si="44"/>
        <v>#N/A</v>
      </c>
    </row>
    <row r="1052" spans="1:25" ht="13.65" customHeight="1">
      <c r="A1052" s="92"/>
      <c r="B1052" s="27"/>
      <c r="C1052" s="28" t="e">
        <f>VLOOKUP(D1052,'lista 1'!$A$2:$F$1802,4,0)</f>
        <v>#N/A</v>
      </c>
      <c r="D1052" s="74"/>
      <c r="E1052" s="27" t="e">
        <f>VLOOKUP(D1052,'lista 1'!$A$2:$F$1802,5,0)</f>
        <v>#N/A</v>
      </c>
      <c r="F1052" s="59" t="e">
        <f>VLOOKUP(G1052,'lista 3'!$A$1:$C$467,3,0)</f>
        <v>#N/A</v>
      </c>
      <c r="G1052" s="76"/>
      <c r="H1052" s="85"/>
      <c r="I1052" s="59" t="e">
        <f>VLOOKUP(J1052,'lista 3'!$A$1:$C$467,3,0)</f>
        <v>#N/A</v>
      </c>
      <c r="J1052" s="78"/>
      <c r="K1052" s="87"/>
      <c r="L1052" s="82"/>
      <c r="M1052" s="22"/>
      <c r="N1052" s="22"/>
      <c r="O1052" s="22"/>
      <c r="P1052" s="26"/>
      <c r="Q1052" s="26"/>
      <c r="R1052" s="26"/>
      <c r="S1052" s="47"/>
      <c r="T1052" s="4" t="e">
        <f>VLOOKUP(#REF!,#REF!,2,0)</f>
        <v>#REF!</v>
      </c>
      <c r="U1052" s="20" t="e">
        <f t="shared" ref="U1052:U1115" si="45">L1052-T1052</f>
        <v>#REF!</v>
      </c>
      <c r="V1052" s="47"/>
      <c r="W1052" s="43"/>
      <c r="Y1052" s="67" t="e">
        <f t="shared" si="44"/>
        <v>#N/A</v>
      </c>
    </row>
    <row r="1053" spans="1:25" ht="13.65" customHeight="1">
      <c r="A1053" s="92"/>
      <c r="B1053" s="27"/>
      <c r="C1053" s="28" t="e">
        <f>VLOOKUP(D1053,'lista 1'!$A$2:$F$1802,4,0)</f>
        <v>#N/A</v>
      </c>
      <c r="D1053" s="74"/>
      <c r="E1053" s="27" t="e">
        <f>VLOOKUP(D1053,'lista 1'!$A$2:$F$1802,5,0)</f>
        <v>#N/A</v>
      </c>
      <c r="F1053" s="59" t="e">
        <f>VLOOKUP(G1053,'lista 3'!$A$1:$C$467,3,0)</f>
        <v>#N/A</v>
      </c>
      <c r="G1053" s="76"/>
      <c r="H1053" s="85"/>
      <c r="I1053" s="59" t="e">
        <f>VLOOKUP(J1053,'lista 3'!$A$1:$C$467,3,0)</f>
        <v>#N/A</v>
      </c>
      <c r="J1053" s="78"/>
      <c r="K1053" s="87"/>
      <c r="L1053" s="82"/>
      <c r="M1053" s="22"/>
      <c r="N1053" s="22"/>
      <c r="O1053" s="22"/>
      <c r="P1053" s="26"/>
      <c r="Q1053" s="26"/>
      <c r="R1053" s="26"/>
      <c r="S1053" s="47"/>
      <c r="T1053" s="4" t="e">
        <f>VLOOKUP(#REF!,#REF!,2,0)</f>
        <v>#REF!</v>
      </c>
      <c r="U1053" s="20" t="e">
        <f t="shared" si="45"/>
        <v>#REF!</v>
      </c>
      <c r="V1053" s="47"/>
      <c r="W1053" s="43"/>
      <c r="Y1053" s="67" t="e">
        <f t="shared" si="44"/>
        <v>#N/A</v>
      </c>
    </row>
    <row r="1054" spans="1:25" ht="13.65" customHeight="1">
      <c r="A1054" s="92"/>
      <c r="B1054" s="27"/>
      <c r="C1054" s="28" t="e">
        <f>VLOOKUP(D1054,'lista 1'!$A$2:$F$1802,4,0)</f>
        <v>#N/A</v>
      </c>
      <c r="D1054" s="74"/>
      <c r="E1054" s="27" t="e">
        <f>VLOOKUP(D1054,'lista 1'!$A$2:$F$1802,5,0)</f>
        <v>#N/A</v>
      </c>
      <c r="F1054" s="59" t="e">
        <f>VLOOKUP(G1054,'lista 3'!$A$1:$C$467,3,0)</f>
        <v>#N/A</v>
      </c>
      <c r="G1054" s="76"/>
      <c r="H1054" s="85"/>
      <c r="I1054" s="59" t="e">
        <f>VLOOKUP(J1054,'lista 3'!$A$1:$C$467,3,0)</f>
        <v>#N/A</v>
      </c>
      <c r="J1054" s="78"/>
      <c r="K1054" s="87"/>
      <c r="L1054" s="82"/>
      <c r="M1054" s="22"/>
      <c r="N1054" s="22"/>
      <c r="O1054" s="22"/>
      <c r="P1054" s="26"/>
      <c r="Q1054" s="26"/>
      <c r="R1054" s="26"/>
      <c r="S1054" s="47"/>
      <c r="T1054" s="4" t="e">
        <f>VLOOKUP(#REF!,#REF!,2,0)</f>
        <v>#REF!</v>
      </c>
      <c r="U1054" s="20" t="e">
        <f t="shared" si="45"/>
        <v>#REF!</v>
      </c>
      <c r="V1054" s="47"/>
      <c r="W1054" s="43"/>
      <c r="Y1054" s="67" t="e">
        <f t="shared" ref="Y1054:Y1117" si="46">F1054=I1054</f>
        <v>#N/A</v>
      </c>
    </row>
    <row r="1055" spans="1:25" ht="13.65" customHeight="1">
      <c r="A1055" s="92"/>
      <c r="B1055" s="27"/>
      <c r="C1055" s="28" t="e">
        <f>VLOOKUP(D1055,'lista 1'!$A$2:$F$1802,4,0)</f>
        <v>#N/A</v>
      </c>
      <c r="D1055" s="74"/>
      <c r="E1055" s="27" t="e">
        <f>VLOOKUP(D1055,'lista 1'!$A$2:$F$1802,5,0)</f>
        <v>#N/A</v>
      </c>
      <c r="F1055" s="59" t="e">
        <f>VLOOKUP(G1055,'lista 3'!$A$1:$C$467,3,0)</f>
        <v>#N/A</v>
      </c>
      <c r="G1055" s="76"/>
      <c r="H1055" s="85"/>
      <c r="I1055" s="59" t="e">
        <f>VLOOKUP(J1055,'lista 3'!$A$1:$C$467,3,0)</f>
        <v>#N/A</v>
      </c>
      <c r="J1055" s="78"/>
      <c r="K1055" s="87"/>
      <c r="L1055" s="82"/>
      <c r="M1055" s="22"/>
      <c r="N1055" s="22"/>
      <c r="O1055" s="22"/>
      <c r="P1055" s="26"/>
      <c r="Q1055" s="26"/>
      <c r="R1055" s="26"/>
      <c r="S1055" s="47"/>
      <c r="T1055" s="4" t="e">
        <f>VLOOKUP(#REF!,#REF!,2,0)</f>
        <v>#REF!</v>
      </c>
      <c r="U1055" s="20" t="e">
        <f t="shared" si="45"/>
        <v>#REF!</v>
      </c>
      <c r="V1055" s="47"/>
      <c r="W1055" s="43"/>
      <c r="Y1055" s="67" t="e">
        <f t="shared" si="46"/>
        <v>#N/A</v>
      </c>
    </row>
    <row r="1056" spans="1:25" ht="13.65" customHeight="1">
      <c r="A1056" s="92"/>
      <c r="B1056" s="27"/>
      <c r="C1056" s="28" t="e">
        <f>VLOOKUP(D1056,'lista 1'!$A$2:$F$1802,4,0)</f>
        <v>#N/A</v>
      </c>
      <c r="D1056" s="74"/>
      <c r="E1056" s="27" t="e">
        <f>VLOOKUP(D1056,'lista 1'!$A$2:$F$1802,5,0)</f>
        <v>#N/A</v>
      </c>
      <c r="F1056" s="59" t="e">
        <f>VLOOKUP(G1056,'lista 3'!$A$1:$C$467,3,0)</f>
        <v>#N/A</v>
      </c>
      <c r="G1056" s="76"/>
      <c r="H1056" s="85"/>
      <c r="I1056" s="59" t="e">
        <f>VLOOKUP(J1056,'lista 3'!$A$1:$C$467,3,0)</f>
        <v>#N/A</v>
      </c>
      <c r="J1056" s="78"/>
      <c r="K1056" s="87"/>
      <c r="L1056" s="82"/>
      <c r="M1056" s="22"/>
      <c r="N1056" s="22"/>
      <c r="O1056" s="22"/>
      <c r="P1056" s="26"/>
      <c r="Q1056" s="26"/>
      <c r="R1056" s="26"/>
      <c r="S1056" s="47"/>
      <c r="T1056" s="4" t="e">
        <f>VLOOKUP(#REF!,#REF!,2,0)</f>
        <v>#REF!</v>
      </c>
      <c r="U1056" s="20" t="e">
        <f t="shared" si="45"/>
        <v>#REF!</v>
      </c>
      <c r="V1056" s="47"/>
      <c r="W1056" s="43"/>
      <c r="Y1056" s="67" t="e">
        <f t="shared" si="46"/>
        <v>#N/A</v>
      </c>
    </row>
    <row r="1057" spans="1:25" ht="13.65" customHeight="1">
      <c r="A1057" s="92"/>
      <c r="B1057" s="27"/>
      <c r="C1057" s="28" t="e">
        <f>VLOOKUP(D1057,'lista 1'!$A$2:$F$1802,4,0)</f>
        <v>#N/A</v>
      </c>
      <c r="D1057" s="74"/>
      <c r="E1057" s="27" t="e">
        <f>VLOOKUP(D1057,'lista 1'!$A$2:$F$1802,5,0)</f>
        <v>#N/A</v>
      </c>
      <c r="F1057" s="59" t="e">
        <f>VLOOKUP(G1057,'lista 3'!$A$1:$C$467,3,0)</f>
        <v>#N/A</v>
      </c>
      <c r="G1057" s="76"/>
      <c r="H1057" s="85"/>
      <c r="I1057" s="59" t="e">
        <f>VLOOKUP(J1057,'lista 3'!$A$1:$C$467,3,0)</f>
        <v>#N/A</v>
      </c>
      <c r="J1057" s="78"/>
      <c r="K1057" s="87"/>
      <c r="L1057" s="82"/>
      <c r="M1057" s="22"/>
      <c r="N1057" s="22"/>
      <c r="O1057" s="22"/>
      <c r="P1057" s="26"/>
      <c r="Q1057" s="26"/>
      <c r="R1057" s="26"/>
      <c r="S1057" s="47"/>
      <c r="T1057" s="4" t="e">
        <f>VLOOKUP(#REF!,#REF!,2,0)</f>
        <v>#REF!</v>
      </c>
      <c r="U1057" s="20" t="e">
        <f t="shared" si="45"/>
        <v>#REF!</v>
      </c>
      <c r="V1057" s="47"/>
      <c r="W1057" s="43"/>
      <c r="Y1057" s="67" t="e">
        <f t="shared" si="46"/>
        <v>#N/A</v>
      </c>
    </row>
    <row r="1058" spans="1:25" ht="13.65" customHeight="1">
      <c r="A1058" s="92"/>
      <c r="B1058" s="27"/>
      <c r="C1058" s="28" t="e">
        <f>VLOOKUP(D1058,'lista 1'!$A$2:$F$1802,4,0)</f>
        <v>#N/A</v>
      </c>
      <c r="D1058" s="74"/>
      <c r="E1058" s="27" t="e">
        <f>VLOOKUP(D1058,'lista 1'!$A$2:$F$1802,5,0)</f>
        <v>#N/A</v>
      </c>
      <c r="F1058" s="59" t="e">
        <f>VLOOKUP(G1058,'lista 3'!$A$1:$C$467,3,0)</f>
        <v>#N/A</v>
      </c>
      <c r="G1058" s="76"/>
      <c r="H1058" s="85"/>
      <c r="I1058" s="59" t="e">
        <f>VLOOKUP(J1058,'lista 3'!$A$1:$C$467,3,0)</f>
        <v>#N/A</v>
      </c>
      <c r="J1058" s="78"/>
      <c r="K1058" s="87"/>
      <c r="L1058" s="82"/>
      <c r="M1058" s="22"/>
      <c r="N1058" s="22"/>
      <c r="O1058" s="22"/>
      <c r="P1058" s="26"/>
      <c r="Q1058" s="26"/>
      <c r="R1058" s="26"/>
      <c r="S1058" s="47"/>
      <c r="T1058" s="4" t="e">
        <f>VLOOKUP(#REF!,#REF!,2,0)</f>
        <v>#REF!</v>
      </c>
      <c r="U1058" s="20" t="e">
        <f t="shared" si="45"/>
        <v>#REF!</v>
      </c>
      <c r="V1058" s="47"/>
      <c r="W1058" s="43"/>
      <c r="Y1058" s="67" t="e">
        <f t="shared" si="46"/>
        <v>#N/A</v>
      </c>
    </row>
    <row r="1059" spans="1:25" ht="13.65" customHeight="1">
      <c r="A1059" s="92"/>
      <c r="B1059" s="27"/>
      <c r="C1059" s="28" t="e">
        <f>VLOOKUP(D1059,'lista 1'!$A$2:$F$1802,4,0)</f>
        <v>#N/A</v>
      </c>
      <c r="D1059" s="74"/>
      <c r="E1059" s="27" t="e">
        <f>VLOOKUP(D1059,'lista 1'!$A$2:$F$1802,5,0)</f>
        <v>#N/A</v>
      </c>
      <c r="F1059" s="59" t="e">
        <f>VLOOKUP(G1059,'lista 3'!$A$1:$C$467,3,0)</f>
        <v>#N/A</v>
      </c>
      <c r="G1059" s="76"/>
      <c r="H1059" s="85"/>
      <c r="I1059" s="59" t="e">
        <f>VLOOKUP(J1059,'lista 3'!$A$1:$C$467,3,0)</f>
        <v>#N/A</v>
      </c>
      <c r="J1059" s="78"/>
      <c r="K1059" s="87"/>
      <c r="L1059" s="82"/>
      <c r="M1059" s="22"/>
      <c r="N1059" s="22"/>
      <c r="O1059" s="22"/>
      <c r="P1059" s="26"/>
      <c r="Q1059" s="26"/>
      <c r="R1059" s="26"/>
      <c r="S1059" s="47"/>
      <c r="T1059" s="4" t="e">
        <f>VLOOKUP(#REF!,#REF!,2,0)</f>
        <v>#REF!</v>
      </c>
      <c r="U1059" s="20" t="e">
        <f t="shared" si="45"/>
        <v>#REF!</v>
      </c>
      <c r="V1059" s="47"/>
      <c r="W1059" s="43"/>
      <c r="Y1059" s="67" t="e">
        <f t="shared" si="46"/>
        <v>#N/A</v>
      </c>
    </row>
    <row r="1060" spans="1:25" ht="13.65" customHeight="1">
      <c r="A1060" s="92"/>
      <c r="B1060" s="27"/>
      <c r="C1060" s="28" t="e">
        <f>VLOOKUP(D1060,'lista 1'!$A$2:$F$1802,4,0)</f>
        <v>#N/A</v>
      </c>
      <c r="D1060" s="74"/>
      <c r="E1060" s="27" t="e">
        <f>VLOOKUP(D1060,'lista 1'!$A$2:$F$1802,5,0)</f>
        <v>#N/A</v>
      </c>
      <c r="F1060" s="59" t="e">
        <f>VLOOKUP(G1060,'lista 3'!$A$1:$C$467,3,0)</f>
        <v>#N/A</v>
      </c>
      <c r="G1060" s="76"/>
      <c r="H1060" s="85"/>
      <c r="I1060" s="59" t="e">
        <f>VLOOKUP(J1060,'lista 3'!$A$1:$C$467,3,0)</f>
        <v>#N/A</v>
      </c>
      <c r="J1060" s="78"/>
      <c r="K1060" s="87"/>
      <c r="L1060" s="82"/>
      <c r="M1060" s="22"/>
      <c r="N1060" s="22"/>
      <c r="O1060" s="22"/>
      <c r="P1060" s="26"/>
      <c r="Q1060" s="26"/>
      <c r="R1060" s="26"/>
      <c r="S1060" s="47"/>
      <c r="T1060" s="4" t="e">
        <f>VLOOKUP(#REF!,#REF!,2,0)</f>
        <v>#REF!</v>
      </c>
      <c r="U1060" s="20" t="e">
        <f t="shared" si="45"/>
        <v>#REF!</v>
      </c>
      <c r="V1060" s="47"/>
      <c r="W1060" s="43"/>
      <c r="Y1060" s="67" t="e">
        <f t="shared" si="46"/>
        <v>#N/A</v>
      </c>
    </row>
    <row r="1061" spans="1:25" ht="13.65" customHeight="1">
      <c r="A1061" s="92"/>
      <c r="B1061" s="27"/>
      <c r="C1061" s="28" t="e">
        <f>VLOOKUP(D1061,'lista 1'!$A$2:$F$1802,4,0)</f>
        <v>#N/A</v>
      </c>
      <c r="D1061" s="74"/>
      <c r="E1061" s="27" t="e">
        <f>VLOOKUP(D1061,'lista 1'!$A$2:$F$1802,5,0)</f>
        <v>#N/A</v>
      </c>
      <c r="F1061" s="59" t="e">
        <f>VLOOKUP(G1061,'lista 3'!$A$1:$C$467,3,0)</f>
        <v>#N/A</v>
      </c>
      <c r="G1061" s="76"/>
      <c r="H1061" s="85"/>
      <c r="I1061" s="59" t="e">
        <f>VLOOKUP(J1061,'lista 3'!$A$1:$C$467,3,0)</f>
        <v>#N/A</v>
      </c>
      <c r="J1061" s="78"/>
      <c r="K1061" s="87"/>
      <c r="L1061" s="82"/>
      <c r="M1061" s="22"/>
      <c r="N1061" s="22"/>
      <c r="O1061" s="22"/>
      <c r="P1061" s="26"/>
      <c r="Q1061" s="26"/>
      <c r="R1061" s="26"/>
      <c r="S1061" s="47"/>
      <c r="T1061" s="4" t="e">
        <f>VLOOKUP(#REF!,#REF!,2,0)</f>
        <v>#REF!</v>
      </c>
      <c r="U1061" s="20" t="e">
        <f t="shared" si="45"/>
        <v>#REF!</v>
      </c>
      <c r="V1061" s="47"/>
      <c r="W1061" s="43"/>
      <c r="Y1061" s="67" t="e">
        <f t="shared" si="46"/>
        <v>#N/A</v>
      </c>
    </row>
    <row r="1062" spans="1:25" ht="13.65" customHeight="1">
      <c r="A1062" s="92"/>
      <c r="B1062" s="27"/>
      <c r="C1062" s="28" t="e">
        <f>VLOOKUP(D1062,'lista 1'!$A$2:$F$1802,4,0)</f>
        <v>#N/A</v>
      </c>
      <c r="D1062" s="74"/>
      <c r="E1062" s="27" t="e">
        <f>VLOOKUP(D1062,'lista 1'!$A$2:$F$1802,5,0)</f>
        <v>#N/A</v>
      </c>
      <c r="F1062" s="59" t="e">
        <f>VLOOKUP(G1062,'lista 3'!$A$1:$C$467,3,0)</f>
        <v>#N/A</v>
      </c>
      <c r="G1062" s="76"/>
      <c r="H1062" s="85"/>
      <c r="I1062" s="59" t="e">
        <f>VLOOKUP(J1062,'lista 3'!$A$1:$C$467,3,0)</f>
        <v>#N/A</v>
      </c>
      <c r="J1062" s="78"/>
      <c r="K1062" s="87"/>
      <c r="L1062" s="82"/>
      <c r="M1062" s="22"/>
      <c r="N1062" s="22"/>
      <c r="O1062" s="22"/>
      <c r="P1062" s="26"/>
      <c r="Q1062" s="26"/>
      <c r="R1062" s="26"/>
      <c r="S1062" s="47"/>
      <c r="T1062" s="4" t="e">
        <f>VLOOKUP(#REF!,#REF!,2,0)</f>
        <v>#REF!</v>
      </c>
      <c r="U1062" s="20" t="e">
        <f t="shared" si="45"/>
        <v>#REF!</v>
      </c>
      <c r="V1062" s="47"/>
      <c r="W1062" s="43"/>
      <c r="Y1062" s="67" t="e">
        <f t="shared" si="46"/>
        <v>#N/A</v>
      </c>
    </row>
    <row r="1063" spans="1:25" ht="13.65" customHeight="1">
      <c r="A1063" s="92"/>
      <c r="B1063" s="27"/>
      <c r="C1063" s="28" t="e">
        <f>VLOOKUP(D1063,'lista 1'!$A$2:$F$1802,4,0)</f>
        <v>#N/A</v>
      </c>
      <c r="D1063" s="74"/>
      <c r="E1063" s="27" t="e">
        <f>VLOOKUP(D1063,'lista 1'!$A$2:$F$1802,5,0)</f>
        <v>#N/A</v>
      </c>
      <c r="F1063" s="59" t="e">
        <f>VLOOKUP(G1063,'lista 3'!$A$1:$C$467,3,0)</f>
        <v>#N/A</v>
      </c>
      <c r="G1063" s="76"/>
      <c r="H1063" s="85"/>
      <c r="I1063" s="59" t="e">
        <f>VLOOKUP(J1063,'lista 3'!$A$1:$C$467,3,0)</f>
        <v>#N/A</v>
      </c>
      <c r="J1063" s="78"/>
      <c r="K1063" s="87"/>
      <c r="L1063" s="82"/>
      <c r="M1063" s="22"/>
      <c r="N1063" s="22"/>
      <c r="O1063" s="22"/>
      <c r="P1063" s="26"/>
      <c r="Q1063" s="26"/>
      <c r="R1063" s="26"/>
      <c r="S1063" s="47"/>
      <c r="T1063" s="4" t="e">
        <f>VLOOKUP(#REF!,#REF!,2,0)</f>
        <v>#REF!</v>
      </c>
      <c r="U1063" s="20" t="e">
        <f t="shared" si="45"/>
        <v>#REF!</v>
      </c>
      <c r="V1063" s="47"/>
      <c r="W1063" s="43"/>
      <c r="Y1063" s="67" t="e">
        <f t="shared" si="46"/>
        <v>#N/A</v>
      </c>
    </row>
    <row r="1064" spans="1:25" ht="13.65" customHeight="1">
      <c r="A1064" s="92"/>
      <c r="B1064" s="27"/>
      <c r="C1064" s="28" t="e">
        <f>VLOOKUP(D1064,'lista 1'!$A$2:$F$1802,4,0)</f>
        <v>#N/A</v>
      </c>
      <c r="D1064" s="74"/>
      <c r="E1064" s="27" t="e">
        <f>VLOOKUP(D1064,'lista 1'!$A$2:$F$1802,5,0)</f>
        <v>#N/A</v>
      </c>
      <c r="F1064" s="59" t="e">
        <f>VLOOKUP(G1064,'lista 3'!$A$1:$C$467,3,0)</f>
        <v>#N/A</v>
      </c>
      <c r="G1064" s="76"/>
      <c r="H1064" s="85"/>
      <c r="I1064" s="59" t="e">
        <f>VLOOKUP(J1064,'lista 3'!$A$1:$C$467,3,0)</f>
        <v>#N/A</v>
      </c>
      <c r="J1064" s="78"/>
      <c r="K1064" s="87"/>
      <c r="L1064" s="82"/>
      <c r="M1064" s="22"/>
      <c r="N1064" s="22"/>
      <c r="O1064" s="22"/>
      <c r="P1064" s="26"/>
      <c r="Q1064" s="26"/>
      <c r="R1064" s="26"/>
      <c r="S1064" s="47"/>
      <c r="T1064" s="4" t="e">
        <f>VLOOKUP(#REF!,#REF!,2,0)</f>
        <v>#REF!</v>
      </c>
      <c r="U1064" s="20" t="e">
        <f t="shared" si="45"/>
        <v>#REF!</v>
      </c>
      <c r="V1064" s="47"/>
      <c r="W1064" s="43"/>
      <c r="Y1064" s="67" t="e">
        <f t="shared" si="46"/>
        <v>#N/A</v>
      </c>
    </row>
    <row r="1065" spans="1:25" ht="13.65" customHeight="1">
      <c r="A1065" s="92"/>
      <c r="B1065" s="27"/>
      <c r="C1065" s="28" t="e">
        <f>VLOOKUP(D1065,'lista 1'!$A$2:$F$1802,4,0)</f>
        <v>#N/A</v>
      </c>
      <c r="D1065" s="74"/>
      <c r="E1065" s="27" t="e">
        <f>VLOOKUP(D1065,'lista 1'!$A$2:$F$1802,5,0)</f>
        <v>#N/A</v>
      </c>
      <c r="F1065" s="59" t="e">
        <f>VLOOKUP(G1065,'lista 3'!$A$1:$C$467,3,0)</f>
        <v>#N/A</v>
      </c>
      <c r="G1065" s="76"/>
      <c r="H1065" s="85"/>
      <c r="I1065" s="59" t="e">
        <f>VLOOKUP(J1065,'lista 3'!$A$1:$C$467,3,0)</f>
        <v>#N/A</v>
      </c>
      <c r="J1065" s="78"/>
      <c r="K1065" s="87"/>
      <c r="L1065" s="82"/>
      <c r="M1065" s="22"/>
      <c r="N1065" s="22"/>
      <c r="O1065" s="22"/>
      <c r="P1065" s="26"/>
      <c r="Q1065" s="26"/>
      <c r="R1065" s="26"/>
      <c r="S1065" s="47"/>
      <c r="T1065" s="4" t="e">
        <f>VLOOKUP(#REF!,#REF!,2,0)</f>
        <v>#REF!</v>
      </c>
      <c r="U1065" s="20" t="e">
        <f t="shared" si="45"/>
        <v>#REF!</v>
      </c>
      <c r="V1065" s="47"/>
      <c r="W1065" s="43"/>
      <c r="Y1065" s="67" t="e">
        <f t="shared" si="46"/>
        <v>#N/A</v>
      </c>
    </row>
    <row r="1066" spans="1:25" ht="13.65" customHeight="1">
      <c r="A1066" s="92"/>
      <c r="B1066" s="27"/>
      <c r="C1066" s="28" t="e">
        <f>VLOOKUP(D1066,'lista 1'!$A$2:$F$1802,4,0)</f>
        <v>#N/A</v>
      </c>
      <c r="D1066" s="74"/>
      <c r="E1066" s="27" t="e">
        <f>VLOOKUP(D1066,'lista 1'!$A$2:$F$1802,5,0)</f>
        <v>#N/A</v>
      </c>
      <c r="F1066" s="59" t="e">
        <f>VLOOKUP(G1066,'lista 3'!$A$1:$C$467,3,0)</f>
        <v>#N/A</v>
      </c>
      <c r="G1066" s="76"/>
      <c r="H1066" s="85"/>
      <c r="I1066" s="59" t="e">
        <f>VLOOKUP(J1066,'lista 3'!$A$1:$C$467,3,0)</f>
        <v>#N/A</v>
      </c>
      <c r="J1066" s="78"/>
      <c r="K1066" s="87"/>
      <c r="L1066" s="82"/>
      <c r="M1066" s="22"/>
      <c r="N1066" s="22"/>
      <c r="O1066" s="22"/>
      <c r="P1066" s="26"/>
      <c r="Q1066" s="26"/>
      <c r="R1066" s="26"/>
      <c r="S1066" s="47"/>
      <c r="T1066" s="4" t="e">
        <f>VLOOKUP(#REF!,#REF!,2,0)</f>
        <v>#REF!</v>
      </c>
      <c r="U1066" s="20" t="e">
        <f t="shared" si="45"/>
        <v>#REF!</v>
      </c>
      <c r="V1066" s="47"/>
      <c r="W1066" s="43"/>
      <c r="Y1066" s="67" t="e">
        <f t="shared" si="46"/>
        <v>#N/A</v>
      </c>
    </row>
    <row r="1067" spans="1:25" ht="13.65" customHeight="1">
      <c r="A1067" s="92"/>
      <c r="B1067" s="27"/>
      <c r="C1067" s="28" t="e">
        <f>VLOOKUP(D1067,'lista 1'!$A$2:$F$1802,4,0)</f>
        <v>#N/A</v>
      </c>
      <c r="D1067" s="74"/>
      <c r="E1067" s="27" t="e">
        <f>VLOOKUP(D1067,'lista 1'!$A$2:$F$1802,5,0)</f>
        <v>#N/A</v>
      </c>
      <c r="F1067" s="59" t="e">
        <f>VLOOKUP(G1067,'lista 3'!$A$1:$C$467,3,0)</f>
        <v>#N/A</v>
      </c>
      <c r="G1067" s="76"/>
      <c r="H1067" s="85"/>
      <c r="I1067" s="59" t="e">
        <f>VLOOKUP(J1067,'lista 3'!$A$1:$C$467,3,0)</f>
        <v>#N/A</v>
      </c>
      <c r="J1067" s="78"/>
      <c r="K1067" s="87"/>
      <c r="L1067" s="82"/>
      <c r="M1067" s="22"/>
      <c r="N1067" s="22"/>
      <c r="O1067" s="22"/>
      <c r="P1067" s="26"/>
      <c r="Q1067" s="26"/>
      <c r="R1067" s="26"/>
      <c r="S1067" s="47"/>
      <c r="T1067" s="4" t="e">
        <f>VLOOKUP(#REF!,#REF!,2,0)</f>
        <v>#REF!</v>
      </c>
      <c r="U1067" s="20" t="e">
        <f t="shared" si="45"/>
        <v>#REF!</v>
      </c>
      <c r="V1067" s="47"/>
      <c r="W1067" s="43"/>
      <c r="Y1067" s="67" t="e">
        <f t="shared" si="46"/>
        <v>#N/A</v>
      </c>
    </row>
    <row r="1068" spans="1:25" ht="13.65" customHeight="1">
      <c r="A1068" s="92"/>
      <c r="B1068" s="27"/>
      <c r="C1068" s="28" t="e">
        <f>VLOOKUP(D1068,'lista 1'!$A$2:$F$1802,4,0)</f>
        <v>#N/A</v>
      </c>
      <c r="D1068" s="74"/>
      <c r="E1068" s="27" t="e">
        <f>VLOOKUP(D1068,'lista 1'!$A$2:$F$1802,5,0)</f>
        <v>#N/A</v>
      </c>
      <c r="F1068" s="59" t="e">
        <f>VLOOKUP(G1068,'lista 3'!$A$1:$C$467,3,0)</f>
        <v>#N/A</v>
      </c>
      <c r="G1068" s="76"/>
      <c r="H1068" s="85"/>
      <c r="I1068" s="59" t="e">
        <f>VLOOKUP(J1068,'lista 3'!$A$1:$C$467,3,0)</f>
        <v>#N/A</v>
      </c>
      <c r="J1068" s="78"/>
      <c r="K1068" s="87"/>
      <c r="L1068" s="82"/>
      <c r="M1068" s="22"/>
      <c r="N1068" s="22"/>
      <c r="O1068" s="22"/>
      <c r="P1068" s="26"/>
      <c r="Q1068" s="26"/>
      <c r="R1068" s="26"/>
      <c r="S1068" s="47"/>
      <c r="T1068" s="4" t="e">
        <f>VLOOKUP(#REF!,#REF!,2,0)</f>
        <v>#REF!</v>
      </c>
      <c r="U1068" s="20" t="e">
        <f t="shared" si="45"/>
        <v>#REF!</v>
      </c>
      <c r="V1068" s="47"/>
      <c r="W1068" s="43"/>
      <c r="Y1068" s="67" t="e">
        <f t="shared" si="46"/>
        <v>#N/A</v>
      </c>
    </row>
    <row r="1069" spans="1:25" ht="13.65" customHeight="1">
      <c r="A1069" s="92"/>
      <c r="B1069" s="27"/>
      <c r="C1069" s="28" t="e">
        <f>VLOOKUP(D1069,'lista 1'!$A$2:$F$1802,4,0)</f>
        <v>#N/A</v>
      </c>
      <c r="D1069" s="74"/>
      <c r="E1069" s="27" t="e">
        <f>VLOOKUP(D1069,'lista 1'!$A$2:$F$1802,5,0)</f>
        <v>#N/A</v>
      </c>
      <c r="F1069" s="59" t="e">
        <f>VLOOKUP(G1069,'lista 3'!$A$1:$C$467,3,0)</f>
        <v>#N/A</v>
      </c>
      <c r="G1069" s="76"/>
      <c r="H1069" s="85"/>
      <c r="I1069" s="59" t="e">
        <f>VLOOKUP(J1069,'lista 3'!$A$1:$C$467,3,0)</f>
        <v>#N/A</v>
      </c>
      <c r="J1069" s="78"/>
      <c r="K1069" s="87"/>
      <c r="L1069" s="82"/>
      <c r="M1069" s="22"/>
      <c r="N1069" s="22"/>
      <c r="O1069" s="22"/>
      <c r="P1069" s="26"/>
      <c r="Q1069" s="26"/>
      <c r="R1069" s="26"/>
      <c r="S1069" s="47"/>
      <c r="T1069" s="4" t="e">
        <f>VLOOKUP(#REF!,#REF!,2,0)</f>
        <v>#REF!</v>
      </c>
      <c r="U1069" s="20" t="e">
        <f t="shared" si="45"/>
        <v>#REF!</v>
      </c>
      <c r="V1069" s="47"/>
      <c r="W1069" s="43"/>
      <c r="Y1069" s="67" t="e">
        <f t="shared" si="46"/>
        <v>#N/A</v>
      </c>
    </row>
    <row r="1070" spans="1:25" ht="13.65" customHeight="1">
      <c r="A1070" s="92"/>
      <c r="B1070" s="27"/>
      <c r="C1070" s="28" t="e">
        <f>VLOOKUP(D1070,'lista 1'!$A$2:$F$1802,4,0)</f>
        <v>#N/A</v>
      </c>
      <c r="D1070" s="74"/>
      <c r="E1070" s="27" t="e">
        <f>VLOOKUP(D1070,'lista 1'!$A$2:$F$1802,5,0)</f>
        <v>#N/A</v>
      </c>
      <c r="F1070" s="59" t="e">
        <f>VLOOKUP(G1070,'lista 3'!$A$1:$C$467,3,0)</f>
        <v>#N/A</v>
      </c>
      <c r="G1070" s="76"/>
      <c r="H1070" s="85"/>
      <c r="I1070" s="59" t="e">
        <f>VLOOKUP(J1070,'lista 3'!$A$1:$C$467,3,0)</f>
        <v>#N/A</v>
      </c>
      <c r="J1070" s="78"/>
      <c r="K1070" s="87"/>
      <c r="L1070" s="82"/>
      <c r="M1070" s="22"/>
      <c r="N1070" s="22"/>
      <c r="O1070" s="22"/>
      <c r="P1070" s="26"/>
      <c r="Q1070" s="26"/>
      <c r="R1070" s="26"/>
      <c r="S1070" s="47"/>
      <c r="T1070" s="4" t="e">
        <f>VLOOKUP(#REF!,#REF!,2,0)</f>
        <v>#REF!</v>
      </c>
      <c r="U1070" s="20" t="e">
        <f t="shared" si="45"/>
        <v>#REF!</v>
      </c>
      <c r="V1070" s="47"/>
      <c r="W1070" s="43"/>
      <c r="Y1070" s="67" t="e">
        <f t="shared" si="46"/>
        <v>#N/A</v>
      </c>
    </row>
    <row r="1071" spans="1:25" ht="13.65" customHeight="1">
      <c r="A1071" s="92"/>
      <c r="B1071" s="27"/>
      <c r="C1071" s="28" t="e">
        <f>VLOOKUP(D1071,'lista 1'!$A$2:$F$1802,4,0)</f>
        <v>#N/A</v>
      </c>
      <c r="D1071" s="74"/>
      <c r="E1071" s="27" t="e">
        <f>VLOOKUP(D1071,'lista 1'!$A$2:$F$1802,5,0)</f>
        <v>#N/A</v>
      </c>
      <c r="F1071" s="59" t="e">
        <f>VLOOKUP(G1071,'lista 3'!$A$1:$C$467,3,0)</f>
        <v>#N/A</v>
      </c>
      <c r="G1071" s="76"/>
      <c r="H1071" s="85"/>
      <c r="I1071" s="59" t="e">
        <f>VLOOKUP(J1071,'lista 3'!$A$1:$C$467,3,0)</f>
        <v>#N/A</v>
      </c>
      <c r="J1071" s="78"/>
      <c r="K1071" s="87"/>
      <c r="L1071" s="82"/>
      <c r="M1071" s="22"/>
      <c r="N1071" s="22"/>
      <c r="O1071" s="22"/>
      <c r="P1071" s="26"/>
      <c r="Q1071" s="26"/>
      <c r="R1071" s="26"/>
      <c r="S1071" s="47"/>
      <c r="T1071" s="4" t="e">
        <f>VLOOKUP(#REF!,#REF!,2,0)</f>
        <v>#REF!</v>
      </c>
      <c r="U1071" s="20" t="e">
        <f t="shared" si="45"/>
        <v>#REF!</v>
      </c>
      <c r="V1071" s="47"/>
      <c r="W1071" s="43"/>
      <c r="Y1071" s="67" t="e">
        <f t="shared" si="46"/>
        <v>#N/A</v>
      </c>
    </row>
    <row r="1072" spans="1:25" ht="13.65" customHeight="1">
      <c r="A1072" s="92"/>
      <c r="B1072" s="27"/>
      <c r="C1072" s="28" t="e">
        <f>VLOOKUP(D1072,'lista 1'!$A$2:$F$1802,4,0)</f>
        <v>#N/A</v>
      </c>
      <c r="D1072" s="74"/>
      <c r="E1072" s="27" t="e">
        <f>VLOOKUP(D1072,'lista 1'!$A$2:$F$1802,5,0)</f>
        <v>#N/A</v>
      </c>
      <c r="F1072" s="59" t="e">
        <f>VLOOKUP(G1072,'lista 3'!$A$1:$C$467,3,0)</f>
        <v>#N/A</v>
      </c>
      <c r="G1072" s="76"/>
      <c r="H1072" s="85"/>
      <c r="I1072" s="59" t="e">
        <f>VLOOKUP(J1072,'lista 3'!$A$1:$C$467,3,0)</f>
        <v>#N/A</v>
      </c>
      <c r="J1072" s="78"/>
      <c r="K1072" s="87"/>
      <c r="L1072" s="82"/>
      <c r="M1072" s="22"/>
      <c r="N1072" s="22"/>
      <c r="O1072" s="22"/>
      <c r="P1072" s="26"/>
      <c r="Q1072" s="26"/>
      <c r="R1072" s="26"/>
      <c r="S1072" s="47"/>
      <c r="T1072" s="4" t="e">
        <f>VLOOKUP(#REF!,#REF!,2,0)</f>
        <v>#REF!</v>
      </c>
      <c r="U1072" s="20" t="e">
        <f t="shared" si="45"/>
        <v>#REF!</v>
      </c>
      <c r="V1072" s="47"/>
      <c r="W1072" s="43"/>
      <c r="Y1072" s="67" t="e">
        <f t="shared" si="46"/>
        <v>#N/A</v>
      </c>
    </row>
    <row r="1073" spans="1:25" ht="13.65" customHeight="1">
      <c r="A1073" s="92"/>
      <c r="B1073" s="27"/>
      <c r="C1073" s="28" t="e">
        <f>VLOOKUP(D1073,'lista 1'!$A$2:$F$1802,4,0)</f>
        <v>#N/A</v>
      </c>
      <c r="D1073" s="74"/>
      <c r="E1073" s="27" t="e">
        <f>VLOOKUP(D1073,'lista 1'!$A$2:$F$1802,5,0)</f>
        <v>#N/A</v>
      </c>
      <c r="F1073" s="59" t="e">
        <f>VLOOKUP(G1073,'lista 3'!$A$1:$C$467,3,0)</f>
        <v>#N/A</v>
      </c>
      <c r="G1073" s="76"/>
      <c r="H1073" s="85"/>
      <c r="I1073" s="59" t="e">
        <f>VLOOKUP(J1073,'lista 3'!$A$1:$C$467,3,0)</f>
        <v>#N/A</v>
      </c>
      <c r="J1073" s="78"/>
      <c r="K1073" s="87"/>
      <c r="L1073" s="82"/>
      <c r="M1073" s="22"/>
      <c r="N1073" s="22"/>
      <c r="O1073" s="22"/>
      <c r="P1073" s="26"/>
      <c r="Q1073" s="26"/>
      <c r="R1073" s="26"/>
      <c r="S1073" s="47"/>
      <c r="T1073" s="4" t="e">
        <f>VLOOKUP(#REF!,#REF!,2,0)</f>
        <v>#REF!</v>
      </c>
      <c r="U1073" s="20" t="e">
        <f t="shared" si="45"/>
        <v>#REF!</v>
      </c>
      <c r="V1073" s="47"/>
      <c r="W1073" s="43"/>
      <c r="Y1073" s="67" t="e">
        <f t="shared" si="46"/>
        <v>#N/A</v>
      </c>
    </row>
    <row r="1074" spans="1:25" ht="13.65" customHeight="1">
      <c r="A1074" s="92"/>
      <c r="B1074" s="27"/>
      <c r="C1074" s="28" t="e">
        <f>VLOOKUP(D1074,'lista 1'!$A$2:$F$1802,4,0)</f>
        <v>#N/A</v>
      </c>
      <c r="D1074" s="74"/>
      <c r="E1074" s="27" t="e">
        <f>VLOOKUP(D1074,'lista 1'!$A$2:$F$1802,5,0)</f>
        <v>#N/A</v>
      </c>
      <c r="F1074" s="59" t="e">
        <f>VLOOKUP(G1074,'lista 3'!$A$1:$C$467,3,0)</f>
        <v>#N/A</v>
      </c>
      <c r="G1074" s="76"/>
      <c r="H1074" s="85"/>
      <c r="I1074" s="59" t="e">
        <f>VLOOKUP(J1074,'lista 3'!$A$1:$C$467,3,0)</f>
        <v>#N/A</v>
      </c>
      <c r="J1074" s="78"/>
      <c r="K1074" s="87"/>
      <c r="L1074" s="82"/>
      <c r="M1074" s="22"/>
      <c r="N1074" s="22"/>
      <c r="O1074" s="22"/>
      <c r="P1074" s="26"/>
      <c r="Q1074" s="26"/>
      <c r="R1074" s="26"/>
      <c r="S1074" s="47"/>
      <c r="T1074" s="4" t="e">
        <f>VLOOKUP(#REF!,#REF!,2,0)</f>
        <v>#REF!</v>
      </c>
      <c r="U1074" s="20" t="e">
        <f t="shared" si="45"/>
        <v>#REF!</v>
      </c>
      <c r="V1074" s="47"/>
      <c r="W1074" s="43"/>
      <c r="Y1074" s="67" t="e">
        <f t="shared" si="46"/>
        <v>#N/A</v>
      </c>
    </row>
    <row r="1075" spans="1:25" ht="13.65" customHeight="1">
      <c r="A1075" s="92"/>
      <c r="B1075" s="27"/>
      <c r="C1075" s="28" t="e">
        <f>VLOOKUP(D1075,'lista 1'!$A$2:$F$1802,4,0)</f>
        <v>#N/A</v>
      </c>
      <c r="D1075" s="74"/>
      <c r="E1075" s="27" t="e">
        <f>VLOOKUP(D1075,'lista 1'!$A$2:$F$1802,5,0)</f>
        <v>#N/A</v>
      </c>
      <c r="F1075" s="59" t="e">
        <f>VLOOKUP(G1075,'lista 3'!$A$1:$C$467,3,0)</f>
        <v>#N/A</v>
      </c>
      <c r="G1075" s="76"/>
      <c r="H1075" s="85"/>
      <c r="I1075" s="59" t="e">
        <f>VLOOKUP(J1075,'lista 3'!$A$1:$C$467,3,0)</f>
        <v>#N/A</v>
      </c>
      <c r="J1075" s="78"/>
      <c r="K1075" s="87"/>
      <c r="L1075" s="82"/>
      <c r="M1075" s="22"/>
      <c r="N1075" s="22"/>
      <c r="O1075" s="22"/>
      <c r="P1075" s="26"/>
      <c r="Q1075" s="26"/>
      <c r="R1075" s="26"/>
      <c r="S1075" s="47"/>
      <c r="T1075" s="4" t="e">
        <f>VLOOKUP(#REF!,#REF!,2,0)</f>
        <v>#REF!</v>
      </c>
      <c r="U1075" s="20" t="e">
        <f t="shared" si="45"/>
        <v>#REF!</v>
      </c>
      <c r="V1075" s="47"/>
      <c r="W1075" s="43"/>
      <c r="Y1075" s="67" t="e">
        <f t="shared" si="46"/>
        <v>#N/A</v>
      </c>
    </row>
    <row r="1076" spans="1:25" ht="13.65" customHeight="1">
      <c r="A1076" s="92"/>
      <c r="B1076" s="27"/>
      <c r="C1076" s="28" t="e">
        <f>VLOOKUP(D1076,'lista 1'!$A$2:$F$1802,4,0)</f>
        <v>#N/A</v>
      </c>
      <c r="D1076" s="74"/>
      <c r="E1076" s="27" t="e">
        <f>VLOOKUP(D1076,'lista 1'!$A$2:$F$1802,5,0)</f>
        <v>#N/A</v>
      </c>
      <c r="F1076" s="59" t="e">
        <f>VLOOKUP(G1076,'lista 3'!$A$1:$C$467,3,0)</f>
        <v>#N/A</v>
      </c>
      <c r="G1076" s="76"/>
      <c r="H1076" s="85"/>
      <c r="I1076" s="59" t="e">
        <f>VLOOKUP(J1076,'lista 3'!$A$1:$C$467,3,0)</f>
        <v>#N/A</v>
      </c>
      <c r="J1076" s="78"/>
      <c r="K1076" s="87"/>
      <c r="L1076" s="82"/>
      <c r="M1076" s="22"/>
      <c r="N1076" s="22"/>
      <c r="O1076" s="22"/>
      <c r="P1076" s="26"/>
      <c r="Q1076" s="26"/>
      <c r="R1076" s="26"/>
      <c r="S1076" s="47"/>
      <c r="T1076" s="4" t="e">
        <f>VLOOKUP(#REF!,#REF!,2,0)</f>
        <v>#REF!</v>
      </c>
      <c r="U1076" s="20" t="e">
        <f t="shared" si="45"/>
        <v>#REF!</v>
      </c>
      <c r="V1076" s="47"/>
      <c r="W1076" s="43"/>
      <c r="Y1076" s="67" t="e">
        <f t="shared" si="46"/>
        <v>#N/A</v>
      </c>
    </row>
    <row r="1077" spans="1:25" ht="13.65" customHeight="1">
      <c r="A1077" s="92"/>
      <c r="B1077" s="27"/>
      <c r="C1077" s="28" t="e">
        <f>VLOOKUP(D1077,'lista 1'!$A$2:$F$1802,4,0)</f>
        <v>#N/A</v>
      </c>
      <c r="D1077" s="74"/>
      <c r="E1077" s="27" t="e">
        <f>VLOOKUP(D1077,'lista 1'!$A$2:$F$1802,5,0)</f>
        <v>#N/A</v>
      </c>
      <c r="F1077" s="59" t="e">
        <f>VLOOKUP(G1077,'lista 3'!$A$1:$C$467,3,0)</f>
        <v>#N/A</v>
      </c>
      <c r="G1077" s="76"/>
      <c r="H1077" s="85"/>
      <c r="I1077" s="59" t="e">
        <f>VLOOKUP(J1077,'lista 3'!$A$1:$C$467,3,0)</f>
        <v>#N/A</v>
      </c>
      <c r="J1077" s="78"/>
      <c r="K1077" s="87"/>
      <c r="L1077" s="82"/>
      <c r="M1077" s="22"/>
      <c r="N1077" s="22"/>
      <c r="O1077" s="22"/>
      <c r="P1077" s="26"/>
      <c r="Q1077" s="26"/>
      <c r="R1077" s="26"/>
      <c r="S1077" s="47"/>
      <c r="T1077" s="4" t="e">
        <f>VLOOKUP(#REF!,#REF!,2,0)</f>
        <v>#REF!</v>
      </c>
      <c r="U1077" s="20" t="e">
        <f t="shared" si="45"/>
        <v>#REF!</v>
      </c>
      <c r="V1077" s="47"/>
      <c r="W1077" s="43"/>
      <c r="Y1077" s="67" t="e">
        <f t="shared" si="46"/>
        <v>#N/A</v>
      </c>
    </row>
    <row r="1078" spans="1:25" ht="13.65" customHeight="1">
      <c r="A1078" s="92"/>
      <c r="B1078" s="27"/>
      <c r="C1078" s="28" t="e">
        <f>VLOOKUP(D1078,'lista 1'!$A$2:$F$1802,4,0)</f>
        <v>#N/A</v>
      </c>
      <c r="D1078" s="74"/>
      <c r="E1078" s="27" t="e">
        <f>VLOOKUP(D1078,'lista 1'!$A$2:$F$1802,5,0)</f>
        <v>#N/A</v>
      </c>
      <c r="F1078" s="59" t="e">
        <f>VLOOKUP(G1078,'lista 3'!$A$1:$C$467,3,0)</f>
        <v>#N/A</v>
      </c>
      <c r="G1078" s="76"/>
      <c r="H1078" s="85"/>
      <c r="I1078" s="59" t="e">
        <f>VLOOKUP(J1078,'lista 3'!$A$1:$C$467,3,0)</f>
        <v>#N/A</v>
      </c>
      <c r="J1078" s="78"/>
      <c r="K1078" s="87"/>
      <c r="L1078" s="82"/>
      <c r="M1078" s="22"/>
      <c r="N1078" s="22"/>
      <c r="O1078" s="22"/>
      <c r="P1078" s="26"/>
      <c r="Q1078" s="26"/>
      <c r="R1078" s="26"/>
      <c r="S1078" s="47"/>
      <c r="T1078" s="4" t="e">
        <f>VLOOKUP(#REF!,#REF!,2,0)</f>
        <v>#REF!</v>
      </c>
      <c r="U1078" s="20" t="e">
        <f t="shared" si="45"/>
        <v>#REF!</v>
      </c>
      <c r="V1078" s="47"/>
      <c r="W1078" s="43"/>
      <c r="Y1078" s="67" t="e">
        <f t="shared" si="46"/>
        <v>#N/A</v>
      </c>
    </row>
    <row r="1079" spans="1:25" ht="13.65" customHeight="1">
      <c r="A1079" s="92"/>
      <c r="B1079" s="27"/>
      <c r="C1079" s="28" t="e">
        <f>VLOOKUP(D1079,'lista 1'!$A$2:$F$1802,4,0)</f>
        <v>#N/A</v>
      </c>
      <c r="D1079" s="74"/>
      <c r="E1079" s="27" t="e">
        <f>VLOOKUP(D1079,'lista 1'!$A$2:$F$1802,5,0)</f>
        <v>#N/A</v>
      </c>
      <c r="F1079" s="59" t="e">
        <f>VLOOKUP(G1079,'lista 3'!$A$1:$C$467,3,0)</f>
        <v>#N/A</v>
      </c>
      <c r="G1079" s="76"/>
      <c r="H1079" s="85"/>
      <c r="I1079" s="59" t="e">
        <f>VLOOKUP(J1079,'lista 3'!$A$1:$C$467,3,0)</f>
        <v>#N/A</v>
      </c>
      <c r="J1079" s="78"/>
      <c r="K1079" s="87"/>
      <c r="L1079" s="82"/>
      <c r="M1079" s="22"/>
      <c r="N1079" s="22"/>
      <c r="O1079" s="22"/>
      <c r="P1079" s="26"/>
      <c r="Q1079" s="26"/>
      <c r="R1079" s="26"/>
      <c r="S1079" s="47"/>
      <c r="T1079" s="4" t="e">
        <f>VLOOKUP(#REF!,#REF!,2,0)</f>
        <v>#REF!</v>
      </c>
      <c r="U1079" s="20" t="e">
        <f t="shared" si="45"/>
        <v>#REF!</v>
      </c>
      <c r="V1079" s="47"/>
      <c r="W1079" s="43"/>
      <c r="Y1079" s="67" t="e">
        <f t="shared" si="46"/>
        <v>#N/A</v>
      </c>
    </row>
    <row r="1080" spans="1:25" ht="13.65" customHeight="1">
      <c r="A1080" s="92"/>
      <c r="B1080" s="27"/>
      <c r="C1080" s="28" t="e">
        <f>VLOOKUP(D1080,'lista 1'!$A$2:$F$1802,4,0)</f>
        <v>#N/A</v>
      </c>
      <c r="D1080" s="74"/>
      <c r="E1080" s="27" t="e">
        <f>VLOOKUP(D1080,'lista 1'!$A$2:$F$1802,5,0)</f>
        <v>#N/A</v>
      </c>
      <c r="F1080" s="59" t="e">
        <f>VLOOKUP(G1080,'lista 3'!$A$1:$C$467,3,0)</f>
        <v>#N/A</v>
      </c>
      <c r="G1080" s="76"/>
      <c r="H1080" s="85"/>
      <c r="I1080" s="59" t="e">
        <f>VLOOKUP(J1080,'lista 3'!$A$1:$C$467,3,0)</f>
        <v>#N/A</v>
      </c>
      <c r="J1080" s="78"/>
      <c r="K1080" s="87"/>
      <c r="L1080" s="82"/>
      <c r="M1080" s="22"/>
      <c r="N1080" s="22"/>
      <c r="O1080" s="22"/>
      <c r="P1080" s="26"/>
      <c r="Q1080" s="26"/>
      <c r="R1080" s="26"/>
      <c r="S1080" s="47"/>
      <c r="T1080" s="4" t="e">
        <f>VLOOKUP(#REF!,#REF!,2,0)</f>
        <v>#REF!</v>
      </c>
      <c r="U1080" s="20" t="e">
        <f t="shared" si="45"/>
        <v>#REF!</v>
      </c>
      <c r="V1080" s="47"/>
      <c r="W1080" s="43"/>
      <c r="Y1080" s="67" t="e">
        <f t="shared" si="46"/>
        <v>#N/A</v>
      </c>
    </row>
    <row r="1081" spans="1:25" ht="13.65" customHeight="1">
      <c r="A1081" s="92"/>
      <c r="B1081" s="27"/>
      <c r="C1081" s="28" t="e">
        <f>VLOOKUP(D1081,'lista 1'!$A$2:$F$1802,4,0)</f>
        <v>#N/A</v>
      </c>
      <c r="D1081" s="74"/>
      <c r="E1081" s="27" t="e">
        <f>VLOOKUP(D1081,'lista 1'!$A$2:$F$1802,5,0)</f>
        <v>#N/A</v>
      </c>
      <c r="F1081" s="59" t="e">
        <f>VLOOKUP(G1081,'lista 3'!$A$1:$C$467,3,0)</f>
        <v>#N/A</v>
      </c>
      <c r="G1081" s="76"/>
      <c r="H1081" s="85"/>
      <c r="I1081" s="59" t="e">
        <f>VLOOKUP(J1081,'lista 3'!$A$1:$C$467,3,0)</f>
        <v>#N/A</v>
      </c>
      <c r="J1081" s="78"/>
      <c r="K1081" s="87"/>
      <c r="L1081" s="82"/>
      <c r="M1081" s="22"/>
      <c r="N1081" s="22"/>
      <c r="O1081" s="22"/>
      <c r="P1081" s="26"/>
      <c r="Q1081" s="26"/>
      <c r="R1081" s="26"/>
      <c r="S1081" s="47"/>
      <c r="T1081" s="4" t="e">
        <f>VLOOKUP(#REF!,#REF!,2,0)</f>
        <v>#REF!</v>
      </c>
      <c r="U1081" s="20" t="e">
        <f t="shared" si="45"/>
        <v>#REF!</v>
      </c>
      <c r="V1081" s="47"/>
      <c r="W1081" s="43"/>
      <c r="Y1081" s="67" t="e">
        <f t="shared" si="46"/>
        <v>#N/A</v>
      </c>
    </row>
    <row r="1082" spans="1:25" ht="13.65" customHeight="1">
      <c r="A1082" s="92"/>
      <c r="B1082" s="27"/>
      <c r="C1082" s="28" t="e">
        <f>VLOOKUP(D1082,'lista 1'!$A$2:$F$1802,4,0)</f>
        <v>#N/A</v>
      </c>
      <c r="D1082" s="74"/>
      <c r="E1082" s="27" t="e">
        <f>VLOOKUP(D1082,'lista 1'!$A$2:$F$1802,5,0)</f>
        <v>#N/A</v>
      </c>
      <c r="F1082" s="59" t="e">
        <f>VLOOKUP(G1082,'lista 3'!$A$1:$C$467,3,0)</f>
        <v>#N/A</v>
      </c>
      <c r="G1082" s="76"/>
      <c r="H1082" s="85"/>
      <c r="I1082" s="59" t="e">
        <f>VLOOKUP(J1082,'lista 3'!$A$1:$C$467,3,0)</f>
        <v>#N/A</v>
      </c>
      <c r="J1082" s="78"/>
      <c r="K1082" s="87"/>
      <c r="L1082" s="82"/>
      <c r="M1082" s="22"/>
      <c r="N1082" s="22"/>
      <c r="O1082" s="22"/>
      <c r="P1082" s="26"/>
      <c r="Q1082" s="26"/>
      <c r="R1082" s="26"/>
      <c r="S1082" s="47"/>
      <c r="T1082" s="4" t="e">
        <f>VLOOKUP(#REF!,#REF!,2,0)</f>
        <v>#REF!</v>
      </c>
      <c r="U1082" s="20" t="e">
        <f t="shared" si="45"/>
        <v>#REF!</v>
      </c>
      <c r="V1082" s="47"/>
      <c r="W1082" s="43"/>
      <c r="Y1082" s="67" t="e">
        <f t="shared" si="46"/>
        <v>#N/A</v>
      </c>
    </row>
    <row r="1083" spans="1:25" ht="13.65" customHeight="1">
      <c r="A1083" s="92"/>
      <c r="B1083" s="27"/>
      <c r="C1083" s="28" t="e">
        <f>VLOOKUP(D1083,'lista 1'!$A$2:$F$1802,4,0)</f>
        <v>#N/A</v>
      </c>
      <c r="D1083" s="74"/>
      <c r="E1083" s="27" t="e">
        <f>VLOOKUP(D1083,'lista 1'!$A$2:$F$1802,5,0)</f>
        <v>#N/A</v>
      </c>
      <c r="F1083" s="59" t="e">
        <f>VLOOKUP(G1083,'lista 3'!$A$1:$C$467,3,0)</f>
        <v>#N/A</v>
      </c>
      <c r="G1083" s="76"/>
      <c r="H1083" s="85"/>
      <c r="I1083" s="59" t="e">
        <f>VLOOKUP(J1083,'lista 3'!$A$1:$C$467,3,0)</f>
        <v>#N/A</v>
      </c>
      <c r="J1083" s="78"/>
      <c r="K1083" s="87"/>
      <c r="L1083" s="82"/>
      <c r="M1083" s="22"/>
      <c r="N1083" s="22"/>
      <c r="O1083" s="22"/>
      <c r="P1083" s="26"/>
      <c r="Q1083" s="26"/>
      <c r="R1083" s="26"/>
      <c r="S1083" s="47"/>
      <c r="T1083" s="4" t="e">
        <f>VLOOKUP(#REF!,#REF!,2,0)</f>
        <v>#REF!</v>
      </c>
      <c r="U1083" s="20" t="e">
        <f t="shared" si="45"/>
        <v>#REF!</v>
      </c>
      <c r="V1083" s="47"/>
      <c r="W1083" s="43"/>
      <c r="Y1083" s="67" t="e">
        <f t="shared" si="46"/>
        <v>#N/A</v>
      </c>
    </row>
    <row r="1084" spans="1:25" ht="13.65" customHeight="1">
      <c r="A1084" s="92"/>
      <c r="B1084" s="27"/>
      <c r="C1084" s="28" t="e">
        <f>VLOOKUP(D1084,'lista 1'!$A$2:$F$1802,4,0)</f>
        <v>#N/A</v>
      </c>
      <c r="D1084" s="74"/>
      <c r="E1084" s="27" t="e">
        <f>VLOOKUP(D1084,'lista 1'!$A$2:$F$1802,5,0)</f>
        <v>#N/A</v>
      </c>
      <c r="F1084" s="59" t="e">
        <f>VLOOKUP(G1084,'lista 3'!$A$1:$C$467,3,0)</f>
        <v>#N/A</v>
      </c>
      <c r="G1084" s="76"/>
      <c r="H1084" s="85"/>
      <c r="I1084" s="59" t="e">
        <f>VLOOKUP(J1084,'lista 3'!$A$1:$C$467,3,0)</f>
        <v>#N/A</v>
      </c>
      <c r="J1084" s="78"/>
      <c r="K1084" s="87"/>
      <c r="L1084" s="82"/>
      <c r="M1084" s="22"/>
      <c r="N1084" s="22"/>
      <c r="O1084" s="22"/>
      <c r="P1084" s="26"/>
      <c r="Q1084" s="26"/>
      <c r="R1084" s="26"/>
      <c r="S1084" s="47"/>
      <c r="T1084" s="4" t="e">
        <f>VLOOKUP(#REF!,#REF!,2,0)</f>
        <v>#REF!</v>
      </c>
      <c r="U1084" s="20" t="e">
        <f t="shared" si="45"/>
        <v>#REF!</v>
      </c>
      <c r="V1084" s="47"/>
      <c r="W1084" s="43"/>
      <c r="Y1084" s="67" t="e">
        <f t="shared" si="46"/>
        <v>#N/A</v>
      </c>
    </row>
    <row r="1085" spans="1:25" ht="13.65" customHeight="1">
      <c r="A1085" s="92"/>
      <c r="B1085" s="27"/>
      <c r="C1085" s="28" t="e">
        <f>VLOOKUP(D1085,'lista 1'!$A$2:$F$1802,4,0)</f>
        <v>#N/A</v>
      </c>
      <c r="D1085" s="74"/>
      <c r="E1085" s="27" t="e">
        <f>VLOOKUP(D1085,'lista 1'!$A$2:$F$1802,5,0)</f>
        <v>#N/A</v>
      </c>
      <c r="F1085" s="59" t="e">
        <f>VLOOKUP(G1085,'lista 3'!$A$1:$C$467,3,0)</f>
        <v>#N/A</v>
      </c>
      <c r="G1085" s="76"/>
      <c r="H1085" s="85"/>
      <c r="I1085" s="59" t="e">
        <f>VLOOKUP(J1085,'lista 3'!$A$1:$C$467,3,0)</f>
        <v>#N/A</v>
      </c>
      <c r="J1085" s="78"/>
      <c r="K1085" s="87"/>
      <c r="L1085" s="82"/>
      <c r="M1085" s="22"/>
      <c r="N1085" s="22"/>
      <c r="O1085" s="22"/>
      <c r="P1085" s="26"/>
      <c r="Q1085" s="26"/>
      <c r="R1085" s="26"/>
      <c r="S1085" s="47"/>
      <c r="T1085" s="4" t="e">
        <f>VLOOKUP(#REF!,#REF!,2,0)</f>
        <v>#REF!</v>
      </c>
      <c r="U1085" s="20" t="e">
        <f t="shared" si="45"/>
        <v>#REF!</v>
      </c>
      <c r="V1085" s="47"/>
      <c r="W1085" s="43"/>
      <c r="Y1085" s="67" t="e">
        <f t="shared" si="46"/>
        <v>#N/A</v>
      </c>
    </row>
    <row r="1086" spans="1:25" ht="13.65" customHeight="1">
      <c r="A1086" s="92"/>
      <c r="B1086" s="27"/>
      <c r="C1086" s="28" t="e">
        <f>VLOOKUP(D1086,'lista 1'!$A$2:$F$1802,4,0)</f>
        <v>#N/A</v>
      </c>
      <c r="D1086" s="74"/>
      <c r="E1086" s="27" t="e">
        <f>VLOOKUP(D1086,'lista 1'!$A$2:$F$1802,5,0)</f>
        <v>#N/A</v>
      </c>
      <c r="F1086" s="59" t="e">
        <f>VLOOKUP(G1086,'lista 3'!$A$1:$C$467,3,0)</f>
        <v>#N/A</v>
      </c>
      <c r="G1086" s="76"/>
      <c r="H1086" s="85"/>
      <c r="I1086" s="59" t="e">
        <f>VLOOKUP(J1086,'lista 3'!$A$1:$C$467,3,0)</f>
        <v>#N/A</v>
      </c>
      <c r="J1086" s="78"/>
      <c r="K1086" s="87"/>
      <c r="L1086" s="82"/>
      <c r="M1086" s="22"/>
      <c r="N1086" s="22"/>
      <c r="O1086" s="22"/>
      <c r="P1086" s="26"/>
      <c r="Q1086" s="26"/>
      <c r="R1086" s="26"/>
      <c r="S1086" s="47"/>
      <c r="T1086" s="4" t="e">
        <f>VLOOKUP(#REF!,#REF!,2,0)</f>
        <v>#REF!</v>
      </c>
      <c r="U1086" s="20" t="e">
        <f t="shared" si="45"/>
        <v>#REF!</v>
      </c>
      <c r="V1086" s="47"/>
      <c r="W1086" s="43"/>
      <c r="Y1086" s="67" t="e">
        <f t="shared" si="46"/>
        <v>#N/A</v>
      </c>
    </row>
    <row r="1087" spans="1:25" ht="13.65" customHeight="1">
      <c r="A1087" s="92"/>
      <c r="B1087" s="27"/>
      <c r="C1087" s="28" t="e">
        <f>VLOOKUP(D1087,'lista 1'!$A$2:$F$1802,4,0)</f>
        <v>#N/A</v>
      </c>
      <c r="D1087" s="74"/>
      <c r="E1087" s="27" t="e">
        <f>VLOOKUP(D1087,'lista 1'!$A$2:$F$1802,5,0)</f>
        <v>#N/A</v>
      </c>
      <c r="F1087" s="59" t="e">
        <f>VLOOKUP(G1087,'lista 3'!$A$1:$C$467,3,0)</f>
        <v>#N/A</v>
      </c>
      <c r="G1087" s="76"/>
      <c r="H1087" s="85"/>
      <c r="I1087" s="59" t="e">
        <f>VLOOKUP(J1087,'lista 3'!$A$1:$C$467,3,0)</f>
        <v>#N/A</v>
      </c>
      <c r="J1087" s="78"/>
      <c r="K1087" s="87"/>
      <c r="L1087" s="82"/>
      <c r="M1087" s="22"/>
      <c r="N1087" s="22"/>
      <c r="O1087" s="22"/>
      <c r="P1087" s="26"/>
      <c r="Q1087" s="26"/>
      <c r="R1087" s="26"/>
      <c r="S1087" s="47"/>
      <c r="T1087" s="4" t="e">
        <f>VLOOKUP(#REF!,#REF!,2,0)</f>
        <v>#REF!</v>
      </c>
      <c r="U1087" s="20" t="e">
        <f t="shared" si="45"/>
        <v>#REF!</v>
      </c>
      <c r="V1087" s="47"/>
      <c r="W1087" s="43"/>
      <c r="Y1087" s="67" t="e">
        <f t="shared" si="46"/>
        <v>#N/A</v>
      </c>
    </row>
    <row r="1088" spans="1:25" ht="13.65" customHeight="1">
      <c r="A1088" s="92"/>
      <c r="B1088" s="27"/>
      <c r="C1088" s="28" t="e">
        <f>VLOOKUP(D1088,'lista 1'!$A$2:$F$1802,4,0)</f>
        <v>#N/A</v>
      </c>
      <c r="D1088" s="74"/>
      <c r="E1088" s="27" t="e">
        <f>VLOOKUP(D1088,'lista 1'!$A$2:$F$1802,5,0)</f>
        <v>#N/A</v>
      </c>
      <c r="F1088" s="59" t="e">
        <f>VLOOKUP(G1088,'lista 3'!$A$1:$C$467,3,0)</f>
        <v>#N/A</v>
      </c>
      <c r="G1088" s="76"/>
      <c r="H1088" s="85"/>
      <c r="I1088" s="59" t="e">
        <f>VLOOKUP(J1088,'lista 3'!$A$1:$C$467,3,0)</f>
        <v>#N/A</v>
      </c>
      <c r="J1088" s="78"/>
      <c r="K1088" s="87"/>
      <c r="L1088" s="82"/>
      <c r="M1088" s="22"/>
      <c r="N1088" s="22"/>
      <c r="O1088" s="22"/>
      <c r="P1088" s="26"/>
      <c r="Q1088" s="26"/>
      <c r="R1088" s="26"/>
      <c r="S1088" s="47"/>
      <c r="T1088" s="4" t="e">
        <f>VLOOKUP(#REF!,#REF!,2,0)</f>
        <v>#REF!</v>
      </c>
      <c r="U1088" s="20" t="e">
        <f t="shared" si="45"/>
        <v>#REF!</v>
      </c>
      <c r="V1088" s="47"/>
      <c r="W1088" s="43"/>
      <c r="Y1088" s="67" t="e">
        <f t="shared" si="46"/>
        <v>#N/A</v>
      </c>
    </row>
    <row r="1089" spans="1:25" ht="13.65" customHeight="1">
      <c r="A1089" s="92"/>
      <c r="B1089" s="27"/>
      <c r="C1089" s="28" t="e">
        <f>VLOOKUP(D1089,'lista 1'!$A$2:$F$1802,4,0)</f>
        <v>#N/A</v>
      </c>
      <c r="D1089" s="74"/>
      <c r="E1089" s="27" t="e">
        <f>VLOOKUP(D1089,'lista 1'!$A$2:$F$1802,5,0)</f>
        <v>#N/A</v>
      </c>
      <c r="F1089" s="59" t="e">
        <f>VLOOKUP(G1089,'lista 3'!$A$1:$C$467,3,0)</f>
        <v>#N/A</v>
      </c>
      <c r="G1089" s="76"/>
      <c r="H1089" s="85"/>
      <c r="I1089" s="59" t="e">
        <f>VLOOKUP(J1089,'lista 3'!$A$1:$C$467,3,0)</f>
        <v>#N/A</v>
      </c>
      <c r="J1089" s="78"/>
      <c r="K1089" s="87"/>
      <c r="L1089" s="82"/>
      <c r="M1089" s="22"/>
      <c r="N1089" s="22"/>
      <c r="O1089" s="22"/>
      <c r="P1089" s="26"/>
      <c r="Q1089" s="26"/>
      <c r="R1089" s="26"/>
      <c r="S1089" s="47"/>
      <c r="T1089" s="4" t="e">
        <f>VLOOKUP(#REF!,#REF!,2,0)</f>
        <v>#REF!</v>
      </c>
      <c r="U1089" s="20" t="e">
        <f t="shared" si="45"/>
        <v>#REF!</v>
      </c>
      <c r="V1089" s="47"/>
      <c r="W1089" s="43"/>
      <c r="Y1089" s="67" t="e">
        <f t="shared" si="46"/>
        <v>#N/A</v>
      </c>
    </row>
    <row r="1090" spans="1:25" ht="13.65" customHeight="1">
      <c r="A1090" s="92"/>
      <c r="B1090" s="27"/>
      <c r="C1090" s="28" t="e">
        <f>VLOOKUP(D1090,'lista 1'!$A$2:$F$1802,4,0)</f>
        <v>#N/A</v>
      </c>
      <c r="D1090" s="74"/>
      <c r="E1090" s="27" t="e">
        <f>VLOOKUP(D1090,'lista 1'!$A$2:$F$1802,5,0)</f>
        <v>#N/A</v>
      </c>
      <c r="F1090" s="59" t="e">
        <f>VLOOKUP(G1090,'lista 3'!$A$1:$C$467,3,0)</f>
        <v>#N/A</v>
      </c>
      <c r="G1090" s="76"/>
      <c r="H1090" s="85"/>
      <c r="I1090" s="59" t="e">
        <f>VLOOKUP(J1090,'lista 3'!$A$1:$C$467,3,0)</f>
        <v>#N/A</v>
      </c>
      <c r="J1090" s="78"/>
      <c r="K1090" s="87"/>
      <c r="L1090" s="82"/>
      <c r="M1090" s="22"/>
      <c r="N1090" s="22"/>
      <c r="O1090" s="22"/>
      <c r="P1090" s="26"/>
      <c r="Q1090" s="26"/>
      <c r="R1090" s="26"/>
      <c r="S1090" s="47"/>
      <c r="T1090" s="4" t="e">
        <f>VLOOKUP(#REF!,#REF!,2,0)</f>
        <v>#REF!</v>
      </c>
      <c r="U1090" s="20" t="e">
        <f t="shared" si="45"/>
        <v>#REF!</v>
      </c>
      <c r="V1090" s="47"/>
      <c r="W1090" s="43"/>
      <c r="Y1090" s="67" t="e">
        <f t="shared" si="46"/>
        <v>#N/A</v>
      </c>
    </row>
    <row r="1091" spans="1:25" ht="13.65" customHeight="1">
      <c r="A1091" s="92"/>
      <c r="B1091" s="27"/>
      <c r="C1091" s="28" t="e">
        <f>VLOOKUP(D1091,'lista 1'!$A$2:$F$1802,4,0)</f>
        <v>#N/A</v>
      </c>
      <c r="D1091" s="74"/>
      <c r="E1091" s="27" t="e">
        <f>VLOOKUP(D1091,'lista 1'!$A$2:$F$1802,5,0)</f>
        <v>#N/A</v>
      </c>
      <c r="F1091" s="59" t="e">
        <f>VLOOKUP(G1091,'lista 3'!$A$1:$C$467,3,0)</f>
        <v>#N/A</v>
      </c>
      <c r="G1091" s="76"/>
      <c r="H1091" s="85"/>
      <c r="I1091" s="59" t="e">
        <f>VLOOKUP(J1091,'lista 3'!$A$1:$C$467,3,0)</f>
        <v>#N/A</v>
      </c>
      <c r="J1091" s="78"/>
      <c r="K1091" s="87"/>
      <c r="L1091" s="82"/>
      <c r="M1091" s="22"/>
      <c r="N1091" s="22"/>
      <c r="O1091" s="22"/>
      <c r="P1091" s="26"/>
      <c r="Q1091" s="26"/>
      <c r="R1091" s="26"/>
      <c r="S1091" s="47"/>
      <c r="T1091" s="4" t="e">
        <f>VLOOKUP(#REF!,#REF!,2,0)</f>
        <v>#REF!</v>
      </c>
      <c r="U1091" s="20" t="e">
        <f t="shared" si="45"/>
        <v>#REF!</v>
      </c>
      <c r="V1091" s="47"/>
      <c r="W1091" s="43"/>
      <c r="Y1091" s="67" t="e">
        <f t="shared" si="46"/>
        <v>#N/A</v>
      </c>
    </row>
    <row r="1092" spans="1:25" ht="13.65" customHeight="1">
      <c r="A1092" s="92"/>
      <c r="B1092" s="27"/>
      <c r="C1092" s="28" t="e">
        <f>VLOOKUP(D1092,'lista 1'!$A$2:$F$1802,4,0)</f>
        <v>#N/A</v>
      </c>
      <c r="D1092" s="74"/>
      <c r="E1092" s="27" t="e">
        <f>VLOOKUP(D1092,'lista 1'!$A$2:$F$1802,5,0)</f>
        <v>#N/A</v>
      </c>
      <c r="F1092" s="59" t="e">
        <f>VLOOKUP(G1092,'lista 3'!$A$1:$C$467,3,0)</f>
        <v>#N/A</v>
      </c>
      <c r="G1092" s="76"/>
      <c r="H1092" s="85"/>
      <c r="I1092" s="59" t="e">
        <f>VLOOKUP(J1092,'lista 3'!$A$1:$C$467,3,0)</f>
        <v>#N/A</v>
      </c>
      <c r="J1092" s="78"/>
      <c r="K1092" s="87"/>
      <c r="L1092" s="82"/>
      <c r="M1092" s="22"/>
      <c r="N1092" s="22"/>
      <c r="O1092" s="22"/>
      <c r="P1092" s="26"/>
      <c r="Q1092" s="26"/>
      <c r="R1092" s="26"/>
      <c r="S1092" s="47"/>
      <c r="T1092" s="4" t="e">
        <f>VLOOKUP(#REF!,#REF!,2,0)</f>
        <v>#REF!</v>
      </c>
      <c r="U1092" s="20" t="e">
        <f t="shared" si="45"/>
        <v>#REF!</v>
      </c>
      <c r="V1092" s="47"/>
      <c r="W1092" s="43"/>
      <c r="Y1092" s="67" t="e">
        <f t="shared" si="46"/>
        <v>#N/A</v>
      </c>
    </row>
    <row r="1093" spans="1:25" ht="13.65" customHeight="1">
      <c r="A1093" s="92"/>
      <c r="B1093" s="27"/>
      <c r="C1093" s="28" t="e">
        <f>VLOOKUP(D1093,'lista 1'!$A$2:$F$1802,4,0)</f>
        <v>#N/A</v>
      </c>
      <c r="D1093" s="74"/>
      <c r="E1093" s="27" t="e">
        <f>VLOOKUP(D1093,'lista 1'!$A$2:$F$1802,5,0)</f>
        <v>#N/A</v>
      </c>
      <c r="F1093" s="59" t="e">
        <f>VLOOKUP(G1093,'lista 3'!$A$1:$C$467,3,0)</f>
        <v>#N/A</v>
      </c>
      <c r="G1093" s="76"/>
      <c r="H1093" s="85"/>
      <c r="I1093" s="59" t="e">
        <f>VLOOKUP(J1093,'lista 3'!$A$1:$C$467,3,0)</f>
        <v>#N/A</v>
      </c>
      <c r="J1093" s="78"/>
      <c r="K1093" s="87"/>
      <c r="L1093" s="82"/>
      <c r="M1093" s="22"/>
      <c r="N1093" s="22"/>
      <c r="O1093" s="22"/>
      <c r="P1093" s="26"/>
      <c r="Q1093" s="26"/>
      <c r="R1093" s="26"/>
      <c r="S1093" s="47"/>
      <c r="T1093" s="4" t="e">
        <f>VLOOKUP(#REF!,#REF!,2,0)</f>
        <v>#REF!</v>
      </c>
      <c r="U1093" s="20" t="e">
        <f t="shared" si="45"/>
        <v>#REF!</v>
      </c>
      <c r="V1093" s="47"/>
      <c r="W1093" s="43"/>
      <c r="Y1093" s="67" t="e">
        <f t="shared" si="46"/>
        <v>#N/A</v>
      </c>
    </row>
    <row r="1094" spans="1:25" ht="13.65" customHeight="1">
      <c r="A1094" s="92"/>
      <c r="B1094" s="27"/>
      <c r="C1094" s="28" t="e">
        <f>VLOOKUP(D1094,'lista 1'!$A$2:$F$1802,4,0)</f>
        <v>#N/A</v>
      </c>
      <c r="D1094" s="74"/>
      <c r="E1094" s="27" t="e">
        <f>VLOOKUP(D1094,'lista 1'!$A$2:$F$1802,5,0)</f>
        <v>#N/A</v>
      </c>
      <c r="F1094" s="59" t="e">
        <f>VLOOKUP(G1094,'lista 3'!$A$1:$C$467,3,0)</f>
        <v>#N/A</v>
      </c>
      <c r="G1094" s="76"/>
      <c r="H1094" s="85"/>
      <c r="I1094" s="59" t="e">
        <f>VLOOKUP(J1094,'lista 3'!$A$1:$C$467,3,0)</f>
        <v>#N/A</v>
      </c>
      <c r="J1094" s="78"/>
      <c r="K1094" s="87"/>
      <c r="L1094" s="82"/>
      <c r="M1094" s="22"/>
      <c r="N1094" s="22"/>
      <c r="O1094" s="22"/>
      <c r="P1094" s="26"/>
      <c r="Q1094" s="26"/>
      <c r="R1094" s="26"/>
      <c r="S1094" s="47"/>
      <c r="T1094" s="4" t="e">
        <f>VLOOKUP(#REF!,#REF!,2,0)</f>
        <v>#REF!</v>
      </c>
      <c r="U1094" s="20" t="e">
        <f t="shared" si="45"/>
        <v>#REF!</v>
      </c>
      <c r="V1094" s="47"/>
      <c r="W1094" s="43"/>
      <c r="Y1094" s="67" t="e">
        <f t="shared" si="46"/>
        <v>#N/A</v>
      </c>
    </row>
    <row r="1095" spans="1:25" ht="13.65" customHeight="1">
      <c r="A1095" s="92"/>
      <c r="B1095" s="27"/>
      <c r="C1095" s="28" t="e">
        <f>VLOOKUP(D1095,'lista 1'!$A$2:$F$1802,4,0)</f>
        <v>#N/A</v>
      </c>
      <c r="D1095" s="74"/>
      <c r="E1095" s="27" t="e">
        <f>VLOOKUP(D1095,'lista 1'!$A$2:$F$1802,5,0)</f>
        <v>#N/A</v>
      </c>
      <c r="F1095" s="59" t="e">
        <f>VLOOKUP(G1095,'lista 3'!$A$1:$C$467,3,0)</f>
        <v>#N/A</v>
      </c>
      <c r="G1095" s="76"/>
      <c r="H1095" s="85"/>
      <c r="I1095" s="59" t="e">
        <f>VLOOKUP(J1095,'lista 3'!$A$1:$C$467,3,0)</f>
        <v>#N/A</v>
      </c>
      <c r="J1095" s="78"/>
      <c r="K1095" s="87"/>
      <c r="L1095" s="82"/>
      <c r="M1095" s="22"/>
      <c r="N1095" s="22"/>
      <c r="O1095" s="22"/>
      <c r="P1095" s="26"/>
      <c r="Q1095" s="26"/>
      <c r="R1095" s="26"/>
      <c r="S1095" s="47"/>
      <c r="T1095" s="4" t="e">
        <f>VLOOKUP(#REF!,#REF!,2,0)</f>
        <v>#REF!</v>
      </c>
      <c r="U1095" s="20" t="e">
        <f t="shared" si="45"/>
        <v>#REF!</v>
      </c>
      <c r="V1095" s="47"/>
      <c r="W1095" s="43"/>
      <c r="Y1095" s="67" t="e">
        <f t="shared" si="46"/>
        <v>#N/A</v>
      </c>
    </row>
    <row r="1096" spans="1:25" ht="13.65" customHeight="1">
      <c r="A1096" s="92"/>
      <c r="B1096" s="27"/>
      <c r="C1096" s="28" t="e">
        <f>VLOOKUP(D1096,'lista 1'!$A$2:$F$1802,4,0)</f>
        <v>#N/A</v>
      </c>
      <c r="D1096" s="74"/>
      <c r="E1096" s="27" t="e">
        <f>VLOOKUP(D1096,'lista 1'!$A$2:$F$1802,5,0)</f>
        <v>#N/A</v>
      </c>
      <c r="F1096" s="59" t="e">
        <f>VLOOKUP(G1096,'lista 3'!$A$1:$C$467,3,0)</f>
        <v>#N/A</v>
      </c>
      <c r="G1096" s="76"/>
      <c r="H1096" s="85"/>
      <c r="I1096" s="59" t="e">
        <f>VLOOKUP(J1096,'lista 3'!$A$1:$C$467,3,0)</f>
        <v>#N/A</v>
      </c>
      <c r="J1096" s="78"/>
      <c r="K1096" s="87"/>
      <c r="L1096" s="82"/>
      <c r="M1096" s="22"/>
      <c r="N1096" s="22"/>
      <c r="O1096" s="22"/>
      <c r="P1096" s="26"/>
      <c r="Q1096" s="26"/>
      <c r="R1096" s="26"/>
      <c r="S1096" s="47"/>
      <c r="T1096" s="4" t="e">
        <f>VLOOKUP(#REF!,#REF!,2,0)</f>
        <v>#REF!</v>
      </c>
      <c r="U1096" s="20" t="e">
        <f t="shared" si="45"/>
        <v>#REF!</v>
      </c>
      <c r="V1096" s="47"/>
      <c r="W1096" s="43"/>
      <c r="Y1096" s="67" t="e">
        <f t="shared" si="46"/>
        <v>#N/A</v>
      </c>
    </row>
    <row r="1097" spans="1:25" ht="13.65" customHeight="1">
      <c r="A1097" s="92"/>
      <c r="B1097" s="27"/>
      <c r="C1097" s="28" t="e">
        <f>VLOOKUP(D1097,'lista 1'!$A$2:$F$1802,4,0)</f>
        <v>#N/A</v>
      </c>
      <c r="D1097" s="74"/>
      <c r="E1097" s="27" t="e">
        <f>VLOOKUP(D1097,'lista 1'!$A$2:$F$1802,5,0)</f>
        <v>#N/A</v>
      </c>
      <c r="F1097" s="59" t="e">
        <f>VLOOKUP(G1097,'lista 3'!$A$1:$C$467,3,0)</f>
        <v>#N/A</v>
      </c>
      <c r="G1097" s="76"/>
      <c r="H1097" s="85"/>
      <c r="I1097" s="59" t="e">
        <f>VLOOKUP(J1097,'lista 3'!$A$1:$C$467,3,0)</f>
        <v>#N/A</v>
      </c>
      <c r="J1097" s="78"/>
      <c r="K1097" s="87"/>
      <c r="L1097" s="82"/>
      <c r="M1097" s="22"/>
      <c r="N1097" s="22"/>
      <c r="O1097" s="22"/>
      <c r="P1097" s="26"/>
      <c r="Q1097" s="26"/>
      <c r="R1097" s="26"/>
      <c r="S1097" s="47"/>
      <c r="T1097" s="4" t="e">
        <f>VLOOKUP(#REF!,#REF!,2,0)</f>
        <v>#REF!</v>
      </c>
      <c r="U1097" s="20" t="e">
        <f t="shared" si="45"/>
        <v>#REF!</v>
      </c>
      <c r="V1097" s="47"/>
      <c r="W1097" s="43"/>
      <c r="Y1097" s="67" t="e">
        <f t="shared" si="46"/>
        <v>#N/A</v>
      </c>
    </row>
    <row r="1098" spans="1:25" ht="13.65" customHeight="1">
      <c r="A1098" s="92"/>
      <c r="B1098" s="27"/>
      <c r="C1098" s="28" t="e">
        <f>VLOOKUP(D1098,'lista 1'!$A$2:$F$1802,4,0)</f>
        <v>#N/A</v>
      </c>
      <c r="D1098" s="74"/>
      <c r="E1098" s="27" t="e">
        <f>VLOOKUP(D1098,'lista 1'!$A$2:$F$1802,5,0)</f>
        <v>#N/A</v>
      </c>
      <c r="F1098" s="59" t="e">
        <f>VLOOKUP(G1098,'lista 3'!$A$1:$C$467,3,0)</f>
        <v>#N/A</v>
      </c>
      <c r="G1098" s="76"/>
      <c r="H1098" s="85"/>
      <c r="I1098" s="59" t="e">
        <f>VLOOKUP(J1098,'lista 3'!$A$1:$C$467,3,0)</f>
        <v>#N/A</v>
      </c>
      <c r="J1098" s="78"/>
      <c r="K1098" s="87"/>
      <c r="L1098" s="82"/>
      <c r="M1098" s="22"/>
      <c r="N1098" s="22"/>
      <c r="O1098" s="22"/>
      <c r="P1098" s="26"/>
      <c r="Q1098" s="26"/>
      <c r="R1098" s="26"/>
      <c r="S1098" s="47"/>
      <c r="T1098" s="4" t="e">
        <f>VLOOKUP(#REF!,#REF!,2,0)</f>
        <v>#REF!</v>
      </c>
      <c r="U1098" s="20" t="e">
        <f t="shared" si="45"/>
        <v>#REF!</v>
      </c>
      <c r="V1098" s="47"/>
      <c r="W1098" s="43"/>
      <c r="Y1098" s="67" t="e">
        <f t="shared" si="46"/>
        <v>#N/A</v>
      </c>
    </row>
    <row r="1099" spans="1:25" ht="13.65" customHeight="1">
      <c r="A1099" s="92"/>
      <c r="B1099" s="27"/>
      <c r="C1099" s="28" t="e">
        <f>VLOOKUP(D1099,'lista 1'!$A$2:$F$1802,4,0)</f>
        <v>#N/A</v>
      </c>
      <c r="D1099" s="74"/>
      <c r="E1099" s="27" t="e">
        <f>VLOOKUP(D1099,'lista 1'!$A$2:$F$1802,5,0)</f>
        <v>#N/A</v>
      </c>
      <c r="F1099" s="59" t="e">
        <f>VLOOKUP(G1099,'lista 3'!$A$1:$C$467,3,0)</f>
        <v>#N/A</v>
      </c>
      <c r="G1099" s="76"/>
      <c r="H1099" s="85"/>
      <c r="I1099" s="59" t="e">
        <f>VLOOKUP(J1099,'lista 3'!$A$1:$C$467,3,0)</f>
        <v>#N/A</v>
      </c>
      <c r="J1099" s="78"/>
      <c r="K1099" s="87"/>
      <c r="L1099" s="82"/>
      <c r="M1099" s="22"/>
      <c r="N1099" s="22"/>
      <c r="O1099" s="22"/>
      <c r="P1099" s="26"/>
      <c r="Q1099" s="26"/>
      <c r="R1099" s="26"/>
      <c r="S1099" s="47"/>
      <c r="T1099" s="4" t="e">
        <f>VLOOKUP(#REF!,#REF!,2,0)</f>
        <v>#REF!</v>
      </c>
      <c r="U1099" s="20" t="e">
        <f t="shared" si="45"/>
        <v>#REF!</v>
      </c>
      <c r="V1099" s="47"/>
      <c r="W1099" s="43"/>
      <c r="Y1099" s="67" t="e">
        <f t="shared" si="46"/>
        <v>#N/A</v>
      </c>
    </row>
    <row r="1100" spans="1:25" ht="13.65" customHeight="1">
      <c r="A1100" s="92"/>
      <c r="B1100" s="27"/>
      <c r="C1100" s="28" t="e">
        <f>VLOOKUP(D1100,'lista 1'!$A$2:$F$1802,4,0)</f>
        <v>#N/A</v>
      </c>
      <c r="D1100" s="74"/>
      <c r="E1100" s="27" t="e">
        <f>VLOOKUP(D1100,'lista 1'!$A$2:$F$1802,5,0)</f>
        <v>#N/A</v>
      </c>
      <c r="F1100" s="59" t="e">
        <f>VLOOKUP(G1100,'lista 3'!$A$1:$C$467,3,0)</f>
        <v>#N/A</v>
      </c>
      <c r="G1100" s="76"/>
      <c r="H1100" s="85"/>
      <c r="I1100" s="59" t="e">
        <f>VLOOKUP(J1100,'lista 3'!$A$1:$C$467,3,0)</f>
        <v>#N/A</v>
      </c>
      <c r="J1100" s="78"/>
      <c r="K1100" s="87"/>
      <c r="L1100" s="82"/>
      <c r="M1100" s="22"/>
      <c r="N1100" s="22"/>
      <c r="O1100" s="22"/>
      <c r="P1100" s="26"/>
      <c r="Q1100" s="26"/>
      <c r="R1100" s="26"/>
      <c r="S1100" s="47"/>
      <c r="T1100" s="4" t="e">
        <f>VLOOKUP(#REF!,#REF!,2,0)</f>
        <v>#REF!</v>
      </c>
      <c r="U1100" s="20" t="e">
        <f t="shared" si="45"/>
        <v>#REF!</v>
      </c>
      <c r="V1100" s="47"/>
      <c r="W1100" s="43"/>
      <c r="Y1100" s="67" t="e">
        <f t="shared" si="46"/>
        <v>#N/A</v>
      </c>
    </row>
    <row r="1101" spans="1:25" ht="13.65" customHeight="1">
      <c r="A1101" s="92"/>
      <c r="B1101" s="27"/>
      <c r="C1101" s="28" t="e">
        <f>VLOOKUP(D1101,'lista 1'!$A$2:$F$1802,4,0)</f>
        <v>#N/A</v>
      </c>
      <c r="D1101" s="74"/>
      <c r="E1101" s="27" t="e">
        <f>VLOOKUP(D1101,'lista 1'!$A$2:$F$1802,5,0)</f>
        <v>#N/A</v>
      </c>
      <c r="F1101" s="59" t="e">
        <f>VLOOKUP(G1101,'lista 3'!$A$1:$C$467,3,0)</f>
        <v>#N/A</v>
      </c>
      <c r="G1101" s="76"/>
      <c r="H1101" s="85"/>
      <c r="I1101" s="59" t="e">
        <f>VLOOKUP(J1101,'lista 3'!$A$1:$C$467,3,0)</f>
        <v>#N/A</v>
      </c>
      <c r="J1101" s="78"/>
      <c r="K1101" s="87"/>
      <c r="L1101" s="82"/>
      <c r="M1101" s="22"/>
      <c r="N1101" s="22"/>
      <c r="O1101" s="22"/>
      <c r="P1101" s="26"/>
      <c r="Q1101" s="26"/>
      <c r="R1101" s="26"/>
      <c r="S1101" s="47"/>
      <c r="T1101" s="4" t="e">
        <f>VLOOKUP(#REF!,#REF!,2,0)</f>
        <v>#REF!</v>
      </c>
      <c r="U1101" s="20" t="e">
        <f t="shared" si="45"/>
        <v>#REF!</v>
      </c>
      <c r="V1101" s="47"/>
      <c r="W1101" s="43"/>
      <c r="Y1101" s="67" t="e">
        <f t="shared" si="46"/>
        <v>#N/A</v>
      </c>
    </row>
    <row r="1102" spans="1:25" ht="13.65" customHeight="1">
      <c r="A1102" s="92"/>
      <c r="B1102" s="27"/>
      <c r="C1102" s="28" t="e">
        <f>VLOOKUP(D1102,'lista 1'!$A$2:$F$1802,4,0)</f>
        <v>#N/A</v>
      </c>
      <c r="D1102" s="74"/>
      <c r="E1102" s="27" t="e">
        <f>VLOOKUP(D1102,'lista 1'!$A$2:$F$1802,5,0)</f>
        <v>#N/A</v>
      </c>
      <c r="F1102" s="59" t="e">
        <f>VLOOKUP(G1102,'lista 3'!$A$1:$C$467,3,0)</f>
        <v>#N/A</v>
      </c>
      <c r="G1102" s="76"/>
      <c r="H1102" s="85"/>
      <c r="I1102" s="59" t="e">
        <f>VLOOKUP(J1102,'lista 3'!$A$1:$C$467,3,0)</f>
        <v>#N/A</v>
      </c>
      <c r="J1102" s="78"/>
      <c r="K1102" s="87"/>
      <c r="L1102" s="82"/>
      <c r="M1102" s="22"/>
      <c r="N1102" s="22"/>
      <c r="O1102" s="22"/>
      <c r="P1102" s="26"/>
      <c r="Q1102" s="26"/>
      <c r="R1102" s="26"/>
      <c r="S1102" s="47"/>
      <c r="T1102" s="4" t="e">
        <f>VLOOKUP(#REF!,#REF!,2,0)</f>
        <v>#REF!</v>
      </c>
      <c r="U1102" s="20" t="e">
        <f t="shared" si="45"/>
        <v>#REF!</v>
      </c>
      <c r="V1102" s="47"/>
      <c r="W1102" s="43"/>
      <c r="Y1102" s="67" t="e">
        <f t="shared" si="46"/>
        <v>#N/A</v>
      </c>
    </row>
    <row r="1103" spans="1:25" ht="13.65" customHeight="1">
      <c r="A1103" s="92"/>
      <c r="B1103" s="27"/>
      <c r="C1103" s="28" t="e">
        <f>VLOOKUP(D1103,'lista 1'!$A$2:$F$1802,4,0)</f>
        <v>#N/A</v>
      </c>
      <c r="D1103" s="74"/>
      <c r="E1103" s="27" t="e">
        <f>VLOOKUP(D1103,'lista 1'!$A$2:$F$1802,5,0)</f>
        <v>#N/A</v>
      </c>
      <c r="F1103" s="59" t="e">
        <f>VLOOKUP(G1103,'lista 3'!$A$1:$C$467,3,0)</f>
        <v>#N/A</v>
      </c>
      <c r="G1103" s="76"/>
      <c r="H1103" s="85"/>
      <c r="I1103" s="59" t="e">
        <f>VLOOKUP(J1103,'lista 3'!$A$1:$C$467,3,0)</f>
        <v>#N/A</v>
      </c>
      <c r="J1103" s="78"/>
      <c r="K1103" s="87"/>
      <c r="L1103" s="82"/>
      <c r="M1103" s="22"/>
      <c r="N1103" s="22"/>
      <c r="O1103" s="22"/>
      <c r="P1103" s="26"/>
      <c r="Q1103" s="26"/>
      <c r="R1103" s="26"/>
      <c r="S1103" s="47"/>
      <c r="T1103" s="4" t="e">
        <f>VLOOKUP(#REF!,#REF!,2,0)</f>
        <v>#REF!</v>
      </c>
      <c r="U1103" s="20" t="e">
        <f t="shared" si="45"/>
        <v>#REF!</v>
      </c>
      <c r="V1103" s="47"/>
      <c r="W1103" s="43"/>
      <c r="Y1103" s="67" t="e">
        <f t="shared" si="46"/>
        <v>#N/A</v>
      </c>
    </row>
    <row r="1104" spans="1:25" ht="13.65" customHeight="1">
      <c r="A1104" s="92"/>
      <c r="B1104" s="27"/>
      <c r="C1104" s="28" t="e">
        <f>VLOOKUP(D1104,'lista 1'!$A$2:$F$1802,4,0)</f>
        <v>#N/A</v>
      </c>
      <c r="D1104" s="74"/>
      <c r="E1104" s="27" t="e">
        <f>VLOOKUP(D1104,'lista 1'!$A$2:$F$1802,5,0)</f>
        <v>#N/A</v>
      </c>
      <c r="F1104" s="59" t="e">
        <f>VLOOKUP(G1104,'lista 3'!$A$1:$C$467,3,0)</f>
        <v>#N/A</v>
      </c>
      <c r="G1104" s="76"/>
      <c r="H1104" s="85"/>
      <c r="I1104" s="59" t="e">
        <f>VLOOKUP(J1104,'lista 3'!$A$1:$C$467,3,0)</f>
        <v>#N/A</v>
      </c>
      <c r="J1104" s="78"/>
      <c r="K1104" s="87"/>
      <c r="L1104" s="82"/>
      <c r="M1104" s="22"/>
      <c r="N1104" s="22"/>
      <c r="O1104" s="22"/>
      <c r="P1104" s="26"/>
      <c r="Q1104" s="26"/>
      <c r="R1104" s="26"/>
      <c r="S1104" s="47"/>
      <c r="T1104" s="4" t="e">
        <f>VLOOKUP(#REF!,#REF!,2,0)</f>
        <v>#REF!</v>
      </c>
      <c r="U1104" s="20" t="e">
        <f t="shared" si="45"/>
        <v>#REF!</v>
      </c>
      <c r="V1104" s="47"/>
      <c r="W1104" s="43"/>
      <c r="Y1104" s="67" t="e">
        <f t="shared" si="46"/>
        <v>#N/A</v>
      </c>
    </row>
    <row r="1105" spans="1:25" ht="13.65" customHeight="1">
      <c r="A1105" s="92"/>
      <c r="B1105" s="27"/>
      <c r="C1105" s="28" t="e">
        <f>VLOOKUP(D1105,'lista 1'!$A$2:$F$1802,4,0)</f>
        <v>#N/A</v>
      </c>
      <c r="D1105" s="74"/>
      <c r="E1105" s="27" t="e">
        <f>VLOOKUP(D1105,'lista 1'!$A$2:$F$1802,5,0)</f>
        <v>#N/A</v>
      </c>
      <c r="F1105" s="59" t="e">
        <f>VLOOKUP(G1105,'lista 3'!$A$1:$C$467,3,0)</f>
        <v>#N/A</v>
      </c>
      <c r="G1105" s="76"/>
      <c r="H1105" s="85"/>
      <c r="I1105" s="59" t="e">
        <f>VLOOKUP(J1105,'lista 3'!$A$1:$C$467,3,0)</f>
        <v>#N/A</v>
      </c>
      <c r="J1105" s="78"/>
      <c r="K1105" s="87"/>
      <c r="L1105" s="82"/>
      <c r="M1105" s="22"/>
      <c r="N1105" s="22"/>
      <c r="O1105" s="22"/>
      <c r="P1105" s="26"/>
      <c r="Q1105" s="26"/>
      <c r="R1105" s="26"/>
      <c r="S1105" s="47"/>
      <c r="T1105" s="4" t="e">
        <f>VLOOKUP(#REF!,#REF!,2,0)</f>
        <v>#REF!</v>
      </c>
      <c r="U1105" s="20" t="e">
        <f t="shared" si="45"/>
        <v>#REF!</v>
      </c>
      <c r="V1105" s="47"/>
      <c r="W1105" s="43"/>
      <c r="Y1105" s="67" t="e">
        <f t="shared" si="46"/>
        <v>#N/A</v>
      </c>
    </row>
    <row r="1106" spans="1:25" ht="13.65" customHeight="1">
      <c r="A1106" s="92"/>
      <c r="B1106" s="27"/>
      <c r="C1106" s="28" t="e">
        <f>VLOOKUP(D1106,'lista 1'!$A$2:$F$1802,4,0)</f>
        <v>#N/A</v>
      </c>
      <c r="D1106" s="74"/>
      <c r="E1106" s="27" t="e">
        <f>VLOOKUP(D1106,'lista 1'!$A$2:$F$1802,5,0)</f>
        <v>#N/A</v>
      </c>
      <c r="F1106" s="59" t="e">
        <f>VLOOKUP(G1106,'lista 3'!$A$1:$C$467,3,0)</f>
        <v>#N/A</v>
      </c>
      <c r="G1106" s="76"/>
      <c r="H1106" s="85"/>
      <c r="I1106" s="59" t="e">
        <f>VLOOKUP(J1106,'lista 3'!$A$1:$C$467,3,0)</f>
        <v>#N/A</v>
      </c>
      <c r="J1106" s="78"/>
      <c r="K1106" s="87"/>
      <c r="L1106" s="82"/>
      <c r="M1106" s="22"/>
      <c r="N1106" s="22"/>
      <c r="O1106" s="22"/>
      <c r="P1106" s="26"/>
      <c r="Q1106" s="26"/>
      <c r="R1106" s="26"/>
      <c r="S1106" s="47"/>
      <c r="T1106" s="4" t="e">
        <f>VLOOKUP(#REF!,#REF!,2,0)</f>
        <v>#REF!</v>
      </c>
      <c r="U1106" s="20" t="e">
        <f t="shared" si="45"/>
        <v>#REF!</v>
      </c>
      <c r="V1106" s="47"/>
      <c r="W1106" s="43"/>
      <c r="Y1106" s="67" t="e">
        <f t="shared" si="46"/>
        <v>#N/A</v>
      </c>
    </row>
    <row r="1107" spans="1:25" ht="13.65" customHeight="1">
      <c r="A1107" s="92"/>
      <c r="B1107" s="27"/>
      <c r="C1107" s="28" t="e">
        <f>VLOOKUP(D1107,'lista 1'!$A$2:$F$1802,4,0)</f>
        <v>#N/A</v>
      </c>
      <c r="D1107" s="74"/>
      <c r="E1107" s="27" t="e">
        <f>VLOOKUP(D1107,'lista 1'!$A$2:$F$1802,5,0)</f>
        <v>#N/A</v>
      </c>
      <c r="F1107" s="59" t="e">
        <f>VLOOKUP(G1107,'lista 3'!$A$1:$C$467,3,0)</f>
        <v>#N/A</v>
      </c>
      <c r="G1107" s="76"/>
      <c r="H1107" s="85"/>
      <c r="I1107" s="59" t="e">
        <f>VLOOKUP(J1107,'lista 3'!$A$1:$C$467,3,0)</f>
        <v>#N/A</v>
      </c>
      <c r="J1107" s="78"/>
      <c r="K1107" s="87"/>
      <c r="L1107" s="82"/>
      <c r="M1107" s="22"/>
      <c r="N1107" s="22"/>
      <c r="O1107" s="22"/>
      <c r="P1107" s="26"/>
      <c r="Q1107" s="26"/>
      <c r="R1107" s="26"/>
      <c r="S1107" s="47"/>
      <c r="T1107" s="4" t="e">
        <f>VLOOKUP(#REF!,#REF!,2,0)</f>
        <v>#REF!</v>
      </c>
      <c r="U1107" s="20" t="e">
        <f t="shared" si="45"/>
        <v>#REF!</v>
      </c>
      <c r="V1107" s="47"/>
      <c r="W1107" s="43"/>
      <c r="Y1107" s="67" t="e">
        <f t="shared" si="46"/>
        <v>#N/A</v>
      </c>
    </row>
    <row r="1108" spans="1:25" ht="13.65" customHeight="1">
      <c r="A1108" s="92"/>
      <c r="B1108" s="27"/>
      <c r="C1108" s="28" t="e">
        <f>VLOOKUP(D1108,'lista 1'!$A$2:$F$1802,4,0)</f>
        <v>#N/A</v>
      </c>
      <c r="D1108" s="74"/>
      <c r="E1108" s="27" t="e">
        <f>VLOOKUP(D1108,'lista 1'!$A$2:$F$1802,5,0)</f>
        <v>#N/A</v>
      </c>
      <c r="F1108" s="59" t="e">
        <f>VLOOKUP(G1108,'lista 3'!$A$1:$C$467,3,0)</f>
        <v>#N/A</v>
      </c>
      <c r="G1108" s="76"/>
      <c r="H1108" s="85"/>
      <c r="I1108" s="59" t="e">
        <f>VLOOKUP(J1108,'lista 3'!$A$1:$C$467,3,0)</f>
        <v>#N/A</v>
      </c>
      <c r="J1108" s="78"/>
      <c r="K1108" s="87"/>
      <c r="L1108" s="82"/>
      <c r="M1108" s="22"/>
      <c r="N1108" s="22"/>
      <c r="O1108" s="22"/>
      <c r="P1108" s="26"/>
      <c r="Q1108" s="26"/>
      <c r="R1108" s="26"/>
      <c r="S1108" s="47"/>
      <c r="T1108" s="4" t="e">
        <f>VLOOKUP(#REF!,#REF!,2,0)</f>
        <v>#REF!</v>
      </c>
      <c r="U1108" s="20" t="e">
        <f t="shared" si="45"/>
        <v>#REF!</v>
      </c>
      <c r="V1108" s="47"/>
      <c r="W1108" s="43"/>
      <c r="Y1108" s="67" t="e">
        <f t="shared" si="46"/>
        <v>#N/A</v>
      </c>
    </row>
    <row r="1109" spans="1:25" ht="13.65" customHeight="1">
      <c r="A1109" s="92"/>
      <c r="B1109" s="27"/>
      <c r="C1109" s="28" t="e">
        <f>VLOOKUP(D1109,'lista 1'!$A$2:$F$1802,4,0)</f>
        <v>#N/A</v>
      </c>
      <c r="D1109" s="74"/>
      <c r="E1109" s="27" t="e">
        <f>VLOOKUP(D1109,'lista 1'!$A$2:$F$1802,5,0)</f>
        <v>#N/A</v>
      </c>
      <c r="F1109" s="59" t="e">
        <f>VLOOKUP(G1109,'lista 3'!$A$1:$C$467,3,0)</f>
        <v>#N/A</v>
      </c>
      <c r="G1109" s="76"/>
      <c r="H1109" s="85"/>
      <c r="I1109" s="59" t="e">
        <f>VLOOKUP(J1109,'lista 3'!$A$1:$C$467,3,0)</f>
        <v>#N/A</v>
      </c>
      <c r="J1109" s="78"/>
      <c r="K1109" s="87"/>
      <c r="L1109" s="82"/>
      <c r="M1109" s="22"/>
      <c r="N1109" s="22"/>
      <c r="O1109" s="22"/>
      <c r="P1109" s="26"/>
      <c r="Q1109" s="26"/>
      <c r="R1109" s="26"/>
      <c r="S1109" s="47"/>
      <c r="T1109" s="4" t="e">
        <f>VLOOKUP(#REF!,#REF!,2,0)</f>
        <v>#REF!</v>
      </c>
      <c r="U1109" s="20" t="e">
        <f t="shared" si="45"/>
        <v>#REF!</v>
      </c>
      <c r="V1109" s="47"/>
      <c r="W1109" s="43"/>
      <c r="Y1109" s="67" t="e">
        <f t="shared" si="46"/>
        <v>#N/A</v>
      </c>
    </row>
    <row r="1110" spans="1:25" ht="13.65" customHeight="1">
      <c r="A1110" s="92"/>
      <c r="B1110" s="27"/>
      <c r="C1110" s="28" t="e">
        <f>VLOOKUP(D1110,'lista 1'!$A$2:$F$1802,4,0)</f>
        <v>#N/A</v>
      </c>
      <c r="D1110" s="74"/>
      <c r="E1110" s="27" t="e">
        <f>VLOOKUP(D1110,'lista 1'!$A$2:$F$1802,5,0)</f>
        <v>#N/A</v>
      </c>
      <c r="F1110" s="59" t="e">
        <f>VLOOKUP(G1110,'lista 3'!$A$1:$C$467,3,0)</f>
        <v>#N/A</v>
      </c>
      <c r="G1110" s="76"/>
      <c r="H1110" s="85"/>
      <c r="I1110" s="59" t="e">
        <f>VLOOKUP(J1110,'lista 3'!$A$1:$C$467,3,0)</f>
        <v>#N/A</v>
      </c>
      <c r="J1110" s="78"/>
      <c r="K1110" s="87"/>
      <c r="L1110" s="82"/>
      <c r="M1110" s="22"/>
      <c r="N1110" s="22"/>
      <c r="O1110" s="22"/>
      <c r="P1110" s="26"/>
      <c r="Q1110" s="26"/>
      <c r="R1110" s="26"/>
      <c r="S1110" s="47"/>
      <c r="T1110" s="4" t="e">
        <f>VLOOKUP(#REF!,#REF!,2,0)</f>
        <v>#REF!</v>
      </c>
      <c r="U1110" s="20" t="e">
        <f t="shared" si="45"/>
        <v>#REF!</v>
      </c>
      <c r="V1110" s="47"/>
      <c r="W1110" s="43"/>
      <c r="Y1110" s="67" t="e">
        <f t="shared" si="46"/>
        <v>#N/A</v>
      </c>
    </row>
    <row r="1111" spans="1:25" ht="13.65" customHeight="1">
      <c r="A1111" s="92"/>
      <c r="B1111" s="27"/>
      <c r="C1111" s="28" t="e">
        <f>VLOOKUP(D1111,'lista 1'!$A$2:$F$1802,4,0)</f>
        <v>#N/A</v>
      </c>
      <c r="D1111" s="74"/>
      <c r="E1111" s="27" t="e">
        <f>VLOOKUP(D1111,'lista 1'!$A$2:$F$1802,5,0)</f>
        <v>#N/A</v>
      </c>
      <c r="F1111" s="59" t="e">
        <f>VLOOKUP(G1111,'lista 3'!$A$1:$C$467,3,0)</f>
        <v>#N/A</v>
      </c>
      <c r="G1111" s="76"/>
      <c r="H1111" s="85"/>
      <c r="I1111" s="59" t="e">
        <f>VLOOKUP(J1111,'lista 3'!$A$1:$C$467,3,0)</f>
        <v>#N/A</v>
      </c>
      <c r="J1111" s="78"/>
      <c r="K1111" s="87"/>
      <c r="L1111" s="82"/>
      <c r="M1111" s="22"/>
      <c r="N1111" s="22"/>
      <c r="O1111" s="22"/>
      <c r="P1111" s="26"/>
      <c r="Q1111" s="26"/>
      <c r="R1111" s="26"/>
      <c r="S1111" s="47"/>
      <c r="T1111" s="4" t="e">
        <f>VLOOKUP(#REF!,#REF!,2,0)</f>
        <v>#REF!</v>
      </c>
      <c r="U1111" s="20" t="e">
        <f t="shared" si="45"/>
        <v>#REF!</v>
      </c>
      <c r="V1111" s="47"/>
      <c r="W1111" s="43"/>
      <c r="Y1111" s="67" t="e">
        <f t="shared" si="46"/>
        <v>#N/A</v>
      </c>
    </row>
    <row r="1112" spans="1:25" ht="13.65" customHeight="1">
      <c r="A1112" s="92"/>
      <c r="B1112" s="27"/>
      <c r="C1112" s="28" t="e">
        <f>VLOOKUP(D1112,'lista 1'!$A$2:$F$1802,4,0)</f>
        <v>#N/A</v>
      </c>
      <c r="D1112" s="74"/>
      <c r="E1112" s="27" t="e">
        <f>VLOOKUP(D1112,'lista 1'!$A$2:$F$1802,5,0)</f>
        <v>#N/A</v>
      </c>
      <c r="F1112" s="59" t="e">
        <f>VLOOKUP(G1112,'lista 3'!$A$1:$C$467,3,0)</f>
        <v>#N/A</v>
      </c>
      <c r="G1112" s="76"/>
      <c r="H1112" s="85"/>
      <c r="I1112" s="59" t="e">
        <f>VLOOKUP(J1112,'lista 3'!$A$1:$C$467,3,0)</f>
        <v>#N/A</v>
      </c>
      <c r="J1112" s="78"/>
      <c r="K1112" s="87"/>
      <c r="L1112" s="82"/>
      <c r="M1112" s="22"/>
      <c r="N1112" s="22"/>
      <c r="O1112" s="22"/>
      <c r="P1112" s="26"/>
      <c r="Q1112" s="26"/>
      <c r="R1112" s="26"/>
      <c r="S1112" s="47"/>
      <c r="T1112" s="4" t="e">
        <f>VLOOKUP(#REF!,#REF!,2,0)</f>
        <v>#REF!</v>
      </c>
      <c r="U1112" s="20" t="e">
        <f t="shared" si="45"/>
        <v>#REF!</v>
      </c>
      <c r="V1112" s="47"/>
      <c r="W1112" s="43"/>
      <c r="Y1112" s="67" t="e">
        <f t="shared" si="46"/>
        <v>#N/A</v>
      </c>
    </row>
    <row r="1113" spans="1:25" ht="13.65" customHeight="1">
      <c r="A1113" s="92"/>
      <c r="B1113" s="27"/>
      <c r="C1113" s="28" t="e">
        <f>VLOOKUP(D1113,'lista 1'!$A$2:$F$1802,4,0)</f>
        <v>#N/A</v>
      </c>
      <c r="D1113" s="74"/>
      <c r="E1113" s="27" t="e">
        <f>VLOOKUP(D1113,'lista 1'!$A$2:$F$1802,5,0)</f>
        <v>#N/A</v>
      </c>
      <c r="F1113" s="59" t="e">
        <f>VLOOKUP(G1113,'lista 3'!$A$1:$C$467,3,0)</f>
        <v>#N/A</v>
      </c>
      <c r="G1113" s="76"/>
      <c r="H1113" s="85"/>
      <c r="I1113" s="59" t="e">
        <f>VLOOKUP(J1113,'lista 3'!$A$1:$C$467,3,0)</f>
        <v>#N/A</v>
      </c>
      <c r="J1113" s="78"/>
      <c r="K1113" s="87"/>
      <c r="L1113" s="82"/>
      <c r="M1113" s="22"/>
      <c r="N1113" s="22"/>
      <c r="O1113" s="22"/>
      <c r="P1113" s="26"/>
      <c r="Q1113" s="26"/>
      <c r="R1113" s="26"/>
      <c r="S1113" s="47"/>
      <c r="T1113" s="4" t="e">
        <f>VLOOKUP(#REF!,#REF!,2,0)</f>
        <v>#REF!</v>
      </c>
      <c r="U1113" s="20" t="e">
        <f t="shared" si="45"/>
        <v>#REF!</v>
      </c>
      <c r="V1113" s="47"/>
      <c r="W1113" s="43"/>
      <c r="Y1113" s="67" t="e">
        <f t="shared" si="46"/>
        <v>#N/A</v>
      </c>
    </row>
    <row r="1114" spans="1:25" ht="13.65" customHeight="1">
      <c r="A1114" s="92"/>
      <c r="B1114" s="27"/>
      <c r="C1114" s="28" t="e">
        <f>VLOOKUP(D1114,'lista 1'!$A$2:$F$1802,4,0)</f>
        <v>#N/A</v>
      </c>
      <c r="D1114" s="74"/>
      <c r="E1114" s="27" t="e">
        <f>VLOOKUP(D1114,'lista 1'!$A$2:$F$1802,5,0)</f>
        <v>#N/A</v>
      </c>
      <c r="F1114" s="59" t="e">
        <f>VLOOKUP(G1114,'lista 3'!$A$1:$C$467,3,0)</f>
        <v>#N/A</v>
      </c>
      <c r="G1114" s="76"/>
      <c r="H1114" s="85"/>
      <c r="I1114" s="59" t="e">
        <f>VLOOKUP(J1114,'lista 3'!$A$1:$C$467,3,0)</f>
        <v>#N/A</v>
      </c>
      <c r="J1114" s="78"/>
      <c r="K1114" s="87"/>
      <c r="L1114" s="82"/>
      <c r="M1114" s="22"/>
      <c r="N1114" s="22"/>
      <c r="O1114" s="22"/>
      <c r="P1114" s="26"/>
      <c r="Q1114" s="26"/>
      <c r="R1114" s="26"/>
      <c r="S1114" s="47"/>
      <c r="T1114" s="4" t="e">
        <f>VLOOKUP(#REF!,#REF!,2,0)</f>
        <v>#REF!</v>
      </c>
      <c r="U1114" s="20" t="e">
        <f t="shared" si="45"/>
        <v>#REF!</v>
      </c>
      <c r="V1114" s="47"/>
      <c r="W1114" s="43"/>
      <c r="Y1114" s="67" t="e">
        <f t="shared" si="46"/>
        <v>#N/A</v>
      </c>
    </row>
    <row r="1115" spans="1:25" ht="13.65" customHeight="1">
      <c r="A1115" s="92"/>
      <c r="B1115" s="27"/>
      <c r="C1115" s="28" t="e">
        <f>VLOOKUP(D1115,'lista 1'!$A$2:$F$1802,4,0)</f>
        <v>#N/A</v>
      </c>
      <c r="D1115" s="74"/>
      <c r="E1115" s="27" t="e">
        <f>VLOOKUP(D1115,'lista 1'!$A$2:$F$1802,5,0)</f>
        <v>#N/A</v>
      </c>
      <c r="F1115" s="59" t="e">
        <f>VLOOKUP(G1115,'lista 3'!$A$1:$C$467,3,0)</f>
        <v>#N/A</v>
      </c>
      <c r="G1115" s="76"/>
      <c r="H1115" s="85"/>
      <c r="I1115" s="59" t="e">
        <f>VLOOKUP(J1115,'lista 3'!$A$1:$C$467,3,0)</f>
        <v>#N/A</v>
      </c>
      <c r="J1115" s="78"/>
      <c r="K1115" s="87"/>
      <c r="L1115" s="82"/>
      <c r="M1115" s="22"/>
      <c r="N1115" s="22"/>
      <c r="O1115" s="22"/>
      <c r="P1115" s="26"/>
      <c r="Q1115" s="26"/>
      <c r="R1115" s="26"/>
      <c r="S1115" s="47"/>
      <c r="T1115" s="4" t="e">
        <f>VLOOKUP(#REF!,#REF!,2,0)</f>
        <v>#REF!</v>
      </c>
      <c r="U1115" s="20" t="e">
        <f t="shared" si="45"/>
        <v>#REF!</v>
      </c>
      <c r="V1115" s="47"/>
      <c r="W1115" s="43"/>
      <c r="Y1115" s="67" t="e">
        <f t="shared" si="46"/>
        <v>#N/A</v>
      </c>
    </row>
    <row r="1116" spans="1:25" ht="13.65" customHeight="1">
      <c r="A1116" s="92"/>
      <c r="B1116" s="27"/>
      <c r="C1116" s="28" t="e">
        <f>VLOOKUP(D1116,'lista 1'!$A$2:$F$1802,4,0)</f>
        <v>#N/A</v>
      </c>
      <c r="D1116" s="74"/>
      <c r="E1116" s="27" t="e">
        <f>VLOOKUP(D1116,'lista 1'!$A$2:$F$1802,5,0)</f>
        <v>#N/A</v>
      </c>
      <c r="F1116" s="59" t="e">
        <f>VLOOKUP(G1116,'lista 3'!$A$1:$C$467,3,0)</f>
        <v>#N/A</v>
      </c>
      <c r="G1116" s="76"/>
      <c r="H1116" s="85"/>
      <c r="I1116" s="59" t="e">
        <f>VLOOKUP(J1116,'lista 3'!$A$1:$C$467,3,0)</f>
        <v>#N/A</v>
      </c>
      <c r="J1116" s="78"/>
      <c r="K1116" s="87"/>
      <c r="L1116" s="82"/>
      <c r="M1116" s="22"/>
      <c r="N1116" s="22"/>
      <c r="O1116" s="22"/>
      <c r="P1116" s="26"/>
      <c r="Q1116" s="26"/>
      <c r="R1116" s="26"/>
      <c r="S1116" s="47"/>
      <c r="T1116" s="4" t="e">
        <f>VLOOKUP(#REF!,#REF!,2,0)</f>
        <v>#REF!</v>
      </c>
      <c r="U1116" s="20" t="e">
        <f t="shared" ref="U1116:U1179" si="47">L1116-T1116</f>
        <v>#REF!</v>
      </c>
      <c r="V1116" s="47"/>
      <c r="W1116" s="43"/>
      <c r="Y1116" s="67" t="e">
        <f t="shared" si="46"/>
        <v>#N/A</v>
      </c>
    </row>
    <row r="1117" spans="1:25" ht="13.65" customHeight="1">
      <c r="A1117" s="92"/>
      <c r="B1117" s="27"/>
      <c r="C1117" s="28" t="e">
        <f>VLOOKUP(D1117,'lista 1'!$A$2:$F$1802,4,0)</f>
        <v>#N/A</v>
      </c>
      <c r="D1117" s="74"/>
      <c r="E1117" s="27" t="e">
        <f>VLOOKUP(D1117,'lista 1'!$A$2:$F$1802,5,0)</f>
        <v>#N/A</v>
      </c>
      <c r="F1117" s="59" t="e">
        <f>VLOOKUP(G1117,'lista 3'!$A$1:$C$467,3,0)</f>
        <v>#N/A</v>
      </c>
      <c r="G1117" s="76"/>
      <c r="H1117" s="85"/>
      <c r="I1117" s="59" t="e">
        <f>VLOOKUP(J1117,'lista 3'!$A$1:$C$467,3,0)</f>
        <v>#N/A</v>
      </c>
      <c r="J1117" s="78"/>
      <c r="K1117" s="87"/>
      <c r="L1117" s="82"/>
      <c r="M1117" s="22"/>
      <c r="N1117" s="22"/>
      <c r="O1117" s="22"/>
      <c r="P1117" s="26"/>
      <c r="Q1117" s="26"/>
      <c r="R1117" s="26"/>
      <c r="S1117" s="47"/>
      <c r="T1117" s="4" t="e">
        <f>VLOOKUP(#REF!,#REF!,2,0)</f>
        <v>#REF!</v>
      </c>
      <c r="U1117" s="20" t="e">
        <f t="shared" si="47"/>
        <v>#REF!</v>
      </c>
      <c r="V1117" s="47"/>
      <c r="W1117" s="43"/>
      <c r="Y1117" s="67" t="e">
        <f t="shared" si="46"/>
        <v>#N/A</v>
      </c>
    </row>
    <row r="1118" spans="1:25" ht="13.65" customHeight="1">
      <c r="A1118" s="92"/>
      <c r="B1118" s="27"/>
      <c r="C1118" s="28" t="e">
        <f>VLOOKUP(D1118,'lista 1'!$A$2:$F$1802,4,0)</f>
        <v>#N/A</v>
      </c>
      <c r="D1118" s="74"/>
      <c r="E1118" s="27" t="e">
        <f>VLOOKUP(D1118,'lista 1'!$A$2:$F$1802,5,0)</f>
        <v>#N/A</v>
      </c>
      <c r="F1118" s="59" t="e">
        <f>VLOOKUP(G1118,'lista 3'!$A$1:$C$467,3,0)</f>
        <v>#N/A</v>
      </c>
      <c r="G1118" s="76"/>
      <c r="H1118" s="85"/>
      <c r="I1118" s="59" t="e">
        <f>VLOOKUP(J1118,'lista 3'!$A$1:$C$467,3,0)</f>
        <v>#N/A</v>
      </c>
      <c r="J1118" s="78"/>
      <c r="K1118" s="87"/>
      <c r="L1118" s="82"/>
      <c r="M1118" s="22"/>
      <c r="N1118" s="22"/>
      <c r="O1118" s="22"/>
      <c r="P1118" s="26"/>
      <c r="Q1118" s="26"/>
      <c r="R1118" s="26"/>
      <c r="S1118" s="47"/>
      <c r="T1118" s="4" t="e">
        <f>VLOOKUP(#REF!,#REF!,2,0)</f>
        <v>#REF!</v>
      </c>
      <c r="U1118" s="20" t="e">
        <f t="shared" si="47"/>
        <v>#REF!</v>
      </c>
      <c r="V1118" s="47"/>
      <c r="W1118" s="43"/>
      <c r="Y1118" s="67" t="e">
        <f t="shared" ref="Y1118:Y1181" si="48">F1118=I1118</f>
        <v>#N/A</v>
      </c>
    </row>
    <row r="1119" spans="1:25" ht="13.65" customHeight="1">
      <c r="A1119" s="92"/>
      <c r="B1119" s="27"/>
      <c r="C1119" s="28" t="e">
        <f>VLOOKUP(D1119,'lista 1'!$A$2:$F$1802,4,0)</f>
        <v>#N/A</v>
      </c>
      <c r="D1119" s="74"/>
      <c r="E1119" s="27" t="e">
        <f>VLOOKUP(D1119,'lista 1'!$A$2:$F$1802,5,0)</f>
        <v>#N/A</v>
      </c>
      <c r="F1119" s="59" t="e">
        <f>VLOOKUP(G1119,'lista 3'!$A$1:$C$467,3,0)</f>
        <v>#N/A</v>
      </c>
      <c r="G1119" s="76"/>
      <c r="H1119" s="85"/>
      <c r="I1119" s="59" t="e">
        <f>VLOOKUP(J1119,'lista 3'!$A$1:$C$467,3,0)</f>
        <v>#N/A</v>
      </c>
      <c r="J1119" s="78"/>
      <c r="K1119" s="87"/>
      <c r="L1119" s="82"/>
      <c r="M1119" s="22"/>
      <c r="N1119" s="22"/>
      <c r="O1119" s="22"/>
      <c r="P1119" s="26"/>
      <c r="Q1119" s="26"/>
      <c r="R1119" s="26"/>
      <c r="S1119" s="47"/>
      <c r="T1119" s="4" t="e">
        <f>VLOOKUP(#REF!,#REF!,2,0)</f>
        <v>#REF!</v>
      </c>
      <c r="U1119" s="20" t="e">
        <f t="shared" si="47"/>
        <v>#REF!</v>
      </c>
      <c r="V1119" s="47"/>
      <c r="W1119" s="43"/>
      <c r="Y1119" s="67" t="e">
        <f t="shared" si="48"/>
        <v>#N/A</v>
      </c>
    </row>
    <row r="1120" spans="1:25" ht="13.65" customHeight="1">
      <c r="A1120" s="92"/>
      <c r="B1120" s="27"/>
      <c r="C1120" s="28" t="e">
        <f>VLOOKUP(D1120,'lista 1'!$A$2:$F$1802,4,0)</f>
        <v>#N/A</v>
      </c>
      <c r="D1120" s="74"/>
      <c r="E1120" s="27" t="e">
        <f>VLOOKUP(D1120,'lista 1'!$A$2:$F$1802,5,0)</f>
        <v>#N/A</v>
      </c>
      <c r="F1120" s="59" t="e">
        <f>VLOOKUP(G1120,'lista 3'!$A$1:$C$467,3,0)</f>
        <v>#N/A</v>
      </c>
      <c r="G1120" s="76"/>
      <c r="H1120" s="85"/>
      <c r="I1120" s="59" t="e">
        <f>VLOOKUP(J1120,'lista 3'!$A$1:$C$467,3,0)</f>
        <v>#N/A</v>
      </c>
      <c r="J1120" s="78"/>
      <c r="K1120" s="87"/>
      <c r="L1120" s="82"/>
      <c r="M1120" s="22"/>
      <c r="N1120" s="22"/>
      <c r="O1120" s="22"/>
      <c r="P1120" s="26"/>
      <c r="Q1120" s="26"/>
      <c r="R1120" s="26"/>
      <c r="S1120" s="47"/>
      <c r="T1120" s="4" t="e">
        <f>VLOOKUP(#REF!,#REF!,2,0)</f>
        <v>#REF!</v>
      </c>
      <c r="U1120" s="20" t="e">
        <f t="shared" si="47"/>
        <v>#REF!</v>
      </c>
      <c r="V1120" s="47"/>
      <c r="W1120" s="43"/>
      <c r="Y1120" s="67" t="e">
        <f t="shared" si="48"/>
        <v>#N/A</v>
      </c>
    </row>
    <row r="1121" spans="1:25" ht="13.65" customHeight="1">
      <c r="A1121" s="92"/>
      <c r="B1121" s="27"/>
      <c r="C1121" s="28" t="e">
        <f>VLOOKUP(D1121,'lista 1'!$A$2:$F$1802,4,0)</f>
        <v>#N/A</v>
      </c>
      <c r="D1121" s="74"/>
      <c r="E1121" s="27" t="e">
        <f>VLOOKUP(D1121,'lista 1'!$A$2:$F$1802,5,0)</f>
        <v>#N/A</v>
      </c>
      <c r="F1121" s="59" t="e">
        <f>VLOOKUP(G1121,'lista 3'!$A$1:$C$467,3,0)</f>
        <v>#N/A</v>
      </c>
      <c r="G1121" s="76"/>
      <c r="H1121" s="85"/>
      <c r="I1121" s="59" t="e">
        <f>VLOOKUP(J1121,'lista 3'!$A$1:$C$467,3,0)</f>
        <v>#N/A</v>
      </c>
      <c r="J1121" s="78"/>
      <c r="K1121" s="87"/>
      <c r="L1121" s="82"/>
      <c r="M1121" s="22"/>
      <c r="N1121" s="22"/>
      <c r="O1121" s="22"/>
      <c r="P1121" s="26"/>
      <c r="Q1121" s="26"/>
      <c r="R1121" s="26"/>
      <c r="S1121" s="47"/>
      <c r="T1121" s="4" t="e">
        <f>VLOOKUP(#REF!,#REF!,2,0)</f>
        <v>#REF!</v>
      </c>
      <c r="U1121" s="20" t="e">
        <f t="shared" si="47"/>
        <v>#REF!</v>
      </c>
      <c r="V1121" s="47"/>
      <c r="W1121" s="43"/>
      <c r="Y1121" s="67" t="e">
        <f t="shared" si="48"/>
        <v>#N/A</v>
      </c>
    </row>
    <row r="1122" spans="1:25" ht="13.65" customHeight="1">
      <c r="A1122" s="92"/>
      <c r="B1122" s="27"/>
      <c r="C1122" s="28" t="e">
        <f>VLOOKUP(D1122,'lista 1'!$A$2:$F$1802,4,0)</f>
        <v>#N/A</v>
      </c>
      <c r="D1122" s="74"/>
      <c r="E1122" s="27" t="e">
        <f>VLOOKUP(D1122,'lista 1'!$A$2:$F$1802,5,0)</f>
        <v>#N/A</v>
      </c>
      <c r="F1122" s="59" t="e">
        <f>VLOOKUP(G1122,'lista 3'!$A$1:$C$467,3,0)</f>
        <v>#N/A</v>
      </c>
      <c r="G1122" s="76"/>
      <c r="H1122" s="85"/>
      <c r="I1122" s="59" t="e">
        <f>VLOOKUP(J1122,'lista 3'!$A$1:$C$467,3,0)</f>
        <v>#N/A</v>
      </c>
      <c r="J1122" s="78"/>
      <c r="K1122" s="87"/>
      <c r="L1122" s="82"/>
      <c r="M1122" s="22"/>
      <c r="N1122" s="22"/>
      <c r="O1122" s="22"/>
      <c r="P1122" s="26"/>
      <c r="Q1122" s="26"/>
      <c r="R1122" s="26"/>
      <c r="S1122" s="47"/>
      <c r="T1122" s="4" t="e">
        <f>VLOOKUP(#REF!,#REF!,2,0)</f>
        <v>#REF!</v>
      </c>
      <c r="U1122" s="20" t="e">
        <f t="shared" si="47"/>
        <v>#REF!</v>
      </c>
      <c r="V1122" s="47"/>
      <c r="W1122" s="43"/>
      <c r="Y1122" s="67" t="e">
        <f t="shared" si="48"/>
        <v>#N/A</v>
      </c>
    </row>
    <row r="1123" spans="1:25" ht="13.65" customHeight="1">
      <c r="A1123" s="92"/>
      <c r="B1123" s="27"/>
      <c r="C1123" s="28" t="e">
        <f>VLOOKUP(D1123,'lista 1'!$A$2:$F$1802,4,0)</f>
        <v>#N/A</v>
      </c>
      <c r="D1123" s="74"/>
      <c r="E1123" s="27" t="e">
        <f>VLOOKUP(D1123,'lista 1'!$A$2:$F$1802,5,0)</f>
        <v>#N/A</v>
      </c>
      <c r="F1123" s="59" t="e">
        <f>VLOOKUP(G1123,'lista 3'!$A$1:$C$467,3,0)</f>
        <v>#N/A</v>
      </c>
      <c r="G1123" s="76"/>
      <c r="H1123" s="85"/>
      <c r="I1123" s="59" t="e">
        <f>VLOOKUP(J1123,'lista 3'!$A$1:$C$467,3,0)</f>
        <v>#N/A</v>
      </c>
      <c r="J1123" s="78"/>
      <c r="K1123" s="87"/>
      <c r="L1123" s="82"/>
      <c r="M1123" s="22"/>
      <c r="N1123" s="22"/>
      <c r="O1123" s="22"/>
      <c r="P1123" s="26"/>
      <c r="Q1123" s="26"/>
      <c r="R1123" s="26"/>
      <c r="S1123" s="47"/>
      <c r="T1123" s="4" t="e">
        <f>VLOOKUP(#REF!,#REF!,2,0)</f>
        <v>#REF!</v>
      </c>
      <c r="U1123" s="20" t="e">
        <f t="shared" si="47"/>
        <v>#REF!</v>
      </c>
      <c r="V1123" s="47"/>
      <c r="W1123" s="43"/>
      <c r="Y1123" s="67" t="e">
        <f t="shared" si="48"/>
        <v>#N/A</v>
      </c>
    </row>
    <row r="1124" spans="1:25" ht="13.65" customHeight="1">
      <c r="A1124" s="92"/>
      <c r="B1124" s="27"/>
      <c r="C1124" s="28" t="e">
        <f>VLOOKUP(D1124,'lista 1'!$A$2:$F$1802,4,0)</f>
        <v>#N/A</v>
      </c>
      <c r="D1124" s="74"/>
      <c r="E1124" s="27" t="e">
        <f>VLOOKUP(D1124,'lista 1'!$A$2:$F$1802,5,0)</f>
        <v>#N/A</v>
      </c>
      <c r="F1124" s="59" t="e">
        <f>VLOOKUP(G1124,'lista 3'!$A$1:$C$467,3,0)</f>
        <v>#N/A</v>
      </c>
      <c r="G1124" s="76"/>
      <c r="H1124" s="85"/>
      <c r="I1124" s="59" t="e">
        <f>VLOOKUP(J1124,'lista 3'!$A$1:$C$467,3,0)</f>
        <v>#N/A</v>
      </c>
      <c r="J1124" s="78"/>
      <c r="K1124" s="87"/>
      <c r="L1124" s="82"/>
      <c r="M1124" s="22"/>
      <c r="N1124" s="22"/>
      <c r="O1124" s="22"/>
      <c r="P1124" s="26"/>
      <c r="Q1124" s="26"/>
      <c r="R1124" s="26"/>
      <c r="S1124" s="47"/>
      <c r="T1124" s="4" t="e">
        <f>VLOOKUP(#REF!,#REF!,2,0)</f>
        <v>#REF!</v>
      </c>
      <c r="U1124" s="20" t="e">
        <f t="shared" si="47"/>
        <v>#REF!</v>
      </c>
      <c r="V1124" s="47"/>
      <c r="W1124" s="43"/>
      <c r="Y1124" s="67" t="e">
        <f t="shared" si="48"/>
        <v>#N/A</v>
      </c>
    </row>
    <row r="1125" spans="1:25" ht="13.65" customHeight="1">
      <c r="A1125" s="92"/>
      <c r="B1125" s="27"/>
      <c r="C1125" s="28" t="e">
        <f>VLOOKUP(D1125,'lista 1'!$A$2:$F$1802,4,0)</f>
        <v>#N/A</v>
      </c>
      <c r="D1125" s="74"/>
      <c r="E1125" s="27" t="e">
        <f>VLOOKUP(D1125,'lista 1'!$A$2:$F$1802,5,0)</f>
        <v>#N/A</v>
      </c>
      <c r="F1125" s="59" t="e">
        <f>VLOOKUP(G1125,'lista 3'!$A$1:$C$467,3,0)</f>
        <v>#N/A</v>
      </c>
      <c r="G1125" s="76"/>
      <c r="H1125" s="85"/>
      <c r="I1125" s="59" t="e">
        <f>VLOOKUP(J1125,'lista 3'!$A$1:$C$467,3,0)</f>
        <v>#N/A</v>
      </c>
      <c r="J1125" s="78"/>
      <c r="K1125" s="87"/>
      <c r="L1125" s="82"/>
      <c r="M1125" s="22"/>
      <c r="N1125" s="22"/>
      <c r="O1125" s="22"/>
      <c r="P1125" s="26"/>
      <c r="Q1125" s="26"/>
      <c r="R1125" s="26"/>
      <c r="S1125" s="47"/>
      <c r="T1125" s="4" t="e">
        <f>VLOOKUP(#REF!,#REF!,2,0)</f>
        <v>#REF!</v>
      </c>
      <c r="U1125" s="20" t="e">
        <f t="shared" si="47"/>
        <v>#REF!</v>
      </c>
      <c r="V1125" s="47"/>
      <c r="W1125" s="43"/>
      <c r="Y1125" s="67" t="e">
        <f t="shared" si="48"/>
        <v>#N/A</v>
      </c>
    </row>
    <row r="1126" spans="1:25" ht="13.65" customHeight="1">
      <c r="A1126" s="92"/>
      <c r="B1126" s="27"/>
      <c r="C1126" s="28" t="e">
        <f>VLOOKUP(D1126,'lista 1'!$A$2:$F$1802,4,0)</f>
        <v>#N/A</v>
      </c>
      <c r="D1126" s="74"/>
      <c r="E1126" s="27" t="e">
        <f>VLOOKUP(D1126,'lista 1'!$A$2:$F$1802,5,0)</f>
        <v>#N/A</v>
      </c>
      <c r="F1126" s="59" t="e">
        <f>VLOOKUP(G1126,'lista 3'!$A$1:$C$467,3,0)</f>
        <v>#N/A</v>
      </c>
      <c r="G1126" s="76"/>
      <c r="H1126" s="85"/>
      <c r="I1126" s="59" t="e">
        <f>VLOOKUP(J1126,'lista 3'!$A$1:$C$467,3,0)</f>
        <v>#N/A</v>
      </c>
      <c r="J1126" s="78"/>
      <c r="K1126" s="87"/>
      <c r="L1126" s="82"/>
      <c r="M1126" s="22"/>
      <c r="N1126" s="22"/>
      <c r="O1126" s="22"/>
      <c r="P1126" s="26"/>
      <c r="Q1126" s="26"/>
      <c r="R1126" s="26"/>
      <c r="S1126" s="47"/>
      <c r="T1126" s="4" t="e">
        <f>VLOOKUP(#REF!,#REF!,2,0)</f>
        <v>#REF!</v>
      </c>
      <c r="U1126" s="20" t="e">
        <f t="shared" si="47"/>
        <v>#REF!</v>
      </c>
      <c r="V1126" s="47"/>
      <c r="W1126" s="43"/>
      <c r="X1126" s="66" t="e">
        <f>VLOOKUP(D1126,#REF!,2,0)</f>
        <v>#REF!</v>
      </c>
      <c r="Y1126" s="67" t="e">
        <f t="shared" si="48"/>
        <v>#N/A</v>
      </c>
    </row>
    <row r="1127" spans="1:25" ht="13.65" customHeight="1">
      <c r="A1127" s="92"/>
      <c r="B1127" s="27"/>
      <c r="C1127" s="28" t="e">
        <f>VLOOKUP(D1127,'lista 1'!$A$2:$F$1802,4,0)</f>
        <v>#N/A</v>
      </c>
      <c r="D1127" s="74"/>
      <c r="E1127" s="27" t="e">
        <f>VLOOKUP(D1127,'lista 1'!$A$2:$F$1802,5,0)</f>
        <v>#N/A</v>
      </c>
      <c r="F1127" s="59" t="e">
        <f>VLOOKUP(G1127,'lista 3'!$A$1:$C$467,3,0)</f>
        <v>#N/A</v>
      </c>
      <c r="G1127" s="76"/>
      <c r="H1127" s="85"/>
      <c r="I1127" s="59" t="e">
        <f>VLOOKUP(J1127,'lista 3'!$A$1:$C$467,3,0)</f>
        <v>#N/A</v>
      </c>
      <c r="J1127" s="78"/>
      <c r="K1127" s="87"/>
      <c r="L1127" s="82"/>
      <c r="M1127" s="22"/>
      <c r="N1127" s="22"/>
      <c r="O1127" s="22"/>
      <c r="P1127" s="26"/>
      <c r="Q1127" s="26"/>
      <c r="R1127" s="26"/>
      <c r="S1127" s="47"/>
      <c r="T1127" s="4" t="e">
        <f>VLOOKUP(#REF!,#REF!,2,0)</f>
        <v>#REF!</v>
      </c>
      <c r="U1127" s="20" t="e">
        <f t="shared" si="47"/>
        <v>#REF!</v>
      </c>
      <c r="V1127" s="47"/>
      <c r="W1127" s="43"/>
      <c r="X1127" s="66" t="e">
        <f>VLOOKUP(D1127,#REF!,2,0)</f>
        <v>#REF!</v>
      </c>
      <c r="Y1127" s="67" t="e">
        <f t="shared" si="48"/>
        <v>#N/A</v>
      </c>
    </row>
    <row r="1128" spans="1:25" ht="13.65" customHeight="1">
      <c r="A1128" s="92"/>
      <c r="B1128" s="27"/>
      <c r="C1128" s="28" t="e">
        <f>VLOOKUP(D1128,'lista 1'!$A$2:$F$1802,4,0)</f>
        <v>#N/A</v>
      </c>
      <c r="D1128" s="74"/>
      <c r="E1128" s="27" t="e">
        <f>VLOOKUP(D1128,'lista 1'!$A$2:$F$1802,5,0)</f>
        <v>#N/A</v>
      </c>
      <c r="F1128" s="59" t="e">
        <f>VLOOKUP(G1128,'lista 3'!$A$1:$C$467,3,0)</f>
        <v>#N/A</v>
      </c>
      <c r="G1128" s="76"/>
      <c r="H1128" s="85"/>
      <c r="I1128" s="59" t="e">
        <f>VLOOKUP(J1128,'lista 3'!$A$1:$C$467,3,0)</f>
        <v>#N/A</v>
      </c>
      <c r="J1128" s="78"/>
      <c r="K1128" s="87"/>
      <c r="L1128" s="82"/>
      <c r="M1128" s="22"/>
      <c r="N1128" s="22"/>
      <c r="O1128" s="22"/>
      <c r="P1128" s="26"/>
      <c r="Q1128" s="26"/>
      <c r="R1128" s="26"/>
      <c r="S1128" s="47"/>
      <c r="T1128" s="4" t="e">
        <f>VLOOKUP(#REF!,#REF!,2,0)</f>
        <v>#REF!</v>
      </c>
      <c r="U1128" s="20" t="e">
        <f t="shared" si="47"/>
        <v>#REF!</v>
      </c>
      <c r="V1128" s="47"/>
      <c r="W1128" s="43"/>
      <c r="X1128" s="66" t="e">
        <f>VLOOKUP(D1128,#REF!,2,0)</f>
        <v>#REF!</v>
      </c>
      <c r="Y1128" s="67" t="e">
        <f t="shared" si="48"/>
        <v>#N/A</v>
      </c>
    </row>
    <row r="1129" spans="1:25" ht="13.65" customHeight="1">
      <c r="A1129" s="92"/>
      <c r="B1129" s="27"/>
      <c r="C1129" s="28" t="e">
        <f>VLOOKUP(D1129,'lista 1'!$A$2:$F$1802,4,0)</f>
        <v>#N/A</v>
      </c>
      <c r="D1129" s="74"/>
      <c r="E1129" s="27" t="e">
        <f>VLOOKUP(D1129,'lista 1'!$A$2:$F$1802,5,0)</f>
        <v>#N/A</v>
      </c>
      <c r="F1129" s="59" t="e">
        <f>VLOOKUP(G1129,'lista 3'!$A$1:$C$467,3,0)</f>
        <v>#N/A</v>
      </c>
      <c r="G1129" s="76"/>
      <c r="H1129" s="85"/>
      <c r="I1129" s="59" t="e">
        <f>VLOOKUP(J1129,'lista 3'!$A$1:$C$467,3,0)</f>
        <v>#N/A</v>
      </c>
      <c r="J1129" s="78"/>
      <c r="K1129" s="87"/>
      <c r="L1129" s="82"/>
      <c r="M1129" s="22"/>
      <c r="N1129" s="22"/>
      <c r="O1129" s="22"/>
      <c r="P1129" s="26"/>
      <c r="Q1129" s="26"/>
      <c r="R1129" s="26"/>
      <c r="S1129" s="47"/>
      <c r="T1129" s="4" t="e">
        <f>VLOOKUP(#REF!,#REF!,2,0)</f>
        <v>#REF!</v>
      </c>
      <c r="U1129" s="20" t="e">
        <f t="shared" si="47"/>
        <v>#REF!</v>
      </c>
      <c r="V1129" s="47"/>
      <c r="W1129" s="43"/>
      <c r="X1129" s="66" t="e">
        <f>VLOOKUP(D1129,#REF!,2,0)</f>
        <v>#REF!</v>
      </c>
      <c r="Y1129" s="67" t="e">
        <f t="shared" si="48"/>
        <v>#N/A</v>
      </c>
    </row>
    <row r="1130" spans="1:25" ht="13.65" customHeight="1">
      <c r="A1130" s="92"/>
      <c r="B1130" s="27"/>
      <c r="C1130" s="28" t="e">
        <f>VLOOKUP(D1130,'lista 1'!$A$2:$F$1802,4,0)</f>
        <v>#N/A</v>
      </c>
      <c r="D1130" s="74"/>
      <c r="E1130" s="27" t="e">
        <f>VLOOKUP(D1130,'lista 1'!$A$2:$F$1802,5,0)</f>
        <v>#N/A</v>
      </c>
      <c r="F1130" s="59" t="e">
        <f>VLOOKUP(G1130,'lista 3'!$A$1:$C$467,3,0)</f>
        <v>#N/A</v>
      </c>
      <c r="G1130" s="76"/>
      <c r="H1130" s="85"/>
      <c r="I1130" s="59" t="e">
        <f>VLOOKUP(J1130,'lista 3'!$A$1:$C$467,3,0)</f>
        <v>#N/A</v>
      </c>
      <c r="J1130" s="78"/>
      <c r="K1130" s="87"/>
      <c r="L1130" s="82"/>
      <c r="M1130" s="22"/>
      <c r="N1130" s="22"/>
      <c r="O1130" s="22"/>
      <c r="P1130" s="26"/>
      <c r="Q1130" s="26"/>
      <c r="R1130" s="26"/>
      <c r="S1130" s="47"/>
      <c r="T1130" s="4" t="e">
        <f>VLOOKUP(#REF!,#REF!,2,0)</f>
        <v>#REF!</v>
      </c>
      <c r="U1130" s="20" t="e">
        <f t="shared" si="47"/>
        <v>#REF!</v>
      </c>
      <c r="V1130" s="47"/>
      <c r="W1130" s="43"/>
      <c r="X1130" s="66" t="e">
        <f>VLOOKUP(D1130,#REF!,2,0)</f>
        <v>#REF!</v>
      </c>
      <c r="Y1130" s="67" t="e">
        <f t="shared" si="48"/>
        <v>#N/A</v>
      </c>
    </row>
    <row r="1131" spans="1:25" ht="13.65" customHeight="1">
      <c r="A1131" s="92"/>
      <c r="B1131" s="27"/>
      <c r="C1131" s="28" t="e">
        <f>VLOOKUP(D1131,'lista 1'!$A$2:$F$1802,4,0)</f>
        <v>#N/A</v>
      </c>
      <c r="D1131" s="74"/>
      <c r="E1131" s="27" t="e">
        <f>VLOOKUP(D1131,'lista 1'!$A$2:$F$1802,5,0)</f>
        <v>#N/A</v>
      </c>
      <c r="F1131" s="59" t="e">
        <f>VLOOKUP(G1131,'lista 3'!$A$1:$C$467,3,0)</f>
        <v>#N/A</v>
      </c>
      <c r="G1131" s="76"/>
      <c r="H1131" s="85"/>
      <c r="I1131" s="59" t="e">
        <f>VLOOKUP(J1131,'lista 3'!$A$1:$C$467,3,0)</f>
        <v>#N/A</v>
      </c>
      <c r="J1131" s="78"/>
      <c r="K1131" s="87"/>
      <c r="L1131" s="82"/>
      <c r="M1131" s="22"/>
      <c r="N1131" s="22"/>
      <c r="O1131" s="22"/>
      <c r="P1131" s="26"/>
      <c r="Q1131" s="26"/>
      <c r="R1131" s="26"/>
      <c r="S1131" s="47"/>
      <c r="T1131" s="4" t="e">
        <f>VLOOKUP(#REF!,#REF!,2,0)</f>
        <v>#REF!</v>
      </c>
      <c r="U1131" s="20" t="e">
        <f t="shared" si="47"/>
        <v>#REF!</v>
      </c>
      <c r="V1131" s="47"/>
      <c r="W1131" s="43"/>
      <c r="X1131" s="66" t="e">
        <f>VLOOKUP(D1131,#REF!,2,0)</f>
        <v>#REF!</v>
      </c>
      <c r="Y1131" s="67" t="e">
        <f t="shared" si="48"/>
        <v>#N/A</v>
      </c>
    </row>
    <row r="1132" spans="1:25" ht="13.65" customHeight="1">
      <c r="A1132" s="92"/>
      <c r="B1132" s="27"/>
      <c r="C1132" s="28" t="e">
        <f>VLOOKUP(D1132,'lista 1'!$A$2:$F$1802,4,0)</f>
        <v>#N/A</v>
      </c>
      <c r="D1132" s="74"/>
      <c r="E1132" s="27" t="e">
        <f>VLOOKUP(D1132,'lista 1'!$A$2:$F$1802,5,0)</f>
        <v>#N/A</v>
      </c>
      <c r="F1132" s="59" t="e">
        <f>VLOOKUP(G1132,'lista 3'!$A$1:$C$467,3,0)</f>
        <v>#N/A</v>
      </c>
      <c r="G1132" s="76"/>
      <c r="H1132" s="85"/>
      <c r="I1132" s="59" t="e">
        <f>VLOOKUP(J1132,'lista 3'!$A$1:$C$467,3,0)</f>
        <v>#N/A</v>
      </c>
      <c r="J1132" s="78"/>
      <c r="K1132" s="87"/>
      <c r="L1132" s="82"/>
      <c r="M1132" s="22"/>
      <c r="N1132" s="22"/>
      <c r="O1132" s="22"/>
      <c r="P1132" s="26"/>
      <c r="Q1132" s="26"/>
      <c r="R1132" s="26"/>
      <c r="S1132" s="47"/>
      <c r="T1132" s="4" t="e">
        <f>VLOOKUP(#REF!,#REF!,2,0)</f>
        <v>#REF!</v>
      </c>
      <c r="U1132" s="20" t="e">
        <f t="shared" si="47"/>
        <v>#REF!</v>
      </c>
      <c r="V1132" s="47"/>
      <c r="W1132" s="43"/>
      <c r="X1132" s="66" t="e">
        <f>VLOOKUP(D1132,#REF!,2,0)</f>
        <v>#REF!</v>
      </c>
      <c r="Y1132" s="67" t="e">
        <f t="shared" si="48"/>
        <v>#N/A</v>
      </c>
    </row>
    <row r="1133" spans="1:25" ht="13.65" customHeight="1">
      <c r="A1133" s="92"/>
      <c r="B1133" s="27"/>
      <c r="C1133" s="28" t="e">
        <f>VLOOKUP(D1133,'lista 1'!$A$2:$F$1802,4,0)</f>
        <v>#N/A</v>
      </c>
      <c r="D1133" s="74"/>
      <c r="E1133" s="27" t="e">
        <f>VLOOKUP(D1133,'lista 1'!$A$2:$F$1802,5,0)</f>
        <v>#N/A</v>
      </c>
      <c r="F1133" s="59" t="e">
        <f>VLOOKUP(G1133,'lista 3'!$A$1:$C$467,3,0)</f>
        <v>#N/A</v>
      </c>
      <c r="G1133" s="76"/>
      <c r="H1133" s="85"/>
      <c r="I1133" s="59" t="e">
        <f>VLOOKUP(J1133,'lista 3'!$A$1:$C$467,3,0)</f>
        <v>#N/A</v>
      </c>
      <c r="J1133" s="78"/>
      <c r="K1133" s="87"/>
      <c r="L1133" s="82"/>
      <c r="M1133" s="22"/>
      <c r="N1133" s="22"/>
      <c r="O1133" s="22"/>
      <c r="P1133" s="26"/>
      <c r="Q1133" s="26"/>
      <c r="R1133" s="26"/>
      <c r="S1133" s="47"/>
      <c r="T1133" s="4" t="e">
        <f>VLOOKUP(#REF!,#REF!,2,0)</f>
        <v>#REF!</v>
      </c>
      <c r="U1133" s="20" t="e">
        <f t="shared" si="47"/>
        <v>#REF!</v>
      </c>
      <c r="V1133" s="47"/>
      <c r="W1133" s="43"/>
      <c r="X1133" s="66" t="e">
        <f>VLOOKUP(D1133,#REF!,2,0)</f>
        <v>#REF!</v>
      </c>
      <c r="Y1133" s="67" t="e">
        <f t="shared" si="48"/>
        <v>#N/A</v>
      </c>
    </row>
    <row r="1134" spans="1:25" ht="13.65" customHeight="1">
      <c r="A1134" s="92"/>
      <c r="B1134" s="27"/>
      <c r="C1134" s="28" t="e">
        <f>VLOOKUP(D1134,'lista 1'!$A$2:$F$1802,4,0)</f>
        <v>#N/A</v>
      </c>
      <c r="D1134" s="74"/>
      <c r="E1134" s="27" t="e">
        <f>VLOOKUP(D1134,'lista 1'!$A$2:$F$1802,5,0)</f>
        <v>#N/A</v>
      </c>
      <c r="F1134" s="59" t="e">
        <f>VLOOKUP(G1134,'lista 3'!$A$1:$C$467,3,0)</f>
        <v>#N/A</v>
      </c>
      <c r="G1134" s="76"/>
      <c r="H1134" s="85"/>
      <c r="I1134" s="59" t="e">
        <f>VLOOKUP(J1134,'lista 3'!$A$1:$C$467,3,0)</f>
        <v>#N/A</v>
      </c>
      <c r="J1134" s="78"/>
      <c r="K1134" s="87"/>
      <c r="L1134" s="82"/>
      <c r="M1134" s="22"/>
      <c r="N1134" s="22"/>
      <c r="O1134" s="22"/>
      <c r="P1134" s="26"/>
      <c r="Q1134" s="26"/>
      <c r="R1134" s="26"/>
      <c r="S1134" s="47"/>
      <c r="T1134" s="4" t="e">
        <f>VLOOKUP(#REF!,#REF!,2,0)</f>
        <v>#REF!</v>
      </c>
      <c r="U1134" s="20" t="e">
        <f t="shared" si="47"/>
        <v>#REF!</v>
      </c>
      <c r="V1134" s="47"/>
      <c r="W1134" s="43"/>
      <c r="X1134" s="66" t="e">
        <f>VLOOKUP(D1134,#REF!,2,0)</f>
        <v>#REF!</v>
      </c>
      <c r="Y1134" s="67" t="e">
        <f t="shared" si="48"/>
        <v>#N/A</v>
      </c>
    </row>
    <row r="1135" spans="1:25" ht="13.65" customHeight="1">
      <c r="A1135" s="92"/>
      <c r="B1135" s="27"/>
      <c r="C1135" s="28" t="e">
        <f>VLOOKUP(D1135,'lista 1'!$A$2:$F$1802,4,0)</f>
        <v>#N/A</v>
      </c>
      <c r="D1135" s="74"/>
      <c r="E1135" s="27" t="e">
        <f>VLOOKUP(D1135,'lista 1'!$A$2:$F$1802,5,0)</f>
        <v>#N/A</v>
      </c>
      <c r="F1135" s="59" t="e">
        <f>VLOOKUP(G1135,'lista 3'!$A$1:$C$467,3,0)</f>
        <v>#N/A</v>
      </c>
      <c r="G1135" s="76"/>
      <c r="H1135" s="85"/>
      <c r="I1135" s="59" t="e">
        <f>VLOOKUP(J1135,'lista 3'!$A$1:$C$467,3,0)</f>
        <v>#N/A</v>
      </c>
      <c r="J1135" s="78"/>
      <c r="K1135" s="87"/>
      <c r="L1135" s="82"/>
      <c r="M1135" s="22"/>
      <c r="N1135" s="22"/>
      <c r="O1135" s="22"/>
      <c r="P1135" s="26"/>
      <c r="Q1135" s="26"/>
      <c r="R1135" s="26"/>
      <c r="S1135" s="47"/>
      <c r="T1135" s="4" t="e">
        <f>VLOOKUP(#REF!,#REF!,2,0)</f>
        <v>#REF!</v>
      </c>
      <c r="U1135" s="20" t="e">
        <f t="shared" si="47"/>
        <v>#REF!</v>
      </c>
      <c r="V1135" s="47"/>
      <c r="W1135" s="43"/>
      <c r="X1135" s="66" t="e">
        <f>VLOOKUP(D1135,#REF!,2,0)</f>
        <v>#REF!</v>
      </c>
      <c r="Y1135" s="67" t="e">
        <f t="shared" si="48"/>
        <v>#N/A</v>
      </c>
    </row>
    <row r="1136" spans="1:25" ht="13.65" customHeight="1">
      <c r="A1136" s="92"/>
      <c r="B1136" s="27"/>
      <c r="C1136" s="28" t="e">
        <f>VLOOKUP(D1136,'lista 1'!$A$2:$F$1802,4,0)</f>
        <v>#N/A</v>
      </c>
      <c r="D1136" s="74"/>
      <c r="E1136" s="27" t="e">
        <f>VLOOKUP(D1136,'lista 1'!$A$2:$F$1802,5,0)</f>
        <v>#N/A</v>
      </c>
      <c r="F1136" s="59" t="e">
        <f>VLOOKUP(G1136,'lista 3'!$A$1:$C$467,3,0)</f>
        <v>#N/A</v>
      </c>
      <c r="G1136" s="76"/>
      <c r="H1136" s="85"/>
      <c r="I1136" s="59" t="e">
        <f>VLOOKUP(J1136,'lista 3'!$A$1:$C$467,3,0)</f>
        <v>#N/A</v>
      </c>
      <c r="J1136" s="78"/>
      <c r="K1136" s="87"/>
      <c r="L1136" s="82"/>
      <c r="M1136" s="22"/>
      <c r="N1136" s="22"/>
      <c r="O1136" s="22"/>
      <c r="P1136" s="26"/>
      <c r="Q1136" s="26"/>
      <c r="R1136" s="26"/>
      <c r="S1136" s="47"/>
      <c r="T1136" s="4" t="e">
        <f>VLOOKUP(#REF!,#REF!,2,0)</f>
        <v>#REF!</v>
      </c>
      <c r="U1136" s="20" t="e">
        <f t="shared" si="47"/>
        <v>#REF!</v>
      </c>
      <c r="V1136" s="47"/>
      <c r="W1136" s="43"/>
      <c r="X1136" s="66" t="e">
        <f>VLOOKUP(D1136,#REF!,2,0)</f>
        <v>#REF!</v>
      </c>
      <c r="Y1136" s="67" t="e">
        <f t="shared" si="48"/>
        <v>#N/A</v>
      </c>
    </row>
    <row r="1137" spans="1:25" ht="13.65" customHeight="1">
      <c r="A1137" s="92"/>
      <c r="B1137" s="27"/>
      <c r="C1137" s="28" t="e">
        <f>VLOOKUP(D1137,'lista 1'!$A$2:$F$1802,4,0)</f>
        <v>#N/A</v>
      </c>
      <c r="D1137" s="74"/>
      <c r="E1137" s="27" t="e">
        <f>VLOOKUP(D1137,'lista 1'!$A$2:$F$1802,5,0)</f>
        <v>#N/A</v>
      </c>
      <c r="F1137" s="59" t="e">
        <f>VLOOKUP(G1137,'lista 3'!$A$1:$C$467,3,0)</f>
        <v>#N/A</v>
      </c>
      <c r="G1137" s="76"/>
      <c r="H1137" s="85"/>
      <c r="I1137" s="59" t="e">
        <f>VLOOKUP(J1137,'lista 3'!$A$1:$C$467,3,0)</f>
        <v>#N/A</v>
      </c>
      <c r="J1137" s="78"/>
      <c r="K1137" s="87"/>
      <c r="L1137" s="82"/>
      <c r="M1137" s="22"/>
      <c r="N1137" s="22"/>
      <c r="O1137" s="22"/>
      <c r="P1137" s="26"/>
      <c r="Q1137" s="26"/>
      <c r="R1137" s="26"/>
      <c r="S1137" s="47"/>
      <c r="T1137" s="4" t="e">
        <f>VLOOKUP(#REF!,#REF!,2,0)</f>
        <v>#REF!</v>
      </c>
      <c r="U1137" s="20" t="e">
        <f t="shared" si="47"/>
        <v>#REF!</v>
      </c>
      <c r="V1137" s="47"/>
      <c r="W1137" s="43"/>
      <c r="X1137" s="66" t="e">
        <f>VLOOKUP(D1137,#REF!,2,0)</f>
        <v>#REF!</v>
      </c>
      <c r="Y1137" s="67" t="e">
        <f t="shared" si="48"/>
        <v>#N/A</v>
      </c>
    </row>
    <row r="1138" spans="1:25" ht="13.65" customHeight="1">
      <c r="A1138" s="92"/>
      <c r="B1138" s="27"/>
      <c r="C1138" s="28" t="e">
        <f>VLOOKUP(D1138,'lista 1'!$A$2:$F$1802,4,0)</f>
        <v>#N/A</v>
      </c>
      <c r="D1138" s="74"/>
      <c r="E1138" s="27" t="e">
        <f>VLOOKUP(D1138,'lista 1'!$A$2:$F$1802,5,0)</f>
        <v>#N/A</v>
      </c>
      <c r="F1138" s="59" t="e">
        <f>VLOOKUP(G1138,'lista 3'!$A$1:$C$467,3,0)</f>
        <v>#N/A</v>
      </c>
      <c r="G1138" s="76"/>
      <c r="H1138" s="85"/>
      <c r="I1138" s="59" t="e">
        <f>VLOOKUP(J1138,'lista 3'!$A$1:$C$467,3,0)</f>
        <v>#N/A</v>
      </c>
      <c r="J1138" s="78"/>
      <c r="K1138" s="87"/>
      <c r="L1138" s="82"/>
      <c r="M1138" s="22"/>
      <c r="N1138" s="22"/>
      <c r="O1138" s="22"/>
      <c r="P1138" s="26"/>
      <c r="Q1138" s="26"/>
      <c r="R1138" s="26"/>
      <c r="S1138" s="47"/>
      <c r="T1138" s="4" t="e">
        <f>VLOOKUP(#REF!,#REF!,2,0)</f>
        <v>#REF!</v>
      </c>
      <c r="U1138" s="20" t="e">
        <f t="shared" si="47"/>
        <v>#REF!</v>
      </c>
      <c r="V1138" s="47"/>
      <c r="W1138" s="43"/>
      <c r="X1138" s="66" t="e">
        <f>VLOOKUP(D1138,#REF!,2,0)</f>
        <v>#REF!</v>
      </c>
      <c r="Y1138" s="67" t="e">
        <f t="shared" si="48"/>
        <v>#N/A</v>
      </c>
    </row>
    <row r="1139" spans="1:25" ht="13.65" customHeight="1">
      <c r="A1139" s="92"/>
      <c r="B1139" s="27"/>
      <c r="C1139" s="28" t="e">
        <f>VLOOKUP(D1139,'lista 1'!$A$2:$F$1802,4,0)</f>
        <v>#N/A</v>
      </c>
      <c r="D1139" s="74"/>
      <c r="E1139" s="27" t="e">
        <f>VLOOKUP(D1139,'lista 1'!$A$2:$F$1802,5,0)</f>
        <v>#N/A</v>
      </c>
      <c r="F1139" s="59" t="e">
        <f>VLOOKUP(G1139,'lista 3'!$A$1:$C$467,3,0)</f>
        <v>#N/A</v>
      </c>
      <c r="G1139" s="76"/>
      <c r="H1139" s="85"/>
      <c r="I1139" s="59" t="e">
        <f>VLOOKUP(J1139,'lista 3'!$A$1:$C$467,3,0)</f>
        <v>#N/A</v>
      </c>
      <c r="J1139" s="78"/>
      <c r="K1139" s="87"/>
      <c r="L1139" s="82"/>
      <c r="M1139" s="22"/>
      <c r="N1139" s="22"/>
      <c r="O1139" s="22"/>
      <c r="P1139" s="26"/>
      <c r="Q1139" s="26"/>
      <c r="R1139" s="26"/>
      <c r="S1139" s="47"/>
      <c r="T1139" s="4" t="e">
        <f>VLOOKUP(#REF!,#REF!,2,0)</f>
        <v>#REF!</v>
      </c>
      <c r="U1139" s="20" t="e">
        <f t="shared" si="47"/>
        <v>#REF!</v>
      </c>
      <c r="V1139" s="47"/>
      <c r="W1139" s="43"/>
      <c r="X1139" s="66" t="e">
        <f>VLOOKUP(D1139,#REF!,2,0)</f>
        <v>#REF!</v>
      </c>
      <c r="Y1139" s="67" t="e">
        <f t="shared" si="48"/>
        <v>#N/A</v>
      </c>
    </row>
    <row r="1140" spans="1:25" ht="13.65" customHeight="1">
      <c r="A1140" s="92"/>
      <c r="B1140" s="27"/>
      <c r="C1140" s="28" t="e">
        <f>VLOOKUP(D1140,'lista 1'!$A$2:$F$1802,4,0)</f>
        <v>#N/A</v>
      </c>
      <c r="D1140" s="74"/>
      <c r="E1140" s="27" t="e">
        <f>VLOOKUP(D1140,'lista 1'!$A$2:$F$1802,5,0)</f>
        <v>#N/A</v>
      </c>
      <c r="F1140" s="59" t="e">
        <f>VLOOKUP(G1140,'lista 3'!$A$1:$C$467,3,0)</f>
        <v>#N/A</v>
      </c>
      <c r="G1140" s="76"/>
      <c r="H1140" s="85"/>
      <c r="I1140" s="59" t="e">
        <f>VLOOKUP(J1140,'lista 3'!$A$1:$C$467,3,0)</f>
        <v>#N/A</v>
      </c>
      <c r="J1140" s="78"/>
      <c r="K1140" s="87"/>
      <c r="L1140" s="82"/>
      <c r="M1140" s="22"/>
      <c r="N1140" s="22"/>
      <c r="O1140" s="22"/>
      <c r="P1140" s="26"/>
      <c r="Q1140" s="26"/>
      <c r="R1140" s="26"/>
      <c r="S1140" s="47"/>
      <c r="T1140" s="4" t="e">
        <f>VLOOKUP(#REF!,#REF!,2,0)</f>
        <v>#REF!</v>
      </c>
      <c r="U1140" s="20" t="e">
        <f t="shared" si="47"/>
        <v>#REF!</v>
      </c>
      <c r="V1140" s="47"/>
      <c r="W1140" s="43"/>
      <c r="X1140" s="66" t="e">
        <f>VLOOKUP(D1140,#REF!,2,0)</f>
        <v>#REF!</v>
      </c>
      <c r="Y1140" s="67" t="e">
        <f t="shared" si="48"/>
        <v>#N/A</v>
      </c>
    </row>
    <row r="1141" spans="1:25" ht="13.65" customHeight="1">
      <c r="A1141" s="92"/>
      <c r="B1141" s="27"/>
      <c r="C1141" s="28" t="e">
        <f>VLOOKUP(D1141,'lista 1'!$A$2:$F$1802,4,0)</f>
        <v>#N/A</v>
      </c>
      <c r="D1141" s="74"/>
      <c r="E1141" s="27" t="e">
        <f>VLOOKUP(D1141,'lista 1'!$A$2:$F$1802,5,0)</f>
        <v>#N/A</v>
      </c>
      <c r="F1141" s="59" t="e">
        <f>VLOOKUP(G1141,'lista 3'!$A$1:$C$467,3,0)</f>
        <v>#N/A</v>
      </c>
      <c r="G1141" s="76"/>
      <c r="H1141" s="85"/>
      <c r="I1141" s="59" t="e">
        <f>VLOOKUP(J1141,'lista 3'!$A$1:$C$467,3,0)</f>
        <v>#N/A</v>
      </c>
      <c r="J1141" s="78"/>
      <c r="K1141" s="87"/>
      <c r="L1141" s="82"/>
      <c r="M1141" s="22"/>
      <c r="N1141" s="22"/>
      <c r="O1141" s="22"/>
      <c r="P1141" s="26"/>
      <c r="Q1141" s="26"/>
      <c r="R1141" s="26"/>
      <c r="S1141" s="47"/>
      <c r="T1141" s="4" t="e">
        <f>VLOOKUP(#REF!,#REF!,2,0)</f>
        <v>#REF!</v>
      </c>
      <c r="U1141" s="20" t="e">
        <f t="shared" si="47"/>
        <v>#REF!</v>
      </c>
      <c r="V1141" s="47"/>
      <c r="W1141" s="43"/>
      <c r="X1141" s="66" t="e">
        <f>VLOOKUP(D1141,#REF!,2,0)</f>
        <v>#REF!</v>
      </c>
      <c r="Y1141" s="67" t="e">
        <f t="shared" si="48"/>
        <v>#N/A</v>
      </c>
    </row>
    <row r="1142" spans="1:25" ht="13.65" customHeight="1">
      <c r="A1142" s="92"/>
      <c r="B1142" s="27"/>
      <c r="C1142" s="28" t="e">
        <f>VLOOKUP(D1142,'lista 1'!$A$2:$F$1802,4,0)</f>
        <v>#N/A</v>
      </c>
      <c r="D1142" s="74"/>
      <c r="E1142" s="27" t="e">
        <f>VLOOKUP(D1142,'lista 1'!$A$2:$F$1802,5,0)</f>
        <v>#N/A</v>
      </c>
      <c r="F1142" s="59" t="e">
        <f>VLOOKUP(G1142,'lista 3'!$A$1:$C$467,3,0)</f>
        <v>#N/A</v>
      </c>
      <c r="G1142" s="76"/>
      <c r="H1142" s="85"/>
      <c r="I1142" s="59" t="e">
        <f>VLOOKUP(J1142,'lista 3'!$A$1:$C$467,3,0)</f>
        <v>#N/A</v>
      </c>
      <c r="J1142" s="78"/>
      <c r="K1142" s="87"/>
      <c r="L1142" s="82"/>
      <c r="M1142" s="22"/>
      <c r="N1142" s="22"/>
      <c r="O1142" s="22"/>
      <c r="P1142" s="26"/>
      <c r="Q1142" s="26"/>
      <c r="R1142" s="26"/>
      <c r="S1142" s="47"/>
      <c r="T1142" s="4" t="e">
        <f>VLOOKUP(#REF!,#REF!,2,0)</f>
        <v>#REF!</v>
      </c>
      <c r="U1142" s="20" t="e">
        <f t="shared" si="47"/>
        <v>#REF!</v>
      </c>
      <c r="V1142" s="47"/>
      <c r="W1142" s="43"/>
      <c r="X1142" s="66" t="e">
        <f>VLOOKUP(D1142,#REF!,2,0)</f>
        <v>#REF!</v>
      </c>
      <c r="Y1142" s="67" t="e">
        <f t="shared" si="48"/>
        <v>#N/A</v>
      </c>
    </row>
    <row r="1143" spans="1:25" ht="13.65" customHeight="1">
      <c r="A1143" s="92"/>
      <c r="B1143" s="27"/>
      <c r="C1143" s="28" t="e">
        <f>VLOOKUP(D1143,'lista 1'!$A$2:$F$1802,4,0)</f>
        <v>#N/A</v>
      </c>
      <c r="D1143" s="74"/>
      <c r="E1143" s="27" t="e">
        <f>VLOOKUP(D1143,'lista 1'!$A$2:$F$1802,5,0)</f>
        <v>#N/A</v>
      </c>
      <c r="F1143" s="59" t="e">
        <f>VLOOKUP(G1143,'lista 3'!$A$1:$C$467,3,0)</f>
        <v>#N/A</v>
      </c>
      <c r="G1143" s="76"/>
      <c r="H1143" s="85"/>
      <c r="I1143" s="59" t="e">
        <f>VLOOKUP(J1143,'lista 3'!$A$1:$C$467,3,0)</f>
        <v>#N/A</v>
      </c>
      <c r="J1143" s="78"/>
      <c r="K1143" s="87"/>
      <c r="L1143" s="82"/>
      <c r="M1143" s="22"/>
      <c r="N1143" s="22"/>
      <c r="O1143" s="22"/>
      <c r="P1143" s="26"/>
      <c r="Q1143" s="26"/>
      <c r="R1143" s="26"/>
      <c r="S1143" s="47"/>
      <c r="T1143" s="4" t="e">
        <f>VLOOKUP(#REF!,#REF!,2,0)</f>
        <v>#REF!</v>
      </c>
      <c r="U1143" s="20" t="e">
        <f t="shared" si="47"/>
        <v>#REF!</v>
      </c>
      <c r="V1143" s="47"/>
      <c r="W1143" s="43"/>
      <c r="X1143" s="66" t="e">
        <f>VLOOKUP(D1143,#REF!,2,0)</f>
        <v>#REF!</v>
      </c>
      <c r="Y1143" s="67" t="e">
        <f t="shared" si="48"/>
        <v>#N/A</v>
      </c>
    </row>
    <row r="1144" spans="1:25" ht="13.65" customHeight="1">
      <c r="A1144" s="92"/>
      <c r="B1144" s="27"/>
      <c r="C1144" s="28" t="e">
        <f>VLOOKUP(D1144,'lista 1'!$A$2:$F$1802,4,0)</f>
        <v>#N/A</v>
      </c>
      <c r="D1144" s="74"/>
      <c r="E1144" s="27" t="e">
        <f>VLOOKUP(D1144,'lista 1'!$A$2:$F$1802,5,0)</f>
        <v>#N/A</v>
      </c>
      <c r="F1144" s="59" t="e">
        <f>VLOOKUP(G1144,'lista 3'!$A$1:$C$467,3,0)</f>
        <v>#N/A</v>
      </c>
      <c r="G1144" s="76"/>
      <c r="H1144" s="85"/>
      <c r="I1144" s="59" t="e">
        <f>VLOOKUP(J1144,'lista 3'!$A$1:$C$467,3,0)</f>
        <v>#N/A</v>
      </c>
      <c r="J1144" s="78"/>
      <c r="K1144" s="87"/>
      <c r="L1144" s="82"/>
      <c r="M1144" s="22"/>
      <c r="N1144" s="22"/>
      <c r="O1144" s="22"/>
      <c r="P1144" s="26"/>
      <c r="Q1144" s="26"/>
      <c r="R1144" s="26"/>
      <c r="S1144" s="47"/>
      <c r="T1144" s="4" t="e">
        <f>VLOOKUP(#REF!,#REF!,2,0)</f>
        <v>#REF!</v>
      </c>
      <c r="U1144" s="20" t="e">
        <f t="shared" si="47"/>
        <v>#REF!</v>
      </c>
      <c r="V1144" s="47"/>
      <c r="W1144" s="43"/>
      <c r="X1144" s="66" t="e">
        <f>VLOOKUP(D1144,#REF!,2,0)</f>
        <v>#REF!</v>
      </c>
      <c r="Y1144" s="67" t="e">
        <f t="shared" si="48"/>
        <v>#N/A</v>
      </c>
    </row>
    <row r="1145" spans="1:25" ht="13.65" customHeight="1">
      <c r="A1145" s="92"/>
      <c r="B1145" s="27"/>
      <c r="C1145" s="28" t="e">
        <f>VLOOKUP(D1145,'lista 1'!$A$2:$F$1802,4,0)</f>
        <v>#N/A</v>
      </c>
      <c r="D1145" s="74"/>
      <c r="E1145" s="27" t="e">
        <f>VLOOKUP(D1145,'lista 1'!$A$2:$F$1802,5,0)</f>
        <v>#N/A</v>
      </c>
      <c r="F1145" s="59" t="e">
        <f>VLOOKUP(G1145,'lista 3'!$A$1:$C$467,3,0)</f>
        <v>#N/A</v>
      </c>
      <c r="G1145" s="76"/>
      <c r="H1145" s="85"/>
      <c r="I1145" s="59" t="e">
        <f>VLOOKUP(J1145,'lista 3'!$A$1:$C$467,3,0)</f>
        <v>#N/A</v>
      </c>
      <c r="J1145" s="78"/>
      <c r="K1145" s="87"/>
      <c r="L1145" s="82"/>
      <c r="M1145" s="22"/>
      <c r="N1145" s="22"/>
      <c r="O1145" s="22"/>
      <c r="P1145" s="26"/>
      <c r="Q1145" s="26"/>
      <c r="R1145" s="26"/>
      <c r="S1145" s="47"/>
      <c r="T1145" s="4" t="e">
        <f>VLOOKUP(#REF!,#REF!,2,0)</f>
        <v>#REF!</v>
      </c>
      <c r="U1145" s="20" t="e">
        <f t="shared" si="47"/>
        <v>#REF!</v>
      </c>
      <c r="V1145" s="47"/>
      <c r="W1145" s="43"/>
      <c r="X1145" s="66" t="e">
        <f>VLOOKUP(D1145,#REF!,2,0)</f>
        <v>#REF!</v>
      </c>
      <c r="Y1145" s="67" t="e">
        <f t="shared" si="48"/>
        <v>#N/A</v>
      </c>
    </row>
    <row r="1146" spans="1:25" ht="13.65" customHeight="1">
      <c r="A1146" s="92"/>
      <c r="B1146" s="27"/>
      <c r="C1146" s="28" t="e">
        <f>VLOOKUP(D1146,'lista 1'!$A$2:$F$1802,4,0)</f>
        <v>#N/A</v>
      </c>
      <c r="D1146" s="74"/>
      <c r="E1146" s="27" t="e">
        <f>VLOOKUP(D1146,'lista 1'!$A$2:$F$1802,5,0)</f>
        <v>#N/A</v>
      </c>
      <c r="F1146" s="59" t="e">
        <f>VLOOKUP(G1146,'lista 3'!$A$1:$C$467,3,0)</f>
        <v>#N/A</v>
      </c>
      <c r="G1146" s="76"/>
      <c r="H1146" s="85"/>
      <c r="I1146" s="59" t="e">
        <f>VLOOKUP(J1146,'lista 3'!$A$1:$C$467,3,0)</f>
        <v>#N/A</v>
      </c>
      <c r="J1146" s="78"/>
      <c r="K1146" s="87"/>
      <c r="L1146" s="82"/>
      <c r="M1146" s="22"/>
      <c r="N1146" s="22"/>
      <c r="O1146" s="22"/>
      <c r="P1146" s="26"/>
      <c r="Q1146" s="26"/>
      <c r="R1146" s="26"/>
      <c r="S1146" s="47"/>
      <c r="T1146" s="4" t="e">
        <f>VLOOKUP(#REF!,#REF!,2,0)</f>
        <v>#REF!</v>
      </c>
      <c r="U1146" s="20" t="e">
        <f t="shared" si="47"/>
        <v>#REF!</v>
      </c>
      <c r="V1146" s="47"/>
      <c r="W1146" s="43"/>
      <c r="X1146" s="66" t="e">
        <f>VLOOKUP(D1146,#REF!,2,0)</f>
        <v>#REF!</v>
      </c>
      <c r="Y1146" s="67" t="e">
        <f t="shared" si="48"/>
        <v>#N/A</v>
      </c>
    </row>
    <row r="1147" spans="1:25" ht="13.65" customHeight="1">
      <c r="A1147" s="92"/>
      <c r="B1147" s="27"/>
      <c r="C1147" s="28" t="e">
        <f>VLOOKUP(D1147,'lista 1'!$A$2:$F$1802,4,0)</f>
        <v>#N/A</v>
      </c>
      <c r="D1147" s="74"/>
      <c r="E1147" s="27" t="e">
        <f>VLOOKUP(D1147,'lista 1'!$A$2:$F$1802,5,0)</f>
        <v>#N/A</v>
      </c>
      <c r="F1147" s="59" t="e">
        <f>VLOOKUP(G1147,'lista 3'!$A$1:$C$467,3,0)</f>
        <v>#N/A</v>
      </c>
      <c r="G1147" s="76"/>
      <c r="H1147" s="85"/>
      <c r="I1147" s="59" t="e">
        <f>VLOOKUP(J1147,'lista 3'!$A$1:$C$467,3,0)</f>
        <v>#N/A</v>
      </c>
      <c r="J1147" s="78"/>
      <c r="K1147" s="87"/>
      <c r="L1147" s="82"/>
      <c r="M1147" s="22"/>
      <c r="N1147" s="22"/>
      <c r="O1147" s="22"/>
      <c r="P1147" s="26"/>
      <c r="Q1147" s="26"/>
      <c r="R1147" s="26"/>
      <c r="S1147" s="47"/>
      <c r="T1147" s="4" t="e">
        <f>VLOOKUP(#REF!,#REF!,2,0)</f>
        <v>#REF!</v>
      </c>
      <c r="U1147" s="20" t="e">
        <f t="shared" si="47"/>
        <v>#REF!</v>
      </c>
      <c r="V1147" s="47"/>
      <c r="W1147" s="43"/>
      <c r="X1147" s="66" t="e">
        <f>VLOOKUP(D1147,#REF!,2,0)</f>
        <v>#REF!</v>
      </c>
      <c r="Y1147" s="67" t="e">
        <f t="shared" si="48"/>
        <v>#N/A</v>
      </c>
    </row>
    <row r="1148" spans="1:25" ht="13.65" customHeight="1">
      <c r="A1148" s="92"/>
      <c r="B1148" s="27"/>
      <c r="C1148" s="28" t="e">
        <f>VLOOKUP(D1148,'lista 1'!$A$2:$F$1802,4,0)</f>
        <v>#N/A</v>
      </c>
      <c r="D1148" s="74"/>
      <c r="E1148" s="27" t="e">
        <f>VLOOKUP(D1148,'lista 1'!$A$2:$F$1802,5,0)</f>
        <v>#N/A</v>
      </c>
      <c r="F1148" s="59" t="e">
        <f>VLOOKUP(G1148,'lista 3'!$A$1:$C$467,3,0)</f>
        <v>#N/A</v>
      </c>
      <c r="G1148" s="76"/>
      <c r="H1148" s="85"/>
      <c r="I1148" s="59" t="e">
        <f>VLOOKUP(J1148,'lista 3'!$A$1:$C$467,3,0)</f>
        <v>#N/A</v>
      </c>
      <c r="J1148" s="78"/>
      <c r="K1148" s="87"/>
      <c r="L1148" s="82"/>
      <c r="M1148" s="22"/>
      <c r="N1148" s="22"/>
      <c r="O1148" s="22"/>
      <c r="P1148" s="26"/>
      <c r="Q1148" s="26"/>
      <c r="R1148" s="26"/>
      <c r="S1148" s="47"/>
      <c r="T1148" s="4" t="e">
        <f>VLOOKUP(#REF!,#REF!,2,0)</f>
        <v>#REF!</v>
      </c>
      <c r="U1148" s="20" t="e">
        <f t="shared" si="47"/>
        <v>#REF!</v>
      </c>
      <c r="V1148" s="47"/>
      <c r="W1148" s="43"/>
      <c r="X1148" s="66" t="e">
        <f>VLOOKUP(D1148,#REF!,2,0)</f>
        <v>#REF!</v>
      </c>
      <c r="Y1148" s="67" t="e">
        <f t="shared" si="48"/>
        <v>#N/A</v>
      </c>
    </row>
    <row r="1149" spans="1:25" ht="13.65" customHeight="1">
      <c r="A1149" s="92"/>
      <c r="B1149" s="27"/>
      <c r="C1149" s="28" t="e">
        <f>VLOOKUP(D1149,'lista 1'!$A$2:$F$1802,4,0)</f>
        <v>#N/A</v>
      </c>
      <c r="D1149" s="74"/>
      <c r="E1149" s="27" t="e">
        <f>VLOOKUP(D1149,'lista 1'!$A$2:$F$1802,5,0)</f>
        <v>#N/A</v>
      </c>
      <c r="F1149" s="59" t="e">
        <f>VLOOKUP(G1149,'lista 3'!$A$1:$C$467,3,0)</f>
        <v>#N/A</v>
      </c>
      <c r="G1149" s="76"/>
      <c r="H1149" s="85"/>
      <c r="I1149" s="59" t="e">
        <f>VLOOKUP(J1149,'lista 3'!$A$1:$C$467,3,0)</f>
        <v>#N/A</v>
      </c>
      <c r="J1149" s="78"/>
      <c r="K1149" s="87"/>
      <c r="L1149" s="82"/>
      <c r="M1149" s="22"/>
      <c r="N1149" s="22"/>
      <c r="O1149" s="22"/>
      <c r="P1149" s="26"/>
      <c r="Q1149" s="26"/>
      <c r="R1149" s="26"/>
      <c r="S1149" s="47"/>
      <c r="T1149" s="4" t="e">
        <f>VLOOKUP(#REF!,#REF!,2,0)</f>
        <v>#REF!</v>
      </c>
      <c r="U1149" s="20" t="e">
        <f t="shared" si="47"/>
        <v>#REF!</v>
      </c>
      <c r="V1149" s="47"/>
      <c r="W1149" s="43"/>
      <c r="X1149" s="66" t="e">
        <f>VLOOKUP(D1149,#REF!,2,0)</f>
        <v>#REF!</v>
      </c>
      <c r="Y1149" s="67" t="e">
        <f t="shared" si="48"/>
        <v>#N/A</v>
      </c>
    </row>
    <row r="1150" spans="1:25" ht="13.65" customHeight="1">
      <c r="A1150" s="92"/>
      <c r="B1150" s="27"/>
      <c r="C1150" s="28" t="e">
        <f>VLOOKUP(D1150,'lista 1'!$A$2:$F$1802,4,0)</f>
        <v>#N/A</v>
      </c>
      <c r="D1150" s="74"/>
      <c r="E1150" s="27" t="e">
        <f>VLOOKUP(D1150,'lista 1'!$A$2:$F$1802,5,0)</f>
        <v>#N/A</v>
      </c>
      <c r="F1150" s="59" t="e">
        <f>VLOOKUP(G1150,'lista 3'!$A$1:$C$467,3,0)</f>
        <v>#N/A</v>
      </c>
      <c r="G1150" s="76"/>
      <c r="H1150" s="85"/>
      <c r="I1150" s="59" t="e">
        <f>VLOOKUP(J1150,'lista 3'!$A$1:$C$467,3,0)</f>
        <v>#N/A</v>
      </c>
      <c r="J1150" s="78"/>
      <c r="K1150" s="87"/>
      <c r="L1150" s="82"/>
      <c r="M1150" s="22"/>
      <c r="N1150" s="22"/>
      <c r="O1150" s="22"/>
      <c r="P1150" s="26"/>
      <c r="Q1150" s="26"/>
      <c r="R1150" s="26"/>
      <c r="S1150" s="47"/>
      <c r="T1150" s="4" t="e">
        <f>VLOOKUP(#REF!,#REF!,2,0)</f>
        <v>#REF!</v>
      </c>
      <c r="U1150" s="20" t="e">
        <f t="shared" si="47"/>
        <v>#REF!</v>
      </c>
      <c r="V1150" s="47"/>
      <c r="W1150" s="43"/>
      <c r="X1150" s="66" t="e">
        <f>VLOOKUP(D1150,#REF!,2,0)</f>
        <v>#REF!</v>
      </c>
      <c r="Y1150" s="67" t="e">
        <f t="shared" si="48"/>
        <v>#N/A</v>
      </c>
    </row>
    <row r="1151" spans="1:25" ht="13.65" customHeight="1">
      <c r="A1151" s="92"/>
      <c r="B1151" s="27"/>
      <c r="C1151" s="28" t="e">
        <f>VLOOKUP(D1151,'lista 1'!$A$2:$F$1802,4,0)</f>
        <v>#N/A</v>
      </c>
      <c r="D1151" s="74"/>
      <c r="E1151" s="27" t="e">
        <f>VLOOKUP(D1151,'lista 1'!$A$2:$F$1802,5,0)</f>
        <v>#N/A</v>
      </c>
      <c r="F1151" s="59" t="e">
        <f>VLOOKUP(G1151,'lista 3'!$A$1:$C$467,3,0)</f>
        <v>#N/A</v>
      </c>
      <c r="G1151" s="76"/>
      <c r="H1151" s="85"/>
      <c r="I1151" s="59" t="e">
        <f>VLOOKUP(J1151,'lista 3'!$A$1:$C$467,3,0)</f>
        <v>#N/A</v>
      </c>
      <c r="J1151" s="78"/>
      <c r="K1151" s="87"/>
      <c r="L1151" s="82"/>
      <c r="M1151" s="22"/>
      <c r="N1151" s="22"/>
      <c r="O1151" s="22"/>
      <c r="P1151" s="26"/>
      <c r="Q1151" s="26"/>
      <c r="R1151" s="26"/>
      <c r="S1151" s="47"/>
      <c r="T1151" s="4" t="e">
        <f>VLOOKUP(#REF!,#REF!,2,0)</f>
        <v>#REF!</v>
      </c>
      <c r="U1151" s="20" t="e">
        <f t="shared" si="47"/>
        <v>#REF!</v>
      </c>
      <c r="V1151" s="47"/>
      <c r="W1151" s="43"/>
      <c r="X1151" s="66" t="e">
        <f>VLOOKUP(D1151,#REF!,2,0)</f>
        <v>#REF!</v>
      </c>
      <c r="Y1151" s="67" t="e">
        <f t="shared" si="48"/>
        <v>#N/A</v>
      </c>
    </row>
    <row r="1152" spans="1:25" ht="13.65" customHeight="1">
      <c r="A1152" s="92"/>
      <c r="B1152" s="27"/>
      <c r="C1152" s="28" t="e">
        <f>VLOOKUP(D1152,'lista 1'!$A$2:$F$1802,4,0)</f>
        <v>#N/A</v>
      </c>
      <c r="D1152" s="74"/>
      <c r="E1152" s="27" t="e">
        <f>VLOOKUP(D1152,'lista 1'!$A$2:$F$1802,5,0)</f>
        <v>#N/A</v>
      </c>
      <c r="F1152" s="59" t="e">
        <f>VLOOKUP(G1152,'lista 3'!$A$1:$C$467,3,0)</f>
        <v>#N/A</v>
      </c>
      <c r="G1152" s="76"/>
      <c r="H1152" s="85"/>
      <c r="I1152" s="59" t="e">
        <f>VLOOKUP(J1152,'lista 3'!$A$1:$C$467,3,0)</f>
        <v>#N/A</v>
      </c>
      <c r="J1152" s="78"/>
      <c r="K1152" s="87"/>
      <c r="L1152" s="82"/>
      <c r="M1152" s="22"/>
      <c r="N1152" s="22"/>
      <c r="O1152" s="22"/>
      <c r="P1152" s="26"/>
      <c r="Q1152" s="26"/>
      <c r="R1152" s="26"/>
      <c r="S1152" s="47"/>
      <c r="T1152" s="4" t="e">
        <f>VLOOKUP(#REF!,#REF!,2,0)</f>
        <v>#REF!</v>
      </c>
      <c r="U1152" s="20" t="e">
        <f t="shared" si="47"/>
        <v>#REF!</v>
      </c>
      <c r="V1152" s="47"/>
      <c r="W1152" s="43"/>
      <c r="X1152" s="66" t="e">
        <f>VLOOKUP(D1152,#REF!,2,0)</f>
        <v>#REF!</v>
      </c>
      <c r="Y1152" s="67" t="e">
        <f t="shared" si="48"/>
        <v>#N/A</v>
      </c>
    </row>
    <row r="1153" spans="1:25" ht="13.65" customHeight="1">
      <c r="A1153" s="92"/>
      <c r="B1153" s="27"/>
      <c r="C1153" s="28" t="e">
        <f>VLOOKUP(D1153,'lista 1'!$A$2:$F$1802,4,0)</f>
        <v>#N/A</v>
      </c>
      <c r="D1153" s="74"/>
      <c r="E1153" s="27" t="e">
        <f>VLOOKUP(D1153,'lista 1'!$A$2:$F$1802,5,0)</f>
        <v>#N/A</v>
      </c>
      <c r="F1153" s="59" t="e">
        <f>VLOOKUP(G1153,'lista 3'!$A$1:$C$467,3,0)</f>
        <v>#N/A</v>
      </c>
      <c r="G1153" s="76"/>
      <c r="H1153" s="85"/>
      <c r="I1153" s="59" t="e">
        <f>VLOOKUP(J1153,'lista 3'!$A$1:$C$467,3,0)</f>
        <v>#N/A</v>
      </c>
      <c r="J1153" s="78"/>
      <c r="K1153" s="87"/>
      <c r="L1153" s="82"/>
      <c r="M1153" s="22"/>
      <c r="N1153" s="22"/>
      <c r="O1153" s="22"/>
      <c r="P1153" s="26"/>
      <c r="Q1153" s="26"/>
      <c r="R1153" s="26"/>
      <c r="S1153" s="47"/>
      <c r="T1153" s="4" t="e">
        <f>VLOOKUP(#REF!,#REF!,2,0)</f>
        <v>#REF!</v>
      </c>
      <c r="U1153" s="20" t="e">
        <f t="shared" si="47"/>
        <v>#REF!</v>
      </c>
      <c r="V1153" s="47"/>
      <c r="W1153" s="43"/>
      <c r="X1153" s="66" t="e">
        <f>VLOOKUP(D1153,#REF!,2,0)</f>
        <v>#REF!</v>
      </c>
      <c r="Y1153" s="67" t="e">
        <f t="shared" si="48"/>
        <v>#N/A</v>
      </c>
    </row>
    <row r="1154" spans="1:25" ht="13.65" customHeight="1">
      <c r="A1154" s="92"/>
      <c r="B1154" s="27"/>
      <c r="C1154" s="28" t="e">
        <f>VLOOKUP(D1154,'lista 1'!$A$2:$F$1802,4,0)</f>
        <v>#N/A</v>
      </c>
      <c r="D1154" s="74"/>
      <c r="E1154" s="27" t="e">
        <f>VLOOKUP(D1154,'lista 1'!$A$2:$F$1802,5,0)</f>
        <v>#N/A</v>
      </c>
      <c r="F1154" s="59" t="e">
        <f>VLOOKUP(G1154,'lista 3'!$A$1:$C$467,3,0)</f>
        <v>#N/A</v>
      </c>
      <c r="G1154" s="76"/>
      <c r="H1154" s="85"/>
      <c r="I1154" s="59" t="e">
        <f>VLOOKUP(J1154,'lista 3'!$A$1:$C$467,3,0)</f>
        <v>#N/A</v>
      </c>
      <c r="J1154" s="78"/>
      <c r="K1154" s="87"/>
      <c r="L1154" s="82"/>
      <c r="M1154" s="22"/>
      <c r="N1154" s="22"/>
      <c r="O1154" s="22"/>
      <c r="P1154" s="26"/>
      <c r="Q1154" s="26"/>
      <c r="R1154" s="26"/>
      <c r="S1154" s="47"/>
      <c r="T1154" s="4" t="e">
        <f>VLOOKUP(#REF!,#REF!,2,0)</f>
        <v>#REF!</v>
      </c>
      <c r="U1154" s="20" t="e">
        <f t="shared" si="47"/>
        <v>#REF!</v>
      </c>
      <c r="V1154" s="47"/>
      <c r="W1154" s="43"/>
      <c r="X1154" s="66" t="e">
        <f>VLOOKUP(D1154,#REF!,2,0)</f>
        <v>#REF!</v>
      </c>
      <c r="Y1154" s="67" t="e">
        <f t="shared" si="48"/>
        <v>#N/A</v>
      </c>
    </row>
    <row r="1155" spans="1:25" ht="13.65" customHeight="1">
      <c r="A1155" s="92"/>
      <c r="B1155" s="27"/>
      <c r="C1155" s="28" t="e">
        <f>VLOOKUP(D1155,'lista 1'!$A$2:$F$1802,4,0)</f>
        <v>#N/A</v>
      </c>
      <c r="D1155" s="74"/>
      <c r="E1155" s="27" t="e">
        <f>VLOOKUP(D1155,'lista 1'!$A$2:$F$1802,5,0)</f>
        <v>#N/A</v>
      </c>
      <c r="F1155" s="59" t="e">
        <f>VLOOKUP(G1155,'lista 3'!$A$1:$C$467,3,0)</f>
        <v>#N/A</v>
      </c>
      <c r="G1155" s="76"/>
      <c r="H1155" s="85"/>
      <c r="I1155" s="59" t="e">
        <f>VLOOKUP(J1155,'lista 3'!$A$1:$C$467,3,0)</f>
        <v>#N/A</v>
      </c>
      <c r="J1155" s="78"/>
      <c r="K1155" s="87"/>
      <c r="L1155" s="82"/>
      <c r="M1155" s="22"/>
      <c r="N1155" s="22"/>
      <c r="O1155" s="22"/>
      <c r="P1155" s="26"/>
      <c r="Q1155" s="26"/>
      <c r="R1155" s="26"/>
      <c r="S1155" s="47"/>
      <c r="T1155" s="4" t="e">
        <f>VLOOKUP(#REF!,#REF!,2,0)</f>
        <v>#REF!</v>
      </c>
      <c r="U1155" s="20" t="e">
        <f t="shared" si="47"/>
        <v>#REF!</v>
      </c>
      <c r="V1155" s="47"/>
      <c r="W1155" s="43"/>
      <c r="X1155" s="66" t="e">
        <f>VLOOKUP(D1155,#REF!,2,0)</f>
        <v>#REF!</v>
      </c>
      <c r="Y1155" s="67" t="e">
        <f t="shared" si="48"/>
        <v>#N/A</v>
      </c>
    </row>
    <row r="1156" spans="1:25" ht="13.65" customHeight="1">
      <c r="A1156" s="92"/>
      <c r="B1156" s="27"/>
      <c r="C1156" s="28" t="e">
        <f>VLOOKUP(D1156,'lista 1'!$A$2:$F$1802,4,0)</f>
        <v>#N/A</v>
      </c>
      <c r="D1156" s="74"/>
      <c r="E1156" s="27" t="e">
        <f>VLOOKUP(D1156,'lista 1'!$A$2:$F$1802,5,0)</f>
        <v>#N/A</v>
      </c>
      <c r="F1156" s="59" t="e">
        <f>VLOOKUP(G1156,'lista 3'!$A$1:$C$467,3,0)</f>
        <v>#N/A</v>
      </c>
      <c r="G1156" s="76"/>
      <c r="H1156" s="85"/>
      <c r="I1156" s="59" t="e">
        <f>VLOOKUP(J1156,'lista 3'!$A$1:$C$467,3,0)</f>
        <v>#N/A</v>
      </c>
      <c r="J1156" s="78"/>
      <c r="K1156" s="87"/>
      <c r="L1156" s="82"/>
      <c r="M1156" s="22"/>
      <c r="N1156" s="22"/>
      <c r="O1156" s="22"/>
      <c r="P1156" s="26"/>
      <c r="Q1156" s="26"/>
      <c r="R1156" s="26"/>
      <c r="S1156" s="47"/>
      <c r="T1156" s="4" t="e">
        <f>VLOOKUP(#REF!,#REF!,2,0)</f>
        <v>#REF!</v>
      </c>
      <c r="U1156" s="20" t="e">
        <f t="shared" si="47"/>
        <v>#REF!</v>
      </c>
      <c r="V1156" s="47"/>
      <c r="W1156" s="43"/>
      <c r="X1156" s="66" t="e">
        <f>VLOOKUP(D1156,#REF!,2,0)</f>
        <v>#REF!</v>
      </c>
      <c r="Y1156" s="67" t="e">
        <f t="shared" si="48"/>
        <v>#N/A</v>
      </c>
    </row>
    <row r="1157" spans="1:25" ht="13.65" customHeight="1">
      <c r="A1157" s="92"/>
      <c r="B1157" s="27"/>
      <c r="C1157" s="28" t="e">
        <f>VLOOKUP(D1157,'lista 1'!$A$2:$F$1802,4,0)</f>
        <v>#N/A</v>
      </c>
      <c r="D1157" s="74"/>
      <c r="E1157" s="27" t="e">
        <f>VLOOKUP(D1157,'lista 1'!$A$2:$F$1802,5,0)</f>
        <v>#N/A</v>
      </c>
      <c r="F1157" s="59" t="e">
        <f>VLOOKUP(G1157,'lista 3'!$A$1:$C$467,3,0)</f>
        <v>#N/A</v>
      </c>
      <c r="G1157" s="76"/>
      <c r="H1157" s="85"/>
      <c r="I1157" s="59" t="e">
        <f>VLOOKUP(J1157,'lista 3'!$A$1:$C$467,3,0)</f>
        <v>#N/A</v>
      </c>
      <c r="J1157" s="78"/>
      <c r="K1157" s="87"/>
      <c r="L1157" s="82"/>
      <c r="M1157" s="22"/>
      <c r="N1157" s="22"/>
      <c r="O1157" s="22"/>
      <c r="P1157" s="26"/>
      <c r="Q1157" s="26"/>
      <c r="R1157" s="26"/>
      <c r="S1157" s="47"/>
      <c r="T1157" s="4" t="e">
        <f>VLOOKUP(#REF!,#REF!,2,0)</f>
        <v>#REF!</v>
      </c>
      <c r="U1157" s="20" t="e">
        <f t="shared" si="47"/>
        <v>#REF!</v>
      </c>
      <c r="V1157" s="47"/>
      <c r="W1157" s="43"/>
      <c r="X1157" s="66" t="e">
        <f>VLOOKUP(D1157,#REF!,2,0)</f>
        <v>#REF!</v>
      </c>
      <c r="Y1157" s="67" t="e">
        <f t="shared" si="48"/>
        <v>#N/A</v>
      </c>
    </row>
    <row r="1158" spans="1:25" ht="13.65" customHeight="1">
      <c r="A1158" s="92"/>
      <c r="B1158" s="27"/>
      <c r="C1158" s="28" t="e">
        <f>VLOOKUP(D1158,'lista 1'!$A$2:$F$1802,4,0)</f>
        <v>#N/A</v>
      </c>
      <c r="D1158" s="74"/>
      <c r="E1158" s="27" t="e">
        <f>VLOOKUP(D1158,'lista 1'!$A$2:$F$1802,5,0)</f>
        <v>#N/A</v>
      </c>
      <c r="F1158" s="59" t="e">
        <f>VLOOKUP(G1158,'lista 3'!$A$1:$C$467,3,0)</f>
        <v>#N/A</v>
      </c>
      <c r="G1158" s="76"/>
      <c r="H1158" s="85"/>
      <c r="I1158" s="59" t="e">
        <f>VLOOKUP(J1158,'lista 3'!$A$1:$C$467,3,0)</f>
        <v>#N/A</v>
      </c>
      <c r="J1158" s="78"/>
      <c r="K1158" s="87"/>
      <c r="L1158" s="82"/>
      <c r="M1158" s="22"/>
      <c r="N1158" s="22"/>
      <c r="O1158" s="22"/>
      <c r="P1158" s="26"/>
      <c r="Q1158" s="26"/>
      <c r="R1158" s="26"/>
      <c r="S1158" s="47"/>
      <c r="T1158" s="4" t="e">
        <f>VLOOKUP(#REF!,#REF!,2,0)</f>
        <v>#REF!</v>
      </c>
      <c r="U1158" s="20" t="e">
        <f t="shared" si="47"/>
        <v>#REF!</v>
      </c>
      <c r="V1158" s="47"/>
      <c r="W1158" s="43"/>
      <c r="X1158" s="66" t="e">
        <f>VLOOKUP(D1158,#REF!,2,0)</f>
        <v>#REF!</v>
      </c>
      <c r="Y1158" s="67" t="e">
        <f t="shared" si="48"/>
        <v>#N/A</v>
      </c>
    </row>
    <row r="1159" spans="1:25" ht="13.65" customHeight="1">
      <c r="A1159" s="92"/>
      <c r="B1159" s="27"/>
      <c r="C1159" s="28" t="e">
        <f>VLOOKUP(D1159,'lista 1'!$A$2:$F$1802,4,0)</f>
        <v>#N/A</v>
      </c>
      <c r="D1159" s="74"/>
      <c r="E1159" s="27" t="e">
        <f>VLOOKUP(D1159,'lista 1'!$A$2:$F$1802,5,0)</f>
        <v>#N/A</v>
      </c>
      <c r="F1159" s="59" t="e">
        <f>VLOOKUP(G1159,'lista 3'!$A$1:$C$467,3,0)</f>
        <v>#N/A</v>
      </c>
      <c r="G1159" s="76"/>
      <c r="H1159" s="85"/>
      <c r="I1159" s="59" t="e">
        <f>VLOOKUP(J1159,'lista 3'!$A$1:$C$467,3,0)</f>
        <v>#N/A</v>
      </c>
      <c r="J1159" s="78"/>
      <c r="K1159" s="87"/>
      <c r="L1159" s="82"/>
      <c r="M1159" s="22"/>
      <c r="N1159" s="22"/>
      <c r="O1159" s="22"/>
      <c r="P1159" s="26"/>
      <c r="Q1159" s="26"/>
      <c r="R1159" s="26"/>
      <c r="S1159" s="47"/>
      <c r="T1159" s="4" t="e">
        <f>VLOOKUP(#REF!,#REF!,2,0)</f>
        <v>#REF!</v>
      </c>
      <c r="U1159" s="20" t="e">
        <f t="shared" si="47"/>
        <v>#REF!</v>
      </c>
      <c r="V1159" s="47"/>
      <c r="W1159" s="43"/>
      <c r="X1159" s="66" t="e">
        <f>VLOOKUP(D1159,#REF!,2,0)</f>
        <v>#REF!</v>
      </c>
      <c r="Y1159" s="67" t="e">
        <f t="shared" si="48"/>
        <v>#N/A</v>
      </c>
    </row>
    <row r="1160" spans="1:25" ht="13.65" customHeight="1">
      <c r="A1160" s="92"/>
      <c r="B1160" s="27"/>
      <c r="C1160" s="28" t="e">
        <f>VLOOKUP(D1160,'lista 1'!$A$2:$F$1802,4,0)</f>
        <v>#N/A</v>
      </c>
      <c r="D1160" s="74"/>
      <c r="E1160" s="27" t="e">
        <f>VLOOKUP(D1160,'lista 1'!$A$2:$F$1802,5,0)</f>
        <v>#N/A</v>
      </c>
      <c r="F1160" s="59" t="e">
        <f>VLOOKUP(G1160,'lista 3'!$A$1:$C$467,3,0)</f>
        <v>#N/A</v>
      </c>
      <c r="G1160" s="76"/>
      <c r="H1160" s="85"/>
      <c r="I1160" s="59" t="e">
        <f>VLOOKUP(J1160,'lista 3'!$A$1:$C$467,3,0)</f>
        <v>#N/A</v>
      </c>
      <c r="J1160" s="78"/>
      <c r="K1160" s="87"/>
      <c r="L1160" s="82"/>
      <c r="M1160" s="22"/>
      <c r="N1160" s="22"/>
      <c r="O1160" s="22"/>
      <c r="P1160" s="26"/>
      <c r="Q1160" s="26"/>
      <c r="R1160" s="26"/>
      <c r="S1160" s="47"/>
      <c r="T1160" s="4" t="e">
        <f>VLOOKUP(#REF!,#REF!,2,0)</f>
        <v>#REF!</v>
      </c>
      <c r="U1160" s="20" t="e">
        <f t="shared" si="47"/>
        <v>#REF!</v>
      </c>
      <c r="V1160" s="47"/>
      <c r="W1160" s="43"/>
      <c r="X1160" s="66" t="e">
        <f>VLOOKUP(D1160,#REF!,2,0)</f>
        <v>#REF!</v>
      </c>
      <c r="Y1160" s="67" t="e">
        <f t="shared" si="48"/>
        <v>#N/A</v>
      </c>
    </row>
    <row r="1161" spans="1:25" ht="13.65" customHeight="1">
      <c r="A1161" s="92"/>
      <c r="B1161" s="27"/>
      <c r="C1161" s="28" t="e">
        <f>VLOOKUP(D1161,'lista 1'!$A$2:$F$1802,4,0)</f>
        <v>#N/A</v>
      </c>
      <c r="D1161" s="74"/>
      <c r="E1161" s="27" t="e">
        <f>VLOOKUP(D1161,'lista 1'!$A$2:$F$1802,5,0)</f>
        <v>#N/A</v>
      </c>
      <c r="F1161" s="59" t="e">
        <f>VLOOKUP(G1161,'lista 3'!$A$1:$C$467,3,0)</f>
        <v>#N/A</v>
      </c>
      <c r="G1161" s="76"/>
      <c r="H1161" s="85"/>
      <c r="I1161" s="59" t="e">
        <f>VLOOKUP(J1161,'lista 3'!$A$1:$C$467,3,0)</f>
        <v>#N/A</v>
      </c>
      <c r="J1161" s="78"/>
      <c r="K1161" s="87"/>
      <c r="L1161" s="82"/>
      <c r="M1161" s="22"/>
      <c r="N1161" s="22"/>
      <c r="O1161" s="22"/>
      <c r="P1161" s="26"/>
      <c r="Q1161" s="26"/>
      <c r="R1161" s="26"/>
      <c r="S1161" s="47"/>
      <c r="T1161" s="4" t="e">
        <f>VLOOKUP(#REF!,#REF!,2,0)</f>
        <v>#REF!</v>
      </c>
      <c r="U1161" s="20" t="e">
        <f t="shared" si="47"/>
        <v>#REF!</v>
      </c>
      <c r="V1161" s="47"/>
      <c r="W1161" s="43"/>
      <c r="X1161" s="66" t="e">
        <f>VLOOKUP(D1161,#REF!,2,0)</f>
        <v>#REF!</v>
      </c>
      <c r="Y1161" s="67" t="e">
        <f t="shared" si="48"/>
        <v>#N/A</v>
      </c>
    </row>
    <row r="1162" spans="1:25" ht="13.65" customHeight="1">
      <c r="A1162" s="92"/>
      <c r="B1162" s="27"/>
      <c r="C1162" s="28" t="e">
        <f>VLOOKUP(D1162,'lista 1'!$A$2:$F$1802,4,0)</f>
        <v>#N/A</v>
      </c>
      <c r="D1162" s="74"/>
      <c r="E1162" s="27" t="e">
        <f>VLOOKUP(D1162,'lista 1'!$A$2:$F$1802,5,0)</f>
        <v>#N/A</v>
      </c>
      <c r="F1162" s="59" t="e">
        <f>VLOOKUP(G1162,'lista 3'!$A$1:$C$467,3,0)</f>
        <v>#N/A</v>
      </c>
      <c r="G1162" s="76"/>
      <c r="H1162" s="85"/>
      <c r="I1162" s="59" t="e">
        <f>VLOOKUP(J1162,'lista 3'!$A$1:$C$467,3,0)</f>
        <v>#N/A</v>
      </c>
      <c r="J1162" s="78"/>
      <c r="K1162" s="87"/>
      <c r="L1162" s="82"/>
      <c r="M1162" s="22"/>
      <c r="N1162" s="22"/>
      <c r="O1162" s="22"/>
      <c r="P1162" s="26"/>
      <c r="Q1162" s="26"/>
      <c r="R1162" s="26"/>
      <c r="S1162" s="47"/>
      <c r="T1162" s="4" t="e">
        <f>VLOOKUP(#REF!,#REF!,2,0)</f>
        <v>#REF!</v>
      </c>
      <c r="U1162" s="20" t="e">
        <f t="shared" si="47"/>
        <v>#REF!</v>
      </c>
      <c r="V1162" s="47"/>
      <c r="W1162" s="43"/>
      <c r="X1162" s="66" t="e">
        <f>VLOOKUP(D1162,#REF!,2,0)</f>
        <v>#REF!</v>
      </c>
      <c r="Y1162" s="67" t="e">
        <f t="shared" si="48"/>
        <v>#N/A</v>
      </c>
    </row>
    <row r="1163" spans="1:25" ht="13.65" customHeight="1">
      <c r="A1163" s="92"/>
      <c r="B1163" s="27"/>
      <c r="C1163" s="28" t="e">
        <f>VLOOKUP(D1163,'lista 1'!$A$2:$F$1802,4,0)</f>
        <v>#N/A</v>
      </c>
      <c r="D1163" s="74"/>
      <c r="E1163" s="27" t="e">
        <f>VLOOKUP(D1163,'lista 1'!$A$2:$F$1802,5,0)</f>
        <v>#N/A</v>
      </c>
      <c r="F1163" s="59" t="e">
        <f>VLOOKUP(G1163,'lista 3'!$A$1:$C$467,3,0)</f>
        <v>#N/A</v>
      </c>
      <c r="G1163" s="76"/>
      <c r="H1163" s="85"/>
      <c r="I1163" s="59" t="e">
        <f>VLOOKUP(J1163,'lista 3'!$A$1:$C$467,3,0)</f>
        <v>#N/A</v>
      </c>
      <c r="J1163" s="78"/>
      <c r="K1163" s="87"/>
      <c r="L1163" s="82"/>
      <c r="M1163" s="22"/>
      <c r="N1163" s="22"/>
      <c r="O1163" s="22"/>
      <c r="P1163" s="26"/>
      <c r="Q1163" s="26"/>
      <c r="R1163" s="26"/>
      <c r="S1163" s="47"/>
      <c r="T1163" s="4" t="e">
        <f>VLOOKUP(#REF!,#REF!,2,0)</f>
        <v>#REF!</v>
      </c>
      <c r="U1163" s="20" t="e">
        <f t="shared" si="47"/>
        <v>#REF!</v>
      </c>
      <c r="V1163" s="47"/>
      <c r="W1163" s="43"/>
      <c r="X1163" s="66" t="e">
        <f>VLOOKUP(D1163,#REF!,2,0)</f>
        <v>#REF!</v>
      </c>
      <c r="Y1163" s="67" t="e">
        <f t="shared" si="48"/>
        <v>#N/A</v>
      </c>
    </row>
    <row r="1164" spans="1:25" ht="13.65" customHeight="1">
      <c r="A1164" s="92"/>
      <c r="B1164" s="27"/>
      <c r="C1164" s="28" t="e">
        <f>VLOOKUP(D1164,'lista 1'!$A$2:$F$1802,4,0)</f>
        <v>#N/A</v>
      </c>
      <c r="D1164" s="74"/>
      <c r="E1164" s="27" t="e">
        <f>VLOOKUP(D1164,'lista 1'!$A$2:$F$1802,5,0)</f>
        <v>#N/A</v>
      </c>
      <c r="F1164" s="59" t="e">
        <f>VLOOKUP(G1164,'lista 3'!$A$1:$C$467,3,0)</f>
        <v>#N/A</v>
      </c>
      <c r="G1164" s="76"/>
      <c r="H1164" s="85"/>
      <c r="I1164" s="59" t="e">
        <f>VLOOKUP(J1164,'lista 3'!$A$1:$C$467,3,0)</f>
        <v>#N/A</v>
      </c>
      <c r="J1164" s="78"/>
      <c r="K1164" s="87"/>
      <c r="L1164" s="82"/>
      <c r="M1164" s="22"/>
      <c r="N1164" s="22"/>
      <c r="O1164" s="22"/>
      <c r="P1164" s="26"/>
      <c r="Q1164" s="26"/>
      <c r="R1164" s="26"/>
      <c r="S1164" s="47"/>
      <c r="T1164" s="4" t="e">
        <f>VLOOKUP(#REF!,#REF!,2,0)</f>
        <v>#REF!</v>
      </c>
      <c r="U1164" s="20" t="e">
        <f t="shared" si="47"/>
        <v>#REF!</v>
      </c>
      <c r="V1164" s="47"/>
      <c r="W1164" s="43"/>
      <c r="X1164" s="66" t="e">
        <f>VLOOKUP(D1164,#REF!,2,0)</f>
        <v>#REF!</v>
      </c>
      <c r="Y1164" s="67" t="e">
        <f t="shared" si="48"/>
        <v>#N/A</v>
      </c>
    </row>
    <row r="1165" spans="1:25" ht="13.65" customHeight="1">
      <c r="A1165" s="92"/>
      <c r="B1165" s="27"/>
      <c r="C1165" s="28" t="e">
        <f>VLOOKUP(D1165,'lista 1'!$A$2:$F$1802,4,0)</f>
        <v>#N/A</v>
      </c>
      <c r="D1165" s="74"/>
      <c r="E1165" s="27" t="e">
        <f>VLOOKUP(D1165,'lista 1'!$A$2:$F$1802,5,0)</f>
        <v>#N/A</v>
      </c>
      <c r="F1165" s="59" t="e">
        <f>VLOOKUP(G1165,'lista 3'!$A$1:$C$467,3,0)</f>
        <v>#N/A</v>
      </c>
      <c r="G1165" s="76"/>
      <c r="H1165" s="85"/>
      <c r="I1165" s="59" t="e">
        <f>VLOOKUP(J1165,'lista 3'!$A$1:$C$467,3,0)</f>
        <v>#N/A</v>
      </c>
      <c r="J1165" s="78"/>
      <c r="K1165" s="87"/>
      <c r="L1165" s="82"/>
      <c r="M1165" s="22"/>
      <c r="N1165" s="22"/>
      <c r="O1165" s="22"/>
      <c r="P1165" s="26"/>
      <c r="Q1165" s="26"/>
      <c r="R1165" s="26"/>
      <c r="S1165" s="47"/>
      <c r="T1165" s="4" t="e">
        <f>VLOOKUP(#REF!,#REF!,2,0)</f>
        <v>#REF!</v>
      </c>
      <c r="U1165" s="20" t="e">
        <f t="shared" si="47"/>
        <v>#REF!</v>
      </c>
      <c r="V1165" s="47"/>
      <c r="W1165" s="43"/>
      <c r="X1165" s="66" t="e">
        <f>VLOOKUP(D1165,#REF!,2,0)</f>
        <v>#REF!</v>
      </c>
      <c r="Y1165" s="67" t="e">
        <f t="shared" si="48"/>
        <v>#N/A</v>
      </c>
    </row>
    <row r="1166" spans="1:25" ht="13.65" customHeight="1">
      <c r="A1166" s="92"/>
      <c r="B1166" s="27"/>
      <c r="C1166" s="28" t="e">
        <f>VLOOKUP(D1166,'lista 1'!$A$2:$F$1802,4,0)</f>
        <v>#N/A</v>
      </c>
      <c r="D1166" s="74"/>
      <c r="E1166" s="27" t="e">
        <f>VLOOKUP(D1166,'lista 1'!$A$2:$F$1802,5,0)</f>
        <v>#N/A</v>
      </c>
      <c r="F1166" s="59" t="e">
        <f>VLOOKUP(G1166,'lista 3'!$A$1:$C$467,3,0)</f>
        <v>#N/A</v>
      </c>
      <c r="G1166" s="76"/>
      <c r="H1166" s="85"/>
      <c r="I1166" s="59" t="e">
        <f>VLOOKUP(J1166,'lista 3'!$A$1:$C$467,3,0)</f>
        <v>#N/A</v>
      </c>
      <c r="J1166" s="78"/>
      <c r="K1166" s="87"/>
      <c r="L1166" s="82"/>
      <c r="M1166" s="22"/>
      <c r="N1166" s="22"/>
      <c r="O1166" s="22"/>
      <c r="P1166" s="26"/>
      <c r="Q1166" s="26"/>
      <c r="R1166" s="26"/>
      <c r="S1166" s="47"/>
      <c r="T1166" s="4" t="e">
        <f>VLOOKUP(#REF!,#REF!,2,0)</f>
        <v>#REF!</v>
      </c>
      <c r="U1166" s="20" t="e">
        <f t="shared" si="47"/>
        <v>#REF!</v>
      </c>
      <c r="V1166" s="47"/>
      <c r="W1166" s="43"/>
      <c r="X1166" s="66" t="e">
        <f>VLOOKUP(D1166,#REF!,2,0)</f>
        <v>#REF!</v>
      </c>
      <c r="Y1166" s="67" t="e">
        <f t="shared" si="48"/>
        <v>#N/A</v>
      </c>
    </row>
    <row r="1167" spans="1:25" ht="13.65" customHeight="1">
      <c r="A1167" s="92"/>
      <c r="B1167" s="27"/>
      <c r="C1167" s="28" t="e">
        <f>VLOOKUP(D1167,'lista 1'!$A$2:$F$1802,4,0)</f>
        <v>#N/A</v>
      </c>
      <c r="D1167" s="74"/>
      <c r="E1167" s="27" t="e">
        <f>VLOOKUP(D1167,'lista 1'!$A$2:$F$1802,5,0)</f>
        <v>#N/A</v>
      </c>
      <c r="F1167" s="59" t="e">
        <f>VLOOKUP(G1167,'lista 3'!$A$1:$C$467,3,0)</f>
        <v>#N/A</v>
      </c>
      <c r="G1167" s="76"/>
      <c r="H1167" s="85"/>
      <c r="I1167" s="59" t="e">
        <f>VLOOKUP(J1167,'lista 3'!$A$1:$C$467,3,0)</f>
        <v>#N/A</v>
      </c>
      <c r="J1167" s="78"/>
      <c r="K1167" s="87"/>
      <c r="L1167" s="82"/>
      <c r="M1167" s="22"/>
      <c r="N1167" s="22"/>
      <c r="O1167" s="22"/>
      <c r="P1167" s="26"/>
      <c r="Q1167" s="26"/>
      <c r="R1167" s="26"/>
      <c r="S1167" s="47"/>
      <c r="T1167" s="4" t="e">
        <f>VLOOKUP(#REF!,#REF!,2,0)</f>
        <v>#REF!</v>
      </c>
      <c r="U1167" s="20" t="e">
        <f t="shared" si="47"/>
        <v>#REF!</v>
      </c>
      <c r="V1167" s="47"/>
      <c r="W1167" s="43"/>
      <c r="X1167" s="66" t="e">
        <f>VLOOKUP(D1167,#REF!,2,0)</f>
        <v>#REF!</v>
      </c>
      <c r="Y1167" s="67" t="e">
        <f t="shared" si="48"/>
        <v>#N/A</v>
      </c>
    </row>
    <row r="1168" spans="1:25" ht="13.65" customHeight="1">
      <c r="A1168" s="92"/>
      <c r="B1168" s="27"/>
      <c r="C1168" s="28" t="e">
        <f>VLOOKUP(D1168,'lista 1'!$A$2:$F$1802,4,0)</f>
        <v>#N/A</v>
      </c>
      <c r="D1168" s="74"/>
      <c r="E1168" s="27" t="e">
        <f>VLOOKUP(D1168,'lista 1'!$A$2:$F$1802,5,0)</f>
        <v>#N/A</v>
      </c>
      <c r="F1168" s="59" t="e">
        <f>VLOOKUP(G1168,'lista 3'!$A$1:$C$467,3,0)</f>
        <v>#N/A</v>
      </c>
      <c r="G1168" s="76"/>
      <c r="H1168" s="85"/>
      <c r="I1168" s="59" t="e">
        <f>VLOOKUP(J1168,'lista 3'!$A$1:$C$467,3,0)</f>
        <v>#N/A</v>
      </c>
      <c r="J1168" s="78"/>
      <c r="K1168" s="87"/>
      <c r="L1168" s="82"/>
      <c r="M1168" s="22"/>
      <c r="N1168" s="22"/>
      <c r="O1168" s="22"/>
      <c r="P1168" s="26"/>
      <c r="Q1168" s="26"/>
      <c r="R1168" s="26"/>
      <c r="S1168" s="47"/>
      <c r="T1168" s="4" t="e">
        <f>VLOOKUP(#REF!,#REF!,2,0)</f>
        <v>#REF!</v>
      </c>
      <c r="U1168" s="20" t="e">
        <f t="shared" si="47"/>
        <v>#REF!</v>
      </c>
      <c r="V1168" s="47"/>
      <c r="W1168" s="43"/>
      <c r="X1168" s="66" t="e">
        <f>VLOOKUP(D1168,#REF!,2,0)</f>
        <v>#REF!</v>
      </c>
      <c r="Y1168" s="67" t="e">
        <f t="shared" si="48"/>
        <v>#N/A</v>
      </c>
    </row>
    <row r="1169" spans="1:27" ht="13.65" customHeight="1">
      <c r="A1169" s="92"/>
      <c r="B1169" s="27"/>
      <c r="C1169" s="28" t="e">
        <f>VLOOKUP(D1169,'lista 1'!$A$2:$F$1802,4,0)</f>
        <v>#N/A</v>
      </c>
      <c r="D1169" s="74"/>
      <c r="E1169" s="27" t="e">
        <f>VLOOKUP(D1169,'lista 1'!$A$2:$F$1802,5,0)</f>
        <v>#N/A</v>
      </c>
      <c r="F1169" s="59" t="e">
        <f>VLOOKUP(G1169,'lista 3'!$A$1:$C$467,3,0)</f>
        <v>#N/A</v>
      </c>
      <c r="G1169" s="76"/>
      <c r="H1169" s="85"/>
      <c r="I1169" s="59" t="e">
        <f>VLOOKUP(J1169,'lista 3'!$A$1:$C$467,3,0)</f>
        <v>#N/A</v>
      </c>
      <c r="J1169" s="78"/>
      <c r="K1169" s="87"/>
      <c r="L1169" s="82"/>
      <c r="M1169" s="22"/>
      <c r="N1169" s="22"/>
      <c r="O1169" s="22"/>
      <c r="P1169" s="26"/>
      <c r="Q1169" s="26"/>
      <c r="R1169" s="26"/>
      <c r="S1169" s="47"/>
      <c r="T1169" s="4" t="e">
        <f>VLOOKUP(#REF!,#REF!,2,0)</f>
        <v>#REF!</v>
      </c>
      <c r="U1169" s="20" t="e">
        <f t="shared" si="47"/>
        <v>#REF!</v>
      </c>
      <c r="V1169" s="47"/>
      <c r="W1169" s="43"/>
      <c r="X1169" s="66" t="e">
        <f>VLOOKUP(D1169,#REF!,2,0)</f>
        <v>#REF!</v>
      </c>
      <c r="Y1169" s="67" t="e">
        <f t="shared" si="48"/>
        <v>#N/A</v>
      </c>
    </row>
    <row r="1170" spans="1:27" ht="13.65" customHeight="1">
      <c r="A1170" s="92"/>
      <c r="B1170" s="27"/>
      <c r="C1170" s="28" t="e">
        <f>VLOOKUP(D1170,'lista 1'!$A$2:$F$1802,4,0)</f>
        <v>#N/A</v>
      </c>
      <c r="D1170" s="74"/>
      <c r="E1170" s="27" t="e">
        <f>VLOOKUP(D1170,'lista 1'!$A$2:$F$1802,5,0)</f>
        <v>#N/A</v>
      </c>
      <c r="F1170" s="59" t="e">
        <f>VLOOKUP(G1170,'lista 3'!$A$1:$C$467,3,0)</f>
        <v>#N/A</v>
      </c>
      <c r="G1170" s="76"/>
      <c r="H1170" s="85"/>
      <c r="I1170" s="59" t="e">
        <f>VLOOKUP(J1170,'lista 3'!$A$1:$C$467,3,0)</f>
        <v>#N/A</v>
      </c>
      <c r="J1170" s="78"/>
      <c r="K1170" s="87"/>
      <c r="L1170" s="82"/>
      <c r="M1170" s="22"/>
      <c r="N1170" s="22"/>
      <c r="O1170" s="22"/>
      <c r="P1170" s="26"/>
      <c r="Q1170" s="26"/>
      <c r="R1170" s="26"/>
      <c r="S1170" s="47"/>
      <c r="T1170" s="4" t="e">
        <f>VLOOKUP(#REF!,#REF!,2,0)</f>
        <v>#REF!</v>
      </c>
      <c r="U1170" s="20" t="e">
        <f t="shared" si="47"/>
        <v>#REF!</v>
      </c>
      <c r="V1170" s="47"/>
      <c r="W1170" s="43"/>
      <c r="X1170" s="66" t="e">
        <f>VLOOKUP(D1170,#REF!,2,0)</f>
        <v>#REF!</v>
      </c>
      <c r="Y1170" s="67" t="e">
        <f t="shared" si="48"/>
        <v>#N/A</v>
      </c>
    </row>
    <row r="1171" spans="1:27" ht="13.65" customHeight="1">
      <c r="A1171" s="92"/>
      <c r="B1171" s="27"/>
      <c r="C1171" s="28" t="e">
        <f>VLOOKUP(D1171,'lista 1'!$A$2:$F$1802,4,0)</f>
        <v>#N/A</v>
      </c>
      <c r="D1171" s="74"/>
      <c r="E1171" s="27" t="e">
        <f>VLOOKUP(D1171,'lista 1'!$A$2:$F$1802,5,0)</f>
        <v>#N/A</v>
      </c>
      <c r="F1171" s="59" t="e">
        <f>VLOOKUP(G1171,'lista 3'!$A$1:$C$467,3,0)</f>
        <v>#N/A</v>
      </c>
      <c r="G1171" s="76"/>
      <c r="H1171" s="85"/>
      <c r="I1171" s="59" t="e">
        <f>VLOOKUP(J1171,'lista 3'!$A$1:$C$467,3,0)</f>
        <v>#N/A</v>
      </c>
      <c r="J1171" s="78"/>
      <c r="K1171" s="87"/>
      <c r="L1171" s="82"/>
      <c r="M1171" s="22"/>
      <c r="N1171" s="22"/>
      <c r="O1171" s="22"/>
      <c r="P1171" s="26"/>
      <c r="Q1171" s="26"/>
      <c r="R1171" s="26"/>
      <c r="S1171" s="47"/>
      <c r="T1171" s="4" t="e">
        <f>VLOOKUP(#REF!,#REF!,2,0)</f>
        <v>#REF!</v>
      </c>
      <c r="U1171" s="20" t="e">
        <f t="shared" si="47"/>
        <v>#REF!</v>
      </c>
      <c r="V1171" s="47"/>
      <c r="W1171" s="43"/>
      <c r="X1171" s="66" t="e">
        <f>VLOOKUP(D1171,#REF!,2,0)</f>
        <v>#REF!</v>
      </c>
      <c r="Y1171" s="67" t="e">
        <f t="shared" si="48"/>
        <v>#N/A</v>
      </c>
    </row>
    <row r="1172" spans="1:27" ht="13.65" customHeight="1">
      <c r="A1172" s="92"/>
      <c r="B1172" s="27"/>
      <c r="C1172" s="28" t="e">
        <f>VLOOKUP(D1172,'lista 1'!$A$2:$F$1802,4,0)</f>
        <v>#N/A</v>
      </c>
      <c r="D1172" s="74"/>
      <c r="E1172" s="27" t="e">
        <f>VLOOKUP(D1172,'lista 1'!$A$2:$F$1802,5,0)</f>
        <v>#N/A</v>
      </c>
      <c r="F1172" s="59" t="e">
        <f>VLOOKUP(G1172,'lista 3'!$A$1:$C$467,3,0)</f>
        <v>#N/A</v>
      </c>
      <c r="G1172" s="76"/>
      <c r="H1172" s="85"/>
      <c r="I1172" s="59" t="e">
        <f>VLOOKUP(J1172,'lista 3'!$A$1:$C$467,3,0)</f>
        <v>#N/A</v>
      </c>
      <c r="J1172" s="78"/>
      <c r="K1172" s="87"/>
      <c r="L1172" s="82"/>
      <c r="M1172" s="22"/>
      <c r="N1172" s="22"/>
      <c r="O1172" s="22"/>
      <c r="P1172" s="26"/>
      <c r="Q1172" s="26"/>
      <c r="R1172" s="26"/>
      <c r="S1172" s="47"/>
      <c r="T1172" s="4" t="e">
        <f>VLOOKUP(#REF!,#REF!,2,0)</f>
        <v>#REF!</v>
      </c>
      <c r="U1172" s="20" t="e">
        <f t="shared" si="47"/>
        <v>#REF!</v>
      </c>
      <c r="V1172" s="47"/>
      <c r="W1172" s="43"/>
      <c r="X1172" s="66" t="e">
        <f>VLOOKUP(D1172,#REF!,2,0)</f>
        <v>#REF!</v>
      </c>
      <c r="Y1172" s="67" t="e">
        <f t="shared" si="48"/>
        <v>#N/A</v>
      </c>
    </row>
    <row r="1173" spans="1:27" ht="13.65" customHeight="1">
      <c r="A1173" s="92"/>
      <c r="B1173" s="27"/>
      <c r="C1173" s="28" t="e">
        <f>VLOOKUP(D1173,'lista 1'!$A$2:$F$1802,4,0)</f>
        <v>#N/A</v>
      </c>
      <c r="D1173" s="74"/>
      <c r="E1173" s="27" t="e">
        <f>VLOOKUP(D1173,'lista 1'!$A$2:$F$1802,5,0)</f>
        <v>#N/A</v>
      </c>
      <c r="F1173" s="59" t="e">
        <f>VLOOKUP(G1173,'lista 3'!$A$1:$C$467,3,0)</f>
        <v>#N/A</v>
      </c>
      <c r="G1173" s="76"/>
      <c r="H1173" s="85"/>
      <c r="I1173" s="59" t="e">
        <f>VLOOKUP(J1173,'lista 3'!$A$1:$C$467,3,0)</f>
        <v>#N/A</v>
      </c>
      <c r="J1173" s="78"/>
      <c r="K1173" s="87"/>
      <c r="L1173" s="82"/>
      <c r="M1173" s="22"/>
      <c r="N1173" s="22"/>
      <c r="O1173" s="22"/>
      <c r="P1173" s="26"/>
      <c r="Q1173" s="26"/>
      <c r="R1173" s="26"/>
      <c r="S1173" s="47"/>
      <c r="T1173" s="4" t="e">
        <f>VLOOKUP(#REF!,#REF!,2,0)</f>
        <v>#REF!</v>
      </c>
      <c r="U1173" s="20" t="e">
        <f t="shared" si="47"/>
        <v>#REF!</v>
      </c>
      <c r="V1173" s="47"/>
      <c r="W1173" s="43"/>
      <c r="X1173" s="66" t="e">
        <f>VLOOKUP(D1173,#REF!,2,0)</f>
        <v>#REF!</v>
      </c>
      <c r="Y1173" s="67" t="e">
        <f t="shared" si="48"/>
        <v>#N/A</v>
      </c>
    </row>
    <row r="1174" spans="1:27">
      <c r="A1174" s="92"/>
      <c r="B1174" s="27"/>
      <c r="C1174" s="28" t="e">
        <f>VLOOKUP(D1174,'lista 1'!$A$2:$F$1802,4,0)</f>
        <v>#N/A</v>
      </c>
      <c r="D1174" s="74"/>
      <c r="E1174" s="27" t="e">
        <f>VLOOKUP(D1174,'lista 1'!$A$2:$F$1802,5,0)</f>
        <v>#N/A</v>
      </c>
      <c r="F1174" s="59" t="e">
        <f>VLOOKUP(G1174,'lista 3'!$A$1:$C$467,3,0)</f>
        <v>#N/A</v>
      </c>
      <c r="G1174" s="76"/>
      <c r="H1174" s="85"/>
      <c r="I1174" s="59" t="e">
        <f>VLOOKUP(J1174,'lista 3'!$A$1:$C$467,3,0)</f>
        <v>#N/A</v>
      </c>
      <c r="J1174" s="78"/>
      <c r="K1174" s="87"/>
      <c r="L1174" s="82"/>
      <c r="M1174" s="22"/>
      <c r="N1174" s="22"/>
      <c r="O1174" s="22"/>
      <c r="P1174" s="26"/>
      <c r="Q1174" s="26"/>
      <c r="R1174" s="26"/>
      <c r="S1174" s="47"/>
      <c r="T1174" s="62" t="e">
        <f>VLOOKUP(#REF!,#REF!,2,0)</f>
        <v>#REF!</v>
      </c>
      <c r="U1174" s="20" t="e">
        <f t="shared" si="47"/>
        <v>#REF!</v>
      </c>
      <c r="V1174" s="47"/>
      <c r="W1174" s="43"/>
      <c r="X1174" s="66" t="e">
        <f>VLOOKUP(D1174,#REF!,2,0)</f>
        <v>#REF!</v>
      </c>
      <c r="Y1174" s="67" t="e">
        <f t="shared" si="48"/>
        <v>#N/A</v>
      </c>
    </row>
    <row r="1175" spans="1:27">
      <c r="A1175" s="92"/>
      <c r="B1175" s="27"/>
      <c r="C1175" s="28" t="e">
        <f>VLOOKUP(D1175,'lista 1'!$A$2:$F$1802,4,0)</f>
        <v>#N/A</v>
      </c>
      <c r="D1175" s="74"/>
      <c r="E1175" s="27" t="e">
        <f>VLOOKUP(D1175,'lista 1'!$A$2:$F$1802,5,0)</f>
        <v>#N/A</v>
      </c>
      <c r="F1175" s="59" t="e">
        <f>VLOOKUP(G1175,'lista 3'!$A$1:$C$467,3,0)</f>
        <v>#N/A</v>
      </c>
      <c r="G1175" s="76"/>
      <c r="H1175" s="85"/>
      <c r="I1175" s="59" t="e">
        <f>VLOOKUP(J1175,'lista 3'!$A$1:$C$467,3,0)</f>
        <v>#N/A</v>
      </c>
      <c r="J1175" s="78"/>
      <c r="K1175" s="87"/>
      <c r="L1175" s="82"/>
      <c r="M1175" s="22"/>
      <c r="N1175" s="22"/>
      <c r="O1175" s="22"/>
      <c r="P1175" s="26"/>
      <c r="Q1175" s="26"/>
      <c r="R1175" s="26"/>
      <c r="S1175" s="47"/>
      <c r="T1175" s="62" t="e">
        <f>VLOOKUP(#REF!,#REF!,2,0)</f>
        <v>#REF!</v>
      </c>
      <c r="U1175" s="20" t="e">
        <f t="shared" si="47"/>
        <v>#REF!</v>
      </c>
      <c r="V1175" s="47"/>
      <c r="W1175" s="43"/>
      <c r="X1175" s="66" t="e">
        <f>VLOOKUP(D1175,#REF!,2,0)</f>
        <v>#REF!</v>
      </c>
      <c r="Y1175" s="67" t="e">
        <f t="shared" si="48"/>
        <v>#N/A</v>
      </c>
    </row>
    <row r="1176" spans="1:27">
      <c r="A1176" s="92"/>
      <c r="B1176" s="27"/>
      <c r="C1176" s="28" t="e">
        <f>VLOOKUP(D1176,'lista 1'!$A$2:$F$1802,4,0)</f>
        <v>#N/A</v>
      </c>
      <c r="D1176" s="74"/>
      <c r="E1176" s="27" t="e">
        <f>VLOOKUP(D1176,'lista 1'!$A$2:$F$1802,5,0)</f>
        <v>#N/A</v>
      </c>
      <c r="F1176" s="59" t="e">
        <f>VLOOKUP(G1176,'lista 3'!$A$1:$C$467,3,0)</f>
        <v>#N/A</v>
      </c>
      <c r="G1176" s="76"/>
      <c r="H1176" s="85"/>
      <c r="I1176" s="59" t="e">
        <f>VLOOKUP(J1176,'lista 3'!$A$1:$C$467,3,0)</f>
        <v>#N/A</v>
      </c>
      <c r="J1176" s="78"/>
      <c r="K1176" s="87"/>
      <c r="L1176" s="82"/>
      <c r="M1176" s="22"/>
      <c r="N1176" s="22"/>
      <c r="O1176" s="22"/>
      <c r="P1176" s="26"/>
      <c r="Q1176" s="26"/>
      <c r="R1176" s="26"/>
      <c r="S1176" s="47"/>
      <c r="T1176" s="62" t="e">
        <f>VLOOKUP(#REF!,#REF!,2,0)</f>
        <v>#REF!</v>
      </c>
      <c r="U1176" s="20" t="e">
        <f t="shared" si="47"/>
        <v>#REF!</v>
      </c>
      <c r="V1176" s="47"/>
      <c r="W1176" s="43"/>
      <c r="X1176" s="66" t="e">
        <f>VLOOKUP(D1176,#REF!,2,0)</f>
        <v>#REF!</v>
      </c>
      <c r="Y1176" s="67" t="e">
        <f t="shared" si="48"/>
        <v>#N/A</v>
      </c>
      <c r="AA1176" s="3"/>
    </row>
    <row r="1177" spans="1:27">
      <c r="A1177" s="92"/>
      <c r="B1177" s="27"/>
      <c r="C1177" s="28" t="e">
        <f>VLOOKUP(D1177,'lista 1'!$A$2:$F$1802,4,0)</f>
        <v>#N/A</v>
      </c>
      <c r="D1177" s="74"/>
      <c r="E1177" s="27" t="e">
        <f>VLOOKUP(D1177,'lista 1'!$A$2:$F$1802,5,0)</f>
        <v>#N/A</v>
      </c>
      <c r="F1177" s="59" t="e">
        <f>VLOOKUP(G1177,'lista 3'!$A$1:$C$467,3,0)</f>
        <v>#N/A</v>
      </c>
      <c r="G1177" s="76"/>
      <c r="H1177" s="85"/>
      <c r="I1177" s="59" t="e">
        <f>VLOOKUP(J1177,'lista 3'!$A$1:$C$467,3,0)</f>
        <v>#N/A</v>
      </c>
      <c r="J1177" s="78"/>
      <c r="K1177" s="87"/>
      <c r="L1177" s="82"/>
      <c r="M1177" s="22"/>
      <c r="N1177" s="22"/>
      <c r="O1177" s="22"/>
      <c r="P1177" s="26"/>
      <c r="Q1177" s="26"/>
      <c r="R1177" s="26"/>
      <c r="S1177" s="47"/>
      <c r="T1177" s="62" t="e">
        <f>VLOOKUP(#REF!,#REF!,2,0)</f>
        <v>#REF!</v>
      </c>
      <c r="U1177" s="20" t="e">
        <f t="shared" si="47"/>
        <v>#REF!</v>
      </c>
      <c r="V1177" s="47"/>
      <c r="W1177" s="43"/>
      <c r="X1177" s="66" t="e">
        <f>VLOOKUP(D1177,#REF!,2,0)</f>
        <v>#REF!</v>
      </c>
      <c r="Y1177" s="67" t="e">
        <f t="shared" si="48"/>
        <v>#N/A</v>
      </c>
      <c r="AA1177" s="3"/>
    </row>
    <row r="1178" spans="1:27">
      <c r="A1178" s="92"/>
      <c r="B1178" s="27"/>
      <c r="C1178" s="28" t="e">
        <f>VLOOKUP(D1178,'lista 1'!$A$2:$F$1802,4,0)</f>
        <v>#N/A</v>
      </c>
      <c r="D1178" s="74"/>
      <c r="E1178" s="27" t="e">
        <f>VLOOKUP(D1178,'lista 1'!$A$2:$F$1802,5,0)</f>
        <v>#N/A</v>
      </c>
      <c r="F1178" s="59" t="e">
        <f>VLOOKUP(G1178,'lista 3'!$A$1:$C$467,3,0)</f>
        <v>#N/A</v>
      </c>
      <c r="G1178" s="76"/>
      <c r="H1178" s="85"/>
      <c r="I1178" s="59" t="e">
        <f>VLOOKUP(J1178,'lista 3'!$A$1:$C$467,3,0)</f>
        <v>#N/A</v>
      </c>
      <c r="J1178" s="78"/>
      <c r="K1178" s="87"/>
      <c r="L1178" s="82"/>
      <c r="M1178" s="22"/>
      <c r="N1178" s="22"/>
      <c r="O1178" s="22"/>
      <c r="P1178" s="26"/>
      <c r="Q1178" s="26"/>
      <c r="R1178" s="26"/>
      <c r="S1178" s="47"/>
      <c r="T1178" s="62" t="e">
        <f>VLOOKUP(#REF!,#REF!,2,0)</f>
        <v>#REF!</v>
      </c>
      <c r="U1178" s="20" t="e">
        <f t="shared" si="47"/>
        <v>#REF!</v>
      </c>
      <c r="V1178" s="47"/>
      <c r="W1178" s="43"/>
      <c r="X1178" s="66" t="e">
        <f>VLOOKUP(D1178,#REF!,2,0)</f>
        <v>#REF!</v>
      </c>
      <c r="Y1178" s="67" t="e">
        <f t="shared" si="48"/>
        <v>#N/A</v>
      </c>
      <c r="AA1178" s="3"/>
    </row>
    <row r="1179" spans="1:27">
      <c r="A1179" s="92"/>
      <c r="B1179" s="27"/>
      <c r="C1179" s="28" t="e">
        <f>VLOOKUP(D1179,'lista 1'!$A$2:$F$1802,4,0)</f>
        <v>#N/A</v>
      </c>
      <c r="D1179" s="74"/>
      <c r="E1179" s="27" t="e">
        <f>VLOOKUP(D1179,'lista 1'!$A$2:$F$1802,5,0)</f>
        <v>#N/A</v>
      </c>
      <c r="F1179" s="59" t="e">
        <f>VLOOKUP(G1179,'lista 3'!$A$1:$C$467,3,0)</f>
        <v>#N/A</v>
      </c>
      <c r="G1179" s="76"/>
      <c r="H1179" s="85"/>
      <c r="I1179" s="59" t="e">
        <f>VLOOKUP(J1179,'lista 3'!$A$1:$C$467,3,0)</f>
        <v>#N/A</v>
      </c>
      <c r="J1179" s="78"/>
      <c r="K1179" s="87"/>
      <c r="L1179" s="82"/>
      <c r="M1179" s="22"/>
      <c r="N1179" s="22"/>
      <c r="O1179" s="22"/>
      <c r="P1179" s="26"/>
      <c r="Q1179" s="26"/>
      <c r="R1179" s="26"/>
      <c r="S1179" s="47"/>
      <c r="T1179" s="62" t="e">
        <f>VLOOKUP(#REF!,#REF!,2,0)</f>
        <v>#REF!</v>
      </c>
      <c r="U1179" s="20" t="e">
        <f t="shared" si="47"/>
        <v>#REF!</v>
      </c>
      <c r="V1179" s="47"/>
      <c r="W1179" s="43"/>
      <c r="X1179" s="66" t="e">
        <f>VLOOKUP(D1179,#REF!,2,0)</f>
        <v>#REF!</v>
      </c>
      <c r="Y1179" s="67" t="e">
        <f t="shared" si="48"/>
        <v>#N/A</v>
      </c>
      <c r="AA1179" s="3"/>
    </row>
    <row r="1180" spans="1:27">
      <c r="A1180" s="92"/>
      <c r="B1180" s="27"/>
      <c r="C1180" s="28" t="e">
        <f>VLOOKUP(D1180,'lista 1'!$A$2:$F$1802,4,0)</f>
        <v>#N/A</v>
      </c>
      <c r="D1180" s="74"/>
      <c r="E1180" s="27" t="e">
        <f>VLOOKUP(D1180,'lista 1'!$A$2:$F$1802,5,0)</f>
        <v>#N/A</v>
      </c>
      <c r="F1180" s="59" t="e">
        <f>VLOOKUP(G1180,'lista 3'!$A$1:$C$467,3,0)</f>
        <v>#N/A</v>
      </c>
      <c r="G1180" s="76"/>
      <c r="H1180" s="85"/>
      <c r="I1180" s="59" t="e">
        <f>VLOOKUP(J1180,'lista 3'!$A$1:$C$467,3,0)</f>
        <v>#N/A</v>
      </c>
      <c r="J1180" s="78"/>
      <c r="K1180" s="87"/>
      <c r="L1180" s="82"/>
      <c r="M1180" s="22"/>
      <c r="N1180" s="22"/>
      <c r="O1180" s="22"/>
      <c r="P1180" s="26"/>
      <c r="Q1180" s="26"/>
      <c r="R1180" s="26"/>
      <c r="S1180" s="47"/>
      <c r="T1180" s="62" t="e">
        <f>VLOOKUP(#REF!,#REF!,2,0)</f>
        <v>#REF!</v>
      </c>
      <c r="U1180" s="20" t="e">
        <f t="shared" ref="U1180:U1216" si="49">L1180-T1180</f>
        <v>#REF!</v>
      </c>
      <c r="V1180" s="47"/>
      <c r="W1180" s="43"/>
      <c r="X1180" s="66" t="e">
        <f>VLOOKUP(D1180,#REF!,2,0)</f>
        <v>#REF!</v>
      </c>
      <c r="Y1180" s="67" t="e">
        <f t="shared" si="48"/>
        <v>#N/A</v>
      </c>
      <c r="AA1180" s="3"/>
    </row>
    <row r="1181" spans="1:27">
      <c r="A1181" s="92"/>
      <c r="B1181" s="27"/>
      <c r="C1181" s="28" t="e">
        <f>VLOOKUP(D1181,'lista 1'!$A$2:$F$1802,4,0)</f>
        <v>#N/A</v>
      </c>
      <c r="D1181" s="74"/>
      <c r="E1181" s="27" t="e">
        <f>VLOOKUP(D1181,'lista 1'!$A$2:$F$1802,5,0)</f>
        <v>#N/A</v>
      </c>
      <c r="F1181" s="59" t="e">
        <f>VLOOKUP(G1181,'lista 3'!$A$1:$C$467,3,0)</f>
        <v>#N/A</v>
      </c>
      <c r="G1181" s="76"/>
      <c r="H1181" s="85"/>
      <c r="I1181" s="59" t="e">
        <f>VLOOKUP(J1181,'lista 3'!$A$1:$C$467,3,0)</f>
        <v>#N/A</v>
      </c>
      <c r="J1181" s="78"/>
      <c r="K1181" s="87"/>
      <c r="L1181" s="82"/>
      <c r="M1181" s="22"/>
      <c r="N1181" s="22"/>
      <c r="O1181" s="22"/>
      <c r="P1181" s="26"/>
      <c r="Q1181" s="26"/>
      <c r="R1181" s="26"/>
      <c r="S1181" s="47"/>
      <c r="T1181" s="62" t="e">
        <f>VLOOKUP(#REF!,#REF!,2,0)</f>
        <v>#REF!</v>
      </c>
      <c r="U1181" s="20" t="e">
        <f t="shared" si="49"/>
        <v>#REF!</v>
      </c>
      <c r="V1181" s="47"/>
      <c r="W1181" s="43"/>
      <c r="X1181" s="66" t="e">
        <f>VLOOKUP(D1181,#REF!,2,0)</f>
        <v>#REF!</v>
      </c>
      <c r="Y1181" s="67" t="e">
        <f t="shared" si="48"/>
        <v>#N/A</v>
      </c>
      <c r="AA1181" s="3"/>
    </row>
    <row r="1182" spans="1:27">
      <c r="A1182" s="92"/>
      <c r="B1182" s="27"/>
      <c r="C1182" s="28" t="e">
        <f>VLOOKUP(D1182,'lista 1'!$A$2:$F$1802,4,0)</f>
        <v>#N/A</v>
      </c>
      <c r="D1182" s="74"/>
      <c r="E1182" s="27" t="e">
        <f>VLOOKUP(D1182,'lista 1'!$A$2:$F$1802,5,0)</f>
        <v>#N/A</v>
      </c>
      <c r="F1182" s="59" t="e">
        <f>VLOOKUP(G1182,'lista 3'!$A$1:$C$467,3,0)</f>
        <v>#N/A</v>
      </c>
      <c r="G1182" s="76"/>
      <c r="H1182" s="85"/>
      <c r="I1182" s="59" t="e">
        <f>VLOOKUP(J1182,'lista 3'!$A$1:$C$467,3,0)</f>
        <v>#N/A</v>
      </c>
      <c r="J1182" s="78"/>
      <c r="K1182" s="87"/>
      <c r="L1182" s="82"/>
      <c r="M1182" s="22"/>
      <c r="N1182" s="22"/>
      <c r="O1182" s="22"/>
      <c r="P1182" s="26"/>
      <c r="Q1182" s="26"/>
      <c r="R1182" s="26"/>
      <c r="S1182" s="47"/>
      <c r="T1182" s="62" t="e">
        <f>VLOOKUP(#REF!,#REF!,2,0)</f>
        <v>#REF!</v>
      </c>
      <c r="U1182" s="20" t="e">
        <f t="shared" si="49"/>
        <v>#REF!</v>
      </c>
      <c r="V1182" s="47"/>
      <c r="W1182" s="43"/>
      <c r="X1182" s="66" t="e">
        <f>VLOOKUP(D1182,#REF!,2,0)</f>
        <v>#REF!</v>
      </c>
      <c r="Y1182" s="67" t="e">
        <f t="shared" ref="Y1182:Y1216" si="50">F1182=I1182</f>
        <v>#N/A</v>
      </c>
      <c r="AA1182" s="3"/>
    </row>
    <row r="1183" spans="1:27">
      <c r="A1183" s="92"/>
      <c r="B1183" s="27"/>
      <c r="C1183" s="28" t="e">
        <f>VLOOKUP(D1183,'lista 1'!$A$2:$F$1802,4,0)</f>
        <v>#N/A</v>
      </c>
      <c r="D1183" s="74"/>
      <c r="E1183" s="27" t="e">
        <f>VLOOKUP(D1183,'lista 1'!$A$2:$F$1802,5,0)</f>
        <v>#N/A</v>
      </c>
      <c r="F1183" s="59" t="e">
        <f>VLOOKUP(G1183,'lista 3'!$A$1:$C$467,3,0)</f>
        <v>#N/A</v>
      </c>
      <c r="G1183" s="76"/>
      <c r="H1183" s="85"/>
      <c r="I1183" s="59" t="e">
        <f>VLOOKUP(J1183,'lista 3'!$A$1:$C$467,3,0)</f>
        <v>#N/A</v>
      </c>
      <c r="J1183" s="78"/>
      <c r="K1183" s="87"/>
      <c r="L1183" s="82"/>
      <c r="M1183" s="22"/>
      <c r="N1183" s="22"/>
      <c r="O1183" s="22"/>
      <c r="P1183" s="26"/>
      <c r="Q1183" s="26"/>
      <c r="R1183" s="26"/>
      <c r="S1183" s="47"/>
      <c r="T1183" s="62" t="e">
        <f>VLOOKUP(#REF!,#REF!,2,0)</f>
        <v>#REF!</v>
      </c>
      <c r="U1183" s="20" t="e">
        <f t="shared" si="49"/>
        <v>#REF!</v>
      </c>
      <c r="V1183" s="47"/>
      <c r="W1183" s="43"/>
      <c r="X1183" s="66" t="e">
        <f>VLOOKUP(D1183,#REF!,2,0)</f>
        <v>#REF!</v>
      </c>
      <c r="Y1183" s="67" t="e">
        <f t="shared" si="50"/>
        <v>#N/A</v>
      </c>
      <c r="AA1183" s="3"/>
    </row>
    <row r="1184" spans="1:27">
      <c r="A1184" s="92"/>
      <c r="B1184" s="27"/>
      <c r="C1184" s="28" t="e">
        <f>VLOOKUP(D1184,'lista 1'!$A$2:$F$1802,4,0)</f>
        <v>#N/A</v>
      </c>
      <c r="D1184" s="74"/>
      <c r="E1184" s="27" t="e">
        <f>VLOOKUP(D1184,'lista 1'!$A$2:$F$1802,5,0)</f>
        <v>#N/A</v>
      </c>
      <c r="F1184" s="59" t="e">
        <f>VLOOKUP(G1184,'lista 3'!$A$1:$C$467,3,0)</f>
        <v>#N/A</v>
      </c>
      <c r="G1184" s="76"/>
      <c r="H1184" s="85"/>
      <c r="I1184" s="59" t="e">
        <f>VLOOKUP(J1184,'lista 3'!$A$1:$C$467,3,0)</f>
        <v>#N/A</v>
      </c>
      <c r="J1184" s="78"/>
      <c r="K1184" s="87"/>
      <c r="L1184" s="82"/>
      <c r="M1184" s="22"/>
      <c r="N1184" s="22"/>
      <c r="O1184" s="22"/>
      <c r="P1184" s="26"/>
      <c r="Q1184" s="26"/>
      <c r="R1184" s="26"/>
      <c r="S1184" s="47"/>
      <c r="T1184" s="62" t="e">
        <f>VLOOKUP(#REF!,#REF!,2,0)</f>
        <v>#REF!</v>
      </c>
      <c r="U1184" s="20" t="e">
        <f t="shared" si="49"/>
        <v>#REF!</v>
      </c>
      <c r="V1184" s="47"/>
      <c r="W1184" s="43"/>
      <c r="X1184" s="66" t="e">
        <f>VLOOKUP(D1184,#REF!,2,0)</f>
        <v>#REF!</v>
      </c>
      <c r="Y1184" s="67" t="e">
        <f t="shared" si="50"/>
        <v>#N/A</v>
      </c>
      <c r="AA1184" s="3"/>
    </row>
    <row r="1185" spans="1:27">
      <c r="A1185" s="92"/>
      <c r="B1185" s="27"/>
      <c r="C1185" s="28" t="e">
        <f>VLOOKUP(D1185,'lista 1'!$A$2:$F$1802,4,0)</f>
        <v>#N/A</v>
      </c>
      <c r="D1185" s="74"/>
      <c r="E1185" s="27" t="e">
        <f>VLOOKUP(D1185,'lista 1'!$A$2:$F$1802,5,0)</f>
        <v>#N/A</v>
      </c>
      <c r="F1185" s="59" t="e">
        <f>VLOOKUP(G1185,'lista 3'!$A$1:$C$467,3,0)</f>
        <v>#N/A</v>
      </c>
      <c r="G1185" s="76"/>
      <c r="H1185" s="85"/>
      <c r="I1185" s="59" t="e">
        <f>VLOOKUP(J1185,'lista 3'!$A$1:$C$467,3,0)</f>
        <v>#N/A</v>
      </c>
      <c r="J1185" s="78"/>
      <c r="K1185" s="87"/>
      <c r="L1185" s="82"/>
      <c r="M1185" s="22"/>
      <c r="N1185" s="22"/>
      <c r="O1185" s="22"/>
      <c r="P1185" s="26"/>
      <c r="Q1185" s="26"/>
      <c r="R1185" s="26"/>
      <c r="S1185" s="47"/>
      <c r="T1185" s="62" t="e">
        <f>VLOOKUP(#REF!,#REF!,2,0)</f>
        <v>#REF!</v>
      </c>
      <c r="U1185" s="20" t="e">
        <f t="shared" si="49"/>
        <v>#REF!</v>
      </c>
      <c r="V1185" s="47"/>
      <c r="W1185" s="43"/>
      <c r="X1185" s="66" t="e">
        <f>VLOOKUP(D1185,#REF!,2,0)</f>
        <v>#REF!</v>
      </c>
      <c r="Y1185" s="67" t="e">
        <f t="shared" si="50"/>
        <v>#N/A</v>
      </c>
      <c r="AA1185" s="3"/>
    </row>
    <row r="1186" spans="1:27">
      <c r="A1186" s="92"/>
      <c r="B1186" s="27"/>
      <c r="C1186" s="28" t="e">
        <f>VLOOKUP(D1186,'lista 1'!$A$2:$F$1802,4,0)</f>
        <v>#N/A</v>
      </c>
      <c r="D1186" s="74"/>
      <c r="E1186" s="27" t="e">
        <f>VLOOKUP(D1186,'lista 1'!$A$2:$F$1802,5,0)</f>
        <v>#N/A</v>
      </c>
      <c r="F1186" s="59" t="e">
        <f>VLOOKUP(G1186,'lista 3'!$A$1:$C$467,3,0)</f>
        <v>#N/A</v>
      </c>
      <c r="G1186" s="76"/>
      <c r="H1186" s="85"/>
      <c r="I1186" s="59" t="e">
        <f>VLOOKUP(J1186,'lista 3'!$A$1:$C$467,3,0)</f>
        <v>#N/A</v>
      </c>
      <c r="J1186" s="78"/>
      <c r="K1186" s="87"/>
      <c r="L1186" s="82"/>
      <c r="M1186" s="22"/>
      <c r="N1186" s="22"/>
      <c r="O1186" s="22"/>
      <c r="P1186" s="26"/>
      <c r="Q1186" s="26"/>
      <c r="R1186" s="26"/>
      <c r="S1186" s="47"/>
      <c r="T1186" s="62" t="e">
        <f>VLOOKUP(#REF!,#REF!,2,0)</f>
        <v>#REF!</v>
      </c>
      <c r="U1186" s="20" t="e">
        <f t="shared" si="49"/>
        <v>#REF!</v>
      </c>
      <c r="V1186" s="47"/>
      <c r="W1186" s="43"/>
      <c r="X1186" s="66" t="e">
        <f>VLOOKUP(D1186,#REF!,2,0)</f>
        <v>#REF!</v>
      </c>
      <c r="Y1186" s="67" t="e">
        <f t="shared" si="50"/>
        <v>#N/A</v>
      </c>
      <c r="AA1186" s="3"/>
    </row>
    <row r="1187" spans="1:27">
      <c r="A1187" s="92"/>
      <c r="B1187" s="27"/>
      <c r="C1187" s="28" t="e">
        <f>VLOOKUP(D1187,'lista 1'!$A$2:$F$1802,4,0)</f>
        <v>#N/A</v>
      </c>
      <c r="D1187" s="74"/>
      <c r="E1187" s="27" t="e">
        <f>VLOOKUP(D1187,'lista 1'!$A$2:$F$1802,5,0)</f>
        <v>#N/A</v>
      </c>
      <c r="F1187" s="59" t="e">
        <f>VLOOKUP(G1187,'lista 3'!$A$1:$C$467,3,0)</f>
        <v>#N/A</v>
      </c>
      <c r="G1187" s="76"/>
      <c r="H1187" s="85"/>
      <c r="I1187" s="59" t="e">
        <f>VLOOKUP(J1187,'lista 3'!$A$1:$C$467,3,0)</f>
        <v>#N/A</v>
      </c>
      <c r="J1187" s="78"/>
      <c r="K1187" s="87"/>
      <c r="L1187" s="82"/>
      <c r="M1187" s="22"/>
      <c r="N1187" s="22"/>
      <c r="O1187" s="22"/>
      <c r="P1187" s="26"/>
      <c r="Q1187" s="26"/>
      <c r="R1187" s="26"/>
      <c r="S1187" s="47"/>
      <c r="T1187" s="62" t="e">
        <f>VLOOKUP(#REF!,#REF!,2,0)</f>
        <v>#REF!</v>
      </c>
      <c r="U1187" s="20" t="e">
        <f t="shared" si="49"/>
        <v>#REF!</v>
      </c>
      <c r="V1187" s="47"/>
      <c r="W1187" s="43"/>
      <c r="X1187" s="66" t="e">
        <f>VLOOKUP(D1187,#REF!,2,0)</f>
        <v>#REF!</v>
      </c>
      <c r="Y1187" s="67" t="e">
        <f t="shared" si="50"/>
        <v>#N/A</v>
      </c>
      <c r="AA1187" s="3"/>
    </row>
    <row r="1188" spans="1:27">
      <c r="A1188" s="92"/>
      <c r="B1188" s="27"/>
      <c r="C1188" s="28" t="e">
        <f>VLOOKUP(D1188,'lista 1'!$A$2:$F$1802,4,0)</f>
        <v>#N/A</v>
      </c>
      <c r="D1188" s="74"/>
      <c r="E1188" s="27" t="e">
        <f>VLOOKUP(D1188,'lista 1'!$A$2:$F$1802,5,0)</f>
        <v>#N/A</v>
      </c>
      <c r="F1188" s="59" t="e">
        <f>VLOOKUP(G1188,'lista 3'!$A$1:$C$467,3,0)</f>
        <v>#N/A</v>
      </c>
      <c r="G1188" s="76"/>
      <c r="H1188" s="85"/>
      <c r="I1188" s="59" t="e">
        <f>VLOOKUP(J1188,'lista 3'!$A$1:$C$467,3,0)</f>
        <v>#N/A</v>
      </c>
      <c r="J1188" s="78"/>
      <c r="K1188" s="87"/>
      <c r="L1188" s="82"/>
      <c r="M1188" s="22"/>
      <c r="N1188" s="22"/>
      <c r="O1188" s="22"/>
      <c r="P1188" s="26"/>
      <c r="Q1188" s="26"/>
      <c r="R1188" s="26"/>
      <c r="S1188" s="47"/>
      <c r="T1188" s="62" t="e">
        <f>VLOOKUP(#REF!,#REF!,2,0)</f>
        <v>#REF!</v>
      </c>
      <c r="U1188" s="20" t="e">
        <f t="shared" si="49"/>
        <v>#REF!</v>
      </c>
      <c r="V1188" s="47"/>
      <c r="W1188" s="43"/>
      <c r="X1188" s="66" t="e">
        <f>VLOOKUP(D1188,#REF!,2,0)</f>
        <v>#REF!</v>
      </c>
      <c r="Y1188" s="67" t="e">
        <f t="shared" si="50"/>
        <v>#N/A</v>
      </c>
      <c r="AA1188" s="3"/>
    </row>
    <row r="1189" spans="1:27">
      <c r="A1189" s="92"/>
      <c r="B1189" s="27"/>
      <c r="C1189" s="28" t="e">
        <f>VLOOKUP(D1189,'lista 1'!$A$2:$F$1802,4,0)</f>
        <v>#N/A</v>
      </c>
      <c r="D1189" s="74"/>
      <c r="E1189" s="27" t="e">
        <f>VLOOKUP(D1189,'lista 1'!$A$2:$F$1802,5,0)</f>
        <v>#N/A</v>
      </c>
      <c r="F1189" s="59" t="e">
        <f>VLOOKUP(G1189,'lista 3'!$A$1:$C$467,3,0)</f>
        <v>#N/A</v>
      </c>
      <c r="G1189" s="76"/>
      <c r="H1189" s="85"/>
      <c r="I1189" s="59" t="e">
        <f>VLOOKUP(J1189,'lista 3'!$A$1:$C$467,3,0)</f>
        <v>#N/A</v>
      </c>
      <c r="J1189" s="78"/>
      <c r="K1189" s="87"/>
      <c r="L1189" s="82"/>
      <c r="M1189" s="22"/>
      <c r="N1189" s="22"/>
      <c r="O1189" s="22"/>
      <c r="P1189" s="26"/>
      <c r="Q1189" s="26"/>
      <c r="R1189" s="26"/>
      <c r="S1189" s="47"/>
      <c r="T1189" s="62" t="e">
        <f>VLOOKUP(#REF!,#REF!,2,0)</f>
        <v>#REF!</v>
      </c>
      <c r="U1189" s="20" t="e">
        <f t="shared" si="49"/>
        <v>#REF!</v>
      </c>
      <c r="V1189" s="47"/>
      <c r="W1189" s="43"/>
      <c r="X1189" s="66" t="e">
        <f>VLOOKUP(D1189,#REF!,2,0)</f>
        <v>#REF!</v>
      </c>
      <c r="Y1189" s="67" t="e">
        <f t="shared" si="50"/>
        <v>#N/A</v>
      </c>
      <c r="AA1189" s="3"/>
    </row>
    <row r="1190" spans="1:27">
      <c r="A1190" s="92"/>
      <c r="B1190" s="27"/>
      <c r="C1190" s="28" t="e">
        <f>VLOOKUP(D1190,'lista 1'!$A$2:$F$1802,4,0)</f>
        <v>#N/A</v>
      </c>
      <c r="D1190" s="74"/>
      <c r="E1190" s="27" t="e">
        <f>VLOOKUP(D1190,'lista 1'!$A$2:$F$1802,5,0)</f>
        <v>#N/A</v>
      </c>
      <c r="F1190" s="59" t="e">
        <f>VLOOKUP(G1190,'lista 3'!$A$1:$C$467,3,0)</f>
        <v>#N/A</v>
      </c>
      <c r="G1190" s="76"/>
      <c r="H1190" s="85"/>
      <c r="I1190" s="59" t="e">
        <f>VLOOKUP(J1190,'lista 3'!$A$1:$C$467,3,0)</f>
        <v>#N/A</v>
      </c>
      <c r="J1190" s="78"/>
      <c r="K1190" s="87"/>
      <c r="L1190" s="82"/>
      <c r="M1190" s="22"/>
      <c r="N1190" s="22"/>
      <c r="O1190" s="22"/>
      <c r="P1190" s="26"/>
      <c r="Q1190" s="26"/>
      <c r="R1190" s="26"/>
      <c r="S1190" s="47"/>
      <c r="T1190" s="62" t="e">
        <f>VLOOKUP(#REF!,#REF!,2,0)</f>
        <v>#REF!</v>
      </c>
      <c r="U1190" s="20" t="e">
        <f t="shared" si="49"/>
        <v>#REF!</v>
      </c>
      <c r="V1190" s="47"/>
      <c r="W1190" s="43"/>
      <c r="X1190" s="66" t="e">
        <f>VLOOKUP(D1190,#REF!,2,0)</f>
        <v>#REF!</v>
      </c>
      <c r="Y1190" s="67" t="e">
        <f t="shared" si="50"/>
        <v>#N/A</v>
      </c>
      <c r="AA1190" s="3"/>
    </row>
    <row r="1191" spans="1:27">
      <c r="A1191" s="92"/>
      <c r="B1191" s="27"/>
      <c r="C1191" s="28" t="e">
        <f>VLOOKUP(D1191,'lista 1'!$A$2:$F$1802,4,0)</f>
        <v>#N/A</v>
      </c>
      <c r="D1191" s="74"/>
      <c r="E1191" s="27" t="e">
        <f>VLOOKUP(D1191,'lista 1'!$A$2:$F$1802,5,0)</f>
        <v>#N/A</v>
      </c>
      <c r="F1191" s="59" t="e">
        <f>VLOOKUP(G1191,'lista 3'!$A$1:$C$467,3,0)</f>
        <v>#N/A</v>
      </c>
      <c r="G1191" s="76"/>
      <c r="H1191" s="85"/>
      <c r="I1191" s="59" t="e">
        <f>VLOOKUP(J1191,'lista 3'!$A$1:$C$467,3,0)</f>
        <v>#N/A</v>
      </c>
      <c r="J1191" s="78"/>
      <c r="K1191" s="87"/>
      <c r="L1191" s="82"/>
      <c r="M1191" s="22"/>
      <c r="N1191" s="22"/>
      <c r="O1191" s="22"/>
      <c r="P1191" s="26"/>
      <c r="Q1191" s="26"/>
      <c r="R1191" s="26"/>
      <c r="S1191" s="47"/>
      <c r="T1191" s="62" t="e">
        <f>VLOOKUP(#REF!,#REF!,2,0)</f>
        <v>#REF!</v>
      </c>
      <c r="U1191" s="20" t="e">
        <f t="shared" si="49"/>
        <v>#REF!</v>
      </c>
      <c r="V1191" s="47"/>
      <c r="W1191" s="43"/>
      <c r="X1191" s="66" t="e">
        <f>VLOOKUP(D1191,#REF!,2,0)</f>
        <v>#REF!</v>
      </c>
      <c r="Y1191" s="67" t="e">
        <f t="shared" si="50"/>
        <v>#N/A</v>
      </c>
      <c r="AA1191" s="3"/>
    </row>
    <row r="1192" spans="1:27">
      <c r="A1192" s="92"/>
      <c r="B1192" s="27"/>
      <c r="C1192" s="28" t="e">
        <f>VLOOKUP(D1192,'lista 1'!$A$2:$F$1802,4,0)</f>
        <v>#N/A</v>
      </c>
      <c r="D1192" s="74"/>
      <c r="E1192" s="27" t="e">
        <f>VLOOKUP(D1192,'lista 1'!$A$2:$F$1802,5,0)</f>
        <v>#N/A</v>
      </c>
      <c r="F1192" s="59" t="e">
        <f>VLOOKUP(G1192,'lista 3'!$A$1:$C$467,3,0)</f>
        <v>#N/A</v>
      </c>
      <c r="G1192" s="76"/>
      <c r="H1192" s="85"/>
      <c r="I1192" s="59" t="e">
        <f>VLOOKUP(J1192,'lista 3'!$A$1:$C$467,3,0)</f>
        <v>#N/A</v>
      </c>
      <c r="J1192" s="78"/>
      <c r="K1192" s="87"/>
      <c r="L1192" s="82"/>
      <c r="M1192" s="22"/>
      <c r="N1192" s="22"/>
      <c r="O1192" s="22"/>
      <c r="P1192" s="26"/>
      <c r="Q1192" s="26"/>
      <c r="R1192" s="26"/>
      <c r="S1192" s="47"/>
      <c r="T1192" s="62" t="e">
        <f>VLOOKUP(#REF!,#REF!,2,0)</f>
        <v>#REF!</v>
      </c>
      <c r="U1192" s="20" t="e">
        <f t="shared" si="49"/>
        <v>#REF!</v>
      </c>
      <c r="V1192" s="47"/>
      <c r="W1192" s="43"/>
      <c r="X1192" s="66" t="e">
        <f>VLOOKUP(D1192,#REF!,2,0)</f>
        <v>#REF!</v>
      </c>
      <c r="Y1192" s="67" t="e">
        <f t="shared" si="50"/>
        <v>#N/A</v>
      </c>
      <c r="AA1192" s="3"/>
    </row>
    <row r="1193" spans="1:27">
      <c r="A1193" s="92"/>
      <c r="B1193" s="27"/>
      <c r="C1193" s="28" t="e">
        <f>VLOOKUP(D1193,'lista 1'!$A$2:$F$1802,4,0)</f>
        <v>#N/A</v>
      </c>
      <c r="D1193" s="74"/>
      <c r="E1193" s="27" t="e">
        <f>VLOOKUP(D1193,'lista 1'!$A$2:$F$1802,5,0)</f>
        <v>#N/A</v>
      </c>
      <c r="F1193" s="59" t="e">
        <f>VLOOKUP(G1193,'lista 3'!$A$1:$C$467,3,0)</f>
        <v>#N/A</v>
      </c>
      <c r="G1193" s="76"/>
      <c r="H1193" s="85"/>
      <c r="I1193" s="59" t="e">
        <f>VLOOKUP(J1193,'lista 3'!$A$1:$C$467,3,0)</f>
        <v>#N/A</v>
      </c>
      <c r="J1193" s="78"/>
      <c r="K1193" s="87"/>
      <c r="L1193" s="82"/>
      <c r="M1193" s="22"/>
      <c r="N1193" s="22"/>
      <c r="O1193" s="22"/>
      <c r="P1193" s="26"/>
      <c r="Q1193" s="26"/>
      <c r="R1193" s="26"/>
      <c r="S1193" s="47"/>
      <c r="T1193" s="62" t="e">
        <f>VLOOKUP(#REF!,#REF!,2,0)</f>
        <v>#REF!</v>
      </c>
      <c r="U1193" s="20" t="e">
        <f t="shared" si="49"/>
        <v>#REF!</v>
      </c>
      <c r="V1193" s="47"/>
      <c r="W1193" s="43"/>
      <c r="X1193" s="66" t="e">
        <f>VLOOKUP(D1193,#REF!,2,0)</f>
        <v>#REF!</v>
      </c>
      <c r="Y1193" s="67" t="e">
        <f t="shared" si="50"/>
        <v>#N/A</v>
      </c>
      <c r="AA1193" s="3"/>
    </row>
    <row r="1194" spans="1:27">
      <c r="A1194" s="92"/>
      <c r="B1194" s="27"/>
      <c r="C1194" s="28" t="e">
        <f>VLOOKUP(D1194,'lista 1'!$A$2:$F$1802,4,0)</f>
        <v>#N/A</v>
      </c>
      <c r="D1194" s="74"/>
      <c r="E1194" s="27" t="e">
        <f>VLOOKUP(D1194,'lista 1'!$A$2:$F$1802,5,0)</f>
        <v>#N/A</v>
      </c>
      <c r="F1194" s="59" t="e">
        <f>VLOOKUP(G1194,'lista 3'!$A$1:$C$467,3,0)</f>
        <v>#N/A</v>
      </c>
      <c r="G1194" s="76"/>
      <c r="H1194" s="85"/>
      <c r="I1194" s="59" t="e">
        <f>VLOOKUP(J1194,'lista 3'!$A$1:$C$467,3,0)</f>
        <v>#N/A</v>
      </c>
      <c r="J1194" s="78"/>
      <c r="K1194" s="87"/>
      <c r="L1194" s="82"/>
      <c r="M1194" s="22"/>
      <c r="N1194" s="22"/>
      <c r="O1194" s="22"/>
      <c r="P1194" s="26"/>
      <c r="Q1194" s="26"/>
      <c r="R1194" s="26"/>
      <c r="S1194" s="47"/>
      <c r="T1194" s="62" t="e">
        <f>VLOOKUP(#REF!,#REF!,2,0)</f>
        <v>#REF!</v>
      </c>
      <c r="U1194" s="20" t="e">
        <f t="shared" si="49"/>
        <v>#REF!</v>
      </c>
      <c r="V1194" s="47"/>
      <c r="W1194" s="43"/>
      <c r="X1194" s="66" t="e">
        <f>VLOOKUP(D1194,#REF!,2,0)</f>
        <v>#REF!</v>
      </c>
      <c r="Y1194" s="67" t="e">
        <f t="shared" si="50"/>
        <v>#N/A</v>
      </c>
    </row>
    <row r="1195" spans="1:27">
      <c r="A1195" s="92"/>
      <c r="B1195" s="27"/>
      <c r="C1195" s="28" t="e">
        <f>VLOOKUP(D1195,'lista 1'!$A$2:$F$1802,4,0)</f>
        <v>#N/A</v>
      </c>
      <c r="D1195" s="74"/>
      <c r="E1195" s="27" t="e">
        <f>VLOOKUP(D1195,'lista 1'!$A$2:$F$1802,5,0)</f>
        <v>#N/A</v>
      </c>
      <c r="F1195" s="59" t="e">
        <f>VLOOKUP(G1195,'lista 3'!$A$1:$C$467,3,0)</f>
        <v>#N/A</v>
      </c>
      <c r="G1195" s="76"/>
      <c r="H1195" s="85"/>
      <c r="I1195" s="59" t="e">
        <f>VLOOKUP(J1195,'lista 3'!$A$1:$C$467,3,0)</f>
        <v>#N/A</v>
      </c>
      <c r="J1195" s="78"/>
      <c r="K1195" s="87"/>
      <c r="L1195" s="82"/>
      <c r="M1195" s="22"/>
      <c r="N1195" s="22"/>
      <c r="O1195" s="22"/>
      <c r="P1195" s="26"/>
      <c r="Q1195" s="26"/>
      <c r="R1195" s="26"/>
      <c r="S1195" s="47"/>
      <c r="T1195" s="62" t="e">
        <f>VLOOKUP(#REF!,#REF!,2,0)</f>
        <v>#REF!</v>
      </c>
      <c r="U1195" s="20" t="e">
        <f t="shared" si="49"/>
        <v>#REF!</v>
      </c>
      <c r="V1195" s="47"/>
      <c r="W1195" s="43"/>
      <c r="X1195" s="66" t="e">
        <f>VLOOKUP(D1195,#REF!,2,0)</f>
        <v>#REF!</v>
      </c>
      <c r="Y1195" s="67" t="e">
        <f t="shared" si="50"/>
        <v>#N/A</v>
      </c>
    </row>
    <row r="1196" spans="1:27">
      <c r="A1196" s="92"/>
      <c r="B1196" s="27"/>
      <c r="C1196" s="28" t="e">
        <f>VLOOKUP(D1196,'lista 1'!$A$2:$F$1802,4,0)</f>
        <v>#N/A</v>
      </c>
      <c r="D1196" s="74"/>
      <c r="E1196" s="27" t="e">
        <f>VLOOKUP(D1196,'lista 1'!$A$2:$F$1802,5,0)</f>
        <v>#N/A</v>
      </c>
      <c r="F1196" s="59" t="e">
        <f>VLOOKUP(G1196,'lista 3'!$A$1:$C$467,3,0)</f>
        <v>#N/A</v>
      </c>
      <c r="G1196" s="76"/>
      <c r="H1196" s="85"/>
      <c r="I1196" s="59" t="e">
        <f>VLOOKUP(J1196,'lista 3'!$A$1:$C$467,3,0)</f>
        <v>#N/A</v>
      </c>
      <c r="J1196" s="78"/>
      <c r="K1196" s="87"/>
      <c r="L1196" s="82"/>
      <c r="M1196" s="22"/>
      <c r="N1196" s="22"/>
      <c r="O1196" s="22"/>
      <c r="P1196" s="26"/>
      <c r="Q1196" s="26"/>
      <c r="R1196" s="26"/>
      <c r="S1196" s="47"/>
      <c r="T1196" s="62" t="e">
        <f>VLOOKUP(#REF!,#REF!,2,0)</f>
        <v>#REF!</v>
      </c>
      <c r="U1196" s="20" t="e">
        <f t="shared" si="49"/>
        <v>#REF!</v>
      </c>
      <c r="V1196" s="47"/>
      <c r="W1196" s="43"/>
      <c r="X1196" s="66" t="e">
        <f>VLOOKUP(D1196,#REF!,2,0)</f>
        <v>#REF!</v>
      </c>
      <c r="Y1196" s="67" t="e">
        <f t="shared" si="50"/>
        <v>#N/A</v>
      </c>
    </row>
    <row r="1197" spans="1:27">
      <c r="A1197" s="92"/>
      <c r="B1197" s="27"/>
      <c r="C1197" s="28" t="e">
        <f>VLOOKUP(D1197,'lista 1'!$A$2:$F$1802,4,0)</f>
        <v>#N/A</v>
      </c>
      <c r="D1197" s="74"/>
      <c r="E1197" s="27" t="e">
        <f>VLOOKUP(D1197,'lista 1'!$A$2:$F$1802,5,0)</f>
        <v>#N/A</v>
      </c>
      <c r="F1197" s="59" t="e">
        <f>VLOOKUP(G1197,'lista 3'!$A$1:$C$467,3,0)</f>
        <v>#N/A</v>
      </c>
      <c r="G1197" s="76"/>
      <c r="H1197" s="85"/>
      <c r="I1197" s="59" t="e">
        <f>VLOOKUP(J1197,'lista 3'!$A$1:$C$467,3,0)</f>
        <v>#N/A</v>
      </c>
      <c r="J1197" s="78"/>
      <c r="K1197" s="87"/>
      <c r="L1197" s="82"/>
      <c r="M1197" s="22"/>
      <c r="N1197" s="22"/>
      <c r="O1197" s="22"/>
      <c r="P1197" s="26"/>
      <c r="Q1197" s="26"/>
      <c r="R1197" s="26"/>
      <c r="S1197" s="47"/>
      <c r="T1197" s="62" t="e">
        <f>VLOOKUP(#REF!,#REF!,2,0)</f>
        <v>#REF!</v>
      </c>
      <c r="U1197" s="63" t="e">
        <f t="shared" si="49"/>
        <v>#REF!</v>
      </c>
      <c r="V1197" s="47"/>
      <c r="W1197" s="43"/>
      <c r="X1197" s="66" t="e">
        <f>VLOOKUP(D1197,#REF!,2,0)</f>
        <v>#REF!</v>
      </c>
      <c r="Y1197" s="67" t="e">
        <f t="shared" si="50"/>
        <v>#N/A</v>
      </c>
    </row>
    <row r="1198" spans="1:27">
      <c r="A1198" s="92"/>
      <c r="B1198" s="27"/>
      <c r="C1198" s="28" t="e">
        <f>VLOOKUP(D1198,'lista 1'!$A$2:$F$1802,4,0)</f>
        <v>#N/A</v>
      </c>
      <c r="D1198" s="74"/>
      <c r="E1198" s="27" t="e">
        <f>VLOOKUP(D1198,'lista 1'!$A$2:$F$1802,5,0)</f>
        <v>#N/A</v>
      </c>
      <c r="F1198" s="59" t="e">
        <f>VLOOKUP(G1198,'lista 3'!$A$1:$C$467,3,0)</f>
        <v>#N/A</v>
      </c>
      <c r="G1198" s="76"/>
      <c r="H1198" s="85"/>
      <c r="I1198" s="59" t="e">
        <f>VLOOKUP(J1198,'lista 3'!$A$1:$C$467,3,0)</f>
        <v>#N/A</v>
      </c>
      <c r="J1198" s="78"/>
      <c r="K1198" s="87"/>
      <c r="L1198" s="82"/>
      <c r="M1198" s="22"/>
      <c r="N1198" s="22"/>
      <c r="O1198" s="22"/>
      <c r="P1198" s="26"/>
      <c r="Q1198" s="26"/>
      <c r="R1198" s="26"/>
      <c r="S1198" s="47"/>
      <c r="T1198" s="62" t="e">
        <f>VLOOKUP(#REF!,#REF!,2,0)</f>
        <v>#REF!</v>
      </c>
      <c r="U1198" s="63" t="e">
        <f t="shared" si="49"/>
        <v>#REF!</v>
      </c>
      <c r="V1198" s="47"/>
      <c r="W1198" s="43"/>
      <c r="X1198" s="66" t="e">
        <f>VLOOKUP(D1198,#REF!,2,0)</f>
        <v>#REF!</v>
      </c>
      <c r="Y1198" s="67" t="e">
        <f t="shared" si="50"/>
        <v>#N/A</v>
      </c>
    </row>
    <row r="1199" spans="1:27">
      <c r="A1199" s="92"/>
      <c r="B1199" s="27"/>
      <c r="C1199" s="28" t="e">
        <f>VLOOKUP(D1199,'lista 1'!$A$2:$F$1802,4,0)</f>
        <v>#N/A</v>
      </c>
      <c r="D1199" s="74"/>
      <c r="E1199" s="27" t="e">
        <f>VLOOKUP(D1199,'lista 1'!$A$2:$F$1802,5,0)</f>
        <v>#N/A</v>
      </c>
      <c r="F1199" s="59" t="e">
        <f>VLOOKUP(G1199,'lista 3'!$A$1:$C$467,3,0)</f>
        <v>#N/A</v>
      </c>
      <c r="G1199" s="76"/>
      <c r="H1199" s="85"/>
      <c r="I1199" s="59" t="e">
        <f>VLOOKUP(J1199,'lista 3'!$A$1:$C$467,3,0)</f>
        <v>#N/A</v>
      </c>
      <c r="J1199" s="78"/>
      <c r="K1199" s="87"/>
      <c r="L1199" s="82"/>
      <c r="M1199" s="22"/>
      <c r="N1199" s="22"/>
      <c r="O1199" s="22"/>
      <c r="P1199" s="26"/>
      <c r="Q1199" s="26"/>
      <c r="R1199" s="26"/>
      <c r="S1199" s="47"/>
      <c r="T1199" s="62" t="e">
        <f>VLOOKUP(#REF!,#REF!,2,0)</f>
        <v>#REF!</v>
      </c>
      <c r="U1199" s="63" t="e">
        <f t="shared" si="49"/>
        <v>#REF!</v>
      </c>
      <c r="V1199" s="47"/>
      <c r="W1199" s="43"/>
      <c r="X1199" s="66" t="e">
        <f>VLOOKUP(D1199,#REF!,2,0)</f>
        <v>#REF!</v>
      </c>
      <c r="Y1199" s="67" t="e">
        <f t="shared" si="50"/>
        <v>#N/A</v>
      </c>
    </row>
    <row r="1200" spans="1:27">
      <c r="A1200" s="92"/>
      <c r="B1200" s="27"/>
      <c r="C1200" s="28" t="e">
        <f>VLOOKUP(D1200,'lista 1'!$A$2:$F$1802,4,0)</f>
        <v>#N/A</v>
      </c>
      <c r="D1200" s="74"/>
      <c r="E1200" s="27" t="e">
        <f>VLOOKUP(D1200,'lista 1'!$A$2:$F$1802,5,0)</f>
        <v>#N/A</v>
      </c>
      <c r="F1200" s="59" t="e">
        <f>VLOOKUP(G1200,'lista 3'!$A$1:$C$467,3,0)</f>
        <v>#N/A</v>
      </c>
      <c r="G1200" s="76"/>
      <c r="H1200" s="85"/>
      <c r="I1200" s="59" t="e">
        <f>VLOOKUP(J1200,'lista 3'!$A$1:$C$467,3,0)</f>
        <v>#N/A</v>
      </c>
      <c r="J1200" s="78"/>
      <c r="K1200" s="87"/>
      <c r="L1200" s="82"/>
      <c r="M1200" s="22"/>
      <c r="N1200" s="22"/>
      <c r="O1200" s="22"/>
      <c r="P1200" s="26"/>
      <c r="Q1200" s="26"/>
      <c r="R1200" s="26"/>
      <c r="S1200" s="47"/>
      <c r="T1200" s="62" t="e">
        <f>VLOOKUP(#REF!,#REF!,2,0)</f>
        <v>#REF!</v>
      </c>
      <c r="U1200" s="63" t="e">
        <f t="shared" si="49"/>
        <v>#REF!</v>
      </c>
      <c r="V1200" s="47"/>
      <c r="W1200" s="43"/>
      <c r="X1200" s="66" t="e">
        <f>VLOOKUP(D1200,#REF!,2,0)</f>
        <v>#REF!</v>
      </c>
      <c r="Y1200" s="67" t="e">
        <f t="shared" si="50"/>
        <v>#N/A</v>
      </c>
    </row>
    <row r="1201" spans="1:25">
      <c r="A1201" s="92"/>
      <c r="B1201" s="27"/>
      <c r="C1201" s="28" t="e">
        <f>VLOOKUP(D1201,'lista 1'!$A$2:$F$1802,4,0)</f>
        <v>#N/A</v>
      </c>
      <c r="D1201" s="74"/>
      <c r="E1201" s="27" t="e">
        <f>VLOOKUP(D1201,'lista 1'!$A$2:$F$1802,5,0)</f>
        <v>#N/A</v>
      </c>
      <c r="F1201" s="59" t="e">
        <f>VLOOKUP(G1201,'lista 3'!$A$1:$C$467,3,0)</f>
        <v>#N/A</v>
      </c>
      <c r="G1201" s="76"/>
      <c r="H1201" s="85"/>
      <c r="I1201" s="59" t="e">
        <f>VLOOKUP(J1201,'lista 3'!$A$1:$C$467,3,0)</f>
        <v>#N/A</v>
      </c>
      <c r="J1201" s="78"/>
      <c r="K1201" s="87"/>
      <c r="L1201" s="82"/>
      <c r="M1201" s="22"/>
      <c r="N1201" s="22"/>
      <c r="O1201" s="22"/>
      <c r="P1201" s="26"/>
      <c r="Q1201" s="26"/>
      <c r="R1201" s="26"/>
      <c r="S1201" s="47"/>
      <c r="T1201" s="62" t="e">
        <f>VLOOKUP(#REF!,#REF!,2,0)</f>
        <v>#REF!</v>
      </c>
      <c r="U1201" s="63" t="e">
        <f t="shared" si="49"/>
        <v>#REF!</v>
      </c>
      <c r="V1201" s="47"/>
      <c r="W1201" s="43"/>
      <c r="X1201" s="66" t="e">
        <f>VLOOKUP(D1201,#REF!,2,0)</f>
        <v>#REF!</v>
      </c>
      <c r="Y1201" s="67" t="e">
        <f t="shared" si="50"/>
        <v>#N/A</v>
      </c>
    </row>
    <row r="1202" spans="1:25">
      <c r="A1202" s="92"/>
      <c r="B1202" s="27"/>
      <c r="C1202" s="28" t="e">
        <f>VLOOKUP(D1202,'lista 1'!$A$2:$F$1802,4,0)</f>
        <v>#N/A</v>
      </c>
      <c r="D1202" s="74"/>
      <c r="E1202" s="27" t="e">
        <f>VLOOKUP(D1202,'lista 1'!$A$2:$F$1802,5,0)</f>
        <v>#N/A</v>
      </c>
      <c r="F1202" s="59" t="e">
        <f>VLOOKUP(G1202,'lista 3'!$A$1:$C$467,3,0)</f>
        <v>#N/A</v>
      </c>
      <c r="G1202" s="76"/>
      <c r="H1202" s="85"/>
      <c r="I1202" s="59" t="e">
        <f>VLOOKUP(J1202,'lista 3'!$A$1:$C$467,3,0)</f>
        <v>#N/A</v>
      </c>
      <c r="J1202" s="78"/>
      <c r="K1202" s="87"/>
      <c r="L1202" s="82"/>
      <c r="M1202" s="22"/>
      <c r="N1202" s="22"/>
      <c r="O1202" s="22"/>
      <c r="P1202" s="26"/>
      <c r="Q1202" s="26"/>
      <c r="R1202" s="26"/>
      <c r="S1202" s="47"/>
      <c r="T1202" s="62" t="e">
        <f>VLOOKUP(#REF!,#REF!,2,0)</f>
        <v>#REF!</v>
      </c>
      <c r="U1202" s="63" t="e">
        <f t="shared" si="49"/>
        <v>#REF!</v>
      </c>
      <c r="V1202" s="47"/>
      <c r="W1202" s="43"/>
      <c r="X1202" s="66" t="e">
        <f>VLOOKUP(D1202,#REF!,2,0)</f>
        <v>#REF!</v>
      </c>
      <c r="Y1202" s="67" t="e">
        <f t="shared" si="50"/>
        <v>#N/A</v>
      </c>
    </row>
    <row r="1203" spans="1:25">
      <c r="A1203" s="92"/>
      <c r="B1203" s="27"/>
      <c r="C1203" s="28" t="e">
        <f>VLOOKUP(D1203,'lista 1'!$A$2:$F$1802,4,0)</f>
        <v>#N/A</v>
      </c>
      <c r="D1203" s="74"/>
      <c r="E1203" s="27" t="e">
        <f>VLOOKUP(D1203,'lista 1'!$A$2:$F$1802,5,0)</f>
        <v>#N/A</v>
      </c>
      <c r="F1203" s="59" t="e">
        <f>VLOOKUP(G1203,'lista 3'!$A$1:$C$467,3,0)</f>
        <v>#N/A</v>
      </c>
      <c r="G1203" s="76"/>
      <c r="H1203" s="85"/>
      <c r="I1203" s="59" t="e">
        <f>VLOOKUP(J1203,'lista 3'!$A$1:$C$467,3,0)</f>
        <v>#N/A</v>
      </c>
      <c r="J1203" s="78"/>
      <c r="K1203" s="87"/>
      <c r="L1203" s="82"/>
      <c r="M1203" s="22"/>
      <c r="N1203" s="22"/>
      <c r="O1203" s="22"/>
      <c r="P1203" s="26"/>
      <c r="Q1203" s="26"/>
      <c r="R1203" s="26"/>
      <c r="S1203" s="47"/>
      <c r="T1203" s="62" t="e">
        <f>VLOOKUP(#REF!,#REF!,2,0)</f>
        <v>#REF!</v>
      </c>
      <c r="U1203" s="63" t="e">
        <f t="shared" si="49"/>
        <v>#REF!</v>
      </c>
      <c r="V1203" s="47"/>
      <c r="W1203" s="43"/>
      <c r="X1203" s="66" t="e">
        <f>VLOOKUP(D1203,#REF!,2,0)</f>
        <v>#REF!</v>
      </c>
      <c r="Y1203" s="67" t="e">
        <f t="shared" si="50"/>
        <v>#N/A</v>
      </c>
    </row>
    <row r="1204" spans="1:25">
      <c r="A1204" s="92"/>
      <c r="B1204" s="27"/>
      <c r="C1204" s="28" t="e">
        <f>VLOOKUP(D1204,'lista 1'!$A$2:$F$1802,4,0)</f>
        <v>#N/A</v>
      </c>
      <c r="D1204" s="74"/>
      <c r="E1204" s="27" t="e">
        <f>VLOOKUP(D1204,'lista 1'!$A$2:$F$1802,5,0)</f>
        <v>#N/A</v>
      </c>
      <c r="F1204" s="59" t="e">
        <f>VLOOKUP(G1204,'lista 3'!$A$1:$C$467,3,0)</f>
        <v>#N/A</v>
      </c>
      <c r="G1204" s="76"/>
      <c r="H1204" s="85"/>
      <c r="I1204" s="59" t="e">
        <f>VLOOKUP(J1204,'lista 3'!$A$1:$C$467,3,0)</f>
        <v>#N/A</v>
      </c>
      <c r="J1204" s="78"/>
      <c r="K1204" s="87"/>
      <c r="L1204" s="82"/>
      <c r="M1204" s="22"/>
      <c r="N1204" s="22"/>
      <c r="O1204" s="22"/>
      <c r="P1204" s="26"/>
      <c r="Q1204" s="26"/>
      <c r="R1204" s="26"/>
      <c r="S1204" s="47"/>
      <c r="T1204" s="62" t="e">
        <f>VLOOKUP(#REF!,#REF!,2,0)</f>
        <v>#REF!</v>
      </c>
      <c r="U1204" s="63" t="e">
        <f t="shared" si="49"/>
        <v>#REF!</v>
      </c>
      <c r="V1204" s="47"/>
      <c r="W1204" s="43"/>
      <c r="X1204" s="66" t="e">
        <f>VLOOKUP(D1204,#REF!,2,0)</f>
        <v>#REF!</v>
      </c>
      <c r="Y1204" s="67" t="e">
        <f t="shared" si="50"/>
        <v>#N/A</v>
      </c>
    </row>
    <row r="1205" spans="1:25">
      <c r="A1205" s="92"/>
      <c r="B1205" s="27"/>
      <c r="C1205" s="28" t="e">
        <f>VLOOKUP(D1205,'lista 1'!$A$2:$F$1802,4,0)</f>
        <v>#N/A</v>
      </c>
      <c r="D1205" s="74"/>
      <c r="E1205" s="27" t="e">
        <f>VLOOKUP(D1205,'lista 1'!$A$2:$F$1802,5,0)</f>
        <v>#N/A</v>
      </c>
      <c r="F1205" s="59" t="e">
        <f>VLOOKUP(G1205,'lista 3'!$A$1:$C$467,3,0)</f>
        <v>#N/A</v>
      </c>
      <c r="G1205" s="76"/>
      <c r="H1205" s="85"/>
      <c r="I1205" s="59" t="e">
        <f>VLOOKUP(J1205,'lista 3'!$A$1:$C$467,3,0)</f>
        <v>#N/A</v>
      </c>
      <c r="J1205" s="78"/>
      <c r="K1205" s="87"/>
      <c r="L1205" s="82"/>
      <c r="M1205" s="22"/>
      <c r="N1205" s="22"/>
      <c r="O1205" s="22"/>
      <c r="P1205" s="26"/>
      <c r="Q1205" s="26"/>
      <c r="R1205" s="26"/>
      <c r="S1205" s="47"/>
      <c r="T1205" s="62" t="e">
        <f>VLOOKUP(#REF!,#REF!,2,0)</f>
        <v>#REF!</v>
      </c>
      <c r="U1205" s="63" t="e">
        <f t="shared" si="49"/>
        <v>#REF!</v>
      </c>
      <c r="V1205" s="47"/>
      <c r="W1205" s="43"/>
      <c r="X1205" s="66" t="e">
        <f>VLOOKUP(D1205,#REF!,2,0)</f>
        <v>#REF!</v>
      </c>
      <c r="Y1205" s="67" t="e">
        <f t="shared" si="50"/>
        <v>#N/A</v>
      </c>
    </row>
    <row r="1206" spans="1:25">
      <c r="A1206" s="92"/>
      <c r="B1206" s="27"/>
      <c r="C1206" s="28" t="e">
        <f>VLOOKUP(D1206,'lista 1'!$A$2:$F$1802,4,0)</f>
        <v>#N/A</v>
      </c>
      <c r="D1206" s="74"/>
      <c r="E1206" s="27" t="e">
        <f>VLOOKUP(D1206,'lista 1'!$A$2:$F$1802,5,0)</f>
        <v>#N/A</v>
      </c>
      <c r="F1206" s="59" t="e">
        <f>VLOOKUP(G1206,'lista 3'!$A$1:$C$467,3,0)</f>
        <v>#N/A</v>
      </c>
      <c r="G1206" s="76"/>
      <c r="H1206" s="85"/>
      <c r="I1206" s="59" t="e">
        <f>VLOOKUP(J1206,'lista 3'!$A$1:$C$467,3,0)</f>
        <v>#N/A</v>
      </c>
      <c r="J1206" s="78"/>
      <c r="K1206" s="87"/>
      <c r="L1206" s="82"/>
      <c r="M1206" s="22"/>
      <c r="N1206" s="22"/>
      <c r="O1206" s="22"/>
      <c r="P1206" s="26"/>
      <c r="Q1206" s="26"/>
      <c r="R1206" s="26"/>
      <c r="S1206" s="47"/>
      <c r="T1206" s="62" t="e">
        <f>VLOOKUP(#REF!,#REF!,2,0)</f>
        <v>#REF!</v>
      </c>
      <c r="U1206" s="63" t="e">
        <f t="shared" si="49"/>
        <v>#REF!</v>
      </c>
      <c r="V1206" s="47"/>
      <c r="W1206" s="43"/>
      <c r="X1206" s="66" t="e">
        <f>VLOOKUP(D1206,#REF!,2,0)</f>
        <v>#REF!</v>
      </c>
      <c r="Y1206" s="67" t="e">
        <f t="shared" si="50"/>
        <v>#N/A</v>
      </c>
    </row>
    <row r="1207" spans="1:25">
      <c r="A1207" s="92"/>
      <c r="B1207" s="27"/>
      <c r="C1207" s="28" t="e">
        <f>VLOOKUP(D1207,'lista 1'!$A$2:$F$1802,4,0)</f>
        <v>#N/A</v>
      </c>
      <c r="D1207" s="74"/>
      <c r="E1207" s="27" t="e">
        <f>VLOOKUP(D1207,'lista 1'!$A$2:$F$1802,5,0)</f>
        <v>#N/A</v>
      </c>
      <c r="F1207" s="59" t="e">
        <f>VLOOKUP(G1207,'lista 3'!$A$1:$C$467,3,0)</f>
        <v>#N/A</v>
      </c>
      <c r="G1207" s="76"/>
      <c r="H1207" s="85"/>
      <c r="I1207" s="59" t="e">
        <f>VLOOKUP(J1207,'lista 3'!$A$1:$C$467,3,0)</f>
        <v>#N/A</v>
      </c>
      <c r="J1207" s="78"/>
      <c r="K1207" s="87"/>
      <c r="L1207" s="82"/>
      <c r="M1207" s="22"/>
      <c r="N1207" s="22"/>
      <c r="O1207" s="22"/>
      <c r="P1207" s="26"/>
      <c r="Q1207" s="26"/>
      <c r="R1207" s="26"/>
      <c r="S1207" s="47"/>
      <c r="T1207" s="62" t="e">
        <f>VLOOKUP(#REF!,#REF!,2,0)</f>
        <v>#REF!</v>
      </c>
      <c r="U1207" s="63" t="e">
        <f t="shared" si="49"/>
        <v>#REF!</v>
      </c>
      <c r="V1207" s="47"/>
      <c r="W1207" s="43"/>
      <c r="X1207" s="66" t="e">
        <f>VLOOKUP(D1207,#REF!,2,0)</f>
        <v>#REF!</v>
      </c>
      <c r="Y1207" s="67" t="e">
        <f t="shared" si="50"/>
        <v>#N/A</v>
      </c>
    </row>
    <row r="1208" spans="1:25">
      <c r="A1208" s="92"/>
      <c r="B1208" s="27"/>
      <c r="C1208" s="28" t="e">
        <f>VLOOKUP(D1208,'lista 1'!$A$2:$F$1802,4,0)</f>
        <v>#N/A</v>
      </c>
      <c r="D1208" s="74"/>
      <c r="E1208" s="27" t="e">
        <f>VLOOKUP(D1208,'lista 1'!$A$2:$F$1802,5,0)</f>
        <v>#N/A</v>
      </c>
      <c r="F1208" s="59" t="e">
        <f>VLOOKUP(G1208,'lista 3'!$A$1:$C$467,3,0)</f>
        <v>#N/A</v>
      </c>
      <c r="G1208" s="76"/>
      <c r="H1208" s="85"/>
      <c r="I1208" s="59" t="e">
        <f>VLOOKUP(J1208,'lista 3'!$A$1:$C$467,3,0)</f>
        <v>#N/A</v>
      </c>
      <c r="J1208" s="78"/>
      <c r="K1208" s="87"/>
      <c r="L1208" s="82"/>
      <c r="M1208" s="22"/>
      <c r="N1208" s="22"/>
      <c r="O1208" s="22"/>
      <c r="P1208" s="26"/>
      <c r="Q1208" s="26"/>
      <c r="R1208" s="26"/>
      <c r="S1208" s="47"/>
      <c r="T1208" s="62" t="e">
        <f>VLOOKUP(#REF!,#REF!,2,0)</f>
        <v>#REF!</v>
      </c>
      <c r="U1208" s="63" t="e">
        <f t="shared" si="49"/>
        <v>#REF!</v>
      </c>
      <c r="V1208" s="47"/>
      <c r="W1208" s="43"/>
      <c r="X1208" s="66" t="e">
        <f>VLOOKUP(D1208,#REF!,2,0)</f>
        <v>#REF!</v>
      </c>
      <c r="Y1208" s="67" t="e">
        <f t="shared" si="50"/>
        <v>#N/A</v>
      </c>
    </row>
    <row r="1209" spans="1:25">
      <c r="A1209" s="92"/>
      <c r="B1209" s="27"/>
      <c r="C1209" s="28" t="e">
        <f>VLOOKUP(D1209,'lista 1'!$A$2:$F$1802,4,0)</f>
        <v>#N/A</v>
      </c>
      <c r="D1209" s="74"/>
      <c r="E1209" s="27" t="e">
        <f>VLOOKUP(D1209,'lista 1'!$A$2:$F$1802,5,0)</f>
        <v>#N/A</v>
      </c>
      <c r="F1209" s="59" t="e">
        <f>VLOOKUP(G1209,'lista 3'!$A$1:$C$467,3,0)</f>
        <v>#N/A</v>
      </c>
      <c r="G1209" s="76"/>
      <c r="H1209" s="85"/>
      <c r="I1209" s="59" t="e">
        <f>VLOOKUP(J1209,'lista 3'!$A$1:$C$467,3,0)</f>
        <v>#N/A</v>
      </c>
      <c r="J1209" s="78"/>
      <c r="K1209" s="87"/>
      <c r="L1209" s="82"/>
      <c r="M1209" s="22"/>
      <c r="N1209" s="22"/>
      <c r="O1209" s="22"/>
      <c r="P1209" s="26"/>
      <c r="Q1209" s="26"/>
      <c r="R1209" s="26"/>
      <c r="S1209" s="47"/>
      <c r="T1209" s="62" t="e">
        <f>VLOOKUP(#REF!,#REF!,2,0)</f>
        <v>#REF!</v>
      </c>
      <c r="U1209" s="63" t="e">
        <f t="shared" si="49"/>
        <v>#REF!</v>
      </c>
      <c r="V1209" s="47"/>
      <c r="W1209" s="43"/>
      <c r="X1209" s="66" t="e">
        <f>VLOOKUP(D1209,#REF!,2,0)</f>
        <v>#REF!</v>
      </c>
      <c r="Y1209" s="67" t="e">
        <f t="shared" si="50"/>
        <v>#N/A</v>
      </c>
    </row>
    <row r="1210" spans="1:25">
      <c r="A1210" s="92"/>
      <c r="B1210" s="27"/>
      <c r="C1210" s="28" t="e">
        <f>VLOOKUP(D1210,'lista 1'!$A$2:$F$1802,4,0)</f>
        <v>#N/A</v>
      </c>
      <c r="D1210" s="74"/>
      <c r="E1210" s="27" t="e">
        <f>VLOOKUP(D1210,'lista 1'!$A$2:$F$1802,5,0)</f>
        <v>#N/A</v>
      </c>
      <c r="F1210" s="59" t="e">
        <f>VLOOKUP(G1210,'lista 3'!$A$1:$C$467,3,0)</f>
        <v>#N/A</v>
      </c>
      <c r="G1210" s="76"/>
      <c r="H1210" s="85"/>
      <c r="I1210" s="59" t="e">
        <f>VLOOKUP(J1210,'lista 3'!$A$1:$C$467,3,0)</f>
        <v>#N/A</v>
      </c>
      <c r="J1210" s="78"/>
      <c r="K1210" s="87"/>
      <c r="L1210" s="82"/>
      <c r="M1210" s="22"/>
      <c r="N1210" s="22"/>
      <c r="O1210" s="22"/>
      <c r="P1210" s="26"/>
      <c r="Q1210" s="26"/>
      <c r="R1210" s="26"/>
      <c r="S1210" s="47"/>
      <c r="T1210" s="62" t="e">
        <f>VLOOKUP(#REF!,#REF!,2,0)</f>
        <v>#REF!</v>
      </c>
      <c r="U1210" s="63" t="e">
        <f t="shared" si="49"/>
        <v>#REF!</v>
      </c>
      <c r="V1210" s="47"/>
      <c r="W1210" s="43"/>
      <c r="X1210" s="66" t="e">
        <f>VLOOKUP(D1210,#REF!,2,0)</f>
        <v>#REF!</v>
      </c>
      <c r="Y1210" s="67" t="e">
        <f t="shared" si="50"/>
        <v>#N/A</v>
      </c>
    </row>
    <row r="1211" spans="1:25">
      <c r="A1211" s="92"/>
      <c r="B1211" s="27"/>
      <c r="C1211" s="28" t="e">
        <f>VLOOKUP(D1211,'lista 1'!$A$2:$F$1802,4,0)</f>
        <v>#N/A</v>
      </c>
      <c r="D1211" s="74"/>
      <c r="E1211" s="27" t="e">
        <f>VLOOKUP(D1211,'lista 1'!$A$2:$F$1802,5,0)</f>
        <v>#N/A</v>
      </c>
      <c r="F1211" s="59" t="e">
        <f>VLOOKUP(G1211,'lista 3'!$A$1:$C$467,3,0)</f>
        <v>#N/A</v>
      </c>
      <c r="G1211" s="76"/>
      <c r="H1211" s="85"/>
      <c r="I1211" s="59" t="e">
        <f>VLOOKUP(J1211,'lista 3'!$A$1:$C$467,3,0)</f>
        <v>#N/A</v>
      </c>
      <c r="J1211" s="78"/>
      <c r="K1211" s="87"/>
      <c r="L1211" s="82"/>
      <c r="M1211" s="22"/>
      <c r="N1211" s="22"/>
      <c r="O1211" s="22"/>
      <c r="P1211" s="26"/>
      <c r="Q1211" s="26"/>
      <c r="R1211" s="26"/>
      <c r="S1211" s="47"/>
      <c r="T1211" s="62" t="e">
        <f>VLOOKUP(#REF!,#REF!,2,0)</f>
        <v>#REF!</v>
      </c>
      <c r="U1211" s="63" t="e">
        <f t="shared" si="49"/>
        <v>#REF!</v>
      </c>
      <c r="V1211" s="47"/>
      <c r="W1211" s="43"/>
      <c r="X1211" s="66" t="e">
        <f>VLOOKUP(D1211,#REF!,2,0)</f>
        <v>#REF!</v>
      </c>
      <c r="Y1211" s="67" t="e">
        <f t="shared" si="50"/>
        <v>#N/A</v>
      </c>
    </row>
    <row r="1212" spans="1:25">
      <c r="A1212" s="92"/>
      <c r="B1212" s="27"/>
      <c r="C1212" s="28" t="e">
        <f>VLOOKUP(D1212,'lista 1'!$A$2:$F$1802,4,0)</f>
        <v>#N/A</v>
      </c>
      <c r="D1212" s="74"/>
      <c r="E1212" s="27" t="e">
        <f>VLOOKUP(D1212,'lista 1'!$A$2:$F$1802,5,0)</f>
        <v>#N/A</v>
      </c>
      <c r="F1212" s="59" t="e">
        <f>VLOOKUP(G1212,'lista 3'!$A$1:$C$467,3,0)</f>
        <v>#N/A</v>
      </c>
      <c r="G1212" s="76"/>
      <c r="H1212" s="85"/>
      <c r="I1212" s="59" t="e">
        <f>VLOOKUP(J1212,'lista 3'!$A$1:$C$467,3,0)</f>
        <v>#N/A</v>
      </c>
      <c r="J1212" s="78"/>
      <c r="K1212" s="87"/>
      <c r="L1212" s="82"/>
      <c r="M1212" s="22"/>
      <c r="N1212" s="22"/>
      <c r="O1212" s="22"/>
      <c r="P1212" s="26"/>
      <c r="Q1212" s="26"/>
      <c r="R1212" s="26"/>
      <c r="S1212" s="47"/>
      <c r="T1212" s="62" t="e">
        <f>VLOOKUP(#REF!,#REF!,2,0)</f>
        <v>#REF!</v>
      </c>
      <c r="U1212" s="63" t="e">
        <f t="shared" si="49"/>
        <v>#REF!</v>
      </c>
      <c r="V1212" s="47"/>
      <c r="W1212" s="43"/>
      <c r="X1212" s="66" t="e">
        <f>VLOOKUP(D1212,#REF!,2,0)</f>
        <v>#REF!</v>
      </c>
      <c r="Y1212" s="67" t="e">
        <f t="shared" si="50"/>
        <v>#N/A</v>
      </c>
    </row>
    <row r="1213" spans="1:25">
      <c r="A1213" s="92"/>
      <c r="B1213" s="27"/>
      <c r="C1213" s="28" t="e">
        <f>VLOOKUP(D1213,'lista 1'!$A$2:$F$1802,4,0)</f>
        <v>#N/A</v>
      </c>
      <c r="D1213" s="74"/>
      <c r="E1213" s="27" t="e">
        <f>VLOOKUP(D1213,'lista 1'!$A$2:$F$1802,5,0)</f>
        <v>#N/A</v>
      </c>
      <c r="F1213" s="59" t="e">
        <f>VLOOKUP(G1213,'lista 3'!$A$1:$C$467,3,0)</f>
        <v>#N/A</v>
      </c>
      <c r="G1213" s="76"/>
      <c r="H1213" s="85"/>
      <c r="I1213" s="59" t="e">
        <f>VLOOKUP(J1213,'lista 3'!$A$1:$C$467,3,0)</f>
        <v>#N/A</v>
      </c>
      <c r="J1213" s="78"/>
      <c r="K1213" s="87"/>
      <c r="L1213" s="82"/>
      <c r="M1213" s="22"/>
      <c r="N1213" s="22"/>
      <c r="O1213" s="22"/>
      <c r="P1213" s="26"/>
      <c r="Q1213" s="26"/>
      <c r="R1213" s="26"/>
      <c r="S1213" s="47"/>
      <c r="T1213" s="62" t="e">
        <f>VLOOKUP(#REF!,#REF!,2,0)</f>
        <v>#REF!</v>
      </c>
      <c r="U1213" s="63" t="e">
        <f t="shared" si="49"/>
        <v>#REF!</v>
      </c>
      <c r="V1213" s="47"/>
      <c r="W1213" s="43"/>
      <c r="X1213" s="66" t="e">
        <f>VLOOKUP(D1213,#REF!,2,0)</f>
        <v>#REF!</v>
      </c>
      <c r="Y1213" s="67" t="e">
        <f t="shared" si="50"/>
        <v>#N/A</v>
      </c>
    </row>
    <row r="1214" spans="1:25">
      <c r="A1214" s="92"/>
      <c r="B1214" s="27"/>
      <c r="C1214" s="28" t="e">
        <f>VLOOKUP(D1214,'lista 1'!$A$2:$F$1802,4,0)</f>
        <v>#N/A</v>
      </c>
      <c r="D1214" s="74"/>
      <c r="E1214" s="27" t="e">
        <f>VLOOKUP(D1214,'lista 1'!$A$2:$F$1802,5,0)</f>
        <v>#N/A</v>
      </c>
      <c r="F1214" s="59" t="e">
        <f>VLOOKUP(G1214,'lista 3'!$A$1:$C$467,3,0)</f>
        <v>#N/A</v>
      </c>
      <c r="G1214" s="76"/>
      <c r="H1214" s="85"/>
      <c r="I1214" s="59" t="e">
        <f>VLOOKUP(J1214,'lista 3'!$A$1:$C$467,3,0)</f>
        <v>#N/A</v>
      </c>
      <c r="J1214" s="78"/>
      <c r="K1214" s="87"/>
      <c r="L1214" s="82"/>
      <c r="M1214" s="22"/>
      <c r="N1214" s="22"/>
      <c r="O1214" s="22"/>
      <c r="P1214" s="26"/>
      <c r="Q1214" s="26"/>
      <c r="R1214" s="26"/>
      <c r="S1214" s="47"/>
      <c r="T1214" s="62" t="e">
        <f>VLOOKUP(#REF!,#REF!,2,0)</f>
        <v>#REF!</v>
      </c>
      <c r="U1214" s="63" t="e">
        <f t="shared" si="49"/>
        <v>#REF!</v>
      </c>
      <c r="V1214" s="47"/>
      <c r="W1214" s="43"/>
      <c r="X1214" s="66" t="e">
        <f>VLOOKUP(D1214,#REF!,2,0)</f>
        <v>#REF!</v>
      </c>
      <c r="Y1214" s="67" t="e">
        <f t="shared" si="50"/>
        <v>#N/A</v>
      </c>
    </row>
    <row r="1215" spans="1:25">
      <c r="A1215" s="92"/>
      <c r="B1215" s="27"/>
      <c r="C1215" s="28" t="e">
        <f>VLOOKUP(D1215,'lista 1'!$A$2:$F$1802,4,0)</f>
        <v>#N/A</v>
      </c>
      <c r="D1215" s="74"/>
      <c r="E1215" s="27" t="e">
        <f>VLOOKUP(D1215,'lista 1'!$A$2:$F$1802,5,0)</f>
        <v>#N/A</v>
      </c>
      <c r="F1215" s="59" t="e">
        <f>VLOOKUP(G1215,'lista 3'!$A$1:$C$467,3,0)</f>
        <v>#N/A</v>
      </c>
      <c r="G1215" s="76"/>
      <c r="H1215" s="85"/>
      <c r="I1215" s="59" t="e">
        <f>VLOOKUP(J1215,'lista 3'!$A$1:$C$467,3,0)</f>
        <v>#N/A</v>
      </c>
      <c r="J1215" s="78"/>
      <c r="K1215" s="87"/>
      <c r="L1215" s="82"/>
      <c r="M1215" s="22"/>
      <c r="N1215" s="22"/>
      <c r="O1215" s="22"/>
      <c r="P1215" s="26"/>
      <c r="Q1215" s="26"/>
      <c r="R1215" s="26"/>
      <c r="S1215" s="47"/>
      <c r="T1215" s="62" t="e">
        <f>VLOOKUP(#REF!,#REF!,2,0)</f>
        <v>#REF!</v>
      </c>
      <c r="U1215" s="63" t="e">
        <f t="shared" si="49"/>
        <v>#REF!</v>
      </c>
      <c r="V1215" s="47"/>
      <c r="W1215" s="43"/>
      <c r="X1215" s="66" t="e">
        <f>VLOOKUP(D1215,#REF!,2,0)</f>
        <v>#REF!</v>
      </c>
      <c r="Y1215" s="67" t="e">
        <f t="shared" si="50"/>
        <v>#N/A</v>
      </c>
    </row>
    <row r="1216" spans="1:25">
      <c r="A1216" s="92"/>
      <c r="B1216" s="27"/>
      <c r="C1216" s="28" t="e">
        <f>VLOOKUP(D1216,'lista 1'!$A$2:$F$1802,4,0)</f>
        <v>#N/A</v>
      </c>
      <c r="D1216" s="74"/>
      <c r="E1216" s="27" t="e">
        <f>VLOOKUP(D1216,'lista 1'!$A$2:$F$1802,5,0)</f>
        <v>#N/A</v>
      </c>
      <c r="F1216" s="59" t="e">
        <f>VLOOKUP(G1216,'lista 3'!$A$1:$C$467,3,0)</f>
        <v>#N/A</v>
      </c>
      <c r="G1216" s="76"/>
      <c r="H1216" s="85"/>
      <c r="I1216" s="59" t="e">
        <f>VLOOKUP(J1216,'lista 3'!$A$1:$C$467,3,0)</f>
        <v>#N/A</v>
      </c>
      <c r="J1216" s="78"/>
      <c r="K1216" s="87"/>
      <c r="L1216" s="82"/>
      <c r="M1216" s="22"/>
      <c r="N1216" s="22"/>
      <c r="O1216" s="22"/>
      <c r="P1216" s="26"/>
      <c r="Q1216" s="26"/>
      <c r="R1216" s="26"/>
      <c r="S1216" s="47"/>
      <c r="T1216" s="62" t="e">
        <f>VLOOKUP(#REF!,#REF!,2,0)</f>
        <v>#REF!</v>
      </c>
      <c r="U1216" s="63" t="e">
        <f t="shared" si="49"/>
        <v>#REF!</v>
      </c>
      <c r="V1216" s="47"/>
      <c r="W1216" s="43"/>
      <c r="X1216" s="66" t="e">
        <f>VLOOKUP(D1216,#REF!,2,0)</f>
        <v>#REF!</v>
      </c>
      <c r="Y1216" s="67" t="e">
        <f t="shared" si="50"/>
        <v>#N/A</v>
      </c>
    </row>
    <row r="1253" spans="5:5">
      <c r="E1253" s="64" t="s">
        <v>2493</v>
      </c>
    </row>
  </sheetData>
  <autoFilter ref="A1:L1216" xr:uid="{00000000-0009-0000-0000-000000000000}">
    <sortState xmlns:xlrd2="http://schemas.microsoft.com/office/spreadsheetml/2017/richdata2" ref="A2:M1216">
      <sortCondition ref="L1:L1216"/>
    </sortState>
  </autoFilter>
  <conditionalFormatting sqref="O467">
    <cfRule type="cellIs" dxfId="5" priority="3" stopIfTrue="1" operator="greaterThan">
      <formula>0</formula>
    </cfRule>
  </conditionalFormatting>
  <pageMargins left="0" right="0" top="0" bottom="0" header="0" footer="0"/>
  <pageSetup paperSize="9" scale="10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0">
    <tabColor rgb="FF92D050"/>
  </sheetPr>
  <dimension ref="A1:K3691"/>
  <sheetViews>
    <sheetView view="pageBreakPreview" zoomScale="96" zoomScaleNormal="100" zoomScaleSheetLayoutView="96" workbookViewId="0">
      <pane xSplit="2" ySplit="1" topLeftCell="C1288" activePane="bottomRight" state="frozen"/>
      <selection pane="topRight" activeCell="F1" sqref="F1"/>
      <selection pane="bottomLeft" activeCell="A7" sqref="A7"/>
      <selection pane="bottomRight" activeCell="D1293" sqref="D1293"/>
    </sheetView>
  </sheetViews>
  <sheetFormatPr defaultColWidth="9.109375" defaultRowHeight="14.4"/>
  <cols>
    <col min="1" max="1" width="27.44140625" style="238" customWidth="1"/>
    <col min="2" max="2" width="9.44140625" style="137" customWidth="1"/>
    <col min="3" max="3" width="9" style="51" customWidth="1"/>
    <col min="4" max="4" width="18.6640625" style="138" customWidth="1"/>
    <col min="5" max="5" width="13" style="139" customWidth="1"/>
    <col min="6" max="6" width="26.5546875" style="139" customWidth="1"/>
    <col min="7" max="7" width="13" style="138" customWidth="1"/>
    <col min="8" max="8" width="13" style="140" customWidth="1"/>
    <col min="9" max="9" width="26.5546875" style="139" customWidth="1"/>
    <col min="10" max="10" width="18.88671875" style="141" customWidth="1"/>
    <col min="11" max="11" width="36.109375" style="112" customWidth="1"/>
    <col min="12" max="16384" width="9.109375" style="1"/>
  </cols>
  <sheetData>
    <row r="1" spans="1:11" ht="77.25" customHeight="1">
      <c r="A1" s="113" t="s">
        <v>398</v>
      </c>
      <c r="B1" s="114" t="s">
        <v>610</v>
      </c>
      <c r="C1" s="113" t="s">
        <v>1970</v>
      </c>
      <c r="D1" s="115" t="s">
        <v>733</v>
      </c>
      <c r="E1" s="114" t="s">
        <v>1257</v>
      </c>
      <c r="F1" s="114" t="s">
        <v>1280</v>
      </c>
      <c r="G1" s="115" t="s">
        <v>929</v>
      </c>
      <c r="H1" s="114" t="s">
        <v>1257</v>
      </c>
      <c r="I1" s="114" t="s">
        <v>1280</v>
      </c>
      <c r="J1" s="116" t="s">
        <v>930</v>
      </c>
      <c r="K1" s="37" t="s">
        <v>3085</v>
      </c>
    </row>
    <row r="2" spans="1:11" s="66" customFormat="1" ht="14.25" customHeight="1">
      <c r="A2" s="138" t="s">
        <v>3770</v>
      </c>
      <c r="B2" s="123">
        <v>854</v>
      </c>
      <c r="C2" s="118" t="s">
        <v>1224</v>
      </c>
      <c r="D2" s="119" t="s">
        <v>1454</v>
      </c>
      <c r="E2" s="120" t="s">
        <v>475</v>
      </c>
      <c r="F2" s="121" t="s">
        <v>540</v>
      </c>
      <c r="G2" s="119" t="s">
        <v>1454</v>
      </c>
      <c r="H2" s="121" t="s">
        <v>690</v>
      </c>
      <c r="I2" s="121" t="s">
        <v>1583</v>
      </c>
      <c r="J2" s="122">
        <v>43831</v>
      </c>
      <c r="K2" s="22"/>
    </row>
    <row r="3" spans="1:11" s="66" customFormat="1" ht="14.25" customHeight="1">
      <c r="A3" s="138" t="s">
        <v>4117</v>
      </c>
      <c r="B3" s="123">
        <v>1994</v>
      </c>
      <c r="C3" s="118" t="s">
        <v>1224</v>
      </c>
      <c r="D3" s="119" t="s">
        <v>1454</v>
      </c>
      <c r="E3" s="120" t="s">
        <v>475</v>
      </c>
      <c r="F3" s="121" t="s">
        <v>1900</v>
      </c>
      <c r="G3" s="119" t="s">
        <v>1454</v>
      </c>
      <c r="H3" s="121" t="s">
        <v>2483</v>
      </c>
      <c r="I3" s="121" t="s">
        <v>543</v>
      </c>
      <c r="J3" s="122">
        <v>43831</v>
      </c>
      <c r="K3" s="22"/>
    </row>
    <row r="4" spans="1:11" s="66" customFormat="1" ht="14.25" customHeight="1">
      <c r="A4" s="138" t="s">
        <v>1937</v>
      </c>
      <c r="B4" s="123">
        <v>1787</v>
      </c>
      <c r="C4" s="118" t="s">
        <v>1322</v>
      </c>
      <c r="D4" s="119" t="s">
        <v>2641</v>
      </c>
      <c r="E4" s="120" t="s">
        <v>688</v>
      </c>
      <c r="F4" s="121" t="s">
        <v>1890</v>
      </c>
      <c r="G4" s="119" t="s">
        <v>2641</v>
      </c>
      <c r="H4" s="121" t="s">
        <v>688</v>
      </c>
      <c r="I4" s="121" t="s">
        <v>1890</v>
      </c>
      <c r="J4" s="122">
        <v>43831</v>
      </c>
      <c r="K4" s="22"/>
    </row>
    <row r="5" spans="1:11" s="66" customFormat="1" ht="14.25" customHeight="1">
      <c r="A5" s="138" t="s">
        <v>4348</v>
      </c>
      <c r="B5" s="123">
        <v>2974</v>
      </c>
      <c r="C5" s="118" t="s">
        <v>686</v>
      </c>
      <c r="D5" s="119" t="s">
        <v>2641</v>
      </c>
      <c r="E5" s="120" t="s">
        <v>351</v>
      </c>
      <c r="F5" s="121" t="s">
        <v>1937</v>
      </c>
      <c r="G5" s="119" t="s">
        <v>2641</v>
      </c>
      <c r="H5" s="121" t="s">
        <v>1123</v>
      </c>
      <c r="I5" s="121" t="s">
        <v>1937</v>
      </c>
      <c r="J5" s="122">
        <v>43831</v>
      </c>
      <c r="K5" s="22"/>
    </row>
    <row r="6" spans="1:11" s="66" customFormat="1" ht="14.25" customHeight="1">
      <c r="A6" s="238" t="e">
        <v>#N/A</v>
      </c>
      <c r="B6" s="117">
        <v>64311</v>
      </c>
      <c r="C6" s="118" t="s">
        <v>643</v>
      </c>
      <c r="D6" s="119" t="s">
        <v>450</v>
      </c>
      <c r="E6" s="120" t="s">
        <v>2329</v>
      </c>
      <c r="F6" s="121" t="s">
        <v>1551</v>
      </c>
      <c r="G6" s="119" t="s">
        <v>450</v>
      </c>
      <c r="H6" s="121" t="s">
        <v>2087</v>
      </c>
      <c r="I6" s="121" t="s">
        <v>2112</v>
      </c>
      <c r="J6" s="122">
        <v>43831</v>
      </c>
      <c r="K6" s="22"/>
    </row>
    <row r="7" spans="1:11" s="66" customFormat="1" ht="14.25" customHeight="1">
      <c r="A7" s="238" t="s">
        <v>3635</v>
      </c>
      <c r="B7" s="117">
        <v>422</v>
      </c>
      <c r="C7" s="118" t="s">
        <v>451</v>
      </c>
      <c r="D7" s="119" t="s">
        <v>450</v>
      </c>
      <c r="E7" s="120" t="s">
        <v>2402</v>
      </c>
      <c r="F7" s="121" t="s">
        <v>1561</v>
      </c>
      <c r="G7" s="119" t="s">
        <v>450</v>
      </c>
      <c r="H7" s="121" t="s">
        <v>2329</v>
      </c>
      <c r="I7" s="121" t="s">
        <v>1551</v>
      </c>
      <c r="J7" s="122">
        <v>43831</v>
      </c>
      <c r="K7" s="22"/>
    </row>
    <row r="8" spans="1:11" s="66" customFormat="1" ht="14.25" customHeight="1">
      <c r="A8" s="138" t="s">
        <v>1918</v>
      </c>
      <c r="B8" s="123">
        <v>407</v>
      </c>
      <c r="C8" s="118" t="s">
        <v>1322</v>
      </c>
      <c r="D8" s="119" t="s">
        <v>2639</v>
      </c>
      <c r="E8" s="120" t="s">
        <v>1338</v>
      </c>
      <c r="F8" s="121" t="s">
        <v>1929</v>
      </c>
      <c r="G8" s="119" t="s">
        <v>739</v>
      </c>
      <c r="H8" s="121" t="s">
        <v>968</v>
      </c>
      <c r="I8" s="121" t="s">
        <v>2097</v>
      </c>
      <c r="J8" s="122">
        <v>43831</v>
      </c>
      <c r="K8" s="22"/>
    </row>
    <row r="9" spans="1:11" s="66" customFormat="1" ht="14.25" customHeight="1">
      <c r="A9" s="138" t="s">
        <v>2808</v>
      </c>
      <c r="B9" s="123">
        <v>815</v>
      </c>
      <c r="C9" s="118" t="s">
        <v>223</v>
      </c>
      <c r="D9" s="119" t="s">
        <v>1044</v>
      </c>
      <c r="E9" s="120" t="s">
        <v>1081</v>
      </c>
      <c r="F9" s="121" t="s">
        <v>2695</v>
      </c>
      <c r="G9" s="119" t="s">
        <v>2638</v>
      </c>
      <c r="H9" s="121" t="s">
        <v>271</v>
      </c>
      <c r="I9" s="121" t="s">
        <v>2136</v>
      </c>
      <c r="J9" s="122">
        <v>43831</v>
      </c>
      <c r="K9" s="22"/>
    </row>
    <row r="10" spans="1:11" s="66" customFormat="1" ht="14.25" customHeight="1">
      <c r="A10" s="138" t="s">
        <v>3849</v>
      </c>
      <c r="B10" s="123">
        <v>1105</v>
      </c>
      <c r="C10" s="118" t="s">
        <v>731</v>
      </c>
      <c r="D10" s="119" t="s">
        <v>3081</v>
      </c>
      <c r="E10" s="120" t="s">
        <v>1317</v>
      </c>
      <c r="F10" s="121" t="s">
        <v>2102</v>
      </c>
      <c r="G10" s="119" t="s">
        <v>3081</v>
      </c>
      <c r="H10" s="121" t="s">
        <v>1316</v>
      </c>
      <c r="I10" s="121" t="s">
        <v>1916</v>
      </c>
      <c r="J10" s="122">
        <v>43831</v>
      </c>
      <c r="K10" s="22"/>
    </row>
    <row r="11" spans="1:11" s="66" customFormat="1" ht="14.25" customHeight="1">
      <c r="A11" s="138" t="s">
        <v>1382</v>
      </c>
      <c r="B11" s="123">
        <v>144</v>
      </c>
      <c r="C11" s="118" t="s">
        <v>1586</v>
      </c>
      <c r="D11" s="119" t="s">
        <v>2638</v>
      </c>
      <c r="E11" s="120" t="s">
        <v>271</v>
      </c>
      <c r="F11" s="121" t="s">
        <v>2136</v>
      </c>
      <c r="G11" s="119" t="s">
        <v>3082</v>
      </c>
      <c r="H11" s="121" t="s">
        <v>2029</v>
      </c>
      <c r="I11" s="121" t="s">
        <v>1385</v>
      </c>
      <c r="J11" s="122">
        <v>43831</v>
      </c>
      <c r="K11" s="22"/>
    </row>
    <row r="12" spans="1:11" s="66" customFormat="1" ht="14.25" customHeight="1">
      <c r="A12" s="138" t="s">
        <v>2780</v>
      </c>
      <c r="B12" s="123">
        <v>553</v>
      </c>
      <c r="C12" s="118" t="s">
        <v>2126</v>
      </c>
      <c r="D12" s="119" t="s">
        <v>3081</v>
      </c>
      <c r="E12" s="120" t="s">
        <v>1316</v>
      </c>
      <c r="F12" s="121" t="s">
        <v>1916</v>
      </c>
      <c r="G12" s="119" t="s">
        <v>2639</v>
      </c>
      <c r="H12" s="121" t="s">
        <v>1338</v>
      </c>
      <c r="I12" s="121" t="s">
        <v>1929</v>
      </c>
      <c r="J12" s="122">
        <v>43831</v>
      </c>
      <c r="K12" s="22"/>
    </row>
    <row r="13" spans="1:11" s="66" customFormat="1" ht="14.25" customHeight="1">
      <c r="A13" s="138" t="s">
        <v>3741</v>
      </c>
      <c r="B13" s="123">
        <v>748</v>
      </c>
      <c r="C13" s="118" t="s">
        <v>731</v>
      </c>
      <c r="D13" s="119" t="s">
        <v>2639</v>
      </c>
      <c r="E13" s="120" t="s">
        <v>1338</v>
      </c>
      <c r="F13" s="121" t="s">
        <v>2664</v>
      </c>
      <c r="G13" s="119" t="s">
        <v>2639</v>
      </c>
      <c r="H13" s="121" t="s">
        <v>171</v>
      </c>
      <c r="I13" s="121" t="s">
        <v>2665</v>
      </c>
      <c r="J13" s="122">
        <v>43831</v>
      </c>
      <c r="K13" s="22"/>
    </row>
    <row r="14" spans="1:11" s="66" customFormat="1" ht="14.25" customHeight="1">
      <c r="A14" s="138" t="s">
        <v>3409</v>
      </c>
      <c r="B14" s="123">
        <v>784</v>
      </c>
      <c r="C14" s="118" t="s">
        <v>1586</v>
      </c>
      <c r="D14" s="119" t="s">
        <v>2639</v>
      </c>
      <c r="E14" s="120" t="s">
        <v>267</v>
      </c>
      <c r="F14" s="121" t="s">
        <v>2670</v>
      </c>
      <c r="G14" s="119" t="s">
        <v>2639</v>
      </c>
      <c r="H14" s="121" t="s">
        <v>1338</v>
      </c>
      <c r="I14" s="121" t="s">
        <v>2677</v>
      </c>
      <c r="J14" s="122">
        <v>43831</v>
      </c>
      <c r="K14" s="22"/>
    </row>
    <row r="15" spans="1:11" s="66" customFormat="1" ht="14.25" customHeight="1">
      <c r="A15" s="138" t="s">
        <v>3817</v>
      </c>
      <c r="B15" s="123">
        <v>1019</v>
      </c>
      <c r="C15" s="118" t="s">
        <v>1225</v>
      </c>
      <c r="D15" s="119" t="s">
        <v>2639</v>
      </c>
      <c r="E15" s="120" t="s">
        <v>267</v>
      </c>
      <c r="F15" s="121" t="s">
        <v>2670</v>
      </c>
      <c r="G15" s="119" t="s">
        <v>2639</v>
      </c>
      <c r="H15" s="121" t="s">
        <v>1338</v>
      </c>
      <c r="I15" s="121" t="s">
        <v>2677</v>
      </c>
      <c r="J15" s="122">
        <v>43831</v>
      </c>
      <c r="K15" s="22"/>
    </row>
    <row r="16" spans="1:11" s="66" customFormat="1" ht="14.25" customHeight="1">
      <c r="A16" s="138" t="s">
        <v>3631</v>
      </c>
      <c r="B16" s="123">
        <v>405</v>
      </c>
      <c r="C16" s="118" t="s">
        <v>1586</v>
      </c>
      <c r="D16" s="119" t="s">
        <v>2639</v>
      </c>
      <c r="E16" s="120" t="s">
        <v>1338</v>
      </c>
      <c r="F16" s="121" t="s">
        <v>2664</v>
      </c>
      <c r="G16" s="119" t="s">
        <v>2639</v>
      </c>
      <c r="H16" s="121" t="s">
        <v>267</v>
      </c>
      <c r="I16" s="121" t="s">
        <v>2681</v>
      </c>
      <c r="J16" s="122">
        <v>43831</v>
      </c>
      <c r="K16" s="22"/>
    </row>
    <row r="17" spans="1:11" s="66" customFormat="1" ht="14.25" customHeight="1">
      <c r="A17" s="138" t="s">
        <v>4038</v>
      </c>
      <c r="B17" s="123">
        <v>1761</v>
      </c>
      <c r="C17" s="118" t="s">
        <v>1225</v>
      </c>
      <c r="D17" s="119" t="s">
        <v>2639</v>
      </c>
      <c r="E17" s="120" t="s">
        <v>171</v>
      </c>
      <c r="F17" s="121" t="s">
        <v>1548</v>
      </c>
      <c r="G17" s="119" t="s">
        <v>2639</v>
      </c>
      <c r="H17" s="121" t="s">
        <v>267</v>
      </c>
      <c r="I17" s="121" t="s">
        <v>2681</v>
      </c>
      <c r="J17" s="122">
        <v>43831</v>
      </c>
      <c r="K17" s="22"/>
    </row>
    <row r="18" spans="1:11" s="66" customFormat="1" ht="14.25" customHeight="1">
      <c r="A18" s="138" t="s">
        <v>3821</v>
      </c>
      <c r="B18" s="123">
        <v>1031</v>
      </c>
      <c r="C18" s="118" t="s">
        <v>731</v>
      </c>
      <c r="D18" s="119" t="s">
        <v>2639</v>
      </c>
      <c r="E18" s="120" t="s">
        <v>171</v>
      </c>
      <c r="F18" s="121" t="s">
        <v>2665</v>
      </c>
      <c r="G18" s="119" t="s">
        <v>2639</v>
      </c>
      <c r="H18" s="121" t="s">
        <v>2668</v>
      </c>
      <c r="I18" s="121" t="s">
        <v>2678</v>
      </c>
      <c r="J18" s="122">
        <v>43831</v>
      </c>
      <c r="K18" s="22"/>
    </row>
    <row r="19" spans="1:11" s="66" customFormat="1" ht="14.25" customHeight="1">
      <c r="A19" s="138" t="s">
        <v>4352</v>
      </c>
      <c r="B19" s="123">
        <v>2982</v>
      </c>
      <c r="C19" s="118" t="s">
        <v>3029</v>
      </c>
      <c r="D19" s="167" t="s">
        <v>2640</v>
      </c>
      <c r="E19" s="120" t="s">
        <v>2666</v>
      </c>
      <c r="F19" s="121" t="s">
        <v>2667</v>
      </c>
      <c r="G19" s="167" t="s">
        <v>2639</v>
      </c>
      <c r="H19" s="121" t="s">
        <v>2668</v>
      </c>
      <c r="I19" s="121" t="s">
        <v>2678</v>
      </c>
      <c r="J19" s="122">
        <v>43831</v>
      </c>
      <c r="K19" s="22"/>
    </row>
    <row r="20" spans="1:11" ht="14.25" customHeight="1">
      <c r="A20" s="138" t="s">
        <v>3778</v>
      </c>
      <c r="B20" s="123">
        <v>886</v>
      </c>
      <c r="C20" s="118" t="s">
        <v>1225</v>
      </c>
      <c r="D20" s="167" t="s">
        <v>2640</v>
      </c>
      <c r="E20" s="120" t="s">
        <v>740</v>
      </c>
      <c r="F20" s="121" t="s">
        <v>2669</v>
      </c>
      <c r="G20" s="167" t="s">
        <v>2640</v>
      </c>
      <c r="H20" s="121" t="s">
        <v>481</v>
      </c>
      <c r="I20" s="121" t="s">
        <v>2680</v>
      </c>
      <c r="J20" s="122">
        <v>43831</v>
      </c>
      <c r="K20" s="22"/>
    </row>
    <row r="21" spans="1:11" ht="14.25" customHeight="1">
      <c r="A21" s="138" t="e">
        <v>#N/A</v>
      </c>
      <c r="B21" s="123">
        <v>2125</v>
      </c>
      <c r="C21" s="118" t="e">
        <v>#N/A</v>
      </c>
      <c r="D21" s="167" t="s">
        <v>2640</v>
      </c>
      <c r="E21" s="120" t="s">
        <v>2393</v>
      </c>
      <c r="F21" s="121" t="s">
        <v>1905</v>
      </c>
      <c r="G21" s="167" t="s">
        <v>2640</v>
      </c>
      <c r="H21" s="121" t="s">
        <v>741</v>
      </c>
      <c r="I21" s="121" t="s">
        <v>2708</v>
      </c>
      <c r="J21" s="122">
        <v>43831</v>
      </c>
      <c r="K21" s="22"/>
    </row>
    <row r="22" spans="1:11" ht="14.25" customHeight="1">
      <c r="A22" s="138" t="s">
        <v>3642</v>
      </c>
      <c r="B22" s="123">
        <v>453</v>
      </c>
      <c r="C22" s="118" t="s">
        <v>1225</v>
      </c>
      <c r="D22" s="167" t="s">
        <v>2640</v>
      </c>
      <c r="E22" s="120" t="s">
        <v>741</v>
      </c>
      <c r="F22" s="121" t="s">
        <v>153</v>
      </c>
      <c r="G22" s="167" t="s">
        <v>2640</v>
      </c>
      <c r="H22" s="121" t="s">
        <v>2393</v>
      </c>
      <c r="I22" s="121" t="s">
        <v>1905</v>
      </c>
      <c r="J22" s="122">
        <v>43831</v>
      </c>
      <c r="K22" s="22"/>
    </row>
    <row r="23" spans="1:11" ht="14.25" customHeight="1">
      <c r="A23" s="238" t="s">
        <v>347</v>
      </c>
      <c r="B23" s="117">
        <v>124</v>
      </c>
      <c r="C23" s="118" t="s">
        <v>1321</v>
      </c>
      <c r="D23" s="167" t="s">
        <v>1629</v>
      </c>
      <c r="E23" s="120" t="s">
        <v>934</v>
      </c>
      <c r="F23" s="121" t="s">
        <v>2649</v>
      </c>
      <c r="G23" s="167" t="s">
        <v>2014</v>
      </c>
      <c r="H23" s="121" t="s">
        <v>504</v>
      </c>
      <c r="I23" s="121" t="s">
        <v>2683</v>
      </c>
      <c r="J23" s="122">
        <v>43831</v>
      </c>
      <c r="K23" s="22"/>
    </row>
    <row r="24" spans="1:11" ht="14.25" customHeight="1">
      <c r="A24" s="238" t="s">
        <v>4059</v>
      </c>
      <c r="B24" s="117">
        <v>1818</v>
      </c>
      <c r="C24" s="118" t="s">
        <v>390</v>
      </c>
      <c r="D24" s="167" t="s">
        <v>2631</v>
      </c>
      <c r="E24" s="120" t="s">
        <v>142</v>
      </c>
      <c r="F24" s="121" t="s">
        <v>2057</v>
      </c>
      <c r="G24" s="167" t="s">
        <v>173</v>
      </c>
      <c r="H24" s="121" t="s">
        <v>2580</v>
      </c>
      <c r="I24" s="121" t="s">
        <v>2581</v>
      </c>
      <c r="J24" s="122">
        <v>43831</v>
      </c>
      <c r="K24" s="22"/>
    </row>
    <row r="25" spans="1:11" ht="14.25" customHeight="1">
      <c r="A25" s="138" t="s">
        <v>2926</v>
      </c>
      <c r="B25" s="123">
        <v>669</v>
      </c>
      <c r="C25" s="118" t="s">
        <v>731</v>
      </c>
      <c r="D25" s="167" t="s">
        <v>2640</v>
      </c>
      <c r="E25" s="120" t="s">
        <v>481</v>
      </c>
      <c r="F25" s="121" t="s">
        <v>2662</v>
      </c>
      <c r="G25" s="167" t="s">
        <v>2640</v>
      </c>
      <c r="H25" s="121" t="s">
        <v>2094</v>
      </c>
      <c r="I25" s="121" t="s">
        <v>2679</v>
      </c>
      <c r="J25" s="122">
        <v>43831</v>
      </c>
      <c r="K25" s="22"/>
    </row>
    <row r="26" spans="1:11" ht="14.25" customHeight="1">
      <c r="A26" s="138" t="s">
        <v>2183</v>
      </c>
      <c r="B26" s="123">
        <v>1982</v>
      </c>
      <c r="C26" s="118" t="s">
        <v>1224</v>
      </c>
      <c r="D26" s="167" t="s">
        <v>2640</v>
      </c>
      <c r="E26" s="120" t="s">
        <v>481</v>
      </c>
      <c r="F26" s="121" t="s">
        <v>2662</v>
      </c>
      <c r="G26" s="167" t="s">
        <v>2640</v>
      </c>
      <c r="H26" s="121" t="s">
        <v>2094</v>
      </c>
      <c r="I26" s="121" t="s">
        <v>2663</v>
      </c>
      <c r="J26" s="122">
        <v>43831</v>
      </c>
      <c r="K26" s="22"/>
    </row>
    <row r="27" spans="1:11" ht="14.25" customHeight="1">
      <c r="A27" s="138" t="s">
        <v>3339</v>
      </c>
      <c r="B27" s="123">
        <v>1076</v>
      </c>
      <c r="C27" s="118" t="s">
        <v>2035</v>
      </c>
      <c r="D27" s="167" t="s">
        <v>2641</v>
      </c>
      <c r="E27" s="120" t="s">
        <v>2274</v>
      </c>
      <c r="F27" s="121" t="s">
        <v>2673</v>
      </c>
      <c r="G27" s="167" t="s">
        <v>2641</v>
      </c>
      <c r="H27" s="121" t="s">
        <v>2672</v>
      </c>
      <c r="I27" s="121" t="s">
        <v>1932</v>
      </c>
      <c r="J27" s="122">
        <v>43831</v>
      </c>
      <c r="K27" s="22"/>
    </row>
    <row r="28" spans="1:11" ht="14.25" customHeight="1">
      <c r="A28" s="138" t="s">
        <v>3141</v>
      </c>
      <c r="B28" s="123">
        <v>2177</v>
      </c>
      <c r="C28" s="118" t="s">
        <v>686</v>
      </c>
      <c r="D28" s="167" t="s">
        <v>2641</v>
      </c>
      <c r="E28" s="120" t="s">
        <v>2274</v>
      </c>
      <c r="F28" s="121" t="s">
        <v>2673</v>
      </c>
      <c r="G28" s="167" t="s">
        <v>2641</v>
      </c>
      <c r="H28" s="121" t="s">
        <v>2672</v>
      </c>
      <c r="I28" s="121" t="s">
        <v>2682</v>
      </c>
      <c r="J28" s="122">
        <v>43831</v>
      </c>
      <c r="K28" s="22"/>
    </row>
    <row r="29" spans="1:11" ht="14.25" customHeight="1">
      <c r="A29" s="138" t="s">
        <v>4282</v>
      </c>
      <c r="B29" s="123">
        <v>2763</v>
      </c>
      <c r="C29" s="118" t="s">
        <v>392</v>
      </c>
      <c r="D29" s="167" t="s">
        <v>2641</v>
      </c>
      <c r="E29" s="120" t="s">
        <v>2274</v>
      </c>
      <c r="F29" s="121" t="s">
        <v>2673</v>
      </c>
      <c r="G29" s="167" t="s">
        <v>2641</v>
      </c>
      <c r="H29" s="121" t="s">
        <v>2672</v>
      </c>
      <c r="I29" s="121" t="s">
        <v>1932</v>
      </c>
      <c r="J29" s="122">
        <v>43831</v>
      </c>
      <c r="K29" s="22"/>
    </row>
    <row r="30" spans="1:11" ht="14.25" customHeight="1">
      <c r="A30" s="138" t="s">
        <v>4349</v>
      </c>
      <c r="B30" s="123">
        <v>2975</v>
      </c>
      <c r="C30" s="118" t="s">
        <v>686</v>
      </c>
      <c r="D30" s="167" t="s">
        <v>2641</v>
      </c>
      <c r="E30" s="120" t="s">
        <v>2274</v>
      </c>
      <c r="F30" s="121" t="s">
        <v>2673</v>
      </c>
      <c r="G30" s="167" t="s">
        <v>2641</v>
      </c>
      <c r="H30" s="121" t="s">
        <v>2672</v>
      </c>
      <c r="I30" s="121" t="s">
        <v>2682</v>
      </c>
      <c r="J30" s="122">
        <v>43831</v>
      </c>
      <c r="K30" s="22"/>
    </row>
    <row r="31" spans="1:11" ht="14.25" customHeight="1">
      <c r="A31" s="138" t="s">
        <v>3597</v>
      </c>
      <c r="B31" s="123">
        <v>276</v>
      </c>
      <c r="C31" s="118" t="s">
        <v>1585</v>
      </c>
      <c r="D31" s="167" t="s">
        <v>2014</v>
      </c>
      <c r="E31" s="120" t="s">
        <v>1090</v>
      </c>
      <c r="F31" s="121" t="s">
        <v>2674</v>
      </c>
      <c r="G31" s="167" t="s">
        <v>3079</v>
      </c>
      <c r="H31" s="121" t="s">
        <v>2377</v>
      </c>
      <c r="I31" s="121" t="s">
        <v>1395</v>
      </c>
      <c r="J31" s="122">
        <v>43831</v>
      </c>
      <c r="K31" s="22"/>
    </row>
    <row r="32" spans="1:11" ht="14.25" customHeight="1">
      <c r="A32" s="138" t="s">
        <v>3983</v>
      </c>
      <c r="B32" s="123">
        <v>1562</v>
      </c>
      <c r="C32" s="118" t="s">
        <v>2036</v>
      </c>
      <c r="D32" s="167" t="s">
        <v>1629</v>
      </c>
      <c r="E32" s="120" t="s">
        <v>934</v>
      </c>
      <c r="F32" s="121" t="s">
        <v>347</v>
      </c>
      <c r="G32" s="167" t="s">
        <v>3079</v>
      </c>
      <c r="H32" s="121" t="s">
        <v>2378</v>
      </c>
      <c r="I32" s="121" t="s">
        <v>544</v>
      </c>
      <c r="J32" s="122">
        <v>43831</v>
      </c>
      <c r="K32" s="22"/>
    </row>
    <row r="33" spans="1:11" ht="14.25" customHeight="1">
      <c r="A33" s="138" t="s">
        <v>3764</v>
      </c>
      <c r="B33" s="123">
        <v>839</v>
      </c>
      <c r="C33" s="118" t="s">
        <v>1585</v>
      </c>
      <c r="D33" s="119" t="s">
        <v>2283</v>
      </c>
      <c r="E33" s="120" t="s">
        <v>2069</v>
      </c>
      <c r="F33" s="121" t="s">
        <v>2676</v>
      </c>
      <c r="G33" s="119" t="s">
        <v>3079</v>
      </c>
      <c r="H33" s="121" t="s">
        <v>2378</v>
      </c>
      <c r="I33" s="121" t="s">
        <v>2685</v>
      </c>
      <c r="J33" s="122">
        <v>43831</v>
      </c>
      <c r="K33" s="22"/>
    </row>
    <row r="34" spans="1:11" ht="14.25" customHeight="1">
      <c r="A34" s="138" t="s">
        <v>339</v>
      </c>
      <c r="B34" s="123">
        <v>287</v>
      </c>
      <c r="C34" s="118" t="s">
        <v>2036</v>
      </c>
      <c r="D34" s="119" t="s">
        <v>3079</v>
      </c>
      <c r="E34" s="120" t="s">
        <v>2377</v>
      </c>
      <c r="F34" s="121" t="s">
        <v>1395</v>
      </c>
      <c r="G34" s="119" t="s">
        <v>3079</v>
      </c>
      <c r="H34" s="121" t="s">
        <v>2675</v>
      </c>
      <c r="I34" s="121" t="s">
        <v>2684</v>
      </c>
      <c r="J34" s="122">
        <v>43831</v>
      </c>
      <c r="K34" s="22"/>
    </row>
    <row r="35" spans="1:11" ht="14.25" customHeight="1">
      <c r="A35" s="138" t="s">
        <v>529</v>
      </c>
      <c r="B35" s="123">
        <v>731</v>
      </c>
      <c r="C35" s="118" t="s">
        <v>2036</v>
      </c>
      <c r="D35" s="167" t="s">
        <v>3079</v>
      </c>
      <c r="E35" s="120" t="s">
        <v>2378</v>
      </c>
      <c r="F35" s="121" t="s">
        <v>544</v>
      </c>
      <c r="G35" s="119" t="s">
        <v>3079</v>
      </c>
      <c r="H35" s="121" t="s">
        <v>2686</v>
      </c>
      <c r="I35" s="121" t="s">
        <v>2684</v>
      </c>
      <c r="J35" s="122">
        <v>43831</v>
      </c>
      <c r="K35" s="22"/>
    </row>
    <row r="36" spans="1:11" ht="14.25" customHeight="1">
      <c r="A36" s="138" t="s">
        <v>3921</v>
      </c>
      <c r="B36" s="123">
        <v>1327</v>
      </c>
      <c r="C36" s="118" t="s">
        <v>223</v>
      </c>
      <c r="D36" s="167" t="s">
        <v>1454</v>
      </c>
      <c r="E36" s="120" t="s">
        <v>684</v>
      </c>
      <c r="F36" s="121" t="s">
        <v>541</v>
      </c>
      <c r="G36" s="119" t="s">
        <v>1454</v>
      </c>
      <c r="H36" s="121" t="s">
        <v>683</v>
      </c>
      <c r="I36" s="121" t="s">
        <v>1900</v>
      </c>
      <c r="J36" s="122">
        <v>43832</v>
      </c>
      <c r="K36" s="22"/>
    </row>
    <row r="37" spans="1:11" ht="14.25" customHeight="1">
      <c r="A37" s="138" t="s">
        <v>3904</v>
      </c>
      <c r="B37" s="123">
        <v>1273</v>
      </c>
      <c r="C37" s="118" t="s">
        <v>223</v>
      </c>
      <c r="D37" s="167" t="s">
        <v>1454</v>
      </c>
      <c r="E37" s="120" t="s">
        <v>683</v>
      </c>
      <c r="F37" s="121" t="s">
        <v>1900</v>
      </c>
      <c r="G37" s="119" t="s">
        <v>1454</v>
      </c>
      <c r="H37" s="121" t="s">
        <v>684</v>
      </c>
      <c r="I37" s="121" t="s">
        <v>541</v>
      </c>
      <c r="J37" s="122">
        <v>43832</v>
      </c>
      <c r="K37" s="22"/>
    </row>
    <row r="38" spans="1:11" ht="14.25" customHeight="1">
      <c r="A38" s="138" t="s">
        <v>2692</v>
      </c>
      <c r="B38" s="123">
        <v>70542</v>
      </c>
      <c r="C38" s="118" t="s">
        <v>643</v>
      </c>
      <c r="D38" s="167" t="s">
        <v>1827</v>
      </c>
      <c r="E38" s="120" t="s">
        <v>1259</v>
      </c>
      <c r="F38" s="121" t="s">
        <v>1584</v>
      </c>
      <c r="G38" s="167" t="s">
        <v>1044</v>
      </c>
      <c r="H38" s="121" t="s">
        <v>597</v>
      </c>
      <c r="I38" s="121" t="s">
        <v>1892</v>
      </c>
      <c r="J38" s="122">
        <v>43832</v>
      </c>
      <c r="K38" s="22"/>
    </row>
    <row r="39" spans="1:11" ht="14.25" customHeight="1">
      <c r="A39" s="138" t="s">
        <v>2690</v>
      </c>
      <c r="B39" s="123">
        <v>64468</v>
      </c>
      <c r="C39" s="118" t="s">
        <v>1585</v>
      </c>
      <c r="D39" s="167" t="s">
        <v>1827</v>
      </c>
      <c r="E39" s="120" t="s">
        <v>1259</v>
      </c>
      <c r="F39" s="121" t="s">
        <v>2689</v>
      </c>
      <c r="G39" s="167" t="s">
        <v>2014</v>
      </c>
      <c r="H39" s="121" t="s">
        <v>503</v>
      </c>
      <c r="I39" s="121" t="s">
        <v>1565</v>
      </c>
      <c r="J39" s="122">
        <v>43832</v>
      </c>
      <c r="K39" s="22"/>
    </row>
    <row r="40" spans="1:11" ht="14.25" customHeight="1">
      <c r="A40" s="138" t="s">
        <v>4017</v>
      </c>
      <c r="B40" s="123">
        <v>1675</v>
      </c>
      <c r="C40" s="118" t="s">
        <v>223</v>
      </c>
      <c r="D40" s="167" t="s">
        <v>1435</v>
      </c>
      <c r="E40" s="120" t="s">
        <v>2023</v>
      </c>
      <c r="F40" s="121" t="s">
        <v>1554</v>
      </c>
      <c r="G40" s="167" t="s">
        <v>1435</v>
      </c>
      <c r="H40" s="121" t="s">
        <v>2160</v>
      </c>
      <c r="I40" s="121" t="s">
        <v>1567</v>
      </c>
      <c r="J40" s="122">
        <v>43832</v>
      </c>
      <c r="K40" s="22"/>
    </row>
    <row r="41" spans="1:11" ht="14.25" customHeight="1">
      <c r="A41" s="138" t="s">
        <v>3961</v>
      </c>
      <c r="B41" s="123">
        <v>1451</v>
      </c>
      <c r="C41" s="118" t="s">
        <v>686</v>
      </c>
      <c r="D41" s="167" t="s">
        <v>173</v>
      </c>
      <c r="E41" s="120" t="s">
        <v>2059</v>
      </c>
      <c r="F41" s="121" t="s">
        <v>1936</v>
      </c>
      <c r="G41" s="167" t="s">
        <v>1435</v>
      </c>
      <c r="H41" s="121" t="s">
        <v>2405</v>
      </c>
      <c r="I41" s="121" t="s">
        <v>1925</v>
      </c>
      <c r="J41" s="122">
        <v>43832</v>
      </c>
      <c r="K41" s="22"/>
    </row>
    <row r="42" spans="1:11" ht="14.25" customHeight="1">
      <c r="A42" s="138" t="s">
        <v>3134</v>
      </c>
      <c r="B42" s="123">
        <v>1904</v>
      </c>
      <c r="C42" s="118" t="s">
        <v>2287</v>
      </c>
      <c r="D42" s="167" t="s">
        <v>1435</v>
      </c>
      <c r="E42" s="120" t="s">
        <v>2696</v>
      </c>
      <c r="F42" s="121" t="s">
        <v>1567</v>
      </c>
      <c r="G42" s="167" t="s">
        <v>173</v>
      </c>
      <c r="H42" s="121" t="s">
        <v>2061</v>
      </c>
      <c r="I42" s="121" t="s">
        <v>1925</v>
      </c>
      <c r="J42" s="122">
        <v>43832</v>
      </c>
      <c r="K42" s="22"/>
    </row>
    <row r="43" spans="1:11" ht="14.25" customHeight="1">
      <c r="A43" s="138" t="s">
        <v>3148</v>
      </c>
      <c r="B43" s="123">
        <v>2549</v>
      </c>
      <c r="C43" s="118" t="s">
        <v>391</v>
      </c>
      <c r="D43" s="167" t="s">
        <v>173</v>
      </c>
      <c r="E43" s="120" t="s">
        <v>2130</v>
      </c>
      <c r="F43" s="121" t="s">
        <v>1925</v>
      </c>
      <c r="G43" s="167" t="s">
        <v>173</v>
      </c>
      <c r="H43" s="121" t="s">
        <v>880</v>
      </c>
      <c r="I43" s="121" t="s">
        <v>1925</v>
      </c>
      <c r="J43" s="122">
        <v>43832</v>
      </c>
      <c r="K43" s="22"/>
    </row>
    <row r="44" spans="1:11" ht="14.25" customHeight="1">
      <c r="A44" s="138" t="s">
        <v>4428</v>
      </c>
      <c r="B44" s="123">
        <v>3111</v>
      </c>
      <c r="C44" s="118" t="s">
        <v>2611</v>
      </c>
      <c r="D44" s="167" t="s">
        <v>173</v>
      </c>
      <c r="E44" s="120" t="s">
        <v>219</v>
      </c>
      <c r="F44" s="121" t="s">
        <v>1925</v>
      </c>
      <c r="G44" s="167" t="s">
        <v>173</v>
      </c>
      <c r="H44" s="121" t="s">
        <v>880</v>
      </c>
      <c r="I44" s="121" t="s">
        <v>1925</v>
      </c>
      <c r="J44" s="122">
        <v>43832</v>
      </c>
      <c r="K44" s="22"/>
    </row>
    <row r="45" spans="1:11" ht="14.25" customHeight="1">
      <c r="A45" s="138" t="s">
        <v>3151</v>
      </c>
      <c r="B45" s="123">
        <v>2861</v>
      </c>
      <c r="C45" s="118" t="s">
        <v>686</v>
      </c>
      <c r="D45" s="167" t="s">
        <v>173</v>
      </c>
      <c r="E45" s="120" t="s">
        <v>2058</v>
      </c>
      <c r="F45" s="121" t="s">
        <v>1936</v>
      </c>
      <c r="G45" s="119" t="s">
        <v>173</v>
      </c>
      <c r="H45" s="121" t="s">
        <v>681</v>
      </c>
      <c r="I45" s="121" t="s">
        <v>1936</v>
      </c>
      <c r="J45" s="122">
        <v>43832</v>
      </c>
      <c r="K45" s="22"/>
    </row>
    <row r="46" spans="1:11" ht="14.25" customHeight="1">
      <c r="A46" s="138" t="s">
        <v>3422</v>
      </c>
      <c r="B46" s="123">
        <v>2935</v>
      </c>
      <c r="C46" s="118" t="s">
        <v>686</v>
      </c>
      <c r="D46" s="167" t="s">
        <v>173</v>
      </c>
      <c r="E46" s="120" t="s">
        <v>2059</v>
      </c>
      <c r="F46" s="121" t="s">
        <v>1936</v>
      </c>
      <c r="G46" s="119" t="s">
        <v>173</v>
      </c>
      <c r="H46" s="121" t="s">
        <v>681</v>
      </c>
      <c r="I46" s="121" t="s">
        <v>1936</v>
      </c>
      <c r="J46" s="122">
        <v>43832</v>
      </c>
      <c r="K46" s="22"/>
    </row>
    <row r="47" spans="1:11" ht="14.25" customHeight="1">
      <c r="A47" s="138" t="s">
        <v>3640</v>
      </c>
      <c r="B47" s="123">
        <v>451</v>
      </c>
      <c r="C47" s="118" t="s">
        <v>392</v>
      </c>
      <c r="D47" s="167" t="s">
        <v>173</v>
      </c>
      <c r="E47" s="120" t="s">
        <v>681</v>
      </c>
      <c r="F47" s="121" t="s">
        <v>1936</v>
      </c>
      <c r="G47" s="119" t="s">
        <v>173</v>
      </c>
      <c r="H47" s="121" t="s">
        <v>2703</v>
      </c>
      <c r="I47" s="121" t="s">
        <v>1936</v>
      </c>
      <c r="J47" s="122">
        <v>43832</v>
      </c>
      <c r="K47" s="22"/>
    </row>
    <row r="48" spans="1:11" ht="14.25" customHeight="1">
      <c r="A48" s="138" t="s">
        <v>4175</v>
      </c>
      <c r="B48" s="123">
        <v>2158</v>
      </c>
      <c r="C48" s="118" t="s">
        <v>223</v>
      </c>
      <c r="D48" s="119" t="s">
        <v>2283</v>
      </c>
      <c r="E48" s="120" t="s">
        <v>2323</v>
      </c>
      <c r="F48" s="121" t="s">
        <v>1904</v>
      </c>
      <c r="G48" s="119" t="s">
        <v>1435</v>
      </c>
      <c r="H48" s="121" t="s">
        <v>2091</v>
      </c>
      <c r="I48" s="121" t="s">
        <v>1924</v>
      </c>
      <c r="J48" s="122">
        <v>43832</v>
      </c>
      <c r="K48" s="22"/>
    </row>
    <row r="49" spans="1:11" ht="14.25" customHeight="1">
      <c r="A49" s="138" t="s">
        <v>2481</v>
      </c>
      <c r="B49" s="123">
        <v>1092</v>
      </c>
      <c r="C49" s="118" t="s">
        <v>223</v>
      </c>
      <c r="D49" s="119" t="s">
        <v>1435</v>
      </c>
      <c r="E49" s="120" t="s">
        <v>2091</v>
      </c>
      <c r="F49" s="121" t="s">
        <v>1924</v>
      </c>
      <c r="G49" s="119" t="s">
        <v>1435</v>
      </c>
      <c r="H49" s="121" t="s">
        <v>2331</v>
      </c>
      <c r="I49" s="121" t="s">
        <v>1913</v>
      </c>
      <c r="J49" s="122">
        <v>43832</v>
      </c>
      <c r="K49" s="22"/>
    </row>
    <row r="50" spans="1:11" ht="14.25" customHeight="1">
      <c r="A50" s="138" t="s">
        <v>2697</v>
      </c>
      <c r="B50" s="123">
        <v>64465</v>
      </c>
      <c r="C50" s="118" t="s">
        <v>643</v>
      </c>
      <c r="D50" s="119" t="s">
        <v>2014</v>
      </c>
      <c r="E50" s="120" t="s">
        <v>1452</v>
      </c>
      <c r="F50" s="121" t="s">
        <v>1386</v>
      </c>
      <c r="G50" s="119" t="s">
        <v>1044</v>
      </c>
      <c r="H50" s="121" t="s">
        <v>1483</v>
      </c>
      <c r="I50" s="121" t="s">
        <v>2406</v>
      </c>
      <c r="J50" s="122">
        <v>43837</v>
      </c>
      <c r="K50" s="22"/>
    </row>
    <row r="51" spans="1:11" ht="14.25" customHeight="1">
      <c r="A51" s="138" t="s">
        <v>1383</v>
      </c>
      <c r="B51" s="123">
        <v>268</v>
      </c>
      <c r="C51" s="118" t="s">
        <v>1320</v>
      </c>
      <c r="D51" s="167" t="s">
        <v>2014</v>
      </c>
      <c r="E51" s="120" t="s">
        <v>454</v>
      </c>
      <c r="F51" s="121" t="s">
        <v>535</v>
      </c>
      <c r="G51" s="119" t="s">
        <v>2014</v>
      </c>
      <c r="H51" s="121" t="s">
        <v>1262</v>
      </c>
      <c r="I51" s="121" t="s">
        <v>2698</v>
      </c>
      <c r="J51" s="122">
        <v>43837</v>
      </c>
      <c r="K51" s="22"/>
    </row>
    <row r="52" spans="1:11" s="66" customFormat="1" ht="14.25" customHeight="1">
      <c r="A52" s="138" t="s">
        <v>2969</v>
      </c>
      <c r="B52" s="123">
        <v>984</v>
      </c>
      <c r="C52" s="118" t="s">
        <v>223</v>
      </c>
      <c r="D52" s="167" t="s">
        <v>1433</v>
      </c>
      <c r="E52" s="120" t="s">
        <v>1045</v>
      </c>
      <c r="F52" s="121" t="s">
        <v>1926</v>
      </c>
      <c r="G52" s="119" t="e">
        <v>#N/A</v>
      </c>
      <c r="H52" s="121" t="s">
        <v>2699</v>
      </c>
      <c r="I52" s="121" t="s">
        <v>1881</v>
      </c>
      <c r="J52" s="122">
        <v>43837</v>
      </c>
      <c r="K52" s="22"/>
    </row>
    <row r="53" spans="1:11" s="66" customFormat="1" ht="14.25" customHeight="1">
      <c r="A53" s="138" t="s">
        <v>2967</v>
      </c>
      <c r="B53" s="123">
        <v>2464</v>
      </c>
      <c r="C53" s="118" t="s">
        <v>451</v>
      </c>
      <c r="D53" s="167" t="s">
        <v>1433</v>
      </c>
      <c r="E53" s="120" t="s">
        <v>844</v>
      </c>
      <c r="F53" s="121" t="s">
        <v>1903</v>
      </c>
      <c r="G53" s="119" t="e">
        <v>#N/A</v>
      </c>
      <c r="H53" s="121" t="s">
        <v>2699</v>
      </c>
      <c r="I53" s="121" t="s">
        <v>1881</v>
      </c>
      <c r="J53" s="122">
        <v>43837</v>
      </c>
      <c r="K53" s="22"/>
    </row>
    <row r="54" spans="1:11" s="66" customFormat="1" ht="14.25" customHeight="1">
      <c r="A54" s="138" t="s">
        <v>2701</v>
      </c>
      <c r="B54" s="123">
        <v>70551</v>
      </c>
      <c r="C54" s="118" t="s">
        <v>643</v>
      </c>
      <c r="D54" s="119" t="s">
        <v>2014</v>
      </c>
      <c r="E54" s="120" t="s">
        <v>503</v>
      </c>
      <c r="F54" s="121" t="s">
        <v>1565</v>
      </c>
      <c r="G54" s="119" t="s">
        <v>2014</v>
      </c>
      <c r="H54" s="121" t="s">
        <v>1090</v>
      </c>
      <c r="I54" s="121" t="s">
        <v>1908</v>
      </c>
      <c r="J54" s="122">
        <v>43839</v>
      </c>
      <c r="K54" s="22"/>
    </row>
    <row r="55" spans="1:11" s="66" customFormat="1" ht="14.25" customHeight="1">
      <c r="A55" s="138" t="s">
        <v>2700</v>
      </c>
      <c r="B55" s="123">
        <v>70550</v>
      </c>
      <c r="C55" s="118" t="s">
        <v>643</v>
      </c>
      <c r="D55" s="167" t="s">
        <v>2014</v>
      </c>
      <c r="E55" s="120" t="s">
        <v>1090</v>
      </c>
      <c r="F55" s="121" t="s">
        <v>1908</v>
      </c>
      <c r="G55" s="167" t="s">
        <v>2014</v>
      </c>
      <c r="H55" s="121" t="s">
        <v>503</v>
      </c>
      <c r="I55" s="121" t="s">
        <v>1565</v>
      </c>
      <c r="J55" s="122">
        <v>43839</v>
      </c>
      <c r="K55" s="22"/>
    </row>
    <row r="56" spans="1:11" s="66" customFormat="1" ht="14.25" customHeight="1">
      <c r="A56" s="138" t="s">
        <v>2142</v>
      </c>
      <c r="B56" s="123">
        <v>1012</v>
      </c>
      <c r="C56" s="118" t="s">
        <v>223</v>
      </c>
      <c r="D56" s="167" t="s">
        <v>1454</v>
      </c>
      <c r="E56" s="120" t="s">
        <v>685</v>
      </c>
      <c r="F56" s="121" t="s">
        <v>1559</v>
      </c>
      <c r="G56" s="167" t="s">
        <v>1454</v>
      </c>
      <c r="H56" s="121" t="s">
        <v>683</v>
      </c>
      <c r="I56" s="121" t="s">
        <v>1900</v>
      </c>
      <c r="J56" s="122">
        <v>43843</v>
      </c>
      <c r="K56" s="22"/>
    </row>
    <row r="57" spans="1:11" s="66" customFormat="1" ht="14.25" customHeight="1">
      <c r="A57" s="138" t="s">
        <v>2144</v>
      </c>
      <c r="B57" s="123">
        <v>732</v>
      </c>
      <c r="C57" s="118" t="s">
        <v>223</v>
      </c>
      <c r="D57" s="167" t="s">
        <v>1454</v>
      </c>
      <c r="E57" s="120" t="s">
        <v>683</v>
      </c>
      <c r="F57" s="121" t="s">
        <v>1900</v>
      </c>
      <c r="G57" s="167" t="s">
        <v>1454</v>
      </c>
      <c r="H57" s="121" t="s">
        <v>685</v>
      </c>
      <c r="I57" s="121" t="s">
        <v>1559</v>
      </c>
      <c r="J57" s="122">
        <v>43843</v>
      </c>
      <c r="K57" s="22"/>
    </row>
    <row r="58" spans="1:11" s="66" customFormat="1" ht="14.25" customHeight="1">
      <c r="A58" s="138" t="s">
        <v>2702</v>
      </c>
      <c r="B58" s="123">
        <v>70553</v>
      </c>
      <c r="C58" s="118" t="s">
        <v>643</v>
      </c>
      <c r="D58" s="167" t="s">
        <v>1454</v>
      </c>
      <c r="E58" s="120" t="s">
        <v>683</v>
      </c>
      <c r="F58" s="121" t="s">
        <v>1900</v>
      </c>
      <c r="G58" s="167" t="s">
        <v>1454</v>
      </c>
      <c r="H58" s="121" t="s">
        <v>684</v>
      </c>
      <c r="I58" s="121" t="s">
        <v>541</v>
      </c>
      <c r="J58" s="122">
        <v>43843</v>
      </c>
      <c r="K58" s="22"/>
    </row>
    <row r="59" spans="1:11" s="66" customFormat="1" ht="14.25" customHeight="1">
      <c r="A59" s="138" t="s">
        <v>3719</v>
      </c>
      <c r="B59" s="123">
        <v>675</v>
      </c>
      <c r="C59" s="118" t="s">
        <v>223</v>
      </c>
      <c r="D59" s="167" t="s">
        <v>450</v>
      </c>
      <c r="E59" s="120" t="s">
        <v>2402</v>
      </c>
      <c r="F59" s="121" t="s">
        <v>1910</v>
      </c>
      <c r="G59" s="167" t="s">
        <v>1454</v>
      </c>
      <c r="H59" s="121" t="s">
        <v>1960</v>
      </c>
      <c r="I59" s="121" t="s">
        <v>1923</v>
      </c>
      <c r="J59" s="122">
        <v>43843</v>
      </c>
      <c r="K59" s="22"/>
    </row>
    <row r="60" spans="1:11" s="66" customFormat="1" ht="14.25" customHeight="1">
      <c r="A60" s="138" t="s">
        <v>4240</v>
      </c>
      <c r="B60" s="123">
        <v>2482</v>
      </c>
      <c r="C60" s="118" t="s">
        <v>223</v>
      </c>
      <c r="D60" s="167" t="s">
        <v>450</v>
      </c>
      <c r="E60" s="120" t="s">
        <v>2687</v>
      </c>
      <c r="F60" s="121" t="s">
        <v>1910</v>
      </c>
      <c r="G60" s="119" t="s">
        <v>450</v>
      </c>
      <c r="H60" s="121" t="s">
        <v>881</v>
      </c>
      <c r="I60" s="121" t="s">
        <v>1561</v>
      </c>
      <c r="J60" s="122">
        <v>43843</v>
      </c>
      <c r="K60" s="22"/>
    </row>
    <row r="61" spans="1:11" s="66" customFormat="1" ht="14.25" customHeight="1">
      <c r="A61" s="138" t="s">
        <v>3820</v>
      </c>
      <c r="B61" s="123">
        <v>1028</v>
      </c>
      <c r="C61" s="118" t="s">
        <v>451</v>
      </c>
      <c r="D61" s="167" t="s">
        <v>450</v>
      </c>
      <c r="E61" s="120" t="s">
        <v>507</v>
      </c>
      <c r="F61" s="121" t="s">
        <v>1562</v>
      </c>
      <c r="G61" s="119" t="s">
        <v>450</v>
      </c>
      <c r="H61" s="121" t="s">
        <v>234</v>
      </c>
      <c r="I61" s="121" t="s">
        <v>1560</v>
      </c>
      <c r="J61" s="122">
        <v>43843</v>
      </c>
      <c r="K61" s="22"/>
    </row>
    <row r="62" spans="1:11" s="66" customFormat="1" ht="14.25" customHeight="1">
      <c r="A62" s="138" t="s">
        <v>3700</v>
      </c>
      <c r="B62" s="123">
        <v>627</v>
      </c>
      <c r="C62" s="118" t="s">
        <v>451</v>
      </c>
      <c r="D62" s="167" t="s">
        <v>1044</v>
      </c>
      <c r="E62" s="120" t="s">
        <v>1264</v>
      </c>
      <c r="F62" s="121" t="s">
        <v>1396</v>
      </c>
      <c r="G62" s="119" t="s">
        <v>1044</v>
      </c>
      <c r="H62" s="121" t="s">
        <v>1081</v>
      </c>
      <c r="I62" s="121" t="s">
        <v>2547</v>
      </c>
      <c r="J62" s="122">
        <v>43850</v>
      </c>
      <c r="K62" s="22"/>
    </row>
    <row r="63" spans="1:11" s="66" customFormat="1" ht="14.25" customHeight="1">
      <c r="A63" s="138" t="s">
        <v>3357</v>
      </c>
      <c r="B63" s="123">
        <v>2313</v>
      </c>
      <c r="C63" s="118" t="s">
        <v>451</v>
      </c>
      <c r="D63" s="167" t="s">
        <v>1044</v>
      </c>
      <c r="E63" s="120" t="s">
        <v>238</v>
      </c>
      <c r="F63" s="121" t="s">
        <v>1584</v>
      </c>
      <c r="G63" s="119" t="s">
        <v>1044</v>
      </c>
      <c r="H63" s="121" t="s">
        <v>438</v>
      </c>
      <c r="I63" s="121" t="s">
        <v>1390</v>
      </c>
      <c r="J63" s="122">
        <v>43850</v>
      </c>
      <c r="K63" s="22"/>
    </row>
    <row r="64" spans="1:11" s="66" customFormat="1" ht="14.25" customHeight="1">
      <c r="A64" s="138" t="e">
        <v>#N/A</v>
      </c>
      <c r="B64" s="123">
        <v>70549</v>
      </c>
      <c r="C64" s="118" t="e">
        <v>#N/A</v>
      </c>
      <c r="D64" s="167" t="s">
        <v>1433</v>
      </c>
      <c r="E64" s="120" t="s">
        <v>844</v>
      </c>
      <c r="F64" s="121" t="s">
        <v>1903</v>
      </c>
      <c r="G64" s="119" t="s">
        <v>2283</v>
      </c>
      <c r="H64" s="121" t="s">
        <v>2072</v>
      </c>
      <c r="I64" s="121" t="s">
        <v>1398</v>
      </c>
      <c r="J64" s="122">
        <v>43850</v>
      </c>
      <c r="K64" s="22"/>
    </row>
    <row r="65" spans="1:11" s="66" customFormat="1" ht="14.25" customHeight="1">
      <c r="A65" s="138" t="s">
        <v>2709</v>
      </c>
      <c r="B65" s="123">
        <v>64500</v>
      </c>
      <c r="C65" s="118" t="s">
        <v>643</v>
      </c>
      <c r="D65" s="167" t="s">
        <v>2014</v>
      </c>
      <c r="E65" s="120" t="s">
        <v>1262</v>
      </c>
      <c r="F65" s="121" t="s">
        <v>1383</v>
      </c>
      <c r="G65" s="119" t="s">
        <v>2014</v>
      </c>
      <c r="H65" s="121" t="s">
        <v>1452</v>
      </c>
      <c r="I65" s="121" t="s">
        <v>1386</v>
      </c>
      <c r="J65" s="122">
        <v>43854</v>
      </c>
      <c r="K65" s="22"/>
    </row>
    <row r="66" spans="1:11" s="66" customFormat="1" ht="14.25" customHeight="1">
      <c r="A66" s="138" t="s">
        <v>2107</v>
      </c>
      <c r="B66" s="123">
        <v>2928</v>
      </c>
      <c r="C66" s="118" t="s">
        <v>451</v>
      </c>
      <c r="D66" s="167" t="s">
        <v>2014</v>
      </c>
      <c r="E66" s="120" t="s">
        <v>1090</v>
      </c>
      <c r="F66" s="121" t="s">
        <v>1908</v>
      </c>
      <c r="G66" s="119" t="s">
        <v>1433</v>
      </c>
      <c r="H66" s="121" t="s">
        <v>1325</v>
      </c>
      <c r="I66" s="121" t="s">
        <v>2159</v>
      </c>
      <c r="J66" s="122">
        <v>43857</v>
      </c>
      <c r="K66" s="22"/>
    </row>
    <row r="67" spans="1:11" s="66" customFormat="1" ht="14.25" customHeight="1">
      <c r="A67" s="138" t="s">
        <v>4235</v>
      </c>
      <c r="B67" s="123">
        <v>2446</v>
      </c>
      <c r="C67" s="118" t="s">
        <v>223</v>
      </c>
      <c r="D67" s="167" t="s">
        <v>2014</v>
      </c>
      <c r="E67" s="120" t="s">
        <v>220</v>
      </c>
      <c r="F67" s="121" t="s">
        <v>1877</v>
      </c>
      <c r="G67" s="119" t="s">
        <v>2014</v>
      </c>
      <c r="H67" s="121" t="s">
        <v>1262</v>
      </c>
      <c r="I67" s="121" t="s">
        <v>1383</v>
      </c>
      <c r="J67" s="122">
        <v>43857</v>
      </c>
      <c r="K67" s="22"/>
    </row>
    <row r="68" spans="1:11" s="66" customFormat="1" ht="14.25" customHeight="1">
      <c r="A68" s="138" t="s">
        <v>2760</v>
      </c>
      <c r="B68" s="123">
        <v>723</v>
      </c>
      <c r="C68" s="118" t="s">
        <v>1585</v>
      </c>
      <c r="D68" s="119" t="s">
        <v>1433</v>
      </c>
      <c r="E68" s="120" t="s">
        <v>549</v>
      </c>
      <c r="F68" s="121" t="s">
        <v>1881</v>
      </c>
      <c r="G68" s="119" t="s">
        <v>1433</v>
      </c>
      <c r="H68" s="121" t="s">
        <v>1969</v>
      </c>
      <c r="I68" s="121" t="s">
        <v>1887</v>
      </c>
      <c r="J68" s="122">
        <v>43861</v>
      </c>
      <c r="K68" s="22"/>
    </row>
    <row r="69" spans="1:11" s="66" customFormat="1" ht="14.25" customHeight="1">
      <c r="A69" s="138" t="s">
        <v>2617</v>
      </c>
      <c r="B69" s="123">
        <v>947</v>
      </c>
      <c r="C69" s="118" t="s">
        <v>1339</v>
      </c>
      <c r="D69" s="119" t="s">
        <v>1433</v>
      </c>
      <c r="E69" s="120" t="s">
        <v>549</v>
      </c>
      <c r="F69" s="121" t="s">
        <v>1881</v>
      </c>
      <c r="G69" s="119" t="s">
        <v>1433</v>
      </c>
      <c r="H69" s="121" t="s">
        <v>1969</v>
      </c>
      <c r="I69" s="121" t="s">
        <v>1887</v>
      </c>
      <c r="J69" s="122">
        <v>43861</v>
      </c>
      <c r="K69" s="22"/>
    </row>
    <row r="70" spans="1:11" s="66" customFormat="1" ht="14.25" customHeight="1">
      <c r="A70" s="138" t="s">
        <v>3590</v>
      </c>
      <c r="B70" s="123">
        <v>255</v>
      </c>
      <c r="C70" s="118" t="s">
        <v>2287</v>
      </c>
      <c r="D70" s="119" t="s">
        <v>1433</v>
      </c>
      <c r="E70" s="120" t="s">
        <v>1969</v>
      </c>
      <c r="F70" s="121" t="s">
        <v>1887</v>
      </c>
      <c r="G70" s="119" t="s">
        <v>2641</v>
      </c>
      <c r="H70" s="121" t="s">
        <v>2672</v>
      </c>
      <c r="I70" s="121" t="s">
        <v>1932</v>
      </c>
      <c r="J70" s="122">
        <v>43861</v>
      </c>
      <c r="K70" s="22"/>
    </row>
    <row r="71" spans="1:11" s="66" customFormat="1" ht="14.25" customHeight="1">
      <c r="A71" s="138" t="s">
        <v>2390</v>
      </c>
      <c r="B71" s="123">
        <v>581</v>
      </c>
      <c r="C71" s="118" t="s">
        <v>686</v>
      </c>
      <c r="D71" s="119" t="s">
        <v>2641</v>
      </c>
      <c r="E71" s="120" t="s">
        <v>599</v>
      </c>
      <c r="F71" s="121" t="s">
        <v>1938</v>
      </c>
      <c r="G71" s="119" t="s">
        <v>2641</v>
      </c>
      <c r="H71" s="121" t="s">
        <v>1</v>
      </c>
      <c r="I71" s="121" t="s">
        <v>2141</v>
      </c>
      <c r="J71" s="122">
        <v>43862</v>
      </c>
      <c r="K71" s="22"/>
    </row>
    <row r="72" spans="1:11" s="66" customFormat="1" ht="14.25" customHeight="1">
      <c r="A72" s="138" t="s">
        <v>1390</v>
      </c>
      <c r="B72" s="123">
        <v>94</v>
      </c>
      <c r="C72" s="118" t="s">
        <v>1321</v>
      </c>
      <c r="D72" s="119" t="s">
        <v>1044</v>
      </c>
      <c r="E72" s="120" t="s">
        <v>438</v>
      </c>
      <c r="F72" s="121" t="s">
        <v>1584</v>
      </c>
      <c r="G72" s="119" t="s">
        <v>2588</v>
      </c>
      <c r="H72" s="121" t="s">
        <v>2707</v>
      </c>
      <c r="I72" s="121" t="s">
        <v>2684</v>
      </c>
      <c r="J72" s="122">
        <v>43862</v>
      </c>
      <c r="K72" s="22"/>
    </row>
    <row r="73" spans="1:11" s="66" customFormat="1" ht="14.25" customHeight="1">
      <c r="A73" s="138" t="s">
        <v>1394</v>
      </c>
      <c r="B73" s="123">
        <v>141</v>
      </c>
      <c r="C73" s="118" t="s">
        <v>223</v>
      </c>
      <c r="D73" s="119" t="s">
        <v>1435</v>
      </c>
      <c r="E73" s="120" t="s">
        <v>2331</v>
      </c>
      <c r="F73" s="121" t="s">
        <v>1913</v>
      </c>
      <c r="G73" s="119" t="s">
        <v>1435</v>
      </c>
      <c r="H73" s="121" t="s">
        <v>2729</v>
      </c>
      <c r="I73" s="121" t="s">
        <v>1913</v>
      </c>
      <c r="J73" s="122">
        <v>43862</v>
      </c>
      <c r="K73" s="22"/>
    </row>
    <row r="74" spans="1:11" s="66" customFormat="1" ht="14.25" customHeight="1">
      <c r="A74" s="138" t="s">
        <v>3130</v>
      </c>
      <c r="B74" s="123">
        <v>1670</v>
      </c>
      <c r="C74" s="118" t="s">
        <v>2037</v>
      </c>
      <c r="D74" s="119" t="s">
        <v>1435</v>
      </c>
      <c r="E74" s="120" t="s">
        <v>2331</v>
      </c>
      <c r="F74" s="121" t="s">
        <v>1913</v>
      </c>
      <c r="G74" s="119" t="s">
        <v>1435</v>
      </c>
      <c r="H74" s="121" t="s">
        <v>2728</v>
      </c>
      <c r="I74" s="121" t="s">
        <v>1913</v>
      </c>
      <c r="J74" s="122">
        <v>43862</v>
      </c>
      <c r="K74" s="22"/>
    </row>
    <row r="75" spans="1:11" s="66" customFormat="1" ht="14.25" customHeight="1">
      <c r="A75" s="138" t="s">
        <v>3130</v>
      </c>
      <c r="B75" s="123">
        <v>1670</v>
      </c>
      <c r="C75" s="118" t="s">
        <v>2037</v>
      </c>
      <c r="D75" s="119" t="s">
        <v>1435</v>
      </c>
      <c r="E75" s="120" t="s">
        <v>2331</v>
      </c>
      <c r="F75" s="121" t="s">
        <v>1913</v>
      </c>
      <c r="G75" s="119" t="s">
        <v>1435</v>
      </c>
      <c r="H75" s="121" t="s">
        <v>2728</v>
      </c>
      <c r="I75" s="121" t="s">
        <v>1913</v>
      </c>
      <c r="J75" s="122">
        <v>43862</v>
      </c>
      <c r="K75" s="22"/>
    </row>
    <row r="76" spans="1:11" s="66" customFormat="1" ht="14.25" customHeight="1">
      <c r="A76" s="138" t="s">
        <v>3677</v>
      </c>
      <c r="B76" s="123">
        <v>550</v>
      </c>
      <c r="C76" s="118" t="s">
        <v>2287</v>
      </c>
      <c r="D76" s="119" t="s">
        <v>2641</v>
      </c>
      <c r="E76" s="120" t="s">
        <v>2182</v>
      </c>
      <c r="F76" s="121" t="s">
        <v>1937</v>
      </c>
      <c r="G76" s="119" t="s">
        <v>2641</v>
      </c>
      <c r="H76" s="121" t="s">
        <v>2672</v>
      </c>
      <c r="I76" s="121" t="s">
        <v>1932</v>
      </c>
      <c r="J76" s="122">
        <v>43862</v>
      </c>
      <c r="K76" s="22"/>
    </row>
    <row r="77" spans="1:11" s="66" customFormat="1" ht="14.25" customHeight="1">
      <c r="A77" s="138" t="s">
        <v>2382</v>
      </c>
      <c r="B77" s="123">
        <v>1317</v>
      </c>
      <c r="C77" s="118" t="s">
        <v>2037</v>
      </c>
      <c r="D77" s="167" t="s">
        <v>1454</v>
      </c>
      <c r="E77" s="120" t="s">
        <v>684</v>
      </c>
      <c r="F77" s="121" t="s">
        <v>541</v>
      </c>
      <c r="G77" s="119" t="s">
        <v>1454</v>
      </c>
      <c r="H77" s="121" t="s">
        <v>683</v>
      </c>
      <c r="I77" s="121" t="s">
        <v>1900</v>
      </c>
      <c r="J77" s="122">
        <v>43864</v>
      </c>
      <c r="K77" s="22"/>
    </row>
    <row r="78" spans="1:11" s="66" customFormat="1" ht="14.25" customHeight="1">
      <c r="A78" s="138" t="e">
        <v>#N/A</v>
      </c>
      <c r="B78" s="123">
        <v>70554</v>
      </c>
      <c r="C78" s="118" t="e">
        <v>#N/A</v>
      </c>
      <c r="D78" s="167" t="s">
        <v>1433</v>
      </c>
      <c r="E78" s="120" t="s">
        <v>224</v>
      </c>
      <c r="F78" s="121" t="s">
        <v>1912</v>
      </c>
      <c r="G78" s="119" t="s">
        <v>1433</v>
      </c>
      <c r="H78" s="121" t="s">
        <v>844</v>
      </c>
      <c r="I78" s="121" t="s">
        <v>1903</v>
      </c>
      <c r="J78" s="122">
        <v>43864</v>
      </c>
      <c r="K78" s="22"/>
    </row>
    <row r="79" spans="1:11" s="66" customFormat="1" ht="14.25" customHeight="1">
      <c r="A79" s="138" t="s">
        <v>3774</v>
      </c>
      <c r="B79" s="123">
        <v>871</v>
      </c>
      <c r="C79" s="118" t="s">
        <v>223</v>
      </c>
      <c r="D79" s="167" t="s">
        <v>2014</v>
      </c>
      <c r="E79" s="120" t="s">
        <v>503</v>
      </c>
      <c r="F79" s="121" t="s">
        <v>1565</v>
      </c>
      <c r="G79" s="167" t="s">
        <v>1433</v>
      </c>
      <c r="H79" s="121" t="s">
        <v>1325</v>
      </c>
      <c r="I79" s="121" t="s">
        <v>2159</v>
      </c>
      <c r="J79" s="122">
        <v>43864</v>
      </c>
      <c r="K79" s="22"/>
    </row>
    <row r="80" spans="1:11" s="66" customFormat="1" ht="14.25" customHeight="1">
      <c r="A80" s="138" t="s">
        <v>3138</v>
      </c>
      <c r="B80" s="123">
        <v>2029</v>
      </c>
      <c r="C80" s="118" t="s">
        <v>223</v>
      </c>
      <c r="D80" s="119" t="s">
        <v>2014</v>
      </c>
      <c r="E80" s="120" t="s">
        <v>503</v>
      </c>
      <c r="F80" s="121" t="s">
        <v>1565</v>
      </c>
      <c r="G80" s="119" t="s">
        <v>1433</v>
      </c>
      <c r="H80" s="121" t="s">
        <v>1325</v>
      </c>
      <c r="I80" s="121" t="s">
        <v>2159</v>
      </c>
      <c r="J80" s="122">
        <v>43864</v>
      </c>
      <c r="K80" s="22"/>
    </row>
    <row r="81" spans="1:11" s="66" customFormat="1" ht="14.25" customHeight="1">
      <c r="A81" s="138" t="s">
        <v>2814</v>
      </c>
      <c r="B81" s="123">
        <v>3159</v>
      </c>
      <c r="C81" s="118" t="s">
        <v>2128</v>
      </c>
      <c r="D81" s="119" t="s">
        <v>2014</v>
      </c>
      <c r="E81" s="120" t="s">
        <v>454</v>
      </c>
      <c r="F81" s="121" t="s">
        <v>1383</v>
      </c>
      <c r="G81" s="119" t="s">
        <v>1433</v>
      </c>
      <c r="H81" s="121" t="s">
        <v>224</v>
      </c>
      <c r="I81" s="121" t="s">
        <v>1912</v>
      </c>
      <c r="J81" s="122">
        <v>43864</v>
      </c>
      <c r="K81" s="22"/>
    </row>
    <row r="82" spans="1:11" s="66" customFormat="1" ht="14.25" customHeight="1">
      <c r="A82" s="138" t="e">
        <v>#N/A</v>
      </c>
      <c r="B82" s="123">
        <v>64498</v>
      </c>
      <c r="C82" s="118" t="e">
        <v>#N/A</v>
      </c>
      <c r="D82" s="119" t="s">
        <v>1827</v>
      </c>
      <c r="E82" s="120" t="s">
        <v>1259</v>
      </c>
      <c r="F82" s="121" t="s">
        <v>1584</v>
      </c>
      <c r="G82" s="119" t="s">
        <v>1044</v>
      </c>
      <c r="H82" s="121" t="s">
        <v>602</v>
      </c>
      <c r="I82" s="121" t="s">
        <v>2732</v>
      </c>
      <c r="J82" s="122">
        <v>43864</v>
      </c>
      <c r="K82" s="22"/>
    </row>
    <row r="83" spans="1:11" s="66" customFormat="1" ht="14.25" customHeight="1">
      <c r="A83" s="138" t="e">
        <v>#N/A</v>
      </c>
      <c r="B83" s="123">
        <v>64499</v>
      </c>
      <c r="C83" s="118" t="e">
        <v>#N/A</v>
      </c>
      <c r="D83" s="119" t="s">
        <v>1827</v>
      </c>
      <c r="E83" s="120" t="s">
        <v>1259</v>
      </c>
      <c r="F83" s="121" t="s">
        <v>1584</v>
      </c>
      <c r="G83" s="119" t="s">
        <v>1044</v>
      </c>
      <c r="H83" s="121" t="s">
        <v>1483</v>
      </c>
      <c r="I83" s="121" t="s">
        <v>2406</v>
      </c>
      <c r="J83" s="122">
        <v>43864</v>
      </c>
      <c r="K83" s="22"/>
    </row>
    <row r="84" spans="1:11" s="66" customFormat="1" ht="14.25" customHeight="1">
      <c r="A84" s="138" t="s">
        <v>3846</v>
      </c>
      <c r="B84" s="123">
        <v>1097</v>
      </c>
      <c r="C84" s="118" t="s">
        <v>1224</v>
      </c>
      <c r="D84" s="119" t="s">
        <v>2014</v>
      </c>
      <c r="E84" s="120" t="s">
        <v>208</v>
      </c>
      <c r="F84" s="121" t="s">
        <v>1386</v>
      </c>
      <c r="G84" s="119" t="s">
        <v>2638</v>
      </c>
      <c r="H84" s="121" t="s">
        <v>235</v>
      </c>
      <c r="I84" s="121" t="s">
        <v>424</v>
      </c>
      <c r="J84" s="122">
        <v>43864</v>
      </c>
      <c r="K84" s="22"/>
    </row>
    <row r="85" spans="1:11" s="66" customFormat="1" ht="14.25" customHeight="1">
      <c r="A85" s="138" t="s">
        <v>2143</v>
      </c>
      <c r="B85" s="123">
        <v>2438</v>
      </c>
      <c r="C85" s="118" t="s">
        <v>223</v>
      </c>
      <c r="D85" s="167" t="s">
        <v>3079</v>
      </c>
      <c r="E85" s="120" t="s">
        <v>2378</v>
      </c>
      <c r="F85" s="121" t="s">
        <v>544</v>
      </c>
      <c r="G85" s="119" t="s">
        <v>3079</v>
      </c>
      <c r="H85" s="121" t="s">
        <v>2686</v>
      </c>
      <c r="I85" s="121" t="s">
        <v>1151</v>
      </c>
      <c r="J85" s="122">
        <v>43864</v>
      </c>
      <c r="K85" s="22"/>
    </row>
    <row r="86" spans="1:11" s="66" customFormat="1" ht="14.25" customHeight="1">
      <c r="A86" s="138" t="e">
        <v>#N/A</v>
      </c>
      <c r="B86" s="123">
        <v>64358</v>
      </c>
      <c r="C86" s="118" t="e">
        <v>#N/A</v>
      </c>
      <c r="D86" s="167" t="s">
        <v>1433</v>
      </c>
      <c r="E86" s="120" t="s">
        <v>1325</v>
      </c>
      <c r="F86" s="121" t="s">
        <v>2733</v>
      </c>
      <c r="G86" s="119" t="s">
        <v>1433</v>
      </c>
      <c r="H86" s="121" t="s">
        <v>1045</v>
      </c>
      <c r="I86" s="121" t="s">
        <v>1926</v>
      </c>
      <c r="J86" s="122">
        <v>43866</v>
      </c>
      <c r="K86" s="22"/>
    </row>
    <row r="87" spans="1:11" s="66" customFormat="1" ht="14.25" customHeight="1">
      <c r="A87" s="138" t="e">
        <v>#N/A</v>
      </c>
      <c r="B87" s="123">
        <v>70536</v>
      </c>
      <c r="C87" s="118" t="e">
        <v>#N/A</v>
      </c>
      <c r="D87" s="167" t="s">
        <v>450</v>
      </c>
      <c r="E87" s="120" t="s">
        <v>1063</v>
      </c>
      <c r="F87" s="121" t="s">
        <v>1560</v>
      </c>
      <c r="G87" s="167" t="s">
        <v>2283</v>
      </c>
      <c r="H87" s="121" t="s">
        <v>2072</v>
      </c>
      <c r="I87" s="121" t="s">
        <v>1398</v>
      </c>
      <c r="J87" s="122">
        <v>43868</v>
      </c>
      <c r="K87" s="22"/>
    </row>
    <row r="88" spans="1:11" s="66" customFormat="1" ht="14.25" customHeight="1">
      <c r="A88" s="138" t="s">
        <v>3520</v>
      </c>
      <c r="B88" s="123">
        <v>1521</v>
      </c>
      <c r="C88" s="118" t="s">
        <v>2037</v>
      </c>
      <c r="D88" s="167" t="s">
        <v>1044</v>
      </c>
      <c r="E88" s="120" t="s">
        <v>238</v>
      </c>
      <c r="F88" s="121" t="s">
        <v>1584</v>
      </c>
      <c r="G88" s="167" t="s">
        <v>1044</v>
      </c>
      <c r="H88" s="121" t="s">
        <v>318</v>
      </c>
      <c r="I88" s="121" t="s">
        <v>1380</v>
      </c>
      <c r="J88" s="122">
        <v>43871</v>
      </c>
      <c r="K88" s="22"/>
    </row>
    <row r="89" spans="1:11" s="66" customFormat="1" ht="14.25" customHeight="1">
      <c r="A89" s="138" t="e">
        <v>#N/A</v>
      </c>
      <c r="B89" s="123">
        <v>64443</v>
      </c>
      <c r="C89" s="118" t="e">
        <v>#N/A</v>
      </c>
      <c r="D89" s="167" t="s">
        <v>1044</v>
      </c>
      <c r="E89" s="120" t="s">
        <v>318</v>
      </c>
      <c r="F89" s="121" t="s">
        <v>1380</v>
      </c>
      <c r="G89" s="167" t="s">
        <v>1044</v>
      </c>
      <c r="H89" s="121" t="s">
        <v>772</v>
      </c>
      <c r="I89" s="121" t="s">
        <v>1389</v>
      </c>
      <c r="J89" s="122">
        <v>43871</v>
      </c>
      <c r="K89" s="22"/>
    </row>
    <row r="90" spans="1:11" s="66" customFormat="1" ht="14.25" customHeight="1">
      <c r="A90" s="138" t="s">
        <v>3883</v>
      </c>
      <c r="B90" s="123">
        <v>1205</v>
      </c>
      <c r="C90" s="118" t="s">
        <v>2037</v>
      </c>
      <c r="D90" s="167" t="s">
        <v>1629</v>
      </c>
      <c r="E90" s="120" t="s">
        <v>934</v>
      </c>
      <c r="F90" s="121" t="s">
        <v>337</v>
      </c>
      <c r="G90" s="167" t="s">
        <v>3079</v>
      </c>
      <c r="H90" s="121" t="s">
        <v>2731</v>
      </c>
      <c r="I90" s="121" t="s">
        <v>1395</v>
      </c>
      <c r="J90" s="122">
        <v>43871</v>
      </c>
      <c r="K90" s="22"/>
    </row>
    <row r="91" spans="1:11" s="66" customFormat="1" ht="14.25" customHeight="1">
      <c r="A91" s="138" t="s">
        <v>3680</v>
      </c>
      <c r="B91" s="123">
        <v>555</v>
      </c>
      <c r="C91" s="118" t="s">
        <v>223</v>
      </c>
      <c r="D91" s="167" t="s">
        <v>1324</v>
      </c>
      <c r="E91" s="120" t="s">
        <v>771</v>
      </c>
      <c r="F91" s="121" t="s">
        <v>1370</v>
      </c>
      <c r="G91" s="167" t="s">
        <v>2283</v>
      </c>
      <c r="H91" s="121" t="s">
        <v>2324</v>
      </c>
      <c r="I91" s="121" t="s">
        <v>2326</v>
      </c>
      <c r="J91" s="122">
        <v>43872</v>
      </c>
      <c r="K91" s="22"/>
    </row>
    <row r="92" spans="1:11" s="66" customFormat="1" ht="14.25" customHeight="1">
      <c r="A92" s="138" t="s">
        <v>4009</v>
      </c>
      <c r="B92" s="123">
        <v>1652</v>
      </c>
      <c r="C92" s="118" t="s">
        <v>223</v>
      </c>
      <c r="D92" s="167" t="s">
        <v>1435</v>
      </c>
      <c r="E92" s="120" t="s">
        <v>2160</v>
      </c>
      <c r="F92" s="121" t="s">
        <v>1567</v>
      </c>
      <c r="G92" s="167" t="s">
        <v>1435</v>
      </c>
      <c r="H92" s="121" t="s">
        <v>2331</v>
      </c>
      <c r="I92" s="121" t="s">
        <v>1567</v>
      </c>
      <c r="J92" s="122">
        <v>43878</v>
      </c>
      <c r="K92" s="22"/>
    </row>
    <row r="93" spans="1:11" s="66" customFormat="1" ht="14.25" customHeight="1">
      <c r="A93" s="239" t="s">
        <v>1570</v>
      </c>
      <c r="B93" s="179">
        <v>197</v>
      </c>
      <c r="C93" s="195" t="s">
        <v>1585</v>
      </c>
      <c r="D93" s="195" t="e">
        <v>#N/A</v>
      </c>
      <c r="E93" s="180" t="s">
        <v>3505</v>
      </c>
      <c r="F93" s="236" t="s">
        <v>345</v>
      </c>
      <c r="G93" s="181" t="e">
        <v>#N/A</v>
      </c>
      <c r="H93" s="178" t="s">
        <v>3505</v>
      </c>
      <c r="I93" s="224" t="s">
        <v>1881</v>
      </c>
      <c r="J93" s="104">
        <v>43883</v>
      </c>
      <c r="K93" s="22" t="s">
        <v>3473</v>
      </c>
    </row>
    <row r="94" spans="1:11" s="66" customFormat="1" ht="14.25" customHeight="1">
      <c r="A94" s="239" t="s">
        <v>3067</v>
      </c>
      <c r="B94" s="179">
        <v>965</v>
      </c>
      <c r="C94" s="195" t="s">
        <v>1585</v>
      </c>
      <c r="D94" s="195" t="e">
        <v>#N/A</v>
      </c>
      <c r="E94" s="180" t="s">
        <v>3505</v>
      </c>
      <c r="F94" s="236" t="s">
        <v>345</v>
      </c>
      <c r="G94" s="181" t="e">
        <v>#N/A</v>
      </c>
      <c r="H94" s="178" t="s">
        <v>3505</v>
      </c>
      <c r="I94" s="224" t="s">
        <v>1577</v>
      </c>
      <c r="J94" s="104">
        <v>43883</v>
      </c>
      <c r="K94" s="22" t="s">
        <v>3474</v>
      </c>
    </row>
    <row r="95" spans="1:11" s="66" customFormat="1" ht="14.25" customHeight="1">
      <c r="A95" s="239" t="s">
        <v>3597</v>
      </c>
      <c r="B95" s="190">
        <v>276</v>
      </c>
      <c r="C95" s="195" t="s">
        <v>1585</v>
      </c>
      <c r="D95" s="195" t="e">
        <v>#N/A</v>
      </c>
      <c r="E95" s="194" t="s">
        <v>3505</v>
      </c>
      <c r="F95" s="236" t="s">
        <v>345</v>
      </c>
      <c r="G95" s="195" t="e">
        <v>#N/A</v>
      </c>
      <c r="H95" s="189" t="s">
        <v>3505</v>
      </c>
      <c r="I95" s="224" t="s">
        <v>345</v>
      </c>
      <c r="J95" s="104">
        <v>43883</v>
      </c>
      <c r="K95" s="22" t="s">
        <v>3475</v>
      </c>
    </row>
    <row r="96" spans="1:11" s="66" customFormat="1" ht="14.25" customHeight="1">
      <c r="A96" s="239" t="s">
        <v>2871</v>
      </c>
      <c r="B96" s="190">
        <v>620</v>
      </c>
      <c r="C96" s="195" t="s">
        <v>1585</v>
      </c>
      <c r="D96" s="195" t="e">
        <v>#N/A</v>
      </c>
      <c r="E96" s="194" t="s">
        <v>3505</v>
      </c>
      <c r="F96" s="236" t="s">
        <v>345</v>
      </c>
      <c r="G96" s="195" t="e">
        <v>#N/A</v>
      </c>
      <c r="H96" s="189" t="s">
        <v>3505</v>
      </c>
      <c r="I96" s="224" t="s">
        <v>345</v>
      </c>
      <c r="J96" s="104">
        <v>43883</v>
      </c>
      <c r="K96" s="22" t="s">
        <v>3476</v>
      </c>
    </row>
    <row r="97" spans="1:11" s="66" customFormat="1" ht="14.25" customHeight="1">
      <c r="A97" s="239" t="s">
        <v>2844</v>
      </c>
      <c r="B97" s="190">
        <v>2490</v>
      </c>
      <c r="C97" s="195" t="s">
        <v>1339</v>
      </c>
      <c r="D97" s="195" t="e">
        <v>#N/A</v>
      </c>
      <c r="E97" s="194" t="s">
        <v>3505</v>
      </c>
      <c r="F97" s="236" t="s">
        <v>345</v>
      </c>
      <c r="G97" s="195" t="e">
        <v>#N/A</v>
      </c>
      <c r="H97" s="189" t="s">
        <v>3505</v>
      </c>
      <c r="I97" s="224" t="s">
        <v>345</v>
      </c>
      <c r="J97" s="104">
        <v>43883</v>
      </c>
      <c r="K97" s="22" t="s">
        <v>3477</v>
      </c>
    </row>
    <row r="98" spans="1:11" s="66" customFormat="1" ht="14.25" customHeight="1">
      <c r="A98" s="239" t="s">
        <v>1563</v>
      </c>
      <c r="B98" s="190">
        <v>750</v>
      </c>
      <c r="C98" s="195" t="s">
        <v>1320</v>
      </c>
      <c r="D98" s="195" t="e">
        <v>#N/A</v>
      </c>
      <c r="E98" s="194" t="s">
        <v>3505</v>
      </c>
      <c r="F98" s="236" t="s">
        <v>1577</v>
      </c>
      <c r="G98" s="195" t="e">
        <v>#N/A</v>
      </c>
      <c r="H98" s="189" t="s">
        <v>3505</v>
      </c>
      <c r="I98" s="224" t="s">
        <v>345</v>
      </c>
      <c r="J98" s="104">
        <v>43883</v>
      </c>
      <c r="K98" s="22" t="s">
        <v>3478</v>
      </c>
    </row>
    <row r="99" spans="1:11" s="66" customFormat="1" ht="14.25" customHeight="1">
      <c r="A99" s="239" t="s">
        <v>3015</v>
      </c>
      <c r="B99" s="179">
        <v>217</v>
      </c>
      <c r="C99" s="195" t="s">
        <v>1585</v>
      </c>
      <c r="D99" s="195" t="e">
        <v>#N/A</v>
      </c>
      <c r="E99" s="194" t="s">
        <v>3505</v>
      </c>
      <c r="F99" s="236" t="s">
        <v>1563</v>
      </c>
      <c r="G99" s="195" t="e">
        <v>#N/A</v>
      </c>
      <c r="H99" s="178" t="s">
        <v>3505</v>
      </c>
      <c r="I99" s="224" t="s">
        <v>345</v>
      </c>
      <c r="J99" s="104">
        <v>43883</v>
      </c>
      <c r="K99" s="22" t="s">
        <v>3479</v>
      </c>
    </row>
    <row r="100" spans="1:11" s="66" customFormat="1" ht="14.25" customHeight="1">
      <c r="A100" s="239" t="s">
        <v>1577</v>
      </c>
      <c r="B100" s="179">
        <v>608</v>
      </c>
      <c r="C100" s="195" t="s">
        <v>1322</v>
      </c>
      <c r="D100" s="195" t="e">
        <v>#N/A</v>
      </c>
      <c r="E100" s="194" t="s">
        <v>3695</v>
      </c>
      <c r="F100" s="236" t="s">
        <v>1881</v>
      </c>
      <c r="G100" s="195" t="e">
        <v>#N/A</v>
      </c>
      <c r="H100" s="178" t="s">
        <v>3505</v>
      </c>
      <c r="I100" s="224" t="s">
        <v>345</v>
      </c>
      <c r="J100" s="104">
        <v>43883</v>
      </c>
      <c r="K100" s="22"/>
    </row>
    <row r="101" spans="1:11" s="66" customFormat="1" ht="14.25" customHeight="1">
      <c r="A101" s="239" t="s">
        <v>345</v>
      </c>
      <c r="B101" s="190">
        <v>33</v>
      </c>
      <c r="C101" s="195" t="s">
        <v>1321</v>
      </c>
      <c r="D101" s="195" t="e">
        <v>#N/A</v>
      </c>
      <c r="E101" s="194" t="s">
        <v>3505</v>
      </c>
      <c r="F101" s="236" t="s">
        <v>1577</v>
      </c>
      <c r="G101" s="195" t="e">
        <v>#N/A</v>
      </c>
      <c r="H101" s="189" t="s">
        <v>3505</v>
      </c>
      <c r="I101" s="224" t="s">
        <v>1577</v>
      </c>
      <c r="J101" s="104">
        <v>43883</v>
      </c>
      <c r="K101" s="22"/>
    </row>
    <row r="102" spans="1:11" s="66" customFormat="1" ht="14.25" customHeight="1">
      <c r="A102" s="239" t="s">
        <v>3574</v>
      </c>
      <c r="B102" s="179">
        <v>198</v>
      </c>
      <c r="C102" s="195" t="s">
        <v>1585</v>
      </c>
      <c r="D102" s="195" t="e">
        <v>#N/A</v>
      </c>
      <c r="E102" s="180" t="s">
        <v>3505</v>
      </c>
      <c r="F102" s="236" t="s">
        <v>345</v>
      </c>
      <c r="G102" s="181" t="e">
        <v>#N/A</v>
      </c>
      <c r="H102" s="178" t="s">
        <v>3505</v>
      </c>
      <c r="I102" s="224" t="s">
        <v>1563</v>
      </c>
      <c r="J102" s="104">
        <v>43883</v>
      </c>
      <c r="K102" s="22"/>
    </row>
    <row r="103" spans="1:11" s="66" customFormat="1" ht="14.25" customHeight="1">
      <c r="A103" s="138" t="s">
        <v>4340</v>
      </c>
      <c r="B103" s="123">
        <v>2960</v>
      </c>
      <c r="C103" s="118" t="s">
        <v>451</v>
      </c>
      <c r="D103" s="167" t="s">
        <v>1454</v>
      </c>
      <c r="E103" s="120" t="s">
        <v>395</v>
      </c>
      <c r="F103" s="121" t="s">
        <v>1550</v>
      </c>
      <c r="G103" s="167" t="s">
        <v>1454</v>
      </c>
      <c r="H103" s="121" t="s">
        <v>475</v>
      </c>
      <c r="I103" s="121" t="s">
        <v>540</v>
      </c>
      <c r="J103" s="122">
        <v>43885</v>
      </c>
      <c r="K103" s="22"/>
    </row>
    <row r="104" spans="1:11" s="66" customFormat="1" ht="14.25" customHeight="1">
      <c r="A104" s="138" t="e">
        <v>#N/A</v>
      </c>
      <c r="B104" s="123">
        <v>70547</v>
      </c>
      <c r="C104" s="118" t="e">
        <v>#N/A</v>
      </c>
      <c r="D104" s="167" t="s">
        <v>1827</v>
      </c>
      <c r="E104" s="120" t="s">
        <v>1259</v>
      </c>
      <c r="F104" s="121" t="s">
        <v>1584</v>
      </c>
      <c r="G104" s="167" t="s">
        <v>1044</v>
      </c>
      <c r="H104" s="121" t="s">
        <v>1264</v>
      </c>
      <c r="I104" s="121" t="s">
        <v>2546</v>
      </c>
      <c r="J104" s="122">
        <v>43891</v>
      </c>
      <c r="K104" s="22"/>
    </row>
    <row r="105" spans="1:11" s="66" customFormat="1" ht="14.25" customHeight="1">
      <c r="A105" s="138" t="s">
        <v>1905</v>
      </c>
      <c r="B105" s="123">
        <v>234</v>
      </c>
      <c r="C105" s="118" t="s">
        <v>2127</v>
      </c>
      <c r="D105" s="167" t="s">
        <v>2640</v>
      </c>
      <c r="E105" s="120" t="s">
        <v>2393</v>
      </c>
      <c r="F105" s="121" t="s">
        <v>2095</v>
      </c>
      <c r="G105" s="167" t="s">
        <v>2640</v>
      </c>
      <c r="H105" s="121" t="s">
        <v>1318</v>
      </c>
      <c r="I105" s="121" t="s">
        <v>2095</v>
      </c>
      <c r="J105" s="122">
        <v>43891</v>
      </c>
      <c r="K105" s="22"/>
    </row>
    <row r="106" spans="1:11" s="66" customFormat="1" ht="14.25" customHeight="1">
      <c r="A106" s="138" t="s">
        <v>1914</v>
      </c>
      <c r="B106" s="123">
        <v>367</v>
      </c>
      <c r="C106" s="118" t="s">
        <v>2610</v>
      </c>
      <c r="D106" s="167" t="s">
        <v>2640</v>
      </c>
      <c r="E106" s="120" t="s">
        <v>2393</v>
      </c>
      <c r="F106" s="121" t="s">
        <v>1905</v>
      </c>
      <c r="G106" s="167" t="s">
        <v>2640</v>
      </c>
      <c r="H106" s="121" t="s">
        <v>1318</v>
      </c>
      <c r="I106" s="121" t="s">
        <v>1905</v>
      </c>
      <c r="J106" s="122">
        <v>43891</v>
      </c>
      <c r="K106" s="22"/>
    </row>
    <row r="107" spans="1:11" s="66" customFormat="1" ht="14.25" customHeight="1">
      <c r="A107" s="138" t="s">
        <v>212</v>
      </c>
      <c r="B107" s="123">
        <v>887</v>
      </c>
      <c r="C107" s="118" t="s">
        <v>2727</v>
      </c>
      <c r="D107" s="167" t="s">
        <v>2640</v>
      </c>
      <c r="E107" s="120" t="s">
        <v>2393</v>
      </c>
      <c r="F107" s="121" t="s">
        <v>1905</v>
      </c>
      <c r="G107" s="167" t="s">
        <v>2640</v>
      </c>
      <c r="H107" s="121" t="s">
        <v>1318</v>
      </c>
      <c r="I107" s="121" t="s">
        <v>1905</v>
      </c>
      <c r="J107" s="122">
        <v>43891</v>
      </c>
      <c r="K107" s="22"/>
    </row>
    <row r="108" spans="1:11" s="66" customFormat="1" ht="14.25" customHeight="1">
      <c r="A108" s="138" t="s">
        <v>2761</v>
      </c>
      <c r="B108" s="123">
        <v>2245</v>
      </c>
      <c r="C108" s="118" t="s">
        <v>223</v>
      </c>
      <c r="D108" s="167" t="s">
        <v>1433</v>
      </c>
      <c r="E108" s="120" t="s">
        <v>1045</v>
      </c>
      <c r="F108" s="121" t="s">
        <v>1926</v>
      </c>
      <c r="G108" s="167" t="s">
        <v>3079</v>
      </c>
      <c r="H108" s="121" t="s">
        <v>2378</v>
      </c>
      <c r="I108" s="121" t="s">
        <v>1196</v>
      </c>
      <c r="J108" s="122">
        <v>43891</v>
      </c>
      <c r="K108" s="22"/>
    </row>
    <row r="109" spans="1:11" s="66" customFormat="1" ht="14.25" customHeight="1">
      <c r="A109" s="138" t="s">
        <v>3897</v>
      </c>
      <c r="B109" s="123">
        <v>1250</v>
      </c>
      <c r="C109" s="118" t="s">
        <v>223</v>
      </c>
      <c r="D109" s="167" t="s">
        <v>2283</v>
      </c>
      <c r="E109" s="120" t="s">
        <v>2324</v>
      </c>
      <c r="F109" s="121" t="s">
        <v>345</v>
      </c>
      <c r="G109" s="167" t="s">
        <v>3079</v>
      </c>
      <c r="H109" s="121" t="s">
        <v>2378</v>
      </c>
      <c r="I109" s="121" t="s">
        <v>544</v>
      </c>
      <c r="J109" s="122">
        <v>43891</v>
      </c>
      <c r="K109" s="22"/>
    </row>
    <row r="110" spans="1:11" s="66" customFormat="1" ht="14.25" customHeight="1">
      <c r="A110" s="138" t="s">
        <v>3958</v>
      </c>
      <c r="B110" s="123">
        <v>1442</v>
      </c>
      <c r="C110" s="118" t="s">
        <v>2037</v>
      </c>
      <c r="D110" s="167" t="s">
        <v>2014</v>
      </c>
      <c r="E110" s="120" t="s">
        <v>504</v>
      </c>
      <c r="F110" s="121" t="s">
        <v>347</v>
      </c>
      <c r="G110" s="167" t="s">
        <v>3079</v>
      </c>
      <c r="H110" s="121" t="s">
        <v>2378</v>
      </c>
      <c r="I110" s="121" t="s">
        <v>544</v>
      </c>
      <c r="J110" s="122">
        <v>43891</v>
      </c>
      <c r="K110" s="22"/>
    </row>
    <row r="111" spans="1:11" s="66" customFormat="1" ht="14.25" customHeight="1">
      <c r="A111" s="138" t="s">
        <v>4136</v>
      </c>
      <c r="B111" s="123">
        <v>2057</v>
      </c>
      <c r="C111" s="118" t="s">
        <v>223</v>
      </c>
      <c r="D111" s="167" t="s">
        <v>2014</v>
      </c>
      <c r="E111" s="120" t="s">
        <v>1262</v>
      </c>
      <c r="F111" s="121" t="s">
        <v>1383</v>
      </c>
      <c r="G111" s="167" t="s">
        <v>3079</v>
      </c>
      <c r="H111" s="121" t="s">
        <v>2378</v>
      </c>
      <c r="I111" s="121" t="s">
        <v>544</v>
      </c>
      <c r="J111" s="122">
        <v>43891</v>
      </c>
      <c r="K111" s="22"/>
    </row>
    <row r="112" spans="1:11" s="66" customFormat="1" ht="14.25" customHeight="1">
      <c r="A112" s="138" t="s">
        <v>2760</v>
      </c>
      <c r="B112" s="123">
        <v>723</v>
      </c>
      <c r="C112" s="118" t="s">
        <v>1585</v>
      </c>
      <c r="D112" s="167" t="s">
        <v>1433</v>
      </c>
      <c r="E112" s="120" t="s">
        <v>1969</v>
      </c>
      <c r="F112" s="121" t="s">
        <v>1887</v>
      </c>
      <c r="G112" s="167" t="s">
        <v>3079</v>
      </c>
      <c r="H112" s="121" t="s">
        <v>2735</v>
      </c>
      <c r="I112" s="121" t="s">
        <v>2488</v>
      </c>
      <c r="J112" s="122">
        <v>43891</v>
      </c>
      <c r="K112" s="22"/>
    </row>
    <row r="113" spans="1:11" s="66" customFormat="1" ht="14.25" customHeight="1">
      <c r="A113" s="138" t="s">
        <v>3570</v>
      </c>
      <c r="B113" s="123">
        <v>188</v>
      </c>
      <c r="C113" s="118" t="s">
        <v>1585</v>
      </c>
      <c r="D113" s="167" t="s">
        <v>2014</v>
      </c>
      <c r="E113" s="120" t="s">
        <v>1452</v>
      </c>
      <c r="F113" s="121" t="s">
        <v>1386</v>
      </c>
      <c r="G113" s="167" t="s">
        <v>3079</v>
      </c>
      <c r="H113" s="121" t="s">
        <v>2686</v>
      </c>
      <c r="I113" s="121" t="s">
        <v>2734</v>
      </c>
      <c r="J113" s="122">
        <v>43891</v>
      </c>
      <c r="K113" s="22"/>
    </row>
    <row r="114" spans="1:11" s="66" customFormat="1" ht="14.25" customHeight="1">
      <c r="A114" s="138" t="e">
        <v>#N/A</v>
      </c>
      <c r="B114" s="123">
        <v>70563</v>
      </c>
      <c r="C114" s="118" t="e">
        <v>#N/A</v>
      </c>
      <c r="D114" s="167" t="s">
        <v>1827</v>
      </c>
      <c r="E114" s="120" t="s">
        <v>1259</v>
      </c>
      <c r="F114" s="121" t="s">
        <v>2159</v>
      </c>
      <c r="G114" s="167" t="s">
        <v>1433</v>
      </c>
      <c r="H114" s="121" t="s">
        <v>570</v>
      </c>
      <c r="I114" s="121" t="s">
        <v>1893</v>
      </c>
      <c r="J114" s="122">
        <v>43892</v>
      </c>
      <c r="K114" s="22"/>
    </row>
    <row r="115" spans="1:11" s="66" customFormat="1" ht="14.25" customHeight="1">
      <c r="A115" s="138" t="s">
        <v>4401</v>
      </c>
      <c r="B115" s="123">
        <v>3067</v>
      </c>
      <c r="C115" s="118" t="s">
        <v>2128</v>
      </c>
      <c r="D115" s="167" t="s">
        <v>450</v>
      </c>
      <c r="E115" s="120" t="s">
        <v>2087</v>
      </c>
      <c r="F115" s="121" t="s">
        <v>2112</v>
      </c>
      <c r="G115" s="167" t="s">
        <v>450</v>
      </c>
      <c r="H115" s="121" t="s">
        <v>1039</v>
      </c>
      <c r="I115" s="121" t="s">
        <v>1561</v>
      </c>
      <c r="J115" s="122">
        <v>43892</v>
      </c>
      <c r="K115" s="22"/>
    </row>
    <row r="116" spans="1:11" s="66" customFormat="1" ht="14.25" customHeight="1">
      <c r="A116" s="138" t="e">
        <v>#N/A</v>
      </c>
      <c r="B116" s="123">
        <v>64318</v>
      </c>
      <c r="C116" s="118" t="e">
        <v>#N/A</v>
      </c>
      <c r="D116" s="167" t="s">
        <v>2283</v>
      </c>
      <c r="E116" s="120" t="s">
        <v>2073</v>
      </c>
      <c r="F116" s="121" t="s">
        <v>2471</v>
      </c>
      <c r="G116" s="167" t="s">
        <v>2283</v>
      </c>
      <c r="H116" s="121" t="s">
        <v>2448</v>
      </c>
      <c r="I116" s="121" t="s">
        <v>1555</v>
      </c>
      <c r="J116" s="122">
        <v>43892</v>
      </c>
      <c r="K116" s="22"/>
    </row>
    <row r="117" spans="1:11" s="66" customFormat="1" ht="14.25" customHeight="1">
      <c r="A117" s="138" t="s">
        <v>3973</v>
      </c>
      <c r="B117" s="123">
        <v>1505</v>
      </c>
      <c r="C117" s="118" t="s">
        <v>2037</v>
      </c>
      <c r="D117" s="167" t="s">
        <v>2283</v>
      </c>
      <c r="E117" s="120" t="s">
        <v>2323</v>
      </c>
      <c r="F117" s="121" t="s">
        <v>1904</v>
      </c>
      <c r="G117" s="167" t="s">
        <v>3079</v>
      </c>
      <c r="H117" s="121" t="s">
        <v>2377</v>
      </c>
      <c r="I117" s="121" t="s">
        <v>1395</v>
      </c>
      <c r="J117" s="122">
        <v>43892</v>
      </c>
      <c r="K117" s="22"/>
    </row>
    <row r="118" spans="1:11" s="66" customFormat="1" ht="14.25" customHeight="1">
      <c r="A118" s="138" t="s">
        <v>3975</v>
      </c>
      <c r="B118" s="123">
        <v>1522</v>
      </c>
      <c r="C118" s="118" t="s">
        <v>223</v>
      </c>
      <c r="D118" s="167" t="s">
        <v>2283</v>
      </c>
      <c r="E118" s="120" t="s">
        <v>2323</v>
      </c>
      <c r="F118" s="121" t="s">
        <v>1904</v>
      </c>
      <c r="G118" s="167" t="s">
        <v>3079</v>
      </c>
      <c r="H118" s="121" t="s">
        <v>2377</v>
      </c>
      <c r="I118" s="121" t="s">
        <v>1395</v>
      </c>
      <c r="J118" s="122">
        <v>43892</v>
      </c>
      <c r="K118" s="22"/>
    </row>
    <row r="119" spans="1:11" s="66" customFormat="1" ht="14.25" customHeight="1">
      <c r="A119" s="138" t="s">
        <v>2762</v>
      </c>
      <c r="B119" s="123">
        <v>2434</v>
      </c>
      <c r="C119" s="118" t="s">
        <v>2037</v>
      </c>
      <c r="D119" s="167" t="s">
        <v>1433</v>
      </c>
      <c r="E119" s="120" t="s">
        <v>570</v>
      </c>
      <c r="F119" s="121" t="s">
        <v>1893</v>
      </c>
      <c r="G119" s="167" t="s">
        <v>3079</v>
      </c>
      <c r="H119" s="121" t="s">
        <v>2337</v>
      </c>
      <c r="I119" s="121" t="s">
        <v>2157</v>
      </c>
      <c r="J119" s="122">
        <v>43892</v>
      </c>
      <c r="K119" s="22"/>
    </row>
    <row r="120" spans="1:11" s="66" customFormat="1" ht="14.25" customHeight="1">
      <c r="A120" s="138" t="s">
        <v>3802</v>
      </c>
      <c r="B120" s="123">
        <v>968</v>
      </c>
      <c r="C120" s="118" t="s">
        <v>223</v>
      </c>
      <c r="D120" s="167" t="s">
        <v>2283</v>
      </c>
      <c r="E120" s="120" t="s">
        <v>2072</v>
      </c>
      <c r="F120" s="121" t="s">
        <v>1398</v>
      </c>
      <c r="G120" s="167" t="s">
        <v>3079</v>
      </c>
      <c r="H120" s="121" t="s">
        <v>2337</v>
      </c>
      <c r="I120" s="121" t="s">
        <v>2157</v>
      </c>
      <c r="J120" s="122">
        <v>43892</v>
      </c>
      <c r="K120" s="22"/>
    </row>
    <row r="121" spans="1:11" s="66" customFormat="1" ht="14.25" customHeight="1">
      <c r="A121" s="138" t="s">
        <v>3853</v>
      </c>
      <c r="B121" s="123">
        <v>1112</v>
      </c>
      <c r="C121" s="118" t="s">
        <v>223</v>
      </c>
      <c r="D121" s="167" t="s">
        <v>2283</v>
      </c>
      <c r="E121" s="120" t="s">
        <v>2324</v>
      </c>
      <c r="F121" s="121" t="s">
        <v>2326</v>
      </c>
      <c r="G121" s="167" t="s">
        <v>3079</v>
      </c>
      <c r="H121" s="121" t="s">
        <v>2337</v>
      </c>
      <c r="I121" s="121" t="s">
        <v>2157</v>
      </c>
      <c r="J121" s="122">
        <v>43892</v>
      </c>
      <c r="K121" s="22"/>
    </row>
    <row r="122" spans="1:11" s="66" customFormat="1" ht="14.25" customHeight="1">
      <c r="A122" s="138" t="s">
        <v>3754</v>
      </c>
      <c r="B122" s="123">
        <v>823</v>
      </c>
      <c r="C122" s="118" t="s">
        <v>1585</v>
      </c>
      <c r="D122" s="167" t="s">
        <v>2283</v>
      </c>
      <c r="E122" s="120" t="s">
        <v>2448</v>
      </c>
      <c r="F122" s="121" t="s">
        <v>2736</v>
      </c>
      <c r="G122" s="167" t="s">
        <v>3079</v>
      </c>
      <c r="H122" s="121" t="s">
        <v>2675</v>
      </c>
      <c r="I122" s="121" t="s">
        <v>339</v>
      </c>
      <c r="J122" s="122">
        <v>43892</v>
      </c>
      <c r="K122" s="22"/>
    </row>
    <row r="123" spans="1:11" s="66" customFormat="1" ht="14.25" customHeight="1">
      <c r="A123" s="138" t="e">
        <v>#N/A</v>
      </c>
      <c r="B123" s="123">
        <v>64518</v>
      </c>
      <c r="C123" s="118" t="e">
        <v>#N/A</v>
      </c>
      <c r="D123" s="167" t="s">
        <v>2014</v>
      </c>
      <c r="E123" s="120" t="s">
        <v>503</v>
      </c>
      <c r="F123" s="121" t="s">
        <v>1565</v>
      </c>
      <c r="G123" s="167" t="s">
        <v>2014</v>
      </c>
      <c r="H123" s="121" t="s">
        <v>1262</v>
      </c>
      <c r="I123" s="121" t="s">
        <v>1383</v>
      </c>
      <c r="J123" s="122">
        <v>43894</v>
      </c>
      <c r="K123" s="22"/>
    </row>
    <row r="124" spans="1:11" s="66" customFormat="1" ht="14.25" customHeight="1">
      <c r="A124" s="138" t="s">
        <v>2850</v>
      </c>
      <c r="B124" s="123">
        <v>64522</v>
      </c>
      <c r="C124" s="118" t="s">
        <v>643</v>
      </c>
      <c r="D124" s="167" t="s">
        <v>1827</v>
      </c>
      <c r="E124" s="120" t="s">
        <v>1259</v>
      </c>
      <c r="F124" s="121" t="s">
        <v>1877</v>
      </c>
      <c r="G124" s="167" t="s">
        <v>2014</v>
      </c>
      <c r="H124" s="121" t="s">
        <v>1262</v>
      </c>
      <c r="I124" s="121" t="s">
        <v>1383</v>
      </c>
      <c r="J124" s="122">
        <v>43895</v>
      </c>
      <c r="K124" s="22"/>
    </row>
    <row r="125" spans="1:11" s="66" customFormat="1" ht="14.25" customHeight="1">
      <c r="A125" s="138" t="e">
        <v>#N/A</v>
      </c>
      <c r="B125" s="123">
        <v>70560</v>
      </c>
      <c r="C125" s="118" t="e">
        <v>#N/A</v>
      </c>
      <c r="D125" s="167" t="s">
        <v>1433</v>
      </c>
      <c r="E125" s="120" t="s">
        <v>1325</v>
      </c>
      <c r="F125" s="121" t="s">
        <v>2159</v>
      </c>
      <c r="G125" s="167" t="s">
        <v>1433</v>
      </c>
      <c r="H125" s="121" t="s">
        <v>1045</v>
      </c>
      <c r="I125" s="121" t="s">
        <v>1926</v>
      </c>
      <c r="J125" s="122">
        <v>43900</v>
      </c>
      <c r="K125" s="22"/>
    </row>
    <row r="126" spans="1:11" s="66" customFormat="1" ht="14.25" customHeight="1">
      <c r="A126" s="138" t="s">
        <v>2761</v>
      </c>
      <c r="B126" s="123">
        <v>2245</v>
      </c>
      <c r="C126" s="118" t="s">
        <v>223</v>
      </c>
      <c r="D126" s="167" t="s">
        <v>1433</v>
      </c>
      <c r="E126" s="120" t="s">
        <v>1045</v>
      </c>
      <c r="F126" s="121" t="s">
        <v>1926</v>
      </c>
      <c r="G126" s="167" t="s">
        <v>3079</v>
      </c>
      <c r="H126" s="121" t="s">
        <v>2378</v>
      </c>
      <c r="I126" s="121" t="s">
        <v>544</v>
      </c>
      <c r="J126" s="122">
        <v>43903</v>
      </c>
      <c r="K126" s="22"/>
    </row>
    <row r="127" spans="1:11" s="103" customFormat="1" ht="14.25" customHeight="1">
      <c r="A127" s="138" t="s">
        <v>2446</v>
      </c>
      <c r="B127" s="123">
        <v>3013</v>
      </c>
      <c r="C127" s="118" t="s">
        <v>1224</v>
      </c>
      <c r="D127" s="167" t="s">
        <v>1454</v>
      </c>
      <c r="E127" s="120" t="s">
        <v>1875</v>
      </c>
      <c r="F127" s="121" t="s">
        <v>539</v>
      </c>
      <c r="G127" s="167" t="s">
        <v>1454</v>
      </c>
      <c r="H127" s="121" t="s">
        <v>1873</v>
      </c>
      <c r="I127" s="121" t="s">
        <v>539</v>
      </c>
      <c r="J127" s="122">
        <v>43906</v>
      </c>
      <c r="K127" s="22"/>
    </row>
    <row r="128" spans="1:11" s="66" customFormat="1" ht="14.25" customHeight="1">
      <c r="A128" s="138" t="s">
        <v>3948</v>
      </c>
      <c r="B128" s="123">
        <v>1410</v>
      </c>
      <c r="C128" s="118" t="s">
        <v>1225</v>
      </c>
      <c r="D128" s="167" t="s">
        <v>1454</v>
      </c>
      <c r="E128" s="120" t="s">
        <v>1873</v>
      </c>
      <c r="F128" s="121" t="s">
        <v>539</v>
      </c>
      <c r="G128" s="119" t="s">
        <v>1454</v>
      </c>
      <c r="H128" s="121" t="s">
        <v>1875</v>
      </c>
      <c r="I128" s="121" t="s">
        <v>539</v>
      </c>
      <c r="J128" s="122">
        <v>43906</v>
      </c>
      <c r="K128" s="22"/>
    </row>
    <row r="129" spans="1:11" s="66" customFormat="1" ht="14.25" customHeight="1">
      <c r="A129" s="138" t="s">
        <v>3014</v>
      </c>
      <c r="B129" s="123">
        <v>1247</v>
      </c>
      <c r="C129" s="118" t="s">
        <v>223</v>
      </c>
      <c r="D129" s="167" t="s">
        <v>450</v>
      </c>
      <c r="E129" s="120" t="s">
        <v>511</v>
      </c>
      <c r="F129" s="121" t="s">
        <v>2472</v>
      </c>
      <c r="G129" s="119" t="s">
        <v>450</v>
      </c>
      <c r="H129" s="121" t="s">
        <v>1063</v>
      </c>
      <c r="I129" s="121" t="s">
        <v>1560</v>
      </c>
      <c r="J129" s="122">
        <v>43920</v>
      </c>
      <c r="K129" s="22"/>
    </row>
    <row r="130" spans="1:11" s="66" customFormat="1" ht="14.25" customHeight="1">
      <c r="A130" s="138" t="s">
        <v>1941</v>
      </c>
      <c r="B130" s="123">
        <v>2174</v>
      </c>
      <c r="C130" s="118" t="s">
        <v>960</v>
      </c>
      <c r="D130" s="167" t="s">
        <v>2641</v>
      </c>
      <c r="E130" s="120" t="s">
        <v>688</v>
      </c>
      <c r="F130" s="121" t="s">
        <v>1878</v>
      </c>
      <c r="G130" s="167" t="s">
        <v>2641</v>
      </c>
      <c r="H130" s="121" t="s">
        <v>2737</v>
      </c>
      <c r="I130" s="121" t="s">
        <v>1878</v>
      </c>
      <c r="J130" s="122">
        <v>43922</v>
      </c>
      <c r="K130" s="22"/>
    </row>
    <row r="131" spans="1:11" s="66" customFormat="1" ht="14.25" customHeight="1">
      <c r="A131" s="138" t="s">
        <v>1918</v>
      </c>
      <c r="B131" s="123">
        <v>407</v>
      </c>
      <c r="C131" s="118" t="s">
        <v>1322</v>
      </c>
      <c r="D131" s="167" t="s">
        <v>739</v>
      </c>
      <c r="E131" s="120" t="s">
        <v>968</v>
      </c>
      <c r="F131" s="121" t="s">
        <v>2097</v>
      </c>
      <c r="G131" s="119" t="s">
        <v>2641</v>
      </c>
      <c r="H131" s="121" t="s">
        <v>2737</v>
      </c>
      <c r="I131" s="121" t="s">
        <v>1941</v>
      </c>
      <c r="J131" s="122">
        <v>43922</v>
      </c>
      <c r="K131" s="22"/>
    </row>
    <row r="132" spans="1:11" s="66" customFormat="1" ht="14.25" customHeight="1">
      <c r="A132" s="138" t="s">
        <v>2763</v>
      </c>
      <c r="B132" s="123">
        <v>1558</v>
      </c>
      <c r="C132" s="118" t="s">
        <v>1224</v>
      </c>
      <c r="D132" s="167" t="s">
        <v>1044</v>
      </c>
      <c r="E132" s="120" t="s">
        <v>602</v>
      </c>
      <c r="F132" s="121" t="s">
        <v>1392</v>
      </c>
      <c r="G132" s="119" t="s">
        <v>2638</v>
      </c>
      <c r="H132" s="121" t="s">
        <v>271</v>
      </c>
      <c r="I132" s="121" t="s">
        <v>2136</v>
      </c>
      <c r="J132" s="122">
        <v>43922</v>
      </c>
      <c r="K132" s="22"/>
    </row>
    <row r="133" spans="1:11" s="66" customFormat="1" ht="14.25" customHeight="1">
      <c r="A133" s="138" t="s">
        <v>2764</v>
      </c>
      <c r="B133" s="123">
        <v>1257</v>
      </c>
      <c r="C133" s="118" t="s">
        <v>1224</v>
      </c>
      <c r="D133" s="167" t="s">
        <v>1044</v>
      </c>
      <c r="E133" s="120" t="s">
        <v>1483</v>
      </c>
      <c r="F133" s="121" t="s">
        <v>2406</v>
      </c>
      <c r="G133" s="119" t="s">
        <v>2638</v>
      </c>
      <c r="H133" s="121" t="s">
        <v>235</v>
      </c>
      <c r="I133" s="121" t="s">
        <v>1546</v>
      </c>
      <c r="J133" s="122">
        <v>43922</v>
      </c>
      <c r="K133" s="22"/>
    </row>
    <row r="134" spans="1:11" s="66" customFormat="1" ht="14.25" customHeight="1">
      <c r="A134" s="138" t="s">
        <v>2282</v>
      </c>
      <c r="B134" s="123">
        <v>1304</v>
      </c>
      <c r="C134" s="118" t="s">
        <v>223</v>
      </c>
      <c r="D134" s="167" t="s">
        <v>1435</v>
      </c>
      <c r="E134" s="120" t="s">
        <v>2278</v>
      </c>
      <c r="F134" s="121" t="s">
        <v>1880</v>
      </c>
      <c r="G134" s="119" t="s">
        <v>1435</v>
      </c>
      <c r="H134" s="121" t="s">
        <v>453</v>
      </c>
      <c r="I134" s="121" t="s">
        <v>1880</v>
      </c>
      <c r="J134" s="122">
        <v>43922</v>
      </c>
      <c r="K134" s="22"/>
    </row>
    <row r="135" spans="1:11" s="66" customFormat="1" ht="14.25" customHeight="1">
      <c r="A135" s="138" t="s">
        <v>3338</v>
      </c>
      <c r="B135" s="123">
        <v>3210</v>
      </c>
      <c r="C135" s="118" t="s">
        <v>3029</v>
      </c>
      <c r="D135" s="167" t="s">
        <v>2640</v>
      </c>
      <c r="E135" s="120" t="s">
        <v>2094</v>
      </c>
      <c r="F135" s="121" t="s">
        <v>1938</v>
      </c>
      <c r="G135" s="167" t="s">
        <v>2640</v>
      </c>
      <c r="H135" s="121" t="s">
        <v>2759</v>
      </c>
      <c r="I135" s="121" t="s">
        <v>1938</v>
      </c>
      <c r="J135" s="122">
        <v>43952</v>
      </c>
      <c r="K135" s="22"/>
    </row>
    <row r="136" spans="1:11" s="66" customFormat="1" ht="14.25" customHeight="1">
      <c r="A136" s="138" t="s">
        <v>2930</v>
      </c>
      <c r="B136" s="123">
        <v>3212</v>
      </c>
      <c r="C136" s="118" t="s">
        <v>1224</v>
      </c>
      <c r="D136" s="167" t="s">
        <v>2640</v>
      </c>
      <c r="E136" s="120" t="s">
        <v>2314</v>
      </c>
      <c r="F136" s="121" t="s">
        <v>1898</v>
      </c>
      <c r="G136" s="167" t="s">
        <v>2640</v>
      </c>
      <c r="H136" s="121" t="s">
        <v>2759</v>
      </c>
      <c r="I136" s="121" t="s">
        <v>1898</v>
      </c>
      <c r="J136" s="122">
        <v>43952</v>
      </c>
      <c r="K136" s="22"/>
    </row>
    <row r="137" spans="1:11" s="66" customFormat="1" ht="14.25" customHeight="1">
      <c r="A137" s="138" t="s">
        <v>2891</v>
      </c>
      <c r="B137" s="123">
        <v>2994</v>
      </c>
      <c r="C137" s="118" t="s">
        <v>451</v>
      </c>
      <c r="D137" s="167" t="s">
        <v>1454</v>
      </c>
      <c r="E137" s="120" t="s">
        <v>2552</v>
      </c>
      <c r="F137" s="121" t="s">
        <v>539</v>
      </c>
      <c r="G137" s="167" t="s">
        <v>1044</v>
      </c>
      <c r="H137" s="121" t="s">
        <v>597</v>
      </c>
      <c r="I137" s="121" t="s">
        <v>1892</v>
      </c>
      <c r="J137" s="122">
        <v>43952</v>
      </c>
      <c r="K137" s="22"/>
    </row>
    <row r="138" spans="1:11" s="66" customFormat="1" ht="14.25" customHeight="1">
      <c r="A138" s="138" t="s">
        <v>1887</v>
      </c>
      <c r="B138" s="123">
        <v>53</v>
      </c>
      <c r="C138" s="118" t="s">
        <v>1322</v>
      </c>
      <c r="D138" s="167" t="s">
        <v>1433</v>
      </c>
      <c r="E138" s="120" t="s">
        <v>1969</v>
      </c>
      <c r="F138" s="121" t="s">
        <v>1881</v>
      </c>
      <c r="G138" s="167" t="s">
        <v>3079</v>
      </c>
      <c r="H138" s="121" t="s">
        <v>2758</v>
      </c>
      <c r="I138" s="121" t="s">
        <v>2684</v>
      </c>
      <c r="J138" s="122">
        <v>43952</v>
      </c>
      <c r="K138" s="22"/>
    </row>
    <row r="139" spans="1:11" s="66" customFormat="1" ht="14.25" customHeight="1">
      <c r="A139" s="138" t="e">
        <v>#N/A</v>
      </c>
      <c r="B139" s="123">
        <v>70500</v>
      </c>
      <c r="C139" s="118" t="e">
        <v>#N/A</v>
      </c>
      <c r="D139" s="167" t="s">
        <v>1044</v>
      </c>
      <c r="E139" s="120" t="s">
        <v>437</v>
      </c>
      <c r="F139" s="121" t="s">
        <v>342</v>
      </c>
      <c r="G139" s="167" t="s">
        <v>1433</v>
      </c>
      <c r="H139" s="121" t="s">
        <v>844</v>
      </c>
      <c r="I139" s="121" t="s">
        <v>1903</v>
      </c>
      <c r="J139" s="122">
        <v>43955</v>
      </c>
      <c r="K139" s="22"/>
    </row>
    <row r="140" spans="1:11" s="66" customFormat="1" ht="14.25" customHeight="1">
      <c r="A140" s="138" t="e">
        <v>#N/A</v>
      </c>
      <c r="B140" s="123">
        <v>64443</v>
      </c>
      <c r="C140" s="118" t="e">
        <v>#N/A</v>
      </c>
      <c r="D140" s="167" t="s">
        <v>1044</v>
      </c>
      <c r="E140" s="120" t="s">
        <v>772</v>
      </c>
      <c r="F140" s="121" t="s">
        <v>1389</v>
      </c>
      <c r="G140" s="167" t="s">
        <v>1044</v>
      </c>
      <c r="H140" s="121" t="s">
        <v>318</v>
      </c>
      <c r="I140" s="121" t="s">
        <v>1380</v>
      </c>
      <c r="J140" s="122">
        <v>43955</v>
      </c>
      <c r="K140" s="22"/>
    </row>
    <row r="141" spans="1:11" s="66" customFormat="1" ht="14.25" customHeight="1">
      <c r="A141" s="138" t="s">
        <v>3541</v>
      </c>
      <c r="B141" s="123">
        <v>1603</v>
      </c>
      <c r="C141" s="118" t="s">
        <v>1339</v>
      </c>
      <c r="D141" s="167" t="s">
        <v>2014</v>
      </c>
      <c r="E141" s="120" t="s">
        <v>220</v>
      </c>
      <c r="F141" s="121" t="s">
        <v>1877</v>
      </c>
      <c r="G141" s="167" t="s">
        <v>2014</v>
      </c>
      <c r="H141" s="121" t="s">
        <v>503</v>
      </c>
      <c r="I141" s="121" t="s">
        <v>1565</v>
      </c>
      <c r="J141" s="122">
        <v>43955</v>
      </c>
      <c r="K141" s="22"/>
    </row>
    <row r="142" spans="1:11" s="66" customFormat="1" ht="14.25" customHeight="1">
      <c r="A142" s="138" t="s">
        <v>4186</v>
      </c>
      <c r="B142" s="123">
        <v>2232</v>
      </c>
      <c r="C142" s="118" t="s">
        <v>2037</v>
      </c>
      <c r="D142" s="167" t="s">
        <v>1433</v>
      </c>
      <c r="E142" s="120" t="s">
        <v>1969</v>
      </c>
      <c r="F142" s="121" t="s">
        <v>1887</v>
      </c>
      <c r="G142" s="167" t="s">
        <v>1433</v>
      </c>
      <c r="H142" s="121" t="s">
        <v>1325</v>
      </c>
      <c r="I142" s="121" t="s">
        <v>2159</v>
      </c>
      <c r="J142" s="122">
        <v>43962</v>
      </c>
      <c r="K142" s="22"/>
    </row>
    <row r="143" spans="1:11" s="66" customFormat="1" ht="14.25" customHeight="1">
      <c r="A143" s="138" t="s">
        <v>2959</v>
      </c>
      <c r="B143" s="123">
        <v>1107</v>
      </c>
      <c r="C143" s="118" t="s">
        <v>1585</v>
      </c>
      <c r="D143" s="119" t="s">
        <v>1044</v>
      </c>
      <c r="E143" s="120" t="s">
        <v>318</v>
      </c>
      <c r="F143" s="121" t="s">
        <v>1380</v>
      </c>
      <c r="G143" s="119" t="s">
        <v>1433</v>
      </c>
      <c r="H143" s="121" t="s">
        <v>1325</v>
      </c>
      <c r="I143" s="121" t="s">
        <v>2159</v>
      </c>
      <c r="J143" s="122">
        <v>43962</v>
      </c>
      <c r="K143" s="22"/>
    </row>
    <row r="144" spans="1:11" s="66" customFormat="1" ht="14.25" customHeight="1">
      <c r="A144" s="138" t="s">
        <v>2190</v>
      </c>
      <c r="B144" s="123">
        <v>3030</v>
      </c>
      <c r="C144" s="118" t="s">
        <v>451</v>
      </c>
      <c r="D144" s="167" t="s">
        <v>1044</v>
      </c>
      <c r="E144" s="120" t="s">
        <v>772</v>
      </c>
      <c r="F144" s="121" t="s">
        <v>1389</v>
      </c>
      <c r="G144" s="119" t="s">
        <v>1433</v>
      </c>
      <c r="H144" s="121" t="s">
        <v>1325</v>
      </c>
      <c r="I144" s="121" t="s">
        <v>2159</v>
      </c>
      <c r="J144" s="122">
        <v>43962</v>
      </c>
      <c r="K144" s="22"/>
    </row>
    <row r="145" spans="1:11" s="102" customFormat="1" ht="14.25" customHeight="1">
      <c r="A145" s="138" t="e">
        <v>#N/A</v>
      </c>
      <c r="B145" s="123">
        <v>64343</v>
      </c>
      <c r="C145" s="118" t="e">
        <v>#N/A</v>
      </c>
      <c r="D145" s="119" t="s">
        <v>1044</v>
      </c>
      <c r="E145" s="120" t="s">
        <v>772</v>
      </c>
      <c r="F145" s="121" t="s">
        <v>1389</v>
      </c>
      <c r="G145" s="119" t="s">
        <v>1433</v>
      </c>
      <c r="H145" s="121" t="s">
        <v>1325</v>
      </c>
      <c r="I145" s="121" t="s">
        <v>2159</v>
      </c>
      <c r="J145" s="122">
        <v>43962</v>
      </c>
      <c r="K145" s="22"/>
    </row>
    <row r="146" spans="1:11" s="66" customFormat="1" ht="14.25" customHeight="1">
      <c r="A146" s="138" t="s">
        <v>3129</v>
      </c>
      <c r="B146" s="123">
        <v>1533</v>
      </c>
      <c r="C146" s="118" t="s">
        <v>223</v>
      </c>
      <c r="D146" s="167" t="s">
        <v>1044</v>
      </c>
      <c r="E146" s="120" t="s">
        <v>178</v>
      </c>
      <c r="F146" s="121" t="s">
        <v>1556</v>
      </c>
      <c r="G146" s="167" t="s">
        <v>1433</v>
      </c>
      <c r="H146" s="121" t="s">
        <v>570</v>
      </c>
      <c r="I146" s="121" t="s">
        <v>1893</v>
      </c>
      <c r="J146" s="122">
        <v>43962</v>
      </c>
      <c r="K146" s="22"/>
    </row>
    <row r="147" spans="1:11" s="66" customFormat="1" ht="14.25" customHeight="1">
      <c r="A147" s="138" t="s">
        <v>4358</v>
      </c>
      <c r="B147" s="123">
        <v>2999</v>
      </c>
      <c r="C147" s="118" t="s">
        <v>2128</v>
      </c>
      <c r="D147" s="167" t="s">
        <v>2283</v>
      </c>
      <c r="E147" s="120" t="s">
        <v>2069</v>
      </c>
      <c r="F147" s="121" t="s">
        <v>528</v>
      </c>
      <c r="G147" s="119" t="s">
        <v>1433</v>
      </c>
      <c r="H147" s="121" t="s">
        <v>844</v>
      </c>
      <c r="I147" s="121" t="s">
        <v>1903</v>
      </c>
      <c r="J147" s="122">
        <v>43962</v>
      </c>
      <c r="K147" s="22"/>
    </row>
    <row r="148" spans="1:11" s="66" customFormat="1" ht="14.25" customHeight="1">
      <c r="A148" s="138" t="s">
        <v>3118</v>
      </c>
      <c r="B148" s="123">
        <v>752</v>
      </c>
      <c r="C148" s="118" t="s">
        <v>223</v>
      </c>
      <c r="D148" s="119" t="s">
        <v>2283</v>
      </c>
      <c r="E148" s="120" t="s">
        <v>2069</v>
      </c>
      <c r="F148" s="121" t="s">
        <v>528</v>
      </c>
      <c r="G148" s="119" t="s">
        <v>1433</v>
      </c>
      <c r="H148" s="121" t="s">
        <v>224</v>
      </c>
      <c r="I148" s="121" t="s">
        <v>1912</v>
      </c>
      <c r="J148" s="122">
        <v>43962</v>
      </c>
      <c r="K148" s="22"/>
    </row>
    <row r="149" spans="1:11" s="66" customFormat="1" ht="14.25" customHeight="1">
      <c r="A149" s="138" t="s">
        <v>3132</v>
      </c>
      <c r="B149" s="123">
        <v>1872</v>
      </c>
      <c r="C149" s="118" t="s">
        <v>223</v>
      </c>
      <c r="D149" s="167" t="s">
        <v>2283</v>
      </c>
      <c r="E149" s="120" t="s">
        <v>2325</v>
      </c>
      <c r="F149" s="121" t="s">
        <v>345</v>
      </c>
      <c r="G149" s="167" t="s">
        <v>1433</v>
      </c>
      <c r="H149" s="121" t="s">
        <v>1045</v>
      </c>
      <c r="I149" s="121" t="s">
        <v>1926</v>
      </c>
      <c r="J149" s="122">
        <v>43962</v>
      </c>
      <c r="K149" s="22"/>
    </row>
    <row r="150" spans="1:11" s="66" customFormat="1" ht="14.25" customHeight="1">
      <c r="A150" s="138" t="s">
        <v>3116</v>
      </c>
      <c r="B150" s="123">
        <v>623</v>
      </c>
      <c r="C150" s="118" t="s">
        <v>223</v>
      </c>
      <c r="D150" s="167" t="s">
        <v>2283</v>
      </c>
      <c r="E150" s="120" t="s">
        <v>2325</v>
      </c>
      <c r="F150" s="121" t="s">
        <v>345</v>
      </c>
      <c r="G150" s="167" t="s">
        <v>1433</v>
      </c>
      <c r="H150" s="121" t="s">
        <v>844</v>
      </c>
      <c r="I150" s="121" t="s">
        <v>1903</v>
      </c>
      <c r="J150" s="122">
        <v>43962</v>
      </c>
      <c r="K150" s="22"/>
    </row>
    <row r="151" spans="1:11" s="66" customFormat="1" ht="14.25" customHeight="1">
      <c r="A151" s="138" t="s">
        <v>3038</v>
      </c>
      <c r="B151" s="123">
        <v>2608</v>
      </c>
      <c r="C151" s="118" t="s">
        <v>223</v>
      </c>
      <c r="D151" s="167" t="s">
        <v>2283</v>
      </c>
      <c r="E151" s="120" t="s">
        <v>2325</v>
      </c>
      <c r="F151" s="121" t="s">
        <v>345</v>
      </c>
      <c r="G151" s="167" t="s">
        <v>1433</v>
      </c>
      <c r="H151" s="121" t="s">
        <v>224</v>
      </c>
      <c r="I151" s="121" t="s">
        <v>1912</v>
      </c>
      <c r="J151" s="122">
        <v>43962</v>
      </c>
      <c r="K151" s="22"/>
    </row>
    <row r="152" spans="1:11" s="66" customFormat="1" ht="14.25" customHeight="1">
      <c r="A152" s="138" t="s">
        <v>4133</v>
      </c>
      <c r="B152" s="123">
        <v>2049</v>
      </c>
      <c r="C152" s="118" t="s">
        <v>223</v>
      </c>
      <c r="D152" s="167" t="s">
        <v>2283</v>
      </c>
      <c r="E152" s="120" t="s">
        <v>2450</v>
      </c>
      <c r="F152" s="121" t="s">
        <v>1582</v>
      </c>
      <c r="G152" s="167" t="s">
        <v>1433</v>
      </c>
      <c r="H152" s="121" t="s">
        <v>1045</v>
      </c>
      <c r="I152" s="121" t="s">
        <v>1926</v>
      </c>
      <c r="J152" s="122">
        <v>43962</v>
      </c>
      <c r="K152" s="22"/>
    </row>
    <row r="153" spans="1:11" s="66" customFormat="1" ht="14.25" customHeight="1">
      <c r="A153" s="138" t="s">
        <v>3113</v>
      </c>
      <c r="B153" s="123">
        <v>578</v>
      </c>
      <c r="C153" s="118" t="s">
        <v>2037</v>
      </c>
      <c r="D153" s="167" t="s">
        <v>2283</v>
      </c>
      <c r="E153" s="120" t="s">
        <v>2450</v>
      </c>
      <c r="F153" s="121" t="s">
        <v>1582</v>
      </c>
      <c r="G153" s="167" t="s">
        <v>1433</v>
      </c>
      <c r="H153" s="121" t="s">
        <v>844</v>
      </c>
      <c r="I153" s="121" t="s">
        <v>1903</v>
      </c>
      <c r="J153" s="122">
        <v>43962</v>
      </c>
      <c r="K153" s="22"/>
    </row>
    <row r="154" spans="1:11" s="66" customFormat="1" ht="14.25" customHeight="1">
      <c r="A154" s="138" t="s">
        <v>3106</v>
      </c>
      <c r="B154" s="123">
        <v>245</v>
      </c>
      <c r="C154" s="118" t="s">
        <v>223</v>
      </c>
      <c r="D154" s="167" t="s">
        <v>2283</v>
      </c>
      <c r="E154" s="120" t="s">
        <v>2448</v>
      </c>
      <c r="F154" s="121" t="s">
        <v>2736</v>
      </c>
      <c r="G154" s="167" t="s">
        <v>1433</v>
      </c>
      <c r="H154" s="121" t="s">
        <v>1325</v>
      </c>
      <c r="I154" s="121" t="s">
        <v>2159</v>
      </c>
      <c r="J154" s="122">
        <v>43969</v>
      </c>
      <c r="K154" s="22"/>
    </row>
    <row r="155" spans="1:11" s="66" customFormat="1" ht="14.25" customHeight="1">
      <c r="A155" s="138" t="s">
        <v>4549</v>
      </c>
      <c r="B155" s="123">
        <v>64469</v>
      </c>
      <c r="C155" s="118" t="s">
        <v>643</v>
      </c>
      <c r="D155" s="119" t="s">
        <v>2283</v>
      </c>
      <c r="E155" s="120" t="s">
        <v>2448</v>
      </c>
      <c r="F155" s="121" t="s">
        <v>2736</v>
      </c>
      <c r="G155" s="119" t="s">
        <v>2283</v>
      </c>
      <c r="H155" s="121" t="s">
        <v>2073</v>
      </c>
      <c r="I155" s="121" t="s">
        <v>2471</v>
      </c>
      <c r="J155" s="122">
        <v>43969</v>
      </c>
      <c r="K155" s="22"/>
    </row>
    <row r="156" spans="1:11" s="66" customFormat="1" ht="14.25" customHeight="1">
      <c r="A156" s="138" t="s">
        <v>4019</v>
      </c>
      <c r="B156" s="123">
        <v>1688</v>
      </c>
      <c r="C156" s="118" t="s">
        <v>223</v>
      </c>
      <c r="D156" s="119" t="s">
        <v>2014</v>
      </c>
      <c r="E156" s="120" t="s">
        <v>208</v>
      </c>
      <c r="F156" s="121" t="s">
        <v>1386</v>
      </c>
      <c r="G156" s="119" t="s">
        <v>3079</v>
      </c>
      <c r="H156" s="121" t="s">
        <v>2378</v>
      </c>
      <c r="I156" s="121" t="s">
        <v>544</v>
      </c>
      <c r="J156" s="122">
        <v>43969</v>
      </c>
      <c r="K156" s="22"/>
    </row>
    <row r="157" spans="1:11" s="66" customFormat="1" ht="14.25" customHeight="1">
      <c r="A157" s="138" t="e">
        <v>#N/A</v>
      </c>
      <c r="B157" s="123">
        <v>70560</v>
      </c>
      <c r="C157" s="118" t="e">
        <v>#N/A</v>
      </c>
      <c r="D157" s="119" t="s">
        <v>1433</v>
      </c>
      <c r="E157" s="120" t="s">
        <v>1045</v>
      </c>
      <c r="F157" s="121" t="s">
        <v>1926</v>
      </c>
      <c r="G157" s="119" t="s">
        <v>1433</v>
      </c>
      <c r="H157" s="121" t="s">
        <v>1325</v>
      </c>
      <c r="I157" s="121" t="s">
        <v>2159</v>
      </c>
      <c r="J157" s="122">
        <v>43976</v>
      </c>
      <c r="K157" s="22"/>
    </row>
    <row r="158" spans="1:11" s="66" customFormat="1" ht="14.25" customHeight="1">
      <c r="A158" s="138" t="s">
        <v>2054</v>
      </c>
      <c r="B158" s="123">
        <v>2949</v>
      </c>
      <c r="C158" s="118" t="s">
        <v>451</v>
      </c>
      <c r="D158" s="119" t="s">
        <v>2283</v>
      </c>
      <c r="E158" s="120" t="s">
        <v>2073</v>
      </c>
      <c r="F158" s="121" t="s">
        <v>2471</v>
      </c>
      <c r="G158" s="119" t="s">
        <v>1433</v>
      </c>
      <c r="H158" s="121" t="s">
        <v>1325</v>
      </c>
      <c r="I158" s="121" t="s">
        <v>2159</v>
      </c>
      <c r="J158" s="122">
        <v>43976</v>
      </c>
      <c r="K158" s="22"/>
    </row>
    <row r="159" spans="1:11" s="66" customFormat="1" ht="14.25" customHeight="1">
      <c r="A159" s="138" t="s">
        <v>2254</v>
      </c>
      <c r="B159" s="123">
        <v>2068</v>
      </c>
      <c r="C159" s="118" t="s">
        <v>223</v>
      </c>
      <c r="D159" s="119" t="s">
        <v>2283</v>
      </c>
      <c r="E159" s="120" t="s">
        <v>2323</v>
      </c>
      <c r="F159" s="121" t="s">
        <v>1904</v>
      </c>
      <c r="G159" s="119" t="s">
        <v>1433</v>
      </c>
      <c r="H159" s="121" t="s">
        <v>1325</v>
      </c>
      <c r="I159" s="121" t="s">
        <v>2159</v>
      </c>
      <c r="J159" s="122">
        <v>43976</v>
      </c>
      <c r="K159" s="22"/>
    </row>
    <row r="160" spans="1:11" s="66" customFormat="1" ht="14.25" customHeight="1">
      <c r="A160" s="138" t="e">
        <v>#N/A</v>
      </c>
      <c r="B160" s="123">
        <v>70536</v>
      </c>
      <c r="C160" s="118" t="e">
        <v>#N/A</v>
      </c>
      <c r="D160" s="119" t="s">
        <v>2283</v>
      </c>
      <c r="E160" s="120" t="s">
        <v>2072</v>
      </c>
      <c r="F160" s="121" t="s">
        <v>1398</v>
      </c>
      <c r="G160" s="119" t="s">
        <v>2283</v>
      </c>
      <c r="H160" s="121" t="s">
        <v>2324</v>
      </c>
      <c r="I160" s="121" t="s">
        <v>2326</v>
      </c>
      <c r="J160" s="122">
        <v>43976</v>
      </c>
      <c r="K160" s="22"/>
    </row>
    <row r="161" spans="1:11" s="66" customFormat="1" ht="14.25" customHeight="1">
      <c r="A161" s="138" t="s">
        <v>4135</v>
      </c>
      <c r="B161" s="123">
        <v>2052</v>
      </c>
      <c r="C161" s="118" t="s">
        <v>223</v>
      </c>
      <c r="D161" s="119" t="s">
        <v>1433</v>
      </c>
      <c r="E161" s="120" t="s">
        <v>1325</v>
      </c>
      <c r="F161" s="121" t="s">
        <v>2159</v>
      </c>
      <c r="G161" s="119" t="s">
        <v>1435</v>
      </c>
      <c r="H161" s="121" t="s">
        <v>2331</v>
      </c>
      <c r="I161" s="121" t="s">
        <v>1567</v>
      </c>
      <c r="J161" s="122">
        <v>43980</v>
      </c>
      <c r="K161" s="22"/>
    </row>
    <row r="162" spans="1:11" s="66" customFormat="1" ht="14.25" customHeight="1">
      <c r="A162" s="138" t="s">
        <v>2181</v>
      </c>
      <c r="B162" s="123">
        <v>1160</v>
      </c>
      <c r="C162" s="118" t="s">
        <v>2126</v>
      </c>
      <c r="D162" s="119" t="s">
        <v>2639</v>
      </c>
      <c r="E162" s="120" t="s">
        <v>1480</v>
      </c>
      <c r="F162" s="121" t="s">
        <v>2141</v>
      </c>
      <c r="G162" s="119" t="s">
        <v>2639</v>
      </c>
      <c r="H162" s="121" t="s">
        <v>1971</v>
      </c>
      <c r="I162" s="121" t="s">
        <v>2141</v>
      </c>
      <c r="J162" s="122">
        <v>43982</v>
      </c>
      <c r="K162" s="22"/>
    </row>
    <row r="163" spans="1:11" s="66" customFormat="1" ht="14.25" customHeight="1">
      <c r="A163" s="138" t="s">
        <v>2793</v>
      </c>
      <c r="B163" s="123">
        <v>2402</v>
      </c>
      <c r="C163" s="118" t="s">
        <v>2035</v>
      </c>
      <c r="D163" s="119" t="s">
        <v>510</v>
      </c>
      <c r="E163" s="121" t="s">
        <v>1263</v>
      </c>
      <c r="F163" s="121" t="s">
        <v>1571</v>
      </c>
      <c r="G163" s="119" t="s">
        <v>2633</v>
      </c>
      <c r="H163" s="121" t="s">
        <v>1368</v>
      </c>
      <c r="I163" s="121" t="s">
        <v>1927</v>
      </c>
      <c r="J163" s="122">
        <v>43983</v>
      </c>
      <c r="K163" s="22"/>
    </row>
    <row r="164" spans="1:11" s="66" customFormat="1" ht="14.25" customHeight="1">
      <c r="A164" s="138" t="s">
        <v>3559</v>
      </c>
      <c r="B164" s="123">
        <v>125</v>
      </c>
      <c r="C164" s="118" t="s">
        <v>1585</v>
      </c>
      <c r="D164" s="119" t="s">
        <v>2014</v>
      </c>
      <c r="E164" s="121" t="s">
        <v>1080</v>
      </c>
      <c r="F164" s="121" t="s">
        <v>531</v>
      </c>
      <c r="G164" s="119" t="s">
        <v>2014</v>
      </c>
      <c r="H164" s="121" t="s">
        <v>220</v>
      </c>
      <c r="I164" s="121" t="s">
        <v>1887</v>
      </c>
      <c r="J164" s="122">
        <v>43983</v>
      </c>
      <c r="K164" s="22"/>
    </row>
    <row r="165" spans="1:11" s="66" customFormat="1" ht="14.25" customHeight="1">
      <c r="A165" s="138" t="s">
        <v>3563</v>
      </c>
      <c r="B165" s="123">
        <v>142</v>
      </c>
      <c r="C165" s="118" t="s">
        <v>1585</v>
      </c>
      <c r="D165" s="119" t="s">
        <v>2014</v>
      </c>
      <c r="E165" s="121" t="s">
        <v>432</v>
      </c>
      <c r="F165" s="121" t="s">
        <v>1578</v>
      </c>
      <c r="G165" s="119" t="s">
        <v>2014</v>
      </c>
      <c r="H165" s="121" t="s">
        <v>220</v>
      </c>
      <c r="I165" s="121" t="s">
        <v>1877</v>
      </c>
      <c r="J165" s="122">
        <v>43983</v>
      </c>
      <c r="K165" s="22"/>
    </row>
    <row r="166" spans="1:11" s="66" customFormat="1" ht="14.25" customHeight="1">
      <c r="A166" s="138" t="s">
        <v>3678</v>
      </c>
      <c r="B166" s="123">
        <v>551</v>
      </c>
      <c r="C166" s="118" t="s">
        <v>223</v>
      </c>
      <c r="D166" s="119" t="s">
        <v>2014</v>
      </c>
      <c r="E166" s="121" t="s">
        <v>1080</v>
      </c>
      <c r="F166" s="121" t="s">
        <v>531</v>
      </c>
      <c r="G166" s="119" t="s">
        <v>2014</v>
      </c>
      <c r="H166" s="121" t="s">
        <v>220</v>
      </c>
      <c r="I166" s="121" t="s">
        <v>1887</v>
      </c>
      <c r="J166" s="122">
        <v>43983</v>
      </c>
      <c r="K166" s="22"/>
    </row>
    <row r="167" spans="1:11" s="66" customFormat="1" ht="14.25" customHeight="1">
      <c r="A167" s="138" t="s">
        <v>3738</v>
      </c>
      <c r="B167" s="123">
        <v>743</v>
      </c>
      <c r="C167" s="118" t="s">
        <v>1339</v>
      </c>
      <c r="D167" s="167" t="s">
        <v>2014</v>
      </c>
      <c r="E167" s="121" t="s">
        <v>206</v>
      </c>
      <c r="F167" s="121" t="s">
        <v>532</v>
      </c>
      <c r="G167" s="167" t="s">
        <v>2014</v>
      </c>
      <c r="H167" s="121" t="s">
        <v>220</v>
      </c>
      <c r="I167" s="121" t="s">
        <v>1877</v>
      </c>
      <c r="J167" s="122">
        <v>43983</v>
      </c>
      <c r="K167" s="22"/>
    </row>
    <row r="168" spans="1:11" s="66" customFormat="1" ht="14.25" customHeight="1">
      <c r="A168" s="138" t="s">
        <v>4090</v>
      </c>
      <c r="B168" s="123">
        <v>1902</v>
      </c>
      <c r="C168" s="118" t="s">
        <v>223</v>
      </c>
      <c r="D168" s="119" t="s">
        <v>2014</v>
      </c>
      <c r="E168" s="121" t="s">
        <v>206</v>
      </c>
      <c r="F168" s="121" t="s">
        <v>532</v>
      </c>
      <c r="G168" s="119" t="s">
        <v>2014</v>
      </c>
      <c r="H168" s="121" t="s">
        <v>220</v>
      </c>
      <c r="I168" s="121" t="s">
        <v>1877</v>
      </c>
      <c r="J168" s="122">
        <v>43983</v>
      </c>
      <c r="K168" s="22"/>
    </row>
    <row r="169" spans="1:11" s="66" customFormat="1" ht="14.25" customHeight="1">
      <c r="A169" s="138" t="s">
        <v>1552</v>
      </c>
      <c r="B169" s="123">
        <v>2571</v>
      </c>
      <c r="C169" s="118" t="s">
        <v>223</v>
      </c>
      <c r="D169" s="119" t="s">
        <v>2014</v>
      </c>
      <c r="E169" s="121" t="s">
        <v>432</v>
      </c>
      <c r="F169" s="121" t="s">
        <v>1578</v>
      </c>
      <c r="G169" s="119" t="s">
        <v>2014</v>
      </c>
      <c r="H169" s="121" t="s">
        <v>220</v>
      </c>
      <c r="I169" s="121" t="s">
        <v>1877</v>
      </c>
      <c r="J169" s="122">
        <v>43983</v>
      </c>
      <c r="K169" s="22"/>
    </row>
    <row r="170" spans="1:11" s="66" customFormat="1" ht="14.25" customHeight="1">
      <c r="A170" s="138" t="s">
        <v>1554</v>
      </c>
      <c r="B170" s="123">
        <v>68</v>
      </c>
      <c r="C170" s="118" t="s">
        <v>1322</v>
      </c>
      <c r="D170" s="119" t="s">
        <v>1435</v>
      </c>
      <c r="E170" s="121" t="s">
        <v>2023</v>
      </c>
      <c r="F170" s="121" t="s">
        <v>1922</v>
      </c>
      <c r="G170" s="119" t="s">
        <v>1435</v>
      </c>
      <c r="H170" s="121" t="s">
        <v>2738</v>
      </c>
      <c r="I170" s="121" t="s">
        <v>1922</v>
      </c>
      <c r="J170" s="122">
        <v>43983</v>
      </c>
      <c r="K170" s="22"/>
    </row>
    <row r="171" spans="1:11" s="66" customFormat="1" ht="14.25" customHeight="1">
      <c r="A171" s="138" t="s">
        <v>3553</v>
      </c>
      <c r="B171" s="123">
        <v>75</v>
      </c>
      <c r="C171" s="118" t="s">
        <v>1585</v>
      </c>
      <c r="D171" s="167" t="s">
        <v>1435</v>
      </c>
      <c r="E171" s="121" t="s">
        <v>2023</v>
      </c>
      <c r="F171" s="121" t="s">
        <v>1554</v>
      </c>
      <c r="G171" s="167" t="s">
        <v>1435</v>
      </c>
      <c r="H171" s="121" t="s">
        <v>2738</v>
      </c>
      <c r="I171" s="121" t="s">
        <v>1554</v>
      </c>
      <c r="J171" s="122">
        <v>43983</v>
      </c>
      <c r="K171" s="22"/>
    </row>
    <row r="172" spans="1:11" s="66" customFormat="1" ht="14.25" customHeight="1">
      <c r="A172" s="138" t="s">
        <v>3135</v>
      </c>
      <c r="B172" s="123">
        <v>1925</v>
      </c>
      <c r="C172" s="118" t="s">
        <v>2287</v>
      </c>
      <c r="D172" s="119" t="s">
        <v>1435</v>
      </c>
      <c r="E172" s="121" t="s">
        <v>2023</v>
      </c>
      <c r="F172" s="121" t="s">
        <v>1554</v>
      </c>
      <c r="G172" s="119" t="s">
        <v>1435</v>
      </c>
      <c r="H172" s="121" t="s">
        <v>2738</v>
      </c>
      <c r="I172" s="121" t="s">
        <v>1554</v>
      </c>
      <c r="J172" s="122">
        <v>43983</v>
      </c>
      <c r="K172" s="22"/>
    </row>
    <row r="173" spans="1:11" s="66" customFormat="1" ht="14.25" customHeight="1">
      <c r="A173" s="138" t="s">
        <v>3794</v>
      </c>
      <c r="B173" s="123">
        <v>941</v>
      </c>
      <c r="C173" s="118" t="s">
        <v>1585</v>
      </c>
      <c r="D173" s="119" t="s">
        <v>1630</v>
      </c>
      <c r="E173" s="121" t="s">
        <v>935</v>
      </c>
      <c r="F173" s="121" t="s">
        <v>2071</v>
      </c>
      <c r="G173" s="119" t="s">
        <v>2588</v>
      </c>
      <c r="H173" s="121" t="s">
        <v>2765</v>
      </c>
      <c r="I173" s="121" t="s">
        <v>1380</v>
      </c>
      <c r="J173" s="122">
        <v>43983</v>
      </c>
      <c r="K173" s="22"/>
    </row>
    <row r="174" spans="1:11" s="66" customFormat="1" ht="14.25" customHeight="1">
      <c r="A174" s="138" t="s">
        <v>2959</v>
      </c>
      <c r="B174" s="123">
        <v>1107</v>
      </c>
      <c r="C174" s="118" t="s">
        <v>1585</v>
      </c>
      <c r="D174" s="119" t="s">
        <v>1433</v>
      </c>
      <c r="E174" s="121" t="s">
        <v>1325</v>
      </c>
      <c r="F174" s="121" t="s">
        <v>2159</v>
      </c>
      <c r="G174" s="119" t="s">
        <v>2588</v>
      </c>
      <c r="H174" s="121" t="s">
        <v>2787</v>
      </c>
      <c r="I174" s="121" t="s">
        <v>1380</v>
      </c>
      <c r="J174" s="122">
        <v>43983</v>
      </c>
      <c r="K174" s="22"/>
    </row>
    <row r="175" spans="1:11" s="66" customFormat="1" ht="14.25" customHeight="1">
      <c r="A175" s="138" t="s">
        <v>1380</v>
      </c>
      <c r="B175" s="123">
        <v>91</v>
      </c>
      <c r="C175" s="118" t="s">
        <v>1320</v>
      </c>
      <c r="D175" s="119" t="s">
        <v>1044</v>
      </c>
      <c r="E175" s="121" t="s">
        <v>318</v>
      </c>
      <c r="F175" s="121" t="s">
        <v>1921</v>
      </c>
      <c r="G175" s="119" t="s">
        <v>2588</v>
      </c>
      <c r="H175" s="121" t="s">
        <v>2765</v>
      </c>
      <c r="I175" s="121" t="s">
        <v>545</v>
      </c>
      <c r="J175" s="122">
        <v>43983</v>
      </c>
      <c r="K175" s="22"/>
    </row>
    <row r="176" spans="1:11" s="66" customFormat="1" ht="14.25" customHeight="1">
      <c r="A176" s="138" t="s">
        <v>2961</v>
      </c>
      <c r="B176" s="123">
        <v>426</v>
      </c>
      <c r="C176" s="118" t="s">
        <v>1585</v>
      </c>
      <c r="D176" s="119" t="s">
        <v>1044</v>
      </c>
      <c r="E176" s="121" t="s">
        <v>772</v>
      </c>
      <c r="F176" s="121" t="s">
        <v>1389</v>
      </c>
      <c r="G176" s="119" t="s">
        <v>2588</v>
      </c>
      <c r="H176" s="121" t="s">
        <v>2765</v>
      </c>
      <c r="I176" s="121" t="s">
        <v>1380</v>
      </c>
      <c r="J176" s="122">
        <v>43983</v>
      </c>
      <c r="K176" s="22"/>
    </row>
    <row r="177" spans="1:11" s="66" customFormat="1" ht="14.25" customHeight="1">
      <c r="A177" s="138" t="s">
        <v>2960</v>
      </c>
      <c r="B177" s="123">
        <v>2593</v>
      </c>
      <c r="C177" s="118" t="s">
        <v>2037</v>
      </c>
      <c r="D177" s="119" t="s">
        <v>1044</v>
      </c>
      <c r="E177" s="121" t="s">
        <v>1999</v>
      </c>
      <c r="F177" s="121" t="s">
        <v>1902</v>
      </c>
      <c r="G177" s="119" t="s">
        <v>2588</v>
      </c>
      <c r="H177" s="121" t="s">
        <v>2765</v>
      </c>
      <c r="I177" s="121" t="s">
        <v>1380</v>
      </c>
      <c r="J177" s="122">
        <v>43983</v>
      </c>
      <c r="K177" s="22"/>
    </row>
    <row r="178" spans="1:11" s="66" customFormat="1" ht="14.25" customHeight="1">
      <c r="A178" s="138" t="s">
        <v>1397</v>
      </c>
      <c r="B178" s="123">
        <v>311</v>
      </c>
      <c r="C178" s="118" t="s">
        <v>1585</v>
      </c>
      <c r="D178" s="119" t="s">
        <v>1044</v>
      </c>
      <c r="E178" s="121" t="s">
        <v>1999</v>
      </c>
      <c r="F178" s="121" t="s">
        <v>1902</v>
      </c>
      <c r="G178" s="119" t="s">
        <v>2588</v>
      </c>
      <c r="H178" s="121" t="s">
        <v>2787</v>
      </c>
      <c r="I178" s="121" t="s">
        <v>1380</v>
      </c>
      <c r="J178" s="122">
        <v>43983</v>
      </c>
      <c r="K178" s="22"/>
    </row>
    <row r="179" spans="1:11" s="66" customFormat="1" ht="14.25" customHeight="1">
      <c r="A179" s="138" t="s">
        <v>2958</v>
      </c>
      <c r="B179" s="123">
        <v>2816</v>
      </c>
      <c r="C179" s="118" t="s">
        <v>2037</v>
      </c>
      <c r="D179" s="119" t="s">
        <v>2014</v>
      </c>
      <c r="E179" s="121" t="s">
        <v>1090</v>
      </c>
      <c r="F179" s="121" t="s">
        <v>1908</v>
      </c>
      <c r="G179" s="119" t="s">
        <v>2588</v>
      </c>
      <c r="H179" s="121" t="s">
        <v>2765</v>
      </c>
      <c r="I179" s="121" t="s">
        <v>1380</v>
      </c>
      <c r="J179" s="122">
        <v>43983</v>
      </c>
      <c r="K179" s="22"/>
    </row>
    <row r="180" spans="1:11" s="66" customFormat="1" ht="14.25" customHeight="1">
      <c r="A180" s="138" t="s">
        <v>4358</v>
      </c>
      <c r="B180" s="123">
        <v>2999</v>
      </c>
      <c r="C180" s="118" t="s">
        <v>2128</v>
      </c>
      <c r="D180" s="119" t="s">
        <v>1433</v>
      </c>
      <c r="E180" s="121" t="s">
        <v>844</v>
      </c>
      <c r="F180" s="121" t="s">
        <v>1903</v>
      </c>
      <c r="G180" s="119" t="s">
        <v>2283</v>
      </c>
      <c r="H180" s="121" t="s">
        <v>2069</v>
      </c>
      <c r="I180" s="121" t="s">
        <v>528</v>
      </c>
      <c r="J180" s="122">
        <v>43983</v>
      </c>
      <c r="K180" s="22"/>
    </row>
    <row r="181" spans="1:11" s="66" customFormat="1" ht="14.25" customHeight="1">
      <c r="A181" s="138" t="s">
        <v>3039</v>
      </c>
      <c r="B181" s="123">
        <v>2032</v>
      </c>
      <c r="C181" s="118" t="s">
        <v>223</v>
      </c>
      <c r="D181" s="119" t="s">
        <v>2014</v>
      </c>
      <c r="E181" s="121" t="s">
        <v>454</v>
      </c>
      <c r="F181" s="121" t="s">
        <v>1383</v>
      </c>
      <c r="G181" s="119" t="s">
        <v>3079</v>
      </c>
      <c r="H181" s="121" t="s">
        <v>2378</v>
      </c>
      <c r="I181" s="121" t="s">
        <v>544</v>
      </c>
      <c r="J181" s="122">
        <v>43983</v>
      </c>
      <c r="K181" s="22"/>
    </row>
    <row r="182" spans="1:11" s="66" customFormat="1" ht="14.25" customHeight="1">
      <c r="A182" s="138" t="s">
        <v>2190</v>
      </c>
      <c r="B182" s="123">
        <v>3030</v>
      </c>
      <c r="C182" s="118" t="s">
        <v>451</v>
      </c>
      <c r="D182" s="119" t="s">
        <v>1433</v>
      </c>
      <c r="E182" s="121" t="s">
        <v>1325</v>
      </c>
      <c r="F182" s="121" t="s">
        <v>2159</v>
      </c>
      <c r="G182" s="119" t="s">
        <v>1044</v>
      </c>
      <c r="H182" s="121" t="s">
        <v>772</v>
      </c>
      <c r="I182" s="121" t="s">
        <v>1389</v>
      </c>
      <c r="J182" s="122">
        <v>43984</v>
      </c>
      <c r="K182" s="22"/>
    </row>
    <row r="183" spans="1:11" s="66" customFormat="1" ht="14.25" customHeight="1">
      <c r="A183" s="138" t="e">
        <v>#N/A</v>
      </c>
      <c r="B183" s="123">
        <v>64343</v>
      </c>
      <c r="C183" s="118" t="e">
        <v>#N/A</v>
      </c>
      <c r="D183" s="119" t="s">
        <v>1433</v>
      </c>
      <c r="E183" s="121" t="s">
        <v>1325</v>
      </c>
      <c r="F183" s="121" t="s">
        <v>2159</v>
      </c>
      <c r="G183" s="119" t="s">
        <v>1044</v>
      </c>
      <c r="H183" s="121" t="s">
        <v>772</v>
      </c>
      <c r="I183" s="121" t="s">
        <v>1389</v>
      </c>
      <c r="J183" s="122">
        <v>43984</v>
      </c>
      <c r="K183" s="22"/>
    </row>
    <row r="184" spans="1:11" s="66" customFormat="1" ht="14.25" customHeight="1">
      <c r="A184" s="138" t="s">
        <v>4252</v>
      </c>
      <c r="B184" s="123">
        <v>2510</v>
      </c>
      <c r="C184" s="118" t="s">
        <v>223</v>
      </c>
      <c r="D184" s="119" t="s">
        <v>2283</v>
      </c>
      <c r="E184" s="120" t="s">
        <v>2324</v>
      </c>
      <c r="F184" s="121" t="s">
        <v>2326</v>
      </c>
      <c r="G184" s="119" t="s">
        <v>1435</v>
      </c>
      <c r="H184" s="121" t="s">
        <v>2729</v>
      </c>
      <c r="I184" s="121" t="s">
        <v>1913</v>
      </c>
      <c r="J184" s="122">
        <v>43987</v>
      </c>
      <c r="K184" s="22"/>
    </row>
    <row r="185" spans="1:11" s="66" customFormat="1" ht="14.25" customHeight="1">
      <c r="A185" s="138" t="s">
        <v>2811</v>
      </c>
      <c r="B185" s="123">
        <v>2053</v>
      </c>
      <c r="C185" s="118" t="s">
        <v>223</v>
      </c>
      <c r="D185" s="119" t="s">
        <v>2283</v>
      </c>
      <c r="E185" s="121" t="s">
        <v>2448</v>
      </c>
      <c r="F185" s="121" t="s">
        <v>1555</v>
      </c>
      <c r="G185" s="119" t="s">
        <v>1433</v>
      </c>
      <c r="H185" s="121" t="s">
        <v>1325</v>
      </c>
      <c r="I185" s="121" t="s">
        <v>2159</v>
      </c>
      <c r="J185" s="122">
        <v>43987</v>
      </c>
      <c r="K185" s="22"/>
    </row>
    <row r="186" spans="1:11" s="66" customFormat="1" ht="14.25" customHeight="1">
      <c r="A186" s="138" t="e">
        <v>#N/A</v>
      </c>
      <c r="B186" s="123">
        <v>70500</v>
      </c>
      <c r="C186" s="118" t="e">
        <v>#N/A</v>
      </c>
      <c r="D186" s="119" t="s">
        <v>1433</v>
      </c>
      <c r="E186" s="121" t="s">
        <v>844</v>
      </c>
      <c r="F186" s="121" t="s">
        <v>1903</v>
      </c>
      <c r="G186" s="119" t="s">
        <v>1044</v>
      </c>
      <c r="H186" s="121" t="s">
        <v>437</v>
      </c>
      <c r="I186" s="121" t="s">
        <v>342</v>
      </c>
      <c r="J186" s="122">
        <v>43988</v>
      </c>
      <c r="K186" s="22"/>
    </row>
    <row r="187" spans="1:11" s="66" customFormat="1" ht="14.25" customHeight="1">
      <c r="A187" s="138" t="s">
        <v>3131</v>
      </c>
      <c r="B187" s="123">
        <v>1677</v>
      </c>
      <c r="C187" s="118" t="s">
        <v>1339</v>
      </c>
      <c r="D187" s="119" t="s">
        <v>1433</v>
      </c>
      <c r="E187" s="121" t="s">
        <v>1325</v>
      </c>
      <c r="F187" s="121" t="s">
        <v>2159</v>
      </c>
      <c r="G187" s="119" t="s">
        <v>1630</v>
      </c>
      <c r="H187" s="121" t="s">
        <v>935</v>
      </c>
      <c r="I187" s="121" t="s">
        <v>2071</v>
      </c>
      <c r="J187" s="122">
        <v>43990</v>
      </c>
      <c r="K187" s="22"/>
    </row>
    <row r="188" spans="1:11" s="66" customFormat="1" ht="14.25" customHeight="1">
      <c r="A188" s="138" t="s">
        <v>3131</v>
      </c>
      <c r="B188" s="123">
        <v>1677</v>
      </c>
      <c r="C188" s="118" t="s">
        <v>1339</v>
      </c>
      <c r="D188" s="119" t="s">
        <v>1433</v>
      </c>
      <c r="E188" s="121" t="s">
        <v>1325</v>
      </c>
      <c r="F188" s="121" t="s">
        <v>2159</v>
      </c>
      <c r="G188" s="119" t="s">
        <v>1630</v>
      </c>
      <c r="H188" s="121" t="s">
        <v>935</v>
      </c>
      <c r="I188" s="121" t="s">
        <v>2071</v>
      </c>
      <c r="J188" s="122">
        <v>43990</v>
      </c>
      <c r="K188" s="22"/>
    </row>
    <row r="189" spans="1:11" s="66" customFormat="1" ht="14.25" customHeight="1">
      <c r="A189" s="138" t="s">
        <v>2896</v>
      </c>
      <c r="B189" s="123">
        <v>70548</v>
      </c>
      <c r="C189" s="118" t="e">
        <v>#N/A</v>
      </c>
      <c r="D189" s="119" t="s">
        <v>1433</v>
      </c>
      <c r="E189" s="121" t="s">
        <v>1325</v>
      </c>
      <c r="F189" s="121" t="s">
        <v>2159</v>
      </c>
      <c r="G189" s="119" t="s">
        <v>1044</v>
      </c>
      <c r="H189" s="121" t="s">
        <v>602</v>
      </c>
      <c r="I189" s="121" t="s">
        <v>1392</v>
      </c>
      <c r="J189" s="122">
        <v>43990</v>
      </c>
      <c r="K189" s="22"/>
    </row>
    <row r="190" spans="1:11" s="66" customFormat="1" ht="14.25" customHeight="1">
      <c r="A190" s="138" t="s">
        <v>2859</v>
      </c>
      <c r="B190" s="123">
        <v>2077</v>
      </c>
      <c r="C190" s="118" t="s">
        <v>223</v>
      </c>
      <c r="D190" s="119" t="s">
        <v>1433</v>
      </c>
      <c r="E190" s="121" t="s">
        <v>844</v>
      </c>
      <c r="F190" s="121" t="s">
        <v>1903</v>
      </c>
      <c r="G190" s="119" t="s">
        <v>1044</v>
      </c>
      <c r="H190" s="121" t="s">
        <v>1081</v>
      </c>
      <c r="I190" s="121" t="s">
        <v>2792</v>
      </c>
      <c r="J190" s="122">
        <v>43990</v>
      </c>
      <c r="K190" s="22"/>
    </row>
    <row r="191" spans="1:11" s="66" customFormat="1" ht="14.25" customHeight="1">
      <c r="A191" s="138" t="s">
        <v>2858</v>
      </c>
      <c r="B191" s="123">
        <v>3196</v>
      </c>
      <c r="C191" s="118" t="s">
        <v>451</v>
      </c>
      <c r="D191" s="119" t="s">
        <v>1433</v>
      </c>
      <c r="E191" s="121" t="s">
        <v>844</v>
      </c>
      <c r="F191" s="121" t="s">
        <v>1903</v>
      </c>
      <c r="G191" s="119" t="s">
        <v>1044</v>
      </c>
      <c r="H191" s="121" t="s">
        <v>595</v>
      </c>
      <c r="I191" s="121" t="s">
        <v>1906</v>
      </c>
      <c r="J191" s="122">
        <v>43990</v>
      </c>
      <c r="K191" s="22"/>
    </row>
    <row r="192" spans="1:11" s="66" customFormat="1" ht="14.25" customHeight="1">
      <c r="A192" s="138" t="s">
        <v>3129</v>
      </c>
      <c r="B192" s="123">
        <v>1533</v>
      </c>
      <c r="C192" s="118" t="s">
        <v>223</v>
      </c>
      <c r="D192" s="119" t="s">
        <v>1433</v>
      </c>
      <c r="E192" s="121" t="s">
        <v>570</v>
      </c>
      <c r="F192" s="121" t="s">
        <v>1893</v>
      </c>
      <c r="G192" s="119" t="s">
        <v>1044</v>
      </c>
      <c r="H192" s="121" t="s">
        <v>596</v>
      </c>
      <c r="I192" s="121" t="s">
        <v>1556</v>
      </c>
      <c r="J192" s="122">
        <v>43990</v>
      </c>
      <c r="K192" s="22"/>
    </row>
    <row r="193" spans="1:11" s="66" customFormat="1" ht="14.25" customHeight="1">
      <c r="A193" s="138" t="s">
        <v>2860</v>
      </c>
      <c r="B193" s="123">
        <v>64487</v>
      </c>
      <c r="C193" s="118" t="s">
        <v>643</v>
      </c>
      <c r="D193" s="119" t="s">
        <v>1433</v>
      </c>
      <c r="E193" s="121" t="s">
        <v>844</v>
      </c>
      <c r="F193" s="121" t="s">
        <v>1903</v>
      </c>
      <c r="G193" s="119" t="s">
        <v>1044</v>
      </c>
      <c r="H193" s="121" t="s">
        <v>596</v>
      </c>
      <c r="I193" s="121" t="s">
        <v>2277</v>
      </c>
      <c r="J193" s="122">
        <v>43990</v>
      </c>
      <c r="K193" s="22"/>
    </row>
    <row r="194" spans="1:11" s="66" customFormat="1" ht="14.25" customHeight="1">
      <c r="A194" s="138" t="s">
        <v>1553</v>
      </c>
      <c r="B194" s="123">
        <v>114</v>
      </c>
      <c r="C194" s="118" t="s">
        <v>1321</v>
      </c>
      <c r="D194" s="119" t="s">
        <v>1324</v>
      </c>
      <c r="E194" s="121" t="s">
        <v>179</v>
      </c>
      <c r="F194" s="121" t="s">
        <v>1885</v>
      </c>
      <c r="G194" s="119" t="s">
        <v>3079</v>
      </c>
      <c r="H194" s="121" t="s">
        <v>1967</v>
      </c>
      <c r="I194" s="121" t="s">
        <v>2064</v>
      </c>
      <c r="J194" s="122">
        <v>43990</v>
      </c>
      <c r="K194" s="22"/>
    </row>
    <row r="195" spans="1:11" s="66" customFormat="1" ht="14.25" customHeight="1">
      <c r="A195" s="138" t="s">
        <v>2983</v>
      </c>
      <c r="B195" s="123">
        <v>580</v>
      </c>
      <c r="C195" s="118" t="s">
        <v>223</v>
      </c>
      <c r="D195" s="119" t="s">
        <v>450</v>
      </c>
      <c r="E195" s="121" t="s">
        <v>517</v>
      </c>
      <c r="F195" s="121" t="s">
        <v>2775</v>
      </c>
      <c r="G195" s="119" t="s">
        <v>450</v>
      </c>
      <c r="H195" s="121" t="s">
        <v>1200</v>
      </c>
      <c r="I195" s="121" t="s">
        <v>1574</v>
      </c>
      <c r="J195" s="122">
        <v>43990</v>
      </c>
      <c r="K195" s="22"/>
    </row>
    <row r="196" spans="1:11" s="66" customFormat="1" ht="14.25" customHeight="1">
      <c r="A196" s="138" t="s">
        <v>3093</v>
      </c>
      <c r="B196" s="123">
        <v>1344</v>
      </c>
      <c r="C196" s="118" t="s">
        <v>451</v>
      </c>
      <c r="D196" s="119" t="s">
        <v>450</v>
      </c>
      <c r="E196" s="121" t="s">
        <v>517</v>
      </c>
      <c r="F196" s="121" t="s">
        <v>2775</v>
      </c>
      <c r="G196" s="119" t="s">
        <v>450</v>
      </c>
      <c r="H196" s="121" t="s">
        <v>1200</v>
      </c>
      <c r="I196" s="121" t="s">
        <v>1574</v>
      </c>
      <c r="J196" s="122">
        <v>43990</v>
      </c>
      <c r="K196" s="22"/>
    </row>
    <row r="197" spans="1:11" s="66" customFormat="1" ht="14.25" customHeight="1">
      <c r="A197" s="138" t="s">
        <v>3094</v>
      </c>
      <c r="B197" s="123">
        <v>1544</v>
      </c>
      <c r="C197" s="118" t="s">
        <v>223</v>
      </c>
      <c r="D197" s="119" t="s">
        <v>450</v>
      </c>
      <c r="E197" s="121" t="s">
        <v>517</v>
      </c>
      <c r="F197" s="121" t="s">
        <v>2775</v>
      </c>
      <c r="G197" s="119" t="s">
        <v>450</v>
      </c>
      <c r="H197" s="121" t="s">
        <v>1200</v>
      </c>
      <c r="I197" s="121" t="s">
        <v>2472</v>
      </c>
      <c r="J197" s="122">
        <v>43990</v>
      </c>
      <c r="K197" s="22"/>
    </row>
    <row r="198" spans="1:11" s="66" customFormat="1" ht="14.25" customHeight="1">
      <c r="A198" s="138" t="e">
        <v>#N/A</v>
      </c>
      <c r="B198" s="123">
        <v>70502</v>
      </c>
      <c r="C198" s="118" t="e">
        <v>#N/A</v>
      </c>
      <c r="D198" s="119" t="s">
        <v>450</v>
      </c>
      <c r="E198" s="121" t="s">
        <v>517</v>
      </c>
      <c r="F198" s="121" t="s">
        <v>2775</v>
      </c>
      <c r="G198" s="119" t="s">
        <v>450</v>
      </c>
      <c r="H198" s="121" t="s">
        <v>1200</v>
      </c>
      <c r="I198" s="121" t="s">
        <v>2472</v>
      </c>
      <c r="J198" s="122">
        <v>43990</v>
      </c>
      <c r="K198" s="22"/>
    </row>
    <row r="199" spans="1:11" s="66" customFormat="1" ht="14.25" customHeight="1">
      <c r="A199" s="138" t="s">
        <v>3122</v>
      </c>
      <c r="B199" s="123">
        <v>937</v>
      </c>
      <c r="C199" s="118" t="s">
        <v>1585</v>
      </c>
      <c r="D199" s="119" t="s">
        <v>1435</v>
      </c>
      <c r="E199" s="121" t="s">
        <v>453</v>
      </c>
      <c r="F199" s="121" t="s">
        <v>1880</v>
      </c>
      <c r="G199" s="119" t="s">
        <v>1435</v>
      </c>
      <c r="H199" s="121" t="s">
        <v>2055</v>
      </c>
      <c r="I199" s="121" t="s">
        <v>1895</v>
      </c>
      <c r="J199" s="122">
        <v>43990</v>
      </c>
      <c r="K199" s="22"/>
    </row>
    <row r="200" spans="1:11" s="66" customFormat="1" ht="14.25" customHeight="1">
      <c r="A200" s="138" t="s">
        <v>1372</v>
      </c>
      <c r="B200" s="123">
        <v>2212</v>
      </c>
      <c r="C200" s="118" t="s">
        <v>223</v>
      </c>
      <c r="D200" s="119" t="s">
        <v>1435</v>
      </c>
      <c r="E200" s="121" t="s">
        <v>453</v>
      </c>
      <c r="F200" s="121" t="s">
        <v>1880</v>
      </c>
      <c r="G200" s="119" t="s">
        <v>1435</v>
      </c>
      <c r="H200" s="121" t="s">
        <v>2055</v>
      </c>
      <c r="I200" s="121" t="s">
        <v>1895</v>
      </c>
      <c r="J200" s="122">
        <v>43990</v>
      </c>
      <c r="K200" s="22"/>
    </row>
    <row r="201" spans="1:11" s="66" customFormat="1" ht="14.25" customHeight="1">
      <c r="A201" s="138" t="s">
        <v>2478</v>
      </c>
      <c r="B201" s="123">
        <v>2552</v>
      </c>
      <c r="C201" s="118" t="s">
        <v>223</v>
      </c>
      <c r="D201" s="119" t="s">
        <v>1435</v>
      </c>
      <c r="E201" s="121" t="s">
        <v>453</v>
      </c>
      <c r="F201" s="121" t="s">
        <v>1880</v>
      </c>
      <c r="G201" s="119" t="s">
        <v>1435</v>
      </c>
      <c r="H201" s="121" t="s">
        <v>2055</v>
      </c>
      <c r="I201" s="121" t="s">
        <v>1895</v>
      </c>
      <c r="J201" s="122">
        <v>43990</v>
      </c>
      <c r="K201" s="22"/>
    </row>
    <row r="202" spans="1:11" s="66" customFormat="1" ht="14.25" customHeight="1">
      <c r="A202" s="138" t="s">
        <v>3956</v>
      </c>
      <c r="B202" s="123">
        <v>1438</v>
      </c>
      <c r="C202" s="118" t="s">
        <v>223</v>
      </c>
      <c r="D202" s="119" t="s">
        <v>1435</v>
      </c>
      <c r="E202" s="121" t="s">
        <v>453</v>
      </c>
      <c r="F202" s="121" t="s">
        <v>1880</v>
      </c>
      <c r="G202" s="119" t="s">
        <v>1435</v>
      </c>
      <c r="H202" s="121" t="s">
        <v>2738</v>
      </c>
      <c r="I202" s="121" t="s">
        <v>1554</v>
      </c>
      <c r="J202" s="122">
        <v>43990</v>
      </c>
      <c r="K202" s="22"/>
    </row>
    <row r="203" spans="1:11" s="66" customFormat="1" ht="14.25" customHeight="1">
      <c r="A203" s="138" t="s">
        <v>344</v>
      </c>
      <c r="B203" s="123">
        <v>2288</v>
      </c>
      <c r="C203" s="118" t="s">
        <v>451</v>
      </c>
      <c r="D203" s="119" t="s">
        <v>1433</v>
      </c>
      <c r="E203" s="121" t="s">
        <v>1325</v>
      </c>
      <c r="F203" s="121" t="s">
        <v>2159</v>
      </c>
      <c r="G203" s="119" t="s">
        <v>2283</v>
      </c>
      <c r="H203" s="121" t="s">
        <v>2073</v>
      </c>
      <c r="I203" s="121" t="s">
        <v>2471</v>
      </c>
      <c r="J203" s="122">
        <v>43990</v>
      </c>
      <c r="K203" s="22"/>
    </row>
    <row r="204" spans="1:11" s="66" customFormat="1" ht="14.25" customHeight="1">
      <c r="A204" s="138" t="s">
        <v>2054</v>
      </c>
      <c r="B204" s="123">
        <v>2949</v>
      </c>
      <c r="C204" s="118" t="s">
        <v>451</v>
      </c>
      <c r="D204" s="119" t="s">
        <v>1433</v>
      </c>
      <c r="E204" s="121" t="s">
        <v>1325</v>
      </c>
      <c r="F204" s="121" t="s">
        <v>2159</v>
      </c>
      <c r="G204" s="119" t="s">
        <v>2283</v>
      </c>
      <c r="H204" s="121" t="s">
        <v>2073</v>
      </c>
      <c r="I204" s="121" t="s">
        <v>2471</v>
      </c>
      <c r="J204" s="122">
        <v>43990</v>
      </c>
      <c r="K204" s="22"/>
    </row>
    <row r="205" spans="1:11" s="66" customFormat="1" ht="14.25" customHeight="1">
      <c r="A205" s="138" t="s">
        <v>2254</v>
      </c>
      <c r="B205" s="123">
        <v>2068</v>
      </c>
      <c r="C205" s="118" t="s">
        <v>223</v>
      </c>
      <c r="D205" s="119" t="s">
        <v>1433</v>
      </c>
      <c r="E205" s="121" t="s">
        <v>1325</v>
      </c>
      <c r="F205" s="121" t="s">
        <v>2159</v>
      </c>
      <c r="G205" s="119" t="s">
        <v>2283</v>
      </c>
      <c r="H205" s="121" t="s">
        <v>2323</v>
      </c>
      <c r="I205" s="121" t="s">
        <v>1904</v>
      </c>
      <c r="J205" s="122">
        <v>43990</v>
      </c>
      <c r="K205" s="22"/>
    </row>
    <row r="206" spans="1:11" s="66" customFormat="1" ht="14.25" customHeight="1">
      <c r="A206" s="138" t="s">
        <v>4184</v>
      </c>
      <c r="B206" s="123">
        <v>2211</v>
      </c>
      <c r="C206" s="118" t="s">
        <v>223</v>
      </c>
      <c r="D206" s="119" t="s">
        <v>1433</v>
      </c>
      <c r="E206" s="121" t="s">
        <v>1325</v>
      </c>
      <c r="F206" s="121" t="s">
        <v>2159</v>
      </c>
      <c r="G206" s="119" t="s">
        <v>2283</v>
      </c>
      <c r="H206" s="121" t="s">
        <v>2323</v>
      </c>
      <c r="I206" s="121" t="s">
        <v>1904</v>
      </c>
      <c r="J206" s="122">
        <v>43990</v>
      </c>
      <c r="K206" s="22"/>
    </row>
    <row r="207" spans="1:11" s="66" customFormat="1" ht="14.25" customHeight="1">
      <c r="A207" s="138" t="s">
        <v>2107</v>
      </c>
      <c r="B207" s="123">
        <v>2928</v>
      </c>
      <c r="C207" s="118" t="s">
        <v>451</v>
      </c>
      <c r="D207" s="119" t="s">
        <v>1433</v>
      </c>
      <c r="E207" s="121" t="s">
        <v>1325</v>
      </c>
      <c r="F207" s="121" t="s">
        <v>2159</v>
      </c>
      <c r="G207" s="119" t="s">
        <v>2283</v>
      </c>
      <c r="H207" s="121" t="s">
        <v>2323</v>
      </c>
      <c r="I207" s="121" t="s">
        <v>1904</v>
      </c>
      <c r="J207" s="122">
        <v>43990</v>
      </c>
      <c r="K207" s="22"/>
    </row>
    <row r="208" spans="1:11" s="66" customFormat="1" ht="14.25" customHeight="1">
      <c r="A208" s="138" t="s">
        <v>1907</v>
      </c>
      <c r="B208" s="123">
        <v>238</v>
      </c>
      <c r="C208" s="118" t="s">
        <v>1320</v>
      </c>
      <c r="D208" s="119" t="s">
        <v>1433</v>
      </c>
      <c r="E208" s="121" t="s">
        <v>1969</v>
      </c>
      <c r="F208" s="121" t="s">
        <v>1579</v>
      </c>
      <c r="G208" s="119" t="s">
        <v>2283</v>
      </c>
      <c r="H208" s="121" t="s">
        <v>2448</v>
      </c>
      <c r="I208" s="121" t="s">
        <v>1577</v>
      </c>
      <c r="J208" s="122">
        <v>43990</v>
      </c>
      <c r="K208" s="22"/>
    </row>
    <row r="209" spans="1:11" s="66" customFormat="1" ht="14.25" customHeight="1">
      <c r="A209" s="138" t="s">
        <v>3106</v>
      </c>
      <c r="B209" s="123">
        <v>245</v>
      </c>
      <c r="C209" s="118" t="s">
        <v>223</v>
      </c>
      <c r="D209" s="119" t="s">
        <v>1433</v>
      </c>
      <c r="E209" s="121" t="s">
        <v>1325</v>
      </c>
      <c r="F209" s="121" t="s">
        <v>2159</v>
      </c>
      <c r="G209" s="119" t="s">
        <v>2283</v>
      </c>
      <c r="H209" s="121" t="s">
        <v>2448</v>
      </c>
      <c r="I209" s="121" t="s">
        <v>1555</v>
      </c>
      <c r="J209" s="122">
        <v>43990</v>
      </c>
      <c r="K209" s="22"/>
    </row>
    <row r="210" spans="1:11" s="66" customFormat="1" ht="14.25" customHeight="1">
      <c r="A210" s="138" t="s">
        <v>1959</v>
      </c>
      <c r="B210" s="123">
        <v>2924</v>
      </c>
      <c r="C210" s="118" t="s">
        <v>451</v>
      </c>
      <c r="D210" s="119" t="s">
        <v>1433</v>
      </c>
      <c r="E210" s="121" t="s">
        <v>1325</v>
      </c>
      <c r="F210" s="121" t="s">
        <v>2159</v>
      </c>
      <c r="G210" s="119" t="s">
        <v>2283</v>
      </c>
      <c r="H210" s="121" t="s">
        <v>2448</v>
      </c>
      <c r="I210" s="121" t="s">
        <v>1555</v>
      </c>
      <c r="J210" s="122">
        <v>43990</v>
      </c>
      <c r="K210" s="22"/>
    </row>
    <row r="211" spans="1:11" s="66" customFormat="1" ht="14.25" customHeight="1">
      <c r="A211" s="138" t="e">
        <v>#N/A</v>
      </c>
      <c r="B211" s="123">
        <v>64503</v>
      </c>
      <c r="C211" s="118" t="e">
        <v>#N/A</v>
      </c>
      <c r="D211" s="119" t="s">
        <v>1433</v>
      </c>
      <c r="E211" s="121" t="s">
        <v>1325</v>
      </c>
      <c r="F211" s="121" t="s">
        <v>2159</v>
      </c>
      <c r="G211" s="119" t="s">
        <v>2283</v>
      </c>
      <c r="H211" s="121" t="s">
        <v>2448</v>
      </c>
      <c r="I211" s="121" t="s">
        <v>1555</v>
      </c>
      <c r="J211" s="122">
        <v>43990</v>
      </c>
      <c r="K211" s="22"/>
    </row>
    <row r="212" spans="1:11" s="66" customFormat="1" ht="14.25" customHeight="1">
      <c r="A212" s="138" t="e">
        <v>#N/A</v>
      </c>
      <c r="B212" s="123">
        <v>64479</v>
      </c>
      <c r="C212" s="118" t="e">
        <v>#N/A</v>
      </c>
      <c r="D212" s="119" t="s">
        <v>1433</v>
      </c>
      <c r="E212" s="121" t="s">
        <v>570</v>
      </c>
      <c r="F212" s="121" t="s">
        <v>1893</v>
      </c>
      <c r="G212" s="119" t="s">
        <v>2283</v>
      </c>
      <c r="H212" s="121" t="s">
        <v>2072</v>
      </c>
      <c r="I212" s="121" t="s">
        <v>1398</v>
      </c>
      <c r="J212" s="122">
        <v>43990</v>
      </c>
      <c r="K212" s="22"/>
    </row>
    <row r="213" spans="1:11" s="66" customFormat="1" ht="14.25" customHeight="1">
      <c r="A213" s="138" t="s">
        <v>4445</v>
      </c>
      <c r="B213" s="123">
        <v>3137</v>
      </c>
      <c r="C213" s="118" t="s">
        <v>451</v>
      </c>
      <c r="D213" s="119" t="s">
        <v>1433</v>
      </c>
      <c r="E213" s="121" t="s">
        <v>570</v>
      </c>
      <c r="F213" s="121" t="s">
        <v>1893</v>
      </c>
      <c r="G213" s="119" t="s">
        <v>2283</v>
      </c>
      <c r="H213" s="121" t="s">
        <v>2324</v>
      </c>
      <c r="I213" s="121" t="s">
        <v>2326</v>
      </c>
      <c r="J213" s="122">
        <v>43990</v>
      </c>
      <c r="K213" s="22"/>
    </row>
    <row r="214" spans="1:11" s="66" customFormat="1" ht="14.25" customHeight="1">
      <c r="A214" s="138" t="s">
        <v>4558</v>
      </c>
      <c r="B214" s="123">
        <v>64506</v>
      </c>
      <c r="C214" s="118" t="s">
        <v>643</v>
      </c>
      <c r="D214" s="119" t="s">
        <v>1433</v>
      </c>
      <c r="E214" s="121" t="s">
        <v>844</v>
      </c>
      <c r="F214" s="121" t="s">
        <v>1903</v>
      </c>
      <c r="G214" s="119" t="s">
        <v>2283</v>
      </c>
      <c r="H214" s="121" t="s">
        <v>2449</v>
      </c>
      <c r="I214" s="121" t="s">
        <v>340</v>
      </c>
      <c r="J214" s="122">
        <v>43990</v>
      </c>
      <c r="K214" s="22"/>
    </row>
    <row r="215" spans="1:11" s="66" customFormat="1" ht="14.25" customHeight="1">
      <c r="A215" s="138" t="s">
        <v>3118</v>
      </c>
      <c r="B215" s="123">
        <v>752</v>
      </c>
      <c r="C215" s="118" t="s">
        <v>223</v>
      </c>
      <c r="D215" s="119" t="s">
        <v>1433</v>
      </c>
      <c r="E215" s="121" t="s">
        <v>224</v>
      </c>
      <c r="F215" s="121" t="s">
        <v>1912</v>
      </c>
      <c r="G215" s="119" t="s">
        <v>2283</v>
      </c>
      <c r="H215" s="121" t="s">
        <v>2069</v>
      </c>
      <c r="I215" s="121" t="s">
        <v>528</v>
      </c>
      <c r="J215" s="122">
        <v>43990</v>
      </c>
      <c r="K215" s="22"/>
    </row>
    <row r="216" spans="1:11" s="66" customFormat="1" ht="14.25" customHeight="1">
      <c r="A216" s="138" t="s">
        <v>2791</v>
      </c>
      <c r="B216" s="123">
        <v>3226</v>
      </c>
      <c r="C216" s="118" t="s">
        <v>2128</v>
      </c>
      <c r="D216" s="119" t="s">
        <v>1433</v>
      </c>
      <c r="E216" s="121" t="s">
        <v>1045</v>
      </c>
      <c r="F216" s="121" t="s">
        <v>1926</v>
      </c>
      <c r="G216" s="119" t="s">
        <v>2283</v>
      </c>
      <c r="H216" s="121" t="s">
        <v>2069</v>
      </c>
      <c r="I216" s="121" t="s">
        <v>528</v>
      </c>
      <c r="J216" s="122">
        <v>43990</v>
      </c>
      <c r="K216" s="22"/>
    </row>
    <row r="217" spans="1:11" s="66" customFormat="1" ht="14.25" customHeight="1">
      <c r="A217" s="138" t="s">
        <v>3055</v>
      </c>
      <c r="B217" s="123">
        <v>64486</v>
      </c>
      <c r="C217" s="118" t="s">
        <v>643</v>
      </c>
      <c r="D217" s="119" t="s">
        <v>1433</v>
      </c>
      <c r="E217" s="121" t="s">
        <v>1045</v>
      </c>
      <c r="F217" s="121" t="s">
        <v>1926</v>
      </c>
      <c r="G217" s="119" t="s">
        <v>2283</v>
      </c>
      <c r="H217" s="121" t="s">
        <v>2069</v>
      </c>
      <c r="I217" s="121" t="s">
        <v>528</v>
      </c>
      <c r="J217" s="122">
        <v>43990</v>
      </c>
      <c r="K217" s="22"/>
    </row>
    <row r="218" spans="1:11" s="66" customFormat="1" ht="14.25" customHeight="1">
      <c r="A218" s="138" t="e">
        <v>#N/A</v>
      </c>
      <c r="B218" s="123">
        <v>70560</v>
      </c>
      <c r="C218" s="118" t="e">
        <v>#N/A</v>
      </c>
      <c r="D218" s="119" t="s">
        <v>1433</v>
      </c>
      <c r="E218" s="121" t="s">
        <v>1045</v>
      </c>
      <c r="F218" s="121" t="s">
        <v>1926</v>
      </c>
      <c r="G218" s="119" t="s">
        <v>2283</v>
      </c>
      <c r="H218" s="121" t="s">
        <v>2069</v>
      </c>
      <c r="I218" s="121" t="s">
        <v>528</v>
      </c>
      <c r="J218" s="122">
        <v>43990</v>
      </c>
      <c r="K218" s="22"/>
    </row>
    <row r="219" spans="1:11" s="66" customFormat="1" ht="14.25" customHeight="1">
      <c r="A219" s="138" t="s">
        <v>3116</v>
      </c>
      <c r="B219" s="123">
        <v>623</v>
      </c>
      <c r="C219" s="118" t="s">
        <v>223</v>
      </c>
      <c r="D219" s="119" t="s">
        <v>1433</v>
      </c>
      <c r="E219" s="121" t="s">
        <v>844</v>
      </c>
      <c r="F219" s="121" t="s">
        <v>1903</v>
      </c>
      <c r="G219" s="119" t="s">
        <v>2283</v>
      </c>
      <c r="H219" s="121" t="s">
        <v>2325</v>
      </c>
      <c r="I219" s="121" t="s">
        <v>345</v>
      </c>
      <c r="J219" s="122">
        <v>43990</v>
      </c>
      <c r="K219" s="22"/>
    </row>
    <row r="220" spans="1:11" s="66" customFormat="1" ht="14.25" customHeight="1">
      <c r="A220" s="138" t="s">
        <v>3132</v>
      </c>
      <c r="B220" s="123">
        <v>1872</v>
      </c>
      <c r="C220" s="118" t="s">
        <v>223</v>
      </c>
      <c r="D220" s="119" t="s">
        <v>1433</v>
      </c>
      <c r="E220" s="121" t="s">
        <v>1045</v>
      </c>
      <c r="F220" s="121" t="s">
        <v>1926</v>
      </c>
      <c r="G220" s="119" t="s">
        <v>2283</v>
      </c>
      <c r="H220" s="121" t="s">
        <v>2325</v>
      </c>
      <c r="I220" s="121" t="s">
        <v>345</v>
      </c>
      <c r="J220" s="122">
        <v>43990</v>
      </c>
      <c r="K220" s="22"/>
    </row>
    <row r="221" spans="1:11" s="66" customFormat="1" ht="14.25" customHeight="1">
      <c r="A221" s="138" t="s">
        <v>3038</v>
      </c>
      <c r="B221" s="123">
        <v>2608</v>
      </c>
      <c r="C221" s="118" t="s">
        <v>223</v>
      </c>
      <c r="D221" s="119" t="s">
        <v>1433</v>
      </c>
      <c r="E221" s="121" t="s">
        <v>224</v>
      </c>
      <c r="F221" s="121" t="s">
        <v>1912</v>
      </c>
      <c r="G221" s="119" t="s">
        <v>2283</v>
      </c>
      <c r="H221" s="121" t="s">
        <v>2325</v>
      </c>
      <c r="I221" s="121" t="s">
        <v>345</v>
      </c>
      <c r="J221" s="122">
        <v>43990</v>
      </c>
      <c r="K221" s="22"/>
    </row>
    <row r="222" spans="1:11" s="66" customFormat="1" ht="14.25" customHeight="1">
      <c r="A222" s="138" t="s">
        <v>4552</v>
      </c>
      <c r="B222" s="123">
        <v>64488</v>
      </c>
      <c r="C222" s="118" t="s">
        <v>643</v>
      </c>
      <c r="D222" s="119" t="s">
        <v>1433</v>
      </c>
      <c r="E222" s="121" t="s">
        <v>844</v>
      </c>
      <c r="F222" s="121" t="s">
        <v>1903</v>
      </c>
      <c r="G222" s="119" t="s">
        <v>2283</v>
      </c>
      <c r="H222" s="121" t="s">
        <v>2325</v>
      </c>
      <c r="I222" s="121" t="s">
        <v>345</v>
      </c>
      <c r="J222" s="122">
        <v>43990</v>
      </c>
      <c r="K222" s="22"/>
    </row>
    <row r="223" spans="1:11" s="66" customFormat="1" ht="14.25" customHeight="1">
      <c r="A223" s="138" t="s">
        <v>3113</v>
      </c>
      <c r="B223" s="123">
        <v>578</v>
      </c>
      <c r="C223" s="118" t="s">
        <v>2037</v>
      </c>
      <c r="D223" s="167" t="s">
        <v>1433</v>
      </c>
      <c r="E223" s="121" t="s">
        <v>844</v>
      </c>
      <c r="F223" s="121" t="s">
        <v>1903</v>
      </c>
      <c r="G223" s="167" t="s">
        <v>2283</v>
      </c>
      <c r="H223" s="121" t="s">
        <v>2450</v>
      </c>
      <c r="I223" s="121" t="s">
        <v>2788</v>
      </c>
      <c r="J223" s="122">
        <v>43990</v>
      </c>
      <c r="K223" s="22"/>
    </row>
    <row r="224" spans="1:11" s="66" customFormat="1" ht="14.25" customHeight="1">
      <c r="A224" s="138" t="s">
        <v>4133</v>
      </c>
      <c r="B224" s="123">
        <v>2049</v>
      </c>
      <c r="C224" s="118" t="s">
        <v>223</v>
      </c>
      <c r="D224" s="119" t="s">
        <v>1433</v>
      </c>
      <c r="E224" s="121" t="s">
        <v>1045</v>
      </c>
      <c r="F224" s="121" t="s">
        <v>1926</v>
      </c>
      <c r="G224" s="119" t="s">
        <v>2283</v>
      </c>
      <c r="H224" s="121" t="s">
        <v>2450</v>
      </c>
      <c r="I224" s="121" t="s">
        <v>2788</v>
      </c>
      <c r="J224" s="122">
        <v>43990</v>
      </c>
      <c r="K224" s="22"/>
    </row>
    <row r="225" spans="1:11" s="66" customFormat="1" ht="14.25" customHeight="1">
      <c r="A225" s="138" t="e">
        <v>#N/A</v>
      </c>
      <c r="B225" s="123">
        <v>70520</v>
      </c>
      <c r="C225" s="118" t="e">
        <v>#N/A</v>
      </c>
      <c r="D225" s="119" t="s">
        <v>1433</v>
      </c>
      <c r="E225" s="121" t="s">
        <v>1325</v>
      </c>
      <c r="F225" s="121" t="s">
        <v>2159</v>
      </c>
      <c r="G225" s="119" t="s">
        <v>2283</v>
      </c>
      <c r="H225" s="121" t="s">
        <v>2450</v>
      </c>
      <c r="I225" s="121" t="s">
        <v>2788</v>
      </c>
      <c r="J225" s="122">
        <v>43990</v>
      </c>
      <c r="K225" s="22"/>
    </row>
    <row r="226" spans="1:11" s="66" customFormat="1" ht="14.25" customHeight="1">
      <c r="A226" s="138" t="s">
        <v>3138</v>
      </c>
      <c r="B226" s="123">
        <v>2029</v>
      </c>
      <c r="C226" s="118" t="s">
        <v>223</v>
      </c>
      <c r="D226" s="119" t="s">
        <v>1433</v>
      </c>
      <c r="E226" s="121" t="s">
        <v>1325</v>
      </c>
      <c r="F226" s="121" t="s">
        <v>2159</v>
      </c>
      <c r="G226" s="119" t="s">
        <v>3079</v>
      </c>
      <c r="H226" s="121" t="s">
        <v>2377</v>
      </c>
      <c r="I226" s="121" t="s">
        <v>1395</v>
      </c>
      <c r="J226" s="122">
        <v>43990</v>
      </c>
      <c r="K226" s="22"/>
    </row>
    <row r="227" spans="1:11" s="66" customFormat="1" ht="14.25" customHeight="1">
      <c r="A227" s="138" t="s">
        <v>4266</v>
      </c>
      <c r="B227" s="123">
        <v>2617</v>
      </c>
      <c r="C227" s="118" t="s">
        <v>223</v>
      </c>
      <c r="D227" s="119" t="s">
        <v>1433</v>
      </c>
      <c r="E227" s="121" t="s">
        <v>1325</v>
      </c>
      <c r="F227" s="121" t="s">
        <v>2159</v>
      </c>
      <c r="G227" s="119" t="s">
        <v>3079</v>
      </c>
      <c r="H227" s="121" t="s">
        <v>2377</v>
      </c>
      <c r="I227" s="121" t="s">
        <v>1395</v>
      </c>
      <c r="J227" s="122">
        <v>43990</v>
      </c>
      <c r="K227" s="22"/>
    </row>
    <row r="228" spans="1:11" s="66" customFormat="1" ht="14.25" customHeight="1">
      <c r="A228" s="138" t="s">
        <v>4314</v>
      </c>
      <c r="B228" s="123">
        <v>2908</v>
      </c>
      <c r="C228" s="118" t="s">
        <v>2128</v>
      </c>
      <c r="D228" s="119" t="s">
        <v>1433</v>
      </c>
      <c r="E228" s="121" t="s">
        <v>1325</v>
      </c>
      <c r="F228" s="121" t="s">
        <v>2159</v>
      </c>
      <c r="G228" s="119" t="s">
        <v>3079</v>
      </c>
      <c r="H228" s="121" t="s">
        <v>2377</v>
      </c>
      <c r="I228" s="121" t="s">
        <v>1395</v>
      </c>
      <c r="J228" s="122">
        <v>43990</v>
      </c>
      <c r="K228" s="22"/>
    </row>
    <row r="229" spans="1:11" s="66" customFormat="1" ht="14.25" customHeight="1">
      <c r="A229" s="138" t="s">
        <v>4320</v>
      </c>
      <c r="B229" s="123">
        <v>2923</v>
      </c>
      <c r="C229" s="118" t="s">
        <v>451</v>
      </c>
      <c r="D229" s="119" t="s">
        <v>1433</v>
      </c>
      <c r="E229" s="121" t="s">
        <v>1325</v>
      </c>
      <c r="F229" s="121" t="s">
        <v>2159</v>
      </c>
      <c r="G229" s="119" t="s">
        <v>3079</v>
      </c>
      <c r="H229" s="121" t="s">
        <v>2377</v>
      </c>
      <c r="I229" s="121" t="s">
        <v>1395</v>
      </c>
      <c r="J229" s="122">
        <v>43990</v>
      </c>
      <c r="K229" s="22"/>
    </row>
    <row r="230" spans="1:11" s="66" customFormat="1" ht="14.25" customHeight="1">
      <c r="A230" s="138" t="e">
        <v>#N/A</v>
      </c>
      <c r="B230" s="123">
        <v>3039</v>
      </c>
      <c r="C230" s="118" t="e">
        <v>#N/A</v>
      </c>
      <c r="D230" s="119" t="s">
        <v>1433</v>
      </c>
      <c r="E230" s="121" t="s">
        <v>1325</v>
      </c>
      <c r="F230" s="121" t="s">
        <v>2159</v>
      </c>
      <c r="G230" s="119" t="s">
        <v>3079</v>
      </c>
      <c r="H230" s="121" t="s">
        <v>2377</v>
      </c>
      <c r="I230" s="121" t="s">
        <v>1395</v>
      </c>
      <c r="J230" s="122">
        <v>43990</v>
      </c>
      <c r="K230" s="22"/>
    </row>
    <row r="231" spans="1:11" s="66" customFormat="1" ht="14.25" customHeight="1">
      <c r="A231" s="138" t="e">
        <v>#N/A</v>
      </c>
      <c r="B231" s="123">
        <v>70507</v>
      </c>
      <c r="C231" s="118" t="e">
        <v>#N/A</v>
      </c>
      <c r="D231" s="119" t="s">
        <v>1433</v>
      </c>
      <c r="E231" s="121" t="s">
        <v>1325</v>
      </c>
      <c r="F231" s="121" t="s">
        <v>2159</v>
      </c>
      <c r="G231" s="119" t="s">
        <v>3079</v>
      </c>
      <c r="H231" s="121" t="s">
        <v>2377</v>
      </c>
      <c r="I231" s="121" t="s">
        <v>1395</v>
      </c>
      <c r="J231" s="122">
        <v>43990</v>
      </c>
      <c r="K231" s="22"/>
    </row>
    <row r="232" spans="1:11" s="66" customFormat="1" ht="14.25" customHeight="1">
      <c r="A232" s="138" t="s">
        <v>3881</v>
      </c>
      <c r="B232" s="123">
        <v>1201</v>
      </c>
      <c r="C232" s="118" t="s">
        <v>223</v>
      </c>
      <c r="D232" s="119" t="s">
        <v>1433</v>
      </c>
      <c r="E232" s="121" t="s">
        <v>570</v>
      </c>
      <c r="F232" s="121" t="s">
        <v>1893</v>
      </c>
      <c r="G232" s="119" t="s">
        <v>3079</v>
      </c>
      <c r="H232" s="121" t="s">
        <v>2337</v>
      </c>
      <c r="I232" s="121" t="s">
        <v>2157</v>
      </c>
      <c r="J232" s="122">
        <v>43990</v>
      </c>
      <c r="K232" s="22"/>
    </row>
    <row r="233" spans="1:11" s="66" customFormat="1" ht="14.25" customHeight="1">
      <c r="A233" s="138" t="s">
        <v>4244</v>
      </c>
      <c r="B233" s="123">
        <v>2494</v>
      </c>
      <c r="C233" s="118" t="s">
        <v>223</v>
      </c>
      <c r="D233" s="119" t="s">
        <v>1433</v>
      </c>
      <c r="E233" s="121" t="s">
        <v>570</v>
      </c>
      <c r="F233" s="121" t="s">
        <v>1893</v>
      </c>
      <c r="G233" s="119" t="s">
        <v>3079</v>
      </c>
      <c r="H233" s="121" t="s">
        <v>2337</v>
      </c>
      <c r="I233" s="121" t="s">
        <v>2157</v>
      </c>
      <c r="J233" s="122">
        <v>43990</v>
      </c>
      <c r="K233" s="22"/>
    </row>
    <row r="234" spans="1:11" s="66" customFormat="1" ht="14.25" customHeight="1">
      <c r="A234" s="138" t="s">
        <v>4446</v>
      </c>
      <c r="B234" s="123">
        <v>3138</v>
      </c>
      <c r="C234" s="118" t="s">
        <v>451</v>
      </c>
      <c r="D234" s="119" t="s">
        <v>1433</v>
      </c>
      <c r="E234" s="121" t="s">
        <v>570</v>
      </c>
      <c r="F234" s="121" t="s">
        <v>1893</v>
      </c>
      <c r="G234" s="119" t="s">
        <v>3079</v>
      </c>
      <c r="H234" s="121" t="s">
        <v>2337</v>
      </c>
      <c r="I234" s="121" t="s">
        <v>2157</v>
      </c>
      <c r="J234" s="122">
        <v>43990</v>
      </c>
      <c r="K234" s="22"/>
    </row>
    <row r="235" spans="1:11" s="66" customFormat="1" ht="14.25" customHeight="1">
      <c r="A235" s="138" t="s">
        <v>2334</v>
      </c>
      <c r="B235" s="123">
        <v>639</v>
      </c>
      <c r="C235" s="118" t="s">
        <v>1339</v>
      </c>
      <c r="D235" s="119" t="s">
        <v>1433</v>
      </c>
      <c r="E235" s="121" t="s">
        <v>1045</v>
      </c>
      <c r="F235" s="121" t="s">
        <v>1926</v>
      </c>
      <c r="G235" s="119" t="s">
        <v>3079</v>
      </c>
      <c r="H235" s="121" t="s">
        <v>2378</v>
      </c>
      <c r="I235" s="121" t="s">
        <v>544</v>
      </c>
      <c r="J235" s="122">
        <v>43990</v>
      </c>
      <c r="K235" s="22"/>
    </row>
    <row r="236" spans="1:11" s="66" customFormat="1" ht="14.25" customHeight="1">
      <c r="A236" s="138" t="s">
        <v>1933</v>
      </c>
      <c r="B236" s="123">
        <v>1413</v>
      </c>
      <c r="C236" s="118" t="s">
        <v>223</v>
      </c>
      <c r="D236" s="119" t="s">
        <v>1433</v>
      </c>
      <c r="E236" s="121" t="s">
        <v>844</v>
      </c>
      <c r="F236" s="121" t="s">
        <v>1903</v>
      </c>
      <c r="G236" s="119" t="s">
        <v>3079</v>
      </c>
      <c r="H236" s="121" t="s">
        <v>2378</v>
      </c>
      <c r="I236" s="121" t="s">
        <v>544</v>
      </c>
      <c r="J236" s="122">
        <v>43990</v>
      </c>
      <c r="K236" s="22"/>
    </row>
    <row r="237" spans="1:11" s="66" customFormat="1" ht="14.25" customHeight="1">
      <c r="A237" s="138" t="s">
        <v>4202</v>
      </c>
      <c r="B237" s="123">
        <v>2310</v>
      </c>
      <c r="C237" s="118" t="s">
        <v>223</v>
      </c>
      <c r="D237" s="119" t="s">
        <v>1433</v>
      </c>
      <c r="E237" s="121" t="s">
        <v>844</v>
      </c>
      <c r="F237" s="121" t="s">
        <v>1903</v>
      </c>
      <c r="G237" s="119" t="s">
        <v>3079</v>
      </c>
      <c r="H237" s="121" t="s">
        <v>2378</v>
      </c>
      <c r="I237" s="121" t="s">
        <v>544</v>
      </c>
      <c r="J237" s="122">
        <v>43990</v>
      </c>
      <c r="K237" s="22"/>
    </row>
    <row r="238" spans="1:11" s="66" customFormat="1" ht="14.25" customHeight="1">
      <c r="A238" s="138" t="s">
        <v>4238</v>
      </c>
      <c r="B238" s="123">
        <v>2462</v>
      </c>
      <c r="C238" s="118" t="s">
        <v>223</v>
      </c>
      <c r="D238" s="119" t="s">
        <v>1433</v>
      </c>
      <c r="E238" s="121" t="s">
        <v>1045</v>
      </c>
      <c r="F238" s="121" t="s">
        <v>1926</v>
      </c>
      <c r="G238" s="119" t="s">
        <v>3079</v>
      </c>
      <c r="H238" s="121" t="s">
        <v>2378</v>
      </c>
      <c r="I238" s="121" t="s">
        <v>544</v>
      </c>
      <c r="J238" s="122">
        <v>43990</v>
      </c>
      <c r="K238" s="22"/>
    </row>
    <row r="239" spans="1:11" s="66" customFormat="1" ht="14.25" customHeight="1">
      <c r="A239" s="138" t="s">
        <v>4386</v>
      </c>
      <c r="B239" s="123">
        <v>3042</v>
      </c>
      <c r="C239" s="118" t="s">
        <v>451</v>
      </c>
      <c r="D239" s="119" t="s">
        <v>1433</v>
      </c>
      <c r="E239" s="121" t="s">
        <v>224</v>
      </c>
      <c r="F239" s="121" t="s">
        <v>1912</v>
      </c>
      <c r="G239" s="119" t="s">
        <v>3079</v>
      </c>
      <c r="H239" s="121" t="s">
        <v>2378</v>
      </c>
      <c r="I239" s="121" t="s">
        <v>544</v>
      </c>
      <c r="J239" s="122">
        <v>43990</v>
      </c>
      <c r="K239" s="22"/>
    </row>
    <row r="240" spans="1:11" s="66" customFormat="1" ht="14.25" customHeight="1">
      <c r="A240" s="138" t="s">
        <v>4417</v>
      </c>
      <c r="B240" s="123">
        <v>3097</v>
      </c>
      <c r="C240" s="118" t="s">
        <v>451</v>
      </c>
      <c r="D240" s="119" t="s">
        <v>1433</v>
      </c>
      <c r="E240" s="121" t="s">
        <v>224</v>
      </c>
      <c r="F240" s="121" t="s">
        <v>1912</v>
      </c>
      <c r="G240" s="119" t="s">
        <v>3079</v>
      </c>
      <c r="H240" s="121" t="s">
        <v>2378</v>
      </c>
      <c r="I240" s="121" t="s">
        <v>544</v>
      </c>
      <c r="J240" s="122">
        <v>43990</v>
      </c>
      <c r="K240" s="22"/>
    </row>
    <row r="241" spans="1:11" s="66" customFormat="1" ht="14.25" customHeight="1">
      <c r="A241" s="138" t="s">
        <v>4447</v>
      </c>
      <c r="B241" s="123">
        <v>3139</v>
      </c>
      <c r="C241" s="118" t="s">
        <v>451</v>
      </c>
      <c r="D241" s="119" t="s">
        <v>1433</v>
      </c>
      <c r="E241" s="121" t="s">
        <v>224</v>
      </c>
      <c r="F241" s="121" t="s">
        <v>1912</v>
      </c>
      <c r="G241" s="119" t="s">
        <v>3079</v>
      </c>
      <c r="H241" s="121" t="s">
        <v>2378</v>
      </c>
      <c r="I241" s="121" t="s">
        <v>544</v>
      </c>
      <c r="J241" s="122">
        <v>43990</v>
      </c>
      <c r="K241" s="22"/>
    </row>
    <row r="242" spans="1:11" s="66" customFormat="1" ht="14.25" customHeight="1">
      <c r="A242" s="138" t="s">
        <v>2794</v>
      </c>
      <c r="B242" s="123">
        <v>3093</v>
      </c>
      <c r="C242" s="118" t="s">
        <v>451</v>
      </c>
      <c r="D242" s="119" t="s">
        <v>1044</v>
      </c>
      <c r="E242" s="121" t="s">
        <v>437</v>
      </c>
      <c r="F242" s="121" t="s">
        <v>342</v>
      </c>
      <c r="G242" s="119" t="s">
        <v>1044</v>
      </c>
      <c r="H242" s="121" t="s">
        <v>597</v>
      </c>
      <c r="I242" s="121" t="s">
        <v>1892</v>
      </c>
      <c r="J242" s="122">
        <v>43994</v>
      </c>
      <c r="K242" s="22"/>
    </row>
    <row r="243" spans="1:11" s="66" customFormat="1" ht="14.25" customHeight="1">
      <c r="A243" s="138" t="s">
        <v>3108</v>
      </c>
      <c r="B243" s="123">
        <v>341</v>
      </c>
      <c r="C243" s="118" t="s">
        <v>223</v>
      </c>
      <c r="D243" s="119" t="s">
        <v>1324</v>
      </c>
      <c r="E243" s="121" t="s">
        <v>771</v>
      </c>
      <c r="F243" s="121" t="s">
        <v>1370</v>
      </c>
      <c r="G243" s="119" t="s">
        <v>1324</v>
      </c>
      <c r="H243" s="121" t="s">
        <v>601</v>
      </c>
      <c r="I243" s="121" t="s">
        <v>2064</v>
      </c>
      <c r="J243" s="122">
        <v>43997</v>
      </c>
      <c r="K243" s="22"/>
    </row>
    <row r="244" spans="1:11" s="66" customFormat="1" ht="14.25" customHeight="1">
      <c r="A244" s="138" t="s">
        <v>2897</v>
      </c>
      <c r="B244" s="123">
        <v>500</v>
      </c>
      <c r="C244" s="118" t="s">
        <v>1585</v>
      </c>
      <c r="D244" s="119" t="s">
        <v>1324</v>
      </c>
      <c r="E244" s="121" t="s">
        <v>457</v>
      </c>
      <c r="F244" s="121" t="s">
        <v>1575</v>
      </c>
      <c r="G244" s="119" t="s">
        <v>1324</v>
      </c>
      <c r="H244" s="121" t="s">
        <v>601</v>
      </c>
      <c r="I244" s="121" t="s">
        <v>2064</v>
      </c>
      <c r="J244" s="122">
        <v>43997</v>
      </c>
      <c r="K244" s="22"/>
    </row>
    <row r="245" spans="1:11" s="66" customFormat="1" ht="14.25" customHeight="1">
      <c r="A245" s="138" t="s">
        <v>1576</v>
      </c>
      <c r="B245" s="123">
        <v>612</v>
      </c>
      <c r="C245" s="118" t="s">
        <v>223</v>
      </c>
      <c r="D245" s="119" t="s">
        <v>1324</v>
      </c>
      <c r="E245" s="121" t="s">
        <v>1335</v>
      </c>
      <c r="F245" s="121" t="s">
        <v>1543</v>
      </c>
      <c r="G245" s="119" t="s">
        <v>1324</v>
      </c>
      <c r="H245" s="121" t="s">
        <v>601</v>
      </c>
      <c r="I245" s="121" t="s">
        <v>2064</v>
      </c>
      <c r="J245" s="122">
        <v>43997</v>
      </c>
      <c r="K245" s="22"/>
    </row>
    <row r="246" spans="1:11" s="66" customFormat="1" ht="14.25" customHeight="1">
      <c r="A246" s="138" t="s">
        <v>2899</v>
      </c>
      <c r="B246" s="123">
        <v>655</v>
      </c>
      <c r="C246" s="118" t="s">
        <v>223</v>
      </c>
      <c r="D246" s="119" t="s">
        <v>1324</v>
      </c>
      <c r="E246" s="121" t="s">
        <v>457</v>
      </c>
      <c r="F246" s="121" t="s">
        <v>1575</v>
      </c>
      <c r="G246" s="119" t="s">
        <v>1324</v>
      </c>
      <c r="H246" s="121" t="s">
        <v>601</v>
      </c>
      <c r="I246" s="121" t="s">
        <v>2064</v>
      </c>
      <c r="J246" s="122">
        <v>43997</v>
      </c>
      <c r="K246" s="22"/>
    </row>
    <row r="247" spans="1:11" s="66" customFormat="1" ht="14.25" customHeight="1">
      <c r="A247" s="138" t="s">
        <v>3124</v>
      </c>
      <c r="B247" s="123">
        <v>1059</v>
      </c>
      <c r="C247" s="118" t="s">
        <v>451</v>
      </c>
      <c r="D247" s="119" t="s">
        <v>1324</v>
      </c>
      <c r="E247" s="121" t="s">
        <v>771</v>
      </c>
      <c r="F247" s="121" t="s">
        <v>1370</v>
      </c>
      <c r="G247" s="119" t="s">
        <v>1324</v>
      </c>
      <c r="H247" s="121" t="s">
        <v>601</v>
      </c>
      <c r="I247" s="121" t="s">
        <v>2064</v>
      </c>
      <c r="J247" s="122">
        <v>43997</v>
      </c>
      <c r="K247" s="22"/>
    </row>
    <row r="248" spans="1:11" s="66" customFormat="1" ht="14.25" customHeight="1">
      <c r="A248" s="138" t="s">
        <v>2995</v>
      </c>
      <c r="B248" s="123">
        <v>1066</v>
      </c>
      <c r="C248" s="118" t="s">
        <v>223</v>
      </c>
      <c r="D248" s="119" t="s">
        <v>1324</v>
      </c>
      <c r="E248" s="121" t="s">
        <v>771</v>
      </c>
      <c r="F248" s="121" t="s">
        <v>1370</v>
      </c>
      <c r="G248" s="119" t="s">
        <v>1324</v>
      </c>
      <c r="H248" s="121" t="s">
        <v>601</v>
      </c>
      <c r="I248" s="121" t="s">
        <v>2064</v>
      </c>
      <c r="J248" s="122">
        <v>43997</v>
      </c>
      <c r="K248" s="22"/>
    </row>
    <row r="249" spans="1:11" s="66" customFormat="1" ht="14.25" customHeight="1">
      <c r="A249" s="138" t="s">
        <v>2898</v>
      </c>
      <c r="B249" s="123">
        <v>1113</v>
      </c>
      <c r="C249" s="118" t="s">
        <v>223</v>
      </c>
      <c r="D249" s="119" t="s">
        <v>1324</v>
      </c>
      <c r="E249" s="121" t="s">
        <v>457</v>
      </c>
      <c r="F249" s="121" t="s">
        <v>1575</v>
      </c>
      <c r="G249" s="119" t="s">
        <v>1324</v>
      </c>
      <c r="H249" s="121" t="s">
        <v>601</v>
      </c>
      <c r="I249" s="121" t="s">
        <v>2064</v>
      </c>
      <c r="J249" s="122">
        <v>43997</v>
      </c>
      <c r="K249" s="22"/>
    </row>
    <row r="250" spans="1:11" s="66" customFormat="1" ht="14.25" customHeight="1">
      <c r="A250" s="138" t="s">
        <v>3865</v>
      </c>
      <c r="B250" s="123">
        <v>1157</v>
      </c>
      <c r="C250" s="118" t="s">
        <v>223</v>
      </c>
      <c r="D250" s="119" t="s">
        <v>1324</v>
      </c>
      <c r="E250" s="121" t="s">
        <v>1335</v>
      </c>
      <c r="F250" s="121" t="s">
        <v>1543</v>
      </c>
      <c r="G250" s="119" t="s">
        <v>1324</v>
      </c>
      <c r="H250" s="121" t="s">
        <v>601</v>
      </c>
      <c r="I250" s="121" t="s">
        <v>2064</v>
      </c>
      <c r="J250" s="122">
        <v>43997</v>
      </c>
      <c r="K250" s="22"/>
    </row>
    <row r="251" spans="1:11" s="66" customFormat="1" ht="14.25" customHeight="1">
      <c r="A251" s="138" t="s">
        <v>3144</v>
      </c>
      <c r="B251" s="123">
        <v>2292</v>
      </c>
      <c r="C251" s="118" t="s">
        <v>223</v>
      </c>
      <c r="D251" s="119" t="s">
        <v>1324</v>
      </c>
      <c r="E251" s="121" t="s">
        <v>771</v>
      </c>
      <c r="F251" s="121" t="s">
        <v>1370</v>
      </c>
      <c r="G251" s="119" t="s">
        <v>1324</v>
      </c>
      <c r="H251" s="121" t="s">
        <v>601</v>
      </c>
      <c r="I251" s="121" t="s">
        <v>2064</v>
      </c>
      <c r="J251" s="122">
        <v>43997</v>
      </c>
      <c r="K251" s="22"/>
    </row>
    <row r="252" spans="1:11" s="66" customFormat="1" ht="14.25" customHeight="1">
      <c r="A252" s="138" t="s">
        <v>3146</v>
      </c>
      <c r="B252" s="123">
        <v>2358</v>
      </c>
      <c r="C252" s="118" t="s">
        <v>2037</v>
      </c>
      <c r="D252" s="119" t="s">
        <v>1324</v>
      </c>
      <c r="E252" s="121" t="s">
        <v>771</v>
      </c>
      <c r="F252" s="121" t="s">
        <v>1370</v>
      </c>
      <c r="G252" s="119" t="s">
        <v>1324</v>
      </c>
      <c r="H252" s="121" t="s">
        <v>601</v>
      </c>
      <c r="I252" s="121" t="s">
        <v>2064</v>
      </c>
      <c r="J252" s="122">
        <v>43997</v>
      </c>
      <c r="K252" s="22"/>
    </row>
    <row r="253" spans="1:11" s="66" customFormat="1" ht="14.25" customHeight="1">
      <c r="A253" s="138" t="s">
        <v>348</v>
      </c>
      <c r="B253" s="123">
        <v>2420</v>
      </c>
      <c r="C253" s="118" t="s">
        <v>223</v>
      </c>
      <c r="D253" s="119" t="s">
        <v>1324</v>
      </c>
      <c r="E253" s="121" t="s">
        <v>457</v>
      </c>
      <c r="F253" s="121" t="s">
        <v>1575</v>
      </c>
      <c r="G253" s="119" t="s">
        <v>1324</v>
      </c>
      <c r="H253" s="121" t="s">
        <v>601</v>
      </c>
      <c r="I253" s="121" t="s">
        <v>2064</v>
      </c>
      <c r="J253" s="122">
        <v>43997</v>
      </c>
      <c r="K253" s="22"/>
    </row>
    <row r="254" spans="1:11" s="66" customFormat="1" ht="14.25" customHeight="1">
      <c r="A254" s="138" t="s">
        <v>1376</v>
      </c>
      <c r="B254" s="123">
        <v>2579</v>
      </c>
      <c r="C254" s="118" t="s">
        <v>223</v>
      </c>
      <c r="D254" s="119" t="s">
        <v>1324</v>
      </c>
      <c r="E254" s="121" t="s">
        <v>457</v>
      </c>
      <c r="F254" s="121" t="s">
        <v>1575</v>
      </c>
      <c r="G254" s="119" t="s">
        <v>1324</v>
      </c>
      <c r="H254" s="121" t="s">
        <v>601</v>
      </c>
      <c r="I254" s="121" t="s">
        <v>2064</v>
      </c>
      <c r="J254" s="122">
        <v>43997</v>
      </c>
      <c r="K254" s="22"/>
    </row>
    <row r="255" spans="1:11" s="66" customFormat="1" ht="14.25" customHeight="1">
      <c r="A255" s="138" t="s">
        <v>2996</v>
      </c>
      <c r="B255" s="123">
        <v>3117</v>
      </c>
      <c r="C255" s="118" t="s">
        <v>451</v>
      </c>
      <c r="D255" s="119" t="s">
        <v>1324</v>
      </c>
      <c r="E255" s="121" t="s">
        <v>457</v>
      </c>
      <c r="F255" s="121" t="s">
        <v>1575</v>
      </c>
      <c r="G255" s="119" t="s">
        <v>1324</v>
      </c>
      <c r="H255" s="121" t="s">
        <v>601</v>
      </c>
      <c r="I255" s="121" t="s">
        <v>2064</v>
      </c>
      <c r="J255" s="122">
        <v>43997</v>
      </c>
      <c r="K255" s="22"/>
    </row>
    <row r="256" spans="1:11" s="66" customFormat="1" ht="14.25" customHeight="1">
      <c r="A256" s="138" t="s">
        <v>3158</v>
      </c>
      <c r="B256" s="123">
        <v>3204</v>
      </c>
      <c r="C256" s="118" t="s">
        <v>2128</v>
      </c>
      <c r="D256" s="119" t="s">
        <v>1324</v>
      </c>
      <c r="E256" s="121" t="s">
        <v>771</v>
      </c>
      <c r="F256" s="121" t="s">
        <v>1370</v>
      </c>
      <c r="G256" s="119" t="s">
        <v>1324</v>
      </c>
      <c r="H256" s="121" t="s">
        <v>601</v>
      </c>
      <c r="I256" s="121" t="s">
        <v>2064</v>
      </c>
      <c r="J256" s="122">
        <v>43997</v>
      </c>
      <c r="K256" s="22"/>
    </row>
    <row r="257" spans="1:11" s="66" customFormat="1" ht="14.25" customHeight="1">
      <c r="A257" s="138" t="s">
        <v>3159</v>
      </c>
      <c r="B257" s="123">
        <v>3209</v>
      </c>
      <c r="C257" s="118" t="s">
        <v>451</v>
      </c>
      <c r="D257" s="119" t="s">
        <v>1324</v>
      </c>
      <c r="E257" s="121" t="s">
        <v>771</v>
      </c>
      <c r="F257" s="121" t="s">
        <v>1370</v>
      </c>
      <c r="G257" s="119" t="s">
        <v>1324</v>
      </c>
      <c r="H257" s="121" t="s">
        <v>601</v>
      </c>
      <c r="I257" s="121" t="s">
        <v>2064</v>
      </c>
      <c r="J257" s="122">
        <v>43997</v>
      </c>
      <c r="K257" s="22"/>
    </row>
    <row r="258" spans="1:11" s="66" customFormat="1" ht="14.25" customHeight="1">
      <c r="A258" s="138" t="e">
        <v>#N/A</v>
      </c>
      <c r="B258" s="123">
        <v>64360</v>
      </c>
      <c r="C258" s="118" t="e">
        <v>#N/A</v>
      </c>
      <c r="D258" s="119" t="s">
        <v>1324</v>
      </c>
      <c r="E258" s="121" t="s">
        <v>771</v>
      </c>
      <c r="F258" s="121" t="s">
        <v>1370</v>
      </c>
      <c r="G258" s="119" t="s">
        <v>1324</v>
      </c>
      <c r="H258" s="121" t="s">
        <v>601</v>
      </c>
      <c r="I258" s="121" t="s">
        <v>2064</v>
      </c>
      <c r="J258" s="122">
        <v>43997</v>
      </c>
      <c r="K258" s="22"/>
    </row>
    <row r="259" spans="1:11" s="66" customFormat="1" ht="14.25" customHeight="1">
      <c r="A259" s="138" t="s">
        <v>2998</v>
      </c>
      <c r="B259" s="123">
        <v>64516</v>
      </c>
      <c r="C259" s="118" t="s">
        <v>643</v>
      </c>
      <c r="D259" s="119" t="s">
        <v>1324</v>
      </c>
      <c r="E259" s="121" t="s">
        <v>771</v>
      </c>
      <c r="F259" s="121" t="s">
        <v>1370</v>
      </c>
      <c r="G259" s="119" t="s">
        <v>1324</v>
      </c>
      <c r="H259" s="121" t="s">
        <v>601</v>
      </c>
      <c r="I259" s="121" t="s">
        <v>2064</v>
      </c>
      <c r="J259" s="122">
        <v>43997</v>
      </c>
      <c r="K259" s="22"/>
    </row>
    <row r="260" spans="1:11" s="66" customFormat="1" ht="14.25" customHeight="1">
      <c r="A260" s="138" t="s">
        <v>3162</v>
      </c>
      <c r="B260" s="123">
        <v>70561</v>
      </c>
      <c r="C260" s="118" t="e">
        <v>#N/A</v>
      </c>
      <c r="D260" s="119" t="s">
        <v>1324</v>
      </c>
      <c r="E260" s="121" t="s">
        <v>771</v>
      </c>
      <c r="F260" s="121" t="s">
        <v>1370</v>
      </c>
      <c r="G260" s="119" t="s">
        <v>1324</v>
      </c>
      <c r="H260" s="121" t="s">
        <v>601</v>
      </c>
      <c r="I260" s="121" t="s">
        <v>2064</v>
      </c>
      <c r="J260" s="122">
        <v>43997</v>
      </c>
      <c r="K260" s="22"/>
    </row>
    <row r="261" spans="1:11" s="66" customFormat="1" ht="14.25" customHeight="1">
      <c r="A261" s="138" t="s">
        <v>1543</v>
      </c>
      <c r="B261" s="123">
        <v>585</v>
      </c>
      <c r="C261" s="118" t="s">
        <v>1320</v>
      </c>
      <c r="D261" s="119" t="s">
        <v>1324</v>
      </c>
      <c r="E261" s="121" t="s">
        <v>1335</v>
      </c>
      <c r="F261" s="121" t="s">
        <v>2090</v>
      </c>
      <c r="G261" s="119" t="s">
        <v>1324</v>
      </c>
      <c r="H261" s="121" t="s">
        <v>179</v>
      </c>
      <c r="I261" s="121" t="s">
        <v>2789</v>
      </c>
      <c r="J261" s="122">
        <v>43997</v>
      </c>
      <c r="K261" s="22"/>
    </row>
    <row r="262" spans="1:11" s="66" customFormat="1" ht="14.25" customHeight="1">
      <c r="A262" s="138" t="s">
        <v>4404</v>
      </c>
      <c r="B262" s="123">
        <v>3072</v>
      </c>
      <c r="C262" s="118" t="s">
        <v>451</v>
      </c>
      <c r="D262" s="119" t="s">
        <v>1324</v>
      </c>
      <c r="E262" s="121" t="s">
        <v>849</v>
      </c>
      <c r="F262" s="121" t="s">
        <v>1543</v>
      </c>
      <c r="G262" s="119" t="s">
        <v>1324</v>
      </c>
      <c r="H262" s="121" t="s">
        <v>1226</v>
      </c>
      <c r="I262" s="121" t="s">
        <v>2790</v>
      </c>
      <c r="J262" s="122">
        <v>43997</v>
      </c>
      <c r="K262" s="22"/>
    </row>
    <row r="263" spans="1:11" s="66" customFormat="1" ht="14.25" customHeight="1">
      <c r="A263" s="138" t="s">
        <v>3583</v>
      </c>
      <c r="B263" s="123">
        <v>237</v>
      </c>
      <c r="C263" s="118" t="s">
        <v>1585</v>
      </c>
      <c r="D263" s="119" t="s">
        <v>1433</v>
      </c>
      <c r="E263" s="121" t="s">
        <v>1969</v>
      </c>
      <c r="F263" s="121" t="s">
        <v>1579</v>
      </c>
      <c r="G263" s="119" t="s">
        <v>3079</v>
      </c>
      <c r="H263" s="121" t="s">
        <v>2337</v>
      </c>
      <c r="I263" s="121" t="s">
        <v>2157</v>
      </c>
      <c r="J263" s="122">
        <v>43997</v>
      </c>
      <c r="K263" s="22"/>
    </row>
    <row r="264" spans="1:11" s="66" customFormat="1" ht="14.25" customHeight="1">
      <c r="A264" s="138" t="s">
        <v>3684</v>
      </c>
      <c r="B264" s="123">
        <v>573</v>
      </c>
      <c r="C264" s="118" t="s">
        <v>1339</v>
      </c>
      <c r="D264" s="119" t="s">
        <v>2014</v>
      </c>
      <c r="E264" s="121" t="s">
        <v>1270</v>
      </c>
      <c r="F264" s="121" t="s">
        <v>346</v>
      </c>
      <c r="G264" s="119" t="s">
        <v>3079</v>
      </c>
      <c r="H264" s="121" t="s">
        <v>2337</v>
      </c>
      <c r="I264" s="121" t="s">
        <v>2157</v>
      </c>
      <c r="J264" s="122">
        <v>43997</v>
      </c>
      <c r="K264" s="22"/>
    </row>
    <row r="265" spans="1:11" s="66" customFormat="1" ht="14.25" customHeight="1">
      <c r="A265" s="138" t="e">
        <v>#N/A</v>
      </c>
      <c r="B265" s="123">
        <v>70548</v>
      </c>
      <c r="C265" s="118" t="e">
        <v>#N/A</v>
      </c>
      <c r="D265" s="119" t="s">
        <v>1044</v>
      </c>
      <c r="E265" s="121" t="s">
        <v>602</v>
      </c>
      <c r="F265" s="121" t="s">
        <v>1392</v>
      </c>
      <c r="G265" s="119" t="s">
        <v>1044</v>
      </c>
      <c r="H265" s="121" t="s">
        <v>597</v>
      </c>
      <c r="I265" s="121" t="s">
        <v>1892</v>
      </c>
      <c r="J265" s="122">
        <v>44004</v>
      </c>
      <c r="K265" s="22"/>
    </row>
    <row r="266" spans="1:11" s="66" customFormat="1" ht="14.25" customHeight="1">
      <c r="A266" s="138" t="s">
        <v>3936</v>
      </c>
      <c r="B266" s="123">
        <v>1374</v>
      </c>
      <c r="C266" s="118" t="s">
        <v>223</v>
      </c>
      <c r="D266" s="119" t="s">
        <v>1324</v>
      </c>
      <c r="E266" s="121" t="s">
        <v>1335</v>
      </c>
      <c r="F266" s="121" t="s">
        <v>1543</v>
      </c>
      <c r="G266" s="119" t="s">
        <v>1324</v>
      </c>
      <c r="H266" s="121" t="s">
        <v>1350</v>
      </c>
      <c r="I266" s="121" t="s">
        <v>2790</v>
      </c>
      <c r="J266" s="122">
        <v>44004</v>
      </c>
      <c r="K266" s="22"/>
    </row>
    <row r="267" spans="1:11" s="66" customFormat="1" ht="14.25" customHeight="1">
      <c r="A267" s="138" t="s">
        <v>3136</v>
      </c>
      <c r="B267" s="123">
        <v>1950</v>
      </c>
      <c r="C267" s="118" t="s">
        <v>223</v>
      </c>
      <c r="D267" s="119" t="s">
        <v>2014</v>
      </c>
      <c r="E267" s="121" t="s">
        <v>1090</v>
      </c>
      <c r="F267" s="121" t="s">
        <v>1908</v>
      </c>
      <c r="G267" s="119" t="s">
        <v>2014</v>
      </c>
      <c r="H267" s="121" t="s">
        <v>220</v>
      </c>
      <c r="I267" s="121" t="s">
        <v>1877</v>
      </c>
      <c r="J267" s="122">
        <v>44004</v>
      </c>
      <c r="K267" s="22"/>
    </row>
    <row r="268" spans="1:11" s="66" customFormat="1" ht="14.25" customHeight="1">
      <c r="A268" s="138" t="s">
        <v>3140</v>
      </c>
      <c r="B268" s="123">
        <v>2156</v>
      </c>
      <c r="C268" s="118" t="s">
        <v>223</v>
      </c>
      <c r="D268" s="119" t="s">
        <v>2014</v>
      </c>
      <c r="E268" s="121" t="s">
        <v>1452</v>
      </c>
      <c r="F268" s="121" t="s">
        <v>1386</v>
      </c>
      <c r="G268" s="119" t="s">
        <v>2014</v>
      </c>
      <c r="H268" s="121" t="s">
        <v>220</v>
      </c>
      <c r="I268" s="121" t="s">
        <v>1877</v>
      </c>
      <c r="J268" s="122">
        <v>44004</v>
      </c>
      <c r="K268" s="22"/>
    </row>
    <row r="269" spans="1:11" s="66" customFormat="1" ht="14.25" customHeight="1">
      <c r="A269" s="138" t="e">
        <v>#N/A</v>
      </c>
      <c r="B269" s="123">
        <v>64411</v>
      </c>
      <c r="C269" s="118" t="e">
        <v>#N/A</v>
      </c>
      <c r="D269" s="119" t="s">
        <v>2014</v>
      </c>
      <c r="E269" s="121" t="s">
        <v>1262</v>
      </c>
      <c r="F269" s="121" t="s">
        <v>1383</v>
      </c>
      <c r="G269" s="119" t="s">
        <v>2014</v>
      </c>
      <c r="H269" s="121" t="s">
        <v>220</v>
      </c>
      <c r="I269" s="121" t="s">
        <v>1877</v>
      </c>
      <c r="J269" s="122">
        <v>44004</v>
      </c>
      <c r="K269" s="22"/>
    </row>
    <row r="270" spans="1:11" s="66" customFormat="1" ht="14.25" customHeight="1">
      <c r="A270" s="138" t="e">
        <v>#N/A</v>
      </c>
      <c r="B270" s="123">
        <v>64434</v>
      </c>
      <c r="C270" s="118" t="e">
        <v>#N/A</v>
      </c>
      <c r="D270" s="119" t="s">
        <v>2014</v>
      </c>
      <c r="E270" s="121" t="s">
        <v>452</v>
      </c>
      <c r="F270" s="121" t="s">
        <v>346</v>
      </c>
      <c r="G270" s="119" t="s">
        <v>2014</v>
      </c>
      <c r="H270" s="121" t="s">
        <v>220</v>
      </c>
      <c r="I270" s="121" t="s">
        <v>1877</v>
      </c>
      <c r="J270" s="122">
        <v>44004</v>
      </c>
      <c r="K270" s="22"/>
    </row>
    <row r="271" spans="1:11" s="66" customFormat="1" ht="14.25" customHeight="1">
      <c r="A271" s="138" t="s">
        <v>3095</v>
      </c>
      <c r="B271" s="123">
        <v>64461</v>
      </c>
      <c r="C271" s="118" t="s">
        <v>643</v>
      </c>
      <c r="D271" s="119" t="s">
        <v>2014</v>
      </c>
      <c r="E271" s="121" t="s">
        <v>504</v>
      </c>
      <c r="F271" s="121" t="s">
        <v>347</v>
      </c>
      <c r="G271" s="119" t="s">
        <v>2014</v>
      </c>
      <c r="H271" s="121" t="s">
        <v>220</v>
      </c>
      <c r="I271" s="121" t="s">
        <v>1877</v>
      </c>
      <c r="J271" s="122">
        <v>44004</v>
      </c>
      <c r="K271" s="22"/>
    </row>
    <row r="272" spans="1:11" s="66" customFormat="1" ht="14.25" customHeight="1">
      <c r="A272" s="138" t="s">
        <v>4358</v>
      </c>
      <c r="B272" s="123">
        <v>2999</v>
      </c>
      <c r="C272" s="118" t="s">
        <v>2128</v>
      </c>
      <c r="D272" s="119" t="s">
        <v>1433</v>
      </c>
      <c r="E272" s="121" t="s">
        <v>844</v>
      </c>
      <c r="F272" s="121" t="s">
        <v>1903</v>
      </c>
      <c r="G272" s="119" t="s">
        <v>2283</v>
      </c>
      <c r="H272" s="121" t="s">
        <v>2797</v>
      </c>
      <c r="I272" s="121" t="s">
        <v>534</v>
      </c>
      <c r="J272" s="122">
        <v>44004</v>
      </c>
      <c r="K272" s="22"/>
    </row>
    <row r="273" spans="1:11" s="66" customFormat="1" ht="14.25" customHeight="1">
      <c r="A273" s="138" t="s">
        <v>2054</v>
      </c>
      <c r="B273" s="123">
        <v>2949</v>
      </c>
      <c r="C273" s="118" t="s">
        <v>451</v>
      </c>
      <c r="D273" s="119" t="s">
        <v>2283</v>
      </c>
      <c r="E273" s="121" t="s">
        <v>2073</v>
      </c>
      <c r="F273" s="121" t="s">
        <v>2471</v>
      </c>
      <c r="G273" s="119" t="s">
        <v>2283</v>
      </c>
      <c r="H273" s="121" t="s">
        <v>2797</v>
      </c>
      <c r="I273" s="121" t="s">
        <v>534</v>
      </c>
      <c r="J273" s="122">
        <v>44004</v>
      </c>
      <c r="K273" s="22"/>
    </row>
    <row r="274" spans="1:11" s="66" customFormat="1" ht="14.25" customHeight="1">
      <c r="A274" s="138" t="s">
        <v>2829</v>
      </c>
      <c r="B274" s="123">
        <v>2179</v>
      </c>
      <c r="C274" s="118" t="s">
        <v>223</v>
      </c>
      <c r="D274" s="119" t="s">
        <v>2283</v>
      </c>
      <c r="E274" s="121" t="s">
        <v>2323</v>
      </c>
      <c r="F274" s="121" t="s">
        <v>1904</v>
      </c>
      <c r="G274" s="119" t="s">
        <v>2283</v>
      </c>
      <c r="H274" s="121" t="s">
        <v>2797</v>
      </c>
      <c r="I274" s="121" t="s">
        <v>534</v>
      </c>
      <c r="J274" s="122">
        <v>44004</v>
      </c>
      <c r="K274" s="22"/>
    </row>
    <row r="275" spans="1:11" s="66" customFormat="1" ht="14.25" customHeight="1">
      <c r="A275" s="138" t="e">
        <v>#N/A</v>
      </c>
      <c r="B275" s="123">
        <v>70488</v>
      </c>
      <c r="C275" s="118" t="e">
        <v>#N/A</v>
      </c>
      <c r="D275" s="119" t="s">
        <v>2283</v>
      </c>
      <c r="E275" s="121" t="s">
        <v>2323</v>
      </c>
      <c r="F275" s="121" t="s">
        <v>1904</v>
      </c>
      <c r="G275" s="119" t="s">
        <v>2283</v>
      </c>
      <c r="H275" s="121" t="s">
        <v>2797</v>
      </c>
      <c r="I275" s="121" t="s">
        <v>534</v>
      </c>
      <c r="J275" s="122">
        <v>44004</v>
      </c>
      <c r="K275" s="22"/>
    </row>
    <row r="276" spans="1:11" s="66" customFormat="1" ht="14.25" customHeight="1">
      <c r="A276" s="138" t="s">
        <v>1555</v>
      </c>
      <c r="B276" s="123">
        <v>110</v>
      </c>
      <c r="C276" s="118" t="s">
        <v>1321</v>
      </c>
      <c r="D276" s="119" t="s">
        <v>2283</v>
      </c>
      <c r="E276" s="121" t="s">
        <v>2448</v>
      </c>
      <c r="F276" s="121" t="s">
        <v>1577</v>
      </c>
      <c r="G276" s="119" t="s">
        <v>2283</v>
      </c>
      <c r="H276" s="121" t="s">
        <v>2797</v>
      </c>
      <c r="I276" s="121" t="s">
        <v>534</v>
      </c>
      <c r="J276" s="122">
        <v>44004</v>
      </c>
      <c r="K276" s="22"/>
    </row>
    <row r="277" spans="1:11" s="66" customFormat="1" ht="14.25" customHeight="1">
      <c r="A277" s="138" t="s">
        <v>3154</v>
      </c>
      <c r="B277" s="123">
        <v>3099</v>
      </c>
      <c r="C277" s="118" t="s">
        <v>451</v>
      </c>
      <c r="D277" s="119" t="s">
        <v>2283</v>
      </c>
      <c r="E277" s="121" t="s">
        <v>2448</v>
      </c>
      <c r="F277" s="121" t="s">
        <v>1555</v>
      </c>
      <c r="G277" s="119" t="s">
        <v>2283</v>
      </c>
      <c r="H277" s="121" t="s">
        <v>2797</v>
      </c>
      <c r="I277" s="121" t="s">
        <v>534</v>
      </c>
      <c r="J277" s="122">
        <v>44004</v>
      </c>
      <c r="K277" s="22"/>
    </row>
    <row r="278" spans="1:11" s="66" customFormat="1" ht="14.25" customHeight="1">
      <c r="A278" s="138" t="s">
        <v>3155</v>
      </c>
      <c r="B278" s="123">
        <v>3143</v>
      </c>
      <c r="C278" s="118" t="s">
        <v>451</v>
      </c>
      <c r="D278" s="119" t="s">
        <v>2283</v>
      </c>
      <c r="E278" s="121" t="s">
        <v>2448</v>
      </c>
      <c r="F278" s="121" t="s">
        <v>1555</v>
      </c>
      <c r="G278" s="119" t="s">
        <v>2283</v>
      </c>
      <c r="H278" s="121" t="s">
        <v>2797</v>
      </c>
      <c r="I278" s="121" t="s">
        <v>534</v>
      </c>
      <c r="J278" s="122">
        <v>44004</v>
      </c>
      <c r="K278" s="22"/>
    </row>
    <row r="279" spans="1:11" s="66" customFormat="1" ht="14.25" customHeight="1">
      <c r="A279" s="138" t="e">
        <v>#N/A</v>
      </c>
      <c r="B279" s="123">
        <v>3048</v>
      </c>
      <c r="C279" s="118" t="e">
        <v>#N/A</v>
      </c>
      <c r="D279" s="119" t="s">
        <v>2283</v>
      </c>
      <c r="E279" s="121" t="s">
        <v>2072</v>
      </c>
      <c r="F279" s="121" t="s">
        <v>1398</v>
      </c>
      <c r="G279" s="119" t="s">
        <v>2283</v>
      </c>
      <c r="H279" s="121" t="s">
        <v>2797</v>
      </c>
      <c r="I279" s="121" t="s">
        <v>534</v>
      </c>
      <c r="J279" s="122">
        <v>44004</v>
      </c>
      <c r="K279" s="22"/>
    </row>
    <row r="280" spans="1:11" s="66" customFormat="1" ht="14.25" customHeight="1">
      <c r="A280" s="138" t="e">
        <v>#N/A</v>
      </c>
      <c r="B280" s="123">
        <v>70536</v>
      </c>
      <c r="C280" s="118" t="e">
        <v>#N/A</v>
      </c>
      <c r="D280" s="119" t="s">
        <v>2283</v>
      </c>
      <c r="E280" s="121" t="s">
        <v>2072</v>
      </c>
      <c r="F280" s="121" t="s">
        <v>1398</v>
      </c>
      <c r="G280" s="119" t="s">
        <v>2283</v>
      </c>
      <c r="H280" s="121" t="s">
        <v>2797</v>
      </c>
      <c r="I280" s="121" t="s">
        <v>534</v>
      </c>
      <c r="J280" s="122">
        <v>44004</v>
      </c>
      <c r="K280" s="22"/>
    </row>
    <row r="281" spans="1:11" s="66" customFormat="1" ht="14.25" customHeight="1">
      <c r="A281" s="138" t="s">
        <v>3107</v>
      </c>
      <c r="B281" s="123">
        <v>331</v>
      </c>
      <c r="C281" s="118" t="s">
        <v>223</v>
      </c>
      <c r="D281" s="119" t="s">
        <v>2283</v>
      </c>
      <c r="E281" s="121" t="s">
        <v>2324</v>
      </c>
      <c r="F281" s="121" t="s">
        <v>2326</v>
      </c>
      <c r="G281" s="119" t="s">
        <v>2283</v>
      </c>
      <c r="H281" s="121" t="s">
        <v>2797</v>
      </c>
      <c r="I281" s="121" t="s">
        <v>534</v>
      </c>
      <c r="J281" s="122">
        <v>44004</v>
      </c>
      <c r="K281" s="22"/>
    </row>
    <row r="282" spans="1:11" s="66" customFormat="1" ht="14.25" customHeight="1">
      <c r="A282" s="138" t="s">
        <v>3142</v>
      </c>
      <c r="B282" s="123">
        <v>2183</v>
      </c>
      <c r="C282" s="118" t="s">
        <v>451</v>
      </c>
      <c r="D282" s="119" t="s">
        <v>2283</v>
      </c>
      <c r="E282" s="121" t="s">
        <v>2449</v>
      </c>
      <c r="F282" s="121" t="s">
        <v>340</v>
      </c>
      <c r="G282" s="119" t="s">
        <v>2283</v>
      </c>
      <c r="H282" s="121" t="s">
        <v>2797</v>
      </c>
      <c r="I282" s="121" t="s">
        <v>534</v>
      </c>
      <c r="J282" s="122">
        <v>44004</v>
      </c>
      <c r="K282" s="22"/>
    </row>
    <row r="283" spans="1:11" s="66" customFormat="1" ht="14.25" customHeight="1">
      <c r="A283" s="138" t="s">
        <v>4183</v>
      </c>
      <c r="B283" s="123">
        <v>2207</v>
      </c>
      <c r="C283" s="118" t="s">
        <v>223</v>
      </c>
      <c r="D283" s="119" t="s">
        <v>2283</v>
      </c>
      <c r="E283" s="121" t="s">
        <v>2069</v>
      </c>
      <c r="F283" s="121" t="s">
        <v>528</v>
      </c>
      <c r="G283" s="119" t="s">
        <v>2283</v>
      </c>
      <c r="H283" s="121" t="s">
        <v>2797</v>
      </c>
      <c r="I283" s="121" t="s">
        <v>534</v>
      </c>
      <c r="J283" s="122">
        <v>44004</v>
      </c>
      <c r="K283" s="22"/>
    </row>
    <row r="284" spans="1:11" s="66" customFormat="1" ht="14.25" customHeight="1">
      <c r="A284" s="138" t="e">
        <v>#N/A</v>
      </c>
      <c r="B284" s="123">
        <v>64520</v>
      </c>
      <c r="C284" s="118" t="e">
        <v>#N/A</v>
      </c>
      <c r="D284" s="119" t="s">
        <v>2283</v>
      </c>
      <c r="E284" s="121" t="s">
        <v>2325</v>
      </c>
      <c r="F284" s="121" t="s">
        <v>345</v>
      </c>
      <c r="G284" s="119" t="s">
        <v>2283</v>
      </c>
      <c r="H284" s="121" t="s">
        <v>2797</v>
      </c>
      <c r="I284" s="121" t="s">
        <v>534</v>
      </c>
      <c r="J284" s="122">
        <v>44004</v>
      </c>
      <c r="K284" s="22"/>
    </row>
    <row r="285" spans="1:11" s="66" customFormat="1" ht="14.25" customHeight="1">
      <c r="A285" s="138" t="s">
        <v>3156</v>
      </c>
      <c r="B285" s="123">
        <v>3181</v>
      </c>
      <c r="C285" s="118" t="s">
        <v>451</v>
      </c>
      <c r="D285" s="119" t="s">
        <v>2283</v>
      </c>
      <c r="E285" s="121" t="s">
        <v>2450</v>
      </c>
      <c r="F285" s="121" t="s">
        <v>1582</v>
      </c>
      <c r="G285" s="119" t="s">
        <v>2283</v>
      </c>
      <c r="H285" s="121" t="s">
        <v>2797</v>
      </c>
      <c r="I285" s="121" t="s">
        <v>534</v>
      </c>
      <c r="J285" s="122">
        <v>44004</v>
      </c>
      <c r="K285" s="22"/>
    </row>
    <row r="286" spans="1:11" s="66" customFormat="1" ht="14.25" customHeight="1">
      <c r="A286" s="138" t="s">
        <v>3690</v>
      </c>
      <c r="B286" s="123">
        <v>596</v>
      </c>
      <c r="C286" s="118" t="s">
        <v>1339</v>
      </c>
      <c r="D286" s="119" t="s">
        <v>2014</v>
      </c>
      <c r="E286" s="121" t="s">
        <v>1262</v>
      </c>
      <c r="F286" s="121" t="s">
        <v>1383</v>
      </c>
      <c r="G286" s="119" t="s">
        <v>3079</v>
      </c>
      <c r="H286" s="121" t="s">
        <v>2378</v>
      </c>
      <c r="I286" s="121" t="s">
        <v>544</v>
      </c>
      <c r="J286" s="122">
        <v>44004</v>
      </c>
      <c r="K286" s="22"/>
    </row>
    <row r="287" spans="1:11" s="66" customFormat="1" ht="14.25" customHeight="1">
      <c r="A287" s="138" t="s">
        <v>3887</v>
      </c>
      <c r="B287" s="123">
        <v>1214</v>
      </c>
      <c r="C287" s="118" t="s">
        <v>1585</v>
      </c>
      <c r="D287" s="119" t="s">
        <v>2014</v>
      </c>
      <c r="E287" s="121" t="s">
        <v>454</v>
      </c>
      <c r="F287" s="121" t="s">
        <v>1383</v>
      </c>
      <c r="G287" s="119" t="s">
        <v>3079</v>
      </c>
      <c r="H287" s="121" t="s">
        <v>2378</v>
      </c>
      <c r="I287" s="121" t="s">
        <v>544</v>
      </c>
      <c r="J287" s="122">
        <v>44004</v>
      </c>
      <c r="K287" s="22"/>
    </row>
    <row r="288" spans="1:11" s="66" customFormat="1" ht="14.25" customHeight="1">
      <c r="A288" s="138" t="s">
        <v>2858</v>
      </c>
      <c r="B288" s="123">
        <v>3196</v>
      </c>
      <c r="C288" s="118" t="s">
        <v>451</v>
      </c>
      <c r="D288" s="119" t="s">
        <v>1044</v>
      </c>
      <c r="E288" s="121" t="s">
        <v>595</v>
      </c>
      <c r="F288" s="121" t="s">
        <v>1906</v>
      </c>
      <c r="G288" s="119" t="s">
        <v>1044</v>
      </c>
      <c r="H288" s="121" t="s">
        <v>772</v>
      </c>
      <c r="I288" s="121" t="s">
        <v>1389</v>
      </c>
      <c r="J288" s="122">
        <v>44011</v>
      </c>
      <c r="K288" s="22"/>
    </row>
    <row r="289" spans="1:11" s="66" customFormat="1" ht="14.25" customHeight="1">
      <c r="A289" s="138" t="s">
        <v>2998</v>
      </c>
      <c r="B289" s="123">
        <v>64516</v>
      </c>
      <c r="C289" s="118" t="s">
        <v>643</v>
      </c>
      <c r="D289" s="119" t="s">
        <v>1324</v>
      </c>
      <c r="E289" s="121" t="s">
        <v>771</v>
      </c>
      <c r="F289" s="121" t="s">
        <v>1370</v>
      </c>
      <c r="G289" s="119" t="s">
        <v>1324</v>
      </c>
      <c r="H289" s="121" t="s">
        <v>609</v>
      </c>
      <c r="I289" s="121" t="s">
        <v>2799</v>
      </c>
      <c r="J289" s="122">
        <v>44011</v>
      </c>
      <c r="K289" s="22"/>
    </row>
    <row r="290" spans="1:11" s="66" customFormat="1" ht="14.25" customHeight="1">
      <c r="A290" s="138" t="s">
        <v>4339</v>
      </c>
      <c r="B290" s="123">
        <v>2959</v>
      </c>
      <c r="C290" s="118" t="s">
        <v>451</v>
      </c>
      <c r="D290" s="119" t="s">
        <v>1454</v>
      </c>
      <c r="E290" s="121" t="s">
        <v>684</v>
      </c>
      <c r="F290" s="121" t="s">
        <v>541</v>
      </c>
      <c r="G290" s="119" t="s">
        <v>3079</v>
      </c>
      <c r="H290" s="121" t="s">
        <v>2086</v>
      </c>
      <c r="I290" s="121" t="s">
        <v>1569</v>
      </c>
      <c r="J290" s="122">
        <v>44011</v>
      </c>
      <c r="K290" s="22"/>
    </row>
    <row r="291" spans="1:11" s="66" customFormat="1" ht="14.25" customHeight="1">
      <c r="A291" s="138" t="s">
        <v>2388</v>
      </c>
      <c r="B291" s="123">
        <v>3165</v>
      </c>
      <c r="C291" s="118" t="s">
        <v>451</v>
      </c>
      <c r="D291" s="119" t="s">
        <v>1454</v>
      </c>
      <c r="E291" s="121" t="s">
        <v>685</v>
      </c>
      <c r="F291" s="121" t="s">
        <v>1559</v>
      </c>
      <c r="G291" s="119" t="s">
        <v>3079</v>
      </c>
      <c r="H291" s="121" t="s">
        <v>2086</v>
      </c>
      <c r="I291" s="121" t="s">
        <v>1569</v>
      </c>
      <c r="J291" s="122">
        <v>44011</v>
      </c>
      <c r="K291" s="22"/>
    </row>
    <row r="292" spans="1:11" s="66" customFormat="1" ht="14.25" customHeight="1">
      <c r="A292" s="138" t="s">
        <v>2811</v>
      </c>
      <c r="B292" s="123">
        <v>2053</v>
      </c>
      <c r="C292" s="118" t="s">
        <v>223</v>
      </c>
      <c r="D292" s="119" t="s">
        <v>1433</v>
      </c>
      <c r="E292" s="121" t="s">
        <v>1325</v>
      </c>
      <c r="F292" s="121" t="s">
        <v>2159</v>
      </c>
      <c r="G292" s="119" t="s">
        <v>2283</v>
      </c>
      <c r="H292" s="121" t="s">
        <v>2448</v>
      </c>
      <c r="I292" s="121" t="s">
        <v>1907</v>
      </c>
      <c r="J292" s="122">
        <v>44011</v>
      </c>
      <c r="K292" s="22"/>
    </row>
    <row r="293" spans="1:11" s="66" customFormat="1" ht="14.25" customHeight="1">
      <c r="A293" s="138" t="s">
        <v>3135</v>
      </c>
      <c r="B293" s="123">
        <v>1925</v>
      </c>
      <c r="C293" s="118" t="s">
        <v>2287</v>
      </c>
      <c r="D293" s="119" t="s">
        <v>1435</v>
      </c>
      <c r="E293" s="121" t="s">
        <v>2023</v>
      </c>
      <c r="F293" s="121" t="s">
        <v>1554</v>
      </c>
      <c r="G293" s="119" t="s">
        <v>173</v>
      </c>
      <c r="H293" s="121" t="s">
        <v>2802</v>
      </c>
      <c r="I293" s="121" t="s">
        <v>1925</v>
      </c>
      <c r="J293" s="122">
        <v>44013</v>
      </c>
      <c r="K293" s="22"/>
    </row>
    <row r="294" spans="1:11" s="66" customFormat="1" ht="14.25" customHeight="1">
      <c r="A294" s="138" t="s">
        <v>2827</v>
      </c>
      <c r="B294" s="123">
        <v>1999</v>
      </c>
      <c r="C294" s="118" t="s">
        <v>223</v>
      </c>
      <c r="D294" s="119" t="s">
        <v>1454</v>
      </c>
      <c r="E294" s="121" t="s">
        <v>684</v>
      </c>
      <c r="F294" s="121" t="s">
        <v>541</v>
      </c>
      <c r="G294" s="119" t="s">
        <v>1454</v>
      </c>
      <c r="H294" s="121" t="s">
        <v>1598</v>
      </c>
      <c r="I294" s="121" t="s">
        <v>1920</v>
      </c>
      <c r="J294" s="122">
        <v>44013</v>
      </c>
      <c r="K294" s="22"/>
    </row>
    <row r="295" spans="1:11" s="66" customFormat="1" ht="14.25" customHeight="1">
      <c r="A295" s="138" t="s">
        <v>2828</v>
      </c>
      <c r="B295" s="123">
        <v>2998</v>
      </c>
      <c r="C295" s="118" t="s">
        <v>451</v>
      </c>
      <c r="D295" s="119" t="s">
        <v>1454</v>
      </c>
      <c r="E295" s="121" t="s">
        <v>683</v>
      </c>
      <c r="F295" s="121" t="s">
        <v>1900</v>
      </c>
      <c r="G295" s="119" t="s">
        <v>1454</v>
      </c>
      <c r="H295" s="121" t="s">
        <v>1598</v>
      </c>
      <c r="I295" s="121" t="s">
        <v>1920</v>
      </c>
      <c r="J295" s="122">
        <v>44013</v>
      </c>
      <c r="K295" s="22"/>
    </row>
    <row r="296" spans="1:11" s="66" customFormat="1" ht="14.25" customHeight="1">
      <c r="A296" s="138" t="s">
        <v>2828</v>
      </c>
      <c r="B296" s="123">
        <v>2998</v>
      </c>
      <c r="C296" s="118" t="s">
        <v>451</v>
      </c>
      <c r="D296" s="119" t="s">
        <v>1454</v>
      </c>
      <c r="E296" s="121" t="s">
        <v>683</v>
      </c>
      <c r="F296" s="121" t="s">
        <v>1900</v>
      </c>
      <c r="G296" s="119" t="s">
        <v>1454</v>
      </c>
      <c r="H296" s="121" t="s">
        <v>1598</v>
      </c>
      <c r="I296" s="121" t="s">
        <v>2064</v>
      </c>
      <c r="J296" s="122">
        <v>44013</v>
      </c>
      <c r="K296" s="22"/>
    </row>
    <row r="297" spans="1:11" s="66" customFormat="1" ht="14.25" customHeight="1">
      <c r="A297" s="138" t="s">
        <v>2963</v>
      </c>
      <c r="B297" s="123">
        <v>64484</v>
      </c>
      <c r="C297" s="118" t="s">
        <v>643</v>
      </c>
      <c r="D297" s="119" t="s">
        <v>1433</v>
      </c>
      <c r="E297" s="121" t="s">
        <v>570</v>
      </c>
      <c r="F297" s="121" t="s">
        <v>1893</v>
      </c>
      <c r="G297" s="119" t="s">
        <v>1454</v>
      </c>
      <c r="H297" s="121" t="s">
        <v>683</v>
      </c>
      <c r="I297" s="121" t="s">
        <v>1900</v>
      </c>
      <c r="J297" s="122">
        <v>44013</v>
      </c>
      <c r="K297" s="22"/>
    </row>
    <row r="298" spans="1:11" s="66" customFormat="1" ht="14.25" customHeight="1">
      <c r="A298" s="138" t="s">
        <v>4551</v>
      </c>
      <c r="B298" s="123">
        <v>64485</v>
      </c>
      <c r="C298" s="118" t="s">
        <v>643</v>
      </c>
      <c r="D298" s="119" t="s">
        <v>1433</v>
      </c>
      <c r="E298" s="121" t="s">
        <v>570</v>
      </c>
      <c r="F298" s="121" t="s">
        <v>1893</v>
      </c>
      <c r="G298" s="119" t="s">
        <v>1454</v>
      </c>
      <c r="H298" s="121" t="s">
        <v>684</v>
      </c>
      <c r="I298" s="121" t="s">
        <v>541</v>
      </c>
      <c r="J298" s="122">
        <v>44013</v>
      </c>
      <c r="K298" s="22"/>
    </row>
    <row r="299" spans="1:11" s="66" customFormat="1" ht="14.25" customHeight="1">
      <c r="A299" s="138" t="s">
        <v>4553</v>
      </c>
      <c r="B299" s="123">
        <v>64489</v>
      </c>
      <c r="C299" s="118" t="s">
        <v>643</v>
      </c>
      <c r="D299" s="119" t="s">
        <v>1433</v>
      </c>
      <c r="E299" s="121" t="s">
        <v>224</v>
      </c>
      <c r="F299" s="121" t="s">
        <v>1912</v>
      </c>
      <c r="G299" s="119" t="s">
        <v>1454</v>
      </c>
      <c r="H299" s="121" t="s">
        <v>684</v>
      </c>
      <c r="I299" s="121" t="s">
        <v>541</v>
      </c>
      <c r="J299" s="122">
        <v>44013</v>
      </c>
      <c r="K299" s="22"/>
    </row>
    <row r="300" spans="1:11" s="66" customFormat="1" ht="14.25" customHeight="1">
      <c r="A300" s="138" t="s">
        <v>2839</v>
      </c>
      <c r="B300" s="123">
        <v>3094</v>
      </c>
      <c r="C300" s="118" t="s">
        <v>451</v>
      </c>
      <c r="D300" s="119" t="s">
        <v>1433</v>
      </c>
      <c r="E300" s="121" t="s">
        <v>1325</v>
      </c>
      <c r="F300" s="121" t="s">
        <v>2159</v>
      </c>
      <c r="G300" s="119" t="s">
        <v>1454</v>
      </c>
      <c r="H300" s="121" t="s">
        <v>475</v>
      </c>
      <c r="I300" s="121" t="s">
        <v>540</v>
      </c>
      <c r="J300" s="122">
        <v>44013</v>
      </c>
      <c r="K300" s="22"/>
    </row>
    <row r="301" spans="1:11" s="66" customFormat="1" ht="14.25" customHeight="1">
      <c r="A301" s="138" t="s">
        <v>4131</v>
      </c>
      <c r="B301" s="123">
        <v>2045</v>
      </c>
      <c r="C301" s="118" t="s">
        <v>392</v>
      </c>
      <c r="D301" s="119" t="s">
        <v>2641</v>
      </c>
      <c r="E301" s="121" t="s">
        <v>1451</v>
      </c>
      <c r="F301" s="121" t="s">
        <v>1941</v>
      </c>
      <c r="G301" s="119" t="s">
        <v>2641</v>
      </c>
      <c r="H301" s="121" t="s">
        <v>2779</v>
      </c>
      <c r="I301" s="121" t="s">
        <v>1941</v>
      </c>
      <c r="J301" s="122">
        <v>44013</v>
      </c>
      <c r="K301" s="22"/>
    </row>
    <row r="302" spans="1:11" s="66" customFormat="1" ht="14.25" customHeight="1">
      <c r="A302" s="138" t="s">
        <v>1902</v>
      </c>
      <c r="B302" s="123">
        <v>166</v>
      </c>
      <c r="C302" s="118" t="s">
        <v>1321</v>
      </c>
      <c r="D302" s="119" t="s">
        <v>1044</v>
      </c>
      <c r="E302" s="121" t="s">
        <v>1999</v>
      </c>
      <c r="F302" s="121" t="s">
        <v>1584</v>
      </c>
      <c r="G302" s="119" t="s">
        <v>1044</v>
      </c>
      <c r="H302" s="121" t="s">
        <v>597</v>
      </c>
      <c r="I302" s="121" t="s">
        <v>2771</v>
      </c>
      <c r="J302" s="122">
        <v>44013</v>
      </c>
      <c r="K302" s="22"/>
    </row>
    <row r="303" spans="1:11" s="66" customFormat="1" ht="14.25" customHeight="1">
      <c r="A303" s="138" t="s">
        <v>2998</v>
      </c>
      <c r="B303" s="123">
        <v>64516</v>
      </c>
      <c r="C303" s="118" t="s">
        <v>643</v>
      </c>
      <c r="D303" s="119" t="s">
        <v>1324</v>
      </c>
      <c r="E303" s="121" t="s">
        <v>771</v>
      </c>
      <c r="F303" s="121" t="s">
        <v>1370</v>
      </c>
      <c r="G303" s="119" t="s">
        <v>1324</v>
      </c>
      <c r="H303" s="121" t="s">
        <v>609</v>
      </c>
      <c r="I303" s="121" t="s">
        <v>1575</v>
      </c>
      <c r="J303" s="122">
        <v>44013</v>
      </c>
      <c r="K303" s="22"/>
    </row>
    <row r="304" spans="1:11" s="66" customFormat="1" ht="14.25" customHeight="1">
      <c r="A304" s="138" t="s">
        <v>1372</v>
      </c>
      <c r="B304" s="123">
        <v>2212</v>
      </c>
      <c r="C304" s="118" t="s">
        <v>223</v>
      </c>
      <c r="D304" s="119" t="s">
        <v>1435</v>
      </c>
      <c r="E304" s="121" t="s">
        <v>453</v>
      </c>
      <c r="F304" s="121" t="s">
        <v>1880</v>
      </c>
      <c r="G304" s="119" t="s">
        <v>1435</v>
      </c>
      <c r="H304" s="121" t="s">
        <v>449</v>
      </c>
      <c r="I304" s="121" t="s">
        <v>1899</v>
      </c>
      <c r="J304" s="122">
        <v>44013</v>
      </c>
      <c r="K304" s="22"/>
    </row>
    <row r="305" spans="1:11" s="66" customFormat="1" ht="14.25" customHeight="1">
      <c r="A305" s="138" t="s">
        <v>3122</v>
      </c>
      <c r="B305" s="123">
        <v>937</v>
      </c>
      <c r="C305" s="118" t="s">
        <v>1585</v>
      </c>
      <c r="D305" s="119" t="s">
        <v>1435</v>
      </c>
      <c r="E305" s="121" t="s">
        <v>453</v>
      </c>
      <c r="F305" s="121" t="s">
        <v>1880</v>
      </c>
      <c r="G305" s="119" t="s">
        <v>1435</v>
      </c>
      <c r="H305" s="121" t="s">
        <v>2738</v>
      </c>
      <c r="I305" s="121" t="s">
        <v>1554</v>
      </c>
      <c r="J305" s="122">
        <v>44013</v>
      </c>
      <c r="K305" s="22"/>
    </row>
    <row r="306" spans="1:11" s="66" customFormat="1" ht="14.25" customHeight="1">
      <c r="A306" s="138" t="s">
        <v>2478</v>
      </c>
      <c r="B306" s="123">
        <v>2552</v>
      </c>
      <c r="C306" s="118" t="s">
        <v>223</v>
      </c>
      <c r="D306" s="119" t="s">
        <v>1435</v>
      </c>
      <c r="E306" s="121" t="s">
        <v>453</v>
      </c>
      <c r="F306" s="121" t="s">
        <v>1880</v>
      </c>
      <c r="G306" s="119" t="s">
        <v>1435</v>
      </c>
      <c r="H306" s="121" t="s">
        <v>2738</v>
      </c>
      <c r="I306" s="121" t="s">
        <v>1554</v>
      </c>
      <c r="J306" s="122">
        <v>44013</v>
      </c>
      <c r="K306" s="22"/>
    </row>
    <row r="307" spans="1:11" s="66" customFormat="1" ht="14.25" customHeight="1">
      <c r="A307" s="138" t="s">
        <v>3792</v>
      </c>
      <c r="B307" s="123">
        <v>935</v>
      </c>
      <c r="C307" s="118" t="s">
        <v>392</v>
      </c>
      <c r="D307" s="119" t="s">
        <v>173</v>
      </c>
      <c r="E307" s="121" t="s">
        <v>2130</v>
      </c>
      <c r="F307" s="121" t="s">
        <v>1925</v>
      </c>
      <c r="G307" s="119" t="s">
        <v>1435</v>
      </c>
      <c r="H307" s="121" t="s">
        <v>2405</v>
      </c>
      <c r="I307" s="121" t="s">
        <v>1925</v>
      </c>
      <c r="J307" s="122">
        <v>44013</v>
      </c>
      <c r="K307" s="22"/>
    </row>
    <row r="308" spans="1:11" s="66" customFormat="1" ht="14.25" customHeight="1">
      <c r="A308" s="138" t="s">
        <v>3647</v>
      </c>
      <c r="B308" s="123">
        <v>478</v>
      </c>
      <c r="C308" s="118" t="s">
        <v>2288</v>
      </c>
      <c r="D308" s="119" t="s">
        <v>173</v>
      </c>
      <c r="E308" s="121" t="s">
        <v>681</v>
      </c>
      <c r="F308" s="121" t="s">
        <v>1936</v>
      </c>
      <c r="G308" s="119" t="s">
        <v>173</v>
      </c>
      <c r="H308" s="121" t="s">
        <v>880</v>
      </c>
      <c r="I308" s="121" t="s">
        <v>1925</v>
      </c>
      <c r="J308" s="122">
        <v>44013</v>
      </c>
      <c r="K308" s="22"/>
    </row>
    <row r="309" spans="1:11" s="66" customFormat="1" ht="14.25" customHeight="1">
      <c r="A309" s="138" t="s">
        <v>3148</v>
      </c>
      <c r="B309" s="123">
        <v>2549</v>
      </c>
      <c r="C309" s="118" t="s">
        <v>391</v>
      </c>
      <c r="D309" s="119" t="s">
        <v>173</v>
      </c>
      <c r="E309" s="121" t="s">
        <v>880</v>
      </c>
      <c r="F309" s="121" t="s">
        <v>1925</v>
      </c>
      <c r="G309" s="119" t="s">
        <v>173</v>
      </c>
      <c r="H309" s="121" t="s">
        <v>681</v>
      </c>
      <c r="I309" s="121" t="s">
        <v>1936</v>
      </c>
      <c r="J309" s="122">
        <v>44013</v>
      </c>
      <c r="K309" s="22"/>
    </row>
    <row r="310" spans="1:11" s="66" customFormat="1" ht="14.25" customHeight="1">
      <c r="A310" s="138" t="s">
        <v>3151</v>
      </c>
      <c r="B310" s="123">
        <v>2861</v>
      </c>
      <c r="C310" s="118" t="s">
        <v>686</v>
      </c>
      <c r="D310" s="119" t="s">
        <v>173</v>
      </c>
      <c r="E310" s="121" t="s">
        <v>681</v>
      </c>
      <c r="F310" s="121" t="s">
        <v>1936</v>
      </c>
      <c r="G310" s="119" t="s">
        <v>173</v>
      </c>
      <c r="H310" s="121" t="s">
        <v>681</v>
      </c>
      <c r="I310" s="121" t="s">
        <v>1936</v>
      </c>
      <c r="J310" s="122">
        <v>44013</v>
      </c>
      <c r="K310" s="22"/>
    </row>
    <row r="311" spans="1:11" s="66" customFormat="1" ht="14.25" customHeight="1">
      <c r="A311" s="138" t="s">
        <v>349</v>
      </c>
      <c r="B311" s="123">
        <v>195</v>
      </c>
      <c r="C311" s="118" t="s">
        <v>1339</v>
      </c>
      <c r="D311" s="119" t="s">
        <v>1044</v>
      </c>
      <c r="E311" s="121" t="s">
        <v>596</v>
      </c>
      <c r="F311" s="121" t="s">
        <v>2277</v>
      </c>
      <c r="G311" s="119" t="s">
        <v>2588</v>
      </c>
      <c r="H311" s="121" t="s">
        <v>2796</v>
      </c>
      <c r="I311" s="121" t="s">
        <v>1390</v>
      </c>
      <c r="J311" s="122">
        <v>44013</v>
      </c>
      <c r="K311" s="22"/>
    </row>
    <row r="312" spans="1:11" s="66" customFormat="1" ht="14.25" customHeight="1">
      <c r="A312" s="138" t="s">
        <v>3592</v>
      </c>
      <c r="B312" s="123">
        <v>261</v>
      </c>
      <c r="C312" s="118" t="s">
        <v>1339</v>
      </c>
      <c r="D312" s="167" t="s">
        <v>1044</v>
      </c>
      <c r="E312" s="121" t="s">
        <v>178</v>
      </c>
      <c r="F312" s="121" t="s">
        <v>1556</v>
      </c>
      <c r="G312" s="167" t="s">
        <v>2588</v>
      </c>
      <c r="H312" s="121" t="s">
        <v>2796</v>
      </c>
      <c r="I312" s="121" t="s">
        <v>1390</v>
      </c>
      <c r="J312" s="122">
        <v>44013</v>
      </c>
      <c r="K312" s="22"/>
    </row>
    <row r="313" spans="1:11" s="66" customFormat="1" ht="14.25" customHeight="1">
      <c r="A313" s="138" t="s">
        <v>3893</v>
      </c>
      <c r="B313" s="123">
        <v>1243</v>
      </c>
      <c r="C313" s="118" t="s">
        <v>2037</v>
      </c>
      <c r="D313" s="119" t="s">
        <v>1044</v>
      </c>
      <c r="E313" s="121" t="s">
        <v>1999</v>
      </c>
      <c r="F313" s="121" t="s">
        <v>1902</v>
      </c>
      <c r="G313" s="119" t="s">
        <v>2588</v>
      </c>
      <c r="H313" s="121" t="s">
        <v>2796</v>
      </c>
      <c r="I313" s="121" t="s">
        <v>1380</v>
      </c>
      <c r="J313" s="122">
        <v>44013</v>
      </c>
      <c r="K313" s="22"/>
    </row>
    <row r="314" spans="1:11" s="66" customFormat="1" ht="14.25" customHeight="1">
      <c r="A314" s="138" t="s">
        <v>4174</v>
      </c>
      <c r="B314" s="123">
        <v>2157</v>
      </c>
      <c r="C314" s="118" t="s">
        <v>1339</v>
      </c>
      <c r="D314" s="119" t="s">
        <v>1044</v>
      </c>
      <c r="E314" s="121" t="s">
        <v>1081</v>
      </c>
      <c r="F314" s="121" t="s">
        <v>2547</v>
      </c>
      <c r="G314" s="119" t="s">
        <v>2588</v>
      </c>
      <c r="H314" s="121" t="s">
        <v>2796</v>
      </c>
      <c r="I314" s="121" t="s">
        <v>1390</v>
      </c>
      <c r="J314" s="122">
        <v>44013</v>
      </c>
      <c r="K314" s="22"/>
    </row>
    <row r="315" spans="1:11" s="66" customFormat="1" ht="14.25" customHeight="1">
      <c r="A315" s="138" t="s">
        <v>3109</v>
      </c>
      <c r="B315" s="123">
        <v>361</v>
      </c>
      <c r="C315" s="118" t="s">
        <v>1585</v>
      </c>
      <c r="D315" s="119" t="s">
        <v>1044</v>
      </c>
      <c r="E315" s="121" t="s">
        <v>1999</v>
      </c>
      <c r="F315" s="121" t="s">
        <v>1902</v>
      </c>
      <c r="G315" s="119" t="s">
        <v>2588</v>
      </c>
      <c r="H315" s="121" t="s">
        <v>2795</v>
      </c>
      <c r="I315" s="121" t="s">
        <v>1390</v>
      </c>
      <c r="J315" s="122">
        <v>44013</v>
      </c>
      <c r="K315" s="22"/>
    </row>
    <row r="316" spans="1:11" s="66" customFormat="1" ht="14.25" customHeight="1">
      <c r="A316" s="138" t="s">
        <v>4253</v>
      </c>
      <c r="B316" s="123">
        <v>2515</v>
      </c>
      <c r="C316" s="118" t="s">
        <v>223</v>
      </c>
      <c r="D316" s="119" t="s">
        <v>1044</v>
      </c>
      <c r="E316" s="121" t="s">
        <v>1999</v>
      </c>
      <c r="F316" s="121" t="s">
        <v>1902</v>
      </c>
      <c r="G316" s="119" t="s">
        <v>2588</v>
      </c>
      <c r="H316" s="121" t="s">
        <v>2795</v>
      </c>
      <c r="I316" s="121" t="s">
        <v>1390</v>
      </c>
      <c r="J316" s="122">
        <v>44013</v>
      </c>
      <c r="K316" s="22"/>
    </row>
    <row r="317" spans="1:11" s="66" customFormat="1" ht="14.25" customHeight="1">
      <c r="A317" s="138" t="s">
        <v>2812</v>
      </c>
      <c r="B317" s="123">
        <v>3041</v>
      </c>
      <c r="C317" s="118" t="s">
        <v>451</v>
      </c>
      <c r="D317" s="119" t="s">
        <v>1433</v>
      </c>
      <c r="E317" s="121" t="s">
        <v>844</v>
      </c>
      <c r="F317" s="121" t="s">
        <v>1903</v>
      </c>
      <c r="G317" s="119" t="s">
        <v>2283</v>
      </c>
      <c r="H317" s="121" t="s">
        <v>2450</v>
      </c>
      <c r="I317" s="121" t="s">
        <v>1582</v>
      </c>
      <c r="J317" s="122">
        <v>44013</v>
      </c>
      <c r="K317" s="22"/>
    </row>
    <row r="318" spans="1:11" s="66" customFormat="1" ht="14.25" customHeight="1">
      <c r="A318" s="138" t="s">
        <v>1892</v>
      </c>
      <c r="B318" s="123">
        <v>97</v>
      </c>
      <c r="C318" s="118" t="s">
        <v>1321</v>
      </c>
      <c r="D318" s="119" t="s">
        <v>1044</v>
      </c>
      <c r="E318" s="121" t="s">
        <v>597</v>
      </c>
      <c r="F318" s="121" t="s">
        <v>2771</v>
      </c>
      <c r="G318" s="167" t="s">
        <v>3079</v>
      </c>
      <c r="H318" s="121" t="s">
        <v>2798</v>
      </c>
      <c r="I318" s="121" t="s">
        <v>533</v>
      </c>
      <c r="J318" s="122">
        <v>44013</v>
      </c>
      <c r="K318" s="22"/>
    </row>
    <row r="319" spans="1:11" s="66" customFormat="1" ht="14.25" customHeight="1">
      <c r="A319" s="138" t="s">
        <v>3865</v>
      </c>
      <c r="B319" s="123">
        <v>1157</v>
      </c>
      <c r="C319" s="118" t="s">
        <v>223</v>
      </c>
      <c r="D319" s="119" t="s">
        <v>1454</v>
      </c>
      <c r="E319" s="121" t="s">
        <v>475</v>
      </c>
      <c r="F319" s="121" t="s">
        <v>1550</v>
      </c>
      <c r="G319" s="167" t="s">
        <v>1454</v>
      </c>
      <c r="H319" s="121" t="s">
        <v>475</v>
      </c>
      <c r="I319" s="121" t="s">
        <v>540</v>
      </c>
      <c r="J319" s="122">
        <v>44018</v>
      </c>
      <c r="K319" s="22"/>
    </row>
    <row r="320" spans="1:11" s="66" customFormat="1" ht="14.25" customHeight="1">
      <c r="A320" s="138" t="s">
        <v>3865</v>
      </c>
      <c r="B320" s="123">
        <v>1157</v>
      </c>
      <c r="C320" s="118" t="s">
        <v>223</v>
      </c>
      <c r="D320" s="119" t="s">
        <v>1324</v>
      </c>
      <c r="E320" s="121" t="s">
        <v>1335</v>
      </c>
      <c r="F320" s="121" t="s">
        <v>1543</v>
      </c>
      <c r="G320" s="167" t="s">
        <v>1454</v>
      </c>
      <c r="H320" s="121" t="s">
        <v>475</v>
      </c>
      <c r="I320" s="121" t="s">
        <v>540</v>
      </c>
      <c r="J320" s="122">
        <v>44018</v>
      </c>
      <c r="K320" s="22"/>
    </row>
    <row r="321" spans="1:11" s="66" customFormat="1" ht="14.25" customHeight="1">
      <c r="A321" s="138" t="s">
        <v>2884</v>
      </c>
      <c r="B321" s="123">
        <v>3071</v>
      </c>
      <c r="C321" s="118" t="s">
        <v>451</v>
      </c>
      <c r="D321" s="119" t="s">
        <v>1324</v>
      </c>
      <c r="E321" s="121" t="s">
        <v>845</v>
      </c>
      <c r="F321" s="121" t="s">
        <v>1379</v>
      </c>
      <c r="G321" s="167" t="s">
        <v>1324</v>
      </c>
      <c r="H321" s="121" t="s">
        <v>601</v>
      </c>
      <c r="I321" s="121" t="s">
        <v>2064</v>
      </c>
      <c r="J321" s="122">
        <v>44018</v>
      </c>
      <c r="K321" s="22"/>
    </row>
    <row r="322" spans="1:11" s="66" customFormat="1" ht="14.25" customHeight="1">
      <c r="A322" s="138" t="s">
        <v>3124</v>
      </c>
      <c r="B322" s="123">
        <v>1059</v>
      </c>
      <c r="C322" s="118" t="s">
        <v>451</v>
      </c>
      <c r="D322" s="119" t="s">
        <v>1324</v>
      </c>
      <c r="E322" s="121" t="s">
        <v>601</v>
      </c>
      <c r="F322" s="121" t="s">
        <v>2064</v>
      </c>
      <c r="G322" s="167" t="s">
        <v>1324</v>
      </c>
      <c r="H322" s="121" t="s">
        <v>771</v>
      </c>
      <c r="I322" s="121" t="s">
        <v>1370</v>
      </c>
      <c r="J322" s="122">
        <v>44018</v>
      </c>
      <c r="K322" s="22"/>
    </row>
    <row r="323" spans="1:11" s="66" customFormat="1" ht="14.25" customHeight="1">
      <c r="A323" s="138" t="s">
        <v>2995</v>
      </c>
      <c r="B323" s="123">
        <v>1066</v>
      </c>
      <c r="C323" s="118" t="s">
        <v>223</v>
      </c>
      <c r="D323" s="119" t="s">
        <v>1324</v>
      </c>
      <c r="E323" s="121" t="s">
        <v>601</v>
      </c>
      <c r="F323" s="121" t="s">
        <v>2064</v>
      </c>
      <c r="G323" s="167" t="s">
        <v>1324</v>
      </c>
      <c r="H323" s="121" t="s">
        <v>771</v>
      </c>
      <c r="I323" s="121" t="s">
        <v>1370</v>
      </c>
      <c r="J323" s="122">
        <v>44018</v>
      </c>
      <c r="K323" s="22"/>
    </row>
    <row r="324" spans="1:11" s="66" customFormat="1" ht="14.25" customHeight="1">
      <c r="A324" s="138" t="s">
        <v>3159</v>
      </c>
      <c r="B324" s="123">
        <v>3209</v>
      </c>
      <c r="C324" s="118" t="s">
        <v>451</v>
      </c>
      <c r="D324" s="119" t="s">
        <v>1324</v>
      </c>
      <c r="E324" s="121" t="s">
        <v>601</v>
      </c>
      <c r="F324" s="121" t="s">
        <v>2064</v>
      </c>
      <c r="G324" s="119" t="s">
        <v>1324</v>
      </c>
      <c r="H324" s="121" t="s">
        <v>771</v>
      </c>
      <c r="I324" s="121" t="s">
        <v>1370</v>
      </c>
      <c r="J324" s="122">
        <v>44018</v>
      </c>
      <c r="K324" s="22"/>
    </row>
    <row r="325" spans="1:11" s="66" customFormat="1" ht="14.25" customHeight="1">
      <c r="A325" s="138" t="e">
        <v>#N/A</v>
      </c>
      <c r="B325" s="123">
        <v>64381</v>
      </c>
      <c r="C325" s="118" t="e">
        <v>#N/A</v>
      </c>
      <c r="D325" s="119" t="s">
        <v>1324</v>
      </c>
      <c r="E325" s="121" t="s">
        <v>1223</v>
      </c>
      <c r="F325" s="121" t="s">
        <v>1575</v>
      </c>
      <c r="G325" s="167" t="s">
        <v>1324</v>
      </c>
      <c r="H325" s="121" t="s">
        <v>771</v>
      </c>
      <c r="I325" s="121" t="s">
        <v>1370</v>
      </c>
      <c r="J325" s="122">
        <v>44018</v>
      </c>
      <c r="K325" s="22"/>
    </row>
    <row r="326" spans="1:11" s="66" customFormat="1" ht="14.25" customHeight="1">
      <c r="A326" s="138" t="e">
        <v>#N/A</v>
      </c>
      <c r="B326" s="123">
        <v>70561</v>
      </c>
      <c r="C326" s="118" t="e">
        <v>#N/A</v>
      </c>
      <c r="D326" s="119" t="s">
        <v>1324</v>
      </c>
      <c r="E326" s="121" t="s">
        <v>601</v>
      </c>
      <c r="F326" s="121" t="s">
        <v>2064</v>
      </c>
      <c r="G326" s="167" t="s">
        <v>1324</v>
      </c>
      <c r="H326" s="121" t="s">
        <v>771</v>
      </c>
      <c r="I326" s="121" t="s">
        <v>1370</v>
      </c>
      <c r="J326" s="122">
        <v>44018</v>
      </c>
      <c r="K326" s="22"/>
    </row>
    <row r="327" spans="1:11" s="66" customFormat="1" ht="14.25" customHeight="1">
      <c r="A327" s="138" t="s">
        <v>1575</v>
      </c>
      <c r="B327" s="123">
        <v>336</v>
      </c>
      <c r="C327" s="118" t="s">
        <v>2036</v>
      </c>
      <c r="D327" s="119" t="s">
        <v>1324</v>
      </c>
      <c r="E327" s="121" t="s">
        <v>1223</v>
      </c>
      <c r="F327" s="121" t="s">
        <v>2090</v>
      </c>
      <c r="G327" s="119" t="s">
        <v>1324</v>
      </c>
      <c r="H327" s="121" t="s">
        <v>609</v>
      </c>
      <c r="I327" s="121" t="s">
        <v>2064</v>
      </c>
      <c r="J327" s="122">
        <v>44018</v>
      </c>
      <c r="K327" s="22"/>
    </row>
    <row r="328" spans="1:11" s="66" customFormat="1" ht="14.25" customHeight="1">
      <c r="A328" s="138" t="s">
        <v>3108</v>
      </c>
      <c r="B328" s="123">
        <v>341</v>
      </c>
      <c r="C328" s="118" t="s">
        <v>223</v>
      </c>
      <c r="D328" s="119" t="s">
        <v>1324</v>
      </c>
      <c r="E328" s="121" t="s">
        <v>771</v>
      </c>
      <c r="F328" s="121" t="s">
        <v>1370</v>
      </c>
      <c r="G328" s="119" t="s">
        <v>1324</v>
      </c>
      <c r="H328" s="121" t="s">
        <v>609</v>
      </c>
      <c r="I328" s="121" t="s">
        <v>1575</v>
      </c>
      <c r="J328" s="122">
        <v>44018</v>
      </c>
      <c r="K328" s="22"/>
    </row>
    <row r="329" spans="1:11" s="66" customFormat="1" ht="14.25" customHeight="1">
      <c r="A329" s="138" t="s">
        <v>1377</v>
      </c>
      <c r="B329" s="123">
        <v>1084</v>
      </c>
      <c r="C329" s="118" t="s">
        <v>223</v>
      </c>
      <c r="D329" s="119" t="s">
        <v>1324</v>
      </c>
      <c r="E329" s="121" t="s">
        <v>771</v>
      </c>
      <c r="F329" s="121" t="s">
        <v>1370</v>
      </c>
      <c r="G329" s="119" t="s">
        <v>1324</v>
      </c>
      <c r="H329" s="121" t="s">
        <v>609</v>
      </c>
      <c r="I329" s="121" t="s">
        <v>1575</v>
      </c>
      <c r="J329" s="122">
        <v>44018</v>
      </c>
      <c r="K329" s="22"/>
    </row>
    <row r="330" spans="1:11" s="66" customFormat="1" ht="14.25" customHeight="1">
      <c r="A330" s="138" t="s">
        <v>3125</v>
      </c>
      <c r="B330" s="123">
        <v>1094</v>
      </c>
      <c r="C330" s="118" t="s">
        <v>223</v>
      </c>
      <c r="D330" s="119" t="s">
        <v>1324</v>
      </c>
      <c r="E330" s="121" t="s">
        <v>601</v>
      </c>
      <c r="F330" s="121" t="s">
        <v>2064</v>
      </c>
      <c r="G330" s="119" t="s">
        <v>1324</v>
      </c>
      <c r="H330" s="121" t="s">
        <v>609</v>
      </c>
      <c r="I330" s="121" t="s">
        <v>1575</v>
      </c>
      <c r="J330" s="122">
        <v>44018</v>
      </c>
      <c r="K330" s="22"/>
    </row>
    <row r="331" spans="1:11" s="66" customFormat="1" ht="14.25" customHeight="1">
      <c r="A331" s="138" t="s">
        <v>3052</v>
      </c>
      <c r="B331" s="123">
        <v>1637</v>
      </c>
      <c r="C331" s="118" t="s">
        <v>223</v>
      </c>
      <c r="D331" s="119" t="s">
        <v>1324</v>
      </c>
      <c r="E331" s="121" t="s">
        <v>1223</v>
      </c>
      <c r="F331" s="121" t="s">
        <v>1575</v>
      </c>
      <c r="G331" s="119" t="s">
        <v>1324</v>
      </c>
      <c r="H331" s="121" t="s">
        <v>609</v>
      </c>
      <c r="I331" s="121" t="s">
        <v>1575</v>
      </c>
      <c r="J331" s="122">
        <v>44018</v>
      </c>
      <c r="K331" s="22"/>
    </row>
    <row r="332" spans="1:11" s="66" customFormat="1" ht="14.25" customHeight="1">
      <c r="A332" s="138" t="s">
        <v>3144</v>
      </c>
      <c r="B332" s="123">
        <v>2292</v>
      </c>
      <c r="C332" s="118" t="s">
        <v>223</v>
      </c>
      <c r="D332" s="119" t="s">
        <v>1324</v>
      </c>
      <c r="E332" s="121" t="s">
        <v>601</v>
      </c>
      <c r="F332" s="121" t="s">
        <v>2064</v>
      </c>
      <c r="G332" s="119" t="s">
        <v>1324</v>
      </c>
      <c r="H332" s="121" t="s">
        <v>609</v>
      </c>
      <c r="I332" s="121" t="s">
        <v>1575</v>
      </c>
      <c r="J332" s="122">
        <v>44018</v>
      </c>
      <c r="K332" s="22"/>
    </row>
    <row r="333" spans="1:11" s="66" customFormat="1" ht="14.25" customHeight="1">
      <c r="A333" s="138" t="s">
        <v>3146</v>
      </c>
      <c r="B333" s="123">
        <v>2358</v>
      </c>
      <c r="C333" s="118" t="s">
        <v>2037</v>
      </c>
      <c r="D333" s="119" t="s">
        <v>1324</v>
      </c>
      <c r="E333" s="121" t="s">
        <v>601</v>
      </c>
      <c r="F333" s="121" t="s">
        <v>2064</v>
      </c>
      <c r="G333" s="119" t="s">
        <v>1324</v>
      </c>
      <c r="H333" s="121" t="s">
        <v>609</v>
      </c>
      <c r="I333" s="121" t="s">
        <v>1575</v>
      </c>
      <c r="J333" s="122">
        <v>44018</v>
      </c>
      <c r="K333" s="22"/>
    </row>
    <row r="334" spans="1:11" s="66" customFormat="1" ht="14.25" customHeight="1">
      <c r="A334" s="138" t="s">
        <v>3152</v>
      </c>
      <c r="B334" s="123">
        <v>2991</v>
      </c>
      <c r="C334" s="118" t="s">
        <v>451</v>
      </c>
      <c r="D334" s="119" t="s">
        <v>1324</v>
      </c>
      <c r="E334" s="121" t="s">
        <v>771</v>
      </c>
      <c r="F334" s="121" t="s">
        <v>1370</v>
      </c>
      <c r="G334" s="119" t="s">
        <v>1324</v>
      </c>
      <c r="H334" s="121" t="s">
        <v>609</v>
      </c>
      <c r="I334" s="121" t="s">
        <v>1575</v>
      </c>
      <c r="J334" s="122">
        <v>44018</v>
      </c>
      <c r="K334" s="22"/>
    </row>
    <row r="335" spans="1:11" s="66" customFormat="1" ht="14.25" customHeight="1">
      <c r="A335" s="138" t="s">
        <v>3158</v>
      </c>
      <c r="B335" s="123">
        <v>3204</v>
      </c>
      <c r="C335" s="118" t="s">
        <v>2128</v>
      </c>
      <c r="D335" s="119" t="s">
        <v>1324</v>
      </c>
      <c r="E335" s="121" t="s">
        <v>771</v>
      </c>
      <c r="F335" s="121" t="s">
        <v>1370</v>
      </c>
      <c r="G335" s="119" t="s">
        <v>1324</v>
      </c>
      <c r="H335" s="121" t="s">
        <v>609</v>
      </c>
      <c r="I335" s="121" t="s">
        <v>1575</v>
      </c>
      <c r="J335" s="122">
        <v>44018</v>
      </c>
      <c r="K335" s="22"/>
    </row>
    <row r="336" spans="1:11" s="66" customFormat="1" ht="14.25" customHeight="1">
      <c r="A336" s="138" t="s">
        <v>2801</v>
      </c>
      <c r="B336" s="123">
        <v>3225</v>
      </c>
      <c r="C336" s="118" t="s">
        <v>2128</v>
      </c>
      <c r="D336" s="119" t="s">
        <v>1324</v>
      </c>
      <c r="E336" s="121" t="s">
        <v>601</v>
      </c>
      <c r="F336" s="121" t="s">
        <v>2064</v>
      </c>
      <c r="G336" s="119" t="s">
        <v>1324</v>
      </c>
      <c r="H336" s="121" t="s">
        <v>609</v>
      </c>
      <c r="I336" s="121" t="s">
        <v>1575</v>
      </c>
      <c r="J336" s="122">
        <v>44018</v>
      </c>
      <c r="K336" s="22"/>
    </row>
    <row r="337" spans="1:11" s="66" customFormat="1" ht="14.25" customHeight="1">
      <c r="A337" s="138" t="s">
        <v>4165</v>
      </c>
      <c r="B337" s="123">
        <v>2133</v>
      </c>
      <c r="C337" s="118" t="s">
        <v>223</v>
      </c>
      <c r="D337" s="119" t="s">
        <v>1324</v>
      </c>
      <c r="E337" s="121" t="s">
        <v>179</v>
      </c>
      <c r="F337" s="121" t="s">
        <v>1543</v>
      </c>
      <c r="G337" s="119" t="s">
        <v>1324</v>
      </c>
      <c r="H337" s="121" t="s">
        <v>179</v>
      </c>
      <c r="I337" s="121" t="s">
        <v>1543</v>
      </c>
      <c r="J337" s="122">
        <v>44018</v>
      </c>
      <c r="K337" s="22"/>
    </row>
    <row r="338" spans="1:11" s="66" customFormat="1" ht="14.25" customHeight="1">
      <c r="A338" s="138" t="s">
        <v>2815</v>
      </c>
      <c r="B338" s="123">
        <v>1399</v>
      </c>
      <c r="C338" s="118" t="s">
        <v>223</v>
      </c>
      <c r="D338" s="119" t="s">
        <v>2283</v>
      </c>
      <c r="E338" s="121" t="s">
        <v>2323</v>
      </c>
      <c r="F338" s="121" t="s">
        <v>1904</v>
      </c>
      <c r="G338" s="119" t="s">
        <v>2283</v>
      </c>
      <c r="H338" s="121" t="s">
        <v>2323</v>
      </c>
      <c r="I338" s="121" t="s">
        <v>1904</v>
      </c>
      <c r="J338" s="122">
        <v>44018</v>
      </c>
      <c r="K338" s="22"/>
    </row>
    <row r="339" spans="1:11" s="66" customFormat="1" ht="14.25" customHeight="1">
      <c r="A339" s="138" t="s">
        <v>2814</v>
      </c>
      <c r="B339" s="123">
        <v>3159</v>
      </c>
      <c r="C339" s="118" t="s">
        <v>2128</v>
      </c>
      <c r="D339" s="119" t="s">
        <v>2283</v>
      </c>
      <c r="E339" s="121" t="s">
        <v>2072</v>
      </c>
      <c r="F339" s="121" t="s">
        <v>1398</v>
      </c>
      <c r="G339" s="119" t="s">
        <v>2283</v>
      </c>
      <c r="H339" s="121" t="s">
        <v>2072</v>
      </c>
      <c r="I339" s="121" t="s">
        <v>1398</v>
      </c>
      <c r="J339" s="122">
        <v>44018</v>
      </c>
      <c r="K339" s="22"/>
    </row>
    <row r="340" spans="1:11" s="66" customFormat="1" ht="14.25" customHeight="1">
      <c r="A340" s="138" t="s">
        <v>2816</v>
      </c>
      <c r="B340" s="123">
        <v>2995</v>
      </c>
      <c r="C340" s="118" t="s">
        <v>451</v>
      </c>
      <c r="D340" s="119" t="s">
        <v>3079</v>
      </c>
      <c r="E340" s="121" t="s">
        <v>2686</v>
      </c>
      <c r="F340" s="121" t="s">
        <v>529</v>
      </c>
      <c r="G340" s="119" t="s">
        <v>2283</v>
      </c>
      <c r="H340" s="121" t="s">
        <v>2324</v>
      </c>
      <c r="I340" s="121" t="s">
        <v>2326</v>
      </c>
      <c r="J340" s="122">
        <v>44018</v>
      </c>
      <c r="K340" s="22"/>
    </row>
    <row r="341" spans="1:11" s="66" customFormat="1" ht="14.25" customHeight="1">
      <c r="A341" s="138" t="s">
        <v>2817</v>
      </c>
      <c r="B341" s="123">
        <v>393</v>
      </c>
      <c r="C341" s="118" t="s">
        <v>223</v>
      </c>
      <c r="D341" s="119" t="s">
        <v>2283</v>
      </c>
      <c r="E341" s="121" t="s">
        <v>2449</v>
      </c>
      <c r="F341" s="121" t="s">
        <v>340</v>
      </c>
      <c r="G341" s="119" t="s">
        <v>2283</v>
      </c>
      <c r="H341" s="121" t="s">
        <v>2449</v>
      </c>
      <c r="I341" s="121" t="s">
        <v>340</v>
      </c>
      <c r="J341" s="122">
        <v>44018</v>
      </c>
      <c r="K341" s="22"/>
    </row>
    <row r="342" spans="1:11" s="66" customFormat="1" ht="14.25" customHeight="1">
      <c r="A342" s="138" t="s">
        <v>2813</v>
      </c>
      <c r="B342" s="123">
        <v>604</v>
      </c>
      <c r="C342" s="118" t="s">
        <v>223</v>
      </c>
      <c r="D342" s="119" t="s">
        <v>2283</v>
      </c>
      <c r="E342" s="121" t="s">
        <v>2323</v>
      </c>
      <c r="F342" s="121" t="s">
        <v>1904</v>
      </c>
      <c r="G342" s="119" t="s">
        <v>2283</v>
      </c>
      <c r="H342" s="121" t="s">
        <v>2325</v>
      </c>
      <c r="I342" s="121" t="s">
        <v>345</v>
      </c>
      <c r="J342" s="122">
        <v>44018</v>
      </c>
      <c r="K342" s="22"/>
    </row>
    <row r="343" spans="1:11" s="66" customFormat="1" ht="14.25" customHeight="1">
      <c r="A343" s="138" t="s">
        <v>3005</v>
      </c>
      <c r="B343" s="123">
        <v>634</v>
      </c>
      <c r="C343" s="118" t="s">
        <v>1339</v>
      </c>
      <c r="D343" s="119" t="s">
        <v>1433</v>
      </c>
      <c r="E343" s="121" t="s">
        <v>1969</v>
      </c>
      <c r="F343" s="121" t="s">
        <v>1917</v>
      </c>
      <c r="G343" s="119" t="s">
        <v>1433</v>
      </c>
      <c r="H343" s="121" t="s">
        <v>549</v>
      </c>
      <c r="I343" s="121" t="s">
        <v>1881</v>
      </c>
      <c r="J343" s="122">
        <v>44019</v>
      </c>
      <c r="K343" s="22"/>
    </row>
    <row r="344" spans="1:11" s="66" customFormat="1" ht="14.25" customHeight="1">
      <c r="A344" s="138" t="s">
        <v>2964</v>
      </c>
      <c r="B344" s="123">
        <v>791</v>
      </c>
      <c r="C344" s="118" t="s">
        <v>223</v>
      </c>
      <c r="D344" s="119" t="s">
        <v>1433</v>
      </c>
      <c r="E344" s="121" t="s">
        <v>224</v>
      </c>
      <c r="F344" s="121" t="s">
        <v>1903</v>
      </c>
      <c r="G344" s="119" t="s">
        <v>1433</v>
      </c>
      <c r="H344" s="121" t="s">
        <v>549</v>
      </c>
      <c r="I344" s="121" t="s">
        <v>1881</v>
      </c>
      <c r="J344" s="122">
        <v>44019</v>
      </c>
      <c r="K344" s="22"/>
    </row>
    <row r="345" spans="1:11" s="66" customFormat="1" ht="14.25" customHeight="1">
      <c r="A345" s="138" t="s">
        <v>3004</v>
      </c>
      <c r="B345" s="123">
        <v>2575</v>
      </c>
      <c r="C345" s="118" t="s">
        <v>1339</v>
      </c>
      <c r="D345" s="119" t="s">
        <v>1433</v>
      </c>
      <c r="E345" s="121" t="s">
        <v>1969</v>
      </c>
      <c r="F345" s="121" t="s">
        <v>1917</v>
      </c>
      <c r="G345" s="119" t="s">
        <v>1433</v>
      </c>
      <c r="H345" s="121" t="s">
        <v>549</v>
      </c>
      <c r="I345" s="121" t="s">
        <v>1881</v>
      </c>
      <c r="J345" s="122">
        <v>44019</v>
      </c>
      <c r="K345" s="22"/>
    </row>
    <row r="346" spans="1:11" s="66" customFormat="1" ht="14.25" customHeight="1">
      <c r="A346" s="138" t="s">
        <v>3153</v>
      </c>
      <c r="B346" s="123">
        <v>3095</v>
      </c>
      <c r="C346" s="118" t="s">
        <v>3259</v>
      </c>
      <c r="D346" s="119" t="e">
        <v>#N/A</v>
      </c>
      <c r="E346" s="121" t="e">
        <v>#N/A</v>
      </c>
      <c r="F346" s="121" t="e">
        <v>#N/A</v>
      </c>
      <c r="G346" s="119" t="s">
        <v>1433</v>
      </c>
      <c r="H346" s="121" t="s">
        <v>549</v>
      </c>
      <c r="I346" s="121" t="s">
        <v>1881</v>
      </c>
      <c r="J346" s="122">
        <v>44019</v>
      </c>
      <c r="K346" s="22"/>
    </row>
    <row r="347" spans="1:11" s="66" customFormat="1" ht="14.25" customHeight="1">
      <c r="A347" s="138" t="s">
        <v>2996</v>
      </c>
      <c r="B347" s="123">
        <v>3117</v>
      </c>
      <c r="C347" s="118" t="s">
        <v>451</v>
      </c>
      <c r="D347" s="167" t="s">
        <v>1324</v>
      </c>
      <c r="E347" s="121" t="s">
        <v>601</v>
      </c>
      <c r="F347" s="121" t="s">
        <v>2064</v>
      </c>
      <c r="G347" s="167" t="s">
        <v>1324</v>
      </c>
      <c r="H347" s="121" t="s">
        <v>771</v>
      </c>
      <c r="I347" s="121" t="s">
        <v>1370</v>
      </c>
      <c r="J347" s="122">
        <v>44025</v>
      </c>
      <c r="K347" s="22"/>
    </row>
    <row r="348" spans="1:11" s="66" customFormat="1" ht="14.25" customHeight="1">
      <c r="A348" s="138" t="s">
        <v>1555</v>
      </c>
      <c r="B348" s="123">
        <v>110</v>
      </c>
      <c r="C348" s="118" t="s">
        <v>1321</v>
      </c>
      <c r="D348" s="167" t="s">
        <v>2588</v>
      </c>
      <c r="E348" s="121" t="s">
        <v>2787</v>
      </c>
      <c r="F348" s="121" t="s">
        <v>545</v>
      </c>
      <c r="G348" s="167" t="s">
        <v>2588</v>
      </c>
      <c r="H348" s="121" t="s">
        <v>2796</v>
      </c>
      <c r="I348" s="121" t="s">
        <v>545</v>
      </c>
      <c r="J348" s="122">
        <v>44025</v>
      </c>
      <c r="K348" s="22"/>
    </row>
    <row r="349" spans="1:11" s="66" customFormat="1" ht="14.25" customHeight="1">
      <c r="A349" s="138" t="s">
        <v>2816</v>
      </c>
      <c r="B349" s="123">
        <v>2995</v>
      </c>
      <c r="C349" s="118" t="s">
        <v>451</v>
      </c>
      <c r="D349" s="119" t="s">
        <v>2283</v>
      </c>
      <c r="E349" s="121" t="s">
        <v>2324</v>
      </c>
      <c r="F349" s="121" t="s">
        <v>2326</v>
      </c>
      <c r="G349" s="119" t="s">
        <v>2283</v>
      </c>
      <c r="H349" s="121" t="s">
        <v>2323</v>
      </c>
      <c r="I349" s="121" t="s">
        <v>1904</v>
      </c>
      <c r="J349" s="122">
        <v>44025</v>
      </c>
      <c r="K349" s="22"/>
    </row>
    <row r="350" spans="1:11" s="66" customFormat="1" ht="14.25" customHeight="1">
      <c r="A350" s="138" t="s">
        <v>1944</v>
      </c>
      <c r="B350" s="123">
        <v>2364</v>
      </c>
      <c r="C350" s="118" t="s">
        <v>223</v>
      </c>
      <c r="D350" s="119" t="s">
        <v>3079</v>
      </c>
      <c r="E350" s="121" t="s">
        <v>2377</v>
      </c>
      <c r="F350" s="121" t="s">
        <v>1395</v>
      </c>
      <c r="G350" s="119" t="s">
        <v>3079</v>
      </c>
      <c r="H350" s="121" t="s">
        <v>2377</v>
      </c>
      <c r="I350" s="121" t="s">
        <v>1395</v>
      </c>
      <c r="J350" s="122">
        <v>44025</v>
      </c>
      <c r="K350" s="22"/>
    </row>
    <row r="351" spans="1:11" s="66" customFormat="1" ht="14.25" customHeight="1">
      <c r="A351" s="138" t="s">
        <v>2818</v>
      </c>
      <c r="B351" s="123">
        <v>2570</v>
      </c>
      <c r="C351" s="118" t="s">
        <v>223</v>
      </c>
      <c r="D351" s="119" t="s">
        <v>3079</v>
      </c>
      <c r="E351" s="121" t="s">
        <v>2377</v>
      </c>
      <c r="F351" s="121" t="s">
        <v>1395</v>
      </c>
      <c r="G351" s="119" t="s">
        <v>3079</v>
      </c>
      <c r="H351" s="121" t="s">
        <v>2377</v>
      </c>
      <c r="I351" s="121" t="s">
        <v>1395</v>
      </c>
      <c r="J351" s="122">
        <v>44025</v>
      </c>
      <c r="K351" s="22"/>
    </row>
    <row r="352" spans="1:11" s="66" customFormat="1" ht="14.25" customHeight="1">
      <c r="A352" s="138" t="e">
        <v>#N/A</v>
      </c>
      <c r="B352" s="123">
        <v>64478</v>
      </c>
      <c r="C352" s="118" t="e">
        <v>#N/A</v>
      </c>
      <c r="D352" s="119" t="e">
        <v>#N/A</v>
      </c>
      <c r="E352" s="121" t="e">
        <v>#N/A</v>
      </c>
      <c r="F352" s="121" t="e">
        <v>#N/A</v>
      </c>
      <c r="G352" s="119" t="s">
        <v>3079</v>
      </c>
      <c r="H352" s="121" t="s">
        <v>2377</v>
      </c>
      <c r="I352" s="121" t="s">
        <v>1395</v>
      </c>
      <c r="J352" s="122">
        <v>44025</v>
      </c>
      <c r="K352" s="22"/>
    </row>
    <row r="353" spans="1:11" s="66" customFormat="1" ht="14.25" customHeight="1">
      <c r="A353" s="138" t="s">
        <v>2822</v>
      </c>
      <c r="B353" s="123">
        <v>2469</v>
      </c>
      <c r="C353" s="118" t="s">
        <v>223</v>
      </c>
      <c r="D353" s="119" t="s">
        <v>3079</v>
      </c>
      <c r="E353" s="121" t="s">
        <v>2337</v>
      </c>
      <c r="F353" s="121" t="s">
        <v>2157</v>
      </c>
      <c r="G353" s="119" t="s">
        <v>3079</v>
      </c>
      <c r="H353" s="121" t="s">
        <v>2337</v>
      </c>
      <c r="I353" s="121" t="s">
        <v>2157</v>
      </c>
      <c r="J353" s="122">
        <v>44025</v>
      </c>
      <c r="K353" s="22"/>
    </row>
    <row r="354" spans="1:11" s="66" customFormat="1" ht="14.25" customHeight="1">
      <c r="A354" s="138" t="s">
        <v>2823</v>
      </c>
      <c r="B354" s="123">
        <v>2827</v>
      </c>
      <c r="C354" s="118" t="s">
        <v>223</v>
      </c>
      <c r="D354" s="119" t="s">
        <v>3079</v>
      </c>
      <c r="E354" s="121" t="s">
        <v>2337</v>
      </c>
      <c r="F354" s="121" t="s">
        <v>2157</v>
      </c>
      <c r="G354" s="119" t="s">
        <v>3079</v>
      </c>
      <c r="H354" s="121" t="s">
        <v>2337</v>
      </c>
      <c r="I354" s="121" t="s">
        <v>2157</v>
      </c>
      <c r="J354" s="122">
        <v>44025</v>
      </c>
      <c r="K354" s="22"/>
    </row>
    <row r="355" spans="1:11" s="66" customFormat="1" ht="14.25" customHeight="1">
      <c r="A355" s="138" t="s">
        <v>2819</v>
      </c>
      <c r="B355" s="123">
        <v>751</v>
      </c>
      <c r="C355" s="118" t="s">
        <v>223</v>
      </c>
      <c r="D355" s="119" t="s">
        <v>3079</v>
      </c>
      <c r="E355" s="121" t="s">
        <v>2378</v>
      </c>
      <c r="F355" s="121" t="s">
        <v>544</v>
      </c>
      <c r="G355" s="119" t="s">
        <v>3079</v>
      </c>
      <c r="H355" s="121" t="s">
        <v>2378</v>
      </c>
      <c r="I355" s="121" t="s">
        <v>2800</v>
      </c>
      <c r="J355" s="122">
        <v>44025</v>
      </c>
      <c r="K355" s="22"/>
    </row>
    <row r="356" spans="1:11" s="66" customFormat="1" ht="14.25" customHeight="1">
      <c r="A356" s="138" t="s">
        <v>3884</v>
      </c>
      <c r="B356" s="123">
        <v>1208</v>
      </c>
      <c r="C356" s="118" t="s">
        <v>223</v>
      </c>
      <c r="D356" s="167" t="s">
        <v>3079</v>
      </c>
      <c r="E356" s="121" t="s">
        <v>2378</v>
      </c>
      <c r="F356" s="121" t="s">
        <v>544</v>
      </c>
      <c r="G356" s="167" t="s">
        <v>3079</v>
      </c>
      <c r="H356" s="121" t="s">
        <v>2378</v>
      </c>
      <c r="I356" s="121" t="s">
        <v>2807</v>
      </c>
      <c r="J356" s="122">
        <v>44025</v>
      </c>
      <c r="K356" s="22"/>
    </row>
    <row r="357" spans="1:11" s="66" customFormat="1" ht="14.25" customHeight="1">
      <c r="A357" s="138" t="s">
        <v>3954</v>
      </c>
      <c r="B357" s="123">
        <v>1431</v>
      </c>
      <c r="C357" s="118" t="s">
        <v>223</v>
      </c>
      <c r="D357" s="119" t="s">
        <v>3079</v>
      </c>
      <c r="E357" s="121" t="s">
        <v>2378</v>
      </c>
      <c r="F357" s="121" t="s">
        <v>544</v>
      </c>
      <c r="G357" s="119" t="s">
        <v>3079</v>
      </c>
      <c r="H357" s="121" t="s">
        <v>2378</v>
      </c>
      <c r="I357" s="121" t="s">
        <v>2807</v>
      </c>
      <c r="J357" s="122">
        <v>44025</v>
      </c>
      <c r="K357" s="22"/>
    </row>
    <row r="358" spans="1:11" s="66" customFormat="1" ht="14.25" customHeight="1">
      <c r="A358" s="138" t="s">
        <v>4133</v>
      </c>
      <c r="B358" s="123">
        <v>2049</v>
      </c>
      <c r="C358" s="118" t="s">
        <v>223</v>
      </c>
      <c r="D358" s="119" t="s">
        <v>3079</v>
      </c>
      <c r="E358" s="121" t="s">
        <v>2378</v>
      </c>
      <c r="F358" s="121" t="s">
        <v>544</v>
      </c>
      <c r="G358" s="119" t="s">
        <v>3079</v>
      </c>
      <c r="H358" s="121" t="s">
        <v>2378</v>
      </c>
      <c r="I358" s="121" t="s">
        <v>2807</v>
      </c>
      <c r="J358" s="122">
        <v>44025</v>
      </c>
      <c r="K358" s="22"/>
    </row>
    <row r="359" spans="1:11" s="66" customFormat="1" ht="14.25" customHeight="1">
      <c r="A359" s="138" t="s">
        <v>2820</v>
      </c>
      <c r="B359" s="123">
        <v>2095</v>
      </c>
      <c r="C359" s="118" t="s">
        <v>223</v>
      </c>
      <c r="D359" s="119" t="s">
        <v>3079</v>
      </c>
      <c r="E359" s="121" t="s">
        <v>2378</v>
      </c>
      <c r="F359" s="121" t="s">
        <v>544</v>
      </c>
      <c r="G359" s="119" t="s">
        <v>3079</v>
      </c>
      <c r="H359" s="121" t="s">
        <v>2378</v>
      </c>
      <c r="I359" s="121" t="s">
        <v>2800</v>
      </c>
      <c r="J359" s="122">
        <v>44025</v>
      </c>
      <c r="K359" s="22"/>
    </row>
    <row r="360" spans="1:11" s="66" customFormat="1" ht="14.25" customHeight="1">
      <c r="A360" s="138" t="s">
        <v>2821</v>
      </c>
      <c r="B360" s="123">
        <v>2373</v>
      </c>
      <c r="C360" s="118" t="s">
        <v>223</v>
      </c>
      <c r="D360" s="119" t="s">
        <v>3079</v>
      </c>
      <c r="E360" s="121" t="s">
        <v>2378</v>
      </c>
      <c r="F360" s="121" t="s">
        <v>544</v>
      </c>
      <c r="G360" s="119" t="s">
        <v>3079</v>
      </c>
      <c r="H360" s="121" t="s">
        <v>2378</v>
      </c>
      <c r="I360" s="121" t="s">
        <v>2800</v>
      </c>
      <c r="J360" s="122">
        <v>44025</v>
      </c>
      <c r="K360" s="22"/>
    </row>
    <row r="361" spans="1:11" s="66" customFormat="1" ht="14.25" customHeight="1">
      <c r="A361" s="240" t="s">
        <v>1865</v>
      </c>
      <c r="B361" s="124">
        <v>1929</v>
      </c>
      <c r="C361" s="125" t="s">
        <v>451</v>
      </c>
      <c r="D361" s="119" t="s">
        <v>1324</v>
      </c>
      <c r="E361" s="126" t="s">
        <v>1350</v>
      </c>
      <c r="F361" s="126" t="s">
        <v>1378</v>
      </c>
      <c r="G361" s="119" t="s">
        <v>1454</v>
      </c>
      <c r="H361" s="126" t="s">
        <v>685</v>
      </c>
      <c r="I361" s="126" t="s">
        <v>1559</v>
      </c>
      <c r="J361" s="127">
        <v>44027</v>
      </c>
      <c r="K361" s="24" t="s">
        <v>176</v>
      </c>
    </row>
    <row r="362" spans="1:11" ht="14.25" customHeight="1">
      <c r="A362" s="138" t="s">
        <v>349</v>
      </c>
      <c r="B362" s="123">
        <v>195</v>
      </c>
      <c r="C362" s="118" t="s">
        <v>1339</v>
      </c>
      <c r="D362" s="167" t="s">
        <v>1044</v>
      </c>
      <c r="E362" s="121" t="s">
        <v>596</v>
      </c>
      <c r="F362" s="121" t="s">
        <v>2277</v>
      </c>
      <c r="G362" s="167" t="s">
        <v>2588</v>
      </c>
      <c r="H362" s="121" t="s">
        <v>2809</v>
      </c>
      <c r="I362" s="121" t="s">
        <v>545</v>
      </c>
      <c r="J362" s="122">
        <v>44029</v>
      </c>
      <c r="K362" s="22"/>
    </row>
    <row r="363" spans="1:11" ht="14.25" customHeight="1">
      <c r="A363" s="138" t="s">
        <v>3109</v>
      </c>
      <c r="B363" s="123">
        <v>361</v>
      </c>
      <c r="C363" s="118" t="s">
        <v>1585</v>
      </c>
      <c r="D363" s="119" t="s">
        <v>2588</v>
      </c>
      <c r="E363" s="121" t="s">
        <v>2772</v>
      </c>
      <c r="F363" s="121" t="s">
        <v>1390</v>
      </c>
      <c r="G363" s="119" t="s">
        <v>2588</v>
      </c>
      <c r="H363" s="121" t="s">
        <v>2772</v>
      </c>
      <c r="I363" s="121" t="s">
        <v>1390</v>
      </c>
      <c r="J363" s="122">
        <v>44029</v>
      </c>
      <c r="K363" s="22"/>
    </row>
    <row r="364" spans="1:11" ht="14.25" customHeight="1">
      <c r="A364" s="138" t="s">
        <v>2808</v>
      </c>
      <c r="B364" s="123">
        <v>815</v>
      </c>
      <c r="C364" s="118" t="s">
        <v>1224</v>
      </c>
      <c r="D364" s="119" t="s">
        <v>2638</v>
      </c>
      <c r="E364" s="121" t="s">
        <v>271</v>
      </c>
      <c r="F364" s="121" t="s">
        <v>2136</v>
      </c>
      <c r="G364" s="119" t="s">
        <v>1044</v>
      </c>
      <c r="H364" s="121" t="s">
        <v>596</v>
      </c>
      <c r="I364" s="121" t="s">
        <v>2277</v>
      </c>
      <c r="J364" s="122">
        <v>44032</v>
      </c>
      <c r="K364" s="22"/>
    </row>
    <row r="365" spans="1:11" ht="14.25" customHeight="1">
      <c r="A365" s="138" t="s">
        <v>349</v>
      </c>
      <c r="B365" s="123">
        <v>195</v>
      </c>
      <c r="C365" s="118" t="s">
        <v>1339</v>
      </c>
      <c r="D365" s="119" t="s">
        <v>2588</v>
      </c>
      <c r="E365" s="121" t="s">
        <v>2809</v>
      </c>
      <c r="F365" s="121" t="s">
        <v>1893</v>
      </c>
      <c r="G365" s="119" t="s">
        <v>2588</v>
      </c>
      <c r="H365" s="121" t="s">
        <v>2809</v>
      </c>
      <c r="I365" s="121" t="s">
        <v>545</v>
      </c>
      <c r="J365" s="122">
        <v>44032</v>
      </c>
      <c r="K365" s="22"/>
    </row>
    <row r="366" spans="1:11" ht="14.25" customHeight="1">
      <c r="A366" s="138" t="s">
        <v>3544</v>
      </c>
      <c r="B366" s="123">
        <v>2344</v>
      </c>
      <c r="C366" s="118" t="s">
        <v>223</v>
      </c>
      <c r="D366" s="119" t="s">
        <v>2283</v>
      </c>
      <c r="E366" s="121" t="s">
        <v>2073</v>
      </c>
      <c r="F366" s="121" t="s">
        <v>2471</v>
      </c>
      <c r="G366" s="119" t="s">
        <v>2283</v>
      </c>
      <c r="H366" s="121" t="s">
        <v>2073</v>
      </c>
      <c r="I366" s="121" t="s">
        <v>2471</v>
      </c>
      <c r="J366" s="122">
        <v>44032</v>
      </c>
      <c r="K366" s="22"/>
    </row>
    <row r="367" spans="1:11" ht="14.25" customHeight="1">
      <c r="A367" s="138" t="s">
        <v>3155</v>
      </c>
      <c r="B367" s="123">
        <v>3143</v>
      </c>
      <c r="C367" s="118" t="s">
        <v>451</v>
      </c>
      <c r="D367" s="119" t="s">
        <v>2283</v>
      </c>
      <c r="E367" s="121" t="s">
        <v>2073</v>
      </c>
      <c r="F367" s="121" t="s">
        <v>2471</v>
      </c>
      <c r="G367" s="119" t="s">
        <v>2283</v>
      </c>
      <c r="H367" s="121" t="s">
        <v>2073</v>
      </c>
      <c r="I367" s="121" t="s">
        <v>2471</v>
      </c>
      <c r="J367" s="122">
        <v>44032</v>
      </c>
      <c r="K367" s="22"/>
    </row>
    <row r="368" spans="1:11" ht="14.25" customHeight="1">
      <c r="A368" s="138" t="s">
        <v>2813</v>
      </c>
      <c r="B368" s="123">
        <v>604</v>
      </c>
      <c r="C368" s="118" t="s">
        <v>223</v>
      </c>
      <c r="D368" s="119" t="s">
        <v>2283</v>
      </c>
      <c r="E368" s="121" t="s">
        <v>2323</v>
      </c>
      <c r="F368" s="121" t="s">
        <v>1904</v>
      </c>
      <c r="G368" s="119" t="s">
        <v>2283</v>
      </c>
      <c r="H368" s="121" t="s">
        <v>2323</v>
      </c>
      <c r="I368" s="121" t="s">
        <v>1904</v>
      </c>
      <c r="J368" s="122">
        <v>44032</v>
      </c>
      <c r="K368" s="22"/>
    </row>
    <row r="369" spans="1:11" ht="14.25" customHeight="1">
      <c r="A369" s="138" t="s">
        <v>3154</v>
      </c>
      <c r="B369" s="123">
        <v>3099</v>
      </c>
      <c r="C369" s="118" t="s">
        <v>451</v>
      </c>
      <c r="D369" s="119" t="s">
        <v>2283</v>
      </c>
      <c r="E369" s="121" t="s">
        <v>2448</v>
      </c>
      <c r="F369" s="121" t="s">
        <v>1907</v>
      </c>
      <c r="G369" s="119" t="s">
        <v>2283</v>
      </c>
      <c r="H369" s="121" t="s">
        <v>2448</v>
      </c>
      <c r="I369" s="121" t="s">
        <v>1907</v>
      </c>
      <c r="J369" s="122">
        <v>44032</v>
      </c>
      <c r="K369" s="22"/>
    </row>
    <row r="370" spans="1:11" ht="14.25" customHeight="1">
      <c r="A370" s="138" t="e">
        <v>#N/A</v>
      </c>
      <c r="B370" s="123">
        <v>3048</v>
      </c>
      <c r="C370" s="118" t="e">
        <v>#N/A</v>
      </c>
      <c r="D370" s="119" t="e">
        <v>#N/A</v>
      </c>
      <c r="E370" s="121" t="e">
        <v>#N/A</v>
      </c>
      <c r="F370" s="121" t="e">
        <v>#N/A</v>
      </c>
      <c r="G370" s="119" t="s">
        <v>2283</v>
      </c>
      <c r="H370" s="121" t="s">
        <v>2072</v>
      </c>
      <c r="I370" s="121" t="s">
        <v>1398</v>
      </c>
      <c r="J370" s="122">
        <v>44032</v>
      </c>
      <c r="K370" s="22"/>
    </row>
    <row r="371" spans="1:11" ht="14.25" customHeight="1">
      <c r="A371" s="138" t="s">
        <v>3107</v>
      </c>
      <c r="B371" s="123">
        <v>331</v>
      </c>
      <c r="C371" s="118" t="s">
        <v>223</v>
      </c>
      <c r="D371" s="119" t="s">
        <v>2283</v>
      </c>
      <c r="E371" s="121" t="s">
        <v>2324</v>
      </c>
      <c r="F371" s="121" t="s">
        <v>2326</v>
      </c>
      <c r="G371" s="119" t="s">
        <v>2283</v>
      </c>
      <c r="H371" s="121" t="s">
        <v>2324</v>
      </c>
      <c r="I371" s="121" t="s">
        <v>2326</v>
      </c>
      <c r="J371" s="122">
        <v>44032</v>
      </c>
      <c r="K371" s="22"/>
    </row>
    <row r="372" spans="1:11" ht="14.25" customHeight="1">
      <c r="A372" s="138" t="e">
        <v>#N/A</v>
      </c>
      <c r="B372" s="123">
        <v>70536</v>
      </c>
      <c r="C372" s="118" t="e">
        <v>#N/A</v>
      </c>
      <c r="D372" s="119" t="e">
        <v>#N/A</v>
      </c>
      <c r="E372" s="121" t="e">
        <v>#N/A</v>
      </c>
      <c r="F372" s="121" t="e">
        <v>#N/A</v>
      </c>
      <c r="G372" s="119" t="s">
        <v>2283</v>
      </c>
      <c r="H372" s="121" t="s">
        <v>2324</v>
      </c>
      <c r="I372" s="121" t="s">
        <v>2326</v>
      </c>
      <c r="J372" s="122">
        <v>44032</v>
      </c>
      <c r="K372" s="22"/>
    </row>
    <row r="373" spans="1:11" ht="14.25" customHeight="1">
      <c r="A373" s="138" t="s">
        <v>3142</v>
      </c>
      <c r="B373" s="123">
        <v>2183</v>
      </c>
      <c r="C373" s="118" t="s">
        <v>451</v>
      </c>
      <c r="D373" s="119" t="s">
        <v>3079</v>
      </c>
      <c r="E373" s="121" t="s">
        <v>2337</v>
      </c>
      <c r="F373" s="121" t="s">
        <v>2157</v>
      </c>
      <c r="G373" s="119" t="s">
        <v>2283</v>
      </c>
      <c r="H373" s="121" t="s">
        <v>2449</v>
      </c>
      <c r="I373" s="121" t="s">
        <v>340</v>
      </c>
      <c r="J373" s="122">
        <v>44032</v>
      </c>
      <c r="K373" s="22"/>
    </row>
    <row r="374" spans="1:11" ht="14.25" customHeight="1">
      <c r="A374" s="138" t="s">
        <v>4358</v>
      </c>
      <c r="B374" s="123">
        <v>2999</v>
      </c>
      <c r="C374" s="118" t="s">
        <v>2128</v>
      </c>
      <c r="D374" s="119" t="s">
        <v>2283</v>
      </c>
      <c r="E374" s="121" t="s">
        <v>2069</v>
      </c>
      <c r="F374" s="121" t="s">
        <v>528</v>
      </c>
      <c r="G374" s="119" t="s">
        <v>2283</v>
      </c>
      <c r="H374" s="121" t="s">
        <v>2069</v>
      </c>
      <c r="I374" s="121" t="s">
        <v>528</v>
      </c>
      <c r="J374" s="122">
        <v>44032</v>
      </c>
      <c r="K374" s="22"/>
    </row>
    <row r="375" spans="1:11" ht="14.25" customHeight="1">
      <c r="A375" s="138" t="e">
        <v>#N/A</v>
      </c>
      <c r="B375" s="123">
        <v>70570</v>
      </c>
      <c r="C375" s="118" t="e">
        <v>#N/A</v>
      </c>
      <c r="D375" s="119" t="s">
        <v>2283</v>
      </c>
      <c r="E375" s="121" t="s">
        <v>2069</v>
      </c>
      <c r="F375" s="121" t="s">
        <v>528</v>
      </c>
      <c r="G375" s="119" t="s">
        <v>2283</v>
      </c>
      <c r="H375" s="121" t="s">
        <v>2069</v>
      </c>
      <c r="I375" s="121" t="s">
        <v>528</v>
      </c>
      <c r="J375" s="122">
        <v>44032</v>
      </c>
      <c r="K375" s="22"/>
    </row>
    <row r="376" spans="1:11" ht="14.25" customHeight="1">
      <c r="A376" s="138" t="e">
        <v>#N/A</v>
      </c>
      <c r="B376" s="123">
        <v>64520</v>
      </c>
      <c r="C376" s="118" t="e">
        <v>#N/A</v>
      </c>
      <c r="D376" s="119" t="e">
        <v>#N/A</v>
      </c>
      <c r="E376" s="121" t="e">
        <v>#N/A</v>
      </c>
      <c r="F376" s="121" t="e">
        <v>#N/A</v>
      </c>
      <c r="G376" s="119" t="s">
        <v>2283</v>
      </c>
      <c r="H376" s="121" t="s">
        <v>2325</v>
      </c>
      <c r="I376" s="121" t="s">
        <v>345</v>
      </c>
      <c r="J376" s="122">
        <v>44032</v>
      </c>
      <c r="K376" s="22"/>
    </row>
    <row r="377" spans="1:11" ht="14.25" customHeight="1">
      <c r="A377" s="138" t="s">
        <v>3156</v>
      </c>
      <c r="B377" s="123">
        <v>3181</v>
      </c>
      <c r="C377" s="118" t="s">
        <v>451</v>
      </c>
      <c r="D377" s="119" t="s">
        <v>2283</v>
      </c>
      <c r="E377" s="121" t="s">
        <v>2450</v>
      </c>
      <c r="F377" s="121" t="s">
        <v>1582</v>
      </c>
      <c r="G377" s="119" t="s">
        <v>2283</v>
      </c>
      <c r="H377" s="121" t="s">
        <v>2450</v>
      </c>
      <c r="I377" s="121" t="s">
        <v>1582</v>
      </c>
      <c r="J377" s="122">
        <v>44032</v>
      </c>
      <c r="K377" s="22"/>
    </row>
    <row r="378" spans="1:11" ht="14.25" customHeight="1">
      <c r="A378" s="138" t="s">
        <v>4454</v>
      </c>
      <c r="B378" s="123">
        <v>3148</v>
      </c>
      <c r="C378" s="118" t="s">
        <v>451</v>
      </c>
      <c r="D378" s="119" t="s">
        <v>3079</v>
      </c>
      <c r="E378" s="121" t="s">
        <v>2337</v>
      </c>
      <c r="F378" s="121" t="s">
        <v>2157</v>
      </c>
      <c r="G378" s="119" t="s">
        <v>3079</v>
      </c>
      <c r="H378" s="121" t="s">
        <v>2337</v>
      </c>
      <c r="I378" s="121" t="s">
        <v>2157</v>
      </c>
      <c r="J378" s="122">
        <v>44032</v>
      </c>
      <c r="K378" s="22"/>
    </row>
    <row r="379" spans="1:11" ht="14.25" customHeight="1">
      <c r="A379" s="138" t="s">
        <v>4472</v>
      </c>
      <c r="B379" s="123">
        <v>3180</v>
      </c>
      <c r="C379" s="118" t="s">
        <v>451</v>
      </c>
      <c r="D379" s="119" t="s">
        <v>3079</v>
      </c>
      <c r="E379" s="121" t="s">
        <v>2337</v>
      </c>
      <c r="F379" s="121" t="s">
        <v>2157</v>
      </c>
      <c r="G379" s="119" t="s">
        <v>3079</v>
      </c>
      <c r="H379" s="121" t="s">
        <v>2337</v>
      </c>
      <c r="I379" s="121" t="s">
        <v>2157</v>
      </c>
      <c r="J379" s="122">
        <v>44032</v>
      </c>
      <c r="K379" s="22"/>
    </row>
    <row r="380" spans="1:11" ht="14.25" customHeight="1">
      <c r="A380" s="138" t="s">
        <v>3554</v>
      </c>
      <c r="B380" s="123">
        <v>88</v>
      </c>
      <c r="C380" s="118" t="s">
        <v>390</v>
      </c>
      <c r="D380" s="119" t="s">
        <v>510</v>
      </c>
      <c r="E380" s="121" t="s">
        <v>969</v>
      </c>
      <c r="F380" s="121" t="s">
        <v>2105</v>
      </c>
      <c r="G380" s="119" t="s">
        <v>510</v>
      </c>
      <c r="H380" s="121" t="s">
        <v>969</v>
      </c>
      <c r="I380" s="121" t="s">
        <v>2825</v>
      </c>
      <c r="J380" s="122">
        <v>44044</v>
      </c>
      <c r="K380" s="22"/>
    </row>
    <row r="381" spans="1:11" ht="14.25" customHeight="1">
      <c r="A381" s="138" t="s">
        <v>4167</v>
      </c>
      <c r="B381" s="123">
        <v>2136</v>
      </c>
      <c r="C381" s="118" t="s">
        <v>1366</v>
      </c>
      <c r="D381" s="119" t="s">
        <v>510</v>
      </c>
      <c r="E381" s="121" t="s">
        <v>969</v>
      </c>
      <c r="F381" s="121" t="s">
        <v>2105</v>
      </c>
      <c r="G381" s="119" t="s">
        <v>510</v>
      </c>
      <c r="H381" s="121" t="s">
        <v>969</v>
      </c>
      <c r="I381" s="121" t="s">
        <v>2825</v>
      </c>
      <c r="J381" s="122">
        <v>44044</v>
      </c>
      <c r="K381" s="22"/>
    </row>
    <row r="382" spans="1:11" ht="14.25" customHeight="1">
      <c r="A382" s="138" t="s">
        <v>2828</v>
      </c>
      <c r="B382" s="123">
        <v>2998</v>
      </c>
      <c r="C382" s="118" t="s">
        <v>451</v>
      </c>
      <c r="D382" s="119" t="s">
        <v>1454</v>
      </c>
      <c r="E382" s="121" t="s">
        <v>1598</v>
      </c>
      <c r="F382" s="121" t="s">
        <v>1920</v>
      </c>
      <c r="G382" s="119" t="s">
        <v>1454</v>
      </c>
      <c r="H382" s="121" t="s">
        <v>683</v>
      </c>
      <c r="I382" s="121" t="s">
        <v>1900</v>
      </c>
      <c r="J382" s="122">
        <v>44053</v>
      </c>
      <c r="K382" s="22"/>
    </row>
    <row r="383" spans="1:11" ht="14.25" customHeight="1">
      <c r="A383" s="138" t="s">
        <v>2827</v>
      </c>
      <c r="B383" s="123">
        <v>1999</v>
      </c>
      <c r="C383" s="118" t="s">
        <v>223</v>
      </c>
      <c r="D383" s="119" t="s">
        <v>1454</v>
      </c>
      <c r="E383" s="121" t="s">
        <v>1598</v>
      </c>
      <c r="F383" s="121" t="s">
        <v>1920</v>
      </c>
      <c r="G383" s="119" t="s">
        <v>1454</v>
      </c>
      <c r="H383" s="121" t="s">
        <v>684</v>
      </c>
      <c r="I383" s="121" t="s">
        <v>541</v>
      </c>
      <c r="J383" s="122">
        <v>44053</v>
      </c>
      <c r="K383" s="22"/>
    </row>
    <row r="384" spans="1:11" ht="14.25" customHeight="1">
      <c r="A384" s="138" t="s">
        <v>4299</v>
      </c>
      <c r="B384" s="123">
        <v>2865</v>
      </c>
      <c r="C384" s="118" t="s">
        <v>1225</v>
      </c>
      <c r="D384" s="119" t="s">
        <v>1454</v>
      </c>
      <c r="E384" s="121" t="s">
        <v>2469</v>
      </c>
      <c r="F384" s="121" t="s">
        <v>547</v>
      </c>
      <c r="G384" s="119" t="s">
        <v>1454</v>
      </c>
      <c r="H384" s="121" t="s">
        <v>2435</v>
      </c>
      <c r="I384" s="121" t="s">
        <v>1583</v>
      </c>
      <c r="J384" s="122">
        <v>44053</v>
      </c>
      <c r="K384" s="22"/>
    </row>
    <row r="385" spans="1:11" ht="14.25" customHeight="1">
      <c r="A385" s="138" t="s">
        <v>3006</v>
      </c>
      <c r="B385" s="123">
        <v>2119</v>
      </c>
      <c r="C385" s="118" t="s">
        <v>451</v>
      </c>
      <c r="D385" s="119" t="s">
        <v>2283</v>
      </c>
      <c r="E385" s="121" t="s">
        <v>3002</v>
      </c>
      <c r="F385" s="121" t="s">
        <v>1881</v>
      </c>
      <c r="G385" s="119" t="s">
        <v>1433</v>
      </c>
      <c r="H385" s="121" t="s">
        <v>549</v>
      </c>
      <c r="I385" s="121" t="s">
        <v>1881</v>
      </c>
      <c r="J385" s="122">
        <v>44053</v>
      </c>
      <c r="K385" s="22"/>
    </row>
    <row r="386" spans="1:11" s="66" customFormat="1" ht="14.25" customHeight="1">
      <c r="A386" s="138" t="s">
        <v>1942</v>
      </c>
      <c r="B386" s="123">
        <v>2202</v>
      </c>
      <c r="C386" s="118" t="s">
        <v>451</v>
      </c>
      <c r="D386" s="119" t="s">
        <v>3079</v>
      </c>
      <c r="E386" s="121" t="s">
        <v>2686</v>
      </c>
      <c r="F386" s="121" t="s">
        <v>529</v>
      </c>
      <c r="G386" s="119" t="s">
        <v>1433</v>
      </c>
      <c r="H386" s="121" t="s">
        <v>549</v>
      </c>
      <c r="I386" s="121" t="s">
        <v>1881</v>
      </c>
      <c r="J386" s="122">
        <v>44053</v>
      </c>
      <c r="K386" s="22"/>
    </row>
    <row r="387" spans="1:11" s="66" customFormat="1" ht="14.25" customHeight="1">
      <c r="A387" s="138" t="s">
        <v>2948</v>
      </c>
      <c r="B387" s="123">
        <v>3040</v>
      </c>
      <c r="C387" s="118" t="s">
        <v>451</v>
      </c>
      <c r="D387" s="119" t="s">
        <v>1433</v>
      </c>
      <c r="E387" s="121" t="s">
        <v>1045</v>
      </c>
      <c r="F387" s="121" t="s">
        <v>1926</v>
      </c>
      <c r="G387" s="119" t="s">
        <v>1044</v>
      </c>
      <c r="H387" s="121" t="s">
        <v>602</v>
      </c>
      <c r="I387" s="121" t="s">
        <v>1392</v>
      </c>
      <c r="J387" s="122">
        <v>44053</v>
      </c>
      <c r="K387" s="22"/>
    </row>
    <row r="388" spans="1:11" s="66" customFormat="1" ht="14.25" customHeight="1">
      <c r="A388" s="138" t="s">
        <v>3036</v>
      </c>
      <c r="B388" s="123">
        <v>489</v>
      </c>
      <c r="C388" s="118" t="s">
        <v>1585</v>
      </c>
      <c r="D388" s="119" t="s">
        <v>1324</v>
      </c>
      <c r="E388" s="121" t="s">
        <v>849</v>
      </c>
      <c r="F388" s="121" t="s">
        <v>2090</v>
      </c>
      <c r="G388" s="119" t="s">
        <v>1324</v>
      </c>
      <c r="H388" s="121" t="s">
        <v>601</v>
      </c>
      <c r="I388" s="121" t="s">
        <v>2064</v>
      </c>
      <c r="J388" s="122">
        <v>44053</v>
      </c>
      <c r="K388" s="22"/>
    </row>
    <row r="389" spans="1:11" s="66" customFormat="1" ht="14.25" customHeight="1">
      <c r="A389" s="138" t="s">
        <v>1943</v>
      </c>
      <c r="B389" s="123">
        <v>2275</v>
      </c>
      <c r="C389" s="118" t="s">
        <v>223</v>
      </c>
      <c r="D389" s="119" t="s">
        <v>1324</v>
      </c>
      <c r="E389" s="121" t="s">
        <v>849</v>
      </c>
      <c r="F389" s="121" t="s">
        <v>2090</v>
      </c>
      <c r="G389" s="119" t="s">
        <v>1324</v>
      </c>
      <c r="H389" s="121" t="s">
        <v>601</v>
      </c>
      <c r="I389" s="121" t="s">
        <v>2064</v>
      </c>
      <c r="J389" s="122">
        <v>44053</v>
      </c>
      <c r="K389" s="22"/>
    </row>
    <row r="390" spans="1:11" s="66" customFormat="1" ht="14.25" customHeight="1">
      <c r="A390" s="138" t="s">
        <v>4140</v>
      </c>
      <c r="B390" s="123">
        <v>2066</v>
      </c>
      <c r="C390" s="118" t="s">
        <v>223</v>
      </c>
      <c r="D390" s="119" t="s">
        <v>1324</v>
      </c>
      <c r="E390" s="121" t="s">
        <v>179</v>
      </c>
      <c r="F390" s="121" t="s">
        <v>2090</v>
      </c>
      <c r="G390" s="119" t="s">
        <v>1324</v>
      </c>
      <c r="H390" s="121" t="s">
        <v>179</v>
      </c>
      <c r="I390" s="121" t="s">
        <v>1543</v>
      </c>
      <c r="J390" s="122">
        <v>44053</v>
      </c>
      <c r="K390" s="22"/>
    </row>
    <row r="391" spans="1:11" s="66" customFormat="1" ht="14.25" customHeight="1">
      <c r="A391" s="138" t="s">
        <v>3816</v>
      </c>
      <c r="B391" s="123">
        <v>1017</v>
      </c>
      <c r="C391" s="118" t="s">
        <v>1339</v>
      </c>
      <c r="D391" s="119" t="s">
        <v>1433</v>
      </c>
      <c r="E391" s="121" t="s">
        <v>1325</v>
      </c>
      <c r="F391" s="121" t="s">
        <v>2159</v>
      </c>
      <c r="G391" s="119" t="s">
        <v>2283</v>
      </c>
      <c r="H391" s="121" t="s">
        <v>2073</v>
      </c>
      <c r="I391" s="121" t="s">
        <v>2471</v>
      </c>
      <c r="J391" s="122">
        <v>44053</v>
      </c>
      <c r="K391" s="22"/>
    </row>
    <row r="392" spans="1:11" s="66" customFormat="1" ht="14.25" customHeight="1">
      <c r="A392" s="138" t="s">
        <v>3161</v>
      </c>
      <c r="B392" s="123">
        <v>64473</v>
      </c>
      <c r="C392" s="118" t="s">
        <v>643</v>
      </c>
      <c r="D392" s="119" t="s">
        <v>1827</v>
      </c>
      <c r="E392" s="121" t="s">
        <v>1259</v>
      </c>
      <c r="F392" s="121" t="s">
        <v>346</v>
      </c>
      <c r="G392" s="119" t="s">
        <v>2014</v>
      </c>
      <c r="H392" s="121" t="s">
        <v>220</v>
      </c>
      <c r="I392" s="121" t="s">
        <v>1877</v>
      </c>
      <c r="J392" s="122">
        <v>44053</v>
      </c>
      <c r="K392" s="22"/>
    </row>
    <row r="393" spans="1:11" s="66" customFormat="1" ht="14.25" customHeight="1">
      <c r="A393" s="138" t="e">
        <v>#N/A</v>
      </c>
      <c r="B393" s="123">
        <v>64501</v>
      </c>
      <c r="C393" s="118" t="s">
        <v>643</v>
      </c>
      <c r="D393" s="119" t="s">
        <v>1827</v>
      </c>
      <c r="E393" s="121" t="s">
        <v>1259</v>
      </c>
      <c r="F393" s="121" t="s">
        <v>1565</v>
      </c>
      <c r="G393" s="119" t="s">
        <v>2014</v>
      </c>
      <c r="H393" s="121" t="s">
        <v>220</v>
      </c>
      <c r="I393" s="121" t="s">
        <v>1877</v>
      </c>
      <c r="J393" s="122">
        <v>44053</v>
      </c>
      <c r="K393" s="22"/>
    </row>
    <row r="394" spans="1:11" s="66" customFormat="1" ht="14.25" customHeight="1">
      <c r="A394" s="138" t="s">
        <v>3097</v>
      </c>
      <c r="B394" s="123">
        <v>64523</v>
      </c>
      <c r="C394" s="118" t="s">
        <v>643</v>
      </c>
      <c r="D394" s="119" t="s">
        <v>1827</v>
      </c>
      <c r="E394" s="121" t="s">
        <v>1259</v>
      </c>
      <c r="F394" s="121" t="s">
        <v>347</v>
      </c>
      <c r="G394" s="119" t="s">
        <v>2014</v>
      </c>
      <c r="H394" s="121" t="s">
        <v>220</v>
      </c>
      <c r="I394" s="121" t="s">
        <v>1877</v>
      </c>
      <c r="J394" s="122">
        <v>44053</v>
      </c>
      <c r="K394" s="22"/>
    </row>
    <row r="395" spans="1:11" s="66" customFormat="1" ht="14.25" customHeight="1">
      <c r="A395" s="138" t="s">
        <v>1893</v>
      </c>
      <c r="B395" s="123">
        <v>100</v>
      </c>
      <c r="C395" s="118" t="s">
        <v>1320</v>
      </c>
      <c r="D395" s="119" t="s">
        <v>1433</v>
      </c>
      <c r="E395" s="121" t="s">
        <v>570</v>
      </c>
      <c r="F395" s="121" t="s">
        <v>1579</v>
      </c>
      <c r="G395" s="119" t="s">
        <v>2588</v>
      </c>
      <c r="H395" s="121" t="s">
        <v>2824</v>
      </c>
      <c r="I395" s="121" t="s">
        <v>545</v>
      </c>
      <c r="J395" s="122">
        <v>44053</v>
      </c>
      <c r="K395" s="22"/>
    </row>
    <row r="396" spans="1:11" s="66" customFormat="1" ht="14.25" customHeight="1">
      <c r="A396" s="138" t="s">
        <v>1570</v>
      </c>
      <c r="B396" s="123">
        <v>197</v>
      </c>
      <c r="C396" s="118" t="s">
        <v>1585</v>
      </c>
      <c r="D396" s="119" t="s">
        <v>2283</v>
      </c>
      <c r="E396" s="121" t="s">
        <v>2324</v>
      </c>
      <c r="F396" s="121" t="s">
        <v>2326</v>
      </c>
      <c r="G396" s="119" t="s">
        <v>2283</v>
      </c>
      <c r="H396" s="121" t="s">
        <v>2797</v>
      </c>
      <c r="I396" s="121" t="s">
        <v>534</v>
      </c>
      <c r="J396" s="122">
        <v>44053</v>
      </c>
      <c r="K396" s="22"/>
    </row>
    <row r="397" spans="1:11" s="66" customFormat="1" ht="14.25" customHeight="1">
      <c r="A397" s="138" t="s">
        <v>3574</v>
      </c>
      <c r="B397" s="123">
        <v>198</v>
      </c>
      <c r="C397" s="118" t="s">
        <v>1585</v>
      </c>
      <c r="D397" s="167" t="s">
        <v>2283</v>
      </c>
      <c r="E397" s="121" t="s">
        <v>2450</v>
      </c>
      <c r="F397" s="121" t="s">
        <v>1582</v>
      </c>
      <c r="G397" s="167" t="s">
        <v>2283</v>
      </c>
      <c r="H397" s="121" t="s">
        <v>2797</v>
      </c>
      <c r="I397" s="121" t="s">
        <v>534</v>
      </c>
      <c r="J397" s="122">
        <v>44053</v>
      </c>
      <c r="K397" s="22"/>
    </row>
    <row r="398" spans="1:11" s="66" customFormat="1" ht="14.25" customHeight="1">
      <c r="A398" s="138" t="s">
        <v>3693</v>
      </c>
      <c r="B398" s="123">
        <v>601</v>
      </c>
      <c r="C398" s="118" t="s">
        <v>1339</v>
      </c>
      <c r="D398" s="119" t="s">
        <v>1433</v>
      </c>
      <c r="E398" s="121" t="s">
        <v>844</v>
      </c>
      <c r="F398" s="121" t="s">
        <v>1903</v>
      </c>
      <c r="G398" s="119" t="s">
        <v>2283</v>
      </c>
      <c r="H398" s="121" t="s">
        <v>2450</v>
      </c>
      <c r="I398" s="121" t="s">
        <v>1582</v>
      </c>
      <c r="J398" s="122">
        <v>44053</v>
      </c>
      <c r="K398" s="22"/>
    </row>
    <row r="399" spans="1:11" s="66" customFormat="1" ht="14.25" customHeight="1">
      <c r="A399" s="138" t="s">
        <v>2954</v>
      </c>
      <c r="B399" s="123">
        <v>2226</v>
      </c>
      <c r="C399" s="118" t="s">
        <v>223</v>
      </c>
      <c r="D399" s="119" t="s">
        <v>1433</v>
      </c>
      <c r="E399" s="121" t="s">
        <v>844</v>
      </c>
      <c r="F399" s="121" t="s">
        <v>1903</v>
      </c>
      <c r="G399" s="119" t="s">
        <v>1044</v>
      </c>
      <c r="H399" s="121" t="s">
        <v>318</v>
      </c>
      <c r="I399" s="121" t="s">
        <v>2806</v>
      </c>
      <c r="J399" s="122">
        <v>44054</v>
      </c>
      <c r="K399" s="22"/>
    </row>
    <row r="400" spans="1:11" s="66" customFormat="1" ht="14.25" customHeight="1">
      <c r="A400" s="138" t="s">
        <v>2950</v>
      </c>
      <c r="B400" s="123">
        <v>3216</v>
      </c>
      <c r="C400" s="118" t="s">
        <v>2128</v>
      </c>
      <c r="D400" s="119" t="s">
        <v>1433</v>
      </c>
      <c r="E400" s="121" t="s">
        <v>570</v>
      </c>
      <c r="F400" s="121" t="s">
        <v>1926</v>
      </c>
      <c r="G400" s="119" t="s">
        <v>1044</v>
      </c>
      <c r="H400" s="121" t="s">
        <v>318</v>
      </c>
      <c r="I400" s="121" t="s">
        <v>2806</v>
      </c>
      <c r="J400" s="122">
        <v>44054</v>
      </c>
      <c r="K400" s="22"/>
    </row>
    <row r="401" spans="1:11" s="66" customFormat="1" ht="14.25" customHeight="1">
      <c r="A401" s="138" t="s">
        <v>2948</v>
      </c>
      <c r="B401" s="123">
        <v>3040</v>
      </c>
      <c r="C401" s="118" t="s">
        <v>2128</v>
      </c>
      <c r="D401" s="119" t="s">
        <v>1433</v>
      </c>
      <c r="E401" s="121" t="s">
        <v>1045</v>
      </c>
      <c r="F401" s="121" t="s">
        <v>1926</v>
      </c>
      <c r="G401" s="119" t="s">
        <v>1044</v>
      </c>
      <c r="H401" s="121" t="s">
        <v>602</v>
      </c>
      <c r="I401" s="121" t="s">
        <v>1392</v>
      </c>
      <c r="J401" s="122">
        <v>44054</v>
      </c>
      <c r="K401" s="22"/>
    </row>
    <row r="402" spans="1:11" s="66" customFormat="1" ht="14.25" customHeight="1">
      <c r="A402" s="138" t="s">
        <v>2953</v>
      </c>
      <c r="B402" s="123">
        <v>2926</v>
      </c>
      <c r="C402" s="118" t="s">
        <v>451</v>
      </c>
      <c r="D402" s="167" t="s">
        <v>1433</v>
      </c>
      <c r="E402" s="121" t="s">
        <v>1045</v>
      </c>
      <c r="F402" s="121" t="s">
        <v>1926</v>
      </c>
      <c r="G402" s="167" t="s">
        <v>1044</v>
      </c>
      <c r="H402" s="121" t="s">
        <v>772</v>
      </c>
      <c r="I402" s="121" t="s">
        <v>1389</v>
      </c>
      <c r="J402" s="122">
        <v>44054</v>
      </c>
      <c r="K402" s="22"/>
    </row>
    <row r="403" spans="1:11" s="66" customFormat="1" ht="14.25" customHeight="1">
      <c r="A403" s="138" t="s">
        <v>2955</v>
      </c>
      <c r="B403" s="123">
        <v>2922</v>
      </c>
      <c r="C403" s="118" t="s">
        <v>451</v>
      </c>
      <c r="D403" s="119" t="s">
        <v>1433</v>
      </c>
      <c r="E403" s="121" t="s">
        <v>1325</v>
      </c>
      <c r="F403" s="121" t="s">
        <v>2159</v>
      </c>
      <c r="G403" s="119" t="s">
        <v>1044</v>
      </c>
      <c r="H403" s="121" t="s">
        <v>597</v>
      </c>
      <c r="I403" s="121" t="s">
        <v>1902</v>
      </c>
      <c r="J403" s="122">
        <v>44054</v>
      </c>
      <c r="K403" s="22"/>
    </row>
    <row r="404" spans="1:11" s="66" customFormat="1" ht="14.25" customHeight="1">
      <c r="A404" s="138" t="s">
        <v>2951</v>
      </c>
      <c r="B404" s="123">
        <v>2826</v>
      </c>
      <c r="C404" s="118" t="s">
        <v>223</v>
      </c>
      <c r="D404" s="119" t="s">
        <v>1433</v>
      </c>
      <c r="E404" s="121" t="s">
        <v>844</v>
      </c>
      <c r="F404" s="121" t="s">
        <v>1903</v>
      </c>
      <c r="G404" s="119" t="s">
        <v>1044</v>
      </c>
      <c r="H404" s="121" t="s">
        <v>595</v>
      </c>
      <c r="I404" s="121" t="s">
        <v>1906</v>
      </c>
      <c r="J404" s="122">
        <v>44054</v>
      </c>
      <c r="K404" s="22"/>
    </row>
    <row r="405" spans="1:11" s="66" customFormat="1" ht="14.25" customHeight="1">
      <c r="A405" s="138" t="s">
        <v>2949</v>
      </c>
      <c r="B405" s="123">
        <v>1279</v>
      </c>
      <c r="C405" s="118" t="s">
        <v>223</v>
      </c>
      <c r="D405" s="119" t="s">
        <v>1433</v>
      </c>
      <c r="E405" s="121" t="s">
        <v>224</v>
      </c>
      <c r="F405" s="121" t="s">
        <v>1903</v>
      </c>
      <c r="G405" s="119" t="s">
        <v>1044</v>
      </c>
      <c r="H405" s="121" t="s">
        <v>596</v>
      </c>
      <c r="I405" s="121" t="s">
        <v>2277</v>
      </c>
      <c r="J405" s="122">
        <v>44054</v>
      </c>
      <c r="K405" s="22"/>
    </row>
    <row r="406" spans="1:11" s="66" customFormat="1" ht="14.25" customHeight="1">
      <c r="A406" s="138" t="s">
        <v>341</v>
      </c>
      <c r="B406" s="123">
        <v>1238</v>
      </c>
      <c r="C406" s="118" t="s">
        <v>223</v>
      </c>
      <c r="D406" s="119" t="s">
        <v>1433</v>
      </c>
      <c r="E406" s="121" t="s">
        <v>1045</v>
      </c>
      <c r="F406" s="121" t="s">
        <v>1926</v>
      </c>
      <c r="G406" s="119" t="s">
        <v>1044</v>
      </c>
      <c r="H406" s="121" t="s">
        <v>178</v>
      </c>
      <c r="I406" s="121" t="s">
        <v>1556</v>
      </c>
      <c r="J406" s="122">
        <v>44054</v>
      </c>
      <c r="K406" s="22"/>
    </row>
    <row r="407" spans="1:11" s="66" customFormat="1" ht="14.25" customHeight="1">
      <c r="A407" s="138" t="s">
        <v>2952</v>
      </c>
      <c r="B407" s="123">
        <v>2019</v>
      </c>
      <c r="C407" s="118" t="s">
        <v>223</v>
      </c>
      <c r="D407" s="119" t="s">
        <v>1433</v>
      </c>
      <c r="E407" s="121" t="s">
        <v>844</v>
      </c>
      <c r="F407" s="121" t="s">
        <v>1903</v>
      </c>
      <c r="G407" s="119" t="s">
        <v>1044</v>
      </c>
      <c r="H407" s="121" t="s">
        <v>437</v>
      </c>
      <c r="I407" s="121" t="s">
        <v>342</v>
      </c>
      <c r="J407" s="122">
        <v>44054</v>
      </c>
      <c r="K407" s="22"/>
    </row>
    <row r="408" spans="1:11" s="66" customFormat="1" ht="14.25" customHeight="1">
      <c r="A408" s="138" t="s">
        <v>2054</v>
      </c>
      <c r="B408" s="123">
        <v>2949</v>
      </c>
      <c r="C408" s="118" t="s">
        <v>451</v>
      </c>
      <c r="D408" s="119" t="s">
        <v>2283</v>
      </c>
      <c r="E408" s="121" t="s">
        <v>2797</v>
      </c>
      <c r="F408" s="121" t="s">
        <v>534</v>
      </c>
      <c r="G408" s="119" t="s">
        <v>3079</v>
      </c>
      <c r="H408" s="121" t="s">
        <v>2377</v>
      </c>
      <c r="I408" s="121" t="s">
        <v>2865</v>
      </c>
      <c r="J408" s="122">
        <v>44056</v>
      </c>
      <c r="K408" s="22"/>
    </row>
    <row r="409" spans="1:11" s="66" customFormat="1" ht="14.25" customHeight="1">
      <c r="A409" s="138" t="s">
        <v>2833</v>
      </c>
      <c r="B409" s="123">
        <v>64508</v>
      </c>
      <c r="C409" s="118" t="s">
        <v>643</v>
      </c>
      <c r="D409" s="119" t="s">
        <v>2283</v>
      </c>
      <c r="E409" s="121" t="s">
        <v>2323</v>
      </c>
      <c r="F409" s="121" t="s">
        <v>1904</v>
      </c>
      <c r="G409" s="119" t="s">
        <v>3079</v>
      </c>
      <c r="H409" s="121" t="s">
        <v>2377</v>
      </c>
      <c r="I409" s="121" t="s">
        <v>1395</v>
      </c>
      <c r="J409" s="122">
        <v>44057</v>
      </c>
      <c r="K409" s="22"/>
    </row>
    <row r="410" spans="1:11" s="66" customFormat="1" ht="14.25" customHeight="1">
      <c r="A410" s="138" t="s">
        <v>2834</v>
      </c>
      <c r="B410" s="123">
        <v>64519</v>
      </c>
      <c r="C410" s="118" t="s">
        <v>643</v>
      </c>
      <c r="D410" s="119" t="s">
        <v>2283</v>
      </c>
      <c r="E410" s="121" t="s">
        <v>2323</v>
      </c>
      <c r="F410" s="121" t="s">
        <v>1904</v>
      </c>
      <c r="G410" s="119" t="s">
        <v>3079</v>
      </c>
      <c r="H410" s="121" t="s">
        <v>2377</v>
      </c>
      <c r="I410" s="121" t="s">
        <v>1395</v>
      </c>
      <c r="J410" s="122">
        <v>44057</v>
      </c>
      <c r="K410" s="22"/>
    </row>
    <row r="411" spans="1:11" s="66" customFormat="1" ht="14.25" customHeight="1">
      <c r="A411" s="138" t="s">
        <v>2829</v>
      </c>
      <c r="B411" s="123">
        <v>2179</v>
      </c>
      <c r="C411" s="118" t="s">
        <v>223</v>
      </c>
      <c r="D411" s="119" t="s">
        <v>2283</v>
      </c>
      <c r="E411" s="121" t="s">
        <v>2797</v>
      </c>
      <c r="F411" s="121" t="s">
        <v>534</v>
      </c>
      <c r="G411" s="119" t="s">
        <v>2283</v>
      </c>
      <c r="H411" s="121" t="s">
        <v>2323</v>
      </c>
      <c r="I411" s="121" t="s">
        <v>1904</v>
      </c>
      <c r="J411" s="122">
        <v>44064</v>
      </c>
      <c r="K411" s="22"/>
    </row>
    <row r="412" spans="1:11" s="66" customFormat="1" ht="14.25" customHeight="1">
      <c r="A412" s="138" t="s">
        <v>2826</v>
      </c>
      <c r="B412" s="123">
        <v>903</v>
      </c>
      <c r="C412" s="118" t="s">
        <v>2036</v>
      </c>
      <c r="D412" s="119" t="s">
        <v>2283</v>
      </c>
      <c r="E412" s="121" t="s">
        <v>2072</v>
      </c>
      <c r="F412" s="121" t="s">
        <v>1901</v>
      </c>
      <c r="G412" s="119" t="s">
        <v>2283</v>
      </c>
      <c r="H412" s="121" t="s">
        <v>2324</v>
      </c>
      <c r="I412" s="121" t="s">
        <v>2326</v>
      </c>
      <c r="J412" s="122">
        <v>44064</v>
      </c>
      <c r="K412" s="22"/>
    </row>
    <row r="413" spans="1:11" s="66" customFormat="1" ht="14.25" customHeight="1">
      <c r="A413" s="138" t="s">
        <v>1576</v>
      </c>
      <c r="B413" s="123">
        <v>612</v>
      </c>
      <c r="C413" s="118" t="s">
        <v>223</v>
      </c>
      <c r="D413" s="119" t="s">
        <v>1324</v>
      </c>
      <c r="E413" s="121" t="s">
        <v>601</v>
      </c>
      <c r="F413" s="121" t="s">
        <v>2064</v>
      </c>
      <c r="G413" s="119" t="s">
        <v>1324</v>
      </c>
      <c r="H413" s="121" t="s">
        <v>457</v>
      </c>
      <c r="I413" s="121" t="s">
        <v>2866</v>
      </c>
      <c r="J413" s="122">
        <v>44067</v>
      </c>
      <c r="K413" s="22"/>
    </row>
    <row r="414" spans="1:11" s="66" customFormat="1" ht="14.25" customHeight="1">
      <c r="A414" s="138" t="s">
        <v>2899</v>
      </c>
      <c r="B414" s="123">
        <v>655</v>
      </c>
      <c r="C414" s="118" t="s">
        <v>223</v>
      </c>
      <c r="D414" s="119" t="s">
        <v>1324</v>
      </c>
      <c r="E414" s="121" t="s">
        <v>601</v>
      </c>
      <c r="F414" s="121" t="s">
        <v>2064</v>
      </c>
      <c r="G414" s="119" t="s">
        <v>1324</v>
      </c>
      <c r="H414" s="121" t="s">
        <v>457</v>
      </c>
      <c r="I414" s="121" t="s">
        <v>2866</v>
      </c>
      <c r="J414" s="122">
        <v>44067</v>
      </c>
      <c r="K414" s="22"/>
    </row>
    <row r="415" spans="1:11" s="66" customFormat="1" ht="14.25" customHeight="1">
      <c r="A415" s="138" t="s">
        <v>1376</v>
      </c>
      <c r="B415" s="123">
        <v>2579</v>
      </c>
      <c r="C415" s="118" t="s">
        <v>223</v>
      </c>
      <c r="D415" s="119" t="s">
        <v>1324</v>
      </c>
      <c r="E415" s="121" t="s">
        <v>601</v>
      </c>
      <c r="F415" s="121" t="s">
        <v>2064</v>
      </c>
      <c r="G415" s="119" t="s">
        <v>1324</v>
      </c>
      <c r="H415" s="121" t="s">
        <v>457</v>
      </c>
      <c r="I415" s="121" t="s">
        <v>2866</v>
      </c>
      <c r="J415" s="122">
        <v>44067</v>
      </c>
      <c r="K415" s="22"/>
    </row>
    <row r="416" spans="1:11" s="66" customFormat="1" ht="14.25" customHeight="1">
      <c r="A416" s="138" t="s">
        <v>2897</v>
      </c>
      <c r="B416" s="123">
        <v>500</v>
      </c>
      <c r="C416" s="118" t="s">
        <v>1585</v>
      </c>
      <c r="D416" s="119" t="s">
        <v>1324</v>
      </c>
      <c r="E416" s="128" t="s">
        <v>601</v>
      </c>
      <c r="F416" s="121" t="s">
        <v>2064</v>
      </c>
      <c r="G416" s="119" t="s">
        <v>1324</v>
      </c>
      <c r="H416" s="128" t="s">
        <v>457</v>
      </c>
      <c r="I416" s="121" t="s">
        <v>2866</v>
      </c>
      <c r="J416" s="129">
        <v>44067</v>
      </c>
      <c r="K416" s="22"/>
    </row>
    <row r="417" spans="1:11" s="66" customFormat="1" ht="14.25" customHeight="1">
      <c r="A417" s="138" t="s">
        <v>348</v>
      </c>
      <c r="B417" s="123">
        <v>2420</v>
      </c>
      <c r="C417" s="118" t="s">
        <v>223</v>
      </c>
      <c r="D417" s="119" t="s">
        <v>1324</v>
      </c>
      <c r="E417" s="128" t="s">
        <v>601</v>
      </c>
      <c r="F417" s="121" t="s">
        <v>2064</v>
      </c>
      <c r="G417" s="119" t="s">
        <v>1324</v>
      </c>
      <c r="H417" s="128" t="s">
        <v>457</v>
      </c>
      <c r="I417" s="121" t="s">
        <v>2866</v>
      </c>
      <c r="J417" s="129">
        <v>44067</v>
      </c>
      <c r="K417" s="22"/>
    </row>
    <row r="418" spans="1:11" s="66" customFormat="1" ht="14.25" customHeight="1">
      <c r="A418" s="138" t="s">
        <v>2898</v>
      </c>
      <c r="B418" s="123">
        <v>1113</v>
      </c>
      <c r="C418" s="118" t="s">
        <v>223</v>
      </c>
      <c r="D418" s="119" t="s">
        <v>1324</v>
      </c>
      <c r="E418" s="128" t="s">
        <v>601</v>
      </c>
      <c r="F418" s="121" t="s">
        <v>2064</v>
      </c>
      <c r="G418" s="119" t="s">
        <v>1324</v>
      </c>
      <c r="H418" s="128" t="s">
        <v>457</v>
      </c>
      <c r="I418" s="121" t="s">
        <v>2866</v>
      </c>
      <c r="J418" s="129">
        <v>44067</v>
      </c>
      <c r="K418" s="22"/>
    </row>
    <row r="419" spans="1:11" s="66" customFormat="1" ht="14.25" customHeight="1">
      <c r="A419" s="138" t="s">
        <v>2096</v>
      </c>
      <c r="B419" s="123">
        <v>1684</v>
      </c>
      <c r="C419" s="118" t="s">
        <v>223</v>
      </c>
      <c r="D419" s="119" t="s">
        <v>1435</v>
      </c>
      <c r="E419" s="128" t="s">
        <v>2161</v>
      </c>
      <c r="F419" s="121" t="s">
        <v>1567</v>
      </c>
      <c r="G419" s="119" t="s">
        <v>1435</v>
      </c>
      <c r="H419" s="128" t="s">
        <v>2331</v>
      </c>
      <c r="I419" s="121" t="s">
        <v>1567</v>
      </c>
      <c r="J419" s="129">
        <v>44074</v>
      </c>
      <c r="K419" s="22"/>
    </row>
    <row r="420" spans="1:11" s="66" customFormat="1" ht="14.25" customHeight="1">
      <c r="A420" s="138" t="s">
        <v>2851</v>
      </c>
      <c r="B420" s="123">
        <v>3121</v>
      </c>
      <c r="C420" s="118" t="s">
        <v>2128</v>
      </c>
      <c r="D420" s="119" t="s">
        <v>2014</v>
      </c>
      <c r="E420" s="128" t="s">
        <v>503</v>
      </c>
      <c r="F420" s="121" t="s">
        <v>1565</v>
      </c>
      <c r="G420" s="119" t="s">
        <v>2283</v>
      </c>
      <c r="H420" s="128" t="s">
        <v>2073</v>
      </c>
      <c r="I420" s="121" t="s">
        <v>2471</v>
      </c>
      <c r="J420" s="129">
        <v>44074</v>
      </c>
      <c r="K420" s="22"/>
    </row>
    <row r="421" spans="1:11" s="66" customFormat="1" ht="14.25" customHeight="1">
      <c r="A421" s="138" t="s">
        <v>2191</v>
      </c>
      <c r="B421" s="123">
        <v>2988</v>
      </c>
      <c r="C421" s="118" t="s">
        <v>2128</v>
      </c>
      <c r="D421" s="119" t="s">
        <v>2014</v>
      </c>
      <c r="E421" s="128" t="s">
        <v>1270</v>
      </c>
      <c r="F421" s="121" t="s">
        <v>346</v>
      </c>
      <c r="G421" s="119" t="s">
        <v>1454</v>
      </c>
      <c r="H421" s="128" t="s">
        <v>475</v>
      </c>
      <c r="I421" s="121" t="s">
        <v>540</v>
      </c>
      <c r="J421" s="129">
        <v>44074</v>
      </c>
      <c r="K421" s="22"/>
    </row>
    <row r="422" spans="1:11" s="66" customFormat="1" ht="14.25" customHeight="1">
      <c r="A422" s="138" t="s">
        <v>2867</v>
      </c>
      <c r="B422" s="123">
        <v>282</v>
      </c>
      <c r="C422" s="118" t="s">
        <v>1339</v>
      </c>
      <c r="D422" s="119" t="s">
        <v>1044</v>
      </c>
      <c r="E422" s="128" t="s">
        <v>597</v>
      </c>
      <c r="F422" s="121" t="s">
        <v>1902</v>
      </c>
      <c r="G422" s="119" t="s">
        <v>2008</v>
      </c>
      <c r="H422" s="128" t="s">
        <v>1991</v>
      </c>
      <c r="I422" s="121" t="s">
        <v>1572</v>
      </c>
      <c r="J422" s="129">
        <v>44074</v>
      </c>
      <c r="K422" s="22"/>
    </row>
    <row r="423" spans="1:11" s="66" customFormat="1" ht="14.25" customHeight="1">
      <c r="A423" s="138" t="s">
        <v>2839</v>
      </c>
      <c r="B423" s="123">
        <v>3094</v>
      </c>
      <c r="C423" s="118" t="s">
        <v>451</v>
      </c>
      <c r="D423" s="119" t="s">
        <v>1454</v>
      </c>
      <c r="E423" s="128" t="s">
        <v>475</v>
      </c>
      <c r="F423" s="121" t="s">
        <v>540</v>
      </c>
      <c r="G423" s="119" t="s">
        <v>1433</v>
      </c>
      <c r="H423" s="128" t="s">
        <v>1325</v>
      </c>
      <c r="I423" s="121" t="s">
        <v>2159</v>
      </c>
      <c r="J423" s="129">
        <v>44074</v>
      </c>
      <c r="K423" s="22"/>
    </row>
    <row r="424" spans="1:11" s="66" customFormat="1" ht="14.25" customHeight="1">
      <c r="A424" s="138" t="s">
        <v>2890</v>
      </c>
      <c r="B424" s="123">
        <v>3130</v>
      </c>
      <c r="C424" s="118" t="s">
        <v>2128</v>
      </c>
      <c r="D424" s="119" t="s">
        <v>1044</v>
      </c>
      <c r="E424" s="128" t="s">
        <v>602</v>
      </c>
      <c r="F424" s="121" t="s">
        <v>1392</v>
      </c>
      <c r="G424" s="119" t="s">
        <v>1433</v>
      </c>
      <c r="H424" s="128" t="s">
        <v>549</v>
      </c>
      <c r="I424" s="121" t="s">
        <v>1917</v>
      </c>
      <c r="J424" s="129">
        <v>44074</v>
      </c>
      <c r="K424" s="22"/>
    </row>
    <row r="425" spans="1:11" s="66" customFormat="1" ht="14.25" customHeight="1">
      <c r="A425" s="138" t="s">
        <v>2858</v>
      </c>
      <c r="B425" s="123">
        <v>3196</v>
      </c>
      <c r="C425" s="118" t="s">
        <v>2128</v>
      </c>
      <c r="D425" s="119" t="s">
        <v>1044</v>
      </c>
      <c r="E425" s="128" t="s">
        <v>772</v>
      </c>
      <c r="F425" s="121" t="s">
        <v>1389</v>
      </c>
      <c r="G425" s="119" t="s">
        <v>1433</v>
      </c>
      <c r="H425" s="128" t="s">
        <v>844</v>
      </c>
      <c r="I425" s="121" t="s">
        <v>1903</v>
      </c>
      <c r="J425" s="129">
        <v>44074</v>
      </c>
      <c r="K425" s="22"/>
    </row>
    <row r="426" spans="1:11" s="66" customFormat="1" ht="14.25" customHeight="1">
      <c r="A426" s="138" t="s">
        <v>2856</v>
      </c>
      <c r="B426" s="123">
        <v>3136</v>
      </c>
      <c r="C426" s="118" t="s">
        <v>2128</v>
      </c>
      <c r="D426" s="119" t="s">
        <v>1044</v>
      </c>
      <c r="E426" s="128" t="s">
        <v>438</v>
      </c>
      <c r="F426" s="121" t="s">
        <v>1391</v>
      </c>
      <c r="G426" s="119" t="s">
        <v>1433</v>
      </c>
      <c r="H426" s="128" t="s">
        <v>549</v>
      </c>
      <c r="I426" s="121" t="s">
        <v>1917</v>
      </c>
      <c r="J426" s="129">
        <v>44074</v>
      </c>
      <c r="K426" s="22"/>
    </row>
    <row r="427" spans="1:11" s="66" customFormat="1" ht="14.25" customHeight="1">
      <c r="A427" s="138" t="s">
        <v>2857</v>
      </c>
      <c r="B427" s="123">
        <v>3129</v>
      </c>
      <c r="C427" s="118" t="s">
        <v>2128</v>
      </c>
      <c r="D427" s="119" t="s">
        <v>1044</v>
      </c>
      <c r="E427" s="128" t="s">
        <v>318</v>
      </c>
      <c r="F427" s="121" t="s">
        <v>2806</v>
      </c>
      <c r="G427" s="119" t="s">
        <v>1433</v>
      </c>
      <c r="H427" s="128" t="s">
        <v>1325</v>
      </c>
      <c r="I427" s="121" t="s">
        <v>2159</v>
      </c>
      <c r="J427" s="129">
        <v>44074</v>
      </c>
      <c r="K427" s="22"/>
    </row>
    <row r="428" spans="1:11" s="66" customFormat="1" ht="14.25" customHeight="1">
      <c r="A428" s="138" t="s">
        <v>2855</v>
      </c>
      <c r="B428" s="123">
        <v>3168</v>
      </c>
      <c r="C428" s="118" t="s">
        <v>2128</v>
      </c>
      <c r="D428" s="119" t="s">
        <v>1044</v>
      </c>
      <c r="E428" s="128" t="s">
        <v>1081</v>
      </c>
      <c r="F428" s="121" t="s">
        <v>2547</v>
      </c>
      <c r="G428" s="119" t="s">
        <v>1433</v>
      </c>
      <c r="H428" s="128" t="s">
        <v>549</v>
      </c>
      <c r="I428" s="121" t="s">
        <v>1917</v>
      </c>
      <c r="J428" s="129">
        <v>44074</v>
      </c>
      <c r="K428" s="22"/>
    </row>
    <row r="429" spans="1:11" s="66" customFormat="1" ht="14.25" customHeight="1">
      <c r="A429" s="138" t="s">
        <v>2896</v>
      </c>
      <c r="B429" s="123">
        <v>70548</v>
      </c>
      <c r="C429" s="118" t="s">
        <v>643</v>
      </c>
      <c r="D429" s="119" t="s">
        <v>1044</v>
      </c>
      <c r="E429" s="128" t="s">
        <v>597</v>
      </c>
      <c r="F429" s="121" t="s">
        <v>1902</v>
      </c>
      <c r="G429" s="119" t="s">
        <v>1433</v>
      </c>
      <c r="H429" s="128" t="s">
        <v>1325</v>
      </c>
      <c r="I429" s="121" t="s">
        <v>2159</v>
      </c>
      <c r="J429" s="129">
        <v>44074</v>
      </c>
      <c r="K429" s="22"/>
    </row>
    <row r="430" spans="1:11" s="66" customFormat="1" ht="14.25" customHeight="1">
      <c r="A430" s="138" t="s">
        <v>2860</v>
      </c>
      <c r="B430" s="123">
        <v>64487</v>
      </c>
      <c r="C430" s="118" t="s">
        <v>643</v>
      </c>
      <c r="D430" s="119" t="s">
        <v>1044</v>
      </c>
      <c r="E430" s="128" t="s">
        <v>596</v>
      </c>
      <c r="F430" s="121" t="s">
        <v>2277</v>
      </c>
      <c r="G430" s="119" t="s">
        <v>1433</v>
      </c>
      <c r="H430" s="128" t="s">
        <v>844</v>
      </c>
      <c r="I430" s="121" t="s">
        <v>1903</v>
      </c>
      <c r="J430" s="129">
        <v>44074</v>
      </c>
      <c r="K430" s="22"/>
    </row>
    <row r="431" spans="1:11" s="66" customFormat="1" ht="14.25" customHeight="1">
      <c r="A431" s="138" t="s">
        <v>2854</v>
      </c>
      <c r="B431" s="123">
        <v>3090</v>
      </c>
      <c r="C431" s="118" t="s">
        <v>451</v>
      </c>
      <c r="D431" s="119" t="s">
        <v>1044</v>
      </c>
      <c r="E431" s="128" t="s">
        <v>772</v>
      </c>
      <c r="F431" s="121" t="s">
        <v>1389</v>
      </c>
      <c r="G431" s="119" t="s">
        <v>1433</v>
      </c>
      <c r="H431" s="128" t="s">
        <v>549</v>
      </c>
      <c r="I431" s="121" t="s">
        <v>1917</v>
      </c>
      <c r="J431" s="129">
        <v>44074</v>
      </c>
      <c r="K431" s="22"/>
    </row>
    <row r="432" spans="1:11" s="66" customFormat="1" ht="14.25" customHeight="1">
      <c r="A432" s="138" t="s">
        <v>2859</v>
      </c>
      <c r="B432" s="123">
        <v>2077</v>
      </c>
      <c r="C432" s="118" t="s">
        <v>223</v>
      </c>
      <c r="D432" s="119" t="s">
        <v>1044</v>
      </c>
      <c r="E432" s="128" t="s">
        <v>1081</v>
      </c>
      <c r="F432" s="121" t="s">
        <v>2547</v>
      </c>
      <c r="G432" s="119" t="s">
        <v>1433</v>
      </c>
      <c r="H432" s="128" t="s">
        <v>844</v>
      </c>
      <c r="I432" s="121" t="s">
        <v>1903</v>
      </c>
      <c r="J432" s="129">
        <v>44074</v>
      </c>
      <c r="K432" s="22"/>
    </row>
    <row r="433" spans="1:11" s="66" customFormat="1" ht="14.25" customHeight="1">
      <c r="A433" s="138" t="s">
        <v>1959</v>
      </c>
      <c r="B433" s="123">
        <v>2924</v>
      </c>
      <c r="C433" s="118" t="s">
        <v>451</v>
      </c>
      <c r="D433" s="119" t="s">
        <v>2283</v>
      </c>
      <c r="E433" s="128" t="s">
        <v>2448</v>
      </c>
      <c r="F433" s="121" t="s">
        <v>1907</v>
      </c>
      <c r="G433" s="119" t="s">
        <v>1433</v>
      </c>
      <c r="H433" s="128" t="s">
        <v>1325</v>
      </c>
      <c r="I433" s="121" t="s">
        <v>2159</v>
      </c>
      <c r="J433" s="129">
        <v>44074</v>
      </c>
      <c r="K433" s="22"/>
    </row>
    <row r="434" spans="1:11" s="66" customFormat="1" ht="14.25" customHeight="1">
      <c r="A434" s="138" t="s">
        <v>2830</v>
      </c>
      <c r="B434" s="123">
        <v>2595</v>
      </c>
      <c r="C434" s="118" t="s">
        <v>2037</v>
      </c>
      <c r="D434" s="119" t="s">
        <v>1044</v>
      </c>
      <c r="E434" s="128" t="s">
        <v>772</v>
      </c>
      <c r="F434" s="121" t="s">
        <v>1389</v>
      </c>
      <c r="G434" s="119" t="s">
        <v>1044</v>
      </c>
      <c r="H434" s="128" t="s">
        <v>597</v>
      </c>
      <c r="I434" s="121" t="s">
        <v>1902</v>
      </c>
      <c r="J434" s="129">
        <v>44074</v>
      </c>
      <c r="K434" s="22"/>
    </row>
    <row r="435" spans="1:11" s="66" customFormat="1" ht="14.25" customHeight="1">
      <c r="A435" s="138" t="s">
        <v>2877</v>
      </c>
      <c r="B435" s="123">
        <v>3198</v>
      </c>
      <c r="C435" s="118" t="s">
        <v>2128</v>
      </c>
      <c r="D435" s="119" t="s">
        <v>1044</v>
      </c>
      <c r="E435" s="128" t="s">
        <v>1264</v>
      </c>
      <c r="F435" s="121" t="s">
        <v>1396</v>
      </c>
      <c r="G435" s="119" t="s">
        <v>1044</v>
      </c>
      <c r="H435" s="128" t="s">
        <v>238</v>
      </c>
      <c r="I435" s="121" t="s">
        <v>1584</v>
      </c>
      <c r="J435" s="129">
        <v>44074</v>
      </c>
      <c r="K435" s="22"/>
    </row>
    <row r="436" spans="1:11" s="66" customFormat="1" ht="14.25" customHeight="1">
      <c r="A436" s="138" t="s">
        <v>2794</v>
      </c>
      <c r="B436" s="123">
        <v>3093</v>
      </c>
      <c r="C436" s="118" t="s">
        <v>2128</v>
      </c>
      <c r="D436" s="119" t="s">
        <v>1044</v>
      </c>
      <c r="E436" s="128" t="s">
        <v>597</v>
      </c>
      <c r="F436" s="121" t="s">
        <v>1902</v>
      </c>
      <c r="G436" s="119" t="s">
        <v>1044</v>
      </c>
      <c r="H436" s="128" t="s">
        <v>437</v>
      </c>
      <c r="I436" s="121" t="s">
        <v>342</v>
      </c>
      <c r="J436" s="129">
        <v>44074</v>
      </c>
      <c r="K436" s="22"/>
    </row>
    <row r="437" spans="1:11" s="66" customFormat="1" ht="14.25" customHeight="1">
      <c r="A437" s="138" t="s">
        <v>2193</v>
      </c>
      <c r="B437" s="123">
        <v>3032</v>
      </c>
      <c r="C437" s="118" t="s">
        <v>2128</v>
      </c>
      <c r="D437" s="119" t="s">
        <v>1044</v>
      </c>
      <c r="E437" s="128" t="s">
        <v>597</v>
      </c>
      <c r="F437" s="121" t="s">
        <v>1902</v>
      </c>
      <c r="G437" s="119" t="s">
        <v>1044</v>
      </c>
      <c r="H437" s="128" t="s">
        <v>238</v>
      </c>
      <c r="I437" s="121" t="s">
        <v>1584</v>
      </c>
      <c r="J437" s="129">
        <v>44074</v>
      </c>
      <c r="K437" s="22"/>
    </row>
    <row r="438" spans="1:11" s="66" customFormat="1" ht="14.25" customHeight="1">
      <c r="A438" s="138" t="s">
        <v>2886</v>
      </c>
      <c r="B438" s="123">
        <v>3169</v>
      </c>
      <c r="C438" s="118" t="s">
        <v>2128</v>
      </c>
      <c r="D438" s="119" t="s">
        <v>1044</v>
      </c>
      <c r="E438" s="128" t="s">
        <v>602</v>
      </c>
      <c r="F438" s="121" t="s">
        <v>1392</v>
      </c>
      <c r="G438" s="119" t="s">
        <v>1044</v>
      </c>
      <c r="H438" s="128" t="s">
        <v>238</v>
      </c>
      <c r="I438" s="121" t="s">
        <v>1584</v>
      </c>
      <c r="J438" s="129">
        <v>44074</v>
      </c>
      <c r="K438" s="22"/>
    </row>
    <row r="439" spans="1:11" s="66" customFormat="1" ht="14.25" customHeight="1">
      <c r="A439" s="138" t="s">
        <v>2889</v>
      </c>
      <c r="B439" s="123">
        <v>64512</v>
      </c>
      <c r="C439" s="118" t="s">
        <v>643</v>
      </c>
      <c r="D439" s="119" t="s">
        <v>1044</v>
      </c>
      <c r="E439" s="128" t="s">
        <v>1483</v>
      </c>
      <c r="F439" s="121" t="s">
        <v>2406</v>
      </c>
      <c r="G439" s="119" t="s">
        <v>1044</v>
      </c>
      <c r="H439" s="128" t="s">
        <v>238</v>
      </c>
      <c r="I439" s="121" t="s">
        <v>1584</v>
      </c>
      <c r="J439" s="129">
        <v>44074</v>
      </c>
      <c r="K439" s="22"/>
    </row>
    <row r="440" spans="1:11" s="66" customFormat="1" ht="14.25" customHeight="1">
      <c r="A440" s="138" t="s">
        <v>2888</v>
      </c>
      <c r="B440" s="123">
        <v>64513</v>
      </c>
      <c r="C440" s="118" t="s">
        <v>643</v>
      </c>
      <c r="D440" s="119" t="s">
        <v>1044</v>
      </c>
      <c r="E440" s="128" t="s">
        <v>597</v>
      </c>
      <c r="F440" s="121" t="s">
        <v>1902</v>
      </c>
      <c r="G440" s="119" t="s">
        <v>1044</v>
      </c>
      <c r="H440" s="128" t="s">
        <v>238</v>
      </c>
      <c r="I440" s="121" t="s">
        <v>1584</v>
      </c>
      <c r="J440" s="129">
        <v>44074</v>
      </c>
      <c r="K440" s="22"/>
    </row>
    <row r="441" spans="1:11" s="66" customFormat="1" ht="14.25" customHeight="1">
      <c r="A441" s="138" t="s">
        <v>2879</v>
      </c>
      <c r="B441" s="123">
        <v>977</v>
      </c>
      <c r="C441" s="118" t="s">
        <v>1339</v>
      </c>
      <c r="D441" s="119" t="s">
        <v>1044</v>
      </c>
      <c r="E441" s="128" t="s">
        <v>1264</v>
      </c>
      <c r="F441" s="121" t="s">
        <v>1396</v>
      </c>
      <c r="G441" s="119" t="s">
        <v>1044</v>
      </c>
      <c r="H441" s="128" t="s">
        <v>238</v>
      </c>
      <c r="I441" s="121" t="s">
        <v>1584</v>
      </c>
      <c r="J441" s="129">
        <v>44074</v>
      </c>
      <c r="K441" s="22"/>
    </row>
    <row r="442" spans="1:11" s="66" customFormat="1" ht="14.25" customHeight="1">
      <c r="A442" s="138" t="s">
        <v>2887</v>
      </c>
      <c r="B442" s="123">
        <v>1662</v>
      </c>
      <c r="C442" s="118" t="s">
        <v>451</v>
      </c>
      <c r="D442" s="119" t="s">
        <v>1044</v>
      </c>
      <c r="E442" s="128" t="s">
        <v>597</v>
      </c>
      <c r="F442" s="121" t="s">
        <v>1902</v>
      </c>
      <c r="G442" s="119" t="s">
        <v>1044</v>
      </c>
      <c r="H442" s="128" t="s">
        <v>238</v>
      </c>
      <c r="I442" s="121" t="s">
        <v>1584</v>
      </c>
      <c r="J442" s="129">
        <v>44074</v>
      </c>
      <c r="K442" s="22"/>
    </row>
    <row r="443" spans="1:11" s="66" customFormat="1" ht="14.25" customHeight="1">
      <c r="A443" s="138" t="s">
        <v>2878</v>
      </c>
      <c r="B443" s="123">
        <v>2965</v>
      </c>
      <c r="C443" s="118" t="s">
        <v>451</v>
      </c>
      <c r="D443" s="119" t="s">
        <v>1044</v>
      </c>
      <c r="E443" s="128" t="s">
        <v>596</v>
      </c>
      <c r="F443" s="121" t="s">
        <v>2277</v>
      </c>
      <c r="G443" s="119" t="s">
        <v>1044</v>
      </c>
      <c r="H443" s="128" t="s">
        <v>238</v>
      </c>
      <c r="I443" s="121" t="s">
        <v>1584</v>
      </c>
      <c r="J443" s="129">
        <v>44074</v>
      </c>
      <c r="K443" s="22"/>
    </row>
    <row r="444" spans="1:11" s="66" customFormat="1" ht="14.25" customHeight="1">
      <c r="A444" s="138" t="s">
        <v>2895</v>
      </c>
      <c r="B444" s="123">
        <v>3087</v>
      </c>
      <c r="C444" s="118" t="s">
        <v>451</v>
      </c>
      <c r="D444" s="119" t="s">
        <v>1044</v>
      </c>
      <c r="E444" s="128" t="s">
        <v>602</v>
      </c>
      <c r="F444" s="121" t="s">
        <v>1392</v>
      </c>
      <c r="G444" s="119" t="s">
        <v>1044</v>
      </c>
      <c r="H444" s="128" t="s">
        <v>178</v>
      </c>
      <c r="I444" s="121" t="s">
        <v>1556</v>
      </c>
      <c r="J444" s="129">
        <v>44074</v>
      </c>
      <c r="K444" s="22"/>
    </row>
    <row r="445" spans="1:11" s="66" customFormat="1" ht="14.25" customHeight="1">
      <c r="A445" s="138" t="s">
        <v>2893</v>
      </c>
      <c r="B445" s="123">
        <v>1174</v>
      </c>
      <c r="C445" s="118" t="s">
        <v>451</v>
      </c>
      <c r="D445" s="119" t="s">
        <v>1044</v>
      </c>
      <c r="E445" s="128" t="s">
        <v>595</v>
      </c>
      <c r="F445" s="121" t="s">
        <v>1906</v>
      </c>
      <c r="G445" s="119" t="s">
        <v>1044</v>
      </c>
      <c r="H445" s="128" t="s">
        <v>238</v>
      </c>
      <c r="I445" s="121" t="s">
        <v>1584</v>
      </c>
      <c r="J445" s="129">
        <v>44074</v>
      </c>
      <c r="K445" s="22"/>
    </row>
    <row r="446" spans="1:11" s="66" customFormat="1" ht="14.25" customHeight="1">
      <c r="A446" s="138" t="s">
        <v>2891</v>
      </c>
      <c r="B446" s="123">
        <v>2994</v>
      </c>
      <c r="C446" s="118" t="s">
        <v>451</v>
      </c>
      <c r="D446" s="119" t="s">
        <v>1044</v>
      </c>
      <c r="E446" s="128" t="s">
        <v>597</v>
      </c>
      <c r="F446" s="121" t="s">
        <v>1902</v>
      </c>
      <c r="G446" s="119" t="s">
        <v>1044</v>
      </c>
      <c r="H446" s="128" t="s">
        <v>238</v>
      </c>
      <c r="I446" s="121" t="s">
        <v>1584</v>
      </c>
      <c r="J446" s="129">
        <v>44074</v>
      </c>
      <c r="K446" s="22"/>
    </row>
    <row r="447" spans="1:11" s="66" customFormat="1" ht="14.25" customHeight="1">
      <c r="A447" s="138" t="s">
        <v>2892</v>
      </c>
      <c r="B447" s="123">
        <v>2963</v>
      </c>
      <c r="C447" s="118" t="s">
        <v>451</v>
      </c>
      <c r="D447" s="119" t="s">
        <v>1044</v>
      </c>
      <c r="E447" s="128" t="s">
        <v>1483</v>
      </c>
      <c r="F447" s="121" t="s">
        <v>2406</v>
      </c>
      <c r="G447" s="119" t="s">
        <v>1044</v>
      </c>
      <c r="H447" s="128" t="s">
        <v>238</v>
      </c>
      <c r="I447" s="121" t="s">
        <v>1584</v>
      </c>
      <c r="J447" s="129">
        <v>44074</v>
      </c>
      <c r="K447" s="22"/>
    </row>
    <row r="448" spans="1:11" s="66" customFormat="1" ht="14.25" customHeight="1">
      <c r="A448" s="138" t="s">
        <v>2872</v>
      </c>
      <c r="B448" s="123">
        <v>1454</v>
      </c>
      <c r="C448" s="118" t="s">
        <v>223</v>
      </c>
      <c r="D448" s="119" t="s">
        <v>1044</v>
      </c>
      <c r="E448" s="128" t="s">
        <v>772</v>
      </c>
      <c r="F448" s="121" t="s">
        <v>1389</v>
      </c>
      <c r="G448" s="119" t="s">
        <v>1044</v>
      </c>
      <c r="H448" s="128" t="s">
        <v>238</v>
      </c>
      <c r="I448" s="121" t="s">
        <v>1584</v>
      </c>
      <c r="J448" s="129">
        <v>44074</v>
      </c>
      <c r="K448" s="22"/>
    </row>
    <row r="449" spans="1:11" s="66" customFormat="1" ht="14.25" customHeight="1">
      <c r="A449" s="138" t="s">
        <v>2862</v>
      </c>
      <c r="B449" s="123">
        <v>1256</v>
      </c>
      <c r="C449" s="118" t="s">
        <v>223</v>
      </c>
      <c r="D449" s="119" t="s">
        <v>1044</v>
      </c>
      <c r="E449" s="128" t="s">
        <v>1264</v>
      </c>
      <c r="F449" s="121" t="s">
        <v>1396</v>
      </c>
      <c r="G449" s="119" t="s">
        <v>1044</v>
      </c>
      <c r="H449" s="128" t="s">
        <v>238</v>
      </c>
      <c r="I449" s="121" t="s">
        <v>1584</v>
      </c>
      <c r="J449" s="129">
        <v>44074</v>
      </c>
      <c r="K449" s="22"/>
    </row>
    <row r="450" spans="1:11" s="66" customFormat="1" ht="14.25" customHeight="1">
      <c r="A450" s="138" t="s">
        <v>2894</v>
      </c>
      <c r="B450" s="123">
        <v>2560</v>
      </c>
      <c r="C450" s="118" t="s">
        <v>223</v>
      </c>
      <c r="D450" s="167" t="s">
        <v>1044</v>
      </c>
      <c r="E450" s="128" t="s">
        <v>178</v>
      </c>
      <c r="F450" s="121" t="s">
        <v>1556</v>
      </c>
      <c r="G450" s="167" t="s">
        <v>1044</v>
      </c>
      <c r="H450" s="128" t="s">
        <v>238</v>
      </c>
      <c r="I450" s="121" t="s">
        <v>1584</v>
      </c>
      <c r="J450" s="129">
        <v>44074</v>
      </c>
      <c r="K450" s="22"/>
    </row>
    <row r="451" spans="1:11" s="66" customFormat="1" ht="14.25" customHeight="1">
      <c r="A451" s="138" t="s">
        <v>2876</v>
      </c>
      <c r="B451" s="123">
        <v>2556</v>
      </c>
      <c r="C451" s="118" t="s">
        <v>223</v>
      </c>
      <c r="D451" s="119" t="s">
        <v>1044</v>
      </c>
      <c r="E451" s="128" t="s">
        <v>318</v>
      </c>
      <c r="F451" s="121" t="s">
        <v>2806</v>
      </c>
      <c r="G451" s="119" t="s">
        <v>1044</v>
      </c>
      <c r="H451" s="128" t="s">
        <v>238</v>
      </c>
      <c r="I451" s="121" t="s">
        <v>1584</v>
      </c>
      <c r="J451" s="129">
        <v>44074</v>
      </c>
      <c r="K451" s="22"/>
    </row>
    <row r="452" spans="1:11" ht="14.25" customHeight="1">
      <c r="A452" s="138" t="s">
        <v>2861</v>
      </c>
      <c r="B452" s="123">
        <v>3221</v>
      </c>
      <c r="C452" s="118" t="s">
        <v>2128</v>
      </c>
      <c r="D452" s="167" t="s">
        <v>1044</v>
      </c>
      <c r="E452" s="128" t="s">
        <v>772</v>
      </c>
      <c r="F452" s="121" t="s">
        <v>1389</v>
      </c>
      <c r="G452" s="167" t="s">
        <v>1324</v>
      </c>
      <c r="H452" s="128" t="s">
        <v>601</v>
      </c>
      <c r="I452" s="121" t="s">
        <v>2064</v>
      </c>
      <c r="J452" s="129">
        <v>44074</v>
      </c>
      <c r="K452" s="22"/>
    </row>
    <row r="453" spans="1:11" ht="14.25" customHeight="1">
      <c r="A453" s="138" t="s">
        <v>2883</v>
      </c>
      <c r="B453" s="123">
        <v>70568</v>
      </c>
      <c r="C453" s="118" t="s">
        <v>643</v>
      </c>
      <c r="D453" s="119" t="s">
        <v>1044</v>
      </c>
      <c r="E453" s="128" t="s">
        <v>602</v>
      </c>
      <c r="F453" s="121" t="s">
        <v>1392</v>
      </c>
      <c r="G453" s="119" t="s">
        <v>1324</v>
      </c>
      <c r="H453" s="128" t="s">
        <v>601</v>
      </c>
      <c r="I453" s="121" t="s">
        <v>2064</v>
      </c>
      <c r="J453" s="129">
        <v>44074</v>
      </c>
      <c r="K453" s="22"/>
    </row>
    <row r="454" spans="1:11" ht="14.25" customHeight="1">
      <c r="A454" s="138" t="s">
        <v>2880</v>
      </c>
      <c r="B454" s="123">
        <v>64458</v>
      </c>
      <c r="C454" s="118" t="s">
        <v>643</v>
      </c>
      <c r="D454" s="119" t="s">
        <v>1044</v>
      </c>
      <c r="E454" s="128" t="s">
        <v>597</v>
      </c>
      <c r="F454" s="121" t="s">
        <v>1902</v>
      </c>
      <c r="G454" s="119" t="s">
        <v>1324</v>
      </c>
      <c r="H454" s="128" t="s">
        <v>601</v>
      </c>
      <c r="I454" s="121" t="s">
        <v>2064</v>
      </c>
      <c r="J454" s="129">
        <v>44074</v>
      </c>
      <c r="K454" s="22"/>
    </row>
    <row r="455" spans="1:11" ht="14.25" customHeight="1">
      <c r="A455" s="138" t="s">
        <v>2882</v>
      </c>
      <c r="B455" s="123">
        <v>2101</v>
      </c>
      <c r="C455" s="118" t="s">
        <v>451</v>
      </c>
      <c r="D455" s="119" t="s">
        <v>1044</v>
      </c>
      <c r="E455" s="128" t="s">
        <v>602</v>
      </c>
      <c r="F455" s="121" t="s">
        <v>1392</v>
      </c>
      <c r="G455" s="119" t="s">
        <v>1324</v>
      </c>
      <c r="H455" s="128" t="s">
        <v>601</v>
      </c>
      <c r="I455" s="121" t="s">
        <v>2064</v>
      </c>
      <c r="J455" s="129">
        <v>44074</v>
      </c>
      <c r="K455" s="22"/>
    </row>
    <row r="456" spans="1:11" ht="14.25" customHeight="1">
      <c r="A456" s="138" t="s">
        <v>2190</v>
      </c>
      <c r="B456" s="123">
        <v>3030</v>
      </c>
      <c r="C456" s="118" t="s">
        <v>451</v>
      </c>
      <c r="D456" s="119" t="s">
        <v>1044</v>
      </c>
      <c r="E456" s="128" t="s">
        <v>772</v>
      </c>
      <c r="F456" s="121" t="s">
        <v>1389</v>
      </c>
      <c r="G456" s="119" t="s">
        <v>1324</v>
      </c>
      <c r="H456" s="128" t="s">
        <v>601</v>
      </c>
      <c r="I456" s="121" t="s">
        <v>2064</v>
      </c>
      <c r="J456" s="129">
        <v>44074</v>
      </c>
      <c r="K456" s="22"/>
    </row>
    <row r="457" spans="1:11" ht="14.25" customHeight="1">
      <c r="A457" s="138" t="s">
        <v>2863</v>
      </c>
      <c r="B457" s="123">
        <v>1858</v>
      </c>
      <c r="C457" s="118" t="s">
        <v>223</v>
      </c>
      <c r="D457" s="119" t="s">
        <v>1044</v>
      </c>
      <c r="E457" s="128" t="s">
        <v>596</v>
      </c>
      <c r="F457" s="121" t="s">
        <v>2277</v>
      </c>
      <c r="G457" s="119" t="s">
        <v>1324</v>
      </c>
      <c r="H457" s="128" t="s">
        <v>601</v>
      </c>
      <c r="I457" s="121" t="s">
        <v>2064</v>
      </c>
      <c r="J457" s="129">
        <v>44074</v>
      </c>
      <c r="K457" s="22"/>
    </row>
    <row r="458" spans="1:11" ht="14.25" customHeight="1">
      <c r="A458" s="138" t="s">
        <v>1544</v>
      </c>
      <c r="B458" s="123">
        <v>2247</v>
      </c>
      <c r="C458" s="118" t="s">
        <v>223</v>
      </c>
      <c r="D458" s="119" t="s">
        <v>1044</v>
      </c>
      <c r="E458" s="128" t="s">
        <v>595</v>
      </c>
      <c r="F458" s="121" t="s">
        <v>1906</v>
      </c>
      <c r="G458" s="119" t="s">
        <v>1324</v>
      </c>
      <c r="H458" s="128" t="s">
        <v>601</v>
      </c>
      <c r="I458" s="121" t="s">
        <v>2064</v>
      </c>
      <c r="J458" s="129">
        <v>44074</v>
      </c>
      <c r="K458" s="22"/>
    </row>
    <row r="459" spans="1:11" ht="14.25" customHeight="1">
      <c r="A459" s="138" t="s">
        <v>2881</v>
      </c>
      <c r="B459" s="123">
        <v>974</v>
      </c>
      <c r="C459" s="118" t="s">
        <v>223</v>
      </c>
      <c r="D459" s="119" t="s">
        <v>1044</v>
      </c>
      <c r="E459" s="128" t="s">
        <v>597</v>
      </c>
      <c r="F459" s="121" t="s">
        <v>1902</v>
      </c>
      <c r="G459" s="119" t="s">
        <v>1324</v>
      </c>
      <c r="H459" s="128" t="s">
        <v>601</v>
      </c>
      <c r="I459" s="121" t="s">
        <v>2064</v>
      </c>
      <c r="J459" s="129">
        <v>44074</v>
      </c>
      <c r="K459" s="22"/>
    </row>
    <row r="460" spans="1:11" ht="14.25" customHeight="1">
      <c r="A460" s="138" t="s">
        <v>1375</v>
      </c>
      <c r="B460" s="123">
        <v>1089</v>
      </c>
      <c r="C460" s="118" t="s">
        <v>2037</v>
      </c>
      <c r="D460" s="119" t="s">
        <v>1324</v>
      </c>
      <c r="E460" s="128" t="s">
        <v>1350</v>
      </c>
      <c r="F460" s="121" t="s">
        <v>1378</v>
      </c>
      <c r="G460" s="119" t="s">
        <v>1324</v>
      </c>
      <c r="H460" s="128" t="s">
        <v>1335</v>
      </c>
      <c r="I460" s="121" t="s">
        <v>1379</v>
      </c>
      <c r="J460" s="129">
        <v>44074</v>
      </c>
      <c r="K460" s="22"/>
    </row>
    <row r="461" spans="1:11" ht="14.25" customHeight="1">
      <c r="A461" s="138" t="s">
        <v>1374</v>
      </c>
      <c r="B461" s="123">
        <v>338</v>
      </c>
      <c r="C461" s="118" t="s">
        <v>1585</v>
      </c>
      <c r="D461" s="119" t="s">
        <v>1324</v>
      </c>
      <c r="E461" s="128" t="s">
        <v>1335</v>
      </c>
      <c r="F461" s="121" t="s">
        <v>1379</v>
      </c>
      <c r="G461" s="119" t="s">
        <v>1324</v>
      </c>
      <c r="H461" s="128" t="s">
        <v>1350</v>
      </c>
      <c r="I461" s="121" t="s">
        <v>1379</v>
      </c>
      <c r="J461" s="129">
        <v>44074</v>
      </c>
      <c r="K461" s="22"/>
    </row>
    <row r="462" spans="1:11" ht="14.25" customHeight="1">
      <c r="A462" s="138" t="s">
        <v>2884</v>
      </c>
      <c r="B462" s="123">
        <v>3071</v>
      </c>
      <c r="C462" s="118" t="s">
        <v>451</v>
      </c>
      <c r="D462" s="119" t="s">
        <v>1324</v>
      </c>
      <c r="E462" s="128" t="s">
        <v>601</v>
      </c>
      <c r="F462" s="121" t="s">
        <v>2064</v>
      </c>
      <c r="G462" s="119" t="s">
        <v>1324</v>
      </c>
      <c r="H462" s="128" t="s">
        <v>1336</v>
      </c>
      <c r="I462" s="121" t="s">
        <v>1379</v>
      </c>
      <c r="J462" s="129">
        <v>44074</v>
      </c>
      <c r="K462" s="22"/>
    </row>
    <row r="463" spans="1:11" ht="14.25" customHeight="1">
      <c r="A463" s="138" t="s">
        <v>2864</v>
      </c>
      <c r="B463" s="123">
        <v>562</v>
      </c>
      <c r="C463" s="118" t="s">
        <v>223</v>
      </c>
      <c r="D463" s="119" t="s">
        <v>1324</v>
      </c>
      <c r="E463" s="128" t="s">
        <v>1335</v>
      </c>
      <c r="F463" s="121" t="s">
        <v>1379</v>
      </c>
      <c r="G463" s="119" t="s">
        <v>1324</v>
      </c>
      <c r="H463" s="128" t="s">
        <v>1350</v>
      </c>
      <c r="I463" s="121" t="s">
        <v>1379</v>
      </c>
      <c r="J463" s="129">
        <v>44074</v>
      </c>
      <c r="K463" s="22"/>
    </row>
    <row r="464" spans="1:11" ht="14.25" customHeight="1">
      <c r="A464" s="138" t="s">
        <v>2829</v>
      </c>
      <c r="B464" s="123">
        <v>2179</v>
      </c>
      <c r="C464" s="118" t="s">
        <v>223</v>
      </c>
      <c r="D464" s="119" t="s">
        <v>2283</v>
      </c>
      <c r="E464" s="128" t="s">
        <v>2797</v>
      </c>
      <c r="F464" s="121" t="s">
        <v>534</v>
      </c>
      <c r="G464" s="119" t="s">
        <v>2283</v>
      </c>
      <c r="H464" s="128" t="s">
        <v>2323</v>
      </c>
      <c r="I464" s="121" t="s">
        <v>1904</v>
      </c>
      <c r="J464" s="129">
        <v>44074</v>
      </c>
      <c r="K464" s="22"/>
    </row>
    <row r="465" spans="1:11" ht="14.25" customHeight="1">
      <c r="A465" s="138" t="s">
        <v>2842</v>
      </c>
      <c r="B465" s="123">
        <v>64502</v>
      </c>
      <c r="C465" s="118" t="s">
        <v>643</v>
      </c>
      <c r="D465" s="119" t="s">
        <v>2014</v>
      </c>
      <c r="E465" s="128" t="s">
        <v>1090</v>
      </c>
      <c r="F465" s="121" t="s">
        <v>1908</v>
      </c>
      <c r="G465" s="119" t="s">
        <v>2283</v>
      </c>
      <c r="H465" s="128" t="s">
        <v>2323</v>
      </c>
      <c r="I465" s="121" t="s">
        <v>1904</v>
      </c>
      <c r="J465" s="129">
        <v>44074</v>
      </c>
      <c r="K465" s="22"/>
    </row>
    <row r="466" spans="1:11" ht="14.25" customHeight="1">
      <c r="A466" s="138" t="s">
        <v>2873</v>
      </c>
      <c r="B466" s="123">
        <v>1857</v>
      </c>
      <c r="C466" s="118" t="s">
        <v>451</v>
      </c>
      <c r="D466" s="119" t="s">
        <v>1044</v>
      </c>
      <c r="E466" s="128" t="s">
        <v>772</v>
      </c>
      <c r="F466" s="121" t="s">
        <v>1389</v>
      </c>
      <c r="G466" s="119" t="s">
        <v>2283</v>
      </c>
      <c r="H466" s="128" t="s">
        <v>2448</v>
      </c>
      <c r="I466" s="121" t="s">
        <v>1907</v>
      </c>
      <c r="J466" s="129">
        <v>44074</v>
      </c>
      <c r="K466" s="22"/>
    </row>
    <row r="467" spans="1:11" ht="14.25" customHeight="1">
      <c r="A467" s="138" t="s">
        <v>2850</v>
      </c>
      <c r="B467" s="123">
        <v>64522</v>
      </c>
      <c r="C467" s="118" t="s">
        <v>643</v>
      </c>
      <c r="D467" s="119" t="s">
        <v>2014</v>
      </c>
      <c r="E467" s="128" t="s">
        <v>1262</v>
      </c>
      <c r="F467" s="121" t="s">
        <v>1383</v>
      </c>
      <c r="G467" s="119" t="s">
        <v>2014</v>
      </c>
      <c r="H467" s="128" t="s">
        <v>220</v>
      </c>
      <c r="I467" s="121" t="s">
        <v>1877</v>
      </c>
      <c r="J467" s="129">
        <v>44074</v>
      </c>
      <c r="K467" s="22"/>
    </row>
    <row r="468" spans="1:11" ht="14.25" customHeight="1">
      <c r="A468" s="138" t="s">
        <v>2837</v>
      </c>
      <c r="B468" s="123">
        <v>2918</v>
      </c>
      <c r="C468" s="118" t="s">
        <v>451</v>
      </c>
      <c r="D468" s="119" t="s">
        <v>2014</v>
      </c>
      <c r="E468" s="128" t="s">
        <v>504</v>
      </c>
      <c r="F468" s="121" t="s">
        <v>347</v>
      </c>
      <c r="G468" s="119" t="s">
        <v>2014</v>
      </c>
      <c r="H468" s="128" t="s">
        <v>220</v>
      </c>
      <c r="I468" s="121" t="s">
        <v>1877</v>
      </c>
      <c r="J468" s="129">
        <v>44074</v>
      </c>
      <c r="K468" s="22"/>
    </row>
    <row r="469" spans="1:11" ht="14.25" customHeight="1">
      <c r="A469" s="138" t="s">
        <v>2840</v>
      </c>
      <c r="B469" s="123">
        <v>2968</v>
      </c>
      <c r="C469" s="118" t="s">
        <v>451</v>
      </c>
      <c r="D469" s="119" t="s">
        <v>2014</v>
      </c>
      <c r="E469" s="128" t="s">
        <v>1452</v>
      </c>
      <c r="F469" s="121" t="s">
        <v>1386</v>
      </c>
      <c r="G469" s="119" t="s">
        <v>2014</v>
      </c>
      <c r="H469" s="128" t="s">
        <v>220</v>
      </c>
      <c r="I469" s="121" t="s">
        <v>1877</v>
      </c>
      <c r="J469" s="129">
        <v>44074</v>
      </c>
      <c r="K469" s="22"/>
    </row>
    <row r="470" spans="1:11" ht="14.25" customHeight="1">
      <c r="A470" s="138" t="s">
        <v>2843</v>
      </c>
      <c r="B470" s="123">
        <v>1416</v>
      </c>
      <c r="C470" s="118" t="s">
        <v>223</v>
      </c>
      <c r="D470" s="119" t="s">
        <v>2014</v>
      </c>
      <c r="E470" s="128" t="s">
        <v>1090</v>
      </c>
      <c r="F470" s="121" t="s">
        <v>1908</v>
      </c>
      <c r="G470" s="119" t="s">
        <v>2014</v>
      </c>
      <c r="H470" s="128" t="s">
        <v>220</v>
      </c>
      <c r="I470" s="121" t="s">
        <v>1877</v>
      </c>
      <c r="J470" s="129">
        <v>44074</v>
      </c>
      <c r="K470" s="22"/>
    </row>
    <row r="471" spans="1:11" ht="14.25" customHeight="1">
      <c r="A471" s="138" t="s">
        <v>2836</v>
      </c>
      <c r="B471" s="123">
        <v>1426</v>
      </c>
      <c r="C471" s="118" t="s">
        <v>223</v>
      </c>
      <c r="D471" s="119" t="s">
        <v>2014</v>
      </c>
      <c r="E471" s="128" t="s">
        <v>435</v>
      </c>
      <c r="F471" s="121" t="s">
        <v>347</v>
      </c>
      <c r="G471" s="119" t="s">
        <v>2014</v>
      </c>
      <c r="H471" s="128" t="s">
        <v>220</v>
      </c>
      <c r="I471" s="121" t="s">
        <v>1877</v>
      </c>
      <c r="J471" s="129">
        <v>44074</v>
      </c>
      <c r="K471" s="22"/>
    </row>
    <row r="472" spans="1:11" ht="14.25" customHeight="1">
      <c r="A472" s="138" t="s">
        <v>2841</v>
      </c>
      <c r="B472" s="123">
        <v>2439</v>
      </c>
      <c r="C472" s="118" t="s">
        <v>223</v>
      </c>
      <c r="D472" s="119" t="s">
        <v>2014</v>
      </c>
      <c r="E472" s="128" t="s">
        <v>503</v>
      </c>
      <c r="F472" s="121" t="s">
        <v>1565</v>
      </c>
      <c r="G472" s="119" t="s">
        <v>2014</v>
      </c>
      <c r="H472" s="128" t="s">
        <v>220</v>
      </c>
      <c r="I472" s="121" t="s">
        <v>1877</v>
      </c>
      <c r="J472" s="129">
        <v>44074</v>
      </c>
      <c r="K472" s="22"/>
    </row>
    <row r="473" spans="1:11" ht="14.25" customHeight="1">
      <c r="A473" s="138" t="s">
        <v>2849</v>
      </c>
      <c r="B473" s="123">
        <v>1303</v>
      </c>
      <c r="C473" s="118" t="s">
        <v>451</v>
      </c>
      <c r="D473" s="119" t="s">
        <v>1435</v>
      </c>
      <c r="E473" s="128" t="s">
        <v>1289</v>
      </c>
      <c r="F473" s="121" t="s">
        <v>1568</v>
      </c>
      <c r="G473" s="119" t="s">
        <v>1435</v>
      </c>
      <c r="H473" s="128" t="s">
        <v>632</v>
      </c>
      <c r="I473" s="121" t="s">
        <v>1393</v>
      </c>
      <c r="J473" s="129">
        <v>44074</v>
      </c>
      <c r="K473" s="22"/>
    </row>
    <row r="474" spans="1:11" ht="14.25" customHeight="1">
      <c r="A474" s="138" t="s">
        <v>2848</v>
      </c>
      <c r="B474" s="123">
        <v>70546</v>
      </c>
      <c r="C474" s="118" t="s">
        <v>643</v>
      </c>
      <c r="D474" s="119" t="s">
        <v>2014</v>
      </c>
      <c r="E474" s="128" t="s">
        <v>1090</v>
      </c>
      <c r="F474" s="121" t="s">
        <v>1908</v>
      </c>
      <c r="G474" s="119" t="s">
        <v>2283</v>
      </c>
      <c r="H474" s="128" t="s">
        <v>2448</v>
      </c>
      <c r="I474" s="121" t="s">
        <v>1907</v>
      </c>
      <c r="J474" s="129">
        <v>44074</v>
      </c>
      <c r="K474" s="22"/>
    </row>
    <row r="475" spans="1:11" ht="14.25" customHeight="1">
      <c r="A475" s="138" t="s">
        <v>1387</v>
      </c>
      <c r="B475" s="123">
        <v>1907</v>
      </c>
      <c r="C475" s="118" t="s">
        <v>223</v>
      </c>
      <c r="D475" s="119" t="s">
        <v>1435</v>
      </c>
      <c r="E475" s="128" t="s">
        <v>632</v>
      </c>
      <c r="F475" s="121" t="s">
        <v>1393</v>
      </c>
      <c r="G475" s="119" t="s">
        <v>1435</v>
      </c>
      <c r="H475" s="128" t="s">
        <v>2738</v>
      </c>
      <c r="I475" s="121" t="s">
        <v>1554</v>
      </c>
      <c r="J475" s="129">
        <v>44074</v>
      </c>
      <c r="K475" s="22"/>
    </row>
    <row r="476" spans="1:11" s="66" customFormat="1" ht="14.25" customHeight="1">
      <c r="A476" s="138" t="s">
        <v>537</v>
      </c>
      <c r="B476" s="123">
        <v>1633</v>
      </c>
      <c r="C476" s="118" t="s">
        <v>223</v>
      </c>
      <c r="D476" s="119" t="s">
        <v>1435</v>
      </c>
      <c r="E476" s="128" t="s">
        <v>632</v>
      </c>
      <c r="F476" s="121" t="s">
        <v>1393</v>
      </c>
      <c r="G476" s="119" t="s">
        <v>1435</v>
      </c>
      <c r="H476" s="128" t="s">
        <v>2738</v>
      </c>
      <c r="I476" s="121" t="s">
        <v>1554</v>
      </c>
      <c r="J476" s="129">
        <v>44074</v>
      </c>
      <c r="K476" s="22"/>
    </row>
    <row r="477" spans="1:11" s="66" customFormat="1" ht="14.25" customHeight="1">
      <c r="A477" s="138" t="s">
        <v>2835</v>
      </c>
      <c r="B477" s="123">
        <v>272</v>
      </c>
      <c r="C477" s="118" t="s">
        <v>1339</v>
      </c>
      <c r="D477" s="119" t="s">
        <v>1044</v>
      </c>
      <c r="E477" s="128" t="s">
        <v>437</v>
      </c>
      <c r="F477" s="121" t="s">
        <v>342</v>
      </c>
      <c r="G477" s="119" t="s">
        <v>2588</v>
      </c>
      <c r="H477" s="128" t="s">
        <v>2772</v>
      </c>
      <c r="I477" s="121" t="s">
        <v>1390</v>
      </c>
      <c r="J477" s="129">
        <v>44074</v>
      </c>
      <c r="K477" s="22"/>
    </row>
    <row r="478" spans="1:11" s="66" customFormat="1" ht="14.25" customHeight="1">
      <c r="A478" s="138" t="s">
        <v>2847</v>
      </c>
      <c r="B478" s="123">
        <v>70551</v>
      </c>
      <c r="C478" s="118" t="s">
        <v>643</v>
      </c>
      <c r="D478" s="119" t="s">
        <v>2014</v>
      </c>
      <c r="E478" s="128" t="s">
        <v>1090</v>
      </c>
      <c r="F478" s="121" t="s">
        <v>1908</v>
      </c>
      <c r="G478" s="119" t="s">
        <v>2283</v>
      </c>
      <c r="H478" s="128" t="s">
        <v>2448</v>
      </c>
      <c r="I478" s="121" t="s">
        <v>1907</v>
      </c>
      <c r="J478" s="129">
        <v>44074</v>
      </c>
      <c r="K478" s="22"/>
    </row>
    <row r="479" spans="1:11" s="66" customFormat="1" ht="14.25" customHeight="1">
      <c r="A479" s="138" t="s">
        <v>2852</v>
      </c>
      <c r="B479" s="123">
        <v>64497</v>
      </c>
      <c r="C479" s="118" t="s">
        <v>643</v>
      </c>
      <c r="D479" s="119" t="s">
        <v>2014</v>
      </c>
      <c r="E479" s="128" t="s">
        <v>1270</v>
      </c>
      <c r="F479" s="121" t="s">
        <v>346</v>
      </c>
      <c r="G479" s="119" t="s">
        <v>2283</v>
      </c>
      <c r="H479" s="128" t="s">
        <v>2072</v>
      </c>
      <c r="I479" s="121" t="s">
        <v>1398</v>
      </c>
      <c r="J479" s="129">
        <v>44074</v>
      </c>
      <c r="K479" s="22"/>
    </row>
    <row r="480" spans="1:11" s="66" customFormat="1" ht="14.25" customHeight="1">
      <c r="A480" s="138" t="s">
        <v>2885</v>
      </c>
      <c r="B480" s="123">
        <v>2332</v>
      </c>
      <c r="C480" s="118" t="s">
        <v>451</v>
      </c>
      <c r="D480" s="119" t="s">
        <v>1044</v>
      </c>
      <c r="E480" s="128" t="s">
        <v>178</v>
      </c>
      <c r="F480" s="121" t="s">
        <v>1556</v>
      </c>
      <c r="G480" s="119" t="s">
        <v>2283</v>
      </c>
      <c r="H480" s="128" t="s">
        <v>2449</v>
      </c>
      <c r="I480" s="121" t="s">
        <v>340</v>
      </c>
      <c r="J480" s="129">
        <v>44074</v>
      </c>
      <c r="K480" s="22"/>
    </row>
    <row r="481" spans="1:11" s="66" customFormat="1" ht="14.25" customHeight="1">
      <c r="A481" s="138" t="s">
        <v>2853</v>
      </c>
      <c r="B481" s="123">
        <v>2122</v>
      </c>
      <c r="C481" s="118" t="s">
        <v>451</v>
      </c>
      <c r="D481" s="119" t="s">
        <v>2014</v>
      </c>
      <c r="E481" s="128" t="s">
        <v>503</v>
      </c>
      <c r="F481" s="121" t="s">
        <v>1565</v>
      </c>
      <c r="G481" s="119" t="s">
        <v>2283</v>
      </c>
      <c r="H481" s="128" t="s">
        <v>2069</v>
      </c>
      <c r="I481" s="121" t="s">
        <v>528</v>
      </c>
      <c r="J481" s="129">
        <v>44074</v>
      </c>
      <c r="K481" s="22"/>
    </row>
    <row r="482" spans="1:11" s="66" customFormat="1" ht="14.25" customHeight="1">
      <c r="A482" s="138" t="s">
        <v>530</v>
      </c>
      <c r="B482" s="123">
        <v>2248</v>
      </c>
      <c r="C482" s="118" t="s">
        <v>223</v>
      </c>
      <c r="D482" s="119" t="s">
        <v>2014</v>
      </c>
      <c r="E482" s="128" t="s">
        <v>1452</v>
      </c>
      <c r="F482" s="121" t="s">
        <v>1386</v>
      </c>
      <c r="G482" s="119" t="s">
        <v>2283</v>
      </c>
      <c r="H482" s="128" t="s">
        <v>2325</v>
      </c>
      <c r="I482" s="121" t="s">
        <v>345</v>
      </c>
      <c r="J482" s="129">
        <v>44074</v>
      </c>
      <c r="K482" s="22"/>
    </row>
    <row r="483" spans="1:11" s="66" customFormat="1" ht="14.25" customHeight="1">
      <c r="A483" s="138" t="s">
        <v>1966</v>
      </c>
      <c r="B483" s="123">
        <v>2910</v>
      </c>
      <c r="C483" s="118" t="s">
        <v>2128</v>
      </c>
      <c r="D483" s="119" t="s">
        <v>1044</v>
      </c>
      <c r="E483" s="128" t="s">
        <v>318</v>
      </c>
      <c r="F483" s="121" t="s">
        <v>2806</v>
      </c>
      <c r="G483" s="119" t="s">
        <v>2283</v>
      </c>
      <c r="H483" s="128" t="s">
        <v>2450</v>
      </c>
      <c r="I483" s="121" t="s">
        <v>1582</v>
      </c>
      <c r="J483" s="129">
        <v>44074</v>
      </c>
      <c r="K483" s="22"/>
    </row>
    <row r="484" spans="1:11" s="66" customFormat="1" ht="14.25" customHeight="1">
      <c r="A484" s="138" t="s">
        <v>2844</v>
      </c>
      <c r="B484" s="123">
        <v>2490</v>
      </c>
      <c r="C484" s="118" t="s">
        <v>1339</v>
      </c>
      <c r="D484" s="119" t="s">
        <v>1044</v>
      </c>
      <c r="E484" s="128" t="s">
        <v>597</v>
      </c>
      <c r="F484" s="121" t="s">
        <v>1902</v>
      </c>
      <c r="G484" s="119" t="s">
        <v>3079</v>
      </c>
      <c r="H484" s="128" t="s">
        <v>2377</v>
      </c>
      <c r="I484" s="121" t="s">
        <v>2865</v>
      </c>
      <c r="J484" s="129">
        <v>44074</v>
      </c>
      <c r="K484" s="22"/>
    </row>
    <row r="485" spans="1:11" s="66" customFormat="1" ht="14.25" customHeight="1">
      <c r="A485" s="138" t="s">
        <v>2874</v>
      </c>
      <c r="B485" s="123">
        <v>1483</v>
      </c>
      <c r="C485" s="118" t="s">
        <v>223</v>
      </c>
      <c r="D485" s="119" t="s">
        <v>1044</v>
      </c>
      <c r="E485" s="128" t="s">
        <v>772</v>
      </c>
      <c r="F485" s="121" t="s">
        <v>1389</v>
      </c>
      <c r="G485" s="119" t="s">
        <v>3079</v>
      </c>
      <c r="H485" s="128" t="s">
        <v>2377</v>
      </c>
      <c r="I485" s="121" t="s">
        <v>2865</v>
      </c>
      <c r="J485" s="129">
        <v>44074</v>
      </c>
      <c r="K485" s="22"/>
    </row>
    <row r="486" spans="1:11" s="66" customFormat="1" ht="14.25" customHeight="1">
      <c r="A486" s="138" t="s">
        <v>2833</v>
      </c>
      <c r="B486" s="123">
        <v>64508</v>
      </c>
      <c r="C486" s="118" t="s">
        <v>643</v>
      </c>
      <c r="D486" s="119" t="s">
        <v>2283</v>
      </c>
      <c r="E486" s="128" t="s">
        <v>2323</v>
      </c>
      <c r="F486" s="121" t="s">
        <v>1904</v>
      </c>
      <c r="G486" s="119" t="s">
        <v>3079</v>
      </c>
      <c r="H486" s="128" t="s">
        <v>2377</v>
      </c>
      <c r="I486" s="121" t="s">
        <v>2865</v>
      </c>
      <c r="J486" s="129">
        <v>44074</v>
      </c>
      <c r="K486" s="22"/>
    </row>
    <row r="487" spans="1:11" s="66" customFormat="1" ht="14.25" customHeight="1">
      <c r="A487" s="138" t="s">
        <v>2834</v>
      </c>
      <c r="B487" s="123">
        <v>64519</v>
      </c>
      <c r="C487" s="118" t="s">
        <v>643</v>
      </c>
      <c r="D487" s="119" t="s">
        <v>2283</v>
      </c>
      <c r="E487" s="128" t="s">
        <v>2323</v>
      </c>
      <c r="F487" s="121" t="s">
        <v>1904</v>
      </c>
      <c r="G487" s="119" t="s">
        <v>3079</v>
      </c>
      <c r="H487" s="128" t="s">
        <v>2377</v>
      </c>
      <c r="I487" s="121" t="s">
        <v>2865</v>
      </c>
      <c r="J487" s="129">
        <v>44074</v>
      </c>
      <c r="K487" s="22"/>
    </row>
    <row r="488" spans="1:11" s="66" customFormat="1" ht="14.25" customHeight="1">
      <c r="A488" s="138" t="s">
        <v>2838</v>
      </c>
      <c r="B488" s="123">
        <v>2162</v>
      </c>
      <c r="C488" s="118" t="s">
        <v>451</v>
      </c>
      <c r="D488" s="119" t="s">
        <v>2014</v>
      </c>
      <c r="E488" s="128" t="s">
        <v>1090</v>
      </c>
      <c r="F488" s="121" t="s">
        <v>1908</v>
      </c>
      <c r="G488" s="119" t="s">
        <v>3079</v>
      </c>
      <c r="H488" s="128" t="s">
        <v>2377</v>
      </c>
      <c r="I488" s="121" t="s">
        <v>2865</v>
      </c>
      <c r="J488" s="129">
        <v>44074</v>
      </c>
      <c r="K488" s="22"/>
    </row>
    <row r="489" spans="1:11" s="66" customFormat="1" ht="14.25" customHeight="1">
      <c r="A489" s="138" t="s">
        <v>2846</v>
      </c>
      <c r="B489" s="123">
        <v>1331</v>
      </c>
      <c r="C489" s="118" t="s">
        <v>223</v>
      </c>
      <c r="D489" s="119" t="s">
        <v>2014</v>
      </c>
      <c r="E489" s="128" t="s">
        <v>503</v>
      </c>
      <c r="F489" s="121" t="s">
        <v>1565</v>
      </c>
      <c r="G489" s="119" t="s">
        <v>3079</v>
      </c>
      <c r="H489" s="128" t="s">
        <v>2377</v>
      </c>
      <c r="I489" s="121" t="s">
        <v>2865</v>
      </c>
      <c r="J489" s="129">
        <v>44074</v>
      </c>
      <c r="K489" s="22"/>
    </row>
    <row r="490" spans="1:11" s="66" customFormat="1" ht="14.25" customHeight="1">
      <c r="A490" s="138" t="s">
        <v>2875</v>
      </c>
      <c r="B490" s="123">
        <v>2014</v>
      </c>
      <c r="C490" s="118" t="s">
        <v>223</v>
      </c>
      <c r="D490" s="119" t="s">
        <v>1044</v>
      </c>
      <c r="E490" s="128" t="s">
        <v>1081</v>
      </c>
      <c r="F490" s="121" t="s">
        <v>2547</v>
      </c>
      <c r="G490" s="119" t="s">
        <v>3079</v>
      </c>
      <c r="H490" s="128" t="s">
        <v>2378</v>
      </c>
      <c r="I490" s="121" t="s">
        <v>544</v>
      </c>
      <c r="J490" s="129">
        <v>44074</v>
      </c>
      <c r="K490" s="22"/>
    </row>
    <row r="491" spans="1:11" s="66" customFormat="1" ht="14.25" customHeight="1">
      <c r="A491" s="138" t="s">
        <v>2845</v>
      </c>
      <c r="B491" s="123">
        <v>1993</v>
      </c>
      <c r="C491" s="118" t="s">
        <v>1339</v>
      </c>
      <c r="D491" s="119" t="s">
        <v>1044</v>
      </c>
      <c r="E491" s="128" t="s">
        <v>597</v>
      </c>
      <c r="F491" s="121" t="s">
        <v>1902</v>
      </c>
      <c r="G491" s="119" t="s">
        <v>3079</v>
      </c>
      <c r="H491" s="128" t="s">
        <v>2675</v>
      </c>
      <c r="I491" s="121" t="s">
        <v>339</v>
      </c>
      <c r="J491" s="129">
        <v>44074</v>
      </c>
      <c r="K491" s="22"/>
    </row>
    <row r="492" spans="1:11" s="66" customFormat="1" ht="14.25" customHeight="1">
      <c r="A492" s="138" t="s">
        <v>2986</v>
      </c>
      <c r="B492" s="123">
        <v>2118</v>
      </c>
      <c r="C492" s="118" t="s">
        <v>451</v>
      </c>
      <c r="D492" s="119" t="s">
        <v>450</v>
      </c>
      <c r="E492" s="128" t="s">
        <v>511</v>
      </c>
      <c r="F492" s="121" t="s">
        <v>2472</v>
      </c>
      <c r="G492" s="119" t="s">
        <v>450</v>
      </c>
      <c r="H492" s="128" t="s">
        <v>2087</v>
      </c>
      <c r="I492" s="121" t="s">
        <v>2775</v>
      </c>
      <c r="J492" s="129">
        <v>44075</v>
      </c>
      <c r="K492" s="22"/>
    </row>
    <row r="493" spans="1:11" s="66" customFormat="1" ht="14.25" customHeight="1">
      <c r="A493" s="138" t="s">
        <v>2775</v>
      </c>
      <c r="B493" s="123">
        <v>992</v>
      </c>
      <c r="C493" s="118" t="s">
        <v>2036</v>
      </c>
      <c r="D493" s="119" t="s">
        <v>450</v>
      </c>
      <c r="E493" s="128" t="s">
        <v>517</v>
      </c>
      <c r="F493" s="121" t="s">
        <v>2793</v>
      </c>
      <c r="G493" s="119" t="s">
        <v>450</v>
      </c>
      <c r="H493" s="128" t="s">
        <v>2329</v>
      </c>
      <c r="I493" s="121" t="s">
        <v>1909</v>
      </c>
      <c r="J493" s="130">
        <v>44075</v>
      </c>
      <c r="K493" s="22"/>
    </row>
    <row r="494" spans="1:11" s="66" customFormat="1" ht="14.25" customHeight="1">
      <c r="A494" s="138" t="s">
        <v>2906</v>
      </c>
      <c r="B494" s="123">
        <v>2580</v>
      </c>
      <c r="C494" s="118" t="s">
        <v>451</v>
      </c>
      <c r="D494" s="119" t="s">
        <v>450</v>
      </c>
      <c r="E494" s="128" t="s">
        <v>515</v>
      </c>
      <c r="F494" s="121" t="s">
        <v>1574</v>
      </c>
      <c r="G494" s="119" t="s">
        <v>450</v>
      </c>
      <c r="H494" s="128" t="s">
        <v>2473</v>
      </c>
      <c r="I494" s="121" t="s">
        <v>2158</v>
      </c>
      <c r="J494" s="131">
        <v>44075</v>
      </c>
      <c r="K494" s="22"/>
    </row>
    <row r="495" spans="1:11" s="66" customFormat="1" ht="14.25" customHeight="1">
      <c r="A495" s="138" t="s">
        <v>1911</v>
      </c>
      <c r="B495" s="123">
        <v>339</v>
      </c>
      <c r="C495" s="118" t="s">
        <v>1321</v>
      </c>
      <c r="D495" s="119" t="s">
        <v>450</v>
      </c>
      <c r="E495" s="128" t="s">
        <v>1608</v>
      </c>
      <c r="F495" s="121" t="s">
        <v>1927</v>
      </c>
      <c r="G495" s="119" t="s">
        <v>450</v>
      </c>
      <c r="H495" s="128" t="s">
        <v>2402</v>
      </c>
      <c r="I495" s="121" t="s">
        <v>3030</v>
      </c>
      <c r="J495" s="130">
        <v>44075</v>
      </c>
      <c r="K495" s="22"/>
    </row>
    <row r="496" spans="1:11" s="66" customFormat="1" ht="14.25" customHeight="1">
      <c r="A496" s="138" t="s">
        <v>2983</v>
      </c>
      <c r="B496" s="123">
        <v>580</v>
      </c>
      <c r="C496" s="118" t="s">
        <v>223</v>
      </c>
      <c r="D496" s="119" t="s">
        <v>450</v>
      </c>
      <c r="E496" s="128" t="s">
        <v>1200</v>
      </c>
      <c r="F496" s="121" t="s">
        <v>1574</v>
      </c>
      <c r="G496" s="119" t="s">
        <v>450</v>
      </c>
      <c r="H496" s="128" t="s">
        <v>2402</v>
      </c>
      <c r="I496" s="121" t="s">
        <v>1909</v>
      </c>
      <c r="J496" s="131">
        <v>44075</v>
      </c>
      <c r="K496" s="22"/>
    </row>
    <row r="497" spans="1:11" s="66" customFormat="1" ht="14.25" customHeight="1">
      <c r="A497" s="138" t="s">
        <v>2980</v>
      </c>
      <c r="B497" s="123">
        <v>2821</v>
      </c>
      <c r="C497" s="118" t="s">
        <v>223</v>
      </c>
      <c r="D497" s="119" t="s">
        <v>450</v>
      </c>
      <c r="E497" s="128" t="s">
        <v>512</v>
      </c>
      <c r="F497" s="121" t="s">
        <v>1574</v>
      </c>
      <c r="G497" s="119" t="s">
        <v>450</v>
      </c>
      <c r="H497" s="128" t="s">
        <v>2402</v>
      </c>
      <c r="I497" s="121" t="s">
        <v>1909</v>
      </c>
      <c r="J497" s="129">
        <v>44075</v>
      </c>
      <c r="K497" s="22"/>
    </row>
    <row r="498" spans="1:11" s="66" customFormat="1" ht="14.25" customHeight="1">
      <c r="A498" s="138" t="s">
        <v>1928</v>
      </c>
      <c r="B498" s="123">
        <v>1227</v>
      </c>
      <c r="C498" s="118" t="s">
        <v>223</v>
      </c>
      <c r="D498" s="119" t="s">
        <v>450</v>
      </c>
      <c r="E498" s="128" t="s">
        <v>515</v>
      </c>
      <c r="F498" s="121" t="s">
        <v>1574</v>
      </c>
      <c r="G498" s="119" t="s">
        <v>450</v>
      </c>
      <c r="H498" s="128" t="s">
        <v>2402</v>
      </c>
      <c r="I498" s="121" t="s">
        <v>1909</v>
      </c>
      <c r="J498" s="129">
        <v>44075</v>
      </c>
      <c r="K498" s="22"/>
    </row>
    <row r="499" spans="1:11" s="66" customFormat="1" ht="14.25" customHeight="1">
      <c r="A499" s="138" t="s">
        <v>538</v>
      </c>
      <c r="B499" s="123">
        <v>547</v>
      </c>
      <c r="C499" s="118" t="s">
        <v>451</v>
      </c>
      <c r="D499" s="119" t="s">
        <v>1435</v>
      </c>
      <c r="E499" s="128" t="s">
        <v>974</v>
      </c>
      <c r="F499" s="121" t="s">
        <v>1899</v>
      </c>
      <c r="G499" s="119" t="s">
        <v>1435</v>
      </c>
      <c r="H499" s="128" t="s">
        <v>2728</v>
      </c>
      <c r="I499" s="121" t="s">
        <v>1913</v>
      </c>
      <c r="J499" s="129">
        <v>44075</v>
      </c>
      <c r="K499" s="22"/>
    </row>
    <row r="500" spans="1:11" s="66" customFormat="1" ht="14.25" customHeight="1">
      <c r="A500" s="138" t="s">
        <v>2907</v>
      </c>
      <c r="B500" s="123">
        <v>1004</v>
      </c>
      <c r="C500" s="118" t="s">
        <v>223</v>
      </c>
      <c r="D500" s="119" t="s">
        <v>1435</v>
      </c>
      <c r="E500" s="128" t="s">
        <v>974</v>
      </c>
      <c r="F500" s="121" t="s">
        <v>1899</v>
      </c>
      <c r="G500" s="119" t="s">
        <v>1435</v>
      </c>
      <c r="H500" s="128" t="s">
        <v>2728</v>
      </c>
      <c r="I500" s="121" t="s">
        <v>1913</v>
      </c>
      <c r="J500" s="129">
        <v>44075</v>
      </c>
      <c r="K500" s="22"/>
    </row>
    <row r="501" spans="1:11" s="66" customFormat="1" ht="14.25" customHeight="1">
      <c r="A501" s="138" t="s">
        <v>2911</v>
      </c>
      <c r="B501" s="123">
        <v>3230</v>
      </c>
      <c r="C501" s="118" t="s">
        <v>1224</v>
      </c>
      <c r="D501" s="119" t="s">
        <v>2640</v>
      </c>
      <c r="E501" s="128" t="s">
        <v>2759</v>
      </c>
      <c r="F501" s="121" t="s">
        <v>1898</v>
      </c>
      <c r="G501" s="119" t="s">
        <v>2640</v>
      </c>
      <c r="H501" s="128" t="s">
        <v>2759</v>
      </c>
      <c r="I501" s="121" t="s">
        <v>1894</v>
      </c>
      <c r="J501" s="129">
        <v>44075</v>
      </c>
      <c r="K501" s="22"/>
    </row>
    <row r="502" spans="1:11" s="66" customFormat="1" ht="14.25" customHeight="1">
      <c r="A502" s="138" t="s">
        <v>2929</v>
      </c>
      <c r="B502" s="123">
        <v>1030</v>
      </c>
      <c r="C502" s="118" t="s">
        <v>731</v>
      </c>
      <c r="D502" s="119" t="s">
        <v>2640</v>
      </c>
      <c r="E502" s="128" t="s">
        <v>2316</v>
      </c>
      <c r="F502" s="121" t="s">
        <v>1894</v>
      </c>
      <c r="G502" s="119" t="s">
        <v>2640</v>
      </c>
      <c r="H502" s="128" t="s">
        <v>2094</v>
      </c>
      <c r="I502" s="121" t="s">
        <v>2777</v>
      </c>
      <c r="J502" s="129">
        <v>44075</v>
      </c>
      <c r="K502" s="22"/>
    </row>
    <row r="503" spans="1:11" s="66" customFormat="1" ht="14.25" customHeight="1">
      <c r="A503" s="138" t="s">
        <v>2926</v>
      </c>
      <c r="B503" s="123">
        <v>669</v>
      </c>
      <c r="C503" s="118" t="s">
        <v>731</v>
      </c>
      <c r="D503" s="119" t="s">
        <v>2640</v>
      </c>
      <c r="E503" s="128" t="s">
        <v>2094</v>
      </c>
      <c r="F503" s="121" t="s">
        <v>1894</v>
      </c>
      <c r="G503" s="119" t="s">
        <v>2640</v>
      </c>
      <c r="H503" s="128" t="s">
        <v>2094</v>
      </c>
      <c r="I503" s="121" t="s">
        <v>2909</v>
      </c>
      <c r="J503" s="129">
        <v>44075</v>
      </c>
      <c r="K503" s="22"/>
    </row>
    <row r="504" spans="1:11" s="66" customFormat="1" ht="14.25" customHeight="1">
      <c r="A504" s="138" t="s">
        <v>2928</v>
      </c>
      <c r="B504" s="123">
        <v>58</v>
      </c>
      <c r="C504" s="118" t="s">
        <v>1586</v>
      </c>
      <c r="D504" s="119" t="s">
        <v>2640</v>
      </c>
      <c r="E504" s="128" t="s">
        <v>480</v>
      </c>
      <c r="F504" s="121" t="s">
        <v>1891</v>
      </c>
      <c r="G504" s="119" t="s">
        <v>2640</v>
      </c>
      <c r="H504" s="128" t="s">
        <v>2094</v>
      </c>
      <c r="I504" s="121" t="s">
        <v>2544</v>
      </c>
      <c r="J504" s="131">
        <v>44075</v>
      </c>
      <c r="K504" s="22"/>
    </row>
    <row r="505" spans="1:11" s="66" customFormat="1" ht="14.25" customHeight="1">
      <c r="A505" s="138" t="s">
        <v>2930</v>
      </c>
      <c r="B505" s="123">
        <v>3212</v>
      </c>
      <c r="C505" s="118" t="s">
        <v>1224</v>
      </c>
      <c r="D505" s="119" t="s">
        <v>2640</v>
      </c>
      <c r="E505" s="128" t="s">
        <v>2759</v>
      </c>
      <c r="F505" s="121" t="s">
        <v>1898</v>
      </c>
      <c r="G505" s="119" t="s">
        <v>2640</v>
      </c>
      <c r="H505" s="128" t="s">
        <v>2094</v>
      </c>
      <c r="I505" s="121" t="s">
        <v>2777</v>
      </c>
      <c r="J505" s="129">
        <v>44075</v>
      </c>
      <c r="K505" s="22"/>
    </row>
    <row r="506" spans="1:11" s="66" customFormat="1" ht="14.25" customHeight="1">
      <c r="A506" s="138" t="s">
        <v>2927</v>
      </c>
      <c r="B506" s="123">
        <v>3189</v>
      </c>
      <c r="C506" s="118" t="s">
        <v>1224</v>
      </c>
      <c r="D506" s="119" t="s">
        <v>2640</v>
      </c>
      <c r="E506" s="128" t="s">
        <v>2094</v>
      </c>
      <c r="F506" s="121" t="s">
        <v>1897</v>
      </c>
      <c r="G506" s="119" t="s">
        <v>2640</v>
      </c>
      <c r="H506" s="128" t="s">
        <v>2094</v>
      </c>
      <c r="I506" s="121" t="s">
        <v>2909</v>
      </c>
      <c r="J506" s="129">
        <v>44075</v>
      </c>
      <c r="K506" s="22"/>
    </row>
    <row r="507" spans="1:11" s="66" customFormat="1" ht="14.25" customHeight="1">
      <c r="A507" s="138" t="s">
        <v>2183</v>
      </c>
      <c r="B507" s="123">
        <v>1982</v>
      </c>
      <c r="C507" s="118" t="s">
        <v>1224</v>
      </c>
      <c r="D507" s="119" t="s">
        <v>2640</v>
      </c>
      <c r="E507" s="128" t="s">
        <v>2094</v>
      </c>
      <c r="F507" s="121" t="s">
        <v>1898</v>
      </c>
      <c r="G507" s="119" t="s">
        <v>2640</v>
      </c>
      <c r="H507" s="128" t="s">
        <v>2094</v>
      </c>
      <c r="I507" s="121" t="s">
        <v>2544</v>
      </c>
      <c r="J507" s="129">
        <v>44075</v>
      </c>
      <c r="K507" s="22"/>
    </row>
    <row r="508" spans="1:11" s="66" customFormat="1" ht="14.25" customHeight="1">
      <c r="A508" s="138" t="s">
        <v>2925</v>
      </c>
      <c r="B508" s="123">
        <v>2946</v>
      </c>
      <c r="C508" s="118" t="s">
        <v>1224</v>
      </c>
      <c r="D508" s="119" t="s">
        <v>2640</v>
      </c>
      <c r="E508" s="128" t="s">
        <v>2315</v>
      </c>
      <c r="F508" s="121" t="s">
        <v>1897</v>
      </c>
      <c r="G508" s="119" t="s">
        <v>2640</v>
      </c>
      <c r="H508" s="128" t="s">
        <v>2094</v>
      </c>
      <c r="I508" s="121" t="s">
        <v>2909</v>
      </c>
      <c r="J508" s="129">
        <v>44075</v>
      </c>
      <c r="K508" s="22"/>
    </row>
    <row r="509" spans="1:11" s="66" customFormat="1" ht="14.25" customHeight="1">
      <c r="A509" s="138" t="s">
        <v>2923</v>
      </c>
      <c r="B509" s="123">
        <v>3064</v>
      </c>
      <c r="C509" s="118" t="s">
        <v>1224</v>
      </c>
      <c r="D509" s="119" t="s">
        <v>2640</v>
      </c>
      <c r="E509" s="128" t="s">
        <v>480</v>
      </c>
      <c r="F509" s="121" t="s">
        <v>1891</v>
      </c>
      <c r="G509" s="119" t="s">
        <v>2640</v>
      </c>
      <c r="H509" s="128" t="s">
        <v>2094</v>
      </c>
      <c r="I509" s="121" t="s">
        <v>1894</v>
      </c>
      <c r="J509" s="129">
        <v>44075</v>
      </c>
      <c r="K509" s="22"/>
    </row>
    <row r="510" spans="1:11" s="66" customFormat="1" ht="14.25" customHeight="1">
      <c r="A510" s="138" t="s">
        <v>2924</v>
      </c>
      <c r="B510" s="123">
        <v>1811</v>
      </c>
      <c r="C510" s="118" t="s">
        <v>1225</v>
      </c>
      <c r="D510" s="119" t="s">
        <v>2640</v>
      </c>
      <c r="E510" s="128" t="s">
        <v>2316</v>
      </c>
      <c r="F510" s="121" t="s">
        <v>1894</v>
      </c>
      <c r="G510" s="119" t="s">
        <v>2640</v>
      </c>
      <c r="H510" s="128" t="s">
        <v>2094</v>
      </c>
      <c r="I510" s="121" t="s">
        <v>1894</v>
      </c>
      <c r="J510" s="129">
        <v>44075</v>
      </c>
      <c r="K510" s="22"/>
    </row>
    <row r="511" spans="1:11" s="66" customFormat="1" ht="14.25" customHeight="1">
      <c r="A511" s="138" t="s">
        <v>2911</v>
      </c>
      <c r="B511" s="123">
        <v>3066</v>
      </c>
      <c r="C511" s="118" t="s">
        <v>2180</v>
      </c>
      <c r="D511" s="119" t="s">
        <v>2640</v>
      </c>
      <c r="E511" s="128" t="s">
        <v>2094</v>
      </c>
      <c r="F511" s="121" t="s">
        <v>1894</v>
      </c>
      <c r="G511" s="119" t="s">
        <v>2640</v>
      </c>
      <c r="H511" s="128" t="s">
        <v>2316</v>
      </c>
      <c r="I511" s="121" t="s">
        <v>1894</v>
      </c>
      <c r="J511" s="129">
        <v>44075</v>
      </c>
      <c r="K511" s="22"/>
    </row>
    <row r="512" spans="1:11" s="66" customFormat="1" ht="14.25" customHeight="1">
      <c r="A512" s="138" t="s">
        <v>2910</v>
      </c>
      <c r="B512" s="123">
        <v>83</v>
      </c>
      <c r="C512" s="118" t="s">
        <v>1586</v>
      </c>
      <c r="D512" s="119" t="s">
        <v>2640</v>
      </c>
      <c r="E512" s="128" t="s">
        <v>740</v>
      </c>
      <c r="F512" s="121" t="s">
        <v>1888</v>
      </c>
      <c r="G512" s="119" t="s">
        <v>2640</v>
      </c>
      <c r="H512" s="128" t="s">
        <v>2316</v>
      </c>
      <c r="I512" s="121" t="s">
        <v>1894</v>
      </c>
      <c r="J512" s="129">
        <v>44075</v>
      </c>
      <c r="K512" s="22"/>
    </row>
    <row r="513" spans="1:11" s="66" customFormat="1" ht="14.25" customHeight="1">
      <c r="A513" s="138" t="s">
        <v>2913</v>
      </c>
      <c r="B513" s="123">
        <v>368</v>
      </c>
      <c r="C513" s="118" t="s">
        <v>1224</v>
      </c>
      <c r="D513" s="119" t="s">
        <v>2640</v>
      </c>
      <c r="E513" s="128" t="s">
        <v>481</v>
      </c>
      <c r="F513" s="121" t="s">
        <v>1381</v>
      </c>
      <c r="G513" s="119" t="s">
        <v>2640</v>
      </c>
      <c r="H513" s="128" t="s">
        <v>2316</v>
      </c>
      <c r="I513" s="121" t="s">
        <v>1894</v>
      </c>
      <c r="J513" s="131">
        <v>44075</v>
      </c>
      <c r="K513" s="22"/>
    </row>
    <row r="514" spans="1:11" s="66" customFormat="1" ht="14.25" customHeight="1">
      <c r="A514" s="138" t="s">
        <v>2912</v>
      </c>
      <c r="B514" s="123">
        <v>1855</v>
      </c>
      <c r="C514" s="118" t="s">
        <v>1225</v>
      </c>
      <c r="D514" s="119" t="s">
        <v>2640</v>
      </c>
      <c r="E514" s="128" t="s">
        <v>480</v>
      </c>
      <c r="F514" s="121" t="s">
        <v>1891</v>
      </c>
      <c r="G514" s="119" t="s">
        <v>2640</v>
      </c>
      <c r="H514" s="128" t="s">
        <v>2316</v>
      </c>
      <c r="I514" s="121" t="s">
        <v>1894</v>
      </c>
      <c r="J514" s="129">
        <v>44075</v>
      </c>
      <c r="K514" s="22"/>
    </row>
    <row r="515" spans="1:11" s="66" customFormat="1" ht="14.25" customHeight="1">
      <c r="A515" s="138" t="s">
        <v>1888</v>
      </c>
      <c r="B515" s="123">
        <v>57</v>
      </c>
      <c r="C515" s="118" t="s">
        <v>2127</v>
      </c>
      <c r="D515" s="119" t="s">
        <v>2640</v>
      </c>
      <c r="E515" s="128" t="s">
        <v>740</v>
      </c>
      <c r="F515" s="121" t="s">
        <v>1938</v>
      </c>
      <c r="G515" s="119" t="s">
        <v>2640</v>
      </c>
      <c r="H515" s="128" t="s">
        <v>2314</v>
      </c>
      <c r="I515" s="121" t="s">
        <v>2095</v>
      </c>
      <c r="J515" s="129">
        <v>44075</v>
      </c>
      <c r="K515" s="22"/>
    </row>
    <row r="516" spans="1:11" s="66" customFormat="1" ht="14.25" customHeight="1">
      <c r="A516" s="138" t="s">
        <v>2914</v>
      </c>
      <c r="B516" s="123">
        <v>681</v>
      </c>
      <c r="C516" s="118" t="s">
        <v>731</v>
      </c>
      <c r="D516" s="119" t="s">
        <v>2640</v>
      </c>
      <c r="E516" s="128" t="s">
        <v>2317</v>
      </c>
      <c r="F516" s="121" t="s">
        <v>2544</v>
      </c>
      <c r="G516" s="119" t="s">
        <v>2640</v>
      </c>
      <c r="H516" s="128" t="s">
        <v>2314</v>
      </c>
      <c r="I516" s="121" t="s">
        <v>2909</v>
      </c>
      <c r="J516" s="131">
        <v>44075</v>
      </c>
      <c r="K516" s="22"/>
    </row>
    <row r="517" spans="1:11" s="66" customFormat="1" ht="14.25" customHeight="1">
      <c r="A517" s="138" t="s">
        <v>2188</v>
      </c>
      <c r="B517" s="123">
        <v>1651</v>
      </c>
      <c r="C517" s="118" t="s">
        <v>1224</v>
      </c>
      <c r="D517" s="119" t="s">
        <v>2640</v>
      </c>
      <c r="E517" s="128" t="s">
        <v>2315</v>
      </c>
      <c r="F517" s="121" t="s">
        <v>1897</v>
      </c>
      <c r="G517" s="119" t="s">
        <v>2640</v>
      </c>
      <c r="H517" s="128" t="s">
        <v>2314</v>
      </c>
      <c r="I517" s="121" t="s">
        <v>2909</v>
      </c>
      <c r="J517" s="129">
        <v>44075</v>
      </c>
      <c r="K517" s="22"/>
    </row>
    <row r="518" spans="1:11" s="66" customFormat="1" ht="14.25" customHeight="1">
      <c r="A518" s="138" t="s">
        <v>2922</v>
      </c>
      <c r="B518" s="123">
        <v>3058</v>
      </c>
      <c r="C518" s="118" t="s">
        <v>1224</v>
      </c>
      <c r="D518" s="119" t="s">
        <v>2640</v>
      </c>
      <c r="E518" s="128" t="s">
        <v>2094</v>
      </c>
      <c r="F518" s="121" t="s">
        <v>1898</v>
      </c>
      <c r="G518" s="119" t="s">
        <v>2640</v>
      </c>
      <c r="H518" s="128" t="s">
        <v>2314</v>
      </c>
      <c r="I518" s="121" t="s">
        <v>2909</v>
      </c>
      <c r="J518" s="129">
        <v>44075</v>
      </c>
      <c r="K518" s="22"/>
    </row>
    <row r="519" spans="1:11" s="66" customFormat="1" ht="14.25" customHeight="1">
      <c r="A519" s="138" t="s">
        <v>1384</v>
      </c>
      <c r="B519" s="123">
        <v>2501</v>
      </c>
      <c r="C519" s="118" t="s">
        <v>1225</v>
      </c>
      <c r="D519" s="119" t="s">
        <v>2640</v>
      </c>
      <c r="E519" s="128" t="s">
        <v>2315</v>
      </c>
      <c r="F519" s="121" t="s">
        <v>1897</v>
      </c>
      <c r="G519" s="119" t="s">
        <v>2640</v>
      </c>
      <c r="H519" s="128" t="s">
        <v>2314</v>
      </c>
      <c r="I519" s="121" t="s">
        <v>2909</v>
      </c>
      <c r="J519" s="129">
        <v>44075</v>
      </c>
      <c r="K519" s="22"/>
    </row>
    <row r="520" spans="1:11" s="66" customFormat="1" ht="14.25" customHeight="1">
      <c r="A520" s="138" t="s">
        <v>2915</v>
      </c>
      <c r="B520" s="123">
        <v>885</v>
      </c>
      <c r="C520" s="118" t="s">
        <v>1225</v>
      </c>
      <c r="D520" s="119" t="s">
        <v>2640</v>
      </c>
      <c r="E520" s="128" t="s">
        <v>740</v>
      </c>
      <c r="F520" s="121" t="s">
        <v>1888</v>
      </c>
      <c r="G520" s="119" t="s">
        <v>2640</v>
      </c>
      <c r="H520" s="128" t="s">
        <v>2314</v>
      </c>
      <c r="I520" s="121" t="s">
        <v>2909</v>
      </c>
      <c r="J520" s="131">
        <v>44075</v>
      </c>
      <c r="K520" s="22"/>
    </row>
    <row r="521" spans="1:11" s="66" customFormat="1" ht="14.25" customHeight="1">
      <c r="A521" s="138" t="s">
        <v>2184</v>
      </c>
      <c r="B521" s="123">
        <v>808</v>
      </c>
      <c r="C521" s="118" t="s">
        <v>1225</v>
      </c>
      <c r="D521" s="119" t="s">
        <v>2640</v>
      </c>
      <c r="E521" s="128" t="s">
        <v>740</v>
      </c>
      <c r="F521" s="121" t="s">
        <v>1888</v>
      </c>
      <c r="G521" s="119" t="s">
        <v>2640</v>
      </c>
      <c r="H521" s="128" t="s">
        <v>2314</v>
      </c>
      <c r="I521" s="121" t="s">
        <v>2909</v>
      </c>
      <c r="J521" s="129">
        <v>44075</v>
      </c>
      <c r="K521" s="22"/>
    </row>
    <row r="522" spans="1:11" s="66" customFormat="1" ht="14.25" customHeight="1">
      <c r="A522" s="138" t="s">
        <v>2916</v>
      </c>
      <c r="B522" s="123">
        <v>803</v>
      </c>
      <c r="C522" s="118" t="s">
        <v>2516</v>
      </c>
      <c r="D522" s="119" t="s">
        <v>2640</v>
      </c>
      <c r="E522" s="128" t="s">
        <v>481</v>
      </c>
      <c r="F522" s="121" t="s">
        <v>1381</v>
      </c>
      <c r="G522" s="119" t="s">
        <v>2640</v>
      </c>
      <c r="H522" s="128" t="s">
        <v>2315</v>
      </c>
      <c r="I522" s="121" t="s">
        <v>2544</v>
      </c>
      <c r="J522" s="129">
        <v>44075</v>
      </c>
      <c r="K522" s="22"/>
    </row>
    <row r="523" spans="1:11" s="66" customFormat="1" ht="14.25" customHeight="1">
      <c r="A523" s="138" t="s">
        <v>2544</v>
      </c>
      <c r="B523" s="123">
        <v>678</v>
      </c>
      <c r="C523" s="118" t="s">
        <v>2126</v>
      </c>
      <c r="D523" s="119" t="s">
        <v>2640</v>
      </c>
      <c r="E523" s="128" t="s">
        <v>2317</v>
      </c>
      <c r="F523" s="121" t="s">
        <v>2095</v>
      </c>
      <c r="G523" s="119" t="s">
        <v>2640</v>
      </c>
      <c r="H523" s="128" t="s">
        <v>2315</v>
      </c>
      <c r="I523" s="121" t="s">
        <v>2095</v>
      </c>
      <c r="J523" s="129">
        <v>44075</v>
      </c>
      <c r="K523" s="22"/>
    </row>
    <row r="524" spans="1:11" s="66" customFormat="1" ht="14.25" customHeight="1">
      <c r="A524" s="138" t="s">
        <v>2918</v>
      </c>
      <c r="B524" s="123">
        <v>3014</v>
      </c>
      <c r="C524" s="118" t="s">
        <v>1224</v>
      </c>
      <c r="D524" s="119" t="s">
        <v>2640</v>
      </c>
      <c r="E524" s="128" t="s">
        <v>2094</v>
      </c>
      <c r="F524" s="121" t="s">
        <v>2544</v>
      </c>
      <c r="G524" s="119" t="s">
        <v>2640</v>
      </c>
      <c r="H524" s="128" t="s">
        <v>2315</v>
      </c>
      <c r="I524" s="121" t="s">
        <v>2544</v>
      </c>
      <c r="J524" s="129">
        <v>44075</v>
      </c>
      <c r="K524" s="22"/>
    </row>
    <row r="525" spans="1:11" s="66" customFormat="1" ht="14.25" customHeight="1">
      <c r="A525" s="138" t="s">
        <v>2917</v>
      </c>
      <c r="B525" s="123">
        <v>2943</v>
      </c>
      <c r="C525" s="118" t="s">
        <v>1224</v>
      </c>
      <c r="D525" s="119" t="s">
        <v>2640</v>
      </c>
      <c r="E525" s="128" t="s">
        <v>2317</v>
      </c>
      <c r="F525" s="121" t="s">
        <v>2544</v>
      </c>
      <c r="G525" s="119" t="s">
        <v>2640</v>
      </c>
      <c r="H525" s="128" t="s">
        <v>2315</v>
      </c>
      <c r="I525" s="121" t="s">
        <v>2544</v>
      </c>
      <c r="J525" s="129">
        <v>44075</v>
      </c>
      <c r="K525" s="22"/>
    </row>
    <row r="526" spans="1:11" s="66" customFormat="1" ht="14.25" customHeight="1">
      <c r="A526" s="138" t="s">
        <v>1934</v>
      </c>
      <c r="B526" s="123">
        <v>1477</v>
      </c>
      <c r="C526" s="118" t="s">
        <v>1225</v>
      </c>
      <c r="D526" s="119" t="s">
        <v>2640</v>
      </c>
      <c r="E526" s="128" t="s">
        <v>741</v>
      </c>
      <c r="F526" s="121" t="s">
        <v>2777</v>
      </c>
      <c r="G526" s="119" t="s">
        <v>2640</v>
      </c>
      <c r="H526" s="128" t="s">
        <v>2315</v>
      </c>
      <c r="I526" s="121" t="s">
        <v>2544</v>
      </c>
      <c r="J526" s="129">
        <v>44075</v>
      </c>
      <c r="K526" s="22"/>
    </row>
    <row r="527" spans="1:11" s="66" customFormat="1" ht="14.25" customHeight="1">
      <c r="A527" s="138" t="s">
        <v>343</v>
      </c>
      <c r="B527" s="123">
        <v>1909</v>
      </c>
      <c r="C527" s="118" t="s">
        <v>1225</v>
      </c>
      <c r="D527" s="119" t="s">
        <v>2640</v>
      </c>
      <c r="E527" s="128" t="s">
        <v>741</v>
      </c>
      <c r="F527" s="121" t="s">
        <v>2777</v>
      </c>
      <c r="G527" s="119" t="s">
        <v>2640</v>
      </c>
      <c r="H527" s="128" t="s">
        <v>2315</v>
      </c>
      <c r="I527" s="121" t="s">
        <v>2544</v>
      </c>
      <c r="J527" s="131">
        <v>44075</v>
      </c>
      <c r="K527" s="22"/>
    </row>
    <row r="528" spans="1:11" s="66" customFormat="1" ht="14.25" customHeight="1">
      <c r="A528" s="138" t="s">
        <v>2777</v>
      </c>
      <c r="B528" s="123">
        <v>461</v>
      </c>
      <c r="C528" s="118" t="s">
        <v>2126</v>
      </c>
      <c r="D528" s="119" t="s">
        <v>2640</v>
      </c>
      <c r="E528" s="128" t="s">
        <v>741</v>
      </c>
      <c r="F528" s="121" t="s">
        <v>1938</v>
      </c>
      <c r="G528" s="119" t="s">
        <v>2640</v>
      </c>
      <c r="H528" s="128" t="s">
        <v>2317</v>
      </c>
      <c r="I528" s="121" t="s">
        <v>2095</v>
      </c>
      <c r="J528" s="129">
        <v>44075</v>
      </c>
      <c r="K528" s="22"/>
    </row>
    <row r="529" spans="1:11" s="66" customFormat="1" ht="14.25" customHeight="1">
      <c r="A529" s="138" t="s">
        <v>2919</v>
      </c>
      <c r="B529" s="123">
        <v>487</v>
      </c>
      <c r="C529" s="118" t="s">
        <v>731</v>
      </c>
      <c r="D529" s="119" t="s">
        <v>2640</v>
      </c>
      <c r="E529" s="128" t="s">
        <v>741</v>
      </c>
      <c r="F529" s="121" t="s">
        <v>2777</v>
      </c>
      <c r="G529" s="119" t="s">
        <v>2640</v>
      </c>
      <c r="H529" s="128" t="s">
        <v>2317</v>
      </c>
      <c r="I529" s="121" t="s">
        <v>2777</v>
      </c>
      <c r="J529" s="129">
        <v>44075</v>
      </c>
      <c r="K529" s="22"/>
    </row>
    <row r="530" spans="1:11" s="66" customFormat="1" ht="14.25" customHeight="1">
      <c r="A530" s="138" t="s">
        <v>2186</v>
      </c>
      <c r="B530" s="123">
        <v>1458</v>
      </c>
      <c r="C530" s="118" t="s">
        <v>1224</v>
      </c>
      <c r="D530" s="119" t="s">
        <v>2640</v>
      </c>
      <c r="E530" s="128" t="s">
        <v>2317</v>
      </c>
      <c r="F530" s="121" t="s">
        <v>2544</v>
      </c>
      <c r="G530" s="119" t="s">
        <v>2640</v>
      </c>
      <c r="H530" s="128" t="s">
        <v>2317</v>
      </c>
      <c r="I530" s="121" t="s">
        <v>2777</v>
      </c>
      <c r="J530" s="131">
        <v>44075</v>
      </c>
      <c r="K530" s="22"/>
    </row>
    <row r="531" spans="1:11" s="66" customFormat="1" ht="14.25" customHeight="1">
      <c r="A531" s="138" t="s">
        <v>2920</v>
      </c>
      <c r="B531" s="123">
        <v>932</v>
      </c>
      <c r="C531" s="118" t="s">
        <v>1225</v>
      </c>
      <c r="D531" s="119" t="s">
        <v>2640</v>
      </c>
      <c r="E531" s="128" t="s">
        <v>480</v>
      </c>
      <c r="F531" s="121" t="s">
        <v>1891</v>
      </c>
      <c r="G531" s="119" t="s">
        <v>2640</v>
      </c>
      <c r="H531" s="128" t="s">
        <v>2317</v>
      </c>
      <c r="I531" s="121" t="s">
        <v>2777</v>
      </c>
      <c r="J531" s="131">
        <v>44075</v>
      </c>
      <c r="K531" s="22"/>
    </row>
    <row r="532" spans="1:11" s="66" customFormat="1" ht="14.25" customHeight="1">
      <c r="A532" s="138" t="s">
        <v>2921</v>
      </c>
      <c r="B532" s="123">
        <v>2509</v>
      </c>
      <c r="C532" s="118" t="s">
        <v>1225</v>
      </c>
      <c r="D532" s="119" t="s">
        <v>2640</v>
      </c>
      <c r="E532" s="128" t="s">
        <v>480</v>
      </c>
      <c r="F532" s="121" t="s">
        <v>1891</v>
      </c>
      <c r="G532" s="119" t="s">
        <v>2640</v>
      </c>
      <c r="H532" s="128" t="s">
        <v>2317</v>
      </c>
      <c r="I532" s="121" t="s">
        <v>2777</v>
      </c>
      <c r="J532" s="131">
        <v>44075</v>
      </c>
      <c r="K532" s="22"/>
    </row>
    <row r="533" spans="1:11" s="66" customFormat="1" ht="14.25" customHeight="1">
      <c r="A533" s="138" t="s">
        <v>1881</v>
      </c>
      <c r="B533" s="123">
        <v>18</v>
      </c>
      <c r="C533" s="118" t="s">
        <v>960</v>
      </c>
      <c r="D533" s="119" t="s">
        <v>2626</v>
      </c>
      <c r="E533" s="128" t="s">
        <v>328</v>
      </c>
      <c r="F533" s="121" t="s">
        <v>1917</v>
      </c>
      <c r="G533" s="119" t="s">
        <v>2636</v>
      </c>
      <c r="H533" s="128" t="s">
        <v>2066</v>
      </c>
      <c r="I533" s="121" t="s">
        <v>2192</v>
      </c>
      <c r="J533" s="131">
        <v>44075</v>
      </c>
      <c r="K533" s="22"/>
    </row>
    <row r="534" spans="1:11" s="66" customFormat="1" ht="14.25" customHeight="1">
      <c r="A534" s="138" t="s">
        <v>2950</v>
      </c>
      <c r="B534" s="123">
        <v>3216</v>
      </c>
      <c r="C534" s="118" t="s">
        <v>2128</v>
      </c>
      <c r="D534" s="119" t="s">
        <v>1044</v>
      </c>
      <c r="E534" s="128" t="s">
        <v>318</v>
      </c>
      <c r="F534" s="121" t="s">
        <v>2806</v>
      </c>
      <c r="G534" s="119" t="s">
        <v>1433</v>
      </c>
      <c r="H534" s="128" t="s">
        <v>570</v>
      </c>
      <c r="I534" s="121" t="s">
        <v>1926</v>
      </c>
      <c r="J534" s="129">
        <v>44075</v>
      </c>
      <c r="K534" s="22"/>
    </row>
    <row r="535" spans="1:11" s="66" customFormat="1" ht="14.25" customHeight="1">
      <c r="A535" s="138" t="s">
        <v>2948</v>
      </c>
      <c r="B535" s="123">
        <v>3040</v>
      </c>
      <c r="C535" s="118" t="s">
        <v>451</v>
      </c>
      <c r="D535" s="119" t="s">
        <v>1044</v>
      </c>
      <c r="E535" s="128" t="s">
        <v>602</v>
      </c>
      <c r="F535" s="121" t="s">
        <v>1392</v>
      </c>
      <c r="G535" s="119" t="s">
        <v>1433</v>
      </c>
      <c r="H535" s="128" t="s">
        <v>1045</v>
      </c>
      <c r="I535" s="121" t="s">
        <v>1926</v>
      </c>
      <c r="J535" s="129">
        <v>44075</v>
      </c>
      <c r="K535" s="22"/>
    </row>
    <row r="536" spans="1:11" s="66" customFormat="1" ht="14.25" customHeight="1">
      <c r="A536" s="138" t="s">
        <v>2953</v>
      </c>
      <c r="B536" s="123">
        <v>2926</v>
      </c>
      <c r="C536" s="118" t="s">
        <v>451</v>
      </c>
      <c r="D536" s="119" t="s">
        <v>1044</v>
      </c>
      <c r="E536" s="128" t="s">
        <v>772</v>
      </c>
      <c r="F536" s="121" t="s">
        <v>1389</v>
      </c>
      <c r="G536" s="119" t="s">
        <v>1433</v>
      </c>
      <c r="H536" s="128" t="s">
        <v>1045</v>
      </c>
      <c r="I536" s="121" t="s">
        <v>1926</v>
      </c>
      <c r="J536" s="131">
        <v>44075</v>
      </c>
      <c r="K536" s="22"/>
    </row>
    <row r="537" spans="1:11" s="66" customFormat="1" ht="14.25" customHeight="1">
      <c r="A537" s="138" t="s">
        <v>2955</v>
      </c>
      <c r="B537" s="123">
        <v>2922</v>
      </c>
      <c r="C537" s="118" t="s">
        <v>451</v>
      </c>
      <c r="D537" s="119" t="s">
        <v>1044</v>
      </c>
      <c r="E537" s="128" t="s">
        <v>597</v>
      </c>
      <c r="F537" s="121" t="s">
        <v>1902</v>
      </c>
      <c r="G537" s="119" t="s">
        <v>1433</v>
      </c>
      <c r="H537" s="128" t="s">
        <v>1325</v>
      </c>
      <c r="I537" s="121" t="s">
        <v>2159</v>
      </c>
      <c r="J537" s="129">
        <v>44075</v>
      </c>
      <c r="K537" s="22"/>
    </row>
    <row r="538" spans="1:11" s="66" customFormat="1" ht="14.25" customHeight="1">
      <c r="A538" s="138" t="s">
        <v>2949</v>
      </c>
      <c r="B538" s="123">
        <v>1279</v>
      </c>
      <c r="C538" s="118" t="s">
        <v>223</v>
      </c>
      <c r="D538" s="119" t="s">
        <v>1044</v>
      </c>
      <c r="E538" s="128" t="s">
        <v>596</v>
      </c>
      <c r="F538" s="121" t="s">
        <v>2277</v>
      </c>
      <c r="G538" s="119" t="s">
        <v>1433</v>
      </c>
      <c r="H538" s="128" t="s">
        <v>224</v>
      </c>
      <c r="I538" s="121" t="s">
        <v>1903</v>
      </c>
      <c r="J538" s="131">
        <v>44075</v>
      </c>
      <c r="K538" s="22"/>
    </row>
    <row r="539" spans="1:11" s="66" customFormat="1" ht="14.25" customHeight="1">
      <c r="A539" s="138" t="s">
        <v>2954</v>
      </c>
      <c r="B539" s="123">
        <v>2226</v>
      </c>
      <c r="C539" s="118" t="s">
        <v>223</v>
      </c>
      <c r="D539" s="119" t="s">
        <v>1044</v>
      </c>
      <c r="E539" s="128" t="s">
        <v>318</v>
      </c>
      <c r="F539" s="121" t="s">
        <v>2806</v>
      </c>
      <c r="G539" s="119" t="s">
        <v>1433</v>
      </c>
      <c r="H539" s="128" t="s">
        <v>844</v>
      </c>
      <c r="I539" s="121" t="s">
        <v>1903</v>
      </c>
      <c r="J539" s="129">
        <v>44075</v>
      </c>
      <c r="K539" s="22"/>
    </row>
    <row r="540" spans="1:11" s="66" customFormat="1" ht="14.25" customHeight="1">
      <c r="A540" s="138" t="s">
        <v>341</v>
      </c>
      <c r="B540" s="123">
        <v>1238</v>
      </c>
      <c r="C540" s="118" t="s">
        <v>223</v>
      </c>
      <c r="D540" s="119" t="s">
        <v>1044</v>
      </c>
      <c r="E540" s="128" t="s">
        <v>178</v>
      </c>
      <c r="F540" s="121" t="s">
        <v>1556</v>
      </c>
      <c r="G540" s="119" t="s">
        <v>1433</v>
      </c>
      <c r="H540" s="128" t="s">
        <v>1045</v>
      </c>
      <c r="I540" s="121" t="s">
        <v>1926</v>
      </c>
      <c r="J540" s="131">
        <v>44075</v>
      </c>
      <c r="K540" s="22"/>
    </row>
    <row r="541" spans="1:11" s="66" customFormat="1" ht="14.25" customHeight="1">
      <c r="A541" s="138" t="s">
        <v>2952</v>
      </c>
      <c r="B541" s="123">
        <v>2019</v>
      </c>
      <c r="C541" s="118" t="s">
        <v>223</v>
      </c>
      <c r="D541" s="119" t="s">
        <v>1044</v>
      </c>
      <c r="E541" s="128" t="s">
        <v>437</v>
      </c>
      <c r="F541" s="121" t="s">
        <v>342</v>
      </c>
      <c r="G541" s="119" t="s">
        <v>1433</v>
      </c>
      <c r="H541" s="128" t="s">
        <v>844</v>
      </c>
      <c r="I541" s="121" t="s">
        <v>1903</v>
      </c>
      <c r="J541" s="129">
        <v>44075</v>
      </c>
      <c r="K541" s="22"/>
    </row>
    <row r="542" spans="1:11" s="66" customFormat="1" ht="14.25" customHeight="1">
      <c r="A542" s="138" t="s">
        <v>2951</v>
      </c>
      <c r="B542" s="123">
        <v>2826</v>
      </c>
      <c r="C542" s="118" t="s">
        <v>223</v>
      </c>
      <c r="D542" s="119" t="s">
        <v>1044</v>
      </c>
      <c r="E542" s="128" t="s">
        <v>595</v>
      </c>
      <c r="F542" s="121" t="s">
        <v>1906</v>
      </c>
      <c r="G542" s="119" t="s">
        <v>1433</v>
      </c>
      <c r="H542" s="128" t="s">
        <v>844</v>
      </c>
      <c r="I542" s="121" t="s">
        <v>1903</v>
      </c>
      <c r="J542" s="129">
        <v>44075</v>
      </c>
      <c r="K542" s="22"/>
    </row>
    <row r="543" spans="1:11" s="66" customFormat="1" ht="14.25" customHeight="1">
      <c r="A543" s="138" t="s">
        <v>2993</v>
      </c>
      <c r="B543" s="123">
        <v>571</v>
      </c>
      <c r="C543" s="118" t="s">
        <v>2287</v>
      </c>
      <c r="D543" s="119" t="s">
        <v>2641</v>
      </c>
      <c r="E543" s="128" t="s">
        <v>2182</v>
      </c>
      <c r="F543" s="121" t="s">
        <v>1937</v>
      </c>
      <c r="G543" s="119" t="s">
        <v>2641</v>
      </c>
      <c r="H543" s="128" t="s">
        <v>351</v>
      </c>
      <c r="I543" s="121" t="s">
        <v>1937</v>
      </c>
      <c r="J543" s="129">
        <v>44075</v>
      </c>
      <c r="K543" s="22"/>
    </row>
    <row r="544" spans="1:11" s="66" customFormat="1" ht="14.25" customHeight="1">
      <c r="A544" s="138" t="s">
        <v>2990</v>
      </c>
      <c r="B544" s="123">
        <v>70547</v>
      </c>
      <c r="C544" s="118" t="s">
        <v>643</v>
      </c>
      <c r="D544" s="119" t="s">
        <v>1324</v>
      </c>
      <c r="E544" s="128" t="s">
        <v>601</v>
      </c>
      <c r="F544" s="121" t="s">
        <v>2064</v>
      </c>
      <c r="G544" s="119" t="s">
        <v>1044</v>
      </c>
      <c r="H544" s="128" t="s">
        <v>1264</v>
      </c>
      <c r="I544" s="121" t="s">
        <v>1396</v>
      </c>
      <c r="J544" s="129">
        <v>44075</v>
      </c>
      <c r="K544" s="22"/>
    </row>
    <row r="545" spans="1:11" s="66" customFormat="1" ht="14.25" customHeight="1">
      <c r="A545" s="138" t="s">
        <v>2991</v>
      </c>
      <c r="B545" s="123">
        <v>3033</v>
      </c>
      <c r="C545" s="118" t="s">
        <v>451</v>
      </c>
      <c r="D545" s="119" t="s">
        <v>1324</v>
      </c>
      <c r="E545" s="128" t="s">
        <v>601</v>
      </c>
      <c r="F545" s="121" t="s">
        <v>2064</v>
      </c>
      <c r="G545" s="119" t="s">
        <v>1044</v>
      </c>
      <c r="H545" s="128" t="s">
        <v>318</v>
      </c>
      <c r="I545" s="121" t="s">
        <v>2806</v>
      </c>
      <c r="J545" s="129">
        <v>44075</v>
      </c>
      <c r="K545" s="22"/>
    </row>
    <row r="546" spans="1:11" s="66" customFormat="1" ht="14.25" customHeight="1">
      <c r="A546" s="138" t="s">
        <v>2474</v>
      </c>
      <c r="B546" s="123">
        <v>852</v>
      </c>
      <c r="C546" s="118" t="s">
        <v>2036</v>
      </c>
      <c r="D546" s="119" t="s">
        <v>450</v>
      </c>
      <c r="E546" s="128" t="s">
        <v>2402</v>
      </c>
      <c r="F546" s="121" t="s">
        <v>1909</v>
      </c>
      <c r="G546" s="119" t="s">
        <v>450</v>
      </c>
      <c r="H546" s="128" t="s">
        <v>2979</v>
      </c>
      <c r="I546" s="121" t="s">
        <v>2793</v>
      </c>
      <c r="J546" s="129">
        <v>44075</v>
      </c>
      <c r="K546" s="22"/>
    </row>
    <row r="547" spans="1:11" s="66" customFormat="1" ht="14.25" customHeight="1">
      <c r="A547" s="138" t="s">
        <v>2520</v>
      </c>
      <c r="B547" s="123">
        <v>890</v>
      </c>
      <c r="C547" s="118" t="s">
        <v>2036</v>
      </c>
      <c r="D547" s="119" t="s">
        <v>450</v>
      </c>
      <c r="E547" s="128" t="s">
        <v>2012</v>
      </c>
      <c r="F547" s="121" t="s">
        <v>2793</v>
      </c>
      <c r="G547" s="119" t="s">
        <v>450</v>
      </c>
      <c r="H547" s="128" t="s">
        <v>2979</v>
      </c>
      <c r="I547" s="121" t="s">
        <v>2793</v>
      </c>
      <c r="J547" s="129">
        <v>44075</v>
      </c>
      <c r="K547" s="22"/>
    </row>
    <row r="548" spans="1:11" s="66" customFormat="1" ht="14.25" customHeight="1">
      <c r="A548" s="138" t="s">
        <v>2279</v>
      </c>
      <c r="B548" s="123">
        <v>1276</v>
      </c>
      <c r="C548" s="118" t="s">
        <v>2037</v>
      </c>
      <c r="D548" s="119" t="s">
        <v>450</v>
      </c>
      <c r="E548" s="128" t="s">
        <v>2012</v>
      </c>
      <c r="F548" s="121" t="s">
        <v>1927</v>
      </c>
      <c r="G548" s="119" t="s">
        <v>450</v>
      </c>
      <c r="H548" s="128" t="s">
        <v>2979</v>
      </c>
      <c r="I548" s="121" t="s">
        <v>2793</v>
      </c>
      <c r="J548" s="129">
        <v>44075</v>
      </c>
      <c r="K548" s="22"/>
    </row>
    <row r="549" spans="1:11" s="66" customFormat="1" ht="14.25" customHeight="1">
      <c r="A549" s="138" t="s">
        <v>1573</v>
      </c>
      <c r="B549" s="123">
        <v>131</v>
      </c>
      <c r="C549" s="118" t="s">
        <v>1320</v>
      </c>
      <c r="D549" s="119" t="s">
        <v>450</v>
      </c>
      <c r="E549" s="128" t="s">
        <v>2012</v>
      </c>
      <c r="F549" s="121" t="s">
        <v>2793</v>
      </c>
      <c r="G549" s="119" t="s">
        <v>450</v>
      </c>
      <c r="H549" s="128" t="s">
        <v>1608</v>
      </c>
      <c r="I549" s="121" t="s">
        <v>2793</v>
      </c>
      <c r="J549" s="130">
        <v>44075</v>
      </c>
      <c r="K549" s="22"/>
    </row>
    <row r="550" spans="1:11" s="66" customFormat="1" ht="14.25" customHeight="1">
      <c r="A550" s="138" t="s">
        <v>1551</v>
      </c>
      <c r="B550" s="123">
        <v>224</v>
      </c>
      <c r="C550" s="118" t="s">
        <v>1320</v>
      </c>
      <c r="D550" s="119" t="s">
        <v>450</v>
      </c>
      <c r="E550" s="128" t="s">
        <v>2329</v>
      </c>
      <c r="F550" s="121" t="s">
        <v>1909</v>
      </c>
      <c r="G550" s="119" t="s">
        <v>450</v>
      </c>
      <c r="H550" s="128" t="s">
        <v>234</v>
      </c>
      <c r="I550" s="121" t="s">
        <v>1923</v>
      </c>
      <c r="J550" s="130">
        <v>44075</v>
      </c>
      <c r="K550" s="22"/>
    </row>
    <row r="551" spans="1:11" s="66" customFormat="1" ht="14.25" customHeight="1">
      <c r="A551" s="138" t="s">
        <v>2908</v>
      </c>
      <c r="B551" s="123">
        <v>2370</v>
      </c>
      <c r="C551" s="118" t="s">
        <v>451</v>
      </c>
      <c r="D551" s="119" t="s">
        <v>2014</v>
      </c>
      <c r="E551" s="128" t="s">
        <v>1262</v>
      </c>
      <c r="F551" s="121" t="s">
        <v>1383</v>
      </c>
      <c r="G551" s="119" t="s">
        <v>2283</v>
      </c>
      <c r="H551" s="128" t="s">
        <v>2072</v>
      </c>
      <c r="I551" s="121" t="s">
        <v>1398</v>
      </c>
      <c r="J551" s="129">
        <v>44075</v>
      </c>
      <c r="K551" s="22"/>
    </row>
    <row r="552" spans="1:11" s="66" customFormat="1" ht="14.25" customHeight="1">
      <c r="A552" s="138" t="s">
        <v>1560</v>
      </c>
      <c r="B552" s="123">
        <v>115</v>
      </c>
      <c r="C552" s="118" t="s">
        <v>1321</v>
      </c>
      <c r="D552" s="119" t="s">
        <v>450</v>
      </c>
      <c r="E552" s="128" t="s">
        <v>234</v>
      </c>
      <c r="F552" s="121" t="s">
        <v>1923</v>
      </c>
      <c r="G552" s="119" t="s">
        <v>450</v>
      </c>
      <c r="H552" s="128" t="s">
        <v>1608</v>
      </c>
      <c r="I552" s="121" t="s">
        <v>1927</v>
      </c>
      <c r="J552" s="130">
        <v>44075</v>
      </c>
      <c r="K552" s="22"/>
    </row>
    <row r="553" spans="1:11" s="66" customFormat="1" ht="14.25" customHeight="1">
      <c r="A553" s="138" t="s">
        <v>2903</v>
      </c>
      <c r="B553" s="123">
        <v>64526</v>
      </c>
      <c r="C553" s="118" t="s">
        <v>643</v>
      </c>
      <c r="D553" s="119" t="s">
        <v>450</v>
      </c>
      <c r="E553" s="128" t="s">
        <v>512</v>
      </c>
      <c r="F553" s="121" t="s">
        <v>1574</v>
      </c>
      <c r="G553" s="119" t="s">
        <v>450</v>
      </c>
      <c r="H553" s="128" t="s">
        <v>515</v>
      </c>
      <c r="I553" s="121" t="s">
        <v>2900</v>
      </c>
      <c r="J553" s="129">
        <v>44075</v>
      </c>
      <c r="K553" s="22"/>
    </row>
    <row r="554" spans="1:11" s="66" customFormat="1" ht="14.25" customHeight="1">
      <c r="A554" s="138" t="s">
        <v>3031</v>
      </c>
      <c r="B554" s="123">
        <v>2235</v>
      </c>
      <c r="C554" s="118" t="s">
        <v>1339</v>
      </c>
      <c r="D554" s="119" t="s">
        <v>450</v>
      </c>
      <c r="E554" s="128" t="s">
        <v>2521</v>
      </c>
      <c r="F554" s="121" t="s">
        <v>2520</v>
      </c>
      <c r="G554" s="119" t="s">
        <v>450</v>
      </c>
      <c r="H554" s="128" t="s">
        <v>2979</v>
      </c>
      <c r="I554" s="121" t="s">
        <v>2520</v>
      </c>
      <c r="J554" s="130">
        <v>44075</v>
      </c>
      <c r="K554" s="22"/>
    </row>
    <row r="555" spans="1:11" s="66" customFormat="1" ht="14.25" customHeight="1">
      <c r="A555" s="138" t="s">
        <v>2984</v>
      </c>
      <c r="B555" s="123">
        <v>1453</v>
      </c>
      <c r="C555" s="118" t="s">
        <v>1339</v>
      </c>
      <c r="D555" s="119" t="s">
        <v>450</v>
      </c>
      <c r="E555" s="128" t="s">
        <v>514</v>
      </c>
      <c r="F555" s="121" t="s">
        <v>2472</v>
      </c>
      <c r="G555" s="119" t="s">
        <v>450</v>
      </c>
      <c r="H555" s="128" t="s">
        <v>2979</v>
      </c>
      <c r="I555" s="121" t="s">
        <v>2793</v>
      </c>
      <c r="J555" s="129">
        <v>44075</v>
      </c>
      <c r="K555" s="22"/>
    </row>
    <row r="556" spans="1:11" s="66" customFormat="1" ht="14.25" customHeight="1">
      <c r="A556" s="138" t="s">
        <v>2982</v>
      </c>
      <c r="B556" s="123">
        <v>319</v>
      </c>
      <c r="C556" s="118" t="s">
        <v>1339</v>
      </c>
      <c r="D556" s="119" t="s">
        <v>450</v>
      </c>
      <c r="E556" s="128" t="s">
        <v>515</v>
      </c>
      <c r="F556" s="121" t="s">
        <v>1574</v>
      </c>
      <c r="G556" s="119" t="s">
        <v>450</v>
      </c>
      <c r="H556" s="128" t="s">
        <v>2979</v>
      </c>
      <c r="I556" s="121" t="s">
        <v>2793</v>
      </c>
      <c r="J556" s="129">
        <v>44075</v>
      </c>
      <c r="K556" s="22"/>
    </row>
    <row r="557" spans="1:11" s="66" customFormat="1" ht="14.25" customHeight="1">
      <c r="A557" s="138" t="s">
        <v>1931</v>
      </c>
      <c r="B557" s="123">
        <v>1050</v>
      </c>
      <c r="C557" s="118" t="s">
        <v>223</v>
      </c>
      <c r="D557" s="119" t="s">
        <v>450</v>
      </c>
      <c r="E557" s="128" t="s">
        <v>514</v>
      </c>
      <c r="F557" s="121" t="s">
        <v>2472</v>
      </c>
      <c r="G557" s="119" t="s">
        <v>450</v>
      </c>
      <c r="H557" s="128" t="s">
        <v>2979</v>
      </c>
      <c r="I557" s="121" t="s">
        <v>2793</v>
      </c>
      <c r="J557" s="131">
        <v>44075</v>
      </c>
      <c r="K557" s="22"/>
    </row>
    <row r="558" spans="1:11" s="66" customFormat="1" ht="14.25" customHeight="1">
      <c r="A558" s="138" t="s">
        <v>2981</v>
      </c>
      <c r="B558" s="123">
        <v>1228</v>
      </c>
      <c r="C558" s="118" t="s">
        <v>223</v>
      </c>
      <c r="D558" s="119" t="s">
        <v>450</v>
      </c>
      <c r="E558" s="128" t="s">
        <v>515</v>
      </c>
      <c r="F558" s="121" t="s">
        <v>1574</v>
      </c>
      <c r="G558" s="119" t="s">
        <v>450</v>
      </c>
      <c r="H558" s="128" t="s">
        <v>1062</v>
      </c>
      <c r="I558" s="121" t="s">
        <v>1562</v>
      </c>
      <c r="J558" s="129">
        <v>44075</v>
      </c>
      <c r="K558" s="22"/>
    </row>
    <row r="559" spans="1:11" s="66" customFormat="1" ht="14.25" customHeight="1">
      <c r="A559" s="138" t="s">
        <v>2985</v>
      </c>
      <c r="B559" s="123">
        <v>1520</v>
      </c>
      <c r="C559" s="118" t="s">
        <v>223</v>
      </c>
      <c r="D559" s="119" t="s">
        <v>450</v>
      </c>
      <c r="E559" s="128" t="s">
        <v>514</v>
      </c>
      <c r="F559" s="121" t="s">
        <v>2472</v>
      </c>
      <c r="G559" s="119" t="s">
        <v>450</v>
      </c>
      <c r="H559" s="128" t="s">
        <v>2979</v>
      </c>
      <c r="I559" s="121" t="s">
        <v>2793</v>
      </c>
      <c r="J559" s="131">
        <v>44075</v>
      </c>
      <c r="K559" s="22"/>
    </row>
    <row r="560" spans="1:11" s="66" customFormat="1" ht="14.25" customHeight="1">
      <c r="A560" s="138" t="s">
        <v>2902</v>
      </c>
      <c r="B560" s="123">
        <v>2396</v>
      </c>
      <c r="C560" s="118" t="s">
        <v>223</v>
      </c>
      <c r="D560" s="119" t="s">
        <v>1433</v>
      </c>
      <c r="E560" s="128" t="s">
        <v>1325</v>
      </c>
      <c r="F560" s="121" t="s">
        <v>2159</v>
      </c>
      <c r="G560" s="119" t="s">
        <v>2638</v>
      </c>
      <c r="H560" s="128" t="s">
        <v>271</v>
      </c>
      <c r="I560" s="121" t="s">
        <v>2136</v>
      </c>
      <c r="J560" s="131">
        <v>44075</v>
      </c>
      <c r="K560" s="22"/>
    </row>
    <row r="561" spans="1:11" s="66" customFormat="1" ht="14.25" customHeight="1">
      <c r="A561" s="138" t="s">
        <v>1897</v>
      </c>
      <c r="B561" s="123">
        <v>122</v>
      </c>
      <c r="C561" s="118" t="s">
        <v>2126</v>
      </c>
      <c r="D561" s="119" t="s">
        <v>2640</v>
      </c>
      <c r="E561" s="128" t="s">
        <v>2315</v>
      </c>
      <c r="F561" s="121" t="s">
        <v>2095</v>
      </c>
      <c r="G561" s="119" t="s">
        <v>2640</v>
      </c>
      <c r="H561" s="128" t="s">
        <v>740</v>
      </c>
      <c r="I561" s="121" t="s">
        <v>1938</v>
      </c>
      <c r="J561" s="129">
        <v>44075</v>
      </c>
      <c r="K561" s="22"/>
    </row>
    <row r="562" spans="1:11" s="66" customFormat="1" ht="14.25" customHeight="1">
      <c r="A562" s="138" t="s">
        <v>1898</v>
      </c>
      <c r="B562" s="123">
        <v>123</v>
      </c>
      <c r="C562" s="118" t="s">
        <v>2127</v>
      </c>
      <c r="D562" s="119" t="s">
        <v>2640</v>
      </c>
      <c r="E562" s="128" t="s">
        <v>2314</v>
      </c>
      <c r="F562" s="121" t="s">
        <v>2095</v>
      </c>
      <c r="G562" s="119" t="s">
        <v>2640</v>
      </c>
      <c r="H562" s="128" t="s">
        <v>741</v>
      </c>
      <c r="I562" s="121" t="s">
        <v>1938</v>
      </c>
      <c r="J562" s="129">
        <v>44075</v>
      </c>
      <c r="K562" s="22"/>
    </row>
    <row r="563" spans="1:11" s="66" customFormat="1" ht="14.25" customHeight="1">
      <c r="A563" s="138" t="s">
        <v>2376</v>
      </c>
      <c r="B563" s="123">
        <v>3009</v>
      </c>
      <c r="C563" s="118" t="s">
        <v>2180</v>
      </c>
      <c r="D563" s="119" t="s">
        <v>2640</v>
      </c>
      <c r="E563" s="128" t="s">
        <v>741</v>
      </c>
      <c r="F563" s="121" t="s">
        <v>2777</v>
      </c>
      <c r="G563" s="119" t="s">
        <v>2640</v>
      </c>
      <c r="H563" s="128" t="s">
        <v>480</v>
      </c>
      <c r="I563" s="121" t="s">
        <v>1891</v>
      </c>
      <c r="J563" s="129">
        <v>44075</v>
      </c>
      <c r="K563" s="22"/>
    </row>
    <row r="564" spans="1:11" s="66" customFormat="1" ht="14.25" customHeight="1">
      <c r="A564" s="138" t="s">
        <v>2938</v>
      </c>
      <c r="B564" s="123">
        <v>3153</v>
      </c>
      <c r="C564" s="118" t="s">
        <v>2180</v>
      </c>
      <c r="D564" s="119" t="s">
        <v>2640</v>
      </c>
      <c r="E564" s="128" t="s">
        <v>481</v>
      </c>
      <c r="F564" s="121" t="s">
        <v>1381</v>
      </c>
      <c r="G564" s="119" t="s">
        <v>2640</v>
      </c>
      <c r="H564" s="128" t="s">
        <v>741</v>
      </c>
      <c r="I564" s="121" t="s">
        <v>1898</v>
      </c>
      <c r="J564" s="129">
        <v>44075</v>
      </c>
      <c r="K564" s="22"/>
    </row>
    <row r="565" spans="1:11" s="66" customFormat="1" ht="14.25" customHeight="1">
      <c r="A565" s="138" t="s">
        <v>2942</v>
      </c>
      <c r="B565" s="123">
        <v>3063</v>
      </c>
      <c r="C565" s="118" t="s">
        <v>2180</v>
      </c>
      <c r="D565" s="119" t="s">
        <v>2640</v>
      </c>
      <c r="E565" s="128" t="s">
        <v>2094</v>
      </c>
      <c r="F565" s="121" t="s">
        <v>1897</v>
      </c>
      <c r="G565" s="119" t="s">
        <v>2640</v>
      </c>
      <c r="H565" s="128" t="s">
        <v>480</v>
      </c>
      <c r="I565" s="121" t="s">
        <v>1891</v>
      </c>
      <c r="J565" s="129">
        <v>44075</v>
      </c>
      <c r="K565" s="22"/>
    </row>
    <row r="566" spans="1:11" s="66" customFormat="1" ht="14.25" customHeight="1">
      <c r="A566" s="138" t="s">
        <v>1547</v>
      </c>
      <c r="B566" s="123">
        <v>1807</v>
      </c>
      <c r="C566" s="118" t="s">
        <v>731</v>
      </c>
      <c r="D566" s="119" t="s">
        <v>2640</v>
      </c>
      <c r="E566" s="128" t="s">
        <v>2315</v>
      </c>
      <c r="F566" s="121" t="s">
        <v>1897</v>
      </c>
      <c r="G566" s="119" t="s">
        <v>2640</v>
      </c>
      <c r="H566" s="128" t="s">
        <v>481</v>
      </c>
      <c r="I566" s="121" t="s">
        <v>1381</v>
      </c>
      <c r="J566" s="129">
        <v>44075</v>
      </c>
      <c r="K566" s="22"/>
    </row>
    <row r="567" spans="1:11" s="66" customFormat="1" ht="14.25" customHeight="1">
      <c r="A567" s="138" t="s">
        <v>2940</v>
      </c>
      <c r="B567" s="123">
        <v>684</v>
      </c>
      <c r="C567" s="118" t="s">
        <v>731</v>
      </c>
      <c r="D567" s="119" t="s">
        <v>2640</v>
      </c>
      <c r="E567" s="128" t="s">
        <v>2314</v>
      </c>
      <c r="F567" s="121" t="s">
        <v>1898</v>
      </c>
      <c r="G567" s="119" t="s">
        <v>2640</v>
      </c>
      <c r="H567" s="128" t="s">
        <v>480</v>
      </c>
      <c r="I567" s="121" t="s">
        <v>1891</v>
      </c>
      <c r="J567" s="129">
        <v>44075</v>
      </c>
      <c r="K567" s="22"/>
    </row>
    <row r="568" spans="1:11" s="66" customFormat="1" ht="14.25" customHeight="1">
      <c r="A568" s="138" t="s">
        <v>2934</v>
      </c>
      <c r="B568" s="123">
        <v>372</v>
      </c>
      <c r="C568" s="118" t="s">
        <v>731</v>
      </c>
      <c r="D568" s="119" t="s">
        <v>2640</v>
      </c>
      <c r="E568" s="128" t="s">
        <v>481</v>
      </c>
      <c r="F568" s="121" t="s">
        <v>1381</v>
      </c>
      <c r="G568" s="119" t="s">
        <v>2640</v>
      </c>
      <c r="H568" s="128" t="s">
        <v>740</v>
      </c>
      <c r="I568" s="121" t="s">
        <v>1897</v>
      </c>
      <c r="J568" s="129">
        <v>44075</v>
      </c>
      <c r="K568" s="22"/>
    </row>
    <row r="569" spans="1:11" s="66" customFormat="1" ht="14.25" customHeight="1">
      <c r="A569" s="138" t="s">
        <v>2933</v>
      </c>
      <c r="B569" s="123">
        <v>120</v>
      </c>
      <c r="C569" s="118" t="s">
        <v>1586</v>
      </c>
      <c r="D569" s="119" t="s">
        <v>2640</v>
      </c>
      <c r="E569" s="128" t="s">
        <v>740</v>
      </c>
      <c r="F569" s="121" t="s">
        <v>1888</v>
      </c>
      <c r="G569" s="119" t="s">
        <v>2640</v>
      </c>
      <c r="H569" s="128" t="s">
        <v>481</v>
      </c>
      <c r="I569" s="121" t="s">
        <v>1381</v>
      </c>
      <c r="J569" s="131">
        <v>44075</v>
      </c>
      <c r="K569" s="22"/>
    </row>
    <row r="570" spans="1:11" s="66" customFormat="1" ht="14.25" customHeight="1">
      <c r="A570" s="138" t="s">
        <v>2932</v>
      </c>
      <c r="B570" s="123">
        <v>2941</v>
      </c>
      <c r="C570" s="118" t="s">
        <v>1224</v>
      </c>
      <c r="D570" s="119" t="s">
        <v>2640</v>
      </c>
      <c r="E570" s="128" t="s">
        <v>2314</v>
      </c>
      <c r="F570" s="121" t="s">
        <v>1898</v>
      </c>
      <c r="G570" s="119" t="s">
        <v>2640</v>
      </c>
      <c r="H570" s="128" t="s">
        <v>481</v>
      </c>
      <c r="I570" s="121" t="s">
        <v>1381</v>
      </c>
      <c r="J570" s="129">
        <v>44075</v>
      </c>
      <c r="K570" s="22"/>
    </row>
    <row r="571" spans="1:11" s="66" customFormat="1" ht="14.25" customHeight="1">
      <c r="A571" s="138" t="s">
        <v>2935</v>
      </c>
      <c r="B571" s="123">
        <v>2955</v>
      </c>
      <c r="C571" s="118" t="s">
        <v>1224</v>
      </c>
      <c r="D571" s="119" t="s">
        <v>2640</v>
      </c>
      <c r="E571" s="128" t="s">
        <v>2316</v>
      </c>
      <c r="F571" s="121" t="s">
        <v>1894</v>
      </c>
      <c r="G571" s="119" t="s">
        <v>2640</v>
      </c>
      <c r="H571" s="128" t="s">
        <v>740</v>
      </c>
      <c r="I571" s="121" t="s">
        <v>1897</v>
      </c>
      <c r="J571" s="131">
        <v>44075</v>
      </c>
      <c r="K571" s="22"/>
    </row>
    <row r="572" spans="1:11" s="66" customFormat="1" ht="14.25" customHeight="1">
      <c r="A572" s="138" t="s">
        <v>2937</v>
      </c>
      <c r="B572" s="123">
        <v>3059</v>
      </c>
      <c r="C572" s="118" t="s">
        <v>1224</v>
      </c>
      <c r="D572" s="119" t="s">
        <v>2640</v>
      </c>
      <c r="E572" s="128" t="s">
        <v>2094</v>
      </c>
      <c r="F572" s="121" t="s">
        <v>1897</v>
      </c>
      <c r="G572" s="119" t="s">
        <v>2640</v>
      </c>
      <c r="H572" s="128" t="s">
        <v>740</v>
      </c>
      <c r="I572" s="121" t="s">
        <v>1897</v>
      </c>
      <c r="J572" s="129">
        <v>44075</v>
      </c>
      <c r="K572" s="22"/>
    </row>
    <row r="573" spans="1:11" s="66" customFormat="1" ht="14.25" customHeight="1">
      <c r="A573" s="138" t="s">
        <v>2931</v>
      </c>
      <c r="B573" s="123">
        <v>3107</v>
      </c>
      <c r="C573" s="118" t="s">
        <v>1224</v>
      </c>
      <c r="D573" s="119" t="s">
        <v>2640</v>
      </c>
      <c r="E573" s="128" t="s">
        <v>2094</v>
      </c>
      <c r="F573" s="121" t="s">
        <v>2544</v>
      </c>
      <c r="G573" s="119" t="s">
        <v>2640</v>
      </c>
      <c r="H573" s="128" t="s">
        <v>481</v>
      </c>
      <c r="I573" s="121" t="s">
        <v>1381</v>
      </c>
      <c r="J573" s="129">
        <v>44075</v>
      </c>
      <c r="K573" s="22"/>
    </row>
    <row r="574" spans="1:11" s="66" customFormat="1" ht="14.25" customHeight="1">
      <c r="A574" s="138" t="s">
        <v>2936</v>
      </c>
      <c r="B574" s="123">
        <v>2951</v>
      </c>
      <c r="C574" s="118" t="s">
        <v>1224</v>
      </c>
      <c r="D574" s="119" t="s">
        <v>2640</v>
      </c>
      <c r="E574" s="128" t="s">
        <v>2317</v>
      </c>
      <c r="F574" s="121" t="s">
        <v>2544</v>
      </c>
      <c r="G574" s="119" t="s">
        <v>2640</v>
      </c>
      <c r="H574" s="128" t="s">
        <v>740</v>
      </c>
      <c r="I574" s="121" t="s">
        <v>1897</v>
      </c>
      <c r="J574" s="129">
        <v>44075</v>
      </c>
      <c r="K574" s="22"/>
    </row>
    <row r="575" spans="1:11" s="66" customFormat="1" ht="14.25" customHeight="1">
      <c r="A575" s="138" t="s">
        <v>2941</v>
      </c>
      <c r="B575" s="123">
        <v>1167</v>
      </c>
      <c r="C575" s="118" t="s">
        <v>1225</v>
      </c>
      <c r="D575" s="119" t="s">
        <v>2640</v>
      </c>
      <c r="E575" s="128" t="s">
        <v>740</v>
      </c>
      <c r="F575" s="121" t="s">
        <v>1888</v>
      </c>
      <c r="G575" s="119" t="s">
        <v>2640</v>
      </c>
      <c r="H575" s="128" t="s">
        <v>480</v>
      </c>
      <c r="I575" s="121" t="s">
        <v>1891</v>
      </c>
      <c r="J575" s="129">
        <v>44075</v>
      </c>
      <c r="K575" s="22"/>
    </row>
    <row r="576" spans="1:11" s="66" customFormat="1" ht="14.25" customHeight="1">
      <c r="A576" s="138" t="s">
        <v>1371</v>
      </c>
      <c r="B576" s="123">
        <v>210</v>
      </c>
      <c r="C576" s="118" t="s">
        <v>1225</v>
      </c>
      <c r="D576" s="119" t="s">
        <v>2640</v>
      </c>
      <c r="E576" s="128" t="s">
        <v>2315</v>
      </c>
      <c r="F576" s="121" t="s">
        <v>1897</v>
      </c>
      <c r="G576" s="119" t="s">
        <v>2640</v>
      </c>
      <c r="H576" s="128" t="s">
        <v>480</v>
      </c>
      <c r="I576" s="121" t="s">
        <v>1891</v>
      </c>
      <c r="J576" s="129">
        <v>44075</v>
      </c>
      <c r="K576" s="22"/>
    </row>
    <row r="577" spans="1:11" s="66" customFormat="1" ht="14.25" customHeight="1">
      <c r="A577" s="138" t="s">
        <v>1945</v>
      </c>
      <c r="B577" s="123">
        <v>2487</v>
      </c>
      <c r="C577" s="118" t="s">
        <v>1225</v>
      </c>
      <c r="D577" s="119" t="s">
        <v>2640</v>
      </c>
      <c r="E577" s="128" t="s">
        <v>2314</v>
      </c>
      <c r="F577" s="121" t="s">
        <v>1898</v>
      </c>
      <c r="G577" s="119" t="s">
        <v>2640</v>
      </c>
      <c r="H577" s="128" t="s">
        <v>741</v>
      </c>
      <c r="I577" s="121" t="s">
        <v>1898</v>
      </c>
      <c r="J577" s="129">
        <v>44075</v>
      </c>
      <c r="K577" s="22"/>
    </row>
    <row r="578" spans="1:11" s="66" customFormat="1" ht="14.25" customHeight="1">
      <c r="A578" s="138" t="s">
        <v>2185</v>
      </c>
      <c r="B578" s="123">
        <v>2255</v>
      </c>
      <c r="C578" s="118" t="s">
        <v>1225</v>
      </c>
      <c r="D578" s="119" t="s">
        <v>2640</v>
      </c>
      <c r="E578" s="128" t="s">
        <v>2316</v>
      </c>
      <c r="F578" s="121" t="s">
        <v>1894</v>
      </c>
      <c r="G578" s="119" t="s">
        <v>2640</v>
      </c>
      <c r="H578" s="128" t="s">
        <v>481</v>
      </c>
      <c r="I578" s="121" t="s">
        <v>1381</v>
      </c>
      <c r="J578" s="129">
        <v>44075</v>
      </c>
      <c r="K578" s="22"/>
    </row>
    <row r="579" spans="1:11" s="66" customFormat="1" ht="14.25" customHeight="1">
      <c r="A579" s="138" t="s">
        <v>2939</v>
      </c>
      <c r="B579" s="123">
        <v>1339</v>
      </c>
      <c r="C579" s="118" t="s">
        <v>1225</v>
      </c>
      <c r="D579" s="119" t="s">
        <v>2640</v>
      </c>
      <c r="E579" s="128" t="s">
        <v>2314</v>
      </c>
      <c r="F579" s="121" t="s">
        <v>1898</v>
      </c>
      <c r="G579" s="119" t="s">
        <v>2640</v>
      </c>
      <c r="H579" s="128" t="s">
        <v>741</v>
      </c>
      <c r="I579" s="121" t="s">
        <v>1898</v>
      </c>
      <c r="J579" s="129">
        <v>44075</v>
      </c>
      <c r="K579" s="22"/>
    </row>
    <row r="580" spans="1:11" s="66" customFormat="1" ht="14.25" customHeight="1">
      <c r="A580" s="138" t="s">
        <v>2187</v>
      </c>
      <c r="B580" s="123">
        <v>1970</v>
      </c>
      <c r="C580" s="118" t="s">
        <v>1225</v>
      </c>
      <c r="D580" s="119" t="s">
        <v>2640</v>
      </c>
      <c r="E580" s="128" t="s">
        <v>2317</v>
      </c>
      <c r="F580" s="121" t="s">
        <v>2544</v>
      </c>
      <c r="G580" s="119" t="s">
        <v>2640</v>
      </c>
      <c r="H580" s="128" t="s">
        <v>741</v>
      </c>
      <c r="I580" s="121" t="s">
        <v>1898</v>
      </c>
      <c r="J580" s="129">
        <v>44075</v>
      </c>
      <c r="K580" s="22"/>
    </row>
    <row r="581" spans="1:11" s="66" customFormat="1" ht="14.25" customHeight="1">
      <c r="A581" s="138" t="s">
        <v>1566</v>
      </c>
      <c r="B581" s="123">
        <v>1703</v>
      </c>
      <c r="C581" s="118" t="s">
        <v>451</v>
      </c>
      <c r="D581" s="119" t="s">
        <v>1435</v>
      </c>
      <c r="E581" s="128" t="s">
        <v>449</v>
      </c>
      <c r="F581" s="121" t="s">
        <v>1899</v>
      </c>
      <c r="G581" s="119" t="s">
        <v>1435</v>
      </c>
      <c r="H581" s="128" t="s">
        <v>974</v>
      </c>
      <c r="I581" s="121" t="s">
        <v>1899</v>
      </c>
      <c r="J581" s="129">
        <v>44075</v>
      </c>
      <c r="K581" s="22"/>
    </row>
    <row r="582" spans="1:11" s="66" customFormat="1" ht="14.25" customHeight="1">
      <c r="A582" s="138" t="s">
        <v>2479</v>
      </c>
      <c r="B582" s="123">
        <v>2021</v>
      </c>
      <c r="C582" s="118" t="s">
        <v>451</v>
      </c>
      <c r="D582" s="119" t="s">
        <v>1435</v>
      </c>
      <c r="E582" s="128" t="s">
        <v>449</v>
      </c>
      <c r="F582" s="121" t="s">
        <v>1899</v>
      </c>
      <c r="G582" s="119" t="s">
        <v>1435</v>
      </c>
      <c r="H582" s="128" t="s">
        <v>2161</v>
      </c>
      <c r="I582" s="121" t="s">
        <v>1567</v>
      </c>
      <c r="J582" s="129">
        <v>44075</v>
      </c>
      <c r="K582" s="22"/>
    </row>
    <row r="583" spans="1:11" s="66" customFormat="1" ht="14.25" customHeight="1">
      <c r="A583" s="138" t="s">
        <v>2871</v>
      </c>
      <c r="B583" s="123">
        <v>620</v>
      </c>
      <c r="C583" s="118" t="s">
        <v>1585</v>
      </c>
      <c r="D583" s="119" t="s">
        <v>2014</v>
      </c>
      <c r="E583" s="128" t="s">
        <v>503</v>
      </c>
      <c r="F583" s="121" t="s">
        <v>1565</v>
      </c>
      <c r="G583" s="119" t="s">
        <v>3079</v>
      </c>
      <c r="H583" s="128" t="s">
        <v>2377</v>
      </c>
      <c r="I583" s="121" t="s">
        <v>2865</v>
      </c>
      <c r="J583" s="131">
        <v>44075</v>
      </c>
      <c r="K583" s="22"/>
    </row>
    <row r="584" spans="1:11" s="66" customFormat="1" ht="14.25" customHeight="1">
      <c r="A584" s="138" t="s">
        <v>2904</v>
      </c>
      <c r="B584" s="123">
        <v>789</v>
      </c>
      <c r="C584" s="118" t="s">
        <v>1585</v>
      </c>
      <c r="D584" s="119" t="s">
        <v>2014</v>
      </c>
      <c r="E584" s="128" t="s">
        <v>1090</v>
      </c>
      <c r="F584" s="121" t="s">
        <v>1908</v>
      </c>
      <c r="G584" s="119" t="s">
        <v>3079</v>
      </c>
      <c r="H584" s="128" t="s">
        <v>2675</v>
      </c>
      <c r="I584" s="121" t="s">
        <v>339</v>
      </c>
      <c r="J584" s="131">
        <v>44075</v>
      </c>
      <c r="K584" s="22"/>
    </row>
    <row r="585" spans="1:11" s="66" customFormat="1" ht="14.25" customHeight="1">
      <c r="A585" s="138" t="s">
        <v>2901</v>
      </c>
      <c r="B585" s="123">
        <v>330</v>
      </c>
      <c r="C585" s="118" t="s">
        <v>1585</v>
      </c>
      <c r="D585" s="119" t="s">
        <v>2014</v>
      </c>
      <c r="E585" s="128" t="s">
        <v>435</v>
      </c>
      <c r="F585" s="121" t="s">
        <v>347</v>
      </c>
      <c r="G585" s="119" t="s">
        <v>3079</v>
      </c>
      <c r="H585" s="128" t="s">
        <v>2735</v>
      </c>
      <c r="I585" s="121" t="s">
        <v>2488</v>
      </c>
      <c r="J585" s="129">
        <v>44075</v>
      </c>
      <c r="K585" s="22"/>
    </row>
    <row r="586" spans="1:11" s="66" customFormat="1" ht="14.25" customHeight="1">
      <c r="A586" s="138" t="s">
        <v>2905</v>
      </c>
      <c r="B586" s="123">
        <v>1217</v>
      </c>
      <c r="C586" s="118" t="s">
        <v>1339</v>
      </c>
      <c r="D586" s="167" t="s">
        <v>2014</v>
      </c>
      <c r="E586" s="128" t="s">
        <v>1452</v>
      </c>
      <c r="F586" s="121" t="s">
        <v>1386</v>
      </c>
      <c r="G586" s="119" t="s">
        <v>3079</v>
      </c>
      <c r="H586" s="128" t="s">
        <v>2686</v>
      </c>
      <c r="I586" s="121" t="s">
        <v>529</v>
      </c>
      <c r="J586" s="129">
        <v>44075</v>
      </c>
      <c r="K586" s="22"/>
    </row>
    <row r="587" spans="1:11" s="66" customFormat="1" ht="14.25" customHeight="1">
      <c r="A587" s="138" t="s">
        <v>2868</v>
      </c>
      <c r="B587" s="123">
        <v>1110</v>
      </c>
      <c r="C587" s="118" t="s">
        <v>223</v>
      </c>
      <c r="D587" s="119" t="s">
        <v>1044</v>
      </c>
      <c r="E587" s="128" t="s">
        <v>318</v>
      </c>
      <c r="F587" s="121" t="s">
        <v>2806</v>
      </c>
      <c r="G587" s="119" t="s">
        <v>2008</v>
      </c>
      <c r="H587" s="128" t="s">
        <v>1991</v>
      </c>
      <c r="I587" s="121" t="s">
        <v>1572</v>
      </c>
      <c r="J587" s="131">
        <v>44077</v>
      </c>
      <c r="K587" s="22"/>
    </row>
    <row r="588" spans="1:11" s="66" customFormat="1" ht="14.25" customHeight="1">
      <c r="A588" s="138" t="s">
        <v>2957</v>
      </c>
      <c r="B588" s="123">
        <v>2967</v>
      </c>
      <c r="C588" s="118" t="s">
        <v>2128</v>
      </c>
      <c r="D588" s="119" t="s">
        <v>2014</v>
      </c>
      <c r="E588" s="128" t="s">
        <v>503</v>
      </c>
      <c r="F588" s="121" t="s">
        <v>1565</v>
      </c>
      <c r="G588" s="119" t="s">
        <v>2283</v>
      </c>
      <c r="H588" s="128" t="s">
        <v>2073</v>
      </c>
      <c r="I588" s="121" t="s">
        <v>2471</v>
      </c>
      <c r="J588" s="131">
        <v>44081</v>
      </c>
      <c r="K588" s="22"/>
    </row>
    <row r="589" spans="1:11" s="66" customFormat="1" ht="14.25" customHeight="1">
      <c r="A589" s="138" t="s">
        <v>1550</v>
      </c>
      <c r="B589" s="123">
        <v>859</v>
      </c>
      <c r="C589" s="118" t="s">
        <v>1320</v>
      </c>
      <c r="D589" s="119" t="s">
        <v>1454</v>
      </c>
      <c r="E589" s="128" t="s">
        <v>395</v>
      </c>
      <c r="F589" s="121" t="s">
        <v>1920</v>
      </c>
      <c r="G589" s="119" t="s">
        <v>1454</v>
      </c>
      <c r="H589" s="128" t="s">
        <v>475</v>
      </c>
      <c r="I589" s="121" t="s">
        <v>1920</v>
      </c>
      <c r="J589" s="131">
        <v>44081</v>
      </c>
      <c r="K589" s="22"/>
    </row>
    <row r="590" spans="1:11" s="66" customFormat="1" ht="14.25" customHeight="1">
      <c r="A590" s="138" t="s">
        <v>1557</v>
      </c>
      <c r="B590" s="123">
        <v>2526</v>
      </c>
      <c r="C590" s="118" t="s">
        <v>451</v>
      </c>
      <c r="D590" s="119" t="s">
        <v>1324</v>
      </c>
      <c r="E590" s="128" t="s">
        <v>1350</v>
      </c>
      <c r="F590" s="121" t="s">
        <v>1378</v>
      </c>
      <c r="G590" s="119" t="s">
        <v>1324</v>
      </c>
      <c r="H590" s="128" t="s">
        <v>1226</v>
      </c>
      <c r="I590" s="121" t="s">
        <v>1378</v>
      </c>
      <c r="J590" s="129">
        <v>44081</v>
      </c>
      <c r="K590" s="22"/>
    </row>
    <row r="591" spans="1:11" s="66" customFormat="1" ht="14.25" customHeight="1">
      <c r="A591" s="138" t="s">
        <v>2870</v>
      </c>
      <c r="B591" s="123">
        <v>565</v>
      </c>
      <c r="C591" s="118" t="s">
        <v>223</v>
      </c>
      <c r="D591" s="119" t="s">
        <v>1324</v>
      </c>
      <c r="E591" s="128" t="s">
        <v>1350</v>
      </c>
      <c r="F591" s="121" t="s">
        <v>1378</v>
      </c>
      <c r="G591" s="119" t="s">
        <v>1324</v>
      </c>
      <c r="H591" s="128" t="s">
        <v>1336</v>
      </c>
      <c r="I591" s="121" t="s">
        <v>1379</v>
      </c>
      <c r="J591" s="129">
        <v>44081</v>
      </c>
      <c r="K591" s="22"/>
    </row>
    <row r="592" spans="1:11" s="66" customFormat="1" ht="14.25" customHeight="1">
      <c r="A592" s="138" t="s">
        <v>2869</v>
      </c>
      <c r="B592" s="123">
        <v>561</v>
      </c>
      <c r="C592" s="118" t="s">
        <v>223</v>
      </c>
      <c r="D592" s="119" t="s">
        <v>1324</v>
      </c>
      <c r="E592" s="128" t="s">
        <v>1350</v>
      </c>
      <c r="F592" s="121" t="s">
        <v>1378</v>
      </c>
      <c r="G592" s="119" t="s">
        <v>1324</v>
      </c>
      <c r="H592" s="128" t="s">
        <v>609</v>
      </c>
      <c r="I592" s="121" t="s">
        <v>2866</v>
      </c>
      <c r="J592" s="129">
        <v>44081</v>
      </c>
      <c r="K592" s="22"/>
    </row>
    <row r="593" spans="1:11" s="66" customFormat="1" ht="14.25" customHeight="1">
      <c r="A593" s="138" t="s">
        <v>2963</v>
      </c>
      <c r="B593" s="123">
        <v>64484</v>
      </c>
      <c r="C593" s="118" t="s">
        <v>643</v>
      </c>
      <c r="D593" s="119" t="s">
        <v>1454</v>
      </c>
      <c r="E593" s="128" t="s">
        <v>683</v>
      </c>
      <c r="F593" s="121" t="s">
        <v>1900</v>
      </c>
      <c r="G593" s="119" t="s">
        <v>3079</v>
      </c>
      <c r="H593" s="128" t="s">
        <v>2086</v>
      </c>
      <c r="I593" s="121" t="s">
        <v>3017</v>
      </c>
      <c r="J593" s="129">
        <v>44081</v>
      </c>
      <c r="K593" s="22"/>
    </row>
    <row r="594" spans="1:11" s="66" customFormat="1" ht="14.25" customHeight="1">
      <c r="A594" s="138" t="s">
        <v>2386</v>
      </c>
      <c r="B594" s="123">
        <v>3083</v>
      </c>
      <c r="C594" s="118" t="s">
        <v>451</v>
      </c>
      <c r="D594" s="119" t="s">
        <v>1454</v>
      </c>
      <c r="E594" s="128" t="s">
        <v>684</v>
      </c>
      <c r="F594" s="121" t="s">
        <v>541</v>
      </c>
      <c r="G594" s="119" t="s">
        <v>3079</v>
      </c>
      <c r="H594" s="128" t="s">
        <v>2086</v>
      </c>
      <c r="I594" s="121" t="s">
        <v>3017</v>
      </c>
      <c r="J594" s="131">
        <v>44081</v>
      </c>
      <c r="K594" s="22"/>
    </row>
    <row r="595" spans="1:11" s="66" customFormat="1" ht="14.25" customHeight="1">
      <c r="A595" s="138" t="s">
        <v>2956</v>
      </c>
      <c r="B595" s="123">
        <v>1816</v>
      </c>
      <c r="C595" s="118" t="s">
        <v>1224</v>
      </c>
      <c r="D595" s="119" t="s">
        <v>2638</v>
      </c>
      <c r="E595" s="128" t="s">
        <v>271</v>
      </c>
      <c r="F595" s="121" t="s">
        <v>2136</v>
      </c>
      <c r="G595" s="119" t="s">
        <v>2638</v>
      </c>
      <c r="H595" s="128" t="s">
        <v>235</v>
      </c>
      <c r="I595" s="121" t="s">
        <v>1546</v>
      </c>
      <c r="J595" s="129">
        <v>44081</v>
      </c>
      <c r="K595" s="22"/>
    </row>
    <row r="596" spans="1:11" s="66" customFormat="1" ht="14.25" customHeight="1">
      <c r="A596" s="138" t="s">
        <v>2987</v>
      </c>
      <c r="B596" s="123">
        <v>64531</v>
      </c>
      <c r="C596" s="118" t="s">
        <v>643</v>
      </c>
      <c r="D596" s="119" t="s">
        <v>1324</v>
      </c>
      <c r="E596" s="128" t="s">
        <v>771</v>
      </c>
      <c r="F596" s="121" t="s">
        <v>1370</v>
      </c>
      <c r="G596" s="119" t="s">
        <v>1324</v>
      </c>
      <c r="H596" s="128" t="s">
        <v>609</v>
      </c>
      <c r="I596" s="121" t="s">
        <v>1575</v>
      </c>
      <c r="J596" s="129">
        <v>44084</v>
      </c>
      <c r="K596" s="22"/>
    </row>
    <row r="597" spans="1:11" s="66" customFormat="1" ht="14.25" customHeight="1">
      <c r="A597" s="138" t="s">
        <v>2988</v>
      </c>
      <c r="B597" s="123">
        <v>64536</v>
      </c>
      <c r="C597" s="118" t="s">
        <v>643</v>
      </c>
      <c r="D597" s="119" t="s">
        <v>1324</v>
      </c>
      <c r="E597" s="128" t="s">
        <v>609</v>
      </c>
      <c r="F597" s="121" t="s">
        <v>1575</v>
      </c>
      <c r="G597" s="119" t="s">
        <v>1324</v>
      </c>
      <c r="H597" s="128" t="s">
        <v>179</v>
      </c>
      <c r="I597" s="121" t="s">
        <v>1543</v>
      </c>
      <c r="J597" s="129">
        <v>44084</v>
      </c>
      <c r="K597" s="22"/>
    </row>
    <row r="598" spans="1:11" s="66" customFormat="1" ht="14.25" customHeight="1">
      <c r="A598" s="138" t="s">
        <v>2967</v>
      </c>
      <c r="B598" s="123">
        <v>2464</v>
      </c>
      <c r="C598" s="118" t="s">
        <v>451</v>
      </c>
      <c r="D598" s="119" t="s">
        <v>1433</v>
      </c>
      <c r="E598" s="128" t="s">
        <v>844</v>
      </c>
      <c r="F598" s="121" t="s">
        <v>1903</v>
      </c>
      <c r="G598" s="119" t="s">
        <v>1433</v>
      </c>
      <c r="H598" s="128" t="s">
        <v>224</v>
      </c>
      <c r="I598" s="121" t="s">
        <v>1903</v>
      </c>
      <c r="J598" s="131">
        <v>44088</v>
      </c>
      <c r="K598" s="22"/>
    </row>
    <row r="599" spans="1:11" s="66" customFormat="1" ht="14.25" customHeight="1">
      <c r="A599" s="138" t="s">
        <v>2968</v>
      </c>
      <c r="B599" s="123">
        <v>1254</v>
      </c>
      <c r="C599" s="118" t="s">
        <v>223</v>
      </c>
      <c r="D599" s="119" t="s">
        <v>1433</v>
      </c>
      <c r="E599" s="128" t="s">
        <v>549</v>
      </c>
      <c r="F599" s="121" t="s">
        <v>1881</v>
      </c>
      <c r="G599" s="119" t="s">
        <v>1433</v>
      </c>
      <c r="H599" s="128" t="s">
        <v>224</v>
      </c>
      <c r="I599" s="121" t="s">
        <v>1903</v>
      </c>
      <c r="J599" s="129">
        <v>44088</v>
      </c>
      <c r="K599" s="22"/>
    </row>
    <row r="600" spans="1:11" s="66" customFormat="1" ht="14.25" customHeight="1">
      <c r="A600" s="138" t="s">
        <v>341</v>
      </c>
      <c r="B600" s="123">
        <v>1238</v>
      </c>
      <c r="C600" s="118" t="s">
        <v>223</v>
      </c>
      <c r="D600" s="119" t="s">
        <v>1433</v>
      </c>
      <c r="E600" s="128" t="s">
        <v>1045</v>
      </c>
      <c r="F600" s="121" t="s">
        <v>1926</v>
      </c>
      <c r="G600" s="119" t="s">
        <v>1433</v>
      </c>
      <c r="H600" s="128" t="s">
        <v>570</v>
      </c>
      <c r="I600" s="121" t="s">
        <v>1926</v>
      </c>
      <c r="J600" s="131">
        <v>44088</v>
      </c>
      <c r="K600" s="22"/>
    </row>
    <row r="601" spans="1:11" s="66" customFormat="1" ht="14.25" customHeight="1">
      <c r="A601" s="138" t="s">
        <v>2964</v>
      </c>
      <c r="B601" s="123">
        <v>791</v>
      </c>
      <c r="C601" s="118" t="s">
        <v>223</v>
      </c>
      <c r="D601" s="119" t="s">
        <v>1433</v>
      </c>
      <c r="E601" s="128" t="s">
        <v>549</v>
      </c>
      <c r="F601" s="121" t="s">
        <v>1881</v>
      </c>
      <c r="G601" s="119" t="s">
        <v>1433</v>
      </c>
      <c r="H601" s="128" t="s">
        <v>224</v>
      </c>
      <c r="I601" s="121" t="s">
        <v>1903</v>
      </c>
      <c r="J601" s="131">
        <v>44088</v>
      </c>
      <c r="K601" s="22"/>
    </row>
    <row r="602" spans="1:11" s="66" customFormat="1" ht="14.25" customHeight="1">
      <c r="A602" s="138" t="s">
        <v>2969</v>
      </c>
      <c r="B602" s="123">
        <v>984</v>
      </c>
      <c r="C602" s="118" t="s">
        <v>223</v>
      </c>
      <c r="D602" s="119" t="s">
        <v>1433</v>
      </c>
      <c r="E602" s="128" t="s">
        <v>1045</v>
      </c>
      <c r="F602" s="121" t="s">
        <v>1926</v>
      </c>
      <c r="G602" s="119" t="s">
        <v>1433</v>
      </c>
      <c r="H602" s="128" t="s">
        <v>570</v>
      </c>
      <c r="I602" s="121" t="s">
        <v>1926</v>
      </c>
      <c r="J602" s="131">
        <v>44088</v>
      </c>
      <c r="K602" s="22"/>
    </row>
    <row r="603" spans="1:11" s="66" customFormat="1" ht="14.25" customHeight="1">
      <c r="A603" s="138" t="s">
        <v>2966</v>
      </c>
      <c r="B603" s="123">
        <v>2319</v>
      </c>
      <c r="C603" s="118" t="s">
        <v>223</v>
      </c>
      <c r="D603" s="119" t="s">
        <v>1433</v>
      </c>
      <c r="E603" s="128" t="s">
        <v>224</v>
      </c>
      <c r="F603" s="121" t="s">
        <v>1903</v>
      </c>
      <c r="G603" s="119" t="s">
        <v>1433</v>
      </c>
      <c r="H603" s="128" t="s">
        <v>570</v>
      </c>
      <c r="I603" s="121" t="s">
        <v>1926</v>
      </c>
      <c r="J603" s="131">
        <v>44088</v>
      </c>
      <c r="K603" s="22"/>
    </row>
    <row r="604" spans="1:11" s="66" customFormat="1" ht="14.25" customHeight="1">
      <c r="A604" s="138" t="s">
        <v>2965</v>
      </c>
      <c r="B604" s="123">
        <v>1988</v>
      </c>
      <c r="C604" s="118" t="s">
        <v>223</v>
      </c>
      <c r="D604" s="119" t="s">
        <v>1433</v>
      </c>
      <c r="E604" s="128" t="s">
        <v>844</v>
      </c>
      <c r="F604" s="121" t="s">
        <v>1903</v>
      </c>
      <c r="G604" s="119" t="s">
        <v>1433</v>
      </c>
      <c r="H604" s="128" t="s">
        <v>224</v>
      </c>
      <c r="I604" s="121" t="s">
        <v>1903</v>
      </c>
      <c r="J604" s="131">
        <v>44088</v>
      </c>
      <c r="K604" s="22"/>
    </row>
    <row r="605" spans="1:11" s="66" customFormat="1" ht="14.25" customHeight="1">
      <c r="A605" s="138" t="s">
        <v>344</v>
      </c>
      <c r="B605" s="123">
        <v>2288</v>
      </c>
      <c r="C605" s="118" t="s">
        <v>451</v>
      </c>
      <c r="D605" s="119" t="s">
        <v>2283</v>
      </c>
      <c r="E605" s="128" t="s">
        <v>2073</v>
      </c>
      <c r="F605" s="121" t="s">
        <v>2471</v>
      </c>
      <c r="G605" s="119" t="s">
        <v>1433</v>
      </c>
      <c r="H605" s="128" t="s">
        <v>1325</v>
      </c>
      <c r="I605" s="121" t="s">
        <v>2159</v>
      </c>
      <c r="J605" s="131">
        <v>44088</v>
      </c>
      <c r="K605" s="22"/>
    </row>
    <row r="606" spans="1:11" s="66" customFormat="1" ht="14.25" customHeight="1">
      <c r="A606" s="138" t="s">
        <v>2107</v>
      </c>
      <c r="B606" s="123">
        <v>2928</v>
      </c>
      <c r="C606" s="118" t="s">
        <v>451</v>
      </c>
      <c r="D606" s="119" t="s">
        <v>2283</v>
      </c>
      <c r="E606" s="128" t="s">
        <v>2323</v>
      </c>
      <c r="F606" s="121" t="s">
        <v>1904</v>
      </c>
      <c r="G606" s="119" t="s">
        <v>1433</v>
      </c>
      <c r="H606" s="128" t="s">
        <v>1325</v>
      </c>
      <c r="I606" s="121" t="s">
        <v>2159</v>
      </c>
      <c r="J606" s="129">
        <v>44088</v>
      </c>
      <c r="K606" s="22"/>
    </row>
    <row r="607" spans="1:11" s="66" customFormat="1" ht="14.25" customHeight="1">
      <c r="A607" s="138" t="s">
        <v>2816</v>
      </c>
      <c r="B607" s="123">
        <v>2995</v>
      </c>
      <c r="C607" s="118" t="s">
        <v>451</v>
      </c>
      <c r="D607" s="119" t="s">
        <v>2283</v>
      </c>
      <c r="E607" s="128" t="s">
        <v>2323</v>
      </c>
      <c r="F607" s="121" t="s">
        <v>1904</v>
      </c>
      <c r="G607" s="119" t="s">
        <v>1433</v>
      </c>
      <c r="H607" s="128" t="s">
        <v>844</v>
      </c>
      <c r="I607" s="121" t="s">
        <v>1903</v>
      </c>
      <c r="J607" s="129">
        <v>44088</v>
      </c>
      <c r="K607" s="22"/>
    </row>
    <row r="608" spans="1:11" s="66" customFormat="1" ht="14.25" customHeight="1">
      <c r="A608" s="138" t="s">
        <v>2878</v>
      </c>
      <c r="B608" s="123">
        <v>2965</v>
      </c>
      <c r="C608" s="118" t="s">
        <v>451</v>
      </c>
      <c r="D608" s="119" t="s">
        <v>1044</v>
      </c>
      <c r="E608" s="128" t="s">
        <v>238</v>
      </c>
      <c r="F608" s="121" t="s">
        <v>1584</v>
      </c>
      <c r="G608" s="119" t="s">
        <v>1044</v>
      </c>
      <c r="H608" s="128" t="s">
        <v>596</v>
      </c>
      <c r="I608" s="121" t="s">
        <v>2277</v>
      </c>
      <c r="J608" s="129">
        <v>44088</v>
      </c>
      <c r="K608" s="22"/>
    </row>
    <row r="609" spans="1:11" s="66" customFormat="1" ht="14.25" customHeight="1">
      <c r="A609" s="138" t="s">
        <v>2992</v>
      </c>
      <c r="B609" s="123">
        <v>1115</v>
      </c>
      <c r="C609" s="118" t="s">
        <v>223</v>
      </c>
      <c r="D609" s="119" t="s">
        <v>1044</v>
      </c>
      <c r="E609" s="128" t="s">
        <v>596</v>
      </c>
      <c r="F609" s="121" t="s">
        <v>2277</v>
      </c>
      <c r="G609" s="119" t="s">
        <v>450</v>
      </c>
      <c r="H609" s="128" t="s">
        <v>1039</v>
      </c>
      <c r="I609" s="121" t="s">
        <v>1561</v>
      </c>
      <c r="J609" s="129">
        <v>44088</v>
      </c>
      <c r="K609" s="22"/>
    </row>
    <row r="610" spans="1:11" s="66" customFormat="1" ht="14.25" customHeight="1">
      <c r="A610" s="138" t="s">
        <v>2962</v>
      </c>
      <c r="B610" s="123">
        <v>1427</v>
      </c>
      <c r="C610" s="118" t="s">
        <v>223</v>
      </c>
      <c r="D610" s="119" t="s">
        <v>2014</v>
      </c>
      <c r="E610" s="128" t="s">
        <v>435</v>
      </c>
      <c r="F610" s="121" t="s">
        <v>347</v>
      </c>
      <c r="G610" s="119" t="s">
        <v>2014</v>
      </c>
      <c r="H610" s="128" t="s">
        <v>220</v>
      </c>
      <c r="I610" s="121" t="s">
        <v>1877</v>
      </c>
      <c r="J610" s="129">
        <v>44088</v>
      </c>
      <c r="K610" s="22"/>
    </row>
    <row r="611" spans="1:11" s="66" customFormat="1" ht="14.25" customHeight="1">
      <c r="A611" s="138" t="s">
        <v>2958</v>
      </c>
      <c r="B611" s="123">
        <v>2816</v>
      </c>
      <c r="C611" s="118" t="s">
        <v>2037</v>
      </c>
      <c r="D611" s="119" t="s">
        <v>2588</v>
      </c>
      <c r="E611" s="128" t="s">
        <v>2765</v>
      </c>
      <c r="F611" s="121" t="s">
        <v>1380</v>
      </c>
      <c r="G611" s="119" t="s">
        <v>2588</v>
      </c>
      <c r="H611" s="128" t="s">
        <v>2787</v>
      </c>
      <c r="I611" s="121" t="s">
        <v>1555</v>
      </c>
      <c r="J611" s="129">
        <v>44088</v>
      </c>
      <c r="K611" s="22"/>
    </row>
    <row r="612" spans="1:11" s="66" customFormat="1" ht="14.25" customHeight="1">
      <c r="A612" s="138" t="s">
        <v>2959</v>
      </c>
      <c r="B612" s="123">
        <v>1107</v>
      </c>
      <c r="C612" s="118" t="s">
        <v>1585</v>
      </c>
      <c r="D612" s="119" t="s">
        <v>2588</v>
      </c>
      <c r="E612" s="128" t="s">
        <v>2787</v>
      </c>
      <c r="F612" s="121" t="s">
        <v>545</v>
      </c>
      <c r="G612" s="119" t="s">
        <v>2588</v>
      </c>
      <c r="H612" s="128" t="s">
        <v>2765</v>
      </c>
      <c r="I612" s="121" t="s">
        <v>1380</v>
      </c>
      <c r="J612" s="131">
        <v>44088</v>
      </c>
      <c r="K612" s="22"/>
    </row>
    <row r="613" spans="1:11" s="66" customFormat="1" ht="14.25" customHeight="1">
      <c r="A613" s="138" t="s">
        <v>1397</v>
      </c>
      <c r="B613" s="123">
        <v>311</v>
      </c>
      <c r="C613" s="118" t="s">
        <v>1585</v>
      </c>
      <c r="D613" s="119" t="s">
        <v>2588</v>
      </c>
      <c r="E613" s="128" t="s">
        <v>2765</v>
      </c>
      <c r="F613" s="121" t="s">
        <v>1380</v>
      </c>
      <c r="G613" s="119" t="s">
        <v>2588</v>
      </c>
      <c r="H613" s="128" t="s">
        <v>2772</v>
      </c>
      <c r="I613" s="121" t="s">
        <v>1390</v>
      </c>
      <c r="J613" s="131">
        <v>44088</v>
      </c>
      <c r="K613" s="22"/>
    </row>
    <row r="614" spans="1:11" s="66" customFormat="1" ht="14.25" customHeight="1">
      <c r="A614" s="138" t="s">
        <v>2961</v>
      </c>
      <c r="B614" s="123">
        <v>426</v>
      </c>
      <c r="C614" s="118" t="s">
        <v>1585</v>
      </c>
      <c r="D614" s="119" t="s">
        <v>2588</v>
      </c>
      <c r="E614" s="128" t="s">
        <v>2765</v>
      </c>
      <c r="F614" s="121" t="s">
        <v>1380</v>
      </c>
      <c r="G614" s="119" t="s">
        <v>2588</v>
      </c>
      <c r="H614" s="128" t="s">
        <v>2944</v>
      </c>
      <c r="I614" s="121" t="s">
        <v>1555</v>
      </c>
      <c r="J614" s="131">
        <v>44088</v>
      </c>
      <c r="K614" s="22"/>
    </row>
    <row r="615" spans="1:11" s="66" customFormat="1" ht="14.25" customHeight="1">
      <c r="A615" s="138" t="s">
        <v>2960</v>
      </c>
      <c r="B615" s="123">
        <v>2593</v>
      </c>
      <c r="C615" s="118" t="s">
        <v>223</v>
      </c>
      <c r="D615" s="119" t="s">
        <v>2588</v>
      </c>
      <c r="E615" s="128" t="s">
        <v>2765</v>
      </c>
      <c r="F615" s="121" t="s">
        <v>1380</v>
      </c>
      <c r="G615" s="119" t="s">
        <v>2588</v>
      </c>
      <c r="H615" s="128" t="s">
        <v>2772</v>
      </c>
      <c r="I615" s="121" t="s">
        <v>1390</v>
      </c>
      <c r="J615" s="129">
        <v>44088</v>
      </c>
      <c r="K615" s="22"/>
    </row>
    <row r="616" spans="1:11" s="66" customFormat="1" ht="14.25" customHeight="1">
      <c r="A616" s="138" t="s">
        <v>3001</v>
      </c>
      <c r="B616" s="123">
        <v>64540</v>
      </c>
      <c r="C616" s="118" t="s">
        <v>643</v>
      </c>
      <c r="D616" s="119" t="s">
        <v>1324</v>
      </c>
      <c r="E616" s="128" t="s">
        <v>1223</v>
      </c>
      <c r="F616" s="121" t="s">
        <v>1575</v>
      </c>
      <c r="G616" s="119" t="s">
        <v>1324</v>
      </c>
      <c r="H616" s="128" t="s">
        <v>1214</v>
      </c>
      <c r="I616" s="121" t="s">
        <v>1370</v>
      </c>
      <c r="J616" s="129">
        <v>44090</v>
      </c>
      <c r="K616" s="22"/>
    </row>
    <row r="617" spans="1:11" s="66" customFormat="1" ht="14.25" customHeight="1">
      <c r="A617" s="138" t="s">
        <v>2989</v>
      </c>
      <c r="B617" s="123">
        <v>70560</v>
      </c>
      <c r="C617" s="118" t="s">
        <v>643</v>
      </c>
      <c r="D617" s="119" t="s">
        <v>2283</v>
      </c>
      <c r="E617" s="128" t="s">
        <v>2069</v>
      </c>
      <c r="F617" s="121" t="s">
        <v>528</v>
      </c>
      <c r="G617" s="119" t="s">
        <v>2283</v>
      </c>
      <c r="H617" s="128" t="s">
        <v>2073</v>
      </c>
      <c r="I617" s="121" t="s">
        <v>2978</v>
      </c>
      <c r="J617" s="129">
        <v>44095</v>
      </c>
      <c r="K617" s="22"/>
    </row>
    <row r="618" spans="1:11" s="66" customFormat="1" ht="14.25" customHeight="1">
      <c r="A618" s="138" t="s">
        <v>2193</v>
      </c>
      <c r="B618" s="123">
        <v>3032</v>
      </c>
      <c r="C618" s="118" t="s">
        <v>2128</v>
      </c>
      <c r="D618" s="119" t="s">
        <v>1044</v>
      </c>
      <c r="E618" s="128" t="s">
        <v>238</v>
      </c>
      <c r="F618" s="121" t="s">
        <v>1584</v>
      </c>
      <c r="G618" s="119" t="s">
        <v>1044</v>
      </c>
      <c r="H618" s="128" t="s">
        <v>597</v>
      </c>
      <c r="I618" s="121" t="s">
        <v>1902</v>
      </c>
      <c r="J618" s="131">
        <v>44095</v>
      </c>
      <c r="K618" s="22"/>
    </row>
    <row r="619" spans="1:11" s="66" customFormat="1" ht="14.25" customHeight="1">
      <c r="A619" s="138" t="s">
        <v>2886</v>
      </c>
      <c r="B619" s="123">
        <v>3169</v>
      </c>
      <c r="C619" s="118" t="s">
        <v>2128</v>
      </c>
      <c r="D619" s="119" t="s">
        <v>1044</v>
      </c>
      <c r="E619" s="128" t="s">
        <v>238</v>
      </c>
      <c r="F619" s="121" t="s">
        <v>1584</v>
      </c>
      <c r="G619" s="119" t="s">
        <v>1044</v>
      </c>
      <c r="H619" s="128" t="s">
        <v>602</v>
      </c>
      <c r="I619" s="121" t="s">
        <v>1392</v>
      </c>
      <c r="J619" s="131">
        <v>44095</v>
      </c>
      <c r="K619" s="22"/>
    </row>
    <row r="620" spans="1:11" s="66" customFormat="1" ht="14.25" customHeight="1">
      <c r="A620" s="138" t="s">
        <v>2895</v>
      </c>
      <c r="B620" s="123">
        <v>3087</v>
      </c>
      <c r="C620" s="118" t="s">
        <v>451</v>
      </c>
      <c r="D620" s="119" t="s">
        <v>1044</v>
      </c>
      <c r="E620" s="128" t="s">
        <v>178</v>
      </c>
      <c r="F620" s="121" t="s">
        <v>1556</v>
      </c>
      <c r="G620" s="119" t="s">
        <v>1044</v>
      </c>
      <c r="H620" s="128" t="s">
        <v>238</v>
      </c>
      <c r="I620" s="121" t="s">
        <v>1584</v>
      </c>
      <c r="J620" s="129">
        <v>44095</v>
      </c>
      <c r="K620" s="22"/>
    </row>
    <row r="621" spans="1:11" s="66" customFormat="1" ht="14.25" customHeight="1">
      <c r="A621" s="138" t="s">
        <v>2894</v>
      </c>
      <c r="B621" s="123">
        <v>2560</v>
      </c>
      <c r="C621" s="118" t="s">
        <v>223</v>
      </c>
      <c r="D621" s="119" t="s">
        <v>1044</v>
      </c>
      <c r="E621" s="128" t="s">
        <v>238</v>
      </c>
      <c r="F621" s="121" t="s">
        <v>1584</v>
      </c>
      <c r="G621" s="119" t="s">
        <v>1044</v>
      </c>
      <c r="H621" s="128" t="s">
        <v>178</v>
      </c>
      <c r="I621" s="121" t="s">
        <v>1556</v>
      </c>
      <c r="J621" s="131">
        <v>44095</v>
      </c>
      <c r="K621" s="22"/>
    </row>
    <row r="622" spans="1:11" s="66" customFormat="1" ht="14.25" customHeight="1">
      <c r="A622" s="138" t="s">
        <v>2994</v>
      </c>
      <c r="B622" s="123">
        <v>3192</v>
      </c>
      <c r="C622" s="118" t="s">
        <v>2180</v>
      </c>
      <c r="D622" s="119" t="s">
        <v>3081</v>
      </c>
      <c r="E622" s="128" t="s">
        <v>1317</v>
      </c>
      <c r="F622" s="121" t="s">
        <v>2102</v>
      </c>
      <c r="G622" s="119" t="s">
        <v>2639</v>
      </c>
      <c r="H622" s="128" t="s">
        <v>2668</v>
      </c>
      <c r="I622" s="121" t="s">
        <v>1918</v>
      </c>
      <c r="J622" s="129">
        <v>44095</v>
      </c>
      <c r="K622" s="22"/>
    </row>
    <row r="623" spans="1:11" s="66" customFormat="1" ht="14.25" customHeight="1">
      <c r="A623" s="239" t="s">
        <v>350</v>
      </c>
      <c r="B623" s="190">
        <v>2184</v>
      </c>
      <c r="C623" s="195" t="s">
        <v>1225</v>
      </c>
      <c r="D623" s="195" t="s">
        <v>3081</v>
      </c>
      <c r="E623" s="194" t="s">
        <v>434</v>
      </c>
      <c r="F623" s="236" t="s">
        <v>1388</v>
      </c>
      <c r="G623" s="195" t="s">
        <v>2639</v>
      </c>
      <c r="H623" s="128" t="s">
        <v>2668</v>
      </c>
      <c r="I623" s="121" t="s">
        <v>3016</v>
      </c>
      <c r="J623" s="131">
        <v>44095</v>
      </c>
      <c r="K623" s="22"/>
    </row>
    <row r="624" spans="1:11" s="66" customFormat="1" ht="14.25" customHeight="1">
      <c r="A624" s="239" t="s">
        <v>2143</v>
      </c>
      <c r="B624" s="190">
        <v>2438</v>
      </c>
      <c r="C624" s="195" t="s">
        <v>223</v>
      </c>
      <c r="D624" s="195" t="s">
        <v>3079</v>
      </c>
      <c r="E624" s="194" t="s">
        <v>2686</v>
      </c>
      <c r="F624" s="236" t="s">
        <v>529</v>
      </c>
      <c r="G624" s="195" t="s">
        <v>2014</v>
      </c>
      <c r="H624" s="128" t="s">
        <v>220</v>
      </c>
      <c r="I624" s="121" t="s">
        <v>1887</v>
      </c>
      <c r="J624" s="129">
        <v>44095</v>
      </c>
      <c r="K624" s="22"/>
    </row>
    <row r="625" spans="1:11" s="66" customFormat="1" ht="14.25" customHeight="1">
      <c r="A625" s="239" t="s">
        <v>1912</v>
      </c>
      <c r="B625" s="190">
        <v>343</v>
      </c>
      <c r="C625" s="195" t="s">
        <v>1320</v>
      </c>
      <c r="D625" s="195" t="s">
        <v>1433</v>
      </c>
      <c r="E625" s="194" t="s">
        <v>224</v>
      </c>
      <c r="F625" s="236" t="s">
        <v>1579</v>
      </c>
      <c r="G625" s="195" t="s">
        <v>2283</v>
      </c>
      <c r="H625" s="128" t="s">
        <v>2325</v>
      </c>
      <c r="I625" s="121" t="s">
        <v>2089</v>
      </c>
      <c r="J625" s="131">
        <v>44095</v>
      </c>
      <c r="K625" s="22"/>
    </row>
    <row r="626" spans="1:11" s="66" customFormat="1" ht="14.25" customHeight="1">
      <c r="A626" s="239" t="s">
        <v>1552</v>
      </c>
      <c r="B626" s="190">
        <v>2571</v>
      </c>
      <c r="C626" s="195" t="s">
        <v>223</v>
      </c>
      <c r="D626" s="195" t="s">
        <v>2014</v>
      </c>
      <c r="E626" s="194" t="s">
        <v>220</v>
      </c>
      <c r="F626" s="236" t="s">
        <v>1887</v>
      </c>
      <c r="G626" s="195" t="s">
        <v>3079</v>
      </c>
      <c r="H626" s="128" t="s">
        <v>2686</v>
      </c>
      <c r="I626" s="121" t="s">
        <v>529</v>
      </c>
      <c r="J626" s="129">
        <v>44095</v>
      </c>
      <c r="K626" s="22"/>
    </row>
    <row r="627" spans="1:11" s="66" customFormat="1" ht="14.25" customHeight="1">
      <c r="A627" s="239" t="s">
        <v>2280</v>
      </c>
      <c r="B627" s="190">
        <v>2055</v>
      </c>
      <c r="C627" s="195" t="s">
        <v>223</v>
      </c>
      <c r="D627" s="195" t="s">
        <v>2283</v>
      </c>
      <c r="E627" s="194" t="s">
        <v>2069</v>
      </c>
      <c r="F627" s="236" t="s">
        <v>528</v>
      </c>
      <c r="G627" s="195" t="s">
        <v>2283</v>
      </c>
      <c r="H627" s="128" t="s">
        <v>3002</v>
      </c>
      <c r="I627" s="121" t="s">
        <v>1881</v>
      </c>
      <c r="J627" s="131">
        <v>44102</v>
      </c>
      <c r="K627" s="22"/>
    </row>
    <row r="628" spans="1:11" s="66" customFormat="1" ht="14.25" customHeight="1">
      <c r="A628" s="239" t="s">
        <v>1563</v>
      </c>
      <c r="B628" s="190">
        <v>750</v>
      </c>
      <c r="C628" s="195" t="s">
        <v>1320</v>
      </c>
      <c r="D628" s="195" t="s">
        <v>1433</v>
      </c>
      <c r="E628" s="194" t="s">
        <v>549</v>
      </c>
      <c r="F628" s="236" t="s">
        <v>1881</v>
      </c>
      <c r="G628" s="195" t="s">
        <v>2283</v>
      </c>
      <c r="H628" s="128" t="s">
        <v>2797</v>
      </c>
      <c r="I628" s="121" t="s">
        <v>1881</v>
      </c>
      <c r="J628" s="131">
        <v>44102</v>
      </c>
      <c r="K628" s="22"/>
    </row>
    <row r="629" spans="1:11" s="66" customFormat="1" ht="14.25" customHeight="1">
      <c r="A629" s="239" t="s">
        <v>3015</v>
      </c>
      <c r="B629" s="190">
        <v>217</v>
      </c>
      <c r="C629" s="195" t="s">
        <v>1585</v>
      </c>
      <c r="D629" s="195" t="s">
        <v>1433</v>
      </c>
      <c r="E629" s="194" t="s">
        <v>549</v>
      </c>
      <c r="F629" s="236" t="s">
        <v>1881</v>
      </c>
      <c r="G629" s="195" t="s">
        <v>2283</v>
      </c>
      <c r="H629" s="128" t="s">
        <v>2797</v>
      </c>
      <c r="I629" s="121" t="s">
        <v>1881</v>
      </c>
      <c r="J629" s="130">
        <v>44102</v>
      </c>
      <c r="K629" s="22"/>
    </row>
    <row r="630" spans="1:11" s="66" customFormat="1" ht="14.25" customHeight="1">
      <c r="A630" s="239" t="s">
        <v>2996</v>
      </c>
      <c r="B630" s="190">
        <v>3117</v>
      </c>
      <c r="C630" s="195" t="s">
        <v>2128</v>
      </c>
      <c r="D630" s="195" t="s">
        <v>1324</v>
      </c>
      <c r="E630" s="194" t="s">
        <v>771</v>
      </c>
      <c r="F630" s="236" t="s">
        <v>1370</v>
      </c>
      <c r="G630" s="195" t="s">
        <v>1324</v>
      </c>
      <c r="H630" s="128" t="s">
        <v>457</v>
      </c>
      <c r="I630" s="121" t="s">
        <v>1575</v>
      </c>
      <c r="J630" s="131">
        <v>44102</v>
      </c>
      <c r="K630" s="22"/>
    </row>
    <row r="631" spans="1:11" s="66" customFormat="1" ht="14.25" customHeight="1">
      <c r="A631" s="239" t="s">
        <v>2998</v>
      </c>
      <c r="B631" s="190">
        <v>64516</v>
      </c>
      <c r="C631" s="195" t="s">
        <v>643</v>
      </c>
      <c r="D631" s="195" t="s">
        <v>1324</v>
      </c>
      <c r="E631" s="194" t="s">
        <v>609</v>
      </c>
      <c r="F631" s="236" t="s">
        <v>1575</v>
      </c>
      <c r="G631" s="195" t="s">
        <v>1324</v>
      </c>
      <c r="H631" s="128" t="s">
        <v>457</v>
      </c>
      <c r="I631" s="121" t="s">
        <v>1575</v>
      </c>
      <c r="J631" s="131">
        <v>44102</v>
      </c>
      <c r="K631" s="22"/>
    </row>
    <row r="632" spans="1:11" s="66" customFormat="1" ht="14.25" customHeight="1">
      <c r="A632" s="239" t="s">
        <v>2109</v>
      </c>
      <c r="B632" s="190">
        <v>2921</v>
      </c>
      <c r="C632" s="195" t="s">
        <v>451</v>
      </c>
      <c r="D632" s="195" t="s">
        <v>1324</v>
      </c>
      <c r="E632" s="194" t="s">
        <v>1214</v>
      </c>
      <c r="F632" s="236" t="s">
        <v>1370</v>
      </c>
      <c r="G632" s="195" t="s">
        <v>1324</v>
      </c>
      <c r="H632" s="128" t="s">
        <v>457</v>
      </c>
      <c r="I632" s="121" t="s">
        <v>1575</v>
      </c>
      <c r="J632" s="131">
        <v>44102</v>
      </c>
      <c r="K632" s="22"/>
    </row>
    <row r="633" spans="1:11" s="66" customFormat="1" ht="14.25" customHeight="1">
      <c r="A633" s="239" t="s">
        <v>2997</v>
      </c>
      <c r="B633" s="190">
        <v>1510</v>
      </c>
      <c r="C633" s="195" t="s">
        <v>223</v>
      </c>
      <c r="D633" s="195" t="s">
        <v>1324</v>
      </c>
      <c r="E633" s="194" t="s">
        <v>1223</v>
      </c>
      <c r="F633" s="236">
        <v>0</v>
      </c>
      <c r="G633" s="195" t="s">
        <v>1324</v>
      </c>
      <c r="H633" s="128" t="s">
        <v>771</v>
      </c>
      <c r="I633" s="121" t="s">
        <v>1370</v>
      </c>
      <c r="J633" s="131">
        <v>44102</v>
      </c>
      <c r="K633" s="22"/>
    </row>
    <row r="634" spans="1:11" s="66" customFormat="1" ht="14.25" customHeight="1">
      <c r="A634" s="239" t="s">
        <v>1943</v>
      </c>
      <c r="B634" s="190">
        <v>2275</v>
      </c>
      <c r="C634" s="195" t="s">
        <v>223</v>
      </c>
      <c r="D634" s="195" t="s">
        <v>1324</v>
      </c>
      <c r="E634" s="194" t="s">
        <v>601</v>
      </c>
      <c r="F634" s="236" t="s">
        <v>2064</v>
      </c>
      <c r="G634" s="195" t="s">
        <v>1324</v>
      </c>
      <c r="H634" s="128" t="s">
        <v>1335</v>
      </c>
      <c r="I634" s="121" t="s">
        <v>1379</v>
      </c>
      <c r="J634" s="131">
        <v>44102</v>
      </c>
      <c r="K634" s="22"/>
    </row>
    <row r="635" spans="1:11" s="66" customFormat="1" ht="14.25" customHeight="1">
      <c r="A635" s="239" t="s">
        <v>2995</v>
      </c>
      <c r="B635" s="190">
        <v>1066</v>
      </c>
      <c r="C635" s="195" t="s">
        <v>223</v>
      </c>
      <c r="D635" s="195" t="s">
        <v>1324</v>
      </c>
      <c r="E635" s="194" t="s">
        <v>771</v>
      </c>
      <c r="F635" s="236" t="s">
        <v>1370</v>
      </c>
      <c r="G635" s="195" t="s">
        <v>1324</v>
      </c>
      <c r="H635" s="128" t="s">
        <v>457</v>
      </c>
      <c r="I635" s="121" t="s">
        <v>1575</v>
      </c>
      <c r="J635" s="131">
        <v>44102</v>
      </c>
      <c r="K635" s="22"/>
    </row>
    <row r="636" spans="1:11" s="66" customFormat="1" ht="14.25" customHeight="1">
      <c r="A636" s="239" t="s">
        <v>1377</v>
      </c>
      <c r="B636" s="190">
        <v>1084</v>
      </c>
      <c r="C636" s="195" t="s">
        <v>223</v>
      </c>
      <c r="D636" s="195" t="s">
        <v>1324</v>
      </c>
      <c r="E636" s="194" t="s">
        <v>609</v>
      </c>
      <c r="F636" s="236" t="s">
        <v>1575</v>
      </c>
      <c r="G636" s="195" t="s">
        <v>1324</v>
      </c>
      <c r="H636" s="128" t="s">
        <v>457</v>
      </c>
      <c r="I636" s="121" t="s">
        <v>1575</v>
      </c>
      <c r="J636" s="131">
        <v>44102</v>
      </c>
      <c r="K636" s="22"/>
    </row>
    <row r="637" spans="1:11" s="66" customFormat="1" ht="14.25" customHeight="1">
      <c r="A637" s="239" t="s">
        <v>3012</v>
      </c>
      <c r="B637" s="190">
        <v>2361</v>
      </c>
      <c r="C637" s="195" t="s">
        <v>223</v>
      </c>
      <c r="D637" s="195" t="s">
        <v>2014</v>
      </c>
      <c r="E637" s="194" t="s">
        <v>504</v>
      </c>
      <c r="F637" s="236" t="s">
        <v>347</v>
      </c>
      <c r="G637" s="195" t="s">
        <v>2014</v>
      </c>
      <c r="H637" s="128" t="s">
        <v>220</v>
      </c>
      <c r="I637" s="121" t="s">
        <v>1877</v>
      </c>
      <c r="J637" s="131">
        <v>44102</v>
      </c>
      <c r="K637" s="22"/>
    </row>
    <row r="638" spans="1:11" s="66" customFormat="1" ht="14.25" customHeight="1">
      <c r="A638" s="239" t="s">
        <v>3032</v>
      </c>
      <c r="B638" s="190">
        <v>64543</v>
      </c>
      <c r="C638" s="195" t="s">
        <v>643</v>
      </c>
      <c r="D638" s="195" t="s">
        <v>450</v>
      </c>
      <c r="E638" s="194" t="s">
        <v>1062</v>
      </c>
      <c r="F638" s="236" t="s">
        <v>1562</v>
      </c>
      <c r="G638" s="195" t="s">
        <v>450</v>
      </c>
      <c r="H638" s="128" t="s">
        <v>2402</v>
      </c>
      <c r="I638" s="121" t="s">
        <v>1909</v>
      </c>
      <c r="J638" s="131">
        <v>44103</v>
      </c>
      <c r="K638" s="22"/>
    </row>
    <row r="639" spans="1:11" s="66" customFormat="1" ht="14.25" customHeight="1">
      <c r="A639" s="239" t="s">
        <v>3033</v>
      </c>
      <c r="B639" s="190">
        <v>64547</v>
      </c>
      <c r="C639" s="195" t="s">
        <v>643</v>
      </c>
      <c r="D639" s="195" t="s">
        <v>450</v>
      </c>
      <c r="E639" s="194" t="s">
        <v>2402</v>
      </c>
      <c r="F639" s="236" t="s">
        <v>1909</v>
      </c>
      <c r="G639" s="195" t="s">
        <v>450</v>
      </c>
      <c r="H639" s="128" t="s">
        <v>1062</v>
      </c>
      <c r="I639" s="121" t="s">
        <v>1562</v>
      </c>
      <c r="J639" s="131">
        <v>44103</v>
      </c>
      <c r="K639" s="22"/>
    </row>
    <row r="640" spans="1:11" s="66" customFormat="1" ht="14.25" customHeight="1">
      <c r="A640" s="239" t="s">
        <v>2826</v>
      </c>
      <c r="B640" s="190">
        <v>903</v>
      </c>
      <c r="C640" s="195" t="s">
        <v>1585</v>
      </c>
      <c r="D640" s="195" t="s">
        <v>2283</v>
      </c>
      <c r="E640" s="194" t="s">
        <v>2072</v>
      </c>
      <c r="F640" s="236" t="s">
        <v>1398</v>
      </c>
      <c r="G640" s="195" t="s">
        <v>2283</v>
      </c>
      <c r="H640" s="128" t="s">
        <v>2324</v>
      </c>
      <c r="I640" s="121" t="s">
        <v>2326</v>
      </c>
      <c r="J640" s="132">
        <v>44105</v>
      </c>
      <c r="K640" s="22"/>
    </row>
    <row r="641" spans="1:11" s="66" customFormat="1" ht="14.25" customHeight="1">
      <c r="A641" s="239" t="s">
        <v>1570</v>
      </c>
      <c r="B641" s="190">
        <v>197</v>
      </c>
      <c r="C641" s="195" t="s">
        <v>1585</v>
      </c>
      <c r="D641" s="195" t="s">
        <v>2283</v>
      </c>
      <c r="E641" s="194" t="s">
        <v>2324</v>
      </c>
      <c r="F641" s="236" t="s">
        <v>2326</v>
      </c>
      <c r="G641" s="195" t="s">
        <v>2283</v>
      </c>
      <c r="H641" s="128" t="s">
        <v>2797</v>
      </c>
      <c r="I641" s="121" t="s">
        <v>534</v>
      </c>
      <c r="J641" s="132">
        <v>44105</v>
      </c>
      <c r="K641" s="22"/>
    </row>
    <row r="642" spans="1:11" s="66" customFormat="1" ht="14.25" customHeight="1">
      <c r="A642" s="239" t="s">
        <v>3014</v>
      </c>
      <c r="B642" s="190">
        <v>1247</v>
      </c>
      <c r="C642" s="195" t="s">
        <v>223</v>
      </c>
      <c r="D642" s="195" t="s">
        <v>450</v>
      </c>
      <c r="E642" s="194" t="s">
        <v>1063</v>
      </c>
      <c r="F642" s="236" t="s">
        <v>1560</v>
      </c>
      <c r="G642" s="195" t="s">
        <v>450</v>
      </c>
      <c r="H642" s="128" t="s">
        <v>1062</v>
      </c>
      <c r="I642" s="121" t="s">
        <v>1562</v>
      </c>
      <c r="J642" s="131">
        <v>44105</v>
      </c>
      <c r="K642" s="22"/>
    </row>
    <row r="643" spans="1:11" s="66" customFormat="1" ht="14.25" customHeight="1">
      <c r="A643" s="239" t="s">
        <v>1382</v>
      </c>
      <c r="B643" s="190">
        <v>144</v>
      </c>
      <c r="C643" s="195" t="s">
        <v>1586</v>
      </c>
      <c r="D643" s="195" t="s">
        <v>3082</v>
      </c>
      <c r="E643" s="194" t="s">
        <v>2029</v>
      </c>
      <c r="F643" s="236" t="s">
        <v>1385</v>
      </c>
      <c r="G643" s="195" t="s">
        <v>2638</v>
      </c>
      <c r="H643" s="128" t="s">
        <v>235</v>
      </c>
      <c r="I643" s="121" t="s">
        <v>1546</v>
      </c>
      <c r="J643" s="131">
        <v>44105</v>
      </c>
      <c r="K643" s="22"/>
    </row>
    <row r="644" spans="1:11" s="66" customFormat="1" ht="14.25" customHeight="1">
      <c r="A644" s="239" t="s">
        <v>3003</v>
      </c>
      <c r="B644" s="190">
        <v>1776</v>
      </c>
      <c r="C644" s="195" t="s">
        <v>2610</v>
      </c>
      <c r="D644" s="195" t="s">
        <v>2638</v>
      </c>
      <c r="E644" s="194" t="s">
        <v>1610</v>
      </c>
      <c r="F644" s="236" t="s">
        <v>1941</v>
      </c>
      <c r="G644" s="195" t="s">
        <v>2639</v>
      </c>
      <c r="H644" s="128" t="s">
        <v>2668</v>
      </c>
      <c r="I644" s="121" t="s">
        <v>1918</v>
      </c>
      <c r="J644" s="131">
        <v>44105</v>
      </c>
      <c r="K644" s="22"/>
    </row>
    <row r="645" spans="1:11" s="66" customFormat="1" ht="14.25" customHeight="1">
      <c r="A645" s="239" t="s">
        <v>3046</v>
      </c>
      <c r="B645" s="190">
        <v>2443</v>
      </c>
      <c r="C645" s="195" t="s">
        <v>223</v>
      </c>
      <c r="D645" s="195" t="s">
        <v>2014</v>
      </c>
      <c r="E645" s="194" t="s">
        <v>1090</v>
      </c>
      <c r="F645" s="236" t="s">
        <v>1908</v>
      </c>
      <c r="G645" s="195" t="s">
        <v>2014</v>
      </c>
      <c r="H645" s="128" t="s">
        <v>220</v>
      </c>
      <c r="I645" s="121" t="s">
        <v>1877</v>
      </c>
      <c r="J645" s="131">
        <v>44105</v>
      </c>
      <c r="K645" s="22"/>
    </row>
    <row r="646" spans="1:11" s="66" customFormat="1" ht="14.25" customHeight="1">
      <c r="A646" s="239" t="s">
        <v>3047</v>
      </c>
      <c r="B646" s="190">
        <v>710</v>
      </c>
      <c r="C646" s="195" t="s">
        <v>223</v>
      </c>
      <c r="D646" s="195" t="s">
        <v>2014</v>
      </c>
      <c r="E646" s="194" t="s">
        <v>503</v>
      </c>
      <c r="F646" s="236" t="s">
        <v>1565</v>
      </c>
      <c r="G646" s="195" t="s">
        <v>2014</v>
      </c>
      <c r="H646" s="128" t="s">
        <v>220</v>
      </c>
      <c r="I646" s="121" t="s">
        <v>1877</v>
      </c>
      <c r="J646" s="131">
        <v>44105</v>
      </c>
      <c r="K646" s="22"/>
    </row>
    <row r="647" spans="1:11" s="66" customFormat="1" ht="14.25" customHeight="1">
      <c r="A647" s="239" t="s">
        <v>3011</v>
      </c>
      <c r="B647" s="190">
        <v>813</v>
      </c>
      <c r="C647" s="195" t="s">
        <v>2037</v>
      </c>
      <c r="D647" s="195" t="s">
        <v>1433</v>
      </c>
      <c r="E647" s="194" t="s">
        <v>570</v>
      </c>
      <c r="F647" s="236" t="s">
        <v>1926</v>
      </c>
      <c r="G647" s="195" t="s">
        <v>2588</v>
      </c>
      <c r="H647" s="128" t="s">
        <v>2824</v>
      </c>
      <c r="I647" s="121" t="s">
        <v>545</v>
      </c>
      <c r="J647" s="131">
        <v>44105</v>
      </c>
      <c r="K647" s="22"/>
    </row>
    <row r="648" spans="1:11" s="66" customFormat="1" ht="14.25" customHeight="1">
      <c r="A648" s="239" t="s">
        <v>3007</v>
      </c>
      <c r="B648" s="190">
        <v>1626</v>
      </c>
      <c r="C648" s="195" t="s">
        <v>2037</v>
      </c>
      <c r="D648" s="195" t="s">
        <v>2014</v>
      </c>
      <c r="E648" s="194" t="s">
        <v>220</v>
      </c>
      <c r="F648" s="236" t="s">
        <v>1877</v>
      </c>
      <c r="G648" s="195" t="s">
        <v>2588</v>
      </c>
      <c r="H648" s="128" t="s">
        <v>2772</v>
      </c>
      <c r="I648" s="121" t="s">
        <v>545</v>
      </c>
      <c r="J648" s="131">
        <v>44105</v>
      </c>
      <c r="K648" s="22"/>
    </row>
    <row r="649" spans="1:11" s="66" customFormat="1" ht="14.25" customHeight="1">
      <c r="A649" s="239" t="s">
        <v>3008</v>
      </c>
      <c r="B649" s="190">
        <v>2472</v>
      </c>
      <c r="C649" s="195" t="s">
        <v>2037</v>
      </c>
      <c r="D649" s="195" t="s">
        <v>2014</v>
      </c>
      <c r="E649" s="194" t="s">
        <v>220</v>
      </c>
      <c r="F649" s="236" t="s">
        <v>1877</v>
      </c>
      <c r="G649" s="195" t="s">
        <v>2588</v>
      </c>
      <c r="H649" s="128" t="s">
        <v>2809</v>
      </c>
      <c r="I649" s="121" t="s">
        <v>545</v>
      </c>
      <c r="J649" s="131">
        <v>44105</v>
      </c>
      <c r="K649" s="22"/>
    </row>
    <row r="650" spans="1:11" s="66" customFormat="1" ht="14.25" customHeight="1">
      <c r="A650" s="239" t="s">
        <v>3010</v>
      </c>
      <c r="B650" s="190">
        <v>2431</v>
      </c>
      <c r="C650" s="195" t="s">
        <v>2037</v>
      </c>
      <c r="D650" s="195" t="s">
        <v>1433</v>
      </c>
      <c r="E650" s="194" t="s">
        <v>1045</v>
      </c>
      <c r="F650" s="236" t="s">
        <v>1926</v>
      </c>
      <c r="G650" s="195" t="s">
        <v>2588</v>
      </c>
      <c r="H650" s="128" t="s">
        <v>3000</v>
      </c>
      <c r="I650" s="121" t="s">
        <v>545</v>
      </c>
      <c r="J650" s="131">
        <v>44105</v>
      </c>
      <c r="K650" s="22"/>
    </row>
    <row r="651" spans="1:11" s="66" customFormat="1" ht="14.25" customHeight="1">
      <c r="A651" s="239" t="s">
        <v>3009</v>
      </c>
      <c r="B651" s="190">
        <v>640</v>
      </c>
      <c r="C651" s="195" t="s">
        <v>2037</v>
      </c>
      <c r="D651" s="195" t="s">
        <v>2014</v>
      </c>
      <c r="E651" s="194" t="s">
        <v>220</v>
      </c>
      <c r="F651" s="236" t="s">
        <v>1877</v>
      </c>
      <c r="G651" s="195" t="s">
        <v>2588</v>
      </c>
      <c r="H651" s="128" t="s">
        <v>2999</v>
      </c>
      <c r="I651" s="121" t="s">
        <v>545</v>
      </c>
      <c r="J651" s="131">
        <v>44105</v>
      </c>
      <c r="K651" s="22"/>
    </row>
    <row r="652" spans="1:11" s="66" customFormat="1" ht="14.25" customHeight="1">
      <c r="A652" s="239" t="s">
        <v>2861</v>
      </c>
      <c r="B652" s="190">
        <v>3221</v>
      </c>
      <c r="C652" s="195" t="s">
        <v>2128</v>
      </c>
      <c r="D652" s="195" t="s">
        <v>1324</v>
      </c>
      <c r="E652" s="194" t="s">
        <v>601</v>
      </c>
      <c r="F652" s="236" t="s">
        <v>2064</v>
      </c>
      <c r="G652" s="195" t="s">
        <v>2588</v>
      </c>
      <c r="H652" s="128" t="s">
        <v>2069</v>
      </c>
      <c r="I652" s="121" t="s">
        <v>528</v>
      </c>
      <c r="J652" s="130">
        <v>44109</v>
      </c>
      <c r="K652" s="22"/>
    </row>
    <row r="653" spans="1:11" s="66" customFormat="1" ht="14.25" customHeight="1">
      <c r="A653" s="239" t="s">
        <v>3005</v>
      </c>
      <c r="B653" s="190">
        <v>634</v>
      </c>
      <c r="C653" s="195" t="s">
        <v>2037</v>
      </c>
      <c r="D653" s="195" t="s">
        <v>1433</v>
      </c>
      <c r="E653" s="194" t="s">
        <v>549</v>
      </c>
      <c r="F653" s="236" t="s">
        <v>1881</v>
      </c>
      <c r="G653" s="195" t="s">
        <v>2588</v>
      </c>
      <c r="H653" s="128" t="s">
        <v>1969</v>
      </c>
      <c r="I653" s="121" t="s">
        <v>1917</v>
      </c>
      <c r="J653" s="131">
        <v>44109</v>
      </c>
      <c r="K653" s="22"/>
    </row>
    <row r="654" spans="1:11" s="66" customFormat="1" ht="14.25" customHeight="1">
      <c r="A654" s="239" t="s">
        <v>3004</v>
      </c>
      <c r="B654" s="190">
        <v>2575</v>
      </c>
      <c r="C654" s="195" t="s">
        <v>1339</v>
      </c>
      <c r="D654" s="195" t="s">
        <v>1433</v>
      </c>
      <c r="E654" s="194" t="s">
        <v>549</v>
      </c>
      <c r="F654" s="236" t="s">
        <v>1881</v>
      </c>
      <c r="G654" s="195" t="s">
        <v>2588</v>
      </c>
      <c r="H654" s="128" t="s">
        <v>1969</v>
      </c>
      <c r="I654" s="121" t="s">
        <v>1917</v>
      </c>
      <c r="J654" s="131">
        <v>44109</v>
      </c>
      <c r="K654" s="22"/>
    </row>
    <row r="655" spans="1:11" s="66" customFormat="1" ht="14.25" customHeight="1">
      <c r="A655" s="239" t="s">
        <v>2889</v>
      </c>
      <c r="B655" s="190">
        <v>64512</v>
      </c>
      <c r="C655" s="195" t="s">
        <v>643</v>
      </c>
      <c r="D655" s="195" t="s">
        <v>1044</v>
      </c>
      <c r="E655" s="194" t="s">
        <v>238</v>
      </c>
      <c r="F655" s="236" t="s">
        <v>1584</v>
      </c>
      <c r="G655" s="195" t="s">
        <v>2588</v>
      </c>
      <c r="H655" s="128" t="s">
        <v>1483</v>
      </c>
      <c r="I655" s="121" t="s">
        <v>2406</v>
      </c>
      <c r="J655" s="130">
        <v>44109</v>
      </c>
      <c r="K655" s="22"/>
    </row>
    <row r="656" spans="1:11" s="66" customFormat="1" ht="14.25" customHeight="1">
      <c r="A656" s="239" t="s">
        <v>2888</v>
      </c>
      <c r="B656" s="190">
        <v>64513</v>
      </c>
      <c r="C656" s="195" t="s">
        <v>643</v>
      </c>
      <c r="D656" s="195" t="s">
        <v>1044</v>
      </c>
      <c r="E656" s="194" t="s">
        <v>238</v>
      </c>
      <c r="F656" s="236" t="s">
        <v>1584</v>
      </c>
      <c r="G656" s="195" t="s">
        <v>2588</v>
      </c>
      <c r="H656" s="128" t="s">
        <v>597</v>
      </c>
      <c r="I656" s="121" t="s">
        <v>1902</v>
      </c>
      <c r="J656" s="130">
        <v>44109</v>
      </c>
      <c r="K656" s="22"/>
    </row>
    <row r="657" spans="1:11" s="66" customFormat="1" ht="14.25" customHeight="1">
      <c r="A657" s="239" t="s">
        <v>3053</v>
      </c>
      <c r="B657" s="190">
        <v>1240</v>
      </c>
      <c r="C657" s="195" t="s">
        <v>1339</v>
      </c>
      <c r="D657" s="195" t="s">
        <v>1044</v>
      </c>
      <c r="E657" s="194" t="s">
        <v>772</v>
      </c>
      <c r="F657" s="236" t="s">
        <v>1389</v>
      </c>
      <c r="G657" s="195" t="s">
        <v>2588</v>
      </c>
      <c r="H657" s="128" t="s">
        <v>238</v>
      </c>
      <c r="I657" s="121" t="s">
        <v>1584</v>
      </c>
      <c r="J657" s="132">
        <v>44109</v>
      </c>
      <c r="K657" s="22"/>
    </row>
    <row r="658" spans="1:11" s="66" customFormat="1" ht="14.25" customHeight="1">
      <c r="A658" s="239" t="s">
        <v>3056</v>
      </c>
      <c r="B658" s="190">
        <v>289</v>
      </c>
      <c r="C658" s="195" t="s">
        <v>1339</v>
      </c>
      <c r="D658" s="195" t="s">
        <v>1044</v>
      </c>
      <c r="E658" s="194" t="s">
        <v>1483</v>
      </c>
      <c r="F658" s="236" t="s">
        <v>2406</v>
      </c>
      <c r="G658" s="195" t="s">
        <v>2588</v>
      </c>
      <c r="H658" s="128" t="s">
        <v>238</v>
      </c>
      <c r="I658" s="121" t="s">
        <v>1584</v>
      </c>
      <c r="J658" s="130">
        <v>44109</v>
      </c>
      <c r="K658" s="22"/>
    </row>
    <row r="659" spans="1:11" s="66" customFormat="1" ht="14.25" customHeight="1">
      <c r="A659" s="239" t="s">
        <v>2892</v>
      </c>
      <c r="B659" s="190">
        <v>2963</v>
      </c>
      <c r="C659" s="195" t="s">
        <v>451</v>
      </c>
      <c r="D659" s="195" t="s">
        <v>1044</v>
      </c>
      <c r="E659" s="194" t="s">
        <v>238</v>
      </c>
      <c r="F659" s="236" t="s">
        <v>1584</v>
      </c>
      <c r="G659" s="195" t="s">
        <v>2588</v>
      </c>
      <c r="H659" s="128" t="s">
        <v>1483</v>
      </c>
      <c r="I659" s="121" t="s">
        <v>2406</v>
      </c>
      <c r="J659" s="130">
        <v>44109</v>
      </c>
      <c r="K659" s="22"/>
    </row>
    <row r="660" spans="1:11" s="66" customFormat="1" ht="14.25" customHeight="1">
      <c r="A660" s="239" t="s">
        <v>3036</v>
      </c>
      <c r="B660" s="190">
        <v>489</v>
      </c>
      <c r="C660" s="195" t="s">
        <v>1585</v>
      </c>
      <c r="D660" s="195" t="s">
        <v>1324</v>
      </c>
      <c r="E660" s="194" t="s">
        <v>601</v>
      </c>
      <c r="F660" s="236" t="s">
        <v>2064</v>
      </c>
      <c r="G660" s="195" t="s">
        <v>2588</v>
      </c>
      <c r="H660" s="128" t="s">
        <v>1335</v>
      </c>
      <c r="I660" s="121" t="s">
        <v>1379</v>
      </c>
      <c r="J660" s="130">
        <v>44109</v>
      </c>
      <c r="K660" s="22"/>
    </row>
    <row r="661" spans="1:11" s="66" customFormat="1" ht="14.25" customHeight="1">
      <c r="A661" s="239" t="s">
        <v>348</v>
      </c>
      <c r="B661" s="190">
        <v>2420</v>
      </c>
      <c r="C661" s="195" t="s">
        <v>223</v>
      </c>
      <c r="D661" s="195" t="s">
        <v>1324</v>
      </c>
      <c r="E661" s="194" t="s">
        <v>457</v>
      </c>
      <c r="F661" s="236" t="s">
        <v>1575</v>
      </c>
      <c r="G661" s="195" t="s">
        <v>2588</v>
      </c>
      <c r="H661" s="128" t="s">
        <v>1214</v>
      </c>
      <c r="I661" s="121" t="s">
        <v>1370</v>
      </c>
      <c r="J661" s="130">
        <v>44109</v>
      </c>
      <c r="K661" s="22"/>
    </row>
    <row r="662" spans="1:11" s="66" customFormat="1" ht="14.25" customHeight="1">
      <c r="A662" s="239" t="s">
        <v>3035</v>
      </c>
      <c r="B662" s="190">
        <v>1362</v>
      </c>
      <c r="C662" s="195" t="s">
        <v>223</v>
      </c>
      <c r="D662" s="195" t="s">
        <v>1324</v>
      </c>
      <c r="E662" s="194" t="s">
        <v>771</v>
      </c>
      <c r="F662" s="236" t="s">
        <v>1370</v>
      </c>
      <c r="G662" s="195" t="s">
        <v>2588</v>
      </c>
      <c r="H662" s="128" t="s">
        <v>609</v>
      </c>
      <c r="I662" s="121" t="s">
        <v>1575</v>
      </c>
      <c r="J662" s="130">
        <v>44109</v>
      </c>
      <c r="K662" s="22"/>
    </row>
    <row r="663" spans="1:11" s="66" customFormat="1" ht="14.25" customHeight="1">
      <c r="A663" s="239" t="s">
        <v>3001</v>
      </c>
      <c r="B663" s="190">
        <v>64540</v>
      </c>
      <c r="C663" s="195" t="s">
        <v>643</v>
      </c>
      <c r="D663" s="195" t="e">
        <v>#N/A</v>
      </c>
      <c r="E663" s="194" t="e">
        <v>#N/A</v>
      </c>
      <c r="F663" s="236" t="e">
        <v>#N/A</v>
      </c>
      <c r="G663" s="195" t="s">
        <v>2588</v>
      </c>
      <c r="H663" s="128" t="s">
        <v>771</v>
      </c>
      <c r="I663" s="121" t="s">
        <v>1370</v>
      </c>
      <c r="J663" s="130">
        <v>44109</v>
      </c>
      <c r="K663" s="22"/>
    </row>
    <row r="664" spans="1:11" s="66" customFormat="1" ht="14.25" customHeight="1">
      <c r="A664" s="239" t="s">
        <v>3034</v>
      </c>
      <c r="B664" s="190">
        <v>64538</v>
      </c>
      <c r="C664" s="195" t="s">
        <v>643</v>
      </c>
      <c r="D664" s="195" t="e">
        <v>#N/A</v>
      </c>
      <c r="E664" s="194" t="e">
        <v>#N/A</v>
      </c>
      <c r="F664" s="236" t="e">
        <v>#N/A</v>
      </c>
      <c r="G664" s="195" t="s">
        <v>2588</v>
      </c>
      <c r="H664" s="128" t="s">
        <v>1214</v>
      </c>
      <c r="I664" s="121" t="s">
        <v>1370</v>
      </c>
      <c r="J664" s="130">
        <v>44109</v>
      </c>
      <c r="K664" s="22"/>
    </row>
    <row r="665" spans="1:11" s="66" customFormat="1" ht="14.25" customHeight="1">
      <c r="A665" s="239" t="s">
        <v>3049</v>
      </c>
      <c r="B665" s="190">
        <v>64544</v>
      </c>
      <c r="C665" s="195" t="s">
        <v>643</v>
      </c>
      <c r="D665" s="195" t="e">
        <v>#N/A</v>
      </c>
      <c r="E665" s="194" t="e">
        <v>#N/A</v>
      </c>
      <c r="F665" s="236" t="e">
        <v>#N/A</v>
      </c>
      <c r="G665" s="195" t="s">
        <v>2588</v>
      </c>
      <c r="H665" s="128" t="s">
        <v>457</v>
      </c>
      <c r="I665" s="121" t="s">
        <v>1575</v>
      </c>
      <c r="J665" s="132">
        <v>44109</v>
      </c>
      <c r="K665" s="22"/>
    </row>
    <row r="666" spans="1:11" s="66" customFormat="1" ht="14.25" customHeight="1">
      <c r="A666" s="239" t="s">
        <v>3013</v>
      </c>
      <c r="B666" s="190">
        <v>1310</v>
      </c>
      <c r="C666" s="195" t="s">
        <v>223</v>
      </c>
      <c r="D666" s="195" t="s">
        <v>1044</v>
      </c>
      <c r="E666" s="194" t="s">
        <v>1483</v>
      </c>
      <c r="F666" s="236" t="s">
        <v>2406</v>
      </c>
      <c r="G666" s="195" t="s">
        <v>2588</v>
      </c>
      <c r="H666" s="128" t="s">
        <v>235</v>
      </c>
      <c r="I666" s="121" t="s">
        <v>1546</v>
      </c>
      <c r="J666" s="131">
        <v>44109</v>
      </c>
      <c r="K666" s="22"/>
    </row>
    <row r="667" spans="1:11" s="66" customFormat="1" ht="14.25" customHeight="1">
      <c r="A667" s="239" t="s">
        <v>2956</v>
      </c>
      <c r="B667" s="190">
        <v>1816</v>
      </c>
      <c r="C667" s="195" t="s">
        <v>1224</v>
      </c>
      <c r="D667" s="195" t="s">
        <v>2638</v>
      </c>
      <c r="E667" s="194" t="s">
        <v>235</v>
      </c>
      <c r="F667" s="236" t="s">
        <v>1546</v>
      </c>
      <c r="G667" s="195" t="s">
        <v>2588</v>
      </c>
      <c r="H667" s="128" t="s">
        <v>271</v>
      </c>
      <c r="I667" s="121" t="s">
        <v>2136</v>
      </c>
      <c r="J667" s="131">
        <v>44109</v>
      </c>
      <c r="K667" s="22"/>
    </row>
    <row r="668" spans="1:11" s="66" customFormat="1" ht="14.25" customHeight="1">
      <c r="A668" s="239" t="s">
        <v>2836</v>
      </c>
      <c r="B668" s="190">
        <v>1426</v>
      </c>
      <c r="C668" s="195" t="s">
        <v>223</v>
      </c>
      <c r="D668" s="195" t="s">
        <v>2014</v>
      </c>
      <c r="E668" s="194" t="s">
        <v>220</v>
      </c>
      <c r="F668" s="236" t="s">
        <v>1877</v>
      </c>
      <c r="G668" s="195" t="s">
        <v>2588</v>
      </c>
      <c r="H668" s="128" t="s">
        <v>435</v>
      </c>
      <c r="I668" s="121" t="s">
        <v>347</v>
      </c>
      <c r="J668" s="131">
        <v>44109</v>
      </c>
      <c r="K668" s="22"/>
    </row>
    <row r="669" spans="1:11" s="66" customFormat="1" ht="14.25" customHeight="1">
      <c r="A669" s="239" t="s">
        <v>2962</v>
      </c>
      <c r="B669" s="190">
        <v>1427</v>
      </c>
      <c r="C669" s="195" t="s">
        <v>223</v>
      </c>
      <c r="D669" s="195" t="s">
        <v>2014</v>
      </c>
      <c r="E669" s="194" t="s">
        <v>220</v>
      </c>
      <c r="F669" s="236" t="s">
        <v>1877</v>
      </c>
      <c r="G669" s="195" t="s">
        <v>2588</v>
      </c>
      <c r="H669" s="128" t="s">
        <v>435</v>
      </c>
      <c r="I669" s="121" t="s">
        <v>347</v>
      </c>
      <c r="J669" s="131">
        <v>44109</v>
      </c>
      <c r="K669" s="22"/>
    </row>
    <row r="670" spans="1:11" s="66" customFormat="1" ht="14.25" customHeight="1">
      <c r="A670" s="239" t="s">
        <v>3054</v>
      </c>
      <c r="B670" s="190">
        <v>64532</v>
      </c>
      <c r="C670" s="195" t="s">
        <v>643</v>
      </c>
      <c r="D670" s="195" t="e">
        <v>#N/A</v>
      </c>
      <c r="E670" s="194" t="e">
        <v>#N/A</v>
      </c>
      <c r="F670" s="236" t="e">
        <v>#N/A</v>
      </c>
      <c r="G670" s="195" t="s">
        <v>2588</v>
      </c>
      <c r="H670" s="128" t="s">
        <v>2324</v>
      </c>
      <c r="I670" s="121" t="s">
        <v>2326</v>
      </c>
      <c r="J670" s="132">
        <v>44116</v>
      </c>
      <c r="K670" s="22"/>
    </row>
    <row r="671" spans="1:11" s="66" customFormat="1" ht="14.25" customHeight="1">
      <c r="A671" s="239" t="s">
        <v>1942</v>
      </c>
      <c r="B671" s="190">
        <v>2202</v>
      </c>
      <c r="C671" s="195" t="s">
        <v>451</v>
      </c>
      <c r="D671" s="195" t="s">
        <v>1433</v>
      </c>
      <c r="E671" s="194" t="s">
        <v>549</v>
      </c>
      <c r="F671" s="236" t="s">
        <v>1881</v>
      </c>
      <c r="G671" s="195" t="s">
        <v>2588</v>
      </c>
      <c r="H671" s="128" t="s">
        <v>1351</v>
      </c>
      <c r="I671" s="121" t="s">
        <v>1917</v>
      </c>
      <c r="J671" s="131">
        <v>44116</v>
      </c>
      <c r="K671" s="22"/>
    </row>
    <row r="672" spans="1:11" s="66" customFormat="1" ht="14.25" customHeight="1">
      <c r="A672" s="239" t="s">
        <v>3006</v>
      </c>
      <c r="B672" s="190">
        <v>2119</v>
      </c>
      <c r="C672" s="195" t="s">
        <v>451</v>
      </c>
      <c r="D672" s="195" t="s">
        <v>1433</v>
      </c>
      <c r="E672" s="194" t="s">
        <v>549</v>
      </c>
      <c r="F672" s="236" t="s">
        <v>1881</v>
      </c>
      <c r="G672" s="195" t="s">
        <v>2588</v>
      </c>
      <c r="H672" s="128" t="s">
        <v>1351</v>
      </c>
      <c r="I672" s="121" t="s">
        <v>1917</v>
      </c>
      <c r="J672" s="131">
        <v>44116</v>
      </c>
      <c r="K672" s="22"/>
    </row>
    <row r="673" spans="1:11" s="66" customFormat="1" ht="14.25" customHeight="1">
      <c r="A673" s="239" t="s">
        <v>3055</v>
      </c>
      <c r="B673" s="190">
        <v>64486</v>
      </c>
      <c r="C673" s="195" t="s">
        <v>643</v>
      </c>
      <c r="D673" s="195" t="s">
        <v>2283</v>
      </c>
      <c r="E673" s="194" t="s">
        <v>2324</v>
      </c>
      <c r="F673" s="236" t="s">
        <v>2326</v>
      </c>
      <c r="G673" s="195" t="s">
        <v>2588</v>
      </c>
      <c r="H673" s="128" t="s">
        <v>1325</v>
      </c>
      <c r="I673" s="121" t="s">
        <v>2159</v>
      </c>
      <c r="J673" s="132">
        <v>44116</v>
      </c>
      <c r="K673" s="22"/>
    </row>
    <row r="674" spans="1:11" s="66" customFormat="1" ht="14.25" customHeight="1">
      <c r="A674" s="239" t="s">
        <v>2617</v>
      </c>
      <c r="B674" s="190">
        <v>947</v>
      </c>
      <c r="C674" s="195" t="s">
        <v>1339</v>
      </c>
      <c r="D674" s="195" t="s">
        <v>1433</v>
      </c>
      <c r="E674" s="194" t="s">
        <v>549</v>
      </c>
      <c r="F674" s="236" t="s">
        <v>1881</v>
      </c>
      <c r="G674" s="195" t="s">
        <v>2588</v>
      </c>
      <c r="H674" s="128" t="s">
        <v>2765</v>
      </c>
      <c r="I674" s="121" t="s">
        <v>1380</v>
      </c>
      <c r="J674" s="131">
        <v>44116</v>
      </c>
      <c r="K674" s="22"/>
    </row>
    <row r="675" spans="1:11" s="66" customFormat="1" ht="14.25" customHeight="1">
      <c r="A675" s="239" t="s">
        <v>2861</v>
      </c>
      <c r="B675" s="190">
        <v>3221</v>
      </c>
      <c r="C675" s="195" t="s">
        <v>2128</v>
      </c>
      <c r="D675" s="195" t="s">
        <v>1324</v>
      </c>
      <c r="E675" s="194" t="s">
        <v>601</v>
      </c>
      <c r="F675" s="236" t="s">
        <v>2064</v>
      </c>
      <c r="G675" s="195" t="s">
        <v>2588</v>
      </c>
      <c r="H675" s="128" t="s">
        <v>2073</v>
      </c>
      <c r="I675" s="121" t="s">
        <v>2471</v>
      </c>
      <c r="J675" s="132">
        <v>44119</v>
      </c>
      <c r="K675" s="22"/>
    </row>
    <row r="676" spans="1:11" s="66" customFormat="1" ht="14.25" customHeight="1">
      <c r="A676" s="239" t="s">
        <v>3048</v>
      </c>
      <c r="B676" s="190">
        <v>546</v>
      </c>
      <c r="C676" s="195" t="s">
        <v>1225</v>
      </c>
      <c r="D676" s="195" t="s">
        <v>1454</v>
      </c>
      <c r="E676" s="194" t="s">
        <v>1874</v>
      </c>
      <c r="F676" s="236" t="s">
        <v>539</v>
      </c>
      <c r="G676" s="195" t="s">
        <v>2588</v>
      </c>
      <c r="H676" s="128" t="s">
        <v>1873</v>
      </c>
      <c r="I676" s="121" t="s">
        <v>539</v>
      </c>
      <c r="J676" s="131">
        <v>44120</v>
      </c>
      <c r="K676" s="22"/>
    </row>
    <row r="677" spans="1:11" s="66" customFormat="1" ht="14.25" customHeight="1">
      <c r="A677" s="239" t="s">
        <v>3040</v>
      </c>
      <c r="B677" s="190">
        <v>64559</v>
      </c>
      <c r="C677" s="195" t="s">
        <v>643</v>
      </c>
      <c r="D677" s="195" t="s">
        <v>1324</v>
      </c>
      <c r="E677" s="194" t="s">
        <v>473</v>
      </c>
      <c r="F677" s="236" t="s">
        <v>1370</v>
      </c>
      <c r="G677" s="195" t="s">
        <v>2588</v>
      </c>
      <c r="H677" s="128" t="s">
        <v>1223</v>
      </c>
      <c r="I677" s="121" t="s">
        <v>1575</v>
      </c>
      <c r="J677" s="131">
        <v>44120</v>
      </c>
      <c r="K677" s="22"/>
    </row>
    <row r="678" spans="1:11" s="66" customFormat="1" ht="14.25" customHeight="1">
      <c r="A678" s="239" t="s">
        <v>3041</v>
      </c>
      <c r="B678" s="190">
        <v>70590</v>
      </c>
      <c r="C678" s="195" t="s">
        <v>643</v>
      </c>
      <c r="D678" s="195" t="s">
        <v>1324</v>
      </c>
      <c r="E678" s="194" t="s">
        <v>473</v>
      </c>
      <c r="F678" s="236" t="s">
        <v>1370</v>
      </c>
      <c r="G678" s="195" t="s">
        <v>2588</v>
      </c>
      <c r="H678" s="128" t="s">
        <v>609</v>
      </c>
      <c r="I678" s="121" t="s">
        <v>1575</v>
      </c>
      <c r="J678" s="131">
        <v>44120</v>
      </c>
      <c r="K678" s="22"/>
    </row>
    <row r="679" spans="1:11" s="66" customFormat="1" ht="14.25" customHeight="1">
      <c r="A679" s="239" t="s">
        <v>3042</v>
      </c>
      <c r="B679" s="190">
        <v>70589</v>
      </c>
      <c r="C679" s="195" t="s">
        <v>643</v>
      </c>
      <c r="D679" s="195" t="s">
        <v>1324</v>
      </c>
      <c r="E679" s="194" t="s">
        <v>473</v>
      </c>
      <c r="F679" s="236" t="s">
        <v>1370</v>
      </c>
      <c r="G679" s="195" t="s">
        <v>2588</v>
      </c>
      <c r="H679" s="128" t="s">
        <v>457</v>
      </c>
      <c r="I679" s="121" t="s">
        <v>1575</v>
      </c>
      <c r="J679" s="131">
        <v>44120</v>
      </c>
      <c r="K679" s="22"/>
    </row>
    <row r="680" spans="1:11" s="66" customFormat="1" ht="14.25" customHeight="1">
      <c r="A680" s="239" t="s">
        <v>3043</v>
      </c>
      <c r="B680" s="190">
        <v>64560</v>
      </c>
      <c r="C680" s="195" t="s">
        <v>643</v>
      </c>
      <c r="D680" s="195" t="s">
        <v>1324</v>
      </c>
      <c r="E680" s="194" t="s">
        <v>473</v>
      </c>
      <c r="F680" s="236" t="s">
        <v>1370</v>
      </c>
      <c r="G680" s="195" t="s">
        <v>2588</v>
      </c>
      <c r="H680" s="128" t="s">
        <v>457</v>
      </c>
      <c r="I680" s="121" t="s">
        <v>1575</v>
      </c>
      <c r="J680" s="131">
        <v>44120</v>
      </c>
      <c r="K680" s="22"/>
    </row>
    <row r="681" spans="1:11" s="66" customFormat="1" ht="14.25" customHeight="1">
      <c r="A681" s="239" t="s">
        <v>3066</v>
      </c>
      <c r="B681" s="190">
        <v>64572</v>
      </c>
      <c r="C681" s="195" t="s">
        <v>643</v>
      </c>
      <c r="D681" s="195" t="s">
        <v>2283</v>
      </c>
      <c r="E681" s="194" t="s">
        <v>2072</v>
      </c>
      <c r="F681" s="236" t="s">
        <v>1398</v>
      </c>
      <c r="G681" s="195" t="s">
        <v>2588</v>
      </c>
      <c r="H681" s="128" t="s">
        <v>2324</v>
      </c>
      <c r="I681" s="121" t="s">
        <v>2326</v>
      </c>
      <c r="J681" s="132">
        <v>44121</v>
      </c>
      <c r="K681" s="22"/>
    </row>
    <row r="682" spans="1:11" s="66" customFormat="1" ht="14.25" customHeight="1">
      <c r="A682" s="239" t="s">
        <v>2090</v>
      </c>
      <c r="B682" s="190">
        <v>233</v>
      </c>
      <c r="C682" s="195" t="s">
        <v>1322</v>
      </c>
      <c r="D682" s="195" t="s">
        <v>2628</v>
      </c>
      <c r="E682" s="194" t="s">
        <v>1455</v>
      </c>
      <c r="F682" s="236" t="s">
        <v>2064</v>
      </c>
      <c r="G682" s="195" t="s">
        <v>2588</v>
      </c>
      <c r="H682" s="128" t="s">
        <v>2066</v>
      </c>
      <c r="I682" s="121" t="s">
        <v>1881</v>
      </c>
      <c r="J682" s="130">
        <v>44123</v>
      </c>
      <c r="K682" s="22"/>
    </row>
    <row r="683" spans="1:11" s="66" customFormat="1" ht="14.25" customHeight="1">
      <c r="A683" s="239" t="s">
        <v>3051</v>
      </c>
      <c r="B683" s="190">
        <v>64546</v>
      </c>
      <c r="C683" s="195" t="s">
        <v>643</v>
      </c>
      <c r="D683" s="195" t="s">
        <v>1324</v>
      </c>
      <c r="E683" s="194" t="s">
        <v>1223</v>
      </c>
      <c r="F683" s="236" t="s">
        <v>1575</v>
      </c>
      <c r="G683" s="195" t="s">
        <v>2588</v>
      </c>
      <c r="H683" s="128" t="s">
        <v>609</v>
      </c>
      <c r="I683" s="121" t="s">
        <v>1575</v>
      </c>
      <c r="J683" s="132">
        <v>44123</v>
      </c>
      <c r="K683" s="22"/>
    </row>
    <row r="684" spans="1:11" s="66" customFormat="1" ht="14.25" customHeight="1">
      <c r="A684" s="239" t="s">
        <v>3050</v>
      </c>
      <c r="B684" s="190">
        <v>2190</v>
      </c>
      <c r="C684" s="195" t="s">
        <v>223</v>
      </c>
      <c r="D684" s="195" t="s">
        <v>1324</v>
      </c>
      <c r="E684" s="194" t="s">
        <v>457</v>
      </c>
      <c r="F684" s="236" t="s">
        <v>1575</v>
      </c>
      <c r="G684" s="195" t="s">
        <v>2588</v>
      </c>
      <c r="H684" s="128" t="s">
        <v>1223</v>
      </c>
      <c r="I684" s="121" t="s">
        <v>1575</v>
      </c>
      <c r="J684" s="132">
        <v>44123</v>
      </c>
      <c r="K684" s="22"/>
    </row>
    <row r="685" spans="1:11" s="66" customFormat="1" ht="14.25" customHeight="1">
      <c r="A685" s="239" t="s">
        <v>3052</v>
      </c>
      <c r="B685" s="190">
        <v>1637</v>
      </c>
      <c r="C685" s="195" t="s">
        <v>223</v>
      </c>
      <c r="D685" s="195" t="s">
        <v>1324</v>
      </c>
      <c r="E685" s="194" t="s">
        <v>609</v>
      </c>
      <c r="F685" s="236" t="s">
        <v>1575</v>
      </c>
      <c r="G685" s="195" t="s">
        <v>2588</v>
      </c>
      <c r="H685" s="128" t="s">
        <v>1223</v>
      </c>
      <c r="I685" s="121" t="s">
        <v>1575</v>
      </c>
      <c r="J685" s="132">
        <v>44123</v>
      </c>
      <c r="K685" s="22"/>
    </row>
    <row r="686" spans="1:11" s="66" customFormat="1" ht="14.25" customHeight="1">
      <c r="A686" s="239" t="s">
        <v>1370</v>
      </c>
      <c r="B686" s="190">
        <v>190</v>
      </c>
      <c r="C686" s="195" t="s">
        <v>1321</v>
      </c>
      <c r="D686" s="195" t="s">
        <v>1324</v>
      </c>
      <c r="E686" s="194" t="s">
        <v>771</v>
      </c>
      <c r="F686" s="236" t="s">
        <v>1885</v>
      </c>
      <c r="G686" s="195" t="s">
        <v>2588</v>
      </c>
      <c r="H686" s="128" t="s">
        <v>1455</v>
      </c>
      <c r="I686" s="121" t="s">
        <v>2064</v>
      </c>
      <c r="J686" s="132">
        <v>44123</v>
      </c>
      <c r="K686" s="22"/>
    </row>
    <row r="687" spans="1:11" s="66" customFormat="1" ht="14.25" customHeight="1">
      <c r="A687" s="239" t="s">
        <v>3037</v>
      </c>
      <c r="B687" s="190">
        <v>2111</v>
      </c>
      <c r="C687" s="195" t="s">
        <v>451</v>
      </c>
      <c r="D687" s="195" t="s">
        <v>2283</v>
      </c>
      <c r="E687" s="194" t="s">
        <v>2069</v>
      </c>
      <c r="F687" s="236" t="s">
        <v>528</v>
      </c>
      <c r="G687" s="195" t="s">
        <v>2588</v>
      </c>
      <c r="H687" s="128" t="s">
        <v>2378</v>
      </c>
      <c r="I687" s="121" t="s">
        <v>544</v>
      </c>
      <c r="J687" s="130">
        <v>44123</v>
      </c>
      <c r="K687" s="22"/>
    </row>
    <row r="688" spans="1:11" s="66" customFormat="1" ht="14.25" customHeight="1">
      <c r="A688" s="239" t="s">
        <v>3038</v>
      </c>
      <c r="B688" s="190">
        <v>2608</v>
      </c>
      <c r="C688" s="195" t="s">
        <v>223</v>
      </c>
      <c r="D688" s="195" t="s">
        <v>2283</v>
      </c>
      <c r="E688" s="194" t="s">
        <v>2325</v>
      </c>
      <c r="F688" s="236" t="s">
        <v>345</v>
      </c>
      <c r="G688" s="195" t="s">
        <v>2588</v>
      </c>
      <c r="H688" s="128" t="s">
        <v>2378</v>
      </c>
      <c r="I688" s="121" t="s">
        <v>544</v>
      </c>
      <c r="J688" s="130">
        <v>44123</v>
      </c>
      <c r="K688" s="22"/>
    </row>
    <row r="689" spans="1:11" s="66" customFormat="1" ht="14.25" customHeight="1">
      <c r="A689" s="239" t="s">
        <v>2761</v>
      </c>
      <c r="B689" s="190">
        <v>2245</v>
      </c>
      <c r="C689" s="195" t="s">
        <v>223</v>
      </c>
      <c r="D689" s="195" t="s">
        <v>3079</v>
      </c>
      <c r="E689" s="194" t="s">
        <v>2378</v>
      </c>
      <c r="F689" s="236" t="s">
        <v>544</v>
      </c>
      <c r="G689" s="195" t="s">
        <v>2588</v>
      </c>
      <c r="H689" s="128" t="s">
        <v>2686</v>
      </c>
      <c r="I689" s="121" t="s">
        <v>529</v>
      </c>
      <c r="J689" s="130">
        <v>44123</v>
      </c>
      <c r="K689" s="22"/>
    </row>
    <row r="690" spans="1:11" s="66" customFormat="1" ht="14.25" customHeight="1">
      <c r="A690" s="239" t="s">
        <v>3039</v>
      </c>
      <c r="B690" s="190">
        <v>2032</v>
      </c>
      <c r="C690" s="195" t="s">
        <v>223</v>
      </c>
      <c r="D690" s="195" t="s">
        <v>3079</v>
      </c>
      <c r="E690" s="194" t="s">
        <v>2378</v>
      </c>
      <c r="F690" s="236" t="s">
        <v>544</v>
      </c>
      <c r="G690" s="195" t="s">
        <v>2588</v>
      </c>
      <c r="H690" s="128" t="s">
        <v>2686</v>
      </c>
      <c r="I690" s="121" t="s">
        <v>529</v>
      </c>
      <c r="J690" s="130">
        <v>44123</v>
      </c>
      <c r="K690" s="22"/>
    </row>
    <row r="691" spans="1:11" s="66" customFormat="1" ht="14.25" customHeight="1">
      <c r="A691" s="239" t="s">
        <v>3057</v>
      </c>
      <c r="B691" s="190">
        <v>64582</v>
      </c>
      <c r="C691" s="195" t="s">
        <v>643</v>
      </c>
      <c r="D691" s="195" t="s">
        <v>1044</v>
      </c>
      <c r="E691" s="194" t="s">
        <v>1483</v>
      </c>
      <c r="F691" s="236" t="s">
        <v>2406</v>
      </c>
      <c r="G691" s="195" t="s">
        <v>2588</v>
      </c>
      <c r="H691" s="128" t="s">
        <v>1081</v>
      </c>
      <c r="I691" s="121" t="s">
        <v>2547</v>
      </c>
      <c r="J691" s="130">
        <v>44125</v>
      </c>
      <c r="K691" s="22"/>
    </row>
    <row r="692" spans="1:11" s="66" customFormat="1" ht="14.25" customHeight="1">
      <c r="A692" s="239" t="s">
        <v>3058</v>
      </c>
      <c r="B692" s="190">
        <v>64571</v>
      </c>
      <c r="C692" s="195" t="s">
        <v>643</v>
      </c>
      <c r="D692" s="195" t="s">
        <v>450</v>
      </c>
      <c r="E692" s="194" t="s">
        <v>2402</v>
      </c>
      <c r="F692" s="236" t="s">
        <v>1909</v>
      </c>
      <c r="G692" s="195" t="s">
        <v>2588</v>
      </c>
      <c r="H692" s="128" t="s">
        <v>515</v>
      </c>
      <c r="I692" s="121" t="s">
        <v>1574</v>
      </c>
      <c r="J692" s="130">
        <v>44125</v>
      </c>
      <c r="K692" s="22" t="s">
        <v>3101</v>
      </c>
    </row>
    <row r="693" spans="1:11" s="66" customFormat="1" ht="14.25" customHeight="1">
      <c r="A693" s="239" t="s">
        <v>3059</v>
      </c>
      <c r="B693" s="190">
        <v>70611</v>
      </c>
      <c r="C693" s="195" t="s">
        <v>643</v>
      </c>
      <c r="D693" s="195" t="s">
        <v>450</v>
      </c>
      <c r="E693" s="194" t="s">
        <v>514</v>
      </c>
      <c r="F693" s="236" t="s">
        <v>2472</v>
      </c>
      <c r="G693" s="195" t="s">
        <v>2588</v>
      </c>
      <c r="H693" s="128" t="s">
        <v>515</v>
      </c>
      <c r="I693" s="121" t="s">
        <v>1574</v>
      </c>
      <c r="J693" s="130">
        <v>44125</v>
      </c>
      <c r="K693" s="22" t="s">
        <v>3101</v>
      </c>
    </row>
    <row r="694" spans="1:11" s="66" customFormat="1" ht="14.25" customHeight="1">
      <c r="A694" s="239" t="s">
        <v>345</v>
      </c>
      <c r="B694" s="190">
        <v>33</v>
      </c>
      <c r="C694" s="195" t="s">
        <v>1321</v>
      </c>
      <c r="D694" s="195" t="s">
        <v>2283</v>
      </c>
      <c r="E694" s="194" t="s">
        <v>2325</v>
      </c>
      <c r="F694" s="236" t="s">
        <v>2089</v>
      </c>
      <c r="G694" s="195" t="s">
        <v>2588</v>
      </c>
      <c r="H694" s="128" t="s">
        <v>2797</v>
      </c>
      <c r="I694" s="121" t="s">
        <v>1577</v>
      </c>
      <c r="J694" s="130">
        <v>44130</v>
      </c>
      <c r="K694" s="22" t="s">
        <v>3246</v>
      </c>
    </row>
    <row r="695" spans="1:11" s="66" customFormat="1" ht="14.25" customHeight="1">
      <c r="A695" s="239" t="s">
        <v>3032</v>
      </c>
      <c r="B695" s="190">
        <v>64543</v>
      </c>
      <c r="C695" s="195" t="s">
        <v>643</v>
      </c>
      <c r="D695" s="195" t="s">
        <v>450</v>
      </c>
      <c r="E695" s="194" t="s">
        <v>2402</v>
      </c>
      <c r="F695" s="236" t="s">
        <v>1911</v>
      </c>
      <c r="G695" s="195" t="s">
        <v>2588</v>
      </c>
      <c r="H695" s="128" t="s">
        <v>2087</v>
      </c>
      <c r="I695" s="121" t="s">
        <v>2112</v>
      </c>
      <c r="J695" s="142">
        <v>44136</v>
      </c>
      <c r="K695" s="22" t="s">
        <v>3246</v>
      </c>
    </row>
    <row r="696" spans="1:11" s="66" customFormat="1" ht="14.25" customHeight="1">
      <c r="A696" s="239" t="s">
        <v>2928</v>
      </c>
      <c r="B696" s="190">
        <v>58</v>
      </c>
      <c r="C696" s="195" t="s">
        <v>1586</v>
      </c>
      <c r="D696" s="195" t="s">
        <v>2640</v>
      </c>
      <c r="E696" s="194" t="s">
        <v>2094</v>
      </c>
      <c r="F696" s="236" t="s">
        <v>2544</v>
      </c>
      <c r="G696" s="195" t="s">
        <v>2588</v>
      </c>
      <c r="H696" s="128" t="s">
        <v>2759</v>
      </c>
      <c r="I696" s="121" t="s">
        <v>2544</v>
      </c>
      <c r="J696" s="142">
        <v>44136</v>
      </c>
      <c r="K696" s="22" t="s">
        <v>3246</v>
      </c>
    </row>
    <row r="697" spans="1:11" s="66" customFormat="1" ht="14.25" customHeight="1">
      <c r="A697" s="239" t="s">
        <v>2919</v>
      </c>
      <c r="B697" s="190">
        <v>487</v>
      </c>
      <c r="C697" s="195" t="s">
        <v>731</v>
      </c>
      <c r="D697" s="195" t="s">
        <v>2640</v>
      </c>
      <c r="E697" s="194" t="s">
        <v>2317</v>
      </c>
      <c r="F697" s="236" t="s">
        <v>2777</v>
      </c>
      <c r="G697" s="195" t="s">
        <v>2588</v>
      </c>
      <c r="H697" s="128" t="s">
        <v>2759</v>
      </c>
      <c r="I697" s="121" t="s">
        <v>2777</v>
      </c>
      <c r="J697" s="142">
        <v>44136</v>
      </c>
      <c r="K697" s="22" t="s">
        <v>3246</v>
      </c>
    </row>
    <row r="698" spans="1:11" s="66" customFormat="1" ht="14.25" customHeight="1">
      <c r="A698" s="239" t="s">
        <v>2926</v>
      </c>
      <c r="B698" s="190">
        <v>669</v>
      </c>
      <c r="C698" s="195" t="s">
        <v>731</v>
      </c>
      <c r="D698" s="195" t="s">
        <v>2640</v>
      </c>
      <c r="E698" s="194" t="s">
        <v>2094</v>
      </c>
      <c r="F698" s="236" t="s">
        <v>1888</v>
      </c>
      <c r="G698" s="195" t="s">
        <v>2588</v>
      </c>
      <c r="H698" s="128" t="s">
        <v>2759</v>
      </c>
      <c r="I698" s="121" t="s">
        <v>1888</v>
      </c>
      <c r="J698" s="142">
        <v>44136</v>
      </c>
      <c r="K698" s="22" t="s">
        <v>3246</v>
      </c>
    </row>
    <row r="699" spans="1:11" s="66" customFormat="1" ht="14.25" customHeight="1">
      <c r="A699" s="239" t="s">
        <v>2924</v>
      </c>
      <c r="B699" s="190">
        <v>1811</v>
      </c>
      <c r="C699" s="195" t="s">
        <v>1225</v>
      </c>
      <c r="D699" s="195" t="s">
        <v>2640</v>
      </c>
      <c r="E699" s="194" t="s">
        <v>2094</v>
      </c>
      <c r="F699" s="236" t="s">
        <v>1894</v>
      </c>
      <c r="G699" s="195" t="s">
        <v>2588</v>
      </c>
      <c r="H699" s="128" t="s">
        <v>2759</v>
      </c>
      <c r="I699" s="121" t="s">
        <v>1894</v>
      </c>
      <c r="J699" s="142">
        <v>44136</v>
      </c>
      <c r="K699" s="22" t="s">
        <v>3246</v>
      </c>
    </row>
    <row r="700" spans="1:11" s="66" customFormat="1" ht="14.25" customHeight="1">
      <c r="A700" s="239" t="s">
        <v>2922</v>
      </c>
      <c r="B700" s="190">
        <v>3058</v>
      </c>
      <c r="C700" s="195" t="s">
        <v>1224</v>
      </c>
      <c r="D700" s="195" t="s">
        <v>2640</v>
      </c>
      <c r="E700" s="194" t="s">
        <v>2314</v>
      </c>
      <c r="F700" s="236" t="s">
        <v>1888</v>
      </c>
      <c r="G700" s="195" t="s">
        <v>2588</v>
      </c>
      <c r="H700" s="128" t="s">
        <v>2759</v>
      </c>
      <c r="I700" s="121" t="s">
        <v>1888</v>
      </c>
      <c r="J700" s="142">
        <v>44136</v>
      </c>
      <c r="K700" s="22" t="s">
        <v>3246</v>
      </c>
    </row>
    <row r="701" spans="1:11" s="66" customFormat="1" ht="14.25" customHeight="1">
      <c r="A701" s="239" t="s">
        <v>2927</v>
      </c>
      <c r="B701" s="190">
        <v>3189</v>
      </c>
      <c r="C701" s="195" t="s">
        <v>1224</v>
      </c>
      <c r="D701" s="195" t="s">
        <v>2640</v>
      </c>
      <c r="E701" s="194" t="s">
        <v>2094</v>
      </c>
      <c r="F701" s="236" t="s">
        <v>1888</v>
      </c>
      <c r="G701" s="195" t="s">
        <v>2588</v>
      </c>
      <c r="H701" s="128" t="s">
        <v>2759</v>
      </c>
      <c r="I701" s="121" t="s">
        <v>1888</v>
      </c>
      <c r="J701" s="142">
        <v>44136</v>
      </c>
      <c r="K701" s="22" t="s">
        <v>3246</v>
      </c>
    </row>
    <row r="702" spans="1:11" s="66" customFormat="1" ht="14.25" customHeight="1">
      <c r="A702" s="239" t="s">
        <v>2911</v>
      </c>
      <c r="B702" s="190">
        <v>3230</v>
      </c>
      <c r="C702" s="195" t="s">
        <v>1224</v>
      </c>
      <c r="D702" s="195" t="s">
        <v>2640</v>
      </c>
      <c r="E702" s="194" t="s">
        <v>2759</v>
      </c>
      <c r="F702" s="236" t="s">
        <v>1894</v>
      </c>
      <c r="G702" s="195" t="s">
        <v>2588</v>
      </c>
      <c r="H702" s="128" t="s">
        <v>2759</v>
      </c>
      <c r="I702" s="121" t="s">
        <v>1894</v>
      </c>
      <c r="J702" s="142">
        <v>44136</v>
      </c>
      <c r="K702" s="22" t="s">
        <v>3246</v>
      </c>
    </row>
    <row r="703" spans="1:11" s="66" customFormat="1" ht="14.25" customHeight="1">
      <c r="A703" s="239" t="s">
        <v>1888</v>
      </c>
      <c r="B703" s="190">
        <v>57</v>
      </c>
      <c r="C703" s="195" t="s">
        <v>2127</v>
      </c>
      <c r="D703" s="195" t="s">
        <v>2640</v>
      </c>
      <c r="E703" s="194" t="s">
        <v>2314</v>
      </c>
      <c r="F703" s="236" t="s">
        <v>2095</v>
      </c>
      <c r="G703" s="195" t="s">
        <v>2588</v>
      </c>
      <c r="H703" s="128" t="s">
        <v>2094</v>
      </c>
      <c r="I703" s="121" t="s">
        <v>2095</v>
      </c>
      <c r="J703" s="142">
        <v>44136</v>
      </c>
      <c r="K703" s="22" t="s">
        <v>3246</v>
      </c>
    </row>
    <row r="704" spans="1:11" s="66" customFormat="1" ht="14.25" customHeight="1">
      <c r="A704" s="239" t="s">
        <v>2910</v>
      </c>
      <c r="B704" s="190">
        <v>83</v>
      </c>
      <c r="C704" s="195" t="s">
        <v>1586</v>
      </c>
      <c r="D704" s="195" t="s">
        <v>2640</v>
      </c>
      <c r="E704" s="194" t="s">
        <v>2316</v>
      </c>
      <c r="F704" s="236" t="s">
        <v>1894</v>
      </c>
      <c r="G704" s="195" t="s">
        <v>2588</v>
      </c>
      <c r="H704" s="128" t="s">
        <v>2094</v>
      </c>
      <c r="I704" s="121" t="s">
        <v>1894</v>
      </c>
      <c r="J704" s="142">
        <v>44136</v>
      </c>
      <c r="K704" s="22" t="s">
        <v>3246</v>
      </c>
    </row>
    <row r="705" spans="1:11" s="66" customFormat="1" ht="14.25" customHeight="1">
      <c r="A705" s="239" t="s">
        <v>1894</v>
      </c>
      <c r="B705" s="190">
        <v>102</v>
      </c>
      <c r="C705" s="195" t="s">
        <v>2127</v>
      </c>
      <c r="D705" s="195" t="s">
        <v>2640</v>
      </c>
      <c r="E705" s="194" t="s">
        <v>2316</v>
      </c>
      <c r="F705" s="236" t="s">
        <v>2095</v>
      </c>
      <c r="G705" s="195" t="s">
        <v>2588</v>
      </c>
      <c r="H705" s="128" t="s">
        <v>2094</v>
      </c>
      <c r="I705" s="121" t="s">
        <v>2095</v>
      </c>
      <c r="J705" s="142">
        <v>44136</v>
      </c>
      <c r="K705" s="22" t="s">
        <v>3246</v>
      </c>
    </row>
    <row r="706" spans="1:11" s="66" customFormat="1" ht="14.25" customHeight="1">
      <c r="A706" s="239" t="s">
        <v>2777</v>
      </c>
      <c r="B706" s="190">
        <v>461</v>
      </c>
      <c r="C706" s="195" t="s">
        <v>2126</v>
      </c>
      <c r="D706" s="195" t="s">
        <v>2640</v>
      </c>
      <c r="E706" s="194" t="s">
        <v>2317</v>
      </c>
      <c r="F706" s="236" t="s">
        <v>2095</v>
      </c>
      <c r="G706" s="195" t="s">
        <v>2588</v>
      </c>
      <c r="H706" s="128" t="s">
        <v>2094</v>
      </c>
      <c r="I706" s="121" t="s">
        <v>2095</v>
      </c>
      <c r="J706" s="142">
        <v>44136</v>
      </c>
      <c r="K706" s="22" t="s">
        <v>3246</v>
      </c>
    </row>
    <row r="707" spans="1:11" s="66" customFormat="1" ht="14.25" customHeight="1">
      <c r="A707" s="239" t="s">
        <v>2544</v>
      </c>
      <c r="B707" s="190">
        <v>678</v>
      </c>
      <c r="C707" s="195" t="s">
        <v>2126</v>
      </c>
      <c r="D707" s="195" t="s">
        <v>2640</v>
      </c>
      <c r="E707" s="194" t="s">
        <v>2315</v>
      </c>
      <c r="F707" s="236" t="s">
        <v>2095</v>
      </c>
      <c r="G707" s="195" t="s">
        <v>2588</v>
      </c>
      <c r="H707" s="128" t="s">
        <v>2094</v>
      </c>
      <c r="I707" s="121" t="s">
        <v>2095</v>
      </c>
      <c r="J707" s="142">
        <v>44136</v>
      </c>
      <c r="K707" s="22" t="s">
        <v>3246</v>
      </c>
    </row>
    <row r="708" spans="1:11" s="66" customFormat="1" ht="14.25" customHeight="1">
      <c r="A708" s="239" t="s">
        <v>2914</v>
      </c>
      <c r="B708" s="190">
        <v>681</v>
      </c>
      <c r="C708" s="195" t="s">
        <v>731</v>
      </c>
      <c r="D708" s="195" t="s">
        <v>2640</v>
      </c>
      <c r="E708" s="194" t="s">
        <v>2314</v>
      </c>
      <c r="F708" s="236" t="s">
        <v>1888</v>
      </c>
      <c r="G708" s="195" t="s">
        <v>2588</v>
      </c>
      <c r="H708" s="128" t="s">
        <v>2094</v>
      </c>
      <c r="I708" s="121" t="s">
        <v>1888</v>
      </c>
      <c r="J708" s="142">
        <v>44136</v>
      </c>
      <c r="K708" s="22" t="s">
        <v>3246</v>
      </c>
    </row>
    <row r="709" spans="1:11" s="66" customFormat="1" ht="14.25" customHeight="1">
      <c r="A709" s="239" t="s">
        <v>2916</v>
      </c>
      <c r="B709" s="190">
        <v>803</v>
      </c>
      <c r="C709" s="195" t="s">
        <v>2516</v>
      </c>
      <c r="D709" s="195" t="s">
        <v>2640</v>
      </c>
      <c r="E709" s="194" t="s">
        <v>2315</v>
      </c>
      <c r="F709" s="236" t="s">
        <v>2544</v>
      </c>
      <c r="G709" s="195" t="s">
        <v>2588</v>
      </c>
      <c r="H709" s="128" t="s">
        <v>2094</v>
      </c>
      <c r="I709" s="121" t="s">
        <v>2544</v>
      </c>
      <c r="J709" s="142">
        <v>44136</v>
      </c>
      <c r="K709" s="22" t="s">
        <v>3246</v>
      </c>
    </row>
    <row r="710" spans="1:11" s="66" customFormat="1" ht="14.25" customHeight="1">
      <c r="A710" s="239" t="s">
        <v>2929</v>
      </c>
      <c r="B710" s="190">
        <v>1030</v>
      </c>
      <c r="C710" s="195" t="s">
        <v>731</v>
      </c>
      <c r="D710" s="195" t="s">
        <v>2640</v>
      </c>
      <c r="E710" s="194" t="s">
        <v>2094</v>
      </c>
      <c r="F710" s="236" t="s">
        <v>2777</v>
      </c>
      <c r="G710" s="195" t="s">
        <v>2588</v>
      </c>
      <c r="H710" s="128" t="s">
        <v>2094</v>
      </c>
      <c r="I710" s="121" t="s">
        <v>2777</v>
      </c>
      <c r="J710" s="142">
        <v>44136</v>
      </c>
      <c r="K710" s="22" t="s">
        <v>3246</v>
      </c>
    </row>
    <row r="711" spans="1:11" s="66" customFormat="1" ht="14.25" customHeight="1">
      <c r="A711" s="239" t="s">
        <v>2186</v>
      </c>
      <c r="B711" s="190">
        <v>1458</v>
      </c>
      <c r="C711" s="195" t="s">
        <v>1224</v>
      </c>
      <c r="D711" s="195" t="s">
        <v>2640</v>
      </c>
      <c r="E711" s="194" t="s">
        <v>2317</v>
      </c>
      <c r="F711" s="236" t="s">
        <v>2777</v>
      </c>
      <c r="G711" s="195" t="s">
        <v>2588</v>
      </c>
      <c r="H711" s="128" t="s">
        <v>2094</v>
      </c>
      <c r="I711" s="121" t="s">
        <v>2777</v>
      </c>
      <c r="J711" s="142">
        <v>44136</v>
      </c>
      <c r="K711" s="22" t="s">
        <v>3246</v>
      </c>
    </row>
    <row r="712" spans="1:11" s="66" customFormat="1" ht="14.25" customHeight="1">
      <c r="A712" s="239" t="s">
        <v>2188</v>
      </c>
      <c r="B712" s="190">
        <v>1651</v>
      </c>
      <c r="C712" s="195" t="s">
        <v>1224</v>
      </c>
      <c r="D712" s="195" t="s">
        <v>2640</v>
      </c>
      <c r="E712" s="194" t="s">
        <v>2314</v>
      </c>
      <c r="F712" s="236" t="s">
        <v>1888</v>
      </c>
      <c r="G712" s="195" t="s">
        <v>2588</v>
      </c>
      <c r="H712" s="128" t="s">
        <v>2094</v>
      </c>
      <c r="I712" s="121" t="s">
        <v>1888</v>
      </c>
      <c r="J712" s="142">
        <v>44136</v>
      </c>
      <c r="K712" s="22" t="s">
        <v>3246</v>
      </c>
    </row>
    <row r="713" spans="1:11" s="66" customFormat="1" ht="14.25" customHeight="1">
      <c r="A713" s="239" t="s">
        <v>2189</v>
      </c>
      <c r="B713" s="190">
        <v>1716</v>
      </c>
      <c r="C713" s="195" t="s">
        <v>1224</v>
      </c>
      <c r="D713" s="195" t="s">
        <v>2640</v>
      </c>
      <c r="E713" s="194" t="s">
        <v>2316</v>
      </c>
      <c r="F713" s="236" t="s">
        <v>1894</v>
      </c>
      <c r="G713" s="195" t="s">
        <v>2588</v>
      </c>
      <c r="H713" s="128" t="s">
        <v>2094</v>
      </c>
      <c r="I713" s="121" t="s">
        <v>1894</v>
      </c>
      <c r="J713" s="142">
        <v>44136</v>
      </c>
      <c r="K713" s="22" t="s">
        <v>3246</v>
      </c>
    </row>
    <row r="714" spans="1:11" s="66" customFormat="1" ht="14.25" customHeight="1">
      <c r="A714" s="239" t="s">
        <v>2183</v>
      </c>
      <c r="B714" s="190">
        <v>1982</v>
      </c>
      <c r="C714" s="195" t="s">
        <v>1224</v>
      </c>
      <c r="D714" s="195" t="s">
        <v>2640</v>
      </c>
      <c r="E714" s="194" t="s">
        <v>2094</v>
      </c>
      <c r="F714" s="236" t="s">
        <v>2544</v>
      </c>
      <c r="G714" s="195" t="s">
        <v>2588</v>
      </c>
      <c r="H714" s="128" t="s">
        <v>2094</v>
      </c>
      <c r="I714" s="121" t="s">
        <v>2544</v>
      </c>
      <c r="J714" s="142">
        <v>44136</v>
      </c>
      <c r="K714" s="22" t="s">
        <v>3246</v>
      </c>
    </row>
    <row r="715" spans="1:11" s="66" customFormat="1" ht="14.25" customHeight="1">
      <c r="A715" s="239" t="s">
        <v>1384</v>
      </c>
      <c r="B715" s="190">
        <v>2501</v>
      </c>
      <c r="C715" s="195" t="s">
        <v>1225</v>
      </c>
      <c r="D715" s="195" t="s">
        <v>2640</v>
      </c>
      <c r="E715" s="194" t="s">
        <v>2314</v>
      </c>
      <c r="F715" s="236" t="s">
        <v>1888</v>
      </c>
      <c r="G715" s="195" t="s">
        <v>2588</v>
      </c>
      <c r="H715" s="128" t="s">
        <v>2094</v>
      </c>
      <c r="I715" s="121" t="s">
        <v>1888</v>
      </c>
      <c r="J715" s="142">
        <v>44136</v>
      </c>
      <c r="K715" s="22" t="s">
        <v>3246</v>
      </c>
    </row>
    <row r="716" spans="1:11" s="66" customFormat="1" ht="14.25" customHeight="1">
      <c r="A716" s="239" t="s">
        <v>2917</v>
      </c>
      <c r="B716" s="190">
        <v>2943</v>
      </c>
      <c r="C716" s="195" t="s">
        <v>2610</v>
      </c>
      <c r="D716" s="195" t="s">
        <v>2640</v>
      </c>
      <c r="E716" s="194" t="s">
        <v>2315</v>
      </c>
      <c r="F716" s="236" t="s">
        <v>2544</v>
      </c>
      <c r="G716" s="195" t="s">
        <v>2588</v>
      </c>
      <c r="H716" s="128" t="s">
        <v>2094</v>
      </c>
      <c r="I716" s="121" t="s">
        <v>2544</v>
      </c>
      <c r="J716" s="142">
        <v>44136</v>
      </c>
      <c r="K716" s="22" t="s">
        <v>3246</v>
      </c>
    </row>
    <row r="717" spans="1:11" s="66" customFormat="1" ht="14.25" customHeight="1">
      <c r="A717" s="239" t="s">
        <v>2925</v>
      </c>
      <c r="B717" s="190">
        <v>2946</v>
      </c>
      <c r="C717" s="195" t="s">
        <v>2610</v>
      </c>
      <c r="D717" s="195" t="s">
        <v>2640</v>
      </c>
      <c r="E717" s="194" t="s">
        <v>2094</v>
      </c>
      <c r="F717" s="236" t="s">
        <v>1888</v>
      </c>
      <c r="G717" s="195" t="s">
        <v>2588</v>
      </c>
      <c r="H717" s="128" t="s">
        <v>2094</v>
      </c>
      <c r="I717" s="121" t="s">
        <v>1888</v>
      </c>
      <c r="J717" s="142">
        <v>44136</v>
      </c>
      <c r="K717" s="22" t="s">
        <v>3246</v>
      </c>
    </row>
    <row r="718" spans="1:11" s="66" customFormat="1" ht="14.25" customHeight="1">
      <c r="A718" s="239" t="s">
        <v>2923</v>
      </c>
      <c r="B718" s="190">
        <v>3064</v>
      </c>
      <c r="C718" s="195" t="s">
        <v>2610</v>
      </c>
      <c r="D718" s="195" t="s">
        <v>2640</v>
      </c>
      <c r="E718" s="194" t="s">
        <v>2094</v>
      </c>
      <c r="F718" s="236" t="s">
        <v>1894</v>
      </c>
      <c r="G718" s="195" t="s">
        <v>2588</v>
      </c>
      <c r="H718" s="128" t="s">
        <v>2094</v>
      </c>
      <c r="I718" s="121" t="s">
        <v>1894</v>
      </c>
      <c r="J718" s="142">
        <v>44136</v>
      </c>
      <c r="K718" s="22" t="s">
        <v>3246</v>
      </c>
    </row>
    <row r="719" spans="1:11" s="66" customFormat="1" ht="14.25" customHeight="1">
      <c r="A719" s="239" t="s">
        <v>2911</v>
      </c>
      <c r="B719" s="190">
        <v>3066</v>
      </c>
      <c r="C719" s="195" t="s">
        <v>2180</v>
      </c>
      <c r="D719" s="195" t="s">
        <v>2640</v>
      </c>
      <c r="E719" s="194" t="s">
        <v>2316</v>
      </c>
      <c r="F719" s="236" t="s">
        <v>1894</v>
      </c>
      <c r="G719" s="195" t="s">
        <v>2588</v>
      </c>
      <c r="H719" s="128" t="s">
        <v>2094</v>
      </c>
      <c r="I719" s="121" t="s">
        <v>1894</v>
      </c>
      <c r="J719" s="142">
        <v>44136</v>
      </c>
      <c r="K719" s="22" t="s">
        <v>3246</v>
      </c>
    </row>
    <row r="720" spans="1:11" s="66" customFormat="1" ht="14.25" customHeight="1">
      <c r="A720" s="239" t="s">
        <v>3068</v>
      </c>
      <c r="B720" s="190">
        <v>3195</v>
      </c>
      <c r="C720" s="195" t="s">
        <v>1224</v>
      </c>
      <c r="D720" s="195" t="s">
        <v>2640</v>
      </c>
      <c r="E720" s="194" t="s">
        <v>2094</v>
      </c>
      <c r="F720" s="236" t="s">
        <v>2544</v>
      </c>
      <c r="G720" s="195" t="s">
        <v>2588</v>
      </c>
      <c r="H720" s="128" t="s">
        <v>2094</v>
      </c>
      <c r="I720" s="121" t="s">
        <v>2544</v>
      </c>
      <c r="J720" s="142">
        <v>44136</v>
      </c>
      <c r="K720" s="22" t="s">
        <v>3246</v>
      </c>
    </row>
    <row r="721" spans="1:11" s="66" customFormat="1" ht="14.25" customHeight="1">
      <c r="A721" s="239" t="s">
        <v>2930</v>
      </c>
      <c r="B721" s="190">
        <v>3212</v>
      </c>
      <c r="C721" s="195" t="s">
        <v>1224</v>
      </c>
      <c r="D721" s="195" t="s">
        <v>2640</v>
      </c>
      <c r="E721" s="194" t="s">
        <v>2094</v>
      </c>
      <c r="F721" s="236" t="s">
        <v>2777</v>
      </c>
      <c r="G721" s="195" t="s">
        <v>2588</v>
      </c>
      <c r="H721" s="128" t="s">
        <v>2094</v>
      </c>
      <c r="I721" s="121" t="s">
        <v>2777</v>
      </c>
      <c r="J721" s="142">
        <v>44136</v>
      </c>
      <c r="K721" s="22" t="s">
        <v>3246</v>
      </c>
    </row>
    <row r="722" spans="1:11" s="66" customFormat="1" ht="14.25" customHeight="1">
      <c r="A722" s="239" t="s">
        <v>3065</v>
      </c>
      <c r="B722" s="190">
        <v>3244</v>
      </c>
      <c r="C722" s="195" t="s">
        <v>1224</v>
      </c>
      <c r="D722" s="195" t="s">
        <v>2640</v>
      </c>
      <c r="E722" s="194" t="s">
        <v>2759</v>
      </c>
      <c r="F722" s="236" t="s">
        <v>2777</v>
      </c>
      <c r="G722" s="195" t="s">
        <v>2588</v>
      </c>
      <c r="H722" s="128" t="s">
        <v>2094</v>
      </c>
      <c r="I722" s="121" t="s">
        <v>2777</v>
      </c>
      <c r="J722" s="142">
        <v>44136</v>
      </c>
      <c r="K722" s="22" t="s">
        <v>3246</v>
      </c>
    </row>
    <row r="723" spans="1:11" s="66" customFormat="1" ht="14.25" customHeight="1">
      <c r="A723" s="239" t="s">
        <v>1898</v>
      </c>
      <c r="B723" s="190">
        <v>123</v>
      </c>
      <c r="C723" s="195" t="s">
        <v>2127</v>
      </c>
      <c r="D723" s="195" t="s">
        <v>2640</v>
      </c>
      <c r="E723" s="194" t="s">
        <v>741</v>
      </c>
      <c r="F723" s="236" t="s">
        <v>1938</v>
      </c>
      <c r="G723" s="195" t="s">
        <v>2588</v>
      </c>
      <c r="H723" s="128" t="s">
        <v>2315</v>
      </c>
      <c r="I723" s="121" t="s">
        <v>1938</v>
      </c>
      <c r="J723" s="142">
        <v>44136</v>
      </c>
      <c r="K723" s="22" t="s">
        <v>3246</v>
      </c>
    </row>
    <row r="724" spans="1:11" s="66" customFormat="1" ht="14.25" customHeight="1">
      <c r="A724" s="239" t="s">
        <v>3069</v>
      </c>
      <c r="B724" s="190">
        <v>668</v>
      </c>
      <c r="C724" s="195" t="s">
        <v>731</v>
      </c>
      <c r="D724" s="195" t="s">
        <v>2640</v>
      </c>
      <c r="E724" s="194" t="s">
        <v>741</v>
      </c>
      <c r="F724" s="236" t="s">
        <v>1898</v>
      </c>
      <c r="G724" s="195" t="s">
        <v>2588</v>
      </c>
      <c r="H724" s="128" t="s">
        <v>2315</v>
      </c>
      <c r="I724" s="121" t="s">
        <v>1898</v>
      </c>
      <c r="J724" s="142">
        <v>44136</v>
      </c>
      <c r="K724" s="22" t="s">
        <v>3246</v>
      </c>
    </row>
    <row r="725" spans="1:11" s="66" customFormat="1" ht="14.25" customHeight="1">
      <c r="A725" s="239" t="s">
        <v>1373</v>
      </c>
      <c r="B725" s="190">
        <v>1191</v>
      </c>
      <c r="C725" s="195" t="s">
        <v>1224</v>
      </c>
      <c r="D725" s="195" t="s">
        <v>2640</v>
      </c>
      <c r="E725" s="194" t="s">
        <v>741</v>
      </c>
      <c r="F725" s="236" t="s">
        <v>1898</v>
      </c>
      <c r="G725" s="195" t="s">
        <v>2588</v>
      </c>
      <c r="H725" s="128" t="s">
        <v>2315</v>
      </c>
      <c r="I725" s="121" t="s">
        <v>1898</v>
      </c>
      <c r="J725" s="142">
        <v>44136</v>
      </c>
      <c r="K725" s="22" t="s">
        <v>3246</v>
      </c>
    </row>
    <row r="726" spans="1:11" s="66" customFormat="1" ht="14.25" customHeight="1">
      <c r="A726" s="239" t="s">
        <v>2939</v>
      </c>
      <c r="B726" s="190">
        <v>1339</v>
      </c>
      <c r="C726" s="195" t="s">
        <v>1225</v>
      </c>
      <c r="D726" s="195" t="s">
        <v>2640</v>
      </c>
      <c r="E726" s="194" t="s">
        <v>741</v>
      </c>
      <c r="F726" s="236" t="s">
        <v>1898</v>
      </c>
      <c r="G726" s="195" t="s">
        <v>2588</v>
      </c>
      <c r="H726" s="128" t="s">
        <v>2315</v>
      </c>
      <c r="I726" s="121" t="s">
        <v>1898</v>
      </c>
      <c r="J726" s="142">
        <v>44136</v>
      </c>
      <c r="K726" s="22" t="s">
        <v>3246</v>
      </c>
    </row>
    <row r="727" spans="1:11" s="66" customFormat="1" ht="14.25" customHeight="1">
      <c r="A727" s="239" t="s">
        <v>3070</v>
      </c>
      <c r="B727" s="190">
        <v>1791</v>
      </c>
      <c r="C727" s="195" t="s">
        <v>1225</v>
      </c>
      <c r="D727" s="195" t="s">
        <v>2640</v>
      </c>
      <c r="E727" s="194" t="s">
        <v>741</v>
      </c>
      <c r="F727" s="236" t="s">
        <v>1898</v>
      </c>
      <c r="G727" s="195" t="s">
        <v>2588</v>
      </c>
      <c r="H727" s="128" t="s">
        <v>2315</v>
      </c>
      <c r="I727" s="121" t="s">
        <v>1898</v>
      </c>
      <c r="J727" s="142">
        <v>44136</v>
      </c>
      <c r="K727" s="22" t="s">
        <v>3246</v>
      </c>
    </row>
    <row r="728" spans="1:11" s="66" customFormat="1" ht="14.25" customHeight="1">
      <c r="A728" s="239" t="s">
        <v>2187</v>
      </c>
      <c r="B728" s="190">
        <v>1970</v>
      </c>
      <c r="C728" s="195" t="s">
        <v>1225</v>
      </c>
      <c r="D728" s="195" t="s">
        <v>2640</v>
      </c>
      <c r="E728" s="194" t="s">
        <v>741</v>
      </c>
      <c r="F728" s="236" t="s">
        <v>1898</v>
      </c>
      <c r="G728" s="195" t="s">
        <v>2588</v>
      </c>
      <c r="H728" s="128" t="s">
        <v>2315</v>
      </c>
      <c r="I728" s="121" t="s">
        <v>1898</v>
      </c>
      <c r="J728" s="142">
        <v>44136</v>
      </c>
      <c r="K728" s="22" t="s">
        <v>3246</v>
      </c>
    </row>
    <row r="729" spans="1:11" s="66" customFormat="1" ht="14.25" customHeight="1">
      <c r="A729" s="239" t="s">
        <v>1945</v>
      </c>
      <c r="B729" s="190">
        <v>2487</v>
      </c>
      <c r="C729" s="195" t="s">
        <v>2610</v>
      </c>
      <c r="D729" s="195" t="s">
        <v>2640</v>
      </c>
      <c r="E729" s="194" t="s">
        <v>741</v>
      </c>
      <c r="F729" s="236" t="s">
        <v>1898</v>
      </c>
      <c r="G729" s="195" t="s">
        <v>2588</v>
      </c>
      <c r="H729" s="128" t="s">
        <v>2315</v>
      </c>
      <c r="I729" s="121" t="s">
        <v>1898</v>
      </c>
      <c r="J729" s="142">
        <v>44136</v>
      </c>
      <c r="K729" s="22" t="s">
        <v>3246</v>
      </c>
    </row>
    <row r="730" spans="1:11" s="66" customFormat="1" ht="14.25" customHeight="1">
      <c r="A730" s="239" t="s">
        <v>2938</v>
      </c>
      <c r="B730" s="190">
        <v>3153</v>
      </c>
      <c r="C730" s="195" t="s">
        <v>2180</v>
      </c>
      <c r="D730" s="195" t="s">
        <v>2640</v>
      </c>
      <c r="E730" s="194" t="s">
        <v>741</v>
      </c>
      <c r="F730" s="236" t="s">
        <v>1898</v>
      </c>
      <c r="G730" s="195" t="s">
        <v>2588</v>
      </c>
      <c r="H730" s="128" t="s">
        <v>2315</v>
      </c>
      <c r="I730" s="121" t="s">
        <v>1898</v>
      </c>
      <c r="J730" s="142">
        <v>44136</v>
      </c>
      <c r="K730" s="22" t="s">
        <v>3246</v>
      </c>
    </row>
    <row r="731" spans="1:11" s="66" customFormat="1" ht="14.25" customHeight="1">
      <c r="A731" s="239" t="s">
        <v>1891</v>
      </c>
      <c r="B731" s="190">
        <v>82</v>
      </c>
      <c r="C731" s="195" t="s">
        <v>2127</v>
      </c>
      <c r="D731" s="195" t="s">
        <v>2640</v>
      </c>
      <c r="E731" s="194" t="s">
        <v>480</v>
      </c>
      <c r="F731" s="236" t="s">
        <v>1938</v>
      </c>
      <c r="G731" s="195" t="s">
        <v>2588</v>
      </c>
      <c r="H731" s="128" t="s">
        <v>2317</v>
      </c>
      <c r="I731" s="121" t="s">
        <v>1938</v>
      </c>
      <c r="J731" s="142">
        <v>44136</v>
      </c>
      <c r="K731" s="22" t="s">
        <v>3246</v>
      </c>
    </row>
    <row r="732" spans="1:11" s="66" customFormat="1" ht="14.25" customHeight="1">
      <c r="A732" s="239" t="s">
        <v>3071</v>
      </c>
      <c r="B732" s="190">
        <v>121</v>
      </c>
      <c r="C732" s="195" t="s">
        <v>1586</v>
      </c>
      <c r="D732" s="195" t="s">
        <v>2640</v>
      </c>
      <c r="E732" s="194" t="s">
        <v>480</v>
      </c>
      <c r="F732" s="236" t="s">
        <v>1891</v>
      </c>
      <c r="G732" s="195" t="s">
        <v>2588</v>
      </c>
      <c r="H732" s="128" t="s">
        <v>2317</v>
      </c>
      <c r="I732" s="121" t="s">
        <v>1891</v>
      </c>
      <c r="J732" s="142">
        <v>44136</v>
      </c>
      <c r="K732" s="22" t="s">
        <v>3246</v>
      </c>
    </row>
    <row r="733" spans="1:11" s="66" customFormat="1" ht="14.25" customHeight="1">
      <c r="A733" s="239" t="s">
        <v>1371</v>
      </c>
      <c r="B733" s="190">
        <v>210</v>
      </c>
      <c r="C733" s="195" t="s">
        <v>1225</v>
      </c>
      <c r="D733" s="195" t="s">
        <v>2640</v>
      </c>
      <c r="E733" s="194" t="s">
        <v>480</v>
      </c>
      <c r="F733" s="236" t="s">
        <v>1891</v>
      </c>
      <c r="G733" s="195" t="s">
        <v>2588</v>
      </c>
      <c r="H733" s="128" t="s">
        <v>2317</v>
      </c>
      <c r="I733" s="121" t="s">
        <v>1891</v>
      </c>
      <c r="J733" s="142">
        <v>44136</v>
      </c>
      <c r="K733" s="22" t="s">
        <v>3246</v>
      </c>
    </row>
    <row r="734" spans="1:11" s="66" customFormat="1" ht="14.25" customHeight="1">
      <c r="A734" s="239" t="s">
        <v>2940</v>
      </c>
      <c r="B734" s="190">
        <v>684</v>
      </c>
      <c r="C734" s="195" t="s">
        <v>731</v>
      </c>
      <c r="D734" s="195" t="s">
        <v>2640</v>
      </c>
      <c r="E734" s="194" t="s">
        <v>480</v>
      </c>
      <c r="F734" s="236" t="s">
        <v>1891</v>
      </c>
      <c r="G734" s="195" t="s">
        <v>2588</v>
      </c>
      <c r="H734" s="128" t="s">
        <v>2317</v>
      </c>
      <c r="I734" s="121" t="s">
        <v>1891</v>
      </c>
      <c r="J734" s="142">
        <v>44136</v>
      </c>
      <c r="K734" s="22" t="s">
        <v>3246</v>
      </c>
    </row>
    <row r="735" spans="1:11" s="66" customFormat="1" ht="14.25" customHeight="1">
      <c r="A735" s="239" t="s">
        <v>3072</v>
      </c>
      <c r="B735" s="190">
        <v>888</v>
      </c>
      <c r="C735" s="195" t="s">
        <v>1225</v>
      </c>
      <c r="D735" s="195" t="s">
        <v>2640</v>
      </c>
      <c r="E735" s="194" t="s">
        <v>480</v>
      </c>
      <c r="F735" s="236" t="s">
        <v>1891</v>
      </c>
      <c r="G735" s="195" t="s">
        <v>2588</v>
      </c>
      <c r="H735" s="128" t="s">
        <v>2317</v>
      </c>
      <c r="I735" s="121" t="s">
        <v>1891</v>
      </c>
      <c r="J735" s="142">
        <v>44136</v>
      </c>
      <c r="K735" s="22" t="s">
        <v>3246</v>
      </c>
    </row>
    <row r="736" spans="1:11" s="66" customFormat="1" ht="14.25" customHeight="1">
      <c r="A736" s="239" t="s">
        <v>3073</v>
      </c>
      <c r="B736" s="190">
        <v>1563</v>
      </c>
      <c r="C736" s="195" t="s">
        <v>2610</v>
      </c>
      <c r="D736" s="195" t="s">
        <v>2640</v>
      </c>
      <c r="E736" s="194" t="s">
        <v>480</v>
      </c>
      <c r="F736" s="236" t="s">
        <v>1891</v>
      </c>
      <c r="G736" s="195" t="s">
        <v>2588</v>
      </c>
      <c r="H736" s="128" t="s">
        <v>2317</v>
      </c>
      <c r="I736" s="121" t="s">
        <v>1891</v>
      </c>
      <c r="J736" s="142">
        <v>44136</v>
      </c>
      <c r="K736" s="22" t="s">
        <v>3246</v>
      </c>
    </row>
    <row r="737" spans="1:11" s="66" customFormat="1" ht="14.25" customHeight="1">
      <c r="A737" s="239" t="s">
        <v>2376</v>
      </c>
      <c r="B737" s="190">
        <v>3009</v>
      </c>
      <c r="C737" s="195" t="s">
        <v>2180</v>
      </c>
      <c r="D737" s="195" t="s">
        <v>2640</v>
      </c>
      <c r="E737" s="194" t="s">
        <v>480</v>
      </c>
      <c r="F737" s="236" t="s">
        <v>1891</v>
      </c>
      <c r="G737" s="195" t="s">
        <v>2588</v>
      </c>
      <c r="H737" s="128" t="s">
        <v>2317</v>
      </c>
      <c r="I737" s="121" t="s">
        <v>1891</v>
      </c>
      <c r="J737" s="142">
        <v>44136</v>
      </c>
      <c r="K737" s="22" t="s">
        <v>3246</v>
      </c>
    </row>
    <row r="738" spans="1:11" s="66" customFormat="1" ht="14.25" customHeight="1">
      <c r="A738" s="239" t="s">
        <v>2937</v>
      </c>
      <c r="B738" s="190">
        <v>3059</v>
      </c>
      <c r="C738" s="195" t="s">
        <v>1224</v>
      </c>
      <c r="D738" s="195" t="s">
        <v>2640</v>
      </c>
      <c r="E738" s="194" t="s">
        <v>740</v>
      </c>
      <c r="F738" s="236" t="s">
        <v>1897</v>
      </c>
      <c r="G738" s="195" t="s">
        <v>2588</v>
      </c>
      <c r="H738" s="128" t="s">
        <v>2317</v>
      </c>
      <c r="I738" s="121" t="s">
        <v>1891</v>
      </c>
      <c r="J738" s="142">
        <v>44136</v>
      </c>
      <c r="K738" s="22" t="s">
        <v>3246</v>
      </c>
    </row>
    <row r="739" spans="1:11" s="66" customFormat="1" ht="14.25" customHeight="1">
      <c r="A739" s="239" t="s">
        <v>2942</v>
      </c>
      <c r="B739" s="190">
        <v>3063</v>
      </c>
      <c r="C739" s="195" t="s">
        <v>2180</v>
      </c>
      <c r="D739" s="195" t="s">
        <v>2640</v>
      </c>
      <c r="E739" s="194" t="s">
        <v>480</v>
      </c>
      <c r="F739" s="236" t="s">
        <v>1891</v>
      </c>
      <c r="G739" s="195" t="s">
        <v>2588</v>
      </c>
      <c r="H739" s="128" t="s">
        <v>2317</v>
      </c>
      <c r="I739" s="121" t="s">
        <v>1891</v>
      </c>
      <c r="J739" s="142">
        <v>44136</v>
      </c>
      <c r="K739" s="22" t="s">
        <v>3246</v>
      </c>
    </row>
    <row r="740" spans="1:11" s="66" customFormat="1" ht="14.25" customHeight="1">
      <c r="A740" s="239" t="s">
        <v>2941</v>
      </c>
      <c r="B740" s="190">
        <v>1167</v>
      </c>
      <c r="C740" s="195" t="s">
        <v>1225</v>
      </c>
      <c r="D740" s="195" t="s">
        <v>2640</v>
      </c>
      <c r="E740" s="194" t="s">
        <v>480</v>
      </c>
      <c r="F740" s="236" t="s">
        <v>1891</v>
      </c>
      <c r="G740" s="195" t="s">
        <v>2588</v>
      </c>
      <c r="H740" s="128" t="s">
        <v>2317</v>
      </c>
      <c r="I740" s="121" t="s">
        <v>1891</v>
      </c>
      <c r="J740" s="105">
        <v>44136</v>
      </c>
      <c r="K740" s="22" t="s">
        <v>3246</v>
      </c>
    </row>
    <row r="741" spans="1:11" s="66" customFormat="1" ht="14.25" customHeight="1">
      <c r="A741" s="239" t="s">
        <v>3153</v>
      </c>
      <c r="B741" s="190">
        <v>3095</v>
      </c>
      <c r="C741" s="195" t="s">
        <v>2128</v>
      </c>
      <c r="D741" s="195" t="s">
        <v>1433</v>
      </c>
      <c r="E741" s="194" t="s">
        <v>549</v>
      </c>
      <c r="F741" s="236" t="s">
        <v>1947</v>
      </c>
      <c r="G741" s="195" t="s">
        <v>2588</v>
      </c>
      <c r="H741" s="128" t="s">
        <v>1180</v>
      </c>
      <c r="I741" s="121" t="s">
        <v>1947</v>
      </c>
      <c r="J741" s="105">
        <v>44136</v>
      </c>
      <c r="K741" s="30" t="s">
        <v>3246</v>
      </c>
    </row>
    <row r="742" spans="1:11" s="66" customFormat="1" ht="14.25" customHeight="1">
      <c r="A742" s="239" t="s">
        <v>1573</v>
      </c>
      <c r="B742" s="190">
        <v>131</v>
      </c>
      <c r="C742" s="195" t="s">
        <v>1320</v>
      </c>
      <c r="D742" s="195" t="s">
        <v>450</v>
      </c>
      <c r="E742" s="194" t="s">
        <v>2012</v>
      </c>
      <c r="F742" s="236" t="s">
        <v>2793</v>
      </c>
      <c r="G742" s="195" t="s">
        <v>2588</v>
      </c>
      <c r="H742" s="128" t="s">
        <v>1991</v>
      </c>
      <c r="I742" s="121" t="s">
        <v>1564</v>
      </c>
      <c r="J742" s="142">
        <v>44136</v>
      </c>
      <c r="K742" s="22" t="s">
        <v>3246</v>
      </c>
    </row>
    <row r="743" spans="1:11" s="66" customFormat="1" ht="14.25" customHeight="1">
      <c r="A743" s="239" t="s">
        <v>3105</v>
      </c>
      <c r="B743" s="190">
        <v>204</v>
      </c>
      <c r="C743" s="195" t="s">
        <v>1585</v>
      </c>
      <c r="D743" s="195" t="s">
        <v>1044</v>
      </c>
      <c r="E743" s="194" t="s">
        <v>595</v>
      </c>
      <c r="F743" s="236" t="s">
        <v>1906</v>
      </c>
      <c r="G743" s="195" t="s">
        <v>2588</v>
      </c>
      <c r="H743" s="128" t="s">
        <v>1264</v>
      </c>
      <c r="I743" s="121" t="s">
        <v>1921</v>
      </c>
      <c r="J743" s="142">
        <v>44136</v>
      </c>
      <c r="K743" s="22" t="s">
        <v>3246</v>
      </c>
    </row>
    <row r="744" spans="1:11" s="66" customFormat="1" ht="14.25" customHeight="1">
      <c r="A744" s="239" t="s">
        <v>3091</v>
      </c>
      <c r="B744" s="190">
        <v>1116</v>
      </c>
      <c r="C744" s="195" t="s">
        <v>451</v>
      </c>
      <c r="D744" s="195" t="s">
        <v>1044</v>
      </c>
      <c r="E744" s="194" t="s">
        <v>772</v>
      </c>
      <c r="F744" s="236" t="s">
        <v>1389</v>
      </c>
      <c r="G744" s="195" t="s">
        <v>2588</v>
      </c>
      <c r="H744" s="128" t="s">
        <v>597</v>
      </c>
      <c r="I744" s="121" t="s">
        <v>1902</v>
      </c>
      <c r="J744" s="142">
        <v>44136</v>
      </c>
      <c r="K744" s="22" t="s">
        <v>3246</v>
      </c>
    </row>
    <row r="745" spans="1:11" s="66" customFormat="1" ht="14.25" customHeight="1">
      <c r="A745" s="239" t="s">
        <v>3053</v>
      </c>
      <c r="B745" s="190">
        <v>1240</v>
      </c>
      <c r="C745" s="195" t="s">
        <v>1339</v>
      </c>
      <c r="D745" s="195" t="s">
        <v>1044</v>
      </c>
      <c r="E745" s="194" t="s">
        <v>772</v>
      </c>
      <c r="F745" s="236" t="s">
        <v>1389</v>
      </c>
      <c r="G745" s="195" t="s">
        <v>2588</v>
      </c>
      <c r="H745" s="128" t="s">
        <v>1999</v>
      </c>
      <c r="I745" s="121" t="s">
        <v>1584</v>
      </c>
      <c r="J745" s="142">
        <v>44136</v>
      </c>
      <c r="K745" s="22" t="s">
        <v>3246</v>
      </c>
    </row>
    <row r="746" spans="1:11" s="66" customFormat="1" ht="14.25" customHeight="1">
      <c r="A746" s="239" t="s">
        <v>2872</v>
      </c>
      <c r="B746" s="190">
        <v>1454</v>
      </c>
      <c r="C746" s="195" t="s">
        <v>223</v>
      </c>
      <c r="D746" s="195" t="s">
        <v>1044</v>
      </c>
      <c r="E746" s="194" t="s">
        <v>238</v>
      </c>
      <c r="F746" s="236" t="s">
        <v>1584</v>
      </c>
      <c r="G746" s="195" t="s">
        <v>2588</v>
      </c>
      <c r="H746" s="128" t="s">
        <v>772</v>
      </c>
      <c r="I746" s="121" t="s">
        <v>1389</v>
      </c>
      <c r="J746" s="105">
        <v>44136</v>
      </c>
      <c r="K746" s="30" t="s">
        <v>3246</v>
      </c>
    </row>
    <row r="747" spans="1:11" s="66" customFormat="1" ht="14.25" customHeight="1">
      <c r="A747" s="239" t="s">
        <v>3092</v>
      </c>
      <c r="B747" s="190">
        <v>1770</v>
      </c>
      <c r="C747" s="195" t="s">
        <v>223</v>
      </c>
      <c r="D747" s="195" t="s">
        <v>1044</v>
      </c>
      <c r="E747" s="194" t="s">
        <v>597</v>
      </c>
      <c r="F747" s="236" t="s">
        <v>1902</v>
      </c>
      <c r="G747" s="195" t="s">
        <v>2588</v>
      </c>
      <c r="H747" s="128" t="s">
        <v>772</v>
      </c>
      <c r="I747" s="121" t="s">
        <v>1389</v>
      </c>
      <c r="J747" s="142">
        <v>44136</v>
      </c>
      <c r="K747" s="22" t="s">
        <v>3246</v>
      </c>
    </row>
    <row r="748" spans="1:11" s="66" customFormat="1" ht="14.25" customHeight="1">
      <c r="A748" s="239" t="s">
        <v>2881</v>
      </c>
      <c r="B748" s="190">
        <v>974</v>
      </c>
      <c r="C748" s="195" t="s">
        <v>223</v>
      </c>
      <c r="D748" s="195" t="s">
        <v>1324</v>
      </c>
      <c r="E748" s="194" t="s">
        <v>601</v>
      </c>
      <c r="F748" s="236" t="s">
        <v>2064</v>
      </c>
      <c r="G748" s="195" t="s">
        <v>2588</v>
      </c>
      <c r="H748" s="128" t="s">
        <v>1999</v>
      </c>
      <c r="I748" s="121" t="s">
        <v>1584</v>
      </c>
      <c r="J748" s="142">
        <v>44136</v>
      </c>
      <c r="K748" s="22" t="s">
        <v>3246</v>
      </c>
    </row>
    <row r="749" spans="1:11" s="66" customFormat="1" ht="14.25" customHeight="1">
      <c r="A749" s="239" t="s">
        <v>3086</v>
      </c>
      <c r="B749" s="190">
        <v>325</v>
      </c>
      <c r="C749" s="195" t="s">
        <v>1585</v>
      </c>
      <c r="D749" s="195" t="s">
        <v>450</v>
      </c>
      <c r="E749" s="194" t="s">
        <v>514</v>
      </c>
      <c r="F749" s="236" t="s">
        <v>2472</v>
      </c>
      <c r="G749" s="195" t="s">
        <v>2588</v>
      </c>
      <c r="H749" s="128" t="s">
        <v>517</v>
      </c>
      <c r="I749" s="121" t="s">
        <v>2793</v>
      </c>
      <c r="J749" s="142">
        <v>44136</v>
      </c>
      <c r="K749" s="22" t="s">
        <v>3246</v>
      </c>
    </row>
    <row r="750" spans="1:11" s="66" customFormat="1" ht="14.25" customHeight="1">
      <c r="A750" s="239" t="s">
        <v>1931</v>
      </c>
      <c r="B750" s="190">
        <v>1050</v>
      </c>
      <c r="C750" s="195" t="s">
        <v>223</v>
      </c>
      <c r="D750" s="195" t="s">
        <v>450</v>
      </c>
      <c r="E750" s="194" t="s">
        <v>2979</v>
      </c>
      <c r="F750" s="236" t="s">
        <v>2793</v>
      </c>
      <c r="G750" s="195" t="s">
        <v>2588</v>
      </c>
      <c r="H750" s="128" t="s">
        <v>514</v>
      </c>
      <c r="I750" s="121" t="s">
        <v>2472</v>
      </c>
      <c r="J750" s="142">
        <v>44136</v>
      </c>
      <c r="K750" s="30" t="s">
        <v>3246</v>
      </c>
    </row>
    <row r="751" spans="1:11" s="66" customFormat="1" ht="14.25" customHeight="1">
      <c r="A751" s="239" t="s">
        <v>3093</v>
      </c>
      <c r="B751" s="190">
        <v>1344</v>
      </c>
      <c r="C751" s="195" t="s">
        <v>451</v>
      </c>
      <c r="D751" s="195" t="s">
        <v>450</v>
      </c>
      <c r="E751" s="194" t="s">
        <v>1200</v>
      </c>
      <c r="F751" s="236" t="s">
        <v>1574</v>
      </c>
      <c r="G751" s="195" t="s">
        <v>2588</v>
      </c>
      <c r="H751" s="128" t="s">
        <v>517</v>
      </c>
      <c r="I751" s="121" t="s">
        <v>3086</v>
      </c>
      <c r="J751" s="142">
        <v>44136</v>
      </c>
      <c r="K751" s="22" t="s">
        <v>3246</v>
      </c>
    </row>
    <row r="752" spans="1:11" s="66" customFormat="1" ht="14.25" customHeight="1">
      <c r="A752" s="239" t="s">
        <v>3094</v>
      </c>
      <c r="B752" s="190">
        <v>1544</v>
      </c>
      <c r="C752" s="195" t="s">
        <v>223</v>
      </c>
      <c r="D752" s="195" t="s">
        <v>450</v>
      </c>
      <c r="E752" s="194" t="s">
        <v>1200</v>
      </c>
      <c r="F752" s="236" t="s">
        <v>2472</v>
      </c>
      <c r="G752" s="195" t="s">
        <v>2588</v>
      </c>
      <c r="H752" s="128" t="s">
        <v>514</v>
      </c>
      <c r="I752" s="121" t="s">
        <v>2472</v>
      </c>
      <c r="J752" s="142">
        <v>44136</v>
      </c>
      <c r="K752" s="22" t="s">
        <v>3246</v>
      </c>
    </row>
    <row r="753" spans="1:11" s="66" customFormat="1" ht="14.25" customHeight="1">
      <c r="A753" s="239" t="s">
        <v>3060</v>
      </c>
      <c r="B753" s="190">
        <v>70610</v>
      </c>
      <c r="C753" s="195" t="s">
        <v>643</v>
      </c>
      <c r="D753" s="195" t="s">
        <v>450</v>
      </c>
      <c r="E753" s="194" t="s">
        <v>515</v>
      </c>
      <c r="F753" s="236" t="s">
        <v>1574</v>
      </c>
      <c r="G753" s="195" t="s">
        <v>2588</v>
      </c>
      <c r="H753" s="128" t="s">
        <v>1062</v>
      </c>
      <c r="I753" s="121" t="s">
        <v>1560</v>
      </c>
      <c r="J753" s="142">
        <v>44136</v>
      </c>
      <c r="K753" s="22" t="s">
        <v>3246</v>
      </c>
    </row>
    <row r="754" spans="1:11" s="66" customFormat="1" ht="14.25" customHeight="1">
      <c r="A754" s="239" t="s">
        <v>3088</v>
      </c>
      <c r="B754" s="190">
        <v>64577</v>
      </c>
      <c r="C754" s="195" t="s">
        <v>643</v>
      </c>
      <c r="D754" s="195" t="s">
        <v>2283</v>
      </c>
      <c r="E754" s="194" t="s">
        <v>2069</v>
      </c>
      <c r="F754" s="236" t="s">
        <v>528</v>
      </c>
      <c r="G754" s="195" t="s">
        <v>2588</v>
      </c>
      <c r="H754" s="128" t="s">
        <v>2450</v>
      </c>
      <c r="I754" s="121" t="s">
        <v>3087</v>
      </c>
      <c r="J754" s="142">
        <v>44136</v>
      </c>
      <c r="K754" s="22" t="s">
        <v>3246</v>
      </c>
    </row>
    <row r="755" spans="1:11" s="66" customFormat="1" ht="14.25" customHeight="1">
      <c r="A755" s="239" t="s">
        <v>3121</v>
      </c>
      <c r="B755" s="190">
        <v>915</v>
      </c>
      <c r="C755" s="195" t="s">
        <v>223</v>
      </c>
      <c r="D755" s="195" t="s">
        <v>2014</v>
      </c>
      <c r="E755" s="194" t="s">
        <v>1262</v>
      </c>
      <c r="F755" s="236" t="s">
        <v>1383</v>
      </c>
      <c r="G755" s="195" t="s">
        <v>2588</v>
      </c>
      <c r="H755" s="128" t="s">
        <v>1452</v>
      </c>
      <c r="I755" s="121" t="s">
        <v>1386</v>
      </c>
      <c r="J755" s="105">
        <v>44136</v>
      </c>
      <c r="K755" s="30" t="s">
        <v>3246</v>
      </c>
    </row>
    <row r="756" spans="1:11" s="66" customFormat="1" ht="14.25" customHeight="1">
      <c r="A756" s="239" t="s">
        <v>3134</v>
      </c>
      <c r="B756" s="190">
        <v>1904</v>
      </c>
      <c r="C756" s="195" t="s">
        <v>2287</v>
      </c>
      <c r="D756" s="195" t="s">
        <v>173</v>
      </c>
      <c r="E756" s="194" t="s">
        <v>2061</v>
      </c>
      <c r="F756" s="236" t="s">
        <v>1925</v>
      </c>
      <c r="G756" s="195" t="s">
        <v>2588</v>
      </c>
      <c r="H756" s="128" t="s">
        <v>2703</v>
      </c>
      <c r="I756" s="121" t="s">
        <v>1936</v>
      </c>
      <c r="J756" s="142">
        <v>44136</v>
      </c>
      <c r="K756" s="22" t="s">
        <v>3246</v>
      </c>
    </row>
    <row r="757" spans="1:11" s="66" customFormat="1" ht="14.25" customHeight="1">
      <c r="A757" s="239" t="s">
        <v>1390</v>
      </c>
      <c r="B757" s="190">
        <v>94</v>
      </c>
      <c r="C757" s="195" t="s">
        <v>1321</v>
      </c>
      <c r="D757" s="195" t="s">
        <v>2588</v>
      </c>
      <c r="E757" s="194" t="s">
        <v>2772</v>
      </c>
      <c r="F757" s="236" t="s">
        <v>2070</v>
      </c>
      <c r="G757" s="195" t="s">
        <v>2588</v>
      </c>
      <c r="H757" s="128" t="s">
        <v>2772</v>
      </c>
      <c r="I757" s="121" t="s">
        <v>2070</v>
      </c>
      <c r="J757" s="142">
        <v>44136</v>
      </c>
      <c r="K757" s="30" t="s">
        <v>3246</v>
      </c>
    </row>
    <row r="758" spans="1:11" s="66" customFormat="1" ht="14.25" customHeight="1">
      <c r="A758" s="239" t="s">
        <v>1396</v>
      </c>
      <c r="B758" s="190">
        <v>107</v>
      </c>
      <c r="C758" s="195" t="s">
        <v>1320</v>
      </c>
      <c r="D758" s="195" t="s">
        <v>1044</v>
      </c>
      <c r="E758" s="194" t="s">
        <v>1264</v>
      </c>
      <c r="F758" s="236" t="s">
        <v>1921</v>
      </c>
      <c r="G758" s="195" t="s">
        <v>2588</v>
      </c>
      <c r="H758" s="128" t="s">
        <v>3000</v>
      </c>
      <c r="I758" s="121" t="s">
        <v>545</v>
      </c>
      <c r="J758" s="142">
        <v>44136</v>
      </c>
      <c r="K758" s="22" t="s">
        <v>3246</v>
      </c>
    </row>
    <row r="759" spans="1:11" s="66" customFormat="1" ht="14.25" customHeight="1">
      <c r="A759" s="239" t="s">
        <v>2913</v>
      </c>
      <c r="B759" s="190">
        <v>368</v>
      </c>
      <c r="C759" s="195" t="s">
        <v>1224</v>
      </c>
      <c r="D759" s="195" t="s">
        <v>2640</v>
      </c>
      <c r="E759" s="194" t="s">
        <v>2316</v>
      </c>
      <c r="F759" s="236" t="s">
        <v>1894</v>
      </c>
      <c r="G759" s="195" t="s">
        <v>2588</v>
      </c>
      <c r="H759" s="128" t="s">
        <v>3061</v>
      </c>
      <c r="I759" s="121" t="s">
        <v>1894</v>
      </c>
      <c r="J759" s="142">
        <v>44136</v>
      </c>
      <c r="K759" s="22" t="s">
        <v>3246</v>
      </c>
    </row>
    <row r="760" spans="1:11" s="66" customFormat="1" ht="14.25" customHeight="1">
      <c r="A760" s="239" t="s">
        <v>2184</v>
      </c>
      <c r="B760" s="190">
        <v>808</v>
      </c>
      <c r="C760" s="195" t="s">
        <v>1225</v>
      </c>
      <c r="D760" s="195" t="s">
        <v>2640</v>
      </c>
      <c r="E760" s="194" t="s">
        <v>2314</v>
      </c>
      <c r="F760" s="236" t="s">
        <v>1888</v>
      </c>
      <c r="G760" s="195" t="s">
        <v>2588</v>
      </c>
      <c r="H760" s="128" t="s">
        <v>3062</v>
      </c>
      <c r="I760" s="121" t="s">
        <v>1888</v>
      </c>
      <c r="J760" s="142">
        <v>44136</v>
      </c>
      <c r="K760" s="22" t="s">
        <v>3246</v>
      </c>
    </row>
    <row r="761" spans="1:11" s="66" customFormat="1" ht="14.25" customHeight="1">
      <c r="A761" s="239" t="s">
        <v>2915</v>
      </c>
      <c r="B761" s="190">
        <v>885</v>
      </c>
      <c r="C761" s="195" t="s">
        <v>1225</v>
      </c>
      <c r="D761" s="195" t="s">
        <v>2640</v>
      </c>
      <c r="E761" s="194" t="s">
        <v>2314</v>
      </c>
      <c r="F761" s="236" t="s">
        <v>1888</v>
      </c>
      <c r="G761" s="195" t="s">
        <v>2588</v>
      </c>
      <c r="H761" s="128" t="s">
        <v>3062</v>
      </c>
      <c r="I761" s="121" t="s">
        <v>1888</v>
      </c>
      <c r="J761" s="142">
        <v>44136</v>
      </c>
      <c r="K761" s="22" t="s">
        <v>3246</v>
      </c>
    </row>
    <row r="762" spans="1:11" s="66" customFormat="1" ht="14.25" customHeight="1">
      <c r="A762" s="239" t="s">
        <v>2920</v>
      </c>
      <c r="B762" s="190">
        <v>932</v>
      </c>
      <c r="C762" s="195" t="s">
        <v>1225</v>
      </c>
      <c r="D762" s="195" t="s">
        <v>2640</v>
      </c>
      <c r="E762" s="194" t="s">
        <v>2317</v>
      </c>
      <c r="F762" s="236" t="s">
        <v>2777</v>
      </c>
      <c r="G762" s="195" t="s">
        <v>2588</v>
      </c>
      <c r="H762" s="128" t="s">
        <v>3064</v>
      </c>
      <c r="I762" s="121" t="s">
        <v>2777</v>
      </c>
      <c r="J762" s="142">
        <v>44136</v>
      </c>
      <c r="K762" s="22" t="s">
        <v>3246</v>
      </c>
    </row>
    <row r="763" spans="1:11" s="66" customFormat="1" ht="14.25" customHeight="1">
      <c r="A763" s="239" t="s">
        <v>1934</v>
      </c>
      <c r="B763" s="190">
        <v>1477</v>
      </c>
      <c r="C763" s="195" t="s">
        <v>1225</v>
      </c>
      <c r="D763" s="195" t="s">
        <v>2640</v>
      </c>
      <c r="E763" s="194" t="s">
        <v>2315</v>
      </c>
      <c r="F763" s="236" t="s">
        <v>2544</v>
      </c>
      <c r="G763" s="195" t="s">
        <v>2588</v>
      </c>
      <c r="H763" s="128" t="s">
        <v>3063</v>
      </c>
      <c r="I763" s="121" t="s">
        <v>2544</v>
      </c>
      <c r="J763" s="142">
        <v>44136</v>
      </c>
      <c r="K763" s="22" t="s">
        <v>3246</v>
      </c>
    </row>
    <row r="764" spans="1:11" s="66" customFormat="1" ht="14.25" customHeight="1">
      <c r="A764" s="239" t="s">
        <v>2912</v>
      </c>
      <c r="B764" s="190">
        <v>1855</v>
      </c>
      <c r="C764" s="195" t="s">
        <v>1225</v>
      </c>
      <c r="D764" s="195" t="s">
        <v>2640</v>
      </c>
      <c r="E764" s="194" t="s">
        <v>2316</v>
      </c>
      <c r="F764" s="236" t="s">
        <v>1894</v>
      </c>
      <c r="G764" s="195" t="s">
        <v>2588</v>
      </c>
      <c r="H764" s="128" t="s">
        <v>3061</v>
      </c>
      <c r="I764" s="121" t="s">
        <v>1894</v>
      </c>
      <c r="J764" s="142">
        <v>44136</v>
      </c>
      <c r="K764" s="22" t="s">
        <v>3246</v>
      </c>
    </row>
    <row r="765" spans="1:11" s="66" customFormat="1" ht="14.25" customHeight="1">
      <c r="A765" s="239" t="s">
        <v>343</v>
      </c>
      <c r="B765" s="190">
        <v>1909</v>
      </c>
      <c r="C765" s="195" t="s">
        <v>1225</v>
      </c>
      <c r="D765" s="195" t="s">
        <v>2640</v>
      </c>
      <c r="E765" s="194" t="s">
        <v>2315</v>
      </c>
      <c r="F765" s="236" t="s">
        <v>2544</v>
      </c>
      <c r="G765" s="195" t="s">
        <v>2588</v>
      </c>
      <c r="H765" s="128" t="s">
        <v>3063</v>
      </c>
      <c r="I765" s="121" t="s">
        <v>2544</v>
      </c>
      <c r="J765" s="142">
        <v>44136</v>
      </c>
      <c r="K765" s="22" t="s">
        <v>3246</v>
      </c>
    </row>
    <row r="766" spans="1:11" s="66" customFormat="1" ht="14.25" customHeight="1">
      <c r="A766" s="239" t="s">
        <v>2921</v>
      </c>
      <c r="B766" s="190">
        <v>2509</v>
      </c>
      <c r="C766" s="195" t="s">
        <v>2610</v>
      </c>
      <c r="D766" s="195" t="s">
        <v>2640</v>
      </c>
      <c r="E766" s="194" t="s">
        <v>2317</v>
      </c>
      <c r="F766" s="236" t="s">
        <v>2777</v>
      </c>
      <c r="G766" s="195" t="s">
        <v>2588</v>
      </c>
      <c r="H766" s="128" t="s">
        <v>3064</v>
      </c>
      <c r="I766" s="121" t="s">
        <v>2777</v>
      </c>
      <c r="J766" s="142">
        <v>44136</v>
      </c>
      <c r="K766" s="22" t="s">
        <v>3246</v>
      </c>
    </row>
    <row r="767" spans="1:11">
      <c r="A767" s="239" t="s">
        <v>2937</v>
      </c>
      <c r="B767" s="190">
        <v>3059</v>
      </c>
      <c r="C767" s="195" t="s">
        <v>1224</v>
      </c>
      <c r="D767" s="195" t="s">
        <v>2640</v>
      </c>
      <c r="E767" s="194" t="s">
        <v>2317</v>
      </c>
      <c r="F767" s="236" t="s">
        <v>1891</v>
      </c>
      <c r="G767" s="195" t="s">
        <v>2588</v>
      </c>
      <c r="H767" s="128" t="s">
        <v>740</v>
      </c>
      <c r="I767" s="121" t="s">
        <v>1897</v>
      </c>
      <c r="J767" s="105">
        <v>44136</v>
      </c>
      <c r="K767" s="22" t="s">
        <v>3246</v>
      </c>
    </row>
    <row r="768" spans="1:11">
      <c r="A768" s="239" t="s">
        <v>1394</v>
      </c>
      <c r="B768" s="190">
        <v>141</v>
      </c>
      <c r="C768" s="195" t="s">
        <v>223</v>
      </c>
      <c r="D768" s="195" t="s">
        <v>1435</v>
      </c>
      <c r="E768" s="194" t="s">
        <v>2729</v>
      </c>
      <c r="F768" s="236" t="s">
        <v>1913</v>
      </c>
      <c r="G768" s="195" t="s">
        <v>2588</v>
      </c>
      <c r="H768" s="128" t="s">
        <v>2728</v>
      </c>
      <c r="I768" s="121" t="s">
        <v>1913</v>
      </c>
      <c r="J768" s="143">
        <v>44137</v>
      </c>
      <c r="K768" s="22" t="s">
        <v>3246</v>
      </c>
    </row>
    <row r="769" spans="1:11">
      <c r="A769" s="239" t="s">
        <v>3244</v>
      </c>
      <c r="B769" s="190">
        <v>70606</v>
      </c>
      <c r="C769" s="195" t="s">
        <v>643</v>
      </c>
      <c r="D769" s="195" t="s">
        <v>2283</v>
      </c>
      <c r="E769" s="194" t="s">
        <v>2073</v>
      </c>
      <c r="F769" s="236" t="s">
        <v>2471</v>
      </c>
      <c r="G769" s="195" t="s">
        <v>2588</v>
      </c>
      <c r="H769" s="128" t="s">
        <v>2323</v>
      </c>
      <c r="I769" s="121" t="s">
        <v>1904</v>
      </c>
      <c r="J769" s="105">
        <v>44137</v>
      </c>
      <c r="K769" s="30" t="s">
        <v>3246</v>
      </c>
    </row>
    <row r="770" spans="1:11">
      <c r="A770" s="239" t="s">
        <v>3067</v>
      </c>
      <c r="B770" s="190">
        <v>965</v>
      </c>
      <c r="C770" s="195" t="s">
        <v>1585</v>
      </c>
      <c r="D770" s="195" t="s">
        <v>2283</v>
      </c>
      <c r="E770" s="194" t="s">
        <v>2073</v>
      </c>
      <c r="F770" s="236" t="s">
        <v>2471</v>
      </c>
      <c r="G770" s="195" t="s">
        <v>2588</v>
      </c>
      <c r="H770" s="128" t="s">
        <v>2797</v>
      </c>
      <c r="I770" s="121" t="s">
        <v>1563</v>
      </c>
      <c r="J770" s="142">
        <v>44137</v>
      </c>
      <c r="K770" s="22" t="s">
        <v>3246</v>
      </c>
    </row>
    <row r="771" spans="1:11">
      <c r="A771" s="239" t="s">
        <v>3074</v>
      </c>
      <c r="B771" s="190">
        <v>457</v>
      </c>
      <c r="C771" s="195" t="s">
        <v>1585</v>
      </c>
      <c r="D771" s="195" t="s">
        <v>2008</v>
      </c>
      <c r="E771" s="194" t="s">
        <v>1991</v>
      </c>
      <c r="F771" s="236" t="s">
        <v>1572</v>
      </c>
      <c r="G771" s="195" t="s">
        <v>2588</v>
      </c>
      <c r="H771" s="128" t="s">
        <v>771</v>
      </c>
      <c r="I771" s="121" t="s">
        <v>1370</v>
      </c>
      <c r="J771" s="143">
        <v>44137</v>
      </c>
      <c r="K771" s="22" t="s">
        <v>3246</v>
      </c>
    </row>
    <row r="772" spans="1:11">
      <c r="A772" s="239" t="s">
        <v>3126</v>
      </c>
      <c r="B772" s="190">
        <v>1204</v>
      </c>
      <c r="C772" s="195" t="s">
        <v>686</v>
      </c>
      <c r="D772" s="195" t="s">
        <v>173</v>
      </c>
      <c r="E772" s="194" t="s">
        <v>880</v>
      </c>
      <c r="F772" s="236" t="s">
        <v>1925</v>
      </c>
      <c r="G772" s="195" t="s">
        <v>2588</v>
      </c>
      <c r="H772" s="128" t="s">
        <v>2405</v>
      </c>
      <c r="I772" s="121" t="s">
        <v>1925</v>
      </c>
      <c r="J772" s="142">
        <v>44137</v>
      </c>
      <c r="K772" s="22" t="s">
        <v>3246</v>
      </c>
    </row>
    <row r="773" spans="1:11">
      <c r="A773" s="239" t="s">
        <v>3241</v>
      </c>
      <c r="B773" s="190">
        <v>64613</v>
      </c>
      <c r="C773" s="195" t="s">
        <v>643</v>
      </c>
      <c r="D773" s="195" t="s">
        <v>1827</v>
      </c>
      <c r="E773" s="194" t="s">
        <v>1259</v>
      </c>
      <c r="F773" s="236" t="s">
        <v>1565</v>
      </c>
      <c r="G773" s="195" t="s">
        <v>2588</v>
      </c>
      <c r="H773" s="134" t="s">
        <v>3253</v>
      </c>
      <c r="I773" s="136" t="s">
        <v>1908</v>
      </c>
      <c r="J773" s="149">
        <v>44141</v>
      </c>
      <c r="K773" s="22"/>
    </row>
    <row r="774" spans="1:11" ht="28.8">
      <c r="A774" s="239" t="s">
        <v>3241</v>
      </c>
      <c r="B774" s="190">
        <v>64613</v>
      </c>
      <c r="C774" s="195" t="s">
        <v>643</v>
      </c>
      <c r="D774" s="195" t="s">
        <v>1827</v>
      </c>
      <c r="E774" s="194" t="s">
        <v>1259</v>
      </c>
      <c r="F774" s="236" t="s">
        <v>1565</v>
      </c>
      <c r="G774" s="195" t="s">
        <v>2588</v>
      </c>
      <c r="H774" s="146" t="s">
        <v>3253</v>
      </c>
      <c r="I774" s="147" t="s">
        <v>1908</v>
      </c>
      <c r="J774" s="148">
        <v>44141</v>
      </c>
      <c r="K774" s="22" t="s">
        <v>3246</v>
      </c>
    </row>
    <row r="775" spans="1:11">
      <c r="A775" s="239" t="s">
        <v>3243</v>
      </c>
      <c r="B775" s="190">
        <v>70618</v>
      </c>
      <c r="C775" s="195" t="s">
        <v>643</v>
      </c>
      <c r="D775" s="195" t="s">
        <v>1827</v>
      </c>
      <c r="E775" s="194" t="s">
        <v>1259</v>
      </c>
      <c r="F775" s="236" t="s">
        <v>1908</v>
      </c>
      <c r="G775" s="195" t="s">
        <v>2588</v>
      </c>
      <c r="H775" s="134" t="s">
        <v>3257</v>
      </c>
      <c r="I775" s="136" t="s">
        <v>1565</v>
      </c>
      <c r="J775" s="149">
        <v>44141</v>
      </c>
      <c r="K775" s="22"/>
    </row>
    <row r="776" spans="1:11" ht="28.8">
      <c r="A776" s="239" t="s">
        <v>3243</v>
      </c>
      <c r="B776" s="190">
        <v>70618</v>
      </c>
      <c r="C776" s="195" t="s">
        <v>643</v>
      </c>
      <c r="D776" s="195" t="s">
        <v>1827</v>
      </c>
      <c r="E776" s="194" t="s">
        <v>1259</v>
      </c>
      <c r="F776" s="236" t="s">
        <v>1908</v>
      </c>
      <c r="G776" s="195" t="s">
        <v>2588</v>
      </c>
      <c r="H776" s="146" t="s">
        <v>3257</v>
      </c>
      <c r="I776" s="147" t="s">
        <v>1565</v>
      </c>
      <c r="J776" s="148">
        <v>44141</v>
      </c>
      <c r="K776" s="22" t="s">
        <v>3246</v>
      </c>
    </row>
    <row r="777" spans="1:11">
      <c r="A777" s="239" t="s">
        <v>3239</v>
      </c>
      <c r="B777" s="190">
        <v>64610</v>
      </c>
      <c r="C777" s="195" t="s">
        <v>643</v>
      </c>
      <c r="D777" s="195" t="s">
        <v>1044</v>
      </c>
      <c r="E777" s="194" t="s">
        <v>597</v>
      </c>
      <c r="F777" s="236" t="s">
        <v>1902</v>
      </c>
      <c r="G777" s="195" t="s">
        <v>2588</v>
      </c>
      <c r="H777" s="146" t="s">
        <v>595</v>
      </c>
      <c r="I777" s="147" t="s">
        <v>1906</v>
      </c>
      <c r="J777" s="148">
        <v>44141</v>
      </c>
      <c r="K777" s="22" t="s">
        <v>3246</v>
      </c>
    </row>
    <row r="778" spans="1:11">
      <c r="A778" s="239" t="s">
        <v>3239</v>
      </c>
      <c r="B778" s="190">
        <v>64610</v>
      </c>
      <c r="C778" s="195" t="s">
        <v>643</v>
      </c>
      <c r="D778" s="195" t="s">
        <v>1044</v>
      </c>
      <c r="E778" s="194" t="s">
        <v>597</v>
      </c>
      <c r="F778" s="236" t="s">
        <v>1902</v>
      </c>
      <c r="G778" s="195" t="s">
        <v>2588</v>
      </c>
      <c r="H778" s="134" t="s">
        <v>595</v>
      </c>
      <c r="I778" s="136" t="s">
        <v>1906</v>
      </c>
      <c r="J778" s="149">
        <v>44141</v>
      </c>
      <c r="K778" s="22"/>
    </row>
    <row r="779" spans="1:11">
      <c r="A779" s="239" t="s">
        <v>3096</v>
      </c>
      <c r="B779" s="190">
        <v>70571</v>
      </c>
      <c r="C779" s="195" t="s">
        <v>643</v>
      </c>
      <c r="D779" s="195" t="s">
        <v>2283</v>
      </c>
      <c r="E779" s="194" t="s">
        <v>2324</v>
      </c>
      <c r="F779" s="236" t="s">
        <v>2326</v>
      </c>
      <c r="G779" s="195" t="s">
        <v>2588</v>
      </c>
      <c r="H779" s="128" t="s">
        <v>2377</v>
      </c>
      <c r="I779" s="121" t="s">
        <v>1395</v>
      </c>
      <c r="J779" s="142">
        <v>44144</v>
      </c>
      <c r="K779" s="22" t="s">
        <v>3246</v>
      </c>
    </row>
    <row r="780" spans="1:11">
      <c r="A780" s="239" t="s">
        <v>3147</v>
      </c>
      <c r="B780" s="190">
        <v>2453</v>
      </c>
      <c r="C780" s="195" t="s">
        <v>451</v>
      </c>
      <c r="D780" s="195" t="s">
        <v>1433</v>
      </c>
      <c r="E780" s="194" t="s">
        <v>844</v>
      </c>
      <c r="F780" s="236" t="s">
        <v>1903</v>
      </c>
      <c r="G780" s="195" t="s">
        <v>2588</v>
      </c>
      <c r="H780" s="128" t="s">
        <v>1351</v>
      </c>
      <c r="I780" s="121" t="s">
        <v>1917</v>
      </c>
      <c r="J780" s="142">
        <v>44144</v>
      </c>
      <c r="K780" s="30" t="s">
        <v>3246</v>
      </c>
    </row>
    <row r="781" spans="1:11">
      <c r="A781" s="239" t="s">
        <v>3157</v>
      </c>
      <c r="B781" s="190">
        <v>3188</v>
      </c>
      <c r="C781" s="195" t="s">
        <v>2128</v>
      </c>
      <c r="D781" s="195" t="s">
        <v>1433</v>
      </c>
      <c r="E781" s="194" t="s">
        <v>1325</v>
      </c>
      <c r="F781" s="236" t="s">
        <v>2159</v>
      </c>
      <c r="G781" s="195" t="s">
        <v>2588</v>
      </c>
      <c r="H781" s="128" t="s">
        <v>1351</v>
      </c>
      <c r="I781" s="121" t="s">
        <v>1917</v>
      </c>
      <c r="J781" s="142">
        <v>44144</v>
      </c>
      <c r="K781" s="30" t="s">
        <v>3246</v>
      </c>
    </row>
    <row r="782" spans="1:11">
      <c r="A782" s="239" t="s">
        <v>2887</v>
      </c>
      <c r="B782" s="190">
        <v>1662</v>
      </c>
      <c r="C782" s="195" t="s">
        <v>451</v>
      </c>
      <c r="D782" s="195" t="s">
        <v>1044</v>
      </c>
      <c r="E782" s="194" t="s">
        <v>238</v>
      </c>
      <c r="F782" s="236" t="s">
        <v>1584</v>
      </c>
      <c r="G782" s="195" t="s">
        <v>2588</v>
      </c>
      <c r="H782" s="128" t="s">
        <v>597</v>
      </c>
      <c r="I782" s="121" t="s">
        <v>1902</v>
      </c>
      <c r="J782" s="142">
        <v>44144</v>
      </c>
      <c r="K782" s="30" t="s">
        <v>3246</v>
      </c>
    </row>
    <row r="783" spans="1:11">
      <c r="A783" s="239" t="s">
        <v>2891</v>
      </c>
      <c r="B783" s="190">
        <v>2994</v>
      </c>
      <c r="C783" s="195" t="s">
        <v>451</v>
      </c>
      <c r="D783" s="195" t="s">
        <v>1044</v>
      </c>
      <c r="E783" s="194" t="s">
        <v>238</v>
      </c>
      <c r="F783" s="236" t="s">
        <v>1584</v>
      </c>
      <c r="G783" s="195" t="s">
        <v>2588</v>
      </c>
      <c r="H783" s="128" t="s">
        <v>597</v>
      </c>
      <c r="I783" s="121" t="s">
        <v>1902</v>
      </c>
      <c r="J783" s="142">
        <v>44144</v>
      </c>
      <c r="K783" s="30" t="s">
        <v>3246</v>
      </c>
    </row>
    <row r="784" spans="1:11">
      <c r="A784" s="239" t="s">
        <v>1379</v>
      </c>
      <c r="B784" s="190">
        <v>335</v>
      </c>
      <c r="C784" s="195" t="s">
        <v>1320</v>
      </c>
      <c r="D784" s="195" t="s">
        <v>1324</v>
      </c>
      <c r="E784" s="194" t="s">
        <v>845</v>
      </c>
      <c r="F784" s="236" t="s">
        <v>2090</v>
      </c>
      <c r="G784" s="195" t="s">
        <v>2588</v>
      </c>
      <c r="H784" s="128" t="s">
        <v>771</v>
      </c>
      <c r="I784" s="121" t="s">
        <v>1885</v>
      </c>
      <c r="J784" s="143">
        <v>44144</v>
      </c>
      <c r="K784" s="22" t="s">
        <v>3246</v>
      </c>
    </row>
    <row r="785" spans="1:11">
      <c r="A785" s="239" t="s">
        <v>3095</v>
      </c>
      <c r="B785" s="190">
        <v>64461</v>
      </c>
      <c r="C785" s="195" t="s">
        <v>643</v>
      </c>
      <c r="D785" s="195" t="s">
        <v>2014</v>
      </c>
      <c r="E785" s="194" t="s">
        <v>220</v>
      </c>
      <c r="F785" s="236" t="s">
        <v>1877</v>
      </c>
      <c r="G785" s="195" t="s">
        <v>2588</v>
      </c>
      <c r="H785" s="128" t="s">
        <v>1270</v>
      </c>
      <c r="I785" s="121" t="s">
        <v>346</v>
      </c>
      <c r="J785" s="142">
        <v>44144</v>
      </c>
      <c r="K785" s="22" t="s">
        <v>3246</v>
      </c>
    </row>
    <row r="786" spans="1:11">
      <c r="A786" s="239" t="s">
        <v>3104</v>
      </c>
      <c r="B786" s="190">
        <v>150</v>
      </c>
      <c r="C786" s="195" t="s">
        <v>1339</v>
      </c>
      <c r="D786" s="195" t="s">
        <v>1044</v>
      </c>
      <c r="E786" s="194" t="s">
        <v>602</v>
      </c>
      <c r="F786" s="236" t="s">
        <v>1392</v>
      </c>
      <c r="G786" s="195" t="s">
        <v>2588</v>
      </c>
      <c r="H786" s="128" t="s">
        <v>2787</v>
      </c>
      <c r="I786" s="121" t="s">
        <v>1555</v>
      </c>
      <c r="J786" s="143">
        <v>44144</v>
      </c>
      <c r="K786" s="30" t="s">
        <v>3246</v>
      </c>
    </row>
    <row r="787" spans="1:11">
      <c r="A787" s="239" t="s">
        <v>3248</v>
      </c>
      <c r="B787" s="190">
        <v>64625</v>
      </c>
      <c r="C787" s="195" t="s">
        <v>643</v>
      </c>
      <c r="D787" s="195" t="s">
        <v>1044</v>
      </c>
      <c r="E787" s="194" t="s">
        <v>597</v>
      </c>
      <c r="F787" s="236" t="s">
        <v>1902</v>
      </c>
      <c r="G787" s="195" t="s">
        <v>2588</v>
      </c>
      <c r="H787" s="128" t="s">
        <v>772</v>
      </c>
      <c r="I787" s="121" t="s">
        <v>1389</v>
      </c>
      <c r="J787" s="142">
        <v>44145</v>
      </c>
      <c r="K787" s="22" t="s">
        <v>3246</v>
      </c>
    </row>
    <row r="788" spans="1:11">
      <c r="A788" s="239" t="s">
        <v>2955</v>
      </c>
      <c r="B788" s="190">
        <v>2922</v>
      </c>
      <c r="C788" s="195" t="s">
        <v>451</v>
      </c>
      <c r="D788" s="195" t="s">
        <v>1433</v>
      </c>
      <c r="E788" s="194" t="s">
        <v>1325</v>
      </c>
      <c r="F788" s="236" t="s">
        <v>2159</v>
      </c>
      <c r="G788" s="195" t="s">
        <v>2588</v>
      </c>
      <c r="H788" s="145" t="s">
        <v>772</v>
      </c>
      <c r="I788" s="151" t="s">
        <v>1389</v>
      </c>
      <c r="J788" s="172">
        <v>44145</v>
      </c>
      <c r="K788" s="24" t="s">
        <v>3281</v>
      </c>
    </row>
    <row r="789" spans="1:11">
      <c r="A789" s="239" t="s">
        <v>2855</v>
      </c>
      <c r="B789" s="190">
        <v>3168</v>
      </c>
      <c r="C789" s="195" t="s">
        <v>2128</v>
      </c>
      <c r="D789" s="195" t="s">
        <v>1433</v>
      </c>
      <c r="E789" s="194" t="s">
        <v>549</v>
      </c>
      <c r="F789" s="236" t="s">
        <v>1917</v>
      </c>
      <c r="G789" s="195" t="s">
        <v>2588</v>
      </c>
      <c r="H789" s="134" t="s">
        <v>1081</v>
      </c>
      <c r="I789" s="136" t="s">
        <v>3045</v>
      </c>
      <c r="J789" s="149">
        <v>44147</v>
      </c>
      <c r="K789" s="22"/>
    </row>
    <row r="790" spans="1:11">
      <c r="A790" s="239" t="s">
        <v>2880</v>
      </c>
      <c r="B790" s="190">
        <v>64458</v>
      </c>
      <c r="C790" s="195" t="s">
        <v>643</v>
      </c>
      <c r="D790" s="195" t="s">
        <v>1324</v>
      </c>
      <c r="E790" s="194" t="s">
        <v>601</v>
      </c>
      <c r="F790" s="236" t="s">
        <v>2064</v>
      </c>
      <c r="G790" s="195" t="s">
        <v>2588</v>
      </c>
      <c r="H790" s="128" t="s">
        <v>597</v>
      </c>
      <c r="I790" s="121" t="s">
        <v>1902</v>
      </c>
      <c r="J790" s="142">
        <v>44147</v>
      </c>
      <c r="K790" s="30" t="s">
        <v>3246</v>
      </c>
    </row>
    <row r="791" spans="1:11">
      <c r="A791" s="239" t="s">
        <v>3117</v>
      </c>
      <c r="B791" s="190">
        <v>685</v>
      </c>
      <c r="C791" s="195" t="s">
        <v>1225</v>
      </c>
      <c r="D791" s="195" t="s">
        <v>2639</v>
      </c>
      <c r="E791" s="194" t="s">
        <v>267</v>
      </c>
      <c r="F791" s="236" t="s">
        <v>2103</v>
      </c>
      <c r="G791" s="195" t="s">
        <v>2588</v>
      </c>
      <c r="H791" s="128" t="s">
        <v>171</v>
      </c>
      <c r="I791" s="121" t="s">
        <v>1548</v>
      </c>
      <c r="J791" s="142">
        <v>44148</v>
      </c>
      <c r="K791" s="30" t="s">
        <v>3246</v>
      </c>
    </row>
    <row r="792" spans="1:11">
      <c r="A792" s="239" t="s">
        <v>3056</v>
      </c>
      <c r="B792" s="190">
        <v>289</v>
      </c>
      <c r="C792" s="195" t="s">
        <v>1339</v>
      </c>
      <c r="D792" s="195" t="s">
        <v>1044</v>
      </c>
      <c r="E792" s="194" t="s">
        <v>238</v>
      </c>
      <c r="F792" s="236" t="s">
        <v>1584</v>
      </c>
      <c r="G792" s="195" t="s">
        <v>2588</v>
      </c>
      <c r="H792" s="128" t="s">
        <v>2377</v>
      </c>
      <c r="I792" s="121" t="s">
        <v>544</v>
      </c>
      <c r="J792" s="142">
        <v>44151</v>
      </c>
      <c r="K792" s="30" t="s">
        <v>3246</v>
      </c>
    </row>
    <row r="793" spans="1:11">
      <c r="A793" s="239" t="s">
        <v>3075</v>
      </c>
      <c r="B793" s="190">
        <v>2598</v>
      </c>
      <c r="C793" s="195" t="s">
        <v>223</v>
      </c>
      <c r="D793" s="195" t="s">
        <v>1044</v>
      </c>
      <c r="E793" s="194" t="s">
        <v>772</v>
      </c>
      <c r="F793" s="236" t="s">
        <v>1389</v>
      </c>
      <c r="G793" s="195" t="s">
        <v>2588</v>
      </c>
      <c r="H793" s="128" t="s">
        <v>2377</v>
      </c>
      <c r="I793" s="121" t="s">
        <v>533</v>
      </c>
      <c r="J793" s="142">
        <v>44151</v>
      </c>
      <c r="K793" s="30" t="s">
        <v>3246</v>
      </c>
    </row>
    <row r="794" spans="1:11">
      <c r="A794" s="239" t="s">
        <v>3160</v>
      </c>
      <c r="B794" s="190">
        <v>64472</v>
      </c>
      <c r="C794" s="195" t="s">
        <v>643</v>
      </c>
      <c r="D794" s="195" t="s">
        <v>2283</v>
      </c>
      <c r="E794" s="194" t="s">
        <v>2073</v>
      </c>
      <c r="F794" s="236" t="s">
        <v>2471</v>
      </c>
      <c r="G794" s="195" t="s">
        <v>2588</v>
      </c>
      <c r="H794" s="128" t="s">
        <v>2377</v>
      </c>
      <c r="I794" s="121" t="s">
        <v>1395</v>
      </c>
      <c r="J794" s="142">
        <v>44151</v>
      </c>
      <c r="K794" s="30" t="s">
        <v>3246</v>
      </c>
    </row>
    <row r="795" spans="1:11">
      <c r="A795" s="239" t="s">
        <v>3149</v>
      </c>
      <c r="B795" s="190">
        <v>2603</v>
      </c>
      <c r="C795" s="195" t="s">
        <v>1339</v>
      </c>
      <c r="D795" s="195" t="s">
        <v>1433</v>
      </c>
      <c r="E795" s="194" t="s">
        <v>1325</v>
      </c>
      <c r="F795" s="236" t="s">
        <v>2159</v>
      </c>
      <c r="G795" s="195" t="s">
        <v>2588</v>
      </c>
      <c r="H795" s="128" t="s">
        <v>2377</v>
      </c>
      <c r="I795" s="121" t="s">
        <v>1395</v>
      </c>
      <c r="J795" s="157">
        <v>44151</v>
      </c>
      <c r="K795" s="22" t="s">
        <v>3246</v>
      </c>
    </row>
    <row r="796" spans="1:11" ht="19.5" customHeight="1">
      <c r="A796" s="239" t="s">
        <v>2854</v>
      </c>
      <c r="B796" s="190">
        <v>3090</v>
      </c>
      <c r="C796" s="195" t="s">
        <v>451</v>
      </c>
      <c r="D796" s="195" t="s">
        <v>1433</v>
      </c>
      <c r="E796" s="194" t="s">
        <v>549</v>
      </c>
      <c r="F796" s="236" t="s">
        <v>1917</v>
      </c>
      <c r="G796" s="195" t="s">
        <v>2588</v>
      </c>
      <c r="H796" s="128" t="s">
        <v>772</v>
      </c>
      <c r="I796" s="121" t="s">
        <v>1389</v>
      </c>
      <c r="J796" s="144">
        <v>44151</v>
      </c>
      <c r="K796" s="30" t="s">
        <v>3246</v>
      </c>
    </row>
    <row r="797" spans="1:11">
      <c r="A797" s="239" t="s">
        <v>2857</v>
      </c>
      <c r="B797" s="190">
        <v>3129</v>
      </c>
      <c r="C797" s="195" t="s">
        <v>2128</v>
      </c>
      <c r="D797" s="195" t="s">
        <v>1433</v>
      </c>
      <c r="E797" s="194" t="s">
        <v>1325</v>
      </c>
      <c r="F797" s="236" t="s">
        <v>2159</v>
      </c>
      <c r="G797" s="195" t="s">
        <v>2588</v>
      </c>
      <c r="H797" s="128" t="s">
        <v>318</v>
      </c>
      <c r="I797" s="121" t="s">
        <v>2806</v>
      </c>
      <c r="J797" s="184">
        <v>44151</v>
      </c>
      <c r="K797" s="30" t="s">
        <v>3246</v>
      </c>
    </row>
    <row r="798" spans="1:11">
      <c r="A798" s="239" t="s">
        <v>2890</v>
      </c>
      <c r="B798" s="190">
        <v>3130</v>
      </c>
      <c r="C798" s="195" t="s">
        <v>2128</v>
      </c>
      <c r="D798" s="195" t="s">
        <v>1433</v>
      </c>
      <c r="E798" s="194" t="s">
        <v>549</v>
      </c>
      <c r="F798" s="236" t="s">
        <v>1917</v>
      </c>
      <c r="G798" s="195" t="s">
        <v>2588</v>
      </c>
      <c r="H798" s="128" t="s">
        <v>602</v>
      </c>
      <c r="I798" s="121" t="s">
        <v>1392</v>
      </c>
      <c r="J798" s="142">
        <v>44151</v>
      </c>
      <c r="K798" s="30" t="s">
        <v>3246</v>
      </c>
    </row>
    <row r="799" spans="1:11">
      <c r="A799" s="239" t="s">
        <v>2856</v>
      </c>
      <c r="B799" s="190">
        <v>3136</v>
      </c>
      <c r="C799" s="195" t="s">
        <v>2128</v>
      </c>
      <c r="D799" s="195" t="s">
        <v>1433</v>
      </c>
      <c r="E799" s="194" t="s">
        <v>549</v>
      </c>
      <c r="F799" s="236" t="s">
        <v>1917</v>
      </c>
      <c r="G799" s="195" t="s">
        <v>2588</v>
      </c>
      <c r="H799" s="128" t="s">
        <v>438</v>
      </c>
      <c r="I799" s="121" t="s">
        <v>3245</v>
      </c>
      <c r="J799" s="143">
        <v>44151</v>
      </c>
      <c r="K799" s="30" t="s">
        <v>3246</v>
      </c>
    </row>
    <row r="800" spans="1:11">
      <c r="A800" s="239" t="s">
        <v>2858</v>
      </c>
      <c r="B800" s="190">
        <v>3196</v>
      </c>
      <c r="C800" s="195" t="s">
        <v>2128</v>
      </c>
      <c r="D800" s="195" t="s">
        <v>1433</v>
      </c>
      <c r="E800" s="194" t="s">
        <v>844</v>
      </c>
      <c r="F800" s="236" t="s">
        <v>1903</v>
      </c>
      <c r="G800" s="195" t="s">
        <v>2588</v>
      </c>
      <c r="H800" s="128" t="s">
        <v>772</v>
      </c>
      <c r="I800" s="121" t="s">
        <v>1389</v>
      </c>
      <c r="J800" s="142">
        <v>44151</v>
      </c>
      <c r="K800" s="30" t="s">
        <v>3246</v>
      </c>
    </row>
    <row r="801" spans="1:11">
      <c r="A801" s="239" t="s">
        <v>2893</v>
      </c>
      <c r="B801" s="190">
        <v>1174</v>
      </c>
      <c r="C801" s="195" t="s">
        <v>451</v>
      </c>
      <c r="D801" s="195" t="s">
        <v>1044</v>
      </c>
      <c r="E801" s="194" t="s">
        <v>238</v>
      </c>
      <c r="F801" s="236" t="s">
        <v>1584</v>
      </c>
      <c r="G801" s="195" t="s">
        <v>2588</v>
      </c>
      <c r="H801" s="128" t="s">
        <v>595</v>
      </c>
      <c r="I801" s="121" t="s">
        <v>1906</v>
      </c>
      <c r="J801" s="143">
        <v>44151</v>
      </c>
      <c r="K801" s="30" t="s">
        <v>3246</v>
      </c>
    </row>
    <row r="802" spans="1:11">
      <c r="A802" s="239" t="s">
        <v>2862</v>
      </c>
      <c r="B802" s="190">
        <v>1256</v>
      </c>
      <c r="C802" s="195" t="s">
        <v>223</v>
      </c>
      <c r="D802" s="195" t="s">
        <v>1044</v>
      </c>
      <c r="E802" s="194" t="s">
        <v>238</v>
      </c>
      <c r="F802" s="236" t="s">
        <v>1584</v>
      </c>
      <c r="G802" s="195" t="s">
        <v>2588</v>
      </c>
      <c r="H802" s="128" t="s">
        <v>1264</v>
      </c>
      <c r="I802" s="121" t="s">
        <v>1396</v>
      </c>
      <c r="J802" s="142">
        <v>44151</v>
      </c>
      <c r="K802" s="30" t="s">
        <v>3246</v>
      </c>
    </row>
    <row r="803" spans="1:11">
      <c r="A803" s="239" t="s">
        <v>2876</v>
      </c>
      <c r="B803" s="190">
        <v>2556</v>
      </c>
      <c r="C803" s="195" t="s">
        <v>223</v>
      </c>
      <c r="D803" s="195" t="s">
        <v>1044</v>
      </c>
      <c r="E803" s="194" t="s">
        <v>238</v>
      </c>
      <c r="F803" s="236" t="s">
        <v>2806</v>
      </c>
      <c r="G803" s="195" t="s">
        <v>2588</v>
      </c>
      <c r="H803" s="128" t="s">
        <v>318</v>
      </c>
      <c r="I803" s="121" t="s">
        <v>2806</v>
      </c>
      <c r="J803" s="144">
        <v>44151</v>
      </c>
      <c r="K803" s="30" t="s">
        <v>3246</v>
      </c>
    </row>
    <row r="804" spans="1:11">
      <c r="A804" s="239" t="s">
        <v>2895</v>
      </c>
      <c r="B804" s="190">
        <v>3087</v>
      </c>
      <c r="C804" s="195" t="s">
        <v>451</v>
      </c>
      <c r="D804" s="195" t="s">
        <v>1044</v>
      </c>
      <c r="E804" s="194" t="s">
        <v>238</v>
      </c>
      <c r="F804" s="236" t="s">
        <v>1584</v>
      </c>
      <c r="G804" s="195" t="s">
        <v>2588</v>
      </c>
      <c r="H804" s="128" t="s">
        <v>602</v>
      </c>
      <c r="I804" s="121" t="s">
        <v>1392</v>
      </c>
      <c r="J804" s="142">
        <v>44151</v>
      </c>
      <c r="K804" s="30" t="s">
        <v>3246</v>
      </c>
    </row>
    <row r="805" spans="1:11">
      <c r="A805" s="239" t="s">
        <v>2877</v>
      </c>
      <c r="B805" s="190">
        <v>3198</v>
      </c>
      <c r="C805" s="195" t="s">
        <v>2128</v>
      </c>
      <c r="D805" s="195" t="s">
        <v>1044</v>
      </c>
      <c r="E805" s="194" t="s">
        <v>238</v>
      </c>
      <c r="F805" s="236" t="s">
        <v>1584</v>
      </c>
      <c r="G805" s="195" t="s">
        <v>2588</v>
      </c>
      <c r="H805" s="128" t="s">
        <v>1264</v>
      </c>
      <c r="I805" s="121" t="s">
        <v>1396</v>
      </c>
      <c r="J805" s="142">
        <v>44151</v>
      </c>
      <c r="K805" s="30" t="s">
        <v>3246</v>
      </c>
    </row>
    <row r="806" spans="1:11">
      <c r="A806" s="239" t="s">
        <v>2881</v>
      </c>
      <c r="B806" s="190">
        <v>974</v>
      </c>
      <c r="C806" s="195" t="s">
        <v>223</v>
      </c>
      <c r="D806" s="195" t="s">
        <v>1324</v>
      </c>
      <c r="E806" s="194" t="s">
        <v>601</v>
      </c>
      <c r="F806" s="236" t="s">
        <v>2064</v>
      </c>
      <c r="G806" s="195" t="s">
        <v>2588</v>
      </c>
      <c r="H806" s="128" t="s">
        <v>597</v>
      </c>
      <c r="I806" s="121" t="s">
        <v>1902</v>
      </c>
      <c r="J806" s="142">
        <v>44151</v>
      </c>
      <c r="K806" s="30" t="s">
        <v>3246</v>
      </c>
    </row>
    <row r="807" spans="1:11">
      <c r="A807" s="239" t="s">
        <v>2863</v>
      </c>
      <c r="B807" s="190">
        <v>1858</v>
      </c>
      <c r="C807" s="195" t="s">
        <v>223</v>
      </c>
      <c r="D807" s="195" t="s">
        <v>1324</v>
      </c>
      <c r="E807" s="194" t="s">
        <v>601</v>
      </c>
      <c r="F807" s="236" t="s">
        <v>2064</v>
      </c>
      <c r="G807" s="195" t="s">
        <v>2588</v>
      </c>
      <c r="H807" s="128" t="s">
        <v>596</v>
      </c>
      <c r="I807" s="121" t="s">
        <v>2277</v>
      </c>
      <c r="J807" s="144">
        <v>44151</v>
      </c>
      <c r="K807" s="30" t="s">
        <v>3246</v>
      </c>
    </row>
    <row r="808" spans="1:11">
      <c r="A808" s="239" t="s">
        <v>2882</v>
      </c>
      <c r="B808" s="190">
        <v>2101</v>
      </c>
      <c r="C808" s="195" t="s">
        <v>451</v>
      </c>
      <c r="D808" s="195" t="s">
        <v>1324</v>
      </c>
      <c r="E808" s="194" t="s">
        <v>601</v>
      </c>
      <c r="F808" s="236" t="s">
        <v>2064</v>
      </c>
      <c r="G808" s="195" t="s">
        <v>2588</v>
      </c>
      <c r="H808" s="128" t="s">
        <v>602</v>
      </c>
      <c r="I808" s="121" t="s">
        <v>1392</v>
      </c>
      <c r="J808" s="144">
        <v>44151</v>
      </c>
      <c r="K808" s="30" t="s">
        <v>3246</v>
      </c>
    </row>
    <row r="809" spans="1:11">
      <c r="A809" s="239" t="s">
        <v>1544</v>
      </c>
      <c r="B809" s="190">
        <v>2247</v>
      </c>
      <c r="C809" s="195" t="s">
        <v>223</v>
      </c>
      <c r="D809" s="195" t="s">
        <v>1324</v>
      </c>
      <c r="E809" s="194" t="s">
        <v>601</v>
      </c>
      <c r="F809" s="236" t="s">
        <v>2064</v>
      </c>
      <c r="G809" s="195" t="s">
        <v>2588</v>
      </c>
      <c r="H809" s="128" t="s">
        <v>595</v>
      </c>
      <c r="I809" s="121" t="s">
        <v>1906</v>
      </c>
      <c r="J809" s="142">
        <v>44151</v>
      </c>
      <c r="K809" s="30" t="s">
        <v>3246</v>
      </c>
    </row>
    <row r="810" spans="1:11">
      <c r="A810" s="239" t="s">
        <v>2190</v>
      </c>
      <c r="B810" s="190">
        <v>3030</v>
      </c>
      <c r="C810" s="195" t="s">
        <v>451</v>
      </c>
      <c r="D810" s="195" t="s">
        <v>1324</v>
      </c>
      <c r="E810" s="194" t="s">
        <v>601</v>
      </c>
      <c r="F810" s="236" t="s">
        <v>2064</v>
      </c>
      <c r="G810" s="195" t="s">
        <v>2588</v>
      </c>
      <c r="H810" s="128" t="s">
        <v>772</v>
      </c>
      <c r="I810" s="121" t="s">
        <v>1389</v>
      </c>
      <c r="J810" s="142">
        <v>44151</v>
      </c>
      <c r="K810" s="30" t="s">
        <v>3246</v>
      </c>
    </row>
    <row r="811" spans="1:11">
      <c r="A811" s="239" t="s">
        <v>2883</v>
      </c>
      <c r="B811" s="190">
        <v>70568</v>
      </c>
      <c r="C811" s="195" t="s">
        <v>643</v>
      </c>
      <c r="D811" s="195" t="s">
        <v>1324</v>
      </c>
      <c r="E811" s="194" t="s">
        <v>601</v>
      </c>
      <c r="F811" s="236" t="s">
        <v>2064</v>
      </c>
      <c r="G811" s="195" t="s">
        <v>2588</v>
      </c>
      <c r="H811" s="128" t="s">
        <v>602</v>
      </c>
      <c r="I811" s="121" t="s">
        <v>1392</v>
      </c>
      <c r="J811" s="142">
        <v>44151</v>
      </c>
      <c r="K811" s="30" t="s">
        <v>3246</v>
      </c>
    </row>
    <row r="812" spans="1:11">
      <c r="A812" s="239" t="s">
        <v>348</v>
      </c>
      <c r="B812" s="190">
        <v>2420</v>
      </c>
      <c r="C812" s="195" t="s">
        <v>223</v>
      </c>
      <c r="D812" s="195" t="s">
        <v>1324</v>
      </c>
      <c r="E812" s="194" t="s">
        <v>1214</v>
      </c>
      <c r="F812" s="236">
        <v>0</v>
      </c>
      <c r="G812" s="195" t="s">
        <v>2588</v>
      </c>
      <c r="H812" s="128" t="s">
        <v>457</v>
      </c>
      <c r="I812" s="121" t="s">
        <v>1379</v>
      </c>
      <c r="J812" s="142">
        <v>44151</v>
      </c>
      <c r="K812" s="30" t="s">
        <v>3246</v>
      </c>
    </row>
    <row r="813" spans="1:11">
      <c r="A813" s="239" t="s">
        <v>2982</v>
      </c>
      <c r="B813" s="190">
        <v>319</v>
      </c>
      <c r="C813" s="195" t="s">
        <v>1339</v>
      </c>
      <c r="D813" s="195" t="s">
        <v>450</v>
      </c>
      <c r="E813" s="194" t="s">
        <v>2979</v>
      </c>
      <c r="F813" s="236" t="s">
        <v>2793</v>
      </c>
      <c r="G813" s="195" t="s">
        <v>2588</v>
      </c>
      <c r="H813" s="128" t="s">
        <v>515</v>
      </c>
      <c r="I813" s="121" t="s">
        <v>1574</v>
      </c>
      <c r="J813" s="142">
        <v>44151</v>
      </c>
      <c r="K813" s="30" t="s">
        <v>3246</v>
      </c>
    </row>
    <row r="814" spans="1:11">
      <c r="A814" s="239" t="s">
        <v>2984</v>
      </c>
      <c r="B814" s="190">
        <v>1453</v>
      </c>
      <c r="C814" s="195" t="s">
        <v>1339</v>
      </c>
      <c r="D814" s="195" t="s">
        <v>450</v>
      </c>
      <c r="E814" s="194" t="s">
        <v>2979</v>
      </c>
      <c r="F814" s="236" t="s">
        <v>2793</v>
      </c>
      <c r="G814" s="195" t="s">
        <v>2588</v>
      </c>
      <c r="H814" s="128" t="s">
        <v>514</v>
      </c>
      <c r="I814" s="121" t="s">
        <v>2472</v>
      </c>
      <c r="J814" s="142">
        <v>44151</v>
      </c>
      <c r="K814" s="30" t="s">
        <v>3246</v>
      </c>
    </row>
    <row r="815" spans="1:11">
      <c r="A815" s="239" t="s">
        <v>2985</v>
      </c>
      <c r="B815" s="190">
        <v>1520</v>
      </c>
      <c r="C815" s="195" t="s">
        <v>223</v>
      </c>
      <c r="D815" s="195" t="s">
        <v>450</v>
      </c>
      <c r="E815" s="194" t="s">
        <v>2979</v>
      </c>
      <c r="F815" s="236" t="s">
        <v>2793</v>
      </c>
      <c r="G815" s="195" t="s">
        <v>2588</v>
      </c>
      <c r="H815" s="128" t="s">
        <v>514</v>
      </c>
      <c r="I815" s="121" t="s">
        <v>2472</v>
      </c>
      <c r="J815" s="142">
        <v>44151</v>
      </c>
      <c r="K815" s="30" t="s">
        <v>3246</v>
      </c>
    </row>
    <row r="816" spans="1:11">
      <c r="A816" s="239" t="s">
        <v>3099</v>
      </c>
      <c r="B816" s="190">
        <v>2067</v>
      </c>
      <c r="C816" s="195" t="s">
        <v>223</v>
      </c>
      <c r="D816" s="195" t="s">
        <v>450</v>
      </c>
      <c r="E816" s="194" t="s">
        <v>881</v>
      </c>
      <c r="F816" s="236" t="s">
        <v>1561</v>
      </c>
      <c r="G816" s="195" t="s">
        <v>2588</v>
      </c>
      <c r="H816" s="128" t="s">
        <v>2979</v>
      </c>
      <c r="I816" s="121" t="s">
        <v>2520</v>
      </c>
      <c r="J816" s="142">
        <v>44151</v>
      </c>
      <c r="K816" s="30" t="s">
        <v>3246</v>
      </c>
    </row>
    <row r="817" spans="1:11">
      <c r="A817" s="239" t="s">
        <v>2139</v>
      </c>
      <c r="B817" s="190">
        <v>2265</v>
      </c>
      <c r="C817" s="195" t="s">
        <v>451</v>
      </c>
      <c r="D817" s="195" t="s">
        <v>450</v>
      </c>
      <c r="E817" s="194" t="s">
        <v>507</v>
      </c>
      <c r="F817" s="236" t="s">
        <v>1562</v>
      </c>
      <c r="G817" s="195" t="s">
        <v>2588</v>
      </c>
      <c r="H817" s="128" t="s">
        <v>512</v>
      </c>
      <c r="I817" s="121" t="s">
        <v>1574</v>
      </c>
      <c r="J817" s="142">
        <v>44151</v>
      </c>
      <c r="K817" s="30" t="s">
        <v>3246</v>
      </c>
    </row>
    <row r="818" spans="1:11">
      <c r="A818" s="239" t="s">
        <v>3098</v>
      </c>
      <c r="B818" s="190">
        <v>2819</v>
      </c>
      <c r="C818" s="195" t="s">
        <v>451</v>
      </c>
      <c r="D818" s="195" t="s">
        <v>450</v>
      </c>
      <c r="E818" s="194" t="s">
        <v>507</v>
      </c>
      <c r="F818" s="236" t="s">
        <v>1562</v>
      </c>
      <c r="G818" s="195" t="s">
        <v>2588</v>
      </c>
      <c r="H818" s="128" t="s">
        <v>511</v>
      </c>
      <c r="I818" s="121" t="s">
        <v>2472</v>
      </c>
      <c r="J818" s="142">
        <v>44151</v>
      </c>
      <c r="K818" s="30" t="s">
        <v>3246</v>
      </c>
    </row>
    <row r="819" spans="1:11">
      <c r="A819" s="239" t="s">
        <v>3058</v>
      </c>
      <c r="B819" s="190">
        <v>64571</v>
      </c>
      <c r="C819" s="195" t="s">
        <v>643</v>
      </c>
      <c r="D819" s="195" t="s">
        <v>450</v>
      </c>
      <c r="E819" s="194" t="s">
        <v>2402</v>
      </c>
      <c r="F819" s="236" t="s">
        <v>1909</v>
      </c>
      <c r="G819" s="195" t="s">
        <v>2588</v>
      </c>
      <c r="H819" s="128" t="s">
        <v>515</v>
      </c>
      <c r="I819" s="121" t="s">
        <v>1574</v>
      </c>
      <c r="J819" s="142">
        <v>44151</v>
      </c>
      <c r="K819" s="30" t="s">
        <v>3246</v>
      </c>
    </row>
    <row r="820" spans="1:11">
      <c r="A820" s="239" t="s">
        <v>3089</v>
      </c>
      <c r="B820" s="190">
        <v>70587</v>
      </c>
      <c r="C820" s="195" t="s">
        <v>643</v>
      </c>
      <c r="D820" s="195" t="s">
        <v>450</v>
      </c>
      <c r="E820" s="194" t="s">
        <v>2402</v>
      </c>
      <c r="F820" s="236" t="s">
        <v>1909</v>
      </c>
      <c r="G820" s="195" t="s">
        <v>2588</v>
      </c>
      <c r="H820" s="128" t="s">
        <v>514</v>
      </c>
      <c r="I820" s="121" t="s">
        <v>2472</v>
      </c>
      <c r="J820" s="142">
        <v>44151</v>
      </c>
      <c r="K820" s="30" t="s">
        <v>3246</v>
      </c>
    </row>
    <row r="821" spans="1:11">
      <c r="A821" s="239" t="s">
        <v>3090</v>
      </c>
      <c r="B821" s="190">
        <v>70608</v>
      </c>
      <c r="C821" s="195" t="s">
        <v>643</v>
      </c>
      <c r="D821" s="195" t="s">
        <v>450</v>
      </c>
      <c r="E821" s="194" t="s">
        <v>1063</v>
      </c>
      <c r="F821" s="236" t="s">
        <v>1551</v>
      </c>
      <c r="G821" s="195" t="s">
        <v>2588</v>
      </c>
      <c r="H821" s="128" t="s">
        <v>515</v>
      </c>
      <c r="I821" s="121" t="s">
        <v>1574</v>
      </c>
      <c r="J821" s="142">
        <v>44151</v>
      </c>
      <c r="K821" s="30" t="s">
        <v>3246</v>
      </c>
    </row>
    <row r="822" spans="1:11">
      <c r="A822" s="239" t="s">
        <v>3047</v>
      </c>
      <c r="B822" s="190">
        <v>710</v>
      </c>
      <c r="C822" s="195" t="s">
        <v>223</v>
      </c>
      <c r="D822" s="195" t="s">
        <v>2014</v>
      </c>
      <c r="E822" s="194" t="s">
        <v>220</v>
      </c>
      <c r="F822" s="236" t="s">
        <v>1877</v>
      </c>
      <c r="G822" s="195" t="s">
        <v>2588</v>
      </c>
      <c r="H822" s="134" t="s">
        <v>503</v>
      </c>
      <c r="I822" s="136" t="s">
        <v>3249</v>
      </c>
      <c r="J822" s="149">
        <v>44151</v>
      </c>
      <c r="K822" s="22"/>
    </row>
    <row r="823" spans="1:11">
      <c r="A823" s="239" t="s">
        <v>2843</v>
      </c>
      <c r="B823" s="190">
        <v>1416</v>
      </c>
      <c r="C823" s="195" t="s">
        <v>223</v>
      </c>
      <c r="D823" s="195" t="s">
        <v>2014</v>
      </c>
      <c r="E823" s="194" t="s">
        <v>220</v>
      </c>
      <c r="F823" s="236" t="s">
        <v>1877</v>
      </c>
      <c r="G823" s="195" t="s">
        <v>2588</v>
      </c>
      <c r="H823" s="134" t="s">
        <v>1090</v>
      </c>
      <c r="I823" s="136" t="s">
        <v>1908</v>
      </c>
      <c r="J823" s="149">
        <v>44151</v>
      </c>
      <c r="K823" s="22"/>
    </row>
    <row r="824" spans="1:11">
      <c r="A824" s="239" t="s">
        <v>3136</v>
      </c>
      <c r="B824" s="190">
        <v>1950</v>
      </c>
      <c r="C824" s="195" t="s">
        <v>223</v>
      </c>
      <c r="D824" s="195" t="s">
        <v>2014</v>
      </c>
      <c r="E824" s="194" t="s">
        <v>220</v>
      </c>
      <c r="F824" s="236" t="s">
        <v>1877</v>
      </c>
      <c r="G824" s="195" t="s">
        <v>2588</v>
      </c>
      <c r="H824" s="134" t="s">
        <v>1090</v>
      </c>
      <c r="I824" s="136" t="s">
        <v>1908</v>
      </c>
      <c r="J824" s="149">
        <v>44151</v>
      </c>
      <c r="K824" s="22"/>
    </row>
    <row r="825" spans="1:11">
      <c r="A825" s="239" t="s">
        <v>3140</v>
      </c>
      <c r="B825" s="190">
        <v>2156</v>
      </c>
      <c r="C825" s="195" t="s">
        <v>223</v>
      </c>
      <c r="D825" s="195" t="s">
        <v>2014</v>
      </c>
      <c r="E825" s="194" t="s">
        <v>220</v>
      </c>
      <c r="F825" s="236" t="s">
        <v>1877</v>
      </c>
      <c r="G825" s="195" t="s">
        <v>2588</v>
      </c>
      <c r="H825" s="134" t="s">
        <v>1452</v>
      </c>
      <c r="I825" s="136" t="s">
        <v>3251</v>
      </c>
      <c r="J825" s="149">
        <v>44151</v>
      </c>
      <c r="K825" s="22"/>
    </row>
    <row r="826" spans="1:11">
      <c r="A826" s="239" t="s">
        <v>2841</v>
      </c>
      <c r="B826" s="190">
        <v>2439</v>
      </c>
      <c r="C826" s="195" t="s">
        <v>223</v>
      </c>
      <c r="D826" s="195" t="s">
        <v>2014</v>
      </c>
      <c r="E826" s="194" t="s">
        <v>220</v>
      </c>
      <c r="F826" s="236" t="s">
        <v>1877</v>
      </c>
      <c r="G826" s="195" t="s">
        <v>2588</v>
      </c>
      <c r="H826" s="134" t="s">
        <v>503</v>
      </c>
      <c r="I826" s="136" t="s">
        <v>3249</v>
      </c>
      <c r="J826" s="149">
        <v>44151</v>
      </c>
      <c r="K826" s="22"/>
    </row>
    <row r="827" spans="1:11">
      <c r="A827" s="239" t="s">
        <v>3046</v>
      </c>
      <c r="B827" s="190">
        <v>2443</v>
      </c>
      <c r="C827" s="195" t="s">
        <v>223</v>
      </c>
      <c r="D827" s="195" t="s">
        <v>2014</v>
      </c>
      <c r="E827" s="194" t="s">
        <v>220</v>
      </c>
      <c r="F827" s="236" t="s">
        <v>1877</v>
      </c>
      <c r="G827" s="195" t="s">
        <v>2588</v>
      </c>
      <c r="H827" s="134" t="s">
        <v>1090</v>
      </c>
      <c r="I827" s="136" t="s">
        <v>1908</v>
      </c>
      <c r="J827" s="149">
        <v>44151</v>
      </c>
      <c r="K827" s="22"/>
    </row>
    <row r="828" spans="1:11">
      <c r="A828" s="239" t="s">
        <v>2840</v>
      </c>
      <c r="B828" s="190">
        <v>2968</v>
      </c>
      <c r="C828" s="195" t="s">
        <v>451</v>
      </c>
      <c r="D828" s="195" t="s">
        <v>2014</v>
      </c>
      <c r="E828" s="194" t="s">
        <v>220</v>
      </c>
      <c r="F828" s="236" t="s">
        <v>1877</v>
      </c>
      <c r="G828" s="195" t="s">
        <v>2588</v>
      </c>
      <c r="H828" s="134" t="s">
        <v>1452</v>
      </c>
      <c r="I828" s="136" t="s">
        <v>3251</v>
      </c>
      <c r="J828" s="149">
        <v>44151</v>
      </c>
      <c r="K828" s="22"/>
    </row>
    <row r="829" spans="1:11">
      <c r="A829" s="239" t="s">
        <v>3161</v>
      </c>
      <c r="B829" s="190">
        <v>64473</v>
      </c>
      <c r="C829" s="195" t="s">
        <v>643</v>
      </c>
      <c r="D829" s="195" t="s">
        <v>2014</v>
      </c>
      <c r="E829" s="194" t="s">
        <v>220</v>
      </c>
      <c r="F829" s="236" t="s">
        <v>1877</v>
      </c>
      <c r="G829" s="195" t="s">
        <v>2588</v>
      </c>
      <c r="H829" s="134" t="s">
        <v>452</v>
      </c>
      <c r="I829" s="136" t="s">
        <v>346</v>
      </c>
      <c r="J829" s="149">
        <v>44151</v>
      </c>
      <c r="K829" s="22"/>
    </row>
    <row r="830" spans="1:11">
      <c r="A830" s="239" t="s">
        <v>3012</v>
      </c>
      <c r="B830" s="190">
        <v>2361</v>
      </c>
      <c r="C830" s="195" t="s">
        <v>223</v>
      </c>
      <c r="D830" s="195" t="s">
        <v>2014</v>
      </c>
      <c r="E830" s="194" t="s">
        <v>220</v>
      </c>
      <c r="F830" s="236" t="s">
        <v>1877</v>
      </c>
      <c r="G830" s="195" t="s">
        <v>2588</v>
      </c>
      <c r="H830" s="128" t="s">
        <v>504</v>
      </c>
      <c r="I830" s="121" t="s">
        <v>347</v>
      </c>
      <c r="J830" s="142">
        <v>44151</v>
      </c>
      <c r="K830" s="30" t="s">
        <v>3246</v>
      </c>
    </row>
    <row r="831" spans="1:11">
      <c r="A831" s="239" t="s">
        <v>2837</v>
      </c>
      <c r="B831" s="190">
        <v>2918</v>
      </c>
      <c r="C831" s="195" t="s">
        <v>451</v>
      </c>
      <c r="D831" s="195" t="s">
        <v>2014</v>
      </c>
      <c r="E831" s="194" t="s">
        <v>220</v>
      </c>
      <c r="F831" s="236" t="s">
        <v>1877</v>
      </c>
      <c r="G831" s="195" t="s">
        <v>2588</v>
      </c>
      <c r="H831" s="128" t="s">
        <v>504</v>
      </c>
      <c r="I831" s="121" t="s">
        <v>347</v>
      </c>
      <c r="J831" s="142">
        <v>44151</v>
      </c>
      <c r="K831" s="30" t="s">
        <v>3246</v>
      </c>
    </row>
    <row r="832" spans="1:11">
      <c r="A832" s="239" t="s">
        <v>3097</v>
      </c>
      <c r="B832" s="190">
        <v>64523</v>
      </c>
      <c r="C832" s="195" t="s">
        <v>643</v>
      </c>
      <c r="D832" s="195" t="s">
        <v>2014</v>
      </c>
      <c r="E832" s="194" t="s">
        <v>220</v>
      </c>
      <c r="F832" s="236" t="s">
        <v>1877</v>
      </c>
      <c r="G832" s="195" t="s">
        <v>2588</v>
      </c>
      <c r="H832" s="128" t="s">
        <v>504</v>
      </c>
      <c r="I832" s="121" t="s">
        <v>347</v>
      </c>
      <c r="J832" s="142">
        <v>44151</v>
      </c>
      <c r="K832" s="30" t="s">
        <v>3246</v>
      </c>
    </row>
    <row r="833" spans="1:11">
      <c r="A833" s="239" t="s">
        <v>3076</v>
      </c>
      <c r="B833" s="190">
        <v>3034</v>
      </c>
      <c r="C833" s="195" t="s">
        <v>2128</v>
      </c>
      <c r="D833" s="195" t="s">
        <v>1044</v>
      </c>
      <c r="E833" s="194" t="s">
        <v>1264</v>
      </c>
      <c r="F833" s="236" t="s">
        <v>1396</v>
      </c>
      <c r="G833" s="195" t="s">
        <v>2588</v>
      </c>
      <c r="H833" s="128" t="s">
        <v>2337</v>
      </c>
      <c r="I833" s="121" t="s">
        <v>533</v>
      </c>
      <c r="J833" s="142">
        <v>44151</v>
      </c>
      <c r="K833" s="30" t="s">
        <v>3246</v>
      </c>
    </row>
    <row r="834" spans="1:11">
      <c r="A834" s="239" t="s">
        <v>3142</v>
      </c>
      <c r="B834" s="190">
        <v>2183</v>
      </c>
      <c r="C834" s="195" t="s">
        <v>451</v>
      </c>
      <c r="D834" s="195" t="s">
        <v>2283</v>
      </c>
      <c r="E834" s="194" t="s">
        <v>2449</v>
      </c>
      <c r="F834" s="236" t="s">
        <v>340</v>
      </c>
      <c r="G834" s="195" t="s">
        <v>2588</v>
      </c>
      <c r="H834" s="128" t="s">
        <v>2337</v>
      </c>
      <c r="I834" s="121" t="s">
        <v>2157</v>
      </c>
      <c r="J834" s="142">
        <v>44151</v>
      </c>
      <c r="K834" s="30" t="s">
        <v>3246</v>
      </c>
    </row>
    <row r="835" spans="1:11">
      <c r="A835" s="239" t="s">
        <v>3100</v>
      </c>
      <c r="B835" s="190">
        <v>3052</v>
      </c>
      <c r="C835" s="195" t="s">
        <v>451</v>
      </c>
      <c r="D835" s="195" t="s">
        <v>2283</v>
      </c>
      <c r="E835" s="194" t="s">
        <v>2450</v>
      </c>
      <c r="F835" s="236" t="s">
        <v>1582</v>
      </c>
      <c r="G835" s="195" t="s">
        <v>2588</v>
      </c>
      <c r="H835" s="128" t="s">
        <v>2378</v>
      </c>
      <c r="I835" s="121" t="s">
        <v>544</v>
      </c>
      <c r="J835" s="105">
        <v>44151</v>
      </c>
      <c r="K835" s="30" t="s">
        <v>3246</v>
      </c>
    </row>
    <row r="836" spans="1:11">
      <c r="A836" s="239" t="s">
        <v>3238</v>
      </c>
      <c r="B836" s="190">
        <v>64580</v>
      </c>
      <c r="C836" s="195" t="s">
        <v>643</v>
      </c>
      <c r="D836" s="195" t="s">
        <v>1044</v>
      </c>
      <c r="E836" s="194" t="s">
        <v>597</v>
      </c>
      <c r="F836" s="236" t="s">
        <v>1902</v>
      </c>
      <c r="G836" s="195" t="s">
        <v>2588</v>
      </c>
      <c r="H836" s="128" t="s">
        <v>2675</v>
      </c>
      <c r="I836" s="121" t="s">
        <v>1887</v>
      </c>
      <c r="J836" s="105">
        <v>44151</v>
      </c>
      <c r="K836" s="30" t="s">
        <v>3246</v>
      </c>
    </row>
    <row r="837" spans="1:11">
      <c r="A837" s="239" t="s">
        <v>3238</v>
      </c>
      <c r="B837" s="190">
        <v>64580</v>
      </c>
      <c r="C837" s="195" t="s">
        <v>643</v>
      </c>
      <c r="D837" s="195" t="s">
        <v>1044</v>
      </c>
      <c r="E837" s="194" t="s">
        <v>220</v>
      </c>
      <c r="F837" s="236" t="s">
        <v>1877</v>
      </c>
      <c r="G837" s="195" t="s">
        <v>2588</v>
      </c>
      <c r="H837" s="128" t="s">
        <v>2675</v>
      </c>
      <c r="I837" s="121" t="s">
        <v>339</v>
      </c>
      <c r="J837" s="105">
        <v>44151</v>
      </c>
      <c r="K837" s="22" t="s">
        <v>3246</v>
      </c>
    </row>
    <row r="838" spans="1:11">
      <c r="A838" s="239" t="s">
        <v>3076</v>
      </c>
      <c r="B838" s="190">
        <v>3034</v>
      </c>
      <c r="C838" s="195" t="s">
        <v>2128</v>
      </c>
      <c r="D838" s="195" t="s">
        <v>1044</v>
      </c>
      <c r="E838" s="194" t="s">
        <v>1264</v>
      </c>
      <c r="F838" s="236" t="s">
        <v>3105</v>
      </c>
      <c r="G838" s="195" t="s">
        <v>2588</v>
      </c>
      <c r="H838" s="128" t="s">
        <v>2735</v>
      </c>
      <c r="I838" s="121" t="s">
        <v>2488</v>
      </c>
      <c r="J838" s="105">
        <v>44151</v>
      </c>
      <c r="K838" s="22" t="s">
        <v>3246</v>
      </c>
    </row>
    <row r="839" spans="1:11">
      <c r="A839" s="239" t="s">
        <v>3133</v>
      </c>
      <c r="B839" s="190">
        <v>1874</v>
      </c>
      <c r="C839" s="195" t="s">
        <v>223</v>
      </c>
      <c r="D839" s="195" t="s">
        <v>1433</v>
      </c>
      <c r="E839" s="194" t="s">
        <v>1045</v>
      </c>
      <c r="F839" s="236" t="s">
        <v>1926</v>
      </c>
      <c r="G839" s="195" t="s">
        <v>2588</v>
      </c>
      <c r="H839" s="128" t="s">
        <v>570</v>
      </c>
      <c r="I839" s="121" t="s">
        <v>1926</v>
      </c>
      <c r="J839" s="149">
        <v>44158</v>
      </c>
      <c r="K839" s="22"/>
    </row>
    <row r="840" spans="1:11">
      <c r="A840" s="239" t="s">
        <v>3237</v>
      </c>
      <c r="B840" s="190">
        <v>70601</v>
      </c>
      <c r="C840" s="195" t="s">
        <v>643</v>
      </c>
      <c r="D840" s="195" t="s">
        <v>1044</v>
      </c>
      <c r="E840" s="194" t="s">
        <v>772</v>
      </c>
      <c r="F840" s="236" t="s">
        <v>1389</v>
      </c>
      <c r="G840" s="195" t="s">
        <v>2588</v>
      </c>
      <c r="H840" s="128" t="s">
        <v>1264</v>
      </c>
      <c r="I840" s="121" t="s">
        <v>3255</v>
      </c>
      <c r="J840" s="149">
        <v>44158</v>
      </c>
      <c r="K840" s="22"/>
    </row>
    <row r="841" spans="1:11">
      <c r="A841" s="239" t="s">
        <v>3240</v>
      </c>
      <c r="B841" s="190">
        <v>70612</v>
      </c>
      <c r="C841" s="195" t="s">
        <v>643</v>
      </c>
      <c r="D841" s="195" t="s">
        <v>1044</v>
      </c>
      <c r="E841" s="194" t="s">
        <v>1264</v>
      </c>
      <c r="F841" s="236" t="s">
        <v>1396</v>
      </c>
      <c r="G841" s="195" t="s">
        <v>2588</v>
      </c>
      <c r="H841" s="128" t="s">
        <v>596</v>
      </c>
      <c r="I841" s="121" t="s">
        <v>3256</v>
      </c>
      <c r="J841" s="149">
        <v>44158</v>
      </c>
      <c r="K841" s="22"/>
    </row>
    <row r="842" spans="1:11">
      <c r="A842" s="239" t="s">
        <v>3242</v>
      </c>
      <c r="B842" s="190">
        <v>64612</v>
      </c>
      <c r="C842" s="195" t="s">
        <v>643</v>
      </c>
      <c r="D842" s="195" t="s">
        <v>1827</v>
      </c>
      <c r="E842" s="194" t="s">
        <v>1259</v>
      </c>
      <c r="F842" s="236" t="s">
        <v>1902</v>
      </c>
      <c r="G842" s="195" t="s">
        <v>2588</v>
      </c>
      <c r="H842" s="128" t="s">
        <v>772</v>
      </c>
      <c r="I842" s="121" t="s">
        <v>3044</v>
      </c>
      <c r="J842" s="149">
        <v>44158</v>
      </c>
      <c r="K842" s="22"/>
    </row>
    <row r="843" spans="1:11">
      <c r="A843" s="239" t="s">
        <v>3258</v>
      </c>
      <c r="B843" s="190">
        <v>70627</v>
      </c>
      <c r="C843" s="195" t="s">
        <v>643</v>
      </c>
      <c r="D843" s="195" t="s">
        <v>1827</v>
      </c>
      <c r="E843" s="194" t="s">
        <v>1259</v>
      </c>
      <c r="F843" s="236" t="s">
        <v>3044</v>
      </c>
      <c r="G843" s="195" t="s">
        <v>2588</v>
      </c>
      <c r="H843" s="128" t="s">
        <v>772</v>
      </c>
      <c r="I843" s="121" t="s">
        <v>3044</v>
      </c>
      <c r="J843" s="149">
        <v>44158</v>
      </c>
      <c r="K843" s="22"/>
    </row>
    <row r="844" spans="1:11">
      <c r="A844" s="239" t="s">
        <v>3103</v>
      </c>
      <c r="B844" s="190">
        <v>80</v>
      </c>
      <c r="C844" s="195" t="s">
        <v>451</v>
      </c>
      <c r="D844" s="195" t="s">
        <v>1324</v>
      </c>
      <c r="E844" s="194" t="s">
        <v>1336</v>
      </c>
      <c r="F844" s="236" t="s">
        <v>1379</v>
      </c>
      <c r="G844" s="195" t="s">
        <v>2588</v>
      </c>
      <c r="H844" s="128" t="s">
        <v>845</v>
      </c>
      <c r="I844" s="121" t="s">
        <v>1370</v>
      </c>
      <c r="J844" s="149">
        <v>44158</v>
      </c>
      <c r="K844" s="22"/>
    </row>
    <row r="845" spans="1:11">
      <c r="A845" s="239" t="s">
        <v>1575</v>
      </c>
      <c r="B845" s="190">
        <v>336</v>
      </c>
      <c r="C845" s="195" t="s">
        <v>2036</v>
      </c>
      <c r="D845" s="195" t="s">
        <v>1324</v>
      </c>
      <c r="E845" s="194" t="s">
        <v>609</v>
      </c>
      <c r="F845" s="236" t="s">
        <v>2064</v>
      </c>
      <c r="G845" s="195" t="s">
        <v>2588</v>
      </c>
      <c r="H845" s="128" t="s">
        <v>1223</v>
      </c>
      <c r="I845" s="121" t="s">
        <v>1370</v>
      </c>
      <c r="J845" s="149">
        <v>44158</v>
      </c>
      <c r="K845" s="22"/>
    </row>
    <row r="846" spans="1:11">
      <c r="A846" s="239" t="s">
        <v>3108</v>
      </c>
      <c r="B846" s="190">
        <v>341</v>
      </c>
      <c r="C846" s="195" t="s">
        <v>223</v>
      </c>
      <c r="D846" s="195" t="s">
        <v>1324</v>
      </c>
      <c r="E846" s="194" t="s">
        <v>609</v>
      </c>
      <c r="F846" s="236" t="s">
        <v>1575</v>
      </c>
      <c r="G846" s="195" t="s">
        <v>2588</v>
      </c>
      <c r="H846" s="128" t="s">
        <v>1223</v>
      </c>
      <c r="I846" s="121" t="s">
        <v>1575</v>
      </c>
      <c r="J846" s="149">
        <v>44158</v>
      </c>
      <c r="K846" s="22"/>
    </row>
    <row r="847" spans="1:11">
      <c r="A847" s="239" t="s">
        <v>2869</v>
      </c>
      <c r="B847" s="190">
        <v>561</v>
      </c>
      <c r="C847" s="195" t="s">
        <v>223</v>
      </c>
      <c r="D847" s="195" t="s">
        <v>1324</v>
      </c>
      <c r="E847" s="194" t="s">
        <v>609</v>
      </c>
      <c r="F847" s="236" t="s">
        <v>1575</v>
      </c>
      <c r="G847" s="195" t="s">
        <v>2588</v>
      </c>
      <c r="H847" s="128" t="s">
        <v>1223</v>
      </c>
      <c r="I847" s="121" t="s">
        <v>1575</v>
      </c>
      <c r="J847" s="149">
        <v>44158</v>
      </c>
      <c r="K847" s="22"/>
    </row>
    <row r="848" spans="1:11">
      <c r="A848" s="239" t="s">
        <v>2995</v>
      </c>
      <c r="B848" s="190">
        <v>1066</v>
      </c>
      <c r="C848" s="195" t="s">
        <v>223</v>
      </c>
      <c r="D848" s="195" t="s">
        <v>1324</v>
      </c>
      <c r="E848" s="194" t="s">
        <v>457</v>
      </c>
      <c r="F848" s="236" t="s">
        <v>1575</v>
      </c>
      <c r="G848" s="195" t="s">
        <v>2588</v>
      </c>
      <c r="H848" s="128" t="s">
        <v>771</v>
      </c>
      <c r="I848" s="121" t="s">
        <v>1379</v>
      </c>
      <c r="J848" s="149">
        <v>44158</v>
      </c>
      <c r="K848" s="22"/>
    </row>
    <row r="849" spans="1:11">
      <c r="A849" s="239" t="s">
        <v>1377</v>
      </c>
      <c r="B849" s="190">
        <v>1084</v>
      </c>
      <c r="C849" s="195" t="s">
        <v>223</v>
      </c>
      <c r="D849" s="195" t="s">
        <v>1324</v>
      </c>
      <c r="E849" s="194" t="s">
        <v>457</v>
      </c>
      <c r="F849" s="236" t="s">
        <v>1575</v>
      </c>
      <c r="G849" s="195" t="s">
        <v>2588</v>
      </c>
      <c r="H849" s="128" t="s">
        <v>771</v>
      </c>
      <c r="I849" s="121" t="s">
        <v>1379</v>
      </c>
      <c r="J849" s="149">
        <v>44158</v>
      </c>
      <c r="K849" s="22"/>
    </row>
    <row r="850" spans="1:11">
      <c r="A850" s="239" t="s">
        <v>3125</v>
      </c>
      <c r="B850" s="190">
        <v>1094</v>
      </c>
      <c r="C850" s="195" t="s">
        <v>223</v>
      </c>
      <c r="D850" s="195" t="s">
        <v>1324</v>
      </c>
      <c r="E850" s="194" t="s">
        <v>609</v>
      </c>
      <c r="F850" s="236" t="s">
        <v>1575</v>
      </c>
      <c r="G850" s="195" t="s">
        <v>2588</v>
      </c>
      <c r="H850" s="128" t="s">
        <v>771</v>
      </c>
      <c r="I850" s="121" t="s">
        <v>1379</v>
      </c>
      <c r="J850" s="149">
        <v>44158</v>
      </c>
      <c r="K850" s="22"/>
    </row>
    <row r="851" spans="1:11">
      <c r="A851" s="239" t="s">
        <v>3035</v>
      </c>
      <c r="B851" s="190">
        <v>1362</v>
      </c>
      <c r="C851" s="195" t="s">
        <v>223</v>
      </c>
      <c r="D851" s="195" t="s">
        <v>1324</v>
      </c>
      <c r="E851" s="194" t="s">
        <v>609</v>
      </c>
      <c r="F851" s="236" t="s">
        <v>1575</v>
      </c>
      <c r="G851" s="195" t="s">
        <v>2588</v>
      </c>
      <c r="H851" s="128" t="s">
        <v>1223</v>
      </c>
      <c r="I851" s="121" t="s">
        <v>1575</v>
      </c>
      <c r="J851" s="149">
        <v>44158</v>
      </c>
      <c r="K851" s="22"/>
    </row>
    <row r="852" spans="1:11">
      <c r="A852" s="239" t="s">
        <v>3144</v>
      </c>
      <c r="B852" s="190">
        <v>2292</v>
      </c>
      <c r="C852" s="195" t="s">
        <v>223</v>
      </c>
      <c r="D852" s="195" t="s">
        <v>1324</v>
      </c>
      <c r="E852" s="194" t="s">
        <v>609</v>
      </c>
      <c r="F852" s="236" t="s">
        <v>1575</v>
      </c>
      <c r="G852" s="195" t="s">
        <v>2588</v>
      </c>
      <c r="H852" s="128" t="s">
        <v>1223</v>
      </c>
      <c r="I852" s="121" t="s">
        <v>1575</v>
      </c>
      <c r="J852" s="149">
        <v>44158</v>
      </c>
      <c r="K852" s="22"/>
    </row>
    <row r="853" spans="1:11">
      <c r="A853" s="239" t="s">
        <v>3146</v>
      </c>
      <c r="B853" s="190">
        <v>2358</v>
      </c>
      <c r="C853" s="195" t="s">
        <v>2037</v>
      </c>
      <c r="D853" s="195" t="s">
        <v>1324</v>
      </c>
      <c r="E853" s="194" t="s">
        <v>609</v>
      </c>
      <c r="F853" s="236" t="s">
        <v>1575</v>
      </c>
      <c r="G853" s="195" t="s">
        <v>2588</v>
      </c>
      <c r="H853" s="128" t="s">
        <v>1223</v>
      </c>
      <c r="I853" s="121" t="s">
        <v>1575</v>
      </c>
      <c r="J853" s="149">
        <v>44158</v>
      </c>
      <c r="K853" s="22"/>
    </row>
    <row r="854" spans="1:11">
      <c r="A854" s="239" t="s">
        <v>2109</v>
      </c>
      <c r="B854" s="190">
        <v>2921</v>
      </c>
      <c r="C854" s="195" t="s">
        <v>451</v>
      </c>
      <c r="D854" s="195" t="s">
        <v>1324</v>
      </c>
      <c r="E854" s="194" t="s">
        <v>457</v>
      </c>
      <c r="F854" s="236" t="s">
        <v>1575</v>
      </c>
      <c r="G854" s="195" t="s">
        <v>2588</v>
      </c>
      <c r="H854" s="128" t="s">
        <v>771</v>
      </c>
      <c r="I854" s="121" t="s">
        <v>1379</v>
      </c>
      <c r="J854" s="149">
        <v>44158</v>
      </c>
      <c r="K854" s="22"/>
    </row>
    <row r="855" spans="1:11">
      <c r="A855" s="239" t="s">
        <v>3152</v>
      </c>
      <c r="B855" s="190">
        <v>2991</v>
      </c>
      <c r="C855" s="195" t="s">
        <v>451</v>
      </c>
      <c r="D855" s="195" t="s">
        <v>1324</v>
      </c>
      <c r="E855" s="194" t="s">
        <v>609</v>
      </c>
      <c r="F855" s="236" t="s">
        <v>1575</v>
      </c>
      <c r="G855" s="195" t="s">
        <v>2588</v>
      </c>
      <c r="H855" s="128" t="s">
        <v>1223</v>
      </c>
      <c r="I855" s="121" t="s">
        <v>1575</v>
      </c>
      <c r="J855" s="149">
        <v>44158</v>
      </c>
      <c r="K855" s="22"/>
    </row>
    <row r="856" spans="1:11">
      <c r="A856" s="239" t="s">
        <v>2996</v>
      </c>
      <c r="B856" s="190">
        <v>3117</v>
      </c>
      <c r="C856" s="195" t="s">
        <v>2128</v>
      </c>
      <c r="D856" s="195" t="s">
        <v>1324</v>
      </c>
      <c r="E856" s="194" t="s">
        <v>457</v>
      </c>
      <c r="F856" s="236" t="s">
        <v>1575</v>
      </c>
      <c r="G856" s="195" t="s">
        <v>2588</v>
      </c>
      <c r="H856" s="128" t="s">
        <v>771</v>
      </c>
      <c r="I856" s="121" t="s">
        <v>1379</v>
      </c>
      <c r="J856" s="149">
        <v>44158</v>
      </c>
      <c r="K856" s="22"/>
    </row>
    <row r="857" spans="1:11">
      <c r="A857" s="239" t="s">
        <v>3158</v>
      </c>
      <c r="B857" s="190">
        <v>3204</v>
      </c>
      <c r="C857" s="195" t="s">
        <v>2128</v>
      </c>
      <c r="D857" s="195" t="s">
        <v>1324</v>
      </c>
      <c r="E857" s="194" t="s">
        <v>609</v>
      </c>
      <c r="F857" s="236" t="s">
        <v>1575</v>
      </c>
      <c r="G857" s="195" t="s">
        <v>2588</v>
      </c>
      <c r="H857" s="128" t="s">
        <v>1223</v>
      </c>
      <c r="I857" s="121" t="s">
        <v>1575</v>
      </c>
      <c r="J857" s="149">
        <v>44158</v>
      </c>
      <c r="K857" s="22"/>
    </row>
    <row r="858" spans="1:11">
      <c r="A858" s="239" t="s">
        <v>2801</v>
      </c>
      <c r="B858" s="190">
        <v>3225</v>
      </c>
      <c r="C858" s="195" t="s">
        <v>2128</v>
      </c>
      <c r="D858" s="195" t="s">
        <v>1324</v>
      </c>
      <c r="E858" s="194" t="s">
        <v>609</v>
      </c>
      <c r="F858" s="236" t="s">
        <v>1575</v>
      </c>
      <c r="G858" s="195" t="s">
        <v>2588</v>
      </c>
      <c r="H858" s="128" t="s">
        <v>1223</v>
      </c>
      <c r="I858" s="121" t="s">
        <v>1575</v>
      </c>
      <c r="J858" s="149">
        <v>44158</v>
      </c>
      <c r="K858" s="22"/>
    </row>
    <row r="859" spans="1:11">
      <c r="A859" s="239" t="s">
        <v>2998</v>
      </c>
      <c r="B859" s="190">
        <v>64516</v>
      </c>
      <c r="C859" s="195" t="s">
        <v>643</v>
      </c>
      <c r="D859" s="195" t="s">
        <v>1324</v>
      </c>
      <c r="E859" s="194" t="s">
        <v>457</v>
      </c>
      <c r="F859" s="236" t="s">
        <v>1575</v>
      </c>
      <c r="G859" s="195" t="s">
        <v>2588</v>
      </c>
      <c r="H859" s="128" t="s">
        <v>771</v>
      </c>
      <c r="I859" s="121" t="s">
        <v>1379</v>
      </c>
      <c r="J859" s="149">
        <v>44158</v>
      </c>
      <c r="K859" s="22"/>
    </row>
    <row r="860" spans="1:11">
      <c r="A860" s="239" t="s">
        <v>3051</v>
      </c>
      <c r="B860" s="190">
        <v>64546</v>
      </c>
      <c r="C860" s="195" t="s">
        <v>643</v>
      </c>
      <c r="D860" s="195" t="s">
        <v>1324</v>
      </c>
      <c r="E860" s="194" t="s">
        <v>609</v>
      </c>
      <c r="F860" s="236" t="s">
        <v>1575</v>
      </c>
      <c r="G860" s="195" t="s">
        <v>2588</v>
      </c>
      <c r="H860" s="128" t="s">
        <v>1223</v>
      </c>
      <c r="I860" s="121" t="s">
        <v>1575</v>
      </c>
      <c r="J860" s="149">
        <v>44158</v>
      </c>
      <c r="K860" s="22"/>
    </row>
    <row r="861" spans="1:11">
      <c r="A861" s="239" t="s">
        <v>3040</v>
      </c>
      <c r="B861" s="190">
        <v>64559</v>
      </c>
      <c r="C861" s="195" t="s">
        <v>643</v>
      </c>
      <c r="D861" s="195" t="s">
        <v>1324</v>
      </c>
      <c r="E861" s="194" t="s">
        <v>1223</v>
      </c>
      <c r="F861" s="236" t="s">
        <v>1575</v>
      </c>
      <c r="G861" s="195" t="s">
        <v>2588</v>
      </c>
      <c r="H861" s="128" t="s">
        <v>845</v>
      </c>
      <c r="I861" s="121" t="s">
        <v>1370</v>
      </c>
      <c r="J861" s="149">
        <v>44158</v>
      </c>
      <c r="K861" s="22"/>
    </row>
    <row r="862" spans="1:11">
      <c r="A862" s="239" t="s">
        <v>3043</v>
      </c>
      <c r="B862" s="190">
        <v>64560</v>
      </c>
      <c r="C862" s="195" t="s">
        <v>643</v>
      </c>
      <c r="D862" s="195" t="s">
        <v>1324</v>
      </c>
      <c r="E862" s="194" t="s">
        <v>457</v>
      </c>
      <c r="F862" s="236" t="s">
        <v>1575</v>
      </c>
      <c r="G862" s="195" t="s">
        <v>2588</v>
      </c>
      <c r="H862" s="128" t="s">
        <v>771</v>
      </c>
      <c r="I862" s="121" t="s">
        <v>1379</v>
      </c>
      <c r="J862" s="149">
        <v>44158</v>
      </c>
      <c r="K862" s="22"/>
    </row>
    <row r="863" spans="1:11">
      <c r="A863" s="239" t="s">
        <v>3162</v>
      </c>
      <c r="B863" s="190">
        <v>70561</v>
      </c>
      <c r="C863" s="195" t="s">
        <v>643</v>
      </c>
      <c r="D863" s="195" t="s">
        <v>1324</v>
      </c>
      <c r="E863" s="194" t="s">
        <v>771</v>
      </c>
      <c r="F863" s="236">
        <v>0</v>
      </c>
      <c r="G863" s="195" t="s">
        <v>2588</v>
      </c>
      <c r="H863" s="128" t="s">
        <v>1223</v>
      </c>
      <c r="I863" s="121" t="s">
        <v>3254</v>
      </c>
      <c r="J863" s="149">
        <v>44158</v>
      </c>
      <c r="K863" s="22"/>
    </row>
    <row r="864" spans="1:11">
      <c r="A864" s="239" t="s">
        <v>3163</v>
      </c>
      <c r="B864" s="190">
        <v>70573</v>
      </c>
      <c r="C864" s="195" t="s">
        <v>643</v>
      </c>
      <c r="D864" s="195" t="s">
        <v>1324</v>
      </c>
      <c r="E864" s="194" t="s">
        <v>771</v>
      </c>
      <c r="F864" s="236">
        <v>0</v>
      </c>
      <c r="G864" s="195" t="s">
        <v>2588</v>
      </c>
      <c r="H864" s="128" t="s">
        <v>1223</v>
      </c>
      <c r="I864" s="121" t="s">
        <v>3254</v>
      </c>
      <c r="J864" s="149">
        <v>44158</v>
      </c>
      <c r="K864" s="22"/>
    </row>
    <row r="865" spans="1:11">
      <c r="A865" s="239" t="s">
        <v>3042</v>
      </c>
      <c r="B865" s="190">
        <v>70589</v>
      </c>
      <c r="C865" s="195" t="s">
        <v>643</v>
      </c>
      <c r="D865" s="195" t="s">
        <v>1324</v>
      </c>
      <c r="E865" s="194" t="s">
        <v>457</v>
      </c>
      <c r="F865" s="236" t="s">
        <v>1575</v>
      </c>
      <c r="G865" s="195" t="s">
        <v>2588</v>
      </c>
      <c r="H865" s="128" t="s">
        <v>1214</v>
      </c>
      <c r="I865" s="121" t="s">
        <v>1379</v>
      </c>
      <c r="J865" s="149">
        <v>44158</v>
      </c>
      <c r="K865" s="22"/>
    </row>
    <row r="866" spans="1:11">
      <c r="A866" s="239" t="s">
        <v>3041</v>
      </c>
      <c r="B866" s="190">
        <v>70590</v>
      </c>
      <c r="C866" s="195" t="s">
        <v>643</v>
      </c>
      <c r="D866" s="195" t="s">
        <v>1324</v>
      </c>
      <c r="E866" s="194" t="s">
        <v>609</v>
      </c>
      <c r="F866" s="236" t="s">
        <v>1575</v>
      </c>
      <c r="G866" s="195" t="s">
        <v>2588</v>
      </c>
      <c r="H866" s="128" t="s">
        <v>771</v>
      </c>
      <c r="I866" s="121" t="s">
        <v>1379</v>
      </c>
      <c r="J866" s="149">
        <v>44158</v>
      </c>
      <c r="K866" s="22"/>
    </row>
    <row r="867" spans="1:11">
      <c r="A867" s="239" t="s">
        <v>2850</v>
      </c>
      <c r="B867" s="190">
        <v>64522</v>
      </c>
      <c r="C867" s="195" t="s">
        <v>643</v>
      </c>
      <c r="D867" s="195" t="s">
        <v>2014</v>
      </c>
      <c r="E867" s="194" t="s">
        <v>220</v>
      </c>
      <c r="F867" s="236" t="s">
        <v>1877</v>
      </c>
      <c r="G867" s="195" t="s">
        <v>2588</v>
      </c>
      <c r="H867" s="128" t="s">
        <v>1262</v>
      </c>
      <c r="I867" s="121" t="s">
        <v>3252</v>
      </c>
      <c r="J867" s="149">
        <v>44158</v>
      </c>
      <c r="K867" s="22"/>
    </row>
    <row r="868" spans="1:11">
      <c r="A868" s="239" t="s">
        <v>3139</v>
      </c>
      <c r="B868" s="190">
        <v>2082</v>
      </c>
      <c r="C868" s="195" t="s">
        <v>223</v>
      </c>
      <c r="D868" s="195" t="s">
        <v>1044</v>
      </c>
      <c r="E868" s="194" t="s">
        <v>772</v>
      </c>
      <c r="F868" s="236" t="s">
        <v>1389</v>
      </c>
      <c r="G868" s="195" t="s">
        <v>2588</v>
      </c>
      <c r="H868" s="145" t="s">
        <v>3250</v>
      </c>
      <c r="I868" s="151" t="s">
        <v>3044</v>
      </c>
      <c r="J868" s="152">
        <v>44158</v>
      </c>
      <c r="K868" s="150" t="s">
        <v>176</v>
      </c>
    </row>
    <row r="869" spans="1:11" s="154" customFormat="1">
      <c r="A869" s="239" t="s">
        <v>3077</v>
      </c>
      <c r="B869" s="190">
        <v>1366</v>
      </c>
      <c r="C869" s="195" t="s">
        <v>223</v>
      </c>
      <c r="D869" s="195" t="s">
        <v>2014</v>
      </c>
      <c r="E869" s="194" t="s">
        <v>435</v>
      </c>
      <c r="F869" s="236" t="s">
        <v>347</v>
      </c>
      <c r="G869" s="195" t="s">
        <v>2588</v>
      </c>
      <c r="H869" s="128" t="s">
        <v>2735</v>
      </c>
      <c r="I869" s="121" t="s">
        <v>2488</v>
      </c>
      <c r="J869" s="149">
        <v>44158</v>
      </c>
      <c r="K869" s="22"/>
    </row>
    <row r="870" spans="1:11">
      <c r="A870" s="239" t="s">
        <v>3280</v>
      </c>
      <c r="B870" s="190">
        <v>70632</v>
      </c>
      <c r="C870" s="195" t="s">
        <v>643</v>
      </c>
      <c r="D870" s="195" t="s">
        <v>450</v>
      </c>
      <c r="E870" s="194" t="s">
        <v>514</v>
      </c>
      <c r="F870" s="236" t="s">
        <v>2472</v>
      </c>
      <c r="G870" s="195" t="s">
        <v>2588</v>
      </c>
      <c r="H870" s="128" t="s">
        <v>511</v>
      </c>
      <c r="I870" s="121" t="s">
        <v>2472</v>
      </c>
      <c r="J870" s="157">
        <v>44159</v>
      </c>
      <c r="K870" s="22" t="s">
        <v>3246</v>
      </c>
    </row>
    <row r="871" spans="1:11">
      <c r="A871" s="239" t="s">
        <v>3059</v>
      </c>
      <c r="B871" s="190">
        <v>70611</v>
      </c>
      <c r="C871" s="195" t="s">
        <v>643</v>
      </c>
      <c r="D871" s="195" t="s">
        <v>450</v>
      </c>
      <c r="E871" s="194" t="s">
        <v>514</v>
      </c>
      <c r="F871" s="236" t="s">
        <v>2472</v>
      </c>
      <c r="G871" s="195" t="s">
        <v>2588</v>
      </c>
      <c r="H871" s="128" t="s">
        <v>515</v>
      </c>
      <c r="I871" s="121" t="s">
        <v>1574</v>
      </c>
      <c r="J871" s="157">
        <v>44159</v>
      </c>
      <c r="K871" s="22" t="s">
        <v>3246</v>
      </c>
    </row>
    <row r="872" spans="1:11">
      <c r="A872" s="239" t="s">
        <v>3098</v>
      </c>
      <c r="B872" s="190">
        <v>2819</v>
      </c>
      <c r="C872" s="195" t="s">
        <v>451</v>
      </c>
      <c r="D872" s="195" t="s">
        <v>450</v>
      </c>
      <c r="E872" s="194" t="s">
        <v>511</v>
      </c>
      <c r="F872" s="236" t="s">
        <v>2472</v>
      </c>
      <c r="G872" s="195" t="s">
        <v>2588</v>
      </c>
      <c r="H872" s="128" t="s">
        <v>514</v>
      </c>
      <c r="I872" s="121" t="s">
        <v>2472</v>
      </c>
      <c r="J872" s="157">
        <v>44159</v>
      </c>
      <c r="K872" s="22" t="s">
        <v>3246</v>
      </c>
    </row>
    <row r="873" spans="1:11">
      <c r="A873" s="239" t="s">
        <v>2955</v>
      </c>
      <c r="B873" s="190">
        <v>2922</v>
      </c>
      <c r="C873" s="195" t="s">
        <v>451</v>
      </c>
      <c r="D873" s="195" t="s">
        <v>1044</v>
      </c>
      <c r="E873" s="194" t="s">
        <v>772</v>
      </c>
      <c r="F873" s="236" t="s">
        <v>1389</v>
      </c>
      <c r="G873" s="195" t="s">
        <v>1433</v>
      </c>
      <c r="H873" s="128" t="s">
        <v>1325</v>
      </c>
      <c r="I873" s="121" t="s">
        <v>2159</v>
      </c>
      <c r="J873" s="166">
        <v>44161</v>
      </c>
      <c r="K873" s="153" t="s">
        <v>3246</v>
      </c>
    </row>
    <row r="874" spans="1:11">
      <c r="A874" s="239" t="s">
        <v>2254</v>
      </c>
      <c r="B874" s="190">
        <v>2068</v>
      </c>
      <c r="C874" s="195" t="s">
        <v>223</v>
      </c>
      <c r="D874" s="195" t="s">
        <v>2283</v>
      </c>
      <c r="E874" s="194" t="s">
        <v>2323</v>
      </c>
      <c r="F874" s="236" t="s">
        <v>1904</v>
      </c>
      <c r="G874" s="195" t="s">
        <v>2588</v>
      </c>
      <c r="H874" s="128" t="s">
        <v>1991</v>
      </c>
      <c r="I874" s="121" t="s">
        <v>1572</v>
      </c>
      <c r="J874" s="157">
        <v>44165</v>
      </c>
      <c r="K874" s="22"/>
    </row>
    <row r="875" spans="1:11">
      <c r="A875" s="239" t="s">
        <v>3114</v>
      </c>
      <c r="B875" s="190">
        <v>586</v>
      </c>
      <c r="C875" s="195" t="s">
        <v>1585</v>
      </c>
      <c r="D875" s="195" t="s">
        <v>3247</v>
      </c>
      <c r="E875" s="194" t="s">
        <v>1967</v>
      </c>
      <c r="F875" s="236" t="s">
        <v>2064</v>
      </c>
      <c r="G875" s="195" t="s">
        <v>2588</v>
      </c>
      <c r="H875" s="128" t="s">
        <v>845</v>
      </c>
      <c r="I875" s="121" t="s">
        <v>1370</v>
      </c>
      <c r="J875" s="106">
        <v>44166</v>
      </c>
      <c r="K875" s="150" t="s">
        <v>3246</v>
      </c>
    </row>
    <row r="876" spans="1:11">
      <c r="A876" s="239" t="s">
        <v>3236</v>
      </c>
      <c r="B876" s="190">
        <v>70616</v>
      </c>
      <c r="C876" s="195" t="s">
        <v>643</v>
      </c>
      <c r="D876" s="195" t="s">
        <v>2014</v>
      </c>
      <c r="E876" s="194" t="s">
        <v>1452</v>
      </c>
      <c r="F876" s="236" t="s">
        <v>1386</v>
      </c>
      <c r="G876" s="195" t="s">
        <v>2588</v>
      </c>
      <c r="H876" s="128" t="s">
        <v>607</v>
      </c>
      <c r="I876" s="159" t="s">
        <v>1877</v>
      </c>
      <c r="J876" s="106">
        <v>44166</v>
      </c>
      <c r="K876" s="22" t="s">
        <v>3246</v>
      </c>
    </row>
    <row r="877" spans="1:11" ht="15" thickBot="1">
      <c r="A877" s="239" t="s">
        <v>3120</v>
      </c>
      <c r="B877" s="190">
        <v>788</v>
      </c>
      <c r="C877" s="195" t="s">
        <v>223</v>
      </c>
      <c r="D877" s="195" t="s">
        <v>2014</v>
      </c>
      <c r="E877" s="194" t="s">
        <v>1262</v>
      </c>
      <c r="F877" s="236" t="s">
        <v>1383</v>
      </c>
      <c r="G877" s="195" t="s">
        <v>2588</v>
      </c>
      <c r="H877" s="160" t="s">
        <v>2686</v>
      </c>
      <c r="I877" s="183" t="s">
        <v>529</v>
      </c>
      <c r="J877" s="161">
        <v>44166</v>
      </c>
      <c r="K877" s="162" t="s">
        <v>3246</v>
      </c>
    </row>
    <row r="878" spans="1:11" ht="15" thickTop="1">
      <c r="A878" s="239" t="s">
        <v>3111</v>
      </c>
      <c r="B878" s="190">
        <v>428</v>
      </c>
      <c r="C878" s="195" t="s">
        <v>1339</v>
      </c>
      <c r="D878" s="195" t="s">
        <v>2283</v>
      </c>
      <c r="E878" s="194" t="s">
        <v>2323</v>
      </c>
      <c r="F878" s="236" t="s">
        <v>1904</v>
      </c>
      <c r="G878" s="195" t="s">
        <v>2588</v>
      </c>
      <c r="H878" s="163" t="s">
        <v>2765</v>
      </c>
      <c r="I878" s="182" t="s">
        <v>1380</v>
      </c>
      <c r="J878" s="185">
        <v>44172</v>
      </c>
      <c r="K878" s="187" t="s">
        <v>3246</v>
      </c>
    </row>
    <row r="879" spans="1:11">
      <c r="A879" s="239" t="s">
        <v>3243</v>
      </c>
      <c r="B879" s="190">
        <v>70618</v>
      </c>
      <c r="C879" s="195" t="s">
        <v>643</v>
      </c>
      <c r="D879" s="195" t="s">
        <v>1827</v>
      </c>
      <c r="E879" s="194" t="s">
        <v>1259</v>
      </c>
      <c r="F879" s="236" t="s">
        <v>1565</v>
      </c>
      <c r="G879" s="195" t="s">
        <v>2588</v>
      </c>
      <c r="H879" s="128" t="s">
        <v>1262</v>
      </c>
      <c r="I879" s="159" t="s">
        <v>1383</v>
      </c>
      <c r="J879" s="104">
        <v>44172</v>
      </c>
      <c r="K879" s="22" t="s">
        <v>3246</v>
      </c>
    </row>
    <row r="880" spans="1:11">
      <c r="A880" s="239" t="s">
        <v>3143</v>
      </c>
      <c r="B880" s="190">
        <v>2223</v>
      </c>
      <c r="C880" s="195" t="s">
        <v>223</v>
      </c>
      <c r="D880" s="195" t="s">
        <v>1433</v>
      </c>
      <c r="E880" s="194" t="s">
        <v>1325</v>
      </c>
      <c r="F880" s="236" t="s">
        <v>2159</v>
      </c>
      <c r="G880" s="195" t="s">
        <v>2588</v>
      </c>
      <c r="H880" s="128" t="s">
        <v>2675</v>
      </c>
      <c r="I880" s="159" t="s">
        <v>339</v>
      </c>
      <c r="J880" s="106">
        <v>44172</v>
      </c>
      <c r="K880" s="150" t="s">
        <v>3246</v>
      </c>
    </row>
    <row r="881" spans="1:11">
      <c r="A881" s="239" t="s">
        <v>3150</v>
      </c>
      <c r="B881" s="190">
        <v>2814</v>
      </c>
      <c r="C881" s="195" t="s">
        <v>223</v>
      </c>
      <c r="D881" s="195" t="s">
        <v>1433</v>
      </c>
      <c r="E881" s="194" t="s">
        <v>844</v>
      </c>
      <c r="F881" s="236" t="s">
        <v>1903</v>
      </c>
      <c r="G881" s="195" t="s">
        <v>2588</v>
      </c>
      <c r="H881" s="128" t="s">
        <v>2686</v>
      </c>
      <c r="I881" s="159" t="s">
        <v>529</v>
      </c>
      <c r="J881" s="106">
        <v>44172</v>
      </c>
      <c r="K881" s="150" t="s">
        <v>3246</v>
      </c>
    </row>
    <row r="882" spans="1:11">
      <c r="A882" s="239" t="s">
        <v>3128</v>
      </c>
      <c r="B882" s="190">
        <v>1439</v>
      </c>
      <c r="C882" s="195" t="s">
        <v>451</v>
      </c>
      <c r="D882" s="195" t="s">
        <v>1435</v>
      </c>
      <c r="E882" s="194" t="s">
        <v>1288</v>
      </c>
      <c r="F882" s="236" t="s">
        <v>1895</v>
      </c>
      <c r="G882" s="195" t="s">
        <v>2588</v>
      </c>
      <c r="H882" s="128" t="s">
        <v>449</v>
      </c>
      <c r="I882" s="159" t="s">
        <v>1899</v>
      </c>
      <c r="J882" s="158">
        <v>44179</v>
      </c>
      <c r="K882" s="22" t="s">
        <v>3246</v>
      </c>
    </row>
    <row r="883" spans="1:11">
      <c r="A883" s="239" t="s">
        <v>3242</v>
      </c>
      <c r="B883" s="190">
        <v>64612</v>
      </c>
      <c r="C883" s="195" t="s">
        <v>643</v>
      </c>
      <c r="D883" s="195" t="s">
        <v>1827</v>
      </c>
      <c r="E883" s="194" t="s">
        <v>1259</v>
      </c>
      <c r="F883" s="236" t="s">
        <v>1902</v>
      </c>
      <c r="G883" s="195" t="s">
        <v>2588</v>
      </c>
      <c r="H883" s="189" t="s">
        <v>595</v>
      </c>
      <c r="I883" s="176" t="s">
        <v>1906</v>
      </c>
      <c r="J883" s="106">
        <v>44179</v>
      </c>
      <c r="K883" s="22"/>
    </row>
    <row r="884" spans="1:11">
      <c r="A884" s="239" t="s">
        <v>3145</v>
      </c>
      <c r="B884" s="190">
        <v>2295</v>
      </c>
      <c r="C884" s="195" t="s">
        <v>223</v>
      </c>
      <c r="D884" s="195" t="s">
        <v>2014</v>
      </c>
      <c r="E884" s="194" t="s">
        <v>1452</v>
      </c>
      <c r="F884" s="236" t="s">
        <v>1386</v>
      </c>
      <c r="G884" s="195" t="s">
        <v>2588</v>
      </c>
      <c r="H884" s="128" t="s">
        <v>2378</v>
      </c>
      <c r="I884" s="159" t="s">
        <v>3282</v>
      </c>
      <c r="J884" s="106">
        <v>44179</v>
      </c>
      <c r="K884" s="22" t="s">
        <v>3246</v>
      </c>
    </row>
    <row r="885" spans="1:11">
      <c r="A885" s="239" t="s">
        <v>3115</v>
      </c>
      <c r="B885" s="190">
        <v>602</v>
      </c>
      <c r="C885" s="195" t="s">
        <v>451</v>
      </c>
      <c r="D885" s="195" t="s">
        <v>2014</v>
      </c>
      <c r="E885" s="194" t="s">
        <v>1262</v>
      </c>
      <c r="F885" s="236" t="s">
        <v>1383</v>
      </c>
      <c r="G885" s="195" t="s">
        <v>2588</v>
      </c>
      <c r="H885" s="189" t="s">
        <v>2378</v>
      </c>
      <c r="I885" s="176" t="s">
        <v>544</v>
      </c>
      <c r="J885" s="106">
        <v>44179</v>
      </c>
      <c r="K885" s="22"/>
    </row>
    <row r="886" spans="1:11">
      <c r="A886" s="239" t="s">
        <v>3049</v>
      </c>
      <c r="B886" s="190">
        <v>64544</v>
      </c>
      <c r="C886" s="195" t="s">
        <v>643</v>
      </c>
      <c r="D886" s="195" t="s">
        <v>1324</v>
      </c>
      <c r="E886" s="194" t="s">
        <v>457</v>
      </c>
      <c r="F886" s="236" t="s">
        <v>1575</v>
      </c>
      <c r="G886" s="195" t="s">
        <v>501</v>
      </c>
      <c r="H886" s="189" t="s">
        <v>1223</v>
      </c>
      <c r="I886" s="224" t="s">
        <v>1575</v>
      </c>
      <c r="J886" s="104">
        <v>44186</v>
      </c>
      <c r="K886" s="22"/>
    </row>
    <row r="887" spans="1:11">
      <c r="A887" s="239" t="s">
        <v>3119</v>
      </c>
      <c r="B887" s="190">
        <v>787</v>
      </c>
      <c r="C887" s="195" t="s">
        <v>451</v>
      </c>
      <c r="D887" s="195" t="s">
        <v>2014</v>
      </c>
      <c r="E887" s="194" t="s">
        <v>1090</v>
      </c>
      <c r="F887" s="236" t="s">
        <v>1908</v>
      </c>
      <c r="G887" s="195" t="s">
        <v>2588</v>
      </c>
      <c r="H887" s="128" t="s">
        <v>2675</v>
      </c>
      <c r="I887" s="159" t="s">
        <v>339</v>
      </c>
      <c r="J887" s="106">
        <v>44186</v>
      </c>
      <c r="K887" s="22" t="s">
        <v>3246</v>
      </c>
    </row>
    <row r="888" spans="1:11">
      <c r="A888" s="239" t="s">
        <v>3137</v>
      </c>
      <c r="B888" s="190">
        <v>2007</v>
      </c>
      <c r="C888" s="195" t="s">
        <v>223</v>
      </c>
      <c r="D888" s="195" t="s">
        <v>1044</v>
      </c>
      <c r="E888" s="194" t="s">
        <v>318</v>
      </c>
      <c r="F888" s="236" t="s">
        <v>2806</v>
      </c>
      <c r="G888" s="195" t="s">
        <v>2588</v>
      </c>
      <c r="H888" s="189" t="s">
        <v>2675</v>
      </c>
      <c r="I888" s="176" t="s">
        <v>339</v>
      </c>
      <c r="J888" s="106">
        <v>44186</v>
      </c>
      <c r="K888" s="22"/>
    </row>
    <row r="889" spans="1:11">
      <c r="A889" s="239" t="s">
        <v>3127</v>
      </c>
      <c r="B889" s="190">
        <v>1221</v>
      </c>
      <c r="C889" s="195" t="s">
        <v>223</v>
      </c>
      <c r="D889" s="195" t="s">
        <v>2014</v>
      </c>
      <c r="E889" s="194" t="s">
        <v>1270</v>
      </c>
      <c r="F889" s="236" t="s">
        <v>346</v>
      </c>
      <c r="G889" s="195" t="s">
        <v>2588</v>
      </c>
      <c r="H889" s="189" t="s">
        <v>2735</v>
      </c>
      <c r="I889" s="176" t="s">
        <v>2488</v>
      </c>
      <c r="J889" s="106">
        <v>44186</v>
      </c>
      <c r="K889" s="22" t="s">
        <v>3246</v>
      </c>
    </row>
    <row r="890" spans="1:11">
      <c r="A890" s="239" t="s">
        <v>3422</v>
      </c>
      <c r="B890" s="190">
        <v>2935</v>
      </c>
      <c r="C890" s="195" t="s">
        <v>686</v>
      </c>
      <c r="D890" s="195" t="s">
        <v>173</v>
      </c>
      <c r="E890" s="194" t="s">
        <v>681</v>
      </c>
      <c r="F890" s="236" t="s">
        <v>1936</v>
      </c>
      <c r="G890" s="195" t="s">
        <v>173</v>
      </c>
      <c r="H890" s="134" t="s">
        <v>3421</v>
      </c>
      <c r="I890" s="156" t="s">
        <v>1922</v>
      </c>
      <c r="J890" s="171">
        <v>44197</v>
      </c>
      <c r="K890" s="22"/>
    </row>
    <row r="891" spans="1:11">
      <c r="A891" s="239" t="s">
        <v>1394</v>
      </c>
      <c r="B891" s="190">
        <v>141</v>
      </c>
      <c r="C891" s="195" t="s">
        <v>223</v>
      </c>
      <c r="D891" s="195" t="s">
        <v>1435</v>
      </c>
      <c r="E891" s="194" t="s">
        <v>2728</v>
      </c>
      <c r="F891" s="236" t="s">
        <v>1913</v>
      </c>
      <c r="G891" s="195" t="s">
        <v>2588</v>
      </c>
      <c r="H891" s="189" t="s">
        <v>2331</v>
      </c>
      <c r="I891" s="176" t="s">
        <v>1913</v>
      </c>
      <c r="J891" s="106">
        <v>44197</v>
      </c>
      <c r="K891" s="22"/>
    </row>
    <row r="892" spans="1:11">
      <c r="A892" s="239" t="s">
        <v>3141</v>
      </c>
      <c r="B892" s="190">
        <v>2177</v>
      </c>
      <c r="C892" s="195" t="s">
        <v>686</v>
      </c>
      <c r="D892" s="195" t="s">
        <v>2641</v>
      </c>
      <c r="E892" s="194" t="s">
        <v>2672</v>
      </c>
      <c r="F892" s="236" t="s">
        <v>1932</v>
      </c>
      <c r="G892" s="195" t="s">
        <v>2588</v>
      </c>
      <c r="H892" s="134" t="s">
        <v>2108</v>
      </c>
      <c r="I892" s="156" t="s">
        <v>1932</v>
      </c>
      <c r="J892" s="158">
        <v>44197</v>
      </c>
      <c r="K892" s="22"/>
    </row>
    <row r="893" spans="1:11">
      <c r="A893" s="239" t="s">
        <v>3113</v>
      </c>
      <c r="B893" s="190">
        <v>578</v>
      </c>
      <c r="C893" s="195" t="s">
        <v>223</v>
      </c>
      <c r="D893" s="195" t="s">
        <v>2283</v>
      </c>
      <c r="E893" s="194" t="s">
        <v>2450</v>
      </c>
      <c r="F893" s="236" t="s">
        <v>1582</v>
      </c>
      <c r="G893" s="195" t="s">
        <v>2588</v>
      </c>
      <c r="H893" s="189" t="s">
        <v>2325</v>
      </c>
      <c r="I893" s="176" t="s">
        <v>3284</v>
      </c>
      <c r="J893" s="106">
        <v>44197</v>
      </c>
      <c r="K893" s="22"/>
    </row>
    <row r="894" spans="1:11">
      <c r="A894" s="239" t="s">
        <v>3337</v>
      </c>
      <c r="B894" s="190">
        <v>64620</v>
      </c>
      <c r="C894" s="195" t="s">
        <v>643</v>
      </c>
      <c r="D894" s="195" t="s">
        <v>2283</v>
      </c>
      <c r="E894" s="194" t="s">
        <v>2325</v>
      </c>
      <c r="F894" s="236" t="s">
        <v>1912</v>
      </c>
      <c r="G894" s="195" t="s">
        <v>2588</v>
      </c>
      <c r="H894" s="191" t="s">
        <v>2450</v>
      </c>
      <c r="I894" s="225" t="s">
        <v>3285</v>
      </c>
      <c r="J894" s="106">
        <v>44197</v>
      </c>
      <c r="K894" s="22"/>
    </row>
    <row r="895" spans="1:11">
      <c r="A895" s="239" t="s">
        <v>1382</v>
      </c>
      <c r="B895" s="190">
        <v>144</v>
      </c>
      <c r="C895" s="195" t="s">
        <v>1586</v>
      </c>
      <c r="D895" s="195" t="s">
        <v>2638</v>
      </c>
      <c r="E895" s="194" t="s">
        <v>235</v>
      </c>
      <c r="F895" s="236" t="s">
        <v>1546</v>
      </c>
      <c r="G895" s="195" t="s">
        <v>2588</v>
      </c>
      <c r="H895" s="189" t="s">
        <v>1991</v>
      </c>
      <c r="I895" s="176" t="s">
        <v>3288</v>
      </c>
      <c r="J895" s="106">
        <v>44197</v>
      </c>
      <c r="K895" s="22" t="s">
        <v>3286</v>
      </c>
    </row>
    <row r="896" spans="1:11">
      <c r="A896" s="239" t="s">
        <v>1922</v>
      </c>
      <c r="B896" s="190">
        <v>476</v>
      </c>
      <c r="C896" s="195" t="s">
        <v>1322</v>
      </c>
      <c r="D896" s="195" t="s">
        <v>2635</v>
      </c>
      <c r="E896" s="194" t="s">
        <v>1484</v>
      </c>
      <c r="F896" s="236" t="s">
        <v>1895</v>
      </c>
      <c r="G896" s="195" t="s">
        <v>2588</v>
      </c>
      <c r="H896" s="189" t="s">
        <v>219</v>
      </c>
      <c r="I896" s="176" t="s">
        <v>1925</v>
      </c>
      <c r="J896" s="106">
        <v>44197</v>
      </c>
      <c r="K896" s="22"/>
    </row>
    <row r="897" spans="1:11">
      <c r="A897" s="239" t="s">
        <v>1554</v>
      </c>
      <c r="B897" s="190">
        <v>68</v>
      </c>
      <c r="C897" s="195" t="s">
        <v>1321</v>
      </c>
      <c r="D897" s="195" t="s">
        <v>1435</v>
      </c>
      <c r="E897" s="194" t="s">
        <v>2738</v>
      </c>
      <c r="F897" s="236" t="s">
        <v>1922</v>
      </c>
      <c r="G897" s="195" t="s">
        <v>2588</v>
      </c>
      <c r="H897" s="189" t="s">
        <v>1484</v>
      </c>
      <c r="I897" s="176" t="s">
        <v>3289</v>
      </c>
      <c r="J897" s="106">
        <v>44197</v>
      </c>
      <c r="K897" s="22"/>
    </row>
    <row r="898" spans="1:11">
      <c r="A898" s="239" t="s">
        <v>3110</v>
      </c>
      <c r="B898" s="190">
        <v>424</v>
      </c>
      <c r="C898" s="195" t="s">
        <v>1585</v>
      </c>
      <c r="D898" s="195" t="s">
        <v>2008</v>
      </c>
      <c r="E898" s="194" t="s">
        <v>1991</v>
      </c>
      <c r="F898" s="236" t="s">
        <v>1572</v>
      </c>
      <c r="G898" s="195" t="s">
        <v>2588</v>
      </c>
      <c r="H898" s="189" t="s">
        <v>2765</v>
      </c>
      <c r="I898" s="176" t="s">
        <v>3283</v>
      </c>
      <c r="J898" s="158">
        <v>44197</v>
      </c>
      <c r="K898" s="22" t="s">
        <v>3286</v>
      </c>
    </row>
    <row r="899" spans="1:11">
      <c r="A899" s="239" t="s">
        <v>3338</v>
      </c>
      <c r="B899" s="190">
        <v>3210</v>
      </c>
      <c r="C899" s="195" t="s">
        <v>2610</v>
      </c>
      <c r="D899" s="195" t="s">
        <v>2640</v>
      </c>
      <c r="E899" s="194" t="s">
        <v>2759</v>
      </c>
      <c r="F899" s="236" t="s">
        <v>1938</v>
      </c>
      <c r="G899" s="195" t="s">
        <v>3336</v>
      </c>
      <c r="H899" s="134" t="s">
        <v>2783</v>
      </c>
      <c r="I899" s="156" t="s">
        <v>1938</v>
      </c>
      <c r="J899" s="158">
        <v>44197</v>
      </c>
      <c r="K899" s="22"/>
    </row>
    <row r="900" spans="1:11">
      <c r="A900" s="239" t="s">
        <v>3339</v>
      </c>
      <c r="B900" s="190">
        <v>1076</v>
      </c>
      <c r="C900" s="195" t="s">
        <v>392</v>
      </c>
      <c r="D900" s="195" t="s">
        <v>2641</v>
      </c>
      <c r="E900" s="194" t="s">
        <v>2672</v>
      </c>
      <c r="F900" s="236" t="s">
        <v>1932</v>
      </c>
      <c r="G900" s="195" t="s">
        <v>2015</v>
      </c>
      <c r="H900" s="189" t="s">
        <v>688</v>
      </c>
      <c r="I900" s="176" t="s">
        <v>3326</v>
      </c>
      <c r="J900" s="106">
        <v>44197</v>
      </c>
      <c r="K900" s="22"/>
    </row>
    <row r="901" spans="1:11">
      <c r="A901" s="239" t="s">
        <v>3031</v>
      </c>
      <c r="B901" s="190">
        <v>2235</v>
      </c>
      <c r="C901" s="195" t="s">
        <v>1339</v>
      </c>
      <c r="D901" s="195" t="s">
        <v>450</v>
      </c>
      <c r="E901" s="194" t="s">
        <v>2979</v>
      </c>
      <c r="F901" s="236" t="s">
        <v>2793</v>
      </c>
      <c r="G901" s="195" t="s">
        <v>742</v>
      </c>
      <c r="H901" s="134" t="s">
        <v>1063</v>
      </c>
      <c r="I901" s="156" t="s">
        <v>1551</v>
      </c>
      <c r="J901" s="171">
        <v>44197</v>
      </c>
      <c r="K901" s="22"/>
    </row>
    <row r="902" spans="1:11">
      <c r="A902" s="239" t="s">
        <v>2110</v>
      </c>
      <c r="B902" s="190">
        <v>187</v>
      </c>
      <c r="C902" s="195" t="s">
        <v>1339</v>
      </c>
      <c r="D902" s="195" t="s">
        <v>2283</v>
      </c>
      <c r="E902" s="194" t="s">
        <v>2325</v>
      </c>
      <c r="F902" s="236" t="s">
        <v>1912</v>
      </c>
      <c r="G902" s="195" t="s">
        <v>2588</v>
      </c>
      <c r="H902" s="189" t="s">
        <v>2378</v>
      </c>
      <c r="I902" s="176" t="s">
        <v>3282</v>
      </c>
      <c r="J902" s="106">
        <v>44197</v>
      </c>
      <c r="K902" s="22" t="s">
        <v>3246</v>
      </c>
    </row>
    <row r="903" spans="1:11">
      <c r="A903" s="239" t="s">
        <v>3123</v>
      </c>
      <c r="B903" s="190">
        <v>978</v>
      </c>
      <c r="C903" s="195" t="s">
        <v>1339</v>
      </c>
      <c r="D903" s="195" t="s">
        <v>1044</v>
      </c>
      <c r="E903" s="194" t="s">
        <v>178</v>
      </c>
      <c r="F903" s="236" t="s">
        <v>1556</v>
      </c>
      <c r="G903" s="195" t="s">
        <v>2588</v>
      </c>
      <c r="H903" s="189" t="s">
        <v>2378</v>
      </c>
      <c r="I903" s="176" t="s">
        <v>544</v>
      </c>
      <c r="J903" s="106">
        <v>44197</v>
      </c>
      <c r="K903" s="22" t="s">
        <v>3246</v>
      </c>
    </row>
    <row r="904" spans="1:11">
      <c r="A904" s="239" t="s">
        <v>540</v>
      </c>
      <c r="B904" s="190">
        <v>416</v>
      </c>
      <c r="C904" s="195" t="s">
        <v>1321</v>
      </c>
      <c r="D904" s="195" t="s">
        <v>1454</v>
      </c>
      <c r="E904" s="194" t="s">
        <v>475</v>
      </c>
      <c r="F904" s="236" t="s">
        <v>1920</v>
      </c>
      <c r="G904" s="195" t="s">
        <v>213</v>
      </c>
      <c r="H904" s="189" t="s">
        <v>395</v>
      </c>
      <c r="I904" s="226" t="s">
        <v>1920</v>
      </c>
      <c r="J904" s="106">
        <v>44200</v>
      </c>
      <c r="K904" s="22"/>
    </row>
    <row r="905" spans="1:11">
      <c r="A905" s="239" t="s">
        <v>3418</v>
      </c>
      <c r="B905" s="190">
        <v>64505</v>
      </c>
      <c r="C905" s="195" t="s">
        <v>643</v>
      </c>
      <c r="D905" s="195" t="s">
        <v>1454</v>
      </c>
      <c r="E905" s="194" t="s">
        <v>395</v>
      </c>
      <c r="F905" s="236" t="s">
        <v>1549</v>
      </c>
      <c r="G905" s="195" t="s">
        <v>213</v>
      </c>
      <c r="H905" s="134" t="s">
        <v>475</v>
      </c>
      <c r="I905" s="156" t="s">
        <v>1550</v>
      </c>
      <c r="J905" s="171">
        <v>44200</v>
      </c>
      <c r="K905" s="22"/>
    </row>
    <row r="906" spans="1:11">
      <c r="A906" s="239" t="s">
        <v>3416</v>
      </c>
      <c r="B906" s="190">
        <v>64640</v>
      </c>
      <c r="C906" s="195" t="s">
        <v>643</v>
      </c>
      <c r="D906" s="195" t="s">
        <v>450</v>
      </c>
      <c r="E906" s="194" t="s">
        <v>512</v>
      </c>
      <c r="F906" s="236" t="s">
        <v>1574</v>
      </c>
      <c r="G906" s="195" t="s">
        <v>450</v>
      </c>
      <c r="H906" s="134" t="s">
        <v>3317</v>
      </c>
      <c r="I906" s="156" t="s">
        <v>1909</v>
      </c>
      <c r="J906" s="158">
        <v>44207</v>
      </c>
      <c r="K906" s="22"/>
    </row>
    <row r="907" spans="1:11">
      <c r="A907" s="239" t="s">
        <v>3058</v>
      </c>
      <c r="B907" s="190">
        <v>64571</v>
      </c>
      <c r="C907" s="195" t="s">
        <v>643</v>
      </c>
      <c r="D907" s="195" t="s">
        <v>450</v>
      </c>
      <c r="E907" s="194" t="s">
        <v>515</v>
      </c>
      <c r="F907" s="236" t="s">
        <v>1574</v>
      </c>
      <c r="G907" s="195" t="s">
        <v>450</v>
      </c>
      <c r="H907" s="134" t="s">
        <v>3317</v>
      </c>
      <c r="I907" s="156" t="s">
        <v>1909</v>
      </c>
      <c r="J907" s="158">
        <v>44207</v>
      </c>
      <c r="K907" s="22"/>
    </row>
    <row r="908" spans="1:11">
      <c r="A908" s="239" t="s">
        <v>3090</v>
      </c>
      <c r="B908" s="190">
        <v>70608</v>
      </c>
      <c r="C908" s="195" t="s">
        <v>643</v>
      </c>
      <c r="D908" s="195" t="s">
        <v>450</v>
      </c>
      <c r="E908" s="194" t="s">
        <v>515</v>
      </c>
      <c r="F908" s="236" t="s">
        <v>1574</v>
      </c>
      <c r="G908" s="195" t="s">
        <v>450</v>
      </c>
      <c r="H908" s="134" t="s">
        <v>3317</v>
      </c>
      <c r="I908" s="156" t="s">
        <v>1909</v>
      </c>
      <c r="J908" s="158">
        <v>44207</v>
      </c>
      <c r="K908" s="22"/>
    </row>
    <row r="909" spans="1:11">
      <c r="A909" s="239" t="s">
        <v>3130</v>
      </c>
      <c r="B909" s="190">
        <v>1670</v>
      </c>
      <c r="C909" s="195" t="s">
        <v>2037</v>
      </c>
      <c r="D909" s="195" t="s">
        <v>1435</v>
      </c>
      <c r="E909" s="194" t="s">
        <v>2728</v>
      </c>
      <c r="F909" s="236" t="s">
        <v>1913</v>
      </c>
      <c r="G909" s="195" t="s">
        <v>1435</v>
      </c>
      <c r="H909" s="189" t="s">
        <v>2331</v>
      </c>
      <c r="I909" s="176" t="s">
        <v>1913</v>
      </c>
      <c r="J909" s="106">
        <v>44207</v>
      </c>
      <c r="K909" s="22"/>
    </row>
    <row r="910" spans="1:11">
      <c r="A910" s="239" t="s">
        <v>3248</v>
      </c>
      <c r="B910" s="190">
        <v>64625</v>
      </c>
      <c r="C910" s="195" t="s">
        <v>643</v>
      </c>
      <c r="D910" s="195" t="s">
        <v>1044</v>
      </c>
      <c r="E910" s="194" t="s">
        <v>772</v>
      </c>
      <c r="F910" s="236" t="s">
        <v>1389</v>
      </c>
      <c r="G910" s="195" t="s">
        <v>1259</v>
      </c>
      <c r="H910" s="189" t="s">
        <v>1259</v>
      </c>
      <c r="I910" s="176" t="s">
        <v>3294</v>
      </c>
      <c r="J910" s="106">
        <v>44207</v>
      </c>
      <c r="K910" s="22"/>
    </row>
    <row r="911" spans="1:11">
      <c r="A911" s="239" t="s">
        <v>3399</v>
      </c>
      <c r="B911" s="190">
        <v>64616</v>
      </c>
      <c r="C911" s="195" t="s">
        <v>643</v>
      </c>
      <c r="D911" s="195" t="s">
        <v>1044</v>
      </c>
      <c r="E911" s="194" t="s">
        <v>597</v>
      </c>
      <c r="F911" s="236" t="s">
        <v>1902</v>
      </c>
      <c r="G911" s="195" t="s">
        <v>1259</v>
      </c>
      <c r="H911" s="134" t="s">
        <v>1259</v>
      </c>
      <c r="I911" s="156" t="s">
        <v>1902</v>
      </c>
      <c r="J911" s="158">
        <v>44207</v>
      </c>
      <c r="K911" s="22"/>
    </row>
    <row r="912" spans="1:11">
      <c r="A912" s="239" t="s">
        <v>2280</v>
      </c>
      <c r="B912" s="190">
        <v>2055</v>
      </c>
      <c r="C912" s="195" t="s">
        <v>223</v>
      </c>
      <c r="D912" s="195" t="s">
        <v>2283</v>
      </c>
      <c r="E912" s="194" t="s">
        <v>3002</v>
      </c>
      <c r="F912" s="236" t="s">
        <v>1881</v>
      </c>
      <c r="G912" s="195" t="s">
        <v>2428</v>
      </c>
      <c r="H912" s="189" t="s">
        <v>2069</v>
      </c>
      <c r="I912" s="176" t="s">
        <v>528</v>
      </c>
      <c r="J912" s="106">
        <v>44207</v>
      </c>
      <c r="K912" s="22"/>
    </row>
    <row r="913" spans="1:11">
      <c r="A913" s="239" t="s">
        <v>3391</v>
      </c>
      <c r="B913" s="190">
        <v>70619</v>
      </c>
      <c r="C913" s="195" t="s">
        <v>643</v>
      </c>
      <c r="D913" s="195" t="s">
        <v>2283</v>
      </c>
      <c r="E913" s="194" t="s">
        <v>2069</v>
      </c>
      <c r="F913" s="236" t="s">
        <v>528</v>
      </c>
      <c r="G913" s="195" t="s">
        <v>2428</v>
      </c>
      <c r="H913" s="191" t="s">
        <v>2450</v>
      </c>
      <c r="I913" s="225" t="s">
        <v>3333</v>
      </c>
      <c r="J913" s="106">
        <v>44207</v>
      </c>
      <c r="K913" s="22"/>
    </row>
    <row r="914" spans="1:11">
      <c r="A914" s="239" t="s">
        <v>3373</v>
      </c>
      <c r="B914" s="190">
        <v>1418</v>
      </c>
      <c r="C914" s="195" t="s">
        <v>451</v>
      </c>
      <c r="D914" s="195" t="s">
        <v>2014</v>
      </c>
      <c r="E914" s="194" t="s">
        <v>503</v>
      </c>
      <c r="F914" s="236" t="s">
        <v>1565</v>
      </c>
      <c r="G914" s="195" t="s">
        <v>2428</v>
      </c>
      <c r="H914" s="189" t="s">
        <v>2377</v>
      </c>
      <c r="I914" s="176" t="s">
        <v>3328</v>
      </c>
      <c r="J914" s="106">
        <v>44207</v>
      </c>
      <c r="K914" s="22"/>
    </row>
    <row r="915" spans="1:11">
      <c r="A915" s="239" t="s">
        <v>3381</v>
      </c>
      <c r="B915" s="190">
        <v>1667</v>
      </c>
      <c r="C915" s="195" t="s">
        <v>451</v>
      </c>
      <c r="D915" s="195" t="s">
        <v>2014</v>
      </c>
      <c r="E915" s="194" t="s">
        <v>1452</v>
      </c>
      <c r="F915" s="236" t="s">
        <v>1386</v>
      </c>
      <c r="G915" s="195" t="s">
        <v>2428</v>
      </c>
      <c r="H915" s="189" t="s">
        <v>2377</v>
      </c>
      <c r="I915" s="176" t="s">
        <v>1395</v>
      </c>
      <c r="J915" s="106">
        <v>44207</v>
      </c>
      <c r="K915" s="22"/>
    </row>
    <row r="916" spans="1:11">
      <c r="A916" s="239" t="s">
        <v>3386</v>
      </c>
      <c r="B916" s="190">
        <v>558</v>
      </c>
      <c r="C916" s="195" t="s">
        <v>223</v>
      </c>
      <c r="D916" s="195" t="s">
        <v>2014</v>
      </c>
      <c r="E916" s="194" t="s">
        <v>1090</v>
      </c>
      <c r="F916" s="236" t="s">
        <v>1908</v>
      </c>
      <c r="G916" s="195" t="s">
        <v>2428</v>
      </c>
      <c r="H916" s="189" t="s">
        <v>2377</v>
      </c>
      <c r="I916" s="176" t="s">
        <v>3328</v>
      </c>
      <c r="J916" s="106">
        <v>44207</v>
      </c>
      <c r="K916" s="22"/>
    </row>
    <row r="917" spans="1:11">
      <c r="A917" s="239" t="s">
        <v>3387</v>
      </c>
      <c r="B917" s="190">
        <v>2916</v>
      </c>
      <c r="C917" s="195" t="s">
        <v>2128</v>
      </c>
      <c r="D917" s="195" t="s">
        <v>2014</v>
      </c>
      <c r="E917" s="194" t="s">
        <v>1090</v>
      </c>
      <c r="F917" s="236" t="s">
        <v>1908</v>
      </c>
      <c r="G917" s="195" t="s">
        <v>2428</v>
      </c>
      <c r="H917" s="191" t="s">
        <v>2377</v>
      </c>
      <c r="I917" s="225" t="s">
        <v>3328</v>
      </c>
      <c r="J917" s="106">
        <v>44207</v>
      </c>
      <c r="K917" s="22"/>
    </row>
    <row r="918" spans="1:11">
      <c r="A918" s="239" t="s">
        <v>3389</v>
      </c>
      <c r="B918" s="190">
        <v>3177</v>
      </c>
      <c r="C918" s="195" t="s">
        <v>451</v>
      </c>
      <c r="D918" s="195" t="s">
        <v>2014</v>
      </c>
      <c r="E918" s="194" t="s">
        <v>1262</v>
      </c>
      <c r="F918" s="236" t="s">
        <v>1383</v>
      </c>
      <c r="G918" s="195" t="s">
        <v>2428</v>
      </c>
      <c r="H918" s="189" t="s">
        <v>2377</v>
      </c>
      <c r="I918" s="176" t="s">
        <v>3332</v>
      </c>
      <c r="J918" s="106">
        <v>44207</v>
      </c>
      <c r="K918" s="22"/>
    </row>
    <row r="919" spans="1:11">
      <c r="A919" s="239" t="s">
        <v>3358</v>
      </c>
      <c r="B919" s="190">
        <v>2200</v>
      </c>
      <c r="C919" s="195" t="s">
        <v>451</v>
      </c>
      <c r="D919" s="195" t="s">
        <v>1044</v>
      </c>
      <c r="E919" s="194" t="s">
        <v>608</v>
      </c>
      <c r="F919" s="236" t="s">
        <v>1584</v>
      </c>
      <c r="G919" s="195" t="s">
        <v>2428</v>
      </c>
      <c r="H919" s="189" t="s">
        <v>2337</v>
      </c>
      <c r="I919" s="176" t="s">
        <v>3293</v>
      </c>
      <c r="J919" s="106">
        <v>44207</v>
      </c>
      <c r="K919" s="22"/>
    </row>
    <row r="920" spans="1:11">
      <c r="A920" s="239" t="s">
        <v>3359</v>
      </c>
      <c r="B920" s="190">
        <v>2241</v>
      </c>
      <c r="C920" s="195" t="s">
        <v>451</v>
      </c>
      <c r="D920" s="195" t="s">
        <v>1044</v>
      </c>
      <c r="E920" s="194" t="s">
        <v>608</v>
      </c>
      <c r="F920" s="236" t="s">
        <v>1584</v>
      </c>
      <c r="G920" s="195" t="s">
        <v>2428</v>
      </c>
      <c r="H920" s="189" t="s">
        <v>2337</v>
      </c>
      <c r="I920" s="176" t="s">
        <v>3293</v>
      </c>
      <c r="J920" s="106">
        <v>44207</v>
      </c>
      <c r="K920" s="22"/>
    </row>
    <row r="921" spans="1:11">
      <c r="A921" s="239" t="s">
        <v>3370</v>
      </c>
      <c r="B921" s="190">
        <v>2034</v>
      </c>
      <c r="C921" s="195" t="s">
        <v>223</v>
      </c>
      <c r="D921" s="195" t="s">
        <v>2014</v>
      </c>
      <c r="E921" s="194" t="s">
        <v>452</v>
      </c>
      <c r="F921" s="236" t="s">
        <v>346</v>
      </c>
      <c r="G921" s="195" t="s">
        <v>2428</v>
      </c>
      <c r="H921" s="189" t="s">
        <v>2337</v>
      </c>
      <c r="I921" s="176" t="s">
        <v>3287</v>
      </c>
      <c r="J921" s="165">
        <v>44207</v>
      </c>
      <c r="K921" s="22"/>
    </row>
    <row r="922" spans="1:11">
      <c r="A922" s="239" t="s">
        <v>3372</v>
      </c>
      <c r="B922" s="190">
        <v>3024</v>
      </c>
      <c r="C922" s="195" t="s">
        <v>2128</v>
      </c>
      <c r="D922" s="195" t="s">
        <v>2014</v>
      </c>
      <c r="E922" s="194" t="s">
        <v>435</v>
      </c>
      <c r="F922" s="236" t="s">
        <v>347</v>
      </c>
      <c r="G922" s="195" t="s">
        <v>2428</v>
      </c>
      <c r="H922" s="189" t="s">
        <v>2337</v>
      </c>
      <c r="I922" s="176" t="s">
        <v>3287</v>
      </c>
      <c r="J922" s="106">
        <v>44207</v>
      </c>
      <c r="K922" s="22"/>
    </row>
    <row r="923" spans="1:11">
      <c r="A923" s="239" t="s">
        <v>3390</v>
      </c>
      <c r="B923" s="190">
        <v>2090</v>
      </c>
      <c r="C923" s="195" t="s">
        <v>451</v>
      </c>
      <c r="D923" s="195" t="s">
        <v>2014</v>
      </c>
      <c r="E923" s="194" t="s">
        <v>454</v>
      </c>
      <c r="F923" s="236" t="s">
        <v>1383</v>
      </c>
      <c r="G923" s="195" t="s">
        <v>2428</v>
      </c>
      <c r="H923" s="189" t="s">
        <v>2337</v>
      </c>
      <c r="I923" s="176" t="s">
        <v>3293</v>
      </c>
      <c r="J923" s="106">
        <v>44207</v>
      </c>
      <c r="K923" s="22"/>
    </row>
    <row r="924" spans="1:11">
      <c r="A924" s="239" t="s">
        <v>3341</v>
      </c>
      <c r="B924" s="190">
        <v>1190</v>
      </c>
      <c r="C924" s="195" t="s">
        <v>223</v>
      </c>
      <c r="D924" s="195" t="s">
        <v>1044</v>
      </c>
      <c r="E924" s="194" t="s">
        <v>178</v>
      </c>
      <c r="F924" s="236" t="s">
        <v>1556</v>
      </c>
      <c r="G924" s="195" t="s">
        <v>2588</v>
      </c>
      <c r="H924" s="189" t="s">
        <v>2943</v>
      </c>
      <c r="I924" s="176" t="s">
        <v>1893</v>
      </c>
      <c r="J924" s="106">
        <v>44207</v>
      </c>
      <c r="K924" s="22"/>
    </row>
    <row r="925" spans="1:11">
      <c r="A925" s="239" t="s">
        <v>2193</v>
      </c>
      <c r="B925" s="190">
        <v>3032</v>
      </c>
      <c r="C925" s="195" t="s">
        <v>2128</v>
      </c>
      <c r="D925" s="195" t="s">
        <v>1044</v>
      </c>
      <c r="E925" s="194" t="s">
        <v>597</v>
      </c>
      <c r="F925" s="236" t="s">
        <v>1902</v>
      </c>
      <c r="G925" s="195" t="s">
        <v>2588</v>
      </c>
      <c r="H925" s="189" t="s">
        <v>2765</v>
      </c>
      <c r="I925" s="176" t="s">
        <v>1380</v>
      </c>
      <c r="J925" s="106">
        <v>44207</v>
      </c>
      <c r="K925" s="22"/>
    </row>
    <row r="926" spans="1:11">
      <c r="A926" s="239" t="s">
        <v>2891</v>
      </c>
      <c r="B926" s="190">
        <v>2994</v>
      </c>
      <c r="C926" s="195" t="s">
        <v>451</v>
      </c>
      <c r="D926" s="195" t="s">
        <v>1044</v>
      </c>
      <c r="E926" s="194" t="s">
        <v>597</v>
      </c>
      <c r="F926" s="236" t="s">
        <v>1902</v>
      </c>
      <c r="G926" s="195" t="s">
        <v>2588</v>
      </c>
      <c r="H926" s="189" t="s">
        <v>3292</v>
      </c>
      <c r="I926" s="176" t="s">
        <v>1380</v>
      </c>
      <c r="J926" s="106">
        <v>44207</v>
      </c>
      <c r="K926" s="22"/>
    </row>
    <row r="927" spans="1:11">
      <c r="A927" s="239" t="s">
        <v>3344</v>
      </c>
      <c r="B927" s="190">
        <v>2063</v>
      </c>
      <c r="C927" s="195" t="s">
        <v>223</v>
      </c>
      <c r="D927" s="195" t="s">
        <v>1044</v>
      </c>
      <c r="E927" s="194" t="s">
        <v>597</v>
      </c>
      <c r="F927" s="236" t="s">
        <v>1902</v>
      </c>
      <c r="G927" s="195" t="s">
        <v>2588</v>
      </c>
      <c r="H927" s="189" t="s">
        <v>2944</v>
      </c>
      <c r="I927" s="176" t="s">
        <v>1555</v>
      </c>
      <c r="J927" s="106">
        <v>44207</v>
      </c>
      <c r="K927" s="22"/>
    </row>
    <row r="928" spans="1:11">
      <c r="A928" s="239" t="s">
        <v>3345</v>
      </c>
      <c r="B928" s="190">
        <v>1881</v>
      </c>
      <c r="C928" s="195" t="s">
        <v>223</v>
      </c>
      <c r="D928" s="195" t="s">
        <v>1044</v>
      </c>
      <c r="E928" s="194" t="s">
        <v>602</v>
      </c>
      <c r="F928" s="236" t="s">
        <v>1392</v>
      </c>
      <c r="G928" s="195" t="s">
        <v>2588</v>
      </c>
      <c r="H928" s="189" t="s">
        <v>2787</v>
      </c>
      <c r="I928" s="176" t="s">
        <v>1555</v>
      </c>
      <c r="J928" s="106">
        <v>44207</v>
      </c>
      <c r="K928" s="22"/>
    </row>
    <row r="929" spans="1:11">
      <c r="A929" s="239" t="s">
        <v>3346</v>
      </c>
      <c r="B929" s="190">
        <v>696</v>
      </c>
      <c r="C929" s="195" t="s">
        <v>223</v>
      </c>
      <c r="D929" s="195" t="s">
        <v>1044</v>
      </c>
      <c r="E929" s="194" t="s">
        <v>602</v>
      </c>
      <c r="F929" s="236" t="s">
        <v>1392</v>
      </c>
      <c r="G929" s="195" t="s">
        <v>2588</v>
      </c>
      <c r="H929" s="191" t="s">
        <v>2765</v>
      </c>
      <c r="I929" s="225" t="s">
        <v>1380</v>
      </c>
      <c r="J929" s="106">
        <v>44207</v>
      </c>
      <c r="K929" s="22"/>
    </row>
    <row r="930" spans="1:11">
      <c r="A930" s="239" t="s">
        <v>3347</v>
      </c>
      <c r="B930" s="190">
        <v>2939</v>
      </c>
      <c r="C930" s="195" t="s">
        <v>223</v>
      </c>
      <c r="D930" s="195" t="s">
        <v>1044</v>
      </c>
      <c r="E930" s="194" t="s">
        <v>602</v>
      </c>
      <c r="F930" s="236" t="s">
        <v>1392</v>
      </c>
      <c r="G930" s="195" t="s">
        <v>2588</v>
      </c>
      <c r="H930" s="189" t="s">
        <v>2787</v>
      </c>
      <c r="I930" s="224" t="s">
        <v>1555</v>
      </c>
      <c r="J930" s="106">
        <v>44207</v>
      </c>
      <c r="K930" s="22"/>
    </row>
    <row r="931" spans="1:11">
      <c r="A931" s="239" t="s">
        <v>3348</v>
      </c>
      <c r="B931" s="190">
        <v>1947</v>
      </c>
      <c r="C931" s="195" t="s">
        <v>223</v>
      </c>
      <c r="D931" s="195" t="s">
        <v>1044</v>
      </c>
      <c r="E931" s="194" t="s">
        <v>437</v>
      </c>
      <c r="F931" s="236" t="s">
        <v>342</v>
      </c>
      <c r="G931" s="195" t="s">
        <v>2588</v>
      </c>
      <c r="H931" s="189" t="s">
        <v>2772</v>
      </c>
      <c r="I931" s="224" t="s">
        <v>1390</v>
      </c>
      <c r="J931" s="106">
        <v>44207</v>
      </c>
      <c r="K931" s="22"/>
    </row>
    <row r="932" spans="1:11">
      <c r="A932" s="239" t="s">
        <v>3350</v>
      </c>
      <c r="B932" s="190">
        <v>2085</v>
      </c>
      <c r="C932" s="195" t="s">
        <v>223</v>
      </c>
      <c r="D932" s="195" t="s">
        <v>1044</v>
      </c>
      <c r="E932" s="194" t="s">
        <v>318</v>
      </c>
      <c r="F932" s="236" t="s">
        <v>2806</v>
      </c>
      <c r="G932" s="195" t="s">
        <v>2588</v>
      </c>
      <c r="H932" s="155" t="s">
        <v>3292</v>
      </c>
      <c r="I932" s="225" t="s">
        <v>1380</v>
      </c>
      <c r="J932" s="106">
        <v>44207</v>
      </c>
      <c r="K932" s="22"/>
    </row>
    <row r="933" spans="1:11">
      <c r="A933" s="239" t="s">
        <v>2991</v>
      </c>
      <c r="B933" s="190">
        <v>3033</v>
      </c>
      <c r="C933" s="195" t="s">
        <v>451</v>
      </c>
      <c r="D933" s="195" t="s">
        <v>1044</v>
      </c>
      <c r="E933" s="194" t="s">
        <v>318</v>
      </c>
      <c r="F933" s="236" t="s">
        <v>2806</v>
      </c>
      <c r="G933" s="195" t="s">
        <v>2588</v>
      </c>
      <c r="H933" s="155" t="s">
        <v>2765</v>
      </c>
      <c r="I933" s="224" t="s">
        <v>1380</v>
      </c>
      <c r="J933" s="104">
        <v>44207</v>
      </c>
      <c r="K933" s="22"/>
    </row>
    <row r="934" spans="1:11">
      <c r="A934" s="239" t="s">
        <v>3351</v>
      </c>
      <c r="B934" s="190">
        <v>2340</v>
      </c>
      <c r="C934" s="195" t="s">
        <v>223</v>
      </c>
      <c r="D934" s="195" t="s">
        <v>1044</v>
      </c>
      <c r="E934" s="194" t="s">
        <v>318</v>
      </c>
      <c r="F934" s="236" t="s">
        <v>2806</v>
      </c>
      <c r="G934" s="195" t="s">
        <v>2588</v>
      </c>
      <c r="H934" s="155" t="s">
        <v>2787</v>
      </c>
      <c r="I934" s="176" t="s">
        <v>1555</v>
      </c>
      <c r="J934" s="106">
        <v>44207</v>
      </c>
      <c r="K934" s="22"/>
    </row>
    <row r="935" spans="1:11">
      <c r="A935" s="239" t="s">
        <v>3352</v>
      </c>
      <c r="B935" s="190">
        <v>2230</v>
      </c>
      <c r="C935" s="195" t="s">
        <v>223</v>
      </c>
      <c r="D935" s="195" t="s">
        <v>1044</v>
      </c>
      <c r="E935" s="194" t="s">
        <v>772</v>
      </c>
      <c r="F935" s="236" t="s">
        <v>1389</v>
      </c>
      <c r="G935" s="195" t="s">
        <v>2588</v>
      </c>
      <c r="H935" s="155" t="s">
        <v>2944</v>
      </c>
      <c r="I935" s="176" t="s">
        <v>1555</v>
      </c>
      <c r="J935" s="106">
        <v>44207</v>
      </c>
      <c r="K935" s="22"/>
    </row>
    <row r="936" spans="1:11">
      <c r="A936" s="239" t="s">
        <v>3353</v>
      </c>
      <c r="B936" s="190">
        <v>2432</v>
      </c>
      <c r="C936" s="195" t="s">
        <v>223</v>
      </c>
      <c r="D936" s="195" t="s">
        <v>1044</v>
      </c>
      <c r="E936" s="194" t="s">
        <v>772</v>
      </c>
      <c r="F936" s="236" t="s">
        <v>1389</v>
      </c>
      <c r="G936" s="195" t="s">
        <v>2588</v>
      </c>
      <c r="H936" s="155" t="s">
        <v>3292</v>
      </c>
      <c r="I936" s="224" t="s">
        <v>1380</v>
      </c>
      <c r="J936" s="104">
        <v>44207</v>
      </c>
      <c r="K936" s="22"/>
    </row>
    <row r="937" spans="1:11">
      <c r="A937" s="239" t="s">
        <v>3354</v>
      </c>
      <c r="B937" s="190">
        <v>2254</v>
      </c>
      <c r="C937" s="195" t="s">
        <v>223</v>
      </c>
      <c r="D937" s="195" t="s">
        <v>1044</v>
      </c>
      <c r="E937" s="194" t="s">
        <v>772</v>
      </c>
      <c r="F937" s="236" t="s">
        <v>1389</v>
      </c>
      <c r="G937" s="195" t="s">
        <v>2588</v>
      </c>
      <c r="H937" s="155" t="s">
        <v>3292</v>
      </c>
      <c r="I937" s="224" t="s">
        <v>1380</v>
      </c>
      <c r="J937" s="104">
        <v>44207</v>
      </c>
      <c r="K937" s="22"/>
    </row>
    <row r="938" spans="1:11">
      <c r="A938" s="239" t="s">
        <v>3355</v>
      </c>
      <c r="B938" s="190">
        <v>2301</v>
      </c>
      <c r="C938" s="195" t="s">
        <v>451</v>
      </c>
      <c r="D938" s="195" t="s">
        <v>1044</v>
      </c>
      <c r="E938" s="194" t="s">
        <v>1264</v>
      </c>
      <c r="F938" s="236" t="s">
        <v>3105</v>
      </c>
      <c r="G938" s="195" t="s">
        <v>2588</v>
      </c>
      <c r="H938" s="155" t="s">
        <v>2944</v>
      </c>
      <c r="I938" s="176" t="s">
        <v>1555</v>
      </c>
      <c r="J938" s="106">
        <v>44207</v>
      </c>
      <c r="K938" s="22"/>
    </row>
    <row r="939" spans="1:11">
      <c r="A939" s="239" t="s">
        <v>3356</v>
      </c>
      <c r="B939" s="190">
        <v>2199</v>
      </c>
      <c r="C939" s="195" t="s">
        <v>451</v>
      </c>
      <c r="D939" s="195" t="s">
        <v>1044</v>
      </c>
      <c r="E939" s="194" t="s">
        <v>596</v>
      </c>
      <c r="F939" s="236" t="s">
        <v>2277</v>
      </c>
      <c r="G939" s="195" t="s">
        <v>2588</v>
      </c>
      <c r="H939" s="164" t="s">
        <v>2999</v>
      </c>
      <c r="I939" s="227"/>
      <c r="J939" s="106">
        <v>44207</v>
      </c>
      <c r="K939" s="22"/>
    </row>
    <row r="940" spans="1:11">
      <c r="A940" s="239" t="s">
        <v>3357</v>
      </c>
      <c r="B940" s="190">
        <v>2313</v>
      </c>
      <c r="C940" s="195" t="s">
        <v>451</v>
      </c>
      <c r="D940" s="195" t="s">
        <v>1044</v>
      </c>
      <c r="E940" s="194" t="s">
        <v>438</v>
      </c>
      <c r="F940" s="236" t="s">
        <v>1391</v>
      </c>
      <c r="G940" s="195" t="s">
        <v>2588</v>
      </c>
      <c r="H940" s="155" t="s">
        <v>2809</v>
      </c>
      <c r="I940" s="176" t="s">
        <v>1893</v>
      </c>
      <c r="J940" s="106">
        <v>44207</v>
      </c>
      <c r="K940" s="22"/>
    </row>
    <row r="941" spans="1:11">
      <c r="A941" s="239" t="s">
        <v>3360</v>
      </c>
      <c r="B941" s="190">
        <v>3085</v>
      </c>
      <c r="C941" s="195" t="s">
        <v>2128</v>
      </c>
      <c r="D941" s="195" t="s">
        <v>1044</v>
      </c>
      <c r="E941" s="194" t="s">
        <v>318</v>
      </c>
      <c r="F941" s="236" t="s">
        <v>2806</v>
      </c>
      <c r="G941" s="195" t="s">
        <v>1315</v>
      </c>
      <c r="H941" s="189" t="s">
        <v>238</v>
      </c>
      <c r="I941" s="176" t="s">
        <v>3294</v>
      </c>
      <c r="J941" s="106">
        <v>44207</v>
      </c>
      <c r="K941" s="22"/>
    </row>
    <row r="942" spans="1:11">
      <c r="A942" s="239" t="s">
        <v>3361</v>
      </c>
      <c r="B942" s="190">
        <v>64583</v>
      </c>
      <c r="C942" s="195" t="s">
        <v>643</v>
      </c>
      <c r="D942" s="195" t="s">
        <v>1044</v>
      </c>
      <c r="E942" s="194" t="s">
        <v>318</v>
      </c>
      <c r="F942" s="236" t="s">
        <v>2806</v>
      </c>
      <c r="G942" s="195" t="s">
        <v>1315</v>
      </c>
      <c r="H942" s="189" t="s">
        <v>238</v>
      </c>
      <c r="I942" s="176" t="s">
        <v>3294</v>
      </c>
      <c r="J942" s="106">
        <v>44207</v>
      </c>
      <c r="K942" s="22"/>
    </row>
    <row r="943" spans="1:11" ht="18.75" customHeight="1">
      <c r="A943" s="239" t="s">
        <v>3362</v>
      </c>
      <c r="B943" s="190">
        <v>70623</v>
      </c>
      <c r="C943" s="195" t="s">
        <v>643</v>
      </c>
      <c r="D943" s="195" t="s">
        <v>1044</v>
      </c>
      <c r="E943" s="194" t="s">
        <v>318</v>
      </c>
      <c r="F943" s="236" t="s">
        <v>2806</v>
      </c>
      <c r="G943" s="195" t="s">
        <v>1315</v>
      </c>
      <c r="H943" s="189" t="s">
        <v>238</v>
      </c>
      <c r="I943" s="176" t="s">
        <v>3294</v>
      </c>
      <c r="J943" s="106">
        <v>44207</v>
      </c>
      <c r="K943" s="22"/>
    </row>
    <row r="944" spans="1:11" ht="18.75" customHeight="1">
      <c r="A944" s="239" t="s">
        <v>3363</v>
      </c>
      <c r="B944" s="190">
        <v>70627</v>
      </c>
      <c r="C944" s="195" t="s">
        <v>643</v>
      </c>
      <c r="D944" s="195" t="s">
        <v>1044</v>
      </c>
      <c r="E944" s="194" t="s">
        <v>772</v>
      </c>
      <c r="F944" s="236" t="s">
        <v>1389</v>
      </c>
      <c r="G944" s="195" t="s">
        <v>1315</v>
      </c>
      <c r="H944" s="189" t="s">
        <v>238</v>
      </c>
      <c r="I944" s="176" t="s">
        <v>3294</v>
      </c>
      <c r="J944" s="106">
        <v>44207</v>
      </c>
      <c r="K944" s="22"/>
    </row>
    <row r="945" spans="1:11" ht="18.75" customHeight="1">
      <c r="A945" s="239" t="s">
        <v>3364</v>
      </c>
      <c r="B945" s="190">
        <v>248</v>
      </c>
      <c r="C945" s="195" t="s">
        <v>1585</v>
      </c>
      <c r="D945" s="195" t="s">
        <v>1044</v>
      </c>
      <c r="E945" s="194" t="s">
        <v>772</v>
      </c>
      <c r="F945" s="236" t="s">
        <v>1389</v>
      </c>
      <c r="G945" s="195" t="s">
        <v>1315</v>
      </c>
      <c r="H945" s="189" t="s">
        <v>238</v>
      </c>
      <c r="I945" s="176" t="s">
        <v>3294</v>
      </c>
      <c r="J945" s="106">
        <v>44207</v>
      </c>
      <c r="K945" s="22"/>
    </row>
    <row r="946" spans="1:11" ht="18.75" customHeight="1">
      <c r="A946" s="239" t="s">
        <v>3365</v>
      </c>
      <c r="B946" s="190">
        <v>1729</v>
      </c>
      <c r="C946" s="195" t="s">
        <v>223</v>
      </c>
      <c r="D946" s="195" t="s">
        <v>1044</v>
      </c>
      <c r="E946" s="194" t="s">
        <v>772</v>
      </c>
      <c r="F946" s="236" t="s">
        <v>1389</v>
      </c>
      <c r="G946" s="195" t="s">
        <v>1315</v>
      </c>
      <c r="H946" s="189" t="s">
        <v>238</v>
      </c>
      <c r="I946" s="176" t="s">
        <v>3294</v>
      </c>
      <c r="J946" s="106">
        <v>44207</v>
      </c>
      <c r="K946" s="22"/>
    </row>
    <row r="947" spans="1:11" ht="18.75" customHeight="1">
      <c r="A947" s="239" t="s">
        <v>3366</v>
      </c>
      <c r="B947" s="190">
        <v>205</v>
      </c>
      <c r="C947" s="195" t="s">
        <v>1339</v>
      </c>
      <c r="D947" s="195" t="s">
        <v>1044</v>
      </c>
      <c r="E947" s="194" t="s">
        <v>1081</v>
      </c>
      <c r="F947" s="236" t="s">
        <v>2547</v>
      </c>
      <c r="G947" s="195" t="s">
        <v>1315</v>
      </c>
      <c r="H947" s="189" t="s">
        <v>238</v>
      </c>
      <c r="I947" s="176" t="s">
        <v>3294</v>
      </c>
      <c r="J947" s="106">
        <v>44207</v>
      </c>
      <c r="K947" s="22"/>
    </row>
    <row r="948" spans="1:11">
      <c r="A948" s="239" t="s">
        <v>3367</v>
      </c>
      <c r="B948" s="190">
        <v>1301</v>
      </c>
      <c r="C948" s="195" t="s">
        <v>223</v>
      </c>
      <c r="D948" s="195" t="s">
        <v>1044</v>
      </c>
      <c r="E948" s="194" t="s">
        <v>1081</v>
      </c>
      <c r="F948" s="236" t="s">
        <v>2547</v>
      </c>
      <c r="G948" s="195" t="s">
        <v>1315</v>
      </c>
      <c r="H948" s="189" t="s">
        <v>238</v>
      </c>
      <c r="I948" s="176" t="s">
        <v>3294</v>
      </c>
      <c r="J948" s="106">
        <v>44207</v>
      </c>
      <c r="K948" s="22"/>
    </row>
    <row r="949" spans="1:11">
      <c r="A949" s="239" t="s">
        <v>2990</v>
      </c>
      <c r="B949" s="190">
        <v>70547</v>
      </c>
      <c r="C949" s="195" t="s">
        <v>643</v>
      </c>
      <c r="D949" s="195" t="s">
        <v>1044</v>
      </c>
      <c r="E949" s="194" t="s">
        <v>1264</v>
      </c>
      <c r="F949" s="236" t="s">
        <v>3105</v>
      </c>
      <c r="G949" s="195" t="s">
        <v>1315</v>
      </c>
      <c r="H949" s="189" t="s">
        <v>238</v>
      </c>
      <c r="I949" s="176" t="s">
        <v>3294</v>
      </c>
      <c r="J949" s="106">
        <v>44207</v>
      </c>
      <c r="K949" s="22"/>
    </row>
    <row r="950" spans="1:11">
      <c r="A950" s="239" t="s">
        <v>3368</v>
      </c>
      <c r="B950" s="190">
        <v>1998</v>
      </c>
      <c r="C950" s="195" t="s">
        <v>223</v>
      </c>
      <c r="D950" s="195" t="s">
        <v>1044</v>
      </c>
      <c r="E950" s="194" t="s">
        <v>1264</v>
      </c>
      <c r="F950" s="236" t="s">
        <v>3105</v>
      </c>
      <c r="G950" s="195" t="s">
        <v>1315</v>
      </c>
      <c r="H950" s="189" t="s">
        <v>238</v>
      </c>
      <c r="I950" s="176" t="s">
        <v>3294</v>
      </c>
      <c r="J950" s="106">
        <v>44207</v>
      </c>
      <c r="K950" s="22"/>
    </row>
    <row r="951" spans="1:11">
      <c r="A951" s="239" t="s">
        <v>2878</v>
      </c>
      <c r="B951" s="190">
        <v>2965</v>
      </c>
      <c r="C951" s="195" t="s">
        <v>451</v>
      </c>
      <c r="D951" s="195" t="s">
        <v>1044</v>
      </c>
      <c r="E951" s="194" t="s">
        <v>596</v>
      </c>
      <c r="F951" s="236" t="s">
        <v>2277</v>
      </c>
      <c r="G951" s="195" t="s">
        <v>1315</v>
      </c>
      <c r="H951" s="189" t="s">
        <v>238</v>
      </c>
      <c r="I951" s="176" t="s">
        <v>3294</v>
      </c>
      <c r="J951" s="106">
        <v>44207</v>
      </c>
      <c r="K951" s="22"/>
    </row>
    <row r="952" spans="1:11">
      <c r="A952" s="239" t="s">
        <v>3369</v>
      </c>
      <c r="B952" s="190">
        <v>2470</v>
      </c>
      <c r="C952" s="195" t="s">
        <v>451</v>
      </c>
      <c r="D952" s="195" t="s">
        <v>1044</v>
      </c>
      <c r="E952" s="194" t="s">
        <v>596</v>
      </c>
      <c r="F952" s="236" t="s">
        <v>2277</v>
      </c>
      <c r="G952" s="195" t="s">
        <v>1315</v>
      </c>
      <c r="H952" s="189" t="s">
        <v>238</v>
      </c>
      <c r="I952" s="176" t="s">
        <v>3294</v>
      </c>
      <c r="J952" s="106">
        <v>44207</v>
      </c>
      <c r="K952" s="22"/>
    </row>
    <row r="953" spans="1:11">
      <c r="A953" s="239" t="s">
        <v>1567</v>
      </c>
      <c r="B953" s="190">
        <v>674</v>
      </c>
      <c r="C953" s="195" t="s">
        <v>1320</v>
      </c>
      <c r="D953" s="195" t="s">
        <v>1435</v>
      </c>
      <c r="E953" s="194" t="s">
        <v>2160</v>
      </c>
      <c r="F953" s="236" t="s">
        <v>2129</v>
      </c>
      <c r="G953" s="195" t="s">
        <v>1435</v>
      </c>
      <c r="H953" s="134" t="s">
        <v>2738</v>
      </c>
      <c r="I953" s="156" t="s">
        <v>3327</v>
      </c>
      <c r="J953" s="158">
        <v>44207</v>
      </c>
      <c r="K953" s="22"/>
    </row>
    <row r="954" spans="1:11">
      <c r="A954" s="239" t="s">
        <v>3371</v>
      </c>
      <c r="B954" s="190">
        <v>2076</v>
      </c>
      <c r="C954" s="195" t="s">
        <v>223</v>
      </c>
      <c r="D954" s="195" t="s">
        <v>1324</v>
      </c>
      <c r="E954" s="194" t="s">
        <v>179</v>
      </c>
      <c r="F954" s="236" t="s">
        <v>1543</v>
      </c>
      <c r="G954" s="195" t="s">
        <v>501</v>
      </c>
      <c r="H954" s="134" t="s">
        <v>177</v>
      </c>
      <c r="I954" s="156" t="s">
        <v>1543</v>
      </c>
      <c r="J954" s="158">
        <v>44207</v>
      </c>
      <c r="K954" s="22"/>
    </row>
    <row r="955" spans="1:11">
      <c r="A955" s="239" t="s">
        <v>2191</v>
      </c>
      <c r="B955" s="190">
        <v>2988</v>
      </c>
      <c r="C955" s="195" t="s">
        <v>2128</v>
      </c>
      <c r="D955" s="195" t="s">
        <v>1454</v>
      </c>
      <c r="E955" s="194" t="s">
        <v>475</v>
      </c>
      <c r="F955" s="236" t="s">
        <v>1550</v>
      </c>
      <c r="G955" s="195" t="s">
        <v>1260</v>
      </c>
      <c r="H955" s="189" t="s">
        <v>452</v>
      </c>
      <c r="I955" s="176" t="s">
        <v>3330</v>
      </c>
      <c r="J955" s="165">
        <v>44207</v>
      </c>
      <c r="K955" s="22"/>
    </row>
    <row r="956" spans="1:11">
      <c r="A956" s="239" t="s">
        <v>3377</v>
      </c>
      <c r="B956" s="190">
        <v>2388</v>
      </c>
      <c r="C956" s="195" t="s">
        <v>451</v>
      </c>
      <c r="D956" s="195" t="s">
        <v>2014</v>
      </c>
      <c r="E956" s="194" t="s">
        <v>1452</v>
      </c>
      <c r="F956" s="236" t="s">
        <v>1386</v>
      </c>
      <c r="G956" s="195" t="s">
        <v>2428</v>
      </c>
      <c r="H956" s="189" t="s">
        <v>2378</v>
      </c>
      <c r="I956" s="176" t="s">
        <v>544</v>
      </c>
      <c r="J956" s="106">
        <v>44207</v>
      </c>
      <c r="K956" s="22"/>
    </row>
    <row r="957" spans="1:11">
      <c r="A957" s="239" t="s">
        <v>3383</v>
      </c>
      <c r="B957" s="190">
        <v>3096</v>
      </c>
      <c r="C957" s="195" t="s">
        <v>2128</v>
      </c>
      <c r="D957" s="195" t="s">
        <v>2014</v>
      </c>
      <c r="E957" s="194" t="s">
        <v>452</v>
      </c>
      <c r="F957" s="236" t="s">
        <v>346</v>
      </c>
      <c r="G957" s="195" t="s">
        <v>2428</v>
      </c>
      <c r="H957" s="189" t="s">
        <v>2378</v>
      </c>
      <c r="I957" s="225" t="s">
        <v>544</v>
      </c>
      <c r="J957" s="106">
        <v>44207</v>
      </c>
      <c r="K957" s="22"/>
    </row>
    <row r="958" spans="1:11">
      <c r="A958" s="239" t="s">
        <v>3392</v>
      </c>
      <c r="B958" s="190">
        <v>2901</v>
      </c>
      <c r="C958" s="195" t="s">
        <v>2128</v>
      </c>
      <c r="D958" s="195" t="s">
        <v>1044</v>
      </c>
      <c r="E958" s="194" t="s">
        <v>1483</v>
      </c>
      <c r="F958" s="236" t="s">
        <v>2406</v>
      </c>
      <c r="G958" s="195" t="s">
        <v>1315</v>
      </c>
      <c r="H958" s="189" t="s">
        <v>238</v>
      </c>
      <c r="I958" s="176" t="s">
        <v>3294</v>
      </c>
      <c r="J958" s="106">
        <v>44207</v>
      </c>
      <c r="K958" s="22"/>
    </row>
    <row r="959" spans="1:11">
      <c r="A959" s="239" t="s">
        <v>3393</v>
      </c>
      <c r="B959" s="190">
        <v>64597</v>
      </c>
      <c r="C959" s="195" t="s">
        <v>643</v>
      </c>
      <c r="D959" s="195" t="s">
        <v>1044</v>
      </c>
      <c r="E959" s="194" t="s">
        <v>1483</v>
      </c>
      <c r="F959" s="236" t="s">
        <v>2406</v>
      </c>
      <c r="G959" s="195" t="s">
        <v>1315</v>
      </c>
      <c r="H959" s="191" t="s">
        <v>238</v>
      </c>
      <c r="I959" s="176" t="s">
        <v>3294</v>
      </c>
      <c r="J959" s="106">
        <v>44207</v>
      </c>
      <c r="K959" s="22"/>
    </row>
    <row r="960" spans="1:11">
      <c r="A960" s="239" t="s">
        <v>3394</v>
      </c>
      <c r="B960" s="190">
        <v>64591</v>
      </c>
      <c r="C960" s="195" t="s">
        <v>643</v>
      </c>
      <c r="D960" s="195" t="s">
        <v>1044</v>
      </c>
      <c r="E960" s="194" t="s">
        <v>1483</v>
      </c>
      <c r="F960" s="236" t="s">
        <v>2406</v>
      </c>
      <c r="G960" s="195" t="s">
        <v>1315</v>
      </c>
      <c r="H960" s="189" t="s">
        <v>238</v>
      </c>
      <c r="I960" s="176" t="s">
        <v>3294</v>
      </c>
      <c r="J960" s="106">
        <v>44207</v>
      </c>
      <c r="K960" s="22"/>
    </row>
    <row r="961" spans="1:11">
      <c r="A961" s="239" t="s">
        <v>3395</v>
      </c>
      <c r="B961" s="190">
        <v>70645</v>
      </c>
      <c r="C961" s="195" t="s">
        <v>643</v>
      </c>
      <c r="D961" s="195" t="s">
        <v>1044</v>
      </c>
      <c r="E961" s="194" t="s">
        <v>602</v>
      </c>
      <c r="F961" s="236" t="s">
        <v>1392</v>
      </c>
      <c r="G961" s="195" t="s">
        <v>1315</v>
      </c>
      <c r="H961" s="189" t="s">
        <v>238</v>
      </c>
      <c r="I961" s="176" t="s">
        <v>3294</v>
      </c>
      <c r="J961" s="106">
        <v>44207</v>
      </c>
      <c r="K961" s="22"/>
    </row>
    <row r="962" spans="1:11">
      <c r="A962" s="239" t="s">
        <v>3396</v>
      </c>
      <c r="B962" s="190">
        <v>64624</v>
      </c>
      <c r="C962" s="195" t="s">
        <v>643</v>
      </c>
      <c r="D962" s="195" t="s">
        <v>1044</v>
      </c>
      <c r="E962" s="194" t="s">
        <v>602</v>
      </c>
      <c r="F962" s="236" t="s">
        <v>1392</v>
      </c>
      <c r="G962" s="195" t="s">
        <v>1315</v>
      </c>
      <c r="H962" s="189" t="s">
        <v>238</v>
      </c>
      <c r="I962" s="176" t="s">
        <v>3294</v>
      </c>
      <c r="J962" s="106">
        <v>44207</v>
      </c>
      <c r="K962" s="22"/>
    </row>
    <row r="963" spans="1:11">
      <c r="A963" s="239" t="s">
        <v>2887</v>
      </c>
      <c r="B963" s="190">
        <v>1662</v>
      </c>
      <c r="C963" s="195" t="s">
        <v>451</v>
      </c>
      <c r="D963" s="195" t="s">
        <v>1044</v>
      </c>
      <c r="E963" s="194" t="s">
        <v>597</v>
      </c>
      <c r="F963" s="236" t="s">
        <v>1902</v>
      </c>
      <c r="G963" s="195" t="s">
        <v>1315</v>
      </c>
      <c r="H963" s="189" t="s">
        <v>238</v>
      </c>
      <c r="I963" s="176" t="s">
        <v>3294</v>
      </c>
      <c r="J963" s="106">
        <v>44207</v>
      </c>
      <c r="K963" s="22"/>
    </row>
    <row r="964" spans="1:11">
      <c r="A964" s="239" t="s">
        <v>3397</v>
      </c>
      <c r="B964" s="190">
        <v>64568</v>
      </c>
      <c r="C964" s="195" t="s">
        <v>643</v>
      </c>
      <c r="D964" s="195" t="s">
        <v>1044</v>
      </c>
      <c r="E964" s="194" t="s">
        <v>597</v>
      </c>
      <c r="F964" s="236" t="s">
        <v>1902</v>
      </c>
      <c r="G964" s="195" t="s">
        <v>1315</v>
      </c>
      <c r="H964" s="189" t="s">
        <v>238</v>
      </c>
      <c r="I964" s="176" t="s">
        <v>3294</v>
      </c>
      <c r="J964" s="106">
        <v>44207</v>
      </c>
      <c r="K964" s="22"/>
    </row>
    <row r="965" spans="1:11">
      <c r="A965" s="239" t="s">
        <v>3398</v>
      </c>
      <c r="B965" s="190">
        <v>64611</v>
      </c>
      <c r="C965" s="195" t="s">
        <v>643</v>
      </c>
      <c r="D965" s="195" t="s">
        <v>1044</v>
      </c>
      <c r="E965" s="194" t="s">
        <v>597</v>
      </c>
      <c r="F965" s="236" t="s">
        <v>1902</v>
      </c>
      <c r="G965" s="195" t="s">
        <v>1315</v>
      </c>
      <c r="H965" s="189" t="s">
        <v>238</v>
      </c>
      <c r="I965" s="176" t="s">
        <v>3294</v>
      </c>
      <c r="J965" s="106">
        <v>44207</v>
      </c>
      <c r="K965" s="22"/>
    </row>
    <row r="966" spans="1:11">
      <c r="A966" s="239" t="s">
        <v>3399</v>
      </c>
      <c r="B966" s="190">
        <v>64616</v>
      </c>
      <c r="C966" s="195" t="s">
        <v>643</v>
      </c>
      <c r="D966" s="195" t="s">
        <v>1044</v>
      </c>
      <c r="E966" s="194" t="s">
        <v>597</v>
      </c>
      <c r="F966" s="236" t="s">
        <v>1902</v>
      </c>
      <c r="G966" s="195" t="s">
        <v>1315</v>
      </c>
      <c r="H966" s="189" t="s">
        <v>238</v>
      </c>
      <c r="I966" s="176" t="s">
        <v>3294</v>
      </c>
      <c r="J966" s="106">
        <v>44207</v>
      </c>
      <c r="K966" s="22"/>
    </row>
    <row r="967" spans="1:11">
      <c r="A967" s="239" t="s">
        <v>1544</v>
      </c>
      <c r="B967" s="190">
        <v>2247</v>
      </c>
      <c r="C967" s="195" t="s">
        <v>223</v>
      </c>
      <c r="D967" s="195" t="s">
        <v>1044</v>
      </c>
      <c r="E967" s="194" t="s">
        <v>595</v>
      </c>
      <c r="F967" s="236" t="s">
        <v>1906</v>
      </c>
      <c r="G967" s="195" t="s">
        <v>1315</v>
      </c>
      <c r="H967" s="189" t="s">
        <v>238</v>
      </c>
      <c r="I967" s="176" t="s">
        <v>3294</v>
      </c>
      <c r="J967" s="106">
        <v>44207</v>
      </c>
      <c r="K967" s="22"/>
    </row>
    <row r="968" spans="1:11">
      <c r="A968" s="239" t="s">
        <v>3400</v>
      </c>
      <c r="B968" s="190">
        <v>1771</v>
      </c>
      <c r="C968" s="195" t="s">
        <v>223</v>
      </c>
      <c r="D968" s="195" t="s">
        <v>1044</v>
      </c>
      <c r="E968" s="194" t="s">
        <v>595</v>
      </c>
      <c r="F968" s="236" t="s">
        <v>1906</v>
      </c>
      <c r="G968" s="195" t="s">
        <v>1315</v>
      </c>
      <c r="H968" s="189" t="s">
        <v>238</v>
      </c>
      <c r="I968" s="176" t="s">
        <v>3294</v>
      </c>
      <c r="J968" s="106">
        <v>44207</v>
      </c>
      <c r="K968" s="22"/>
    </row>
    <row r="969" spans="1:11">
      <c r="A969" s="239" t="s">
        <v>3401</v>
      </c>
      <c r="B969" s="190">
        <v>70634</v>
      </c>
      <c r="C969" s="195" t="s">
        <v>643</v>
      </c>
      <c r="D969" s="195" t="s">
        <v>1044</v>
      </c>
      <c r="E969" s="194" t="s">
        <v>602</v>
      </c>
      <c r="F969" s="236" t="s">
        <v>1392</v>
      </c>
      <c r="G969" s="195" t="s">
        <v>1315</v>
      </c>
      <c r="H969" s="189" t="s">
        <v>238</v>
      </c>
      <c r="I969" s="176" t="s">
        <v>3294</v>
      </c>
      <c r="J969" s="106">
        <v>44207</v>
      </c>
      <c r="K969" s="22"/>
    </row>
    <row r="970" spans="1:11">
      <c r="A970" s="239" t="s">
        <v>3402</v>
      </c>
      <c r="B970" s="190">
        <v>1360</v>
      </c>
      <c r="C970" s="195" t="s">
        <v>1339</v>
      </c>
      <c r="D970" s="195" t="s">
        <v>2014</v>
      </c>
      <c r="E970" s="194" t="s">
        <v>503</v>
      </c>
      <c r="F970" s="236" t="s">
        <v>1565</v>
      </c>
      <c r="G970" s="195" t="s">
        <v>3335</v>
      </c>
      <c r="H970" s="189" t="s">
        <v>2765</v>
      </c>
      <c r="I970" s="176" t="s">
        <v>3283</v>
      </c>
      <c r="J970" s="106">
        <v>44207</v>
      </c>
      <c r="K970" s="22"/>
    </row>
    <row r="971" spans="1:11">
      <c r="A971" s="239" t="s">
        <v>3092</v>
      </c>
      <c r="B971" s="190">
        <v>1770</v>
      </c>
      <c r="C971" s="195" t="s">
        <v>2037</v>
      </c>
      <c r="D971" s="195" t="s">
        <v>1044</v>
      </c>
      <c r="E971" s="194" t="s">
        <v>772</v>
      </c>
      <c r="F971" s="236" t="s">
        <v>1389</v>
      </c>
      <c r="G971" s="195" t="s">
        <v>1315</v>
      </c>
      <c r="H971" s="189" t="s">
        <v>597</v>
      </c>
      <c r="I971" s="176" t="s">
        <v>1902</v>
      </c>
      <c r="J971" s="106">
        <v>44207</v>
      </c>
      <c r="K971" s="22"/>
    </row>
    <row r="972" spans="1:11">
      <c r="A972" s="239" t="s">
        <v>3091</v>
      </c>
      <c r="B972" s="190">
        <v>1116</v>
      </c>
      <c r="C972" s="195" t="s">
        <v>451</v>
      </c>
      <c r="D972" s="195" t="s">
        <v>1044</v>
      </c>
      <c r="E972" s="194" t="s">
        <v>597</v>
      </c>
      <c r="F972" s="236" t="s">
        <v>1902</v>
      </c>
      <c r="G972" s="195" t="s">
        <v>1315</v>
      </c>
      <c r="H972" s="191" t="s">
        <v>772</v>
      </c>
      <c r="I972" s="225" t="s">
        <v>1389</v>
      </c>
      <c r="J972" s="106">
        <v>44207</v>
      </c>
      <c r="K972" s="22"/>
    </row>
    <row r="973" spans="1:11">
      <c r="A973" s="239" t="s">
        <v>3403</v>
      </c>
      <c r="B973" s="190">
        <v>1644</v>
      </c>
      <c r="C973" s="195" t="s">
        <v>2037</v>
      </c>
      <c r="D973" s="195" t="s">
        <v>1044</v>
      </c>
      <c r="E973" s="194" t="s">
        <v>597</v>
      </c>
      <c r="F973" s="236" t="s">
        <v>1902</v>
      </c>
      <c r="G973" s="195" t="s">
        <v>1315</v>
      </c>
      <c r="H973" s="189" t="s">
        <v>238</v>
      </c>
      <c r="I973" s="176" t="s">
        <v>3294</v>
      </c>
      <c r="J973" s="106">
        <v>44207</v>
      </c>
      <c r="K973" s="22"/>
    </row>
    <row r="974" spans="1:11">
      <c r="A974" s="239" t="s">
        <v>3046</v>
      </c>
      <c r="B974" s="190">
        <v>2443</v>
      </c>
      <c r="C974" s="195" t="s">
        <v>223</v>
      </c>
      <c r="D974" s="195" t="s">
        <v>2014</v>
      </c>
      <c r="E974" s="194" t="s">
        <v>1090</v>
      </c>
      <c r="F974" s="236" t="s">
        <v>1908</v>
      </c>
      <c r="G974" s="195" t="s">
        <v>1260</v>
      </c>
      <c r="H974" s="189" t="s">
        <v>220</v>
      </c>
      <c r="I974" s="176" t="s">
        <v>3334</v>
      </c>
      <c r="J974" s="106">
        <v>44207</v>
      </c>
      <c r="K974" s="22"/>
    </row>
    <row r="975" spans="1:11">
      <c r="A975" s="239" t="s">
        <v>3161</v>
      </c>
      <c r="B975" s="190">
        <v>64473</v>
      </c>
      <c r="C975" s="195" t="s">
        <v>643</v>
      </c>
      <c r="D975" s="195" t="s">
        <v>2014</v>
      </c>
      <c r="E975" s="194" t="s">
        <v>452</v>
      </c>
      <c r="F975" s="236" t="s">
        <v>346</v>
      </c>
      <c r="G975" s="195" t="s">
        <v>1260</v>
      </c>
      <c r="H975" s="189" t="s">
        <v>220</v>
      </c>
      <c r="I975" s="176" t="s">
        <v>3334</v>
      </c>
      <c r="J975" s="106">
        <v>44207</v>
      </c>
      <c r="K975" s="22"/>
    </row>
    <row r="976" spans="1:11">
      <c r="A976" s="239" t="s">
        <v>3404</v>
      </c>
      <c r="B976" s="190">
        <v>1961</v>
      </c>
      <c r="C976" s="195" t="s">
        <v>223</v>
      </c>
      <c r="D976" s="195" t="s">
        <v>2014</v>
      </c>
      <c r="E976" s="194" t="s">
        <v>1270</v>
      </c>
      <c r="F976" s="236" t="s">
        <v>346</v>
      </c>
      <c r="G976" s="195" t="s">
        <v>1260</v>
      </c>
      <c r="H976" s="189" t="s">
        <v>220</v>
      </c>
      <c r="I976" s="176" t="s">
        <v>3334</v>
      </c>
      <c r="J976" s="106">
        <v>44207</v>
      </c>
      <c r="K976" s="22"/>
    </row>
    <row r="977" spans="1:11">
      <c r="A977" s="239" t="s">
        <v>3405</v>
      </c>
      <c r="B977" s="190">
        <v>1598</v>
      </c>
      <c r="C977" s="195" t="s">
        <v>223</v>
      </c>
      <c r="D977" s="195" t="s">
        <v>2014</v>
      </c>
      <c r="E977" s="194" t="s">
        <v>503</v>
      </c>
      <c r="F977" s="236" t="s">
        <v>1565</v>
      </c>
      <c r="G977" s="195" t="s">
        <v>1260</v>
      </c>
      <c r="H977" s="189" t="s">
        <v>220</v>
      </c>
      <c r="I977" s="176" t="s">
        <v>3334</v>
      </c>
      <c r="J977" s="106">
        <v>44207</v>
      </c>
      <c r="K977" s="22"/>
    </row>
    <row r="978" spans="1:11">
      <c r="A978" s="239" t="s">
        <v>3406</v>
      </c>
      <c r="B978" s="190">
        <v>2314</v>
      </c>
      <c r="C978" s="195" t="s">
        <v>223</v>
      </c>
      <c r="D978" s="195" t="s">
        <v>2014</v>
      </c>
      <c r="E978" s="194" t="s">
        <v>503</v>
      </c>
      <c r="F978" s="236" t="s">
        <v>1565</v>
      </c>
      <c r="G978" s="195" t="s">
        <v>1260</v>
      </c>
      <c r="H978" s="191" t="s">
        <v>220</v>
      </c>
      <c r="I978" s="225" t="s">
        <v>3334</v>
      </c>
      <c r="J978" s="106">
        <v>44207</v>
      </c>
      <c r="K978" s="22"/>
    </row>
    <row r="979" spans="1:11">
      <c r="A979" s="239" t="s">
        <v>3407</v>
      </c>
      <c r="B979" s="190">
        <v>2624</v>
      </c>
      <c r="C979" s="195" t="s">
        <v>223</v>
      </c>
      <c r="D979" s="195" t="s">
        <v>2014</v>
      </c>
      <c r="E979" s="194" t="s">
        <v>503</v>
      </c>
      <c r="F979" s="236" t="s">
        <v>1565</v>
      </c>
      <c r="G979" s="195" t="s">
        <v>1260</v>
      </c>
      <c r="H979" s="189" t="s">
        <v>220</v>
      </c>
      <c r="I979" s="225" t="s">
        <v>3334</v>
      </c>
      <c r="J979" s="106">
        <v>44207</v>
      </c>
      <c r="K979" s="22"/>
    </row>
    <row r="980" spans="1:11">
      <c r="A980" s="239" t="s">
        <v>3412</v>
      </c>
      <c r="B980" s="190">
        <v>1142</v>
      </c>
      <c r="C980" s="195" t="s">
        <v>451</v>
      </c>
      <c r="D980" s="195" t="s">
        <v>450</v>
      </c>
      <c r="E980" s="194" t="s">
        <v>512</v>
      </c>
      <c r="F980" s="236" t="s">
        <v>1574</v>
      </c>
      <c r="G980" s="195" t="s">
        <v>742</v>
      </c>
      <c r="H980" s="134" t="s">
        <v>1063</v>
      </c>
      <c r="I980" s="156" t="s">
        <v>1551</v>
      </c>
      <c r="J980" s="158">
        <v>44207</v>
      </c>
      <c r="K980" s="22"/>
    </row>
    <row r="981" spans="1:11">
      <c r="A981" s="239" t="s">
        <v>3413</v>
      </c>
      <c r="B981" s="190">
        <v>3173</v>
      </c>
      <c r="C981" s="195" t="s">
        <v>451</v>
      </c>
      <c r="D981" s="195" t="s">
        <v>450</v>
      </c>
      <c r="E981" s="194" t="s">
        <v>511</v>
      </c>
      <c r="F981" s="236" t="s">
        <v>2472</v>
      </c>
      <c r="G981" s="195" t="s">
        <v>742</v>
      </c>
      <c r="H981" s="134" t="s">
        <v>1039</v>
      </c>
      <c r="I981" s="156" t="s">
        <v>1561</v>
      </c>
      <c r="J981" s="158">
        <v>44207</v>
      </c>
      <c r="K981" s="22"/>
    </row>
    <row r="982" spans="1:11">
      <c r="A982" s="239" t="s">
        <v>3414</v>
      </c>
      <c r="B982" s="190">
        <v>313</v>
      </c>
      <c r="C982" s="195" t="s">
        <v>223</v>
      </c>
      <c r="D982" s="195" t="s">
        <v>450</v>
      </c>
      <c r="E982" s="194" t="s">
        <v>517</v>
      </c>
      <c r="F982" s="236" t="s">
        <v>3086</v>
      </c>
      <c r="G982" s="195" t="s">
        <v>742</v>
      </c>
      <c r="H982" s="134" t="s">
        <v>1062</v>
      </c>
      <c r="I982" s="156" t="s">
        <v>1562</v>
      </c>
      <c r="J982" s="158">
        <v>44207</v>
      </c>
      <c r="K982" s="22"/>
    </row>
    <row r="983" spans="1:11">
      <c r="A983" s="239" t="s">
        <v>3098</v>
      </c>
      <c r="B983" s="190">
        <v>2819</v>
      </c>
      <c r="C983" s="195" t="s">
        <v>451</v>
      </c>
      <c r="D983" s="195" t="s">
        <v>450</v>
      </c>
      <c r="E983" s="194" t="s">
        <v>514</v>
      </c>
      <c r="F983" s="236" t="s">
        <v>2472</v>
      </c>
      <c r="G983" s="195" t="s">
        <v>450</v>
      </c>
      <c r="H983" s="145" t="s">
        <v>511</v>
      </c>
      <c r="I983" s="170" t="s">
        <v>2472</v>
      </c>
      <c r="J983" s="172">
        <v>44207</v>
      </c>
      <c r="K983" s="22" t="s">
        <v>3419</v>
      </c>
    </row>
    <row r="984" spans="1:11">
      <c r="A984" s="239" t="s">
        <v>2984</v>
      </c>
      <c r="B984" s="190">
        <v>1453</v>
      </c>
      <c r="C984" s="195" t="s">
        <v>1339</v>
      </c>
      <c r="D984" s="195" t="s">
        <v>450</v>
      </c>
      <c r="E984" s="194" t="s">
        <v>514</v>
      </c>
      <c r="F984" s="236" t="s">
        <v>2472</v>
      </c>
      <c r="G984" s="195" t="s">
        <v>450</v>
      </c>
      <c r="H984" s="134" t="s">
        <v>2979</v>
      </c>
      <c r="I984" s="156" t="s">
        <v>2520</v>
      </c>
      <c r="J984" s="158">
        <v>44207</v>
      </c>
      <c r="K984" s="22"/>
    </row>
    <row r="985" spans="1:11">
      <c r="A985" s="239" t="s">
        <v>3415</v>
      </c>
      <c r="B985" s="190">
        <v>520</v>
      </c>
      <c r="C985" s="195" t="s">
        <v>1339</v>
      </c>
      <c r="D985" s="195" t="s">
        <v>450</v>
      </c>
      <c r="E985" s="194" t="s">
        <v>515</v>
      </c>
      <c r="F985" s="236" t="s">
        <v>1574</v>
      </c>
      <c r="G985" s="195" t="s">
        <v>450</v>
      </c>
      <c r="H985" s="134" t="s">
        <v>2979</v>
      </c>
      <c r="I985" s="136" t="s">
        <v>2520</v>
      </c>
      <c r="J985" s="149">
        <v>44207</v>
      </c>
      <c r="K985" s="22"/>
    </row>
    <row r="986" spans="1:11">
      <c r="A986" s="239" t="s">
        <v>3384</v>
      </c>
      <c r="B986" s="190">
        <v>1083</v>
      </c>
      <c r="C986" s="195" t="s">
        <v>223</v>
      </c>
      <c r="D986" s="195" t="s">
        <v>2014</v>
      </c>
      <c r="E986" s="194" t="s">
        <v>1262</v>
      </c>
      <c r="F986" s="236" t="s">
        <v>1383</v>
      </c>
      <c r="G986" s="195" t="s">
        <v>2428</v>
      </c>
      <c r="H986" s="189" t="s">
        <v>2378</v>
      </c>
      <c r="I986" s="224" t="s">
        <v>3331</v>
      </c>
      <c r="J986" s="104">
        <v>44207</v>
      </c>
      <c r="K986" s="22"/>
    </row>
    <row r="987" spans="1:11">
      <c r="A987" s="239" t="s">
        <v>3385</v>
      </c>
      <c r="B987" s="190">
        <v>2224</v>
      </c>
      <c r="C987" s="195" t="s">
        <v>451</v>
      </c>
      <c r="D987" s="195" t="s">
        <v>2014</v>
      </c>
      <c r="E987" s="194" t="s">
        <v>1262</v>
      </c>
      <c r="F987" s="236" t="s">
        <v>1383</v>
      </c>
      <c r="G987" s="195" t="s">
        <v>2428</v>
      </c>
      <c r="H987" s="189" t="s">
        <v>2378</v>
      </c>
      <c r="I987" s="224" t="s">
        <v>3331</v>
      </c>
      <c r="J987" s="104">
        <v>44207</v>
      </c>
      <c r="K987" s="22"/>
    </row>
    <row r="988" spans="1:11">
      <c r="A988" s="239" t="s">
        <v>3420</v>
      </c>
      <c r="B988" s="190">
        <v>964</v>
      </c>
      <c r="C988" s="195" t="s">
        <v>1339</v>
      </c>
      <c r="D988" s="195" t="s">
        <v>1044</v>
      </c>
      <c r="E988" s="194" t="s">
        <v>318</v>
      </c>
      <c r="F988" s="236" t="s">
        <v>2806</v>
      </c>
      <c r="G988" s="195" t="s">
        <v>3079</v>
      </c>
      <c r="H988" s="189" t="s">
        <v>2765</v>
      </c>
      <c r="I988" s="224" t="s">
        <v>1380</v>
      </c>
      <c r="J988" s="149">
        <v>44207</v>
      </c>
      <c r="K988" s="22"/>
    </row>
    <row r="989" spans="1:11">
      <c r="A989" s="239" t="s">
        <v>3374</v>
      </c>
      <c r="B989" s="190">
        <v>869</v>
      </c>
      <c r="C989" s="195" t="s">
        <v>223</v>
      </c>
      <c r="D989" s="195" t="s">
        <v>2014</v>
      </c>
      <c r="E989" s="194" t="s">
        <v>503</v>
      </c>
      <c r="F989" s="236" t="s">
        <v>1565</v>
      </c>
      <c r="G989" s="195" t="s">
        <v>3079</v>
      </c>
      <c r="H989" s="191" t="s">
        <v>2675</v>
      </c>
      <c r="I989" s="228" t="s">
        <v>3329</v>
      </c>
      <c r="J989" s="104">
        <v>44207</v>
      </c>
      <c r="K989" s="22"/>
    </row>
    <row r="990" spans="1:11">
      <c r="A990" s="239" t="s">
        <v>3375</v>
      </c>
      <c r="B990" s="190">
        <v>702</v>
      </c>
      <c r="C990" s="195" t="s">
        <v>223</v>
      </c>
      <c r="D990" s="195" t="s">
        <v>2014</v>
      </c>
      <c r="E990" s="194" t="s">
        <v>503</v>
      </c>
      <c r="F990" s="236" t="s">
        <v>1565</v>
      </c>
      <c r="G990" s="195" t="s">
        <v>3079</v>
      </c>
      <c r="H990" s="189" t="s">
        <v>2675</v>
      </c>
      <c r="I990" s="228" t="s">
        <v>3329</v>
      </c>
      <c r="J990" s="104">
        <v>44207</v>
      </c>
      <c r="K990" s="22"/>
    </row>
    <row r="991" spans="1:11">
      <c r="A991" s="239" t="s">
        <v>3376</v>
      </c>
      <c r="B991" s="190">
        <v>64468</v>
      </c>
      <c r="C991" s="195" t="s">
        <v>643</v>
      </c>
      <c r="D991" s="195" t="s">
        <v>2014</v>
      </c>
      <c r="E991" s="194" t="s">
        <v>503</v>
      </c>
      <c r="F991" s="236" t="s">
        <v>1565</v>
      </c>
      <c r="G991" s="195" t="s">
        <v>3079</v>
      </c>
      <c r="H991" s="189" t="s">
        <v>2675</v>
      </c>
      <c r="I991" s="228" t="s">
        <v>3329</v>
      </c>
      <c r="J991" s="104">
        <v>44207</v>
      </c>
      <c r="K991" s="22"/>
    </row>
    <row r="992" spans="1:11">
      <c r="A992" s="239" t="s">
        <v>3379</v>
      </c>
      <c r="B992" s="190">
        <v>2534</v>
      </c>
      <c r="C992" s="195" t="s">
        <v>451</v>
      </c>
      <c r="D992" s="195" t="s">
        <v>2014</v>
      </c>
      <c r="E992" s="194" t="s">
        <v>1452</v>
      </c>
      <c r="F992" s="236" t="s">
        <v>1386</v>
      </c>
      <c r="G992" s="195" t="s">
        <v>3079</v>
      </c>
      <c r="H992" s="189" t="s">
        <v>2675</v>
      </c>
      <c r="I992" s="224" t="s">
        <v>339</v>
      </c>
      <c r="J992" s="104">
        <v>44207</v>
      </c>
      <c r="K992" s="22"/>
    </row>
    <row r="993" spans="1:11">
      <c r="A993" s="239" t="s">
        <v>3380</v>
      </c>
      <c r="B993" s="190">
        <v>3219</v>
      </c>
      <c r="C993" s="195" t="s">
        <v>2128</v>
      </c>
      <c r="D993" s="195" t="s">
        <v>2014</v>
      </c>
      <c r="E993" s="194" t="s">
        <v>1452</v>
      </c>
      <c r="F993" s="236" t="s">
        <v>1386</v>
      </c>
      <c r="G993" s="195" t="s">
        <v>3079</v>
      </c>
      <c r="H993" s="189" t="s">
        <v>2675</v>
      </c>
      <c r="I993" s="224" t="s">
        <v>339</v>
      </c>
      <c r="J993" s="104">
        <v>44207</v>
      </c>
      <c r="K993" s="22"/>
    </row>
    <row r="994" spans="1:11">
      <c r="A994" s="239" t="s">
        <v>3388</v>
      </c>
      <c r="B994" s="190">
        <v>3074</v>
      </c>
      <c r="C994" s="195" t="s">
        <v>2128</v>
      </c>
      <c r="D994" s="195" t="s">
        <v>2014</v>
      </c>
      <c r="E994" s="194" t="s">
        <v>1090</v>
      </c>
      <c r="F994" s="236" t="s">
        <v>1908</v>
      </c>
      <c r="G994" s="195" t="s">
        <v>3079</v>
      </c>
      <c r="H994" s="189" t="s">
        <v>2675</v>
      </c>
      <c r="I994" s="228" t="s">
        <v>3329</v>
      </c>
      <c r="J994" s="104">
        <v>44207</v>
      </c>
      <c r="K994" s="22"/>
    </row>
    <row r="995" spans="1:11">
      <c r="A995" s="239" t="s">
        <v>3340</v>
      </c>
      <c r="B995" s="190">
        <v>363</v>
      </c>
      <c r="C995" s="195" t="s">
        <v>223</v>
      </c>
      <c r="D995" s="195" t="s">
        <v>1044</v>
      </c>
      <c r="E995" s="194" t="s">
        <v>595</v>
      </c>
      <c r="F995" s="236" t="s">
        <v>1906</v>
      </c>
      <c r="G995" s="195" t="s">
        <v>2588</v>
      </c>
      <c r="H995" s="189" t="s">
        <v>2735</v>
      </c>
      <c r="I995" s="224" t="s">
        <v>3291</v>
      </c>
      <c r="J995" s="104">
        <v>44207</v>
      </c>
      <c r="K995" s="22"/>
    </row>
    <row r="996" spans="1:11">
      <c r="A996" s="239" t="s">
        <v>3378</v>
      </c>
      <c r="B996" s="190">
        <v>2069</v>
      </c>
      <c r="C996" s="195" t="s">
        <v>223</v>
      </c>
      <c r="D996" s="195" t="s">
        <v>2014</v>
      </c>
      <c r="E996" s="194" t="s">
        <v>1452</v>
      </c>
      <c r="F996" s="236" t="s">
        <v>1386</v>
      </c>
      <c r="G996" s="195" t="s">
        <v>3079</v>
      </c>
      <c r="H996" s="191" t="s">
        <v>2735</v>
      </c>
      <c r="I996" s="228" t="s">
        <v>2488</v>
      </c>
      <c r="J996" s="104">
        <v>44207</v>
      </c>
      <c r="K996" s="22"/>
    </row>
    <row r="997" spans="1:11">
      <c r="A997" s="239" t="s">
        <v>3382</v>
      </c>
      <c r="B997" s="190">
        <v>1616</v>
      </c>
      <c r="C997" s="195" t="s">
        <v>223</v>
      </c>
      <c r="D997" s="195" t="s">
        <v>2014</v>
      </c>
      <c r="E997" s="194" t="s">
        <v>452</v>
      </c>
      <c r="F997" s="236" t="s">
        <v>346</v>
      </c>
      <c r="G997" s="195" t="s">
        <v>3079</v>
      </c>
      <c r="H997" s="189" t="s">
        <v>2735</v>
      </c>
      <c r="I997" s="176" t="s">
        <v>2488</v>
      </c>
      <c r="J997" s="104">
        <v>44207</v>
      </c>
      <c r="K997" s="22"/>
    </row>
    <row r="998" spans="1:11">
      <c r="A998" s="239" t="s">
        <v>3342</v>
      </c>
      <c r="B998" s="190">
        <v>1479</v>
      </c>
      <c r="C998" s="195" t="s">
        <v>223</v>
      </c>
      <c r="D998" s="195" t="s">
        <v>1044</v>
      </c>
      <c r="E998" s="194" t="s">
        <v>178</v>
      </c>
      <c r="F998" s="236" t="s">
        <v>1556</v>
      </c>
      <c r="G998" s="195" t="s">
        <v>2588</v>
      </c>
      <c r="H998" s="189" t="s">
        <v>2686</v>
      </c>
      <c r="I998" s="176" t="s">
        <v>529</v>
      </c>
      <c r="J998" s="106">
        <v>44207</v>
      </c>
      <c r="K998" s="22"/>
    </row>
    <row r="999" spans="1:11">
      <c r="A999" s="239" t="s">
        <v>3343</v>
      </c>
      <c r="B999" s="190">
        <v>2065</v>
      </c>
      <c r="C999" s="195" t="s">
        <v>223</v>
      </c>
      <c r="D999" s="195" t="s">
        <v>1044</v>
      </c>
      <c r="E999" s="194" t="s">
        <v>178</v>
      </c>
      <c r="F999" s="236" t="s">
        <v>1556</v>
      </c>
      <c r="G999" s="195" t="s">
        <v>2588</v>
      </c>
      <c r="H999" s="189" t="s">
        <v>2686</v>
      </c>
      <c r="I999" s="224" t="s">
        <v>529</v>
      </c>
      <c r="J999" s="104">
        <v>44207</v>
      </c>
      <c r="K999" s="22"/>
    </row>
    <row r="1000" spans="1:11">
      <c r="A1000" s="239" t="s">
        <v>3349</v>
      </c>
      <c r="B1000" s="190">
        <v>3187</v>
      </c>
      <c r="C1000" s="195" t="s">
        <v>2128</v>
      </c>
      <c r="D1000" s="195" t="s">
        <v>1044</v>
      </c>
      <c r="E1000" s="194" t="s">
        <v>1081</v>
      </c>
      <c r="F1000" s="236" t="s">
        <v>2547</v>
      </c>
      <c r="G1000" s="195" t="s">
        <v>2588</v>
      </c>
      <c r="H1000" s="189" t="s">
        <v>2686</v>
      </c>
      <c r="I1000" s="224" t="s">
        <v>529</v>
      </c>
      <c r="J1000" s="104">
        <v>44207</v>
      </c>
      <c r="K1000" s="22"/>
    </row>
    <row r="1001" spans="1:11">
      <c r="A1001" s="239" t="s">
        <v>3342</v>
      </c>
      <c r="B1001" s="190">
        <v>1479</v>
      </c>
      <c r="C1001" s="195" t="s">
        <v>223</v>
      </c>
      <c r="D1001" s="195" t="s">
        <v>1044</v>
      </c>
      <c r="E1001" s="194" t="s">
        <v>178</v>
      </c>
      <c r="F1001" s="236" t="s">
        <v>1556</v>
      </c>
      <c r="G1001" s="195" t="s">
        <v>3079</v>
      </c>
      <c r="H1001" s="189" t="s">
        <v>2686</v>
      </c>
      <c r="I1001" s="176" t="s">
        <v>529</v>
      </c>
      <c r="J1001" s="106">
        <v>44207</v>
      </c>
      <c r="K1001" s="22"/>
    </row>
    <row r="1002" spans="1:11">
      <c r="A1002" s="239" t="s">
        <v>3343</v>
      </c>
      <c r="B1002" s="190">
        <v>2065</v>
      </c>
      <c r="C1002" s="195" t="s">
        <v>223</v>
      </c>
      <c r="D1002" s="195" t="s">
        <v>1044</v>
      </c>
      <c r="E1002" s="194" t="s">
        <v>178</v>
      </c>
      <c r="F1002" s="236" t="s">
        <v>1556</v>
      </c>
      <c r="G1002" s="195" t="s">
        <v>3079</v>
      </c>
      <c r="H1002" s="189" t="s">
        <v>2686</v>
      </c>
      <c r="I1002" s="224" t="s">
        <v>529</v>
      </c>
      <c r="J1002" s="104">
        <v>44207</v>
      </c>
      <c r="K1002" s="22"/>
    </row>
    <row r="1003" spans="1:11">
      <c r="A1003" s="239" t="s">
        <v>3417</v>
      </c>
      <c r="B1003" s="190">
        <v>621</v>
      </c>
      <c r="C1003" s="195" t="s">
        <v>451</v>
      </c>
      <c r="D1003" s="195" t="s">
        <v>450</v>
      </c>
      <c r="E1003" s="194" t="s">
        <v>512</v>
      </c>
      <c r="F1003" s="236" t="s">
        <v>1574</v>
      </c>
      <c r="G1003" s="195" t="s">
        <v>450</v>
      </c>
      <c r="H1003" s="134" t="s">
        <v>3317</v>
      </c>
      <c r="I1003" s="136" t="s">
        <v>1909</v>
      </c>
      <c r="J1003" s="149">
        <v>44208</v>
      </c>
      <c r="K1003" s="22"/>
    </row>
    <row r="1004" spans="1:11">
      <c r="A1004" s="239" t="s">
        <v>2985</v>
      </c>
      <c r="B1004" s="190">
        <v>1520</v>
      </c>
      <c r="C1004" s="195" t="s">
        <v>223</v>
      </c>
      <c r="D1004" s="195" t="s">
        <v>450</v>
      </c>
      <c r="E1004" s="194" t="s">
        <v>514</v>
      </c>
      <c r="F1004" s="236" t="s">
        <v>2472</v>
      </c>
      <c r="G1004" s="195" t="s">
        <v>450</v>
      </c>
      <c r="H1004" s="189" t="s">
        <v>511</v>
      </c>
      <c r="I1004" s="224" t="s">
        <v>2472</v>
      </c>
      <c r="J1004" s="104">
        <v>44210</v>
      </c>
      <c r="K1004" s="22"/>
    </row>
    <row r="1005" spans="1:11">
      <c r="A1005" s="239" t="s">
        <v>3112</v>
      </c>
      <c r="B1005" s="190">
        <v>576</v>
      </c>
      <c r="C1005" s="195" t="s">
        <v>1585</v>
      </c>
      <c r="D1005" s="195" t="s">
        <v>1433</v>
      </c>
      <c r="E1005" s="194" t="s">
        <v>570</v>
      </c>
      <c r="F1005" s="236" t="s">
        <v>1926</v>
      </c>
      <c r="G1005" s="195" t="s">
        <v>2428</v>
      </c>
      <c r="H1005" s="189" t="s">
        <v>2337</v>
      </c>
      <c r="I1005" s="224" t="s">
        <v>3287</v>
      </c>
      <c r="J1005" s="104">
        <v>44214</v>
      </c>
      <c r="K1005" s="22" t="s">
        <v>3286</v>
      </c>
    </row>
    <row r="1006" spans="1:11">
      <c r="A1006" s="239" t="s">
        <v>3408</v>
      </c>
      <c r="B1006" s="190">
        <v>783</v>
      </c>
      <c r="C1006" s="195" t="s">
        <v>1586</v>
      </c>
      <c r="D1006" s="195" t="s">
        <v>2639</v>
      </c>
      <c r="E1006" s="194" t="s">
        <v>269</v>
      </c>
      <c r="F1006" s="236" t="s">
        <v>1545</v>
      </c>
      <c r="G1006" s="195" t="s">
        <v>2639</v>
      </c>
      <c r="H1006" s="189" t="s">
        <v>2668</v>
      </c>
      <c r="I1006" s="176" t="s">
        <v>3290</v>
      </c>
      <c r="J1006" s="106">
        <v>44214</v>
      </c>
      <c r="K1006" s="22"/>
    </row>
    <row r="1007" spans="1:11">
      <c r="A1007" s="239" t="s">
        <v>3409</v>
      </c>
      <c r="B1007" s="190">
        <v>784</v>
      </c>
      <c r="C1007" s="195" t="s">
        <v>1586</v>
      </c>
      <c r="D1007" s="195" t="s">
        <v>2639</v>
      </c>
      <c r="E1007" s="194" t="s">
        <v>1338</v>
      </c>
      <c r="F1007" s="236" t="s">
        <v>2780</v>
      </c>
      <c r="G1007" s="195" t="s">
        <v>2639</v>
      </c>
      <c r="H1007" s="191" t="s">
        <v>2668</v>
      </c>
      <c r="I1007" s="225" t="s">
        <v>3290</v>
      </c>
      <c r="J1007" s="106">
        <v>44214</v>
      </c>
      <c r="K1007" s="22"/>
    </row>
    <row r="1008" spans="1:11">
      <c r="A1008" s="239" t="s">
        <v>2103</v>
      </c>
      <c r="B1008" s="190">
        <v>406</v>
      </c>
      <c r="C1008" s="195" t="s">
        <v>2126</v>
      </c>
      <c r="D1008" s="195" t="s">
        <v>2639</v>
      </c>
      <c r="E1008" s="194" t="s">
        <v>267</v>
      </c>
      <c r="F1008" s="236" t="s">
        <v>1918</v>
      </c>
      <c r="G1008" s="195" t="s">
        <v>739</v>
      </c>
      <c r="H1008" s="189" t="s">
        <v>1338</v>
      </c>
      <c r="I1008" s="176" t="s">
        <v>3290</v>
      </c>
      <c r="J1008" s="106">
        <v>44214</v>
      </c>
      <c r="K1008" s="22"/>
    </row>
    <row r="1009" spans="1:11">
      <c r="A1009" s="239" t="s">
        <v>2780</v>
      </c>
      <c r="B1009" s="190">
        <v>553</v>
      </c>
      <c r="C1009" s="195" t="s">
        <v>2609</v>
      </c>
      <c r="D1009" s="195" t="s">
        <v>2639</v>
      </c>
      <c r="E1009" s="194" t="s">
        <v>1338</v>
      </c>
      <c r="F1009" s="236" t="s">
        <v>1918</v>
      </c>
      <c r="G1009" s="195" t="s">
        <v>739</v>
      </c>
      <c r="H1009" s="189" t="s">
        <v>267</v>
      </c>
      <c r="I1009" s="176" t="s">
        <v>1918</v>
      </c>
      <c r="J1009" s="106">
        <v>44214</v>
      </c>
      <c r="K1009" s="22"/>
    </row>
    <row r="1010" spans="1:11">
      <c r="A1010" s="239" t="s">
        <v>3410</v>
      </c>
      <c r="B1010" s="190">
        <v>64629</v>
      </c>
      <c r="C1010" s="195" t="s">
        <v>643</v>
      </c>
      <c r="D1010" s="195" t="s">
        <v>2014</v>
      </c>
      <c r="E1010" s="194" t="s">
        <v>1262</v>
      </c>
      <c r="F1010" s="236" t="s">
        <v>1383</v>
      </c>
      <c r="G1010" s="195" t="s">
        <v>1260</v>
      </c>
      <c r="H1010" s="189" t="s">
        <v>503</v>
      </c>
      <c r="I1010" s="176" t="s">
        <v>1565</v>
      </c>
      <c r="J1010" s="106">
        <v>44214</v>
      </c>
      <c r="K1010" s="22"/>
    </row>
    <row r="1011" spans="1:11">
      <c r="A1011" s="239" t="s">
        <v>3411</v>
      </c>
      <c r="B1011" s="190">
        <v>70577</v>
      </c>
      <c r="C1011" s="195" t="s">
        <v>643</v>
      </c>
      <c r="D1011" s="195" t="s">
        <v>2014</v>
      </c>
      <c r="E1011" s="194" t="s">
        <v>503</v>
      </c>
      <c r="F1011" s="236" t="s">
        <v>1565</v>
      </c>
      <c r="G1011" s="195" t="s">
        <v>1260</v>
      </c>
      <c r="H1011" s="191" t="s">
        <v>1262</v>
      </c>
      <c r="I1011" s="225" t="s">
        <v>1383</v>
      </c>
      <c r="J1011" s="106">
        <v>44214</v>
      </c>
      <c r="K1011" s="22"/>
    </row>
    <row r="1012" spans="1:11">
      <c r="A1012" s="239" t="s">
        <v>3066</v>
      </c>
      <c r="B1012" s="190">
        <v>64572</v>
      </c>
      <c r="C1012" s="195" t="s">
        <v>643</v>
      </c>
      <c r="D1012" s="195" t="s">
        <v>2283</v>
      </c>
      <c r="E1012" s="194" t="s">
        <v>2324</v>
      </c>
      <c r="F1012" s="236" t="s">
        <v>2326</v>
      </c>
      <c r="G1012" s="195" t="s">
        <v>2428</v>
      </c>
      <c r="H1012" s="189" t="s">
        <v>2450</v>
      </c>
      <c r="I1012" s="176" t="s">
        <v>1582</v>
      </c>
      <c r="J1012" s="106">
        <v>44217</v>
      </c>
      <c r="K1012" s="22"/>
    </row>
    <row r="1013" spans="1:11">
      <c r="A1013" s="239" t="s">
        <v>4635</v>
      </c>
      <c r="B1013" s="190">
        <v>64651</v>
      </c>
      <c r="C1013" s="195" t="s">
        <v>643</v>
      </c>
      <c r="D1013" s="195" t="e">
        <v>#N/A</v>
      </c>
      <c r="E1013" s="194" t="s">
        <v>3317</v>
      </c>
      <c r="F1013" s="236" t="s">
        <v>1909</v>
      </c>
      <c r="G1013" s="195" t="s">
        <v>2428</v>
      </c>
      <c r="H1013" s="189" t="s">
        <v>2086</v>
      </c>
      <c r="I1013" s="176" t="s">
        <v>1569</v>
      </c>
      <c r="J1013" s="106">
        <v>44218</v>
      </c>
      <c r="K1013" s="22" t="s">
        <v>3428</v>
      </c>
    </row>
    <row r="1014" spans="1:11">
      <c r="A1014" s="239" t="s">
        <v>3425</v>
      </c>
      <c r="B1014" s="190">
        <v>3140</v>
      </c>
      <c r="C1014" s="195" t="s">
        <v>2128</v>
      </c>
      <c r="D1014" s="195" t="s">
        <v>2283</v>
      </c>
      <c r="E1014" s="194" t="s">
        <v>2073</v>
      </c>
      <c r="F1014" s="236" t="s">
        <v>2471</v>
      </c>
      <c r="G1014" s="195" t="s">
        <v>2428</v>
      </c>
      <c r="H1014" s="168" t="s">
        <v>2073</v>
      </c>
      <c r="I1014" s="229" t="s">
        <v>1907</v>
      </c>
      <c r="J1014" s="186">
        <v>44221</v>
      </c>
      <c r="K1014" s="169"/>
    </row>
    <row r="1015" spans="1:11">
      <c r="A1015" s="239" t="s">
        <v>3427</v>
      </c>
      <c r="B1015" s="190">
        <v>905</v>
      </c>
      <c r="C1015" s="195" t="s">
        <v>1339</v>
      </c>
      <c r="D1015" s="195" t="s">
        <v>2014</v>
      </c>
      <c r="E1015" s="194" t="s">
        <v>1270</v>
      </c>
      <c r="F1015" s="236" t="s">
        <v>346</v>
      </c>
      <c r="G1015" s="195" t="s">
        <v>2428</v>
      </c>
      <c r="H1015" s="189" t="s">
        <v>2378</v>
      </c>
      <c r="I1015" s="225" t="s">
        <v>544</v>
      </c>
      <c r="J1015" s="106">
        <v>44222</v>
      </c>
      <c r="K1015" s="22"/>
    </row>
    <row r="1016" spans="1:11">
      <c r="A1016" s="239" t="s">
        <v>3486</v>
      </c>
      <c r="B1016" s="190">
        <v>64648</v>
      </c>
      <c r="C1016" s="195" t="s">
        <v>643</v>
      </c>
      <c r="D1016" s="195" t="e">
        <v>#N/A</v>
      </c>
      <c r="E1016" s="194" t="s">
        <v>3317</v>
      </c>
      <c r="F1016" s="236" t="s">
        <v>1909</v>
      </c>
      <c r="G1016" s="195" t="s">
        <v>450</v>
      </c>
      <c r="H1016" s="189" t="s">
        <v>2329</v>
      </c>
      <c r="I1016" s="225" t="s">
        <v>2775</v>
      </c>
      <c r="J1016" s="106">
        <v>44228</v>
      </c>
      <c r="K1016" s="22" t="s">
        <v>3435</v>
      </c>
    </row>
    <row r="1017" spans="1:11">
      <c r="A1017" s="239" t="s">
        <v>3485</v>
      </c>
      <c r="B1017" s="190">
        <v>2447</v>
      </c>
      <c r="C1017" s="195" t="s">
        <v>2037</v>
      </c>
      <c r="D1017" s="195" t="s">
        <v>450</v>
      </c>
      <c r="E1017" s="194" t="s">
        <v>2329</v>
      </c>
      <c r="F1017" s="236" t="s">
        <v>2775</v>
      </c>
      <c r="G1017" s="195" t="s">
        <v>450</v>
      </c>
      <c r="H1017" s="189" t="s">
        <v>2473</v>
      </c>
      <c r="I1017" s="225" t="s">
        <v>2158</v>
      </c>
      <c r="J1017" s="106">
        <v>44228</v>
      </c>
      <c r="K1017" s="22" t="s">
        <v>3434</v>
      </c>
    </row>
    <row r="1018" spans="1:11">
      <c r="A1018" s="239" t="s">
        <v>3487</v>
      </c>
      <c r="B1018" s="190">
        <v>1323</v>
      </c>
      <c r="C1018" s="195" t="s">
        <v>1339</v>
      </c>
      <c r="D1018" s="195" t="s">
        <v>450</v>
      </c>
      <c r="E1018" s="194" t="s">
        <v>2473</v>
      </c>
      <c r="F1018" s="236" t="s">
        <v>2158</v>
      </c>
      <c r="G1018" s="195" t="s">
        <v>450</v>
      </c>
      <c r="H1018" s="189" t="s">
        <v>3317</v>
      </c>
      <c r="I1018" s="225" t="s">
        <v>1909</v>
      </c>
      <c r="J1018" s="106">
        <v>44228</v>
      </c>
      <c r="K1018" s="22" t="s">
        <v>3436</v>
      </c>
    </row>
    <row r="1019" spans="1:11">
      <c r="A1019" s="239" t="s">
        <v>3488</v>
      </c>
      <c r="B1019" s="190">
        <v>2306</v>
      </c>
      <c r="C1019" s="195" t="s">
        <v>2037</v>
      </c>
      <c r="D1019" s="195" t="s">
        <v>450</v>
      </c>
      <c r="E1019" s="194" t="s">
        <v>517</v>
      </c>
      <c r="F1019" s="236" t="s">
        <v>3086</v>
      </c>
      <c r="G1019" s="195" t="s">
        <v>450</v>
      </c>
      <c r="H1019" s="189" t="s">
        <v>3317</v>
      </c>
      <c r="I1019" s="225" t="s">
        <v>1909</v>
      </c>
      <c r="J1019" s="106">
        <v>44228</v>
      </c>
      <c r="K1019" s="22" t="s">
        <v>3437</v>
      </c>
    </row>
    <row r="1020" spans="1:11">
      <c r="A1020" s="239" t="s">
        <v>3489</v>
      </c>
      <c r="B1020" s="190">
        <v>917</v>
      </c>
      <c r="C1020" s="195" t="s">
        <v>223</v>
      </c>
      <c r="D1020" s="195" t="s">
        <v>450</v>
      </c>
      <c r="E1020" s="194" t="s">
        <v>511</v>
      </c>
      <c r="F1020" s="236" t="s">
        <v>2472</v>
      </c>
      <c r="G1020" s="195" t="s">
        <v>450</v>
      </c>
      <c r="H1020" s="189" t="s">
        <v>3317</v>
      </c>
      <c r="I1020" s="225" t="s">
        <v>1909</v>
      </c>
      <c r="J1020" s="106">
        <v>44228</v>
      </c>
      <c r="K1020" s="22" t="s">
        <v>3438</v>
      </c>
    </row>
    <row r="1021" spans="1:11">
      <c r="A1021" s="239" t="s">
        <v>2942</v>
      </c>
      <c r="B1021" s="190">
        <v>3063</v>
      </c>
      <c r="C1021" s="195" t="s">
        <v>2180</v>
      </c>
      <c r="D1021" s="195" t="s">
        <v>2640</v>
      </c>
      <c r="E1021" s="194" t="s">
        <v>2317</v>
      </c>
      <c r="F1021" s="236" t="s">
        <v>1891</v>
      </c>
      <c r="G1021" s="195" t="s">
        <v>739</v>
      </c>
      <c r="H1021" s="134" t="s">
        <v>2315</v>
      </c>
      <c r="I1021" s="156" t="s">
        <v>1898</v>
      </c>
      <c r="J1021" s="158">
        <v>44228</v>
      </c>
      <c r="K1021" s="22"/>
    </row>
    <row r="1022" spans="1:11">
      <c r="A1022" s="239" t="s">
        <v>3426</v>
      </c>
      <c r="B1022" s="190">
        <v>884</v>
      </c>
      <c r="C1022" s="195" t="s">
        <v>1225</v>
      </c>
      <c r="D1022" s="195" t="s">
        <v>2640</v>
      </c>
      <c r="E1022" s="194" t="s">
        <v>740</v>
      </c>
      <c r="F1022" s="236" t="s">
        <v>1897</v>
      </c>
      <c r="G1022" s="195" t="s">
        <v>739</v>
      </c>
      <c r="H1022" s="134" t="s">
        <v>2315</v>
      </c>
      <c r="I1022" s="156" t="s">
        <v>1898</v>
      </c>
      <c r="J1022" s="158">
        <v>44228</v>
      </c>
      <c r="K1022" s="22"/>
    </row>
    <row r="1023" spans="1:11">
      <c r="A1023" s="239" t="s">
        <v>2187</v>
      </c>
      <c r="B1023" s="190">
        <v>1970</v>
      </c>
      <c r="C1023" s="195" t="s">
        <v>1225</v>
      </c>
      <c r="D1023" s="195" t="s">
        <v>2640</v>
      </c>
      <c r="E1023" s="194" t="s">
        <v>2315</v>
      </c>
      <c r="F1023" s="236" t="s">
        <v>1898</v>
      </c>
      <c r="G1023" s="195" t="s">
        <v>739</v>
      </c>
      <c r="H1023" s="134" t="s">
        <v>2317</v>
      </c>
      <c r="I1023" s="136" t="s">
        <v>1891</v>
      </c>
      <c r="J1023" s="149">
        <v>44228</v>
      </c>
      <c r="K1023" s="22"/>
    </row>
    <row r="1024" spans="1:11">
      <c r="A1024" s="239" t="s">
        <v>3399</v>
      </c>
      <c r="B1024" s="190">
        <v>64616</v>
      </c>
      <c r="C1024" s="195" t="s">
        <v>643</v>
      </c>
      <c r="D1024" s="195" t="s">
        <v>1044</v>
      </c>
      <c r="E1024" s="194" t="s">
        <v>597</v>
      </c>
      <c r="F1024" s="236" t="s">
        <v>1902</v>
      </c>
      <c r="G1024" s="195" t="s">
        <v>1259</v>
      </c>
      <c r="H1024" s="191" t="s">
        <v>3481</v>
      </c>
      <c r="I1024" s="228" t="s">
        <v>1902</v>
      </c>
      <c r="J1024" s="104">
        <v>44228</v>
      </c>
      <c r="K1024" s="22" t="s">
        <v>3433</v>
      </c>
    </row>
    <row r="1025" spans="1:11">
      <c r="A1025" s="239" t="s">
        <v>1392</v>
      </c>
      <c r="B1025" s="190">
        <v>156</v>
      </c>
      <c r="C1025" s="195" t="s">
        <v>1321</v>
      </c>
      <c r="D1025" s="195" t="s">
        <v>1044</v>
      </c>
      <c r="E1025" s="194" t="s">
        <v>602</v>
      </c>
      <c r="F1025" s="236" t="s">
        <v>2771</v>
      </c>
      <c r="G1025" s="195" t="s">
        <v>2428</v>
      </c>
      <c r="H1025" s="189" t="s">
        <v>2337</v>
      </c>
      <c r="I1025" s="224" t="s">
        <v>533</v>
      </c>
      <c r="J1025" s="104">
        <v>44228</v>
      </c>
      <c r="K1025" s="22"/>
    </row>
    <row r="1026" spans="1:11">
      <c r="A1026" s="239" t="s">
        <v>3133</v>
      </c>
      <c r="B1026" s="190">
        <v>1874</v>
      </c>
      <c r="C1026" s="195" t="s">
        <v>223</v>
      </c>
      <c r="D1026" s="195" t="s">
        <v>1433</v>
      </c>
      <c r="E1026" s="194" t="s">
        <v>570</v>
      </c>
      <c r="F1026" s="236" t="s">
        <v>1926</v>
      </c>
      <c r="G1026" s="195" t="s">
        <v>2428</v>
      </c>
      <c r="H1026" s="189" t="s">
        <v>3423</v>
      </c>
      <c r="I1026" s="176" t="s">
        <v>2157</v>
      </c>
      <c r="J1026" s="106">
        <v>44228</v>
      </c>
      <c r="K1026" s="22"/>
    </row>
    <row r="1027" spans="1:11">
      <c r="A1027" s="239" t="s">
        <v>2965</v>
      </c>
      <c r="B1027" s="190">
        <v>1988</v>
      </c>
      <c r="C1027" s="195" t="s">
        <v>223</v>
      </c>
      <c r="D1027" s="195" t="s">
        <v>1433</v>
      </c>
      <c r="E1027" s="194" t="s">
        <v>224</v>
      </c>
      <c r="F1027" s="236" t="s">
        <v>1903</v>
      </c>
      <c r="G1027" s="195" t="s">
        <v>2428</v>
      </c>
      <c r="H1027" s="189" t="s">
        <v>3423</v>
      </c>
      <c r="I1027" s="224" t="s">
        <v>2157</v>
      </c>
      <c r="J1027" s="106">
        <v>44228</v>
      </c>
      <c r="K1027" s="22"/>
    </row>
    <row r="1028" spans="1:11">
      <c r="A1028" s="239" t="s">
        <v>2107</v>
      </c>
      <c r="B1028" s="190">
        <v>2928</v>
      </c>
      <c r="C1028" s="195" t="s">
        <v>451</v>
      </c>
      <c r="D1028" s="195" t="s">
        <v>1433</v>
      </c>
      <c r="E1028" s="194" t="s">
        <v>1325</v>
      </c>
      <c r="F1028" s="236" t="s">
        <v>2159</v>
      </c>
      <c r="G1028" s="195" t="s">
        <v>2428</v>
      </c>
      <c r="H1028" s="189" t="s">
        <v>3423</v>
      </c>
      <c r="I1028" s="176" t="s">
        <v>2157</v>
      </c>
      <c r="J1028" s="106">
        <v>44228</v>
      </c>
      <c r="K1028" s="22"/>
    </row>
    <row r="1029" spans="1:11">
      <c r="A1029" s="239" t="s">
        <v>1373</v>
      </c>
      <c r="B1029" s="190">
        <v>1191</v>
      </c>
      <c r="C1029" s="195" t="s">
        <v>1224</v>
      </c>
      <c r="D1029" s="195" t="s">
        <v>2640</v>
      </c>
      <c r="E1029" s="194" t="s">
        <v>2315</v>
      </c>
      <c r="F1029" s="236" t="s">
        <v>1898</v>
      </c>
      <c r="G1029" s="195" t="s">
        <v>739</v>
      </c>
      <c r="H1029" s="134" t="s">
        <v>740</v>
      </c>
      <c r="I1029" s="156" t="s">
        <v>1897</v>
      </c>
      <c r="J1029" s="158">
        <v>44228</v>
      </c>
      <c r="K1029" s="22"/>
    </row>
    <row r="1030" spans="1:11">
      <c r="A1030" s="239" t="s">
        <v>2968</v>
      </c>
      <c r="B1030" s="190">
        <v>1254</v>
      </c>
      <c r="C1030" s="195" t="s">
        <v>223</v>
      </c>
      <c r="D1030" s="195" t="s">
        <v>1433</v>
      </c>
      <c r="E1030" s="194" t="s">
        <v>224</v>
      </c>
      <c r="F1030" s="236" t="s">
        <v>1903</v>
      </c>
      <c r="G1030" s="195" t="s">
        <v>1433</v>
      </c>
      <c r="H1030" s="189" t="s">
        <v>1325</v>
      </c>
      <c r="I1030" s="176" t="s">
        <v>2159</v>
      </c>
      <c r="J1030" s="106">
        <v>44228</v>
      </c>
      <c r="K1030" s="22"/>
    </row>
    <row r="1031" spans="1:11">
      <c r="A1031" s="239" t="s">
        <v>3360</v>
      </c>
      <c r="B1031" s="190">
        <v>3085</v>
      </c>
      <c r="C1031" s="195" t="s">
        <v>2128</v>
      </c>
      <c r="D1031" s="195" t="s">
        <v>1044</v>
      </c>
      <c r="E1031" s="194" t="s">
        <v>238</v>
      </c>
      <c r="F1031" s="236" t="s">
        <v>1584</v>
      </c>
      <c r="G1031" s="195" t="s">
        <v>1315</v>
      </c>
      <c r="H1031" s="189" t="s">
        <v>318</v>
      </c>
      <c r="I1031" s="176" t="s">
        <v>3424</v>
      </c>
      <c r="J1031" s="173">
        <v>44228</v>
      </c>
      <c r="K1031" s="22"/>
    </row>
    <row r="1032" spans="1:11">
      <c r="A1032" s="239" t="s">
        <v>3429</v>
      </c>
      <c r="B1032" s="190">
        <v>1524</v>
      </c>
      <c r="C1032" s="195" t="s">
        <v>1339</v>
      </c>
      <c r="D1032" s="195" t="s">
        <v>1044</v>
      </c>
      <c r="E1032" s="194" t="s">
        <v>597</v>
      </c>
      <c r="F1032" s="236" t="s">
        <v>1902</v>
      </c>
      <c r="G1032" s="195" t="s">
        <v>1315</v>
      </c>
      <c r="H1032" s="189" t="s">
        <v>238</v>
      </c>
      <c r="I1032" s="176" t="s">
        <v>1902</v>
      </c>
      <c r="J1032" s="106">
        <v>44228</v>
      </c>
      <c r="K1032" s="22"/>
    </row>
    <row r="1033" spans="1:11">
      <c r="A1033" s="239" t="s">
        <v>3394</v>
      </c>
      <c r="B1033" s="190">
        <v>64591</v>
      </c>
      <c r="C1033" s="195" t="s">
        <v>643</v>
      </c>
      <c r="D1033" s="195" t="s">
        <v>1044</v>
      </c>
      <c r="E1033" s="194" t="s">
        <v>238</v>
      </c>
      <c r="F1033" s="236" t="s">
        <v>1584</v>
      </c>
      <c r="G1033" s="195" t="s">
        <v>1315</v>
      </c>
      <c r="H1033" s="189" t="s">
        <v>597</v>
      </c>
      <c r="I1033" s="176" t="s">
        <v>1902</v>
      </c>
      <c r="J1033" s="106">
        <v>44228</v>
      </c>
      <c r="K1033" s="22"/>
    </row>
    <row r="1034" spans="1:11">
      <c r="A1034" s="239" t="s">
        <v>1910</v>
      </c>
      <c r="B1034" s="190">
        <v>318</v>
      </c>
      <c r="C1034" s="195" t="s">
        <v>1321</v>
      </c>
      <c r="D1034" s="195" t="s">
        <v>450</v>
      </c>
      <c r="E1034" s="194" t="s">
        <v>2402</v>
      </c>
      <c r="F1034" s="236" t="s">
        <v>1927</v>
      </c>
      <c r="G1034" s="195" t="s">
        <v>742</v>
      </c>
      <c r="H1034" s="189" t="s">
        <v>507</v>
      </c>
      <c r="I1034" s="176" t="s">
        <v>3430</v>
      </c>
      <c r="J1034" s="106">
        <v>44228</v>
      </c>
      <c r="K1034" s="22"/>
    </row>
    <row r="1035" spans="1:11">
      <c r="A1035" s="239" t="s">
        <v>1561</v>
      </c>
      <c r="B1035" s="190">
        <v>35</v>
      </c>
      <c r="C1035" s="195" t="s">
        <v>1321</v>
      </c>
      <c r="D1035" s="195" t="s">
        <v>450</v>
      </c>
      <c r="E1035" s="194" t="s">
        <v>881</v>
      </c>
      <c r="F1035" s="236" t="s">
        <v>1923</v>
      </c>
      <c r="G1035" s="195" t="s">
        <v>742</v>
      </c>
      <c r="H1035" s="191" t="s">
        <v>1039</v>
      </c>
      <c r="I1035" s="176" t="s">
        <v>3430</v>
      </c>
      <c r="J1035" s="106">
        <v>44228</v>
      </c>
      <c r="K1035" s="22"/>
    </row>
    <row r="1036" spans="1:11">
      <c r="A1036" s="239" t="s">
        <v>1562</v>
      </c>
      <c r="B1036" s="190">
        <v>189</v>
      </c>
      <c r="C1036" s="195" t="s">
        <v>1320</v>
      </c>
      <c r="D1036" s="195" t="s">
        <v>450</v>
      </c>
      <c r="E1036" s="194" t="s">
        <v>507</v>
      </c>
      <c r="F1036" s="236" t="s">
        <v>1923</v>
      </c>
      <c r="G1036" s="195" t="s">
        <v>742</v>
      </c>
      <c r="H1036" s="189" t="s">
        <v>1062</v>
      </c>
      <c r="I1036" s="176" t="s">
        <v>3430</v>
      </c>
      <c r="J1036" s="106">
        <v>44228</v>
      </c>
      <c r="K1036" s="22"/>
    </row>
    <row r="1037" spans="1:11">
      <c r="A1037" s="239" t="s">
        <v>1551</v>
      </c>
      <c r="B1037" s="190">
        <v>224</v>
      </c>
      <c r="C1037" s="195" t="s">
        <v>1320</v>
      </c>
      <c r="D1037" s="195" t="s">
        <v>450</v>
      </c>
      <c r="E1037" s="194" t="s">
        <v>234</v>
      </c>
      <c r="F1037" s="236" t="s">
        <v>1923</v>
      </c>
      <c r="G1037" s="195" t="s">
        <v>742</v>
      </c>
      <c r="H1037" s="189" t="s">
        <v>1063</v>
      </c>
      <c r="I1037" s="176" t="s">
        <v>3430</v>
      </c>
      <c r="J1037" s="106">
        <v>44228</v>
      </c>
      <c r="K1037" s="22"/>
    </row>
    <row r="1038" spans="1:11">
      <c r="A1038" s="239" t="s">
        <v>4076</v>
      </c>
      <c r="B1038" s="190">
        <v>1868</v>
      </c>
      <c r="C1038" s="195" t="s">
        <v>223</v>
      </c>
      <c r="D1038" s="195" t="s">
        <v>450</v>
      </c>
      <c r="E1038" s="194" t="s">
        <v>881</v>
      </c>
      <c r="F1038" s="236" t="s">
        <v>1561</v>
      </c>
      <c r="G1038" s="195" t="s">
        <v>742</v>
      </c>
      <c r="H1038" s="189" t="s">
        <v>234</v>
      </c>
      <c r="I1038" s="156" t="s">
        <v>1910</v>
      </c>
      <c r="J1038" s="158">
        <v>44228</v>
      </c>
      <c r="K1038" s="22"/>
    </row>
    <row r="1039" spans="1:11">
      <c r="A1039" s="239" t="s">
        <v>2110</v>
      </c>
      <c r="B1039" s="190">
        <v>2823</v>
      </c>
      <c r="C1039" s="195" t="s">
        <v>451</v>
      </c>
      <c r="D1039" s="195" t="s">
        <v>450</v>
      </c>
      <c r="E1039" s="194" t="s">
        <v>234</v>
      </c>
      <c r="F1039" s="236" t="s">
        <v>1551</v>
      </c>
      <c r="G1039" s="195" t="s">
        <v>742</v>
      </c>
      <c r="H1039" s="191" t="s">
        <v>507</v>
      </c>
      <c r="I1039" s="156" t="s">
        <v>1910</v>
      </c>
      <c r="J1039" s="158">
        <v>44228</v>
      </c>
      <c r="K1039" s="22"/>
    </row>
    <row r="1040" spans="1:11">
      <c r="A1040" s="239" t="s">
        <v>4724</v>
      </c>
      <c r="B1040" s="190">
        <v>70578</v>
      </c>
      <c r="C1040" s="195" t="s">
        <v>643</v>
      </c>
      <c r="D1040" s="195" t="s">
        <v>450</v>
      </c>
      <c r="E1040" s="194" t="s">
        <v>507</v>
      </c>
      <c r="F1040" s="236" t="s">
        <v>1562</v>
      </c>
      <c r="G1040" s="195" t="s">
        <v>742</v>
      </c>
      <c r="H1040" s="189" t="s">
        <v>881</v>
      </c>
      <c r="I1040" s="156" t="s">
        <v>1910</v>
      </c>
      <c r="J1040" s="158">
        <v>44228</v>
      </c>
      <c r="K1040" s="22"/>
    </row>
    <row r="1041" spans="1:11">
      <c r="A1041" s="239" t="s">
        <v>4363</v>
      </c>
      <c r="B1041" s="190">
        <v>3004</v>
      </c>
      <c r="C1041" s="195" t="s">
        <v>451</v>
      </c>
      <c r="D1041" s="195" t="s">
        <v>1044</v>
      </c>
      <c r="E1041" s="194" t="s">
        <v>772</v>
      </c>
      <c r="F1041" s="236" t="s">
        <v>1389</v>
      </c>
      <c r="G1041" s="195" t="s">
        <v>1315</v>
      </c>
      <c r="H1041" s="189" t="s">
        <v>238</v>
      </c>
      <c r="I1041" s="176" t="s">
        <v>1584</v>
      </c>
      <c r="J1041" s="106">
        <v>44228</v>
      </c>
      <c r="K1041" s="22"/>
    </row>
    <row r="1042" spans="1:11">
      <c r="A1042" s="239" t="s">
        <v>1544</v>
      </c>
      <c r="B1042" s="190">
        <v>2247</v>
      </c>
      <c r="C1042" s="195" t="s">
        <v>223</v>
      </c>
      <c r="D1042" s="195" t="s">
        <v>1044</v>
      </c>
      <c r="E1042" s="194" t="s">
        <v>238</v>
      </c>
      <c r="F1042" s="236" t="s">
        <v>1584</v>
      </c>
      <c r="G1042" s="195" t="s">
        <v>1315</v>
      </c>
      <c r="H1042" s="134" t="s">
        <v>595</v>
      </c>
      <c r="I1042" s="156" t="s">
        <v>1906</v>
      </c>
      <c r="J1042" s="106">
        <v>44228</v>
      </c>
      <c r="K1042" s="22"/>
    </row>
    <row r="1043" spans="1:11">
      <c r="A1043" s="239" t="s">
        <v>4444</v>
      </c>
      <c r="B1043" s="190">
        <v>3135</v>
      </c>
      <c r="C1043" s="195" t="s">
        <v>2128</v>
      </c>
      <c r="D1043" s="195" t="s">
        <v>1044</v>
      </c>
      <c r="E1043" s="194" t="s">
        <v>178</v>
      </c>
      <c r="F1043" s="236" t="s">
        <v>1556</v>
      </c>
      <c r="G1043" s="195" t="s">
        <v>1315</v>
      </c>
      <c r="H1043" s="189" t="s">
        <v>608</v>
      </c>
      <c r="I1043" s="176" t="s">
        <v>1584</v>
      </c>
      <c r="J1043" s="106">
        <v>44228</v>
      </c>
      <c r="K1043" s="22" t="s">
        <v>3480</v>
      </c>
    </row>
    <row r="1044" spans="1:11">
      <c r="A1044" s="239" t="s">
        <v>3133</v>
      </c>
      <c r="B1044" s="190">
        <v>1874</v>
      </c>
      <c r="C1044" s="195" t="s">
        <v>223</v>
      </c>
      <c r="D1044" s="195" t="s">
        <v>1433</v>
      </c>
      <c r="E1044" s="194" t="s">
        <v>570</v>
      </c>
      <c r="F1044" s="236" t="s">
        <v>1926</v>
      </c>
      <c r="G1044" s="195" t="s">
        <v>1433</v>
      </c>
      <c r="H1044" s="189" t="s">
        <v>1969</v>
      </c>
      <c r="I1044" s="176" t="s">
        <v>1917</v>
      </c>
      <c r="J1044" s="106">
        <v>44228</v>
      </c>
      <c r="K1044" s="22" t="s">
        <v>2567</v>
      </c>
    </row>
    <row r="1045" spans="1:11">
      <c r="A1045" s="239" t="s">
        <v>2965</v>
      </c>
      <c r="B1045" s="190">
        <v>1988</v>
      </c>
      <c r="C1045" s="195" t="s">
        <v>223</v>
      </c>
      <c r="D1045" s="195" t="s">
        <v>1433</v>
      </c>
      <c r="E1045" s="194" t="s">
        <v>224</v>
      </c>
      <c r="F1045" s="236" t="s">
        <v>1903</v>
      </c>
      <c r="G1045" s="195" t="s">
        <v>1433</v>
      </c>
      <c r="H1045" s="189" t="s">
        <v>1969</v>
      </c>
      <c r="I1045" s="176" t="s">
        <v>1917</v>
      </c>
      <c r="J1045" s="106">
        <v>44228</v>
      </c>
      <c r="K1045" s="22" t="s">
        <v>2567</v>
      </c>
    </row>
    <row r="1046" spans="1:11">
      <c r="A1046" s="239" t="s">
        <v>2107</v>
      </c>
      <c r="B1046" s="190">
        <v>2928</v>
      </c>
      <c r="C1046" s="195" t="s">
        <v>451</v>
      </c>
      <c r="D1046" s="195" t="s">
        <v>1433</v>
      </c>
      <c r="E1046" s="194" t="s">
        <v>1325</v>
      </c>
      <c r="F1046" s="236" t="s">
        <v>2159</v>
      </c>
      <c r="G1046" s="195" t="s">
        <v>1433</v>
      </c>
      <c r="H1046" s="189" t="s">
        <v>1969</v>
      </c>
      <c r="I1046" s="176" t="s">
        <v>1917</v>
      </c>
      <c r="J1046" s="106">
        <v>44228</v>
      </c>
      <c r="K1046" s="22" t="s">
        <v>3431</v>
      </c>
    </row>
    <row r="1047" spans="1:11">
      <c r="A1047" s="239" t="s">
        <v>3483</v>
      </c>
      <c r="B1047" s="190">
        <v>2084</v>
      </c>
      <c r="C1047" s="195" t="s">
        <v>223</v>
      </c>
      <c r="D1047" s="195" t="s">
        <v>1044</v>
      </c>
      <c r="E1047" s="194" t="s">
        <v>597</v>
      </c>
      <c r="F1047" s="236" t="s">
        <v>1902</v>
      </c>
      <c r="G1047" s="195" t="s">
        <v>1315</v>
      </c>
      <c r="H1047" s="189" t="s">
        <v>238</v>
      </c>
      <c r="I1047" s="176" t="s">
        <v>1584</v>
      </c>
      <c r="J1047" s="106">
        <v>44228</v>
      </c>
      <c r="K1047" s="22" t="s">
        <v>3432</v>
      </c>
    </row>
    <row r="1048" spans="1:11">
      <c r="A1048" s="239" t="s">
        <v>3158</v>
      </c>
      <c r="B1048" s="190">
        <v>3204</v>
      </c>
      <c r="C1048" s="195" t="s">
        <v>2128</v>
      </c>
      <c r="D1048" s="195" t="s">
        <v>1324</v>
      </c>
      <c r="E1048" s="194" t="s">
        <v>1223</v>
      </c>
      <c r="F1048" s="236" t="s">
        <v>1575</v>
      </c>
      <c r="G1048" s="195" t="s">
        <v>501</v>
      </c>
      <c r="H1048" s="189" t="s">
        <v>1967</v>
      </c>
      <c r="I1048" s="176" t="s">
        <v>2064</v>
      </c>
      <c r="J1048" s="106">
        <v>44228</v>
      </c>
      <c r="K1048" s="22" t="s">
        <v>3443</v>
      </c>
    </row>
    <row r="1049" spans="1:11">
      <c r="A1049" s="239" t="s">
        <v>2801</v>
      </c>
      <c r="B1049" s="190">
        <v>3225</v>
      </c>
      <c r="C1049" s="195" t="s">
        <v>2128</v>
      </c>
      <c r="D1049" s="195" t="s">
        <v>1324</v>
      </c>
      <c r="E1049" s="194" t="s">
        <v>1223</v>
      </c>
      <c r="F1049" s="236" t="s">
        <v>1575</v>
      </c>
      <c r="G1049" s="195" t="s">
        <v>501</v>
      </c>
      <c r="H1049" s="189" t="s">
        <v>1967</v>
      </c>
      <c r="I1049" s="176" t="s">
        <v>2064</v>
      </c>
      <c r="J1049" s="106">
        <v>44228</v>
      </c>
      <c r="K1049" s="22" t="s">
        <v>3444</v>
      </c>
    </row>
    <row r="1050" spans="1:11">
      <c r="A1050" s="239" t="s">
        <v>3159</v>
      </c>
      <c r="B1050" s="190">
        <v>3209</v>
      </c>
      <c r="C1050" s="195" t="s">
        <v>451</v>
      </c>
      <c r="D1050" s="195" t="s">
        <v>1324</v>
      </c>
      <c r="E1050" s="194" t="s">
        <v>771</v>
      </c>
      <c r="F1050" s="236" t="s">
        <v>1379</v>
      </c>
      <c r="G1050" s="195" t="s">
        <v>501</v>
      </c>
      <c r="H1050" s="189" t="s">
        <v>1967</v>
      </c>
      <c r="I1050" s="176" t="s">
        <v>2064</v>
      </c>
      <c r="J1050" s="106">
        <v>44228</v>
      </c>
      <c r="K1050" s="22" t="s">
        <v>3445</v>
      </c>
    </row>
    <row r="1051" spans="1:11">
      <c r="A1051" s="239" t="s">
        <v>3492</v>
      </c>
      <c r="B1051" s="190">
        <v>2920</v>
      </c>
      <c r="C1051" s="195" t="s">
        <v>451</v>
      </c>
      <c r="D1051" s="195" t="s">
        <v>1324</v>
      </c>
      <c r="E1051" s="194" t="s">
        <v>771</v>
      </c>
      <c r="F1051" s="236" t="s">
        <v>1379</v>
      </c>
      <c r="G1051" s="195" t="s">
        <v>501</v>
      </c>
      <c r="H1051" s="189" t="s">
        <v>1967</v>
      </c>
      <c r="I1051" s="176" t="s">
        <v>2064</v>
      </c>
      <c r="J1051" s="106">
        <v>44228</v>
      </c>
      <c r="K1051" s="22" t="s">
        <v>3446</v>
      </c>
    </row>
    <row r="1052" spans="1:11">
      <c r="A1052" s="239" t="s">
        <v>3493</v>
      </c>
      <c r="B1052" s="190">
        <v>2812</v>
      </c>
      <c r="C1052" s="195" t="s">
        <v>223</v>
      </c>
      <c r="D1052" s="195" t="s">
        <v>1324</v>
      </c>
      <c r="E1052" s="194" t="s">
        <v>1214</v>
      </c>
      <c r="F1052" s="236" t="s">
        <v>1379</v>
      </c>
      <c r="G1052" s="195" t="s">
        <v>501</v>
      </c>
      <c r="H1052" s="189" t="s">
        <v>601</v>
      </c>
      <c r="I1052" s="176" t="s">
        <v>2064</v>
      </c>
      <c r="J1052" s="106">
        <v>44228</v>
      </c>
      <c r="K1052" s="22" t="s">
        <v>3447</v>
      </c>
    </row>
    <row r="1053" spans="1:11">
      <c r="A1053" s="239" t="s">
        <v>3494</v>
      </c>
      <c r="B1053" s="190">
        <v>1841</v>
      </c>
      <c r="C1053" s="195" t="s">
        <v>223</v>
      </c>
      <c r="D1053" s="195" t="s">
        <v>1324</v>
      </c>
      <c r="E1053" s="194" t="s">
        <v>771</v>
      </c>
      <c r="F1053" s="236" t="s">
        <v>1379</v>
      </c>
      <c r="G1053" s="195" t="s">
        <v>501</v>
      </c>
      <c r="H1053" s="189" t="s">
        <v>601</v>
      </c>
      <c r="I1053" s="176" t="s">
        <v>2064</v>
      </c>
      <c r="J1053" s="106">
        <v>44228</v>
      </c>
      <c r="K1053" s="22" t="s">
        <v>3448</v>
      </c>
    </row>
    <row r="1054" spans="1:11">
      <c r="A1054" s="239" t="s">
        <v>2996</v>
      </c>
      <c r="B1054" s="190">
        <v>3117</v>
      </c>
      <c r="C1054" s="195" t="s">
        <v>2128</v>
      </c>
      <c r="D1054" s="195" t="s">
        <v>1324</v>
      </c>
      <c r="E1054" s="194" t="s">
        <v>771</v>
      </c>
      <c r="F1054" s="236" t="s">
        <v>1379</v>
      </c>
      <c r="G1054" s="195" t="s">
        <v>501</v>
      </c>
      <c r="H1054" s="189" t="s">
        <v>601</v>
      </c>
      <c r="I1054" s="176" t="s">
        <v>2064</v>
      </c>
      <c r="J1054" s="106">
        <v>44228</v>
      </c>
      <c r="K1054" s="22" t="s">
        <v>3449</v>
      </c>
    </row>
    <row r="1055" spans="1:11">
      <c r="A1055" s="239" t="s">
        <v>2998</v>
      </c>
      <c r="B1055" s="190">
        <v>64516</v>
      </c>
      <c r="C1055" s="195" t="s">
        <v>643</v>
      </c>
      <c r="D1055" s="195" t="s">
        <v>1324</v>
      </c>
      <c r="E1055" s="194" t="s">
        <v>771</v>
      </c>
      <c r="F1055" s="236" t="s">
        <v>1379</v>
      </c>
      <c r="G1055" s="195" t="s">
        <v>501</v>
      </c>
      <c r="H1055" s="189" t="s">
        <v>601</v>
      </c>
      <c r="I1055" s="176" t="s">
        <v>2064</v>
      </c>
      <c r="J1055" s="106">
        <v>44228</v>
      </c>
      <c r="K1055" s="22" t="s">
        <v>3450</v>
      </c>
    </row>
    <row r="1056" spans="1:11">
      <c r="A1056" s="239" t="s">
        <v>3124</v>
      </c>
      <c r="B1056" s="190">
        <v>1059</v>
      </c>
      <c r="C1056" s="195" t="s">
        <v>451</v>
      </c>
      <c r="D1056" s="195" t="s">
        <v>1324</v>
      </c>
      <c r="E1056" s="194" t="s">
        <v>771</v>
      </c>
      <c r="F1056" s="236" t="s">
        <v>1379</v>
      </c>
      <c r="G1056" s="195" t="s">
        <v>501</v>
      </c>
      <c r="H1056" s="189" t="s">
        <v>601</v>
      </c>
      <c r="I1056" s="176" t="s">
        <v>2064</v>
      </c>
      <c r="J1056" s="106">
        <v>44228</v>
      </c>
      <c r="K1056" s="22" t="s">
        <v>3451</v>
      </c>
    </row>
    <row r="1057" spans="1:11">
      <c r="A1057" s="239" t="s">
        <v>3163</v>
      </c>
      <c r="B1057" s="190">
        <v>70573</v>
      </c>
      <c r="C1057" s="195" t="s">
        <v>643</v>
      </c>
      <c r="D1057" s="195" t="s">
        <v>1324</v>
      </c>
      <c r="E1057" s="194" t="s">
        <v>1223</v>
      </c>
      <c r="F1057" s="236" t="s">
        <v>1575</v>
      </c>
      <c r="G1057" s="195" t="s">
        <v>501</v>
      </c>
      <c r="H1057" s="189" t="s">
        <v>601</v>
      </c>
      <c r="I1057" s="176" t="s">
        <v>2064</v>
      </c>
      <c r="J1057" s="106">
        <v>44228</v>
      </c>
      <c r="K1057" s="22" t="s">
        <v>3452</v>
      </c>
    </row>
    <row r="1058" spans="1:11">
      <c r="A1058" s="239" t="s">
        <v>3495</v>
      </c>
      <c r="B1058" s="190">
        <v>1065</v>
      </c>
      <c r="C1058" s="195" t="s">
        <v>223</v>
      </c>
      <c r="D1058" s="195" t="s">
        <v>1324</v>
      </c>
      <c r="E1058" s="194" t="s">
        <v>1223</v>
      </c>
      <c r="F1058" s="236" t="s">
        <v>1575</v>
      </c>
      <c r="G1058" s="195" t="s">
        <v>501</v>
      </c>
      <c r="H1058" s="189" t="s">
        <v>601</v>
      </c>
      <c r="I1058" s="176" t="s">
        <v>2064</v>
      </c>
      <c r="J1058" s="106">
        <v>44228</v>
      </c>
      <c r="K1058" s="22" t="s">
        <v>3453</v>
      </c>
    </row>
    <row r="1059" spans="1:11">
      <c r="A1059" s="239" t="s">
        <v>3043</v>
      </c>
      <c r="B1059" s="190">
        <v>64560</v>
      </c>
      <c r="C1059" s="195" t="s">
        <v>643</v>
      </c>
      <c r="D1059" s="195" t="s">
        <v>1324</v>
      </c>
      <c r="E1059" s="194" t="s">
        <v>771</v>
      </c>
      <c r="F1059" s="236" t="s">
        <v>1379</v>
      </c>
      <c r="G1059" s="195" t="s">
        <v>501</v>
      </c>
      <c r="H1059" s="189" t="s">
        <v>601</v>
      </c>
      <c r="I1059" s="176" t="s">
        <v>2064</v>
      </c>
      <c r="J1059" s="106">
        <v>44228</v>
      </c>
      <c r="K1059" s="22" t="s">
        <v>3454</v>
      </c>
    </row>
    <row r="1060" spans="1:11">
      <c r="A1060" s="239" t="s">
        <v>3074</v>
      </c>
      <c r="B1060" s="190">
        <v>457</v>
      </c>
      <c r="C1060" s="195" t="s">
        <v>1585</v>
      </c>
      <c r="D1060" s="195" t="s">
        <v>1324</v>
      </c>
      <c r="E1060" s="194" t="s">
        <v>771</v>
      </c>
      <c r="F1060" s="236" t="s">
        <v>1379</v>
      </c>
      <c r="G1060" s="195" t="s">
        <v>501</v>
      </c>
      <c r="H1060" s="189" t="s">
        <v>601</v>
      </c>
      <c r="I1060" s="176" t="s">
        <v>2064</v>
      </c>
      <c r="J1060" s="106">
        <v>44228</v>
      </c>
      <c r="K1060" s="22" t="s">
        <v>3455</v>
      </c>
    </row>
    <row r="1061" spans="1:11">
      <c r="A1061" s="239" t="s">
        <v>3152</v>
      </c>
      <c r="B1061" s="190">
        <v>2991</v>
      </c>
      <c r="C1061" s="195" t="s">
        <v>451</v>
      </c>
      <c r="D1061" s="195" t="s">
        <v>1324</v>
      </c>
      <c r="E1061" s="194" t="s">
        <v>1223</v>
      </c>
      <c r="F1061" s="236" t="s">
        <v>1575</v>
      </c>
      <c r="G1061" s="195" t="s">
        <v>501</v>
      </c>
      <c r="H1061" s="189" t="s">
        <v>601</v>
      </c>
      <c r="I1061" s="176" t="s">
        <v>2064</v>
      </c>
      <c r="J1061" s="106">
        <v>44228</v>
      </c>
      <c r="K1061" s="22" t="s">
        <v>3456</v>
      </c>
    </row>
    <row r="1062" spans="1:11">
      <c r="A1062" s="239" t="s">
        <v>3491</v>
      </c>
      <c r="B1062" s="190">
        <v>2520</v>
      </c>
      <c r="C1062" s="195" t="s">
        <v>223</v>
      </c>
      <c r="D1062" s="195" t="s">
        <v>2014</v>
      </c>
      <c r="E1062" s="194" t="s">
        <v>1262</v>
      </c>
      <c r="F1062" s="236" t="s">
        <v>1383</v>
      </c>
      <c r="G1062" s="195" t="s">
        <v>1260</v>
      </c>
      <c r="H1062" s="189" t="s">
        <v>220</v>
      </c>
      <c r="I1062" s="176" t="s">
        <v>1877</v>
      </c>
      <c r="J1062" s="106">
        <v>44235</v>
      </c>
      <c r="K1062" s="22" t="s">
        <v>3442</v>
      </c>
    </row>
    <row r="1063" spans="1:11">
      <c r="A1063" s="239" t="s">
        <v>3006</v>
      </c>
      <c r="B1063" s="190">
        <v>2119</v>
      </c>
      <c r="C1063" s="195" t="s">
        <v>451</v>
      </c>
      <c r="D1063" s="195" t="s">
        <v>1433</v>
      </c>
      <c r="E1063" s="194" t="s">
        <v>1351</v>
      </c>
      <c r="F1063" s="236" t="s">
        <v>1917</v>
      </c>
      <c r="G1063" s="195" t="s">
        <v>2428</v>
      </c>
      <c r="H1063" s="191" t="s">
        <v>3002</v>
      </c>
      <c r="I1063" s="225" t="s">
        <v>1881</v>
      </c>
      <c r="J1063" s="106">
        <v>44242</v>
      </c>
      <c r="K1063" s="22" t="s">
        <v>3441</v>
      </c>
    </row>
    <row r="1064" spans="1:11">
      <c r="A1064" s="239" t="s">
        <v>3484</v>
      </c>
      <c r="B1064" s="190">
        <v>3258</v>
      </c>
      <c r="C1064" s="195" t="s">
        <v>451</v>
      </c>
      <c r="D1064" s="195" t="s">
        <v>2283</v>
      </c>
      <c r="E1064" s="194" t="s">
        <v>2073</v>
      </c>
      <c r="F1064" s="236" t="s">
        <v>2471</v>
      </c>
      <c r="G1064" s="195" t="s">
        <v>2428</v>
      </c>
      <c r="H1064" s="174" t="s">
        <v>2073</v>
      </c>
      <c r="I1064" s="230" t="s">
        <v>1395</v>
      </c>
      <c r="J1064" s="175">
        <v>44242</v>
      </c>
      <c r="K1064" s="30" t="s">
        <v>3482</v>
      </c>
    </row>
    <row r="1065" spans="1:11">
      <c r="A1065" s="239" t="s">
        <v>3490</v>
      </c>
      <c r="B1065" s="190">
        <v>3127</v>
      </c>
      <c r="C1065" s="195" t="s">
        <v>2128</v>
      </c>
      <c r="D1065" s="195" t="s">
        <v>1454</v>
      </c>
      <c r="E1065" s="194" t="s">
        <v>685</v>
      </c>
      <c r="F1065" s="236" t="s">
        <v>1559</v>
      </c>
      <c r="G1065" s="195" t="s">
        <v>213</v>
      </c>
      <c r="H1065" s="189" t="s">
        <v>683</v>
      </c>
      <c r="I1065" s="176" t="s">
        <v>1900</v>
      </c>
      <c r="J1065" s="106">
        <v>44242</v>
      </c>
      <c r="K1065" s="22" t="s">
        <v>3439</v>
      </c>
    </row>
    <row r="1066" spans="1:11">
      <c r="A1066" s="239" t="s">
        <v>1942</v>
      </c>
      <c r="B1066" s="190">
        <v>2202</v>
      </c>
      <c r="C1066" s="195" t="s">
        <v>451</v>
      </c>
      <c r="D1066" s="195" t="s">
        <v>1433</v>
      </c>
      <c r="E1066" s="194" t="s">
        <v>1351</v>
      </c>
      <c r="F1066" s="236" t="s">
        <v>1917</v>
      </c>
      <c r="G1066" s="195" t="s">
        <v>3079</v>
      </c>
      <c r="H1066" s="189" t="s">
        <v>2686</v>
      </c>
      <c r="I1066" s="176" t="s">
        <v>529</v>
      </c>
      <c r="J1066" s="106">
        <v>44242</v>
      </c>
      <c r="K1066" s="22" t="s">
        <v>3440</v>
      </c>
    </row>
    <row r="1067" spans="1:11">
      <c r="A1067" s="239" t="s">
        <v>4585</v>
      </c>
      <c r="B1067" s="190">
        <v>64562</v>
      </c>
      <c r="C1067" s="195" t="s">
        <v>643</v>
      </c>
      <c r="D1067" s="195" t="s">
        <v>2014</v>
      </c>
      <c r="E1067" s="194" t="s">
        <v>1262</v>
      </c>
      <c r="F1067" s="236" t="s">
        <v>1383</v>
      </c>
      <c r="G1067" s="195" t="s">
        <v>1260</v>
      </c>
      <c r="H1067" s="189" t="s">
        <v>607</v>
      </c>
      <c r="I1067" s="176" t="s">
        <v>1877</v>
      </c>
      <c r="J1067" s="106">
        <v>44245</v>
      </c>
      <c r="K1067" s="22"/>
    </row>
    <row r="1068" spans="1:11">
      <c r="A1068" s="239" t="s">
        <v>4343</v>
      </c>
      <c r="B1068" s="190">
        <v>2966</v>
      </c>
      <c r="C1068" s="195" t="s">
        <v>451</v>
      </c>
      <c r="D1068" s="195" t="s">
        <v>2014</v>
      </c>
      <c r="E1068" s="194" t="s">
        <v>1090</v>
      </c>
      <c r="F1068" s="236" t="s">
        <v>1908</v>
      </c>
      <c r="G1068" s="195" t="s">
        <v>1260</v>
      </c>
      <c r="H1068" s="134" t="s">
        <v>220</v>
      </c>
      <c r="I1068" s="156" t="s">
        <v>1877</v>
      </c>
      <c r="J1068" s="158">
        <v>44246</v>
      </c>
      <c r="K1068" s="22"/>
    </row>
    <row r="1069" spans="1:11">
      <c r="A1069" s="239" t="s">
        <v>2839</v>
      </c>
      <c r="B1069" s="190">
        <v>3094</v>
      </c>
      <c r="C1069" s="195" t="s">
        <v>451</v>
      </c>
      <c r="D1069" s="195" t="s">
        <v>1433</v>
      </c>
      <c r="E1069" s="194" t="s">
        <v>1325</v>
      </c>
      <c r="F1069" s="236" t="s">
        <v>2159</v>
      </c>
      <c r="G1069" s="195" t="s">
        <v>2428</v>
      </c>
      <c r="H1069" s="218" t="s">
        <v>2377</v>
      </c>
      <c r="I1069" s="176" t="s">
        <v>1395</v>
      </c>
      <c r="J1069" s="106">
        <v>44248</v>
      </c>
      <c r="K1069" s="22" t="s">
        <v>3462</v>
      </c>
    </row>
    <row r="1070" spans="1:11">
      <c r="A1070" s="239" t="s">
        <v>1959</v>
      </c>
      <c r="B1070" s="190">
        <v>2924</v>
      </c>
      <c r="C1070" s="195" t="s">
        <v>451</v>
      </c>
      <c r="D1070" s="195" t="s">
        <v>1433</v>
      </c>
      <c r="E1070" s="194" t="s">
        <v>1325</v>
      </c>
      <c r="F1070" s="236" t="s">
        <v>2159</v>
      </c>
      <c r="G1070" s="195" t="s">
        <v>2428</v>
      </c>
      <c r="H1070" s="189" t="s">
        <v>2377</v>
      </c>
      <c r="I1070" s="176" t="s">
        <v>1395</v>
      </c>
      <c r="J1070" s="106">
        <v>44248</v>
      </c>
      <c r="K1070" s="22" t="s">
        <v>3463</v>
      </c>
    </row>
    <row r="1071" spans="1:11">
      <c r="A1071" s="239" t="s">
        <v>344</v>
      </c>
      <c r="B1071" s="190">
        <v>2288</v>
      </c>
      <c r="C1071" s="195" t="s">
        <v>451</v>
      </c>
      <c r="D1071" s="195" t="s">
        <v>1433</v>
      </c>
      <c r="E1071" s="194" t="s">
        <v>1325</v>
      </c>
      <c r="F1071" s="236" t="s">
        <v>2159</v>
      </c>
      <c r="G1071" s="195" t="s">
        <v>2428</v>
      </c>
      <c r="H1071" s="189" t="s">
        <v>2377</v>
      </c>
      <c r="I1071" s="176" t="s">
        <v>1395</v>
      </c>
      <c r="J1071" s="106">
        <v>44248</v>
      </c>
      <c r="K1071" s="22" t="s">
        <v>3464</v>
      </c>
    </row>
    <row r="1072" spans="1:11">
      <c r="A1072" s="239" t="s">
        <v>2955</v>
      </c>
      <c r="B1072" s="190">
        <v>2922</v>
      </c>
      <c r="C1072" s="195" t="s">
        <v>451</v>
      </c>
      <c r="D1072" s="195" t="s">
        <v>1433</v>
      </c>
      <c r="E1072" s="194" t="s">
        <v>1325</v>
      </c>
      <c r="F1072" s="236" t="s">
        <v>2159</v>
      </c>
      <c r="G1072" s="195" t="s">
        <v>2428</v>
      </c>
      <c r="H1072" s="189" t="s">
        <v>2377</v>
      </c>
      <c r="I1072" s="176" t="s">
        <v>1395</v>
      </c>
      <c r="J1072" s="106">
        <v>44248</v>
      </c>
      <c r="K1072" s="22" t="s">
        <v>3465</v>
      </c>
    </row>
    <row r="1073" spans="1:11">
      <c r="A1073" s="239" t="s">
        <v>3501</v>
      </c>
      <c r="B1073" s="190">
        <v>3166</v>
      </c>
      <c r="C1073" s="195" t="s">
        <v>451</v>
      </c>
      <c r="D1073" s="195" t="s">
        <v>1433</v>
      </c>
      <c r="E1073" s="194" t="s">
        <v>1045</v>
      </c>
      <c r="F1073" s="236" t="s">
        <v>1926</v>
      </c>
      <c r="G1073" s="195" t="s">
        <v>2428</v>
      </c>
      <c r="H1073" s="189" t="s">
        <v>2337</v>
      </c>
      <c r="I1073" s="176" t="s">
        <v>2157</v>
      </c>
      <c r="J1073" s="106">
        <v>44248</v>
      </c>
      <c r="K1073" s="22" t="s">
        <v>3468</v>
      </c>
    </row>
    <row r="1074" spans="1:11">
      <c r="A1074" s="239" t="s">
        <v>3499</v>
      </c>
      <c r="B1074" s="190">
        <v>2416</v>
      </c>
      <c r="C1074" s="195" t="s">
        <v>223</v>
      </c>
      <c r="D1074" s="195" t="s">
        <v>1433</v>
      </c>
      <c r="E1074" s="194" t="s">
        <v>1325</v>
      </c>
      <c r="F1074" s="236" t="s">
        <v>2159</v>
      </c>
      <c r="G1074" s="195" t="e">
        <v>#N/A</v>
      </c>
      <c r="H1074" s="189" t="s">
        <v>2675</v>
      </c>
      <c r="I1074" s="176" t="s">
        <v>339</v>
      </c>
      <c r="J1074" s="106">
        <v>44248</v>
      </c>
      <c r="K1074" s="22" t="s">
        <v>3460</v>
      </c>
    </row>
    <row r="1075" spans="1:11">
      <c r="A1075" s="239" t="s">
        <v>3500</v>
      </c>
      <c r="B1075" s="190">
        <v>2605</v>
      </c>
      <c r="C1075" s="195" t="s">
        <v>223</v>
      </c>
      <c r="D1075" s="195" t="s">
        <v>1433</v>
      </c>
      <c r="E1075" s="194" t="s">
        <v>1325</v>
      </c>
      <c r="F1075" s="236" t="s">
        <v>2159</v>
      </c>
      <c r="G1075" s="195" t="e">
        <v>#N/A</v>
      </c>
      <c r="H1075" s="189" t="s">
        <v>2675</v>
      </c>
      <c r="I1075" s="176" t="s">
        <v>339</v>
      </c>
      <c r="J1075" s="106">
        <v>44248</v>
      </c>
      <c r="K1075" s="22" t="s">
        <v>3461</v>
      </c>
    </row>
    <row r="1076" spans="1:11">
      <c r="A1076" s="239" t="s">
        <v>2950</v>
      </c>
      <c r="B1076" s="190">
        <v>3216</v>
      </c>
      <c r="C1076" s="195" t="s">
        <v>2128</v>
      </c>
      <c r="D1076" s="195" t="s">
        <v>1433</v>
      </c>
      <c r="E1076" s="194" t="s">
        <v>570</v>
      </c>
      <c r="F1076" s="236" t="s">
        <v>1926</v>
      </c>
      <c r="G1076" s="195" t="e">
        <v>#N/A</v>
      </c>
      <c r="H1076" s="189" t="s">
        <v>2735</v>
      </c>
      <c r="I1076" s="176" t="s">
        <v>2488</v>
      </c>
      <c r="J1076" s="106">
        <v>44248</v>
      </c>
      <c r="K1076" s="22" t="s">
        <v>3467</v>
      </c>
    </row>
    <row r="1077" spans="1:11">
      <c r="A1077" s="239" t="s">
        <v>341</v>
      </c>
      <c r="B1077" s="190">
        <v>1238</v>
      </c>
      <c r="C1077" s="195" t="s">
        <v>223</v>
      </c>
      <c r="D1077" s="195" t="s">
        <v>1433</v>
      </c>
      <c r="E1077" s="194" t="s">
        <v>570</v>
      </c>
      <c r="F1077" s="236" t="s">
        <v>1926</v>
      </c>
      <c r="G1077" s="195" t="e">
        <v>#N/A</v>
      </c>
      <c r="H1077" s="189" t="s">
        <v>2686</v>
      </c>
      <c r="I1077" s="176" t="s">
        <v>529</v>
      </c>
      <c r="J1077" s="106">
        <v>44248</v>
      </c>
      <c r="K1077" s="22" t="s">
        <v>3466</v>
      </c>
    </row>
    <row r="1078" spans="1:11" s="154" customFormat="1" ht="6.75" customHeight="1">
      <c r="A1078" s="239" t="s">
        <v>2816</v>
      </c>
      <c r="B1078" s="190">
        <v>2995</v>
      </c>
      <c r="C1078" s="195" t="s">
        <v>451</v>
      </c>
      <c r="D1078" s="195" t="s">
        <v>1433</v>
      </c>
      <c r="E1078" s="194" t="s">
        <v>844</v>
      </c>
      <c r="F1078" s="236" t="s">
        <v>1903</v>
      </c>
      <c r="G1078" s="195" t="e">
        <v>#N/A</v>
      </c>
      <c r="H1078" s="189" t="s">
        <v>2686</v>
      </c>
      <c r="I1078" s="224" t="s">
        <v>529</v>
      </c>
      <c r="J1078" s="104">
        <v>44248</v>
      </c>
      <c r="K1078" s="22" t="s">
        <v>3469</v>
      </c>
    </row>
    <row r="1079" spans="1:11" s="154" customFormat="1" ht="6.75" customHeight="1">
      <c r="A1079" s="239" t="s">
        <v>2839</v>
      </c>
      <c r="B1079" s="190">
        <v>3094</v>
      </c>
      <c r="C1079" s="195" t="s">
        <v>451</v>
      </c>
      <c r="D1079" s="195" t="s">
        <v>1433</v>
      </c>
      <c r="E1079" s="194" t="s">
        <v>1325</v>
      </c>
      <c r="F1079" s="236" t="s">
        <v>2159</v>
      </c>
      <c r="G1079" s="195" t="s">
        <v>3079</v>
      </c>
      <c r="H1079" s="189" t="s">
        <v>2377</v>
      </c>
      <c r="I1079" s="224" t="s">
        <v>1395</v>
      </c>
      <c r="J1079" s="104">
        <v>44249</v>
      </c>
      <c r="K1079" s="22"/>
    </row>
    <row r="1080" spans="1:11" s="154" customFormat="1" ht="6.75" customHeight="1">
      <c r="A1080" s="239" t="s">
        <v>1959</v>
      </c>
      <c r="B1080" s="190">
        <v>2924</v>
      </c>
      <c r="C1080" s="195" t="s">
        <v>451</v>
      </c>
      <c r="D1080" s="195" t="s">
        <v>1433</v>
      </c>
      <c r="E1080" s="194" t="s">
        <v>1325</v>
      </c>
      <c r="F1080" s="236" t="s">
        <v>2159</v>
      </c>
      <c r="G1080" s="195" t="s">
        <v>3079</v>
      </c>
      <c r="H1080" s="189" t="s">
        <v>2377</v>
      </c>
      <c r="I1080" s="224" t="s">
        <v>1395</v>
      </c>
      <c r="J1080" s="104">
        <v>44249</v>
      </c>
      <c r="K1080" s="22"/>
    </row>
    <row r="1081" spans="1:11">
      <c r="A1081" s="239" t="s">
        <v>344</v>
      </c>
      <c r="B1081" s="190">
        <v>2288</v>
      </c>
      <c r="C1081" s="195" t="s">
        <v>451</v>
      </c>
      <c r="D1081" s="195" t="s">
        <v>1433</v>
      </c>
      <c r="E1081" s="194" t="s">
        <v>1325</v>
      </c>
      <c r="F1081" s="236" t="s">
        <v>2159</v>
      </c>
      <c r="G1081" s="195" t="s">
        <v>3079</v>
      </c>
      <c r="H1081" s="189" t="s">
        <v>2377</v>
      </c>
      <c r="I1081" s="176" t="s">
        <v>1395</v>
      </c>
      <c r="J1081" s="106">
        <v>44249</v>
      </c>
      <c r="K1081" s="22"/>
    </row>
    <row r="1082" spans="1:11">
      <c r="A1082" s="239" t="s">
        <v>2955</v>
      </c>
      <c r="B1082" s="190">
        <v>2922</v>
      </c>
      <c r="C1082" s="195" t="s">
        <v>451</v>
      </c>
      <c r="D1082" s="195" t="s">
        <v>1433</v>
      </c>
      <c r="E1082" s="194" t="s">
        <v>1325</v>
      </c>
      <c r="F1082" s="236" t="s">
        <v>2159</v>
      </c>
      <c r="G1082" s="195" t="s">
        <v>3079</v>
      </c>
      <c r="H1082" s="189" t="s">
        <v>2377</v>
      </c>
      <c r="I1082" s="176" t="s">
        <v>1395</v>
      </c>
      <c r="J1082" s="106">
        <v>44249</v>
      </c>
      <c r="K1082" s="22"/>
    </row>
    <row r="1083" spans="1:11">
      <c r="A1083" s="239" t="s">
        <v>3501</v>
      </c>
      <c r="B1083" s="190">
        <v>3166</v>
      </c>
      <c r="C1083" s="195" t="s">
        <v>451</v>
      </c>
      <c r="D1083" s="195" t="s">
        <v>1433</v>
      </c>
      <c r="E1083" s="194" t="s">
        <v>1045</v>
      </c>
      <c r="F1083" s="236" t="s">
        <v>1926</v>
      </c>
      <c r="G1083" s="195" t="s">
        <v>3079</v>
      </c>
      <c r="H1083" s="189" t="s">
        <v>2337</v>
      </c>
      <c r="I1083" s="176" t="s">
        <v>2157</v>
      </c>
      <c r="J1083" s="106">
        <v>44249</v>
      </c>
      <c r="K1083" s="22"/>
    </row>
    <row r="1084" spans="1:11">
      <c r="A1084" s="239" t="s">
        <v>3499</v>
      </c>
      <c r="B1084" s="190">
        <v>2416</v>
      </c>
      <c r="C1084" s="195" t="s">
        <v>223</v>
      </c>
      <c r="D1084" s="195" t="s">
        <v>1433</v>
      </c>
      <c r="E1084" s="194" t="s">
        <v>1325</v>
      </c>
      <c r="F1084" s="236" t="s">
        <v>2159</v>
      </c>
      <c r="G1084" s="195" t="s">
        <v>3079</v>
      </c>
      <c r="H1084" s="189" t="s">
        <v>2675</v>
      </c>
      <c r="I1084" s="176" t="s">
        <v>339</v>
      </c>
      <c r="J1084" s="106">
        <v>44249</v>
      </c>
      <c r="K1084" s="22"/>
    </row>
    <row r="1085" spans="1:11">
      <c r="A1085" s="239" t="s">
        <v>3500</v>
      </c>
      <c r="B1085" s="190">
        <v>2605</v>
      </c>
      <c r="C1085" s="195" t="s">
        <v>223</v>
      </c>
      <c r="D1085" s="195" t="s">
        <v>1433</v>
      </c>
      <c r="E1085" s="194" t="s">
        <v>1325</v>
      </c>
      <c r="F1085" s="236" t="s">
        <v>2159</v>
      </c>
      <c r="G1085" s="195" t="s">
        <v>3079</v>
      </c>
      <c r="H1085" s="189" t="s">
        <v>2675</v>
      </c>
      <c r="I1085" s="176" t="s">
        <v>339</v>
      </c>
      <c r="J1085" s="106">
        <v>44249</v>
      </c>
      <c r="K1085" s="22"/>
    </row>
    <row r="1086" spans="1:11">
      <c r="A1086" s="239" t="s">
        <v>3502</v>
      </c>
      <c r="B1086" s="190">
        <v>2296</v>
      </c>
      <c r="C1086" s="195" t="s">
        <v>223</v>
      </c>
      <c r="D1086" s="195" t="s">
        <v>1433</v>
      </c>
      <c r="E1086" s="194" t="s">
        <v>844</v>
      </c>
      <c r="F1086" s="236" t="s">
        <v>1903</v>
      </c>
      <c r="G1086" s="195" t="e">
        <v>#N/A</v>
      </c>
      <c r="H1086" s="189" t="s">
        <v>2824</v>
      </c>
      <c r="I1086" s="176" t="s">
        <v>1893</v>
      </c>
      <c r="J1086" s="106">
        <v>44249</v>
      </c>
      <c r="K1086" s="22" t="s">
        <v>3470</v>
      </c>
    </row>
    <row r="1087" spans="1:11">
      <c r="A1087" s="239" t="s">
        <v>2953</v>
      </c>
      <c r="B1087" s="190">
        <v>2926</v>
      </c>
      <c r="C1087" s="195" t="s">
        <v>451</v>
      </c>
      <c r="D1087" s="195" t="s">
        <v>1433</v>
      </c>
      <c r="E1087" s="194" t="s">
        <v>1045</v>
      </c>
      <c r="F1087" s="236" t="s">
        <v>1926</v>
      </c>
      <c r="G1087" s="195" t="e">
        <v>#N/A</v>
      </c>
      <c r="H1087" s="217" t="s">
        <v>2999</v>
      </c>
      <c r="I1087" s="225" t="s">
        <v>1390</v>
      </c>
      <c r="J1087" s="106">
        <v>44249</v>
      </c>
      <c r="K1087" s="22" t="s">
        <v>3471</v>
      </c>
    </row>
    <row r="1088" spans="1:11">
      <c r="A1088" s="239" t="s">
        <v>3503</v>
      </c>
      <c r="B1088" s="190">
        <v>632</v>
      </c>
      <c r="C1088" s="195" t="s">
        <v>1585</v>
      </c>
      <c r="D1088" s="195" t="s">
        <v>1433</v>
      </c>
      <c r="E1088" s="194" t="s">
        <v>844</v>
      </c>
      <c r="F1088" s="236" t="s">
        <v>1903</v>
      </c>
      <c r="G1088" s="195" t="e">
        <v>#N/A</v>
      </c>
      <c r="H1088" s="189" t="s">
        <v>2824</v>
      </c>
      <c r="I1088" s="176" t="s">
        <v>1893</v>
      </c>
      <c r="J1088" s="106">
        <v>44249</v>
      </c>
      <c r="K1088" s="22" t="s">
        <v>3472</v>
      </c>
    </row>
    <row r="1089" spans="1:11">
      <c r="A1089" s="239" t="s">
        <v>2950</v>
      </c>
      <c r="B1089" s="190">
        <v>3216</v>
      </c>
      <c r="C1089" s="195" t="s">
        <v>2128</v>
      </c>
      <c r="D1089" s="195" t="s">
        <v>1433</v>
      </c>
      <c r="E1089" s="194" t="s">
        <v>570</v>
      </c>
      <c r="F1089" s="236" t="s">
        <v>1926</v>
      </c>
      <c r="G1089" s="195" t="s">
        <v>3079</v>
      </c>
      <c r="H1089" s="189" t="s">
        <v>2735</v>
      </c>
      <c r="I1089" s="176" t="s">
        <v>2488</v>
      </c>
      <c r="J1089" s="106">
        <v>44249</v>
      </c>
      <c r="K1089" s="22"/>
    </row>
    <row r="1090" spans="1:11">
      <c r="A1090" s="239" t="s">
        <v>3507</v>
      </c>
      <c r="B1090" s="190">
        <v>64668</v>
      </c>
      <c r="C1090" s="195" t="s">
        <v>643</v>
      </c>
      <c r="D1090" s="195" t="s">
        <v>1454</v>
      </c>
      <c r="E1090" s="194" t="s">
        <v>683</v>
      </c>
      <c r="F1090" s="236" t="s">
        <v>1900</v>
      </c>
      <c r="G1090" s="195" t="s">
        <v>213</v>
      </c>
      <c r="H1090" s="189" t="s">
        <v>685</v>
      </c>
      <c r="I1090" s="176" t="s">
        <v>3506</v>
      </c>
      <c r="J1090" s="106">
        <v>44249</v>
      </c>
      <c r="K1090" s="22"/>
    </row>
    <row r="1091" spans="1:11">
      <c r="A1091" s="239" t="s">
        <v>4408</v>
      </c>
      <c r="B1091" s="190">
        <v>3077</v>
      </c>
      <c r="C1091" s="195" t="s">
        <v>451</v>
      </c>
      <c r="D1091" s="195" t="s">
        <v>2014</v>
      </c>
      <c r="E1091" s="194" t="s">
        <v>503</v>
      </c>
      <c r="F1091" s="236" t="s">
        <v>1565</v>
      </c>
      <c r="G1091" s="195" t="s">
        <v>1260</v>
      </c>
      <c r="H1091" s="218" t="s">
        <v>220</v>
      </c>
      <c r="I1091" s="176" t="s">
        <v>3508</v>
      </c>
      <c r="J1091" s="106">
        <v>44249</v>
      </c>
      <c r="K1091" s="22"/>
    </row>
    <row r="1092" spans="1:11">
      <c r="A1092" s="239" t="s">
        <v>3502</v>
      </c>
      <c r="B1092" s="190">
        <v>2296</v>
      </c>
      <c r="C1092" s="195" t="s">
        <v>223</v>
      </c>
      <c r="D1092" s="195" t="s">
        <v>1433</v>
      </c>
      <c r="E1092" s="194" t="s">
        <v>844</v>
      </c>
      <c r="F1092" s="236" t="s">
        <v>1903</v>
      </c>
      <c r="G1092" s="195" t="s">
        <v>2588</v>
      </c>
      <c r="H1092" s="189" t="s">
        <v>2824</v>
      </c>
      <c r="I1092" s="176" t="s">
        <v>1893</v>
      </c>
      <c r="J1092" s="104">
        <v>44249</v>
      </c>
      <c r="K1092" s="22"/>
    </row>
    <row r="1093" spans="1:11">
      <c r="A1093" s="239" t="s">
        <v>2953</v>
      </c>
      <c r="B1093" s="190">
        <v>2926</v>
      </c>
      <c r="C1093" s="195" t="s">
        <v>451</v>
      </c>
      <c r="D1093" s="195" t="s">
        <v>1433</v>
      </c>
      <c r="E1093" s="194" t="s">
        <v>1045</v>
      </c>
      <c r="F1093" s="236" t="s">
        <v>1926</v>
      </c>
      <c r="G1093" s="195" t="s">
        <v>2588</v>
      </c>
      <c r="H1093" s="217" t="s">
        <v>2999</v>
      </c>
      <c r="I1093" s="225" t="s">
        <v>1390</v>
      </c>
      <c r="J1093" s="104">
        <v>44249</v>
      </c>
      <c r="K1093" s="22"/>
    </row>
    <row r="1094" spans="1:11">
      <c r="A1094" s="239" t="s">
        <v>3503</v>
      </c>
      <c r="B1094" s="190">
        <v>632</v>
      </c>
      <c r="C1094" s="195" t="s">
        <v>1585</v>
      </c>
      <c r="D1094" s="195" t="s">
        <v>1433</v>
      </c>
      <c r="E1094" s="194" t="s">
        <v>844</v>
      </c>
      <c r="F1094" s="236" t="s">
        <v>1903</v>
      </c>
      <c r="G1094" s="195" t="s">
        <v>2588</v>
      </c>
      <c r="H1094" s="189" t="s">
        <v>2824</v>
      </c>
      <c r="I1094" s="224" t="s">
        <v>1893</v>
      </c>
      <c r="J1094" s="104">
        <v>44249</v>
      </c>
      <c r="K1094" s="22"/>
    </row>
    <row r="1095" spans="1:11">
      <c r="A1095" s="239" t="s">
        <v>3507</v>
      </c>
      <c r="B1095" s="190">
        <v>64668</v>
      </c>
      <c r="C1095" s="195" t="s">
        <v>643</v>
      </c>
      <c r="D1095" s="195" t="s">
        <v>1454</v>
      </c>
      <c r="E1095" s="194" t="s">
        <v>683</v>
      </c>
      <c r="F1095" s="236" t="s">
        <v>1900</v>
      </c>
      <c r="G1095" s="195" t="s">
        <v>1454</v>
      </c>
      <c r="H1095" s="189" t="s">
        <v>685</v>
      </c>
      <c r="I1095" s="176" t="s">
        <v>3506</v>
      </c>
      <c r="J1095" s="106">
        <v>44249</v>
      </c>
      <c r="K1095" s="22"/>
    </row>
    <row r="1096" spans="1:11">
      <c r="A1096" s="239" t="s">
        <v>341</v>
      </c>
      <c r="B1096" s="190">
        <v>1238</v>
      </c>
      <c r="C1096" s="195" t="s">
        <v>223</v>
      </c>
      <c r="D1096" s="195" t="s">
        <v>1433</v>
      </c>
      <c r="E1096" s="194" t="s">
        <v>570</v>
      </c>
      <c r="F1096" s="236" t="s">
        <v>1926</v>
      </c>
      <c r="G1096" s="195" t="s">
        <v>3079</v>
      </c>
      <c r="H1096" s="189" t="s">
        <v>2686</v>
      </c>
      <c r="I1096" s="176" t="s">
        <v>529</v>
      </c>
      <c r="J1096" s="106">
        <v>44249</v>
      </c>
      <c r="K1096" s="22"/>
    </row>
    <row r="1097" spans="1:11">
      <c r="A1097" s="239" t="s">
        <v>2816</v>
      </c>
      <c r="B1097" s="190">
        <v>2995</v>
      </c>
      <c r="C1097" s="195" t="s">
        <v>451</v>
      </c>
      <c r="D1097" s="195" t="s">
        <v>1433</v>
      </c>
      <c r="E1097" s="194" t="s">
        <v>844</v>
      </c>
      <c r="F1097" s="236" t="s">
        <v>1903</v>
      </c>
      <c r="G1097" s="195" t="s">
        <v>3079</v>
      </c>
      <c r="H1097" s="218" t="s">
        <v>2686</v>
      </c>
      <c r="I1097" s="176" t="s">
        <v>529</v>
      </c>
      <c r="J1097" s="106">
        <v>44249</v>
      </c>
      <c r="K1097" s="22"/>
    </row>
    <row r="1098" spans="1:11">
      <c r="A1098" s="239" t="s">
        <v>3538</v>
      </c>
      <c r="B1098" s="190">
        <v>64692</v>
      </c>
      <c r="C1098" s="195" t="s">
        <v>643</v>
      </c>
      <c r="D1098" s="195" t="s">
        <v>3539</v>
      </c>
      <c r="E1098" s="194" t="s">
        <v>2378</v>
      </c>
      <c r="F1098" s="236" t="s">
        <v>544</v>
      </c>
      <c r="G1098" s="195" t="s">
        <v>2283</v>
      </c>
      <c r="H1098" s="189" t="s">
        <v>2325</v>
      </c>
      <c r="I1098" s="176" t="s">
        <v>1912</v>
      </c>
      <c r="J1098" s="106">
        <v>44252</v>
      </c>
      <c r="K1098" s="22"/>
    </row>
    <row r="1099" spans="1:11">
      <c r="A1099" s="239" t="s">
        <v>3403</v>
      </c>
      <c r="B1099" s="190">
        <v>1644</v>
      </c>
      <c r="C1099" s="195" t="s">
        <v>2037</v>
      </c>
      <c r="D1099" s="195" t="s">
        <v>1044</v>
      </c>
      <c r="E1099" s="194" t="s">
        <v>238</v>
      </c>
      <c r="F1099" s="236" t="s">
        <v>1584</v>
      </c>
      <c r="G1099" s="195" t="s">
        <v>2588</v>
      </c>
      <c r="H1099" s="189" t="s">
        <v>2765</v>
      </c>
      <c r="I1099" s="176" t="s">
        <v>1380</v>
      </c>
      <c r="J1099" s="106">
        <v>44256</v>
      </c>
      <c r="K1099" s="30"/>
    </row>
    <row r="1100" spans="1:11">
      <c r="A1100" s="239" t="s">
        <v>3545</v>
      </c>
      <c r="B1100" s="190">
        <v>151</v>
      </c>
      <c r="C1100" s="195" t="s">
        <v>1322</v>
      </c>
      <c r="D1100" s="195" t="s">
        <v>2627</v>
      </c>
      <c r="E1100" s="194" t="s">
        <v>850</v>
      </c>
      <c r="F1100" s="236" t="s">
        <v>534</v>
      </c>
      <c r="G1100" s="195" t="e">
        <v>#N/A</v>
      </c>
      <c r="H1100" s="174" t="s">
        <v>2328</v>
      </c>
      <c r="I1100" s="230" t="s">
        <v>3546</v>
      </c>
      <c r="J1100" s="175">
        <v>44256</v>
      </c>
      <c r="K1100" s="30" t="s">
        <v>4934</v>
      </c>
    </row>
    <row r="1101" spans="1:11">
      <c r="A1101" s="239" t="s">
        <v>3484</v>
      </c>
      <c r="B1101" s="190">
        <v>3258</v>
      </c>
      <c r="C1101" s="195" t="s">
        <v>451</v>
      </c>
      <c r="D1101" s="195" t="s">
        <v>2283</v>
      </c>
      <c r="E1101" s="194" t="s">
        <v>2073</v>
      </c>
      <c r="F1101" s="236" t="s">
        <v>2471</v>
      </c>
      <c r="G1101" s="195" t="s">
        <v>3079</v>
      </c>
      <c r="H1101" s="189" t="s">
        <v>2377</v>
      </c>
      <c r="I1101" s="176" t="s">
        <v>1395</v>
      </c>
      <c r="J1101" s="106">
        <v>44256</v>
      </c>
      <c r="K1101" s="22"/>
    </row>
    <row r="1102" spans="1:11">
      <c r="A1102" s="239" t="s">
        <v>1542</v>
      </c>
      <c r="B1102" s="190">
        <v>2308</v>
      </c>
      <c r="C1102" s="195" t="s">
        <v>451</v>
      </c>
      <c r="D1102" s="195" t="s">
        <v>2283</v>
      </c>
      <c r="E1102" s="194" t="s">
        <v>2449</v>
      </c>
      <c r="F1102" s="236" t="s">
        <v>340</v>
      </c>
      <c r="G1102" s="195" t="s">
        <v>3079</v>
      </c>
      <c r="H1102" s="189" t="s">
        <v>2337</v>
      </c>
      <c r="I1102" s="176" t="s">
        <v>2157</v>
      </c>
      <c r="J1102" s="106">
        <v>44256</v>
      </c>
      <c r="K1102" s="22"/>
    </row>
    <row r="1103" spans="1:11">
      <c r="A1103" s="239" t="s">
        <v>347</v>
      </c>
      <c r="B1103" s="190">
        <v>124</v>
      </c>
      <c r="C1103" s="195" t="s">
        <v>1321</v>
      </c>
      <c r="D1103" s="195" t="s">
        <v>2014</v>
      </c>
      <c r="E1103" s="194" t="s">
        <v>504</v>
      </c>
      <c r="F1103" s="236" t="s">
        <v>535</v>
      </c>
      <c r="G1103" s="195" t="s">
        <v>3512</v>
      </c>
      <c r="H1103" s="218" t="s">
        <v>3513</v>
      </c>
      <c r="I1103" s="176" t="s">
        <v>533</v>
      </c>
      <c r="J1103" s="106">
        <v>44256</v>
      </c>
      <c r="K1103" s="22"/>
    </row>
    <row r="1104" spans="1:11">
      <c r="A1104" s="239" t="s">
        <v>3497</v>
      </c>
      <c r="B1104" s="190">
        <v>2993</v>
      </c>
      <c r="C1104" s="195" t="s">
        <v>451</v>
      </c>
      <c r="D1104" s="195" t="s">
        <v>2283</v>
      </c>
      <c r="E1104" s="194" t="s">
        <v>2325</v>
      </c>
      <c r="F1104" s="236" t="s">
        <v>1912</v>
      </c>
      <c r="G1104" s="195" t="s">
        <v>3079</v>
      </c>
      <c r="H1104" s="189" t="s">
        <v>2378</v>
      </c>
      <c r="I1104" s="176" t="s">
        <v>544</v>
      </c>
      <c r="J1104" s="106">
        <v>44256</v>
      </c>
      <c r="K1104" s="22"/>
    </row>
    <row r="1105" spans="1:11" ht="28.8">
      <c r="A1105" s="239" t="s">
        <v>3504</v>
      </c>
      <c r="B1105" s="190">
        <v>2391</v>
      </c>
      <c r="C1105" s="195" t="s">
        <v>451</v>
      </c>
      <c r="D1105" s="195" t="s">
        <v>2283</v>
      </c>
      <c r="E1105" s="194" t="s">
        <v>2069</v>
      </c>
      <c r="F1105" s="236" t="s">
        <v>528</v>
      </c>
      <c r="G1105" s="195" t="s">
        <v>3079</v>
      </c>
      <c r="H1105" s="189" t="s">
        <v>2378</v>
      </c>
      <c r="I1105" s="176" t="s">
        <v>528</v>
      </c>
      <c r="J1105" s="106">
        <v>44256</v>
      </c>
      <c r="K1105" s="22"/>
    </row>
    <row r="1106" spans="1:11">
      <c r="A1106" s="239" t="s">
        <v>3156</v>
      </c>
      <c r="B1106" s="190">
        <v>3181</v>
      </c>
      <c r="C1106" s="195" t="s">
        <v>451</v>
      </c>
      <c r="D1106" s="195" t="s">
        <v>2283</v>
      </c>
      <c r="E1106" s="194" t="s">
        <v>2450</v>
      </c>
      <c r="F1106" s="236" t="s">
        <v>1582</v>
      </c>
      <c r="G1106" s="195" t="s">
        <v>3079</v>
      </c>
      <c r="H1106" s="189" t="s">
        <v>2378</v>
      </c>
      <c r="I1106" s="176" t="s">
        <v>544</v>
      </c>
      <c r="J1106" s="106">
        <v>44256</v>
      </c>
      <c r="K1106" s="22"/>
    </row>
    <row r="1107" spans="1:11">
      <c r="A1107" s="239" t="s">
        <v>1386</v>
      </c>
      <c r="B1107" s="190">
        <v>109</v>
      </c>
      <c r="C1107" s="195" t="s">
        <v>1320</v>
      </c>
      <c r="D1107" s="195" t="s">
        <v>2014</v>
      </c>
      <c r="E1107" s="194" t="s">
        <v>1452</v>
      </c>
      <c r="F1107" s="236" t="s">
        <v>1884</v>
      </c>
      <c r="G1107" s="195" t="e">
        <v>#N/A</v>
      </c>
      <c r="H1107" s="189" t="s">
        <v>3530</v>
      </c>
      <c r="I1107" s="176" t="s">
        <v>533</v>
      </c>
      <c r="J1107" s="106">
        <v>44256</v>
      </c>
      <c r="K1107" s="22"/>
    </row>
    <row r="1108" spans="1:11">
      <c r="A1108" s="239" t="s">
        <v>3543</v>
      </c>
      <c r="B1108" s="190">
        <v>1319</v>
      </c>
      <c r="C1108" s="195" t="s">
        <v>223</v>
      </c>
      <c r="D1108" s="195" t="s">
        <v>2283</v>
      </c>
      <c r="E1108" s="194" t="s">
        <v>2073</v>
      </c>
      <c r="F1108" s="236" t="s">
        <v>2471</v>
      </c>
      <c r="G1108" s="195" t="s">
        <v>3079</v>
      </c>
      <c r="H1108" s="189" t="s">
        <v>2675</v>
      </c>
      <c r="I1108" s="176" t="s">
        <v>3329</v>
      </c>
      <c r="J1108" s="106">
        <v>44256</v>
      </c>
      <c r="K1108" s="22"/>
    </row>
    <row r="1109" spans="1:11">
      <c r="A1109" s="239" t="s">
        <v>1908</v>
      </c>
      <c r="B1109" s="190">
        <v>309</v>
      </c>
      <c r="C1109" s="195" t="s">
        <v>1321</v>
      </c>
      <c r="D1109" s="195" t="s">
        <v>2014</v>
      </c>
      <c r="E1109" s="194" t="s">
        <v>1090</v>
      </c>
      <c r="F1109" s="236" t="s">
        <v>1884</v>
      </c>
      <c r="G1109" s="195" t="s">
        <v>3079</v>
      </c>
      <c r="H1109" s="217" t="s">
        <v>3531</v>
      </c>
      <c r="I1109" s="225" t="s">
        <v>1887</v>
      </c>
      <c r="J1109" s="106">
        <v>44256</v>
      </c>
      <c r="K1109" s="22"/>
    </row>
    <row r="1110" spans="1:11">
      <c r="A1110" s="239" t="s">
        <v>3366</v>
      </c>
      <c r="B1110" s="190">
        <v>205</v>
      </c>
      <c r="C1110" s="195" t="s">
        <v>1339</v>
      </c>
      <c r="D1110" s="195" t="s">
        <v>1044</v>
      </c>
      <c r="E1110" s="194" t="s">
        <v>238</v>
      </c>
      <c r="F1110" s="236" t="s">
        <v>1584</v>
      </c>
      <c r="G1110" s="195" t="s">
        <v>3079</v>
      </c>
      <c r="H1110" s="189" t="s">
        <v>3496</v>
      </c>
      <c r="I1110" s="176" t="s">
        <v>2488</v>
      </c>
      <c r="J1110" s="106">
        <v>44256</v>
      </c>
      <c r="K1110" s="22"/>
    </row>
    <row r="1111" spans="1:11">
      <c r="A1111" s="239" t="s">
        <v>3509</v>
      </c>
      <c r="B1111" s="190">
        <v>2180</v>
      </c>
      <c r="C1111" s="195" t="s">
        <v>2037</v>
      </c>
      <c r="D1111" s="195" t="s">
        <v>1044</v>
      </c>
      <c r="E1111" s="194" t="s">
        <v>1264</v>
      </c>
      <c r="F1111" s="236" t="s">
        <v>3105</v>
      </c>
      <c r="G1111" s="195" t="s">
        <v>2588</v>
      </c>
      <c r="H1111" s="189" t="s">
        <v>3000</v>
      </c>
      <c r="I1111" s="176" t="s">
        <v>1390</v>
      </c>
      <c r="J1111" s="106">
        <v>44256</v>
      </c>
      <c r="K1111" s="22"/>
    </row>
    <row r="1112" spans="1:11">
      <c r="A1112" s="239" t="s">
        <v>3420</v>
      </c>
      <c r="B1112" s="190">
        <v>964</v>
      </c>
      <c r="C1112" s="195" t="s">
        <v>1339</v>
      </c>
      <c r="D1112" s="195" t="s">
        <v>2588</v>
      </c>
      <c r="E1112" s="194" t="s">
        <v>2765</v>
      </c>
      <c r="F1112" s="236" t="s">
        <v>1380</v>
      </c>
      <c r="G1112" s="195" t="s">
        <v>2588</v>
      </c>
      <c r="H1112" s="218" t="s">
        <v>2787</v>
      </c>
      <c r="I1112" s="176" t="s">
        <v>3510</v>
      </c>
      <c r="J1112" s="106">
        <v>44256</v>
      </c>
      <c r="K1112" s="22"/>
    </row>
    <row r="1113" spans="1:11">
      <c r="A1113" s="239" t="s">
        <v>3355</v>
      </c>
      <c r="B1113" s="190">
        <v>2301</v>
      </c>
      <c r="C1113" s="195" t="s">
        <v>451</v>
      </c>
      <c r="D1113" s="195" t="s">
        <v>2588</v>
      </c>
      <c r="E1113" s="194" t="s">
        <v>2944</v>
      </c>
      <c r="F1113" s="236" t="s">
        <v>1555</v>
      </c>
      <c r="G1113" s="195" t="s">
        <v>2588</v>
      </c>
      <c r="H1113" s="217" t="s">
        <v>2824</v>
      </c>
      <c r="I1113" s="225" t="s">
        <v>3511</v>
      </c>
      <c r="J1113" s="106">
        <v>44256</v>
      </c>
      <c r="K1113" s="22"/>
    </row>
    <row r="1114" spans="1:11">
      <c r="A1114" s="239" t="s">
        <v>3514</v>
      </c>
      <c r="B1114" s="190">
        <v>827</v>
      </c>
      <c r="C1114" s="195" t="s">
        <v>1585</v>
      </c>
      <c r="D1114" s="195" t="s">
        <v>2014</v>
      </c>
      <c r="E1114" s="194" t="s">
        <v>1262</v>
      </c>
      <c r="F1114" s="236" t="s">
        <v>1383</v>
      </c>
      <c r="G1114" s="195" t="s">
        <v>2014</v>
      </c>
      <c r="H1114" s="189" t="s">
        <v>1452</v>
      </c>
      <c r="I1114" s="176" t="s">
        <v>1884</v>
      </c>
      <c r="J1114" s="106">
        <v>44256</v>
      </c>
      <c r="K1114" s="22"/>
    </row>
    <row r="1115" spans="1:11">
      <c r="A1115" s="239" t="s">
        <v>3491</v>
      </c>
      <c r="B1115" s="190">
        <v>2520</v>
      </c>
      <c r="C1115" s="195" t="s">
        <v>223</v>
      </c>
      <c r="D1115" s="195" t="s">
        <v>2014</v>
      </c>
      <c r="E1115" s="194" t="s">
        <v>220</v>
      </c>
      <c r="F1115" s="236" t="s">
        <v>3508</v>
      </c>
      <c r="G1115" s="195" t="s">
        <v>2014</v>
      </c>
      <c r="H1115" s="217" t="s">
        <v>1262</v>
      </c>
      <c r="I1115" s="225" t="s">
        <v>1383</v>
      </c>
      <c r="J1115" s="106">
        <v>44256</v>
      </c>
      <c r="K1115" s="22"/>
    </row>
    <row r="1116" spans="1:11">
      <c r="A1116" s="239" t="s">
        <v>3515</v>
      </c>
      <c r="B1116" s="190">
        <v>2349</v>
      </c>
      <c r="C1116" s="195" t="s">
        <v>223</v>
      </c>
      <c r="D1116" s="195" t="s">
        <v>450</v>
      </c>
      <c r="E1116" s="194" t="s">
        <v>1039</v>
      </c>
      <c r="F1116" s="236" t="s">
        <v>1561</v>
      </c>
      <c r="G1116" s="195" t="s">
        <v>450</v>
      </c>
      <c r="H1116" s="218" t="s">
        <v>1608</v>
      </c>
      <c r="I1116" s="176" t="s">
        <v>1560</v>
      </c>
      <c r="J1116" s="106">
        <v>44256</v>
      </c>
      <c r="K1116" s="22"/>
    </row>
    <row r="1117" spans="1:11">
      <c r="A1117" s="239" t="s">
        <v>3516</v>
      </c>
      <c r="B1117" s="190">
        <v>2285</v>
      </c>
      <c r="C1117" s="195" t="s">
        <v>223</v>
      </c>
      <c r="D1117" s="195" t="s">
        <v>450</v>
      </c>
      <c r="E1117" s="194" t="s">
        <v>1062</v>
      </c>
      <c r="F1117" s="236" t="s">
        <v>3517</v>
      </c>
      <c r="G1117" s="195" t="s">
        <v>450</v>
      </c>
      <c r="H1117" s="189" t="s">
        <v>1608</v>
      </c>
      <c r="I1117" s="176" t="s">
        <v>1560</v>
      </c>
      <c r="J1117" s="106">
        <v>44256</v>
      </c>
      <c r="K1117" s="22"/>
    </row>
    <row r="1118" spans="1:11">
      <c r="A1118" s="239" t="s">
        <v>3518</v>
      </c>
      <c r="B1118" s="190">
        <v>2316</v>
      </c>
      <c r="C1118" s="195" t="s">
        <v>223</v>
      </c>
      <c r="D1118" s="195" t="s">
        <v>450</v>
      </c>
      <c r="E1118" s="194" t="s">
        <v>1063</v>
      </c>
      <c r="F1118" s="236" t="s">
        <v>3519</v>
      </c>
      <c r="G1118" s="195" t="s">
        <v>450</v>
      </c>
      <c r="H1118" s="218" t="s">
        <v>1608</v>
      </c>
      <c r="I1118" s="176" t="s">
        <v>1560</v>
      </c>
      <c r="J1118" s="106">
        <v>44256</v>
      </c>
      <c r="K1118" s="22"/>
    </row>
    <row r="1119" spans="1:11">
      <c r="A1119" s="239" t="s">
        <v>3520</v>
      </c>
      <c r="B1119" s="190">
        <v>1521</v>
      </c>
      <c r="C1119" s="195" t="s">
        <v>2037</v>
      </c>
      <c r="D1119" s="195" t="s">
        <v>1044</v>
      </c>
      <c r="E1119" s="194" t="s">
        <v>318</v>
      </c>
      <c r="F1119" s="236" t="s">
        <v>2806</v>
      </c>
      <c r="G1119" s="195" t="s">
        <v>2588</v>
      </c>
      <c r="H1119" s="189" t="s">
        <v>2765</v>
      </c>
      <c r="I1119" s="176" t="s">
        <v>1380</v>
      </c>
      <c r="J1119" s="106">
        <v>44256</v>
      </c>
      <c r="K1119" s="22"/>
    </row>
    <row r="1120" spans="1:11">
      <c r="A1120" s="239" t="s">
        <v>2899</v>
      </c>
      <c r="B1120" s="190">
        <v>655</v>
      </c>
      <c r="C1120" s="195" t="s">
        <v>223</v>
      </c>
      <c r="D1120" s="195" t="s">
        <v>1324</v>
      </c>
      <c r="E1120" s="194" t="s">
        <v>457</v>
      </c>
      <c r="F1120" s="236" t="s">
        <v>1575</v>
      </c>
      <c r="G1120" s="195" t="s">
        <v>2588</v>
      </c>
      <c r="H1120" s="189" t="s">
        <v>2795</v>
      </c>
      <c r="I1120" s="176" t="s">
        <v>1893</v>
      </c>
      <c r="J1120" s="106">
        <v>44256</v>
      </c>
      <c r="K1120" s="22"/>
    </row>
    <row r="1121" spans="1:11">
      <c r="A1121" s="239" t="s">
        <v>2801</v>
      </c>
      <c r="B1121" s="190">
        <v>3225</v>
      </c>
      <c r="C1121" s="195" t="s">
        <v>2128</v>
      </c>
      <c r="D1121" s="195" t="s">
        <v>1324</v>
      </c>
      <c r="E1121" s="194" t="s">
        <v>1223</v>
      </c>
      <c r="F1121" s="236" t="s">
        <v>1575</v>
      </c>
      <c r="G1121" s="195" t="s">
        <v>2588</v>
      </c>
      <c r="H1121" s="217" t="s">
        <v>3522</v>
      </c>
      <c r="I1121" s="176" t="s">
        <v>1893</v>
      </c>
      <c r="J1121" s="106">
        <v>44256</v>
      </c>
      <c r="K1121" s="22"/>
    </row>
    <row r="1122" spans="1:11">
      <c r="A1122" s="239" t="s">
        <v>3152</v>
      </c>
      <c r="B1122" s="190">
        <v>2991</v>
      </c>
      <c r="C1122" s="195" t="s">
        <v>451</v>
      </c>
      <c r="D1122" s="195" t="s">
        <v>1324</v>
      </c>
      <c r="E1122" s="194" t="s">
        <v>1223</v>
      </c>
      <c r="F1122" s="236" t="s">
        <v>1575</v>
      </c>
      <c r="G1122" s="195" t="s">
        <v>2588</v>
      </c>
      <c r="H1122" s="189" t="s">
        <v>3523</v>
      </c>
      <c r="I1122" s="176" t="s">
        <v>1893</v>
      </c>
      <c r="J1122" s="106">
        <v>44256</v>
      </c>
      <c r="K1122" s="22"/>
    </row>
    <row r="1123" spans="1:11">
      <c r="A1123" s="239" t="s">
        <v>3495</v>
      </c>
      <c r="B1123" s="190">
        <v>1065</v>
      </c>
      <c r="C1123" s="195" t="s">
        <v>223</v>
      </c>
      <c r="D1123" s="195" t="s">
        <v>1324</v>
      </c>
      <c r="E1123" s="194" t="s">
        <v>1223</v>
      </c>
      <c r="F1123" s="236" t="s">
        <v>1575</v>
      </c>
      <c r="G1123" s="195" t="s">
        <v>1324</v>
      </c>
      <c r="H1123" s="189" t="s">
        <v>1223</v>
      </c>
      <c r="I1123" s="176" t="s">
        <v>1575</v>
      </c>
      <c r="J1123" s="106">
        <v>44256</v>
      </c>
      <c r="K1123" s="22"/>
    </row>
    <row r="1124" spans="1:11">
      <c r="A1124" s="239" t="s">
        <v>2996</v>
      </c>
      <c r="B1124" s="190">
        <v>3117</v>
      </c>
      <c r="C1124" s="195" t="s">
        <v>2128</v>
      </c>
      <c r="D1124" s="195" t="s">
        <v>1324</v>
      </c>
      <c r="E1124" s="194" t="s">
        <v>771</v>
      </c>
      <c r="F1124" s="236" t="s">
        <v>1379</v>
      </c>
      <c r="G1124" s="195" t="s">
        <v>1324</v>
      </c>
      <c r="H1124" s="218" t="s">
        <v>1223</v>
      </c>
      <c r="I1124" s="176" t="s">
        <v>1575</v>
      </c>
      <c r="J1124" s="106">
        <v>44256</v>
      </c>
      <c r="K1124" s="22"/>
    </row>
    <row r="1125" spans="1:11">
      <c r="A1125" s="239" t="s">
        <v>3041</v>
      </c>
      <c r="B1125" s="190">
        <v>70590</v>
      </c>
      <c r="C1125" s="195" t="s">
        <v>643</v>
      </c>
      <c r="D1125" s="195" t="s">
        <v>1324</v>
      </c>
      <c r="E1125" s="194" t="s">
        <v>771</v>
      </c>
      <c r="F1125" s="236" t="s">
        <v>1379</v>
      </c>
      <c r="G1125" s="195" t="s">
        <v>1324</v>
      </c>
      <c r="H1125" s="189" t="s">
        <v>1223</v>
      </c>
      <c r="I1125" s="176" t="s">
        <v>1575</v>
      </c>
      <c r="J1125" s="106">
        <v>44256</v>
      </c>
      <c r="K1125" s="22"/>
    </row>
    <row r="1126" spans="1:11">
      <c r="A1126" s="239" t="s">
        <v>1578</v>
      </c>
      <c r="B1126" s="190">
        <v>157</v>
      </c>
      <c r="C1126" s="195" t="s">
        <v>1320</v>
      </c>
      <c r="D1126" s="195" t="s">
        <v>2014</v>
      </c>
      <c r="E1126" s="194" t="s">
        <v>432</v>
      </c>
      <c r="F1126" s="236" t="s">
        <v>1877</v>
      </c>
      <c r="G1126" s="195" t="s">
        <v>3079</v>
      </c>
      <c r="H1126" s="189" t="s">
        <v>3532</v>
      </c>
      <c r="I1126" s="176" t="s">
        <v>1887</v>
      </c>
      <c r="J1126" s="106">
        <v>44256</v>
      </c>
      <c r="K1126" s="22"/>
    </row>
    <row r="1127" spans="1:11">
      <c r="A1127" s="239" t="s">
        <v>1928</v>
      </c>
      <c r="B1127" s="190">
        <v>1227</v>
      </c>
      <c r="C1127" s="195" t="s">
        <v>223</v>
      </c>
      <c r="D1127" s="195" t="s">
        <v>450</v>
      </c>
      <c r="E1127" s="194" t="s">
        <v>2402</v>
      </c>
      <c r="F1127" s="236" t="s">
        <v>1909</v>
      </c>
      <c r="G1127" s="195" t="s">
        <v>450</v>
      </c>
      <c r="H1127" s="189" t="s">
        <v>514</v>
      </c>
      <c r="I1127" s="225" t="s">
        <v>2472</v>
      </c>
      <c r="J1127" s="106">
        <v>44256</v>
      </c>
      <c r="K1127" s="22" t="s">
        <v>2567</v>
      </c>
    </row>
    <row r="1128" spans="1:11">
      <c r="A1128" s="239" t="s">
        <v>3866</v>
      </c>
      <c r="B1128" s="190">
        <v>1159</v>
      </c>
      <c r="C1128" s="195" t="s">
        <v>223</v>
      </c>
      <c r="D1128" s="195" t="s">
        <v>450</v>
      </c>
      <c r="E1128" s="194" t="s">
        <v>514</v>
      </c>
      <c r="F1128" s="236" t="s">
        <v>2472</v>
      </c>
      <c r="G1128" s="195" t="s">
        <v>450</v>
      </c>
      <c r="H1128" s="189" t="s">
        <v>2979</v>
      </c>
      <c r="I1128" s="225" t="s">
        <v>2474</v>
      </c>
      <c r="J1128" s="106">
        <v>44256</v>
      </c>
      <c r="K1128" s="22" t="s">
        <v>2567</v>
      </c>
    </row>
    <row r="1129" spans="1:11">
      <c r="A1129" s="239" t="s">
        <v>3544</v>
      </c>
      <c r="B1129" s="190">
        <v>2344</v>
      </c>
      <c r="C1129" s="195" t="s">
        <v>223</v>
      </c>
      <c r="D1129" s="195" t="s">
        <v>2283</v>
      </c>
      <c r="E1129" s="194" t="s">
        <v>2073</v>
      </c>
      <c r="F1129" s="236" t="s">
        <v>2471</v>
      </c>
      <c r="G1129" s="195" t="s">
        <v>3079</v>
      </c>
      <c r="H1129" s="189" t="s">
        <v>2377</v>
      </c>
      <c r="I1129" s="176" t="s">
        <v>1395</v>
      </c>
      <c r="J1129" s="106">
        <v>44256</v>
      </c>
      <c r="K1129" s="22"/>
    </row>
    <row r="1130" spans="1:11">
      <c r="A1130" s="239" t="s">
        <v>2334</v>
      </c>
      <c r="B1130" s="190">
        <v>639</v>
      </c>
      <c r="C1130" s="195" t="s">
        <v>1339</v>
      </c>
      <c r="D1130" s="195" t="s">
        <v>3079</v>
      </c>
      <c r="E1130" s="194" t="s">
        <v>2378</v>
      </c>
      <c r="F1130" s="236" t="s">
        <v>544</v>
      </c>
      <c r="G1130" s="195" t="s">
        <v>2588</v>
      </c>
      <c r="H1130" s="189" t="s">
        <v>2686</v>
      </c>
      <c r="I1130" s="176" t="s">
        <v>529</v>
      </c>
      <c r="J1130" s="106">
        <v>44256</v>
      </c>
      <c r="K1130" s="22"/>
    </row>
    <row r="1131" spans="1:11">
      <c r="A1131" s="241" t="s">
        <v>1944</v>
      </c>
      <c r="B1131" s="190">
        <v>2364</v>
      </c>
      <c r="C1131" s="133" t="s">
        <v>223</v>
      </c>
      <c r="D1131" s="167" t="s">
        <v>3079</v>
      </c>
      <c r="E1131" s="128" t="s">
        <v>2377</v>
      </c>
      <c r="F1131" s="121" t="s">
        <v>1395</v>
      </c>
      <c r="G1131" s="167" t="s">
        <v>3079</v>
      </c>
      <c r="H1131" s="189" t="s">
        <v>2675</v>
      </c>
      <c r="I1131" s="231" t="s">
        <v>339</v>
      </c>
      <c r="J1131" s="106">
        <v>44256</v>
      </c>
      <c r="K1131" s="22"/>
    </row>
    <row r="1132" spans="1:11">
      <c r="A1132" s="241" t="s">
        <v>3143</v>
      </c>
      <c r="B1132" s="190">
        <v>2223</v>
      </c>
      <c r="C1132" s="133" t="s">
        <v>223</v>
      </c>
      <c r="D1132" s="167" t="s">
        <v>3079</v>
      </c>
      <c r="E1132" s="128" t="s">
        <v>2675</v>
      </c>
      <c r="F1132" s="121" t="s">
        <v>339</v>
      </c>
      <c r="G1132" s="167" t="s">
        <v>2428</v>
      </c>
      <c r="H1132" s="217" t="s">
        <v>2377</v>
      </c>
      <c r="I1132" s="225" t="s">
        <v>1395</v>
      </c>
      <c r="J1132" s="106">
        <v>44256</v>
      </c>
      <c r="K1132" s="22"/>
    </row>
    <row r="1133" spans="1:11">
      <c r="A1133" s="241" t="s">
        <v>3800</v>
      </c>
      <c r="B1133" s="123">
        <v>956</v>
      </c>
      <c r="C1133" s="133" t="s">
        <v>1585</v>
      </c>
      <c r="D1133" s="167" t="s">
        <v>3079</v>
      </c>
      <c r="E1133" s="128" t="s">
        <v>2377</v>
      </c>
      <c r="F1133" s="121" t="s">
        <v>1395</v>
      </c>
      <c r="G1133" s="167" t="e">
        <v>#N/A</v>
      </c>
      <c r="H1133" s="189" t="s">
        <v>4941</v>
      </c>
      <c r="I1133" s="231" t="s">
        <v>4942</v>
      </c>
      <c r="J1133" s="106">
        <v>44256</v>
      </c>
      <c r="K1133" s="22"/>
    </row>
    <row r="1134" spans="1:11">
      <c r="A1134" s="240" t="s">
        <v>2898</v>
      </c>
      <c r="B1134" s="197">
        <v>1113</v>
      </c>
      <c r="C1134" s="219" t="s">
        <v>223</v>
      </c>
      <c r="D1134" s="220" t="s">
        <v>1324</v>
      </c>
      <c r="E1134" s="203" t="s">
        <v>457</v>
      </c>
      <c r="F1134" s="126" t="s">
        <v>1575</v>
      </c>
      <c r="G1134" s="126" t="s">
        <v>501</v>
      </c>
      <c r="H1134" s="145" t="s">
        <v>1967</v>
      </c>
      <c r="I1134" s="170" t="s">
        <v>2064</v>
      </c>
      <c r="J1134" s="205">
        <v>44256</v>
      </c>
      <c r="K1134" s="24" t="s">
        <v>5059</v>
      </c>
    </row>
    <row r="1135" spans="1:11">
      <c r="A1135" s="240" t="s">
        <v>348</v>
      </c>
      <c r="B1135" s="197">
        <v>2420</v>
      </c>
      <c r="C1135" s="219" t="s">
        <v>223</v>
      </c>
      <c r="D1135" s="220" t="s">
        <v>1324</v>
      </c>
      <c r="E1135" s="203" t="s">
        <v>457</v>
      </c>
      <c r="F1135" s="126" t="s">
        <v>1575</v>
      </c>
      <c r="G1135" s="126" t="s">
        <v>501</v>
      </c>
      <c r="H1135" s="145" t="s">
        <v>1967</v>
      </c>
      <c r="I1135" s="170" t="s">
        <v>2064</v>
      </c>
      <c r="J1135" s="205">
        <v>44256</v>
      </c>
      <c r="K1135" s="24" t="s">
        <v>5059</v>
      </c>
    </row>
    <row r="1136" spans="1:11">
      <c r="A1136" s="240" t="s">
        <v>1376</v>
      </c>
      <c r="B1136" s="197">
        <v>2579</v>
      </c>
      <c r="C1136" s="219" t="s">
        <v>223</v>
      </c>
      <c r="D1136" s="220" t="s">
        <v>1324</v>
      </c>
      <c r="E1136" s="203" t="s">
        <v>457</v>
      </c>
      <c r="F1136" s="126" t="s">
        <v>1575</v>
      </c>
      <c r="G1136" s="126" t="s">
        <v>501</v>
      </c>
      <c r="H1136" s="145" t="s">
        <v>1967</v>
      </c>
      <c r="I1136" s="170" t="s">
        <v>2064</v>
      </c>
      <c r="J1136" s="205">
        <v>44256</v>
      </c>
      <c r="K1136" s="24" t="s">
        <v>5059</v>
      </c>
    </row>
    <row r="1137" spans="1:11">
      <c r="A1137" s="240" t="s">
        <v>3946</v>
      </c>
      <c r="B1137" s="197">
        <v>1404</v>
      </c>
      <c r="C1137" s="125" t="s">
        <v>223</v>
      </c>
      <c r="D1137" s="126" t="s">
        <v>1324</v>
      </c>
      <c r="E1137" s="203" t="s">
        <v>179</v>
      </c>
      <c r="F1137" s="126" t="s">
        <v>1543</v>
      </c>
      <c r="G1137" s="126" t="s">
        <v>501</v>
      </c>
      <c r="H1137" s="145" t="s">
        <v>1967</v>
      </c>
      <c r="I1137" s="170" t="s">
        <v>2064</v>
      </c>
      <c r="J1137" s="205">
        <v>44256</v>
      </c>
      <c r="K1137" s="24" t="s">
        <v>5059</v>
      </c>
    </row>
    <row r="1138" spans="1:11">
      <c r="A1138" s="239" t="s">
        <v>3521</v>
      </c>
      <c r="B1138" s="215">
        <v>1029</v>
      </c>
      <c r="C1138" s="195" t="s">
        <v>223</v>
      </c>
      <c r="D1138" s="195" t="s">
        <v>2283</v>
      </c>
      <c r="E1138" s="194" t="s">
        <v>2448</v>
      </c>
      <c r="F1138" s="236" t="s">
        <v>1907</v>
      </c>
      <c r="G1138" s="195" t="s">
        <v>3079</v>
      </c>
      <c r="H1138" s="218" t="s">
        <v>2377</v>
      </c>
      <c r="I1138" s="176" t="s">
        <v>1395</v>
      </c>
      <c r="J1138" s="173">
        <v>44263</v>
      </c>
      <c r="K1138" s="22"/>
    </row>
    <row r="1139" spans="1:11">
      <c r="A1139" s="239" t="s">
        <v>3535</v>
      </c>
      <c r="B1139" s="215">
        <v>146</v>
      </c>
      <c r="C1139" s="195" t="s">
        <v>223</v>
      </c>
      <c r="D1139" s="195" t="s">
        <v>1454</v>
      </c>
      <c r="E1139" s="194" t="s">
        <v>683</v>
      </c>
      <c r="F1139" s="236" t="s">
        <v>1900</v>
      </c>
      <c r="G1139" s="195" t="s">
        <v>3079</v>
      </c>
      <c r="H1139" s="218" t="s">
        <v>2735</v>
      </c>
      <c r="I1139" s="176" t="s">
        <v>2488</v>
      </c>
      <c r="J1139" s="106">
        <v>44263</v>
      </c>
      <c r="K1139" s="22"/>
    </row>
    <row r="1140" spans="1:11">
      <c r="A1140" s="239" t="s">
        <v>2144</v>
      </c>
      <c r="B1140" s="215">
        <v>732</v>
      </c>
      <c r="C1140" s="195" t="s">
        <v>223</v>
      </c>
      <c r="D1140" s="195" t="s">
        <v>1454</v>
      </c>
      <c r="E1140" s="194" t="s">
        <v>685</v>
      </c>
      <c r="F1140" s="236" t="s">
        <v>1559</v>
      </c>
      <c r="G1140" s="195" t="s">
        <v>3079</v>
      </c>
      <c r="H1140" s="217" t="s">
        <v>2735</v>
      </c>
      <c r="I1140" s="225" t="s">
        <v>2488</v>
      </c>
      <c r="J1140" s="106">
        <v>44263</v>
      </c>
      <c r="K1140" s="22"/>
    </row>
    <row r="1141" spans="1:11">
      <c r="A1141" s="239" t="s">
        <v>3248</v>
      </c>
      <c r="B1141" s="190">
        <v>64625</v>
      </c>
      <c r="C1141" s="195" t="s">
        <v>643</v>
      </c>
      <c r="D1141" s="195" t="s">
        <v>1044</v>
      </c>
      <c r="E1141" s="194" t="s">
        <v>772</v>
      </c>
      <c r="F1141" s="236" t="s">
        <v>1389</v>
      </c>
      <c r="G1141" s="195" t="s">
        <v>1044</v>
      </c>
      <c r="H1141" s="177" t="s">
        <v>318</v>
      </c>
      <c r="I1141" s="176" t="s">
        <v>2806</v>
      </c>
      <c r="J1141" s="106">
        <v>44263</v>
      </c>
      <c r="K1141" s="22"/>
    </row>
    <row r="1142" spans="1:11">
      <c r="A1142" s="239" t="s">
        <v>3542</v>
      </c>
      <c r="B1142" s="190">
        <v>64553</v>
      </c>
      <c r="C1142" s="195" t="s">
        <v>643</v>
      </c>
      <c r="D1142" s="195" t="s">
        <v>2014</v>
      </c>
      <c r="E1142" s="194" t="s">
        <v>503</v>
      </c>
      <c r="F1142" s="236" t="s">
        <v>1565</v>
      </c>
      <c r="G1142" s="195" t="s">
        <v>2014</v>
      </c>
      <c r="H1142" s="177" t="s">
        <v>1090</v>
      </c>
      <c r="I1142" s="176" t="s">
        <v>1908</v>
      </c>
      <c r="J1142" s="106">
        <v>44263</v>
      </c>
      <c r="K1142" s="22"/>
    </row>
    <row r="1143" spans="1:11">
      <c r="A1143" s="239" t="s">
        <v>3392</v>
      </c>
      <c r="B1143" s="190">
        <v>2901</v>
      </c>
      <c r="C1143" s="195" t="s">
        <v>451</v>
      </c>
      <c r="D1143" s="195" t="s">
        <v>1044</v>
      </c>
      <c r="E1143" s="194" t="s">
        <v>238</v>
      </c>
      <c r="F1143" s="236" t="s">
        <v>1584</v>
      </c>
      <c r="G1143" s="195" t="s">
        <v>1315</v>
      </c>
      <c r="H1143" s="218" t="s">
        <v>1483</v>
      </c>
      <c r="I1143" s="176" t="s">
        <v>4929</v>
      </c>
      <c r="J1143" s="106">
        <v>44263</v>
      </c>
      <c r="K1143" s="22"/>
    </row>
    <row r="1144" spans="1:11">
      <c r="A1144" s="239" t="s">
        <v>3395</v>
      </c>
      <c r="B1144" s="190">
        <v>70645</v>
      </c>
      <c r="C1144" s="195" t="s">
        <v>643</v>
      </c>
      <c r="D1144" s="195" t="s">
        <v>1044</v>
      </c>
      <c r="E1144" s="194" t="s">
        <v>238</v>
      </c>
      <c r="F1144" s="236" t="s">
        <v>1584</v>
      </c>
      <c r="G1144" s="195" t="s">
        <v>1315</v>
      </c>
      <c r="H1144" s="177" t="s">
        <v>602</v>
      </c>
      <c r="I1144" s="176" t="s">
        <v>4930</v>
      </c>
      <c r="J1144" s="106">
        <v>44263</v>
      </c>
      <c r="K1144" s="22"/>
    </row>
    <row r="1145" spans="1:11">
      <c r="A1145" s="239" t="s">
        <v>3396</v>
      </c>
      <c r="B1145" s="190">
        <v>64624</v>
      </c>
      <c r="C1145" s="195" t="s">
        <v>643</v>
      </c>
      <c r="D1145" s="195" t="s">
        <v>1044</v>
      </c>
      <c r="E1145" s="194" t="s">
        <v>238</v>
      </c>
      <c r="F1145" s="236" t="s">
        <v>1584</v>
      </c>
      <c r="G1145" s="195" t="s">
        <v>1315</v>
      </c>
      <c r="H1145" s="189" t="s">
        <v>602</v>
      </c>
      <c r="I1145" s="176" t="s">
        <v>4930</v>
      </c>
      <c r="J1145" s="106">
        <v>44263</v>
      </c>
      <c r="K1145" s="22"/>
    </row>
    <row r="1146" spans="1:11">
      <c r="A1146" s="239" t="s">
        <v>2887</v>
      </c>
      <c r="B1146" s="190">
        <v>1662</v>
      </c>
      <c r="C1146" s="195" t="s">
        <v>451</v>
      </c>
      <c r="D1146" s="195" t="s">
        <v>1044</v>
      </c>
      <c r="E1146" s="194" t="s">
        <v>238</v>
      </c>
      <c r="F1146" s="236" t="s">
        <v>1584</v>
      </c>
      <c r="G1146" s="195" t="s">
        <v>1315</v>
      </c>
      <c r="H1146" s="189" t="s">
        <v>597</v>
      </c>
      <c r="I1146" s="176" t="s">
        <v>4931</v>
      </c>
      <c r="J1146" s="106">
        <v>44263</v>
      </c>
      <c r="K1146" s="22"/>
    </row>
    <row r="1147" spans="1:11">
      <c r="A1147" s="239" t="s">
        <v>3397</v>
      </c>
      <c r="B1147" s="190">
        <v>64568</v>
      </c>
      <c r="C1147" s="195" t="s">
        <v>643</v>
      </c>
      <c r="D1147" s="195" t="s">
        <v>1044</v>
      </c>
      <c r="E1147" s="194" t="s">
        <v>238</v>
      </c>
      <c r="F1147" s="236" t="s">
        <v>1584</v>
      </c>
      <c r="G1147" s="195" t="s">
        <v>1315</v>
      </c>
      <c r="H1147" s="189" t="s">
        <v>597</v>
      </c>
      <c r="I1147" s="176" t="s">
        <v>4931</v>
      </c>
      <c r="J1147" s="106">
        <v>44263</v>
      </c>
      <c r="K1147" s="22"/>
    </row>
    <row r="1148" spans="1:11">
      <c r="A1148" s="239" t="s">
        <v>3399</v>
      </c>
      <c r="B1148" s="190">
        <v>64616</v>
      </c>
      <c r="C1148" s="195" t="s">
        <v>643</v>
      </c>
      <c r="D1148" s="195" t="s">
        <v>1044</v>
      </c>
      <c r="E1148" s="194" t="s">
        <v>238</v>
      </c>
      <c r="F1148" s="236" t="s">
        <v>1584</v>
      </c>
      <c r="G1148" s="195" t="s">
        <v>1315</v>
      </c>
      <c r="H1148" s="189" t="s">
        <v>597</v>
      </c>
      <c r="I1148" s="176" t="s">
        <v>4931</v>
      </c>
      <c r="J1148" s="106">
        <v>44263</v>
      </c>
      <c r="K1148" s="22"/>
    </row>
    <row r="1149" spans="1:11">
      <c r="A1149" s="239" t="s">
        <v>3400</v>
      </c>
      <c r="B1149" s="190">
        <v>1771</v>
      </c>
      <c r="C1149" s="195" t="s">
        <v>223</v>
      </c>
      <c r="D1149" s="195" t="s">
        <v>1044</v>
      </c>
      <c r="E1149" s="194" t="s">
        <v>238</v>
      </c>
      <c r="F1149" s="236" t="s">
        <v>1584</v>
      </c>
      <c r="G1149" s="195" t="s">
        <v>1315</v>
      </c>
      <c r="H1149" s="189" t="s">
        <v>595</v>
      </c>
      <c r="I1149" s="176" t="s">
        <v>4932</v>
      </c>
      <c r="J1149" s="106">
        <v>44263</v>
      </c>
      <c r="K1149" s="22"/>
    </row>
    <row r="1150" spans="1:11">
      <c r="A1150" s="239" t="s">
        <v>4784</v>
      </c>
      <c r="B1150" s="190">
        <v>70662</v>
      </c>
      <c r="C1150" s="195" t="s">
        <v>643</v>
      </c>
      <c r="D1150" s="195" t="e">
        <v>#N/A</v>
      </c>
      <c r="E1150" s="194">
        <v>0</v>
      </c>
      <c r="F1150" s="236">
        <v>0</v>
      </c>
      <c r="G1150" s="195" t="s">
        <v>1315</v>
      </c>
      <c r="H1150" s="189" t="s">
        <v>438</v>
      </c>
      <c r="I1150" s="176" t="s">
        <v>1391</v>
      </c>
      <c r="J1150" s="106">
        <v>44263</v>
      </c>
      <c r="K1150" s="22"/>
    </row>
    <row r="1151" spans="1:11">
      <c r="A1151" s="239" t="s">
        <v>3361</v>
      </c>
      <c r="B1151" s="190">
        <v>64583</v>
      </c>
      <c r="C1151" s="195" t="s">
        <v>643</v>
      </c>
      <c r="D1151" s="195" t="s">
        <v>1044</v>
      </c>
      <c r="E1151" s="194" t="s">
        <v>238</v>
      </c>
      <c r="F1151" s="236" t="s">
        <v>1584</v>
      </c>
      <c r="G1151" s="195" t="s">
        <v>1315</v>
      </c>
      <c r="H1151" s="189" t="s">
        <v>318</v>
      </c>
      <c r="I1151" s="176" t="s">
        <v>2806</v>
      </c>
      <c r="J1151" s="106">
        <v>44263</v>
      </c>
      <c r="K1151" s="22"/>
    </row>
    <row r="1152" spans="1:11">
      <c r="A1152" s="239" t="s">
        <v>4363</v>
      </c>
      <c r="B1152" s="190">
        <v>3004</v>
      </c>
      <c r="C1152" s="195" t="s">
        <v>451</v>
      </c>
      <c r="D1152" s="195" t="s">
        <v>1044</v>
      </c>
      <c r="E1152" s="194" t="s">
        <v>772</v>
      </c>
      <c r="F1152" s="236" t="s">
        <v>1389</v>
      </c>
      <c r="G1152" s="195" t="s">
        <v>1315</v>
      </c>
      <c r="H1152" s="189" t="s">
        <v>772</v>
      </c>
      <c r="I1152" s="176" t="s">
        <v>1389</v>
      </c>
      <c r="J1152" s="106">
        <v>44263</v>
      </c>
      <c r="K1152" s="22"/>
    </row>
    <row r="1153" spans="1:11">
      <c r="A1153" s="239" t="s">
        <v>3363</v>
      </c>
      <c r="B1153" s="190">
        <v>70627</v>
      </c>
      <c r="C1153" s="195" t="s">
        <v>643</v>
      </c>
      <c r="D1153" s="195" t="s">
        <v>1044</v>
      </c>
      <c r="E1153" s="194" t="s">
        <v>238</v>
      </c>
      <c r="F1153" s="236" t="s">
        <v>1584</v>
      </c>
      <c r="G1153" s="195" t="s">
        <v>1315</v>
      </c>
      <c r="H1153" s="189" t="s">
        <v>772</v>
      </c>
      <c r="I1153" s="176" t="s">
        <v>1389</v>
      </c>
      <c r="J1153" s="106">
        <v>44263</v>
      </c>
      <c r="K1153" s="22"/>
    </row>
    <row r="1154" spans="1:11">
      <c r="A1154" s="239" t="s">
        <v>3364</v>
      </c>
      <c r="B1154" s="190">
        <v>248</v>
      </c>
      <c r="C1154" s="195" t="s">
        <v>1585</v>
      </c>
      <c r="D1154" s="195" t="s">
        <v>1044</v>
      </c>
      <c r="E1154" s="194" t="s">
        <v>238</v>
      </c>
      <c r="F1154" s="236" t="s">
        <v>1584</v>
      </c>
      <c r="G1154" s="195" t="s">
        <v>1315</v>
      </c>
      <c r="H1154" s="189" t="s">
        <v>772</v>
      </c>
      <c r="I1154" s="176" t="s">
        <v>1389</v>
      </c>
      <c r="J1154" s="106">
        <v>44263</v>
      </c>
      <c r="K1154" s="22"/>
    </row>
    <row r="1155" spans="1:11">
      <c r="A1155" s="239" t="s">
        <v>3365</v>
      </c>
      <c r="B1155" s="190">
        <v>1729</v>
      </c>
      <c r="C1155" s="195" t="s">
        <v>223</v>
      </c>
      <c r="D1155" s="195" t="s">
        <v>1044</v>
      </c>
      <c r="E1155" s="194" t="s">
        <v>238</v>
      </c>
      <c r="F1155" s="236" t="s">
        <v>1584</v>
      </c>
      <c r="G1155" s="195" t="s">
        <v>1315</v>
      </c>
      <c r="H1155" s="189" t="s">
        <v>772</v>
      </c>
      <c r="I1155" s="176" t="s">
        <v>1389</v>
      </c>
      <c r="J1155" s="106">
        <v>44263</v>
      </c>
      <c r="K1155" s="22"/>
    </row>
    <row r="1156" spans="1:11">
      <c r="A1156" s="239" t="s">
        <v>3367</v>
      </c>
      <c r="B1156" s="190">
        <v>1301</v>
      </c>
      <c r="C1156" s="195" t="s">
        <v>223</v>
      </c>
      <c r="D1156" s="195" t="s">
        <v>1044</v>
      </c>
      <c r="E1156" s="194" t="s">
        <v>238</v>
      </c>
      <c r="F1156" s="236" t="s">
        <v>1584</v>
      </c>
      <c r="G1156" s="195" t="s">
        <v>1315</v>
      </c>
      <c r="H1156" s="189" t="s">
        <v>1081</v>
      </c>
      <c r="I1156" s="176" t="s">
        <v>2547</v>
      </c>
      <c r="J1156" s="106">
        <v>44263</v>
      </c>
      <c r="K1156" s="22"/>
    </row>
    <row r="1157" spans="1:11">
      <c r="A1157" s="239" t="s">
        <v>2990</v>
      </c>
      <c r="B1157" s="190">
        <v>70547</v>
      </c>
      <c r="C1157" s="195" t="s">
        <v>643</v>
      </c>
      <c r="D1157" s="195" t="s">
        <v>1044</v>
      </c>
      <c r="E1157" s="194" t="s">
        <v>238</v>
      </c>
      <c r="F1157" s="236" t="s">
        <v>1584</v>
      </c>
      <c r="G1157" s="195" t="s">
        <v>1315</v>
      </c>
      <c r="H1157" s="189" t="s">
        <v>1264</v>
      </c>
      <c r="I1157" s="176" t="s">
        <v>3105</v>
      </c>
      <c r="J1157" s="106">
        <v>44263</v>
      </c>
      <c r="K1157" s="22"/>
    </row>
    <row r="1158" spans="1:11">
      <c r="A1158" s="239" t="s">
        <v>3368</v>
      </c>
      <c r="B1158" s="190">
        <v>1998</v>
      </c>
      <c r="C1158" s="195" t="s">
        <v>223</v>
      </c>
      <c r="D1158" s="195" t="s">
        <v>1044</v>
      </c>
      <c r="E1158" s="194" t="s">
        <v>238</v>
      </c>
      <c r="F1158" s="236" t="s">
        <v>1584</v>
      </c>
      <c r="G1158" s="195" t="s">
        <v>1315</v>
      </c>
      <c r="H1158" s="189" t="s">
        <v>1264</v>
      </c>
      <c r="I1158" s="176" t="s">
        <v>3105</v>
      </c>
      <c r="J1158" s="106">
        <v>44263</v>
      </c>
      <c r="K1158" s="22"/>
    </row>
    <row r="1159" spans="1:11">
      <c r="A1159" s="239" t="s">
        <v>2878</v>
      </c>
      <c r="B1159" s="190">
        <v>2965</v>
      </c>
      <c r="C1159" s="195" t="s">
        <v>451</v>
      </c>
      <c r="D1159" s="195" t="s">
        <v>1044</v>
      </c>
      <c r="E1159" s="194" t="s">
        <v>238</v>
      </c>
      <c r="F1159" s="236" t="s">
        <v>1584</v>
      </c>
      <c r="G1159" s="195" t="s">
        <v>1315</v>
      </c>
      <c r="H1159" s="189" t="s">
        <v>596</v>
      </c>
      <c r="I1159" s="176" t="s">
        <v>2277</v>
      </c>
      <c r="J1159" s="106">
        <v>44263</v>
      </c>
      <c r="K1159" s="22"/>
    </row>
    <row r="1160" spans="1:11">
      <c r="A1160" s="239" t="s">
        <v>3369</v>
      </c>
      <c r="B1160" s="190">
        <v>2470</v>
      </c>
      <c r="C1160" s="195" t="s">
        <v>451</v>
      </c>
      <c r="D1160" s="195" t="s">
        <v>1044</v>
      </c>
      <c r="E1160" s="194" t="s">
        <v>238</v>
      </c>
      <c r="F1160" s="236" t="s">
        <v>1584</v>
      </c>
      <c r="G1160" s="195" t="s">
        <v>1315</v>
      </c>
      <c r="H1160" s="189" t="s">
        <v>596</v>
      </c>
      <c r="I1160" s="176" t="s">
        <v>2277</v>
      </c>
      <c r="J1160" s="106">
        <v>44263</v>
      </c>
      <c r="K1160" s="22"/>
    </row>
    <row r="1161" spans="1:11">
      <c r="A1161" s="239" t="s">
        <v>4445</v>
      </c>
      <c r="B1161" s="190">
        <v>3137</v>
      </c>
      <c r="C1161" s="195" t="s">
        <v>451</v>
      </c>
      <c r="D1161" s="195" t="s">
        <v>2283</v>
      </c>
      <c r="E1161" s="194" t="s">
        <v>2324</v>
      </c>
      <c r="F1161" s="236" t="s">
        <v>2326</v>
      </c>
      <c r="G1161" s="195" t="s">
        <v>2428</v>
      </c>
      <c r="H1161" s="202" t="s">
        <v>2337</v>
      </c>
      <c r="I1161" s="176" t="s">
        <v>2157</v>
      </c>
      <c r="J1161" s="106">
        <v>44263</v>
      </c>
      <c r="K1161" s="22"/>
    </row>
    <row r="1162" spans="1:11">
      <c r="A1162" s="239" t="s">
        <v>3414</v>
      </c>
      <c r="B1162" s="190">
        <v>313</v>
      </c>
      <c r="C1162" s="195" t="s">
        <v>223</v>
      </c>
      <c r="D1162" s="195" t="s">
        <v>450</v>
      </c>
      <c r="E1162" s="194" t="s">
        <v>1062</v>
      </c>
      <c r="F1162" s="236" t="s">
        <v>1562</v>
      </c>
      <c r="G1162" s="195" t="s">
        <v>1260</v>
      </c>
      <c r="H1162" s="108" t="s">
        <v>452</v>
      </c>
      <c r="I1162" s="232" t="s">
        <v>346</v>
      </c>
      <c r="J1162" s="196">
        <v>44263</v>
      </c>
      <c r="K1162" s="22" t="s">
        <v>3419</v>
      </c>
    </row>
    <row r="1163" spans="1:11">
      <c r="A1163" s="239" t="s">
        <v>4784</v>
      </c>
      <c r="B1163" s="190">
        <v>70662</v>
      </c>
      <c r="C1163" s="195" t="s">
        <v>643</v>
      </c>
      <c r="D1163" s="195" t="e">
        <v>#N/A</v>
      </c>
      <c r="E1163" s="194">
        <v>0</v>
      </c>
      <c r="F1163" s="236">
        <v>0</v>
      </c>
      <c r="G1163" s="195" t="s">
        <v>2588</v>
      </c>
      <c r="H1163" s="189" t="s">
        <v>4933</v>
      </c>
      <c r="I1163" s="176" t="s">
        <v>1391</v>
      </c>
      <c r="J1163" s="106">
        <v>44263</v>
      </c>
      <c r="K1163" s="22"/>
    </row>
    <row r="1164" spans="1:11">
      <c r="A1164" s="239" t="s">
        <v>3355</v>
      </c>
      <c r="B1164" s="190">
        <v>2301</v>
      </c>
      <c r="C1164" s="195" t="s">
        <v>451</v>
      </c>
      <c r="D1164" s="195" t="s">
        <v>2588</v>
      </c>
      <c r="E1164" s="194" t="s">
        <v>2944</v>
      </c>
      <c r="F1164" s="236" t="s">
        <v>1555</v>
      </c>
      <c r="G1164" s="195" t="s">
        <v>2428</v>
      </c>
      <c r="H1164" s="189" t="s">
        <v>2378</v>
      </c>
      <c r="I1164" s="176" t="s">
        <v>544</v>
      </c>
      <c r="J1164" s="106">
        <v>44263</v>
      </c>
      <c r="K1164" s="22"/>
    </row>
    <row r="1165" spans="1:11">
      <c r="A1165" s="239" t="s">
        <v>4367</v>
      </c>
      <c r="B1165" s="190">
        <v>3008</v>
      </c>
      <c r="C1165" s="195" t="s">
        <v>451</v>
      </c>
      <c r="D1165" s="195" t="s">
        <v>1044</v>
      </c>
      <c r="E1165" s="194" t="s">
        <v>772</v>
      </c>
      <c r="F1165" s="236" t="s">
        <v>1389</v>
      </c>
      <c r="G1165" s="195" t="s">
        <v>2588</v>
      </c>
      <c r="H1165" s="218" t="s">
        <v>2765</v>
      </c>
      <c r="I1165" s="176" t="s">
        <v>1380</v>
      </c>
      <c r="J1165" s="106">
        <v>44263</v>
      </c>
      <c r="K1165" s="22"/>
    </row>
    <row r="1166" spans="1:11">
      <c r="A1166" s="239" t="s">
        <v>4678</v>
      </c>
      <c r="B1166" s="190">
        <v>64683</v>
      </c>
      <c r="C1166" s="195" t="s">
        <v>643</v>
      </c>
      <c r="D1166" s="195" t="s">
        <v>1044</v>
      </c>
      <c r="E1166" s="194" t="s">
        <v>597</v>
      </c>
      <c r="F1166" s="236" t="s">
        <v>1902</v>
      </c>
      <c r="G1166" s="195" t="s">
        <v>1315</v>
      </c>
      <c r="H1166" s="202" t="s">
        <v>602</v>
      </c>
      <c r="I1166" s="176" t="s">
        <v>4930</v>
      </c>
      <c r="J1166" s="106">
        <v>44263</v>
      </c>
      <c r="K1166" s="22"/>
    </row>
    <row r="1167" spans="1:11">
      <c r="A1167" s="239" t="s">
        <v>4842</v>
      </c>
      <c r="B1167" s="190">
        <v>70690</v>
      </c>
      <c r="C1167" s="195" t="s">
        <v>643</v>
      </c>
      <c r="D1167" s="195" t="s">
        <v>1044</v>
      </c>
      <c r="E1167" s="194" t="s">
        <v>597</v>
      </c>
      <c r="F1167" s="236" t="s">
        <v>1902</v>
      </c>
      <c r="G1167" s="195" t="s">
        <v>1315</v>
      </c>
      <c r="H1167" s="217" t="s">
        <v>178</v>
      </c>
      <c r="I1167" s="225" t="s">
        <v>1556</v>
      </c>
      <c r="J1167" s="106">
        <v>44263</v>
      </c>
      <c r="K1167" s="22"/>
    </row>
    <row r="1168" spans="1:11">
      <c r="A1168" s="239" t="s">
        <v>4878</v>
      </c>
      <c r="B1168" s="190">
        <v>70707</v>
      </c>
      <c r="C1168" s="195" t="s">
        <v>643</v>
      </c>
      <c r="D1168" s="195" t="s">
        <v>1044</v>
      </c>
      <c r="E1168" s="194" t="s">
        <v>602</v>
      </c>
      <c r="F1168" s="236" t="s">
        <v>3588</v>
      </c>
      <c r="G1168" s="195" t="s">
        <v>1315</v>
      </c>
      <c r="H1168" s="189" t="s">
        <v>178</v>
      </c>
      <c r="I1168" s="176" t="s">
        <v>1556</v>
      </c>
      <c r="J1168" s="106">
        <v>44263</v>
      </c>
      <c r="K1168" s="22"/>
    </row>
    <row r="1169" spans="1:11">
      <c r="A1169" s="239" t="s">
        <v>4675</v>
      </c>
      <c r="B1169" s="190">
        <v>64681</v>
      </c>
      <c r="C1169" s="195" t="s">
        <v>643</v>
      </c>
      <c r="D1169" s="195" t="s">
        <v>1044</v>
      </c>
      <c r="E1169" s="194" t="s">
        <v>602</v>
      </c>
      <c r="F1169" s="236" t="s">
        <v>3588</v>
      </c>
      <c r="G1169" s="195" t="s">
        <v>1315</v>
      </c>
      <c r="H1169" s="189" t="s">
        <v>437</v>
      </c>
      <c r="I1169" s="225" t="s">
        <v>342</v>
      </c>
      <c r="J1169" s="106">
        <v>44263</v>
      </c>
      <c r="K1169" s="22"/>
    </row>
    <row r="1170" spans="1:11">
      <c r="A1170" s="239" t="s">
        <v>4408</v>
      </c>
      <c r="B1170" s="190">
        <v>3077</v>
      </c>
      <c r="C1170" s="195" t="s">
        <v>451</v>
      </c>
      <c r="D1170" s="195" t="s">
        <v>2014</v>
      </c>
      <c r="E1170" s="194" t="s">
        <v>220</v>
      </c>
      <c r="F1170" s="236" t="s">
        <v>1877</v>
      </c>
      <c r="G1170" s="195" t="s">
        <v>2014</v>
      </c>
      <c r="H1170" s="218" t="s">
        <v>503</v>
      </c>
      <c r="I1170" s="225" t="s">
        <v>1565</v>
      </c>
      <c r="J1170" s="106">
        <v>44263</v>
      </c>
      <c r="K1170" s="22"/>
    </row>
    <row r="1171" spans="1:11">
      <c r="A1171" s="239" t="s">
        <v>3404</v>
      </c>
      <c r="B1171" s="190">
        <v>1961</v>
      </c>
      <c r="C1171" s="195" t="s">
        <v>223</v>
      </c>
      <c r="D1171" s="195" t="s">
        <v>2014</v>
      </c>
      <c r="E1171" s="194" t="s">
        <v>220</v>
      </c>
      <c r="F1171" s="236" t="s">
        <v>1877</v>
      </c>
      <c r="G1171" s="195" t="s">
        <v>2014</v>
      </c>
      <c r="H1171" s="217" t="s">
        <v>1270</v>
      </c>
      <c r="I1171" s="176" t="s">
        <v>346</v>
      </c>
      <c r="J1171" s="106">
        <v>44263</v>
      </c>
      <c r="K1171" s="22"/>
    </row>
    <row r="1172" spans="1:11">
      <c r="A1172" s="239" t="s">
        <v>3161</v>
      </c>
      <c r="B1172" s="190">
        <v>64473</v>
      </c>
      <c r="C1172" s="195" t="s">
        <v>643</v>
      </c>
      <c r="D1172" s="195" t="s">
        <v>2014</v>
      </c>
      <c r="E1172" s="194" t="s">
        <v>220</v>
      </c>
      <c r="F1172" s="236" t="s">
        <v>1877</v>
      </c>
      <c r="G1172" s="195" t="s">
        <v>2014</v>
      </c>
      <c r="H1172" s="189" t="s">
        <v>452</v>
      </c>
      <c r="I1172" s="176" t="s">
        <v>346</v>
      </c>
      <c r="J1172" s="106">
        <v>44263</v>
      </c>
      <c r="K1172" s="22"/>
    </row>
    <row r="1173" spans="1:11">
      <c r="A1173" s="239" t="s">
        <v>4343</v>
      </c>
      <c r="B1173" s="190">
        <v>2966</v>
      </c>
      <c r="C1173" s="195" t="s">
        <v>451</v>
      </c>
      <c r="D1173" s="195" t="s">
        <v>2014</v>
      </c>
      <c r="E1173" s="194" t="s">
        <v>220</v>
      </c>
      <c r="F1173" s="236" t="s">
        <v>1877</v>
      </c>
      <c r="G1173" s="195" t="s">
        <v>2014</v>
      </c>
      <c r="H1173" s="189" t="s">
        <v>1090</v>
      </c>
      <c r="I1173" s="176" t="s">
        <v>3909</v>
      </c>
      <c r="J1173" s="106">
        <v>44263</v>
      </c>
      <c r="K1173" s="22"/>
    </row>
    <row r="1174" spans="1:11">
      <c r="A1174" s="239" t="s">
        <v>3046</v>
      </c>
      <c r="B1174" s="190">
        <v>2443</v>
      </c>
      <c r="C1174" s="195" t="s">
        <v>223</v>
      </c>
      <c r="D1174" s="195" t="s">
        <v>2014</v>
      </c>
      <c r="E1174" s="194" t="s">
        <v>220</v>
      </c>
      <c r="F1174" s="236" t="s">
        <v>1877</v>
      </c>
      <c r="G1174" s="195" t="s">
        <v>2014</v>
      </c>
      <c r="H1174" s="218" t="s">
        <v>1090</v>
      </c>
      <c r="I1174" s="176" t="s">
        <v>3909</v>
      </c>
      <c r="J1174" s="106">
        <v>44263</v>
      </c>
      <c r="K1174" s="22"/>
    </row>
    <row r="1175" spans="1:11">
      <c r="A1175" s="239" t="s">
        <v>3406</v>
      </c>
      <c r="B1175" s="190">
        <v>2314</v>
      </c>
      <c r="C1175" s="195" t="s">
        <v>223</v>
      </c>
      <c r="D1175" s="195" t="s">
        <v>2014</v>
      </c>
      <c r="E1175" s="194" t="s">
        <v>220</v>
      </c>
      <c r="F1175" s="236" t="s">
        <v>1877</v>
      </c>
      <c r="G1175" s="195" t="s">
        <v>2014</v>
      </c>
      <c r="H1175" s="189" t="s">
        <v>503</v>
      </c>
      <c r="I1175" s="225" t="s">
        <v>1565</v>
      </c>
      <c r="J1175" s="106">
        <v>44263</v>
      </c>
      <c r="K1175" s="22"/>
    </row>
    <row r="1176" spans="1:11">
      <c r="A1176" s="239" t="s">
        <v>3405</v>
      </c>
      <c r="B1176" s="190">
        <v>1598</v>
      </c>
      <c r="C1176" s="195" t="s">
        <v>223</v>
      </c>
      <c r="D1176" s="195" t="s">
        <v>2014</v>
      </c>
      <c r="E1176" s="194" t="s">
        <v>220</v>
      </c>
      <c r="F1176" s="236" t="s">
        <v>1877</v>
      </c>
      <c r="G1176" s="195" t="s">
        <v>2014</v>
      </c>
      <c r="H1176" s="189" t="s">
        <v>503</v>
      </c>
      <c r="I1176" s="225" t="s">
        <v>1565</v>
      </c>
      <c r="J1176" s="106">
        <v>44263</v>
      </c>
      <c r="K1176" s="22"/>
    </row>
    <row r="1177" spans="1:11">
      <c r="A1177" s="239" t="s">
        <v>3407</v>
      </c>
      <c r="B1177" s="190">
        <v>2624</v>
      </c>
      <c r="C1177" s="195" t="s">
        <v>223</v>
      </c>
      <c r="D1177" s="195" t="s">
        <v>2014</v>
      </c>
      <c r="E1177" s="194" t="s">
        <v>220</v>
      </c>
      <c r="F1177" s="236" t="s">
        <v>1877</v>
      </c>
      <c r="G1177" s="195" t="s">
        <v>2014</v>
      </c>
      <c r="H1177" s="202" t="s">
        <v>503</v>
      </c>
      <c r="I1177" s="225" t="s">
        <v>1565</v>
      </c>
      <c r="J1177" s="106">
        <v>44263</v>
      </c>
      <c r="K1177" s="22"/>
    </row>
    <row r="1178" spans="1:11">
      <c r="A1178" s="239" t="s">
        <v>2984</v>
      </c>
      <c r="B1178" s="190">
        <v>1453</v>
      </c>
      <c r="C1178" s="195" t="s">
        <v>1339</v>
      </c>
      <c r="D1178" s="195" t="s">
        <v>450</v>
      </c>
      <c r="E1178" s="194" t="s">
        <v>2979</v>
      </c>
      <c r="F1178" s="236" t="s">
        <v>2793</v>
      </c>
      <c r="G1178" s="195" t="s">
        <v>450</v>
      </c>
      <c r="H1178" s="134" t="s">
        <v>514</v>
      </c>
      <c r="I1178" s="156" t="s">
        <v>2472</v>
      </c>
      <c r="J1178" s="106">
        <v>44263</v>
      </c>
      <c r="K1178" s="24"/>
    </row>
    <row r="1179" spans="1:11">
      <c r="A1179" s="239" t="s">
        <v>3415</v>
      </c>
      <c r="B1179" s="190">
        <v>520</v>
      </c>
      <c r="C1179" s="195" t="s">
        <v>1339</v>
      </c>
      <c r="D1179" s="195" t="s">
        <v>450</v>
      </c>
      <c r="E1179" s="194" t="s">
        <v>2979</v>
      </c>
      <c r="F1179" s="236" t="s">
        <v>2793</v>
      </c>
      <c r="G1179" s="195" t="s">
        <v>450</v>
      </c>
      <c r="H1179" s="134" t="s">
        <v>515</v>
      </c>
      <c r="I1179" s="156" t="s">
        <v>1574</v>
      </c>
      <c r="J1179" s="106">
        <v>44263</v>
      </c>
      <c r="K1179" s="22"/>
    </row>
    <row r="1180" spans="1:11">
      <c r="A1180" s="239" t="s">
        <v>3416</v>
      </c>
      <c r="B1180" s="190">
        <v>64640</v>
      </c>
      <c r="C1180" s="195" t="s">
        <v>643</v>
      </c>
      <c r="D1180" s="195" t="e">
        <v>#N/A</v>
      </c>
      <c r="E1180" s="194" t="s">
        <v>3317</v>
      </c>
      <c r="F1180" s="236" t="s">
        <v>1909</v>
      </c>
      <c r="G1180" s="195" t="s">
        <v>450</v>
      </c>
      <c r="H1180" s="134" t="s">
        <v>512</v>
      </c>
      <c r="I1180" s="156" t="s">
        <v>1574</v>
      </c>
      <c r="J1180" s="106">
        <v>44263</v>
      </c>
      <c r="K1180" s="22"/>
    </row>
    <row r="1181" spans="1:11">
      <c r="A1181" s="239" t="s">
        <v>3058</v>
      </c>
      <c r="B1181" s="190">
        <v>64571</v>
      </c>
      <c r="C1181" s="195" t="s">
        <v>643</v>
      </c>
      <c r="D1181" s="195" t="e">
        <v>#N/A</v>
      </c>
      <c r="E1181" s="194" t="s">
        <v>3317</v>
      </c>
      <c r="F1181" s="236" t="s">
        <v>1909</v>
      </c>
      <c r="G1181" s="195" t="s">
        <v>450</v>
      </c>
      <c r="H1181" s="134" t="s">
        <v>515</v>
      </c>
      <c r="I1181" s="156" t="s">
        <v>1574</v>
      </c>
      <c r="J1181" s="106">
        <v>44263</v>
      </c>
      <c r="K1181" s="22"/>
    </row>
    <row r="1182" spans="1:11">
      <c r="A1182" s="239" t="s">
        <v>3429</v>
      </c>
      <c r="B1182" s="190">
        <v>1524</v>
      </c>
      <c r="C1182" s="195" t="s">
        <v>1339</v>
      </c>
      <c r="D1182" s="195" t="s">
        <v>1044</v>
      </c>
      <c r="E1182" s="194" t="s">
        <v>238</v>
      </c>
      <c r="F1182" s="236" t="s">
        <v>1584</v>
      </c>
      <c r="G1182" s="195" t="s">
        <v>1315</v>
      </c>
      <c r="H1182" s="218" t="s">
        <v>597</v>
      </c>
      <c r="I1182" s="231" t="s">
        <v>1902</v>
      </c>
      <c r="J1182" s="106">
        <v>44263</v>
      </c>
      <c r="K1182" s="22"/>
    </row>
    <row r="1183" spans="1:11">
      <c r="A1183" s="239" t="s">
        <v>3483</v>
      </c>
      <c r="B1183" s="190">
        <v>2084</v>
      </c>
      <c r="C1183" s="195" t="s">
        <v>223</v>
      </c>
      <c r="D1183" s="195" t="s">
        <v>1044</v>
      </c>
      <c r="E1183" s="194" t="s">
        <v>238</v>
      </c>
      <c r="F1183" s="236" t="s">
        <v>1584</v>
      </c>
      <c r="G1183" s="195" t="s">
        <v>1315</v>
      </c>
      <c r="H1183" s="218" t="s">
        <v>597</v>
      </c>
      <c r="I1183" s="225" t="s">
        <v>1902</v>
      </c>
      <c r="J1183" s="106">
        <v>44263</v>
      </c>
      <c r="K1183" s="22"/>
    </row>
    <row r="1184" spans="1:11">
      <c r="A1184" s="239" t="s">
        <v>3425</v>
      </c>
      <c r="B1184" s="190">
        <v>3140</v>
      </c>
      <c r="C1184" s="195" t="s">
        <v>2128</v>
      </c>
      <c r="D1184" s="195" t="s">
        <v>2283</v>
      </c>
      <c r="E1184" s="194" t="s">
        <v>2073</v>
      </c>
      <c r="F1184" s="236" t="s">
        <v>2471</v>
      </c>
      <c r="G1184" s="195" t="s">
        <v>2428</v>
      </c>
      <c r="H1184" s="218" t="s">
        <v>2448</v>
      </c>
      <c r="I1184" s="176" t="s">
        <v>1907</v>
      </c>
      <c r="J1184" s="106">
        <v>44265</v>
      </c>
      <c r="K1184" s="22"/>
    </row>
    <row r="1185" spans="1:11">
      <c r="A1185" s="239" t="s">
        <v>3010</v>
      </c>
      <c r="B1185" s="190">
        <v>2431</v>
      </c>
      <c r="C1185" s="192" t="s">
        <v>2037</v>
      </c>
      <c r="D1185" s="193" t="s">
        <v>2588</v>
      </c>
      <c r="E1185" s="194" t="s">
        <v>3000</v>
      </c>
      <c r="F1185" s="236" t="s">
        <v>545</v>
      </c>
      <c r="G1185" s="195" t="s">
        <v>2588</v>
      </c>
      <c r="H1185" s="189" t="s">
        <v>2824</v>
      </c>
      <c r="I1185" s="176" t="s">
        <v>1893</v>
      </c>
      <c r="J1185" s="106">
        <v>44267</v>
      </c>
      <c r="K1185" s="22"/>
    </row>
    <row r="1186" spans="1:11">
      <c r="A1186" s="239" t="s">
        <v>3526</v>
      </c>
      <c r="B1186" s="190">
        <v>2811</v>
      </c>
      <c r="C1186" s="192" t="s">
        <v>223</v>
      </c>
      <c r="D1186" s="193" t="s">
        <v>1324</v>
      </c>
      <c r="E1186" s="194" t="s">
        <v>1350</v>
      </c>
      <c r="F1186" s="236" t="s">
        <v>1378</v>
      </c>
      <c r="G1186" s="195" t="s">
        <v>2588</v>
      </c>
      <c r="H1186" s="189" t="s">
        <v>3527</v>
      </c>
      <c r="I1186" s="176" t="s">
        <v>1390</v>
      </c>
      <c r="J1186" s="106">
        <v>44270</v>
      </c>
      <c r="K1186" s="22"/>
    </row>
    <row r="1187" spans="1:11">
      <c r="A1187" s="239" t="s">
        <v>1943</v>
      </c>
      <c r="B1187" s="201">
        <v>2275</v>
      </c>
      <c r="C1187" s="195" t="s">
        <v>223</v>
      </c>
      <c r="D1187" s="195" t="s">
        <v>1324</v>
      </c>
      <c r="E1187" s="194" t="s">
        <v>1335</v>
      </c>
      <c r="F1187" s="236" t="s">
        <v>3114</v>
      </c>
      <c r="G1187" s="195" t="s">
        <v>2588</v>
      </c>
      <c r="H1187" s="202" t="s">
        <v>2707</v>
      </c>
      <c r="I1187" s="176" t="s">
        <v>1390</v>
      </c>
      <c r="J1187" s="106">
        <v>44270</v>
      </c>
      <c r="K1187" s="22"/>
    </row>
    <row r="1188" spans="1:11">
      <c r="A1188" s="242" t="s">
        <v>3493</v>
      </c>
      <c r="B1188" s="197">
        <v>2812</v>
      </c>
      <c r="C1188" s="198" t="s">
        <v>223</v>
      </c>
      <c r="D1188" s="198" t="s">
        <v>1324</v>
      </c>
      <c r="E1188" s="198" t="s">
        <v>1214</v>
      </c>
      <c r="F1188" s="237" t="s">
        <v>1379</v>
      </c>
      <c r="G1188" s="198" t="s">
        <v>1324</v>
      </c>
      <c r="H1188" s="199" t="s">
        <v>845</v>
      </c>
      <c r="I1188" s="233" t="s">
        <v>3114</v>
      </c>
      <c r="J1188" s="200">
        <v>44270</v>
      </c>
      <c r="K1188" s="22" t="s">
        <v>4950</v>
      </c>
    </row>
    <row r="1189" spans="1:11">
      <c r="A1189" s="239" t="s">
        <v>3001</v>
      </c>
      <c r="B1189" s="190">
        <v>64540</v>
      </c>
      <c r="C1189" s="195" t="s">
        <v>643</v>
      </c>
      <c r="D1189" s="195" t="s">
        <v>1324</v>
      </c>
      <c r="E1189" s="194" t="s">
        <v>771</v>
      </c>
      <c r="F1189" s="236" t="s">
        <v>1379</v>
      </c>
      <c r="G1189" s="195" t="s">
        <v>1324</v>
      </c>
      <c r="H1189" s="189" t="s">
        <v>1335</v>
      </c>
      <c r="I1189" s="176" t="s">
        <v>1378</v>
      </c>
      <c r="J1189" s="106">
        <v>44270</v>
      </c>
      <c r="K1189" s="22"/>
    </row>
    <row r="1190" spans="1:11">
      <c r="A1190" s="239" t="s">
        <v>3159</v>
      </c>
      <c r="B1190" s="190">
        <v>3209</v>
      </c>
      <c r="C1190" s="195" t="s">
        <v>451</v>
      </c>
      <c r="D1190" s="195" t="s">
        <v>1324</v>
      </c>
      <c r="E1190" s="194" t="s">
        <v>771</v>
      </c>
      <c r="F1190" s="236" t="s">
        <v>1379</v>
      </c>
      <c r="G1190" s="195" t="s">
        <v>1324</v>
      </c>
      <c r="H1190" s="189" t="s">
        <v>771</v>
      </c>
      <c r="I1190" s="176" t="s">
        <v>1379</v>
      </c>
      <c r="J1190" s="106">
        <v>44270</v>
      </c>
      <c r="K1190" s="22"/>
    </row>
    <row r="1191" spans="1:11">
      <c r="A1191" s="239" t="s">
        <v>1377</v>
      </c>
      <c r="B1191" s="215">
        <v>1084</v>
      </c>
      <c r="C1191" s="195" t="s">
        <v>223</v>
      </c>
      <c r="D1191" s="195" t="s">
        <v>1324</v>
      </c>
      <c r="E1191" s="194" t="s">
        <v>771</v>
      </c>
      <c r="F1191" s="236" t="s">
        <v>1379</v>
      </c>
      <c r="G1191" s="195" t="s">
        <v>1324</v>
      </c>
      <c r="H1191" s="218" t="s">
        <v>179</v>
      </c>
      <c r="I1191" s="176" t="s">
        <v>1543</v>
      </c>
      <c r="J1191" s="106">
        <v>44270</v>
      </c>
      <c r="K1191" s="22"/>
    </row>
    <row r="1192" spans="1:11">
      <c r="A1192" s="239" t="s">
        <v>3494</v>
      </c>
      <c r="B1192" s="190">
        <v>1841</v>
      </c>
      <c r="C1192" s="192" t="s">
        <v>223</v>
      </c>
      <c r="D1192" s="193" t="s">
        <v>1324</v>
      </c>
      <c r="E1192" s="194" t="s">
        <v>771</v>
      </c>
      <c r="F1192" s="236" t="s">
        <v>1379</v>
      </c>
      <c r="G1192" s="195" t="s">
        <v>1324</v>
      </c>
      <c r="H1192" s="189" t="s">
        <v>771</v>
      </c>
      <c r="I1192" s="176" t="s">
        <v>1379</v>
      </c>
      <c r="J1192" s="106">
        <v>44270</v>
      </c>
      <c r="K1192" s="22"/>
    </row>
    <row r="1193" spans="1:11">
      <c r="A1193" s="239" t="s">
        <v>3524</v>
      </c>
      <c r="B1193" s="190">
        <v>875</v>
      </c>
      <c r="C1193" s="195" t="s">
        <v>223</v>
      </c>
      <c r="D1193" s="195" t="s">
        <v>1324</v>
      </c>
      <c r="E1193" s="194" t="s">
        <v>845</v>
      </c>
      <c r="F1193" s="236" t="s">
        <v>3114</v>
      </c>
      <c r="G1193" s="195" t="s">
        <v>2588</v>
      </c>
      <c r="H1193" s="189" t="s">
        <v>3525</v>
      </c>
      <c r="I1193" s="224" t="s">
        <v>1390</v>
      </c>
      <c r="J1193" s="104">
        <v>44270</v>
      </c>
      <c r="K1193" s="22"/>
    </row>
    <row r="1194" spans="1:11">
      <c r="A1194" s="239" t="s">
        <v>3536</v>
      </c>
      <c r="B1194" s="190">
        <v>873</v>
      </c>
      <c r="C1194" s="192" t="s">
        <v>2037</v>
      </c>
      <c r="D1194" s="193" t="s">
        <v>2014</v>
      </c>
      <c r="E1194" s="194" t="s">
        <v>1090</v>
      </c>
      <c r="F1194" s="236" t="s">
        <v>1908</v>
      </c>
      <c r="G1194" s="195" t="s">
        <v>3079</v>
      </c>
      <c r="H1194" s="202" t="s">
        <v>3531</v>
      </c>
      <c r="I1194" s="224" t="s">
        <v>339</v>
      </c>
      <c r="J1194" s="104">
        <v>44270</v>
      </c>
      <c r="K1194" s="22"/>
    </row>
    <row r="1195" spans="1:11">
      <c r="A1195" s="239" t="s">
        <v>3537</v>
      </c>
      <c r="B1195" s="190">
        <v>1284</v>
      </c>
      <c r="C1195" s="192" t="s">
        <v>1339</v>
      </c>
      <c r="D1195" s="193" t="s">
        <v>2014</v>
      </c>
      <c r="E1195" s="194" t="s">
        <v>1090</v>
      </c>
      <c r="F1195" s="236" t="s">
        <v>1908</v>
      </c>
      <c r="G1195" s="195" t="s">
        <v>3079</v>
      </c>
      <c r="H1195" s="217" t="s">
        <v>3531</v>
      </c>
      <c r="I1195" s="228" t="s">
        <v>339</v>
      </c>
      <c r="J1195" s="104">
        <v>44270</v>
      </c>
      <c r="K1195" s="22"/>
    </row>
    <row r="1196" spans="1:11">
      <c r="A1196" s="239" t="s">
        <v>3540</v>
      </c>
      <c r="B1196" s="190">
        <v>870</v>
      </c>
      <c r="C1196" s="195" t="s">
        <v>2037</v>
      </c>
      <c r="D1196" s="195" t="s">
        <v>2014</v>
      </c>
      <c r="E1196" s="194" t="s">
        <v>503</v>
      </c>
      <c r="F1196" s="236" t="s">
        <v>1565</v>
      </c>
      <c r="G1196" s="195" t="s">
        <v>2588</v>
      </c>
      <c r="H1196" s="189" t="s">
        <v>2787</v>
      </c>
      <c r="I1196" s="224" t="s">
        <v>1555</v>
      </c>
      <c r="J1196" s="104">
        <v>44270</v>
      </c>
      <c r="K1196" s="22"/>
    </row>
    <row r="1197" spans="1:11">
      <c r="A1197" s="239" t="s">
        <v>3541</v>
      </c>
      <c r="B1197" s="190">
        <v>1603</v>
      </c>
      <c r="C1197" s="195" t="s">
        <v>1339</v>
      </c>
      <c r="D1197" s="195" t="s">
        <v>2014</v>
      </c>
      <c r="E1197" s="194" t="s">
        <v>503</v>
      </c>
      <c r="F1197" s="236" t="s">
        <v>1565</v>
      </c>
      <c r="G1197" s="195" t="s">
        <v>2014</v>
      </c>
      <c r="H1197" s="189" t="s">
        <v>1090</v>
      </c>
      <c r="I1197" s="224" t="s">
        <v>1908</v>
      </c>
      <c r="J1197" s="104">
        <v>44270</v>
      </c>
      <c r="K1197" s="22"/>
    </row>
    <row r="1198" spans="1:11">
      <c r="A1198" s="239" t="s">
        <v>3797</v>
      </c>
      <c r="B1198" s="190">
        <v>948</v>
      </c>
      <c r="C1198" s="195" t="s">
        <v>2037</v>
      </c>
      <c r="D1198" s="195" t="s">
        <v>2014</v>
      </c>
      <c r="E1198" s="194" t="s">
        <v>1270</v>
      </c>
      <c r="F1198" s="236" t="s">
        <v>346</v>
      </c>
      <c r="G1198" s="195" t="s">
        <v>1260</v>
      </c>
      <c r="H1198" s="218" t="s">
        <v>435</v>
      </c>
      <c r="I1198" s="234" t="s">
        <v>4171</v>
      </c>
      <c r="J1198" s="104">
        <v>44270</v>
      </c>
      <c r="K1198" s="22"/>
    </row>
    <row r="1199" spans="1:11">
      <c r="A1199" s="239" t="s">
        <v>4907</v>
      </c>
      <c r="B1199" s="190">
        <v>70722</v>
      </c>
      <c r="C1199" s="195" t="s">
        <v>643</v>
      </c>
      <c r="D1199" s="195" t="s">
        <v>2014</v>
      </c>
      <c r="E1199" s="194" t="s">
        <v>1270</v>
      </c>
      <c r="F1199" s="236" t="s">
        <v>346</v>
      </c>
      <c r="G1199" s="195" t="s">
        <v>1260</v>
      </c>
      <c r="H1199" s="189" t="s">
        <v>435</v>
      </c>
      <c r="I1199" s="224" t="s">
        <v>4171</v>
      </c>
      <c r="J1199" s="104">
        <v>44270</v>
      </c>
      <c r="K1199" s="22"/>
    </row>
    <row r="1200" spans="1:11">
      <c r="A1200" s="239" t="s">
        <v>3528</v>
      </c>
      <c r="B1200" s="190">
        <v>1612</v>
      </c>
      <c r="C1200" s="195" t="s">
        <v>2037</v>
      </c>
      <c r="D1200" s="195" t="s">
        <v>2014</v>
      </c>
      <c r="E1200" s="194" t="s">
        <v>435</v>
      </c>
      <c r="F1200" s="236" t="s">
        <v>347</v>
      </c>
      <c r="G1200" s="195" t="s">
        <v>3079</v>
      </c>
      <c r="H1200" s="202" t="s">
        <v>3529</v>
      </c>
      <c r="I1200" s="224" t="s">
        <v>2488</v>
      </c>
      <c r="J1200" s="106">
        <v>44270</v>
      </c>
      <c r="K1200" s="22"/>
    </row>
    <row r="1201" spans="1:11">
      <c r="A1201" s="239" t="s">
        <v>4171</v>
      </c>
      <c r="B1201" s="190">
        <v>2152</v>
      </c>
      <c r="C1201" s="195" t="s">
        <v>1339</v>
      </c>
      <c r="D1201" s="195" t="s">
        <v>2014</v>
      </c>
      <c r="E1201" s="194" t="s">
        <v>435</v>
      </c>
      <c r="F1201" s="236" t="s">
        <v>347</v>
      </c>
      <c r="G1201" s="195" t="s">
        <v>1260</v>
      </c>
      <c r="H1201" s="217" t="s">
        <v>504</v>
      </c>
      <c r="I1201" s="228" t="s">
        <v>535</v>
      </c>
      <c r="J1201" s="106">
        <v>44270</v>
      </c>
      <c r="K1201" s="22"/>
    </row>
    <row r="1202" spans="1:11">
      <c r="A1202" s="239" t="s">
        <v>3952</v>
      </c>
      <c r="B1202" s="190">
        <v>1428</v>
      </c>
      <c r="C1202" s="195" t="s">
        <v>223</v>
      </c>
      <c r="D1202" s="195" t="s">
        <v>2014</v>
      </c>
      <c r="E1202" s="194" t="s">
        <v>504</v>
      </c>
      <c r="F1202" s="236" t="s">
        <v>347</v>
      </c>
      <c r="G1202" s="195" t="s">
        <v>1260</v>
      </c>
      <c r="H1202" s="189" t="s">
        <v>452</v>
      </c>
      <c r="I1202" s="224" t="s">
        <v>346</v>
      </c>
      <c r="J1202" s="106">
        <v>44270</v>
      </c>
      <c r="K1202" s="22"/>
    </row>
    <row r="1203" spans="1:11">
      <c r="A1203" s="239" t="s">
        <v>3533</v>
      </c>
      <c r="B1203" s="190">
        <v>2566</v>
      </c>
      <c r="C1203" s="195" t="s">
        <v>1339</v>
      </c>
      <c r="D1203" s="195" t="s">
        <v>2014</v>
      </c>
      <c r="E1203" s="194" t="s">
        <v>208</v>
      </c>
      <c r="F1203" s="236" t="s">
        <v>1386</v>
      </c>
      <c r="G1203" s="195" t="s">
        <v>2588</v>
      </c>
      <c r="H1203" s="189" t="s">
        <v>3534</v>
      </c>
      <c r="I1203" s="224" t="s">
        <v>1893</v>
      </c>
      <c r="J1203" s="106">
        <v>44270</v>
      </c>
      <c r="K1203" s="22"/>
    </row>
    <row r="1204" spans="1:11">
      <c r="A1204" s="239" t="s">
        <v>2384</v>
      </c>
      <c r="B1204" s="190">
        <v>2196</v>
      </c>
      <c r="C1204" s="195" t="s">
        <v>223</v>
      </c>
      <c r="D1204" s="195" t="s">
        <v>1454</v>
      </c>
      <c r="E1204" s="194" t="s">
        <v>684</v>
      </c>
      <c r="F1204" s="236" t="s">
        <v>541</v>
      </c>
      <c r="G1204" s="195" t="s">
        <v>3079</v>
      </c>
      <c r="H1204" s="218" t="s">
        <v>2686</v>
      </c>
      <c r="I1204" s="176" t="s">
        <v>529</v>
      </c>
      <c r="J1204" s="106">
        <v>44270</v>
      </c>
      <c r="K1204" s="22"/>
    </row>
    <row r="1205" spans="1:11">
      <c r="A1205" s="239" t="s">
        <v>4687</v>
      </c>
      <c r="B1205" s="190">
        <v>64689</v>
      </c>
      <c r="C1205" s="195" t="s">
        <v>643</v>
      </c>
      <c r="D1205" s="195" t="s">
        <v>1454</v>
      </c>
      <c r="E1205" s="194" t="s">
        <v>684</v>
      </c>
      <c r="F1205" s="236" t="s">
        <v>541</v>
      </c>
      <c r="G1205" s="195" t="s">
        <v>213</v>
      </c>
      <c r="H1205" s="202" t="s">
        <v>685</v>
      </c>
      <c r="I1205" s="231" t="s">
        <v>1559</v>
      </c>
      <c r="J1205" s="106">
        <v>44270</v>
      </c>
      <c r="K1205" s="22"/>
    </row>
    <row r="1206" spans="1:11">
      <c r="A1206" s="239" t="s">
        <v>4232</v>
      </c>
      <c r="B1206" s="190">
        <v>2433</v>
      </c>
      <c r="C1206" s="195" t="s">
        <v>1225</v>
      </c>
      <c r="D1206" s="195" t="s">
        <v>1454</v>
      </c>
      <c r="E1206" s="194" t="s">
        <v>690</v>
      </c>
      <c r="F1206" s="236" t="s">
        <v>1583</v>
      </c>
      <c r="G1206" s="195" t="s">
        <v>213</v>
      </c>
      <c r="H1206" s="134" t="s">
        <v>711</v>
      </c>
      <c r="I1206" s="156" t="s">
        <v>543</v>
      </c>
      <c r="J1206" s="158">
        <v>44270</v>
      </c>
      <c r="K1206" s="22"/>
    </row>
    <row r="1207" spans="1:11">
      <c r="A1207" s="239" t="s">
        <v>4515</v>
      </c>
      <c r="B1207" s="190">
        <v>3247</v>
      </c>
      <c r="C1207" s="195" t="s">
        <v>2180</v>
      </c>
      <c r="D1207" s="195" t="s">
        <v>3079</v>
      </c>
      <c r="E1207" s="194" t="s">
        <v>2086</v>
      </c>
      <c r="F1207" s="236" t="s">
        <v>1569</v>
      </c>
      <c r="G1207" s="195" t="s">
        <v>213</v>
      </c>
      <c r="H1207" s="134" t="s">
        <v>691</v>
      </c>
      <c r="I1207" s="156" t="s">
        <v>547</v>
      </c>
      <c r="J1207" s="158">
        <v>44270</v>
      </c>
      <c r="K1207" s="22"/>
    </row>
    <row r="1208" spans="1:11">
      <c r="A1208" s="239" t="s">
        <v>4337</v>
      </c>
      <c r="B1208" s="190">
        <v>2956</v>
      </c>
      <c r="C1208" s="195" t="s">
        <v>1224</v>
      </c>
      <c r="D1208" s="195" t="s">
        <v>3079</v>
      </c>
      <c r="E1208" s="194" t="s">
        <v>2086</v>
      </c>
      <c r="F1208" s="236" t="s">
        <v>1569</v>
      </c>
      <c r="G1208" s="195" t="s">
        <v>213</v>
      </c>
      <c r="H1208" s="134" t="s">
        <v>691</v>
      </c>
      <c r="I1208" s="156" t="s">
        <v>547</v>
      </c>
      <c r="J1208" s="158">
        <v>44270</v>
      </c>
      <c r="K1208" s="22"/>
    </row>
    <row r="1209" spans="1:11">
      <c r="A1209" s="239" t="s">
        <v>2622</v>
      </c>
      <c r="B1209" s="190">
        <v>2315</v>
      </c>
      <c r="C1209" s="195" t="s">
        <v>1225</v>
      </c>
      <c r="D1209" s="195" t="s">
        <v>3079</v>
      </c>
      <c r="E1209" s="194" t="s">
        <v>2086</v>
      </c>
      <c r="F1209" s="236" t="s">
        <v>1569</v>
      </c>
      <c r="G1209" s="195" t="s">
        <v>213</v>
      </c>
      <c r="H1209" s="134" t="s">
        <v>711</v>
      </c>
      <c r="I1209" s="156" t="s">
        <v>543</v>
      </c>
      <c r="J1209" s="158">
        <v>44270</v>
      </c>
      <c r="K1209" s="22"/>
    </row>
    <row r="1210" spans="1:11">
      <c r="A1210" s="239" t="s">
        <v>3988</v>
      </c>
      <c r="B1210" s="311">
        <v>1579</v>
      </c>
      <c r="C1210" s="312" t="s">
        <v>731</v>
      </c>
      <c r="D1210" s="312" t="s">
        <v>3079</v>
      </c>
      <c r="E1210" s="194" t="s">
        <v>2086</v>
      </c>
      <c r="F1210" s="236" t="s">
        <v>1569</v>
      </c>
      <c r="G1210" s="312" t="s">
        <v>213</v>
      </c>
      <c r="H1210" s="306" t="s">
        <v>690</v>
      </c>
      <c r="I1210" s="231" t="s">
        <v>1583</v>
      </c>
      <c r="J1210" s="106">
        <v>44270</v>
      </c>
      <c r="K1210" s="22"/>
    </row>
    <row r="1211" spans="1:11">
      <c r="A1211" s="239" t="s">
        <v>4527</v>
      </c>
      <c r="B1211" s="311">
        <v>3260</v>
      </c>
      <c r="C1211" s="312" t="s">
        <v>1224</v>
      </c>
      <c r="D1211" s="312" t="s">
        <v>3079</v>
      </c>
      <c r="E1211" s="194" t="s">
        <v>2086</v>
      </c>
      <c r="F1211" s="236" t="s">
        <v>1569</v>
      </c>
      <c r="G1211" s="312" t="s">
        <v>213</v>
      </c>
      <c r="H1211" s="306" t="s">
        <v>690</v>
      </c>
      <c r="I1211" s="231" t="s">
        <v>1583</v>
      </c>
      <c r="J1211" s="106">
        <v>44270</v>
      </c>
      <c r="K1211" s="22"/>
    </row>
    <row r="1212" spans="1:11">
      <c r="A1212" s="239" t="s">
        <v>3858</v>
      </c>
      <c r="B1212" s="311">
        <v>1129</v>
      </c>
      <c r="C1212" s="312" t="s">
        <v>1225</v>
      </c>
      <c r="D1212" s="312" t="s">
        <v>3079</v>
      </c>
      <c r="E1212" s="194" t="s">
        <v>2086</v>
      </c>
      <c r="F1212" s="236" t="s">
        <v>1569</v>
      </c>
      <c r="G1212" s="312" t="s">
        <v>213</v>
      </c>
      <c r="H1212" s="306" t="s">
        <v>690</v>
      </c>
      <c r="I1212" s="231" t="s">
        <v>1583</v>
      </c>
      <c r="J1212" s="106">
        <v>44270</v>
      </c>
      <c r="K1212" s="22"/>
    </row>
    <row r="1213" spans="1:11">
      <c r="A1213" s="239" t="s">
        <v>3392</v>
      </c>
      <c r="B1213" s="311">
        <v>2901</v>
      </c>
      <c r="C1213" s="312" t="s">
        <v>451</v>
      </c>
      <c r="D1213" s="312" t="s">
        <v>1044</v>
      </c>
      <c r="E1213" s="194" t="s">
        <v>238</v>
      </c>
      <c r="F1213" s="236" t="s">
        <v>1584</v>
      </c>
      <c r="G1213" s="312" t="s">
        <v>3079</v>
      </c>
      <c r="H1213" s="306" t="s">
        <v>2824</v>
      </c>
      <c r="I1213" s="231" t="s">
        <v>1893</v>
      </c>
      <c r="J1213" s="106">
        <v>44270</v>
      </c>
      <c r="K1213" s="22"/>
    </row>
    <row r="1214" spans="1:11">
      <c r="A1214" s="239" t="s">
        <v>4072</v>
      </c>
      <c r="B1214" s="311">
        <v>1856</v>
      </c>
      <c r="C1214" s="312" t="s">
        <v>451</v>
      </c>
      <c r="D1214" s="312" t="s">
        <v>1044</v>
      </c>
      <c r="E1214" s="194" t="s">
        <v>596</v>
      </c>
      <c r="F1214" s="236" t="s">
        <v>2277</v>
      </c>
      <c r="G1214" s="312" t="s">
        <v>2588</v>
      </c>
      <c r="H1214" s="306" t="s">
        <v>2765</v>
      </c>
      <c r="I1214" s="231" t="s">
        <v>4935</v>
      </c>
      <c r="J1214" s="106">
        <v>44270</v>
      </c>
      <c r="K1214" s="22"/>
    </row>
    <row r="1215" spans="1:11">
      <c r="A1215" s="239" t="s">
        <v>4390</v>
      </c>
      <c r="B1215" s="311">
        <v>3046</v>
      </c>
      <c r="C1215" s="312" t="s">
        <v>451</v>
      </c>
      <c r="D1215" s="312" t="s">
        <v>2283</v>
      </c>
      <c r="E1215" s="194" t="s">
        <v>2323</v>
      </c>
      <c r="F1215" s="236" t="s">
        <v>1904</v>
      </c>
      <c r="G1215" s="312" t="s">
        <v>2428</v>
      </c>
      <c r="H1215" s="306" t="s">
        <v>2377</v>
      </c>
      <c r="I1215" s="231" t="s">
        <v>1395</v>
      </c>
      <c r="J1215" s="106">
        <v>44270</v>
      </c>
      <c r="K1215" s="22"/>
    </row>
    <row r="1216" spans="1:11">
      <c r="A1216" s="239" t="s">
        <v>2908</v>
      </c>
      <c r="B1216" s="311">
        <v>2370</v>
      </c>
      <c r="C1216" s="312" t="s">
        <v>451</v>
      </c>
      <c r="D1216" s="312" t="s">
        <v>2283</v>
      </c>
      <c r="E1216" s="194" t="s">
        <v>2072</v>
      </c>
      <c r="F1216" s="236" t="s">
        <v>1398</v>
      </c>
      <c r="G1216" s="312" t="s">
        <v>2428</v>
      </c>
      <c r="H1216" s="306" t="s">
        <v>2337</v>
      </c>
      <c r="I1216" s="231" t="s">
        <v>2157</v>
      </c>
      <c r="J1216" s="106">
        <v>44270</v>
      </c>
      <c r="K1216" s="22"/>
    </row>
    <row r="1217" spans="1:11">
      <c r="A1217" s="239" t="s">
        <v>2820</v>
      </c>
      <c r="B1217" s="311">
        <v>2095</v>
      </c>
      <c r="C1217" s="312" t="s">
        <v>223</v>
      </c>
      <c r="D1217" s="312" t="s">
        <v>3079</v>
      </c>
      <c r="E1217" s="194" t="s">
        <v>2378</v>
      </c>
      <c r="F1217" s="236" t="s">
        <v>544</v>
      </c>
      <c r="G1217" s="312" t="s">
        <v>3079</v>
      </c>
      <c r="H1217" s="306" t="s">
        <v>2686</v>
      </c>
      <c r="I1217" s="231" t="s">
        <v>529</v>
      </c>
      <c r="J1217" s="106">
        <v>44270</v>
      </c>
      <c r="K1217" s="22"/>
    </row>
    <row r="1218" spans="1:11">
      <c r="A1218" s="239" t="s">
        <v>4202</v>
      </c>
      <c r="B1218" s="311">
        <v>2310</v>
      </c>
      <c r="C1218" s="312" t="s">
        <v>223</v>
      </c>
      <c r="D1218" s="312" t="s">
        <v>3079</v>
      </c>
      <c r="E1218" s="194" t="s">
        <v>2378</v>
      </c>
      <c r="F1218" s="236" t="s">
        <v>544</v>
      </c>
      <c r="G1218" s="312" t="s">
        <v>3079</v>
      </c>
      <c r="H1218" s="306" t="s">
        <v>2686</v>
      </c>
      <c r="I1218" s="231" t="s">
        <v>529</v>
      </c>
      <c r="J1218" s="106">
        <v>44270</v>
      </c>
      <c r="K1218" s="22"/>
    </row>
    <row r="1219" spans="1:11">
      <c r="A1219" s="239" t="s">
        <v>4447</v>
      </c>
      <c r="B1219" s="311">
        <v>3139</v>
      </c>
      <c r="C1219" s="312" t="s">
        <v>451</v>
      </c>
      <c r="D1219" s="312" t="s">
        <v>3079</v>
      </c>
      <c r="E1219" s="194" t="s">
        <v>2378</v>
      </c>
      <c r="F1219" s="236" t="s">
        <v>544</v>
      </c>
      <c r="G1219" s="312" t="s">
        <v>3079</v>
      </c>
      <c r="H1219" s="306" t="s">
        <v>2686</v>
      </c>
      <c r="I1219" s="231" t="s">
        <v>529</v>
      </c>
      <c r="J1219" s="106">
        <v>44270</v>
      </c>
      <c r="K1219" s="22"/>
    </row>
    <row r="1220" spans="1:11">
      <c r="A1220" s="239" t="s">
        <v>4702</v>
      </c>
      <c r="B1220" s="311">
        <v>64698</v>
      </c>
      <c r="C1220" s="312" t="s">
        <v>643</v>
      </c>
      <c r="D1220" s="312" t="s">
        <v>2283</v>
      </c>
      <c r="E1220" s="194" t="s">
        <v>2324</v>
      </c>
      <c r="F1220" s="236" t="s">
        <v>2326</v>
      </c>
      <c r="G1220" s="312" t="s">
        <v>2428</v>
      </c>
      <c r="H1220" s="306" t="s">
        <v>2449</v>
      </c>
      <c r="I1220" s="231" t="s">
        <v>340</v>
      </c>
      <c r="J1220" s="106">
        <v>44270</v>
      </c>
      <c r="K1220" s="30"/>
    </row>
    <row r="1221" spans="1:11">
      <c r="A1221" s="239" t="str">
        <f>VLOOKUP(B1221,'lista 1'!$A$2:$E$3000,4,0)</f>
        <v>CICINAS MIKOŁAJ</v>
      </c>
      <c r="B1221" s="311">
        <v>64708</v>
      </c>
      <c r="C1221" s="312" t="str">
        <f>VLOOKUP(B1221,'lista 1'!$A$2:$E$3000,5,0)</f>
        <v>TCZ</v>
      </c>
      <c r="D1221" s="312" t="str">
        <f>VLOOKUP(E1221,'lista obszary'!A:B,2,0)</f>
        <v>HV</v>
      </c>
      <c r="E1221" s="194" t="str">
        <f>VLOOKUP(B1221,'LISTA 12'!$A$2:$G$3000,5,0)</f>
        <v>V101B</v>
      </c>
      <c r="F1221" s="236" t="str">
        <f>VLOOKUP(B1221,'LISTA 12'!$A$2:$G$3000,7,0)</f>
        <v>FOLKMAN SEBASTIAN</v>
      </c>
      <c r="G1221" s="312" t="str">
        <f>VLOOKUP(H1221,'lista 3'!$A$1:$C$467,3,0)</f>
        <v>Engines</v>
      </c>
      <c r="H1221" s="306" t="s">
        <v>602</v>
      </c>
      <c r="I1221" s="231" t="s">
        <v>3588</v>
      </c>
      <c r="J1221" s="106">
        <v>44270</v>
      </c>
      <c r="K1221" s="22"/>
    </row>
    <row r="1222" spans="1:11">
      <c r="A1222" s="239" t="str">
        <f>VLOOKUP(B1222,'lista 1'!$A$2:$E$3000,4,0)</f>
        <v>KIPCHUK OLEKSANDRA</v>
      </c>
      <c r="B1222" s="311">
        <v>70750</v>
      </c>
      <c r="C1222" s="312" t="str">
        <f>VLOOKUP(B1222,'lista 1'!$A$2:$E$3000,5,0)</f>
        <v>TCZ</v>
      </c>
      <c r="D1222" s="312" t="str">
        <f>VLOOKUP(E1222,'lista obszary'!A:B,2,0)</f>
        <v>HV</v>
      </c>
      <c r="E1222" s="194" t="str">
        <f>VLOOKUP(B1222,'LISTA 12'!$A$2:$G$3000,5,0)</f>
        <v>V102B</v>
      </c>
      <c r="F1222" s="236" t="str">
        <f>VLOOKUP(B1222,'LISTA 12'!$A$2:$G$3000,7,0)</f>
        <v>KUBAL PIOTR</v>
      </c>
      <c r="G1222" s="312" t="str">
        <f>VLOOKUP(H1222,'lista 3'!$A$1:$C$467,3,0)</f>
        <v>Engines</v>
      </c>
      <c r="H1222" s="306" t="s">
        <v>178</v>
      </c>
      <c r="I1222" s="231" t="s">
        <v>1556</v>
      </c>
      <c r="J1222" s="106">
        <v>44270</v>
      </c>
      <c r="K1222" s="22"/>
    </row>
    <row r="1223" spans="1:11">
      <c r="A1223" s="239" t="str">
        <f>VLOOKUP(B1223,'lista 1'!$A$2:$E$3000,4,0)</f>
        <v>MELNYCHUK SERHII</v>
      </c>
      <c r="B1223" s="311">
        <v>70751</v>
      </c>
      <c r="C1223" s="312" t="str">
        <f>VLOOKUP(B1223,'lista 1'!$A$2:$E$3000,5,0)</f>
        <v>TCZ</v>
      </c>
      <c r="D1223" s="312" t="str">
        <f>VLOOKUP(E1223,'lista obszary'!A:B,2,0)</f>
        <v>HV</v>
      </c>
      <c r="E1223" s="194" t="str">
        <f>VLOOKUP(B1223,'LISTA 12'!$A$2:$G$3000,5,0)</f>
        <v>V103B</v>
      </c>
      <c r="F1223" s="236" t="str">
        <f>VLOOKUP(B1223,'LISTA 12'!$A$2:$G$3000,7,0)</f>
        <v>SZMIDT JANUSZ</v>
      </c>
      <c r="G1223" s="312" t="str">
        <f>VLOOKUP(H1223,'lista 3'!$A$1:$C$467,3,0)</f>
        <v>Engines</v>
      </c>
      <c r="H1223" s="306" t="s">
        <v>437</v>
      </c>
      <c r="I1223" s="231" t="s">
        <v>342</v>
      </c>
      <c r="J1223" s="106">
        <v>44270</v>
      </c>
      <c r="K1223" s="22"/>
    </row>
    <row r="1224" spans="1:11">
      <c r="A1224" s="239" t="s">
        <v>4951</v>
      </c>
      <c r="B1224" s="311">
        <v>70760</v>
      </c>
      <c r="C1224" s="312" t="s">
        <v>643</v>
      </c>
      <c r="D1224" s="312" t="s">
        <v>2014</v>
      </c>
      <c r="E1224" s="194" t="s">
        <v>503</v>
      </c>
      <c r="F1224" s="236" t="s">
        <v>1565</v>
      </c>
      <c r="G1224" s="312" t="s">
        <v>1260</v>
      </c>
      <c r="H1224" s="306" t="s">
        <v>1262</v>
      </c>
      <c r="I1224" s="231" t="s">
        <v>1383</v>
      </c>
      <c r="J1224" s="106">
        <v>44271</v>
      </c>
      <c r="K1224" s="30"/>
    </row>
    <row r="1225" spans="1:11">
      <c r="A1225" s="239" t="str">
        <f>VLOOKUP(B1225,'lista 1'!$A$2:$E$3000,4,0)</f>
        <v>KUZHILNYI VOLODYMYR</v>
      </c>
      <c r="B1225" s="311">
        <v>70758</v>
      </c>
      <c r="C1225" s="312" t="str">
        <f>VLOOKUP(B1225,'lista 1'!$A$2:$E$3000,5,0)</f>
        <v>TCZ</v>
      </c>
      <c r="D1225" s="312" t="str">
        <f>VLOOKUP(E1225,'lista obszary'!A:B,2,0)</f>
        <v>T/O COVERAGE</v>
      </c>
      <c r="E1225" s="194" t="str">
        <f>VLOOKUP(B1225,'LISTA 12'!$A$2:$G$3000,5,0)</f>
        <v>GTCOV</v>
      </c>
      <c r="F1225" s="236" t="str">
        <f>VLOOKUP(B1225,'LISTA 12'!$A$2:$G$3000,7,0)</f>
        <v>JARUGA ADAM</v>
      </c>
      <c r="G1225" s="312" t="str">
        <f>VLOOKUP(H1225,'lista 3'!$A$1:$C$467,3,0)</f>
        <v>GTCOV</v>
      </c>
      <c r="H1225" s="306" t="s">
        <v>1259</v>
      </c>
      <c r="I1225" s="231" t="s">
        <v>1379</v>
      </c>
      <c r="J1225" s="106">
        <v>44271</v>
      </c>
      <c r="K1225" s="30" t="s">
        <v>5029</v>
      </c>
    </row>
    <row r="1226" spans="1:11">
      <c r="A1226" s="239" t="str">
        <f>VLOOKUP(B1226,'lista 1'!$A$2:$E$3000,4,0)</f>
        <v>LISOVENKO OLEKSANDER</v>
      </c>
      <c r="B1226" s="311">
        <v>70759</v>
      </c>
      <c r="C1226" s="312" t="str">
        <f>VLOOKUP(B1226,'lista 1'!$A$2:$E$3000,5,0)</f>
        <v>TCZ</v>
      </c>
      <c r="D1226" s="312" t="str">
        <f>VLOOKUP(E1226,'lista obszary'!A:B,2,0)</f>
        <v>T/O COVERAGE</v>
      </c>
      <c r="E1226" s="194" t="str">
        <f>VLOOKUP(B1226,'LISTA 12'!$A$2:$G$3000,5,0)</f>
        <v>GTCOV</v>
      </c>
      <c r="F1226" s="236" t="str">
        <f>VLOOKUP(B1226,'LISTA 12'!$A$2:$G$3000,7,0)</f>
        <v>KALINOWSKI ARTUR</v>
      </c>
      <c r="G1226" s="312" t="str">
        <f>VLOOKUP(H1226,'lista 3'!$A$1:$C$467,3,0)</f>
        <v>GTCOV</v>
      </c>
      <c r="H1226" s="306" t="s">
        <v>1259</v>
      </c>
      <c r="I1226" s="231" t="s">
        <v>1575</v>
      </c>
      <c r="J1226" s="106">
        <v>44271</v>
      </c>
      <c r="K1226" s="30" t="s">
        <v>5029</v>
      </c>
    </row>
    <row r="1227" spans="1:11">
      <c r="A1227" s="239" t="str">
        <f>VLOOKUP(B1227,'lista 1'!$A$2:$E$3000,4,0)</f>
        <v>NIKOLAIEV IHOR</v>
      </c>
      <c r="B1227" s="311">
        <v>70748</v>
      </c>
      <c r="C1227" s="312" t="str">
        <f>VLOOKUP(B1227,'lista 1'!$A$2:$E$3000,5,0)</f>
        <v>TCZ</v>
      </c>
      <c r="D1227" s="312" t="str">
        <f>VLOOKUP(E1227,'lista obszary'!A:B,2,0)</f>
        <v>ENGINES</v>
      </c>
      <c r="E1227" s="194" t="str">
        <f>VLOOKUP(B1227,'LISTA 12'!$A$2:$G$3000,5,0)</f>
        <v>G612B</v>
      </c>
      <c r="F1227" s="236" t="str">
        <f>VLOOKUP(B1227,'LISTA 12'!$A$2:$G$3000,7,0)</f>
        <v>ANTONIEWICZ ERYK</v>
      </c>
      <c r="G1227" s="312" t="str">
        <f>VLOOKUP(H1227,'lista 3'!$A$1:$C$467,3,0)</f>
        <v>GTCOV</v>
      </c>
      <c r="H1227" s="306" t="s">
        <v>1259</v>
      </c>
      <c r="I1227" s="231" t="s">
        <v>1902</v>
      </c>
      <c r="J1227" s="106">
        <v>44276</v>
      </c>
      <c r="K1227" s="22"/>
    </row>
    <row r="1228" spans="1:11">
      <c r="A1228" s="239" t="s">
        <v>3577</v>
      </c>
      <c r="B1228" s="311">
        <v>221</v>
      </c>
      <c r="C1228" s="312" t="s">
        <v>223</v>
      </c>
      <c r="D1228" s="312" t="s">
        <v>1324</v>
      </c>
      <c r="E1228" s="194" t="s">
        <v>845</v>
      </c>
      <c r="F1228" s="236" t="s">
        <v>3114</v>
      </c>
      <c r="G1228" s="312" t="s">
        <v>501</v>
      </c>
      <c r="H1228" s="306" t="s">
        <v>1335</v>
      </c>
      <c r="I1228" s="231" t="s">
        <v>3114</v>
      </c>
      <c r="J1228" s="106">
        <v>44277</v>
      </c>
      <c r="K1228" s="22"/>
    </row>
    <row r="1229" spans="1:11">
      <c r="A1229" s="239" t="s">
        <v>3709</v>
      </c>
      <c r="B1229" s="311">
        <v>656</v>
      </c>
      <c r="C1229" s="312" t="s">
        <v>1585</v>
      </c>
      <c r="D1229" s="312" t="s">
        <v>3079</v>
      </c>
      <c r="E1229" s="194" t="s">
        <v>1967</v>
      </c>
      <c r="F1229" s="236" t="s">
        <v>1569</v>
      </c>
      <c r="G1229" s="312" t="s">
        <v>2588</v>
      </c>
      <c r="H1229" s="306" t="s">
        <v>2943</v>
      </c>
      <c r="I1229" s="231" t="s">
        <v>1396</v>
      </c>
      <c r="J1229" s="106">
        <v>44277</v>
      </c>
      <c r="K1229" s="22"/>
    </row>
    <row r="1230" spans="1:11">
      <c r="A1230" s="239" t="s">
        <v>3876</v>
      </c>
      <c r="B1230" s="311">
        <v>1177</v>
      </c>
      <c r="C1230" s="312" t="s">
        <v>451</v>
      </c>
      <c r="D1230" s="312" t="s">
        <v>2283</v>
      </c>
      <c r="E1230" s="194" t="s">
        <v>2448</v>
      </c>
      <c r="F1230" s="236" t="s">
        <v>1907</v>
      </c>
      <c r="G1230" s="312" t="s">
        <v>2428</v>
      </c>
      <c r="H1230" s="306" t="s">
        <v>2377</v>
      </c>
      <c r="I1230" s="231" t="s">
        <v>1395</v>
      </c>
      <c r="J1230" s="106">
        <v>44277</v>
      </c>
      <c r="K1230" s="22"/>
    </row>
    <row r="1231" spans="1:11">
      <c r="A1231" s="239" t="s">
        <v>3115</v>
      </c>
      <c r="B1231" s="311">
        <v>602</v>
      </c>
      <c r="C1231" s="312" t="s">
        <v>451</v>
      </c>
      <c r="D1231" s="312" t="s">
        <v>3079</v>
      </c>
      <c r="E1231" s="194" t="s">
        <v>2378</v>
      </c>
      <c r="F1231" s="236" t="s">
        <v>544</v>
      </c>
      <c r="G1231" s="312" t="s">
        <v>2588</v>
      </c>
      <c r="H1231" s="306" t="s">
        <v>2943</v>
      </c>
      <c r="I1231" s="231" t="s">
        <v>1893</v>
      </c>
      <c r="J1231" s="106">
        <v>44277</v>
      </c>
      <c r="K1231" s="30"/>
    </row>
    <row r="1232" spans="1:11">
      <c r="A1232" s="239" t="str">
        <f>VLOOKUP(B1232,'lista 1'!$A$2:$E$3000,4,0)</f>
        <v>KOWALSKA ANETA</v>
      </c>
      <c r="B1232" s="311">
        <v>2999</v>
      </c>
      <c r="C1232" s="312" t="str">
        <f>VLOOKUP(B1232,'lista 1'!$A$2:$E$3000,5,0)</f>
        <v>JTM</v>
      </c>
      <c r="D1232" s="312" t="str">
        <f>VLOOKUP(E1232,'lista obszary'!A:B,2,0)</f>
        <v>HV</v>
      </c>
      <c r="E1232" s="194" t="str">
        <f>VLOOKUP(B1232,'LISTA 12'!$A$2:$G$3000,5,0)</f>
        <v>V103A</v>
      </c>
      <c r="F1232" s="236" t="str">
        <f>VLOOKUP(B1232,'LISTA 12'!$A$2:$G$3000,7,0)</f>
        <v>MAŁECKI KRZYSZTOF</v>
      </c>
      <c r="G1232" s="312" t="str">
        <f>VLOOKUP(H1232,'lista 3'!$A$1:$C$467,3,0)</f>
        <v>Hybrid</v>
      </c>
      <c r="H1232" s="306" t="s">
        <v>2378</v>
      </c>
      <c r="I1232" s="231" t="s">
        <v>339</v>
      </c>
      <c r="J1232" s="106">
        <v>44277</v>
      </c>
      <c r="K1232" s="22"/>
    </row>
    <row r="1233" spans="1:11">
      <c r="A1233" s="239" t="str">
        <f>VLOOKUP(B1233,'lista 1'!$A$2:$E$3000,4,0)</f>
        <v>KUZHILNYI VOLODYMYR</v>
      </c>
      <c r="B1233" s="311">
        <v>70758</v>
      </c>
      <c r="C1233" s="312" t="str">
        <f>VLOOKUP(B1233,'lista 1'!$A$2:$E$3000,5,0)</f>
        <v>TCZ</v>
      </c>
      <c r="D1233" s="312" t="str">
        <f>VLOOKUP(E1233,'lista obszary'!A:B,2,0)</f>
        <v>T/O COVERAGE</v>
      </c>
      <c r="E1233" s="194" t="str">
        <f>VLOOKUP(B1233,'LISTA 12'!$A$2:$G$3000,5,0)</f>
        <v>GTCOV</v>
      </c>
      <c r="F1233" s="236" t="str">
        <f>VLOOKUP(B1233,'LISTA 12'!$A$2:$G$3000,7,0)</f>
        <v>JARUGA ADAM</v>
      </c>
      <c r="G1233" s="312" t="s">
        <v>1827</v>
      </c>
      <c r="H1233" s="306" t="s">
        <v>5060</v>
      </c>
      <c r="I1233" s="231" t="s">
        <v>1378</v>
      </c>
      <c r="J1233" s="106">
        <v>44277</v>
      </c>
      <c r="K1233" s="22" t="s">
        <v>3246</v>
      </c>
    </row>
    <row r="1234" spans="1:11">
      <c r="A1234" s="239" t="str">
        <f>VLOOKUP(B1234,'lista 1'!$A$2:$E$3000,4,0)</f>
        <v>LISOVENKO OLEKSANDER</v>
      </c>
      <c r="B1234" s="311">
        <v>70759</v>
      </c>
      <c r="C1234" s="312" t="str">
        <f>VLOOKUP(B1234,'lista 1'!$A$2:$E$3000,5,0)</f>
        <v>TCZ</v>
      </c>
      <c r="D1234" s="312" t="str">
        <f>VLOOKUP(E1234,'lista obszary'!A:B,2,0)</f>
        <v>T/O COVERAGE</v>
      </c>
      <c r="E1234" s="194" t="str">
        <f>VLOOKUP(B1234,'LISTA 12'!$A$2:$G$3000,5,0)</f>
        <v>GTCOV</v>
      </c>
      <c r="F1234" s="236" t="str">
        <f>VLOOKUP(B1234,'LISTA 12'!$A$2:$G$3000,7,0)</f>
        <v>KALINOWSKI ARTUR</v>
      </c>
      <c r="G1234" s="312" t="s">
        <v>1827</v>
      </c>
      <c r="H1234" s="306" t="s">
        <v>5061</v>
      </c>
      <c r="I1234" s="231" t="s">
        <v>1543</v>
      </c>
      <c r="J1234" s="106">
        <v>44277</v>
      </c>
      <c r="K1234" s="22" t="s">
        <v>3246</v>
      </c>
    </row>
    <row r="1235" spans="1:11">
      <c r="A1235" s="239" t="str">
        <f>VLOOKUP(B1235,'lista 1'!$A$2:$E$3000,4,0)</f>
        <v>DUBAJ MARCIN</v>
      </c>
      <c r="B1235" s="311">
        <v>64540</v>
      </c>
      <c r="C1235" s="312" t="str">
        <f>VLOOKUP(B1235,'lista 1'!$A$2:$E$3000,5,0)</f>
        <v>TCZ</v>
      </c>
      <c r="D1235" s="312" t="str">
        <f>VLOOKUP(E1235,'lista obszary'!A:B,2,0)</f>
        <v>FORGING</v>
      </c>
      <c r="E1235" s="194" t="str">
        <f>VLOOKUP(B1235,'LISTA 12'!$A$2:$G$3000,5,0)</f>
        <v>G302B</v>
      </c>
      <c r="F1235" s="236" t="str">
        <f>VLOOKUP(B1235,'LISTA 12'!$A$2:$G$3000,7,0)</f>
        <v>BUDNY WOJCIECH</v>
      </c>
      <c r="G1235" s="312" t="str">
        <f>VLOOKUP(H1235,'lista 3'!$A$1:$C$467,3,0)</f>
        <v>Forging</v>
      </c>
      <c r="H1235" s="306" t="s">
        <v>1350</v>
      </c>
      <c r="I1235" s="231" t="s">
        <v>1378</v>
      </c>
      <c r="J1235" s="106">
        <v>44277</v>
      </c>
      <c r="K1235" s="22"/>
    </row>
    <row r="1236" spans="1:11">
      <c r="A1236" s="239" t="s">
        <v>4790</v>
      </c>
      <c r="B1236" s="311">
        <v>70666</v>
      </c>
      <c r="C1236" s="312" t="s">
        <v>643</v>
      </c>
      <c r="D1236" s="312" t="s">
        <v>2014</v>
      </c>
      <c r="E1236" s="194" t="s">
        <v>1262</v>
      </c>
      <c r="F1236" s="236" t="s">
        <v>1383</v>
      </c>
      <c r="G1236" s="312" t="s">
        <v>1260</v>
      </c>
      <c r="H1236" s="306" t="s">
        <v>503</v>
      </c>
      <c r="I1236" s="231" t="s">
        <v>1565</v>
      </c>
      <c r="J1236" s="106">
        <v>44278</v>
      </c>
      <c r="K1236" s="30"/>
    </row>
    <row r="1237" spans="1:11">
      <c r="A1237" s="239" t="str">
        <f>VLOOKUP(B1237,'lista 1'!$A$2:$E$3000,4,0)</f>
        <v>LYSHTVAN ALINA</v>
      </c>
      <c r="B1237" s="311">
        <v>70728</v>
      </c>
      <c r="C1237" s="312" t="str">
        <f>VLOOKUP(B1237,'lista 1'!$A$2:$E$3000,5,0)</f>
        <v>TCZ</v>
      </c>
      <c r="D1237" s="312" t="str">
        <f>VLOOKUP(E1237,'lista obszary'!A:B,2,0)</f>
        <v>ENGINES</v>
      </c>
      <c r="E1237" s="194" t="str">
        <f>VLOOKUP(B1237,'LISTA 12'!$A$2:$G$3000,5,0)</f>
        <v>G613B</v>
      </c>
      <c r="F1237" s="236" t="str">
        <f>VLOOKUP(B1237,'LISTA 12'!$A$2:$G$3000,7,0)</f>
        <v>FITRZYK MARCIN</v>
      </c>
      <c r="G1237" s="312" t="str">
        <f>VLOOKUP(H1237,'lista 3'!$A$1:$C$467,3,0)</f>
        <v>Engines</v>
      </c>
      <c r="H1237" s="306" t="s">
        <v>437</v>
      </c>
      <c r="I1237" s="231" t="s">
        <v>342</v>
      </c>
      <c r="J1237" s="106">
        <v>44280</v>
      </c>
      <c r="K1237" s="22"/>
    </row>
    <row r="1238" spans="1:11">
      <c r="A1238" s="239" t="str">
        <f>VLOOKUP(B1238,'lista 1'!$A$2:$E$3000,4,0)</f>
        <v>MELNYCHUK SERHII</v>
      </c>
      <c r="B1238" s="311">
        <v>70751</v>
      </c>
      <c r="C1238" s="312" t="str">
        <f>VLOOKUP(B1238,'lista 1'!$A$2:$E$3000,5,0)</f>
        <v>TCZ</v>
      </c>
      <c r="D1238" s="312" t="str">
        <f>VLOOKUP(E1238,'lista obszary'!A:B,2,0)</f>
        <v>HV</v>
      </c>
      <c r="E1238" s="194" t="str">
        <f>VLOOKUP(B1238,'LISTA 12'!$A$2:$G$3000,5,0)</f>
        <v>V103B</v>
      </c>
      <c r="F1238" s="236" t="str">
        <f>VLOOKUP(B1238,'LISTA 12'!$A$2:$G$3000,7,0)</f>
        <v>SZMIDT JANUSZ</v>
      </c>
      <c r="G1238" s="312" t="str">
        <f>VLOOKUP(H1238,'lista 3'!$A$1:$C$467,3,0)</f>
        <v>Engines</v>
      </c>
      <c r="H1238" s="306" t="s">
        <v>1483</v>
      </c>
      <c r="I1238" s="231" t="s">
        <v>2406</v>
      </c>
      <c r="J1238" s="106">
        <v>44280</v>
      </c>
      <c r="K1238" s="22"/>
    </row>
    <row r="1239" spans="1:11">
      <c r="A1239" s="239" t="s">
        <v>2966</v>
      </c>
      <c r="B1239" s="311">
        <v>2319</v>
      </c>
      <c r="C1239" s="312" t="s">
        <v>223</v>
      </c>
      <c r="D1239" s="312" t="s">
        <v>1433</v>
      </c>
      <c r="E1239" s="194" t="s">
        <v>570</v>
      </c>
      <c r="F1239" s="236" t="s">
        <v>1926</v>
      </c>
      <c r="G1239" s="312" t="s">
        <v>1433</v>
      </c>
      <c r="H1239" s="306" t="s">
        <v>1969</v>
      </c>
      <c r="I1239" s="231" t="s">
        <v>1917</v>
      </c>
      <c r="J1239" s="106">
        <v>44284</v>
      </c>
      <c r="K1239" s="22" t="s">
        <v>3457</v>
      </c>
    </row>
    <row r="1240" spans="1:11">
      <c r="A1240" s="239" t="s">
        <v>2859</v>
      </c>
      <c r="B1240" s="311">
        <v>2077</v>
      </c>
      <c r="C1240" s="312" t="s">
        <v>223</v>
      </c>
      <c r="D1240" s="312" t="s">
        <v>1433</v>
      </c>
      <c r="E1240" s="194" t="s">
        <v>844</v>
      </c>
      <c r="F1240" s="236" t="s">
        <v>1903</v>
      </c>
      <c r="G1240" s="312" t="s">
        <v>1433</v>
      </c>
      <c r="H1240" s="306" t="s">
        <v>1969</v>
      </c>
      <c r="I1240" s="231" t="s">
        <v>1917</v>
      </c>
      <c r="J1240" s="106">
        <v>44284</v>
      </c>
      <c r="K1240" s="22" t="s">
        <v>3458</v>
      </c>
    </row>
    <row r="1241" spans="1:11">
      <c r="A1241" s="239" t="s">
        <v>3498</v>
      </c>
      <c r="B1241" s="311">
        <v>2818</v>
      </c>
      <c r="C1241" s="312" t="s">
        <v>223</v>
      </c>
      <c r="D1241" s="312" t="s">
        <v>1433</v>
      </c>
      <c r="E1241" s="194" t="s">
        <v>224</v>
      </c>
      <c r="F1241" s="236" t="s">
        <v>1903</v>
      </c>
      <c r="G1241" s="312" t="s">
        <v>1433</v>
      </c>
      <c r="H1241" s="306" t="s">
        <v>1969</v>
      </c>
      <c r="I1241" s="231" t="s">
        <v>1917</v>
      </c>
      <c r="J1241" s="106">
        <v>44284</v>
      </c>
      <c r="K1241" s="22" t="s">
        <v>3459</v>
      </c>
    </row>
    <row r="1242" spans="1:11">
      <c r="A1242" s="239" t="s">
        <v>2951</v>
      </c>
      <c r="B1242" s="311">
        <v>2826</v>
      </c>
      <c r="C1242" s="312" t="s">
        <v>223</v>
      </c>
      <c r="D1242" s="312" t="s">
        <v>1433</v>
      </c>
      <c r="E1242" s="194" t="s">
        <v>844</v>
      </c>
      <c r="F1242" s="236" t="s">
        <v>1903</v>
      </c>
      <c r="G1242" s="312" t="e">
        <v>#N/A</v>
      </c>
      <c r="H1242" s="306" t="s">
        <v>2686</v>
      </c>
      <c r="I1242" s="231" t="s">
        <v>529</v>
      </c>
      <c r="J1242" s="106">
        <v>44284</v>
      </c>
      <c r="K1242" s="30"/>
    </row>
    <row r="1243" spans="1:11">
      <c r="A1243" s="239" t="s">
        <v>4229</v>
      </c>
      <c r="B1243" s="311">
        <v>2423</v>
      </c>
      <c r="C1243" s="312" t="s">
        <v>223</v>
      </c>
      <c r="D1243" s="312" t="s">
        <v>1433</v>
      </c>
      <c r="E1243" s="194" t="s">
        <v>570</v>
      </c>
      <c r="F1243" s="236" t="s">
        <v>1926</v>
      </c>
      <c r="G1243" s="312" t="e">
        <v>#N/A</v>
      </c>
      <c r="H1243" s="306" t="s">
        <v>2735</v>
      </c>
      <c r="I1243" s="231" t="s">
        <v>2488</v>
      </c>
      <c r="J1243" s="106">
        <v>44284</v>
      </c>
      <c r="K1243" s="30"/>
    </row>
    <row r="1244" spans="1:11">
      <c r="A1244" s="239" t="s">
        <v>3774</v>
      </c>
      <c r="B1244" s="311">
        <v>871</v>
      </c>
      <c r="C1244" s="312" t="s">
        <v>223</v>
      </c>
      <c r="D1244" s="312" t="s">
        <v>1433</v>
      </c>
      <c r="E1244" s="194" t="s">
        <v>1325</v>
      </c>
      <c r="F1244" s="236" t="s">
        <v>2159</v>
      </c>
      <c r="G1244" s="312" t="e">
        <v>#N/A</v>
      </c>
      <c r="H1244" s="306" t="s">
        <v>3292</v>
      </c>
      <c r="I1244" s="231" t="s">
        <v>1380</v>
      </c>
      <c r="J1244" s="106">
        <v>44284</v>
      </c>
      <c r="K1244" s="30"/>
    </row>
    <row r="1245" spans="1:11">
      <c r="A1245" s="239" t="str">
        <f>VLOOKUP(B1245,'lista 1'!$A$2:$E$3000,4,0)</f>
        <v>BAGAZJA KRZYSZTOF</v>
      </c>
      <c r="B1245" s="311">
        <v>574</v>
      </c>
      <c r="C1245" s="312" t="str">
        <f>VLOOKUP(B1245,'lista 1'!$A$2:$E$3000,5,0)</f>
        <v>TM2</v>
      </c>
      <c r="D1245" s="312" t="str">
        <f>VLOOKUP(E1245,'lista obszary'!A:B,2,0)</f>
        <v>HV</v>
      </c>
      <c r="E1245" s="194" t="str">
        <f>VLOOKUP(B1245,'LISTA 12'!$A$2:$G$3000,5,0)</f>
        <v>V102C</v>
      </c>
      <c r="F1245" s="236" t="str">
        <f>VLOOKUP(B1245,'LISTA 12'!$A$2:$G$3000,7,0)</f>
        <v>OPALSKI RADOSŁAW</v>
      </c>
      <c r="G1245" s="312" t="s">
        <v>3079</v>
      </c>
      <c r="H1245" s="306" t="s">
        <v>2735</v>
      </c>
      <c r="I1245" s="231" t="s">
        <v>2488</v>
      </c>
      <c r="J1245" s="106">
        <v>44284</v>
      </c>
      <c r="K1245" s="22"/>
    </row>
    <row r="1246" spans="1:11">
      <c r="A1246" s="239" t="str">
        <f>VLOOKUP(B1246,'lista 1'!$A$2:$E$3000,4,0)</f>
        <v>MAGREL KRZYSZTOF</v>
      </c>
      <c r="B1246" s="311">
        <v>2931</v>
      </c>
      <c r="C1246" s="312" t="str">
        <f>VLOOKUP(B1246,'lista 1'!$A$2:$E$3000,5,0)</f>
        <v>TM</v>
      </c>
      <c r="D1246" s="312" t="str">
        <f>VLOOKUP(E1246,'lista obszary'!A:B,2,0)</f>
        <v>HV</v>
      </c>
      <c r="E1246" s="194" t="str">
        <f>VLOOKUP(B1246,'LISTA 12'!$A$2:$G$3000,5,0)</f>
        <v>V102C</v>
      </c>
      <c r="F1246" s="236" t="str">
        <f>VLOOKUP(B1246,'LISTA 12'!$A$2:$G$3000,7,0)</f>
        <v>OPALSKI RADOSŁAW</v>
      </c>
      <c r="G1246" s="312" t="s">
        <v>3079</v>
      </c>
      <c r="H1246" s="306" t="s">
        <v>2735</v>
      </c>
      <c r="I1246" s="231" t="s">
        <v>2488</v>
      </c>
      <c r="J1246" s="106">
        <v>44284</v>
      </c>
      <c r="K1246" s="22"/>
    </row>
    <row r="1247" spans="1:11">
      <c r="A1247" s="239" t="str">
        <f>VLOOKUP(B1247,'lista 1'!$A$2:$E$3000,4,0)</f>
        <v>BRANCZEL MAŁGORZATA</v>
      </c>
      <c r="B1247" s="311">
        <v>3146</v>
      </c>
      <c r="C1247" s="312" t="str">
        <f>VLOOKUP(B1247,'lista 1'!$A$2:$E$3000,5,0)</f>
        <v>TM</v>
      </c>
      <c r="D1247" s="312" t="str">
        <f>VLOOKUP(E1247,'lista obszary'!A:B,2,0)</f>
        <v>HV</v>
      </c>
      <c r="E1247" s="194" t="str">
        <f>VLOOKUP(B1247,'LISTA 12'!$A$2:$G$3000,5,0)</f>
        <v>V102A</v>
      </c>
      <c r="F1247" s="236" t="str">
        <f>VLOOKUP(B1247,'LISTA 12'!$A$2:$G$3000,7,0)</f>
        <v>CICHOWICZ MARIUSZ</v>
      </c>
      <c r="G1247" s="312" t="s">
        <v>3079</v>
      </c>
      <c r="H1247" s="306" t="s">
        <v>2735</v>
      </c>
      <c r="I1247" s="231" t="s">
        <v>2488</v>
      </c>
      <c r="J1247" s="106">
        <v>44284</v>
      </c>
      <c r="K1247" s="22"/>
    </row>
    <row r="1248" spans="1:11">
      <c r="A1248" s="239" t="str">
        <f>VLOOKUP(B1248,'lista 1'!$A$2:$E$3000,4,0)</f>
        <v>PĘDZIŃSKA KATARZYNA</v>
      </c>
      <c r="B1248" s="311">
        <v>64699</v>
      </c>
      <c r="C1248" s="312" t="str">
        <f>VLOOKUP(B1248,'lista 1'!$A$2:$E$3000,5,0)</f>
        <v>TCZ</v>
      </c>
      <c r="D1248" s="312" t="str">
        <f>VLOOKUP(E1248,'lista obszary'!A:B,2,0)</f>
        <v>HV</v>
      </c>
      <c r="E1248" s="194" t="str">
        <f>VLOOKUP(B1248,'LISTA 12'!$A$2:$G$3000,5,0)</f>
        <v>V102B</v>
      </c>
      <c r="F1248" s="236" t="str">
        <f>VLOOKUP(B1248,'LISTA 12'!$A$2:$G$3000,7,0)</f>
        <v>KUBAL PIOTR</v>
      </c>
      <c r="G1248" s="312" t="s">
        <v>3079</v>
      </c>
      <c r="H1248" s="306" t="s">
        <v>2735</v>
      </c>
      <c r="I1248" s="231" t="s">
        <v>2488</v>
      </c>
      <c r="J1248" s="106">
        <v>44284</v>
      </c>
      <c r="K1248" s="22"/>
    </row>
    <row r="1249" spans="1:11">
      <c r="A1249" s="239" t="str">
        <f>VLOOKUP(B1249,'lista 1'!$A$2:$E$3000,4,0)</f>
        <v>SYCHOWSKA MARTA</v>
      </c>
      <c r="B1249" s="311">
        <v>64625</v>
      </c>
      <c r="C1249" s="312" t="str">
        <f>VLOOKUP(B1249,'lista 1'!$A$2:$E$3000,5,0)</f>
        <v>TCZ</v>
      </c>
      <c r="D1249" s="312" t="str">
        <f>VLOOKUP(E1249,'lista obszary'!A:B,2,0)</f>
        <v>ENGINES</v>
      </c>
      <c r="E1249" s="194" t="str">
        <f>VLOOKUP(B1249,'LISTA 12'!$A$2:$G$3000,5,0)</f>
        <v>G611A</v>
      </c>
      <c r="F1249" s="236" t="str">
        <f>VLOOKUP(B1249,'LISTA 12'!$A$2:$G$3000,7,0)</f>
        <v>HOŁDONOWICZ MARCIN</v>
      </c>
      <c r="G1249" s="312" t="s">
        <v>1827</v>
      </c>
      <c r="H1249" s="306" t="s">
        <v>5062</v>
      </c>
      <c r="I1249" s="231" t="s">
        <v>2806</v>
      </c>
      <c r="J1249" s="106">
        <v>44284</v>
      </c>
      <c r="K1249" s="223"/>
    </row>
    <row r="1250" spans="1:11">
      <c r="A1250" s="239" t="s">
        <v>3978</v>
      </c>
      <c r="B1250" s="311">
        <v>1527</v>
      </c>
      <c r="C1250" s="312" t="s">
        <v>223</v>
      </c>
      <c r="D1250" s="312" t="s">
        <v>2283</v>
      </c>
      <c r="E1250" s="194" t="s">
        <v>2323</v>
      </c>
      <c r="F1250" s="236" t="s">
        <v>1904</v>
      </c>
      <c r="G1250" s="312" t="s">
        <v>3079</v>
      </c>
      <c r="H1250" s="306" t="s">
        <v>3505</v>
      </c>
      <c r="I1250" s="231" t="s">
        <v>345</v>
      </c>
      <c r="J1250" s="106">
        <v>44287</v>
      </c>
      <c r="K1250" s="22"/>
    </row>
    <row r="1251" spans="1:11">
      <c r="A1251" s="239" t="s">
        <v>3979</v>
      </c>
      <c r="B1251" s="311">
        <v>1528</v>
      </c>
      <c r="C1251" s="312" t="s">
        <v>223</v>
      </c>
      <c r="D1251" s="312" t="s">
        <v>2283</v>
      </c>
      <c r="E1251" s="194" t="s">
        <v>2449</v>
      </c>
      <c r="F1251" s="236" t="s">
        <v>340</v>
      </c>
      <c r="G1251" s="312" t="s">
        <v>3079</v>
      </c>
      <c r="H1251" s="306" t="s">
        <v>3505</v>
      </c>
      <c r="I1251" s="231" t="s">
        <v>345</v>
      </c>
      <c r="J1251" s="106">
        <v>44287</v>
      </c>
      <c r="K1251" s="22"/>
    </row>
    <row r="1252" spans="1:11">
      <c r="A1252" s="239" t="s">
        <v>3967</v>
      </c>
      <c r="B1252" s="311">
        <v>1487</v>
      </c>
      <c r="C1252" s="312" t="s">
        <v>223</v>
      </c>
      <c r="D1252" s="312" t="s">
        <v>2283</v>
      </c>
      <c r="E1252" s="194" t="s">
        <v>2450</v>
      </c>
      <c r="F1252" s="236" t="s">
        <v>1582</v>
      </c>
      <c r="G1252" s="312" t="s">
        <v>3079</v>
      </c>
      <c r="H1252" s="306" t="s">
        <v>3505</v>
      </c>
      <c r="I1252" s="231" t="s">
        <v>345</v>
      </c>
      <c r="J1252" s="106">
        <v>44287</v>
      </c>
      <c r="K1252" s="22"/>
    </row>
    <row r="1253" spans="1:11">
      <c r="A1253" s="239" t="s">
        <v>1569</v>
      </c>
      <c r="B1253" s="311">
        <v>127</v>
      </c>
      <c r="C1253" s="312" t="s">
        <v>2127</v>
      </c>
      <c r="D1253" s="312" t="s">
        <v>3079</v>
      </c>
      <c r="E1253" s="194" t="s">
        <v>2086</v>
      </c>
      <c r="F1253" s="236" t="s">
        <v>533</v>
      </c>
      <c r="G1253" s="312" t="s">
        <v>2560</v>
      </c>
      <c r="H1253" s="306" t="s">
        <v>2133</v>
      </c>
      <c r="I1253" s="231" t="s">
        <v>1887</v>
      </c>
      <c r="J1253" s="106">
        <v>44287</v>
      </c>
      <c r="K1253" s="22"/>
    </row>
    <row r="1254" spans="1:11">
      <c r="A1254" s="239" t="s">
        <v>2189</v>
      </c>
      <c r="B1254" s="311">
        <v>1716</v>
      </c>
      <c r="C1254" s="312" t="s">
        <v>1224</v>
      </c>
      <c r="D1254" s="312" t="s">
        <v>2640</v>
      </c>
      <c r="E1254" s="194" t="s">
        <v>2094</v>
      </c>
      <c r="F1254" s="236" t="s">
        <v>1894</v>
      </c>
      <c r="G1254" s="312" t="s">
        <v>2640</v>
      </c>
      <c r="H1254" s="306" t="s">
        <v>4944</v>
      </c>
      <c r="I1254" s="231" t="s">
        <v>1894</v>
      </c>
      <c r="J1254" s="106">
        <v>44287</v>
      </c>
      <c r="K1254" s="22"/>
    </row>
    <row r="1255" spans="1:11">
      <c r="A1255" s="239" t="s">
        <v>1894</v>
      </c>
      <c r="B1255" s="311">
        <v>102</v>
      </c>
      <c r="C1255" s="312" t="s">
        <v>2127</v>
      </c>
      <c r="D1255" s="312" t="s">
        <v>2640</v>
      </c>
      <c r="E1255" s="194" t="s">
        <v>2094</v>
      </c>
      <c r="F1255" s="236" t="s">
        <v>2095</v>
      </c>
      <c r="G1255" s="312" t="s">
        <v>2640</v>
      </c>
      <c r="H1255" s="306" t="s">
        <v>4944</v>
      </c>
      <c r="I1255" s="231" t="s">
        <v>2095</v>
      </c>
      <c r="J1255" s="106">
        <v>44287</v>
      </c>
      <c r="K1255" s="22"/>
    </row>
    <row r="1256" spans="1:11">
      <c r="A1256" s="239" t="s">
        <v>2910</v>
      </c>
      <c r="B1256" s="311">
        <v>83</v>
      </c>
      <c r="C1256" s="312" t="s">
        <v>1586</v>
      </c>
      <c r="D1256" s="312" t="s">
        <v>2640</v>
      </c>
      <c r="E1256" s="194" t="s">
        <v>2094</v>
      </c>
      <c r="F1256" s="236" t="s">
        <v>1894</v>
      </c>
      <c r="G1256" s="312" t="s">
        <v>2640</v>
      </c>
      <c r="H1256" s="306" t="s">
        <v>4944</v>
      </c>
      <c r="I1256" s="231" t="s">
        <v>1894</v>
      </c>
      <c r="J1256" s="106">
        <v>44287</v>
      </c>
      <c r="K1256" s="22"/>
    </row>
    <row r="1257" spans="1:11">
      <c r="A1257" s="239" t="s">
        <v>2911</v>
      </c>
      <c r="B1257" s="311">
        <v>3066</v>
      </c>
      <c r="C1257" s="312" t="s">
        <v>2180</v>
      </c>
      <c r="D1257" s="312" t="s">
        <v>2640</v>
      </c>
      <c r="E1257" s="194" t="s">
        <v>2094</v>
      </c>
      <c r="F1257" s="236" t="s">
        <v>1894</v>
      </c>
      <c r="G1257" s="312" t="s">
        <v>2640</v>
      </c>
      <c r="H1257" s="306" t="s">
        <v>4944</v>
      </c>
      <c r="I1257" s="231" t="s">
        <v>1894</v>
      </c>
      <c r="J1257" s="106">
        <v>44287</v>
      </c>
      <c r="K1257" s="22"/>
    </row>
    <row r="1258" spans="1:11">
      <c r="A1258" s="239" t="s">
        <v>2923</v>
      </c>
      <c r="B1258" s="311">
        <v>3064</v>
      </c>
      <c r="C1258" s="312" t="s">
        <v>2610</v>
      </c>
      <c r="D1258" s="312" t="s">
        <v>2640</v>
      </c>
      <c r="E1258" s="194" t="s">
        <v>2094</v>
      </c>
      <c r="F1258" s="236" t="s">
        <v>1894</v>
      </c>
      <c r="G1258" s="312" t="s">
        <v>2640</v>
      </c>
      <c r="H1258" s="306" t="s">
        <v>4944</v>
      </c>
      <c r="I1258" s="231" t="s">
        <v>1894</v>
      </c>
      <c r="J1258" s="106">
        <v>44287</v>
      </c>
      <c r="K1258" s="22"/>
    </row>
    <row r="1259" spans="1:11">
      <c r="A1259" s="239" t="s">
        <v>2188</v>
      </c>
      <c r="B1259" s="311">
        <v>1651</v>
      </c>
      <c r="C1259" s="312" t="s">
        <v>1224</v>
      </c>
      <c r="D1259" s="312" t="s">
        <v>2640</v>
      </c>
      <c r="E1259" s="194" t="s">
        <v>2094</v>
      </c>
      <c r="F1259" s="236" t="s">
        <v>1888</v>
      </c>
      <c r="G1259" s="312" t="s">
        <v>2640</v>
      </c>
      <c r="H1259" s="306" t="s">
        <v>4945</v>
      </c>
      <c r="I1259" s="231" t="s">
        <v>1888</v>
      </c>
      <c r="J1259" s="106">
        <v>44287</v>
      </c>
      <c r="K1259" s="22"/>
    </row>
    <row r="1260" spans="1:11">
      <c r="A1260" s="239" t="s">
        <v>1888</v>
      </c>
      <c r="B1260" s="311">
        <v>57</v>
      </c>
      <c r="C1260" s="312" t="s">
        <v>2127</v>
      </c>
      <c r="D1260" s="312" t="s">
        <v>2640</v>
      </c>
      <c r="E1260" s="194" t="s">
        <v>2094</v>
      </c>
      <c r="F1260" s="236" t="s">
        <v>2095</v>
      </c>
      <c r="G1260" s="312" t="s">
        <v>2640</v>
      </c>
      <c r="H1260" s="306" t="s">
        <v>4945</v>
      </c>
      <c r="I1260" s="231" t="s">
        <v>2095</v>
      </c>
      <c r="J1260" s="106">
        <v>44287</v>
      </c>
      <c r="K1260" s="22"/>
    </row>
    <row r="1261" spans="1:11">
      <c r="A1261" s="239" t="s">
        <v>2914</v>
      </c>
      <c r="B1261" s="311">
        <v>681</v>
      </c>
      <c r="C1261" s="312" t="s">
        <v>731</v>
      </c>
      <c r="D1261" s="312" t="s">
        <v>2640</v>
      </c>
      <c r="E1261" s="194" t="s">
        <v>2094</v>
      </c>
      <c r="F1261" s="236" t="s">
        <v>1888</v>
      </c>
      <c r="G1261" s="312" t="s">
        <v>2640</v>
      </c>
      <c r="H1261" s="306" t="s">
        <v>4945</v>
      </c>
      <c r="I1261" s="231" t="s">
        <v>1888</v>
      </c>
      <c r="J1261" s="106">
        <v>44287</v>
      </c>
      <c r="K1261" s="22"/>
    </row>
    <row r="1262" spans="1:11">
      <c r="A1262" s="239" t="s">
        <v>1384</v>
      </c>
      <c r="B1262" s="311">
        <v>2501</v>
      </c>
      <c r="C1262" s="312" t="s">
        <v>1225</v>
      </c>
      <c r="D1262" s="312" t="s">
        <v>2640</v>
      </c>
      <c r="E1262" s="194" t="s">
        <v>2094</v>
      </c>
      <c r="F1262" s="236" t="s">
        <v>1888</v>
      </c>
      <c r="G1262" s="312" t="s">
        <v>2640</v>
      </c>
      <c r="H1262" s="306" t="s">
        <v>4945</v>
      </c>
      <c r="I1262" s="231" t="s">
        <v>1888</v>
      </c>
      <c r="J1262" s="106">
        <v>44287</v>
      </c>
      <c r="K1262" s="22"/>
    </row>
    <row r="1263" spans="1:11">
      <c r="A1263" s="239" t="s">
        <v>2925</v>
      </c>
      <c r="B1263" s="311">
        <v>2946</v>
      </c>
      <c r="C1263" s="312" t="s">
        <v>2610</v>
      </c>
      <c r="D1263" s="312" t="s">
        <v>2640</v>
      </c>
      <c r="E1263" s="194" t="s">
        <v>2094</v>
      </c>
      <c r="F1263" s="236" t="s">
        <v>1888</v>
      </c>
      <c r="G1263" s="312" t="s">
        <v>2640</v>
      </c>
      <c r="H1263" s="306" t="s">
        <v>4945</v>
      </c>
      <c r="I1263" s="231" t="s">
        <v>1888</v>
      </c>
      <c r="J1263" s="106">
        <v>44287</v>
      </c>
      <c r="K1263" s="22"/>
    </row>
    <row r="1264" spans="1:11">
      <c r="A1264" s="239" t="s">
        <v>2544</v>
      </c>
      <c r="B1264" s="311">
        <v>678</v>
      </c>
      <c r="C1264" s="312" t="s">
        <v>2126</v>
      </c>
      <c r="D1264" s="312" t="s">
        <v>2640</v>
      </c>
      <c r="E1264" s="194" t="s">
        <v>2094</v>
      </c>
      <c r="F1264" s="236" t="s">
        <v>2095</v>
      </c>
      <c r="G1264" s="312" t="s">
        <v>2640</v>
      </c>
      <c r="H1264" s="306" t="s">
        <v>4946</v>
      </c>
      <c r="I1264" s="231" t="s">
        <v>2095</v>
      </c>
      <c r="J1264" s="106">
        <v>44287</v>
      </c>
      <c r="K1264" s="22"/>
    </row>
    <row r="1265" spans="1:11">
      <c r="A1265" s="239" t="s">
        <v>2916</v>
      </c>
      <c r="B1265" s="311">
        <v>803</v>
      </c>
      <c r="C1265" s="312" t="s">
        <v>731</v>
      </c>
      <c r="D1265" s="312" t="s">
        <v>2640</v>
      </c>
      <c r="E1265" s="194" t="s">
        <v>2094</v>
      </c>
      <c r="F1265" s="236" t="s">
        <v>2544</v>
      </c>
      <c r="G1265" s="312" t="s">
        <v>2640</v>
      </c>
      <c r="H1265" s="306" t="s">
        <v>4946</v>
      </c>
      <c r="I1265" s="231" t="s">
        <v>2544</v>
      </c>
      <c r="J1265" s="106">
        <v>44287</v>
      </c>
      <c r="K1265" s="22"/>
    </row>
    <row r="1266" spans="1:11">
      <c r="A1266" s="239" t="s">
        <v>2183</v>
      </c>
      <c r="B1266" s="311">
        <v>1982</v>
      </c>
      <c r="C1266" s="312" t="s">
        <v>1224</v>
      </c>
      <c r="D1266" s="312" t="s">
        <v>2640</v>
      </c>
      <c r="E1266" s="194" t="s">
        <v>2094</v>
      </c>
      <c r="F1266" s="236" t="s">
        <v>2544</v>
      </c>
      <c r="G1266" s="312" t="s">
        <v>2640</v>
      </c>
      <c r="H1266" s="306" t="s">
        <v>4946</v>
      </c>
      <c r="I1266" s="231" t="s">
        <v>2544</v>
      </c>
      <c r="J1266" s="106">
        <v>44287</v>
      </c>
      <c r="K1266" s="22"/>
    </row>
    <row r="1267" spans="1:11">
      <c r="A1267" s="239" t="s">
        <v>2917</v>
      </c>
      <c r="B1267" s="311">
        <v>2943</v>
      </c>
      <c r="C1267" s="312" t="s">
        <v>2610</v>
      </c>
      <c r="D1267" s="312" t="s">
        <v>2640</v>
      </c>
      <c r="E1267" s="194" t="s">
        <v>2094</v>
      </c>
      <c r="F1267" s="236" t="s">
        <v>2544</v>
      </c>
      <c r="G1267" s="312" t="s">
        <v>2640</v>
      </c>
      <c r="H1267" s="306" t="s">
        <v>4946</v>
      </c>
      <c r="I1267" s="231" t="s">
        <v>2544</v>
      </c>
      <c r="J1267" s="106">
        <v>44287</v>
      </c>
      <c r="K1267" s="22"/>
    </row>
    <row r="1268" spans="1:11">
      <c r="A1268" s="239" t="s">
        <v>3068</v>
      </c>
      <c r="B1268" s="311">
        <v>3195</v>
      </c>
      <c r="C1268" s="312" t="s">
        <v>1224</v>
      </c>
      <c r="D1268" s="312" t="s">
        <v>2640</v>
      </c>
      <c r="E1268" s="194" t="s">
        <v>2094</v>
      </c>
      <c r="F1268" s="236" t="s">
        <v>2544</v>
      </c>
      <c r="G1268" s="312" t="s">
        <v>2640</v>
      </c>
      <c r="H1268" s="306" t="s">
        <v>4946</v>
      </c>
      <c r="I1268" s="231" t="s">
        <v>2544</v>
      </c>
      <c r="J1268" s="106">
        <v>44287</v>
      </c>
      <c r="K1268" s="22"/>
    </row>
    <row r="1269" spans="1:11">
      <c r="A1269" s="239" t="s">
        <v>2186</v>
      </c>
      <c r="B1269" s="311">
        <v>1458</v>
      </c>
      <c r="C1269" s="312" t="s">
        <v>1224</v>
      </c>
      <c r="D1269" s="312" t="s">
        <v>2640</v>
      </c>
      <c r="E1269" s="194" t="s">
        <v>2094</v>
      </c>
      <c r="F1269" s="236" t="s">
        <v>2777</v>
      </c>
      <c r="G1269" s="312" t="s">
        <v>2640</v>
      </c>
      <c r="H1269" s="306" t="s">
        <v>4947</v>
      </c>
      <c r="I1269" s="231" t="s">
        <v>2777</v>
      </c>
      <c r="J1269" s="106">
        <v>44287</v>
      </c>
      <c r="K1269" s="22"/>
    </row>
    <row r="1270" spans="1:11">
      <c r="A1270" s="239" t="s">
        <v>2777</v>
      </c>
      <c r="B1270" s="311">
        <v>461</v>
      </c>
      <c r="C1270" s="312" t="s">
        <v>2126</v>
      </c>
      <c r="D1270" s="312" t="s">
        <v>2640</v>
      </c>
      <c r="E1270" s="194" t="s">
        <v>2094</v>
      </c>
      <c r="F1270" s="236" t="s">
        <v>2095</v>
      </c>
      <c r="G1270" s="312" t="s">
        <v>2640</v>
      </c>
      <c r="H1270" s="306" t="s">
        <v>4947</v>
      </c>
      <c r="I1270" s="231" t="s">
        <v>2095</v>
      </c>
      <c r="J1270" s="106">
        <v>44287</v>
      </c>
      <c r="K1270" s="22"/>
    </row>
    <row r="1271" spans="1:11">
      <c r="A1271" s="239" t="s">
        <v>2929</v>
      </c>
      <c r="B1271" s="311">
        <v>1030</v>
      </c>
      <c r="C1271" s="312" t="s">
        <v>731</v>
      </c>
      <c r="D1271" s="312" t="s">
        <v>2640</v>
      </c>
      <c r="E1271" s="194" t="s">
        <v>2094</v>
      </c>
      <c r="F1271" s="236" t="s">
        <v>2777</v>
      </c>
      <c r="G1271" s="312" t="s">
        <v>2640</v>
      </c>
      <c r="H1271" s="306" t="s">
        <v>4947</v>
      </c>
      <c r="I1271" s="231" t="s">
        <v>2777</v>
      </c>
      <c r="J1271" s="106">
        <v>44287</v>
      </c>
      <c r="K1271" s="22"/>
    </row>
    <row r="1272" spans="1:11">
      <c r="A1272" s="239" t="s">
        <v>3065</v>
      </c>
      <c r="B1272" s="311">
        <v>3244</v>
      </c>
      <c r="C1272" s="312" t="s">
        <v>1224</v>
      </c>
      <c r="D1272" s="312" t="s">
        <v>2640</v>
      </c>
      <c r="E1272" s="194" t="s">
        <v>2094</v>
      </c>
      <c r="F1272" s="236" t="s">
        <v>2777</v>
      </c>
      <c r="G1272" s="312" t="s">
        <v>2640</v>
      </c>
      <c r="H1272" s="306" t="s">
        <v>4947</v>
      </c>
      <c r="I1272" s="231" t="s">
        <v>2777</v>
      </c>
      <c r="J1272" s="106">
        <v>44287</v>
      </c>
      <c r="K1272" s="22"/>
    </row>
    <row r="1273" spans="1:11">
      <c r="A1273" s="239" t="s">
        <v>2930</v>
      </c>
      <c r="B1273" s="311">
        <v>3212</v>
      </c>
      <c r="C1273" s="312" t="s">
        <v>1224</v>
      </c>
      <c r="D1273" s="312" t="s">
        <v>2640</v>
      </c>
      <c r="E1273" s="194" t="s">
        <v>2094</v>
      </c>
      <c r="F1273" s="236" t="s">
        <v>2777</v>
      </c>
      <c r="G1273" s="312" t="s">
        <v>2640</v>
      </c>
      <c r="H1273" s="306" t="s">
        <v>4947</v>
      </c>
      <c r="I1273" s="231" t="s">
        <v>2777</v>
      </c>
      <c r="J1273" s="106">
        <v>44287</v>
      </c>
      <c r="K1273" s="22"/>
    </row>
    <row r="1274" spans="1:11">
      <c r="A1274" s="239" t="s">
        <v>3621</v>
      </c>
      <c r="B1274" s="311">
        <v>362</v>
      </c>
      <c r="C1274" s="312" t="s">
        <v>1585</v>
      </c>
      <c r="D1274" s="312" t="s">
        <v>1044</v>
      </c>
      <c r="E1274" s="194" t="s">
        <v>1483</v>
      </c>
      <c r="F1274" s="236" t="s">
        <v>2406</v>
      </c>
      <c r="G1274" s="312" t="s">
        <v>2588</v>
      </c>
      <c r="H1274" s="306" t="s">
        <v>4948</v>
      </c>
      <c r="I1274" s="231" t="s">
        <v>1893</v>
      </c>
      <c r="J1274" s="106">
        <v>44287</v>
      </c>
      <c r="K1274" s="22"/>
    </row>
    <row r="1275" spans="1:11">
      <c r="A1275" s="239" t="s">
        <v>3589</v>
      </c>
      <c r="B1275" s="311">
        <v>253</v>
      </c>
      <c r="C1275" s="312" t="s">
        <v>1585</v>
      </c>
      <c r="D1275" s="312" t="s">
        <v>1435</v>
      </c>
      <c r="E1275" s="194" t="s">
        <v>2091</v>
      </c>
      <c r="F1275" s="236" t="s">
        <v>1924</v>
      </c>
      <c r="G1275" s="312" t="s">
        <v>1435</v>
      </c>
      <c r="H1275" s="306" t="s">
        <v>4949</v>
      </c>
      <c r="I1275" s="231" t="s">
        <v>2129</v>
      </c>
      <c r="J1275" s="106">
        <v>44287</v>
      </c>
      <c r="K1275" s="22"/>
    </row>
    <row r="1276" spans="1:11">
      <c r="A1276" s="239" t="s">
        <v>3747</v>
      </c>
      <c r="B1276" s="311">
        <v>773</v>
      </c>
      <c r="C1276" s="312" t="s">
        <v>223</v>
      </c>
      <c r="D1276" s="312" t="s">
        <v>1435</v>
      </c>
      <c r="E1276" s="194" t="s">
        <v>2091</v>
      </c>
      <c r="F1276" s="236" t="s">
        <v>1924</v>
      </c>
      <c r="G1276" s="312" t="s">
        <v>1435</v>
      </c>
      <c r="H1276" s="306" t="s">
        <v>4949</v>
      </c>
      <c r="I1276" s="231" t="s">
        <v>2129</v>
      </c>
      <c r="J1276" s="106">
        <v>44287</v>
      </c>
      <c r="K1276" s="22"/>
    </row>
    <row r="1277" spans="1:11">
      <c r="A1277" s="239" t="s">
        <v>4036</v>
      </c>
      <c r="B1277" s="311">
        <v>1753</v>
      </c>
      <c r="C1277" s="312" t="s">
        <v>223</v>
      </c>
      <c r="D1277" s="312" t="s">
        <v>1435</v>
      </c>
      <c r="E1277" s="194" t="s">
        <v>2436</v>
      </c>
      <c r="F1277" s="236" t="s">
        <v>1924</v>
      </c>
      <c r="G1277" s="312" t="s">
        <v>1435</v>
      </c>
      <c r="H1277" s="306" t="s">
        <v>4949</v>
      </c>
      <c r="I1277" s="231" t="s">
        <v>2129</v>
      </c>
      <c r="J1277" s="106">
        <v>44287</v>
      </c>
      <c r="K1277" s="22"/>
    </row>
    <row r="1278" spans="1:11">
      <c r="A1278" s="239" t="str">
        <f>VLOOKUP(B1278,'lista 1'!$A$2:$E$3000,4,0)</f>
        <v>JANCZURA PIOTR</v>
      </c>
      <c r="B1278" s="311">
        <v>1381</v>
      </c>
      <c r="C1278" s="312" t="str">
        <f>VLOOKUP(B1278,'lista 1'!$A$2:$E$3000,5,0)</f>
        <v>TM</v>
      </c>
      <c r="D1278" s="312" t="str">
        <f>VLOOKUP(E1278,'lista obszary'!A:B,2,0)</f>
        <v>CASTING</v>
      </c>
      <c r="E1278" s="194" t="str">
        <f>VLOOKUP(B1278,'LISTA 12'!$A$2:$G$3000,5,0)</f>
        <v>G501A</v>
      </c>
      <c r="F1278" s="236" t="str">
        <f>VLOOKUP(B1278,'LISTA 12'!$A$2:$G$3000,7,0)</f>
        <v>ŚLUCZKA TYMOTEUSZ</v>
      </c>
      <c r="G1278" s="312" t="str">
        <f>VLOOKUP(H1278,'lista 3'!$A$1:$C$467,3,0)</f>
        <v>Hybrid</v>
      </c>
      <c r="H1278" s="306" t="s">
        <v>2086</v>
      </c>
      <c r="I1278" s="231" t="s">
        <v>1569</v>
      </c>
      <c r="J1278" s="106">
        <v>44287</v>
      </c>
      <c r="K1278" s="22"/>
    </row>
    <row r="1279" spans="1:11">
      <c r="A1279" s="239" t="str">
        <f>VLOOKUP(B1279,'lista 1'!$A$2:$E$3000,4,0)</f>
        <v>STASZCZYK DANIEL</v>
      </c>
      <c r="B1279" s="311">
        <v>127</v>
      </c>
      <c r="C1279" s="312" t="str">
        <f>VLOOKUP(B1279,'lista 1'!$A$2:$E$3000,5,0)</f>
        <v>GRL MNX2</v>
      </c>
      <c r="D1279" s="312" t="str">
        <f>VLOOKUP(E1279,'lista obszary'!A:B,2,0)</f>
        <v>HV PJT</v>
      </c>
      <c r="E1279" s="194" t="str">
        <f>VLOOKUP(B1279,'LISTA 12'!$A$2:$G$3000,5,0)</f>
        <v>G5PRO</v>
      </c>
      <c r="F1279" s="236" t="str">
        <f>VLOOKUP(B1279,'LISTA 12'!$A$2:$G$3000,7,0)</f>
        <v>WOJTAL MATEUSZ</v>
      </c>
      <c r="G1279" s="312" t="str">
        <f>VLOOKUP(H1279,'lista 3'!$A$1:$C$467,3,0)</f>
        <v>Katahozen</v>
      </c>
      <c r="H1279" s="306" t="s">
        <v>2133</v>
      </c>
      <c r="I1279" s="231" t="s">
        <v>1887</v>
      </c>
      <c r="J1279" s="106">
        <v>44287</v>
      </c>
      <c r="K1279" s="22"/>
    </row>
    <row r="1280" spans="1:11">
      <c r="A1280" s="239" t="str">
        <f>VLOOKUP(B1280,'lista 1'!$A$2:$E$3000,4,0)</f>
        <v>KUŹMA PIOTR</v>
      </c>
      <c r="B1280" s="311">
        <v>857</v>
      </c>
      <c r="C1280" s="312" t="str">
        <f>VLOOKUP(B1280,'lista 1'!$A$2:$E$3000,5,0)</f>
        <v>TM2</v>
      </c>
      <c r="D1280" s="312" t="str">
        <f>VLOOKUP(E1280,'lista obszary'!A:B,2,0)</f>
        <v>HV PJT</v>
      </c>
      <c r="E1280" s="194" t="str">
        <f>VLOOKUP(B1280,'LISTA 12'!$A$2:$G$3000,5,0)</f>
        <v>G5PRO</v>
      </c>
      <c r="F1280" s="236" t="str">
        <f>VLOOKUP(B1280,'LISTA 12'!$A$2:$G$3000,7,0)</f>
        <v>STASZCZYK DANIEL</v>
      </c>
      <c r="G1280" s="312" t="str">
        <f>VLOOKUP(H1280,'lista 3'!$A$1:$C$467,3,0)</f>
        <v>Katahozen</v>
      </c>
      <c r="H1280" s="306" t="s">
        <v>2133</v>
      </c>
      <c r="I1280" s="231" t="s">
        <v>1569</v>
      </c>
      <c r="J1280" s="106">
        <v>44287</v>
      </c>
      <c r="K1280" s="22"/>
    </row>
    <row r="1281" spans="1:11">
      <c r="A1281" s="239" t="str">
        <f>VLOOKUP(B1281,'lista 1'!$A$2:$E$3000,4,0)</f>
        <v>TRÓLKA JAKUB</v>
      </c>
      <c r="B1281" s="311">
        <v>1363</v>
      </c>
      <c r="C1281" s="312" t="str">
        <f>VLOOKUP(B1281,'lista 1'!$A$2:$E$3000,5,0)</f>
        <v>TM2</v>
      </c>
      <c r="D1281" s="312" t="str">
        <f>VLOOKUP(E1281,'lista obszary'!A:B,2,0)</f>
        <v>HV PJT</v>
      </c>
      <c r="E1281" s="194" t="str">
        <f>VLOOKUP(B1281,'LISTA 12'!$A$2:$G$3000,5,0)</f>
        <v>G5PRO</v>
      </c>
      <c r="F1281" s="236" t="str">
        <f>VLOOKUP(B1281,'LISTA 12'!$A$2:$G$3000,7,0)</f>
        <v>STASZCZYK DANIEL</v>
      </c>
      <c r="G1281" s="312" t="str">
        <f>VLOOKUP(H1281,'lista 3'!$A$1:$C$467,3,0)</f>
        <v>Katahozen</v>
      </c>
      <c r="H1281" s="306" t="s">
        <v>2133</v>
      </c>
      <c r="I1281" s="231" t="s">
        <v>1569</v>
      </c>
      <c r="J1281" s="106">
        <v>44287</v>
      </c>
      <c r="K1281" s="22"/>
    </row>
    <row r="1282" spans="1:11">
      <c r="A1282" s="239" t="str">
        <f>VLOOKUP(B1282,'lista 1'!$A$2:$E$3000,4,0)</f>
        <v>KRZYCH MARIUSZ</v>
      </c>
      <c r="B1282" s="311">
        <v>3083</v>
      </c>
      <c r="C1282" s="312" t="str">
        <f>VLOOKUP(B1282,'lista 1'!$A$2:$E$3000,5,0)</f>
        <v>TM</v>
      </c>
      <c r="D1282" s="312" t="str">
        <f>VLOOKUP(E1282,'lista obszary'!A:B,2,0)</f>
        <v>HV PJT</v>
      </c>
      <c r="E1282" s="194" t="str">
        <f>VLOOKUP(B1282,'LISTA 12'!$A$2:$G$3000,5,0)</f>
        <v>G5PRO</v>
      </c>
      <c r="F1282" s="236" t="str">
        <f>VLOOKUP(B1282,'LISTA 12'!$A$2:$G$3000,7,0)</f>
        <v>STASZCZYK DANIEL</v>
      </c>
      <c r="G1282" s="312" t="str">
        <f>VLOOKUP(H1282,'lista 3'!$A$1:$C$467,3,0)</f>
        <v>Katahozen</v>
      </c>
      <c r="H1282" s="306" t="s">
        <v>2133</v>
      </c>
      <c r="I1282" s="231" t="s">
        <v>1569</v>
      </c>
      <c r="J1282" s="106">
        <v>44287</v>
      </c>
      <c r="K1282" s="23"/>
    </row>
    <row r="1283" spans="1:11" ht="14.25" customHeight="1">
      <c r="A1283" s="239" t="str">
        <f>VLOOKUP(B1283,'lista 1'!$A$2:$E$3000,4,0)</f>
        <v>SKRZYPIEC PAWEŁ</v>
      </c>
      <c r="B1283" s="311">
        <v>70613</v>
      </c>
      <c r="C1283" s="312" t="str">
        <f>VLOOKUP(B1283,'lista 1'!$A$2:$E$3000,5,0)</f>
        <v>TCZ</v>
      </c>
      <c r="D1283" s="312" t="str">
        <f>VLOOKUP(E1283,'lista obszary'!A:B,2,0)</f>
        <v>HV PJT</v>
      </c>
      <c r="E1283" s="194" t="str">
        <f>VLOOKUP(B1283,'LISTA 12'!$A$2:$G$3000,5,0)</f>
        <v>G5PRO</v>
      </c>
      <c r="F1283" s="236" t="str">
        <f>VLOOKUP(B1283,'LISTA 12'!$A$2:$G$3000,7,0)</f>
        <v>STASZCZYK DANIEL</v>
      </c>
      <c r="G1283" s="312" t="str">
        <f>VLOOKUP(H1283,'lista 3'!$A$1:$C$467,3,0)</f>
        <v>Katahozen</v>
      </c>
      <c r="H1283" s="306" t="s">
        <v>2133</v>
      </c>
      <c r="I1283" s="231" t="s">
        <v>1569</v>
      </c>
      <c r="J1283" s="106">
        <v>44287</v>
      </c>
      <c r="K1283" s="23"/>
    </row>
    <row r="1284" spans="1:11">
      <c r="A1284" s="239" t="str">
        <f>VLOOKUP(B1284,'lista 1'!$A$2:$E$3000,4,0)</f>
        <v>JANCZURA PIOTR</v>
      </c>
      <c r="B1284" s="311">
        <v>1381</v>
      </c>
      <c r="C1284" s="312" t="str">
        <f>VLOOKUP(B1284,'lista 1'!$A$2:$E$3000,5,0)</f>
        <v>TM</v>
      </c>
      <c r="D1284" s="312" t="str">
        <f>VLOOKUP(E1284,'lista obszary'!A:B,2,0)</f>
        <v>CASTING</v>
      </c>
      <c r="E1284" s="194" t="str">
        <f>VLOOKUP(B1284,'LISTA 12'!$A$2:$G$3000,5,0)</f>
        <v>G501A</v>
      </c>
      <c r="F1284" s="236" t="str">
        <f>VLOOKUP(B1284,'LISTA 12'!$A$2:$G$3000,7,0)</f>
        <v>ŚLUCZKA TYMOTEUSZ</v>
      </c>
      <c r="G1284" s="312" t="str">
        <f>VLOOKUP(H1284,'lista 3'!$A$1:$C$467,3,0)</f>
        <v>Katahozen</v>
      </c>
      <c r="H1284" s="306" t="s">
        <v>2133</v>
      </c>
      <c r="I1284" s="231" t="s">
        <v>1569</v>
      </c>
      <c r="J1284" s="106">
        <v>44287</v>
      </c>
      <c r="K1284" s="23"/>
    </row>
    <row r="1285" spans="1:11">
      <c r="A1285" s="239" t="str">
        <f>VLOOKUP(B1285,'lista 1'!$A$2:$E$3000,4,0)</f>
        <v>SZCZĘSNY MICHAŁ</v>
      </c>
      <c r="B1285" s="311">
        <v>2140</v>
      </c>
      <c r="C1285" s="312" t="str">
        <f>VLOOKUP(B1285,'lista 1'!$A$2:$E$3000,5,0)</f>
        <v>TM2</v>
      </c>
      <c r="D1285" s="312" t="str">
        <f>VLOOKUP(E1285,'lista obszary'!A:B,2,0)</f>
        <v>HV PJT</v>
      </c>
      <c r="E1285" s="194" t="str">
        <f>VLOOKUP(B1285,'LISTA 12'!$A$2:$G$3000,5,0)</f>
        <v>G5PRO</v>
      </c>
      <c r="F1285" s="236" t="str">
        <f>VLOOKUP(B1285,'LISTA 12'!$A$2:$G$3000,7,0)</f>
        <v>STASZCZYK DANIEL</v>
      </c>
      <c r="G1285" s="312" t="str">
        <f>VLOOKUP(H1285,'lista 3'!$A$1:$C$467,3,0)</f>
        <v>Katahozen</v>
      </c>
      <c r="H1285" s="306" t="s">
        <v>2133</v>
      </c>
      <c r="I1285" s="231" t="s">
        <v>1569</v>
      </c>
      <c r="J1285" s="106">
        <v>44287</v>
      </c>
      <c r="K1285" s="23"/>
    </row>
    <row r="1286" spans="1:11" s="154" customFormat="1">
      <c r="A1286" s="239" t="str">
        <f>VLOOKUP(B1286,'lista 1'!$A$2:$E$3000,4,0)</f>
        <v>OLEJNICZAK KRYSTIAN</v>
      </c>
      <c r="B1286" s="311">
        <v>2156</v>
      </c>
      <c r="C1286" s="312" t="str">
        <f>VLOOKUP(B1286,'lista 1'!$A$2:$E$3000,5,0)</f>
        <v>TM2</v>
      </c>
      <c r="D1286" s="312" t="str">
        <f>VLOOKUP(E1286,'lista obszary'!A:B,2,0)</f>
        <v>MTB0</v>
      </c>
      <c r="E1286" s="194" t="str">
        <f>VLOOKUP(B1286,'LISTA 12'!$A$2:$G$3000,5,0)</f>
        <v>G405A</v>
      </c>
      <c r="F1286" s="236" t="str">
        <f>VLOOKUP(B1286,'LISTA 12'!$A$2:$G$3000,7,0)</f>
        <v>MARGAS PIOTR</v>
      </c>
      <c r="G1286" s="312" t="s">
        <v>3079</v>
      </c>
      <c r="H1286" s="306" t="s">
        <v>2686</v>
      </c>
      <c r="I1286" s="231" t="s">
        <v>529</v>
      </c>
      <c r="J1286" s="106">
        <v>44287</v>
      </c>
      <c r="K1286" s="22"/>
    </row>
    <row r="1287" spans="1:11">
      <c r="A1287" s="239" t="str">
        <f>VLOOKUP(B1287,'lista 1'!$A$2:$E$3000,4,0)</f>
        <v>MARCZAK AGNIESZKA</v>
      </c>
      <c r="B1287" s="215">
        <v>3078</v>
      </c>
      <c r="C1287" s="195" t="str">
        <f>VLOOKUP(B1287,'lista 1'!$A$2:$E$3000,5,0)</f>
        <v>TM</v>
      </c>
      <c r="D1287" s="195" t="str">
        <f>VLOOKUP(E1287,'lista obszary'!A:B,2,0)</f>
        <v>MTB0</v>
      </c>
      <c r="E1287" s="128" t="str">
        <f>VLOOKUP(B1287,'LISTA 12'!$A$2:$G$3000,5,0)</f>
        <v>G403A</v>
      </c>
      <c r="F1287" s="121" t="str">
        <f>VLOOKUP(B1287,'LISTA 12'!$A$2:$G$3000,7,0)</f>
        <v>BORYSEWICZ PIOTR</v>
      </c>
      <c r="G1287" s="195" t="s">
        <v>3079</v>
      </c>
      <c r="H1287" s="211" t="s">
        <v>2686</v>
      </c>
      <c r="I1287" s="176" t="s">
        <v>529</v>
      </c>
      <c r="J1287" s="106">
        <v>44287</v>
      </c>
      <c r="K1287" s="22"/>
    </row>
    <row r="1288" spans="1:11">
      <c r="A1288" s="239" t="str">
        <f>VLOOKUP(B1288,'lista 1'!$A$2:$E$3000,4,0)</f>
        <v>KUKUŁKA GRZEGORZ</v>
      </c>
      <c r="B1288" s="215">
        <v>64461</v>
      </c>
      <c r="C1288" s="195" t="str">
        <f>VLOOKUP(B1288,'lista 1'!$A$2:$E$3000,5,0)</f>
        <v>TCZ</v>
      </c>
      <c r="D1288" s="195" t="str">
        <f>VLOOKUP(E1288,'lista obszary'!A:B,2,0)</f>
        <v>MTB0</v>
      </c>
      <c r="E1288" s="128" t="str">
        <f>VLOOKUP(B1288,'LISTA 12'!$A$2:$G$3000,5,0)</f>
        <v>G402A</v>
      </c>
      <c r="F1288" s="121" t="str">
        <f>VLOOKUP(B1288,'LISTA 12'!$A$2:$G$3000,7,0)</f>
        <v>BORYSEWICZ PIOTR</v>
      </c>
      <c r="G1288" s="195" t="s">
        <v>3079</v>
      </c>
      <c r="H1288" s="211" t="s">
        <v>2735</v>
      </c>
      <c r="I1288" s="176" t="s">
        <v>2488</v>
      </c>
      <c r="J1288" s="106">
        <v>44287</v>
      </c>
      <c r="K1288" s="22"/>
    </row>
    <row r="1289" spans="1:11">
      <c r="A1289" s="239" t="str">
        <f>VLOOKUP(B1289,'lista 1'!$A$2:$E$3000,4,0)</f>
        <v>SIWEK JÓZEFA</v>
      </c>
      <c r="B1289" s="215">
        <v>1615</v>
      </c>
      <c r="C1289" s="195" t="str">
        <f>VLOOKUP(B1289,'lista 1'!$A$2:$E$3000,5,0)</f>
        <v>TM</v>
      </c>
      <c r="D1289" s="195" t="str">
        <f>VLOOKUP(E1289,'lista obszary'!A:B,2,0)</f>
        <v>MTB0</v>
      </c>
      <c r="E1289" s="128" t="str">
        <f>VLOOKUP(B1289,'LISTA 12'!$A$2:$G$3000,5,0)</f>
        <v>G401A</v>
      </c>
      <c r="F1289" s="121" t="str">
        <f>VLOOKUP(B1289,'LISTA 12'!$A$2:$G$3000,7,0)</f>
        <v>CHMIELNICKI JACEK</v>
      </c>
      <c r="G1289" s="195" t="s">
        <v>3079</v>
      </c>
      <c r="H1289" s="211" t="s">
        <v>2675</v>
      </c>
      <c r="I1289" s="231" t="s">
        <v>339</v>
      </c>
      <c r="J1289" s="106">
        <v>44287</v>
      </c>
      <c r="K1289" s="22"/>
    </row>
    <row r="1290" spans="1:11">
      <c r="A1290" s="239" t="str">
        <f>VLOOKUP(B1290,'lista 1'!$A$2:$E$3000,4,0)</f>
        <v>PRYSTUPA PATRYK</v>
      </c>
      <c r="B1290" s="215">
        <v>64466</v>
      </c>
      <c r="C1290" s="195" t="str">
        <f>VLOOKUP(B1290,'lista 1'!$A$2:$E$3000,5,0)</f>
        <v>TCZ</v>
      </c>
      <c r="D1290" s="195" t="str">
        <f>VLOOKUP(E1290,'lista obszary'!A:B,2,0)</f>
        <v>MTB0</v>
      </c>
      <c r="E1290" s="128" t="str">
        <f>VLOOKUP(B1290,'LISTA 12'!$A$2:$G$3000,5,0)</f>
        <v>G401A</v>
      </c>
      <c r="F1290" s="121" t="str">
        <f>VLOOKUP(B1290,'LISTA 12'!$A$2:$G$3000,7,0)</f>
        <v>CHMIELNICKI JACEK</v>
      </c>
      <c r="G1290" s="195" t="s">
        <v>3079</v>
      </c>
      <c r="H1290" s="211" t="s">
        <v>2675</v>
      </c>
      <c r="I1290" s="231" t="s">
        <v>339</v>
      </c>
      <c r="J1290" s="106">
        <v>44287</v>
      </c>
      <c r="K1290" s="22"/>
    </row>
    <row r="1291" spans="1:11">
      <c r="A1291" s="239" t="str">
        <f>VLOOKUP(B1291,'lista 1'!$A$2:$E$3000,4,0)</f>
        <v>KOWALSKA ANETA</v>
      </c>
      <c r="B1291" s="215">
        <v>2999</v>
      </c>
      <c r="C1291" s="195" t="str">
        <f>VLOOKUP(B1291,'lista 1'!$A$2:$E$3000,5,0)</f>
        <v>JTM</v>
      </c>
      <c r="D1291" s="195" t="str">
        <f>VLOOKUP(E1291,'lista obszary'!A:B,2,0)</f>
        <v>HV</v>
      </c>
      <c r="E1291" s="128" t="str">
        <f>VLOOKUP(B1291,'LISTA 12'!$A$2:$G$3000,5,0)</f>
        <v>V103A</v>
      </c>
      <c r="F1291" s="121" t="str">
        <f>VLOOKUP(B1291,'LISTA 12'!$A$2:$G$3000,7,0)</f>
        <v>MAŁECKI KRZYSZTOF</v>
      </c>
      <c r="G1291" s="195" t="s">
        <v>3079</v>
      </c>
      <c r="H1291" s="212" t="s">
        <v>2686</v>
      </c>
      <c r="I1291" s="231" t="s">
        <v>529</v>
      </c>
      <c r="J1291" s="106">
        <v>44287</v>
      </c>
      <c r="K1291" s="22"/>
    </row>
    <row r="1292" spans="1:11">
      <c r="A1292" s="239" t="str">
        <f>VLOOKUP(B1292,'lista 1'!$A$2:$E$3000,4,0)</f>
        <v>WOJCIECHOWSKA GABRIELA</v>
      </c>
      <c r="B1292" s="215">
        <v>2826</v>
      </c>
      <c r="C1292" s="195" t="str">
        <f>VLOOKUP(B1292,'lista 1'!$A$2:$E$3000,5,0)</f>
        <v>TM2</v>
      </c>
      <c r="D1292" s="195" t="str">
        <f>VLOOKUP(E1292,'lista obszary'!A:B,2,0)</f>
        <v>EC60</v>
      </c>
      <c r="E1292" s="128" t="str">
        <f>VLOOKUP(B1292,'LISTA 12'!$A$2:$G$3000,5,0)</f>
        <v>G804A</v>
      </c>
      <c r="F1292" s="121" t="str">
        <f>VLOOKUP(B1292,'LISTA 12'!$A$2:$G$3000,7,0)</f>
        <v>TOKARSKI ARTUR</v>
      </c>
      <c r="G1292" s="195" t="s">
        <v>3079</v>
      </c>
      <c r="H1292" s="217" t="s">
        <v>2675</v>
      </c>
      <c r="I1292" s="225" t="s">
        <v>339</v>
      </c>
      <c r="J1292" s="106">
        <v>44287</v>
      </c>
      <c r="K1292" s="22"/>
    </row>
    <row r="1293" spans="1:11">
      <c r="A1293" s="239" t="str">
        <f>VLOOKUP(B1293,'lista 1'!$A$2:$E$3000,4,0)</f>
        <v>ACELA MARIUSZ</v>
      </c>
      <c r="B1293" s="215">
        <v>274</v>
      </c>
      <c r="C1293" s="195" t="str">
        <f>VLOOKUP(B1293,'lista 1'!$A$2:$E$3000,5,0)</f>
        <v>TM2</v>
      </c>
      <c r="D1293" s="195" t="str">
        <f>VLOOKUP(E1293,'lista obszary'!A:B,2,0)</f>
        <v>ENGINES</v>
      </c>
      <c r="E1293" s="128" t="str">
        <f>VLOOKUP(B1293,'LISTA 12'!$A$2:$G$3000,5,0)</f>
        <v>G616A</v>
      </c>
      <c r="F1293" s="121" t="str">
        <f>VLOOKUP(B1293,'LISTA 12'!$A$2:$G$3000,7,0)</f>
        <v>CEBULA IRENEUSZ</v>
      </c>
      <c r="G1293" s="195" t="e">
        <f>VLOOKUP(H1293,'lista 3'!$A$1:$C$467,3,0)</f>
        <v>#N/A</v>
      </c>
      <c r="H1293" s="218" t="s">
        <v>2809</v>
      </c>
      <c r="I1293" s="176" t="s">
        <v>1893</v>
      </c>
      <c r="J1293" s="106">
        <v>44291</v>
      </c>
      <c r="K1293" s="22"/>
    </row>
    <row r="1294" spans="1:11">
      <c r="A1294" s="239" t="s">
        <v>3074</v>
      </c>
      <c r="B1294" s="215">
        <v>457</v>
      </c>
      <c r="C1294" s="195" t="s">
        <v>1585</v>
      </c>
      <c r="D1294" s="195" t="s">
        <v>1324</v>
      </c>
      <c r="E1294" s="128" t="s">
        <v>601</v>
      </c>
      <c r="F1294" s="121" t="s">
        <v>2064</v>
      </c>
      <c r="G1294" s="195" t="s">
        <v>501</v>
      </c>
      <c r="H1294" s="213" t="s">
        <v>1214</v>
      </c>
      <c r="I1294" s="231" t="s">
        <v>1379</v>
      </c>
      <c r="J1294" s="104">
        <v>44292</v>
      </c>
      <c r="K1294" s="22"/>
    </row>
    <row r="1295" spans="1:11">
      <c r="A1295" s="239" t="s">
        <v>3043</v>
      </c>
      <c r="B1295" s="215">
        <v>64560</v>
      </c>
      <c r="C1295" s="195" t="s">
        <v>643</v>
      </c>
      <c r="D1295" s="195" t="s">
        <v>1324</v>
      </c>
      <c r="E1295" s="128" t="s">
        <v>601</v>
      </c>
      <c r="F1295" s="121" t="s">
        <v>2064</v>
      </c>
      <c r="G1295" s="195" t="s">
        <v>501</v>
      </c>
      <c r="H1295" s="214" t="s">
        <v>1214</v>
      </c>
      <c r="I1295" s="231" t="s">
        <v>1379</v>
      </c>
      <c r="J1295" s="106">
        <v>44292</v>
      </c>
      <c r="K1295" s="22"/>
    </row>
    <row r="1296" spans="1:11">
      <c r="A1296" s="239" t="s">
        <v>2109</v>
      </c>
      <c r="B1296" s="215">
        <v>2921</v>
      </c>
      <c r="C1296" s="195" t="s">
        <v>451</v>
      </c>
      <c r="D1296" s="195" t="s">
        <v>1324</v>
      </c>
      <c r="E1296" s="128" t="s">
        <v>771</v>
      </c>
      <c r="F1296" s="121" t="s">
        <v>1379</v>
      </c>
      <c r="G1296" s="195" t="s">
        <v>501</v>
      </c>
      <c r="H1296" s="218" t="s">
        <v>1214</v>
      </c>
      <c r="I1296" s="231" t="s">
        <v>1379</v>
      </c>
      <c r="J1296" s="106">
        <v>44292</v>
      </c>
      <c r="K1296" s="22"/>
    </row>
    <row r="1297" spans="1:11">
      <c r="A1297" s="239" t="s">
        <v>3938</v>
      </c>
      <c r="B1297" s="215">
        <v>1379</v>
      </c>
      <c r="C1297" s="195" t="s">
        <v>1585</v>
      </c>
      <c r="D1297" s="195" t="s">
        <v>3079</v>
      </c>
      <c r="E1297" s="128" t="s">
        <v>2086</v>
      </c>
      <c r="F1297" s="121" t="s">
        <v>1569</v>
      </c>
      <c r="G1297" s="195" t="s">
        <v>213</v>
      </c>
      <c r="H1297" s="218" t="s">
        <v>4943</v>
      </c>
      <c r="I1297" s="231" t="s">
        <v>1559</v>
      </c>
      <c r="J1297" s="106">
        <v>44292</v>
      </c>
      <c r="K1297" s="22"/>
    </row>
    <row r="1298" spans="1:11">
      <c r="A1298" s="239" t="s">
        <v>4150</v>
      </c>
      <c r="B1298" s="215">
        <v>2102</v>
      </c>
      <c r="C1298" s="195" t="s">
        <v>223</v>
      </c>
      <c r="D1298" s="195" t="s">
        <v>3079</v>
      </c>
      <c r="E1298" s="128" t="s">
        <v>2086</v>
      </c>
      <c r="F1298" s="121" t="s">
        <v>1569</v>
      </c>
      <c r="G1298" s="195" t="s">
        <v>213</v>
      </c>
      <c r="H1298" s="218" t="s">
        <v>4943</v>
      </c>
      <c r="I1298" s="231" t="s">
        <v>1559</v>
      </c>
      <c r="J1298" s="106">
        <v>44292</v>
      </c>
      <c r="K1298" s="22"/>
    </row>
    <row r="1299" spans="1:11">
      <c r="A1299" s="239" t="s">
        <v>4339</v>
      </c>
      <c r="B1299" s="215">
        <v>2959</v>
      </c>
      <c r="C1299" s="195" t="s">
        <v>451</v>
      </c>
      <c r="D1299" s="195" t="s">
        <v>3079</v>
      </c>
      <c r="E1299" s="128" t="s">
        <v>2086</v>
      </c>
      <c r="F1299" s="121" t="s">
        <v>1569</v>
      </c>
      <c r="G1299" s="195" t="s">
        <v>213</v>
      </c>
      <c r="H1299" s="218" t="s">
        <v>4943</v>
      </c>
      <c r="I1299" s="231" t="s">
        <v>1559</v>
      </c>
      <c r="J1299" s="106">
        <v>44292</v>
      </c>
      <c r="K1299" s="22"/>
    </row>
    <row r="1300" spans="1:11">
      <c r="A1300" s="239" t="s">
        <v>2388</v>
      </c>
      <c r="B1300" s="215">
        <v>3165</v>
      </c>
      <c r="C1300" s="195" t="s">
        <v>451</v>
      </c>
      <c r="D1300" s="195" t="s">
        <v>3079</v>
      </c>
      <c r="E1300" s="128" t="s">
        <v>2086</v>
      </c>
      <c r="F1300" s="121" t="s">
        <v>1569</v>
      </c>
      <c r="G1300" s="195" t="s">
        <v>213</v>
      </c>
      <c r="H1300" s="218" t="s">
        <v>4943</v>
      </c>
      <c r="I1300" s="231" t="s">
        <v>1559</v>
      </c>
      <c r="J1300" s="106">
        <v>44292</v>
      </c>
      <c r="K1300" s="22"/>
    </row>
    <row r="1301" spans="1:11">
      <c r="A1301" s="239" t="s">
        <v>2963</v>
      </c>
      <c r="B1301" s="215">
        <v>64484</v>
      </c>
      <c r="C1301" s="195" t="s">
        <v>643</v>
      </c>
      <c r="D1301" s="195" t="s">
        <v>3079</v>
      </c>
      <c r="E1301" s="128" t="s">
        <v>2086</v>
      </c>
      <c r="F1301" s="121" t="s">
        <v>1569</v>
      </c>
      <c r="G1301" s="195" t="s">
        <v>213</v>
      </c>
      <c r="H1301" s="218" t="s">
        <v>4943</v>
      </c>
      <c r="I1301" s="231" t="s">
        <v>1559</v>
      </c>
      <c r="J1301" s="106">
        <v>44292</v>
      </c>
      <c r="K1301" s="22"/>
    </row>
    <row r="1302" spans="1:11">
      <c r="A1302" s="239" t="s">
        <v>4623</v>
      </c>
      <c r="B1302" s="215">
        <v>64635</v>
      </c>
      <c r="C1302" s="195" t="s">
        <v>643</v>
      </c>
      <c r="D1302" s="195" t="s">
        <v>3079</v>
      </c>
      <c r="E1302" s="128" t="s">
        <v>2086</v>
      </c>
      <c r="F1302" s="121" t="s">
        <v>1569</v>
      </c>
      <c r="G1302" s="195" t="s">
        <v>213</v>
      </c>
      <c r="H1302" s="218" t="s">
        <v>4943</v>
      </c>
      <c r="I1302" s="231" t="s">
        <v>1559</v>
      </c>
      <c r="J1302" s="106">
        <v>44292</v>
      </c>
      <c r="K1302" s="22"/>
    </row>
    <row r="1303" spans="1:11">
      <c r="A1303" s="239" t="s">
        <v>4635</v>
      </c>
      <c r="B1303" s="215">
        <v>64651</v>
      </c>
      <c r="C1303" s="195" t="s">
        <v>643</v>
      </c>
      <c r="D1303" s="195" t="s">
        <v>3079</v>
      </c>
      <c r="E1303" s="128" t="s">
        <v>2086</v>
      </c>
      <c r="F1303" s="121" t="s">
        <v>1569</v>
      </c>
      <c r="G1303" s="195" t="s">
        <v>213</v>
      </c>
      <c r="H1303" s="218" t="s">
        <v>4943</v>
      </c>
      <c r="I1303" s="231" t="s">
        <v>1559</v>
      </c>
      <c r="J1303" s="106">
        <v>44292</v>
      </c>
      <c r="K1303" s="22"/>
    </row>
    <row r="1304" spans="1:11">
      <c r="A1304" s="239" t="s">
        <v>4622</v>
      </c>
      <c r="B1304" s="215">
        <v>64634</v>
      </c>
      <c r="C1304" s="195" t="s">
        <v>643</v>
      </c>
      <c r="D1304" s="195" t="s">
        <v>3079</v>
      </c>
      <c r="E1304" s="128" t="s">
        <v>2086</v>
      </c>
      <c r="F1304" s="121" t="s">
        <v>1569</v>
      </c>
      <c r="G1304" s="195" t="s">
        <v>213</v>
      </c>
      <c r="H1304" s="218" t="s">
        <v>4943</v>
      </c>
      <c r="I1304" s="231" t="s">
        <v>1559</v>
      </c>
      <c r="J1304" s="106">
        <v>44292</v>
      </c>
      <c r="K1304" s="22"/>
    </row>
    <row r="1305" spans="1:11">
      <c r="A1305" s="239" t="str">
        <f>VLOOKUP(B1305,'lista 1'!$A$2:$E$3000,4,0)</f>
        <v>PALIAN ALEKSANDRA</v>
      </c>
      <c r="B1305" s="215">
        <v>70630</v>
      </c>
      <c r="C1305" s="195" t="str">
        <f>VLOOKUP(B1305,'lista 1'!$A$2:$E$3000,5,0)</f>
        <v>TCZ</v>
      </c>
      <c r="D1305" s="195" t="str">
        <f>VLOOKUP(E1305,'lista obszary'!A:B,2,0)</f>
        <v>HV PJT</v>
      </c>
      <c r="E1305" s="128" t="str">
        <f>VLOOKUP(B1305,'LISTA 12'!$A$2:$G$3000,5,0)</f>
        <v>V202A</v>
      </c>
      <c r="F1305" s="121" t="str">
        <f>VLOOKUP(B1305,'LISTA 12'!$A$2:$G$3000,7,0)</f>
        <v>GŁÓD ARTUR</v>
      </c>
      <c r="G1305" s="195" t="str">
        <f>VLOOKUP(H1305,'lista 3'!$A$1:$C$467,3,0)</f>
        <v>Hybrid</v>
      </c>
      <c r="H1305" s="216" t="s">
        <v>2378</v>
      </c>
      <c r="I1305" s="231" t="s">
        <v>544</v>
      </c>
      <c r="J1305" s="106">
        <v>44292</v>
      </c>
      <c r="K1305" s="22"/>
    </row>
    <row r="1306" spans="1:11">
      <c r="A1306" s="242" t="str">
        <f>VLOOKUP(B1306,'lista 1'!$A$2:$E$3000,4,0)</f>
        <v>KUSAJDA MARZENA</v>
      </c>
      <c r="B1306" s="197">
        <v>70637</v>
      </c>
      <c r="C1306" s="198" t="str">
        <f>VLOOKUP(B1306,'lista 1'!$A$2:$E$3000,5,0)</f>
        <v>TCZ</v>
      </c>
      <c r="D1306" s="198" t="str">
        <f>VLOOKUP(E1306,'lista obszary'!A:B,2,0)</f>
        <v>HV PJT</v>
      </c>
      <c r="E1306" s="203" t="str">
        <f>VLOOKUP(B1306,'LISTA 12'!$A$2:$G$3000,5,0)</f>
        <v>V203A</v>
      </c>
      <c r="F1306" s="126" t="str">
        <f>VLOOKUP(B1306,'LISTA 12'!$A$2:$G$3000,7,0)</f>
        <v>SZUPER TOMASZ</v>
      </c>
      <c r="G1306" s="198" t="str">
        <f>VLOOKUP(H1306,'lista 3'!$A$1:$C$467,3,0)</f>
        <v>Hybrid</v>
      </c>
      <c r="H1306" s="204" t="s">
        <v>2337</v>
      </c>
      <c r="I1306" s="235" t="s">
        <v>2157</v>
      </c>
      <c r="J1306" s="200">
        <v>44292</v>
      </c>
      <c r="K1306" s="24" t="s">
        <v>5067</v>
      </c>
    </row>
    <row r="1307" spans="1:11">
      <c r="A1307" s="244" t="e">
        <f>VLOOKUP(B1307,'lista 1'!$A$2:$E$3000,4,0)</f>
        <v>#N/A</v>
      </c>
      <c r="B1307" s="206"/>
      <c r="C1307" s="207" t="e">
        <f>VLOOKUP(B1307,'lista 1'!$A$2:$E$3000,5,0)</f>
        <v>#N/A</v>
      </c>
      <c r="D1307" s="208" t="e">
        <f>VLOOKUP(E1307,'lista obszary'!A:B,2,0)</f>
        <v>#N/A</v>
      </c>
      <c r="E1307" s="209" t="e">
        <f>VLOOKUP(B1307,'LISTA 12'!$A$2:$G$3000,5,0)</f>
        <v>#N/A</v>
      </c>
      <c r="F1307" s="208" t="e">
        <f>VLOOKUP(B1307,'LISTA 12'!$A$2:$G$3000,7,0)</f>
        <v>#N/A</v>
      </c>
      <c r="G1307" s="210"/>
      <c r="H1307" s="210"/>
      <c r="I1307" s="221"/>
      <c r="J1307" s="222"/>
      <c r="K1307" s="22"/>
    </row>
    <row r="1308" spans="1:11">
      <c r="A1308" s="241" t="s">
        <v>2157</v>
      </c>
      <c r="B1308" s="245">
        <v>96</v>
      </c>
      <c r="C1308" s="133" t="s">
        <v>1320</v>
      </c>
      <c r="D1308" s="119" t="s">
        <v>3079</v>
      </c>
      <c r="E1308" s="128" t="s">
        <v>2337</v>
      </c>
      <c r="F1308" s="121" t="s">
        <v>533</v>
      </c>
      <c r="G1308" s="249" t="s">
        <v>2322</v>
      </c>
      <c r="H1308" s="246" t="s">
        <v>5063</v>
      </c>
      <c r="I1308" s="250" t="s">
        <v>533</v>
      </c>
      <c r="J1308" s="247">
        <v>44287</v>
      </c>
      <c r="K1308" s="22"/>
    </row>
    <row r="1309" spans="1:11">
      <c r="A1309" s="241" t="s">
        <v>3684</v>
      </c>
      <c r="B1309" s="245">
        <v>573</v>
      </c>
      <c r="C1309" s="133" t="s">
        <v>1339</v>
      </c>
      <c r="D1309" s="119" t="s">
        <v>3079</v>
      </c>
      <c r="E1309" s="128" t="s">
        <v>2337</v>
      </c>
      <c r="F1309" s="121" t="s">
        <v>2157</v>
      </c>
      <c r="G1309" s="254" t="s">
        <v>2322</v>
      </c>
      <c r="H1309" s="248" t="s">
        <v>5063</v>
      </c>
      <c r="I1309" s="250" t="s">
        <v>533</v>
      </c>
      <c r="J1309" s="247">
        <v>44287</v>
      </c>
      <c r="K1309" s="22"/>
    </row>
    <row r="1310" spans="1:11">
      <c r="A1310" s="241" t="s">
        <v>4861</v>
      </c>
      <c r="B1310" s="245">
        <v>70700</v>
      </c>
      <c r="C1310" s="133" t="s">
        <v>643</v>
      </c>
      <c r="D1310" s="119" t="s">
        <v>3079</v>
      </c>
      <c r="E1310" s="128" t="s">
        <v>2337</v>
      </c>
      <c r="F1310" s="121" t="s">
        <v>2157</v>
      </c>
      <c r="G1310" s="254" t="s">
        <v>2322</v>
      </c>
      <c r="H1310" s="248" t="s">
        <v>5063</v>
      </c>
      <c r="I1310" s="250" t="s">
        <v>533</v>
      </c>
      <c r="J1310" s="247">
        <v>44287</v>
      </c>
      <c r="K1310" s="22"/>
    </row>
    <row r="1311" spans="1:11" ht="15.75" customHeight="1">
      <c r="A1311" s="241" t="s">
        <v>3583</v>
      </c>
      <c r="B1311" s="245">
        <v>237</v>
      </c>
      <c r="C1311" s="133" t="s">
        <v>1585</v>
      </c>
      <c r="D1311" s="119" t="s">
        <v>3079</v>
      </c>
      <c r="E1311" s="128" t="s">
        <v>2337</v>
      </c>
      <c r="F1311" s="121" t="s">
        <v>2157</v>
      </c>
      <c r="G1311" s="254" t="s">
        <v>2322</v>
      </c>
      <c r="H1311" s="248" t="s">
        <v>5063</v>
      </c>
      <c r="I1311" s="250" t="s">
        <v>533</v>
      </c>
      <c r="J1311" s="247">
        <v>44287</v>
      </c>
      <c r="K1311" s="22"/>
    </row>
    <row r="1312" spans="1:11">
      <c r="A1312" s="241" t="s">
        <v>3112</v>
      </c>
      <c r="B1312" s="245">
        <v>576</v>
      </c>
      <c r="C1312" s="133" t="s">
        <v>1585</v>
      </c>
      <c r="D1312" s="119" t="s">
        <v>3079</v>
      </c>
      <c r="E1312" s="128" t="s">
        <v>2337</v>
      </c>
      <c r="F1312" s="121" t="s">
        <v>2157</v>
      </c>
      <c r="G1312" s="254" t="s">
        <v>2322</v>
      </c>
      <c r="H1312" s="248" t="s">
        <v>5063</v>
      </c>
      <c r="I1312" s="250" t="s">
        <v>533</v>
      </c>
      <c r="J1312" s="247">
        <v>44287</v>
      </c>
      <c r="K1312" s="22"/>
    </row>
    <row r="1313" spans="1:11">
      <c r="A1313" s="241" t="s">
        <v>4010</v>
      </c>
      <c r="B1313" s="245">
        <v>1656</v>
      </c>
      <c r="C1313" s="133" t="s">
        <v>2037</v>
      </c>
      <c r="D1313" s="119" t="s">
        <v>3079</v>
      </c>
      <c r="E1313" s="128" t="s">
        <v>2337</v>
      </c>
      <c r="F1313" s="121" t="s">
        <v>2157</v>
      </c>
      <c r="G1313" s="254" t="s">
        <v>2322</v>
      </c>
      <c r="H1313" s="248" t="s">
        <v>5063</v>
      </c>
      <c r="I1313" s="250" t="s">
        <v>533</v>
      </c>
      <c r="J1313" s="247">
        <v>44287</v>
      </c>
      <c r="K1313" s="22"/>
    </row>
    <row r="1314" spans="1:11">
      <c r="A1314" s="241" t="s">
        <v>2823</v>
      </c>
      <c r="B1314" s="245">
        <v>2827</v>
      </c>
      <c r="C1314" s="133" t="s">
        <v>223</v>
      </c>
      <c r="D1314" s="119" t="s">
        <v>3079</v>
      </c>
      <c r="E1314" s="128" t="s">
        <v>2337</v>
      </c>
      <c r="F1314" s="121" t="s">
        <v>2157</v>
      </c>
      <c r="G1314" s="254" t="s">
        <v>2322</v>
      </c>
      <c r="H1314" s="248" t="s">
        <v>5063</v>
      </c>
      <c r="I1314" s="250" t="s">
        <v>533</v>
      </c>
      <c r="J1314" s="247">
        <v>44287</v>
      </c>
      <c r="K1314" s="22"/>
    </row>
    <row r="1315" spans="1:11">
      <c r="A1315" s="241" t="s">
        <v>4244</v>
      </c>
      <c r="B1315" s="245">
        <v>2494</v>
      </c>
      <c r="C1315" s="133" t="s">
        <v>223</v>
      </c>
      <c r="D1315" s="119" t="s">
        <v>3079</v>
      </c>
      <c r="E1315" s="128" t="s">
        <v>2337</v>
      </c>
      <c r="F1315" s="121" t="s">
        <v>2157</v>
      </c>
      <c r="G1315" s="254" t="s">
        <v>2322</v>
      </c>
      <c r="H1315" s="248" t="s">
        <v>5063</v>
      </c>
      <c r="I1315" s="250" t="s">
        <v>533</v>
      </c>
      <c r="J1315" s="247">
        <v>44287</v>
      </c>
      <c r="K1315" s="22"/>
    </row>
    <row r="1316" spans="1:11">
      <c r="A1316" s="241" t="s">
        <v>4472</v>
      </c>
      <c r="B1316" s="245">
        <v>3180</v>
      </c>
      <c r="C1316" s="133" t="s">
        <v>451</v>
      </c>
      <c r="D1316" s="119" t="s">
        <v>3079</v>
      </c>
      <c r="E1316" s="128" t="s">
        <v>2337</v>
      </c>
      <c r="F1316" s="121" t="s">
        <v>2157</v>
      </c>
      <c r="G1316" s="254" t="s">
        <v>2322</v>
      </c>
      <c r="H1316" s="248" t="s">
        <v>5063</v>
      </c>
      <c r="I1316" s="250" t="s">
        <v>533</v>
      </c>
      <c r="J1316" s="247">
        <v>44287</v>
      </c>
      <c r="K1316" s="22"/>
    </row>
    <row r="1317" spans="1:11">
      <c r="A1317" s="241" t="s">
        <v>4454</v>
      </c>
      <c r="B1317" s="245">
        <v>3148</v>
      </c>
      <c r="C1317" s="133" t="s">
        <v>451</v>
      </c>
      <c r="D1317" s="119" t="s">
        <v>3079</v>
      </c>
      <c r="E1317" s="128" t="s">
        <v>2337</v>
      </c>
      <c r="F1317" s="121" t="s">
        <v>2157</v>
      </c>
      <c r="G1317" s="254" t="s">
        <v>2322</v>
      </c>
      <c r="H1317" s="248" t="s">
        <v>5063</v>
      </c>
      <c r="I1317" s="250" t="s">
        <v>533</v>
      </c>
      <c r="J1317" s="247">
        <v>44287</v>
      </c>
      <c r="K1317" s="22"/>
    </row>
    <row r="1318" spans="1:11">
      <c r="A1318" s="241" t="s">
        <v>4446</v>
      </c>
      <c r="B1318" s="245">
        <v>3138</v>
      </c>
      <c r="C1318" s="133" t="s">
        <v>451</v>
      </c>
      <c r="D1318" s="119" t="s">
        <v>3079</v>
      </c>
      <c r="E1318" s="128" t="s">
        <v>2337</v>
      </c>
      <c r="F1318" s="121" t="s">
        <v>2157</v>
      </c>
      <c r="G1318" s="254" t="s">
        <v>2322</v>
      </c>
      <c r="H1318" s="248" t="s">
        <v>5063</v>
      </c>
      <c r="I1318" s="250" t="s">
        <v>533</v>
      </c>
      <c r="J1318" s="247">
        <v>44287</v>
      </c>
      <c r="K1318" s="22"/>
    </row>
    <row r="1319" spans="1:11">
      <c r="A1319" s="241" t="s">
        <v>3390</v>
      </c>
      <c r="B1319" s="245">
        <v>2090</v>
      </c>
      <c r="C1319" s="133" t="s">
        <v>451</v>
      </c>
      <c r="D1319" s="119" t="s">
        <v>3079</v>
      </c>
      <c r="E1319" s="128" t="s">
        <v>2337</v>
      </c>
      <c r="F1319" s="121" t="s">
        <v>2157</v>
      </c>
      <c r="G1319" s="254" t="s">
        <v>2322</v>
      </c>
      <c r="H1319" s="248" t="s">
        <v>5063</v>
      </c>
      <c r="I1319" s="250" t="s">
        <v>533</v>
      </c>
      <c r="J1319" s="247">
        <v>44287</v>
      </c>
      <c r="K1319" s="22"/>
    </row>
    <row r="1320" spans="1:11">
      <c r="A1320" s="241" t="s">
        <v>3372</v>
      </c>
      <c r="B1320" s="245">
        <v>3024</v>
      </c>
      <c r="C1320" s="133" t="s">
        <v>2128</v>
      </c>
      <c r="D1320" s="119" t="s">
        <v>3079</v>
      </c>
      <c r="E1320" s="128" t="s">
        <v>2337</v>
      </c>
      <c r="F1320" s="121" t="s">
        <v>2157</v>
      </c>
      <c r="G1320" s="254" t="s">
        <v>2322</v>
      </c>
      <c r="H1320" s="248" t="s">
        <v>5063</v>
      </c>
      <c r="I1320" s="250" t="s">
        <v>533</v>
      </c>
      <c r="J1320" s="247">
        <v>44287</v>
      </c>
      <c r="K1320" s="22"/>
    </row>
    <row r="1321" spans="1:11">
      <c r="A1321" s="241" t="s">
        <v>3358</v>
      </c>
      <c r="B1321" s="245">
        <v>2200</v>
      </c>
      <c r="C1321" s="133" t="s">
        <v>451</v>
      </c>
      <c r="D1321" s="119" t="s">
        <v>3079</v>
      </c>
      <c r="E1321" s="128" t="s">
        <v>2337</v>
      </c>
      <c r="F1321" s="121" t="s">
        <v>2157</v>
      </c>
      <c r="G1321" s="254" t="s">
        <v>2322</v>
      </c>
      <c r="H1321" s="248" t="s">
        <v>5063</v>
      </c>
      <c r="I1321" s="250" t="s">
        <v>533</v>
      </c>
      <c r="J1321" s="247">
        <v>44287</v>
      </c>
      <c r="K1321" s="22"/>
    </row>
    <row r="1322" spans="1:11">
      <c r="A1322" s="241" t="s">
        <v>2908</v>
      </c>
      <c r="B1322" s="245">
        <v>2370</v>
      </c>
      <c r="C1322" s="133" t="s">
        <v>451</v>
      </c>
      <c r="D1322" s="119" t="s">
        <v>3079</v>
      </c>
      <c r="E1322" s="128" t="s">
        <v>2337</v>
      </c>
      <c r="F1322" s="121" t="s">
        <v>2157</v>
      </c>
      <c r="G1322" s="254" t="s">
        <v>2322</v>
      </c>
      <c r="H1322" s="248" t="s">
        <v>5063</v>
      </c>
      <c r="I1322" s="250" t="s">
        <v>533</v>
      </c>
      <c r="J1322" s="247">
        <v>44287</v>
      </c>
      <c r="K1322" s="22"/>
    </row>
    <row r="1323" spans="1:11">
      <c r="A1323" s="241" t="s">
        <v>3501</v>
      </c>
      <c r="B1323" s="251">
        <v>3166</v>
      </c>
      <c r="C1323" s="133" t="s">
        <v>451</v>
      </c>
      <c r="D1323" s="119" t="s">
        <v>3079</v>
      </c>
      <c r="E1323" s="128" t="s">
        <v>2337</v>
      </c>
      <c r="F1323" s="121" t="s">
        <v>2157</v>
      </c>
      <c r="G1323" s="254" t="s">
        <v>2322</v>
      </c>
      <c r="H1323" s="252" t="s">
        <v>5063</v>
      </c>
      <c r="I1323" s="255" t="s">
        <v>533</v>
      </c>
      <c r="J1323" s="253">
        <v>44287</v>
      </c>
      <c r="K1323" s="22"/>
    </row>
    <row r="1324" spans="1:11">
      <c r="A1324" s="241" t="s">
        <v>4616</v>
      </c>
      <c r="B1324" s="251">
        <v>64622</v>
      </c>
      <c r="C1324" s="133" t="s">
        <v>643</v>
      </c>
      <c r="D1324" s="119" t="s">
        <v>3079</v>
      </c>
      <c r="E1324" s="128" t="s">
        <v>2337</v>
      </c>
      <c r="F1324" s="121" t="s">
        <v>2157</v>
      </c>
      <c r="G1324" s="254" t="s">
        <v>2322</v>
      </c>
      <c r="H1324" s="252" t="s">
        <v>5063</v>
      </c>
      <c r="I1324" s="255" t="s">
        <v>533</v>
      </c>
      <c r="J1324" s="253">
        <v>44287</v>
      </c>
      <c r="K1324" s="22"/>
    </row>
    <row r="1325" spans="1:11">
      <c r="A1325" s="241" t="s">
        <v>4576</v>
      </c>
      <c r="B1325" s="251">
        <v>64548</v>
      </c>
      <c r="C1325" s="133" t="s">
        <v>643</v>
      </c>
      <c r="D1325" s="119" t="s">
        <v>3079</v>
      </c>
      <c r="E1325" s="128" t="s">
        <v>2337</v>
      </c>
      <c r="F1325" s="121" t="s">
        <v>2157</v>
      </c>
      <c r="G1325" s="254" t="s">
        <v>2322</v>
      </c>
      <c r="H1325" s="252" t="s">
        <v>5063</v>
      </c>
      <c r="I1325" s="255" t="s">
        <v>533</v>
      </c>
      <c r="J1325" s="253">
        <v>44287</v>
      </c>
      <c r="K1325" s="22"/>
    </row>
    <row r="1326" spans="1:11">
      <c r="A1326" s="241" t="s">
        <v>4825</v>
      </c>
      <c r="B1326" s="251">
        <v>70684</v>
      </c>
      <c r="C1326" s="133" t="s">
        <v>643</v>
      </c>
      <c r="D1326" s="119" t="s">
        <v>3079</v>
      </c>
      <c r="E1326" s="128" t="s">
        <v>2337</v>
      </c>
      <c r="F1326" s="121" t="s">
        <v>2157</v>
      </c>
      <c r="G1326" s="254" t="s">
        <v>2322</v>
      </c>
      <c r="H1326" s="252" t="s">
        <v>5063</v>
      </c>
      <c r="I1326" s="255" t="s">
        <v>533</v>
      </c>
      <c r="J1326" s="253">
        <v>44287</v>
      </c>
      <c r="K1326" s="22"/>
    </row>
    <row r="1327" spans="1:11">
      <c r="A1327" s="241" t="s">
        <v>4860</v>
      </c>
      <c r="B1327" s="251">
        <v>70699</v>
      </c>
      <c r="C1327" s="133" t="s">
        <v>643</v>
      </c>
      <c r="D1327" s="119" t="s">
        <v>3079</v>
      </c>
      <c r="E1327" s="128" t="s">
        <v>2337</v>
      </c>
      <c r="F1327" s="121" t="s">
        <v>2157</v>
      </c>
      <c r="G1327" s="254" t="s">
        <v>2322</v>
      </c>
      <c r="H1327" s="252" t="s">
        <v>5063</v>
      </c>
      <c r="I1327" s="255" t="s">
        <v>533</v>
      </c>
      <c r="J1327" s="253">
        <v>44287</v>
      </c>
      <c r="K1327" s="22"/>
    </row>
    <row r="1328" spans="1:11">
      <c r="A1328" s="241" t="s">
        <v>3004</v>
      </c>
      <c r="B1328" s="260">
        <v>2575</v>
      </c>
      <c r="C1328" s="133" t="s">
        <v>1339</v>
      </c>
      <c r="D1328" s="119" t="s">
        <v>1433</v>
      </c>
      <c r="E1328" s="128" t="s">
        <v>1969</v>
      </c>
      <c r="F1328" s="121" t="s">
        <v>1917</v>
      </c>
      <c r="G1328" s="254" t="s">
        <v>3079</v>
      </c>
      <c r="H1328" s="261" t="s">
        <v>3423</v>
      </c>
      <c r="I1328" s="265" t="s">
        <v>1392</v>
      </c>
      <c r="J1328" s="263">
        <v>44287</v>
      </c>
      <c r="K1328" s="22"/>
    </row>
    <row r="1329" spans="1:11">
      <c r="A1329" s="241" t="s">
        <v>2966</v>
      </c>
      <c r="B1329" s="260">
        <v>2319</v>
      </c>
      <c r="C1329" s="133" t="s">
        <v>223</v>
      </c>
      <c r="D1329" s="167" t="s">
        <v>1433</v>
      </c>
      <c r="E1329" s="128" t="s">
        <v>570</v>
      </c>
      <c r="F1329" s="121" t="s">
        <v>1926</v>
      </c>
      <c r="G1329" s="264" t="s">
        <v>3079</v>
      </c>
      <c r="H1329" s="261" t="s">
        <v>3423</v>
      </c>
      <c r="I1329" s="265" t="s">
        <v>1392</v>
      </c>
      <c r="J1329" s="263">
        <v>44287</v>
      </c>
      <c r="K1329" s="22"/>
    </row>
    <row r="1330" spans="1:11">
      <c r="A1330" s="241" t="s">
        <v>2965</v>
      </c>
      <c r="B1330" s="260">
        <v>1988</v>
      </c>
      <c r="C1330" s="133" t="s">
        <v>223</v>
      </c>
      <c r="D1330" s="167" t="s">
        <v>1433</v>
      </c>
      <c r="E1330" s="128" t="s">
        <v>1969</v>
      </c>
      <c r="F1330" s="121" t="s">
        <v>1917</v>
      </c>
      <c r="G1330" s="264" t="s">
        <v>3079</v>
      </c>
      <c r="H1330" s="261" t="s">
        <v>3423</v>
      </c>
      <c r="I1330" s="265" t="s">
        <v>1392</v>
      </c>
      <c r="J1330" s="263">
        <v>44287</v>
      </c>
      <c r="K1330" s="22"/>
    </row>
    <row r="1331" spans="1:11">
      <c r="A1331" s="241" t="s">
        <v>2107</v>
      </c>
      <c r="B1331" s="260">
        <v>2928</v>
      </c>
      <c r="C1331" s="133" t="s">
        <v>451</v>
      </c>
      <c r="D1331" s="167" t="s">
        <v>1433</v>
      </c>
      <c r="E1331" s="128" t="s">
        <v>1969</v>
      </c>
      <c r="F1331" s="121" t="s">
        <v>1917</v>
      </c>
      <c r="G1331" s="264" t="s">
        <v>3079</v>
      </c>
      <c r="H1331" s="261" t="s">
        <v>3423</v>
      </c>
      <c r="I1331" s="265" t="s">
        <v>1392</v>
      </c>
      <c r="J1331" s="263">
        <v>44287</v>
      </c>
      <c r="K1331" s="22"/>
    </row>
    <row r="1332" spans="1:11">
      <c r="A1332" s="241" t="s">
        <v>5017</v>
      </c>
      <c r="B1332" s="260">
        <v>64712</v>
      </c>
      <c r="C1332" s="133" t="s">
        <v>643</v>
      </c>
      <c r="D1332" s="167" t="s">
        <v>1433</v>
      </c>
      <c r="E1332" s="128" t="s">
        <v>1969</v>
      </c>
      <c r="F1332" s="121" t="s">
        <v>1917</v>
      </c>
      <c r="G1332" s="264" t="s">
        <v>3079</v>
      </c>
      <c r="H1332" s="261" t="s">
        <v>3423</v>
      </c>
      <c r="I1332" s="265" t="s">
        <v>1392</v>
      </c>
      <c r="J1332" s="263">
        <v>44287</v>
      </c>
      <c r="K1332" s="22"/>
    </row>
    <row r="1333" spans="1:11">
      <c r="A1333" s="241" t="s">
        <v>5044</v>
      </c>
      <c r="B1333" s="260">
        <v>70753</v>
      </c>
      <c r="C1333" s="133" t="s">
        <v>643</v>
      </c>
      <c r="D1333" s="167" t="s">
        <v>1433</v>
      </c>
      <c r="E1333" s="128" t="s">
        <v>1969</v>
      </c>
      <c r="F1333" s="121" t="s">
        <v>1917</v>
      </c>
      <c r="G1333" s="264" t="s">
        <v>3079</v>
      </c>
      <c r="H1333" s="261" t="s">
        <v>3423</v>
      </c>
      <c r="I1333" s="265" t="s">
        <v>1392</v>
      </c>
      <c r="J1333" s="263">
        <v>44287</v>
      </c>
      <c r="K1333" s="22"/>
    </row>
    <row r="1334" spans="1:11">
      <c r="A1334" s="241" t="s">
        <v>3005</v>
      </c>
      <c r="B1334" s="260">
        <v>634</v>
      </c>
      <c r="C1334" s="133" t="s">
        <v>1339</v>
      </c>
      <c r="D1334" s="167" t="s">
        <v>1433</v>
      </c>
      <c r="E1334" s="128" t="s">
        <v>1969</v>
      </c>
      <c r="F1334" s="121" t="s">
        <v>1917</v>
      </c>
      <c r="G1334" s="254" t="s">
        <v>2322</v>
      </c>
      <c r="H1334" s="261" t="s">
        <v>5063</v>
      </c>
      <c r="I1334" s="262" t="s">
        <v>533</v>
      </c>
      <c r="J1334" s="263">
        <v>44287</v>
      </c>
      <c r="K1334" s="22"/>
    </row>
    <row r="1335" spans="1:11">
      <c r="A1335" s="241" t="s">
        <v>3133</v>
      </c>
      <c r="B1335" s="260">
        <v>1874</v>
      </c>
      <c r="C1335" s="133" t="s">
        <v>223</v>
      </c>
      <c r="D1335" s="167" t="s">
        <v>1433</v>
      </c>
      <c r="E1335" s="128" t="s">
        <v>1969</v>
      </c>
      <c r="F1335" s="121" t="s">
        <v>1917</v>
      </c>
      <c r="G1335" s="254" t="s">
        <v>2322</v>
      </c>
      <c r="H1335" s="261" t="s">
        <v>5063</v>
      </c>
      <c r="I1335" s="262" t="s">
        <v>533</v>
      </c>
      <c r="J1335" s="263">
        <v>44287</v>
      </c>
      <c r="K1335" s="22"/>
    </row>
    <row r="1336" spans="1:11">
      <c r="A1336" s="241" t="s">
        <v>3498</v>
      </c>
      <c r="B1336" s="260">
        <v>2818</v>
      </c>
      <c r="C1336" s="133" t="s">
        <v>223</v>
      </c>
      <c r="D1336" s="167" t="s">
        <v>1433</v>
      </c>
      <c r="E1336" s="128" t="s">
        <v>224</v>
      </c>
      <c r="F1336" s="121" t="s">
        <v>1903</v>
      </c>
      <c r="G1336" s="254" t="s">
        <v>2322</v>
      </c>
      <c r="H1336" s="261" t="s">
        <v>5063</v>
      </c>
      <c r="I1336" s="262" t="s">
        <v>533</v>
      </c>
      <c r="J1336" s="263">
        <v>44287</v>
      </c>
      <c r="K1336" s="22"/>
    </row>
    <row r="1337" spans="1:11">
      <c r="A1337" s="241" t="s">
        <v>2859</v>
      </c>
      <c r="B1337" s="260">
        <v>2077</v>
      </c>
      <c r="C1337" s="133" t="s">
        <v>223</v>
      </c>
      <c r="D1337" s="167" t="s">
        <v>1433</v>
      </c>
      <c r="E1337" s="128" t="s">
        <v>844</v>
      </c>
      <c r="F1337" s="121" t="s">
        <v>1903</v>
      </c>
      <c r="G1337" s="254" t="s">
        <v>2322</v>
      </c>
      <c r="H1337" s="261" t="s">
        <v>5063</v>
      </c>
      <c r="I1337" s="262" t="s">
        <v>533</v>
      </c>
      <c r="J1337" s="263">
        <v>44287</v>
      </c>
      <c r="K1337" s="22"/>
    </row>
    <row r="1338" spans="1:11">
      <c r="A1338" s="241" t="s">
        <v>5043</v>
      </c>
      <c r="B1338" s="260">
        <v>70752</v>
      </c>
      <c r="C1338" s="133" t="s">
        <v>643</v>
      </c>
      <c r="D1338" s="167" t="s">
        <v>1433</v>
      </c>
      <c r="E1338" s="128" t="s">
        <v>1969</v>
      </c>
      <c r="F1338" s="121" t="s">
        <v>1917</v>
      </c>
      <c r="G1338" s="254" t="s">
        <v>2322</v>
      </c>
      <c r="H1338" s="261" t="s">
        <v>5063</v>
      </c>
      <c r="I1338" s="262" t="s">
        <v>533</v>
      </c>
      <c r="J1338" s="263">
        <v>44287</v>
      </c>
      <c r="K1338" s="22"/>
    </row>
    <row r="1339" spans="1:11">
      <c r="A1339" s="241" t="s">
        <v>5016</v>
      </c>
      <c r="B1339" s="260">
        <v>64711</v>
      </c>
      <c r="C1339" s="133" t="s">
        <v>643</v>
      </c>
      <c r="D1339" s="167" t="s">
        <v>1433</v>
      </c>
      <c r="E1339" s="128" t="s">
        <v>1969</v>
      </c>
      <c r="F1339" s="121" t="s">
        <v>1917</v>
      </c>
      <c r="G1339" s="254" t="s">
        <v>2322</v>
      </c>
      <c r="H1339" s="261" t="s">
        <v>5063</v>
      </c>
      <c r="I1339" s="262" t="s">
        <v>533</v>
      </c>
      <c r="J1339" s="263">
        <v>44287</v>
      </c>
      <c r="K1339" s="22"/>
    </row>
    <row r="1340" spans="1:11">
      <c r="A1340" s="243" t="s">
        <v>4755</v>
      </c>
      <c r="B1340" s="107">
        <v>70637</v>
      </c>
      <c r="C1340" s="188" t="s">
        <v>643</v>
      </c>
      <c r="D1340" s="147" t="s">
        <v>3079</v>
      </c>
      <c r="E1340" s="146" t="s">
        <v>2378</v>
      </c>
      <c r="F1340" s="147" t="s">
        <v>544</v>
      </c>
      <c r="G1340" s="266" t="s">
        <v>2322</v>
      </c>
      <c r="H1340" s="267" t="s">
        <v>5063</v>
      </c>
      <c r="I1340" s="268" t="s">
        <v>533</v>
      </c>
      <c r="J1340" s="269">
        <v>44293</v>
      </c>
      <c r="K1340" s="153" t="s">
        <v>5066</v>
      </c>
    </row>
    <row r="1341" spans="1:11">
      <c r="A1341" s="241" t="s">
        <v>3727</v>
      </c>
      <c r="B1341" s="270">
        <v>712</v>
      </c>
      <c r="C1341" s="133" t="s">
        <v>223</v>
      </c>
      <c r="D1341" s="167" t="s">
        <v>1044</v>
      </c>
      <c r="E1341" s="128" t="s">
        <v>602</v>
      </c>
      <c r="F1341" s="121" t="s">
        <v>3588</v>
      </c>
      <c r="G1341" s="254" t="s">
        <v>2588</v>
      </c>
      <c r="H1341" s="271" t="s">
        <v>3292</v>
      </c>
      <c r="I1341" s="272" t="s">
        <v>1380</v>
      </c>
      <c r="J1341" s="273">
        <v>44292</v>
      </c>
      <c r="K1341" s="22"/>
    </row>
    <row r="1342" spans="1:11">
      <c r="A1342" s="241" t="s">
        <v>4361</v>
      </c>
      <c r="B1342" s="270">
        <v>3002</v>
      </c>
      <c r="C1342" s="133" t="s">
        <v>451</v>
      </c>
      <c r="D1342" s="167" t="s">
        <v>1044</v>
      </c>
      <c r="E1342" s="128" t="s">
        <v>602</v>
      </c>
      <c r="F1342" s="121" t="s">
        <v>3588</v>
      </c>
      <c r="G1342" s="281" t="s">
        <v>2588</v>
      </c>
      <c r="H1342" s="271" t="s">
        <v>2787</v>
      </c>
      <c r="I1342" s="274" t="s">
        <v>1555</v>
      </c>
      <c r="J1342" s="273">
        <v>44292</v>
      </c>
      <c r="K1342" s="22"/>
    </row>
    <row r="1343" spans="1:11">
      <c r="A1343" s="241" t="s">
        <v>4145</v>
      </c>
      <c r="B1343" s="123">
        <v>2087</v>
      </c>
      <c r="C1343" s="133" t="s">
        <v>223</v>
      </c>
      <c r="D1343" s="167" t="s">
        <v>1044</v>
      </c>
      <c r="E1343" s="128" t="s">
        <v>437</v>
      </c>
      <c r="F1343" s="121" t="s">
        <v>342</v>
      </c>
      <c r="G1343" s="281" t="s">
        <v>2588</v>
      </c>
      <c r="H1343" s="275" t="s">
        <v>2999</v>
      </c>
      <c r="I1343" s="277" t="s">
        <v>1390</v>
      </c>
      <c r="J1343" s="276">
        <v>44298</v>
      </c>
      <c r="K1343" s="22"/>
    </row>
    <row r="1344" spans="1:11">
      <c r="A1344" s="241" t="s">
        <v>1372</v>
      </c>
      <c r="B1344" s="278">
        <v>2212</v>
      </c>
      <c r="C1344" s="133" t="s">
        <v>223</v>
      </c>
      <c r="D1344" s="167" t="s">
        <v>1435</v>
      </c>
      <c r="E1344" s="128" t="s">
        <v>449</v>
      </c>
      <c r="F1344" s="121" t="s">
        <v>1899</v>
      </c>
      <c r="G1344" s="254" t="s">
        <v>1435</v>
      </c>
      <c r="H1344" s="279" t="s">
        <v>2729</v>
      </c>
      <c r="I1344" s="282" t="s">
        <v>1913</v>
      </c>
      <c r="J1344" s="280">
        <v>44292</v>
      </c>
      <c r="K1344" s="22"/>
    </row>
    <row r="1345" spans="1:11">
      <c r="A1345" s="241" t="s">
        <v>3726</v>
      </c>
      <c r="B1345" s="278">
        <v>711</v>
      </c>
      <c r="C1345" s="133" t="s">
        <v>223</v>
      </c>
      <c r="D1345" s="167" t="s">
        <v>1435</v>
      </c>
      <c r="E1345" s="128" t="s">
        <v>974</v>
      </c>
      <c r="F1345" s="121" t="s">
        <v>1899</v>
      </c>
      <c r="G1345" s="254" t="s">
        <v>1435</v>
      </c>
      <c r="H1345" s="279" t="s">
        <v>2729</v>
      </c>
      <c r="I1345" s="282" t="s">
        <v>1913</v>
      </c>
      <c r="J1345" s="280">
        <v>44292</v>
      </c>
      <c r="K1345" s="22"/>
    </row>
    <row r="1346" spans="1:11">
      <c r="A1346" s="241" t="s">
        <v>1892</v>
      </c>
      <c r="B1346" s="283">
        <v>97</v>
      </c>
      <c r="C1346" s="133" t="s">
        <v>1321</v>
      </c>
      <c r="D1346" s="167" t="s">
        <v>3079</v>
      </c>
      <c r="E1346" s="128" t="s">
        <v>2798</v>
      </c>
      <c r="F1346" s="121" t="s">
        <v>533</v>
      </c>
      <c r="G1346" s="254" t="s">
        <v>2322</v>
      </c>
      <c r="H1346" s="284" t="s">
        <v>5063</v>
      </c>
      <c r="I1346" s="285" t="s">
        <v>533</v>
      </c>
      <c r="J1346" s="286">
        <v>44287</v>
      </c>
      <c r="K1346" s="22"/>
    </row>
    <row r="1347" spans="1:11">
      <c r="A1347" s="241" t="s">
        <v>3800</v>
      </c>
      <c r="B1347" s="283">
        <v>956</v>
      </c>
      <c r="C1347" s="133" t="s">
        <v>2036</v>
      </c>
      <c r="D1347" s="167" t="s">
        <v>3079</v>
      </c>
      <c r="E1347" s="128" t="s">
        <v>2377</v>
      </c>
      <c r="F1347" s="121" t="s">
        <v>533</v>
      </c>
      <c r="G1347" s="254" t="s">
        <v>2322</v>
      </c>
      <c r="H1347" s="284" t="s">
        <v>5063</v>
      </c>
      <c r="I1347" s="285" t="s">
        <v>533</v>
      </c>
      <c r="J1347" s="286">
        <v>44287</v>
      </c>
      <c r="K1347" s="22"/>
    </row>
    <row r="1348" spans="1:11">
      <c r="A1348" s="241" t="s">
        <v>3773</v>
      </c>
      <c r="B1348" s="283">
        <v>867</v>
      </c>
      <c r="C1348" s="133" t="s">
        <v>1585</v>
      </c>
      <c r="D1348" s="167" t="s">
        <v>3079</v>
      </c>
      <c r="E1348" s="128" t="s">
        <v>2377</v>
      </c>
      <c r="F1348" s="121" t="s">
        <v>1395</v>
      </c>
      <c r="G1348" s="254" t="s">
        <v>2322</v>
      </c>
      <c r="H1348" s="284" t="s">
        <v>5063</v>
      </c>
      <c r="I1348" s="285" t="s">
        <v>533</v>
      </c>
      <c r="J1348" s="286">
        <v>44287</v>
      </c>
      <c r="K1348" s="22"/>
    </row>
    <row r="1349" spans="1:11">
      <c r="A1349" s="241" t="s">
        <v>3149</v>
      </c>
      <c r="B1349" s="283">
        <v>2603</v>
      </c>
      <c r="C1349" s="133" t="s">
        <v>1339</v>
      </c>
      <c r="D1349" s="167" t="s">
        <v>3079</v>
      </c>
      <c r="E1349" s="128" t="s">
        <v>2377</v>
      </c>
      <c r="F1349" s="121" t="s">
        <v>1395</v>
      </c>
      <c r="G1349" s="254" t="s">
        <v>2322</v>
      </c>
      <c r="H1349" s="284" t="s">
        <v>5063</v>
      </c>
      <c r="I1349" s="285" t="s">
        <v>533</v>
      </c>
      <c r="J1349" s="286">
        <v>44287</v>
      </c>
      <c r="K1349" s="22"/>
    </row>
    <row r="1350" spans="1:11">
      <c r="A1350" s="241" t="s">
        <v>3973</v>
      </c>
      <c r="B1350" s="283">
        <v>1505</v>
      </c>
      <c r="C1350" s="133" t="s">
        <v>2037</v>
      </c>
      <c r="D1350" s="167" t="s">
        <v>3079</v>
      </c>
      <c r="E1350" s="128" t="s">
        <v>2377</v>
      </c>
      <c r="F1350" s="121" t="s">
        <v>1395</v>
      </c>
      <c r="G1350" s="254" t="s">
        <v>2322</v>
      </c>
      <c r="H1350" s="284" t="s">
        <v>5063</v>
      </c>
      <c r="I1350" s="285" t="s">
        <v>533</v>
      </c>
      <c r="J1350" s="286">
        <v>44287</v>
      </c>
      <c r="K1350" s="22"/>
    </row>
    <row r="1351" spans="1:11">
      <c r="A1351" s="241" t="s">
        <v>3975</v>
      </c>
      <c r="B1351" s="283">
        <v>1522</v>
      </c>
      <c r="C1351" s="133" t="s">
        <v>223</v>
      </c>
      <c r="D1351" s="167" t="s">
        <v>3079</v>
      </c>
      <c r="E1351" s="128" t="s">
        <v>2377</v>
      </c>
      <c r="F1351" s="121" t="s">
        <v>1395</v>
      </c>
      <c r="G1351" s="254" t="s">
        <v>2322</v>
      </c>
      <c r="H1351" s="284" t="s">
        <v>5063</v>
      </c>
      <c r="I1351" s="285" t="s">
        <v>533</v>
      </c>
      <c r="J1351" s="286">
        <v>44287</v>
      </c>
      <c r="K1351" s="22"/>
    </row>
    <row r="1352" spans="1:11">
      <c r="A1352" s="241" t="s">
        <v>2818</v>
      </c>
      <c r="B1352" s="283">
        <v>2570</v>
      </c>
      <c r="C1352" s="133" t="s">
        <v>223</v>
      </c>
      <c r="D1352" s="167" t="s">
        <v>3079</v>
      </c>
      <c r="E1352" s="128" t="s">
        <v>2377</v>
      </c>
      <c r="F1352" s="121" t="s">
        <v>1395</v>
      </c>
      <c r="G1352" s="254" t="s">
        <v>2322</v>
      </c>
      <c r="H1352" s="284" t="s">
        <v>5063</v>
      </c>
      <c r="I1352" s="285" t="s">
        <v>533</v>
      </c>
      <c r="J1352" s="286">
        <v>44287</v>
      </c>
      <c r="K1352" s="22"/>
    </row>
    <row r="1353" spans="1:11">
      <c r="A1353" s="241" t="s">
        <v>3544</v>
      </c>
      <c r="B1353" s="283">
        <v>2344</v>
      </c>
      <c r="C1353" s="133" t="s">
        <v>223</v>
      </c>
      <c r="D1353" s="167" t="s">
        <v>3079</v>
      </c>
      <c r="E1353" s="128" t="s">
        <v>2377</v>
      </c>
      <c r="F1353" s="121" t="s">
        <v>1395</v>
      </c>
      <c r="G1353" s="254" t="s">
        <v>2322</v>
      </c>
      <c r="H1353" s="284" t="s">
        <v>5063</v>
      </c>
      <c r="I1353" s="285" t="s">
        <v>533</v>
      </c>
      <c r="J1353" s="286">
        <v>44287</v>
      </c>
      <c r="K1353" s="22"/>
    </row>
    <row r="1354" spans="1:11">
      <c r="A1354" s="241" t="s">
        <v>3138</v>
      </c>
      <c r="B1354" s="283">
        <v>2029</v>
      </c>
      <c r="C1354" s="133" t="s">
        <v>223</v>
      </c>
      <c r="D1354" s="167" t="s">
        <v>3079</v>
      </c>
      <c r="E1354" s="128" t="s">
        <v>2377</v>
      </c>
      <c r="F1354" s="121" t="s">
        <v>1395</v>
      </c>
      <c r="G1354" s="254" t="s">
        <v>2322</v>
      </c>
      <c r="H1354" s="284" t="s">
        <v>5063</v>
      </c>
      <c r="I1354" s="285" t="s">
        <v>533</v>
      </c>
      <c r="J1354" s="286">
        <v>44287</v>
      </c>
      <c r="K1354" s="22"/>
    </row>
    <row r="1355" spans="1:11">
      <c r="A1355" s="241" t="s">
        <v>2054</v>
      </c>
      <c r="B1355" s="283">
        <v>2949</v>
      </c>
      <c r="C1355" s="133" t="s">
        <v>451</v>
      </c>
      <c r="D1355" s="167" t="s">
        <v>3079</v>
      </c>
      <c r="E1355" s="128" t="s">
        <v>2377</v>
      </c>
      <c r="F1355" s="121" t="s">
        <v>1395</v>
      </c>
      <c r="G1355" s="254" t="s">
        <v>2322</v>
      </c>
      <c r="H1355" s="284" t="s">
        <v>5063</v>
      </c>
      <c r="I1355" s="285" t="s">
        <v>533</v>
      </c>
      <c r="J1355" s="286">
        <v>44287</v>
      </c>
      <c r="K1355" s="22"/>
    </row>
    <row r="1356" spans="1:11">
      <c r="A1356" s="241" t="s">
        <v>3389</v>
      </c>
      <c r="B1356" s="283">
        <v>3177</v>
      </c>
      <c r="C1356" s="133" t="s">
        <v>451</v>
      </c>
      <c r="D1356" s="167" t="s">
        <v>3079</v>
      </c>
      <c r="E1356" s="128" t="s">
        <v>2377</v>
      </c>
      <c r="F1356" s="121" t="s">
        <v>1395</v>
      </c>
      <c r="G1356" s="254" t="s">
        <v>2322</v>
      </c>
      <c r="H1356" s="284" t="s">
        <v>5063</v>
      </c>
      <c r="I1356" s="285" t="s">
        <v>533</v>
      </c>
      <c r="J1356" s="286">
        <v>44287</v>
      </c>
      <c r="K1356" s="22"/>
    </row>
    <row r="1357" spans="1:11">
      <c r="A1357" s="241" t="s">
        <v>4314</v>
      </c>
      <c r="B1357" s="283">
        <v>2908</v>
      </c>
      <c r="C1357" s="133" t="s">
        <v>2128</v>
      </c>
      <c r="D1357" s="167" t="s">
        <v>3079</v>
      </c>
      <c r="E1357" s="128" t="s">
        <v>2377</v>
      </c>
      <c r="F1357" s="121" t="s">
        <v>1395</v>
      </c>
      <c r="G1357" s="254" t="s">
        <v>2322</v>
      </c>
      <c r="H1357" s="284" t="s">
        <v>5063</v>
      </c>
      <c r="I1357" s="285" t="s">
        <v>533</v>
      </c>
      <c r="J1357" s="286">
        <v>44287</v>
      </c>
      <c r="K1357" s="22"/>
    </row>
    <row r="1358" spans="1:11">
      <c r="A1358" s="241" t="s">
        <v>2833</v>
      </c>
      <c r="B1358" s="283">
        <v>64508</v>
      </c>
      <c r="C1358" s="133" t="s">
        <v>643</v>
      </c>
      <c r="D1358" s="167" t="s">
        <v>3079</v>
      </c>
      <c r="E1358" s="128" t="s">
        <v>2377</v>
      </c>
      <c r="F1358" s="121" t="s">
        <v>1395</v>
      </c>
      <c r="G1358" s="254" t="s">
        <v>2322</v>
      </c>
      <c r="H1358" s="284" t="s">
        <v>5063</v>
      </c>
      <c r="I1358" s="285" t="s">
        <v>533</v>
      </c>
      <c r="J1358" s="286">
        <v>44287</v>
      </c>
      <c r="K1358" s="22"/>
    </row>
    <row r="1359" spans="1:11">
      <c r="A1359" s="241" t="s">
        <v>4574</v>
      </c>
      <c r="B1359" s="283">
        <v>64542</v>
      </c>
      <c r="C1359" s="133" t="s">
        <v>643</v>
      </c>
      <c r="D1359" s="167" t="s">
        <v>3079</v>
      </c>
      <c r="E1359" s="128" t="s">
        <v>2377</v>
      </c>
      <c r="F1359" s="121" t="s">
        <v>1395</v>
      </c>
      <c r="G1359" s="254" t="s">
        <v>2322</v>
      </c>
      <c r="H1359" s="284" t="s">
        <v>5063</v>
      </c>
      <c r="I1359" s="285" t="s">
        <v>533</v>
      </c>
      <c r="J1359" s="286">
        <v>44287</v>
      </c>
      <c r="K1359" s="22"/>
    </row>
    <row r="1360" spans="1:11">
      <c r="A1360" s="241" t="s">
        <v>4580</v>
      </c>
      <c r="B1360" s="283">
        <v>64555</v>
      </c>
      <c r="C1360" s="133" t="s">
        <v>643</v>
      </c>
      <c r="D1360" s="167" t="s">
        <v>3079</v>
      </c>
      <c r="E1360" s="128" t="s">
        <v>2377</v>
      </c>
      <c r="F1360" s="121" t="s">
        <v>1395</v>
      </c>
      <c r="G1360" s="254" t="s">
        <v>2322</v>
      </c>
      <c r="H1360" s="284" t="s">
        <v>5063</v>
      </c>
      <c r="I1360" s="285" t="s">
        <v>533</v>
      </c>
      <c r="J1360" s="286">
        <v>44287</v>
      </c>
      <c r="K1360" s="22"/>
    </row>
    <row r="1361" spans="1:11">
      <c r="A1361" s="241" t="s">
        <v>3160</v>
      </c>
      <c r="B1361" s="283">
        <v>64472</v>
      </c>
      <c r="C1361" s="133" t="s">
        <v>643</v>
      </c>
      <c r="D1361" s="167" t="s">
        <v>3079</v>
      </c>
      <c r="E1361" s="128" t="s">
        <v>2377</v>
      </c>
      <c r="F1361" s="121" t="s">
        <v>1395</v>
      </c>
      <c r="G1361" s="254" t="s">
        <v>2322</v>
      </c>
      <c r="H1361" s="284" t="s">
        <v>5063</v>
      </c>
      <c r="I1361" s="285" t="s">
        <v>533</v>
      </c>
      <c r="J1361" s="286">
        <v>44287</v>
      </c>
      <c r="K1361" s="22"/>
    </row>
    <row r="1362" spans="1:11">
      <c r="A1362" s="241" t="s">
        <v>4592</v>
      </c>
      <c r="B1362" s="283">
        <v>64576</v>
      </c>
      <c r="C1362" s="133" t="s">
        <v>643</v>
      </c>
      <c r="D1362" s="167" t="s">
        <v>3079</v>
      </c>
      <c r="E1362" s="128" t="s">
        <v>2377</v>
      </c>
      <c r="F1362" s="121" t="s">
        <v>1395</v>
      </c>
      <c r="G1362" s="254" t="s">
        <v>2322</v>
      </c>
      <c r="H1362" s="284" t="s">
        <v>5063</v>
      </c>
      <c r="I1362" s="285" t="s">
        <v>533</v>
      </c>
      <c r="J1362" s="286">
        <v>44287</v>
      </c>
      <c r="K1362" s="22"/>
    </row>
    <row r="1363" spans="1:11">
      <c r="A1363" s="241" t="s">
        <v>4618</v>
      </c>
      <c r="B1363" s="283">
        <v>64626</v>
      </c>
      <c r="C1363" s="133" t="s">
        <v>643</v>
      </c>
      <c r="D1363" s="167" t="s">
        <v>3079</v>
      </c>
      <c r="E1363" s="128" t="s">
        <v>2377</v>
      </c>
      <c r="F1363" s="121" t="s">
        <v>1395</v>
      </c>
      <c r="G1363" s="254" t="s">
        <v>2322</v>
      </c>
      <c r="H1363" s="284" t="s">
        <v>5063</v>
      </c>
      <c r="I1363" s="285" t="s">
        <v>533</v>
      </c>
      <c r="J1363" s="286">
        <v>44287</v>
      </c>
      <c r="K1363" s="22"/>
    </row>
    <row r="1364" spans="1:11">
      <c r="A1364" s="241" t="s">
        <v>4751</v>
      </c>
      <c r="B1364" s="283">
        <v>70629</v>
      </c>
      <c r="C1364" s="133" t="s">
        <v>643</v>
      </c>
      <c r="D1364" s="167" t="s">
        <v>3079</v>
      </c>
      <c r="E1364" s="128" t="s">
        <v>2377</v>
      </c>
      <c r="F1364" s="121" t="s">
        <v>1395</v>
      </c>
      <c r="G1364" s="254" t="s">
        <v>2322</v>
      </c>
      <c r="H1364" s="284" t="s">
        <v>5063</v>
      </c>
      <c r="I1364" s="285" t="s">
        <v>533</v>
      </c>
      <c r="J1364" s="286">
        <v>44287</v>
      </c>
      <c r="K1364" s="22"/>
    </row>
    <row r="1365" spans="1:11">
      <c r="A1365" s="241" t="s">
        <v>4753</v>
      </c>
      <c r="B1365" s="283">
        <v>70631</v>
      </c>
      <c r="C1365" s="133" t="s">
        <v>643</v>
      </c>
      <c r="D1365" s="167" t="s">
        <v>3079</v>
      </c>
      <c r="E1365" s="128" t="s">
        <v>2377</v>
      </c>
      <c r="F1365" s="121" t="s">
        <v>1395</v>
      </c>
      <c r="G1365" s="254" t="s">
        <v>2322</v>
      </c>
      <c r="H1365" s="284" t="s">
        <v>5063</v>
      </c>
      <c r="I1365" s="285" t="s">
        <v>533</v>
      </c>
      <c r="J1365" s="286">
        <v>44287</v>
      </c>
      <c r="K1365" s="22"/>
    </row>
    <row r="1366" spans="1:11">
      <c r="A1366" s="241" t="s">
        <v>3096</v>
      </c>
      <c r="B1366" s="283">
        <v>70571</v>
      </c>
      <c r="C1366" s="133" t="s">
        <v>643</v>
      </c>
      <c r="D1366" s="167" t="s">
        <v>3079</v>
      </c>
      <c r="E1366" s="128" t="s">
        <v>2377</v>
      </c>
      <c r="F1366" s="121" t="s">
        <v>1395</v>
      </c>
      <c r="G1366" s="254" t="s">
        <v>2322</v>
      </c>
      <c r="H1366" s="284" t="s">
        <v>5063</v>
      </c>
      <c r="I1366" s="285" t="s">
        <v>533</v>
      </c>
      <c r="J1366" s="286">
        <v>44287</v>
      </c>
      <c r="K1366" s="22"/>
    </row>
    <row r="1367" spans="1:11">
      <c r="A1367" s="241" t="s">
        <v>4573</v>
      </c>
      <c r="B1367" s="283">
        <v>64541</v>
      </c>
      <c r="C1367" s="133" t="s">
        <v>643</v>
      </c>
      <c r="D1367" s="167" t="s">
        <v>3079</v>
      </c>
      <c r="E1367" s="128" t="s">
        <v>2377</v>
      </c>
      <c r="F1367" s="121" t="s">
        <v>1395</v>
      </c>
      <c r="G1367" s="254" t="s">
        <v>2322</v>
      </c>
      <c r="H1367" s="284" t="s">
        <v>5063</v>
      </c>
      <c r="I1367" s="285" t="s">
        <v>533</v>
      </c>
      <c r="J1367" s="286">
        <v>44287</v>
      </c>
      <c r="K1367" s="22"/>
    </row>
    <row r="1368" spans="1:11">
      <c r="A1368" s="241" t="s">
        <v>2839</v>
      </c>
      <c r="B1368" s="283">
        <v>3094</v>
      </c>
      <c r="C1368" s="133" t="s">
        <v>451</v>
      </c>
      <c r="D1368" s="167" t="s">
        <v>3079</v>
      </c>
      <c r="E1368" s="128" t="s">
        <v>2377</v>
      </c>
      <c r="F1368" s="121" t="s">
        <v>1395</v>
      </c>
      <c r="G1368" s="254" t="s">
        <v>2322</v>
      </c>
      <c r="H1368" s="284" t="s">
        <v>5063</v>
      </c>
      <c r="I1368" s="285" t="s">
        <v>533</v>
      </c>
      <c r="J1368" s="286">
        <v>44287</v>
      </c>
      <c r="K1368" s="22"/>
    </row>
    <row r="1369" spans="1:11">
      <c r="A1369" s="241" t="s">
        <v>4820</v>
      </c>
      <c r="B1369" s="283">
        <v>70681</v>
      </c>
      <c r="C1369" s="133" t="s">
        <v>643</v>
      </c>
      <c r="D1369" s="167" t="s">
        <v>3079</v>
      </c>
      <c r="E1369" s="128" t="s">
        <v>2377</v>
      </c>
      <c r="F1369" s="121" t="s">
        <v>1395</v>
      </c>
      <c r="G1369" s="254" t="s">
        <v>2322</v>
      </c>
      <c r="H1369" s="284" t="s">
        <v>5063</v>
      </c>
      <c r="I1369" s="285" t="s">
        <v>533</v>
      </c>
      <c r="J1369" s="286">
        <v>44287</v>
      </c>
      <c r="K1369" s="22"/>
    </row>
    <row r="1370" spans="1:11">
      <c r="A1370" s="241" t="s">
        <v>4822</v>
      </c>
      <c r="B1370" s="283">
        <v>70682</v>
      </c>
      <c r="C1370" s="133" t="s">
        <v>643</v>
      </c>
      <c r="D1370" s="167" t="s">
        <v>3079</v>
      </c>
      <c r="E1370" s="128" t="s">
        <v>2377</v>
      </c>
      <c r="F1370" s="121" t="s">
        <v>1395</v>
      </c>
      <c r="G1370" s="254" t="s">
        <v>2322</v>
      </c>
      <c r="H1370" s="284" t="s">
        <v>5063</v>
      </c>
      <c r="I1370" s="285" t="s">
        <v>533</v>
      </c>
      <c r="J1370" s="286">
        <v>44287</v>
      </c>
      <c r="K1370" s="22"/>
    </row>
    <row r="1371" spans="1:11">
      <c r="A1371" s="241" t="s">
        <v>4691</v>
      </c>
      <c r="B1371" s="283">
        <v>64691</v>
      </c>
      <c r="C1371" s="133" t="s">
        <v>643</v>
      </c>
      <c r="D1371" s="167" t="s">
        <v>3079</v>
      </c>
      <c r="E1371" s="128" t="s">
        <v>2377</v>
      </c>
      <c r="F1371" s="121" t="s">
        <v>1395</v>
      </c>
      <c r="G1371" s="254" t="s">
        <v>2322</v>
      </c>
      <c r="H1371" s="284" t="s">
        <v>5063</v>
      </c>
      <c r="I1371" s="285" t="s">
        <v>533</v>
      </c>
      <c r="J1371" s="286">
        <v>44287</v>
      </c>
      <c r="K1371" s="22"/>
    </row>
    <row r="1372" spans="1:11">
      <c r="A1372" s="241" t="s">
        <v>3895</v>
      </c>
      <c r="B1372" s="283">
        <v>1246</v>
      </c>
      <c r="C1372" s="133" t="s">
        <v>1585</v>
      </c>
      <c r="D1372" s="167" t="s">
        <v>3079</v>
      </c>
      <c r="E1372" s="128" t="s">
        <v>2377</v>
      </c>
      <c r="F1372" s="121" t="s">
        <v>1395</v>
      </c>
      <c r="G1372" s="254" t="s">
        <v>2322</v>
      </c>
      <c r="H1372" s="284" t="s">
        <v>5063</v>
      </c>
      <c r="I1372" s="285" t="s">
        <v>533</v>
      </c>
      <c r="J1372" s="286">
        <v>44287</v>
      </c>
      <c r="K1372" s="22"/>
    </row>
    <row r="1373" spans="1:11">
      <c r="A1373" s="241" t="s">
        <v>3056</v>
      </c>
      <c r="B1373" s="283">
        <v>289</v>
      </c>
      <c r="C1373" s="133" t="s">
        <v>1339</v>
      </c>
      <c r="D1373" s="167" t="s">
        <v>3079</v>
      </c>
      <c r="E1373" s="128" t="s">
        <v>2377</v>
      </c>
      <c r="F1373" s="121" t="s">
        <v>1395</v>
      </c>
      <c r="G1373" s="254" t="s">
        <v>2322</v>
      </c>
      <c r="H1373" s="284" t="s">
        <v>5063</v>
      </c>
      <c r="I1373" s="285" t="s">
        <v>533</v>
      </c>
      <c r="J1373" s="286">
        <v>44287</v>
      </c>
      <c r="K1373" s="22"/>
    </row>
    <row r="1374" spans="1:11">
      <c r="A1374" s="241" t="s">
        <v>3883</v>
      </c>
      <c r="B1374" s="283">
        <v>1205</v>
      </c>
      <c r="C1374" s="133" t="s">
        <v>2037</v>
      </c>
      <c r="D1374" s="167" t="s">
        <v>3079</v>
      </c>
      <c r="E1374" s="128" t="s">
        <v>2377</v>
      </c>
      <c r="F1374" s="121" t="s">
        <v>1395</v>
      </c>
      <c r="G1374" s="254" t="s">
        <v>2322</v>
      </c>
      <c r="H1374" s="284" t="s">
        <v>5063</v>
      </c>
      <c r="I1374" s="285" t="s">
        <v>533</v>
      </c>
      <c r="J1374" s="286">
        <v>44287</v>
      </c>
      <c r="K1374" s="22"/>
    </row>
    <row r="1375" spans="1:11">
      <c r="A1375" s="241" t="s">
        <v>3521</v>
      </c>
      <c r="B1375" s="283">
        <v>1029</v>
      </c>
      <c r="C1375" s="133" t="s">
        <v>223</v>
      </c>
      <c r="D1375" s="167" t="s">
        <v>3079</v>
      </c>
      <c r="E1375" s="128" t="s">
        <v>2377</v>
      </c>
      <c r="F1375" s="121" t="s">
        <v>1395</v>
      </c>
      <c r="G1375" s="254" t="s">
        <v>2322</v>
      </c>
      <c r="H1375" s="284" t="s">
        <v>5063</v>
      </c>
      <c r="I1375" s="285" t="s">
        <v>533</v>
      </c>
      <c r="J1375" s="286">
        <v>44287</v>
      </c>
      <c r="K1375" s="22"/>
    </row>
    <row r="1376" spans="1:11">
      <c r="A1376" s="241" t="s">
        <v>2955</v>
      </c>
      <c r="B1376" s="283">
        <v>2922</v>
      </c>
      <c r="C1376" s="133" t="s">
        <v>451</v>
      </c>
      <c r="D1376" s="167" t="s">
        <v>3079</v>
      </c>
      <c r="E1376" s="128" t="s">
        <v>2377</v>
      </c>
      <c r="F1376" s="121" t="s">
        <v>1395</v>
      </c>
      <c r="G1376" s="254" t="s">
        <v>2322</v>
      </c>
      <c r="H1376" s="284" t="s">
        <v>5063</v>
      </c>
      <c r="I1376" s="285" t="s">
        <v>533</v>
      </c>
      <c r="J1376" s="286">
        <v>44287</v>
      </c>
      <c r="K1376" s="22"/>
    </row>
    <row r="1377" spans="1:11">
      <c r="A1377" s="241" t="s">
        <v>4390</v>
      </c>
      <c r="B1377" s="283">
        <v>3046</v>
      </c>
      <c r="C1377" s="133" t="s">
        <v>451</v>
      </c>
      <c r="D1377" s="167" t="s">
        <v>3079</v>
      </c>
      <c r="E1377" s="128" t="s">
        <v>2377</v>
      </c>
      <c r="F1377" s="121" t="s">
        <v>1395</v>
      </c>
      <c r="G1377" s="254" t="s">
        <v>2322</v>
      </c>
      <c r="H1377" s="284" t="s">
        <v>5063</v>
      </c>
      <c r="I1377" s="285" t="s">
        <v>533</v>
      </c>
      <c r="J1377" s="286">
        <v>44287</v>
      </c>
      <c r="K1377" s="22"/>
    </row>
    <row r="1378" spans="1:11">
      <c r="A1378" s="241" t="s">
        <v>3876</v>
      </c>
      <c r="B1378" s="283">
        <v>1177</v>
      </c>
      <c r="C1378" s="133" t="s">
        <v>451</v>
      </c>
      <c r="D1378" s="167" t="s">
        <v>2283</v>
      </c>
      <c r="E1378" s="128" t="s">
        <v>2448</v>
      </c>
      <c r="F1378" s="121" t="s">
        <v>1907</v>
      </c>
      <c r="G1378" s="254" t="s">
        <v>2322</v>
      </c>
      <c r="H1378" s="284" t="s">
        <v>5063</v>
      </c>
      <c r="I1378" s="285" t="s">
        <v>533</v>
      </c>
      <c r="J1378" s="286">
        <v>44287</v>
      </c>
      <c r="K1378" s="22"/>
    </row>
    <row r="1379" spans="1:11">
      <c r="A1379" s="241" t="s">
        <v>5027</v>
      </c>
      <c r="B1379" s="283">
        <v>70737</v>
      </c>
      <c r="C1379" s="133" t="s">
        <v>643</v>
      </c>
      <c r="D1379" s="167" t="s">
        <v>3079</v>
      </c>
      <c r="E1379" s="128" t="s">
        <v>2377</v>
      </c>
      <c r="F1379" s="121" t="s">
        <v>1395</v>
      </c>
      <c r="G1379" s="254" t="s">
        <v>2322</v>
      </c>
      <c r="H1379" s="284" t="s">
        <v>5063</v>
      </c>
      <c r="I1379" s="285" t="s">
        <v>533</v>
      </c>
      <c r="J1379" s="286">
        <v>44287</v>
      </c>
      <c r="K1379" s="22"/>
    </row>
    <row r="1380" spans="1:11">
      <c r="A1380" s="241" t="s">
        <v>5028</v>
      </c>
      <c r="B1380" s="283">
        <v>70738</v>
      </c>
      <c r="C1380" s="133" t="s">
        <v>643</v>
      </c>
      <c r="D1380" s="167" t="s">
        <v>3079</v>
      </c>
      <c r="E1380" s="128" t="s">
        <v>2377</v>
      </c>
      <c r="F1380" s="121" t="s">
        <v>1395</v>
      </c>
      <c r="G1380" s="254" t="s">
        <v>2322</v>
      </c>
      <c r="H1380" s="284" t="s">
        <v>5063</v>
      </c>
      <c r="I1380" s="285" t="s">
        <v>533</v>
      </c>
      <c r="J1380" s="286">
        <v>44287</v>
      </c>
      <c r="K1380" s="22"/>
    </row>
    <row r="1381" spans="1:11">
      <c r="A1381" s="241" t="s">
        <v>5030</v>
      </c>
      <c r="B1381" s="283">
        <v>70739</v>
      </c>
      <c r="C1381" s="133" t="s">
        <v>643</v>
      </c>
      <c r="D1381" s="167" t="s">
        <v>3079</v>
      </c>
      <c r="E1381" s="128" t="s">
        <v>2377</v>
      </c>
      <c r="F1381" s="121" t="s">
        <v>1395</v>
      </c>
      <c r="G1381" s="254" t="s">
        <v>2322</v>
      </c>
      <c r="H1381" s="284" t="s">
        <v>5063</v>
      </c>
      <c r="I1381" s="285" t="s">
        <v>533</v>
      </c>
      <c r="J1381" s="286">
        <v>44287</v>
      </c>
      <c r="K1381" s="22"/>
    </row>
    <row r="1382" spans="1:11">
      <c r="A1382" s="241" t="s">
        <v>3484</v>
      </c>
      <c r="B1382" s="283">
        <v>3258</v>
      </c>
      <c r="C1382" s="133" t="s">
        <v>451</v>
      </c>
      <c r="D1382" s="167" t="s">
        <v>3079</v>
      </c>
      <c r="E1382" s="128" t="s">
        <v>2377</v>
      </c>
      <c r="F1382" s="121" t="s">
        <v>1395</v>
      </c>
      <c r="G1382" s="254" t="s">
        <v>2322</v>
      </c>
      <c r="H1382" s="284" t="s">
        <v>5063</v>
      </c>
      <c r="I1382" s="285" t="s">
        <v>533</v>
      </c>
      <c r="J1382" s="286">
        <v>44287</v>
      </c>
      <c r="K1382" s="22"/>
    </row>
    <row r="1383" spans="1:11">
      <c r="A1383" s="241" t="s">
        <v>5071</v>
      </c>
      <c r="B1383" s="287">
        <v>64717</v>
      </c>
      <c r="C1383" s="133" t="s">
        <v>643</v>
      </c>
      <c r="D1383" s="167" t="s">
        <v>5074</v>
      </c>
      <c r="E1383" s="128" t="s">
        <v>2378</v>
      </c>
      <c r="F1383" s="121" t="s">
        <v>544</v>
      </c>
      <c r="G1383" s="254" t="s">
        <v>3079</v>
      </c>
      <c r="H1383" s="134" t="s">
        <v>5063</v>
      </c>
      <c r="I1383" s="136" t="s">
        <v>533</v>
      </c>
      <c r="J1383" s="135">
        <v>44287</v>
      </c>
      <c r="K1383" s="22"/>
    </row>
    <row r="1384" spans="1:11">
      <c r="A1384" s="241" t="s">
        <v>5072</v>
      </c>
      <c r="B1384" s="287">
        <v>64719</v>
      </c>
      <c r="C1384" s="133" t="s">
        <v>643</v>
      </c>
      <c r="D1384" s="167" t="s">
        <v>5074</v>
      </c>
      <c r="E1384" s="128" t="s">
        <v>2378</v>
      </c>
      <c r="F1384" s="121" t="s">
        <v>544</v>
      </c>
      <c r="G1384" s="254" t="s">
        <v>3079</v>
      </c>
      <c r="H1384" s="134" t="s">
        <v>5063</v>
      </c>
      <c r="I1384" s="136" t="s">
        <v>533</v>
      </c>
      <c r="J1384" s="135">
        <v>44287</v>
      </c>
      <c r="K1384" s="22"/>
    </row>
    <row r="1385" spans="1:11">
      <c r="A1385" s="241" t="s">
        <v>5073</v>
      </c>
      <c r="B1385" s="287">
        <v>64720</v>
      </c>
      <c r="C1385" s="133" t="s">
        <v>643</v>
      </c>
      <c r="D1385" s="167" t="s">
        <v>5074</v>
      </c>
      <c r="E1385" s="128" t="s">
        <v>2378</v>
      </c>
      <c r="F1385" s="121" t="s">
        <v>544</v>
      </c>
      <c r="G1385" s="254" t="s">
        <v>3079</v>
      </c>
      <c r="H1385" s="134" t="s">
        <v>5063</v>
      </c>
      <c r="I1385" s="136" t="s">
        <v>533</v>
      </c>
      <c r="J1385" s="135">
        <v>44287</v>
      </c>
      <c r="K1385" s="22"/>
    </row>
    <row r="1386" spans="1:11">
      <c r="A1386" s="241" t="s">
        <v>3074</v>
      </c>
      <c r="B1386" s="289">
        <v>457</v>
      </c>
      <c r="C1386" s="133" t="s">
        <v>1585</v>
      </c>
      <c r="D1386" s="167" t="s">
        <v>1324</v>
      </c>
      <c r="E1386" s="128" t="s">
        <v>601</v>
      </c>
      <c r="F1386" s="121" t="s">
        <v>2064</v>
      </c>
      <c r="G1386" s="254" t="s">
        <v>501</v>
      </c>
      <c r="H1386" s="290" t="s">
        <v>1214</v>
      </c>
      <c r="I1386" s="292" t="s">
        <v>1379</v>
      </c>
      <c r="J1386" s="291">
        <v>44292</v>
      </c>
      <c r="K1386" s="22"/>
    </row>
    <row r="1387" spans="1:11">
      <c r="A1387" s="241" t="s">
        <v>2109</v>
      </c>
      <c r="B1387" s="289">
        <v>2921</v>
      </c>
      <c r="C1387" s="133" t="s">
        <v>451</v>
      </c>
      <c r="D1387" s="167" t="s">
        <v>1324</v>
      </c>
      <c r="E1387" s="128" t="s">
        <v>771</v>
      </c>
      <c r="F1387" s="121" t="s">
        <v>1379</v>
      </c>
      <c r="G1387" s="254" t="s">
        <v>501</v>
      </c>
      <c r="H1387" s="290" t="s">
        <v>1214</v>
      </c>
      <c r="I1387" s="292" t="s">
        <v>1379</v>
      </c>
      <c r="J1387" s="291">
        <v>44292</v>
      </c>
      <c r="K1387" s="22"/>
    </row>
    <row r="1388" spans="1:11">
      <c r="A1388" s="241" t="s">
        <v>3043</v>
      </c>
      <c r="B1388" s="289">
        <v>64560</v>
      </c>
      <c r="C1388" s="133" t="s">
        <v>643</v>
      </c>
      <c r="D1388" s="167" t="s">
        <v>1324</v>
      </c>
      <c r="E1388" s="128" t="s">
        <v>601</v>
      </c>
      <c r="F1388" s="121" t="s">
        <v>2064</v>
      </c>
      <c r="G1388" s="254" t="s">
        <v>501</v>
      </c>
      <c r="H1388" s="290" t="s">
        <v>1214</v>
      </c>
      <c r="I1388" s="292" t="s">
        <v>1379</v>
      </c>
      <c r="J1388" s="291">
        <v>44292</v>
      </c>
      <c r="K1388" s="22"/>
    </row>
    <row r="1389" spans="1:11">
      <c r="A1389" s="241" t="s">
        <v>3488</v>
      </c>
      <c r="B1389" s="123">
        <v>2306</v>
      </c>
      <c r="C1389" s="133" t="s">
        <v>2037</v>
      </c>
      <c r="D1389" s="167" t="s">
        <v>450</v>
      </c>
      <c r="E1389" s="128" t="s">
        <v>3317</v>
      </c>
      <c r="F1389" s="121" t="s">
        <v>1909</v>
      </c>
      <c r="G1389" s="254" t="s">
        <v>450</v>
      </c>
      <c r="H1389" s="134" t="s">
        <v>2402</v>
      </c>
      <c r="I1389" s="136" t="s">
        <v>4047</v>
      </c>
      <c r="J1389" s="135">
        <v>44287</v>
      </c>
      <c r="K1389" s="22"/>
    </row>
    <row r="1390" spans="1:11">
      <c r="A1390" s="241" t="s">
        <v>3489</v>
      </c>
      <c r="B1390" s="123">
        <v>917</v>
      </c>
      <c r="C1390" s="133" t="s">
        <v>2037</v>
      </c>
      <c r="D1390" s="167" t="s">
        <v>450</v>
      </c>
      <c r="E1390" s="128" t="s">
        <v>3317</v>
      </c>
      <c r="F1390" s="121" t="s">
        <v>1909</v>
      </c>
      <c r="G1390" s="254" t="s">
        <v>450</v>
      </c>
      <c r="H1390" s="134" t="s">
        <v>2402</v>
      </c>
      <c r="I1390" s="136" t="s">
        <v>4047</v>
      </c>
      <c r="J1390" s="135">
        <v>44287</v>
      </c>
      <c r="K1390" s="22"/>
    </row>
    <row r="1391" spans="1:11">
      <c r="A1391" s="241" t="s">
        <v>4632</v>
      </c>
      <c r="B1391" s="123">
        <v>64647</v>
      </c>
      <c r="C1391" s="133" t="s">
        <v>643</v>
      </c>
      <c r="D1391" s="167" t="s">
        <v>450</v>
      </c>
      <c r="E1391" s="128" t="s">
        <v>3317</v>
      </c>
      <c r="F1391" s="121" t="s">
        <v>1909</v>
      </c>
      <c r="G1391" s="254" t="s">
        <v>450</v>
      </c>
      <c r="H1391" s="134" t="s">
        <v>2402</v>
      </c>
      <c r="I1391" s="136" t="s">
        <v>4047</v>
      </c>
      <c r="J1391" s="135">
        <v>44287</v>
      </c>
      <c r="K1391" s="22"/>
    </row>
    <row r="1392" spans="1:11">
      <c r="A1392" s="241" t="s">
        <v>4633</v>
      </c>
      <c r="B1392" s="123">
        <v>64649</v>
      </c>
      <c r="C1392" s="133" t="s">
        <v>643</v>
      </c>
      <c r="D1392" s="167" t="s">
        <v>450</v>
      </c>
      <c r="E1392" s="128" t="s">
        <v>3317</v>
      </c>
      <c r="F1392" s="121" t="s">
        <v>1909</v>
      </c>
      <c r="G1392" s="254" t="s">
        <v>450</v>
      </c>
      <c r="H1392" s="134" t="s">
        <v>2402</v>
      </c>
      <c r="I1392" s="136" t="s">
        <v>4047</v>
      </c>
      <c r="J1392" s="135">
        <v>44287</v>
      </c>
      <c r="K1392" s="22"/>
    </row>
    <row r="1393" spans="1:11">
      <c r="A1393" s="241" t="s">
        <v>4762</v>
      </c>
      <c r="B1393" s="123">
        <v>70650</v>
      </c>
      <c r="C1393" s="133" t="s">
        <v>643</v>
      </c>
      <c r="D1393" s="167" t="s">
        <v>450</v>
      </c>
      <c r="E1393" s="128" t="s">
        <v>3317</v>
      </c>
      <c r="F1393" s="121" t="s">
        <v>1909</v>
      </c>
      <c r="G1393" s="254" t="s">
        <v>450</v>
      </c>
      <c r="H1393" s="134" t="s">
        <v>2402</v>
      </c>
      <c r="I1393" s="136" t="s">
        <v>4047</v>
      </c>
      <c r="J1393" s="135">
        <v>44287</v>
      </c>
      <c r="K1393" s="22"/>
    </row>
    <row r="1394" spans="1:11">
      <c r="A1394" s="241" t="s">
        <v>4763</v>
      </c>
      <c r="B1394" s="123">
        <v>70651</v>
      </c>
      <c r="C1394" s="133" t="s">
        <v>643</v>
      </c>
      <c r="D1394" s="167" t="s">
        <v>450</v>
      </c>
      <c r="E1394" s="128" t="s">
        <v>3317</v>
      </c>
      <c r="F1394" s="121" t="s">
        <v>1909</v>
      </c>
      <c r="G1394" s="254" t="s">
        <v>450</v>
      </c>
      <c r="H1394" s="134" t="s">
        <v>2402</v>
      </c>
      <c r="I1394" s="136" t="s">
        <v>4047</v>
      </c>
      <c r="J1394" s="135">
        <v>44287</v>
      </c>
      <c r="K1394" s="22"/>
    </row>
    <row r="1395" spans="1:11">
      <c r="A1395" s="241" t="s">
        <v>4773</v>
      </c>
      <c r="B1395" s="123">
        <v>70655</v>
      </c>
      <c r="C1395" s="133" t="s">
        <v>643</v>
      </c>
      <c r="D1395" s="167" t="s">
        <v>450</v>
      </c>
      <c r="E1395" s="128" t="s">
        <v>3317</v>
      </c>
      <c r="F1395" s="121" t="s">
        <v>1909</v>
      </c>
      <c r="G1395" s="254" t="s">
        <v>450</v>
      </c>
      <c r="H1395" s="134" t="s">
        <v>2402</v>
      </c>
      <c r="I1395" s="136" t="s">
        <v>4047</v>
      </c>
      <c r="J1395" s="135">
        <v>44287</v>
      </c>
      <c r="K1395" s="22"/>
    </row>
    <row r="1396" spans="1:11">
      <c r="A1396" s="241" t="s">
        <v>4775</v>
      </c>
      <c r="B1396" s="123">
        <v>70656</v>
      </c>
      <c r="C1396" s="133" t="s">
        <v>643</v>
      </c>
      <c r="D1396" s="167" t="s">
        <v>450</v>
      </c>
      <c r="E1396" s="128" t="s">
        <v>3317</v>
      </c>
      <c r="F1396" s="121" t="s">
        <v>1909</v>
      </c>
      <c r="G1396" s="254" t="s">
        <v>450</v>
      </c>
      <c r="H1396" s="134" t="s">
        <v>2402</v>
      </c>
      <c r="I1396" s="136" t="s">
        <v>4047</v>
      </c>
      <c r="J1396" s="135">
        <v>44287</v>
      </c>
      <c r="K1396" s="22"/>
    </row>
    <row r="1397" spans="1:11">
      <c r="A1397" s="241" t="s">
        <v>1911</v>
      </c>
      <c r="B1397" s="123">
        <v>339</v>
      </c>
      <c r="C1397" s="133" t="s">
        <v>1321</v>
      </c>
      <c r="D1397" s="167" t="s">
        <v>450</v>
      </c>
      <c r="E1397" s="128" t="s">
        <v>2402</v>
      </c>
      <c r="F1397" s="121" t="s">
        <v>1909</v>
      </c>
      <c r="G1397" s="254" t="s">
        <v>450</v>
      </c>
      <c r="H1397" s="134" t="s">
        <v>1609</v>
      </c>
      <c r="I1397" s="136" t="s">
        <v>1909</v>
      </c>
      <c r="J1397" s="135">
        <v>44287</v>
      </c>
      <c r="K1397" s="22"/>
    </row>
    <row r="1398" spans="1:11">
      <c r="A1398" s="241" t="s">
        <v>3090</v>
      </c>
      <c r="B1398" s="123">
        <v>70608</v>
      </c>
      <c r="C1398" s="133" t="s">
        <v>643</v>
      </c>
      <c r="D1398" s="167" t="s">
        <v>450</v>
      </c>
      <c r="E1398" s="128" t="s">
        <v>3317</v>
      </c>
      <c r="F1398" s="121" t="s">
        <v>1909</v>
      </c>
      <c r="G1398" s="254" t="s">
        <v>450</v>
      </c>
      <c r="H1398" s="134" t="s">
        <v>1609</v>
      </c>
      <c r="I1398" s="136" t="s">
        <v>1909</v>
      </c>
      <c r="J1398" s="135">
        <v>44287</v>
      </c>
      <c r="K1398" s="22"/>
    </row>
    <row r="1399" spans="1:11">
      <c r="A1399" s="241" t="s">
        <v>3417</v>
      </c>
      <c r="B1399" s="123">
        <v>621</v>
      </c>
      <c r="C1399" s="133" t="s">
        <v>451</v>
      </c>
      <c r="D1399" s="167" t="s">
        <v>450</v>
      </c>
      <c r="E1399" s="128" t="s">
        <v>3317</v>
      </c>
      <c r="F1399" s="121" t="s">
        <v>1909</v>
      </c>
      <c r="G1399" s="254" t="s">
        <v>450</v>
      </c>
      <c r="H1399" s="134" t="s">
        <v>1609</v>
      </c>
      <c r="I1399" s="136" t="s">
        <v>1909</v>
      </c>
      <c r="J1399" s="135">
        <v>44287</v>
      </c>
      <c r="K1399" s="22"/>
    </row>
    <row r="1400" spans="1:11">
      <c r="A1400" s="241" t="s">
        <v>4634</v>
      </c>
      <c r="B1400" s="123">
        <v>64650</v>
      </c>
      <c r="C1400" s="133" t="s">
        <v>643</v>
      </c>
      <c r="D1400" s="167" t="s">
        <v>450</v>
      </c>
      <c r="E1400" s="128" t="s">
        <v>3317</v>
      </c>
      <c r="F1400" s="121" t="s">
        <v>1909</v>
      </c>
      <c r="G1400" s="254" t="s">
        <v>450</v>
      </c>
      <c r="H1400" s="134" t="s">
        <v>1609</v>
      </c>
      <c r="I1400" s="136" t="s">
        <v>1909</v>
      </c>
      <c r="J1400" s="135">
        <v>44287</v>
      </c>
      <c r="K1400" s="22"/>
    </row>
    <row r="1401" spans="1:11">
      <c r="A1401" s="241" t="s">
        <v>4707</v>
      </c>
      <c r="B1401" s="123">
        <v>64702</v>
      </c>
      <c r="C1401" s="133" t="s">
        <v>643</v>
      </c>
      <c r="D1401" s="167" t="s">
        <v>450</v>
      </c>
      <c r="E1401" s="128" t="s">
        <v>3317</v>
      </c>
      <c r="F1401" s="121" t="s">
        <v>1909</v>
      </c>
      <c r="G1401" s="254" t="s">
        <v>450</v>
      </c>
      <c r="H1401" s="134" t="s">
        <v>1609</v>
      </c>
      <c r="I1401" s="136" t="s">
        <v>1909</v>
      </c>
      <c r="J1401" s="135">
        <v>44287</v>
      </c>
      <c r="K1401" s="22"/>
    </row>
    <row r="1402" spans="1:11">
      <c r="A1402" s="241" t="s">
        <v>4657</v>
      </c>
      <c r="B1402" s="123">
        <v>64669</v>
      </c>
      <c r="C1402" s="133" t="s">
        <v>643</v>
      </c>
      <c r="D1402" s="167" t="s">
        <v>450</v>
      </c>
      <c r="E1402" s="128" t="s">
        <v>3317</v>
      </c>
      <c r="F1402" s="121" t="s">
        <v>1909</v>
      </c>
      <c r="G1402" s="254" t="s">
        <v>450</v>
      </c>
      <c r="H1402" s="134" t="s">
        <v>1609</v>
      </c>
      <c r="I1402" s="136" t="s">
        <v>1909</v>
      </c>
      <c r="J1402" s="135">
        <v>44287</v>
      </c>
      <c r="K1402" s="22"/>
    </row>
    <row r="1403" spans="1:11">
      <c r="A1403" s="241" t="s">
        <v>4638</v>
      </c>
      <c r="B1403" s="123">
        <v>64653</v>
      </c>
      <c r="C1403" s="133" t="s">
        <v>643</v>
      </c>
      <c r="D1403" s="167" t="s">
        <v>450</v>
      </c>
      <c r="E1403" s="128" t="s">
        <v>3317</v>
      </c>
      <c r="F1403" s="121" t="s">
        <v>1909</v>
      </c>
      <c r="G1403" s="254" t="s">
        <v>450</v>
      </c>
      <c r="H1403" s="134" t="s">
        <v>1609</v>
      </c>
      <c r="I1403" s="136" t="s">
        <v>1909</v>
      </c>
      <c r="J1403" s="135">
        <v>44287</v>
      </c>
      <c r="K1403" s="22"/>
    </row>
    <row r="1404" spans="1:11">
      <c r="A1404" s="241" t="s">
        <v>4760</v>
      </c>
      <c r="B1404" s="123">
        <v>70647</v>
      </c>
      <c r="C1404" s="133" t="s">
        <v>643</v>
      </c>
      <c r="D1404" s="167" t="s">
        <v>450</v>
      </c>
      <c r="E1404" s="128" t="s">
        <v>3317</v>
      </c>
      <c r="F1404" s="121" t="s">
        <v>1909</v>
      </c>
      <c r="G1404" s="254" t="s">
        <v>450</v>
      </c>
      <c r="H1404" s="134" t="s">
        <v>1609</v>
      </c>
      <c r="I1404" s="136" t="s">
        <v>1909</v>
      </c>
      <c r="J1404" s="135">
        <v>44287</v>
      </c>
      <c r="K1404" s="22"/>
    </row>
    <row r="1405" spans="1:11">
      <c r="A1405" s="241" t="s">
        <v>3487</v>
      </c>
      <c r="B1405" s="123">
        <v>1323</v>
      </c>
      <c r="C1405" s="133" t="s">
        <v>1339</v>
      </c>
      <c r="D1405" s="167" t="s">
        <v>450</v>
      </c>
      <c r="E1405" s="128" t="s">
        <v>3317</v>
      </c>
      <c r="F1405" s="121" t="s">
        <v>1909</v>
      </c>
      <c r="G1405" s="254" t="s">
        <v>450</v>
      </c>
      <c r="H1405" s="134" t="s">
        <v>1609</v>
      </c>
      <c r="I1405" s="136" t="s">
        <v>1909</v>
      </c>
      <c r="J1405" s="135">
        <v>44287</v>
      </c>
      <c r="K1405" s="22"/>
    </row>
    <row r="1406" spans="1:11">
      <c r="A1406" s="241" t="s">
        <v>4649</v>
      </c>
      <c r="B1406" s="123">
        <v>64663</v>
      </c>
      <c r="C1406" s="133" t="s">
        <v>643</v>
      </c>
      <c r="D1406" s="167" t="s">
        <v>450</v>
      </c>
      <c r="E1406" s="128" t="s">
        <v>3317</v>
      </c>
      <c r="F1406" s="121" t="s">
        <v>1909</v>
      </c>
      <c r="G1406" s="254" t="s">
        <v>450</v>
      </c>
      <c r="H1406" s="134" t="s">
        <v>1609</v>
      </c>
      <c r="I1406" s="136" t="s">
        <v>1909</v>
      </c>
      <c r="J1406" s="135">
        <v>44287</v>
      </c>
      <c r="K1406" s="22"/>
    </row>
    <row r="1407" spans="1:11">
      <c r="A1407" s="241" t="s">
        <v>3981</v>
      </c>
      <c r="B1407" s="123">
        <v>1538</v>
      </c>
      <c r="C1407" s="133" t="s">
        <v>1339</v>
      </c>
      <c r="D1407" s="167" t="s">
        <v>450</v>
      </c>
      <c r="E1407" s="128" t="s">
        <v>1608</v>
      </c>
      <c r="F1407" s="121" t="s">
        <v>1560</v>
      </c>
      <c r="G1407" s="254" t="s">
        <v>450</v>
      </c>
      <c r="H1407" s="134" t="s">
        <v>2979</v>
      </c>
      <c r="I1407" s="136" t="s">
        <v>2474</v>
      </c>
      <c r="J1407" s="135">
        <v>44287</v>
      </c>
      <c r="K1407" s="22"/>
    </row>
    <row r="1408" spans="1:11">
      <c r="A1408" s="241" t="s">
        <v>1389</v>
      </c>
      <c r="B1408" s="123">
        <v>1242</v>
      </c>
      <c r="C1408" s="133" t="s">
        <v>1321</v>
      </c>
      <c r="D1408" s="167" t="s">
        <v>1044</v>
      </c>
      <c r="E1408" s="128" t="s">
        <v>772</v>
      </c>
      <c r="F1408" s="121" t="s">
        <v>1921</v>
      </c>
      <c r="G1408" s="254" t="s">
        <v>1260</v>
      </c>
      <c r="H1408" s="293" t="s">
        <v>1006</v>
      </c>
      <c r="I1408" s="294" t="s">
        <v>1877</v>
      </c>
      <c r="J1408" s="295">
        <v>44287</v>
      </c>
      <c r="K1408" s="22"/>
    </row>
    <row r="1409" spans="1:11">
      <c r="A1409" s="241" t="s">
        <v>3565</v>
      </c>
      <c r="B1409" s="123">
        <v>153</v>
      </c>
      <c r="C1409" s="133" t="s">
        <v>1321</v>
      </c>
      <c r="D1409" s="167" t="s">
        <v>1829</v>
      </c>
      <c r="E1409" s="128" t="s">
        <v>233</v>
      </c>
      <c r="F1409" s="121" t="s">
        <v>2071</v>
      </c>
      <c r="G1409" s="254" t="s">
        <v>3079</v>
      </c>
      <c r="H1409" s="296" t="s">
        <v>2328</v>
      </c>
      <c r="I1409" s="297" t="s">
        <v>533</v>
      </c>
      <c r="J1409" s="298">
        <v>44287</v>
      </c>
      <c r="K1409" s="22"/>
    </row>
    <row r="1410" spans="1:11">
      <c r="A1410" s="241" t="s">
        <v>1884</v>
      </c>
      <c r="B1410" s="123">
        <v>24</v>
      </c>
      <c r="C1410" s="133" t="s">
        <v>1322</v>
      </c>
      <c r="D1410" s="167" t="s">
        <v>2629</v>
      </c>
      <c r="E1410" s="128" t="s">
        <v>1006</v>
      </c>
      <c r="F1410" s="121" t="s">
        <v>1877</v>
      </c>
      <c r="G1410" s="254" t="s">
        <v>1222</v>
      </c>
      <c r="H1410" s="134" t="s">
        <v>569</v>
      </c>
      <c r="I1410" s="136" t="s">
        <v>1896</v>
      </c>
      <c r="J1410" s="135">
        <v>44287</v>
      </c>
      <c r="K1410" s="22"/>
    </row>
    <row r="1411" spans="1:11">
      <c r="A1411" s="241" t="s">
        <v>4456</v>
      </c>
      <c r="B1411" s="123">
        <v>3150</v>
      </c>
      <c r="C1411" s="133" t="s">
        <v>451</v>
      </c>
      <c r="D1411" s="167" t="s">
        <v>2283</v>
      </c>
      <c r="E1411" s="128" t="s">
        <v>2325</v>
      </c>
      <c r="F1411" s="121" t="s">
        <v>1912</v>
      </c>
      <c r="G1411" s="254" t="s">
        <v>3079</v>
      </c>
      <c r="H1411" s="134" t="s">
        <v>2686</v>
      </c>
      <c r="I1411" s="136" t="s">
        <v>529</v>
      </c>
      <c r="J1411" s="135">
        <v>44298</v>
      </c>
      <c r="K1411" s="22"/>
    </row>
    <row r="1412" spans="1:11">
      <c r="A1412" s="241" t="s">
        <v>4743</v>
      </c>
      <c r="B1412" s="123">
        <v>70615</v>
      </c>
      <c r="C1412" s="133" t="s">
        <v>643</v>
      </c>
      <c r="D1412" s="167" t="s">
        <v>2283</v>
      </c>
      <c r="E1412" s="128" t="s">
        <v>2323</v>
      </c>
      <c r="F1412" s="121" t="s">
        <v>1904</v>
      </c>
      <c r="G1412" s="254" t="s">
        <v>3079</v>
      </c>
      <c r="H1412" s="134" t="s">
        <v>2675</v>
      </c>
      <c r="I1412" s="136" t="s">
        <v>339</v>
      </c>
      <c r="J1412" s="135">
        <v>44298</v>
      </c>
      <c r="K1412" s="22"/>
    </row>
    <row r="1413" spans="1:11">
      <c r="A1413" s="241" t="s">
        <v>4092</v>
      </c>
      <c r="B1413" s="123">
        <v>1915</v>
      </c>
      <c r="C1413" s="133" t="s">
        <v>223</v>
      </c>
      <c r="D1413" s="167" t="s">
        <v>2283</v>
      </c>
      <c r="E1413" s="128" t="s">
        <v>2324</v>
      </c>
      <c r="F1413" s="121" t="s">
        <v>2326</v>
      </c>
      <c r="G1413" s="254" t="s">
        <v>3079</v>
      </c>
      <c r="H1413" s="134" t="s">
        <v>2735</v>
      </c>
      <c r="I1413" s="136" t="s">
        <v>2488</v>
      </c>
      <c r="J1413" s="135">
        <v>44298</v>
      </c>
      <c r="K1413" s="22"/>
    </row>
    <row r="1414" spans="1:11">
      <c r="A1414" s="241" t="s">
        <v>4367</v>
      </c>
      <c r="B1414" s="123">
        <v>3008</v>
      </c>
      <c r="C1414" s="133" t="s">
        <v>451</v>
      </c>
      <c r="D1414" s="167" t="s">
        <v>2588</v>
      </c>
      <c r="E1414" s="128" t="s">
        <v>2765</v>
      </c>
      <c r="F1414" s="121" t="s">
        <v>1380</v>
      </c>
      <c r="G1414" s="254" t="s">
        <v>2588</v>
      </c>
      <c r="H1414" s="134" t="s">
        <v>2944</v>
      </c>
      <c r="I1414" s="136" t="s">
        <v>1555</v>
      </c>
      <c r="J1414" s="135">
        <v>44305</v>
      </c>
      <c r="K1414" s="22"/>
    </row>
    <row r="1415" spans="1:11">
      <c r="A1415" s="241" t="s">
        <v>3999</v>
      </c>
      <c r="B1415" s="123">
        <v>1615</v>
      </c>
      <c r="C1415" s="133" t="s">
        <v>451</v>
      </c>
      <c r="D1415" s="167" t="s">
        <v>2014</v>
      </c>
      <c r="E1415" s="128" t="s">
        <v>1090</v>
      </c>
      <c r="F1415" s="121" t="s">
        <v>3909</v>
      </c>
      <c r="G1415" s="254" t="s">
        <v>2322</v>
      </c>
      <c r="H1415" s="299" t="s">
        <v>5063</v>
      </c>
      <c r="I1415" s="304" t="s">
        <v>533</v>
      </c>
      <c r="J1415" s="300">
        <v>44292</v>
      </c>
      <c r="K1415" s="22"/>
    </row>
    <row r="1416" spans="1:11">
      <c r="A1416" s="241" t="s">
        <v>4547</v>
      </c>
      <c r="B1416" s="123">
        <v>64466</v>
      </c>
      <c r="C1416" s="133" t="s">
        <v>643</v>
      </c>
      <c r="D1416" s="167" t="s">
        <v>2014</v>
      </c>
      <c r="E1416" s="128" t="s">
        <v>1090</v>
      </c>
      <c r="F1416" s="121" t="s">
        <v>3909</v>
      </c>
      <c r="G1416" s="254" t="s">
        <v>2322</v>
      </c>
      <c r="H1416" s="301" t="s">
        <v>5063</v>
      </c>
      <c r="I1416" s="302" t="s">
        <v>533</v>
      </c>
      <c r="J1416" s="303">
        <v>44292</v>
      </c>
      <c r="K1416" s="22"/>
    </row>
    <row r="1417" spans="1:11">
      <c r="A1417" s="241" t="s">
        <v>4738</v>
      </c>
      <c r="B1417" s="305">
        <v>70598</v>
      </c>
      <c r="C1417" s="133" t="s">
        <v>643</v>
      </c>
      <c r="D1417" s="167" t="s">
        <v>1433</v>
      </c>
      <c r="E1417" s="128" t="s">
        <v>1325</v>
      </c>
      <c r="F1417" s="121" t="s">
        <v>2159</v>
      </c>
      <c r="G1417" s="254" t="s">
        <v>3079</v>
      </c>
      <c r="H1417" s="306" t="s">
        <v>2675</v>
      </c>
      <c r="I1417" s="310" t="s">
        <v>339</v>
      </c>
      <c r="J1417" s="135">
        <v>44298</v>
      </c>
      <c r="K1417" s="22"/>
    </row>
    <row r="1418" spans="1:11">
      <c r="A1418" s="241" t="s">
        <v>2948</v>
      </c>
      <c r="B1418" s="305">
        <v>3040</v>
      </c>
      <c r="C1418" s="133" t="s">
        <v>451</v>
      </c>
      <c r="D1418" s="167" t="s">
        <v>1433</v>
      </c>
      <c r="E1418" s="128" t="s">
        <v>1045</v>
      </c>
      <c r="F1418" s="121" t="s">
        <v>1926</v>
      </c>
      <c r="G1418" s="254" t="s">
        <v>3079</v>
      </c>
      <c r="H1418" s="308" t="s">
        <v>2686</v>
      </c>
      <c r="I1418" s="309" t="s">
        <v>1578</v>
      </c>
      <c r="J1418" s="135">
        <v>44298</v>
      </c>
      <c r="K1418" s="22"/>
    </row>
    <row r="1419" spans="1:11">
      <c r="A1419" s="241" t="s">
        <v>4157</v>
      </c>
      <c r="B1419" s="305">
        <v>2116</v>
      </c>
      <c r="C1419" s="133" t="s">
        <v>223</v>
      </c>
      <c r="D1419" s="167" t="s">
        <v>1433</v>
      </c>
      <c r="E1419" s="128" t="s">
        <v>844</v>
      </c>
      <c r="F1419" s="121" t="s">
        <v>1903</v>
      </c>
      <c r="G1419" s="254" t="s">
        <v>2588</v>
      </c>
      <c r="H1419" s="306" t="s">
        <v>5075</v>
      </c>
      <c r="I1419" s="307" t="s">
        <v>1396</v>
      </c>
      <c r="J1419" s="135">
        <v>44298</v>
      </c>
      <c r="K1419" s="22"/>
    </row>
    <row r="1420" spans="1:11">
      <c r="A1420" s="241" t="s">
        <v>4213</v>
      </c>
      <c r="B1420" s="123">
        <v>2348</v>
      </c>
      <c r="C1420" s="133" t="s">
        <v>223</v>
      </c>
      <c r="D1420" s="167" t="s">
        <v>2283</v>
      </c>
      <c r="E1420" s="128" t="s">
        <v>2069</v>
      </c>
      <c r="F1420" s="121" t="s">
        <v>528</v>
      </c>
      <c r="G1420" s="254" t="s">
        <v>2588</v>
      </c>
      <c r="H1420" s="134" t="s">
        <v>2824</v>
      </c>
      <c r="I1420" s="136" t="s">
        <v>1893</v>
      </c>
      <c r="J1420" s="135">
        <v>44298</v>
      </c>
      <c r="K1420" s="22"/>
    </row>
    <row r="1421" spans="1:11">
      <c r="A1421" s="241" t="s">
        <v>2396</v>
      </c>
      <c r="B1421" s="123">
        <v>216</v>
      </c>
      <c r="C1421" s="133" t="s">
        <v>1585</v>
      </c>
      <c r="D1421" s="167" t="s">
        <v>1630</v>
      </c>
      <c r="E1421" s="128" t="s">
        <v>935</v>
      </c>
      <c r="F1421" s="121" t="s">
        <v>2071</v>
      </c>
      <c r="G1421" s="312" t="s">
        <v>2588</v>
      </c>
      <c r="H1421" s="134" t="s">
        <v>5076</v>
      </c>
      <c r="I1421" s="136" t="s">
        <v>1396</v>
      </c>
      <c r="J1421" s="135">
        <v>44287</v>
      </c>
      <c r="K1421" s="22"/>
    </row>
    <row r="1422" spans="1:11">
      <c r="A1422" s="241" t="s">
        <v>4458</v>
      </c>
      <c r="B1422" s="311">
        <v>3152</v>
      </c>
      <c r="C1422" s="133" t="s">
        <v>451</v>
      </c>
      <c r="D1422" s="167" t="s">
        <v>2283</v>
      </c>
      <c r="E1422" s="128" t="s">
        <v>2450</v>
      </c>
      <c r="F1422" s="121" t="s">
        <v>1582</v>
      </c>
      <c r="G1422" s="254" t="s">
        <v>3079</v>
      </c>
      <c r="H1422" s="134" t="s">
        <v>2675</v>
      </c>
      <c r="I1422" s="136" t="s">
        <v>339</v>
      </c>
      <c r="J1422" s="135">
        <v>44292</v>
      </c>
      <c r="K1422" s="22"/>
    </row>
    <row r="1423" spans="1:11">
      <c r="A1423" s="241" t="s">
        <v>1966</v>
      </c>
      <c r="B1423" s="311">
        <v>2910</v>
      </c>
      <c r="C1423" s="133" t="s">
        <v>2128</v>
      </c>
      <c r="D1423" s="167" t="s">
        <v>2283</v>
      </c>
      <c r="E1423" s="128" t="s">
        <v>2450</v>
      </c>
      <c r="F1423" s="121" t="s">
        <v>1582</v>
      </c>
      <c r="G1423" s="254" t="s">
        <v>3079</v>
      </c>
      <c r="H1423" s="134" t="s">
        <v>2735</v>
      </c>
      <c r="I1423" s="136" t="s">
        <v>2488</v>
      </c>
      <c r="J1423" s="135">
        <v>44292</v>
      </c>
      <c r="K1423" s="22"/>
    </row>
    <row r="1424" spans="1:11">
      <c r="A1424" s="241" t="s">
        <v>5050</v>
      </c>
      <c r="B1424" s="123">
        <v>70759</v>
      </c>
      <c r="C1424" s="133" t="s">
        <v>643</v>
      </c>
      <c r="D1424" s="167" t="s">
        <v>1827</v>
      </c>
      <c r="E1424" s="128" t="s">
        <v>1259</v>
      </c>
      <c r="F1424" s="121" t="s">
        <v>1575</v>
      </c>
      <c r="G1424" s="254" t="s">
        <v>501</v>
      </c>
      <c r="H1424" s="134" t="s">
        <v>179</v>
      </c>
      <c r="I1424" s="136" t="s">
        <v>1543</v>
      </c>
      <c r="J1424" s="135">
        <v>44305</v>
      </c>
      <c r="K1424" s="22"/>
    </row>
    <row r="1425" spans="1:11">
      <c r="A1425" s="241" t="s">
        <v>5049</v>
      </c>
      <c r="B1425" s="123">
        <v>70758</v>
      </c>
      <c r="C1425" s="133" t="s">
        <v>643</v>
      </c>
      <c r="D1425" s="167" t="s">
        <v>1827</v>
      </c>
      <c r="E1425" s="128" t="s">
        <v>1259</v>
      </c>
      <c r="F1425" s="121" t="s">
        <v>1379</v>
      </c>
      <c r="G1425" s="254" t="s">
        <v>501</v>
      </c>
      <c r="H1425" s="134" t="s">
        <v>1226</v>
      </c>
      <c r="I1425" s="136" t="s">
        <v>1378</v>
      </c>
      <c r="J1425" s="135">
        <v>44305</v>
      </c>
      <c r="K1425" s="22"/>
    </row>
    <row r="1426" spans="1:11">
      <c r="A1426" s="241" t="s">
        <v>2898</v>
      </c>
      <c r="B1426" s="123">
        <v>1113</v>
      </c>
      <c r="C1426" s="133" t="s">
        <v>223</v>
      </c>
      <c r="D1426" s="167" t="s">
        <v>1324</v>
      </c>
      <c r="E1426" s="128" t="s">
        <v>457</v>
      </c>
      <c r="F1426" s="121" t="s">
        <v>1575</v>
      </c>
      <c r="G1426" s="254" t="s">
        <v>501</v>
      </c>
      <c r="H1426" s="134" t="s">
        <v>457</v>
      </c>
      <c r="I1426" s="136" t="s">
        <v>1575</v>
      </c>
      <c r="J1426" s="135">
        <v>44305</v>
      </c>
      <c r="K1426" s="22"/>
    </row>
    <row r="1427" spans="1:11">
      <c r="A1427" s="241" t="s">
        <v>348</v>
      </c>
      <c r="B1427" s="123">
        <v>2420</v>
      </c>
      <c r="C1427" s="133" t="s">
        <v>223</v>
      </c>
      <c r="D1427" s="167" t="s">
        <v>1324</v>
      </c>
      <c r="E1427" s="128" t="s">
        <v>457</v>
      </c>
      <c r="F1427" s="121" t="s">
        <v>1575</v>
      </c>
      <c r="G1427" s="254" t="s">
        <v>501</v>
      </c>
      <c r="H1427" s="134" t="s">
        <v>457</v>
      </c>
      <c r="I1427" s="136" t="s">
        <v>1575</v>
      </c>
      <c r="J1427" s="135">
        <v>44305</v>
      </c>
      <c r="K1427" s="22"/>
    </row>
    <row r="1428" spans="1:11">
      <c r="A1428" s="241" t="s">
        <v>5015</v>
      </c>
      <c r="B1428" s="123">
        <v>64710</v>
      </c>
      <c r="C1428" s="133" t="s">
        <v>643</v>
      </c>
      <c r="D1428" s="167" t="s">
        <v>1827</v>
      </c>
      <c r="E1428" s="128" t="s">
        <v>1259</v>
      </c>
      <c r="F1428" s="121" t="s">
        <v>1379</v>
      </c>
      <c r="G1428" s="254" t="s">
        <v>501</v>
      </c>
      <c r="H1428" s="134" t="s">
        <v>457</v>
      </c>
      <c r="I1428" s="136" t="s">
        <v>1575</v>
      </c>
      <c r="J1428" s="135">
        <v>44305</v>
      </c>
      <c r="K1428" s="22"/>
    </row>
    <row r="1429" spans="1:11">
      <c r="A1429" s="241" t="s">
        <v>3159</v>
      </c>
      <c r="B1429" s="123">
        <v>3209</v>
      </c>
      <c r="C1429" s="133" t="s">
        <v>451</v>
      </c>
      <c r="D1429" s="167" t="s">
        <v>1324</v>
      </c>
      <c r="E1429" s="128" t="s">
        <v>771</v>
      </c>
      <c r="F1429" s="121" t="s">
        <v>2064</v>
      </c>
      <c r="G1429" s="254" t="s">
        <v>501</v>
      </c>
      <c r="H1429" s="134" t="s">
        <v>771</v>
      </c>
      <c r="I1429" s="136" t="s">
        <v>1379</v>
      </c>
      <c r="J1429" s="135">
        <v>44305</v>
      </c>
      <c r="K1429" s="22"/>
    </row>
    <row r="1430" spans="1:11">
      <c r="A1430" s="241" t="s">
        <v>3492</v>
      </c>
      <c r="B1430" s="123">
        <v>2920</v>
      </c>
      <c r="C1430" s="133" t="s">
        <v>451</v>
      </c>
      <c r="D1430" s="167" t="s">
        <v>3079</v>
      </c>
      <c r="E1430" s="128" t="s">
        <v>1967</v>
      </c>
      <c r="F1430" s="121" t="s">
        <v>2064</v>
      </c>
      <c r="G1430" s="254" t="s">
        <v>501</v>
      </c>
      <c r="H1430" s="134" t="s">
        <v>771</v>
      </c>
      <c r="I1430" s="136" t="s">
        <v>1379</v>
      </c>
      <c r="J1430" s="135">
        <v>44305</v>
      </c>
      <c r="K1430" s="22"/>
    </row>
    <row r="1431" spans="1:11">
      <c r="A1431" s="241" t="s">
        <v>1376</v>
      </c>
      <c r="B1431" s="123">
        <v>2579</v>
      </c>
      <c r="C1431" s="133" t="s">
        <v>223</v>
      </c>
      <c r="D1431" s="167" t="s">
        <v>1324</v>
      </c>
      <c r="E1431" s="128" t="s">
        <v>457</v>
      </c>
      <c r="F1431" s="121" t="s">
        <v>1575</v>
      </c>
      <c r="G1431" s="254" t="s">
        <v>2322</v>
      </c>
      <c r="H1431" s="134" t="s">
        <v>5063</v>
      </c>
      <c r="I1431" s="136" t="s">
        <v>533</v>
      </c>
      <c r="J1431" s="135">
        <v>44305</v>
      </c>
      <c r="K1431" s="22"/>
    </row>
    <row r="1432" spans="1:11">
      <c r="A1432" s="241" t="s">
        <v>3158</v>
      </c>
      <c r="B1432" s="123">
        <v>3204</v>
      </c>
      <c r="C1432" s="133" t="s">
        <v>2128</v>
      </c>
      <c r="D1432" s="167" t="s">
        <v>3079</v>
      </c>
      <c r="E1432" s="128" t="s">
        <v>1967</v>
      </c>
      <c r="F1432" s="121" t="s">
        <v>2064</v>
      </c>
      <c r="G1432" s="254" t="s">
        <v>2322</v>
      </c>
      <c r="H1432" s="134" t="s">
        <v>5063</v>
      </c>
      <c r="I1432" s="136" t="s">
        <v>533</v>
      </c>
      <c r="J1432" s="135">
        <v>44305</v>
      </c>
      <c r="K1432" s="22"/>
    </row>
    <row r="1433" spans="1:11">
      <c r="A1433" s="241" t="s">
        <v>4404</v>
      </c>
      <c r="B1433" s="123">
        <v>3072</v>
      </c>
      <c r="C1433" s="133" t="s">
        <v>451</v>
      </c>
      <c r="D1433" s="167" t="s">
        <v>1324</v>
      </c>
      <c r="E1433" s="128" t="s">
        <v>1226</v>
      </c>
      <c r="F1433" s="121" t="s">
        <v>1378</v>
      </c>
      <c r="G1433" s="254" t="s">
        <v>2322</v>
      </c>
      <c r="H1433" s="134" t="s">
        <v>5063</v>
      </c>
      <c r="I1433" s="136" t="s">
        <v>533</v>
      </c>
      <c r="J1433" s="135">
        <v>44305</v>
      </c>
      <c r="K1433" s="22"/>
    </row>
    <row r="1434" spans="1:11">
      <c r="A1434" s="241" t="s">
        <v>3982</v>
      </c>
      <c r="B1434" s="123">
        <v>1561</v>
      </c>
      <c r="C1434" s="133" t="s">
        <v>451</v>
      </c>
      <c r="D1434" s="167" t="s">
        <v>2014</v>
      </c>
      <c r="E1434" s="128" t="s">
        <v>208</v>
      </c>
      <c r="F1434" s="121" t="s">
        <v>3514</v>
      </c>
      <c r="G1434" s="254" t="e">
        <v>#N/A</v>
      </c>
      <c r="H1434" s="134" t="s">
        <v>3534</v>
      </c>
      <c r="I1434" s="136" t="s">
        <v>1893</v>
      </c>
      <c r="J1434" s="135">
        <v>44305</v>
      </c>
      <c r="K1434" s="22"/>
    </row>
    <row r="1435" spans="1:11">
      <c r="A1435" s="241" t="s">
        <v>4717</v>
      </c>
      <c r="B1435" s="123">
        <v>70564</v>
      </c>
      <c r="C1435" s="133" t="s">
        <v>643</v>
      </c>
      <c r="D1435" s="167" t="s">
        <v>2014</v>
      </c>
      <c r="E1435" s="128" t="s">
        <v>1452</v>
      </c>
      <c r="F1435" s="121" t="s">
        <v>3514</v>
      </c>
      <c r="G1435" s="254" t="e">
        <v>#N/A</v>
      </c>
      <c r="H1435" s="134" t="s">
        <v>5076</v>
      </c>
      <c r="I1435" s="136" t="s">
        <v>1893</v>
      </c>
      <c r="J1435" s="135">
        <v>44305</v>
      </c>
      <c r="K1435" s="22"/>
    </row>
    <row r="1436" spans="1:11">
      <c r="A1436" s="241" t="s">
        <v>4557</v>
      </c>
      <c r="B1436" s="123">
        <v>64500</v>
      </c>
      <c r="C1436" s="133" t="s">
        <v>643</v>
      </c>
      <c r="D1436" s="167" t="s">
        <v>2014</v>
      </c>
      <c r="E1436" s="128" t="s">
        <v>1452</v>
      </c>
      <c r="F1436" s="121" t="s">
        <v>3514</v>
      </c>
      <c r="G1436" s="254" t="e">
        <v>#N/A</v>
      </c>
      <c r="H1436" s="134" t="s">
        <v>2772</v>
      </c>
      <c r="I1436" s="136" t="s">
        <v>1390</v>
      </c>
      <c r="J1436" s="135">
        <v>44305</v>
      </c>
      <c r="K1436" s="22"/>
    </row>
    <row r="1437" spans="1:11">
      <c r="A1437" s="241" t="s">
        <v>4752</v>
      </c>
      <c r="B1437" s="123">
        <v>70630</v>
      </c>
      <c r="C1437" s="133" t="s">
        <v>643</v>
      </c>
      <c r="D1437" s="167" t="s">
        <v>3079</v>
      </c>
      <c r="E1437" s="128" t="s">
        <v>2337</v>
      </c>
      <c r="F1437" s="121" t="s">
        <v>2157</v>
      </c>
      <c r="G1437" s="254" t="s">
        <v>2428</v>
      </c>
      <c r="H1437" s="134" t="s">
        <v>2449</v>
      </c>
      <c r="I1437" s="136" t="s">
        <v>340</v>
      </c>
      <c r="J1437" s="135">
        <v>44298</v>
      </c>
      <c r="K1437" s="22"/>
    </row>
    <row r="1438" spans="1:11">
      <c r="A1438" s="241" t="e">
        <f>VLOOKUP(B1438,'lista 1'!$A$2:$E$30100,4,0)</f>
        <v>#N/A</v>
      </c>
      <c r="B1438" s="123"/>
      <c r="C1438" s="133" t="e">
        <f>VLOOKUP(B1438,'lista 1'!$A$2:$E$31000,5,0)</f>
        <v>#N/A</v>
      </c>
      <c r="D1438" s="167" t="e">
        <f>VLOOKUP(E1438,'lista obszary'!A:B,2,0)</f>
        <v>#N/A</v>
      </c>
      <c r="E1438" s="128" t="e">
        <f>VLOOKUP(B1438,'LISTA 12'!$A$2:$G$301400,5,0)</f>
        <v>#N/A</v>
      </c>
      <c r="F1438" s="121" t="e">
        <f>VLOOKUP(B1438,'LISTA 12'!$A$2:$G$30100,7,0)</f>
        <v>#N/A</v>
      </c>
      <c r="G1438" s="254" t="e">
        <f>VLOOKUP(H1438,'lista 3'!$A$1:$C$31467,3,0)</f>
        <v>#N/A</v>
      </c>
      <c r="H1438" s="134"/>
      <c r="I1438" s="136"/>
      <c r="J1438" s="135"/>
      <c r="K1438" s="22"/>
    </row>
    <row r="1439" spans="1:11">
      <c r="A1439" s="241" t="e">
        <f>VLOOKUP(B1439,'lista 1'!$A$2:$E$30100,4,0)</f>
        <v>#N/A</v>
      </c>
      <c r="B1439" s="123"/>
      <c r="C1439" s="133" t="e">
        <f>VLOOKUP(B1439,'lista 1'!$A$2:$E$31000,5,0)</f>
        <v>#N/A</v>
      </c>
      <c r="D1439" s="167" t="e">
        <f>VLOOKUP(E1439,'lista obszary'!A:B,2,0)</f>
        <v>#N/A</v>
      </c>
      <c r="E1439" s="128" t="e">
        <f>VLOOKUP(B1439,'LISTA 12'!$A$2:$G$301400,5,0)</f>
        <v>#N/A</v>
      </c>
      <c r="F1439" s="121" t="e">
        <f>VLOOKUP(B1439,'LISTA 12'!$A$2:$G$30100,7,0)</f>
        <v>#N/A</v>
      </c>
      <c r="G1439" s="254" t="e">
        <f>VLOOKUP(H1439,'lista 3'!$A$1:$C$31467,3,0)</f>
        <v>#N/A</v>
      </c>
      <c r="H1439" s="134"/>
      <c r="I1439" s="136"/>
      <c r="J1439" s="135"/>
      <c r="K1439" s="22"/>
    </row>
    <row r="1440" spans="1:11">
      <c r="A1440" s="241" t="e">
        <f>VLOOKUP(B1440,'lista 1'!$A$2:$E$30100,4,0)</f>
        <v>#N/A</v>
      </c>
      <c r="B1440" s="123"/>
      <c r="C1440" s="133" t="e">
        <f>VLOOKUP(B1440,'lista 1'!$A$2:$E$31000,5,0)</f>
        <v>#N/A</v>
      </c>
      <c r="D1440" s="167" t="e">
        <f>VLOOKUP(E1440,'lista obszary'!A:B,2,0)</f>
        <v>#N/A</v>
      </c>
      <c r="E1440" s="128" t="e">
        <f>VLOOKUP(B1440,'LISTA 12'!$A$2:$G$301400,5,0)</f>
        <v>#N/A</v>
      </c>
      <c r="F1440" s="121" t="e">
        <f>VLOOKUP(B1440,'LISTA 12'!$A$2:$G$30100,7,0)</f>
        <v>#N/A</v>
      </c>
      <c r="G1440" s="254" t="e">
        <f>VLOOKUP(H1440,'lista 3'!$A$1:$C$31467,3,0)</f>
        <v>#N/A</v>
      </c>
      <c r="H1440" s="134"/>
      <c r="I1440" s="136"/>
      <c r="J1440" s="135"/>
      <c r="K1440" s="22"/>
    </row>
    <row r="1441" spans="1:11">
      <c r="A1441" s="241" t="e">
        <f>VLOOKUP(B1441,'lista 1'!$A$2:$E$30100,4,0)</f>
        <v>#N/A</v>
      </c>
      <c r="B1441" s="123"/>
      <c r="C1441" s="133" t="e">
        <f>VLOOKUP(B1441,'lista 1'!$A$2:$E$31000,5,0)</f>
        <v>#N/A</v>
      </c>
      <c r="D1441" s="167" t="e">
        <f>VLOOKUP(E1441,'lista obszary'!A:B,2,0)</f>
        <v>#N/A</v>
      </c>
      <c r="E1441" s="128" t="e">
        <f>VLOOKUP(B1441,'LISTA 12'!$A$2:$G$301400,5,0)</f>
        <v>#N/A</v>
      </c>
      <c r="F1441" s="121" t="e">
        <f>VLOOKUP(B1441,'LISTA 12'!$A$2:$G$30100,7,0)</f>
        <v>#N/A</v>
      </c>
      <c r="G1441" s="254" t="e">
        <f>VLOOKUP(H1441,'lista 3'!$A$1:$C$31467,3,0)</f>
        <v>#N/A</v>
      </c>
      <c r="H1441" s="134"/>
      <c r="I1441" s="136"/>
      <c r="J1441" s="135"/>
      <c r="K1441" s="22"/>
    </row>
    <row r="1442" spans="1:11">
      <c r="A1442" s="241" t="e">
        <f>VLOOKUP(B1442,'lista 1'!$A$2:$E$30100,4,0)</f>
        <v>#N/A</v>
      </c>
      <c r="B1442" s="123"/>
      <c r="C1442" s="133" t="e">
        <f>VLOOKUP(B1442,'lista 1'!$A$2:$E$31000,5,0)</f>
        <v>#N/A</v>
      </c>
      <c r="D1442" s="167" t="e">
        <f>VLOOKUP(E1442,'lista obszary'!A:B,2,0)</f>
        <v>#N/A</v>
      </c>
      <c r="E1442" s="128" t="e">
        <f>VLOOKUP(B1442,'LISTA 12'!$A$2:$G$301400,5,0)</f>
        <v>#N/A</v>
      </c>
      <c r="F1442" s="121" t="e">
        <f>VLOOKUP(B1442,'LISTA 12'!$A$2:$G$30100,7,0)</f>
        <v>#N/A</v>
      </c>
      <c r="G1442" s="254" t="e">
        <f>VLOOKUP(H1442,'lista 3'!$A$1:$C$31467,3,0)</f>
        <v>#N/A</v>
      </c>
      <c r="H1442" s="134"/>
      <c r="I1442" s="136"/>
      <c r="J1442" s="135"/>
      <c r="K1442" s="22"/>
    </row>
    <row r="1443" spans="1:11">
      <c r="A1443" s="241" t="e">
        <f>VLOOKUP(B1443,'lista 1'!$A$2:$E$30100,4,0)</f>
        <v>#N/A</v>
      </c>
      <c r="B1443" s="123"/>
      <c r="C1443" s="133" t="e">
        <f>VLOOKUP(B1443,'lista 1'!$A$2:$E$31000,5,0)</f>
        <v>#N/A</v>
      </c>
      <c r="D1443" s="167" t="e">
        <f>VLOOKUP(E1443,'lista obszary'!A:B,2,0)</f>
        <v>#N/A</v>
      </c>
      <c r="E1443" s="128" t="e">
        <f>VLOOKUP(B1443,'LISTA 12'!$A$2:$G$301400,5,0)</f>
        <v>#N/A</v>
      </c>
      <c r="F1443" s="121" t="e">
        <f>VLOOKUP(B1443,'LISTA 12'!$A$2:$G$30100,7,0)</f>
        <v>#N/A</v>
      </c>
      <c r="G1443" s="254" t="e">
        <f>VLOOKUP(H1443,'lista 3'!$A$1:$C$31467,3,0)</f>
        <v>#N/A</v>
      </c>
      <c r="H1443" s="134"/>
      <c r="I1443" s="136"/>
      <c r="J1443" s="135"/>
      <c r="K1443" s="22"/>
    </row>
    <row r="1444" spans="1:11">
      <c r="A1444" s="241" t="e">
        <f>VLOOKUP(B1444,'lista 1'!$A$2:$E$30100,4,0)</f>
        <v>#N/A</v>
      </c>
      <c r="B1444" s="123"/>
      <c r="C1444" s="133" t="e">
        <f>VLOOKUP(B1444,'lista 1'!$A$2:$E$31000,5,0)</f>
        <v>#N/A</v>
      </c>
      <c r="D1444" s="167" t="e">
        <f>VLOOKUP(E1444,'lista obszary'!A:B,2,0)</f>
        <v>#N/A</v>
      </c>
      <c r="E1444" s="128" t="e">
        <f>VLOOKUP(B1444,'LISTA 12'!$A$2:$G$301400,5,0)</f>
        <v>#N/A</v>
      </c>
      <c r="F1444" s="121" t="e">
        <f>VLOOKUP(B1444,'LISTA 12'!$A$2:$G$30100,7,0)</f>
        <v>#N/A</v>
      </c>
      <c r="G1444" s="254" t="e">
        <f>VLOOKUP(H1444,'lista 3'!$A$1:$C$31467,3,0)</f>
        <v>#N/A</v>
      </c>
      <c r="H1444" s="134"/>
      <c r="I1444" s="136"/>
      <c r="J1444" s="135"/>
      <c r="K1444" s="22"/>
    </row>
    <row r="1445" spans="1:11">
      <c r="A1445" s="241" t="e">
        <f>VLOOKUP(B1445,'lista 1'!$A$2:$E$30100,4,0)</f>
        <v>#N/A</v>
      </c>
      <c r="B1445" s="123"/>
      <c r="C1445" s="133" t="e">
        <f>VLOOKUP(B1445,'lista 1'!$A$2:$E$31000,5,0)</f>
        <v>#N/A</v>
      </c>
      <c r="D1445" s="167" t="e">
        <f>VLOOKUP(E1445,'lista obszary'!A:B,2,0)</f>
        <v>#N/A</v>
      </c>
      <c r="E1445" s="128" t="e">
        <f>VLOOKUP(B1445,'LISTA 12'!$A$2:$G$301400,5,0)</f>
        <v>#N/A</v>
      </c>
      <c r="F1445" s="121" t="e">
        <f>VLOOKUP(B1445,'LISTA 12'!$A$2:$G$30100,7,0)</f>
        <v>#N/A</v>
      </c>
      <c r="G1445" s="254" t="e">
        <f>VLOOKUP(H1445,'lista 3'!$A$1:$C$31467,3,0)</f>
        <v>#N/A</v>
      </c>
      <c r="H1445" s="134"/>
      <c r="I1445" s="136"/>
      <c r="J1445" s="135"/>
      <c r="K1445" s="22"/>
    </row>
    <row r="1446" spans="1:11">
      <c r="A1446" s="241" t="e">
        <f>VLOOKUP(B1446,'lista 1'!$A$2:$E$30100,4,0)</f>
        <v>#N/A</v>
      </c>
      <c r="B1446" s="123"/>
      <c r="C1446" s="133" t="e">
        <f>VLOOKUP(B1446,'lista 1'!$A$2:$E$31000,5,0)</f>
        <v>#N/A</v>
      </c>
      <c r="D1446" s="167" t="e">
        <f>VLOOKUP(E1446,'lista obszary'!A:B,2,0)</f>
        <v>#N/A</v>
      </c>
      <c r="E1446" s="128" t="e">
        <f>VLOOKUP(B1446,'LISTA 12'!$A$2:$G$301400,5,0)</f>
        <v>#N/A</v>
      </c>
      <c r="F1446" s="121" t="e">
        <f>VLOOKUP(B1446,'LISTA 12'!$A$2:$G$30100,7,0)</f>
        <v>#N/A</v>
      </c>
      <c r="G1446" s="254" t="e">
        <f>VLOOKUP(H1446,'lista 3'!$A$1:$C$31467,3,0)</f>
        <v>#N/A</v>
      </c>
      <c r="H1446" s="134"/>
      <c r="I1446" s="136"/>
      <c r="J1446" s="135"/>
      <c r="K1446" s="22"/>
    </row>
    <row r="1447" spans="1:11">
      <c r="A1447" s="241" t="e">
        <f>VLOOKUP(B1447,'lista 1'!$A$2:$E$30100,4,0)</f>
        <v>#N/A</v>
      </c>
      <c r="B1447" s="123"/>
      <c r="C1447" s="133" t="e">
        <f>VLOOKUP(B1447,'lista 1'!$A$2:$E$31000,5,0)</f>
        <v>#N/A</v>
      </c>
      <c r="D1447" s="167" t="e">
        <f>VLOOKUP(E1447,'lista obszary'!A:B,2,0)</f>
        <v>#N/A</v>
      </c>
      <c r="E1447" s="128" t="e">
        <f>VLOOKUP(B1447,'LISTA 12'!$A$2:$G$301400,5,0)</f>
        <v>#N/A</v>
      </c>
      <c r="F1447" s="121" t="e">
        <f>VLOOKUP(B1447,'LISTA 12'!$A$2:$G$30100,7,0)</f>
        <v>#N/A</v>
      </c>
      <c r="G1447" s="254" t="e">
        <f>VLOOKUP(H1447,'lista 3'!$A$1:$C$31467,3,0)</f>
        <v>#N/A</v>
      </c>
      <c r="H1447" s="134"/>
      <c r="I1447" s="136"/>
      <c r="J1447" s="135"/>
      <c r="K1447" s="22"/>
    </row>
    <row r="1448" spans="1:11">
      <c r="A1448" s="241" t="e">
        <f>VLOOKUP(B1448,'lista 1'!$A$2:$E$30100,4,0)</f>
        <v>#N/A</v>
      </c>
      <c r="B1448" s="123"/>
      <c r="C1448" s="133" t="e">
        <f>VLOOKUP(B1448,'lista 1'!$A$2:$E$31000,5,0)</f>
        <v>#N/A</v>
      </c>
      <c r="D1448" s="167" t="e">
        <f>VLOOKUP(E1448,'lista obszary'!A:B,2,0)</f>
        <v>#N/A</v>
      </c>
      <c r="E1448" s="128" t="e">
        <f>VLOOKUP(B1448,'LISTA 12'!$A$2:$G$301400,5,0)</f>
        <v>#N/A</v>
      </c>
      <c r="F1448" s="121" t="e">
        <f>VLOOKUP(B1448,'LISTA 12'!$A$2:$G$30100,7,0)</f>
        <v>#N/A</v>
      </c>
      <c r="G1448" s="254" t="e">
        <f>VLOOKUP(H1448,'lista 3'!$A$1:$C$31467,3,0)</f>
        <v>#N/A</v>
      </c>
      <c r="H1448" s="134"/>
      <c r="I1448" s="136"/>
      <c r="J1448" s="135"/>
      <c r="K1448" s="22"/>
    </row>
    <row r="1449" spans="1:11">
      <c r="A1449" s="241" t="e">
        <f>VLOOKUP(B1449,'lista 1'!$A$2:$E$30100,4,0)</f>
        <v>#N/A</v>
      </c>
      <c r="B1449" s="123"/>
      <c r="C1449" s="133" t="e">
        <f>VLOOKUP(B1449,'lista 1'!$A$2:$E$31000,5,0)</f>
        <v>#N/A</v>
      </c>
      <c r="D1449" s="167" t="e">
        <f>VLOOKUP(E1449,'lista obszary'!A:B,2,0)</f>
        <v>#N/A</v>
      </c>
      <c r="E1449" s="128" t="e">
        <f>VLOOKUP(B1449,'LISTA 12'!$A$2:$G$301400,5,0)</f>
        <v>#N/A</v>
      </c>
      <c r="F1449" s="121" t="e">
        <f>VLOOKUP(B1449,'LISTA 12'!$A$2:$G$30100,7,0)</f>
        <v>#N/A</v>
      </c>
      <c r="G1449" s="254" t="e">
        <f>VLOOKUP(H1449,'lista 3'!$A$1:$C$31467,3,0)</f>
        <v>#N/A</v>
      </c>
      <c r="H1449" s="134"/>
      <c r="I1449" s="136"/>
      <c r="J1449" s="135"/>
      <c r="K1449" s="22"/>
    </row>
    <row r="1450" spans="1:11">
      <c r="A1450" s="241" t="e">
        <f>VLOOKUP(B1450,'lista 1'!$A$2:$E$30100,4,0)</f>
        <v>#N/A</v>
      </c>
      <c r="B1450" s="123"/>
      <c r="C1450" s="133" t="e">
        <f>VLOOKUP(B1450,'lista 1'!$A$2:$E$31000,5,0)</f>
        <v>#N/A</v>
      </c>
      <c r="D1450" s="167" t="e">
        <f>VLOOKUP(E1450,'lista obszary'!A:B,2,0)</f>
        <v>#N/A</v>
      </c>
      <c r="E1450" s="128" t="e">
        <f>VLOOKUP(B1450,'LISTA 12'!$A$2:$G$301400,5,0)</f>
        <v>#N/A</v>
      </c>
      <c r="F1450" s="121" t="e">
        <f>VLOOKUP(B1450,'LISTA 12'!$A$2:$G$30100,7,0)</f>
        <v>#N/A</v>
      </c>
      <c r="G1450" s="254" t="e">
        <f>VLOOKUP(H1450,'lista 3'!$A$1:$C$31467,3,0)</f>
        <v>#N/A</v>
      </c>
      <c r="H1450" s="134"/>
      <c r="I1450" s="136"/>
      <c r="J1450" s="135"/>
      <c r="K1450" s="22"/>
    </row>
    <row r="1451" spans="1:11">
      <c r="A1451" s="241" t="e">
        <f>VLOOKUP(B1451,'lista 1'!$A$2:$E$30100,4,0)</f>
        <v>#N/A</v>
      </c>
      <c r="B1451" s="123"/>
      <c r="C1451" s="133" t="e">
        <f>VLOOKUP(B1451,'lista 1'!$A$2:$E$31000,5,0)</f>
        <v>#N/A</v>
      </c>
      <c r="D1451" s="167" t="e">
        <f>VLOOKUP(E1451,'lista obszary'!A:B,2,0)</f>
        <v>#N/A</v>
      </c>
      <c r="E1451" s="128" t="e">
        <f>VLOOKUP(B1451,'LISTA 12'!$A$2:$G$301400,5,0)</f>
        <v>#N/A</v>
      </c>
      <c r="F1451" s="121" t="e">
        <f>VLOOKUP(B1451,'LISTA 12'!$A$2:$G$30100,7,0)</f>
        <v>#N/A</v>
      </c>
      <c r="G1451" s="254" t="e">
        <f>VLOOKUP(H1451,'lista 3'!$A$1:$C$31467,3,0)</f>
        <v>#N/A</v>
      </c>
      <c r="H1451" s="134"/>
      <c r="I1451" s="136"/>
      <c r="J1451" s="135"/>
      <c r="K1451" s="22"/>
    </row>
    <row r="1452" spans="1:11">
      <c r="A1452" s="241" t="e">
        <f>VLOOKUP(B1452,'lista 1'!$A$2:$E$30100,4,0)</f>
        <v>#N/A</v>
      </c>
      <c r="B1452" s="123"/>
      <c r="C1452" s="133" t="e">
        <f>VLOOKUP(B1452,'lista 1'!$A$2:$E$31000,5,0)</f>
        <v>#N/A</v>
      </c>
      <c r="D1452" s="167" t="e">
        <f>VLOOKUP(E1452,'lista obszary'!A:B,2,0)</f>
        <v>#N/A</v>
      </c>
      <c r="E1452" s="128" t="e">
        <f>VLOOKUP(B1452,'LISTA 12'!$A$2:$G$301400,5,0)</f>
        <v>#N/A</v>
      </c>
      <c r="F1452" s="121" t="e">
        <f>VLOOKUP(B1452,'LISTA 12'!$A$2:$G$30100,7,0)</f>
        <v>#N/A</v>
      </c>
      <c r="G1452" s="254" t="e">
        <f>VLOOKUP(H1452,'lista 3'!$A$1:$C$31467,3,0)</f>
        <v>#N/A</v>
      </c>
      <c r="H1452" s="134"/>
      <c r="I1452" s="136"/>
      <c r="J1452" s="135"/>
      <c r="K1452" s="22"/>
    </row>
    <row r="1453" spans="1:11">
      <c r="A1453" s="241" t="e">
        <f>VLOOKUP(B1453,'lista 1'!$A$2:$E$30100,4,0)</f>
        <v>#N/A</v>
      </c>
      <c r="B1453" s="123"/>
      <c r="C1453" s="133" t="e">
        <f>VLOOKUP(B1453,'lista 1'!$A$2:$E$31000,5,0)</f>
        <v>#N/A</v>
      </c>
      <c r="D1453" s="167" t="e">
        <f>VLOOKUP(E1453,'lista obszary'!A:B,2,0)</f>
        <v>#N/A</v>
      </c>
      <c r="E1453" s="128" t="e">
        <f>VLOOKUP(B1453,'LISTA 12'!$A$2:$G$301400,5,0)</f>
        <v>#N/A</v>
      </c>
      <c r="F1453" s="121" t="e">
        <f>VLOOKUP(B1453,'LISTA 12'!$A$2:$G$30100,7,0)</f>
        <v>#N/A</v>
      </c>
      <c r="G1453" s="254" t="e">
        <f>VLOOKUP(H1453,'lista 3'!$A$1:$C$31467,3,0)</f>
        <v>#N/A</v>
      </c>
      <c r="H1453" s="134"/>
      <c r="I1453" s="136"/>
      <c r="J1453" s="135"/>
      <c r="K1453" s="22"/>
    </row>
    <row r="1454" spans="1:11">
      <c r="A1454" s="241" t="e">
        <f>VLOOKUP(B1454,'lista 1'!$A$2:$E$30100,4,0)</f>
        <v>#N/A</v>
      </c>
      <c r="B1454" s="123"/>
      <c r="C1454" s="133" t="e">
        <f>VLOOKUP(B1454,'lista 1'!$A$2:$E$31000,5,0)</f>
        <v>#N/A</v>
      </c>
      <c r="D1454" s="167" t="e">
        <f>VLOOKUP(E1454,'lista obszary'!A:B,2,0)</f>
        <v>#N/A</v>
      </c>
      <c r="E1454" s="128" t="e">
        <f>VLOOKUP(B1454,'LISTA 12'!$A$2:$G$301400,5,0)</f>
        <v>#N/A</v>
      </c>
      <c r="F1454" s="121" t="e">
        <f>VLOOKUP(B1454,'LISTA 12'!$A$2:$G$30100,7,0)</f>
        <v>#N/A</v>
      </c>
      <c r="G1454" s="254" t="e">
        <f>VLOOKUP(H1454,'lista 3'!$A$1:$C$31467,3,0)</f>
        <v>#N/A</v>
      </c>
      <c r="H1454" s="134"/>
      <c r="I1454" s="136"/>
      <c r="J1454" s="135"/>
      <c r="K1454" s="22"/>
    </row>
    <row r="1455" spans="1:11">
      <c r="A1455" s="241" t="e">
        <f>VLOOKUP(B1455,'lista 1'!$A$2:$E$30100,4,0)</f>
        <v>#N/A</v>
      </c>
      <c r="B1455" s="123"/>
      <c r="C1455" s="133" t="e">
        <f>VLOOKUP(B1455,'lista 1'!$A$2:$E$31000,5,0)</f>
        <v>#N/A</v>
      </c>
      <c r="D1455" s="167" t="e">
        <f>VLOOKUP(E1455,'lista obszary'!A:B,2,0)</f>
        <v>#N/A</v>
      </c>
      <c r="E1455" s="128" t="e">
        <f>VLOOKUP(B1455,'LISTA 12'!$A$2:$G$301400,5,0)</f>
        <v>#N/A</v>
      </c>
      <c r="F1455" s="121" t="e">
        <f>VLOOKUP(B1455,'LISTA 12'!$A$2:$G$30100,7,0)</f>
        <v>#N/A</v>
      </c>
      <c r="G1455" s="254" t="e">
        <f>VLOOKUP(H1455,'lista 3'!$A$1:$C$31467,3,0)</f>
        <v>#N/A</v>
      </c>
      <c r="H1455" s="134"/>
      <c r="I1455" s="136"/>
      <c r="J1455" s="135"/>
      <c r="K1455" s="22"/>
    </row>
    <row r="1456" spans="1:11">
      <c r="A1456" s="241" t="e">
        <f>VLOOKUP(B1456,'lista 1'!$A$2:$E$30100,4,0)</f>
        <v>#N/A</v>
      </c>
      <c r="B1456" s="123"/>
      <c r="C1456" s="133" t="e">
        <f>VLOOKUP(B1456,'lista 1'!$A$2:$E$31000,5,0)</f>
        <v>#N/A</v>
      </c>
      <c r="D1456" s="167" t="e">
        <f>VLOOKUP(E1456,'lista obszary'!A:B,2,0)</f>
        <v>#N/A</v>
      </c>
      <c r="E1456" s="128" t="e">
        <f>VLOOKUP(B1456,'LISTA 12'!$A$2:$G$301400,5,0)</f>
        <v>#N/A</v>
      </c>
      <c r="F1456" s="121" t="e">
        <f>VLOOKUP(B1456,'LISTA 12'!$A$2:$G$30100,7,0)</f>
        <v>#N/A</v>
      </c>
      <c r="G1456" s="254" t="e">
        <f>VLOOKUP(H1456,'lista 3'!$A$1:$C$31467,3,0)</f>
        <v>#N/A</v>
      </c>
      <c r="H1456" s="134"/>
      <c r="I1456" s="136"/>
      <c r="J1456" s="135"/>
      <c r="K1456" s="22"/>
    </row>
    <row r="1457" spans="1:11">
      <c r="A1457" s="241" t="e">
        <f>VLOOKUP(B1457,'lista 1'!$A$2:$E$30100,4,0)</f>
        <v>#N/A</v>
      </c>
      <c r="B1457" s="123"/>
      <c r="C1457" s="133" t="e">
        <f>VLOOKUP(B1457,'lista 1'!$A$2:$E$31000,5,0)</f>
        <v>#N/A</v>
      </c>
      <c r="D1457" s="167" t="e">
        <f>VLOOKUP(E1457,'lista obszary'!A:B,2,0)</f>
        <v>#N/A</v>
      </c>
      <c r="E1457" s="128" t="e">
        <f>VLOOKUP(B1457,'LISTA 12'!$A$2:$G$301400,5,0)</f>
        <v>#N/A</v>
      </c>
      <c r="F1457" s="121" t="e">
        <f>VLOOKUP(B1457,'LISTA 12'!$A$2:$G$30100,7,0)</f>
        <v>#N/A</v>
      </c>
      <c r="G1457" s="254" t="e">
        <f>VLOOKUP(H1457,'lista 3'!$A$1:$C$31467,3,0)</f>
        <v>#N/A</v>
      </c>
      <c r="H1457" s="134"/>
      <c r="I1457" s="136"/>
      <c r="J1457" s="135"/>
      <c r="K1457" s="22"/>
    </row>
    <row r="1458" spans="1:11">
      <c r="A1458" s="241" t="e">
        <f>VLOOKUP(B1458,'lista 1'!$A$2:$E$30100,4,0)</f>
        <v>#N/A</v>
      </c>
      <c r="B1458" s="123"/>
      <c r="C1458" s="133" t="e">
        <f>VLOOKUP(B1458,'lista 1'!$A$2:$E$31000,5,0)</f>
        <v>#N/A</v>
      </c>
      <c r="D1458" s="167" t="e">
        <f>VLOOKUP(E1458,'lista obszary'!A:B,2,0)</f>
        <v>#N/A</v>
      </c>
      <c r="E1458" s="128" t="e">
        <f>VLOOKUP(B1458,'LISTA 12'!$A$2:$G$301400,5,0)</f>
        <v>#N/A</v>
      </c>
      <c r="F1458" s="121" t="e">
        <f>VLOOKUP(B1458,'LISTA 12'!$A$2:$G$30100,7,0)</f>
        <v>#N/A</v>
      </c>
      <c r="G1458" s="254" t="e">
        <f>VLOOKUP(H1458,'lista 3'!$A$1:$C$31467,3,0)</f>
        <v>#N/A</v>
      </c>
      <c r="H1458" s="134"/>
      <c r="I1458" s="136"/>
      <c r="J1458" s="135"/>
      <c r="K1458" s="22"/>
    </row>
    <row r="1459" spans="1:11">
      <c r="A1459" s="241" t="e">
        <f>VLOOKUP(B1459,'lista 1'!$A$2:$E$30100,4,0)</f>
        <v>#N/A</v>
      </c>
      <c r="B1459" s="123"/>
      <c r="C1459" s="133" t="e">
        <f>VLOOKUP(B1459,'lista 1'!$A$2:$E$31000,5,0)</f>
        <v>#N/A</v>
      </c>
      <c r="D1459" s="167" t="e">
        <f>VLOOKUP(E1459,'lista obszary'!A:B,2,0)</f>
        <v>#N/A</v>
      </c>
      <c r="E1459" s="128" t="e">
        <f>VLOOKUP(B1459,'LISTA 12'!$A$2:$G$301400,5,0)</f>
        <v>#N/A</v>
      </c>
      <c r="F1459" s="121" t="e">
        <f>VLOOKUP(B1459,'LISTA 12'!$A$2:$G$30100,7,0)</f>
        <v>#N/A</v>
      </c>
      <c r="G1459" s="254" t="e">
        <f>VLOOKUP(H1459,'lista 3'!$A$1:$C$31467,3,0)</f>
        <v>#N/A</v>
      </c>
      <c r="H1459" s="134"/>
      <c r="I1459" s="136"/>
      <c r="J1459" s="135"/>
      <c r="K1459" s="22"/>
    </row>
    <row r="1460" spans="1:11">
      <c r="A1460" s="241" t="e">
        <f>VLOOKUP(B1460,'lista 1'!$A$2:$E$30100,4,0)</f>
        <v>#N/A</v>
      </c>
      <c r="B1460" s="123"/>
      <c r="C1460" s="133" t="e">
        <f>VLOOKUP(B1460,'lista 1'!$A$2:$E$31000,5,0)</f>
        <v>#N/A</v>
      </c>
      <c r="D1460" s="167" t="e">
        <f>VLOOKUP(E1460,'lista obszary'!A:B,2,0)</f>
        <v>#N/A</v>
      </c>
      <c r="E1460" s="128" t="e">
        <f>VLOOKUP(B1460,'LISTA 12'!$A$2:$G$301400,5,0)</f>
        <v>#N/A</v>
      </c>
      <c r="F1460" s="121" t="e">
        <f>VLOOKUP(B1460,'LISTA 12'!$A$2:$G$30100,7,0)</f>
        <v>#N/A</v>
      </c>
      <c r="G1460" s="254" t="e">
        <f>VLOOKUP(H1460,'lista 3'!$A$1:$C$31467,3,0)</f>
        <v>#N/A</v>
      </c>
      <c r="H1460" s="134"/>
      <c r="I1460" s="136"/>
      <c r="J1460" s="135"/>
      <c r="K1460" s="22"/>
    </row>
    <row r="1461" spans="1:11">
      <c r="A1461" s="241" t="e">
        <f>VLOOKUP(B1461,'lista 1'!$A$2:$E$30100,4,0)</f>
        <v>#N/A</v>
      </c>
      <c r="B1461" s="123"/>
      <c r="C1461" s="133" t="e">
        <f>VLOOKUP(B1461,'lista 1'!$A$2:$E$31000,5,0)</f>
        <v>#N/A</v>
      </c>
      <c r="D1461" s="167" t="e">
        <f>VLOOKUP(E1461,'lista obszary'!A:B,2,0)</f>
        <v>#N/A</v>
      </c>
      <c r="E1461" s="128" t="e">
        <f>VLOOKUP(B1461,'LISTA 12'!$A$2:$G$301400,5,0)</f>
        <v>#N/A</v>
      </c>
      <c r="F1461" s="121" t="e">
        <f>VLOOKUP(B1461,'LISTA 12'!$A$2:$G$30100,7,0)</f>
        <v>#N/A</v>
      </c>
      <c r="G1461" s="254" t="e">
        <f>VLOOKUP(H1461,'lista 3'!$A$1:$C$31467,3,0)</f>
        <v>#N/A</v>
      </c>
      <c r="H1461" s="134"/>
      <c r="I1461" s="136"/>
      <c r="J1461" s="135"/>
      <c r="K1461" s="22"/>
    </row>
    <row r="1462" spans="1:11">
      <c r="A1462" s="241" t="e">
        <f>VLOOKUP(B1462,'lista 1'!$A$2:$E$30100,4,0)</f>
        <v>#N/A</v>
      </c>
      <c r="B1462" s="123"/>
      <c r="C1462" s="133" t="e">
        <f>VLOOKUP(B1462,'lista 1'!$A$2:$E$31000,5,0)</f>
        <v>#N/A</v>
      </c>
      <c r="D1462" s="167" t="e">
        <f>VLOOKUP(E1462,'lista obszary'!A:B,2,0)</f>
        <v>#N/A</v>
      </c>
      <c r="E1462" s="128" t="e">
        <f>VLOOKUP(B1462,'LISTA 12'!$A$2:$G$301400,5,0)</f>
        <v>#N/A</v>
      </c>
      <c r="F1462" s="121" t="e">
        <f>VLOOKUP(B1462,'LISTA 12'!$A$2:$G$30100,7,0)</f>
        <v>#N/A</v>
      </c>
      <c r="G1462" s="254" t="e">
        <f>VLOOKUP(H1462,'lista 3'!$A$1:$C$31467,3,0)</f>
        <v>#N/A</v>
      </c>
      <c r="H1462" s="134"/>
      <c r="I1462" s="136"/>
      <c r="J1462" s="135"/>
      <c r="K1462" s="22"/>
    </row>
    <row r="1463" spans="1:11">
      <c r="A1463" s="241" t="e">
        <f>VLOOKUP(B1463,'lista 1'!$A$2:$E$30100,4,0)</f>
        <v>#N/A</v>
      </c>
      <c r="B1463" s="123"/>
      <c r="C1463" s="133" t="e">
        <f>VLOOKUP(B1463,'lista 1'!$A$2:$E$31000,5,0)</f>
        <v>#N/A</v>
      </c>
      <c r="D1463" s="167" t="e">
        <f>VLOOKUP(E1463,'lista obszary'!A:B,2,0)</f>
        <v>#N/A</v>
      </c>
      <c r="E1463" s="128" t="e">
        <f>VLOOKUP(B1463,'LISTA 12'!$A$2:$G$301400,5,0)</f>
        <v>#N/A</v>
      </c>
      <c r="F1463" s="121" t="e">
        <f>VLOOKUP(B1463,'LISTA 12'!$A$2:$G$30100,7,0)</f>
        <v>#N/A</v>
      </c>
      <c r="G1463" s="254" t="e">
        <f>VLOOKUP(H1463,'lista 3'!$A$1:$C$31467,3,0)</f>
        <v>#N/A</v>
      </c>
      <c r="H1463" s="134"/>
      <c r="I1463" s="136"/>
      <c r="J1463" s="135"/>
      <c r="K1463" s="22"/>
    </row>
    <row r="1464" spans="1:11">
      <c r="A1464" s="241" t="e">
        <f>VLOOKUP(B1464,'lista 1'!$A$2:$E$30100,4,0)</f>
        <v>#N/A</v>
      </c>
      <c r="B1464" s="123"/>
      <c r="C1464" s="133" t="e">
        <f>VLOOKUP(B1464,'lista 1'!$A$2:$E$31000,5,0)</f>
        <v>#N/A</v>
      </c>
      <c r="D1464" s="167" t="e">
        <f>VLOOKUP(E1464,'lista obszary'!A:B,2,0)</f>
        <v>#N/A</v>
      </c>
      <c r="E1464" s="128" t="e">
        <f>VLOOKUP(B1464,'LISTA 12'!$A$2:$G$301400,5,0)</f>
        <v>#N/A</v>
      </c>
      <c r="F1464" s="121" t="e">
        <f>VLOOKUP(B1464,'LISTA 12'!$A$2:$G$30100,7,0)</f>
        <v>#N/A</v>
      </c>
      <c r="G1464" s="254" t="e">
        <f>VLOOKUP(H1464,'lista 3'!$A$1:$C$31467,3,0)</f>
        <v>#N/A</v>
      </c>
      <c r="H1464" s="134"/>
      <c r="I1464" s="136"/>
      <c r="J1464" s="135"/>
      <c r="K1464" s="22"/>
    </row>
    <row r="1465" spans="1:11">
      <c r="A1465" s="241" t="e">
        <f>VLOOKUP(B1465,'lista 1'!$A$2:$E$30100,4,0)</f>
        <v>#N/A</v>
      </c>
      <c r="B1465" s="123"/>
      <c r="C1465" s="133" t="e">
        <f>VLOOKUP(B1465,'lista 1'!$A$2:$E$31000,5,0)</f>
        <v>#N/A</v>
      </c>
      <c r="D1465" s="167" t="e">
        <f>VLOOKUP(E1465,'lista obszary'!A:B,2,0)</f>
        <v>#N/A</v>
      </c>
      <c r="E1465" s="128" t="e">
        <f>VLOOKUP(B1465,'LISTA 12'!$A$2:$G$301400,5,0)</f>
        <v>#N/A</v>
      </c>
      <c r="F1465" s="121" t="e">
        <f>VLOOKUP(B1465,'LISTA 12'!$A$2:$G$30100,7,0)</f>
        <v>#N/A</v>
      </c>
      <c r="G1465" s="254" t="e">
        <f>VLOOKUP(H1465,'lista 3'!$A$1:$C$31467,3,0)</f>
        <v>#N/A</v>
      </c>
      <c r="H1465" s="134"/>
      <c r="I1465" s="136"/>
      <c r="J1465" s="135"/>
      <c r="K1465" s="22"/>
    </row>
    <row r="1466" spans="1:11">
      <c r="A1466" s="241" t="e">
        <f>VLOOKUP(B1466,'lista 1'!$A$2:$E$30100,4,0)</f>
        <v>#N/A</v>
      </c>
      <c r="B1466" s="123"/>
      <c r="C1466" s="133" t="e">
        <f>VLOOKUP(B1466,'lista 1'!$A$2:$E$31000,5,0)</f>
        <v>#N/A</v>
      </c>
      <c r="D1466" s="167" t="e">
        <f>VLOOKUP(E1466,'lista obszary'!A:B,2,0)</f>
        <v>#N/A</v>
      </c>
      <c r="E1466" s="128" t="e">
        <f>VLOOKUP(B1466,'LISTA 12'!$A$2:$G$301400,5,0)</f>
        <v>#N/A</v>
      </c>
      <c r="F1466" s="121" t="e">
        <f>VLOOKUP(B1466,'LISTA 12'!$A$2:$G$30100,7,0)</f>
        <v>#N/A</v>
      </c>
      <c r="G1466" s="254" t="e">
        <f>VLOOKUP(H1466,'lista 3'!$A$1:$C$31467,3,0)</f>
        <v>#N/A</v>
      </c>
      <c r="H1466" s="134"/>
      <c r="I1466" s="136"/>
      <c r="J1466" s="135"/>
      <c r="K1466" s="22"/>
    </row>
    <row r="1467" spans="1:11">
      <c r="A1467" s="241" t="e">
        <f>VLOOKUP(B1467,'lista 1'!$A$2:$E$30100,4,0)</f>
        <v>#N/A</v>
      </c>
      <c r="B1467" s="123"/>
      <c r="C1467" s="133" t="e">
        <f>VLOOKUP(B1467,'lista 1'!$A$2:$E$31000,5,0)</f>
        <v>#N/A</v>
      </c>
      <c r="D1467" s="167" t="e">
        <f>VLOOKUP(E1467,'lista obszary'!A:B,2,0)</f>
        <v>#N/A</v>
      </c>
      <c r="E1467" s="128" t="e">
        <f>VLOOKUP(B1467,'LISTA 12'!$A$2:$G$301400,5,0)</f>
        <v>#N/A</v>
      </c>
      <c r="F1467" s="121" t="e">
        <f>VLOOKUP(B1467,'LISTA 12'!$A$2:$G$30100,7,0)</f>
        <v>#N/A</v>
      </c>
      <c r="G1467" s="254" t="e">
        <f>VLOOKUP(H1467,'lista 3'!$A$1:$C$31467,3,0)</f>
        <v>#N/A</v>
      </c>
      <c r="H1467" s="134"/>
      <c r="I1467" s="136"/>
      <c r="J1467" s="135"/>
      <c r="K1467" s="22"/>
    </row>
    <row r="1468" spans="1:11">
      <c r="A1468" s="241" t="e">
        <f>VLOOKUP(B1468,'lista 1'!$A$2:$E$30100,4,0)</f>
        <v>#N/A</v>
      </c>
      <c r="B1468" s="123"/>
      <c r="C1468" s="133" t="e">
        <f>VLOOKUP(B1468,'lista 1'!$A$2:$E$31000,5,0)</f>
        <v>#N/A</v>
      </c>
      <c r="D1468" s="167" t="e">
        <f>VLOOKUP(E1468,'lista obszary'!A:B,2,0)</f>
        <v>#N/A</v>
      </c>
      <c r="E1468" s="128" t="e">
        <f>VLOOKUP(B1468,'LISTA 12'!$A$2:$G$301400,5,0)</f>
        <v>#N/A</v>
      </c>
      <c r="F1468" s="121" t="e">
        <f>VLOOKUP(B1468,'LISTA 12'!$A$2:$G$30100,7,0)</f>
        <v>#N/A</v>
      </c>
      <c r="G1468" s="254" t="e">
        <f>VLOOKUP(H1468,'lista 3'!$A$1:$C$31467,3,0)</f>
        <v>#N/A</v>
      </c>
      <c r="H1468" s="134"/>
      <c r="I1468" s="136"/>
      <c r="J1468" s="135"/>
      <c r="K1468" s="22"/>
    </row>
    <row r="1469" spans="1:11">
      <c r="A1469" s="241" t="e">
        <f>VLOOKUP(B1469,'lista 1'!$A$2:$E$30100,4,0)</f>
        <v>#N/A</v>
      </c>
      <c r="B1469" s="123"/>
      <c r="C1469" s="133" t="e">
        <f>VLOOKUP(B1469,'lista 1'!$A$2:$E$31000,5,0)</f>
        <v>#N/A</v>
      </c>
      <c r="D1469" s="167" t="e">
        <f>VLOOKUP(E1469,'lista obszary'!A:B,2,0)</f>
        <v>#N/A</v>
      </c>
      <c r="E1469" s="128" t="e">
        <f>VLOOKUP(B1469,'LISTA 12'!$A$2:$G$301400,5,0)</f>
        <v>#N/A</v>
      </c>
      <c r="F1469" s="121" t="e">
        <f>VLOOKUP(B1469,'LISTA 12'!$A$2:$G$30100,7,0)</f>
        <v>#N/A</v>
      </c>
      <c r="G1469" s="254" t="e">
        <f>VLOOKUP(H1469,'lista 3'!$A$1:$C$31467,3,0)</f>
        <v>#N/A</v>
      </c>
      <c r="H1469" s="134"/>
      <c r="I1469" s="136"/>
      <c r="J1469" s="135"/>
      <c r="K1469" s="22"/>
    </row>
    <row r="1470" spans="1:11">
      <c r="A1470" s="241" t="e">
        <f>VLOOKUP(B1470,'lista 1'!$A$2:$E$30100,4,0)</f>
        <v>#N/A</v>
      </c>
      <c r="B1470" s="123"/>
      <c r="C1470" s="133" t="e">
        <f>VLOOKUP(B1470,'lista 1'!$A$2:$E$31000,5,0)</f>
        <v>#N/A</v>
      </c>
      <c r="D1470" s="167" t="e">
        <f>VLOOKUP(E1470,'lista obszary'!A:B,2,0)</f>
        <v>#N/A</v>
      </c>
      <c r="E1470" s="128" t="e">
        <f>VLOOKUP(B1470,'LISTA 12'!$A$2:$G$301400,5,0)</f>
        <v>#N/A</v>
      </c>
      <c r="F1470" s="121" t="e">
        <f>VLOOKUP(B1470,'LISTA 12'!$A$2:$G$30100,7,0)</f>
        <v>#N/A</v>
      </c>
      <c r="G1470" s="254" t="e">
        <f>VLOOKUP(H1470,'lista 3'!$A$1:$C$31467,3,0)</f>
        <v>#N/A</v>
      </c>
      <c r="H1470" s="134"/>
      <c r="I1470" s="136"/>
      <c r="J1470" s="135"/>
      <c r="K1470" s="22"/>
    </row>
    <row r="1471" spans="1:11">
      <c r="A1471" s="241" t="e">
        <f>VLOOKUP(B1471,'lista 1'!$A$2:$E$30100,4,0)</f>
        <v>#N/A</v>
      </c>
      <c r="B1471" s="123"/>
      <c r="C1471" s="133" t="e">
        <f>VLOOKUP(B1471,'lista 1'!$A$2:$E$31000,5,0)</f>
        <v>#N/A</v>
      </c>
      <c r="D1471" s="167" t="e">
        <f>VLOOKUP(E1471,'lista obszary'!A:B,2,0)</f>
        <v>#N/A</v>
      </c>
      <c r="E1471" s="128" t="e">
        <f>VLOOKUP(B1471,'LISTA 12'!$A$2:$G$301400,5,0)</f>
        <v>#N/A</v>
      </c>
      <c r="F1471" s="121" t="e">
        <f>VLOOKUP(B1471,'LISTA 12'!$A$2:$G$30100,7,0)</f>
        <v>#N/A</v>
      </c>
      <c r="G1471" s="254" t="e">
        <f>VLOOKUP(H1471,'lista 3'!$A$1:$C$31467,3,0)</f>
        <v>#N/A</v>
      </c>
      <c r="H1471" s="134"/>
      <c r="I1471" s="136"/>
      <c r="J1471" s="135"/>
      <c r="K1471" s="22"/>
    </row>
    <row r="1472" spans="1:11">
      <c r="A1472" s="241" t="e">
        <f>VLOOKUP(B1472,'lista 1'!$A$2:$E$30100,4,0)</f>
        <v>#N/A</v>
      </c>
      <c r="B1472" s="123"/>
      <c r="C1472" s="133" t="e">
        <f>VLOOKUP(B1472,'lista 1'!$A$2:$E$31000,5,0)</f>
        <v>#N/A</v>
      </c>
      <c r="D1472" s="167" t="e">
        <f>VLOOKUP(E1472,'lista obszary'!A:B,2,0)</f>
        <v>#N/A</v>
      </c>
      <c r="E1472" s="128" t="e">
        <f>VLOOKUP(B1472,'LISTA 12'!$A$2:$G$301400,5,0)</f>
        <v>#N/A</v>
      </c>
      <c r="F1472" s="121" t="e">
        <f>VLOOKUP(B1472,'LISTA 12'!$A$2:$G$30100,7,0)</f>
        <v>#N/A</v>
      </c>
      <c r="G1472" s="254" t="e">
        <f>VLOOKUP(H1472,'lista 3'!$A$1:$C$31467,3,0)</f>
        <v>#N/A</v>
      </c>
      <c r="H1472" s="134"/>
      <c r="I1472" s="136"/>
      <c r="J1472" s="135"/>
      <c r="K1472" s="22"/>
    </row>
    <row r="1473" spans="1:11">
      <c r="A1473" s="241" t="e">
        <f>VLOOKUP(B1473,'lista 1'!$A$2:$E$30100,4,0)</f>
        <v>#N/A</v>
      </c>
      <c r="B1473" s="123"/>
      <c r="C1473" s="133" t="e">
        <f>VLOOKUP(B1473,'lista 1'!$A$2:$E$31000,5,0)</f>
        <v>#N/A</v>
      </c>
      <c r="D1473" s="167" t="e">
        <f>VLOOKUP(E1473,'lista obszary'!A:B,2,0)</f>
        <v>#N/A</v>
      </c>
      <c r="E1473" s="128" t="e">
        <f>VLOOKUP(B1473,'LISTA 12'!$A$2:$G$301400,5,0)</f>
        <v>#N/A</v>
      </c>
      <c r="F1473" s="121" t="e">
        <f>VLOOKUP(B1473,'LISTA 12'!$A$2:$G$30100,7,0)</f>
        <v>#N/A</v>
      </c>
      <c r="G1473" s="254" t="e">
        <f>VLOOKUP(H1473,'lista 3'!$A$1:$C$31467,3,0)</f>
        <v>#N/A</v>
      </c>
      <c r="H1473" s="134"/>
      <c r="I1473" s="136"/>
      <c r="J1473" s="135"/>
      <c r="K1473" s="22"/>
    </row>
    <row r="1474" spans="1:11">
      <c r="A1474" s="241" t="e">
        <f>VLOOKUP(B1474,'lista 1'!$A$2:$E$30100,4,0)</f>
        <v>#N/A</v>
      </c>
      <c r="B1474" s="123"/>
      <c r="C1474" s="133" t="e">
        <f>VLOOKUP(B1474,'lista 1'!$A$2:$E$31000,5,0)</f>
        <v>#N/A</v>
      </c>
      <c r="D1474" s="167" t="e">
        <f>VLOOKUP(E1474,'lista obszary'!A:B,2,0)</f>
        <v>#N/A</v>
      </c>
      <c r="E1474" s="128" t="e">
        <f>VLOOKUP(B1474,'LISTA 12'!$A$2:$G$301400,5,0)</f>
        <v>#N/A</v>
      </c>
      <c r="F1474" s="121" t="e">
        <f>VLOOKUP(B1474,'LISTA 12'!$A$2:$G$30100,7,0)</f>
        <v>#N/A</v>
      </c>
      <c r="G1474" s="254" t="e">
        <f>VLOOKUP(H1474,'lista 3'!$A$1:$C$31467,3,0)</f>
        <v>#N/A</v>
      </c>
      <c r="H1474" s="134"/>
      <c r="I1474" s="136"/>
      <c r="J1474" s="135"/>
      <c r="K1474" s="22"/>
    </row>
    <row r="1475" spans="1:11">
      <c r="A1475" s="241" t="e">
        <f>VLOOKUP(B1475,'lista 1'!$A$2:$E$30100,4,0)</f>
        <v>#N/A</v>
      </c>
      <c r="B1475" s="123"/>
      <c r="C1475" s="133" t="e">
        <f>VLOOKUP(B1475,'lista 1'!$A$2:$E$31000,5,0)</f>
        <v>#N/A</v>
      </c>
      <c r="D1475" s="167" t="e">
        <f>VLOOKUP(E1475,'lista obszary'!A:B,2,0)</f>
        <v>#N/A</v>
      </c>
      <c r="E1475" s="128" t="e">
        <f>VLOOKUP(B1475,'LISTA 12'!$A$2:$G$301400,5,0)</f>
        <v>#N/A</v>
      </c>
      <c r="F1475" s="121" t="e">
        <f>VLOOKUP(B1475,'LISTA 12'!$A$2:$G$30100,7,0)</f>
        <v>#N/A</v>
      </c>
      <c r="G1475" s="254" t="e">
        <f>VLOOKUP(H1475,'lista 3'!$A$1:$C$31467,3,0)</f>
        <v>#N/A</v>
      </c>
      <c r="H1475" s="134"/>
      <c r="I1475" s="136"/>
      <c r="J1475" s="135"/>
      <c r="K1475" s="22"/>
    </row>
    <row r="1476" spans="1:11">
      <c r="A1476" s="241" t="e">
        <f>VLOOKUP(B1476,'lista 1'!$A$2:$E$30100,4,0)</f>
        <v>#N/A</v>
      </c>
      <c r="B1476" s="123"/>
      <c r="C1476" s="133" t="e">
        <f>VLOOKUP(B1476,'lista 1'!$A$2:$E$31000,5,0)</f>
        <v>#N/A</v>
      </c>
      <c r="D1476" s="167" t="e">
        <f>VLOOKUP(E1476,'lista obszary'!A:B,2,0)</f>
        <v>#N/A</v>
      </c>
      <c r="E1476" s="128" t="e">
        <f>VLOOKUP(B1476,'LISTA 12'!$A$2:$G$301400,5,0)</f>
        <v>#N/A</v>
      </c>
      <c r="F1476" s="121" t="e">
        <f>VLOOKUP(B1476,'LISTA 12'!$A$2:$G$30100,7,0)</f>
        <v>#N/A</v>
      </c>
      <c r="G1476" s="254" t="e">
        <f>VLOOKUP(H1476,'lista 3'!$A$1:$C$31467,3,0)</f>
        <v>#N/A</v>
      </c>
      <c r="H1476" s="134"/>
      <c r="I1476" s="136"/>
      <c r="J1476" s="135"/>
      <c r="K1476" s="22"/>
    </row>
    <row r="1477" spans="1:11">
      <c r="A1477" s="241" t="e">
        <f>VLOOKUP(B1477,'lista 1'!$A$2:$E$30100,4,0)</f>
        <v>#N/A</v>
      </c>
      <c r="B1477" s="123"/>
      <c r="C1477" s="133" t="e">
        <f>VLOOKUP(B1477,'lista 1'!$A$2:$E$31000,5,0)</f>
        <v>#N/A</v>
      </c>
      <c r="D1477" s="167" t="e">
        <f>VLOOKUP(E1477,'lista obszary'!A:B,2,0)</f>
        <v>#N/A</v>
      </c>
      <c r="E1477" s="128" t="e">
        <f>VLOOKUP(B1477,'LISTA 12'!$A$2:$G$301400,5,0)</f>
        <v>#N/A</v>
      </c>
      <c r="F1477" s="121" t="e">
        <f>VLOOKUP(B1477,'LISTA 12'!$A$2:$G$30100,7,0)</f>
        <v>#N/A</v>
      </c>
      <c r="G1477" s="254" t="e">
        <f>VLOOKUP(H1477,'lista 3'!$A$1:$C$31467,3,0)</f>
        <v>#N/A</v>
      </c>
      <c r="H1477" s="134"/>
      <c r="I1477" s="136"/>
      <c r="J1477" s="135"/>
      <c r="K1477" s="22"/>
    </row>
    <row r="1478" spans="1:11">
      <c r="A1478" s="241" t="e">
        <f>VLOOKUP(B1478,'lista 1'!$A$2:$E$30100,4,0)</f>
        <v>#N/A</v>
      </c>
      <c r="B1478" s="123"/>
      <c r="C1478" s="133" t="e">
        <f>VLOOKUP(B1478,'lista 1'!$A$2:$E$31000,5,0)</f>
        <v>#N/A</v>
      </c>
      <c r="D1478" s="167" t="e">
        <f>VLOOKUP(E1478,'lista obszary'!A:B,2,0)</f>
        <v>#N/A</v>
      </c>
      <c r="E1478" s="128" t="e">
        <f>VLOOKUP(B1478,'LISTA 12'!$A$2:$G$301400,5,0)</f>
        <v>#N/A</v>
      </c>
      <c r="F1478" s="121" t="e">
        <f>VLOOKUP(B1478,'LISTA 12'!$A$2:$G$30100,7,0)</f>
        <v>#N/A</v>
      </c>
      <c r="G1478" s="254" t="e">
        <f>VLOOKUP(H1478,'lista 3'!$A$1:$C$31467,3,0)</f>
        <v>#N/A</v>
      </c>
      <c r="H1478" s="134"/>
      <c r="I1478" s="136"/>
      <c r="J1478" s="135"/>
      <c r="K1478" s="22"/>
    </row>
    <row r="1479" spans="1:11">
      <c r="A1479" s="241" t="e">
        <f>VLOOKUP(B1479,'lista 1'!$A$2:$E$30100,4,0)</f>
        <v>#N/A</v>
      </c>
      <c r="B1479" s="123"/>
      <c r="C1479" s="133" t="e">
        <f>VLOOKUP(B1479,'lista 1'!$A$2:$E$31000,5,0)</f>
        <v>#N/A</v>
      </c>
      <c r="D1479" s="167" t="e">
        <f>VLOOKUP(E1479,'lista obszary'!A:B,2,0)</f>
        <v>#N/A</v>
      </c>
      <c r="E1479" s="128" t="e">
        <f>VLOOKUP(B1479,'LISTA 12'!$A$2:$G$301400,5,0)</f>
        <v>#N/A</v>
      </c>
      <c r="F1479" s="121" t="e">
        <f>VLOOKUP(B1479,'LISTA 12'!$A$2:$G$30100,7,0)</f>
        <v>#N/A</v>
      </c>
      <c r="G1479" s="254" t="e">
        <f>VLOOKUP(H1479,'lista 3'!$A$1:$C$31467,3,0)</f>
        <v>#N/A</v>
      </c>
      <c r="H1479" s="134"/>
      <c r="I1479" s="136"/>
      <c r="J1479" s="135"/>
      <c r="K1479" s="22"/>
    </row>
    <row r="1480" spans="1:11">
      <c r="A1480" s="241" t="e">
        <f>VLOOKUP(B1480,'lista 1'!$A$2:$E$30100,4,0)</f>
        <v>#N/A</v>
      </c>
      <c r="B1480" s="123"/>
      <c r="C1480" s="133" t="e">
        <f>VLOOKUP(B1480,'lista 1'!$A$2:$E$31000,5,0)</f>
        <v>#N/A</v>
      </c>
      <c r="D1480" s="167" t="e">
        <f>VLOOKUP(E1480,'lista obszary'!A:B,2,0)</f>
        <v>#N/A</v>
      </c>
      <c r="E1480" s="128" t="e">
        <f>VLOOKUP(B1480,'LISTA 12'!$A$2:$G$301400,5,0)</f>
        <v>#N/A</v>
      </c>
      <c r="F1480" s="121" t="e">
        <f>VLOOKUP(B1480,'LISTA 12'!$A$2:$G$30100,7,0)</f>
        <v>#N/A</v>
      </c>
      <c r="G1480" s="254" t="e">
        <f>VLOOKUP(H1480,'lista 3'!$A$1:$C$31467,3,0)</f>
        <v>#N/A</v>
      </c>
      <c r="H1480" s="134"/>
      <c r="I1480" s="136"/>
      <c r="J1480" s="135"/>
      <c r="K1480" s="22"/>
    </row>
    <row r="1481" spans="1:11">
      <c r="A1481" s="241" t="e">
        <f>VLOOKUP(B1481,'lista 1'!$A$2:$E$30100,4,0)</f>
        <v>#N/A</v>
      </c>
      <c r="B1481" s="123"/>
      <c r="C1481" s="133" t="e">
        <f>VLOOKUP(B1481,'lista 1'!$A$2:$E$31000,5,0)</f>
        <v>#N/A</v>
      </c>
      <c r="D1481" s="167" t="e">
        <f>VLOOKUP(E1481,'lista obszary'!A:B,2,0)</f>
        <v>#N/A</v>
      </c>
      <c r="E1481" s="128" t="e">
        <f>VLOOKUP(B1481,'LISTA 12'!$A$2:$G$301400,5,0)</f>
        <v>#N/A</v>
      </c>
      <c r="F1481" s="121" t="e">
        <f>VLOOKUP(B1481,'LISTA 12'!$A$2:$G$30100,7,0)</f>
        <v>#N/A</v>
      </c>
      <c r="G1481" s="254" t="e">
        <f>VLOOKUP(H1481,'lista 3'!$A$1:$C$31467,3,0)</f>
        <v>#N/A</v>
      </c>
      <c r="H1481" s="134"/>
      <c r="I1481" s="136"/>
      <c r="J1481" s="135"/>
      <c r="K1481" s="22"/>
    </row>
    <row r="1482" spans="1:11">
      <c r="A1482" s="241" t="e">
        <f>VLOOKUP(B1482,'lista 1'!$A$2:$E$30100,4,0)</f>
        <v>#N/A</v>
      </c>
      <c r="B1482" s="123"/>
      <c r="C1482" s="133" t="e">
        <f>VLOOKUP(B1482,'lista 1'!$A$2:$E$31000,5,0)</f>
        <v>#N/A</v>
      </c>
      <c r="D1482" s="167" t="e">
        <f>VLOOKUP(E1482,'lista obszary'!A:B,2,0)</f>
        <v>#N/A</v>
      </c>
      <c r="E1482" s="128" t="e">
        <f>VLOOKUP(B1482,'LISTA 12'!$A$2:$G$301400,5,0)</f>
        <v>#N/A</v>
      </c>
      <c r="F1482" s="121" t="e">
        <f>VLOOKUP(B1482,'LISTA 12'!$A$2:$G$30100,7,0)</f>
        <v>#N/A</v>
      </c>
      <c r="G1482" s="254" t="e">
        <f>VLOOKUP(H1482,'lista 3'!$A$1:$C$31467,3,0)</f>
        <v>#N/A</v>
      </c>
      <c r="H1482" s="134"/>
      <c r="I1482" s="136"/>
      <c r="J1482" s="135"/>
      <c r="K1482" s="22"/>
    </row>
    <row r="1483" spans="1:11">
      <c r="A1483" s="241" t="e">
        <f>VLOOKUP(B1483,'lista 1'!$A$2:$E$30100,4,0)</f>
        <v>#N/A</v>
      </c>
      <c r="B1483" s="123"/>
      <c r="C1483" s="133" t="e">
        <f>VLOOKUP(B1483,'lista 1'!$A$2:$E$31000,5,0)</f>
        <v>#N/A</v>
      </c>
      <c r="D1483" s="167" t="e">
        <f>VLOOKUP(E1483,'lista obszary'!A:B,2,0)</f>
        <v>#N/A</v>
      </c>
      <c r="E1483" s="128" t="e">
        <f>VLOOKUP(B1483,'LISTA 12'!$A$2:$G$301400,5,0)</f>
        <v>#N/A</v>
      </c>
      <c r="F1483" s="121" t="e">
        <f>VLOOKUP(B1483,'LISTA 12'!$A$2:$G$30100,7,0)</f>
        <v>#N/A</v>
      </c>
      <c r="G1483" s="254" t="e">
        <f>VLOOKUP(H1483,'lista 3'!$A$1:$C$31467,3,0)</f>
        <v>#N/A</v>
      </c>
      <c r="H1483" s="134"/>
      <c r="I1483" s="136"/>
      <c r="J1483" s="135"/>
      <c r="K1483" s="22"/>
    </row>
    <row r="1484" spans="1:11">
      <c r="A1484" s="241" t="e">
        <f>VLOOKUP(B1484,'lista 1'!$A$2:$E$30100,4,0)</f>
        <v>#N/A</v>
      </c>
      <c r="B1484" s="123"/>
      <c r="C1484" s="133" t="e">
        <f>VLOOKUP(B1484,'lista 1'!$A$2:$E$31000,5,0)</f>
        <v>#N/A</v>
      </c>
      <c r="D1484" s="167" t="e">
        <f>VLOOKUP(E1484,'lista obszary'!A:B,2,0)</f>
        <v>#N/A</v>
      </c>
      <c r="E1484" s="128" t="e">
        <f>VLOOKUP(B1484,'LISTA 12'!$A$2:$G$301400,5,0)</f>
        <v>#N/A</v>
      </c>
      <c r="F1484" s="121" t="e">
        <f>VLOOKUP(B1484,'LISTA 12'!$A$2:$G$30100,7,0)</f>
        <v>#N/A</v>
      </c>
      <c r="G1484" s="254" t="e">
        <f>VLOOKUP(H1484,'lista 3'!$A$1:$C$31467,3,0)</f>
        <v>#N/A</v>
      </c>
      <c r="H1484" s="134"/>
      <c r="I1484" s="136"/>
      <c r="J1484" s="135"/>
      <c r="K1484" s="22"/>
    </row>
    <row r="1485" spans="1:11">
      <c r="A1485" s="241" t="e">
        <f>VLOOKUP(B1485,'lista 1'!$A$2:$E$30100,4,0)</f>
        <v>#N/A</v>
      </c>
      <c r="B1485" s="123"/>
      <c r="C1485" s="133" t="e">
        <f>VLOOKUP(B1485,'lista 1'!$A$2:$E$31000,5,0)</f>
        <v>#N/A</v>
      </c>
      <c r="D1485" s="167" t="e">
        <f>VLOOKUP(E1485,'lista obszary'!A:B,2,0)</f>
        <v>#N/A</v>
      </c>
      <c r="E1485" s="128" t="e">
        <f>VLOOKUP(B1485,'LISTA 12'!$A$2:$G$301400,5,0)</f>
        <v>#N/A</v>
      </c>
      <c r="F1485" s="121" t="e">
        <f>VLOOKUP(B1485,'LISTA 12'!$A$2:$G$30100,7,0)</f>
        <v>#N/A</v>
      </c>
      <c r="G1485" s="254" t="e">
        <f>VLOOKUP(H1485,'lista 3'!$A$1:$C$31467,3,0)</f>
        <v>#N/A</v>
      </c>
      <c r="H1485" s="134"/>
      <c r="I1485" s="136"/>
      <c r="J1485" s="135"/>
      <c r="K1485" s="22"/>
    </row>
    <row r="1486" spans="1:11">
      <c r="A1486" s="241" t="e">
        <f>VLOOKUP(B1486,'lista 1'!$A$2:$E$30100,4,0)</f>
        <v>#N/A</v>
      </c>
      <c r="B1486" s="123"/>
      <c r="C1486" s="133" t="e">
        <f>VLOOKUP(B1486,'lista 1'!$A$2:$E$31000,5,0)</f>
        <v>#N/A</v>
      </c>
      <c r="D1486" s="167" t="e">
        <f>VLOOKUP(E1486,'lista obszary'!A:B,2,0)</f>
        <v>#N/A</v>
      </c>
      <c r="E1486" s="128" t="e">
        <f>VLOOKUP(B1486,'LISTA 12'!$A$2:$G$301400,5,0)</f>
        <v>#N/A</v>
      </c>
      <c r="F1486" s="121" t="e">
        <f>VLOOKUP(B1486,'LISTA 12'!$A$2:$G$30100,7,0)</f>
        <v>#N/A</v>
      </c>
      <c r="G1486" s="254" t="e">
        <f>VLOOKUP(H1486,'lista 3'!$A$1:$C$31467,3,0)</f>
        <v>#N/A</v>
      </c>
      <c r="H1486" s="134"/>
      <c r="I1486" s="136"/>
      <c r="J1486" s="135"/>
      <c r="K1486" s="22"/>
    </row>
    <row r="1487" spans="1:11">
      <c r="A1487" s="241" t="e">
        <f>VLOOKUP(B1487,'lista 1'!$A$2:$E$30100,4,0)</f>
        <v>#N/A</v>
      </c>
      <c r="B1487" s="123"/>
      <c r="C1487" s="133" t="e">
        <f>VLOOKUP(B1487,'lista 1'!$A$2:$E$31000,5,0)</f>
        <v>#N/A</v>
      </c>
      <c r="D1487" s="167" t="e">
        <f>VLOOKUP(E1487,'lista obszary'!A:B,2,0)</f>
        <v>#N/A</v>
      </c>
      <c r="E1487" s="128" t="e">
        <f>VLOOKUP(B1487,'LISTA 12'!$A$2:$G$301400,5,0)</f>
        <v>#N/A</v>
      </c>
      <c r="F1487" s="121" t="e">
        <f>VLOOKUP(B1487,'LISTA 12'!$A$2:$G$30100,7,0)</f>
        <v>#N/A</v>
      </c>
      <c r="G1487" s="254" t="e">
        <f>VLOOKUP(H1487,'lista 3'!$A$1:$C$31467,3,0)</f>
        <v>#N/A</v>
      </c>
      <c r="H1487" s="134"/>
      <c r="I1487" s="136"/>
      <c r="J1487" s="135"/>
      <c r="K1487" s="22"/>
    </row>
    <row r="1488" spans="1:11">
      <c r="A1488" s="241" t="e">
        <f>VLOOKUP(B1488,'lista 1'!$A$2:$E$30100,4,0)</f>
        <v>#N/A</v>
      </c>
      <c r="B1488" s="123"/>
      <c r="C1488" s="133" t="e">
        <f>VLOOKUP(B1488,'lista 1'!$A$2:$E$31000,5,0)</f>
        <v>#N/A</v>
      </c>
      <c r="D1488" s="167" t="e">
        <f>VLOOKUP(E1488,'lista obszary'!A:B,2,0)</f>
        <v>#N/A</v>
      </c>
      <c r="E1488" s="128" t="e">
        <f>VLOOKUP(B1488,'LISTA 12'!$A$2:$G$301400,5,0)</f>
        <v>#N/A</v>
      </c>
      <c r="F1488" s="121" t="e">
        <f>VLOOKUP(B1488,'LISTA 12'!$A$2:$G$30100,7,0)</f>
        <v>#N/A</v>
      </c>
      <c r="G1488" s="254" t="e">
        <f>VLOOKUP(H1488,'lista 3'!$A$1:$C$31467,3,0)</f>
        <v>#N/A</v>
      </c>
      <c r="H1488" s="134"/>
      <c r="I1488" s="136"/>
      <c r="J1488" s="135"/>
      <c r="K1488" s="22"/>
    </row>
    <row r="1489" spans="1:11">
      <c r="A1489" s="241" t="e">
        <f>VLOOKUP(B1489,'lista 1'!$A$2:$E$30100,4,0)</f>
        <v>#N/A</v>
      </c>
      <c r="B1489" s="123"/>
      <c r="C1489" s="133" t="e">
        <f>VLOOKUP(B1489,'lista 1'!$A$2:$E$31000,5,0)</f>
        <v>#N/A</v>
      </c>
      <c r="D1489" s="167" t="e">
        <f>VLOOKUP(E1489,'lista obszary'!A:B,2,0)</f>
        <v>#N/A</v>
      </c>
      <c r="E1489" s="128" t="e">
        <f>VLOOKUP(B1489,'LISTA 12'!$A$2:$G$301400,5,0)</f>
        <v>#N/A</v>
      </c>
      <c r="F1489" s="121" t="e">
        <f>VLOOKUP(B1489,'LISTA 12'!$A$2:$G$30100,7,0)</f>
        <v>#N/A</v>
      </c>
      <c r="G1489" s="254" t="e">
        <f>VLOOKUP(H1489,'lista 3'!$A$1:$C$31467,3,0)</f>
        <v>#N/A</v>
      </c>
      <c r="H1489" s="134"/>
      <c r="I1489" s="136"/>
      <c r="J1489" s="135"/>
      <c r="K1489" s="22"/>
    </row>
    <row r="1490" spans="1:11">
      <c r="A1490" s="241" t="e">
        <f>VLOOKUP(B1490,'lista 1'!$A$2:$E$30100,4,0)</f>
        <v>#N/A</v>
      </c>
      <c r="B1490" s="123"/>
      <c r="C1490" s="133" t="e">
        <f>VLOOKUP(B1490,'lista 1'!$A$2:$E$31000,5,0)</f>
        <v>#N/A</v>
      </c>
      <c r="D1490" s="167" t="e">
        <f>VLOOKUP(E1490,'lista obszary'!A:B,2,0)</f>
        <v>#N/A</v>
      </c>
      <c r="E1490" s="128" t="e">
        <f>VLOOKUP(B1490,'LISTA 12'!$A$2:$G$301400,5,0)</f>
        <v>#N/A</v>
      </c>
      <c r="F1490" s="121" t="e">
        <f>VLOOKUP(B1490,'LISTA 12'!$A$2:$G$30100,7,0)</f>
        <v>#N/A</v>
      </c>
      <c r="G1490" s="254" t="e">
        <f>VLOOKUP(H1490,'lista 3'!$A$1:$C$31467,3,0)</f>
        <v>#N/A</v>
      </c>
      <c r="H1490" s="134"/>
      <c r="I1490" s="136"/>
      <c r="J1490" s="135"/>
      <c r="K1490" s="22"/>
    </row>
    <row r="1491" spans="1:11">
      <c r="A1491" s="241" t="e">
        <f>VLOOKUP(B1491,'lista 1'!$A$2:$E$30100,4,0)</f>
        <v>#N/A</v>
      </c>
      <c r="B1491" s="123"/>
      <c r="C1491" s="133" t="e">
        <f>VLOOKUP(B1491,'lista 1'!$A$2:$E$31000,5,0)</f>
        <v>#N/A</v>
      </c>
      <c r="D1491" s="167" t="e">
        <f>VLOOKUP(E1491,'lista obszary'!A:B,2,0)</f>
        <v>#N/A</v>
      </c>
      <c r="E1491" s="128" t="e">
        <f>VLOOKUP(B1491,'LISTA 12'!$A$2:$G$301400,5,0)</f>
        <v>#N/A</v>
      </c>
      <c r="F1491" s="121" t="e">
        <f>VLOOKUP(B1491,'LISTA 12'!$A$2:$G$30100,7,0)</f>
        <v>#N/A</v>
      </c>
      <c r="G1491" s="254" t="e">
        <f>VLOOKUP(H1491,'lista 3'!$A$1:$C$31467,3,0)</f>
        <v>#N/A</v>
      </c>
      <c r="H1491" s="134"/>
      <c r="I1491" s="136"/>
      <c r="J1491" s="135"/>
      <c r="K1491" s="22"/>
    </row>
    <row r="1492" spans="1:11">
      <c r="A1492" s="241" t="e">
        <f>VLOOKUP(B1492,'lista 1'!$A$2:$E$30100,4,0)</f>
        <v>#N/A</v>
      </c>
      <c r="B1492" s="123"/>
      <c r="C1492" s="133" t="e">
        <f>VLOOKUP(B1492,'lista 1'!$A$2:$E$31000,5,0)</f>
        <v>#N/A</v>
      </c>
      <c r="D1492" s="167" t="e">
        <f>VLOOKUP(E1492,'lista obszary'!A:B,2,0)</f>
        <v>#N/A</v>
      </c>
      <c r="E1492" s="128" t="e">
        <f>VLOOKUP(B1492,'LISTA 12'!$A$2:$G$301400,5,0)</f>
        <v>#N/A</v>
      </c>
      <c r="F1492" s="121" t="e">
        <f>VLOOKUP(B1492,'LISTA 12'!$A$2:$G$30100,7,0)</f>
        <v>#N/A</v>
      </c>
      <c r="G1492" s="254" t="e">
        <f>VLOOKUP(H1492,'lista 3'!$A$1:$C$31467,3,0)</f>
        <v>#N/A</v>
      </c>
      <c r="H1492" s="134"/>
      <c r="I1492" s="136"/>
      <c r="J1492" s="135"/>
      <c r="K1492" s="22"/>
    </row>
    <row r="1493" spans="1:11">
      <c r="A1493" s="241" t="e">
        <f>VLOOKUP(B1493,'lista 1'!$A$2:$E$30100,4,0)</f>
        <v>#N/A</v>
      </c>
      <c r="B1493" s="123"/>
      <c r="C1493" s="133" t="e">
        <f>VLOOKUP(B1493,'lista 1'!$A$2:$E$31000,5,0)</f>
        <v>#N/A</v>
      </c>
      <c r="D1493" s="167" t="e">
        <f>VLOOKUP(E1493,'lista obszary'!A:B,2,0)</f>
        <v>#N/A</v>
      </c>
      <c r="E1493" s="128" t="e">
        <f>VLOOKUP(B1493,'LISTA 12'!$A$2:$G$301400,5,0)</f>
        <v>#N/A</v>
      </c>
      <c r="F1493" s="121" t="e">
        <f>VLOOKUP(B1493,'LISTA 12'!$A$2:$G$30100,7,0)</f>
        <v>#N/A</v>
      </c>
      <c r="G1493" s="254" t="e">
        <f>VLOOKUP(H1493,'lista 3'!$A$1:$C$31467,3,0)</f>
        <v>#N/A</v>
      </c>
      <c r="H1493" s="134"/>
      <c r="I1493" s="136"/>
      <c r="J1493" s="135"/>
      <c r="K1493" s="22"/>
    </row>
    <row r="1494" spans="1:11">
      <c r="A1494" s="241" t="e">
        <f>VLOOKUP(B1494,'lista 1'!$A$2:$E$30100,4,0)</f>
        <v>#N/A</v>
      </c>
      <c r="B1494" s="123"/>
      <c r="C1494" s="133" t="e">
        <f>VLOOKUP(B1494,'lista 1'!$A$2:$E$31000,5,0)</f>
        <v>#N/A</v>
      </c>
      <c r="D1494" s="167" t="e">
        <f>VLOOKUP(E1494,'lista obszary'!A:B,2,0)</f>
        <v>#N/A</v>
      </c>
      <c r="E1494" s="128" t="e">
        <f>VLOOKUP(B1494,'LISTA 12'!$A$2:$G$301400,5,0)</f>
        <v>#N/A</v>
      </c>
      <c r="F1494" s="121" t="e">
        <f>VLOOKUP(B1494,'LISTA 12'!$A$2:$G$30100,7,0)</f>
        <v>#N/A</v>
      </c>
      <c r="G1494" s="254" t="e">
        <f>VLOOKUP(H1494,'lista 3'!$A$1:$C$31467,3,0)</f>
        <v>#N/A</v>
      </c>
      <c r="H1494" s="134"/>
      <c r="I1494" s="136"/>
      <c r="J1494" s="135"/>
      <c r="K1494" s="22"/>
    </row>
    <row r="1495" spans="1:11">
      <c r="A1495" s="241" t="e">
        <f>VLOOKUP(B1495,'lista 1'!$A$2:$E$30100,4,0)</f>
        <v>#N/A</v>
      </c>
      <c r="B1495" s="123"/>
      <c r="C1495" s="133" t="e">
        <f>VLOOKUP(B1495,'lista 1'!$A$2:$E$31000,5,0)</f>
        <v>#N/A</v>
      </c>
      <c r="D1495" s="167" t="e">
        <f>VLOOKUP(E1495,'lista obszary'!A:B,2,0)</f>
        <v>#N/A</v>
      </c>
      <c r="E1495" s="128" t="e">
        <f>VLOOKUP(B1495,'LISTA 12'!$A$2:$G$301400,5,0)</f>
        <v>#N/A</v>
      </c>
      <c r="F1495" s="121" t="e">
        <f>VLOOKUP(B1495,'LISTA 12'!$A$2:$G$30100,7,0)</f>
        <v>#N/A</v>
      </c>
      <c r="G1495" s="254" t="e">
        <f>VLOOKUP(H1495,'lista 3'!$A$1:$C$31467,3,0)</f>
        <v>#N/A</v>
      </c>
      <c r="H1495" s="134"/>
      <c r="I1495" s="136"/>
      <c r="J1495" s="135"/>
      <c r="K1495" s="22"/>
    </row>
    <row r="1496" spans="1:11">
      <c r="A1496" s="241" t="e">
        <f>VLOOKUP(B1496,'lista 1'!$A$2:$E$30100,4,0)</f>
        <v>#N/A</v>
      </c>
      <c r="B1496" s="123"/>
      <c r="C1496" s="133" t="e">
        <f>VLOOKUP(B1496,'lista 1'!$A$2:$E$31000,5,0)</f>
        <v>#N/A</v>
      </c>
      <c r="D1496" s="167" t="e">
        <f>VLOOKUP(E1496,'lista obszary'!A:B,2,0)</f>
        <v>#N/A</v>
      </c>
      <c r="E1496" s="128" t="e">
        <f>VLOOKUP(B1496,'LISTA 12'!$A$2:$G$301400,5,0)</f>
        <v>#N/A</v>
      </c>
      <c r="F1496" s="121" t="e">
        <f>VLOOKUP(B1496,'LISTA 12'!$A$2:$G$30100,7,0)</f>
        <v>#N/A</v>
      </c>
      <c r="G1496" s="254" t="e">
        <f>VLOOKUP(H1496,'lista 3'!$A$1:$C$31467,3,0)</f>
        <v>#N/A</v>
      </c>
      <c r="H1496" s="134"/>
      <c r="I1496" s="136"/>
      <c r="J1496" s="135"/>
      <c r="K1496" s="22"/>
    </row>
    <row r="1497" spans="1:11">
      <c r="A1497" s="241" t="e">
        <f>VLOOKUP(B1497,'lista 1'!$A$2:$E$30100,4,0)</f>
        <v>#N/A</v>
      </c>
      <c r="B1497" s="123"/>
      <c r="C1497" s="133" t="e">
        <f>VLOOKUP(B1497,'lista 1'!$A$2:$E$31000,5,0)</f>
        <v>#N/A</v>
      </c>
      <c r="D1497" s="167" t="e">
        <f>VLOOKUP(E1497,'lista obszary'!A:B,2,0)</f>
        <v>#N/A</v>
      </c>
      <c r="E1497" s="128" t="e">
        <f>VLOOKUP(B1497,'LISTA 12'!$A$2:$G$301400,5,0)</f>
        <v>#N/A</v>
      </c>
      <c r="F1497" s="121" t="e">
        <f>VLOOKUP(B1497,'LISTA 12'!$A$2:$G$30100,7,0)</f>
        <v>#N/A</v>
      </c>
      <c r="G1497" s="254" t="e">
        <f>VLOOKUP(H1497,'lista 3'!$A$1:$C$31467,3,0)</f>
        <v>#N/A</v>
      </c>
      <c r="H1497" s="134"/>
      <c r="I1497" s="136"/>
      <c r="J1497" s="135"/>
      <c r="K1497" s="22"/>
    </row>
    <row r="1498" spans="1:11">
      <c r="A1498" s="241" t="e">
        <f>VLOOKUP(B1498,'lista 1'!$A$2:$E$30100,4,0)</f>
        <v>#N/A</v>
      </c>
      <c r="B1498" s="123"/>
      <c r="C1498" s="133" t="e">
        <f>VLOOKUP(B1498,'lista 1'!$A$2:$E$31000,5,0)</f>
        <v>#N/A</v>
      </c>
      <c r="D1498" s="167" t="e">
        <f>VLOOKUP(E1498,'lista obszary'!A:B,2,0)</f>
        <v>#N/A</v>
      </c>
      <c r="E1498" s="128" t="e">
        <f>VLOOKUP(B1498,'LISTA 12'!$A$2:$G$301400,5,0)</f>
        <v>#N/A</v>
      </c>
      <c r="F1498" s="121" t="e">
        <f>VLOOKUP(B1498,'LISTA 12'!$A$2:$G$30100,7,0)</f>
        <v>#N/A</v>
      </c>
      <c r="G1498" s="254" t="e">
        <f>VLOOKUP(H1498,'lista 3'!$A$1:$C$31467,3,0)</f>
        <v>#N/A</v>
      </c>
      <c r="H1498" s="134"/>
      <c r="I1498" s="136"/>
      <c r="J1498" s="135"/>
      <c r="K1498" s="22"/>
    </row>
    <row r="1499" spans="1:11">
      <c r="A1499" s="241" t="e">
        <f>VLOOKUP(B1499,'lista 1'!$A$2:$E$30100,4,0)</f>
        <v>#N/A</v>
      </c>
      <c r="B1499" s="123"/>
      <c r="C1499" s="133" t="e">
        <f>VLOOKUP(B1499,'lista 1'!$A$2:$E$31000,5,0)</f>
        <v>#N/A</v>
      </c>
      <c r="D1499" s="167" t="e">
        <f>VLOOKUP(E1499,'lista obszary'!A:B,2,0)</f>
        <v>#N/A</v>
      </c>
      <c r="E1499" s="128" t="e">
        <f>VLOOKUP(B1499,'LISTA 12'!$A$2:$G$301400,5,0)</f>
        <v>#N/A</v>
      </c>
      <c r="F1499" s="121" t="e">
        <f>VLOOKUP(B1499,'LISTA 12'!$A$2:$G$30100,7,0)</f>
        <v>#N/A</v>
      </c>
      <c r="G1499" s="254" t="e">
        <f>VLOOKUP(H1499,'lista 3'!$A$1:$C$31467,3,0)</f>
        <v>#N/A</v>
      </c>
      <c r="H1499" s="134"/>
      <c r="I1499" s="136"/>
      <c r="J1499" s="135"/>
      <c r="K1499" s="22"/>
    </row>
    <row r="1500" spans="1:11">
      <c r="A1500" s="241" t="e">
        <f>VLOOKUP(B1500,'lista 1'!$A$2:$E$30100,4,0)</f>
        <v>#N/A</v>
      </c>
      <c r="B1500" s="123"/>
      <c r="C1500" s="133" t="e">
        <f>VLOOKUP(B1500,'lista 1'!$A$2:$E$31000,5,0)</f>
        <v>#N/A</v>
      </c>
      <c r="D1500" s="167" t="e">
        <f>VLOOKUP(E1500,'lista obszary'!A:B,2,0)</f>
        <v>#N/A</v>
      </c>
      <c r="E1500" s="128" t="e">
        <f>VLOOKUP(B1500,'LISTA 12'!$A$2:$G$301400,5,0)</f>
        <v>#N/A</v>
      </c>
      <c r="F1500" s="121" t="e">
        <f>VLOOKUP(B1500,'LISTA 12'!$A$2:$G$30100,7,0)</f>
        <v>#N/A</v>
      </c>
      <c r="G1500" s="254" t="e">
        <f>VLOOKUP(H1500,'lista 3'!$A$1:$C$31467,3,0)</f>
        <v>#N/A</v>
      </c>
      <c r="H1500" s="134"/>
      <c r="I1500" s="136"/>
      <c r="J1500" s="135"/>
      <c r="K1500" s="22"/>
    </row>
    <row r="1501" spans="1:11">
      <c r="A1501" s="241" t="e">
        <f>VLOOKUP(B1501,'lista 1'!$A$2:$E$30100,4,0)</f>
        <v>#N/A</v>
      </c>
      <c r="B1501" s="123"/>
      <c r="C1501" s="133" t="e">
        <f>VLOOKUP(B1501,'lista 1'!$A$2:$E$31000,5,0)</f>
        <v>#N/A</v>
      </c>
      <c r="D1501" s="167" t="e">
        <f>VLOOKUP(E1501,'lista obszary'!A:B,2,0)</f>
        <v>#N/A</v>
      </c>
      <c r="E1501" s="128" t="e">
        <f>VLOOKUP(B1501,'LISTA 12'!$A$2:$G$301400,5,0)</f>
        <v>#N/A</v>
      </c>
      <c r="F1501" s="121" t="e">
        <f>VLOOKUP(B1501,'LISTA 12'!$A$2:$G$30100,7,0)</f>
        <v>#N/A</v>
      </c>
      <c r="G1501" s="254" t="e">
        <f>VLOOKUP(H1501,'lista 3'!$A$1:$C$31467,3,0)</f>
        <v>#N/A</v>
      </c>
      <c r="H1501" s="134"/>
      <c r="I1501" s="136"/>
      <c r="J1501" s="135"/>
      <c r="K1501" s="22"/>
    </row>
    <row r="1502" spans="1:11">
      <c r="A1502" s="241" t="e">
        <f>VLOOKUP(B1502,'lista 1'!$A$2:$E$30100,4,0)</f>
        <v>#N/A</v>
      </c>
      <c r="B1502" s="123"/>
      <c r="C1502" s="133" t="e">
        <f>VLOOKUP(B1502,'lista 1'!$A$2:$E$31000,5,0)</f>
        <v>#N/A</v>
      </c>
      <c r="D1502" s="167" t="e">
        <f>VLOOKUP(E1502,'lista obszary'!A:B,2,0)</f>
        <v>#N/A</v>
      </c>
      <c r="E1502" s="128" t="e">
        <f>VLOOKUP(B1502,'LISTA 12'!$A$2:$G$301400,5,0)</f>
        <v>#N/A</v>
      </c>
      <c r="F1502" s="121" t="e">
        <f>VLOOKUP(B1502,'LISTA 12'!$A$2:$G$30100,7,0)</f>
        <v>#N/A</v>
      </c>
      <c r="G1502" s="254" t="e">
        <f>VLOOKUP(H1502,'lista 3'!$A$1:$C$31467,3,0)</f>
        <v>#N/A</v>
      </c>
      <c r="H1502" s="134"/>
      <c r="I1502" s="136"/>
      <c r="J1502" s="135"/>
      <c r="K1502" s="22"/>
    </row>
    <row r="1503" spans="1:11">
      <c r="A1503" s="241" t="e">
        <f>VLOOKUP(B1503,'lista 1'!$A$2:$E$30100,4,0)</f>
        <v>#N/A</v>
      </c>
      <c r="B1503" s="123"/>
      <c r="C1503" s="133" t="e">
        <f>VLOOKUP(B1503,'lista 1'!$A$2:$E$31000,5,0)</f>
        <v>#N/A</v>
      </c>
      <c r="D1503" s="167" t="e">
        <f>VLOOKUP(E1503,'lista obszary'!A:B,2,0)</f>
        <v>#N/A</v>
      </c>
      <c r="E1503" s="128" t="e">
        <f>VLOOKUP(B1503,'LISTA 12'!$A$2:$G$301400,5,0)</f>
        <v>#N/A</v>
      </c>
      <c r="F1503" s="121" t="e">
        <f>VLOOKUP(B1503,'LISTA 12'!$A$2:$G$30100,7,0)</f>
        <v>#N/A</v>
      </c>
      <c r="G1503" s="254" t="e">
        <f>VLOOKUP(H1503,'lista 3'!$A$1:$C$31467,3,0)</f>
        <v>#N/A</v>
      </c>
      <c r="H1503" s="134"/>
      <c r="I1503" s="136"/>
      <c r="J1503" s="135"/>
      <c r="K1503" s="22"/>
    </row>
    <row r="1504" spans="1:11">
      <c r="A1504" s="241" t="e">
        <f>VLOOKUP(B1504,'lista 1'!$A$2:$E$30100,4,0)</f>
        <v>#N/A</v>
      </c>
      <c r="B1504" s="123"/>
      <c r="C1504" s="133" t="e">
        <f>VLOOKUP(B1504,'lista 1'!$A$2:$E$31000,5,0)</f>
        <v>#N/A</v>
      </c>
      <c r="D1504" s="167" t="e">
        <f>VLOOKUP(E1504,'lista obszary'!A:B,2,0)</f>
        <v>#N/A</v>
      </c>
      <c r="E1504" s="128" t="e">
        <f>VLOOKUP(B1504,'LISTA 12'!$A$2:$G$301400,5,0)</f>
        <v>#N/A</v>
      </c>
      <c r="F1504" s="121" t="e">
        <f>VLOOKUP(B1504,'LISTA 12'!$A$2:$G$30100,7,0)</f>
        <v>#N/A</v>
      </c>
      <c r="G1504" s="254" t="e">
        <f>VLOOKUP(H1504,'lista 3'!$A$1:$C$31467,3,0)</f>
        <v>#N/A</v>
      </c>
      <c r="H1504" s="134"/>
      <c r="I1504" s="136"/>
      <c r="J1504" s="135"/>
      <c r="K1504" s="22"/>
    </row>
    <row r="1505" spans="1:11">
      <c r="A1505" s="241" t="e">
        <f>VLOOKUP(B1505,'lista 1'!$A$2:$E$30100,4,0)</f>
        <v>#N/A</v>
      </c>
      <c r="B1505" s="123"/>
      <c r="C1505" s="133" t="e">
        <f>VLOOKUP(B1505,'lista 1'!$A$2:$E$31000,5,0)</f>
        <v>#N/A</v>
      </c>
      <c r="D1505" s="167" t="e">
        <f>VLOOKUP(E1505,'lista obszary'!A:B,2,0)</f>
        <v>#N/A</v>
      </c>
      <c r="E1505" s="128" t="e">
        <f>VLOOKUP(B1505,'LISTA 12'!$A$2:$G$301400,5,0)</f>
        <v>#N/A</v>
      </c>
      <c r="F1505" s="121" t="e">
        <f>VLOOKUP(B1505,'LISTA 12'!$A$2:$G$30100,7,0)</f>
        <v>#N/A</v>
      </c>
      <c r="G1505" s="254" t="e">
        <f>VLOOKUP(H1505,'lista 3'!$A$1:$C$31467,3,0)</f>
        <v>#N/A</v>
      </c>
      <c r="H1505" s="134"/>
      <c r="I1505" s="136"/>
      <c r="J1505" s="135"/>
      <c r="K1505" s="22"/>
    </row>
    <row r="1506" spans="1:11">
      <c r="A1506" s="241" t="e">
        <f>VLOOKUP(B1506,'lista 1'!$A$2:$E$30100,4,0)</f>
        <v>#N/A</v>
      </c>
      <c r="B1506" s="123"/>
      <c r="C1506" s="133" t="e">
        <f>VLOOKUP(B1506,'lista 1'!$A$2:$E$31000,5,0)</f>
        <v>#N/A</v>
      </c>
      <c r="D1506" s="167" t="e">
        <f>VLOOKUP(E13306,'lista obszary'!A:B,2,0)</f>
        <v>#N/A</v>
      </c>
      <c r="E1506" s="128" t="e">
        <f>VLOOKUP(B1506,'LISTA 12'!$A$2:$G$301400,5,0)</f>
        <v>#N/A</v>
      </c>
      <c r="F1506" s="121" t="e">
        <f>VLOOKUP(B1506,'LISTA 12'!$A$2:$G$30100,7,0)</f>
        <v>#N/A</v>
      </c>
      <c r="G1506" s="254" t="e">
        <f>VLOOKUP(H1506,'lista 3'!$A$1:$C$31467,3,0)</f>
        <v>#N/A</v>
      </c>
      <c r="H1506" s="134"/>
      <c r="I1506" s="136"/>
      <c r="J1506" s="135"/>
      <c r="K1506" s="22"/>
    </row>
    <row r="1507" spans="1:11">
      <c r="A1507" s="241" t="e">
        <f>VLOOKUP(B1507,'lista 1'!$A$2:$E$30100,4,0)</f>
        <v>#N/A</v>
      </c>
      <c r="B1507" s="123"/>
      <c r="C1507" s="133" t="e">
        <f>VLOOKUP(B1507,'lista 1'!$A$2:$E$31000,5,0)</f>
        <v>#N/A</v>
      </c>
      <c r="D1507" s="167" t="e">
        <f>VLOOKUP(E13307,'lista obszary'!A:B,2,0)</f>
        <v>#N/A</v>
      </c>
      <c r="E1507" s="128" t="e">
        <f>VLOOKUP(B1507,'LISTA 12'!$A$2:$G$301400,5,0)</f>
        <v>#N/A</v>
      </c>
      <c r="F1507" s="121" t="e">
        <f>VLOOKUP(B1507,'LISTA 12'!$A$2:$G$30100,7,0)</f>
        <v>#N/A</v>
      </c>
      <c r="G1507" s="254" t="e">
        <f>VLOOKUP(H1507,'lista 3'!$A$1:$C$31467,3,0)</f>
        <v>#N/A</v>
      </c>
      <c r="H1507" s="134"/>
      <c r="I1507" s="136"/>
      <c r="J1507" s="135"/>
      <c r="K1507" s="22"/>
    </row>
    <row r="1508" spans="1:11">
      <c r="A1508" s="241" t="e">
        <f>VLOOKUP(B1508,'lista 1'!$A$2:$E$30100,4,0)</f>
        <v>#N/A</v>
      </c>
      <c r="B1508" s="123"/>
      <c r="C1508" s="133" t="e">
        <f>VLOOKUP(B1508,'lista 1'!$A$2:$E$31000,5,0)</f>
        <v>#N/A</v>
      </c>
      <c r="D1508" s="167" t="e">
        <f>VLOOKUP(E13308,'lista obszary'!A:B,2,0)</f>
        <v>#N/A</v>
      </c>
      <c r="E1508" s="128" t="e">
        <f>VLOOKUP(B1508,'LISTA 12'!$A$2:$G$301400,5,0)</f>
        <v>#N/A</v>
      </c>
      <c r="F1508" s="121" t="e">
        <f>VLOOKUP(B1508,'LISTA 12'!$A$2:$G$30100,7,0)</f>
        <v>#N/A</v>
      </c>
      <c r="G1508" s="254" t="e">
        <f>VLOOKUP(H1508,'lista 3'!$A$1:$C$31467,3,0)</f>
        <v>#N/A</v>
      </c>
      <c r="H1508" s="134"/>
      <c r="I1508" s="136"/>
      <c r="J1508" s="135"/>
      <c r="K1508" s="22"/>
    </row>
    <row r="1509" spans="1:11">
      <c r="A1509" s="241" t="e">
        <f>VLOOKUP(B1509,'lista 1'!$A$2:$E$30100,4,0)</f>
        <v>#N/A</v>
      </c>
      <c r="B1509" s="123"/>
      <c r="C1509" s="133" t="e">
        <f>VLOOKUP(B1509,'lista 1'!$A$2:$E$31000,5,0)</f>
        <v>#N/A</v>
      </c>
      <c r="D1509" s="167" t="e">
        <f>VLOOKUP(E13309,'lista obszary'!A:B,2,0)</f>
        <v>#N/A</v>
      </c>
      <c r="E1509" s="128" t="e">
        <f>VLOOKUP(B1509,'LISTA 12'!$A$2:$G$301400,5,0)</f>
        <v>#N/A</v>
      </c>
      <c r="F1509" s="121" t="e">
        <f>VLOOKUP(B1509,'LISTA 12'!$A$2:$G$30100,7,0)</f>
        <v>#N/A</v>
      </c>
      <c r="G1509" s="254" t="e">
        <f>VLOOKUP(H1509,'lista 3'!$A$1:$C$31467,3,0)</f>
        <v>#N/A</v>
      </c>
      <c r="H1509" s="134"/>
      <c r="I1509" s="136"/>
      <c r="J1509" s="135"/>
      <c r="K1509" s="22"/>
    </row>
    <row r="1510" spans="1:11">
      <c r="A1510" s="241" t="e">
        <f>VLOOKUP(B1510,'lista 1'!$A$2:$E$30100,4,0)</f>
        <v>#N/A</v>
      </c>
      <c r="B1510" s="123"/>
      <c r="C1510" s="133" t="e">
        <f>VLOOKUP(B1510,'lista 1'!$A$2:$E$31000,5,0)</f>
        <v>#N/A</v>
      </c>
      <c r="D1510" s="167" t="e">
        <f>VLOOKUP(E13310,'lista obszary'!A:B,2,0)</f>
        <v>#N/A</v>
      </c>
      <c r="E1510" s="128" t="e">
        <f>VLOOKUP(B1510,'LISTA 12'!$A$2:$G$301400,5,0)</f>
        <v>#N/A</v>
      </c>
      <c r="F1510" s="121" t="e">
        <f>VLOOKUP(B1510,'LISTA 12'!$A$2:$G$30100,7,0)</f>
        <v>#N/A</v>
      </c>
      <c r="G1510" s="254" t="e">
        <f>VLOOKUP(H1510,'lista 3'!$A$1:$C$31467,3,0)</f>
        <v>#N/A</v>
      </c>
      <c r="H1510" s="134"/>
      <c r="I1510" s="136"/>
      <c r="J1510" s="135"/>
      <c r="K1510" s="22"/>
    </row>
    <row r="1511" spans="1:11">
      <c r="A1511" s="241" t="e">
        <f>VLOOKUP(B1511,'lista 1'!$A$2:$E$30100,4,0)</f>
        <v>#N/A</v>
      </c>
      <c r="B1511" s="123"/>
      <c r="C1511" s="133" t="e">
        <f>VLOOKUP(B1511,'lista 1'!$A$2:$E$31000,5,0)</f>
        <v>#N/A</v>
      </c>
      <c r="D1511" s="167" t="e">
        <f>VLOOKUP(E13311,'lista obszary'!A:B,2,0)</f>
        <v>#N/A</v>
      </c>
      <c r="E1511" s="128" t="e">
        <f>VLOOKUP(B1511,'LISTA 12'!$A$2:$G$301400,5,0)</f>
        <v>#N/A</v>
      </c>
      <c r="F1511" s="121" t="e">
        <f>VLOOKUP(B1511,'LISTA 12'!$A$2:$G$30100,7,0)</f>
        <v>#N/A</v>
      </c>
      <c r="G1511" s="254" t="e">
        <f>VLOOKUP(H1511,'lista 3'!$A$1:$C$31467,3,0)</f>
        <v>#N/A</v>
      </c>
      <c r="H1511" s="134"/>
      <c r="I1511" s="136"/>
      <c r="J1511" s="135"/>
      <c r="K1511" s="22"/>
    </row>
    <row r="1512" spans="1:11">
      <c r="A1512" s="241" t="e">
        <f>VLOOKUP(B1512,'lista 1'!$A$2:$E$30100,4,0)</f>
        <v>#N/A</v>
      </c>
      <c r="B1512" s="123"/>
      <c r="C1512" s="133" t="e">
        <f>VLOOKUP(B1512,'lista 1'!$A$2:$E$31000,5,0)</f>
        <v>#N/A</v>
      </c>
      <c r="D1512" s="167" t="e">
        <f>VLOOKUP(E13312,'lista obszary'!A:B,2,0)</f>
        <v>#N/A</v>
      </c>
      <c r="E1512" s="128" t="e">
        <f>VLOOKUP(B1512,'LISTA 12'!$A$2:$G$301400,5,0)</f>
        <v>#N/A</v>
      </c>
      <c r="F1512" s="121" t="e">
        <f>VLOOKUP(B1512,'LISTA 12'!$A$2:$G$30100,7,0)</f>
        <v>#N/A</v>
      </c>
      <c r="G1512" s="254" t="e">
        <f>VLOOKUP(H1512,'lista 3'!$A$1:$C$31467,3,0)</f>
        <v>#N/A</v>
      </c>
      <c r="H1512" s="134"/>
      <c r="I1512" s="136"/>
      <c r="J1512" s="135"/>
      <c r="K1512" s="22"/>
    </row>
    <row r="1513" spans="1:11">
      <c r="A1513" s="241" t="e">
        <f>VLOOKUP(B1513,'lista 1'!$A$2:$E$30100,4,0)</f>
        <v>#N/A</v>
      </c>
      <c r="B1513" s="123"/>
      <c r="C1513" s="133" t="e">
        <f>VLOOKUP(B1513,'lista 1'!$A$2:$E$31000,5,0)</f>
        <v>#N/A</v>
      </c>
      <c r="D1513" s="167" t="e">
        <f>VLOOKUP(E13313,'lista obszary'!A:B,2,0)</f>
        <v>#N/A</v>
      </c>
      <c r="E1513" s="128" t="e">
        <f>VLOOKUP(B1513,'LISTA 12'!$A$2:$G$301400,5,0)</f>
        <v>#N/A</v>
      </c>
      <c r="F1513" s="121" t="e">
        <f>VLOOKUP(B1513,'LISTA 12'!$A$2:$G$30100,7,0)</f>
        <v>#N/A</v>
      </c>
      <c r="G1513" s="254" t="e">
        <f>VLOOKUP(H1513,'lista 3'!$A$1:$C$31467,3,0)</f>
        <v>#N/A</v>
      </c>
      <c r="H1513" s="134"/>
      <c r="I1513" s="136"/>
      <c r="J1513" s="135"/>
      <c r="K1513" s="22"/>
    </row>
    <row r="1514" spans="1:11">
      <c r="A1514" s="241" t="e">
        <f>VLOOKUP(B1514,'lista 1'!$A$2:$E$30100,4,0)</f>
        <v>#N/A</v>
      </c>
      <c r="B1514" s="123"/>
      <c r="C1514" s="133" t="e">
        <f>VLOOKUP(B1514,'lista 1'!$A$2:$E$31000,5,0)</f>
        <v>#N/A</v>
      </c>
      <c r="D1514" s="167" t="e">
        <f>VLOOKUP(E13314,'lista obszary'!A:B,2,0)</f>
        <v>#N/A</v>
      </c>
      <c r="E1514" s="128" t="e">
        <f>VLOOKUP(B1514,'LISTA 12'!$A$2:$G$301400,5,0)</f>
        <v>#N/A</v>
      </c>
      <c r="F1514" s="121" t="e">
        <f>VLOOKUP(B1514,'LISTA 12'!$A$2:$G$30100,7,0)</f>
        <v>#N/A</v>
      </c>
      <c r="G1514" s="254" t="e">
        <f>VLOOKUP(H1514,'lista 3'!$A$1:$C$31467,3,0)</f>
        <v>#N/A</v>
      </c>
      <c r="H1514" s="134"/>
      <c r="I1514" s="136"/>
      <c r="J1514" s="135"/>
      <c r="K1514" s="22"/>
    </row>
    <row r="1515" spans="1:11">
      <c r="A1515" s="241" t="e">
        <f>VLOOKUP(B1515,'lista 1'!$A$2:$E$30100,4,0)</f>
        <v>#N/A</v>
      </c>
      <c r="B1515" s="123"/>
      <c r="C1515" s="133" t="e">
        <f>VLOOKUP(B1515,'lista 1'!$A$2:$E$31000,5,0)</f>
        <v>#N/A</v>
      </c>
      <c r="D1515" s="167" t="e">
        <f>VLOOKUP(E13315,'lista obszary'!A:B,2,0)</f>
        <v>#N/A</v>
      </c>
      <c r="E1515" s="128" t="e">
        <f>VLOOKUP(B1515,'LISTA 12'!$A$2:$G$301400,5,0)</f>
        <v>#N/A</v>
      </c>
      <c r="F1515" s="121" t="e">
        <f>VLOOKUP(B1515,'LISTA 12'!$A$2:$G$30100,7,0)</f>
        <v>#N/A</v>
      </c>
      <c r="G1515" s="254" t="e">
        <f>VLOOKUP(H1515,'lista 3'!$A$1:$C$31467,3,0)</f>
        <v>#N/A</v>
      </c>
      <c r="H1515" s="134"/>
      <c r="I1515" s="136"/>
      <c r="J1515" s="135"/>
      <c r="K1515" s="22"/>
    </row>
    <row r="1516" spans="1:11">
      <c r="A1516" s="241" t="e">
        <f>VLOOKUP(B1516,'lista 1'!$A$2:$E$30100,4,0)</f>
        <v>#N/A</v>
      </c>
      <c r="B1516" s="123"/>
      <c r="C1516" s="133" t="e">
        <f>VLOOKUP(B1516,'lista 1'!$A$2:$E$31000,5,0)</f>
        <v>#N/A</v>
      </c>
      <c r="D1516" s="167" t="e">
        <f>VLOOKUP(E13316,'lista obszary'!A:B,2,0)</f>
        <v>#N/A</v>
      </c>
      <c r="E1516" s="128" t="e">
        <f>VLOOKUP(B1516,'LISTA 12'!$A$2:$G$301400,5,0)</f>
        <v>#N/A</v>
      </c>
      <c r="F1516" s="121" t="e">
        <f>VLOOKUP(B1516,'LISTA 12'!$A$2:$G$30100,7,0)</f>
        <v>#N/A</v>
      </c>
      <c r="G1516" s="254" t="e">
        <f>VLOOKUP(H1516,'lista 3'!$A$1:$C$31467,3,0)</f>
        <v>#N/A</v>
      </c>
      <c r="H1516" s="134"/>
      <c r="I1516" s="136"/>
      <c r="J1516" s="135"/>
      <c r="K1516" s="22"/>
    </row>
    <row r="1517" spans="1:11">
      <c r="A1517" s="241" t="e">
        <f>VLOOKUP(B1517,'lista 1'!$A$2:$E$30100,4,0)</f>
        <v>#N/A</v>
      </c>
      <c r="B1517" s="123"/>
      <c r="C1517" s="133" t="e">
        <f>VLOOKUP(B1517,'lista 1'!$A$2:$E$31000,5,0)</f>
        <v>#N/A</v>
      </c>
      <c r="D1517" s="167" t="e">
        <f>VLOOKUP(E13317,'lista obszary'!A:B,2,0)</f>
        <v>#N/A</v>
      </c>
      <c r="E1517" s="128" t="e">
        <f>VLOOKUP(B1517,'LISTA 12'!$A$2:$G$301400,5,0)</f>
        <v>#N/A</v>
      </c>
      <c r="F1517" s="121" t="e">
        <f>VLOOKUP(B1517,'LISTA 12'!$A$2:$G$30100,7,0)</f>
        <v>#N/A</v>
      </c>
      <c r="G1517" s="254" t="e">
        <f>VLOOKUP(H1517,'lista 3'!$A$1:$C$31467,3,0)</f>
        <v>#N/A</v>
      </c>
      <c r="H1517" s="134"/>
      <c r="I1517" s="136"/>
      <c r="J1517" s="135"/>
      <c r="K1517" s="22"/>
    </row>
    <row r="1518" spans="1:11">
      <c r="A1518" s="241" t="e">
        <f>VLOOKUP(B1518,'lista 1'!$A$2:$E$30100,4,0)</f>
        <v>#N/A</v>
      </c>
      <c r="B1518" s="123"/>
      <c r="C1518" s="133" t="e">
        <f>VLOOKUP(B1518,'lista 1'!$A$2:$E$31000,5,0)</f>
        <v>#N/A</v>
      </c>
      <c r="D1518" s="167" t="e">
        <f>VLOOKUP(E13318,'lista obszary'!A:B,2,0)</f>
        <v>#N/A</v>
      </c>
      <c r="E1518" s="128" t="e">
        <f>VLOOKUP(B1518,'LISTA 12'!$A$2:$G$301400,5,0)</f>
        <v>#N/A</v>
      </c>
      <c r="F1518" s="121" t="e">
        <f>VLOOKUP(B1518,'LISTA 12'!$A$2:$G$30100,7,0)</f>
        <v>#N/A</v>
      </c>
      <c r="G1518" s="254" t="e">
        <f>VLOOKUP(H1518,'lista 3'!$A$1:$C$31467,3,0)</f>
        <v>#N/A</v>
      </c>
      <c r="H1518" s="134"/>
      <c r="I1518" s="136"/>
      <c r="J1518" s="135"/>
      <c r="K1518" s="22"/>
    </row>
    <row r="1519" spans="1:11">
      <c r="A1519" s="241" t="e">
        <f>VLOOKUP(B1519,'lista 1'!$A$2:$E$30100,4,0)</f>
        <v>#N/A</v>
      </c>
      <c r="B1519" s="123"/>
      <c r="C1519" s="133" t="e">
        <f>VLOOKUP(B1519,'lista 1'!$A$2:$E$31000,5,0)</f>
        <v>#N/A</v>
      </c>
      <c r="D1519" s="167" t="e">
        <f>VLOOKUP(E13319,'lista obszary'!A:B,2,0)</f>
        <v>#N/A</v>
      </c>
      <c r="E1519" s="128" t="e">
        <f>VLOOKUP(B1519,'LISTA 12'!$A$2:$G$301400,5,0)</f>
        <v>#N/A</v>
      </c>
      <c r="F1519" s="121" t="e">
        <f>VLOOKUP(B1519,'LISTA 12'!$A$2:$G$30100,7,0)</f>
        <v>#N/A</v>
      </c>
      <c r="G1519" s="254" t="e">
        <f>VLOOKUP(H1519,'lista 3'!$A$1:$C$31467,3,0)</f>
        <v>#N/A</v>
      </c>
      <c r="H1519" s="134"/>
      <c r="I1519" s="136"/>
      <c r="J1519" s="135"/>
      <c r="K1519" s="22"/>
    </row>
    <row r="1520" spans="1:11">
      <c r="A1520" s="241" t="e">
        <f>VLOOKUP(B1520,'lista 1'!$A$2:$E$30100,4,0)</f>
        <v>#N/A</v>
      </c>
      <c r="B1520" s="123"/>
      <c r="C1520" s="133" t="e">
        <f>VLOOKUP(B1520,'lista 1'!$A$2:$E$31000,5,0)</f>
        <v>#N/A</v>
      </c>
      <c r="D1520" s="167" t="e">
        <f>VLOOKUP(E13320,'lista obszary'!A:B,2,0)</f>
        <v>#N/A</v>
      </c>
      <c r="E1520" s="128" t="e">
        <f>VLOOKUP(B1520,'LISTA 12'!$A$2:$G$301400,5,0)</f>
        <v>#N/A</v>
      </c>
      <c r="F1520" s="121" t="e">
        <f>VLOOKUP(B1520,'LISTA 12'!$A$2:$G$30100,7,0)</f>
        <v>#N/A</v>
      </c>
      <c r="G1520" s="254" t="e">
        <f>VLOOKUP(H1520,'lista 3'!$A$1:$C$31467,3,0)</f>
        <v>#N/A</v>
      </c>
      <c r="H1520" s="134"/>
      <c r="I1520" s="136"/>
      <c r="J1520" s="135"/>
      <c r="K1520" s="22"/>
    </row>
    <row r="1521" spans="1:11">
      <c r="A1521" s="241" t="e">
        <f>VLOOKUP(B1521,'lista 1'!$A$2:$E$30100,4,0)</f>
        <v>#N/A</v>
      </c>
      <c r="B1521" s="123"/>
      <c r="C1521" s="133" t="e">
        <f>VLOOKUP(B1521,'lista 1'!$A$2:$E$31000,5,0)</f>
        <v>#N/A</v>
      </c>
      <c r="D1521" s="167" t="e">
        <f>VLOOKUP(E13321,'lista obszary'!A:B,2,0)</f>
        <v>#N/A</v>
      </c>
      <c r="E1521" s="128" t="e">
        <f>VLOOKUP(B1521,'LISTA 12'!$A$2:$G$301400,5,0)</f>
        <v>#N/A</v>
      </c>
      <c r="F1521" s="121" t="e">
        <f>VLOOKUP(B1521,'LISTA 12'!$A$2:$G$30100,7,0)</f>
        <v>#N/A</v>
      </c>
      <c r="G1521" s="254" t="e">
        <f>VLOOKUP(H1521,'lista 3'!$A$1:$C$31467,3,0)</f>
        <v>#N/A</v>
      </c>
      <c r="H1521" s="134"/>
      <c r="I1521" s="136"/>
      <c r="J1521" s="135"/>
      <c r="K1521" s="22"/>
    </row>
    <row r="1522" spans="1:11">
      <c r="A1522" s="241" t="e">
        <f>VLOOKUP(B1522,'lista 1'!$A$2:$E$30100,4,0)</f>
        <v>#N/A</v>
      </c>
      <c r="B1522" s="123"/>
      <c r="C1522" s="133" t="e">
        <f>VLOOKUP(B1522,'lista 1'!$A$2:$E$31000,5,0)</f>
        <v>#N/A</v>
      </c>
      <c r="D1522" s="167" t="e">
        <f>VLOOKUP(E13322,'lista obszary'!A:B,2,0)</f>
        <v>#N/A</v>
      </c>
      <c r="E1522" s="128" t="e">
        <f>VLOOKUP(B1522,'LISTA 12'!$A$2:$G$301400,5,0)</f>
        <v>#N/A</v>
      </c>
      <c r="F1522" s="121" t="e">
        <f>VLOOKUP(B1522,'LISTA 12'!$A$2:$G$30100,7,0)</f>
        <v>#N/A</v>
      </c>
      <c r="G1522" s="254" t="e">
        <f>VLOOKUP(H1522,'lista 3'!$A$1:$C$31467,3,0)</f>
        <v>#N/A</v>
      </c>
      <c r="H1522" s="134"/>
      <c r="I1522" s="136"/>
      <c r="J1522" s="135"/>
      <c r="K1522" s="22"/>
    </row>
    <row r="1523" spans="1:11">
      <c r="A1523" s="241" t="e">
        <f>VLOOKUP(B1523,'lista 1'!$A$2:$E$30100,4,0)</f>
        <v>#N/A</v>
      </c>
      <c r="B1523" s="123"/>
      <c r="C1523" s="133" t="e">
        <f>VLOOKUP(B1523,'lista 1'!$A$2:$E$31000,5,0)</f>
        <v>#N/A</v>
      </c>
      <c r="D1523" s="167" t="e">
        <f>VLOOKUP(E13323,'lista obszary'!A:B,2,0)</f>
        <v>#N/A</v>
      </c>
      <c r="E1523" s="128" t="e">
        <f>VLOOKUP(B1523,'LISTA 12'!$A$2:$G$301400,5,0)</f>
        <v>#N/A</v>
      </c>
      <c r="F1523" s="121" t="e">
        <f>VLOOKUP(B1523,'LISTA 12'!$A$2:$G$30100,7,0)</f>
        <v>#N/A</v>
      </c>
      <c r="G1523" s="254" t="e">
        <f>VLOOKUP(H1523,'lista 3'!$A$1:$C$31467,3,0)</f>
        <v>#N/A</v>
      </c>
      <c r="H1523" s="134"/>
      <c r="I1523" s="136"/>
      <c r="J1523" s="135"/>
      <c r="K1523" s="22"/>
    </row>
    <row r="1524" spans="1:11">
      <c r="A1524" s="241" t="e">
        <f>VLOOKUP(B1524,'lista 1'!$A$2:$E$30100,4,0)</f>
        <v>#N/A</v>
      </c>
      <c r="B1524" s="123"/>
      <c r="C1524" s="133" t="e">
        <f>VLOOKUP(B1524,'lista 1'!$A$2:$E$31000,5,0)</f>
        <v>#N/A</v>
      </c>
      <c r="D1524" s="167" t="e">
        <f>VLOOKUP(E13324,'lista obszary'!A:B,2,0)</f>
        <v>#N/A</v>
      </c>
      <c r="E1524" s="128" t="e">
        <f>VLOOKUP(B1524,'LISTA 12'!$A$2:$G$301400,5,0)</f>
        <v>#N/A</v>
      </c>
      <c r="F1524" s="121" t="e">
        <f>VLOOKUP(B1524,'LISTA 12'!$A$2:$G$30100,7,0)</f>
        <v>#N/A</v>
      </c>
      <c r="G1524" s="254" t="e">
        <f>VLOOKUP(H1524,'lista 3'!$A$1:$C$31467,3,0)</f>
        <v>#N/A</v>
      </c>
      <c r="H1524" s="134"/>
      <c r="I1524" s="136"/>
      <c r="J1524" s="135"/>
      <c r="K1524" s="22"/>
    </row>
    <row r="1525" spans="1:11">
      <c r="A1525" s="241" t="e">
        <f>VLOOKUP(B1525,'lista 1'!$A$2:$E$30100,4,0)</f>
        <v>#N/A</v>
      </c>
      <c r="B1525" s="123"/>
      <c r="C1525" s="133" t="e">
        <f>VLOOKUP(B1525,'lista 1'!$A$2:$E$31000,5,0)</f>
        <v>#N/A</v>
      </c>
      <c r="D1525" s="167" t="e">
        <f>VLOOKUP(E13325,'lista obszary'!A:B,2,0)</f>
        <v>#N/A</v>
      </c>
      <c r="E1525" s="128" t="e">
        <f>VLOOKUP(B1525,'LISTA 12'!$A$2:$G$301400,5,0)</f>
        <v>#N/A</v>
      </c>
      <c r="F1525" s="121" t="e">
        <f>VLOOKUP(B1525,'LISTA 12'!$A$2:$G$30100,7,0)</f>
        <v>#N/A</v>
      </c>
      <c r="G1525" s="254" t="e">
        <f>VLOOKUP(H1525,'lista 3'!$A$1:$C$31467,3,0)</f>
        <v>#N/A</v>
      </c>
      <c r="H1525" s="134"/>
      <c r="I1525" s="136"/>
      <c r="J1525" s="135"/>
      <c r="K1525" s="22"/>
    </row>
    <row r="1526" spans="1:11">
      <c r="A1526" s="241" t="e">
        <f>VLOOKUP(B1526,'lista 1'!$A$2:$E$30100,4,0)</f>
        <v>#N/A</v>
      </c>
      <c r="B1526" s="123"/>
      <c r="C1526" s="133" t="e">
        <f>VLOOKUP(B1526,'lista 1'!$A$2:$E$31000,5,0)</f>
        <v>#N/A</v>
      </c>
      <c r="D1526" s="167" t="e">
        <f>VLOOKUP(E13326,'lista obszary'!A:B,2,0)</f>
        <v>#N/A</v>
      </c>
      <c r="E1526" s="128" t="e">
        <f>VLOOKUP(B1526,'LISTA 12'!$A$2:$G$301400,5,0)</f>
        <v>#N/A</v>
      </c>
      <c r="F1526" s="121" t="e">
        <f>VLOOKUP(B1526,'LISTA 12'!$A$2:$G$30100,7,0)</f>
        <v>#N/A</v>
      </c>
      <c r="G1526" s="254" t="e">
        <f>VLOOKUP(H1526,'lista 3'!$A$1:$C$31467,3,0)</f>
        <v>#N/A</v>
      </c>
      <c r="H1526" s="134"/>
      <c r="I1526" s="136"/>
      <c r="J1526" s="135"/>
      <c r="K1526" s="22"/>
    </row>
    <row r="1527" spans="1:11">
      <c r="A1527" s="241" t="e">
        <f>VLOOKUP(B1527,'lista 1'!$A$2:$E$30100,4,0)</f>
        <v>#N/A</v>
      </c>
      <c r="B1527" s="123"/>
      <c r="C1527" s="133" t="e">
        <f>VLOOKUP(B1527,'lista 1'!$A$2:$E$31000,5,0)</f>
        <v>#N/A</v>
      </c>
      <c r="D1527" s="167" t="e">
        <f>VLOOKUP(E13327,'lista obszary'!A:B,2,0)</f>
        <v>#N/A</v>
      </c>
      <c r="E1527" s="128" t="e">
        <f>VLOOKUP(B1527,'LISTA 12'!$A$2:$G$301400,5,0)</f>
        <v>#N/A</v>
      </c>
      <c r="F1527" s="121" t="e">
        <f>VLOOKUP(B1527,'LISTA 12'!$A$2:$G$30100,7,0)</f>
        <v>#N/A</v>
      </c>
      <c r="G1527" s="254" t="e">
        <f>VLOOKUP(H1527,'lista 3'!$A$1:$C$31467,3,0)</f>
        <v>#N/A</v>
      </c>
      <c r="H1527" s="134"/>
      <c r="I1527" s="136"/>
      <c r="J1527" s="135"/>
      <c r="K1527" s="22"/>
    </row>
    <row r="1528" spans="1:11">
      <c r="A1528" s="241" t="e">
        <f>VLOOKUP(B1528,'lista 1'!$A$2:$E$30100,4,0)</f>
        <v>#N/A</v>
      </c>
      <c r="B1528" s="123"/>
      <c r="C1528" s="133" t="e">
        <f>VLOOKUP(B1528,'lista 1'!$A$2:$E$31000,5,0)</f>
        <v>#N/A</v>
      </c>
      <c r="D1528" s="167" t="e">
        <f>VLOOKUP(E13328,'lista obszary'!A:B,2,0)</f>
        <v>#N/A</v>
      </c>
      <c r="E1528" s="128" t="e">
        <f>VLOOKUP(B1528,'LISTA 12'!$A$2:$G$301400,5,0)</f>
        <v>#N/A</v>
      </c>
      <c r="F1528" s="121" t="e">
        <f>VLOOKUP(B1528,'LISTA 12'!$A$2:$G$30100,7,0)</f>
        <v>#N/A</v>
      </c>
      <c r="G1528" s="254" t="e">
        <f>VLOOKUP(H1528,'lista 3'!$A$1:$C$31467,3,0)</f>
        <v>#N/A</v>
      </c>
      <c r="H1528" s="134"/>
      <c r="I1528" s="136"/>
      <c r="J1528" s="135"/>
      <c r="K1528" s="22"/>
    </row>
    <row r="1529" spans="1:11">
      <c r="A1529" s="241" t="e">
        <f>VLOOKUP(B1529,'lista 1'!$A$2:$E$30100,4,0)</f>
        <v>#N/A</v>
      </c>
      <c r="B1529" s="123"/>
      <c r="C1529" s="133" t="e">
        <f>VLOOKUP(B1529,'lista 1'!$A$2:$E$31000,5,0)</f>
        <v>#N/A</v>
      </c>
      <c r="D1529" s="167" t="e">
        <f>VLOOKUP(E13329,'lista obszary'!A:B,2,0)</f>
        <v>#N/A</v>
      </c>
      <c r="E1529" s="128" t="e">
        <f>VLOOKUP(B1529,'LISTA 12'!$A$2:$G$301400,5,0)</f>
        <v>#N/A</v>
      </c>
      <c r="F1529" s="121" t="e">
        <f>VLOOKUP(B1529,'LISTA 12'!$A$2:$G$30100,7,0)</f>
        <v>#N/A</v>
      </c>
      <c r="G1529" s="254" t="e">
        <f>VLOOKUP(H1529,'lista 3'!$A$1:$C$31467,3,0)</f>
        <v>#N/A</v>
      </c>
      <c r="H1529" s="134"/>
      <c r="I1529" s="136"/>
      <c r="J1529" s="135"/>
      <c r="K1529" s="22"/>
    </row>
    <row r="1530" spans="1:11">
      <c r="A1530" s="241" t="e">
        <f>VLOOKUP(B1530,'lista 1'!$A$2:$E$30100,4,0)</f>
        <v>#N/A</v>
      </c>
      <c r="B1530" s="123"/>
      <c r="C1530" s="133" t="e">
        <f>VLOOKUP(B1530,'lista 1'!$A$2:$E$31000,5,0)</f>
        <v>#N/A</v>
      </c>
      <c r="D1530" s="167" t="e">
        <f>VLOOKUP(E13330,'lista obszary'!A:B,2,0)</f>
        <v>#N/A</v>
      </c>
      <c r="E1530" s="128" t="e">
        <f>VLOOKUP(B1530,'LISTA 12'!$A$2:$G$301400,5,0)</f>
        <v>#N/A</v>
      </c>
      <c r="F1530" s="121" t="e">
        <f>VLOOKUP(B1530,'LISTA 12'!$A$2:$G$30100,7,0)</f>
        <v>#N/A</v>
      </c>
      <c r="G1530" s="254" t="e">
        <f>VLOOKUP(H1530,'lista 3'!$A$1:$C$31467,3,0)</f>
        <v>#N/A</v>
      </c>
      <c r="H1530" s="134"/>
      <c r="I1530" s="136"/>
      <c r="J1530" s="135"/>
      <c r="K1530" s="22"/>
    </row>
    <row r="1531" spans="1:11">
      <c r="A1531" s="241" t="e">
        <f>VLOOKUP(B1531,'lista 1'!$A$2:$E$30100,4,0)</f>
        <v>#N/A</v>
      </c>
      <c r="B1531" s="123"/>
      <c r="C1531" s="133" t="e">
        <f>VLOOKUP(B1531,'lista 1'!$A$2:$E$31000,5,0)</f>
        <v>#N/A</v>
      </c>
      <c r="D1531" s="167" t="e">
        <f>VLOOKUP(E13331,'lista obszary'!A:B,2,0)</f>
        <v>#N/A</v>
      </c>
      <c r="E1531" s="128" t="e">
        <f>VLOOKUP(B1531,'LISTA 12'!$A$2:$G$301400,5,0)</f>
        <v>#N/A</v>
      </c>
      <c r="F1531" s="121" t="e">
        <f>VLOOKUP(B1531,'LISTA 12'!$A$2:$G$30100,7,0)</f>
        <v>#N/A</v>
      </c>
      <c r="G1531" s="254" t="e">
        <f>VLOOKUP(H1531,'lista 3'!$A$1:$C$31467,3,0)</f>
        <v>#N/A</v>
      </c>
      <c r="H1531" s="134"/>
      <c r="I1531" s="136"/>
      <c r="J1531" s="135"/>
      <c r="K1531" s="22"/>
    </row>
    <row r="1532" spans="1:11">
      <c r="A1532" s="241" t="e">
        <f>VLOOKUP(B1532,'lista 1'!$A$2:$E$30100,4,0)</f>
        <v>#N/A</v>
      </c>
      <c r="B1532" s="123"/>
      <c r="C1532" s="133" t="e">
        <f>VLOOKUP(B1532,'lista 1'!$A$2:$E$31000,5,0)</f>
        <v>#N/A</v>
      </c>
      <c r="D1532" s="167" t="e">
        <f>VLOOKUP(E13332,'lista obszary'!A:B,2,0)</f>
        <v>#N/A</v>
      </c>
      <c r="E1532" s="128" t="e">
        <f>VLOOKUP(B1532,'LISTA 12'!$A$2:$G$301400,5,0)</f>
        <v>#N/A</v>
      </c>
      <c r="F1532" s="121" t="e">
        <f>VLOOKUP(B1532,'LISTA 12'!$A$2:$G$30100,7,0)</f>
        <v>#N/A</v>
      </c>
      <c r="G1532" s="254" t="e">
        <f>VLOOKUP(H1532,'lista 3'!$A$1:$C$31467,3,0)</f>
        <v>#N/A</v>
      </c>
      <c r="H1532" s="134"/>
      <c r="I1532" s="136"/>
      <c r="J1532" s="135"/>
      <c r="K1532" s="22"/>
    </row>
    <row r="1533" spans="1:11">
      <c r="A1533" s="241" t="e">
        <f>VLOOKUP(B1533,'lista 1'!$A$2:$E$30100,4,0)</f>
        <v>#N/A</v>
      </c>
      <c r="B1533" s="123"/>
      <c r="C1533" s="133" t="e">
        <f>VLOOKUP(B1533,'lista 1'!$A$2:$E$31000,5,0)</f>
        <v>#N/A</v>
      </c>
      <c r="D1533" s="167" t="e">
        <f>VLOOKUP(E13333,'lista obszary'!A:B,2,0)</f>
        <v>#N/A</v>
      </c>
      <c r="E1533" s="128" t="e">
        <f>VLOOKUP(B1533,'LISTA 12'!$A$2:$G$301400,5,0)</f>
        <v>#N/A</v>
      </c>
      <c r="F1533" s="121" t="e">
        <f>VLOOKUP(B1533,'LISTA 12'!$A$2:$G$30100,7,0)</f>
        <v>#N/A</v>
      </c>
      <c r="G1533" s="254" t="e">
        <f>VLOOKUP(H1533,'lista 3'!$A$1:$C$31467,3,0)</f>
        <v>#N/A</v>
      </c>
      <c r="H1533" s="134"/>
      <c r="I1533" s="136"/>
      <c r="J1533" s="135"/>
      <c r="K1533" s="22"/>
    </row>
    <row r="1534" spans="1:11">
      <c r="A1534" s="241" t="e">
        <f>VLOOKUP(B1534,'lista 1'!$A$2:$E$30100,4,0)</f>
        <v>#N/A</v>
      </c>
      <c r="B1534" s="123"/>
      <c r="C1534" s="133" t="e">
        <f>VLOOKUP(B1534,'lista 1'!$A$2:$E$31000,5,0)</f>
        <v>#N/A</v>
      </c>
      <c r="D1534" s="167" t="e">
        <f>VLOOKUP(E13334,'lista obszary'!A:B,2,0)</f>
        <v>#N/A</v>
      </c>
      <c r="E1534" s="128" t="e">
        <f>VLOOKUP(B1534,'LISTA 12'!$A$2:$G$301400,5,0)</f>
        <v>#N/A</v>
      </c>
      <c r="F1534" s="121" t="e">
        <f>VLOOKUP(B1534,'LISTA 12'!$A$2:$G$30100,7,0)</f>
        <v>#N/A</v>
      </c>
      <c r="G1534" s="254" t="e">
        <f>VLOOKUP(H1534,'lista 3'!$A$1:$C$31467,3,0)</f>
        <v>#N/A</v>
      </c>
      <c r="H1534" s="134"/>
      <c r="I1534" s="136"/>
      <c r="J1534" s="135"/>
      <c r="K1534" s="22"/>
    </row>
    <row r="1535" spans="1:11">
      <c r="A1535" s="241" t="e">
        <f>VLOOKUP(B1535,'lista 1'!$A$2:$E$30100,4,0)</f>
        <v>#N/A</v>
      </c>
      <c r="B1535" s="123"/>
      <c r="C1535" s="133" t="e">
        <f>VLOOKUP(B1535,'lista 1'!$A$2:$E$31000,5,0)</f>
        <v>#N/A</v>
      </c>
      <c r="D1535" s="167" t="e">
        <f>VLOOKUP(E13335,'lista obszary'!A:B,2,0)</f>
        <v>#N/A</v>
      </c>
      <c r="E1535" s="128" t="e">
        <f>VLOOKUP(B1535,'LISTA 12'!$A$2:$G$301400,5,0)</f>
        <v>#N/A</v>
      </c>
      <c r="F1535" s="121" t="e">
        <f>VLOOKUP(B1535,'LISTA 12'!$A$2:$G$30100,7,0)</f>
        <v>#N/A</v>
      </c>
      <c r="G1535" s="254" t="e">
        <f>VLOOKUP(H1535,'lista 3'!$A$1:$C$31467,3,0)</f>
        <v>#N/A</v>
      </c>
      <c r="H1535" s="134"/>
      <c r="I1535" s="136"/>
      <c r="J1535" s="135"/>
      <c r="K1535" s="22"/>
    </row>
    <row r="1536" spans="1:11">
      <c r="A1536" s="241" t="e">
        <f>VLOOKUP(B1536,'lista 1'!$A$2:$E$30100,4,0)</f>
        <v>#N/A</v>
      </c>
      <c r="B1536" s="123"/>
      <c r="C1536" s="133" t="e">
        <f>VLOOKUP(B1536,'lista 1'!$A$2:$E$31000,5,0)</f>
        <v>#N/A</v>
      </c>
      <c r="D1536" s="167" t="e">
        <f>VLOOKUP(E13336,'lista obszary'!A:B,2,0)</f>
        <v>#N/A</v>
      </c>
      <c r="E1536" s="128" t="e">
        <f>VLOOKUP(B1536,'LISTA 12'!$A$2:$G$301400,5,0)</f>
        <v>#N/A</v>
      </c>
      <c r="F1536" s="121" t="e">
        <f>VLOOKUP(B1536,'LISTA 12'!$A$2:$G$30100,7,0)</f>
        <v>#N/A</v>
      </c>
      <c r="G1536" s="254" t="e">
        <f>VLOOKUP(H1536,'lista 3'!$A$1:$C$31467,3,0)</f>
        <v>#N/A</v>
      </c>
      <c r="H1536" s="134"/>
      <c r="I1536" s="136"/>
      <c r="J1536" s="135"/>
      <c r="K1536" s="22"/>
    </row>
    <row r="1537" spans="1:11">
      <c r="A1537" s="241" t="e">
        <f>VLOOKUP(B1537,'lista 1'!$A$2:$E$30100,4,0)</f>
        <v>#N/A</v>
      </c>
      <c r="B1537" s="123"/>
      <c r="C1537" s="133" t="e">
        <f>VLOOKUP(B1537,'lista 1'!$A$2:$E$31000,5,0)</f>
        <v>#N/A</v>
      </c>
      <c r="D1537" s="167" t="e">
        <f>VLOOKUP(E13337,'lista obszary'!A:B,2,0)</f>
        <v>#N/A</v>
      </c>
      <c r="E1537" s="128" t="e">
        <f>VLOOKUP(B1537,'LISTA 12'!$A$2:$G$301400,5,0)</f>
        <v>#N/A</v>
      </c>
      <c r="F1537" s="121" t="e">
        <f>VLOOKUP(B1537,'LISTA 12'!$A$2:$G$30100,7,0)</f>
        <v>#N/A</v>
      </c>
      <c r="G1537" s="254" t="e">
        <f>VLOOKUP(H1537,'lista 3'!$A$1:$C$31467,3,0)</f>
        <v>#N/A</v>
      </c>
      <c r="H1537" s="134"/>
      <c r="I1537" s="136"/>
      <c r="J1537" s="135"/>
      <c r="K1537" s="22"/>
    </row>
    <row r="1538" spans="1:11">
      <c r="A1538" s="241" t="e">
        <f>VLOOKUP(B1538,'lista 1'!$A$2:$E$30100,4,0)</f>
        <v>#N/A</v>
      </c>
      <c r="B1538" s="123"/>
      <c r="C1538" s="133" t="e">
        <f>VLOOKUP(B1538,'lista 1'!$A$2:$E$31000,5,0)</f>
        <v>#N/A</v>
      </c>
      <c r="D1538" s="167" t="e">
        <f>VLOOKUP(E13338,'lista obszary'!A:B,2,0)</f>
        <v>#N/A</v>
      </c>
      <c r="E1538" s="128" t="e">
        <f>VLOOKUP(B1538,'LISTA 12'!$A$2:$G$301400,5,0)</f>
        <v>#N/A</v>
      </c>
      <c r="F1538" s="121" t="e">
        <f>VLOOKUP(B1538,'LISTA 12'!$A$2:$G$30100,7,0)</f>
        <v>#N/A</v>
      </c>
      <c r="G1538" s="254" t="e">
        <f>VLOOKUP(H1538,'lista 3'!$A$1:$C$31467,3,0)</f>
        <v>#N/A</v>
      </c>
      <c r="H1538" s="134"/>
      <c r="I1538" s="136"/>
      <c r="J1538" s="135"/>
      <c r="K1538" s="22"/>
    </row>
    <row r="1539" spans="1:11">
      <c r="A1539" s="241" t="e">
        <f>VLOOKUP(B1539,'lista 1'!$A$2:$E$30100,4,0)</f>
        <v>#N/A</v>
      </c>
      <c r="B1539" s="123"/>
      <c r="C1539" s="133" t="e">
        <f>VLOOKUP(B1539,'lista 1'!$A$2:$E$31000,5,0)</f>
        <v>#N/A</v>
      </c>
      <c r="D1539" s="167" t="e">
        <f>VLOOKUP(E13339,'lista obszary'!A:B,2,0)</f>
        <v>#N/A</v>
      </c>
      <c r="E1539" s="128" t="e">
        <f>VLOOKUP(B1539,'LISTA 12'!$A$2:$G$301400,5,0)</f>
        <v>#N/A</v>
      </c>
      <c r="F1539" s="121" t="e">
        <f>VLOOKUP(B1539,'LISTA 12'!$A$2:$G$30100,7,0)</f>
        <v>#N/A</v>
      </c>
      <c r="G1539" s="254" t="e">
        <f>VLOOKUP(H1539,'lista 3'!$A$1:$C$31467,3,0)</f>
        <v>#N/A</v>
      </c>
      <c r="H1539" s="134"/>
      <c r="I1539" s="136"/>
      <c r="J1539" s="135"/>
      <c r="K1539" s="22"/>
    </row>
    <row r="1540" spans="1:11">
      <c r="A1540" s="241" t="e">
        <f>VLOOKUP(B1540,'lista 1'!$A$2:$E$30100,4,0)</f>
        <v>#N/A</v>
      </c>
      <c r="B1540" s="123"/>
      <c r="C1540" s="133" t="e">
        <f>VLOOKUP(B1540,'lista 1'!$A$2:$E$31000,5,0)</f>
        <v>#N/A</v>
      </c>
      <c r="D1540" s="167" t="e">
        <f>VLOOKUP(E13340,'lista obszary'!A:B,2,0)</f>
        <v>#N/A</v>
      </c>
      <c r="E1540" s="128" t="e">
        <f>VLOOKUP(B1540,'LISTA 12'!$A$2:$G$301400,5,0)</f>
        <v>#N/A</v>
      </c>
      <c r="F1540" s="121" t="e">
        <f>VLOOKUP(B1540,'LISTA 12'!$A$2:$G$30100,7,0)</f>
        <v>#N/A</v>
      </c>
      <c r="G1540" s="254" t="e">
        <f>VLOOKUP(H1540,'lista 3'!$A$1:$C$31467,3,0)</f>
        <v>#N/A</v>
      </c>
      <c r="H1540" s="134"/>
      <c r="I1540" s="136"/>
      <c r="J1540" s="135"/>
      <c r="K1540" s="22"/>
    </row>
    <row r="1541" spans="1:11">
      <c r="A1541" s="241" t="e">
        <f>VLOOKUP(B1541,'lista 1'!$A$2:$E$30100,4,0)</f>
        <v>#N/A</v>
      </c>
      <c r="B1541" s="123"/>
      <c r="C1541" s="133" t="e">
        <f>VLOOKUP(B1541,'lista 1'!$A$2:$E$31000,5,0)</f>
        <v>#N/A</v>
      </c>
      <c r="D1541" s="167" t="e">
        <f>VLOOKUP(E13341,'lista obszary'!A:B,2,0)</f>
        <v>#N/A</v>
      </c>
      <c r="E1541" s="128" t="e">
        <f>VLOOKUP(B1541,'LISTA 12'!$A$2:$G$301400,5,0)</f>
        <v>#N/A</v>
      </c>
      <c r="F1541" s="121" t="e">
        <f>VLOOKUP(B1541,'LISTA 12'!$A$2:$G$30100,7,0)</f>
        <v>#N/A</v>
      </c>
      <c r="G1541" s="254" t="e">
        <f>VLOOKUP(H1541,'lista 3'!$A$1:$C$31467,3,0)</f>
        <v>#N/A</v>
      </c>
      <c r="H1541" s="134"/>
      <c r="I1541" s="136"/>
      <c r="J1541" s="135"/>
      <c r="K1541" s="22"/>
    </row>
    <row r="1542" spans="1:11">
      <c r="A1542" s="241" t="e">
        <f>VLOOKUP(B1542,'lista 1'!$A$2:$E$30100,4,0)</f>
        <v>#N/A</v>
      </c>
      <c r="B1542" s="123"/>
      <c r="C1542" s="133" t="e">
        <f>VLOOKUP(B1542,'lista 1'!$A$2:$E$31000,5,0)</f>
        <v>#N/A</v>
      </c>
      <c r="D1542" s="167" t="e">
        <f>VLOOKUP(E13342,'lista obszary'!A:B,2,0)</f>
        <v>#N/A</v>
      </c>
      <c r="E1542" s="128" t="e">
        <f>VLOOKUP(B1542,'LISTA 12'!$A$2:$G$301400,5,0)</f>
        <v>#N/A</v>
      </c>
      <c r="F1542" s="121" t="e">
        <f>VLOOKUP(B1542,'LISTA 12'!$A$2:$G$30100,7,0)</f>
        <v>#N/A</v>
      </c>
      <c r="G1542" s="254" t="e">
        <f>VLOOKUP(H1542,'lista 3'!$A$1:$C$31467,3,0)</f>
        <v>#N/A</v>
      </c>
      <c r="H1542" s="134"/>
      <c r="I1542" s="136"/>
      <c r="J1542" s="135"/>
      <c r="K1542" s="22"/>
    </row>
    <row r="1543" spans="1:11">
      <c r="A1543" s="241" t="e">
        <f>VLOOKUP(B1543,'lista 1'!$A$2:$E$30100,4,0)</f>
        <v>#N/A</v>
      </c>
      <c r="B1543" s="123"/>
      <c r="C1543" s="133" t="e">
        <f>VLOOKUP(B1543,'lista 1'!$A$2:$E$31000,5,0)</f>
        <v>#N/A</v>
      </c>
      <c r="D1543" s="167" t="e">
        <f>VLOOKUP(E13343,'lista obszary'!A:B,2,0)</f>
        <v>#N/A</v>
      </c>
      <c r="E1543" s="128" t="e">
        <f>VLOOKUP(B1543,'LISTA 12'!$A$2:$G$301400,5,0)</f>
        <v>#N/A</v>
      </c>
      <c r="F1543" s="121" t="e">
        <f>VLOOKUP(B1543,'LISTA 12'!$A$2:$G$30100,7,0)</f>
        <v>#N/A</v>
      </c>
      <c r="G1543" s="254" t="e">
        <f>VLOOKUP(H1543,'lista 3'!$A$1:$C$31467,3,0)</f>
        <v>#N/A</v>
      </c>
      <c r="H1543" s="134"/>
      <c r="I1543" s="136"/>
      <c r="J1543" s="135"/>
      <c r="K1543" s="22"/>
    </row>
    <row r="1544" spans="1:11">
      <c r="A1544" s="241" t="e">
        <f>VLOOKUP(B1544,'lista 1'!$A$2:$E$30100,4,0)</f>
        <v>#N/A</v>
      </c>
      <c r="B1544" s="123"/>
      <c r="C1544" s="133" t="e">
        <f>VLOOKUP(B1544,'lista 1'!$A$2:$E$31000,5,0)</f>
        <v>#N/A</v>
      </c>
      <c r="D1544" s="167" t="e">
        <f>VLOOKUP(E13344,'lista obszary'!A:B,2,0)</f>
        <v>#N/A</v>
      </c>
      <c r="E1544" s="128" t="e">
        <f>VLOOKUP(B1544,'LISTA 12'!$A$2:$G$301400,5,0)</f>
        <v>#N/A</v>
      </c>
      <c r="F1544" s="121" t="e">
        <f>VLOOKUP(B1544,'LISTA 12'!$A$2:$G$30100,7,0)</f>
        <v>#N/A</v>
      </c>
      <c r="G1544" s="254" t="e">
        <f>VLOOKUP(H1544,'lista 3'!$A$1:$C$31467,3,0)</f>
        <v>#N/A</v>
      </c>
      <c r="H1544" s="134"/>
      <c r="I1544" s="136"/>
      <c r="J1544" s="135"/>
      <c r="K1544" s="22"/>
    </row>
    <row r="1545" spans="1:11">
      <c r="A1545" s="241" t="e">
        <f>VLOOKUP(B1545,'lista 1'!$A$2:$E$30100,4,0)</f>
        <v>#N/A</v>
      </c>
      <c r="B1545" s="123"/>
      <c r="C1545" s="133" t="e">
        <f>VLOOKUP(B1545,'lista 1'!$A$2:$E$31000,5,0)</f>
        <v>#N/A</v>
      </c>
      <c r="D1545" s="167" t="e">
        <f>VLOOKUP(E13345,'lista obszary'!A:B,2,0)</f>
        <v>#N/A</v>
      </c>
      <c r="E1545" s="128" t="e">
        <f>VLOOKUP(B1545,'LISTA 12'!$A$2:$G$301400,5,0)</f>
        <v>#N/A</v>
      </c>
      <c r="F1545" s="121" t="e">
        <f>VLOOKUP(B1545,'LISTA 12'!$A$2:$G$30100,7,0)</f>
        <v>#N/A</v>
      </c>
      <c r="G1545" s="254" t="e">
        <f>VLOOKUP(H1545,'lista 3'!$A$1:$C$31467,3,0)</f>
        <v>#N/A</v>
      </c>
      <c r="H1545" s="134"/>
      <c r="I1545" s="136"/>
      <c r="J1545" s="135"/>
      <c r="K1545" s="22"/>
    </row>
    <row r="1546" spans="1:11">
      <c r="A1546" s="241" t="e">
        <f>VLOOKUP(B1546,'lista 1'!$A$2:$E$30100,4,0)</f>
        <v>#N/A</v>
      </c>
      <c r="B1546" s="123"/>
      <c r="C1546" s="133" t="e">
        <f>VLOOKUP(B1546,'lista 1'!$A$2:$E$31000,5,0)</f>
        <v>#N/A</v>
      </c>
      <c r="D1546" s="167" t="e">
        <f>VLOOKUP(E13346,'lista obszary'!A:B,2,0)</f>
        <v>#N/A</v>
      </c>
      <c r="E1546" s="128" t="e">
        <f>VLOOKUP(B1546,'LISTA 12'!$A$2:$G$301400,5,0)</f>
        <v>#N/A</v>
      </c>
      <c r="F1546" s="121" t="e">
        <f>VLOOKUP(B1546,'LISTA 12'!$A$2:$G$30100,7,0)</f>
        <v>#N/A</v>
      </c>
      <c r="G1546" s="254" t="e">
        <f>VLOOKUP(H1546,'lista 3'!$A$1:$C$31467,3,0)</f>
        <v>#N/A</v>
      </c>
      <c r="H1546" s="134"/>
      <c r="I1546" s="136"/>
      <c r="J1546" s="135"/>
      <c r="K1546" s="22"/>
    </row>
    <row r="1547" spans="1:11">
      <c r="A1547" s="241" t="e">
        <f>VLOOKUP(B1547,'lista 1'!$A$2:$E$30100,4,0)</f>
        <v>#N/A</v>
      </c>
      <c r="B1547" s="123"/>
      <c r="C1547" s="133" t="e">
        <f>VLOOKUP(B1547,'lista 1'!$A$2:$E$31000,5,0)</f>
        <v>#N/A</v>
      </c>
      <c r="D1547" s="167" t="e">
        <f>VLOOKUP(E13347,'lista obszary'!A:B,2,0)</f>
        <v>#N/A</v>
      </c>
      <c r="E1547" s="128" t="e">
        <f>VLOOKUP(B1547,'LISTA 12'!$A$2:$G$301400,5,0)</f>
        <v>#N/A</v>
      </c>
      <c r="F1547" s="121" t="e">
        <f>VLOOKUP(B1547,'LISTA 12'!$A$2:$G$30100,7,0)</f>
        <v>#N/A</v>
      </c>
      <c r="G1547" s="254" t="e">
        <f>VLOOKUP(H1547,'lista 3'!$A$1:$C$31467,3,0)</f>
        <v>#N/A</v>
      </c>
      <c r="H1547" s="134"/>
      <c r="I1547" s="136"/>
      <c r="J1547" s="135"/>
      <c r="K1547" s="22"/>
    </row>
    <row r="1548" spans="1:11">
      <c r="A1548" s="241" t="e">
        <f>VLOOKUP(B1548,'lista 1'!$A$2:$E$30100,4,0)</f>
        <v>#N/A</v>
      </c>
      <c r="B1548" s="123"/>
      <c r="C1548" s="133" t="e">
        <f>VLOOKUP(B1548,'lista 1'!$A$2:$E$31000,5,0)</f>
        <v>#N/A</v>
      </c>
      <c r="D1548" s="167" t="e">
        <f>VLOOKUP(E13348,'lista obszary'!A:B,2,0)</f>
        <v>#N/A</v>
      </c>
      <c r="E1548" s="128" t="e">
        <f>VLOOKUP(B1548,'LISTA 12'!$A$2:$G$301400,5,0)</f>
        <v>#N/A</v>
      </c>
      <c r="F1548" s="121" t="e">
        <f>VLOOKUP(B1548,'LISTA 12'!$A$2:$G$30100,7,0)</f>
        <v>#N/A</v>
      </c>
      <c r="G1548" s="254" t="e">
        <f>VLOOKUP(H1548,'lista 3'!$A$1:$C$31467,3,0)</f>
        <v>#N/A</v>
      </c>
      <c r="H1548" s="134"/>
      <c r="I1548" s="136"/>
      <c r="J1548" s="135"/>
      <c r="K1548" s="22"/>
    </row>
    <row r="1549" spans="1:11">
      <c r="A1549" s="241" t="e">
        <f>VLOOKUP(B1549,'lista 1'!$A$2:$E$30100,4,0)</f>
        <v>#N/A</v>
      </c>
      <c r="B1549" s="123"/>
      <c r="C1549" s="133" t="e">
        <f>VLOOKUP(B1549,'lista 1'!$A$2:$E$31000,5,0)</f>
        <v>#N/A</v>
      </c>
      <c r="D1549" s="167" t="e">
        <f>VLOOKUP(E13349,'lista obszary'!A:B,2,0)</f>
        <v>#N/A</v>
      </c>
      <c r="E1549" s="128" t="e">
        <f>VLOOKUP(B1549,'LISTA 12'!$A$2:$G$301400,5,0)</f>
        <v>#N/A</v>
      </c>
      <c r="F1549" s="121" t="e">
        <f>VLOOKUP(B1549,'LISTA 12'!$A$2:$G$30100,7,0)</f>
        <v>#N/A</v>
      </c>
      <c r="G1549" s="254" t="e">
        <f>VLOOKUP(H1549,'lista 3'!$A$1:$C$31467,3,0)</f>
        <v>#N/A</v>
      </c>
      <c r="H1549" s="134"/>
      <c r="I1549" s="136"/>
      <c r="J1549" s="135"/>
      <c r="K1549" s="22"/>
    </row>
    <row r="1550" spans="1:11">
      <c r="A1550" s="241" t="e">
        <f>VLOOKUP(B1550,'lista 1'!$A$2:$E$30100,4,0)</f>
        <v>#N/A</v>
      </c>
      <c r="B1550" s="123"/>
      <c r="C1550" s="133" t="e">
        <f>VLOOKUP(B1550,'lista 1'!$A$2:$E$31000,5,0)</f>
        <v>#N/A</v>
      </c>
      <c r="D1550" s="167" t="e">
        <f>VLOOKUP(E13350,'lista obszary'!A:B,2,0)</f>
        <v>#N/A</v>
      </c>
      <c r="E1550" s="128" t="e">
        <f>VLOOKUP(B1550,'LISTA 12'!$A$2:$G$301400,5,0)</f>
        <v>#N/A</v>
      </c>
      <c r="F1550" s="121" t="e">
        <f>VLOOKUP(B1550,'LISTA 12'!$A$2:$G$30100,7,0)</f>
        <v>#N/A</v>
      </c>
      <c r="G1550" s="254" t="e">
        <f>VLOOKUP(H1550,'lista 3'!$A$1:$C$31467,3,0)</f>
        <v>#N/A</v>
      </c>
      <c r="H1550" s="134"/>
      <c r="I1550" s="136"/>
      <c r="J1550" s="135"/>
      <c r="K1550" s="22"/>
    </row>
    <row r="1551" spans="1:11">
      <c r="A1551" s="241" t="e">
        <f>VLOOKUP(B1551,'lista 1'!$A$2:$E$30100,4,0)</f>
        <v>#N/A</v>
      </c>
      <c r="B1551" s="123"/>
      <c r="C1551" s="133" t="e">
        <f>VLOOKUP(B1551,'lista 1'!$A$2:$E$31000,5,0)</f>
        <v>#N/A</v>
      </c>
      <c r="D1551" s="167" t="e">
        <f>VLOOKUP(E13351,'lista obszary'!A:B,2,0)</f>
        <v>#N/A</v>
      </c>
      <c r="E1551" s="128" t="e">
        <f>VLOOKUP(B1551,'LISTA 12'!$A$2:$G$301400,5,0)</f>
        <v>#N/A</v>
      </c>
      <c r="F1551" s="121" t="e">
        <f>VLOOKUP(B1551,'LISTA 12'!$A$2:$G$30100,7,0)</f>
        <v>#N/A</v>
      </c>
      <c r="G1551" s="254" t="e">
        <f>VLOOKUP(H1551,'lista 3'!$A$1:$C$31467,3,0)</f>
        <v>#N/A</v>
      </c>
      <c r="H1551" s="134"/>
      <c r="I1551" s="136"/>
      <c r="J1551" s="135"/>
      <c r="K1551" s="22"/>
    </row>
    <row r="1552" spans="1:11">
      <c r="A1552" s="241" t="e">
        <f>VLOOKUP(B1552,'lista 1'!$A$2:$E$30100,4,0)</f>
        <v>#N/A</v>
      </c>
      <c r="B1552" s="123"/>
      <c r="C1552" s="133" t="e">
        <f>VLOOKUP(B1552,'lista 1'!$A$2:$E$31000,5,0)</f>
        <v>#N/A</v>
      </c>
      <c r="D1552" s="167" t="e">
        <f>VLOOKUP(E13352,'lista obszary'!A:B,2,0)</f>
        <v>#N/A</v>
      </c>
      <c r="E1552" s="128" t="e">
        <f>VLOOKUP(B1552,'LISTA 12'!$A$2:$G$301400,5,0)</f>
        <v>#N/A</v>
      </c>
      <c r="F1552" s="121" t="e">
        <f>VLOOKUP(B1552,'LISTA 12'!$A$2:$G$30100,7,0)</f>
        <v>#N/A</v>
      </c>
      <c r="G1552" s="254" t="e">
        <f>VLOOKUP(H1552,'lista 3'!$A$1:$C$31467,3,0)</f>
        <v>#N/A</v>
      </c>
      <c r="H1552" s="134"/>
      <c r="I1552" s="136"/>
      <c r="J1552" s="135"/>
      <c r="K1552" s="22"/>
    </row>
    <row r="1553" spans="1:11">
      <c r="A1553" s="241" t="e">
        <f>VLOOKUP(B1553,'lista 1'!$A$2:$E$30100,4,0)</f>
        <v>#N/A</v>
      </c>
      <c r="B1553" s="123"/>
      <c r="C1553" s="133" t="e">
        <f>VLOOKUP(B1553,'lista 1'!$A$2:$E$31000,5,0)</f>
        <v>#N/A</v>
      </c>
      <c r="D1553" s="167" t="e">
        <f>VLOOKUP(E13353,'lista obszary'!A:B,2,0)</f>
        <v>#N/A</v>
      </c>
      <c r="E1553" s="128" t="e">
        <f>VLOOKUP(B1553,'LISTA 12'!$A$2:$G$301400,5,0)</f>
        <v>#N/A</v>
      </c>
      <c r="F1553" s="121" t="e">
        <f>VLOOKUP(B1553,'LISTA 12'!$A$2:$G$30100,7,0)</f>
        <v>#N/A</v>
      </c>
      <c r="G1553" s="254" t="e">
        <f>VLOOKUP(H1553,'lista 3'!$A$1:$C$31467,3,0)</f>
        <v>#N/A</v>
      </c>
      <c r="H1553" s="134"/>
      <c r="I1553" s="136"/>
      <c r="J1553" s="135"/>
      <c r="K1553" s="22"/>
    </row>
    <row r="1554" spans="1:11">
      <c r="A1554" s="241" t="e">
        <f>VLOOKUP(B1554,'lista 1'!$A$2:$E$30100,4,0)</f>
        <v>#N/A</v>
      </c>
      <c r="B1554" s="123"/>
      <c r="C1554" s="133" t="e">
        <f>VLOOKUP(B1554,'lista 1'!$A$2:$E$31000,5,0)</f>
        <v>#N/A</v>
      </c>
      <c r="D1554" s="167" t="e">
        <f>VLOOKUP(E13354,'lista obszary'!A:B,2,0)</f>
        <v>#N/A</v>
      </c>
      <c r="E1554" s="128" t="e">
        <f>VLOOKUP(B1554,'LISTA 12'!$A$2:$G$301400,5,0)</f>
        <v>#N/A</v>
      </c>
      <c r="F1554" s="121" t="e">
        <f>VLOOKUP(B1554,'LISTA 12'!$A$2:$G$30100,7,0)</f>
        <v>#N/A</v>
      </c>
      <c r="G1554" s="254" t="e">
        <f>VLOOKUP(H1554,'lista 3'!$A$1:$C$31467,3,0)</f>
        <v>#N/A</v>
      </c>
      <c r="H1554" s="134"/>
      <c r="I1554" s="136"/>
      <c r="J1554" s="135"/>
      <c r="K1554" s="22"/>
    </row>
    <row r="1555" spans="1:11">
      <c r="A1555" s="241" t="e">
        <f>VLOOKUP(B1555,'lista 1'!$A$2:$E$30100,4,0)</f>
        <v>#N/A</v>
      </c>
      <c r="B1555" s="123"/>
      <c r="C1555" s="133" t="e">
        <f>VLOOKUP(B1555,'lista 1'!$A$2:$E$31000,5,0)</f>
        <v>#N/A</v>
      </c>
      <c r="D1555" s="167" t="e">
        <f>VLOOKUP(E13355,'lista obszary'!A:B,2,0)</f>
        <v>#N/A</v>
      </c>
      <c r="E1555" s="128" t="e">
        <f>VLOOKUP(B1555,'LISTA 12'!$A$2:$G$301400,5,0)</f>
        <v>#N/A</v>
      </c>
      <c r="F1555" s="121" t="e">
        <f>VLOOKUP(B1555,'LISTA 12'!$A$2:$G$30100,7,0)</f>
        <v>#N/A</v>
      </c>
      <c r="G1555" s="254" t="e">
        <f>VLOOKUP(H1555,'lista 3'!$A$1:$C$31467,3,0)</f>
        <v>#N/A</v>
      </c>
      <c r="H1555" s="134"/>
      <c r="I1555" s="136"/>
      <c r="J1555" s="135"/>
      <c r="K1555" s="22"/>
    </row>
    <row r="1556" spans="1:11">
      <c r="A1556" s="241" t="e">
        <f>VLOOKUP(B1556,'lista 1'!$A$2:$E$30100,4,0)</f>
        <v>#N/A</v>
      </c>
      <c r="B1556" s="123"/>
      <c r="C1556" s="133" t="e">
        <f>VLOOKUP(B1556,'lista 1'!$A$2:$E$31000,5,0)</f>
        <v>#N/A</v>
      </c>
      <c r="D1556" s="167" t="e">
        <f>VLOOKUP(E13356,'lista obszary'!A:B,2,0)</f>
        <v>#N/A</v>
      </c>
      <c r="E1556" s="128" t="e">
        <f>VLOOKUP(B1556,'LISTA 12'!$A$2:$G$301400,5,0)</f>
        <v>#N/A</v>
      </c>
      <c r="F1556" s="121" t="e">
        <f>VLOOKUP(B1556,'LISTA 12'!$A$2:$G$30100,7,0)</f>
        <v>#N/A</v>
      </c>
      <c r="G1556" s="254" t="e">
        <f>VLOOKUP(H1556,'lista 3'!$A$1:$C$31467,3,0)</f>
        <v>#N/A</v>
      </c>
      <c r="H1556" s="134"/>
      <c r="I1556" s="136"/>
      <c r="J1556" s="135"/>
      <c r="K1556" s="22"/>
    </row>
    <row r="1557" spans="1:11">
      <c r="A1557" s="241" t="e">
        <f>VLOOKUP(B1557,'lista 1'!$A$2:$E$30100,4,0)</f>
        <v>#N/A</v>
      </c>
      <c r="B1557" s="123"/>
      <c r="C1557" s="133" t="e">
        <f>VLOOKUP(B1557,'lista 1'!$A$2:$E$31000,5,0)</f>
        <v>#N/A</v>
      </c>
      <c r="D1557" s="167" t="e">
        <f>VLOOKUP(E13357,'lista obszary'!A:B,2,0)</f>
        <v>#N/A</v>
      </c>
      <c r="E1557" s="128" t="e">
        <f>VLOOKUP(B1557,'LISTA 12'!$A$2:$G$301400,5,0)</f>
        <v>#N/A</v>
      </c>
      <c r="F1557" s="121" t="e">
        <f>VLOOKUP(B1557,'LISTA 12'!$A$2:$G$30100,7,0)</f>
        <v>#N/A</v>
      </c>
      <c r="G1557" s="254" t="e">
        <f>VLOOKUP(H1557,'lista 3'!$A$1:$C$31467,3,0)</f>
        <v>#N/A</v>
      </c>
      <c r="H1557" s="134"/>
      <c r="I1557" s="136"/>
      <c r="J1557" s="135"/>
      <c r="K1557" s="22"/>
    </row>
    <row r="1558" spans="1:11">
      <c r="A1558" s="241" t="e">
        <f>VLOOKUP(B1558,'lista 1'!$A$2:$E$30100,4,0)</f>
        <v>#N/A</v>
      </c>
      <c r="B1558" s="123"/>
      <c r="C1558" s="133" t="e">
        <f>VLOOKUP(B1558,'lista 1'!$A$2:$E$31000,5,0)</f>
        <v>#N/A</v>
      </c>
      <c r="D1558" s="167" t="e">
        <f>VLOOKUP(E13358,'lista obszary'!A:B,2,0)</f>
        <v>#N/A</v>
      </c>
      <c r="E1558" s="128" t="e">
        <f>VLOOKUP(B1558,'LISTA 12'!$A$2:$G$301400,5,0)</f>
        <v>#N/A</v>
      </c>
      <c r="F1558" s="121" t="e">
        <f>VLOOKUP(B1558,'LISTA 12'!$A$2:$G$30100,7,0)</f>
        <v>#N/A</v>
      </c>
      <c r="G1558" s="254" t="e">
        <f>VLOOKUP(H1558,'lista 3'!$A$1:$C$31467,3,0)</f>
        <v>#N/A</v>
      </c>
      <c r="H1558" s="134"/>
      <c r="I1558" s="136"/>
      <c r="J1558" s="135"/>
      <c r="K1558" s="22"/>
    </row>
    <row r="1559" spans="1:11">
      <c r="A1559" s="241" t="e">
        <f>VLOOKUP(B1559,'lista 1'!$A$2:$E$30100,4,0)</f>
        <v>#N/A</v>
      </c>
      <c r="B1559" s="123"/>
      <c r="C1559" s="133" t="e">
        <f>VLOOKUP(B1559,'lista 1'!$A$2:$E$31000,5,0)</f>
        <v>#N/A</v>
      </c>
      <c r="D1559" s="167" t="e">
        <f>VLOOKUP(E13359,'lista obszary'!A:B,2,0)</f>
        <v>#N/A</v>
      </c>
      <c r="E1559" s="128" t="e">
        <f>VLOOKUP(B1559,'LISTA 12'!$A$2:$G$301400,5,0)</f>
        <v>#N/A</v>
      </c>
      <c r="F1559" s="121" t="e">
        <f>VLOOKUP(B1559,'LISTA 12'!$A$2:$G$30100,7,0)</f>
        <v>#N/A</v>
      </c>
      <c r="G1559" s="254" t="e">
        <f>VLOOKUP(H1559,'lista 3'!$A$1:$C$31467,3,0)</f>
        <v>#N/A</v>
      </c>
      <c r="H1559" s="134"/>
      <c r="I1559" s="136"/>
      <c r="J1559" s="135"/>
      <c r="K1559" s="22"/>
    </row>
    <row r="1560" spans="1:11">
      <c r="A1560" s="241" t="e">
        <f>VLOOKUP(B1560,'lista 1'!$A$2:$E$30100,4,0)</f>
        <v>#N/A</v>
      </c>
      <c r="B1560" s="123"/>
      <c r="C1560" s="133" t="e">
        <f>VLOOKUP(B1560,'lista 1'!$A$2:$E$31000,5,0)</f>
        <v>#N/A</v>
      </c>
      <c r="D1560" s="167" t="e">
        <f>VLOOKUP(E13360,'lista obszary'!A:B,2,0)</f>
        <v>#N/A</v>
      </c>
      <c r="E1560" s="128" t="e">
        <f>VLOOKUP(B1560,'LISTA 12'!$A$2:$G$301400,5,0)</f>
        <v>#N/A</v>
      </c>
      <c r="F1560" s="121" t="e">
        <f>VLOOKUP(B1560,'LISTA 12'!$A$2:$G$30100,7,0)</f>
        <v>#N/A</v>
      </c>
      <c r="G1560" s="254" t="e">
        <f>VLOOKUP(H1560,'lista 3'!$A$1:$C$31467,3,0)</f>
        <v>#N/A</v>
      </c>
      <c r="H1560" s="134"/>
      <c r="I1560" s="136"/>
      <c r="J1560" s="135"/>
      <c r="K1560" s="22"/>
    </row>
    <row r="1561" spans="1:11">
      <c r="A1561" s="241" t="e">
        <f>VLOOKUP(B1561,'lista 1'!$A$2:$E$30100,4,0)</f>
        <v>#N/A</v>
      </c>
      <c r="B1561" s="123"/>
      <c r="C1561" s="133" t="e">
        <f>VLOOKUP(B1561,'lista 1'!$A$2:$E$31000,5,0)</f>
        <v>#N/A</v>
      </c>
      <c r="D1561" s="167" t="e">
        <f>VLOOKUP(E13361,'lista obszary'!A:B,2,0)</f>
        <v>#N/A</v>
      </c>
      <c r="E1561" s="128" t="e">
        <f>VLOOKUP(B1561,'LISTA 12'!$A$2:$G$301400,5,0)</f>
        <v>#N/A</v>
      </c>
      <c r="F1561" s="121" t="e">
        <f>VLOOKUP(B1561,'LISTA 12'!$A$2:$G$30100,7,0)</f>
        <v>#N/A</v>
      </c>
      <c r="G1561" s="254" t="e">
        <f>VLOOKUP(H1561,'lista 3'!$A$1:$C$31467,3,0)</f>
        <v>#N/A</v>
      </c>
      <c r="H1561" s="134"/>
      <c r="I1561" s="136"/>
      <c r="J1561" s="135"/>
      <c r="K1561" s="22"/>
    </row>
    <row r="1562" spans="1:11">
      <c r="A1562" s="241" t="e">
        <f>VLOOKUP(B1562,'lista 1'!$A$2:$E$30100,4,0)</f>
        <v>#N/A</v>
      </c>
      <c r="B1562" s="123"/>
      <c r="C1562" s="133" t="e">
        <f>VLOOKUP(B1562,'lista 1'!$A$2:$E$31000,5,0)</f>
        <v>#N/A</v>
      </c>
      <c r="D1562" s="167" t="e">
        <f>VLOOKUP(E13362,'lista obszary'!A:B,2,0)</f>
        <v>#N/A</v>
      </c>
      <c r="E1562" s="128" t="e">
        <f>VLOOKUP(B1562,'LISTA 12'!$A$2:$G$301400,5,0)</f>
        <v>#N/A</v>
      </c>
      <c r="F1562" s="121" t="e">
        <f>VLOOKUP(B1562,'LISTA 12'!$A$2:$G$30100,7,0)</f>
        <v>#N/A</v>
      </c>
      <c r="G1562" s="254" t="e">
        <f>VLOOKUP(H1562,'lista 3'!$A$1:$C$31467,3,0)</f>
        <v>#N/A</v>
      </c>
      <c r="H1562" s="134"/>
      <c r="I1562" s="136"/>
      <c r="J1562" s="135"/>
      <c r="K1562" s="22"/>
    </row>
    <row r="1563" spans="1:11">
      <c r="A1563" s="241" t="e">
        <f>VLOOKUP(B1563,'lista 1'!$A$2:$E$30100,4,0)</f>
        <v>#N/A</v>
      </c>
      <c r="B1563" s="123"/>
      <c r="C1563" s="133" t="e">
        <f>VLOOKUP(B1563,'lista 1'!$A$2:$E$31000,5,0)</f>
        <v>#N/A</v>
      </c>
      <c r="D1563" s="167" t="e">
        <f>VLOOKUP(E13363,'lista obszary'!A:B,2,0)</f>
        <v>#N/A</v>
      </c>
      <c r="E1563" s="128" t="e">
        <f>VLOOKUP(B1563,'LISTA 12'!$A$2:$G$301400,5,0)</f>
        <v>#N/A</v>
      </c>
      <c r="F1563" s="121" t="e">
        <f>VLOOKUP(B1563,'LISTA 12'!$A$2:$G$30100,7,0)</f>
        <v>#N/A</v>
      </c>
      <c r="G1563" s="254" t="e">
        <f>VLOOKUP(H1563,'lista 3'!$A$1:$C$31467,3,0)</f>
        <v>#N/A</v>
      </c>
      <c r="H1563" s="134"/>
      <c r="I1563" s="136"/>
      <c r="J1563" s="135"/>
      <c r="K1563" s="22"/>
    </row>
    <row r="1564" spans="1:11">
      <c r="A1564" s="241" t="e">
        <f>VLOOKUP(B1564,'lista 1'!$A$2:$E$30100,4,0)</f>
        <v>#N/A</v>
      </c>
      <c r="B1564" s="123"/>
      <c r="C1564" s="133" t="e">
        <f>VLOOKUP(B1564,'lista 1'!$A$2:$E$31000,5,0)</f>
        <v>#N/A</v>
      </c>
      <c r="D1564" s="167" t="e">
        <f>VLOOKUP(E13364,'lista obszary'!A:B,2,0)</f>
        <v>#N/A</v>
      </c>
      <c r="E1564" s="128" t="e">
        <f>VLOOKUP(B1564,'LISTA 12'!$A$2:$G$301400,5,0)</f>
        <v>#N/A</v>
      </c>
      <c r="F1564" s="121" t="e">
        <f>VLOOKUP(B1564,'LISTA 12'!$A$2:$G$30100,7,0)</f>
        <v>#N/A</v>
      </c>
      <c r="G1564" s="254" t="e">
        <f>VLOOKUP(H1564,'lista 3'!$A$1:$C$31467,3,0)</f>
        <v>#N/A</v>
      </c>
      <c r="H1564" s="134"/>
      <c r="I1564" s="136"/>
      <c r="J1564" s="135"/>
      <c r="K1564" s="22"/>
    </row>
    <row r="1565" spans="1:11">
      <c r="A1565" s="241" t="e">
        <f>VLOOKUP(B1565,'lista 1'!$A$2:$E$30100,4,0)</f>
        <v>#N/A</v>
      </c>
      <c r="B1565" s="123"/>
      <c r="C1565" s="133" t="e">
        <f>VLOOKUP(B1565,'lista 1'!$A$2:$E$31000,5,0)</f>
        <v>#N/A</v>
      </c>
      <c r="D1565" s="167" t="e">
        <f>VLOOKUP(E13365,'lista obszary'!A:B,2,0)</f>
        <v>#N/A</v>
      </c>
      <c r="E1565" s="128" t="e">
        <f>VLOOKUP(B1565,'LISTA 12'!$A$2:$G$301400,5,0)</f>
        <v>#N/A</v>
      </c>
      <c r="F1565" s="121" t="e">
        <f>VLOOKUP(B1565,'LISTA 12'!$A$2:$G$30100,7,0)</f>
        <v>#N/A</v>
      </c>
      <c r="G1565" s="254" t="e">
        <f>VLOOKUP(H1565,'lista 3'!$A$1:$C$31467,3,0)</f>
        <v>#N/A</v>
      </c>
      <c r="H1565" s="134"/>
      <c r="I1565" s="136"/>
      <c r="J1565" s="135"/>
      <c r="K1565" s="22"/>
    </row>
    <row r="1566" spans="1:11">
      <c r="A1566" s="241" t="e">
        <f>VLOOKUP(B1566,'lista 1'!$A$2:$E$30100,4,0)</f>
        <v>#N/A</v>
      </c>
      <c r="B1566" s="123"/>
      <c r="C1566" s="133" t="e">
        <f>VLOOKUP(B1566,'lista 1'!$A$2:$E$31000,5,0)</f>
        <v>#N/A</v>
      </c>
      <c r="D1566" s="167" t="e">
        <f>VLOOKUP(E13366,'lista obszary'!A:B,2,0)</f>
        <v>#N/A</v>
      </c>
      <c r="E1566" s="128" t="e">
        <f>VLOOKUP(B1566,'LISTA 12'!$A$2:$G$301400,5,0)</f>
        <v>#N/A</v>
      </c>
      <c r="F1566" s="121" t="e">
        <f>VLOOKUP(B1566,'LISTA 12'!$A$2:$G$30100,7,0)</f>
        <v>#N/A</v>
      </c>
      <c r="G1566" s="254" t="e">
        <f>VLOOKUP(H1566,'lista 3'!$A$1:$C$31467,3,0)</f>
        <v>#N/A</v>
      </c>
      <c r="H1566" s="134"/>
      <c r="I1566" s="136"/>
      <c r="J1566" s="135"/>
      <c r="K1566" s="22"/>
    </row>
    <row r="1567" spans="1:11">
      <c r="A1567" s="241" t="e">
        <f>VLOOKUP(B1567,'lista 1'!$A$2:$E$30100,4,0)</f>
        <v>#N/A</v>
      </c>
      <c r="B1567" s="123"/>
      <c r="C1567" s="133" t="e">
        <f>VLOOKUP(B1567,'lista 1'!$A$2:$E$31000,5,0)</f>
        <v>#N/A</v>
      </c>
      <c r="D1567" s="167" t="e">
        <f>VLOOKUP(E13367,'lista obszary'!A:B,2,0)</f>
        <v>#N/A</v>
      </c>
      <c r="E1567" s="128" t="e">
        <f>VLOOKUP(B1567,'LISTA 12'!$A$2:$G$301400,5,0)</f>
        <v>#N/A</v>
      </c>
      <c r="F1567" s="121" t="e">
        <f>VLOOKUP(B1567,'LISTA 12'!$A$2:$G$30100,7,0)</f>
        <v>#N/A</v>
      </c>
      <c r="G1567" s="254" t="e">
        <f>VLOOKUP(H1567,'lista 3'!$A$1:$C$31467,3,0)</f>
        <v>#N/A</v>
      </c>
      <c r="H1567" s="134"/>
      <c r="I1567" s="136"/>
      <c r="J1567" s="135"/>
      <c r="K1567" s="22"/>
    </row>
    <row r="1568" spans="1:11">
      <c r="A1568" s="241" t="e">
        <f>VLOOKUP(B1568,'lista 1'!$A$2:$E$30100,4,0)</f>
        <v>#N/A</v>
      </c>
      <c r="B1568" s="123"/>
      <c r="C1568" s="133" t="e">
        <f>VLOOKUP(B1568,'lista 1'!$A$2:$E$31000,5,0)</f>
        <v>#N/A</v>
      </c>
      <c r="D1568" s="167" t="e">
        <f>VLOOKUP(E13368,'lista obszary'!A:B,2,0)</f>
        <v>#N/A</v>
      </c>
      <c r="E1568" s="128" t="e">
        <f>VLOOKUP(B1568,'LISTA 12'!$A$2:$G$301400,5,0)</f>
        <v>#N/A</v>
      </c>
      <c r="F1568" s="121" t="e">
        <f>VLOOKUP(B1568,'LISTA 12'!$A$2:$G$30100,7,0)</f>
        <v>#N/A</v>
      </c>
      <c r="G1568" s="254" t="e">
        <f>VLOOKUP(H1568,'lista 3'!$A$1:$C$31467,3,0)</f>
        <v>#N/A</v>
      </c>
      <c r="H1568" s="134"/>
      <c r="I1568" s="136"/>
      <c r="J1568" s="135"/>
      <c r="K1568" s="22"/>
    </row>
    <row r="1569" spans="1:11">
      <c r="A1569" s="241" t="e">
        <f>VLOOKUP(B1569,'lista 1'!$A$2:$E$30100,4,0)</f>
        <v>#N/A</v>
      </c>
      <c r="B1569" s="123"/>
      <c r="C1569" s="133" t="e">
        <f>VLOOKUP(B1569,'lista 1'!$A$2:$E$31000,5,0)</f>
        <v>#N/A</v>
      </c>
      <c r="D1569" s="167" t="e">
        <f>VLOOKUP(E13369,'lista obszary'!A:B,2,0)</f>
        <v>#N/A</v>
      </c>
      <c r="E1569" s="128" t="e">
        <f>VLOOKUP(B1569,'LISTA 12'!$A$2:$G$301400,5,0)</f>
        <v>#N/A</v>
      </c>
      <c r="F1569" s="121" t="e">
        <f>VLOOKUP(B1569,'LISTA 12'!$A$2:$G$30100,7,0)</f>
        <v>#N/A</v>
      </c>
      <c r="G1569" s="254" t="e">
        <f>VLOOKUP(H1569,'lista 3'!$A$1:$C$31467,3,0)</f>
        <v>#N/A</v>
      </c>
      <c r="H1569" s="134"/>
      <c r="I1569" s="136"/>
      <c r="J1569" s="135"/>
      <c r="K1569" s="22"/>
    </row>
    <row r="1570" spans="1:11">
      <c r="A1570" s="241" t="e">
        <f>VLOOKUP(B1570,'lista 1'!$A$2:$E$30100,4,0)</f>
        <v>#N/A</v>
      </c>
      <c r="B1570" s="123"/>
      <c r="C1570" s="133" t="e">
        <f>VLOOKUP(B1570,'lista 1'!$A$2:$E$31000,5,0)</f>
        <v>#N/A</v>
      </c>
      <c r="D1570" s="167" t="e">
        <f>VLOOKUP(E13370,'lista obszary'!A:B,2,0)</f>
        <v>#N/A</v>
      </c>
      <c r="E1570" s="128" t="e">
        <f>VLOOKUP(B1570,'LISTA 12'!$A$2:$G$301400,5,0)</f>
        <v>#N/A</v>
      </c>
      <c r="F1570" s="121" t="e">
        <f>VLOOKUP(B1570,'LISTA 12'!$A$2:$G$30100,7,0)</f>
        <v>#N/A</v>
      </c>
      <c r="G1570" s="254" t="e">
        <f>VLOOKUP(H1570,'lista 3'!$A$1:$C$31467,3,0)</f>
        <v>#N/A</v>
      </c>
      <c r="H1570" s="134"/>
      <c r="I1570" s="136"/>
      <c r="J1570" s="135"/>
      <c r="K1570" s="22"/>
    </row>
    <row r="1571" spans="1:11">
      <c r="A1571" s="241" t="e">
        <f>VLOOKUP(B1571,'lista 1'!$A$2:$E$30100,4,0)</f>
        <v>#N/A</v>
      </c>
      <c r="B1571" s="123"/>
      <c r="C1571" s="133" t="e">
        <f>VLOOKUP(B1571,'lista 1'!$A$2:$E$31000,5,0)</f>
        <v>#N/A</v>
      </c>
      <c r="D1571" s="167" t="e">
        <f>VLOOKUP(E13371,'lista obszary'!A:B,2,0)</f>
        <v>#N/A</v>
      </c>
      <c r="E1571" s="128" t="e">
        <f>VLOOKUP(B1571,'LISTA 12'!$A$2:$G$301400,5,0)</f>
        <v>#N/A</v>
      </c>
      <c r="F1571" s="121" t="e">
        <f>VLOOKUP(B1571,'LISTA 12'!$A$2:$G$30100,7,0)</f>
        <v>#N/A</v>
      </c>
      <c r="G1571" s="254" t="e">
        <f>VLOOKUP(H1571,'lista 3'!$A$1:$C$31467,3,0)</f>
        <v>#N/A</v>
      </c>
      <c r="H1571" s="134"/>
      <c r="I1571" s="136"/>
      <c r="J1571" s="135"/>
      <c r="K1571" s="22"/>
    </row>
    <row r="1572" spans="1:11">
      <c r="A1572" s="241" t="e">
        <f>VLOOKUP(B1572,'lista 1'!$A$2:$E$30100,4,0)</f>
        <v>#N/A</v>
      </c>
      <c r="B1572" s="123"/>
      <c r="C1572" s="133" t="e">
        <f>VLOOKUP(B1572,'lista 1'!$A$2:$E$31000,5,0)</f>
        <v>#N/A</v>
      </c>
      <c r="D1572" s="167" t="e">
        <f>VLOOKUP(E13372,'lista obszary'!A:B,2,0)</f>
        <v>#N/A</v>
      </c>
      <c r="E1572" s="128" t="e">
        <f>VLOOKUP(B1572,'LISTA 12'!$A$2:$G$301400,5,0)</f>
        <v>#N/A</v>
      </c>
      <c r="F1572" s="121" t="e">
        <f>VLOOKUP(B1572,'LISTA 12'!$A$2:$G$30100,7,0)</f>
        <v>#N/A</v>
      </c>
      <c r="G1572" s="254" t="e">
        <f>VLOOKUP(H1572,'lista 3'!$A$1:$C$31467,3,0)</f>
        <v>#N/A</v>
      </c>
      <c r="H1572" s="134"/>
      <c r="I1572" s="136"/>
      <c r="J1572" s="135"/>
      <c r="K1572" s="22"/>
    </row>
    <row r="1573" spans="1:11">
      <c r="A1573" s="241" t="e">
        <f>VLOOKUP(B1573,'lista 1'!$A$2:$E$30100,4,0)</f>
        <v>#N/A</v>
      </c>
      <c r="B1573" s="123"/>
      <c r="C1573" s="133" t="e">
        <f>VLOOKUP(B1573,'lista 1'!$A$2:$E$31000,5,0)</f>
        <v>#N/A</v>
      </c>
      <c r="D1573" s="167" t="e">
        <f>VLOOKUP(E13373,'lista obszary'!A:B,2,0)</f>
        <v>#N/A</v>
      </c>
      <c r="E1573" s="128" t="e">
        <f>VLOOKUP(B1573,'LISTA 12'!$A$2:$G$301400,5,0)</f>
        <v>#N/A</v>
      </c>
      <c r="F1573" s="121" t="e">
        <f>VLOOKUP(B1573,'LISTA 12'!$A$2:$G$30100,7,0)</f>
        <v>#N/A</v>
      </c>
      <c r="G1573" s="254" t="e">
        <f>VLOOKUP(H1573,'lista 3'!$A$1:$C$31467,3,0)</f>
        <v>#N/A</v>
      </c>
      <c r="H1573" s="134"/>
      <c r="I1573" s="136"/>
      <c r="J1573" s="135"/>
      <c r="K1573" s="22"/>
    </row>
    <row r="1574" spans="1:11">
      <c r="A1574" s="241" t="e">
        <f>VLOOKUP(B1574,'lista 1'!$A$2:$E$30100,4,0)</f>
        <v>#N/A</v>
      </c>
      <c r="B1574" s="123"/>
      <c r="C1574" s="133" t="e">
        <f>VLOOKUP(B1574,'lista 1'!$A$2:$E$31000,5,0)</f>
        <v>#N/A</v>
      </c>
      <c r="D1574" s="167" t="e">
        <f>VLOOKUP(E13374,'lista obszary'!A:B,2,0)</f>
        <v>#N/A</v>
      </c>
      <c r="E1574" s="128" t="e">
        <f>VLOOKUP(B1574,'LISTA 12'!$A$2:$G$301400,5,0)</f>
        <v>#N/A</v>
      </c>
      <c r="F1574" s="121" t="e">
        <f>VLOOKUP(B1574,'LISTA 12'!$A$2:$G$30100,7,0)</f>
        <v>#N/A</v>
      </c>
      <c r="G1574" s="254" t="e">
        <f>VLOOKUP(H1574,'lista 3'!$A$1:$C$31467,3,0)</f>
        <v>#N/A</v>
      </c>
      <c r="H1574" s="134"/>
      <c r="I1574" s="136"/>
      <c r="J1574" s="135"/>
      <c r="K1574" s="22"/>
    </row>
    <row r="1575" spans="1:11">
      <c r="A1575" s="241" t="e">
        <f>VLOOKUP(B1575,'lista 1'!$A$2:$E$30100,4,0)</f>
        <v>#N/A</v>
      </c>
      <c r="B1575" s="123"/>
      <c r="C1575" s="133" t="e">
        <f>VLOOKUP(B1575,'lista 1'!$A$2:$E$31000,5,0)</f>
        <v>#N/A</v>
      </c>
      <c r="D1575" s="167" t="e">
        <f>VLOOKUP(E13375,'lista obszary'!A:B,2,0)</f>
        <v>#N/A</v>
      </c>
      <c r="E1575" s="128" t="e">
        <f>VLOOKUP(B1575,'LISTA 12'!$A$2:$G$301400,5,0)</f>
        <v>#N/A</v>
      </c>
      <c r="F1575" s="121" t="e">
        <f>VLOOKUP(B1575,'LISTA 12'!$A$2:$G$30100,7,0)</f>
        <v>#N/A</v>
      </c>
      <c r="G1575" s="254" t="e">
        <f>VLOOKUP(H1575,'lista 3'!$A$1:$C$31467,3,0)</f>
        <v>#N/A</v>
      </c>
      <c r="H1575" s="134"/>
      <c r="I1575" s="136"/>
      <c r="J1575" s="135"/>
      <c r="K1575" s="22"/>
    </row>
    <row r="1576" spans="1:11">
      <c r="A1576" s="241" t="e">
        <f>VLOOKUP(B1576,'lista 1'!$A$2:$E$30100,4,0)</f>
        <v>#N/A</v>
      </c>
      <c r="B1576" s="123"/>
      <c r="C1576" s="133" t="e">
        <f>VLOOKUP(B1576,'lista 1'!$A$2:$E$31000,5,0)</f>
        <v>#N/A</v>
      </c>
      <c r="D1576" s="167" t="e">
        <f>VLOOKUP(E13376,'lista obszary'!A:B,2,0)</f>
        <v>#N/A</v>
      </c>
      <c r="E1576" s="128" t="e">
        <f>VLOOKUP(B1576,'LISTA 12'!$A$2:$G$301400,5,0)</f>
        <v>#N/A</v>
      </c>
      <c r="F1576" s="121" t="e">
        <f>VLOOKUP(B1576,'LISTA 12'!$A$2:$G$30100,7,0)</f>
        <v>#N/A</v>
      </c>
      <c r="G1576" s="254" t="e">
        <f>VLOOKUP(H1576,'lista 3'!$A$1:$C$31467,3,0)</f>
        <v>#N/A</v>
      </c>
      <c r="H1576" s="134"/>
      <c r="I1576" s="136"/>
      <c r="J1576" s="135"/>
      <c r="K1576" s="22"/>
    </row>
    <row r="1577" spans="1:11">
      <c r="A1577" s="241" t="e">
        <f>VLOOKUP(B1577,'lista 1'!$A$2:$E$30100,4,0)</f>
        <v>#N/A</v>
      </c>
      <c r="B1577" s="123"/>
      <c r="C1577" s="133" t="e">
        <f>VLOOKUP(B1577,'lista 1'!$A$2:$E$31000,5,0)</f>
        <v>#N/A</v>
      </c>
      <c r="D1577" s="167" t="e">
        <f>VLOOKUP(E13377,'lista obszary'!A:B,2,0)</f>
        <v>#N/A</v>
      </c>
      <c r="E1577" s="128" t="e">
        <f>VLOOKUP(B1577,'LISTA 12'!$A$2:$G$301400,5,0)</f>
        <v>#N/A</v>
      </c>
      <c r="F1577" s="121" t="e">
        <f>VLOOKUP(B1577,'LISTA 12'!$A$2:$G$30100,7,0)</f>
        <v>#N/A</v>
      </c>
      <c r="G1577" s="254" t="e">
        <f>VLOOKUP(H1577,'lista 3'!$A$1:$C$31467,3,0)</f>
        <v>#N/A</v>
      </c>
      <c r="H1577" s="134"/>
      <c r="I1577" s="136"/>
      <c r="J1577" s="135"/>
      <c r="K1577" s="22"/>
    </row>
    <row r="1578" spans="1:11">
      <c r="A1578" s="241" t="e">
        <f>VLOOKUP(B1578,'lista 1'!$A$2:$E$30100,4,0)</f>
        <v>#N/A</v>
      </c>
      <c r="B1578" s="123"/>
      <c r="C1578" s="133" t="e">
        <f>VLOOKUP(B1578,'lista 1'!$A$2:$E$31000,5,0)</f>
        <v>#N/A</v>
      </c>
      <c r="D1578" s="167" t="e">
        <f>VLOOKUP(E13378,'lista obszary'!A:B,2,0)</f>
        <v>#N/A</v>
      </c>
      <c r="E1578" s="128" t="e">
        <f>VLOOKUP(B1578,'LISTA 12'!$A$2:$G$301400,5,0)</f>
        <v>#N/A</v>
      </c>
      <c r="F1578" s="121" t="e">
        <f>VLOOKUP(B1578,'LISTA 12'!$A$2:$G$30100,7,0)</f>
        <v>#N/A</v>
      </c>
      <c r="G1578" s="254" t="e">
        <f>VLOOKUP(H1578,'lista 3'!$A$1:$C$31467,3,0)</f>
        <v>#N/A</v>
      </c>
      <c r="H1578" s="134"/>
      <c r="I1578" s="136"/>
      <c r="J1578" s="135"/>
      <c r="K1578" s="22"/>
    </row>
    <row r="1579" spans="1:11">
      <c r="A1579" s="241" t="e">
        <f>VLOOKUP(B1579,'lista 1'!$A$2:$E$30100,4,0)</f>
        <v>#N/A</v>
      </c>
      <c r="B1579" s="123"/>
      <c r="C1579" s="133" t="e">
        <f>VLOOKUP(B1579,'lista 1'!$A$2:$E$31000,5,0)</f>
        <v>#N/A</v>
      </c>
      <c r="D1579" s="167" t="e">
        <f>VLOOKUP(E13379,'lista obszary'!A:B,2,0)</f>
        <v>#N/A</v>
      </c>
      <c r="E1579" s="128" t="e">
        <f>VLOOKUP(B1579,'LISTA 12'!$A$2:$G$301400,5,0)</f>
        <v>#N/A</v>
      </c>
      <c r="F1579" s="121" t="e">
        <f>VLOOKUP(B1579,'LISTA 12'!$A$2:$G$30100,7,0)</f>
        <v>#N/A</v>
      </c>
      <c r="G1579" s="254" t="e">
        <f>VLOOKUP(H1579,'lista 3'!$A$1:$C$31467,3,0)</f>
        <v>#N/A</v>
      </c>
      <c r="H1579" s="134"/>
      <c r="I1579" s="136"/>
      <c r="J1579" s="135"/>
      <c r="K1579" s="22"/>
    </row>
    <row r="1580" spans="1:11">
      <c r="A1580" s="241" t="e">
        <f>VLOOKUP(B1580,'lista 1'!$A$2:$E$30100,4,0)</f>
        <v>#N/A</v>
      </c>
      <c r="B1580" s="123"/>
      <c r="C1580" s="133" t="e">
        <f>VLOOKUP(B1580,'lista 1'!$A$2:$E$31000,5,0)</f>
        <v>#N/A</v>
      </c>
      <c r="D1580" s="167" t="e">
        <f>VLOOKUP(E13380,'lista obszary'!A:B,2,0)</f>
        <v>#N/A</v>
      </c>
      <c r="E1580" s="128" t="e">
        <f>VLOOKUP(B1580,'LISTA 12'!$A$2:$G$301400,5,0)</f>
        <v>#N/A</v>
      </c>
      <c r="F1580" s="121" t="e">
        <f>VLOOKUP(B1580,'LISTA 12'!$A$2:$G$30100,7,0)</f>
        <v>#N/A</v>
      </c>
      <c r="G1580" s="254" t="e">
        <f>VLOOKUP(H1580,'lista 3'!$A$1:$C$31467,3,0)</f>
        <v>#N/A</v>
      </c>
      <c r="H1580" s="134"/>
      <c r="I1580" s="136"/>
      <c r="J1580" s="135"/>
      <c r="K1580" s="22"/>
    </row>
    <row r="1581" spans="1:11">
      <c r="A1581" s="241" t="e">
        <f>VLOOKUP(B1581,'lista 1'!$A$2:$E$30100,4,0)</f>
        <v>#N/A</v>
      </c>
      <c r="B1581" s="123"/>
      <c r="C1581" s="133" t="e">
        <f>VLOOKUP(B1581,'lista 1'!$A$2:$E$31000,5,0)</f>
        <v>#N/A</v>
      </c>
      <c r="D1581" s="167" t="e">
        <f>VLOOKUP(E13381,'lista obszary'!A:B,2,0)</f>
        <v>#N/A</v>
      </c>
      <c r="E1581" s="128" t="e">
        <f>VLOOKUP(B1581,'LISTA 12'!$A$2:$G$301400,5,0)</f>
        <v>#N/A</v>
      </c>
      <c r="F1581" s="121" t="e">
        <f>VLOOKUP(B1581,'LISTA 12'!$A$2:$G$30100,7,0)</f>
        <v>#N/A</v>
      </c>
      <c r="G1581" s="254" t="e">
        <f>VLOOKUP(H1581,'lista 3'!$A$1:$C$31467,3,0)</f>
        <v>#N/A</v>
      </c>
      <c r="H1581" s="134"/>
      <c r="I1581" s="136"/>
      <c r="J1581" s="135"/>
      <c r="K1581" s="22"/>
    </row>
    <row r="1582" spans="1:11">
      <c r="A1582" s="241" t="e">
        <f>VLOOKUP(B1582,'lista 1'!$A$2:$E$30100,4,0)</f>
        <v>#N/A</v>
      </c>
      <c r="B1582" s="123"/>
      <c r="C1582" s="133" t="e">
        <f>VLOOKUP(B1582,'lista 1'!$A$2:$E$31000,5,0)</f>
        <v>#N/A</v>
      </c>
      <c r="D1582" s="167" t="e">
        <f>VLOOKUP(E13382,'lista obszary'!A:B,2,0)</f>
        <v>#N/A</v>
      </c>
      <c r="E1582" s="128" t="e">
        <f>VLOOKUP(B1582,'LISTA 12'!$A$2:$G$301400,5,0)</f>
        <v>#N/A</v>
      </c>
      <c r="F1582" s="121" t="e">
        <f>VLOOKUP(B1582,'LISTA 12'!$A$2:$G$30100,7,0)</f>
        <v>#N/A</v>
      </c>
      <c r="G1582" s="254" t="e">
        <f>VLOOKUP(H1582,'lista 3'!$A$1:$C$31467,3,0)</f>
        <v>#N/A</v>
      </c>
      <c r="H1582" s="134"/>
      <c r="I1582" s="136"/>
      <c r="J1582" s="135"/>
      <c r="K1582" s="22"/>
    </row>
    <row r="1583" spans="1:11">
      <c r="A1583" s="241" t="e">
        <f>VLOOKUP(B1583,'lista 1'!$A$2:$E$30100,4,0)</f>
        <v>#N/A</v>
      </c>
      <c r="B1583" s="123"/>
      <c r="C1583" s="133" t="e">
        <f>VLOOKUP(B1583,'lista 1'!$A$2:$E$31000,5,0)</f>
        <v>#N/A</v>
      </c>
      <c r="D1583" s="167" t="e">
        <f>VLOOKUP(E13383,'lista obszary'!A:B,2,0)</f>
        <v>#N/A</v>
      </c>
      <c r="E1583" s="128" t="e">
        <f>VLOOKUP(B1583,'LISTA 12'!$A$2:$G$301400,5,0)</f>
        <v>#N/A</v>
      </c>
      <c r="F1583" s="121" t="e">
        <f>VLOOKUP(B1583,'LISTA 12'!$A$2:$G$30100,7,0)</f>
        <v>#N/A</v>
      </c>
      <c r="G1583" s="254" t="e">
        <f>VLOOKUP(H1583,'lista 3'!$A$1:$C$31467,3,0)</f>
        <v>#N/A</v>
      </c>
      <c r="H1583" s="134"/>
      <c r="I1583" s="136"/>
      <c r="J1583" s="135"/>
      <c r="K1583" s="22"/>
    </row>
    <row r="1584" spans="1:11">
      <c r="A1584" s="241" t="e">
        <f>VLOOKUP(B1584,'lista 1'!$A$2:$E$30100,4,0)</f>
        <v>#N/A</v>
      </c>
      <c r="B1584" s="123"/>
      <c r="C1584" s="133" t="e">
        <f>VLOOKUP(B1584,'lista 1'!$A$2:$E$31000,5,0)</f>
        <v>#N/A</v>
      </c>
      <c r="D1584" s="167" t="e">
        <f>VLOOKUP(E13384,'lista obszary'!A:B,2,0)</f>
        <v>#N/A</v>
      </c>
      <c r="E1584" s="128" t="e">
        <f>VLOOKUP(B1584,'LISTA 12'!$A$2:$G$301400,5,0)</f>
        <v>#N/A</v>
      </c>
      <c r="F1584" s="121" t="e">
        <f>VLOOKUP(B1584,'LISTA 12'!$A$2:$G$30100,7,0)</f>
        <v>#N/A</v>
      </c>
      <c r="G1584" s="254" t="e">
        <f>VLOOKUP(H1584,'lista 3'!$A$1:$C$31467,3,0)</f>
        <v>#N/A</v>
      </c>
      <c r="H1584" s="134"/>
      <c r="I1584" s="136"/>
      <c r="J1584" s="135"/>
      <c r="K1584" s="22"/>
    </row>
    <row r="1585" spans="1:11">
      <c r="A1585" s="241" t="e">
        <f>VLOOKUP(B1585,'lista 1'!$A$2:$E$30100,4,0)</f>
        <v>#N/A</v>
      </c>
      <c r="B1585" s="123"/>
      <c r="C1585" s="133" t="e">
        <f>VLOOKUP(B1585,'lista 1'!$A$2:$E$31000,5,0)</f>
        <v>#N/A</v>
      </c>
      <c r="D1585" s="167" t="e">
        <f>VLOOKUP(E13385,'lista obszary'!A:B,2,0)</f>
        <v>#N/A</v>
      </c>
      <c r="E1585" s="128" t="e">
        <f>VLOOKUP(B1585,'LISTA 12'!$A$2:$G$301400,5,0)</f>
        <v>#N/A</v>
      </c>
      <c r="F1585" s="121" t="e">
        <f>VLOOKUP(B1585,'LISTA 12'!$A$2:$G$30100,7,0)</f>
        <v>#N/A</v>
      </c>
      <c r="G1585" s="254" t="e">
        <f>VLOOKUP(H1585,'lista 3'!$A$1:$C$31467,3,0)</f>
        <v>#N/A</v>
      </c>
      <c r="H1585" s="134"/>
      <c r="I1585" s="136"/>
      <c r="J1585" s="135"/>
      <c r="K1585" s="22"/>
    </row>
    <row r="1586" spans="1:11">
      <c r="A1586" s="241" t="e">
        <f>VLOOKUP(B1586,'lista 1'!$A$2:$E$30100,4,0)</f>
        <v>#N/A</v>
      </c>
      <c r="B1586" s="123"/>
      <c r="C1586" s="133" t="e">
        <f>VLOOKUP(B1586,'lista 1'!$A$2:$E$31000,5,0)</f>
        <v>#N/A</v>
      </c>
      <c r="D1586" s="167" t="e">
        <f>VLOOKUP(E13386,'lista obszary'!A:B,2,0)</f>
        <v>#N/A</v>
      </c>
      <c r="E1586" s="128" t="e">
        <f>VLOOKUP(B1586,'LISTA 12'!$A$2:$G$301400,5,0)</f>
        <v>#N/A</v>
      </c>
      <c r="F1586" s="121" t="e">
        <f>VLOOKUP(B1586,'LISTA 12'!$A$2:$G$30100,7,0)</f>
        <v>#N/A</v>
      </c>
      <c r="G1586" s="254" t="e">
        <f>VLOOKUP(H1586,'lista 3'!$A$1:$C$31467,3,0)</f>
        <v>#N/A</v>
      </c>
      <c r="H1586" s="134"/>
      <c r="I1586" s="136"/>
      <c r="J1586" s="135"/>
      <c r="K1586" s="22"/>
    </row>
    <row r="1587" spans="1:11">
      <c r="A1587" s="241" t="e">
        <f>VLOOKUP(B1587,'lista 1'!$A$2:$E$30100,4,0)</f>
        <v>#N/A</v>
      </c>
      <c r="B1587" s="123"/>
      <c r="C1587" s="133" t="e">
        <f>VLOOKUP(B1587,'lista 1'!$A$2:$E$31000,5,0)</f>
        <v>#N/A</v>
      </c>
      <c r="D1587" s="167" t="e">
        <f>VLOOKUP(E13387,'lista obszary'!A:B,2,0)</f>
        <v>#N/A</v>
      </c>
      <c r="E1587" s="128" t="e">
        <f>VLOOKUP(B1587,'LISTA 12'!$A$2:$G$301400,5,0)</f>
        <v>#N/A</v>
      </c>
      <c r="F1587" s="121" t="e">
        <f>VLOOKUP(B1587,'LISTA 12'!$A$2:$G$30100,7,0)</f>
        <v>#N/A</v>
      </c>
      <c r="G1587" s="254" t="e">
        <f>VLOOKUP(H1587,'lista 3'!$A$1:$C$31467,3,0)</f>
        <v>#N/A</v>
      </c>
      <c r="H1587" s="134"/>
      <c r="I1587" s="136"/>
      <c r="J1587" s="135"/>
      <c r="K1587" s="22"/>
    </row>
    <row r="1588" spans="1:11">
      <c r="A1588" s="241" t="e">
        <f>VLOOKUP(B1588,'lista 1'!$A$2:$E$30100,4,0)</f>
        <v>#N/A</v>
      </c>
      <c r="B1588" s="123"/>
      <c r="C1588" s="133" t="e">
        <f>VLOOKUP(B1588,'lista 1'!$A$2:$E$31000,5,0)</f>
        <v>#N/A</v>
      </c>
      <c r="D1588" s="167" t="e">
        <f>VLOOKUP(E13388,'lista obszary'!A:B,2,0)</f>
        <v>#N/A</v>
      </c>
      <c r="E1588" s="128" t="e">
        <f>VLOOKUP(B1588,'LISTA 12'!$A$2:$G$301400,5,0)</f>
        <v>#N/A</v>
      </c>
      <c r="F1588" s="121" t="e">
        <f>VLOOKUP(B1588,'LISTA 12'!$A$2:$G$30100,7,0)</f>
        <v>#N/A</v>
      </c>
      <c r="G1588" s="254" t="e">
        <f>VLOOKUP(H1588,'lista 3'!$A$1:$C$31467,3,0)</f>
        <v>#N/A</v>
      </c>
      <c r="H1588" s="134"/>
      <c r="I1588" s="136"/>
      <c r="J1588" s="135"/>
      <c r="K1588" s="22"/>
    </row>
    <row r="1589" spans="1:11">
      <c r="A1589" s="241" t="e">
        <f>VLOOKUP(B1589,'lista 1'!$A$2:$E$30100,4,0)</f>
        <v>#N/A</v>
      </c>
      <c r="B1589" s="123"/>
      <c r="C1589" s="133" t="e">
        <f>VLOOKUP(B1589,'lista 1'!$A$2:$E$31000,5,0)</f>
        <v>#N/A</v>
      </c>
      <c r="D1589" s="167" t="e">
        <f>VLOOKUP(E13389,'lista obszary'!A:B,2,0)</f>
        <v>#N/A</v>
      </c>
      <c r="E1589" s="128" t="e">
        <f>VLOOKUP(B1589,'LISTA 12'!$A$2:$G$301400,5,0)</f>
        <v>#N/A</v>
      </c>
      <c r="F1589" s="121" t="e">
        <f>VLOOKUP(B1589,'LISTA 12'!$A$2:$G$30100,7,0)</f>
        <v>#N/A</v>
      </c>
      <c r="G1589" s="254" t="e">
        <f>VLOOKUP(H1589,'lista 3'!$A$1:$C$31467,3,0)</f>
        <v>#N/A</v>
      </c>
      <c r="H1589" s="134"/>
      <c r="I1589" s="136"/>
      <c r="J1589" s="135"/>
      <c r="K1589" s="22"/>
    </row>
    <row r="1590" spans="1:11">
      <c r="A1590" s="241" t="e">
        <f>VLOOKUP(B1590,'lista 1'!$A$2:$E$30100,4,0)</f>
        <v>#N/A</v>
      </c>
      <c r="B1590" s="123"/>
      <c r="C1590" s="133" t="e">
        <f>VLOOKUP(B1590,'lista 1'!$A$2:$E$31000,5,0)</f>
        <v>#N/A</v>
      </c>
      <c r="D1590" s="167" t="e">
        <f>VLOOKUP(E13390,'lista obszary'!A:B,2,0)</f>
        <v>#N/A</v>
      </c>
      <c r="E1590" s="128" t="e">
        <f>VLOOKUP(B1590,'LISTA 12'!$A$2:$G$301400,5,0)</f>
        <v>#N/A</v>
      </c>
      <c r="F1590" s="121" t="e">
        <f>VLOOKUP(B1590,'LISTA 12'!$A$2:$G$30100,7,0)</f>
        <v>#N/A</v>
      </c>
      <c r="G1590" s="254" t="e">
        <f>VLOOKUP(H1590,'lista 3'!$A$1:$C$31467,3,0)</f>
        <v>#N/A</v>
      </c>
      <c r="H1590" s="134"/>
      <c r="I1590" s="136"/>
      <c r="J1590" s="135"/>
      <c r="K1590" s="22"/>
    </row>
    <row r="1591" spans="1:11">
      <c r="A1591" s="241" t="e">
        <f>VLOOKUP(B1591,'lista 1'!$A$2:$E$30100,4,0)</f>
        <v>#N/A</v>
      </c>
      <c r="B1591" s="123"/>
      <c r="C1591" s="133" t="e">
        <f>VLOOKUP(B1591,'lista 1'!$A$2:$E$31000,5,0)</f>
        <v>#N/A</v>
      </c>
      <c r="D1591" s="167" t="e">
        <f>VLOOKUP(E13391,'lista obszary'!A:B,2,0)</f>
        <v>#N/A</v>
      </c>
      <c r="E1591" s="128" t="e">
        <f>VLOOKUP(B1591,'LISTA 12'!$A$2:$G$301400,5,0)</f>
        <v>#N/A</v>
      </c>
      <c r="F1591" s="121" t="e">
        <f>VLOOKUP(B1591,'LISTA 12'!$A$2:$G$30100,7,0)</f>
        <v>#N/A</v>
      </c>
      <c r="G1591" s="254" t="e">
        <f>VLOOKUP(H1591,'lista 3'!$A$1:$C$31467,3,0)</f>
        <v>#N/A</v>
      </c>
      <c r="H1591" s="134"/>
      <c r="I1591" s="136"/>
      <c r="J1591" s="135"/>
      <c r="K1591" s="22"/>
    </row>
    <row r="1592" spans="1:11">
      <c r="A1592" s="241" t="e">
        <f>VLOOKUP(B1592,'lista 1'!$A$2:$E$30100,4,0)</f>
        <v>#N/A</v>
      </c>
      <c r="B1592" s="123"/>
      <c r="C1592" s="133" t="e">
        <f>VLOOKUP(B1592,'lista 1'!$A$2:$E$31000,5,0)</f>
        <v>#N/A</v>
      </c>
      <c r="D1592" s="167" t="e">
        <f>VLOOKUP(E13392,'lista obszary'!A:B,2,0)</f>
        <v>#N/A</v>
      </c>
      <c r="E1592" s="128" t="e">
        <f>VLOOKUP(B1592,'LISTA 12'!$A$2:$G$301400,5,0)</f>
        <v>#N/A</v>
      </c>
      <c r="F1592" s="121" t="e">
        <f>VLOOKUP(B1592,'LISTA 12'!$A$2:$G$30100,7,0)</f>
        <v>#N/A</v>
      </c>
      <c r="G1592" s="254" t="e">
        <f>VLOOKUP(H1592,'lista 3'!$A$1:$C$31467,3,0)</f>
        <v>#N/A</v>
      </c>
      <c r="H1592" s="134"/>
      <c r="I1592" s="136"/>
      <c r="J1592" s="135"/>
      <c r="K1592" s="22"/>
    </row>
    <row r="1593" spans="1:11">
      <c r="A1593" s="241" t="e">
        <f>VLOOKUP(B1593,'lista 1'!$A$2:$E$30100,4,0)</f>
        <v>#N/A</v>
      </c>
      <c r="B1593" s="123"/>
      <c r="C1593" s="133" t="e">
        <f>VLOOKUP(B1593,'lista 1'!$A$2:$E$31000,5,0)</f>
        <v>#N/A</v>
      </c>
      <c r="D1593" s="167" t="e">
        <f>VLOOKUP(E13393,'lista obszary'!A:B,2,0)</f>
        <v>#N/A</v>
      </c>
      <c r="E1593" s="128" t="e">
        <f>VLOOKUP(B1593,'LISTA 12'!$A$2:$G$301400,5,0)</f>
        <v>#N/A</v>
      </c>
      <c r="F1593" s="121" t="e">
        <f>VLOOKUP(B1593,'LISTA 12'!$A$2:$G$30100,7,0)</f>
        <v>#N/A</v>
      </c>
      <c r="G1593" s="254" t="e">
        <f>VLOOKUP(H1593,'lista 3'!$A$1:$C$31467,3,0)</f>
        <v>#N/A</v>
      </c>
      <c r="H1593" s="134"/>
      <c r="I1593" s="136"/>
      <c r="J1593" s="135"/>
      <c r="K1593" s="22"/>
    </row>
    <row r="1594" spans="1:11">
      <c r="A1594" s="241" t="e">
        <f>VLOOKUP(B1594,'lista 1'!$A$2:$E$30100,4,0)</f>
        <v>#N/A</v>
      </c>
      <c r="B1594" s="123"/>
      <c r="C1594" s="133" t="e">
        <f>VLOOKUP(B1594,'lista 1'!$A$2:$E$31000,5,0)</f>
        <v>#N/A</v>
      </c>
      <c r="D1594" s="167" t="e">
        <f>VLOOKUP(E13394,'lista obszary'!A:B,2,0)</f>
        <v>#N/A</v>
      </c>
      <c r="E1594" s="128" t="e">
        <f>VLOOKUP(B1594,'LISTA 12'!$A$2:$G$301400,5,0)</f>
        <v>#N/A</v>
      </c>
      <c r="F1594" s="121" t="e">
        <f>VLOOKUP(B1594,'LISTA 12'!$A$2:$G$30100,7,0)</f>
        <v>#N/A</v>
      </c>
      <c r="G1594" s="254" t="e">
        <f>VLOOKUP(H1594,'lista 3'!$A$1:$C$31467,3,0)</f>
        <v>#N/A</v>
      </c>
      <c r="H1594" s="134"/>
      <c r="I1594" s="136"/>
      <c r="J1594" s="135"/>
      <c r="K1594" s="22"/>
    </row>
    <row r="1595" spans="1:11">
      <c r="A1595" s="241" t="e">
        <f>VLOOKUP(B1595,'lista 1'!$A$2:$E$30100,4,0)</f>
        <v>#N/A</v>
      </c>
      <c r="B1595" s="123"/>
      <c r="C1595" s="133" t="e">
        <f>VLOOKUP(B1595,'lista 1'!$A$2:$E$31000,5,0)</f>
        <v>#N/A</v>
      </c>
      <c r="D1595" s="167" t="e">
        <f>VLOOKUP(E13395,'lista obszary'!A:B,2,0)</f>
        <v>#N/A</v>
      </c>
      <c r="E1595" s="128" t="e">
        <f>VLOOKUP(B1595,'LISTA 12'!$A$2:$G$301400,5,0)</f>
        <v>#N/A</v>
      </c>
      <c r="F1595" s="121" t="e">
        <f>VLOOKUP(B1595,'LISTA 12'!$A$2:$G$30100,7,0)</f>
        <v>#N/A</v>
      </c>
      <c r="G1595" s="254" t="e">
        <f>VLOOKUP(H1595,'lista 3'!$A$1:$C$31467,3,0)</f>
        <v>#N/A</v>
      </c>
      <c r="H1595" s="134"/>
      <c r="I1595" s="136"/>
      <c r="J1595" s="135"/>
      <c r="K1595" s="22"/>
    </row>
    <row r="1596" spans="1:11">
      <c r="A1596" s="241" t="e">
        <f>VLOOKUP(B1596,'lista 1'!$A$2:$E$30100,4,0)</f>
        <v>#N/A</v>
      </c>
      <c r="B1596" s="123"/>
      <c r="C1596" s="133" t="e">
        <f>VLOOKUP(B1596,'lista 1'!$A$2:$E$31000,5,0)</f>
        <v>#N/A</v>
      </c>
      <c r="D1596" s="167" t="e">
        <f>VLOOKUP(E13396,'lista obszary'!A:B,2,0)</f>
        <v>#N/A</v>
      </c>
      <c r="E1596" s="128" t="e">
        <f>VLOOKUP(B1596,'LISTA 12'!$A$2:$G$301400,5,0)</f>
        <v>#N/A</v>
      </c>
      <c r="F1596" s="121" t="e">
        <f>VLOOKUP(B1596,'LISTA 12'!$A$2:$G$30100,7,0)</f>
        <v>#N/A</v>
      </c>
      <c r="G1596" s="254" t="e">
        <f>VLOOKUP(H1596,'lista 3'!$A$1:$C$31467,3,0)</f>
        <v>#N/A</v>
      </c>
      <c r="H1596" s="134"/>
      <c r="I1596" s="136"/>
      <c r="J1596" s="135"/>
      <c r="K1596" s="22"/>
    </row>
    <row r="1597" spans="1:11">
      <c r="A1597" s="241" t="e">
        <f>VLOOKUP(B1597,'lista 1'!$A$2:$E$30100,4,0)</f>
        <v>#N/A</v>
      </c>
      <c r="B1597" s="123"/>
      <c r="C1597" s="133" t="e">
        <f>VLOOKUP(B1597,'lista 1'!$A$2:$E$31000,5,0)</f>
        <v>#N/A</v>
      </c>
      <c r="D1597" s="167" t="e">
        <f>VLOOKUP(E13397,'lista obszary'!A:B,2,0)</f>
        <v>#N/A</v>
      </c>
      <c r="E1597" s="128" t="e">
        <f>VLOOKUP(B1597,'LISTA 12'!$A$2:$G$301400,5,0)</f>
        <v>#N/A</v>
      </c>
      <c r="F1597" s="121" t="e">
        <f>VLOOKUP(B1597,'LISTA 12'!$A$2:$G$30100,7,0)</f>
        <v>#N/A</v>
      </c>
      <c r="G1597" s="254" t="e">
        <f>VLOOKUP(H1597,'lista 3'!$A$1:$C$31467,3,0)</f>
        <v>#N/A</v>
      </c>
      <c r="H1597" s="134"/>
      <c r="I1597" s="136"/>
      <c r="J1597" s="135"/>
      <c r="K1597" s="22"/>
    </row>
    <row r="1598" spans="1:11">
      <c r="A1598" s="241" t="e">
        <f>VLOOKUP(B1598,'lista 1'!$A$2:$E$30100,4,0)</f>
        <v>#N/A</v>
      </c>
      <c r="B1598" s="123"/>
      <c r="C1598" s="133" t="e">
        <f>VLOOKUP(B1598,'lista 1'!$A$2:$E$31000,5,0)</f>
        <v>#N/A</v>
      </c>
      <c r="D1598" s="167" t="e">
        <f>VLOOKUP(E13398,'lista obszary'!A:B,2,0)</f>
        <v>#N/A</v>
      </c>
      <c r="E1598" s="128" t="e">
        <f>VLOOKUP(B1598,'LISTA 12'!$A$2:$G$301400,5,0)</f>
        <v>#N/A</v>
      </c>
      <c r="F1598" s="121" t="e">
        <f>VLOOKUP(B1598,'LISTA 12'!$A$2:$G$30100,7,0)</f>
        <v>#N/A</v>
      </c>
      <c r="G1598" s="254" t="e">
        <f>VLOOKUP(H1598,'lista 3'!$A$1:$C$31467,3,0)</f>
        <v>#N/A</v>
      </c>
      <c r="H1598" s="134"/>
      <c r="I1598" s="136"/>
      <c r="J1598" s="135"/>
      <c r="K1598" s="22"/>
    </row>
    <row r="1599" spans="1:11">
      <c r="A1599" s="241" t="e">
        <f>VLOOKUP(B1599,'lista 1'!$A$2:$E$30100,4,0)</f>
        <v>#N/A</v>
      </c>
      <c r="B1599" s="123"/>
      <c r="C1599" s="133" t="e">
        <f>VLOOKUP(B1599,'lista 1'!$A$2:$E$31000,5,0)</f>
        <v>#N/A</v>
      </c>
      <c r="D1599" s="167" t="e">
        <f>VLOOKUP(E13399,'lista obszary'!A:B,2,0)</f>
        <v>#N/A</v>
      </c>
      <c r="E1599" s="128" t="e">
        <f>VLOOKUP(B1599,'LISTA 12'!$A$2:$G$301400,5,0)</f>
        <v>#N/A</v>
      </c>
      <c r="F1599" s="121" t="e">
        <f>VLOOKUP(B1599,'LISTA 12'!$A$2:$G$30100,7,0)</f>
        <v>#N/A</v>
      </c>
      <c r="G1599" s="254" t="e">
        <f>VLOOKUP(H1599,'lista 3'!$A$1:$C$31467,3,0)</f>
        <v>#N/A</v>
      </c>
      <c r="H1599" s="134"/>
      <c r="I1599" s="136"/>
      <c r="J1599" s="135"/>
      <c r="K1599" s="22"/>
    </row>
    <row r="1600" spans="1:11">
      <c r="A1600" s="241" t="e">
        <f>VLOOKUP(B1600,'lista 1'!$A$2:$E$30100,4,0)</f>
        <v>#N/A</v>
      </c>
      <c r="B1600" s="123"/>
      <c r="C1600" s="133" t="e">
        <f>VLOOKUP(B1600,'lista 1'!$A$2:$E$31000,5,0)</f>
        <v>#N/A</v>
      </c>
      <c r="D1600" s="167" t="e">
        <f>VLOOKUP(E13400,'lista obszary'!A:B,2,0)</f>
        <v>#N/A</v>
      </c>
      <c r="E1600" s="128" t="e">
        <f>VLOOKUP(B1600,'LISTA 12'!$A$2:$G$301400,5,0)</f>
        <v>#N/A</v>
      </c>
      <c r="F1600" s="121" t="e">
        <f>VLOOKUP(B1600,'LISTA 12'!$A$2:$G$30100,7,0)</f>
        <v>#N/A</v>
      </c>
      <c r="G1600" s="254" t="e">
        <f>VLOOKUP(H1600,'lista 3'!$A$1:$C$31467,3,0)</f>
        <v>#N/A</v>
      </c>
      <c r="H1600" s="134"/>
      <c r="I1600" s="136"/>
      <c r="J1600" s="135"/>
      <c r="K1600" s="22"/>
    </row>
    <row r="1601" spans="1:11">
      <c r="A1601" s="241" t="e">
        <f>VLOOKUP(B1601,'lista 1'!$A$2:$E$30100,4,0)</f>
        <v>#N/A</v>
      </c>
      <c r="B1601" s="123"/>
      <c r="C1601" s="133" t="e">
        <f>VLOOKUP(B1601,'lista 1'!$A$2:$E$31000,5,0)</f>
        <v>#N/A</v>
      </c>
      <c r="D1601" s="167" t="e">
        <f>VLOOKUP(E13401,'lista obszary'!A:B,2,0)</f>
        <v>#N/A</v>
      </c>
      <c r="E1601" s="128" t="e">
        <f>VLOOKUP(B1601,'LISTA 12'!$A$2:$G$301400,5,0)</f>
        <v>#N/A</v>
      </c>
      <c r="F1601" s="121" t="e">
        <f>VLOOKUP(B1601,'LISTA 12'!$A$2:$G$30100,7,0)</f>
        <v>#N/A</v>
      </c>
      <c r="G1601" s="254" t="e">
        <f>VLOOKUP(H1601,'lista 3'!$A$1:$C$31467,3,0)</f>
        <v>#N/A</v>
      </c>
      <c r="H1601" s="134"/>
      <c r="I1601" s="136"/>
      <c r="J1601" s="135"/>
      <c r="K1601" s="22"/>
    </row>
    <row r="1602" spans="1:11">
      <c r="A1602" s="241" t="e">
        <f>VLOOKUP(B1602,'lista 1'!$A$2:$E$30100,4,0)</f>
        <v>#N/A</v>
      </c>
      <c r="B1602" s="123"/>
      <c r="C1602" s="133" t="e">
        <f>VLOOKUP(B1602,'lista 1'!$A$2:$E$31000,5,0)</f>
        <v>#N/A</v>
      </c>
      <c r="D1602" s="167" t="e">
        <f>VLOOKUP(E13402,'lista obszary'!A:B,2,0)</f>
        <v>#N/A</v>
      </c>
      <c r="E1602" s="128" t="e">
        <f>VLOOKUP(B1602,'LISTA 12'!$A$2:$G$301400,5,0)</f>
        <v>#N/A</v>
      </c>
      <c r="F1602" s="121" t="e">
        <f>VLOOKUP(B1602,'LISTA 12'!$A$2:$G$30100,7,0)</f>
        <v>#N/A</v>
      </c>
      <c r="G1602" s="254" t="e">
        <f>VLOOKUP(H1602,'lista 3'!$A$1:$C$31467,3,0)</f>
        <v>#N/A</v>
      </c>
      <c r="H1602" s="134"/>
      <c r="I1602" s="136"/>
      <c r="J1602" s="135"/>
      <c r="K1602" s="22"/>
    </row>
    <row r="1603" spans="1:11">
      <c r="A1603" s="241" t="e">
        <f>VLOOKUP(B1603,'lista 1'!$A$2:$E$30100,4,0)</f>
        <v>#N/A</v>
      </c>
      <c r="B1603" s="123"/>
      <c r="C1603" s="133" t="e">
        <f>VLOOKUP(B1603,'lista 1'!$A$2:$E$31000,5,0)</f>
        <v>#N/A</v>
      </c>
      <c r="D1603" s="167" t="e">
        <f>VLOOKUP(E13403,'lista obszary'!A:B,2,0)</f>
        <v>#N/A</v>
      </c>
      <c r="E1603" s="128" t="e">
        <f>VLOOKUP(B1603,'LISTA 12'!$A$2:$G$301400,5,0)</f>
        <v>#N/A</v>
      </c>
      <c r="F1603" s="121" t="e">
        <f>VLOOKUP(B1603,'LISTA 12'!$A$2:$G$30100,7,0)</f>
        <v>#N/A</v>
      </c>
      <c r="G1603" s="254" t="e">
        <f>VLOOKUP(H1603,'lista 3'!$A$1:$C$31467,3,0)</f>
        <v>#N/A</v>
      </c>
      <c r="H1603" s="134"/>
      <c r="I1603" s="136"/>
      <c r="J1603" s="135"/>
      <c r="K1603" s="22"/>
    </row>
    <row r="1604" spans="1:11">
      <c r="A1604" s="241" t="e">
        <f>VLOOKUP(B1604,'lista 1'!$A$2:$E$30100,4,0)</f>
        <v>#N/A</v>
      </c>
      <c r="B1604" s="123"/>
      <c r="C1604" s="133" t="e">
        <f>VLOOKUP(B1604,'lista 1'!$A$2:$E$31000,5,0)</f>
        <v>#N/A</v>
      </c>
      <c r="D1604" s="167" t="e">
        <f>VLOOKUP(E13404,'lista obszary'!A:B,2,0)</f>
        <v>#N/A</v>
      </c>
      <c r="E1604" s="128" t="e">
        <f>VLOOKUP(B1604,'LISTA 12'!$A$2:$G$301400,5,0)</f>
        <v>#N/A</v>
      </c>
      <c r="F1604" s="121" t="e">
        <f>VLOOKUP(B1604,'LISTA 12'!$A$2:$G$30100,7,0)</f>
        <v>#N/A</v>
      </c>
      <c r="G1604" s="254" t="e">
        <f>VLOOKUP(H1604,'lista 3'!$A$1:$C$31467,3,0)</f>
        <v>#N/A</v>
      </c>
      <c r="H1604" s="134"/>
      <c r="I1604" s="136"/>
      <c r="J1604" s="135"/>
      <c r="K1604" s="22"/>
    </row>
    <row r="1605" spans="1:11">
      <c r="A1605" s="241" t="e">
        <f>VLOOKUP(B1605,'lista 1'!$A$2:$E$30100,4,0)</f>
        <v>#N/A</v>
      </c>
      <c r="B1605" s="123"/>
      <c r="C1605" s="133" t="e">
        <f>VLOOKUP(B1605,'lista 1'!$A$2:$E$31000,5,0)</f>
        <v>#N/A</v>
      </c>
      <c r="D1605" s="167" t="e">
        <f>VLOOKUP(E13405,'lista obszary'!A:B,2,0)</f>
        <v>#N/A</v>
      </c>
      <c r="E1605" s="128" t="e">
        <f>VLOOKUP(B1605,'LISTA 12'!$A$2:$G$301400,5,0)</f>
        <v>#N/A</v>
      </c>
      <c r="F1605" s="121" t="e">
        <f>VLOOKUP(B1605,'LISTA 12'!$A$2:$G$30100,7,0)</f>
        <v>#N/A</v>
      </c>
      <c r="G1605" s="254" t="e">
        <f>VLOOKUP(H1605,'lista 3'!$A$1:$C$31467,3,0)</f>
        <v>#N/A</v>
      </c>
      <c r="H1605" s="134"/>
      <c r="I1605" s="136"/>
      <c r="J1605" s="135"/>
      <c r="K1605" s="22"/>
    </row>
    <row r="1606" spans="1:11">
      <c r="A1606" s="241" t="e">
        <f>VLOOKUP(B1606,'lista 1'!$A$2:$E$30100,4,0)</f>
        <v>#N/A</v>
      </c>
      <c r="B1606" s="123"/>
      <c r="C1606" s="133" t="e">
        <f>VLOOKUP(B1606,'lista 1'!$A$2:$E$31000,5,0)</f>
        <v>#N/A</v>
      </c>
      <c r="D1606" s="167" t="e">
        <f>VLOOKUP(E13406,'lista obszary'!A:B,2,0)</f>
        <v>#N/A</v>
      </c>
      <c r="E1606" s="128" t="e">
        <f>VLOOKUP(B1606,'LISTA 12'!$A$2:$G$301400,5,0)</f>
        <v>#N/A</v>
      </c>
      <c r="F1606" s="121" t="e">
        <f>VLOOKUP(B1606,'LISTA 12'!$A$2:$G$30100,7,0)</f>
        <v>#N/A</v>
      </c>
      <c r="G1606" s="254" t="e">
        <f>VLOOKUP(H1606,'lista 3'!$A$1:$C$31467,3,0)</f>
        <v>#N/A</v>
      </c>
      <c r="H1606" s="134"/>
      <c r="I1606" s="136"/>
      <c r="J1606" s="135"/>
      <c r="K1606" s="22"/>
    </row>
    <row r="1607" spans="1:11">
      <c r="A1607" s="241" t="e">
        <f>VLOOKUP(B1607,'lista 1'!$A$2:$E$30100,4,0)</f>
        <v>#N/A</v>
      </c>
      <c r="B1607" s="123"/>
      <c r="C1607" s="133" t="e">
        <f>VLOOKUP(B1607,'lista 1'!$A$2:$E$31000,5,0)</f>
        <v>#N/A</v>
      </c>
      <c r="D1607" s="167" t="e">
        <f>VLOOKUP(E13407,'lista obszary'!A:B,2,0)</f>
        <v>#N/A</v>
      </c>
      <c r="E1607" s="128" t="e">
        <f>VLOOKUP(B1607,'LISTA 12'!$A$2:$G$301400,5,0)</f>
        <v>#N/A</v>
      </c>
      <c r="F1607" s="121" t="e">
        <f>VLOOKUP(B1607,'LISTA 12'!$A$2:$G$30100,7,0)</f>
        <v>#N/A</v>
      </c>
      <c r="G1607" s="254" t="e">
        <f>VLOOKUP(H1607,'lista 3'!$A$1:$C$31467,3,0)</f>
        <v>#N/A</v>
      </c>
      <c r="H1607" s="134"/>
      <c r="I1607" s="136"/>
      <c r="J1607" s="135"/>
      <c r="K1607" s="22"/>
    </row>
    <row r="1608" spans="1:11">
      <c r="A1608" s="241" t="e">
        <f>VLOOKUP(B1608,'lista 1'!$A$2:$E$30100,4,0)</f>
        <v>#N/A</v>
      </c>
      <c r="B1608" s="123"/>
      <c r="C1608" s="133" t="e">
        <f>VLOOKUP(B1608,'lista 1'!$A$2:$E$31000,5,0)</f>
        <v>#N/A</v>
      </c>
      <c r="D1608" s="167" t="e">
        <f>VLOOKUP(E13408,'lista obszary'!A:B,2,0)</f>
        <v>#N/A</v>
      </c>
      <c r="E1608" s="128" t="e">
        <f>VLOOKUP(B1608,'LISTA 12'!$A$2:$G$301400,5,0)</f>
        <v>#N/A</v>
      </c>
      <c r="F1608" s="121" t="e">
        <f>VLOOKUP(B1608,'LISTA 12'!$A$2:$G$30100,7,0)</f>
        <v>#N/A</v>
      </c>
      <c r="G1608" s="254" t="e">
        <f>VLOOKUP(H1608,'lista 3'!$A$1:$C$31467,3,0)</f>
        <v>#N/A</v>
      </c>
      <c r="H1608" s="134"/>
      <c r="I1608" s="136"/>
      <c r="J1608" s="135"/>
      <c r="K1608" s="22"/>
    </row>
    <row r="1609" spans="1:11">
      <c r="A1609" s="241" t="e">
        <f>VLOOKUP(B1609,'lista 1'!$A$2:$E$30100,4,0)</f>
        <v>#N/A</v>
      </c>
      <c r="B1609" s="123"/>
      <c r="C1609" s="133" t="e">
        <f>VLOOKUP(B1609,'lista 1'!$A$2:$E$31000,5,0)</f>
        <v>#N/A</v>
      </c>
      <c r="D1609" s="167" t="e">
        <f>VLOOKUP(E13409,'lista obszary'!A:B,2,0)</f>
        <v>#N/A</v>
      </c>
      <c r="E1609" s="128" t="e">
        <f>VLOOKUP(B1609,'LISTA 12'!$A$2:$G$301400,5,0)</f>
        <v>#N/A</v>
      </c>
      <c r="F1609" s="121" t="e">
        <f>VLOOKUP(B1609,'LISTA 12'!$A$2:$G$30100,7,0)</f>
        <v>#N/A</v>
      </c>
      <c r="G1609" s="254" t="e">
        <f>VLOOKUP(H1609,'lista 3'!$A$1:$C$31467,3,0)</f>
        <v>#N/A</v>
      </c>
      <c r="H1609" s="134"/>
      <c r="I1609" s="136"/>
      <c r="J1609" s="135"/>
      <c r="K1609" s="22"/>
    </row>
    <row r="1610" spans="1:11">
      <c r="A1610" s="241" t="e">
        <f>VLOOKUP(B1610,'lista 1'!$A$2:$E$30100,4,0)</f>
        <v>#N/A</v>
      </c>
      <c r="B1610" s="123"/>
      <c r="C1610" s="133" t="e">
        <f>VLOOKUP(B1610,'lista 1'!$A$2:$E$31000,5,0)</f>
        <v>#N/A</v>
      </c>
      <c r="D1610" s="167" t="e">
        <f>VLOOKUP(E13410,'lista obszary'!A:B,2,0)</f>
        <v>#N/A</v>
      </c>
      <c r="E1610" s="128" t="e">
        <f>VLOOKUP(B1610,'LISTA 12'!$A$2:$G$301400,5,0)</f>
        <v>#N/A</v>
      </c>
      <c r="F1610" s="121" t="e">
        <f>VLOOKUP(B1610,'LISTA 12'!$A$2:$G$30100,7,0)</f>
        <v>#N/A</v>
      </c>
      <c r="G1610" s="254" t="e">
        <f>VLOOKUP(H1610,'lista 3'!$A$1:$C$31467,3,0)</f>
        <v>#N/A</v>
      </c>
      <c r="H1610" s="134"/>
      <c r="I1610" s="136"/>
      <c r="J1610" s="135"/>
      <c r="K1610" s="22"/>
    </row>
    <row r="1611" spans="1:11">
      <c r="A1611" s="241" t="e">
        <f>VLOOKUP(B1611,'lista 1'!$A$2:$E$30100,4,0)</f>
        <v>#N/A</v>
      </c>
      <c r="B1611" s="123"/>
      <c r="C1611" s="133" t="e">
        <f>VLOOKUP(B1611,'lista 1'!$A$2:$E$31000,5,0)</f>
        <v>#N/A</v>
      </c>
      <c r="D1611" s="167" t="e">
        <f>VLOOKUP(E13411,'lista obszary'!A:B,2,0)</f>
        <v>#N/A</v>
      </c>
      <c r="E1611" s="128" t="e">
        <f>VLOOKUP(B1611,'LISTA 12'!$A$2:$G$301400,5,0)</f>
        <v>#N/A</v>
      </c>
      <c r="F1611" s="121" t="e">
        <f>VLOOKUP(B1611,'LISTA 12'!$A$2:$G$30100,7,0)</f>
        <v>#N/A</v>
      </c>
      <c r="G1611" s="254" t="e">
        <f>VLOOKUP(H1611,'lista 3'!$A$1:$C$31467,3,0)</f>
        <v>#N/A</v>
      </c>
      <c r="H1611" s="134"/>
      <c r="I1611" s="136"/>
      <c r="J1611" s="135"/>
      <c r="K1611" s="22"/>
    </row>
    <row r="1612" spans="1:11">
      <c r="A1612" s="241" t="e">
        <f>VLOOKUP(B1612,'lista 1'!$A$2:$E$30100,4,0)</f>
        <v>#N/A</v>
      </c>
      <c r="B1612" s="123"/>
      <c r="C1612" s="133" t="e">
        <f>VLOOKUP(B1612,'lista 1'!$A$2:$E$31000,5,0)</f>
        <v>#N/A</v>
      </c>
      <c r="D1612" s="167" t="e">
        <f>VLOOKUP(E13412,'lista obszary'!A:B,2,0)</f>
        <v>#N/A</v>
      </c>
      <c r="E1612" s="128" t="e">
        <f>VLOOKUP(B1612,'LISTA 12'!$A$2:$G$301400,5,0)</f>
        <v>#N/A</v>
      </c>
      <c r="F1612" s="121" t="e">
        <f>VLOOKUP(B1612,'LISTA 12'!$A$2:$G$30100,7,0)</f>
        <v>#N/A</v>
      </c>
      <c r="G1612" s="254" t="e">
        <f>VLOOKUP(H1612,'lista 3'!$A$1:$C$31467,3,0)</f>
        <v>#N/A</v>
      </c>
      <c r="H1612" s="134"/>
      <c r="I1612" s="136"/>
      <c r="J1612" s="135"/>
      <c r="K1612" s="22"/>
    </row>
    <row r="1613" spans="1:11">
      <c r="A1613" s="241" t="e">
        <f>VLOOKUP(B1613,'lista 1'!$A$2:$E$30100,4,0)</f>
        <v>#N/A</v>
      </c>
      <c r="B1613" s="123"/>
      <c r="C1613" s="133" t="e">
        <f>VLOOKUP(B1613,'lista 1'!$A$2:$E$31000,5,0)</f>
        <v>#N/A</v>
      </c>
      <c r="D1613" s="167" t="e">
        <f>VLOOKUP(E13413,'lista obszary'!A:B,2,0)</f>
        <v>#N/A</v>
      </c>
      <c r="E1613" s="128" t="e">
        <f>VLOOKUP(B1613,'LISTA 12'!$A$2:$G$301400,5,0)</f>
        <v>#N/A</v>
      </c>
      <c r="F1613" s="121" t="e">
        <f>VLOOKUP(B1613,'LISTA 12'!$A$2:$G$30100,7,0)</f>
        <v>#N/A</v>
      </c>
      <c r="G1613" s="254" t="e">
        <f>VLOOKUP(H1613,'lista 3'!$A$1:$C$31467,3,0)</f>
        <v>#N/A</v>
      </c>
      <c r="H1613" s="134"/>
      <c r="I1613" s="136"/>
      <c r="J1613" s="135"/>
      <c r="K1613" s="22"/>
    </row>
    <row r="1614" spans="1:11">
      <c r="A1614" s="241" t="e">
        <f>VLOOKUP(B1614,'lista 1'!$A$2:$E$30100,4,0)</f>
        <v>#N/A</v>
      </c>
      <c r="B1614" s="123"/>
      <c r="C1614" s="133" t="e">
        <f>VLOOKUP(B1614,'lista 1'!$A$2:$E$31000,5,0)</f>
        <v>#N/A</v>
      </c>
      <c r="D1614" s="167" t="e">
        <f>VLOOKUP(E13414,'lista obszary'!A:B,2,0)</f>
        <v>#N/A</v>
      </c>
      <c r="E1614" s="128" t="e">
        <f>VLOOKUP(B1614,'LISTA 12'!$A$2:$G$301400,5,0)</f>
        <v>#N/A</v>
      </c>
      <c r="F1614" s="121" t="e">
        <f>VLOOKUP(B1614,'LISTA 12'!$A$2:$G$30100,7,0)</f>
        <v>#N/A</v>
      </c>
      <c r="G1614" s="254" t="e">
        <f>VLOOKUP(H1614,'lista 3'!$A$1:$C$31467,3,0)</f>
        <v>#N/A</v>
      </c>
      <c r="H1614" s="134"/>
      <c r="I1614" s="136"/>
      <c r="J1614" s="135"/>
      <c r="K1614" s="22"/>
    </row>
    <row r="1615" spans="1:11">
      <c r="A1615" s="241" t="e">
        <f>VLOOKUP(B1615,'lista 1'!$A$2:$E$30100,4,0)</f>
        <v>#N/A</v>
      </c>
      <c r="B1615" s="123"/>
      <c r="C1615" s="133" t="e">
        <f>VLOOKUP(B1615,'lista 1'!$A$2:$E$31000,5,0)</f>
        <v>#N/A</v>
      </c>
      <c r="D1615" s="167" t="e">
        <f>VLOOKUP(E13415,'lista obszary'!A:B,2,0)</f>
        <v>#N/A</v>
      </c>
      <c r="E1615" s="128" t="e">
        <f>VLOOKUP(B1615,'LISTA 12'!$A$2:$G$301400,5,0)</f>
        <v>#N/A</v>
      </c>
      <c r="F1615" s="121" t="e">
        <f>VLOOKUP(B1615,'LISTA 12'!$A$2:$G$30100,7,0)</f>
        <v>#N/A</v>
      </c>
      <c r="G1615" s="254" t="e">
        <f>VLOOKUP(H1615,'lista 3'!$A$1:$C$31467,3,0)</f>
        <v>#N/A</v>
      </c>
      <c r="H1615" s="134"/>
      <c r="I1615" s="136"/>
      <c r="J1615" s="135"/>
      <c r="K1615" s="22"/>
    </row>
    <row r="1616" spans="1:11">
      <c r="A1616" s="241" t="e">
        <f>VLOOKUP(B1616,'lista 1'!$A$2:$E$30100,4,0)</f>
        <v>#N/A</v>
      </c>
      <c r="B1616" s="123"/>
      <c r="C1616" s="133" t="e">
        <f>VLOOKUP(B1616,'lista 1'!$A$2:$E$31000,5,0)</f>
        <v>#N/A</v>
      </c>
      <c r="D1616" s="167" t="e">
        <f>VLOOKUP(E13416,'lista obszary'!A:B,2,0)</f>
        <v>#N/A</v>
      </c>
      <c r="E1616" s="128" t="e">
        <f>VLOOKUP(B1616,'LISTA 12'!$A$2:$G$301400,5,0)</f>
        <v>#N/A</v>
      </c>
      <c r="F1616" s="121" t="e">
        <f>VLOOKUP(B1616,'LISTA 12'!$A$2:$G$30100,7,0)</f>
        <v>#N/A</v>
      </c>
      <c r="G1616" s="254" t="e">
        <f>VLOOKUP(H1616,'lista 3'!$A$1:$C$31467,3,0)</f>
        <v>#N/A</v>
      </c>
      <c r="H1616" s="134"/>
      <c r="I1616" s="136"/>
      <c r="J1616" s="135"/>
      <c r="K1616" s="22"/>
    </row>
    <row r="1617" spans="1:11">
      <c r="A1617" s="241" t="e">
        <f>VLOOKUP(B1617,'lista 1'!$A$2:$E$30100,4,0)</f>
        <v>#N/A</v>
      </c>
      <c r="B1617" s="123"/>
      <c r="C1617" s="133" t="e">
        <f>VLOOKUP(B1617,'lista 1'!$A$2:$E$31000,5,0)</f>
        <v>#N/A</v>
      </c>
      <c r="D1617" s="167" t="e">
        <f>VLOOKUP(E13417,'lista obszary'!A:B,2,0)</f>
        <v>#N/A</v>
      </c>
      <c r="E1617" s="128" t="e">
        <f>VLOOKUP(B1617,'LISTA 12'!$A$2:$G$301400,5,0)</f>
        <v>#N/A</v>
      </c>
      <c r="F1617" s="121" t="e">
        <f>VLOOKUP(B1617,'LISTA 12'!$A$2:$G$30100,7,0)</f>
        <v>#N/A</v>
      </c>
      <c r="G1617" s="254" t="e">
        <f>VLOOKUP(H1617,'lista 3'!$A$1:$C$31467,3,0)</f>
        <v>#N/A</v>
      </c>
      <c r="H1617" s="134"/>
      <c r="I1617" s="136"/>
      <c r="J1617" s="135"/>
      <c r="K1617" s="22"/>
    </row>
    <row r="1618" spans="1:11">
      <c r="A1618" s="241" t="e">
        <f>VLOOKUP(B1618,'lista 1'!$A$2:$E$30100,4,0)</f>
        <v>#N/A</v>
      </c>
      <c r="B1618" s="123"/>
      <c r="C1618" s="133" t="e">
        <f>VLOOKUP(B1618,'lista 1'!$A$2:$E$31000,5,0)</f>
        <v>#N/A</v>
      </c>
      <c r="D1618" s="167" t="e">
        <f>VLOOKUP(E13418,'lista obszary'!A:B,2,0)</f>
        <v>#N/A</v>
      </c>
      <c r="E1618" s="128" t="e">
        <f>VLOOKUP(B1618,'LISTA 12'!$A$2:$G$301400,5,0)</f>
        <v>#N/A</v>
      </c>
      <c r="F1618" s="121" t="e">
        <f>VLOOKUP(B1618,'LISTA 12'!$A$2:$G$30100,7,0)</f>
        <v>#N/A</v>
      </c>
      <c r="G1618" s="254" t="e">
        <f>VLOOKUP(H1618,'lista 3'!$A$1:$C$31467,3,0)</f>
        <v>#N/A</v>
      </c>
      <c r="H1618" s="134"/>
      <c r="I1618" s="136"/>
      <c r="J1618" s="135"/>
      <c r="K1618" s="22"/>
    </row>
    <row r="1619" spans="1:11">
      <c r="A1619" s="241" t="e">
        <f>VLOOKUP(B1619,'lista 1'!$A$2:$E$30100,4,0)</f>
        <v>#N/A</v>
      </c>
      <c r="B1619" s="123"/>
      <c r="C1619" s="133" t="e">
        <f>VLOOKUP(B1619,'lista 1'!$A$2:$E$31000,5,0)</f>
        <v>#N/A</v>
      </c>
      <c r="D1619" s="167" t="e">
        <f>VLOOKUP(E13419,'lista obszary'!A:B,2,0)</f>
        <v>#N/A</v>
      </c>
      <c r="E1619" s="128" t="e">
        <f>VLOOKUP(B1619,'LISTA 12'!$A$2:$G$301400,5,0)</f>
        <v>#N/A</v>
      </c>
      <c r="F1619" s="121" t="e">
        <f>VLOOKUP(B1619,'LISTA 12'!$A$2:$G$30100,7,0)</f>
        <v>#N/A</v>
      </c>
      <c r="G1619" s="254" t="e">
        <f>VLOOKUP(H1619,'lista 3'!$A$1:$C$31467,3,0)</f>
        <v>#N/A</v>
      </c>
      <c r="H1619" s="134"/>
      <c r="I1619" s="136"/>
      <c r="J1619" s="135"/>
      <c r="K1619" s="22"/>
    </row>
    <row r="1620" spans="1:11">
      <c r="A1620" s="241" t="e">
        <f>VLOOKUP(B1620,'lista 1'!$A$2:$E$30100,4,0)</f>
        <v>#N/A</v>
      </c>
      <c r="B1620" s="123"/>
      <c r="C1620" s="133" t="e">
        <f>VLOOKUP(B1620,'lista 1'!$A$2:$E$31000,5,0)</f>
        <v>#N/A</v>
      </c>
      <c r="D1620" s="167" t="e">
        <f>VLOOKUP(E13420,'lista obszary'!A:B,2,0)</f>
        <v>#N/A</v>
      </c>
      <c r="E1620" s="128" t="e">
        <f>VLOOKUP(B1620,'LISTA 12'!$A$2:$G$301400,5,0)</f>
        <v>#N/A</v>
      </c>
      <c r="F1620" s="121" t="e">
        <f>VLOOKUP(B1620,'LISTA 12'!$A$2:$G$30100,7,0)</f>
        <v>#N/A</v>
      </c>
      <c r="G1620" s="254" t="e">
        <f>VLOOKUP(H1620,'lista 3'!$A$1:$C$31467,3,0)</f>
        <v>#N/A</v>
      </c>
      <c r="H1620" s="134"/>
      <c r="I1620" s="136"/>
      <c r="J1620" s="135"/>
      <c r="K1620" s="22"/>
    </row>
    <row r="1621" spans="1:11">
      <c r="A1621" s="241" t="e">
        <f>VLOOKUP(B1621,'lista 1'!$A$2:$E$30100,4,0)</f>
        <v>#N/A</v>
      </c>
      <c r="B1621" s="123"/>
      <c r="C1621" s="133" t="e">
        <f>VLOOKUP(B1621,'lista 1'!$A$2:$E$31000,5,0)</f>
        <v>#N/A</v>
      </c>
      <c r="D1621" s="167" t="e">
        <f>VLOOKUP(E13421,'lista obszary'!A:B,2,0)</f>
        <v>#N/A</v>
      </c>
      <c r="E1621" s="128" t="e">
        <f>VLOOKUP(B1621,'LISTA 12'!$A$2:$G$301400,5,0)</f>
        <v>#N/A</v>
      </c>
      <c r="F1621" s="121" t="e">
        <f>VLOOKUP(B1621,'LISTA 12'!$A$2:$G$30100,7,0)</f>
        <v>#N/A</v>
      </c>
      <c r="G1621" s="254" t="e">
        <f>VLOOKUP(H1621,'lista 3'!$A$1:$C$31467,3,0)</f>
        <v>#N/A</v>
      </c>
      <c r="H1621" s="134"/>
      <c r="I1621" s="136"/>
      <c r="J1621" s="135"/>
      <c r="K1621" s="22"/>
    </row>
    <row r="1622" spans="1:11">
      <c r="A1622" s="241" t="e">
        <f>VLOOKUP(B1622,'lista 1'!$A$2:$E$30100,4,0)</f>
        <v>#N/A</v>
      </c>
      <c r="B1622" s="123"/>
      <c r="C1622" s="133" t="e">
        <f>VLOOKUP(B1622,'lista 1'!$A$2:$E$31000,5,0)</f>
        <v>#N/A</v>
      </c>
      <c r="D1622" s="167" t="e">
        <f>VLOOKUP(E13422,'lista obszary'!A:B,2,0)</f>
        <v>#N/A</v>
      </c>
      <c r="E1622" s="128" t="e">
        <f>VLOOKUP(B1622,'LISTA 12'!$A$2:$G$301400,5,0)</f>
        <v>#N/A</v>
      </c>
      <c r="F1622" s="121" t="e">
        <f>VLOOKUP(B1622,'LISTA 12'!$A$2:$G$30100,7,0)</f>
        <v>#N/A</v>
      </c>
      <c r="G1622" s="254" t="e">
        <f>VLOOKUP(H1622,'lista 3'!$A$1:$C$31467,3,0)</f>
        <v>#N/A</v>
      </c>
      <c r="H1622" s="134"/>
      <c r="I1622" s="136"/>
      <c r="J1622" s="135"/>
      <c r="K1622" s="22"/>
    </row>
    <row r="1623" spans="1:11">
      <c r="A1623" s="241" t="e">
        <f>VLOOKUP(B1623,'lista 1'!$A$2:$E$30100,4,0)</f>
        <v>#N/A</v>
      </c>
      <c r="B1623" s="123"/>
      <c r="C1623" s="133" t="e">
        <f>VLOOKUP(B1623,'lista 1'!$A$2:$E$31000,5,0)</f>
        <v>#N/A</v>
      </c>
      <c r="D1623" s="167" t="e">
        <f>VLOOKUP(E13423,'lista obszary'!A:B,2,0)</f>
        <v>#N/A</v>
      </c>
      <c r="E1623" s="128" t="e">
        <f>VLOOKUP(B1623,'LISTA 12'!$A$2:$G$301400,5,0)</f>
        <v>#N/A</v>
      </c>
      <c r="F1623" s="121" t="e">
        <f>VLOOKUP(B1623,'LISTA 12'!$A$2:$G$30100,7,0)</f>
        <v>#N/A</v>
      </c>
      <c r="G1623" s="254" t="e">
        <f>VLOOKUP(H1623,'lista 3'!$A$1:$C$31467,3,0)</f>
        <v>#N/A</v>
      </c>
      <c r="H1623" s="134"/>
      <c r="I1623" s="136"/>
      <c r="J1623" s="135"/>
      <c r="K1623" s="22"/>
    </row>
    <row r="1624" spans="1:11">
      <c r="A1624" s="241" t="e">
        <f>VLOOKUP(B1624,'lista 1'!$A$2:$E$30100,4,0)</f>
        <v>#N/A</v>
      </c>
      <c r="B1624" s="123"/>
      <c r="C1624" s="133" t="e">
        <f>VLOOKUP(B1624,'lista 1'!$A$2:$E$31000,5,0)</f>
        <v>#N/A</v>
      </c>
      <c r="D1624" s="167" t="e">
        <f>VLOOKUP(E13424,'lista obszary'!A:B,2,0)</f>
        <v>#N/A</v>
      </c>
      <c r="E1624" s="128" t="e">
        <f>VLOOKUP(B1624,'LISTA 12'!$A$2:$G$301400,5,0)</f>
        <v>#N/A</v>
      </c>
      <c r="F1624" s="121" t="e">
        <f>VLOOKUP(B1624,'LISTA 12'!$A$2:$G$30100,7,0)</f>
        <v>#N/A</v>
      </c>
      <c r="G1624" s="254" t="e">
        <f>VLOOKUP(H1624,'lista 3'!$A$1:$C$31467,3,0)</f>
        <v>#N/A</v>
      </c>
      <c r="H1624" s="134"/>
      <c r="I1624" s="136"/>
      <c r="J1624" s="135"/>
      <c r="K1624" s="22"/>
    </row>
    <row r="1625" spans="1:11">
      <c r="A1625" s="241" t="e">
        <f>VLOOKUP(B1625,'lista 1'!$A$2:$E$30100,4,0)</f>
        <v>#N/A</v>
      </c>
      <c r="B1625" s="123"/>
      <c r="C1625" s="133" t="e">
        <f>VLOOKUP(B1625,'lista 1'!$A$2:$E$31000,5,0)</f>
        <v>#N/A</v>
      </c>
      <c r="D1625" s="167" t="e">
        <f>VLOOKUP(E13425,'lista obszary'!A:B,2,0)</f>
        <v>#N/A</v>
      </c>
      <c r="E1625" s="128" t="e">
        <f>VLOOKUP(B1625,'LISTA 12'!$A$2:$G$301400,5,0)</f>
        <v>#N/A</v>
      </c>
      <c r="F1625" s="121" t="e">
        <f>VLOOKUP(B1625,'LISTA 12'!$A$2:$G$30100,7,0)</f>
        <v>#N/A</v>
      </c>
      <c r="G1625" s="254" t="e">
        <f>VLOOKUP(H1625,'lista 3'!$A$1:$C$31467,3,0)</f>
        <v>#N/A</v>
      </c>
      <c r="H1625" s="134"/>
      <c r="I1625" s="136"/>
      <c r="J1625" s="135"/>
      <c r="K1625" s="22"/>
    </row>
    <row r="1626" spans="1:11">
      <c r="A1626" s="241" t="e">
        <f>VLOOKUP(B1626,'lista 1'!$A$2:$E$30100,4,0)</f>
        <v>#N/A</v>
      </c>
      <c r="B1626" s="123"/>
      <c r="C1626" s="133" t="e">
        <f>VLOOKUP(B1626,'lista 1'!$A$2:$E$31000,5,0)</f>
        <v>#N/A</v>
      </c>
      <c r="D1626" s="167" t="e">
        <f>VLOOKUP(E13426,'lista obszary'!A:B,2,0)</f>
        <v>#N/A</v>
      </c>
      <c r="E1626" s="128" t="e">
        <f>VLOOKUP(B1626,'LISTA 12'!$A$2:$G$301400,5,0)</f>
        <v>#N/A</v>
      </c>
      <c r="F1626" s="121" t="e">
        <f>VLOOKUP(B1626,'LISTA 12'!$A$2:$G$30100,7,0)</f>
        <v>#N/A</v>
      </c>
      <c r="G1626" s="254" t="e">
        <f>VLOOKUP(H1626,'lista 3'!$A$1:$C$31467,3,0)</f>
        <v>#N/A</v>
      </c>
      <c r="H1626" s="134"/>
      <c r="I1626" s="136"/>
      <c r="J1626" s="135"/>
      <c r="K1626" s="22"/>
    </row>
    <row r="1627" spans="1:11">
      <c r="A1627" s="241" t="e">
        <f>VLOOKUP(B1627,'lista 1'!$A$2:$E$30100,4,0)</f>
        <v>#N/A</v>
      </c>
      <c r="B1627" s="123"/>
      <c r="C1627" s="133" t="e">
        <f>VLOOKUP(B1627,'lista 1'!$A$2:$E$31000,5,0)</f>
        <v>#N/A</v>
      </c>
      <c r="D1627" s="167" t="e">
        <f>VLOOKUP(E13427,'lista obszary'!A:B,2,0)</f>
        <v>#N/A</v>
      </c>
      <c r="E1627" s="128" t="e">
        <f>VLOOKUP(B1627,'LISTA 12'!$A$2:$G$301400,5,0)</f>
        <v>#N/A</v>
      </c>
      <c r="F1627" s="121" t="e">
        <f>VLOOKUP(B1627,'LISTA 12'!$A$2:$G$30100,7,0)</f>
        <v>#N/A</v>
      </c>
      <c r="G1627" s="254" t="e">
        <f>VLOOKUP(H1627,'lista 3'!$A$1:$C$31467,3,0)</f>
        <v>#N/A</v>
      </c>
      <c r="H1627" s="134"/>
      <c r="I1627" s="136"/>
      <c r="J1627" s="135"/>
      <c r="K1627" s="22"/>
    </row>
    <row r="1628" spans="1:11">
      <c r="A1628" s="241" t="e">
        <f>VLOOKUP(B1628,'lista 1'!$A$2:$E$30100,4,0)</f>
        <v>#N/A</v>
      </c>
      <c r="B1628" s="123"/>
      <c r="C1628" s="133" t="e">
        <f>VLOOKUP(B1628,'lista 1'!$A$2:$E$31000,5,0)</f>
        <v>#N/A</v>
      </c>
      <c r="D1628" s="167" t="e">
        <f>VLOOKUP(E13428,'lista obszary'!A:B,2,0)</f>
        <v>#N/A</v>
      </c>
      <c r="E1628" s="128" t="e">
        <f>VLOOKUP(B1628,'LISTA 12'!$A$2:$G$301400,5,0)</f>
        <v>#N/A</v>
      </c>
      <c r="F1628" s="121" t="e">
        <f>VLOOKUP(B1628,'LISTA 12'!$A$2:$G$30100,7,0)</f>
        <v>#N/A</v>
      </c>
      <c r="G1628" s="254" t="e">
        <f>VLOOKUP(H1628,'lista 3'!$A$1:$C$31467,3,0)</f>
        <v>#N/A</v>
      </c>
      <c r="H1628" s="134"/>
      <c r="I1628" s="136"/>
      <c r="J1628" s="135"/>
      <c r="K1628" s="22"/>
    </row>
    <row r="1629" spans="1:11">
      <c r="A1629" s="241" t="e">
        <f>VLOOKUP(B1629,'lista 1'!$A$2:$E$30100,4,0)</f>
        <v>#N/A</v>
      </c>
      <c r="B1629" s="123"/>
      <c r="C1629" s="133" t="e">
        <f>VLOOKUP(B1629,'lista 1'!$A$2:$E$31000,5,0)</f>
        <v>#N/A</v>
      </c>
      <c r="D1629" s="167" t="e">
        <f>VLOOKUP(E13429,'lista obszary'!A:B,2,0)</f>
        <v>#N/A</v>
      </c>
      <c r="E1629" s="128" t="e">
        <f>VLOOKUP(B1629,'LISTA 12'!$A$2:$G$301400,5,0)</f>
        <v>#N/A</v>
      </c>
      <c r="F1629" s="121" t="e">
        <f>VLOOKUP(B1629,'LISTA 12'!$A$2:$G$30100,7,0)</f>
        <v>#N/A</v>
      </c>
      <c r="G1629" s="254" t="e">
        <f>VLOOKUP(H1629,'lista 3'!$A$1:$C$31467,3,0)</f>
        <v>#N/A</v>
      </c>
      <c r="H1629" s="134"/>
      <c r="I1629" s="136"/>
      <c r="J1629" s="135"/>
      <c r="K1629" s="22"/>
    </row>
    <row r="1630" spans="1:11">
      <c r="A1630" s="241" t="e">
        <f>VLOOKUP(B1630,'lista 1'!$A$2:$E$30100,4,0)</f>
        <v>#N/A</v>
      </c>
      <c r="B1630" s="123"/>
      <c r="C1630" s="133" t="e">
        <f>VLOOKUP(B1630,'lista 1'!$A$2:$E$31000,5,0)</f>
        <v>#N/A</v>
      </c>
      <c r="D1630" s="167" t="e">
        <f>VLOOKUP(E13430,'lista obszary'!A:B,2,0)</f>
        <v>#N/A</v>
      </c>
      <c r="E1630" s="128" t="e">
        <f>VLOOKUP(B1630,'LISTA 12'!$A$2:$G$301400,5,0)</f>
        <v>#N/A</v>
      </c>
      <c r="F1630" s="121" t="e">
        <f>VLOOKUP(B1630,'LISTA 12'!$A$2:$G$30100,7,0)</f>
        <v>#N/A</v>
      </c>
      <c r="G1630" s="254" t="e">
        <f>VLOOKUP(H1630,'lista 3'!$A$1:$C$31467,3,0)</f>
        <v>#N/A</v>
      </c>
      <c r="H1630" s="134"/>
      <c r="I1630" s="136"/>
      <c r="J1630" s="135"/>
      <c r="K1630" s="22"/>
    </row>
    <row r="1631" spans="1:11">
      <c r="A1631" s="241" t="e">
        <f>VLOOKUP(B1631,'lista 1'!$A$2:$E$30100,4,0)</f>
        <v>#N/A</v>
      </c>
      <c r="B1631" s="123"/>
      <c r="C1631" s="133" t="e">
        <f>VLOOKUP(B1631,'lista 1'!$A$2:$E$31000,5,0)</f>
        <v>#N/A</v>
      </c>
      <c r="D1631" s="167" t="e">
        <f>VLOOKUP(E13431,'lista obszary'!A:B,2,0)</f>
        <v>#N/A</v>
      </c>
      <c r="E1631" s="128" t="e">
        <f>VLOOKUP(B1631,'LISTA 12'!$A$2:$G$301400,5,0)</f>
        <v>#N/A</v>
      </c>
      <c r="F1631" s="121" t="e">
        <f>VLOOKUP(B1631,'LISTA 12'!$A$2:$G$30100,7,0)</f>
        <v>#N/A</v>
      </c>
      <c r="G1631" s="254" t="e">
        <f>VLOOKUP(H1631,'lista 3'!$A$1:$C$31467,3,0)</f>
        <v>#N/A</v>
      </c>
      <c r="H1631" s="134"/>
      <c r="I1631" s="136"/>
      <c r="J1631" s="135"/>
      <c r="K1631" s="22"/>
    </row>
    <row r="1632" spans="1:11">
      <c r="A1632" s="241" t="e">
        <f>VLOOKUP(B1632,'lista 1'!$A$2:$E$30100,4,0)</f>
        <v>#N/A</v>
      </c>
      <c r="B1632" s="123"/>
      <c r="C1632" s="133" t="e">
        <f>VLOOKUP(B1632,'lista 1'!$A$2:$E$31000,5,0)</f>
        <v>#N/A</v>
      </c>
      <c r="D1632" s="167" t="e">
        <f>VLOOKUP(E13432,'lista obszary'!A:B,2,0)</f>
        <v>#N/A</v>
      </c>
      <c r="E1632" s="128" t="e">
        <f>VLOOKUP(B1632,'LISTA 12'!$A$2:$G$301400,5,0)</f>
        <v>#N/A</v>
      </c>
      <c r="F1632" s="121" t="e">
        <f>VLOOKUP(B1632,'LISTA 12'!$A$2:$G$30100,7,0)</f>
        <v>#N/A</v>
      </c>
      <c r="G1632" s="254" t="e">
        <f>VLOOKUP(H1632,'lista 3'!$A$1:$C$31467,3,0)</f>
        <v>#N/A</v>
      </c>
      <c r="H1632" s="134"/>
      <c r="I1632" s="136"/>
      <c r="J1632" s="135"/>
      <c r="K1632" s="22"/>
    </row>
    <row r="1633" spans="1:11">
      <c r="A1633" s="241" t="e">
        <f>VLOOKUP(B1633,'lista 1'!$A$2:$E$30100,4,0)</f>
        <v>#N/A</v>
      </c>
      <c r="B1633" s="123"/>
      <c r="C1633" s="133" t="e">
        <f>VLOOKUP(B1633,'lista 1'!$A$2:$E$31000,5,0)</f>
        <v>#N/A</v>
      </c>
      <c r="D1633" s="167" t="e">
        <f>VLOOKUP(E13433,'lista obszary'!A:B,2,0)</f>
        <v>#N/A</v>
      </c>
      <c r="E1633" s="128" t="e">
        <f>VLOOKUP(B1633,'LISTA 12'!$A$2:$G$301400,5,0)</f>
        <v>#N/A</v>
      </c>
      <c r="F1633" s="121" t="e">
        <f>VLOOKUP(B1633,'LISTA 12'!$A$2:$G$30100,7,0)</f>
        <v>#N/A</v>
      </c>
      <c r="G1633" s="254" t="e">
        <f>VLOOKUP(H1633,'lista 3'!$A$1:$C$31467,3,0)</f>
        <v>#N/A</v>
      </c>
      <c r="H1633" s="134"/>
      <c r="I1633" s="136"/>
      <c r="J1633" s="135"/>
      <c r="K1633" s="22"/>
    </row>
    <row r="1634" spans="1:11">
      <c r="A1634" s="241" t="e">
        <f>VLOOKUP(B1634,'lista 1'!$A$2:$E$30100,4,0)</f>
        <v>#N/A</v>
      </c>
      <c r="B1634" s="123"/>
      <c r="C1634" s="133" t="e">
        <f>VLOOKUP(B1634,'lista 1'!$A$2:$E$31000,5,0)</f>
        <v>#N/A</v>
      </c>
      <c r="D1634" s="167" t="e">
        <f>VLOOKUP(E13434,'lista obszary'!A:B,2,0)</f>
        <v>#N/A</v>
      </c>
      <c r="E1634" s="128" t="e">
        <f>VLOOKUP(B1634,'LISTA 12'!$A$2:$G$301400,5,0)</f>
        <v>#N/A</v>
      </c>
      <c r="F1634" s="121" t="e">
        <f>VLOOKUP(B1634,'LISTA 12'!$A$2:$G$30100,7,0)</f>
        <v>#N/A</v>
      </c>
      <c r="G1634" s="254" t="e">
        <f>VLOOKUP(H1634,'lista 3'!$A$1:$C$31467,3,0)</f>
        <v>#N/A</v>
      </c>
      <c r="H1634" s="134"/>
      <c r="I1634" s="136"/>
      <c r="J1634" s="135"/>
      <c r="K1634" s="22"/>
    </row>
    <row r="1635" spans="1:11">
      <c r="A1635" s="241" t="e">
        <f>VLOOKUP(B1635,'lista 1'!$A$2:$E$30100,4,0)</f>
        <v>#N/A</v>
      </c>
      <c r="B1635" s="123"/>
      <c r="C1635" s="133" t="e">
        <f>VLOOKUP(B1635,'lista 1'!$A$2:$E$31000,5,0)</f>
        <v>#N/A</v>
      </c>
      <c r="D1635" s="167" t="e">
        <f>VLOOKUP(E13435,'lista obszary'!A:B,2,0)</f>
        <v>#N/A</v>
      </c>
      <c r="E1635" s="128" t="e">
        <f>VLOOKUP(B1635,'LISTA 12'!$A$2:$G$301400,5,0)</f>
        <v>#N/A</v>
      </c>
      <c r="F1635" s="121" t="e">
        <f>VLOOKUP(B1635,'LISTA 12'!$A$2:$G$30100,7,0)</f>
        <v>#N/A</v>
      </c>
      <c r="G1635" s="254" t="e">
        <f>VLOOKUP(H1635,'lista 3'!$A$1:$C$31467,3,0)</f>
        <v>#N/A</v>
      </c>
      <c r="H1635" s="134"/>
      <c r="I1635" s="136"/>
      <c r="J1635" s="135"/>
      <c r="K1635" s="22"/>
    </row>
    <row r="1636" spans="1:11">
      <c r="A1636" s="241" t="e">
        <f>VLOOKUP(B1636,'lista 1'!$A$2:$E$30100,4,0)</f>
        <v>#N/A</v>
      </c>
      <c r="B1636" s="123"/>
      <c r="C1636" s="133" t="e">
        <f>VLOOKUP(B1636,'lista 1'!$A$2:$E$31000,5,0)</f>
        <v>#N/A</v>
      </c>
      <c r="D1636" s="167" t="e">
        <f>VLOOKUP(E13436,'lista obszary'!A:B,2,0)</f>
        <v>#N/A</v>
      </c>
      <c r="E1636" s="128" t="e">
        <f>VLOOKUP(B1636,'LISTA 12'!$A$2:$G$301400,5,0)</f>
        <v>#N/A</v>
      </c>
      <c r="F1636" s="121" t="e">
        <f>VLOOKUP(B1636,'LISTA 12'!$A$2:$G$30100,7,0)</f>
        <v>#N/A</v>
      </c>
      <c r="G1636" s="254" t="e">
        <f>VLOOKUP(H1636,'lista 3'!$A$1:$C$31467,3,0)</f>
        <v>#N/A</v>
      </c>
      <c r="H1636" s="134"/>
      <c r="I1636" s="136"/>
      <c r="J1636" s="135"/>
      <c r="K1636" s="22"/>
    </row>
    <row r="1637" spans="1:11">
      <c r="A1637" s="241" t="e">
        <f>VLOOKUP(B1637,'lista 1'!$A$2:$E$30100,4,0)</f>
        <v>#N/A</v>
      </c>
      <c r="B1637" s="123"/>
      <c r="C1637" s="133" t="e">
        <f>VLOOKUP(B1637,'lista 1'!$A$2:$E$31000,5,0)</f>
        <v>#N/A</v>
      </c>
      <c r="D1637" s="167" t="e">
        <f>VLOOKUP(E13437,'lista obszary'!A:B,2,0)</f>
        <v>#N/A</v>
      </c>
      <c r="E1637" s="128" t="e">
        <f>VLOOKUP(B1637,'LISTA 12'!$A$2:$G$301400,5,0)</f>
        <v>#N/A</v>
      </c>
      <c r="F1637" s="121" t="e">
        <f>VLOOKUP(B1637,'LISTA 12'!$A$2:$G$30100,7,0)</f>
        <v>#N/A</v>
      </c>
      <c r="G1637" s="254" t="e">
        <f>VLOOKUP(H1637,'lista 3'!$A$1:$C$31467,3,0)</f>
        <v>#N/A</v>
      </c>
      <c r="H1637" s="134"/>
      <c r="I1637" s="136"/>
      <c r="J1637" s="135"/>
      <c r="K1637" s="22"/>
    </row>
    <row r="1638" spans="1:11">
      <c r="A1638" s="241" t="e">
        <f>VLOOKUP(B1638,'lista 1'!$A$2:$E$30100,4,0)</f>
        <v>#N/A</v>
      </c>
      <c r="B1638" s="123"/>
      <c r="C1638" s="133" t="e">
        <f>VLOOKUP(B1638,'lista 1'!$A$2:$E$31000,5,0)</f>
        <v>#N/A</v>
      </c>
      <c r="D1638" s="167" t="e">
        <f>VLOOKUP(E13438,'lista obszary'!A:B,2,0)</f>
        <v>#N/A</v>
      </c>
      <c r="E1638" s="128" t="e">
        <f>VLOOKUP(B1638,'LISTA 12'!$A$2:$G$301400,5,0)</f>
        <v>#N/A</v>
      </c>
      <c r="F1638" s="121" t="e">
        <f>VLOOKUP(B1638,'LISTA 12'!$A$2:$G$30100,7,0)</f>
        <v>#N/A</v>
      </c>
      <c r="G1638" s="254" t="e">
        <f>VLOOKUP(H1638,'lista 3'!$A$1:$C$31467,3,0)</f>
        <v>#N/A</v>
      </c>
      <c r="H1638" s="134"/>
      <c r="I1638" s="136"/>
      <c r="J1638" s="135"/>
      <c r="K1638" s="22"/>
    </row>
    <row r="1639" spans="1:11">
      <c r="A1639" s="241" t="e">
        <f>VLOOKUP(B1639,'lista 1'!$A$2:$E$30100,4,0)</f>
        <v>#N/A</v>
      </c>
      <c r="B1639" s="123"/>
      <c r="C1639" s="133" t="e">
        <f>VLOOKUP(B1639,'lista 1'!$A$2:$E$31000,5,0)</f>
        <v>#N/A</v>
      </c>
      <c r="D1639" s="167" t="e">
        <f>VLOOKUP(E13439,'lista obszary'!A:B,2,0)</f>
        <v>#N/A</v>
      </c>
      <c r="E1639" s="128" t="e">
        <f>VLOOKUP(B1639,'LISTA 12'!$A$2:$G$301400,5,0)</f>
        <v>#N/A</v>
      </c>
      <c r="F1639" s="121" t="e">
        <f>VLOOKUP(B1639,'LISTA 12'!$A$2:$G$30100,7,0)</f>
        <v>#N/A</v>
      </c>
      <c r="G1639" s="254" t="e">
        <f>VLOOKUP(H1639,'lista 3'!$A$1:$C$31467,3,0)</f>
        <v>#N/A</v>
      </c>
      <c r="H1639" s="134"/>
      <c r="I1639" s="136"/>
      <c r="J1639" s="135"/>
      <c r="K1639" s="22"/>
    </row>
    <row r="1640" spans="1:11">
      <c r="A1640" s="241" t="e">
        <f>VLOOKUP(B1640,'lista 1'!$A$2:$E$30100,4,0)</f>
        <v>#N/A</v>
      </c>
      <c r="B1640" s="123"/>
      <c r="C1640" s="133" t="e">
        <f>VLOOKUP(B1640,'lista 1'!$A$2:$E$31000,5,0)</f>
        <v>#N/A</v>
      </c>
      <c r="D1640" s="167" t="e">
        <f>VLOOKUP(E13440,'lista obszary'!A:B,2,0)</f>
        <v>#N/A</v>
      </c>
      <c r="E1640" s="128" t="e">
        <f>VLOOKUP(B1640,'LISTA 12'!$A$2:$G$301400,5,0)</f>
        <v>#N/A</v>
      </c>
      <c r="F1640" s="121" t="e">
        <f>VLOOKUP(B1640,'LISTA 12'!$A$2:$G$30100,7,0)</f>
        <v>#N/A</v>
      </c>
      <c r="G1640" s="254" t="e">
        <f>VLOOKUP(H1640,'lista 3'!$A$1:$C$31467,3,0)</f>
        <v>#N/A</v>
      </c>
      <c r="H1640" s="134"/>
      <c r="I1640" s="136"/>
      <c r="J1640" s="135"/>
      <c r="K1640" s="22"/>
    </row>
    <row r="1641" spans="1:11">
      <c r="A1641" s="241" t="e">
        <f>VLOOKUP(B1641,'lista 1'!$A$2:$E$30100,4,0)</f>
        <v>#N/A</v>
      </c>
      <c r="B1641" s="123"/>
      <c r="C1641" s="133" t="e">
        <f>VLOOKUP(B1641,'lista 1'!$A$2:$E$31000,5,0)</f>
        <v>#N/A</v>
      </c>
      <c r="D1641" s="167" t="e">
        <f>VLOOKUP(E13441,'lista obszary'!A:B,2,0)</f>
        <v>#N/A</v>
      </c>
      <c r="E1641" s="128" t="e">
        <f>VLOOKUP(B1641,'LISTA 12'!$A$2:$G$301400,5,0)</f>
        <v>#N/A</v>
      </c>
      <c r="F1641" s="121" t="e">
        <f>VLOOKUP(B1641,'LISTA 12'!$A$2:$G$30100,7,0)</f>
        <v>#N/A</v>
      </c>
      <c r="G1641" s="254" t="e">
        <f>VLOOKUP(H1641,'lista 3'!$A$1:$C$31467,3,0)</f>
        <v>#N/A</v>
      </c>
      <c r="H1641" s="134"/>
      <c r="I1641" s="136"/>
      <c r="J1641" s="135"/>
      <c r="K1641" s="22"/>
    </row>
    <row r="1642" spans="1:11">
      <c r="A1642" s="241" t="e">
        <f>VLOOKUP(B1642,'lista 1'!$A$2:$E$30100,4,0)</f>
        <v>#N/A</v>
      </c>
      <c r="B1642" s="123"/>
      <c r="C1642" s="133" t="e">
        <f>VLOOKUP(B1642,'lista 1'!$A$2:$E$31000,5,0)</f>
        <v>#N/A</v>
      </c>
      <c r="D1642" s="167" t="e">
        <f>VLOOKUP(E13442,'lista obszary'!A:B,2,0)</f>
        <v>#N/A</v>
      </c>
      <c r="E1642" s="128" t="e">
        <f>VLOOKUP(B1642,'LISTA 12'!$A$2:$G$301400,5,0)</f>
        <v>#N/A</v>
      </c>
      <c r="F1642" s="121" t="e">
        <f>VLOOKUP(B1642,'LISTA 12'!$A$2:$G$30100,7,0)</f>
        <v>#N/A</v>
      </c>
      <c r="G1642" s="254" t="e">
        <f>VLOOKUP(H1642,'lista 3'!$A$1:$C$31467,3,0)</f>
        <v>#N/A</v>
      </c>
      <c r="H1642" s="134"/>
      <c r="I1642" s="136"/>
      <c r="J1642" s="135"/>
      <c r="K1642" s="22"/>
    </row>
    <row r="1643" spans="1:11">
      <c r="A1643" s="241" t="e">
        <f>VLOOKUP(B1643,'lista 1'!$A$2:$E$30100,4,0)</f>
        <v>#N/A</v>
      </c>
      <c r="B1643" s="123"/>
      <c r="C1643" s="133" t="e">
        <f>VLOOKUP(B1643,'lista 1'!$A$2:$E$31000,5,0)</f>
        <v>#N/A</v>
      </c>
      <c r="D1643" s="167" t="e">
        <f>VLOOKUP(E13443,'lista obszary'!A:B,2,0)</f>
        <v>#N/A</v>
      </c>
      <c r="E1643" s="128" t="e">
        <f>VLOOKUP(B1643,'LISTA 12'!$A$2:$G$301400,5,0)</f>
        <v>#N/A</v>
      </c>
      <c r="F1643" s="121" t="e">
        <f>VLOOKUP(B1643,'LISTA 12'!$A$2:$G$30100,7,0)</f>
        <v>#N/A</v>
      </c>
      <c r="G1643" s="254" t="e">
        <f>VLOOKUP(H1643,'lista 3'!$A$1:$C$31467,3,0)</f>
        <v>#N/A</v>
      </c>
      <c r="H1643" s="134"/>
      <c r="I1643" s="136"/>
      <c r="J1643" s="135"/>
      <c r="K1643" s="22"/>
    </row>
    <row r="1644" spans="1:11">
      <c r="A1644" s="241" t="e">
        <f>VLOOKUP(B1644,'lista 1'!$A$2:$E$30100,4,0)</f>
        <v>#N/A</v>
      </c>
      <c r="B1644" s="123"/>
      <c r="C1644" s="133" t="e">
        <f>VLOOKUP(B1644,'lista 1'!$A$2:$E$31000,5,0)</f>
        <v>#N/A</v>
      </c>
      <c r="D1644" s="167" t="e">
        <f>VLOOKUP(E13444,'lista obszary'!A:B,2,0)</f>
        <v>#N/A</v>
      </c>
      <c r="E1644" s="128" t="e">
        <f>VLOOKUP(B1644,'LISTA 12'!$A$2:$G$301400,5,0)</f>
        <v>#N/A</v>
      </c>
      <c r="F1644" s="121" t="e">
        <f>VLOOKUP(B1644,'LISTA 12'!$A$2:$G$30100,7,0)</f>
        <v>#N/A</v>
      </c>
      <c r="G1644" s="254" t="e">
        <f>VLOOKUP(H1644,'lista 3'!$A$1:$C$31467,3,0)</f>
        <v>#N/A</v>
      </c>
      <c r="H1644" s="134"/>
      <c r="I1644" s="136"/>
      <c r="J1644" s="135"/>
      <c r="K1644" s="22"/>
    </row>
    <row r="1645" spans="1:11">
      <c r="A1645" s="241" t="e">
        <f>VLOOKUP(B1645,'lista 1'!$A$2:$E$30100,4,0)</f>
        <v>#N/A</v>
      </c>
      <c r="B1645" s="123"/>
      <c r="C1645" s="133" t="e">
        <f>VLOOKUP(B1645,'lista 1'!$A$2:$E$31000,5,0)</f>
        <v>#N/A</v>
      </c>
      <c r="D1645" s="167" t="e">
        <f>VLOOKUP(E13445,'lista obszary'!A:B,2,0)</f>
        <v>#N/A</v>
      </c>
      <c r="E1645" s="128" t="e">
        <f>VLOOKUP(B1645,'LISTA 12'!$A$2:$G$301400,5,0)</f>
        <v>#N/A</v>
      </c>
      <c r="F1645" s="121" t="e">
        <f>VLOOKUP(B1645,'LISTA 12'!$A$2:$G$30100,7,0)</f>
        <v>#N/A</v>
      </c>
      <c r="G1645" s="254" t="e">
        <f>VLOOKUP(H1645,'lista 3'!$A$1:$C$31467,3,0)</f>
        <v>#N/A</v>
      </c>
      <c r="H1645" s="134"/>
      <c r="I1645" s="136"/>
      <c r="J1645" s="135"/>
      <c r="K1645" s="22"/>
    </row>
    <row r="1646" spans="1:11">
      <c r="A1646" s="241" t="e">
        <f>VLOOKUP(B1646,'lista 1'!$A$2:$E$30100,4,0)</f>
        <v>#N/A</v>
      </c>
      <c r="B1646" s="123"/>
      <c r="C1646" s="133" t="e">
        <f>VLOOKUP(B1646,'lista 1'!$A$2:$E$31000,5,0)</f>
        <v>#N/A</v>
      </c>
      <c r="D1646" s="167" t="e">
        <f>VLOOKUP(E13446,'lista obszary'!A:B,2,0)</f>
        <v>#N/A</v>
      </c>
      <c r="E1646" s="128" t="e">
        <f>VLOOKUP(B1646,'LISTA 12'!$A$2:$G$301400,5,0)</f>
        <v>#N/A</v>
      </c>
      <c r="F1646" s="121" t="e">
        <f>VLOOKUP(B1646,'LISTA 12'!$A$2:$G$30100,7,0)</f>
        <v>#N/A</v>
      </c>
      <c r="G1646" s="254" t="e">
        <f>VLOOKUP(H1646,'lista 3'!$A$1:$C$31467,3,0)</f>
        <v>#N/A</v>
      </c>
      <c r="H1646" s="134"/>
      <c r="I1646" s="136"/>
      <c r="J1646" s="135"/>
      <c r="K1646" s="22"/>
    </row>
    <row r="1647" spans="1:11">
      <c r="A1647" s="241" t="e">
        <f>VLOOKUP(B1647,'lista 1'!$A$2:$E$30100,4,0)</f>
        <v>#N/A</v>
      </c>
      <c r="B1647" s="123"/>
      <c r="C1647" s="133" t="e">
        <f>VLOOKUP(B1647,'lista 1'!$A$2:$E$31000,5,0)</f>
        <v>#N/A</v>
      </c>
      <c r="D1647" s="167" t="e">
        <f>VLOOKUP(E13447,'lista obszary'!A:B,2,0)</f>
        <v>#N/A</v>
      </c>
      <c r="E1647" s="128" t="e">
        <f>VLOOKUP(B1647,'LISTA 12'!$A$2:$G$301400,5,0)</f>
        <v>#N/A</v>
      </c>
      <c r="F1647" s="121" t="e">
        <f>VLOOKUP(B1647,'LISTA 12'!$A$2:$G$30100,7,0)</f>
        <v>#N/A</v>
      </c>
      <c r="G1647" s="254" t="e">
        <f>VLOOKUP(H1647,'lista 3'!$A$1:$C$31467,3,0)</f>
        <v>#N/A</v>
      </c>
      <c r="H1647" s="134"/>
      <c r="I1647" s="136"/>
      <c r="J1647" s="135"/>
      <c r="K1647" s="22"/>
    </row>
    <row r="1648" spans="1:11">
      <c r="A1648" s="241" t="e">
        <f>VLOOKUP(B1648,'lista 1'!$A$2:$E$30100,4,0)</f>
        <v>#N/A</v>
      </c>
      <c r="B1648" s="123"/>
      <c r="C1648" s="133" t="e">
        <f>VLOOKUP(B1648,'lista 1'!$A$2:$E$31000,5,0)</f>
        <v>#N/A</v>
      </c>
      <c r="D1648" s="167" t="e">
        <f>VLOOKUP(E13448,'lista obszary'!A:B,2,0)</f>
        <v>#N/A</v>
      </c>
      <c r="E1648" s="128" t="e">
        <f>VLOOKUP(B1648,'LISTA 12'!$A$2:$G$301400,5,0)</f>
        <v>#N/A</v>
      </c>
      <c r="F1648" s="121" t="e">
        <f>VLOOKUP(B1648,'LISTA 12'!$A$2:$G$30100,7,0)</f>
        <v>#N/A</v>
      </c>
      <c r="G1648" s="254" t="e">
        <f>VLOOKUP(H1648,'lista 3'!$A$1:$C$31467,3,0)</f>
        <v>#N/A</v>
      </c>
      <c r="H1648" s="134"/>
      <c r="I1648" s="136"/>
      <c r="J1648" s="135"/>
      <c r="K1648" s="22"/>
    </row>
    <row r="1649" spans="1:11">
      <c r="A1649" s="241" t="e">
        <f>VLOOKUP(B1649,'lista 1'!$A$2:$E$30100,4,0)</f>
        <v>#N/A</v>
      </c>
      <c r="B1649" s="123"/>
      <c r="C1649" s="133" t="e">
        <f>VLOOKUP(B1649,'lista 1'!$A$2:$E$31000,5,0)</f>
        <v>#N/A</v>
      </c>
      <c r="D1649" s="167" t="e">
        <f>VLOOKUP(E13449,'lista obszary'!A:B,2,0)</f>
        <v>#N/A</v>
      </c>
      <c r="E1649" s="128" t="e">
        <f>VLOOKUP(B1649,'LISTA 12'!$A$2:$G$301400,5,0)</f>
        <v>#N/A</v>
      </c>
      <c r="F1649" s="121" t="e">
        <f>VLOOKUP(B1649,'LISTA 12'!$A$2:$G$30100,7,0)</f>
        <v>#N/A</v>
      </c>
      <c r="G1649" s="254" t="e">
        <f>VLOOKUP(H1649,'lista 3'!$A$1:$C$31467,3,0)</f>
        <v>#N/A</v>
      </c>
      <c r="H1649" s="134"/>
      <c r="I1649" s="136"/>
      <c r="J1649" s="135"/>
      <c r="K1649" s="22"/>
    </row>
    <row r="1650" spans="1:11">
      <c r="A1650" s="241" t="e">
        <f>VLOOKUP(B1650,'lista 1'!$A$2:$E$30100,4,0)</f>
        <v>#N/A</v>
      </c>
      <c r="B1650" s="123"/>
      <c r="C1650" s="133" t="e">
        <f>VLOOKUP(B1650,'lista 1'!$A$2:$E$31000,5,0)</f>
        <v>#N/A</v>
      </c>
      <c r="D1650" s="167" t="e">
        <f>VLOOKUP(E13450,'lista obszary'!A:B,2,0)</f>
        <v>#N/A</v>
      </c>
      <c r="E1650" s="128" t="e">
        <f>VLOOKUP(B1650,'LISTA 12'!$A$2:$G$301400,5,0)</f>
        <v>#N/A</v>
      </c>
      <c r="F1650" s="121" t="e">
        <f>VLOOKUP(B1650,'LISTA 12'!$A$2:$G$30100,7,0)</f>
        <v>#N/A</v>
      </c>
      <c r="G1650" s="254" t="e">
        <f>VLOOKUP(H1650,'lista 3'!$A$1:$C$31467,3,0)</f>
        <v>#N/A</v>
      </c>
      <c r="H1650" s="134"/>
      <c r="I1650" s="136"/>
      <c r="J1650" s="135"/>
      <c r="K1650" s="22"/>
    </row>
    <row r="1651" spans="1:11">
      <c r="A1651" s="241" t="e">
        <f>VLOOKUP(B1651,'lista 1'!$A$2:$E$30100,4,0)</f>
        <v>#N/A</v>
      </c>
      <c r="B1651" s="123"/>
      <c r="C1651" s="133" t="e">
        <f>VLOOKUP(B1651,'lista 1'!$A$2:$E$31000,5,0)</f>
        <v>#N/A</v>
      </c>
      <c r="D1651" s="167" t="e">
        <f>VLOOKUP(E13451,'lista obszary'!A:B,2,0)</f>
        <v>#N/A</v>
      </c>
      <c r="E1651" s="128" t="e">
        <f>VLOOKUP(B1651,'LISTA 12'!$A$2:$G$301400,5,0)</f>
        <v>#N/A</v>
      </c>
      <c r="F1651" s="121" t="e">
        <f>VLOOKUP(B1651,'LISTA 12'!$A$2:$G$30100,7,0)</f>
        <v>#N/A</v>
      </c>
      <c r="G1651" s="254" t="e">
        <f>VLOOKUP(H1651,'lista 3'!$A$1:$C$31467,3,0)</f>
        <v>#N/A</v>
      </c>
      <c r="H1651" s="134"/>
      <c r="I1651" s="136"/>
      <c r="J1651" s="135"/>
      <c r="K1651" s="22"/>
    </row>
    <row r="1652" spans="1:11">
      <c r="A1652" s="241" t="e">
        <f>VLOOKUP(B1652,'lista 1'!$A$2:$E$30100,4,0)</f>
        <v>#N/A</v>
      </c>
      <c r="B1652" s="123"/>
      <c r="C1652" s="133" t="e">
        <f>VLOOKUP(B1652,'lista 1'!$A$2:$E$31000,5,0)</f>
        <v>#N/A</v>
      </c>
      <c r="D1652" s="167" t="e">
        <f>VLOOKUP(E13452,'lista obszary'!A:B,2,0)</f>
        <v>#N/A</v>
      </c>
      <c r="E1652" s="128" t="e">
        <f>VLOOKUP(B1652,'LISTA 12'!$A$2:$G$301400,5,0)</f>
        <v>#N/A</v>
      </c>
      <c r="F1652" s="121" t="e">
        <f>VLOOKUP(B1652,'LISTA 12'!$A$2:$G$30100,7,0)</f>
        <v>#N/A</v>
      </c>
      <c r="G1652" s="254" t="e">
        <f>VLOOKUP(H1652,'lista 3'!$A$1:$C$31467,3,0)</f>
        <v>#N/A</v>
      </c>
      <c r="H1652" s="134"/>
      <c r="I1652" s="136"/>
      <c r="J1652" s="135"/>
      <c r="K1652" s="22"/>
    </row>
    <row r="1653" spans="1:11">
      <c r="A1653" s="241" t="e">
        <f>VLOOKUP(B1653,'lista 1'!$A$2:$E$30100,4,0)</f>
        <v>#N/A</v>
      </c>
      <c r="B1653" s="123"/>
      <c r="C1653" s="133" t="e">
        <f>VLOOKUP(B1653,'lista 1'!$A$2:$E$31000,5,0)</f>
        <v>#N/A</v>
      </c>
      <c r="D1653" s="167" t="e">
        <f>VLOOKUP(E13453,'lista obszary'!A:B,2,0)</f>
        <v>#N/A</v>
      </c>
      <c r="E1653" s="128" t="e">
        <f>VLOOKUP(B1653,'LISTA 12'!$A$2:$G$301400,5,0)</f>
        <v>#N/A</v>
      </c>
      <c r="F1653" s="121" t="e">
        <f>VLOOKUP(B1653,'LISTA 12'!$A$2:$G$30100,7,0)</f>
        <v>#N/A</v>
      </c>
      <c r="G1653" s="254" t="e">
        <f>VLOOKUP(H1653,'lista 3'!$A$1:$C$31467,3,0)</f>
        <v>#N/A</v>
      </c>
      <c r="H1653" s="134"/>
      <c r="I1653" s="136"/>
      <c r="J1653" s="135"/>
      <c r="K1653" s="22"/>
    </row>
    <row r="1654" spans="1:11">
      <c r="A1654" s="241" t="e">
        <f>VLOOKUP(B1654,'lista 1'!$A$2:$E$30100,4,0)</f>
        <v>#N/A</v>
      </c>
      <c r="B1654" s="123"/>
      <c r="C1654" s="133" t="e">
        <f>VLOOKUP(B1654,'lista 1'!$A$2:$E$31000,5,0)</f>
        <v>#N/A</v>
      </c>
      <c r="D1654" s="167" t="e">
        <f>VLOOKUP(E13454,'lista obszary'!A:B,2,0)</f>
        <v>#N/A</v>
      </c>
      <c r="E1654" s="128" t="e">
        <f>VLOOKUP(B1654,'LISTA 12'!$A$2:$G$301400,5,0)</f>
        <v>#N/A</v>
      </c>
      <c r="F1654" s="121" t="e">
        <f>VLOOKUP(B1654,'LISTA 12'!$A$2:$G$30100,7,0)</f>
        <v>#N/A</v>
      </c>
      <c r="G1654" s="254" t="e">
        <f>VLOOKUP(H1654,'lista 3'!$A$1:$C$31467,3,0)</f>
        <v>#N/A</v>
      </c>
      <c r="H1654" s="134"/>
      <c r="I1654" s="136"/>
      <c r="J1654" s="135"/>
      <c r="K1654" s="22"/>
    </row>
    <row r="1655" spans="1:11">
      <c r="A1655" s="241" t="e">
        <f>VLOOKUP(B1655,'lista 1'!$A$2:$E$30100,4,0)</f>
        <v>#N/A</v>
      </c>
      <c r="B1655" s="123"/>
      <c r="C1655" s="133" t="e">
        <f>VLOOKUP(B1655,'lista 1'!$A$2:$E$31000,5,0)</f>
        <v>#N/A</v>
      </c>
      <c r="D1655" s="167" t="e">
        <f>VLOOKUP(E13455,'lista obszary'!A:B,2,0)</f>
        <v>#N/A</v>
      </c>
      <c r="E1655" s="128" t="e">
        <f>VLOOKUP(B1655,'LISTA 12'!$A$2:$G$301400,5,0)</f>
        <v>#N/A</v>
      </c>
      <c r="F1655" s="121" t="e">
        <f>VLOOKUP(B1655,'LISTA 12'!$A$2:$G$30100,7,0)</f>
        <v>#N/A</v>
      </c>
      <c r="G1655" s="254" t="e">
        <f>VLOOKUP(H1655,'lista 3'!$A$1:$C$31467,3,0)</f>
        <v>#N/A</v>
      </c>
      <c r="H1655" s="134"/>
      <c r="I1655" s="136"/>
      <c r="J1655" s="135"/>
      <c r="K1655" s="22"/>
    </row>
    <row r="1656" spans="1:11">
      <c r="A1656" s="241" t="e">
        <f>VLOOKUP(B1656,'lista 1'!$A$2:$E$30100,4,0)</f>
        <v>#N/A</v>
      </c>
      <c r="B1656" s="123"/>
      <c r="C1656" s="133" t="e">
        <f>VLOOKUP(B1656,'lista 1'!$A$2:$E$31000,5,0)</f>
        <v>#N/A</v>
      </c>
      <c r="D1656" s="167" t="e">
        <f>VLOOKUP(E13456,'lista obszary'!A:B,2,0)</f>
        <v>#N/A</v>
      </c>
      <c r="E1656" s="128" t="e">
        <f>VLOOKUP(B1656,'LISTA 12'!$A$2:$G$301400,5,0)</f>
        <v>#N/A</v>
      </c>
      <c r="F1656" s="121" t="e">
        <f>VLOOKUP(B1656,'LISTA 12'!$A$2:$G$30100,7,0)</f>
        <v>#N/A</v>
      </c>
      <c r="G1656" s="254" t="e">
        <f>VLOOKUP(H1656,'lista 3'!$A$1:$C$31467,3,0)</f>
        <v>#N/A</v>
      </c>
      <c r="H1656" s="134"/>
      <c r="I1656" s="136"/>
      <c r="J1656" s="135"/>
      <c r="K1656" s="22"/>
    </row>
    <row r="1657" spans="1:11">
      <c r="A1657" s="241" t="e">
        <f>VLOOKUP(B1657,'lista 1'!$A$2:$E$30100,4,0)</f>
        <v>#N/A</v>
      </c>
      <c r="B1657" s="123"/>
      <c r="C1657" s="133" t="e">
        <f>VLOOKUP(B1657,'lista 1'!$A$2:$E$31000,5,0)</f>
        <v>#N/A</v>
      </c>
      <c r="D1657" s="167" t="e">
        <f>VLOOKUP(E13457,'lista obszary'!A:B,2,0)</f>
        <v>#N/A</v>
      </c>
      <c r="E1657" s="128" t="e">
        <f>VLOOKUP(B1657,'LISTA 12'!$A$2:$G$301400,5,0)</f>
        <v>#N/A</v>
      </c>
      <c r="F1657" s="121" t="e">
        <f>VLOOKUP(B1657,'LISTA 12'!$A$2:$G$30100,7,0)</f>
        <v>#N/A</v>
      </c>
      <c r="G1657" s="254" t="e">
        <f>VLOOKUP(H1657,'lista 3'!$A$1:$C$31467,3,0)</f>
        <v>#N/A</v>
      </c>
      <c r="H1657" s="134"/>
      <c r="I1657" s="136"/>
      <c r="J1657" s="135"/>
      <c r="K1657" s="22"/>
    </row>
    <row r="1658" spans="1:11">
      <c r="A1658" s="241" t="e">
        <f>VLOOKUP(B1658,'lista 1'!$A$2:$E$30100,4,0)</f>
        <v>#N/A</v>
      </c>
      <c r="B1658" s="123"/>
      <c r="C1658" s="133" t="e">
        <f>VLOOKUP(B1658,'lista 1'!$A$2:$E$31000,5,0)</f>
        <v>#N/A</v>
      </c>
      <c r="D1658" s="167" t="e">
        <f>VLOOKUP(E13458,'lista obszary'!A:B,2,0)</f>
        <v>#N/A</v>
      </c>
      <c r="E1658" s="128" t="e">
        <f>VLOOKUP(B1658,'LISTA 12'!$A$2:$G$301400,5,0)</f>
        <v>#N/A</v>
      </c>
      <c r="F1658" s="121" t="e">
        <f>VLOOKUP(B1658,'LISTA 12'!$A$2:$G$30100,7,0)</f>
        <v>#N/A</v>
      </c>
      <c r="G1658" s="254" t="e">
        <f>VLOOKUP(H1658,'lista 3'!$A$1:$C$31467,3,0)</f>
        <v>#N/A</v>
      </c>
      <c r="H1658" s="134"/>
      <c r="I1658" s="136"/>
      <c r="J1658" s="135"/>
      <c r="K1658" s="22"/>
    </row>
    <row r="1659" spans="1:11">
      <c r="A1659" s="241" t="e">
        <f>VLOOKUP(B1659,'lista 1'!$A$2:$E$30100,4,0)</f>
        <v>#N/A</v>
      </c>
      <c r="B1659" s="123"/>
      <c r="C1659" s="133" t="e">
        <f>VLOOKUP(B1659,'lista 1'!$A$2:$E$31000,5,0)</f>
        <v>#N/A</v>
      </c>
      <c r="D1659" s="167" t="e">
        <f>VLOOKUP(E13459,'lista obszary'!A:B,2,0)</f>
        <v>#N/A</v>
      </c>
      <c r="E1659" s="128" t="e">
        <f>VLOOKUP(B1659,'LISTA 12'!$A$2:$G$301400,5,0)</f>
        <v>#N/A</v>
      </c>
      <c r="F1659" s="121" t="e">
        <f>VLOOKUP(B1659,'LISTA 12'!$A$2:$G$30100,7,0)</f>
        <v>#N/A</v>
      </c>
      <c r="G1659" s="254" t="e">
        <f>VLOOKUP(H1659,'lista 3'!$A$1:$C$31467,3,0)</f>
        <v>#N/A</v>
      </c>
      <c r="H1659" s="134"/>
      <c r="I1659" s="136"/>
      <c r="J1659" s="135"/>
      <c r="K1659" s="22"/>
    </row>
    <row r="1660" spans="1:11">
      <c r="A1660" s="241" t="e">
        <f>VLOOKUP(B1660,'lista 1'!$A$2:$E$30100,4,0)</f>
        <v>#N/A</v>
      </c>
      <c r="B1660" s="123"/>
      <c r="C1660" s="133" t="e">
        <f>VLOOKUP(B1660,'lista 1'!$A$2:$E$31000,5,0)</f>
        <v>#N/A</v>
      </c>
      <c r="D1660" s="167" t="e">
        <f>VLOOKUP(E13460,'lista obszary'!A:B,2,0)</f>
        <v>#N/A</v>
      </c>
      <c r="E1660" s="128" t="e">
        <f>VLOOKUP(B1660,'LISTA 12'!$A$2:$G$301400,5,0)</f>
        <v>#N/A</v>
      </c>
      <c r="F1660" s="121" t="e">
        <f>VLOOKUP(B1660,'LISTA 12'!$A$2:$G$30100,7,0)</f>
        <v>#N/A</v>
      </c>
      <c r="G1660" s="254" t="e">
        <f>VLOOKUP(H1660,'lista 3'!$A$1:$C$31467,3,0)</f>
        <v>#N/A</v>
      </c>
      <c r="H1660" s="134"/>
      <c r="I1660" s="136"/>
      <c r="J1660" s="135"/>
      <c r="K1660" s="22"/>
    </row>
    <row r="1661" spans="1:11">
      <c r="A1661" s="241" t="e">
        <f>VLOOKUP(B1661,'lista 1'!$A$2:$E$30100,4,0)</f>
        <v>#N/A</v>
      </c>
      <c r="B1661" s="123"/>
      <c r="C1661" s="133" t="e">
        <f>VLOOKUP(B1661,'lista 1'!$A$2:$E$31000,5,0)</f>
        <v>#N/A</v>
      </c>
      <c r="D1661" s="167" t="e">
        <f>VLOOKUP(E13461,'lista obszary'!A:B,2,0)</f>
        <v>#N/A</v>
      </c>
      <c r="E1661" s="128" t="e">
        <f>VLOOKUP(B1661,'LISTA 12'!$A$2:$G$301400,5,0)</f>
        <v>#N/A</v>
      </c>
      <c r="F1661" s="121" t="e">
        <f>VLOOKUP(B1661,'LISTA 12'!$A$2:$G$30100,7,0)</f>
        <v>#N/A</v>
      </c>
      <c r="G1661" s="254" t="e">
        <f>VLOOKUP(H1661,'lista 3'!$A$1:$C$31467,3,0)</f>
        <v>#N/A</v>
      </c>
      <c r="H1661" s="134"/>
      <c r="I1661" s="136"/>
      <c r="J1661" s="135"/>
      <c r="K1661" s="22"/>
    </row>
    <row r="1662" spans="1:11">
      <c r="A1662" s="241" t="e">
        <f>VLOOKUP(B1662,'lista 1'!$A$2:$E$30100,4,0)</f>
        <v>#N/A</v>
      </c>
      <c r="B1662" s="123"/>
      <c r="C1662" s="133" t="e">
        <f>VLOOKUP(B1662,'lista 1'!$A$2:$E$31000,5,0)</f>
        <v>#N/A</v>
      </c>
      <c r="D1662" s="167" t="e">
        <f>VLOOKUP(E13462,'lista obszary'!A:B,2,0)</f>
        <v>#N/A</v>
      </c>
      <c r="E1662" s="128" t="e">
        <f>VLOOKUP(B1662,'LISTA 12'!$A$2:$G$301400,5,0)</f>
        <v>#N/A</v>
      </c>
      <c r="F1662" s="121" t="e">
        <f>VLOOKUP(B1662,'LISTA 12'!$A$2:$G$30100,7,0)</f>
        <v>#N/A</v>
      </c>
      <c r="G1662" s="254" t="e">
        <f>VLOOKUP(H1662,'lista 3'!$A$1:$C$31467,3,0)</f>
        <v>#N/A</v>
      </c>
      <c r="H1662" s="134"/>
      <c r="I1662" s="136"/>
      <c r="J1662" s="135"/>
      <c r="K1662" s="22"/>
    </row>
    <row r="1663" spans="1:11">
      <c r="A1663" s="241" t="e">
        <f>VLOOKUP(B1663,'lista 1'!$A$2:$E$30100,4,0)</f>
        <v>#N/A</v>
      </c>
      <c r="B1663" s="123"/>
      <c r="C1663" s="133" t="e">
        <f>VLOOKUP(B1663,'lista 1'!$A$2:$E$31000,5,0)</f>
        <v>#N/A</v>
      </c>
      <c r="D1663" s="167" t="e">
        <f>VLOOKUP(E13463,'lista obszary'!A:B,2,0)</f>
        <v>#N/A</v>
      </c>
      <c r="E1663" s="128" t="e">
        <f>VLOOKUP(B1663,'LISTA 12'!$A$2:$G$301400,5,0)</f>
        <v>#N/A</v>
      </c>
      <c r="F1663" s="121" t="e">
        <f>VLOOKUP(B1663,'LISTA 12'!$A$2:$G$30100,7,0)</f>
        <v>#N/A</v>
      </c>
      <c r="G1663" s="254" t="e">
        <f>VLOOKUP(H1663,'lista 3'!$A$1:$C$31467,3,0)</f>
        <v>#N/A</v>
      </c>
      <c r="H1663" s="134"/>
      <c r="I1663" s="136"/>
      <c r="J1663" s="135"/>
      <c r="K1663" s="22"/>
    </row>
    <row r="1664" spans="1:11">
      <c r="A1664" s="241" t="e">
        <f>VLOOKUP(B1664,'lista 1'!$A$2:$E$30100,4,0)</f>
        <v>#N/A</v>
      </c>
      <c r="B1664" s="123"/>
      <c r="C1664" s="133" t="e">
        <f>VLOOKUP(B1664,'lista 1'!$A$2:$E$31000,5,0)</f>
        <v>#N/A</v>
      </c>
      <c r="D1664" s="167" t="e">
        <f>VLOOKUP(E13464,'lista obszary'!A:B,2,0)</f>
        <v>#N/A</v>
      </c>
      <c r="E1664" s="128" t="e">
        <f>VLOOKUP(B1664,'LISTA 12'!$A$2:$G$301400,5,0)</f>
        <v>#N/A</v>
      </c>
      <c r="F1664" s="121" t="e">
        <f>VLOOKUP(B1664,'LISTA 12'!$A$2:$G$30100,7,0)</f>
        <v>#N/A</v>
      </c>
      <c r="G1664" s="254" t="e">
        <f>VLOOKUP(H1664,'lista 3'!$A$1:$C$31467,3,0)</f>
        <v>#N/A</v>
      </c>
      <c r="H1664" s="134"/>
      <c r="I1664" s="136"/>
      <c r="J1664" s="135"/>
      <c r="K1664" s="22"/>
    </row>
    <row r="1665" spans="1:11">
      <c r="A1665" s="241" t="e">
        <f>VLOOKUP(B1665,'lista 1'!$A$2:$E$30100,4,0)</f>
        <v>#N/A</v>
      </c>
      <c r="B1665" s="123"/>
      <c r="C1665" s="133" t="e">
        <f>VLOOKUP(B1665,'lista 1'!$A$2:$E$31000,5,0)</f>
        <v>#N/A</v>
      </c>
      <c r="D1665" s="167" t="e">
        <f>VLOOKUP(E13465,'lista obszary'!A:B,2,0)</f>
        <v>#N/A</v>
      </c>
      <c r="E1665" s="128" t="e">
        <f>VLOOKUP(B1665,'LISTA 12'!$A$2:$G$301400,5,0)</f>
        <v>#N/A</v>
      </c>
      <c r="F1665" s="121" t="e">
        <f>VLOOKUP(B1665,'LISTA 12'!$A$2:$G$30100,7,0)</f>
        <v>#N/A</v>
      </c>
      <c r="G1665" s="254" t="e">
        <f>VLOOKUP(H1665,'lista 3'!$A$1:$C$31467,3,0)</f>
        <v>#N/A</v>
      </c>
      <c r="H1665" s="134"/>
      <c r="I1665" s="136"/>
      <c r="J1665" s="135"/>
      <c r="K1665" s="22"/>
    </row>
    <row r="1666" spans="1:11">
      <c r="A1666" s="241" t="e">
        <f>VLOOKUP(B1666,'lista 1'!$A$2:$E$30100,4,0)</f>
        <v>#N/A</v>
      </c>
      <c r="B1666" s="123"/>
      <c r="C1666" s="133" t="e">
        <f>VLOOKUP(B1666,'lista 1'!$A$2:$E$31000,5,0)</f>
        <v>#N/A</v>
      </c>
      <c r="D1666" s="167" t="e">
        <f>VLOOKUP(E13466,'lista obszary'!A:B,2,0)</f>
        <v>#N/A</v>
      </c>
      <c r="E1666" s="128" t="e">
        <f>VLOOKUP(B1666,'LISTA 12'!$A$2:$G$301400,5,0)</f>
        <v>#N/A</v>
      </c>
      <c r="F1666" s="121" t="e">
        <f>VLOOKUP(B1666,'LISTA 12'!$A$2:$G$30100,7,0)</f>
        <v>#N/A</v>
      </c>
      <c r="G1666" s="254" t="e">
        <f>VLOOKUP(H1666,'lista 3'!$A$1:$C$31467,3,0)</f>
        <v>#N/A</v>
      </c>
      <c r="H1666" s="134"/>
      <c r="I1666" s="136"/>
      <c r="J1666" s="135"/>
      <c r="K1666" s="22"/>
    </row>
    <row r="1667" spans="1:11">
      <c r="A1667" s="241" t="e">
        <f>VLOOKUP(B1667,'lista 1'!$A$2:$E$30100,4,0)</f>
        <v>#N/A</v>
      </c>
      <c r="B1667" s="123"/>
      <c r="C1667" s="133" t="e">
        <f>VLOOKUP(B1667,'lista 1'!$A$2:$E$31000,5,0)</f>
        <v>#N/A</v>
      </c>
      <c r="D1667" s="167" t="e">
        <f>VLOOKUP(E13467,'lista obszary'!A:B,2,0)</f>
        <v>#N/A</v>
      </c>
      <c r="E1667" s="128" t="e">
        <f>VLOOKUP(B1667,'LISTA 12'!$A$2:$G$301400,5,0)</f>
        <v>#N/A</v>
      </c>
      <c r="F1667" s="121" t="e">
        <f>VLOOKUP(B1667,'LISTA 12'!$A$2:$G$30100,7,0)</f>
        <v>#N/A</v>
      </c>
      <c r="G1667" s="254" t="e">
        <f>VLOOKUP(H1667,'lista 3'!$A$1:$C$31467,3,0)</f>
        <v>#N/A</v>
      </c>
      <c r="H1667" s="134"/>
      <c r="I1667" s="136"/>
      <c r="J1667" s="135"/>
      <c r="K1667" s="22"/>
    </row>
    <row r="1668" spans="1:11">
      <c r="A1668" s="241" t="e">
        <f>VLOOKUP(B1668,'lista 1'!$A$2:$E$30100,4,0)</f>
        <v>#N/A</v>
      </c>
      <c r="B1668" s="123"/>
      <c r="C1668" s="133" t="e">
        <f>VLOOKUP(B1668,'lista 1'!$A$2:$E$31000,5,0)</f>
        <v>#N/A</v>
      </c>
      <c r="D1668" s="167" t="e">
        <f>VLOOKUP(E13468,'lista obszary'!A:B,2,0)</f>
        <v>#N/A</v>
      </c>
      <c r="E1668" s="128" t="e">
        <f>VLOOKUP(B1668,'LISTA 12'!$A$2:$G$301400,5,0)</f>
        <v>#N/A</v>
      </c>
      <c r="F1668" s="121" t="e">
        <f>VLOOKUP(B1668,'LISTA 12'!$A$2:$G$30100,7,0)</f>
        <v>#N/A</v>
      </c>
      <c r="G1668" s="254" t="e">
        <f>VLOOKUP(H1668,'lista 3'!$A$1:$C$31467,3,0)</f>
        <v>#N/A</v>
      </c>
      <c r="H1668" s="134"/>
      <c r="I1668" s="136"/>
      <c r="J1668" s="135"/>
      <c r="K1668" s="22"/>
    </row>
    <row r="1669" spans="1:11">
      <c r="A1669" s="241" t="e">
        <f>VLOOKUP(B1669,'lista 1'!$A$2:$E$30100,4,0)</f>
        <v>#N/A</v>
      </c>
      <c r="B1669" s="123"/>
      <c r="C1669" s="133" t="e">
        <f>VLOOKUP(B1669,'lista 1'!$A$2:$E$31000,5,0)</f>
        <v>#N/A</v>
      </c>
      <c r="D1669" s="167" t="e">
        <f>VLOOKUP(E13469,'lista obszary'!A:B,2,0)</f>
        <v>#N/A</v>
      </c>
      <c r="E1669" s="128" t="e">
        <f>VLOOKUP(B1669,'LISTA 12'!$A$2:$G$301400,5,0)</f>
        <v>#N/A</v>
      </c>
      <c r="F1669" s="121" t="e">
        <f>VLOOKUP(B1669,'LISTA 12'!$A$2:$G$30100,7,0)</f>
        <v>#N/A</v>
      </c>
      <c r="G1669" s="254" t="e">
        <f>VLOOKUP(H1669,'lista 3'!$A$1:$C$31467,3,0)</f>
        <v>#N/A</v>
      </c>
      <c r="H1669" s="134"/>
      <c r="I1669" s="136"/>
      <c r="J1669" s="135"/>
      <c r="K1669" s="22"/>
    </row>
    <row r="1670" spans="1:11">
      <c r="A1670" s="241" t="e">
        <f>VLOOKUP(B1670,'lista 1'!$A$2:$E$30100,4,0)</f>
        <v>#N/A</v>
      </c>
      <c r="B1670" s="123"/>
      <c r="C1670" s="133" t="e">
        <f>VLOOKUP(B1670,'lista 1'!$A$2:$E$31000,5,0)</f>
        <v>#N/A</v>
      </c>
      <c r="D1670" s="167" t="e">
        <f>VLOOKUP(E13470,'lista obszary'!A:B,2,0)</f>
        <v>#N/A</v>
      </c>
      <c r="E1670" s="128" t="e">
        <f>VLOOKUP(B1670,'LISTA 12'!$A$2:$G$301400,5,0)</f>
        <v>#N/A</v>
      </c>
      <c r="F1670" s="121" t="e">
        <f>VLOOKUP(B1670,'LISTA 12'!$A$2:$G$30100,7,0)</f>
        <v>#N/A</v>
      </c>
      <c r="G1670" s="254" t="e">
        <f>VLOOKUP(H1670,'lista 3'!$A$1:$C$31467,3,0)</f>
        <v>#N/A</v>
      </c>
      <c r="H1670" s="134"/>
      <c r="I1670" s="136"/>
      <c r="J1670" s="135"/>
      <c r="K1670" s="22"/>
    </row>
    <row r="1671" spans="1:11">
      <c r="A1671" s="241" t="e">
        <f>VLOOKUP(B1671,'lista 1'!$A$2:$E$30100,4,0)</f>
        <v>#N/A</v>
      </c>
      <c r="B1671" s="123"/>
      <c r="C1671" s="133" t="e">
        <f>VLOOKUP(B1671,'lista 1'!$A$2:$E$31000,5,0)</f>
        <v>#N/A</v>
      </c>
      <c r="D1671" s="167" t="e">
        <f>VLOOKUP(E13471,'lista obszary'!A:B,2,0)</f>
        <v>#N/A</v>
      </c>
      <c r="E1671" s="128" t="e">
        <f>VLOOKUP(B1671,'LISTA 12'!$A$2:$G$301400,5,0)</f>
        <v>#N/A</v>
      </c>
      <c r="F1671" s="121" t="e">
        <f>VLOOKUP(B1671,'LISTA 12'!$A$2:$G$30100,7,0)</f>
        <v>#N/A</v>
      </c>
      <c r="G1671" s="254" t="e">
        <f>VLOOKUP(H1671,'lista 3'!$A$1:$C$31467,3,0)</f>
        <v>#N/A</v>
      </c>
      <c r="H1671" s="134"/>
      <c r="I1671" s="136"/>
      <c r="J1671" s="135"/>
      <c r="K1671" s="22"/>
    </row>
    <row r="1672" spans="1:11">
      <c r="A1672" s="241" t="e">
        <f>VLOOKUP(B1672,'lista 1'!$A$2:$E$30100,4,0)</f>
        <v>#N/A</v>
      </c>
      <c r="B1672" s="123"/>
      <c r="C1672" s="133" t="e">
        <f>VLOOKUP(B1672,'lista 1'!$A$2:$E$31000,5,0)</f>
        <v>#N/A</v>
      </c>
      <c r="D1672" s="167" t="e">
        <f>VLOOKUP(E13472,'lista obszary'!A:B,2,0)</f>
        <v>#N/A</v>
      </c>
      <c r="E1672" s="128" t="e">
        <f>VLOOKUP(B1672,'LISTA 12'!$A$2:$G$301400,5,0)</f>
        <v>#N/A</v>
      </c>
      <c r="F1672" s="121" t="e">
        <f>VLOOKUP(B1672,'LISTA 12'!$A$2:$G$30100,7,0)</f>
        <v>#N/A</v>
      </c>
      <c r="G1672" s="254" t="e">
        <f>VLOOKUP(H1672,'lista 3'!$A$1:$C$31467,3,0)</f>
        <v>#N/A</v>
      </c>
      <c r="H1672" s="134"/>
      <c r="I1672" s="136"/>
      <c r="J1672" s="135"/>
      <c r="K1672" s="22"/>
    </row>
    <row r="1673" spans="1:11">
      <c r="A1673" s="241" t="e">
        <f>VLOOKUP(B1673,'lista 1'!$A$2:$E$30100,4,0)</f>
        <v>#N/A</v>
      </c>
      <c r="B1673" s="123"/>
      <c r="C1673" s="133" t="e">
        <f>VLOOKUP(B1673,'lista 1'!$A$2:$E$31000,5,0)</f>
        <v>#N/A</v>
      </c>
      <c r="D1673" s="167" t="e">
        <f>VLOOKUP(E13473,'lista obszary'!A:B,2,0)</f>
        <v>#N/A</v>
      </c>
      <c r="E1673" s="128" t="e">
        <f>VLOOKUP(B1673,'LISTA 12'!$A$2:$G$301400,5,0)</f>
        <v>#N/A</v>
      </c>
      <c r="F1673" s="121" t="e">
        <f>VLOOKUP(B1673,'LISTA 12'!$A$2:$G$30100,7,0)</f>
        <v>#N/A</v>
      </c>
      <c r="G1673" s="254" t="e">
        <f>VLOOKUP(H1673,'lista 3'!$A$1:$C$31467,3,0)</f>
        <v>#N/A</v>
      </c>
      <c r="H1673" s="134"/>
      <c r="I1673" s="136"/>
      <c r="J1673" s="135"/>
      <c r="K1673" s="22"/>
    </row>
    <row r="1674" spans="1:11">
      <c r="A1674" s="241" t="e">
        <f>VLOOKUP(B1674,'lista 1'!$A$2:$E$30100,4,0)</f>
        <v>#N/A</v>
      </c>
      <c r="B1674" s="123"/>
      <c r="C1674" s="133" t="e">
        <f>VLOOKUP(B1674,'lista 1'!$A$2:$E$31000,5,0)</f>
        <v>#N/A</v>
      </c>
      <c r="D1674" s="167" t="e">
        <f>VLOOKUP(E13474,'lista obszary'!A:B,2,0)</f>
        <v>#N/A</v>
      </c>
      <c r="E1674" s="128" t="e">
        <f>VLOOKUP(B1674,'LISTA 12'!$A$2:$G$301400,5,0)</f>
        <v>#N/A</v>
      </c>
      <c r="F1674" s="121" t="e">
        <f>VLOOKUP(B1674,'LISTA 12'!$A$2:$G$30100,7,0)</f>
        <v>#N/A</v>
      </c>
      <c r="G1674" s="254" t="e">
        <f>VLOOKUP(H1674,'lista 3'!$A$1:$C$31467,3,0)</f>
        <v>#N/A</v>
      </c>
      <c r="H1674" s="134"/>
      <c r="I1674" s="136"/>
      <c r="J1674" s="135"/>
      <c r="K1674" s="22"/>
    </row>
    <row r="1675" spans="1:11">
      <c r="A1675" s="241" t="e">
        <f>VLOOKUP(B1675,'lista 1'!$A$2:$E$30100,4,0)</f>
        <v>#N/A</v>
      </c>
      <c r="B1675" s="123"/>
      <c r="C1675" s="133" t="e">
        <f>VLOOKUP(B1675,'lista 1'!$A$2:$E$31000,5,0)</f>
        <v>#N/A</v>
      </c>
      <c r="D1675" s="167" t="e">
        <f>VLOOKUP(E13475,'lista obszary'!A:B,2,0)</f>
        <v>#N/A</v>
      </c>
      <c r="E1675" s="128" t="e">
        <f>VLOOKUP(B1675,'LISTA 12'!$A$2:$G$301400,5,0)</f>
        <v>#N/A</v>
      </c>
      <c r="F1675" s="121" t="e">
        <f>VLOOKUP(B1675,'LISTA 12'!$A$2:$G$30100,7,0)</f>
        <v>#N/A</v>
      </c>
      <c r="G1675" s="254" t="e">
        <f>VLOOKUP(H1675,'lista 3'!$A$1:$C$31467,3,0)</f>
        <v>#N/A</v>
      </c>
      <c r="H1675" s="134"/>
      <c r="I1675" s="136"/>
      <c r="J1675" s="135"/>
      <c r="K1675" s="22"/>
    </row>
    <row r="1676" spans="1:11">
      <c r="A1676" s="241" t="e">
        <f>VLOOKUP(B1676,'lista 1'!$A$2:$E$30100,4,0)</f>
        <v>#N/A</v>
      </c>
      <c r="B1676" s="123"/>
      <c r="C1676" s="133" t="e">
        <f>VLOOKUP(B1676,'lista 1'!$A$2:$E$31000,5,0)</f>
        <v>#N/A</v>
      </c>
      <c r="D1676" s="167" t="e">
        <f>VLOOKUP(E13476,'lista obszary'!A:B,2,0)</f>
        <v>#N/A</v>
      </c>
      <c r="E1676" s="128" t="e">
        <f>VLOOKUP(B1676,'LISTA 12'!$A$2:$G$301400,5,0)</f>
        <v>#N/A</v>
      </c>
      <c r="F1676" s="121" t="e">
        <f>VLOOKUP(B1676,'LISTA 12'!$A$2:$G$30100,7,0)</f>
        <v>#N/A</v>
      </c>
      <c r="G1676" s="254" t="e">
        <f>VLOOKUP(H1676,'lista 3'!$A$1:$C$31467,3,0)</f>
        <v>#N/A</v>
      </c>
      <c r="H1676" s="134"/>
      <c r="I1676" s="136"/>
      <c r="J1676" s="135"/>
      <c r="K1676" s="22"/>
    </row>
    <row r="1677" spans="1:11">
      <c r="A1677" s="241" t="e">
        <f>VLOOKUP(B1677,'lista 1'!$A$2:$E$30100,4,0)</f>
        <v>#N/A</v>
      </c>
      <c r="B1677" s="123"/>
      <c r="C1677" s="133" t="e">
        <f>VLOOKUP(B1677,'lista 1'!$A$2:$E$31000,5,0)</f>
        <v>#N/A</v>
      </c>
      <c r="D1677" s="167" t="e">
        <f>VLOOKUP(E13477,'lista obszary'!A:B,2,0)</f>
        <v>#N/A</v>
      </c>
      <c r="E1677" s="128" t="e">
        <f>VLOOKUP(B1677,'LISTA 12'!$A$2:$G$301400,5,0)</f>
        <v>#N/A</v>
      </c>
      <c r="F1677" s="121" t="e">
        <f>VLOOKUP(B1677,'LISTA 12'!$A$2:$G$30100,7,0)</f>
        <v>#N/A</v>
      </c>
      <c r="G1677" s="254" t="e">
        <f>VLOOKUP(H1677,'lista 3'!$A$1:$C$31467,3,0)</f>
        <v>#N/A</v>
      </c>
      <c r="H1677" s="134"/>
      <c r="I1677" s="136"/>
      <c r="J1677" s="135"/>
      <c r="K1677" s="22"/>
    </row>
    <row r="1678" spans="1:11">
      <c r="A1678" s="241" t="e">
        <f>VLOOKUP(B1678,'lista 1'!$A$2:$E$30100,4,0)</f>
        <v>#N/A</v>
      </c>
      <c r="B1678" s="123"/>
      <c r="C1678" s="133" t="e">
        <f>VLOOKUP(B1678,'lista 1'!$A$2:$E$31000,5,0)</f>
        <v>#N/A</v>
      </c>
      <c r="D1678" s="167" t="e">
        <f>VLOOKUP(E13478,'lista obszary'!A:B,2,0)</f>
        <v>#N/A</v>
      </c>
      <c r="E1678" s="128" t="e">
        <f>VLOOKUP(B1678,'LISTA 12'!$A$2:$G$301400,5,0)</f>
        <v>#N/A</v>
      </c>
      <c r="F1678" s="121" t="e">
        <f>VLOOKUP(B1678,'LISTA 12'!$A$2:$G$30100,7,0)</f>
        <v>#N/A</v>
      </c>
      <c r="G1678" s="254" t="e">
        <f>VLOOKUP(H1678,'lista 3'!$A$1:$C$31467,3,0)</f>
        <v>#N/A</v>
      </c>
      <c r="H1678" s="134"/>
      <c r="I1678" s="136"/>
      <c r="J1678" s="135"/>
      <c r="K1678" s="22"/>
    </row>
    <row r="1679" spans="1:11">
      <c r="A1679" s="241" t="e">
        <f>VLOOKUP(B1679,'lista 1'!$A$2:$E$30100,4,0)</f>
        <v>#N/A</v>
      </c>
      <c r="B1679" s="123"/>
      <c r="C1679" s="133" t="e">
        <f>VLOOKUP(B1679,'lista 1'!$A$2:$E$31000,5,0)</f>
        <v>#N/A</v>
      </c>
      <c r="D1679" s="167" t="e">
        <f>VLOOKUP(E13479,'lista obszary'!A:B,2,0)</f>
        <v>#N/A</v>
      </c>
      <c r="E1679" s="128" t="e">
        <f>VLOOKUP(B1679,'LISTA 12'!$A$2:$G$301400,5,0)</f>
        <v>#N/A</v>
      </c>
      <c r="F1679" s="121" t="e">
        <f>VLOOKUP(B1679,'LISTA 12'!$A$2:$G$30100,7,0)</f>
        <v>#N/A</v>
      </c>
      <c r="G1679" s="254" t="e">
        <f>VLOOKUP(H1679,'lista 3'!$A$1:$C$31467,3,0)</f>
        <v>#N/A</v>
      </c>
      <c r="H1679" s="134"/>
      <c r="I1679" s="136"/>
      <c r="J1679" s="135"/>
      <c r="K1679" s="22"/>
    </row>
    <row r="1680" spans="1:11">
      <c r="A1680" s="241" t="e">
        <f>VLOOKUP(B1680,'lista 1'!$A$2:$E$30100,4,0)</f>
        <v>#N/A</v>
      </c>
      <c r="B1680" s="123"/>
      <c r="C1680" s="133" t="e">
        <f>VLOOKUP(B1680,'lista 1'!$A$2:$E$31000,5,0)</f>
        <v>#N/A</v>
      </c>
      <c r="D1680" s="167" t="e">
        <f>VLOOKUP(E13480,'lista obszary'!A:B,2,0)</f>
        <v>#N/A</v>
      </c>
      <c r="E1680" s="128" t="e">
        <f>VLOOKUP(B1680,'LISTA 12'!$A$2:$G$301400,5,0)</f>
        <v>#N/A</v>
      </c>
      <c r="F1680" s="121" t="e">
        <f>VLOOKUP(B1680,'LISTA 12'!$A$2:$G$30100,7,0)</f>
        <v>#N/A</v>
      </c>
      <c r="G1680" s="254" t="e">
        <f>VLOOKUP(H1680,'lista 3'!$A$1:$C$31467,3,0)</f>
        <v>#N/A</v>
      </c>
      <c r="H1680" s="134"/>
      <c r="I1680" s="136"/>
      <c r="J1680" s="135"/>
      <c r="K1680" s="22"/>
    </row>
    <row r="1681" spans="1:11">
      <c r="A1681" s="241" t="e">
        <f>VLOOKUP(B1681,'lista 1'!$A$2:$E$30100,4,0)</f>
        <v>#N/A</v>
      </c>
      <c r="B1681" s="123"/>
      <c r="C1681" s="133" t="e">
        <f>VLOOKUP(B1681,'lista 1'!$A$2:$E$31000,5,0)</f>
        <v>#N/A</v>
      </c>
      <c r="D1681" s="167" t="e">
        <f>VLOOKUP(E13481,'lista obszary'!A:B,2,0)</f>
        <v>#N/A</v>
      </c>
      <c r="E1681" s="128" t="e">
        <f>VLOOKUP(B1681,'LISTA 12'!$A$2:$G$301400,5,0)</f>
        <v>#N/A</v>
      </c>
      <c r="F1681" s="121" t="e">
        <f>VLOOKUP(B1681,'LISTA 12'!$A$2:$G$30100,7,0)</f>
        <v>#N/A</v>
      </c>
      <c r="G1681" s="254" t="e">
        <f>VLOOKUP(H1681,'lista 3'!$A$1:$C$31467,3,0)</f>
        <v>#N/A</v>
      </c>
      <c r="H1681" s="134"/>
      <c r="I1681" s="136"/>
      <c r="J1681" s="135"/>
      <c r="K1681" s="22"/>
    </row>
    <row r="1682" spans="1:11">
      <c r="A1682" s="241" t="e">
        <f>VLOOKUP(B1682,'lista 1'!$A$2:$E$30100,4,0)</f>
        <v>#N/A</v>
      </c>
      <c r="B1682" s="123"/>
      <c r="C1682" s="133" t="e">
        <f>VLOOKUP(B1682,'lista 1'!$A$2:$E$31000,5,0)</f>
        <v>#N/A</v>
      </c>
      <c r="D1682" s="167" t="e">
        <f>VLOOKUP(E13482,'lista obszary'!A:B,2,0)</f>
        <v>#N/A</v>
      </c>
      <c r="E1682" s="128" t="e">
        <f>VLOOKUP(B1682,'LISTA 12'!$A$2:$G$301400,5,0)</f>
        <v>#N/A</v>
      </c>
      <c r="F1682" s="121" t="e">
        <f>VLOOKUP(B1682,'LISTA 12'!$A$2:$G$30100,7,0)</f>
        <v>#N/A</v>
      </c>
      <c r="G1682" s="254" t="e">
        <f>VLOOKUP(H1682,'lista 3'!$A$1:$C$31467,3,0)</f>
        <v>#N/A</v>
      </c>
      <c r="H1682" s="134"/>
      <c r="I1682" s="136"/>
      <c r="J1682" s="135"/>
      <c r="K1682" s="22"/>
    </row>
    <row r="1683" spans="1:11">
      <c r="A1683" s="241" t="e">
        <f>VLOOKUP(B1683,'lista 1'!$A$2:$E$30100,4,0)</f>
        <v>#N/A</v>
      </c>
      <c r="B1683" s="123"/>
      <c r="C1683" s="133" t="e">
        <f>VLOOKUP(B1683,'lista 1'!$A$2:$E$31000,5,0)</f>
        <v>#N/A</v>
      </c>
      <c r="D1683" s="167" t="e">
        <f>VLOOKUP(E13483,'lista obszary'!A:B,2,0)</f>
        <v>#N/A</v>
      </c>
      <c r="E1683" s="128" t="e">
        <f>VLOOKUP(B1683,'LISTA 12'!$A$2:$G$301400,5,0)</f>
        <v>#N/A</v>
      </c>
      <c r="F1683" s="121" t="e">
        <f>VLOOKUP(B1683,'LISTA 12'!$A$2:$G$30100,7,0)</f>
        <v>#N/A</v>
      </c>
      <c r="G1683" s="254" t="e">
        <f>VLOOKUP(H1683,'lista 3'!$A$1:$C$31467,3,0)</f>
        <v>#N/A</v>
      </c>
      <c r="H1683" s="134"/>
      <c r="I1683" s="136"/>
      <c r="J1683" s="135"/>
      <c r="K1683" s="22"/>
    </row>
    <row r="1684" spans="1:11">
      <c r="A1684" s="241" t="e">
        <f>VLOOKUP(B1684,'lista 1'!$A$2:$E$30100,4,0)</f>
        <v>#N/A</v>
      </c>
      <c r="B1684" s="123"/>
      <c r="C1684" s="133" t="e">
        <f>VLOOKUP(B1684,'lista 1'!$A$2:$E$31000,5,0)</f>
        <v>#N/A</v>
      </c>
      <c r="D1684" s="167" t="e">
        <f>VLOOKUP(E13484,'lista obszary'!A:B,2,0)</f>
        <v>#N/A</v>
      </c>
      <c r="E1684" s="128" t="e">
        <f>VLOOKUP(B1684,'LISTA 12'!$A$2:$G$301400,5,0)</f>
        <v>#N/A</v>
      </c>
      <c r="F1684" s="121" t="e">
        <f>VLOOKUP(B1684,'LISTA 12'!$A$2:$G$30100,7,0)</f>
        <v>#N/A</v>
      </c>
      <c r="G1684" s="254" t="e">
        <f>VLOOKUP(H1684,'lista 3'!$A$1:$C$31467,3,0)</f>
        <v>#N/A</v>
      </c>
      <c r="H1684" s="134"/>
      <c r="I1684" s="136"/>
      <c r="J1684" s="135"/>
      <c r="K1684" s="22"/>
    </row>
    <row r="1685" spans="1:11">
      <c r="A1685" s="241" t="e">
        <f>VLOOKUP(B1685,'lista 1'!$A$2:$E$30100,4,0)</f>
        <v>#N/A</v>
      </c>
      <c r="B1685" s="123"/>
      <c r="C1685" s="133" t="e">
        <f>VLOOKUP(B1685,'lista 1'!$A$2:$E$31000,5,0)</f>
        <v>#N/A</v>
      </c>
      <c r="D1685" s="167" t="e">
        <f>VLOOKUP(E13485,'lista obszary'!A:B,2,0)</f>
        <v>#N/A</v>
      </c>
      <c r="E1685" s="128" t="e">
        <f>VLOOKUP(B1685,'LISTA 12'!$A$2:$G$301400,5,0)</f>
        <v>#N/A</v>
      </c>
      <c r="F1685" s="121" t="e">
        <f>VLOOKUP(B1685,'LISTA 12'!$A$2:$G$30100,7,0)</f>
        <v>#N/A</v>
      </c>
      <c r="G1685" s="254" t="e">
        <f>VLOOKUP(H1685,'lista 3'!$A$1:$C$31467,3,0)</f>
        <v>#N/A</v>
      </c>
      <c r="H1685" s="134"/>
      <c r="I1685" s="136"/>
      <c r="J1685" s="135"/>
      <c r="K1685" s="22"/>
    </row>
    <row r="1686" spans="1:11">
      <c r="A1686" s="241" t="e">
        <f>VLOOKUP(B1686,'lista 1'!$A$2:$E$30100,4,0)</f>
        <v>#N/A</v>
      </c>
      <c r="B1686" s="123"/>
      <c r="C1686" s="133" t="e">
        <f>VLOOKUP(B1686,'lista 1'!$A$2:$E$31000,5,0)</f>
        <v>#N/A</v>
      </c>
      <c r="D1686" s="167" t="e">
        <f>VLOOKUP(E13486,'lista obszary'!A:B,2,0)</f>
        <v>#N/A</v>
      </c>
      <c r="E1686" s="128" t="e">
        <f>VLOOKUP(B1686,'LISTA 12'!$A$2:$G$301400,5,0)</f>
        <v>#N/A</v>
      </c>
      <c r="F1686" s="121" t="e">
        <f>VLOOKUP(B1686,'LISTA 12'!$A$2:$G$30100,7,0)</f>
        <v>#N/A</v>
      </c>
      <c r="G1686" s="254" t="e">
        <f>VLOOKUP(H1686,'lista 3'!$A$1:$C$31467,3,0)</f>
        <v>#N/A</v>
      </c>
      <c r="H1686" s="134"/>
      <c r="I1686" s="136"/>
      <c r="J1686" s="135"/>
      <c r="K1686" s="22"/>
    </row>
    <row r="1687" spans="1:11">
      <c r="A1687" s="241" t="e">
        <f>VLOOKUP(B1687,'lista 1'!$A$2:$E$30100,4,0)</f>
        <v>#N/A</v>
      </c>
      <c r="B1687" s="123"/>
      <c r="C1687" s="133" t="e">
        <f>VLOOKUP(B1687,'lista 1'!$A$2:$E$31000,5,0)</f>
        <v>#N/A</v>
      </c>
      <c r="D1687" s="167" t="e">
        <f>VLOOKUP(E13487,'lista obszary'!A:B,2,0)</f>
        <v>#N/A</v>
      </c>
      <c r="E1687" s="128" t="e">
        <f>VLOOKUP(B1687,'LISTA 12'!$A$2:$G$301400,5,0)</f>
        <v>#N/A</v>
      </c>
      <c r="F1687" s="121" t="e">
        <f>VLOOKUP(B1687,'LISTA 12'!$A$2:$G$30100,7,0)</f>
        <v>#N/A</v>
      </c>
      <c r="G1687" s="254" t="e">
        <f>VLOOKUP(H1687,'lista 3'!$A$1:$C$31467,3,0)</f>
        <v>#N/A</v>
      </c>
      <c r="H1687" s="134"/>
      <c r="I1687" s="136"/>
      <c r="J1687" s="135"/>
      <c r="K1687" s="22"/>
    </row>
    <row r="1688" spans="1:11">
      <c r="A1688" s="241" t="e">
        <f>VLOOKUP(B1688,'lista 1'!$A$2:$E$30100,4,0)</f>
        <v>#N/A</v>
      </c>
      <c r="B1688" s="123"/>
      <c r="C1688" s="133" t="e">
        <f>VLOOKUP(B1688,'lista 1'!$A$2:$E$31000,5,0)</f>
        <v>#N/A</v>
      </c>
      <c r="D1688" s="167" t="e">
        <f>VLOOKUP(E13488,'lista obszary'!A:B,2,0)</f>
        <v>#N/A</v>
      </c>
      <c r="E1688" s="128" t="e">
        <f>VLOOKUP(B1688,'LISTA 12'!$A$2:$G$301400,5,0)</f>
        <v>#N/A</v>
      </c>
      <c r="F1688" s="121" t="e">
        <f>VLOOKUP(B1688,'LISTA 12'!$A$2:$G$30100,7,0)</f>
        <v>#N/A</v>
      </c>
      <c r="G1688" s="254" t="e">
        <f>VLOOKUP(H1688,'lista 3'!$A$1:$C$31467,3,0)</f>
        <v>#N/A</v>
      </c>
      <c r="H1688" s="134"/>
      <c r="I1688" s="136"/>
      <c r="J1688" s="135"/>
      <c r="K1688" s="22"/>
    </row>
    <row r="1689" spans="1:11">
      <c r="A1689" s="241" t="e">
        <f>VLOOKUP(B1689,'lista 1'!$A$2:$E$30100,4,0)</f>
        <v>#N/A</v>
      </c>
      <c r="B1689" s="123"/>
      <c r="C1689" s="133" t="e">
        <f>VLOOKUP(B1689,'lista 1'!$A$2:$E$31000,5,0)</f>
        <v>#N/A</v>
      </c>
      <c r="D1689" s="167" t="e">
        <f>VLOOKUP(E13489,'lista obszary'!A:B,2,0)</f>
        <v>#N/A</v>
      </c>
      <c r="E1689" s="128" t="e">
        <f>VLOOKUP(B1689,'LISTA 12'!$A$2:$G$301400,5,0)</f>
        <v>#N/A</v>
      </c>
      <c r="F1689" s="121" t="e">
        <f>VLOOKUP(B1689,'LISTA 12'!$A$2:$G$30100,7,0)</f>
        <v>#N/A</v>
      </c>
      <c r="G1689" s="254" t="e">
        <f>VLOOKUP(H1689,'lista 3'!$A$1:$C$31467,3,0)</f>
        <v>#N/A</v>
      </c>
      <c r="H1689" s="134"/>
      <c r="I1689" s="136"/>
      <c r="J1689" s="135"/>
      <c r="K1689" s="22"/>
    </row>
    <row r="1690" spans="1:11">
      <c r="A1690" s="241" t="e">
        <f>VLOOKUP(B1690,'lista 1'!$A$2:$E$30100,4,0)</f>
        <v>#N/A</v>
      </c>
      <c r="B1690" s="123"/>
      <c r="C1690" s="133" t="e">
        <f>VLOOKUP(B1690,'lista 1'!$A$2:$E$31000,5,0)</f>
        <v>#N/A</v>
      </c>
      <c r="D1690" s="167" t="e">
        <f>VLOOKUP(E13490,'lista obszary'!A:B,2,0)</f>
        <v>#N/A</v>
      </c>
      <c r="E1690" s="128" t="e">
        <f>VLOOKUP(B1690,'LISTA 12'!$A$2:$G$301400,5,0)</f>
        <v>#N/A</v>
      </c>
      <c r="F1690" s="121" t="e">
        <f>VLOOKUP(B1690,'LISTA 12'!$A$2:$G$30100,7,0)</f>
        <v>#N/A</v>
      </c>
      <c r="G1690" s="254" t="e">
        <f>VLOOKUP(H1690,'lista 3'!$A$1:$C$31467,3,0)</f>
        <v>#N/A</v>
      </c>
      <c r="H1690" s="134"/>
      <c r="I1690" s="136"/>
      <c r="J1690" s="135"/>
      <c r="K1690" s="22"/>
    </row>
    <row r="1691" spans="1:11">
      <c r="A1691" s="241" t="e">
        <f>VLOOKUP(B1691,'lista 1'!$A$2:$E$30100,4,0)</f>
        <v>#N/A</v>
      </c>
      <c r="B1691" s="123"/>
      <c r="C1691" s="133" t="e">
        <f>VLOOKUP(B1691,'lista 1'!$A$2:$E$31000,5,0)</f>
        <v>#N/A</v>
      </c>
      <c r="D1691" s="167" t="e">
        <f>VLOOKUP(E13491,'lista obszary'!A:B,2,0)</f>
        <v>#N/A</v>
      </c>
      <c r="E1691" s="128" t="e">
        <f>VLOOKUP(B1691,'LISTA 12'!$A$2:$G$301400,5,0)</f>
        <v>#N/A</v>
      </c>
      <c r="F1691" s="121" t="e">
        <f>VLOOKUP(B1691,'LISTA 12'!$A$2:$G$30100,7,0)</f>
        <v>#N/A</v>
      </c>
      <c r="G1691" s="254" t="e">
        <f>VLOOKUP(H1691,'lista 3'!$A$1:$C$31467,3,0)</f>
        <v>#N/A</v>
      </c>
      <c r="H1691" s="134"/>
      <c r="I1691" s="136"/>
      <c r="J1691" s="135"/>
      <c r="K1691" s="22"/>
    </row>
    <row r="1692" spans="1:11">
      <c r="A1692" s="241" t="e">
        <f>VLOOKUP(B1692,'lista 1'!$A$2:$E$30100,4,0)</f>
        <v>#N/A</v>
      </c>
      <c r="B1692" s="123"/>
      <c r="C1692" s="133" t="e">
        <f>VLOOKUP(B1692,'lista 1'!$A$2:$E$31000,5,0)</f>
        <v>#N/A</v>
      </c>
      <c r="D1692" s="167" t="e">
        <f>VLOOKUP(E13492,'lista obszary'!A:B,2,0)</f>
        <v>#N/A</v>
      </c>
      <c r="E1692" s="128" t="e">
        <f>VLOOKUP(B1692,'LISTA 12'!$A$2:$G$301400,5,0)</f>
        <v>#N/A</v>
      </c>
      <c r="F1692" s="121" t="e">
        <f>VLOOKUP(B1692,'LISTA 12'!$A$2:$G$30100,7,0)</f>
        <v>#N/A</v>
      </c>
      <c r="G1692" s="254" t="e">
        <f>VLOOKUP(H1692,'lista 3'!$A$1:$C$31467,3,0)</f>
        <v>#N/A</v>
      </c>
      <c r="H1692" s="134"/>
      <c r="I1692" s="136"/>
      <c r="J1692" s="135"/>
      <c r="K1692" s="22"/>
    </row>
    <row r="1693" spans="1:11">
      <c r="A1693" s="241" t="e">
        <f>VLOOKUP(B1693,'lista 1'!$A$2:$E$30100,4,0)</f>
        <v>#N/A</v>
      </c>
      <c r="B1693" s="123"/>
      <c r="C1693" s="133" t="e">
        <f>VLOOKUP(B1693,'lista 1'!$A$2:$E$31000,5,0)</f>
        <v>#N/A</v>
      </c>
      <c r="D1693" s="167" t="e">
        <f>VLOOKUP(E13493,'lista obszary'!A:B,2,0)</f>
        <v>#N/A</v>
      </c>
      <c r="E1693" s="128" t="e">
        <f>VLOOKUP(B1693,'LISTA 12'!$A$2:$G$301400,5,0)</f>
        <v>#N/A</v>
      </c>
      <c r="F1693" s="121" t="e">
        <f>VLOOKUP(B1693,'LISTA 12'!$A$2:$G$30100,7,0)</f>
        <v>#N/A</v>
      </c>
      <c r="G1693" s="254" t="e">
        <f>VLOOKUP(H1693,'lista 3'!$A$1:$C$31467,3,0)</f>
        <v>#N/A</v>
      </c>
      <c r="H1693" s="134"/>
      <c r="I1693" s="136"/>
      <c r="J1693" s="135"/>
      <c r="K1693" s="22"/>
    </row>
    <row r="1694" spans="1:11">
      <c r="A1694" s="241" t="e">
        <f>VLOOKUP(B1694,'lista 1'!$A$2:$E$30100,4,0)</f>
        <v>#N/A</v>
      </c>
      <c r="B1694" s="123"/>
      <c r="C1694" s="133" t="e">
        <f>VLOOKUP(B1694,'lista 1'!$A$2:$E$31000,5,0)</f>
        <v>#N/A</v>
      </c>
      <c r="D1694" s="167" t="e">
        <f>VLOOKUP(E13494,'lista obszary'!A:B,2,0)</f>
        <v>#N/A</v>
      </c>
      <c r="E1694" s="128" t="e">
        <f>VLOOKUP(B1694,'LISTA 12'!$A$2:$G$301400,5,0)</f>
        <v>#N/A</v>
      </c>
      <c r="F1694" s="121" t="e">
        <f>VLOOKUP(B1694,'LISTA 12'!$A$2:$G$30100,7,0)</f>
        <v>#N/A</v>
      </c>
      <c r="G1694" s="254" t="e">
        <f>VLOOKUP(H1694,'lista 3'!$A$1:$C$31467,3,0)</f>
        <v>#N/A</v>
      </c>
      <c r="H1694" s="134"/>
      <c r="I1694" s="136"/>
      <c r="J1694" s="135"/>
      <c r="K1694" s="22"/>
    </row>
    <row r="1695" spans="1:11">
      <c r="A1695" s="241" t="e">
        <f>VLOOKUP(B1695,'lista 1'!$A$2:$E$30100,4,0)</f>
        <v>#N/A</v>
      </c>
      <c r="B1695" s="123"/>
      <c r="C1695" s="133" t="e">
        <f>VLOOKUP(B1695,'lista 1'!$A$2:$E$31000,5,0)</f>
        <v>#N/A</v>
      </c>
      <c r="D1695" s="167" t="e">
        <f>VLOOKUP(E13495,'lista obszary'!A:B,2,0)</f>
        <v>#N/A</v>
      </c>
      <c r="E1695" s="128" t="e">
        <f>VLOOKUP(B1695,'LISTA 12'!$A$2:$G$301400,5,0)</f>
        <v>#N/A</v>
      </c>
      <c r="F1695" s="121" t="e">
        <f>VLOOKUP(B1695,'LISTA 12'!$A$2:$G$30100,7,0)</f>
        <v>#N/A</v>
      </c>
      <c r="G1695" s="254" t="e">
        <f>VLOOKUP(H1695,'lista 3'!$A$1:$C$31467,3,0)</f>
        <v>#N/A</v>
      </c>
      <c r="H1695" s="134"/>
      <c r="I1695" s="136"/>
      <c r="J1695" s="135"/>
      <c r="K1695" s="22"/>
    </row>
    <row r="1696" spans="1:11">
      <c r="A1696" s="241" t="e">
        <f>VLOOKUP(B1696,'lista 1'!$A$2:$E$30100,4,0)</f>
        <v>#N/A</v>
      </c>
      <c r="B1696" s="123"/>
      <c r="C1696" s="133" t="e">
        <f>VLOOKUP(B1696,'lista 1'!$A$2:$E$31000,5,0)</f>
        <v>#N/A</v>
      </c>
      <c r="D1696" s="167" t="e">
        <f>VLOOKUP(E13496,'lista obszary'!A:B,2,0)</f>
        <v>#N/A</v>
      </c>
      <c r="E1696" s="128" t="e">
        <f>VLOOKUP(B1696,'LISTA 12'!$A$2:$G$301400,5,0)</f>
        <v>#N/A</v>
      </c>
      <c r="F1696" s="121" t="e">
        <f>VLOOKUP(B1696,'LISTA 12'!$A$2:$G$30100,7,0)</f>
        <v>#N/A</v>
      </c>
      <c r="G1696" s="254" t="e">
        <f>VLOOKUP(H1696,'lista 3'!$A$1:$C$31467,3,0)</f>
        <v>#N/A</v>
      </c>
      <c r="H1696" s="134"/>
      <c r="I1696" s="136"/>
      <c r="J1696" s="135"/>
      <c r="K1696" s="22"/>
    </row>
    <row r="1697" spans="1:11">
      <c r="A1697" s="241" t="e">
        <f>VLOOKUP(B1697,'lista 1'!$A$2:$E$30100,4,0)</f>
        <v>#N/A</v>
      </c>
      <c r="B1697" s="123"/>
      <c r="C1697" s="133" t="e">
        <f>VLOOKUP(B1697,'lista 1'!$A$2:$E$31000,5,0)</f>
        <v>#N/A</v>
      </c>
      <c r="D1697" s="167" t="e">
        <f>VLOOKUP(E13497,'lista obszary'!A:B,2,0)</f>
        <v>#N/A</v>
      </c>
      <c r="E1697" s="128" t="e">
        <f>VLOOKUP(B1697,'LISTA 12'!$A$2:$G$301400,5,0)</f>
        <v>#N/A</v>
      </c>
      <c r="F1697" s="121" t="e">
        <f>VLOOKUP(B1697,'LISTA 12'!$A$2:$G$30100,7,0)</f>
        <v>#N/A</v>
      </c>
      <c r="G1697" s="254" t="e">
        <f>VLOOKUP(H1697,'lista 3'!$A$1:$C$31467,3,0)</f>
        <v>#N/A</v>
      </c>
      <c r="H1697" s="134"/>
      <c r="I1697" s="136"/>
      <c r="J1697" s="135"/>
      <c r="K1697" s="22"/>
    </row>
    <row r="1698" spans="1:11">
      <c r="A1698" s="241" t="e">
        <f>VLOOKUP(B1698,'lista 1'!$A$2:$E$30100,4,0)</f>
        <v>#N/A</v>
      </c>
      <c r="B1698" s="123"/>
      <c r="C1698" s="133" t="e">
        <f>VLOOKUP(B1698,'lista 1'!$A$2:$E$31000,5,0)</f>
        <v>#N/A</v>
      </c>
      <c r="D1698" s="167" t="e">
        <f>VLOOKUP(E13498,'lista obszary'!A:B,2,0)</f>
        <v>#N/A</v>
      </c>
      <c r="E1698" s="128" t="e">
        <f>VLOOKUP(B1698,'LISTA 12'!$A$2:$G$301400,5,0)</f>
        <v>#N/A</v>
      </c>
      <c r="F1698" s="121" t="e">
        <f>VLOOKUP(B1698,'LISTA 12'!$A$2:$G$30100,7,0)</f>
        <v>#N/A</v>
      </c>
      <c r="G1698" s="254" t="e">
        <f>VLOOKUP(H1698,'lista 3'!$A$1:$C$31467,3,0)</f>
        <v>#N/A</v>
      </c>
      <c r="H1698" s="134"/>
      <c r="I1698" s="136"/>
      <c r="J1698" s="135"/>
      <c r="K1698" s="22"/>
    </row>
    <row r="1699" spans="1:11">
      <c r="A1699" s="241" t="e">
        <f>VLOOKUP(B1699,'lista 1'!$A$2:$E$30100,4,0)</f>
        <v>#N/A</v>
      </c>
      <c r="B1699" s="123"/>
      <c r="C1699" s="133" t="e">
        <f>VLOOKUP(B1699,'lista 1'!$A$2:$E$31000,5,0)</f>
        <v>#N/A</v>
      </c>
      <c r="D1699" s="167" t="e">
        <f>VLOOKUP(E13499,'lista obszary'!A:B,2,0)</f>
        <v>#N/A</v>
      </c>
      <c r="E1699" s="128" t="e">
        <f>VLOOKUP(B1699,'LISTA 12'!$A$2:$G$301400,5,0)</f>
        <v>#N/A</v>
      </c>
      <c r="F1699" s="121" t="e">
        <f>VLOOKUP(B1699,'LISTA 12'!$A$2:$G$30100,7,0)</f>
        <v>#N/A</v>
      </c>
      <c r="G1699" s="254" t="e">
        <f>VLOOKUP(H1699,'lista 3'!$A$1:$C$31467,3,0)</f>
        <v>#N/A</v>
      </c>
      <c r="H1699" s="134"/>
      <c r="I1699" s="136"/>
      <c r="J1699" s="135"/>
      <c r="K1699" s="22"/>
    </row>
    <row r="1700" spans="1:11">
      <c r="A1700" s="241" t="e">
        <f>VLOOKUP(B1700,'lista 1'!$A$2:$E$30100,4,0)</f>
        <v>#N/A</v>
      </c>
      <c r="B1700" s="123"/>
      <c r="C1700" s="133" t="e">
        <f>VLOOKUP(B1700,'lista 1'!$A$2:$E$31000,5,0)</f>
        <v>#N/A</v>
      </c>
      <c r="D1700" s="167" t="e">
        <f>VLOOKUP(E13500,'lista obszary'!A:B,2,0)</f>
        <v>#N/A</v>
      </c>
      <c r="E1700" s="128" t="e">
        <f>VLOOKUP(B1700,'LISTA 12'!$A$2:$G$301400,5,0)</f>
        <v>#N/A</v>
      </c>
      <c r="F1700" s="121" t="e">
        <f>VLOOKUP(B1700,'LISTA 12'!$A$2:$G$30100,7,0)</f>
        <v>#N/A</v>
      </c>
      <c r="G1700" s="254" t="e">
        <f>VLOOKUP(H1700,'lista 3'!$A$1:$C$31467,3,0)</f>
        <v>#N/A</v>
      </c>
      <c r="H1700" s="134"/>
      <c r="I1700" s="136"/>
      <c r="J1700" s="135"/>
      <c r="K1700" s="22"/>
    </row>
    <row r="1701" spans="1:11">
      <c r="A1701" s="241" t="e">
        <f>VLOOKUP(B1701,'lista 1'!$A$2:$E$30100,4,0)</f>
        <v>#N/A</v>
      </c>
      <c r="B1701" s="123"/>
      <c r="C1701" s="133" t="e">
        <f>VLOOKUP(B1701,'lista 1'!$A$2:$E$31000,5,0)</f>
        <v>#N/A</v>
      </c>
      <c r="D1701" s="167" t="e">
        <f>VLOOKUP(E13501,'lista obszary'!A:B,2,0)</f>
        <v>#N/A</v>
      </c>
      <c r="E1701" s="128" t="e">
        <f>VLOOKUP(B1701,'LISTA 12'!$A$2:$G$301400,5,0)</f>
        <v>#N/A</v>
      </c>
      <c r="F1701" s="121" t="e">
        <f>VLOOKUP(B1701,'LISTA 12'!$A$2:$G$30100,7,0)</f>
        <v>#N/A</v>
      </c>
      <c r="G1701" s="254" t="e">
        <f>VLOOKUP(H1701,'lista 3'!$A$1:$C$31467,3,0)</f>
        <v>#N/A</v>
      </c>
      <c r="H1701" s="134"/>
      <c r="I1701" s="136"/>
      <c r="J1701" s="135"/>
      <c r="K1701" s="22"/>
    </row>
    <row r="1702" spans="1:11">
      <c r="A1702" s="241" t="e">
        <f>VLOOKUP(B1702,'lista 1'!$A$2:$E$30100,4,0)</f>
        <v>#N/A</v>
      </c>
      <c r="B1702" s="123"/>
      <c r="C1702" s="133" t="e">
        <f>VLOOKUP(B1702,'lista 1'!$A$2:$E$31000,5,0)</f>
        <v>#N/A</v>
      </c>
      <c r="D1702" s="167" t="e">
        <f>VLOOKUP(E13502,'lista obszary'!A:B,2,0)</f>
        <v>#N/A</v>
      </c>
      <c r="E1702" s="128" t="e">
        <f>VLOOKUP(B1702,'LISTA 12'!$A$2:$G$301400,5,0)</f>
        <v>#N/A</v>
      </c>
      <c r="F1702" s="121" t="e">
        <f>VLOOKUP(B1702,'LISTA 12'!$A$2:$G$30100,7,0)</f>
        <v>#N/A</v>
      </c>
      <c r="G1702" s="254" t="e">
        <f>VLOOKUP(H1702,'lista 3'!$A$1:$C$31467,3,0)</f>
        <v>#N/A</v>
      </c>
      <c r="H1702" s="134"/>
      <c r="I1702" s="136"/>
      <c r="J1702" s="135"/>
      <c r="K1702" s="22"/>
    </row>
    <row r="1703" spans="1:11">
      <c r="A1703" s="241" t="e">
        <f>VLOOKUP(B1703,'lista 1'!$A$2:$E$30100,4,0)</f>
        <v>#N/A</v>
      </c>
      <c r="B1703" s="123"/>
      <c r="C1703" s="133" t="e">
        <f>VLOOKUP(B1703,'lista 1'!$A$2:$E$31000,5,0)</f>
        <v>#N/A</v>
      </c>
      <c r="D1703" s="167" t="e">
        <f>VLOOKUP(E13503,'lista obszary'!A:B,2,0)</f>
        <v>#N/A</v>
      </c>
      <c r="E1703" s="128" t="e">
        <f>VLOOKUP(B1703,'LISTA 12'!$A$2:$G$301400,5,0)</f>
        <v>#N/A</v>
      </c>
      <c r="F1703" s="121" t="e">
        <f>VLOOKUP(B1703,'LISTA 12'!$A$2:$G$30100,7,0)</f>
        <v>#N/A</v>
      </c>
      <c r="G1703" s="254" t="e">
        <f>VLOOKUP(H1703,'lista 3'!$A$1:$C$31467,3,0)</f>
        <v>#N/A</v>
      </c>
      <c r="H1703" s="134"/>
      <c r="I1703" s="136"/>
      <c r="J1703" s="135"/>
      <c r="K1703" s="22"/>
    </row>
    <row r="1704" spans="1:11">
      <c r="A1704" s="241" t="e">
        <f>VLOOKUP(B1704,'lista 1'!$A$2:$E$30100,4,0)</f>
        <v>#N/A</v>
      </c>
      <c r="B1704" s="123"/>
      <c r="C1704" s="133" t="e">
        <f>VLOOKUP(B1704,'lista 1'!$A$2:$E$31000,5,0)</f>
        <v>#N/A</v>
      </c>
      <c r="D1704" s="167" t="e">
        <f>VLOOKUP(E13504,'lista obszary'!A:B,2,0)</f>
        <v>#N/A</v>
      </c>
      <c r="E1704" s="128" t="e">
        <f>VLOOKUP(B1704,'LISTA 12'!$A$2:$G$301400,5,0)</f>
        <v>#N/A</v>
      </c>
      <c r="F1704" s="121" t="e">
        <f>VLOOKUP(B1704,'LISTA 12'!$A$2:$G$30100,7,0)</f>
        <v>#N/A</v>
      </c>
      <c r="G1704" s="254" t="e">
        <f>VLOOKUP(H1704,'lista 3'!$A$1:$C$31467,3,0)</f>
        <v>#N/A</v>
      </c>
      <c r="H1704" s="134"/>
      <c r="I1704" s="136"/>
      <c r="J1704" s="135"/>
      <c r="K1704" s="22"/>
    </row>
    <row r="1705" spans="1:11">
      <c r="A1705" s="241" t="e">
        <f>VLOOKUP(B1705,'lista 1'!$A$2:$E$30100,4,0)</f>
        <v>#N/A</v>
      </c>
      <c r="B1705" s="123"/>
      <c r="C1705" s="133" t="e">
        <f>VLOOKUP(B1705,'lista 1'!$A$2:$E$31000,5,0)</f>
        <v>#N/A</v>
      </c>
      <c r="D1705" s="167" t="e">
        <f>VLOOKUP(E13505,'lista obszary'!A:B,2,0)</f>
        <v>#N/A</v>
      </c>
      <c r="E1705" s="128" t="e">
        <f>VLOOKUP(B1705,'LISTA 12'!$A$2:$G$301400,5,0)</f>
        <v>#N/A</v>
      </c>
      <c r="F1705" s="121" t="e">
        <f>VLOOKUP(B1705,'LISTA 12'!$A$2:$G$30100,7,0)</f>
        <v>#N/A</v>
      </c>
      <c r="G1705" s="254" t="e">
        <f>VLOOKUP(H1705,'lista 3'!$A$1:$C$31467,3,0)</f>
        <v>#N/A</v>
      </c>
      <c r="H1705" s="134"/>
      <c r="I1705" s="136"/>
      <c r="J1705" s="135"/>
      <c r="K1705" s="22"/>
    </row>
    <row r="1706" spans="1:11">
      <c r="A1706" s="241" t="e">
        <f>VLOOKUP(B1706,'lista 1'!$A$2:$E$30100,4,0)</f>
        <v>#N/A</v>
      </c>
      <c r="B1706" s="123"/>
      <c r="C1706" s="133" t="e">
        <f>VLOOKUP(B1706,'lista 1'!$A$2:$E$31000,5,0)</f>
        <v>#N/A</v>
      </c>
      <c r="D1706" s="167" t="e">
        <f>VLOOKUP(E13506,'lista obszary'!A:B,2,0)</f>
        <v>#N/A</v>
      </c>
      <c r="E1706" s="128" t="e">
        <f>VLOOKUP(B1706,'LISTA 12'!$A$2:$G$301400,5,0)</f>
        <v>#N/A</v>
      </c>
      <c r="F1706" s="121" t="e">
        <f>VLOOKUP(B1706,'LISTA 12'!$A$2:$G$30100,7,0)</f>
        <v>#N/A</v>
      </c>
      <c r="G1706" s="254" t="e">
        <f>VLOOKUP(H1706,'lista 3'!$A$1:$C$31467,3,0)</f>
        <v>#N/A</v>
      </c>
      <c r="H1706" s="134"/>
      <c r="I1706" s="136"/>
      <c r="J1706" s="135"/>
      <c r="K1706" s="22"/>
    </row>
    <row r="1707" spans="1:11">
      <c r="A1707" s="241" t="e">
        <f>VLOOKUP(B1707,'lista 1'!$A$2:$E$30100,4,0)</f>
        <v>#N/A</v>
      </c>
      <c r="B1707" s="123"/>
      <c r="C1707" s="133" t="e">
        <f>VLOOKUP(B1707,'lista 1'!$A$2:$E$31000,5,0)</f>
        <v>#N/A</v>
      </c>
      <c r="D1707" s="167" t="e">
        <f>VLOOKUP(E13507,'lista obszary'!A:B,2,0)</f>
        <v>#N/A</v>
      </c>
      <c r="E1707" s="128" t="e">
        <f>VLOOKUP(B1707,'LISTA 12'!$A$2:$G$301400,5,0)</f>
        <v>#N/A</v>
      </c>
      <c r="F1707" s="121" t="e">
        <f>VLOOKUP(B1707,'LISTA 12'!$A$2:$G$30100,7,0)</f>
        <v>#N/A</v>
      </c>
      <c r="G1707" s="254" t="e">
        <f>VLOOKUP(H1707,'lista 3'!$A$1:$C$31467,3,0)</f>
        <v>#N/A</v>
      </c>
      <c r="H1707" s="134"/>
      <c r="I1707" s="136"/>
      <c r="J1707" s="135"/>
      <c r="K1707" s="22"/>
    </row>
    <row r="1708" spans="1:11">
      <c r="A1708" s="241" t="e">
        <f>VLOOKUP(B1708,'lista 1'!$A$2:$E$30100,4,0)</f>
        <v>#N/A</v>
      </c>
      <c r="B1708" s="123"/>
      <c r="C1708" s="133" t="e">
        <f>VLOOKUP(B1708,'lista 1'!$A$2:$E$31000,5,0)</f>
        <v>#N/A</v>
      </c>
      <c r="D1708" s="167" t="e">
        <f>VLOOKUP(E13508,'lista obszary'!A:B,2,0)</f>
        <v>#N/A</v>
      </c>
      <c r="E1708" s="128" t="e">
        <f>VLOOKUP(B1708,'LISTA 12'!$A$2:$G$301400,5,0)</f>
        <v>#N/A</v>
      </c>
      <c r="F1708" s="121" t="e">
        <f>VLOOKUP(B1708,'LISTA 12'!$A$2:$G$30100,7,0)</f>
        <v>#N/A</v>
      </c>
      <c r="G1708" s="254" t="e">
        <f>VLOOKUP(H1708,'lista 3'!$A$1:$C$31467,3,0)</f>
        <v>#N/A</v>
      </c>
      <c r="H1708" s="134"/>
      <c r="I1708" s="136"/>
      <c r="J1708" s="135"/>
      <c r="K1708" s="22"/>
    </row>
    <row r="1709" spans="1:11">
      <c r="A1709" s="241" t="e">
        <f>VLOOKUP(B1709,'lista 1'!$A$2:$E$30100,4,0)</f>
        <v>#N/A</v>
      </c>
      <c r="B1709" s="123"/>
      <c r="C1709" s="133" t="e">
        <f>VLOOKUP(B1709,'lista 1'!$A$2:$E$31000,5,0)</f>
        <v>#N/A</v>
      </c>
      <c r="D1709" s="167" t="e">
        <f>VLOOKUP(E13509,'lista obszary'!A:B,2,0)</f>
        <v>#N/A</v>
      </c>
      <c r="E1709" s="128" t="e">
        <f>VLOOKUP(B1709,'LISTA 12'!$A$2:$G$301400,5,0)</f>
        <v>#N/A</v>
      </c>
      <c r="F1709" s="121" t="e">
        <f>VLOOKUP(B1709,'LISTA 12'!$A$2:$G$30100,7,0)</f>
        <v>#N/A</v>
      </c>
      <c r="G1709" s="254" t="e">
        <f>VLOOKUP(H1709,'lista 3'!$A$1:$C$31467,3,0)</f>
        <v>#N/A</v>
      </c>
      <c r="H1709" s="134"/>
      <c r="I1709" s="136"/>
      <c r="J1709" s="135"/>
      <c r="K1709" s="22"/>
    </row>
    <row r="1710" spans="1:11">
      <c r="A1710" s="241" t="e">
        <f>VLOOKUP(B1710,'lista 1'!$A$2:$E$30100,4,0)</f>
        <v>#N/A</v>
      </c>
      <c r="B1710" s="123"/>
      <c r="C1710" s="133" t="e">
        <f>VLOOKUP(B1710,'lista 1'!$A$2:$E$31000,5,0)</f>
        <v>#N/A</v>
      </c>
      <c r="D1710" s="167" t="e">
        <f>VLOOKUP(E13510,'lista obszary'!A:B,2,0)</f>
        <v>#N/A</v>
      </c>
      <c r="E1710" s="128" t="e">
        <f>VLOOKUP(B1710,'LISTA 12'!$A$2:$G$301400,5,0)</f>
        <v>#N/A</v>
      </c>
      <c r="F1710" s="121" t="e">
        <f>VLOOKUP(B1710,'LISTA 12'!$A$2:$G$30100,7,0)</f>
        <v>#N/A</v>
      </c>
      <c r="G1710" s="254" t="e">
        <f>VLOOKUP(H1710,'lista 3'!$A$1:$C$31467,3,0)</f>
        <v>#N/A</v>
      </c>
      <c r="H1710" s="134"/>
      <c r="I1710" s="136"/>
      <c r="J1710" s="135"/>
      <c r="K1710" s="22"/>
    </row>
    <row r="1711" spans="1:11">
      <c r="A1711" s="241" t="e">
        <f>VLOOKUP(B1711,'lista 1'!$A$2:$E$30100,4,0)</f>
        <v>#N/A</v>
      </c>
      <c r="B1711" s="123"/>
      <c r="C1711" s="133" t="e">
        <f>VLOOKUP(B1711,'lista 1'!$A$2:$E$31000,5,0)</f>
        <v>#N/A</v>
      </c>
      <c r="D1711" s="167" t="e">
        <f>VLOOKUP(E13511,'lista obszary'!A:B,2,0)</f>
        <v>#N/A</v>
      </c>
      <c r="E1711" s="128" t="e">
        <f>VLOOKUP(B1711,'LISTA 12'!$A$2:$G$301400,5,0)</f>
        <v>#N/A</v>
      </c>
      <c r="F1711" s="121" t="e">
        <f>VLOOKUP(B1711,'LISTA 12'!$A$2:$G$30100,7,0)</f>
        <v>#N/A</v>
      </c>
      <c r="G1711" s="254" t="e">
        <f>VLOOKUP(H1711,'lista 3'!$A$1:$C$31467,3,0)</f>
        <v>#N/A</v>
      </c>
      <c r="H1711" s="134"/>
      <c r="I1711" s="136"/>
      <c r="J1711" s="135"/>
      <c r="K1711" s="22"/>
    </row>
    <row r="1712" spans="1:11">
      <c r="A1712" s="241" t="e">
        <f>VLOOKUP(B1712,'lista 1'!$A$2:$E$30100,4,0)</f>
        <v>#N/A</v>
      </c>
      <c r="B1712" s="123"/>
      <c r="C1712" s="133" t="e">
        <f>VLOOKUP(B1712,'lista 1'!$A$2:$E$31000,5,0)</f>
        <v>#N/A</v>
      </c>
      <c r="D1712" s="167" t="e">
        <f>VLOOKUP(E13512,'lista obszary'!A:B,2,0)</f>
        <v>#N/A</v>
      </c>
      <c r="E1712" s="128" t="e">
        <f>VLOOKUP(B1712,'LISTA 12'!$A$2:$G$301400,5,0)</f>
        <v>#N/A</v>
      </c>
      <c r="F1712" s="121" t="e">
        <f>VLOOKUP(B1712,'LISTA 12'!$A$2:$G$30100,7,0)</f>
        <v>#N/A</v>
      </c>
      <c r="G1712" s="254" t="e">
        <f>VLOOKUP(H1712,'lista 3'!$A$1:$C$31467,3,0)</f>
        <v>#N/A</v>
      </c>
      <c r="H1712" s="134"/>
      <c r="I1712" s="136"/>
      <c r="J1712" s="135"/>
      <c r="K1712" s="22"/>
    </row>
    <row r="1713" spans="1:11">
      <c r="A1713" s="241" t="e">
        <f>VLOOKUP(B1713,'lista 1'!$A$2:$E$30100,4,0)</f>
        <v>#N/A</v>
      </c>
      <c r="B1713" s="123"/>
      <c r="C1713" s="133" t="e">
        <f>VLOOKUP(B1713,'lista 1'!$A$2:$E$31000,5,0)</f>
        <v>#N/A</v>
      </c>
      <c r="D1713" s="167" t="e">
        <f>VLOOKUP(E13513,'lista obszary'!A:B,2,0)</f>
        <v>#N/A</v>
      </c>
      <c r="E1713" s="128" t="e">
        <f>VLOOKUP(B1713,'LISTA 12'!$A$2:$G$301400,5,0)</f>
        <v>#N/A</v>
      </c>
      <c r="F1713" s="121" t="e">
        <f>VLOOKUP(B1713,'LISTA 12'!$A$2:$G$30100,7,0)</f>
        <v>#N/A</v>
      </c>
      <c r="G1713" s="254" t="e">
        <f>VLOOKUP(H1713,'lista 3'!$A$1:$C$31467,3,0)</f>
        <v>#N/A</v>
      </c>
      <c r="H1713" s="134"/>
      <c r="I1713" s="136"/>
      <c r="J1713" s="135"/>
      <c r="K1713" s="22"/>
    </row>
    <row r="1714" spans="1:11">
      <c r="A1714" s="241" t="e">
        <f>VLOOKUP(B1714,'lista 1'!$A$2:$E$30100,4,0)</f>
        <v>#N/A</v>
      </c>
      <c r="B1714" s="123"/>
      <c r="C1714" s="133" t="e">
        <f>VLOOKUP(B1714,'lista 1'!$A$2:$E$31000,5,0)</f>
        <v>#N/A</v>
      </c>
      <c r="D1714" s="167" t="e">
        <f>VLOOKUP(E13514,'lista obszary'!A:B,2,0)</f>
        <v>#N/A</v>
      </c>
      <c r="E1714" s="128" t="e">
        <f>VLOOKUP(B1714,'LISTA 12'!$A$2:$G$301400,5,0)</f>
        <v>#N/A</v>
      </c>
      <c r="F1714" s="121" t="e">
        <f>VLOOKUP(B1714,'LISTA 12'!$A$2:$G$30100,7,0)</f>
        <v>#N/A</v>
      </c>
      <c r="G1714" s="254" t="e">
        <f>VLOOKUP(H1714,'lista 3'!$A$1:$C$31467,3,0)</f>
        <v>#N/A</v>
      </c>
      <c r="H1714" s="134"/>
      <c r="I1714" s="136"/>
      <c r="J1714" s="135"/>
      <c r="K1714" s="22"/>
    </row>
    <row r="1715" spans="1:11">
      <c r="A1715" s="241" t="e">
        <f>VLOOKUP(B1715,'lista 1'!$A$2:$E$30100,4,0)</f>
        <v>#N/A</v>
      </c>
      <c r="B1715" s="123"/>
      <c r="C1715" s="133" t="e">
        <f>VLOOKUP(B1715,'lista 1'!$A$2:$E$31000,5,0)</f>
        <v>#N/A</v>
      </c>
      <c r="D1715" s="167" t="e">
        <f>VLOOKUP(E13515,'lista obszary'!A:B,2,0)</f>
        <v>#N/A</v>
      </c>
      <c r="E1715" s="128" t="e">
        <f>VLOOKUP(B1715,'LISTA 12'!$A$2:$G$301400,5,0)</f>
        <v>#N/A</v>
      </c>
      <c r="F1715" s="121" t="e">
        <f>VLOOKUP(B1715,'LISTA 12'!$A$2:$G$30100,7,0)</f>
        <v>#N/A</v>
      </c>
      <c r="G1715" s="254" t="e">
        <f>VLOOKUP(H1715,'lista 3'!$A$1:$C$31467,3,0)</f>
        <v>#N/A</v>
      </c>
      <c r="H1715" s="134"/>
      <c r="I1715" s="136"/>
      <c r="J1715" s="135"/>
      <c r="K1715" s="22"/>
    </row>
    <row r="1716" spans="1:11">
      <c r="A1716" s="241" t="e">
        <f>VLOOKUP(B1716,'lista 1'!$A$2:$E$30100,4,0)</f>
        <v>#N/A</v>
      </c>
      <c r="B1716" s="123"/>
      <c r="C1716" s="133" t="e">
        <f>VLOOKUP(B1716,'lista 1'!$A$2:$E$31000,5,0)</f>
        <v>#N/A</v>
      </c>
      <c r="D1716" s="167" t="e">
        <f>VLOOKUP(E13516,'lista obszary'!A:B,2,0)</f>
        <v>#N/A</v>
      </c>
      <c r="E1716" s="128" t="e">
        <f>VLOOKUP(B1716,'LISTA 12'!$A$2:$G$301400,5,0)</f>
        <v>#N/A</v>
      </c>
      <c r="F1716" s="121" t="e">
        <f>VLOOKUP(B1716,'LISTA 12'!$A$2:$G$30100,7,0)</f>
        <v>#N/A</v>
      </c>
      <c r="G1716" s="254" t="e">
        <f>VLOOKUP(H1716,'lista 3'!$A$1:$C$31467,3,0)</f>
        <v>#N/A</v>
      </c>
      <c r="H1716" s="134"/>
      <c r="I1716" s="136"/>
      <c r="J1716" s="135"/>
      <c r="K1716" s="22"/>
    </row>
    <row r="1717" spans="1:11">
      <c r="A1717" s="241" t="e">
        <f>VLOOKUP(B1717,'lista 1'!$A$2:$E$30100,4,0)</f>
        <v>#N/A</v>
      </c>
      <c r="B1717" s="123"/>
      <c r="C1717" s="133" t="e">
        <f>VLOOKUP(B1717,'lista 1'!$A$2:$E$31000,5,0)</f>
        <v>#N/A</v>
      </c>
      <c r="D1717" s="167" t="e">
        <f>VLOOKUP(E13517,'lista obszary'!A:B,2,0)</f>
        <v>#N/A</v>
      </c>
      <c r="E1717" s="128" t="e">
        <f>VLOOKUP(B1717,'LISTA 12'!$A$2:$G$301400,5,0)</f>
        <v>#N/A</v>
      </c>
      <c r="F1717" s="121" t="e">
        <f>VLOOKUP(B1717,'LISTA 12'!$A$2:$G$30100,7,0)</f>
        <v>#N/A</v>
      </c>
      <c r="G1717" s="254" t="e">
        <f>VLOOKUP(H1717,'lista 3'!$A$1:$C$31467,3,0)</f>
        <v>#N/A</v>
      </c>
      <c r="H1717" s="134"/>
      <c r="I1717" s="136"/>
      <c r="J1717" s="135"/>
      <c r="K1717" s="22"/>
    </row>
    <row r="1718" spans="1:11">
      <c r="A1718" s="241" t="e">
        <f>VLOOKUP(B1718,'lista 1'!$A$2:$E$30100,4,0)</f>
        <v>#N/A</v>
      </c>
      <c r="B1718" s="123"/>
      <c r="C1718" s="133" t="e">
        <f>VLOOKUP(B1718,'lista 1'!$A$2:$E$31000,5,0)</f>
        <v>#N/A</v>
      </c>
      <c r="D1718" s="167" t="e">
        <f>VLOOKUP(E13518,'lista obszary'!A:B,2,0)</f>
        <v>#N/A</v>
      </c>
      <c r="E1718" s="128" t="e">
        <f>VLOOKUP(B1718,'LISTA 12'!$A$2:$G$301400,5,0)</f>
        <v>#N/A</v>
      </c>
      <c r="F1718" s="121" t="e">
        <f>VLOOKUP(B1718,'LISTA 12'!$A$2:$G$30100,7,0)</f>
        <v>#N/A</v>
      </c>
      <c r="G1718" s="254" t="e">
        <f>VLOOKUP(H1718,'lista 3'!$A$1:$C$31467,3,0)</f>
        <v>#N/A</v>
      </c>
      <c r="H1718" s="134"/>
      <c r="I1718" s="136"/>
      <c r="J1718" s="135"/>
      <c r="K1718" s="22"/>
    </row>
    <row r="1719" spans="1:11">
      <c r="A1719" s="241" t="e">
        <f>VLOOKUP(B1719,'lista 1'!$A$2:$E$30100,4,0)</f>
        <v>#N/A</v>
      </c>
      <c r="B1719" s="123"/>
      <c r="C1719" s="133" t="e">
        <f>VLOOKUP(B1719,'lista 1'!$A$2:$E$31000,5,0)</f>
        <v>#N/A</v>
      </c>
      <c r="D1719" s="167" t="e">
        <f>VLOOKUP(E13519,'lista obszary'!A:B,2,0)</f>
        <v>#N/A</v>
      </c>
      <c r="E1719" s="128" t="e">
        <f>VLOOKUP(B1719,'LISTA 12'!$A$2:$G$301400,5,0)</f>
        <v>#N/A</v>
      </c>
      <c r="F1719" s="121" t="e">
        <f>VLOOKUP(B1719,'LISTA 12'!$A$2:$G$30100,7,0)</f>
        <v>#N/A</v>
      </c>
      <c r="G1719" s="254" t="e">
        <f>VLOOKUP(H1719,'lista 3'!$A$1:$C$31467,3,0)</f>
        <v>#N/A</v>
      </c>
      <c r="H1719" s="134"/>
      <c r="I1719" s="136"/>
      <c r="J1719" s="135"/>
      <c r="K1719" s="22"/>
    </row>
    <row r="1720" spans="1:11">
      <c r="A1720" s="241" t="e">
        <f>VLOOKUP(B1720,'lista 1'!$A$2:$E$30100,4,0)</f>
        <v>#N/A</v>
      </c>
      <c r="B1720" s="123"/>
      <c r="C1720" s="133" t="e">
        <f>VLOOKUP(B1720,'lista 1'!$A$2:$E$31000,5,0)</f>
        <v>#N/A</v>
      </c>
      <c r="D1720" s="167" t="e">
        <f>VLOOKUP(E13520,'lista obszary'!A:B,2,0)</f>
        <v>#N/A</v>
      </c>
      <c r="E1720" s="128" t="e">
        <f>VLOOKUP(B1720,'LISTA 12'!$A$2:$G$301400,5,0)</f>
        <v>#N/A</v>
      </c>
      <c r="F1720" s="121" t="e">
        <f>VLOOKUP(B1720,'LISTA 12'!$A$2:$G$30100,7,0)</f>
        <v>#N/A</v>
      </c>
      <c r="G1720" s="254" t="e">
        <f>VLOOKUP(H1720,'lista 3'!$A$1:$C$31467,3,0)</f>
        <v>#N/A</v>
      </c>
      <c r="H1720" s="134"/>
      <c r="I1720" s="136"/>
      <c r="J1720" s="135"/>
      <c r="K1720" s="22"/>
    </row>
    <row r="1721" spans="1:11">
      <c r="A1721" s="241" t="e">
        <f>VLOOKUP(B1721,'lista 1'!$A$2:$E$30100,4,0)</f>
        <v>#N/A</v>
      </c>
      <c r="B1721" s="123"/>
      <c r="C1721" s="133" t="e">
        <f>VLOOKUP(B1721,'lista 1'!$A$2:$E$31000,5,0)</f>
        <v>#N/A</v>
      </c>
      <c r="D1721" s="167" t="e">
        <f>VLOOKUP(E13521,'lista obszary'!A:B,2,0)</f>
        <v>#N/A</v>
      </c>
      <c r="E1721" s="128" t="e">
        <f>VLOOKUP(B1721,'LISTA 12'!$A$2:$G$301400,5,0)</f>
        <v>#N/A</v>
      </c>
      <c r="F1721" s="121" t="e">
        <f>VLOOKUP(B1721,'LISTA 12'!$A$2:$G$30100,7,0)</f>
        <v>#N/A</v>
      </c>
      <c r="G1721" s="254" t="e">
        <f>VLOOKUP(H1721,'lista 3'!$A$1:$C$31467,3,0)</f>
        <v>#N/A</v>
      </c>
      <c r="H1721" s="134"/>
      <c r="I1721" s="136"/>
      <c r="J1721" s="135"/>
      <c r="K1721" s="22"/>
    </row>
    <row r="1722" spans="1:11">
      <c r="A1722" s="241" t="e">
        <f>VLOOKUP(B1722,'lista 1'!$A$2:$E$30100,4,0)</f>
        <v>#N/A</v>
      </c>
      <c r="B1722" s="123"/>
      <c r="C1722" s="133" t="e">
        <f>VLOOKUP(B1722,'lista 1'!$A$2:$E$31000,5,0)</f>
        <v>#N/A</v>
      </c>
      <c r="D1722" s="167" t="e">
        <f>VLOOKUP(E13522,'lista obszary'!A:B,2,0)</f>
        <v>#N/A</v>
      </c>
      <c r="E1722" s="128" t="e">
        <f>VLOOKUP(B1722,'LISTA 12'!$A$2:$G$301400,5,0)</f>
        <v>#N/A</v>
      </c>
      <c r="F1722" s="121" t="e">
        <f>VLOOKUP(B1722,'LISTA 12'!$A$2:$G$30100,7,0)</f>
        <v>#N/A</v>
      </c>
      <c r="G1722" s="254" t="e">
        <f>VLOOKUP(H1722,'lista 3'!$A$1:$C$31467,3,0)</f>
        <v>#N/A</v>
      </c>
      <c r="H1722" s="134"/>
      <c r="I1722" s="136"/>
      <c r="J1722" s="135"/>
      <c r="K1722" s="22"/>
    </row>
    <row r="1723" spans="1:11">
      <c r="A1723" s="241" t="e">
        <f>VLOOKUP(B1723,'lista 1'!$A$2:$E$30100,4,0)</f>
        <v>#N/A</v>
      </c>
      <c r="B1723" s="123"/>
      <c r="C1723" s="133" t="e">
        <f>VLOOKUP(B1723,'lista 1'!$A$2:$E$31000,5,0)</f>
        <v>#N/A</v>
      </c>
      <c r="D1723" s="167" t="e">
        <f>VLOOKUP(E13523,'lista obszary'!A:B,2,0)</f>
        <v>#N/A</v>
      </c>
      <c r="E1723" s="128" t="e">
        <f>VLOOKUP(B1723,'LISTA 12'!$A$2:$G$301400,5,0)</f>
        <v>#N/A</v>
      </c>
      <c r="F1723" s="121" t="e">
        <f>VLOOKUP(B1723,'LISTA 12'!$A$2:$G$30100,7,0)</f>
        <v>#N/A</v>
      </c>
      <c r="G1723" s="254" t="e">
        <f>VLOOKUP(H1723,'lista 3'!$A$1:$C$31467,3,0)</f>
        <v>#N/A</v>
      </c>
      <c r="H1723" s="134"/>
      <c r="I1723" s="136"/>
      <c r="J1723" s="135"/>
      <c r="K1723" s="22"/>
    </row>
    <row r="1724" spans="1:11">
      <c r="A1724" s="241" t="e">
        <f>VLOOKUP(B1724,'lista 1'!$A$2:$E$30100,4,0)</f>
        <v>#N/A</v>
      </c>
      <c r="B1724" s="123"/>
      <c r="C1724" s="133" t="e">
        <f>VLOOKUP(B1724,'lista 1'!$A$2:$E$31000,5,0)</f>
        <v>#N/A</v>
      </c>
      <c r="D1724" s="167" t="e">
        <f>VLOOKUP(E13524,'lista obszary'!A:B,2,0)</f>
        <v>#N/A</v>
      </c>
      <c r="E1724" s="128" t="e">
        <f>VLOOKUP(B1724,'LISTA 12'!$A$2:$G$301400,5,0)</f>
        <v>#N/A</v>
      </c>
      <c r="F1724" s="121" t="e">
        <f>VLOOKUP(B1724,'LISTA 12'!$A$2:$G$30100,7,0)</f>
        <v>#N/A</v>
      </c>
      <c r="G1724" s="254" t="e">
        <f>VLOOKUP(H1724,'lista 3'!$A$1:$C$31467,3,0)</f>
        <v>#N/A</v>
      </c>
      <c r="H1724" s="134"/>
      <c r="I1724" s="136"/>
      <c r="J1724" s="135"/>
      <c r="K1724" s="22"/>
    </row>
    <row r="1725" spans="1:11">
      <c r="A1725" s="241" t="e">
        <f>VLOOKUP(B1725,'lista 1'!$A$2:$E$30100,4,0)</f>
        <v>#N/A</v>
      </c>
      <c r="B1725" s="123"/>
      <c r="C1725" s="133" t="e">
        <f>VLOOKUP(B1725,'lista 1'!$A$2:$E$31000,5,0)</f>
        <v>#N/A</v>
      </c>
      <c r="D1725" s="167" t="e">
        <f>VLOOKUP(E13525,'lista obszary'!A:B,2,0)</f>
        <v>#N/A</v>
      </c>
      <c r="E1725" s="128" t="e">
        <f>VLOOKUP(B1725,'LISTA 12'!$A$2:$G$301400,5,0)</f>
        <v>#N/A</v>
      </c>
      <c r="F1725" s="121" t="e">
        <f>VLOOKUP(B1725,'LISTA 12'!$A$2:$G$30100,7,0)</f>
        <v>#N/A</v>
      </c>
      <c r="G1725" s="254" t="e">
        <f>VLOOKUP(H1725,'lista 3'!$A$1:$C$31467,3,0)</f>
        <v>#N/A</v>
      </c>
      <c r="H1725" s="134"/>
      <c r="I1725" s="136"/>
      <c r="J1725" s="135"/>
      <c r="K1725" s="22"/>
    </row>
    <row r="1726" spans="1:11">
      <c r="A1726" s="241" t="e">
        <f>VLOOKUP(B1726,'lista 1'!$A$2:$E$30100,4,0)</f>
        <v>#N/A</v>
      </c>
      <c r="B1726" s="123"/>
      <c r="C1726" s="133" t="e">
        <f>VLOOKUP(B1726,'lista 1'!$A$2:$E$31000,5,0)</f>
        <v>#N/A</v>
      </c>
      <c r="D1726" s="167" t="e">
        <f>VLOOKUP(E13526,'lista obszary'!A:B,2,0)</f>
        <v>#N/A</v>
      </c>
      <c r="E1726" s="128" t="e">
        <f>VLOOKUP(B1726,'LISTA 12'!$A$2:$G$301400,5,0)</f>
        <v>#N/A</v>
      </c>
      <c r="F1726" s="121" t="e">
        <f>VLOOKUP(B1726,'LISTA 12'!$A$2:$G$30100,7,0)</f>
        <v>#N/A</v>
      </c>
      <c r="G1726" s="254" t="e">
        <f>VLOOKUP(H1726,'lista 3'!$A$1:$C$31467,3,0)</f>
        <v>#N/A</v>
      </c>
      <c r="H1726" s="134"/>
      <c r="I1726" s="136"/>
      <c r="J1726" s="135"/>
      <c r="K1726" s="22"/>
    </row>
    <row r="1727" spans="1:11">
      <c r="A1727" s="241" t="e">
        <f>VLOOKUP(B1727,'lista 1'!$A$2:$E$30100,4,0)</f>
        <v>#N/A</v>
      </c>
      <c r="B1727" s="123"/>
      <c r="C1727" s="133" t="e">
        <f>VLOOKUP(B1727,'lista 1'!$A$2:$E$31000,5,0)</f>
        <v>#N/A</v>
      </c>
      <c r="D1727" s="167" t="e">
        <f>VLOOKUP(E13527,'lista obszary'!A:B,2,0)</f>
        <v>#N/A</v>
      </c>
      <c r="E1727" s="128" t="e">
        <f>VLOOKUP(B1727,'LISTA 12'!$A$2:$G$301400,5,0)</f>
        <v>#N/A</v>
      </c>
      <c r="F1727" s="121" t="e">
        <f>VLOOKUP(B1727,'LISTA 12'!$A$2:$G$30100,7,0)</f>
        <v>#N/A</v>
      </c>
      <c r="G1727" s="254" t="e">
        <f>VLOOKUP(H1727,'lista 3'!$A$1:$C$31467,3,0)</f>
        <v>#N/A</v>
      </c>
      <c r="H1727" s="134"/>
      <c r="I1727" s="136"/>
      <c r="J1727" s="135"/>
      <c r="K1727" s="22"/>
    </row>
    <row r="1728" spans="1:11">
      <c r="A1728" s="241" t="e">
        <f>VLOOKUP(B1728,'lista 1'!$A$2:$E$30100,4,0)</f>
        <v>#N/A</v>
      </c>
      <c r="B1728" s="123"/>
      <c r="C1728" s="133" t="e">
        <f>VLOOKUP(B1728,'lista 1'!$A$2:$E$31000,5,0)</f>
        <v>#N/A</v>
      </c>
      <c r="D1728" s="167" t="e">
        <f>VLOOKUP(E13528,'lista obszary'!A:B,2,0)</f>
        <v>#N/A</v>
      </c>
      <c r="E1728" s="128" t="e">
        <f>VLOOKUP(B1728,'LISTA 12'!$A$2:$G$301400,5,0)</f>
        <v>#N/A</v>
      </c>
      <c r="F1728" s="121" t="e">
        <f>VLOOKUP(B1728,'LISTA 12'!$A$2:$G$30100,7,0)</f>
        <v>#N/A</v>
      </c>
      <c r="G1728" s="254" t="e">
        <f>VLOOKUP(H1728,'lista 3'!$A$1:$C$31467,3,0)</f>
        <v>#N/A</v>
      </c>
      <c r="H1728" s="134"/>
      <c r="I1728" s="136"/>
      <c r="J1728" s="135"/>
      <c r="K1728" s="22"/>
    </row>
    <row r="1729" spans="1:11">
      <c r="A1729" s="241" t="e">
        <f>VLOOKUP(B1729,'lista 1'!$A$2:$E$30100,4,0)</f>
        <v>#N/A</v>
      </c>
      <c r="B1729" s="123"/>
      <c r="C1729" s="133" t="e">
        <f>VLOOKUP(B1729,'lista 1'!$A$2:$E$31000,5,0)</f>
        <v>#N/A</v>
      </c>
      <c r="D1729" s="167" t="e">
        <f>VLOOKUP(E13529,'lista obszary'!A:B,2,0)</f>
        <v>#N/A</v>
      </c>
      <c r="E1729" s="128" t="e">
        <f>VLOOKUP(B1729,'LISTA 12'!$A$2:$G$301400,5,0)</f>
        <v>#N/A</v>
      </c>
      <c r="F1729" s="121" t="e">
        <f>VLOOKUP(B1729,'LISTA 12'!$A$2:$G$30100,7,0)</f>
        <v>#N/A</v>
      </c>
      <c r="G1729" s="254" t="e">
        <f>VLOOKUP(H1729,'lista 3'!$A$1:$C$31467,3,0)</f>
        <v>#N/A</v>
      </c>
      <c r="H1729" s="134"/>
      <c r="I1729" s="136"/>
      <c r="J1729" s="135"/>
      <c r="K1729" s="22"/>
    </row>
    <row r="1730" spans="1:11">
      <c r="A1730" s="241" t="e">
        <f>VLOOKUP(B1730,'lista 1'!$A$2:$E$30100,4,0)</f>
        <v>#N/A</v>
      </c>
      <c r="B1730" s="123"/>
      <c r="C1730" s="133" t="e">
        <f>VLOOKUP(B1730,'lista 1'!$A$2:$E$31000,5,0)</f>
        <v>#N/A</v>
      </c>
      <c r="D1730" s="167" t="e">
        <f>VLOOKUP(E13530,'lista obszary'!A:B,2,0)</f>
        <v>#N/A</v>
      </c>
      <c r="E1730" s="128" t="e">
        <f>VLOOKUP(B1730,'LISTA 12'!$A$2:$G$301400,5,0)</f>
        <v>#N/A</v>
      </c>
      <c r="F1730" s="121" t="e">
        <f>VLOOKUP(B1730,'LISTA 12'!$A$2:$G$30100,7,0)</f>
        <v>#N/A</v>
      </c>
      <c r="G1730" s="254" t="e">
        <f>VLOOKUP(H1730,'lista 3'!$A$1:$C$31467,3,0)</f>
        <v>#N/A</v>
      </c>
      <c r="H1730" s="134"/>
      <c r="I1730" s="136"/>
      <c r="J1730" s="135"/>
      <c r="K1730" s="22"/>
    </row>
    <row r="1731" spans="1:11">
      <c r="A1731" s="241" t="e">
        <f>VLOOKUP(B1731,'lista 1'!$A$2:$E$30100,4,0)</f>
        <v>#N/A</v>
      </c>
      <c r="B1731" s="123"/>
      <c r="C1731" s="133" t="e">
        <f>VLOOKUP(B1731,'lista 1'!$A$2:$E$31000,5,0)</f>
        <v>#N/A</v>
      </c>
      <c r="D1731" s="167" t="e">
        <f>VLOOKUP(E13531,'lista obszary'!A:B,2,0)</f>
        <v>#N/A</v>
      </c>
      <c r="E1731" s="128" t="e">
        <f>VLOOKUP(B1731,'LISTA 12'!$A$2:$G$301400,5,0)</f>
        <v>#N/A</v>
      </c>
      <c r="F1731" s="121" t="e">
        <f>VLOOKUP(B1731,'LISTA 12'!$A$2:$G$30100,7,0)</f>
        <v>#N/A</v>
      </c>
      <c r="G1731" s="254" t="e">
        <f>VLOOKUP(H1731,'lista 3'!$A$1:$C$31467,3,0)</f>
        <v>#N/A</v>
      </c>
      <c r="H1731" s="134"/>
      <c r="I1731" s="136"/>
      <c r="J1731" s="135"/>
      <c r="K1731" s="22"/>
    </row>
    <row r="1732" spans="1:11">
      <c r="A1732" s="241" t="e">
        <f>VLOOKUP(B1732,'lista 1'!$A$2:$E$30100,4,0)</f>
        <v>#N/A</v>
      </c>
      <c r="B1732" s="123"/>
      <c r="C1732" s="133" t="e">
        <f>VLOOKUP(B1732,'lista 1'!$A$2:$E$31000,5,0)</f>
        <v>#N/A</v>
      </c>
      <c r="D1732" s="167" t="e">
        <f>VLOOKUP(E13532,'lista obszary'!A:B,2,0)</f>
        <v>#N/A</v>
      </c>
      <c r="E1732" s="128" t="e">
        <f>VLOOKUP(B1732,'LISTA 12'!$A$2:$G$301400,5,0)</f>
        <v>#N/A</v>
      </c>
      <c r="F1732" s="121" t="e">
        <f>VLOOKUP(B1732,'LISTA 12'!$A$2:$G$30100,7,0)</f>
        <v>#N/A</v>
      </c>
      <c r="G1732" s="254" t="e">
        <f>VLOOKUP(H1732,'lista 3'!$A$1:$C$31467,3,0)</f>
        <v>#N/A</v>
      </c>
      <c r="H1732" s="134"/>
      <c r="I1732" s="136"/>
      <c r="J1732" s="135"/>
      <c r="K1732" s="22"/>
    </row>
    <row r="1733" spans="1:11">
      <c r="A1733" s="241" t="e">
        <f>VLOOKUP(B1733,'lista 1'!$A$2:$E$30100,4,0)</f>
        <v>#N/A</v>
      </c>
      <c r="B1733" s="123"/>
      <c r="C1733" s="133" t="e">
        <f>VLOOKUP(B1733,'lista 1'!$A$2:$E$31000,5,0)</f>
        <v>#N/A</v>
      </c>
      <c r="D1733" s="167" t="e">
        <f>VLOOKUP(E13533,'lista obszary'!A:B,2,0)</f>
        <v>#N/A</v>
      </c>
      <c r="E1733" s="128" t="e">
        <f>VLOOKUP(B1733,'LISTA 12'!$A$2:$G$301400,5,0)</f>
        <v>#N/A</v>
      </c>
      <c r="F1733" s="121" t="e">
        <f>VLOOKUP(B1733,'LISTA 12'!$A$2:$G$30100,7,0)</f>
        <v>#N/A</v>
      </c>
      <c r="G1733" s="254" t="e">
        <f>VLOOKUP(H1733,'lista 3'!$A$1:$C$31467,3,0)</f>
        <v>#N/A</v>
      </c>
      <c r="H1733" s="134"/>
      <c r="I1733" s="136"/>
      <c r="J1733" s="135"/>
      <c r="K1733" s="22"/>
    </row>
    <row r="1734" spans="1:11">
      <c r="A1734" s="241" t="e">
        <f>VLOOKUP(B1734,'lista 1'!$A$2:$E$30100,4,0)</f>
        <v>#N/A</v>
      </c>
      <c r="B1734" s="123"/>
      <c r="C1734" s="133" t="e">
        <f>VLOOKUP(B1734,'lista 1'!$A$2:$E$31000,5,0)</f>
        <v>#N/A</v>
      </c>
      <c r="D1734" s="167" t="e">
        <f>VLOOKUP(E13534,'lista obszary'!A:B,2,0)</f>
        <v>#N/A</v>
      </c>
      <c r="E1734" s="128" t="e">
        <f>VLOOKUP(B1734,'LISTA 12'!$A$2:$G$301400,5,0)</f>
        <v>#N/A</v>
      </c>
      <c r="F1734" s="121" t="e">
        <f>VLOOKUP(B1734,'LISTA 12'!$A$2:$G$30100,7,0)</f>
        <v>#N/A</v>
      </c>
      <c r="G1734" s="254" t="e">
        <f>VLOOKUP(H1734,'lista 3'!$A$1:$C$31467,3,0)</f>
        <v>#N/A</v>
      </c>
      <c r="H1734" s="134"/>
      <c r="I1734" s="136"/>
      <c r="J1734" s="135"/>
      <c r="K1734" s="22"/>
    </row>
    <row r="1735" spans="1:11">
      <c r="A1735" s="241" t="e">
        <f>VLOOKUP(B1735,'lista 1'!$A$2:$E$30100,4,0)</f>
        <v>#N/A</v>
      </c>
      <c r="B1735" s="123"/>
      <c r="C1735" s="133" t="e">
        <f>VLOOKUP(B1735,'lista 1'!$A$2:$E$31000,5,0)</f>
        <v>#N/A</v>
      </c>
      <c r="D1735" s="167" t="e">
        <f>VLOOKUP(E13535,'lista obszary'!A:B,2,0)</f>
        <v>#N/A</v>
      </c>
      <c r="E1735" s="128" t="e">
        <f>VLOOKUP(B1735,'LISTA 12'!$A$2:$G$301400,5,0)</f>
        <v>#N/A</v>
      </c>
      <c r="F1735" s="121" t="e">
        <f>VLOOKUP(B1735,'LISTA 12'!$A$2:$G$30100,7,0)</f>
        <v>#N/A</v>
      </c>
      <c r="G1735" s="254" t="e">
        <f>VLOOKUP(H1735,'lista 3'!$A$1:$C$31467,3,0)</f>
        <v>#N/A</v>
      </c>
      <c r="H1735" s="134"/>
      <c r="I1735" s="136"/>
      <c r="J1735" s="135"/>
      <c r="K1735" s="22"/>
    </row>
    <row r="1736" spans="1:11">
      <c r="A1736" s="241" t="e">
        <f>VLOOKUP(B1736,'lista 1'!$A$2:$E$30100,4,0)</f>
        <v>#N/A</v>
      </c>
      <c r="B1736" s="123"/>
      <c r="C1736" s="133" t="e">
        <f>VLOOKUP(B1736,'lista 1'!$A$2:$E$31000,5,0)</f>
        <v>#N/A</v>
      </c>
      <c r="D1736" s="167" t="e">
        <f>VLOOKUP(E13536,'lista obszary'!A:B,2,0)</f>
        <v>#N/A</v>
      </c>
      <c r="E1736" s="128" t="e">
        <f>VLOOKUP(B1736,'LISTA 12'!$A$2:$G$301400,5,0)</f>
        <v>#N/A</v>
      </c>
      <c r="F1736" s="121" t="e">
        <f>VLOOKUP(B1736,'LISTA 12'!$A$2:$G$30100,7,0)</f>
        <v>#N/A</v>
      </c>
      <c r="G1736" s="254" t="e">
        <f>VLOOKUP(H1736,'lista 3'!$A$1:$C$31467,3,0)</f>
        <v>#N/A</v>
      </c>
      <c r="H1736" s="134"/>
      <c r="I1736" s="136"/>
      <c r="J1736" s="135"/>
      <c r="K1736" s="22"/>
    </row>
    <row r="1737" spans="1:11">
      <c r="A1737" s="241" t="e">
        <f>VLOOKUP(B1737,'lista 1'!$A$2:$E$30100,4,0)</f>
        <v>#N/A</v>
      </c>
      <c r="B1737" s="123"/>
      <c r="C1737" s="133" t="e">
        <f>VLOOKUP(B1737,'lista 1'!$A$2:$E$31000,5,0)</f>
        <v>#N/A</v>
      </c>
      <c r="D1737" s="167" t="e">
        <f>VLOOKUP(E13537,'lista obszary'!A:B,2,0)</f>
        <v>#N/A</v>
      </c>
      <c r="E1737" s="128" t="e">
        <f>VLOOKUP(B1737,'LISTA 12'!$A$2:$G$301400,5,0)</f>
        <v>#N/A</v>
      </c>
      <c r="F1737" s="121" t="e">
        <f>VLOOKUP(B1737,'LISTA 12'!$A$2:$G$30100,7,0)</f>
        <v>#N/A</v>
      </c>
      <c r="G1737" s="254" t="e">
        <f>VLOOKUP(H1737,'lista 3'!$A$1:$C$31467,3,0)</f>
        <v>#N/A</v>
      </c>
      <c r="H1737" s="134"/>
      <c r="I1737" s="136"/>
      <c r="J1737" s="135"/>
      <c r="K1737" s="22"/>
    </row>
    <row r="1738" spans="1:11">
      <c r="A1738" s="241" t="e">
        <f>VLOOKUP(B1738,'lista 1'!$A$2:$E$30100,4,0)</f>
        <v>#N/A</v>
      </c>
      <c r="B1738" s="123"/>
      <c r="C1738" s="133" t="e">
        <f>VLOOKUP(B1738,'lista 1'!$A$2:$E$31000,5,0)</f>
        <v>#N/A</v>
      </c>
      <c r="D1738" s="167" t="e">
        <f>VLOOKUP(E13538,'lista obszary'!A:B,2,0)</f>
        <v>#N/A</v>
      </c>
      <c r="E1738" s="128" t="e">
        <f>VLOOKUP(B1738,'LISTA 12'!$A$2:$G$301400,5,0)</f>
        <v>#N/A</v>
      </c>
      <c r="F1738" s="121" t="e">
        <f>VLOOKUP(B1738,'LISTA 12'!$A$2:$G$30100,7,0)</f>
        <v>#N/A</v>
      </c>
      <c r="G1738" s="254" t="e">
        <f>VLOOKUP(H1738,'lista 3'!$A$1:$C$31467,3,0)</f>
        <v>#N/A</v>
      </c>
      <c r="H1738" s="134"/>
      <c r="I1738" s="136"/>
      <c r="J1738" s="135"/>
      <c r="K1738" s="22"/>
    </row>
    <row r="1739" spans="1:11">
      <c r="A1739" s="241" t="e">
        <f>VLOOKUP(B1739,'lista 1'!$A$2:$E$30100,4,0)</f>
        <v>#N/A</v>
      </c>
      <c r="B1739" s="123"/>
      <c r="C1739" s="133" t="e">
        <f>VLOOKUP(B1739,'lista 1'!$A$2:$E$31000,5,0)</f>
        <v>#N/A</v>
      </c>
      <c r="D1739" s="167" t="e">
        <f>VLOOKUP(E13539,'lista obszary'!A:B,2,0)</f>
        <v>#N/A</v>
      </c>
      <c r="E1739" s="128" t="e">
        <f>VLOOKUP(B1739,'LISTA 12'!$A$2:$G$301400,5,0)</f>
        <v>#N/A</v>
      </c>
      <c r="F1739" s="121" t="e">
        <f>VLOOKUP(B1739,'LISTA 12'!$A$2:$G$30100,7,0)</f>
        <v>#N/A</v>
      </c>
      <c r="G1739" s="254" t="e">
        <f>VLOOKUP(H1739,'lista 3'!$A$1:$C$31467,3,0)</f>
        <v>#N/A</v>
      </c>
      <c r="H1739" s="134"/>
      <c r="I1739" s="136"/>
      <c r="J1739" s="135"/>
      <c r="K1739" s="22"/>
    </row>
    <row r="1740" spans="1:11">
      <c r="A1740" s="241" t="e">
        <f>VLOOKUP(B1740,'lista 1'!$A$2:$E$30100,4,0)</f>
        <v>#N/A</v>
      </c>
      <c r="B1740" s="123"/>
      <c r="C1740" s="133" t="e">
        <f>VLOOKUP(B1740,'lista 1'!$A$2:$E$31000,5,0)</f>
        <v>#N/A</v>
      </c>
      <c r="D1740" s="167" t="e">
        <f>VLOOKUP(E13540,'lista obszary'!A:B,2,0)</f>
        <v>#N/A</v>
      </c>
      <c r="E1740" s="128" t="e">
        <f>VLOOKUP(B1740,'LISTA 12'!$A$2:$G$301400,5,0)</f>
        <v>#N/A</v>
      </c>
      <c r="F1740" s="121" t="e">
        <f>VLOOKUP(B1740,'LISTA 12'!$A$2:$G$30100,7,0)</f>
        <v>#N/A</v>
      </c>
      <c r="G1740" s="254" t="e">
        <f>VLOOKUP(H1740,'lista 3'!$A$1:$C$31467,3,0)</f>
        <v>#N/A</v>
      </c>
      <c r="H1740" s="134"/>
      <c r="I1740" s="136"/>
      <c r="J1740" s="135"/>
      <c r="K1740" s="22"/>
    </row>
    <row r="1741" spans="1:11">
      <c r="A1741" s="241" t="e">
        <f>VLOOKUP(B1741,'lista 1'!$A$2:$E$30100,4,0)</f>
        <v>#N/A</v>
      </c>
      <c r="B1741" s="123"/>
      <c r="C1741" s="133" t="e">
        <f>VLOOKUP(B1741,'lista 1'!$A$2:$E$31000,5,0)</f>
        <v>#N/A</v>
      </c>
      <c r="D1741" s="167" t="e">
        <f>VLOOKUP(E13541,'lista obszary'!A:B,2,0)</f>
        <v>#N/A</v>
      </c>
      <c r="E1741" s="128" t="e">
        <f>VLOOKUP(B1741,'LISTA 12'!$A$2:$G$301400,5,0)</f>
        <v>#N/A</v>
      </c>
      <c r="F1741" s="121" t="e">
        <f>VLOOKUP(B1741,'LISTA 12'!$A$2:$G$30100,7,0)</f>
        <v>#N/A</v>
      </c>
      <c r="G1741" s="254" t="e">
        <f>VLOOKUP(H1741,'lista 3'!$A$1:$C$31467,3,0)</f>
        <v>#N/A</v>
      </c>
      <c r="H1741" s="134"/>
      <c r="I1741" s="136"/>
      <c r="J1741" s="135"/>
      <c r="K1741" s="22"/>
    </row>
    <row r="1742" spans="1:11">
      <c r="A1742" s="241" t="e">
        <f>VLOOKUP(B1742,'lista 1'!$A$2:$E$30100,4,0)</f>
        <v>#N/A</v>
      </c>
      <c r="B1742" s="123"/>
      <c r="C1742" s="133" t="e">
        <f>VLOOKUP(B1742,'lista 1'!$A$2:$E$31000,5,0)</f>
        <v>#N/A</v>
      </c>
      <c r="D1742" s="167" t="e">
        <f>VLOOKUP(E13542,'lista obszary'!A:B,2,0)</f>
        <v>#N/A</v>
      </c>
      <c r="E1742" s="128" t="e">
        <f>VLOOKUP(B1742,'LISTA 12'!$A$2:$G$301400,5,0)</f>
        <v>#N/A</v>
      </c>
      <c r="F1742" s="121" t="e">
        <f>VLOOKUP(B1742,'LISTA 12'!$A$2:$G$30100,7,0)</f>
        <v>#N/A</v>
      </c>
      <c r="G1742" s="254" t="e">
        <f>VLOOKUP(H1742,'lista 3'!$A$1:$C$31467,3,0)</f>
        <v>#N/A</v>
      </c>
      <c r="H1742" s="134"/>
      <c r="I1742" s="136"/>
      <c r="J1742" s="135"/>
      <c r="K1742" s="22"/>
    </row>
    <row r="1743" spans="1:11">
      <c r="A1743" s="241" t="e">
        <f>VLOOKUP(B1743,'lista 1'!$A$2:$E$30100,4,0)</f>
        <v>#N/A</v>
      </c>
      <c r="B1743" s="123"/>
      <c r="C1743" s="133" t="e">
        <f>VLOOKUP(B1743,'lista 1'!$A$2:$E$31000,5,0)</f>
        <v>#N/A</v>
      </c>
      <c r="D1743" s="167" t="e">
        <f>VLOOKUP(E13543,'lista obszary'!A:B,2,0)</f>
        <v>#N/A</v>
      </c>
      <c r="E1743" s="128" t="e">
        <f>VLOOKUP(B1743,'LISTA 12'!$A$2:$G$301400,5,0)</f>
        <v>#N/A</v>
      </c>
      <c r="F1743" s="121" t="e">
        <f>VLOOKUP(B1743,'LISTA 12'!$A$2:$G$30100,7,0)</f>
        <v>#N/A</v>
      </c>
      <c r="G1743" s="254" t="e">
        <f>VLOOKUP(H1743,'lista 3'!$A$1:$C$31467,3,0)</f>
        <v>#N/A</v>
      </c>
      <c r="H1743" s="134"/>
      <c r="I1743" s="136"/>
      <c r="J1743" s="135"/>
      <c r="K1743" s="22"/>
    </row>
    <row r="1744" spans="1:11">
      <c r="A1744" s="241" t="e">
        <f>VLOOKUP(B1744,'lista 1'!$A$2:$E$30100,4,0)</f>
        <v>#N/A</v>
      </c>
      <c r="B1744" s="123"/>
      <c r="C1744" s="133" t="e">
        <f>VLOOKUP(B1744,'lista 1'!$A$2:$E$31000,5,0)</f>
        <v>#N/A</v>
      </c>
      <c r="D1744" s="167" t="e">
        <f>VLOOKUP(E13544,'lista obszary'!A:B,2,0)</f>
        <v>#N/A</v>
      </c>
      <c r="E1744" s="128" t="e">
        <f>VLOOKUP(B1744,'LISTA 12'!$A$2:$G$301400,5,0)</f>
        <v>#N/A</v>
      </c>
      <c r="F1744" s="121" t="e">
        <f>VLOOKUP(B1744,'LISTA 12'!$A$2:$G$30100,7,0)</f>
        <v>#N/A</v>
      </c>
      <c r="G1744" s="254" t="e">
        <f>VLOOKUP(H1744,'lista 3'!$A$1:$C$31467,3,0)</f>
        <v>#N/A</v>
      </c>
      <c r="H1744" s="134"/>
      <c r="I1744" s="136"/>
      <c r="J1744" s="135"/>
      <c r="K1744" s="22"/>
    </row>
    <row r="1745" spans="1:11">
      <c r="A1745" s="241" t="e">
        <f>VLOOKUP(B1745,'lista 1'!$A$2:$E$30100,4,0)</f>
        <v>#N/A</v>
      </c>
      <c r="B1745" s="123"/>
      <c r="C1745" s="133" t="e">
        <f>VLOOKUP(B1745,'lista 1'!$A$2:$E$31000,5,0)</f>
        <v>#N/A</v>
      </c>
      <c r="D1745" s="167" t="e">
        <f>VLOOKUP(E13545,'lista obszary'!A:B,2,0)</f>
        <v>#N/A</v>
      </c>
      <c r="E1745" s="128" t="e">
        <f>VLOOKUP(B1745,'LISTA 12'!$A$2:$G$301400,5,0)</f>
        <v>#N/A</v>
      </c>
      <c r="F1745" s="121" t="e">
        <f>VLOOKUP(B1745,'LISTA 12'!$A$2:$G$30100,7,0)</f>
        <v>#N/A</v>
      </c>
      <c r="G1745" s="254" t="e">
        <f>VLOOKUP(H1745,'lista 3'!$A$1:$C$31467,3,0)</f>
        <v>#N/A</v>
      </c>
      <c r="H1745" s="134"/>
      <c r="I1745" s="136"/>
      <c r="J1745" s="135"/>
      <c r="K1745" s="22"/>
    </row>
    <row r="1746" spans="1:11">
      <c r="A1746" s="241" t="e">
        <f>VLOOKUP(B1746,'lista 1'!$A$2:$E$30100,4,0)</f>
        <v>#N/A</v>
      </c>
      <c r="B1746" s="123"/>
      <c r="C1746" s="133" t="e">
        <f>VLOOKUP(B1746,'lista 1'!$A$2:$E$31000,5,0)</f>
        <v>#N/A</v>
      </c>
      <c r="D1746" s="167" t="e">
        <f>VLOOKUP(E13546,'lista obszary'!A:B,2,0)</f>
        <v>#N/A</v>
      </c>
      <c r="E1746" s="128" t="e">
        <f>VLOOKUP(B1746,'LISTA 12'!$A$2:$G$301400,5,0)</f>
        <v>#N/A</v>
      </c>
      <c r="F1746" s="121" t="e">
        <f>VLOOKUP(B1746,'LISTA 12'!$A$2:$G$30100,7,0)</f>
        <v>#N/A</v>
      </c>
      <c r="G1746" s="254" t="e">
        <f>VLOOKUP(H1746,'lista 3'!$A$1:$C$31467,3,0)</f>
        <v>#N/A</v>
      </c>
      <c r="H1746" s="134"/>
      <c r="I1746" s="136"/>
      <c r="J1746" s="135"/>
      <c r="K1746" s="22"/>
    </row>
    <row r="1747" spans="1:11">
      <c r="A1747" s="241" t="e">
        <f>VLOOKUP(B1747,'lista 1'!$A$2:$E$30100,4,0)</f>
        <v>#N/A</v>
      </c>
      <c r="B1747" s="123"/>
      <c r="C1747" s="133" t="e">
        <f>VLOOKUP(B1747,'lista 1'!$A$2:$E$31000,5,0)</f>
        <v>#N/A</v>
      </c>
      <c r="D1747" s="167" t="e">
        <f>VLOOKUP(E13547,'lista obszary'!A:B,2,0)</f>
        <v>#N/A</v>
      </c>
      <c r="E1747" s="128" t="e">
        <f>VLOOKUP(B1747,'LISTA 12'!$A$2:$G$301400,5,0)</f>
        <v>#N/A</v>
      </c>
      <c r="F1747" s="121" t="e">
        <f>VLOOKUP(B1747,'LISTA 12'!$A$2:$G$30100,7,0)</f>
        <v>#N/A</v>
      </c>
      <c r="G1747" s="254" t="e">
        <f>VLOOKUP(H1747,'lista 3'!$A$1:$C$31467,3,0)</f>
        <v>#N/A</v>
      </c>
      <c r="H1747" s="134"/>
      <c r="I1747" s="136"/>
      <c r="J1747" s="135"/>
      <c r="K1747" s="22"/>
    </row>
    <row r="1748" spans="1:11">
      <c r="A1748" s="241" t="e">
        <f>VLOOKUP(B1748,'lista 1'!$A$2:$E$30100,4,0)</f>
        <v>#N/A</v>
      </c>
      <c r="B1748" s="123"/>
      <c r="C1748" s="133" t="e">
        <f>VLOOKUP(B1748,'lista 1'!$A$2:$E$31000,5,0)</f>
        <v>#N/A</v>
      </c>
      <c r="D1748" s="167" t="e">
        <f>VLOOKUP(E13548,'lista obszary'!A:B,2,0)</f>
        <v>#N/A</v>
      </c>
      <c r="E1748" s="128" t="e">
        <f>VLOOKUP(B1748,'LISTA 12'!$A$2:$G$301400,5,0)</f>
        <v>#N/A</v>
      </c>
      <c r="F1748" s="121" t="e">
        <f>VLOOKUP(B1748,'LISTA 12'!$A$2:$G$30100,7,0)</f>
        <v>#N/A</v>
      </c>
      <c r="G1748" s="254" t="e">
        <f>VLOOKUP(H1748,'lista 3'!$A$1:$C$31467,3,0)</f>
        <v>#N/A</v>
      </c>
      <c r="H1748" s="134"/>
      <c r="I1748" s="136"/>
      <c r="J1748" s="135"/>
      <c r="K1748" s="22"/>
    </row>
    <row r="1749" spans="1:11">
      <c r="A1749" s="241" t="e">
        <f>VLOOKUP(B1749,'lista 1'!$A$2:$E$30100,4,0)</f>
        <v>#N/A</v>
      </c>
      <c r="B1749" s="123"/>
      <c r="C1749" s="133" t="e">
        <f>VLOOKUP(B1749,'lista 1'!$A$2:$E$31000,5,0)</f>
        <v>#N/A</v>
      </c>
      <c r="D1749" s="167" t="e">
        <f>VLOOKUP(E13549,'lista obszary'!A:B,2,0)</f>
        <v>#N/A</v>
      </c>
      <c r="E1749" s="128" t="e">
        <f>VLOOKUP(B1749,'LISTA 12'!$A$2:$G$301400,5,0)</f>
        <v>#N/A</v>
      </c>
      <c r="F1749" s="121" t="e">
        <f>VLOOKUP(B1749,'LISTA 12'!$A$2:$G$30100,7,0)</f>
        <v>#N/A</v>
      </c>
      <c r="G1749" s="254" t="e">
        <f>VLOOKUP(H1749,'lista 3'!$A$1:$C$31467,3,0)</f>
        <v>#N/A</v>
      </c>
      <c r="H1749" s="134"/>
      <c r="I1749" s="136"/>
      <c r="J1749" s="135"/>
      <c r="K1749" s="22"/>
    </row>
    <row r="1750" spans="1:11">
      <c r="A1750" s="241" t="e">
        <f>VLOOKUP(B1750,'lista 1'!$A$2:$E$30100,4,0)</f>
        <v>#N/A</v>
      </c>
      <c r="B1750" s="123"/>
      <c r="C1750" s="133" t="e">
        <f>VLOOKUP(B1750,'lista 1'!$A$2:$E$31000,5,0)</f>
        <v>#N/A</v>
      </c>
      <c r="D1750" s="167" t="e">
        <f>VLOOKUP(E13550,'lista obszary'!A:B,2,0)</f>
        <v>#N/A</v>
      </c>
      <c r="E1750" s="128" t="e">
        <f>VLOOKUP(B1750,'LISTA 12'!$A$2:$G$301400,5,0)</f>
        <v>#N/A</v>
      </c>
      <c r="F1750" s="121" t="e">
        <f>VLOOKUP(B1750,'LISTA 12'!$A$2:$G$30100,7,0)</f>
        <v>#N/A</v>
      </c>
      <c r="G1750" s="254" t="e">
        <f>VLOOKUP(H1750,'lista 3'!$A$1:$C$31467,3,0)</f>
        <v>#N/A</v>
      </c>
      <c r="H1750" s="134"/>
      <c r="I1750" s="136"/>
      <c r="J1750" s="135"/>
      <c r="K1750" s="22"/>
    </row>
    <row r="1751" spans="1:11">
      <c r="A1751" s="241" t="e">
        <f>VLOOKUP(B1751,'lista 1'!$A$2:$E$30100,4,0)</f>
        <v>#N/A</v>
      </c>
      <c r="B1751" s="123"/>
      <c r="C1751" s="133" t="e">
        <f>VLOOKUP(B1751,'lista 1'!$A$2:$E$31000,5,0)</f>
        <v>#N/A</v>
      </c>
      <c r="D1751" s="167" t="e">
        <f>VLOOKUP(E13551,'lista obszary'!A:B,2,0)</f>
        <v>#N/A</v>
      </c>
      <c r="E1751" s="128" t="e">
        <f>VLOOKUP(B1751,'LISTA 12'!$A$2:$G$301400,5,0)</f>
        <v>#N/A</v>
      </c>
      <c r="F1751" s="121" t="e">
        <f>VLOOKUP(B1751,'LISTA 12'!$A$2:$G$30100,7,0)</f>
        <v>#N/A</v>
      </c>
      <c r="G1751" s="254" t="e">
        <f>VLOOKUP(H1751,'lista 3'!$A$1:$C$31467,3,0)</f>
        <v>#N/A</v>
      </c>
      <c r="H1751" s="134"/>
      <c r="I1751" s="136"/>
      <c r="J1751" s="135"/>
      <c r="K1751" s="22"/>
    </row>
    <row r="1752" spans="1:11">
      <c r="A1752" s="241" t="e">
        <f>VLOOKUP(B1752,'lista 1'!$A$2:$E$30100,4,0)</f>
        <v>#N/A</v>
      </c>
      <c r="B1752" s="123"/>
      <c r="C1752" s="133" t="e">
        <f>VLOOKUP(B1752,'lista 1'!$A$2:$E$31000,5,0)</f>
        <v>#N/A</v>
      </c>
      <c r="D1752" s="167" t="e">
        <f>VLOOKUP(E13552,'lista obszary'!A:B,2,0)</f>
        <v>#N/A</v>
      </c>
      <c r="E1752" s="128" t="e">
        <f>VLOOKUP(B1752,'LISTA 12'!$A$2:$G$301400,5,0)</f>
        <v>#N/A</v>
      </c>
      <c r="F1752" s="121" t="e">
        <f>VLOOKUP(B1752,'LISTA 12'!$A$2:$G$30100,7,0)</f>
        <v>#N/A</v>
      </c>
      <c r="G1752" s="254" t="e">
        <f>VLOOKUP(H1752,'lista 3'!$A$1:$C$31467,3,0)</f>
        <v>#N/A</v>
      </c>
      <c r="H1752" s="134"/>
      <c r="I1752" s="136"/>
      <c r="J1752" s="135"/>
      <c r="K1752" s="22"/>
    </row>
    <row r="1753" spans="1:11">
      <c r="A1753" s="241" t="e">
        <f>VLOOKUP(B1753,'lista 1'!$A$2:$E$30100,4,0)</f>
        <v>#N/A</v>
      </c>
      <c r="B1753" s="123"/>
      <c r="C1753" s="133" t="e">
        <f>VLOOKUP(B1753,'lista 1'!$A$2:$E$31000,5,0)</f>
        <v>#N/A</v>
      </c>
      <c r="D1753" s="167" t="e">
        <f>VLOOKUP(E13553,'lista obszary'!A:B,2,0)</f>
        <v>#N/A</v>
      </c>
      <c r="E1753" s="128" t="e">
        <f>VLOOKUP(B1753,'LISTA 12'!$A$2:$G$301400,5,0)</f>
        <v>#N/A</v>
      </c>
      <c r="F1753" s="121" t="e">
        <f>VLOOKUP(B1753,'LISTA 12'!$A$2:$G$30100,7,0)</f>
        <v>#N/A</v>
      </c>
      <c r="G1753" s="254" t="e">
        <f>VLOOKUP(H1753,'lista 3'!$A$1:$C$31467,3,0)</f>
        <v>#N/A</v>
      </c>
      <c r="H1753" s="134"/>
      <c r="I1753" s="136"/>
      <c r="J1753" s="135"/>
      <c r="K1753" s="22"/>
    </row>
    <row r="1754" spans="1:11">
      <c r="A1754" s="241" t="e">
        <f>VLOOKUP(B1754,'lista 1'!$A$2:$E$30100,4,0)</f>
        <v>#N/A</v>
      </c>
      <c r="B1754" s="123"/>
      <c r="C1754" s="133" t="e">
        <f>VLOOKUP(B1754,'lista 1'!$A$2:$E$31000,5,0)</f>
        <v>#N/A</v>
      </c>
      <c r="D1754" s="167" t="e">
        <f>VLOOKUP(E13554,'lista obszary'!A:B,2,0)</f>
        <v>#N/A</v>
      </c>
      <c r="E1754" s="128" t="e">
        <f>VLOOKUP(B1754,'LISTA 12'!$A$2:$G$301400,5,0)</f>
        <v>#N/A</v>
      </c>
      <c r="F1754" s="121" t="e">
        <f>VLOOKUP(B1754,'LISTA 12'!$A$2:$G$30100,7,0)</f>
        <v>#N/A</v>
      </c>
      <c r="G1754" s="254" t="e">
        <f>VLOOKUP(H1754,'lista 3'!$A$1:$C$31467,3,0)</f>
        <v>#N/A</v>
      </c>
      <c r="H1754" s="134"/>
      <c r="I1754" s="136"/>
      <c r="J1754" s="135"/>
      <c r="K1754" s="22"/>
    </row>
    <row r="1755" spans="1:11">
      <c r="A1755" s="241" t="e">
        <f>VLOOKUP(B1755,'lista 1'!$A$2:$E$30100,4,0)</f>
        <v>#N/A</v>
      </c>
      <c r="B1755" s="123"/>
      <c r="C1755" s="133" t="e">
        <f>VLOOKUP(B1755,'lista 1'!$A$2:$E$31000,5,0)</f>
        <v>#N/A</v>
      </c>
      <c r="D1755" s="167" t="e">
        <f>VLOOKUP(E13555,'lista obszary'!A:B,2,0)</f>
        <v>#N/A</v>
      </c>
      <c r="E1755" s="128" t="e">
        <f>VLOOKUP(B1755,'LISTA 12'!$A$2:$G$301400,5,0)</f>
        <v>#N/A</v>
      </c>
      <c r="F1755" s="121" t="e">
        <f>VLOOKUP(B1755,'LISTA 12'!$A$2:$G$30100,7,0)</f>
        <v>#N/A</v>
      </c>
      <c r="G1755" s="254" t="e">
        <f>VLOOKUP(H1755,'lista 3'!$A$1:$C$31467,3,0)</f>
        <v>#N/A</v>
      </c>
      <c r="H1755" s="134"/>
      <c r="I1755" s="136"/>
      <c r="J1755" s="135"/>
      <c r="K1755" s="22"/>
    </row>
    <row r="1756" spans="1:11">
      <c r="A1756" s="241" t="e">
        <f>VLOOKUP(B1756,'lista 1'!$A$2:$E$30100,4,0)</f>
        <v>#N/A</v>
      </c>
      <c r="B1756" s="123"/>
      <c r="C1756" s="133" t="e">
        <f>VLOOKUP(B1756,'lista 1'!$A$2:$E$31000,5,0)</f>
        <v>#N/A</v>
      </c>
      <c r="D1756" s="167" t="e">
        <f>VLOOKUP(E13556,'lista obszary'!A:B,2,0)</f>
        <v>#N/A</v>
      </c>
      <c r="E1756" s="128" t="e">
        <f>VLOOKUP(B1756,'LISTA 12'!$A$2:$G$301400,5,0)</f>
        <v>#N/A</v>
      </c>
      <c r="F1756" s="121" t="e">
        <f>VLOOKUP(B1756,'LISTA 12'!$A$2:$G$30100,7,0)</f>
        <v>#N/A</v>
      </c>
      <c r="G1756" s="254" t="e">
        <f>VLOOKUP(H1756,'lista 3'!$A$1:$C$31467,3,0)</f>
        <v>#N/A</v>
      </c>
      <c r="H1756" s="134"/>
      <c r="I1756" s="136"/>
      <c r="J1756" s="135"/>
      <c r="K1756" s="22"/>
    </row>
    <row r="1757" spans="1:11">
      <c r="A1757" s="241" t="e">
        <f>VLOOKUP(B1757,'lista 1'!$A$2:$E$30100,4,0)</f>
        <v>#N/A</v>
      </c>
      <c r="B1757" s="123"/>
      <c r="C1757" s="133" t="e">
        <f>VLOOKUP(B1757,'lista 1'!$A$2:$E$31000,5,0)</f>
        <v>#N/A</v>
      </c>
      <c r="D1757" s="167" t="e">
        <f>VLOOKUP(E13557,'lista obszary'!A:B,2,0)</f>
        <v>#N/A</v>
      </c>
      <c r="E1757" s="128" t="e">
        <f>VLOOKUP(B1757,'LISTA 12'!$A$2:$G$301400,5,0)</f>
        <v>#N/A</v>
      </c>
      <c r="F1757" s="121" t="e">
        <f>VLOOKUP(B1757,'LISTA 12'!$A$2:$G$30100,7,0)</f>
        <v>#N/A</v>
      </c>
      <c r="G1757" s="254" t="e">
        <f>VLOOKUP(H1757,'lista 3'!$A$1:$C$31467,3,0)</f>
        <v>#N/A</v>
      </c>
      <c r="H1757" s="134"/>
      <c r="I1757" s="136"/>
      <c r="J1757" s="135"/>
      <c r="K1757" s="22"/>
    </row>
    <row r="1758" spans="1:11">
      <c r="A1758" s="241" t="e">
        <f>VLOOKUP(B1758,'lista 1'!$A$2:$E$30100,4,0)</f>
        <v>#N/A</v>
      </c>
      <c r="B1758" s="123"/>
      <c r="C1758" s="133" t="e">
        <f>VLOOKUP(B1758,'lista 1'!$A$2:$E$31000,5,0)</f>
        <v>#N/A</v>
      </c>
      <c r="D1758" s="167" t="e">
        <f>VLOOKUP(E13558,'lista obszary'!A:B,2,0)</f>
        <v>#N/A</v>
      </c>
      <c r="E1758" s="128" t="e">
        <f>VLOOKUP(B1758,'LISTA 12'!$A$2:$G$301400,5,0)</f>
        <v>#N/A</v>
      </c>
      <c r="F1758" s="121" t="e">
        <f>VLOOKUP(B1758,'LISTA 12'!$A$2:$G$30100,7,0)</f>
        <v>#N/A</v>
      </c>
      <c r="G1758" s="254" t="e">
        <f>VLOOKUP(H1758,'lista 3'!$A$1:$C$31467,3,0)</f>
        <v>#N/A</v>
      </c>
      <c r="H1758" s="134"/>
      <c r="I1758" s="136"/>
      <c r="J1758" s="135"/>
      <c r="K1758" s="22"/>
    </row>
    <row r="1759" spans="1:11">
      <c r="A1759" s="241" t="e">
        <f>VLOOKUP(B1759,'lista 1'!$A$2:$E$30100,4,0)</f>
        <v>#N/A</v>
      </c>
      <c r="B1759" s="123"/>
      <c r="C1759" s="133" t="e">
        <f>VLOOKUP(B1759,'lista 1'!$A$2:$E$31000,5,0)</f>
        <v>#N/A</v>
      </c>
      <c r="D1759" s="167" t="e">
        <f>VLOOKUP(E13559,'lista obszary'!A:B,2,0)</f>
        <v>#N/A</v>
      </c>
      <c r="E1759" s="128" t="e">
        <f>VLOOKUP(B1759,'LISTA 12'!$A$2:$G$301400,5,0)</f>
        <v>#N/A</v>
      </c>
      <c r="F1759" s="121" t="e">
        <f>VLOOKUP(B1759,'LISTA 12'!$A$2:$G$30100,7,0)</f>
        <v>#N/A</v>
      </c>
      <c r="G1759" s="254" t="e">
        <f>VLOOKUP(H1759,'lista 3'!$A$1:$C$31467,3,0)</f>
        <v>#N/A</v>
      </c>
      <c r="H1759" s="134"/>
      <c r="I1759" s="136"/>
      <c r="J1759" s="135"/>
      <c r="K1759" s="22"/>
    </row>
    <row r="1760" spans="1:11">
      <c r="A1760" s="241" t="e">
        <f>VLOOKUP(B1760,'lista 1'!$A$2:$E$30100,4,0)</f>
        <v>#N/A</v>
      </c>
      <c r="B1760" s="123"/>
      <c r="C1760" s="133" t="e">
        <f>VLOOKUP(B1760,'lista 1'!$A$2:$E$31000,5,0)</f>
        <v>#N/A</v>
      </c>
      <c r="D1760" s="167" t="e">
        <f>VLOOKUP(E13560,'lista obszary'!A:B,2,0)</f>
        <v>#N/A</v>
      </c>
      <c r="E1760" s="128" t="e">
        <f>VLOOKUP(B1760,'LISTA 12'!$A$2:$G$301400,5,0)</f>
        <v>#N/A</v>
      </c>
      <c r="F1760" s="121" t="e">
        <f>VLOOKUP(B1760,'LISTA 12'!$A$2:$G$30100,7,0)</f>
        <v>#N/A</v>
      </c>
      <c r="G1760" s="254" t="e">
        <f>VLOOKUP(H1760,'lista 3'!$A$1:$C$31467,3,0)</f>
        <v>#N/A</v>
      </c>
      <c r="H1760" s="134"/>
      <c r="I1760" s="136"/>
      <c r="J1760" s="135"/>
      <c r="K1760" s="22"/>
    </row>
    <row r="1761" spans="1:11">
      <c r="A1761" s="241" t="e">
        <f>VLOOKUP(B1761,'lista 1'!$A$2:$E$30100,4,0)</f>
        <v>#N/A</v>
      </c>
      <c r="B1761" s="123"/>
      <c r="C1761" s="133" t="e">
        <f>VLOOKUP(B1761,'lista 1'!$A$2:$E$31000,5,0)</f>
        <v>#N/A</v>
      </c>
      <c r="D1761" s="167" t="e">
        <f>VLOOKUP(E13561,'lista obszary'!A:B,2,0)</f>
        <v>#N/A</v>
      </c>
      <c r="E1761" s="128" t="e">
        <f>VLOOKUP(B1761,'LISTA 12'!$A$2:$G$301400,5,0)</f>
        <v>#N/A</v>
      </c>
      <c r="F1761" s="121" t="e">
        <f>VLOOKUP(B1761,'LISTA 12'!$A$2:$G$30100,7,0)</f>
        <v>#N/A</v>
      </c>
      <c r="G1761" s="254" t="e">
        <f>VLOOKUP(H1761,'lista 3'!$A$1:$C$31467,3,0)</f>
        <v>#N/A</v>
      </c>
      <c r="H1761" s="134"/>
      <c r="I1761" s="136"/>
      <c r="J1761" s="135"/>
      <c r="K1761" s="22"/>
    </row>
    <row r="1762" spans="1:11">
      <c r="A1762" s="241" t="e">
        <f>VLOOKUP(B1762,'lista 1'!$A$2:$E$30100,4,0)</f>
        <v>#N/A</v>
      </c>
      <c r="B1762" s="123"/>
      <c r="C1762" s="133" t="e">
        <f>VLOOKUP(B1762,'lista 1'!$A$2:$E$31000,5,0)</f>
        <v>#N/A</v>
      </c>
      <c r="D1762" s="167" t="e">
        <f>VLOOKUP(E13562,'lista obszary'!A:B,2,0)</f>
        <v>#N/A</v>
      </c>
      <c r="E1762" s="128" t="e">
        <f>VLOOKUP(B1762,'LISTA 12'!$A$2:$G$301400,5,0)</f>
        <v>#N/A</v>
      </c>
      <c r="F1762" s="121" t="e">
        <f>VLOOKUP(B1762,'LISTA 12'!$A$2:$G$30100,7,0)</f>
        <v>#N/A</v>
      </c>
      <c r="G1762" s="254" t="e">
        <f>VLOOKUP(H1762,'lista 3'!$A$1:$C$31467,3,0)</f>
        <v>#N/A</v>
      </c>
      <c r="H1762" s="134"/>
      <c r="I1762" s="136"/>
      <c r="J1762" s="135"/>
      <c r="K1762" s="22"/>
    </row>
    <row r="1763" spans="1:11">
      <c r="A1763" s="241" t="e">
        <f>VLOOKUP(B1763,'lista 1'!$A$2:$E$30100,4,0)</f>
        <v>#N/A</v>
      </c>
      <c r="B1763" s="123"/>
      <c r="C1763" s="133" t="e">
        <f>VLOOKUP(B1763,'lista 1'!$A$2:$E$31000,5,0)</f>
        <v>#N/A</v>
      </c>
      <c r="D1763" s="167" t="e">
        <f>VLOOKUP(E13563,'lista obszary'!A:B,2,0)</f>
        <v>#N/A</v>
      </c>
      <c r="E1763" s="128" t="e">
        <f>VLOOKUP(B1763,'LISTA 12'!$A$2:$G$301400,5,0)</f>
        <v>#N/A</v>
      </c>
      <c r="F1763" s="121" t="e">
        <f>VLOOKUP(B1763,'LISTA 12'!$A$2:$G$30100,7,0)</f>
        <v>#N/A</v>
      </c>
      <c r="G1763" s="254" t="e">
        <f>VLOOKUP(H1763,'lista 3'!$A$1:$C$31467,3,0)</f>
        <v>#N/A</v>
      </c>
      <c r="H1763" s="134"/>
      <c r="I1763" s="136"/>
      <c r="J1763" s="135"/>
      <c r="K1763" s="22"/>
    </row>
    <row r="1764" spans="1:11">
      <c r="A1764" s="241" t="e">
        <f>VLOOKUP(B1764,'lista 1'!$A$2:$E$30100,4,0)</f>
        <v>#N/A</v>
      </c>
      <c r="B1764" s="123"/>
      <c r="C1764" s="133" t="e">
        <f>VLOOKUP(B1764,'lista 1'!$A$2:$E$31000,5,0)</f>
        <v>#N/A</v>
      </c>
      <c r="D1764" s="167" t="e">
        <f>VLOOKUP(E13564,'lista obszary'!A:B,2,0)</f>
        <v>#N/A</v>
      </c>
      <c r="E1764" s="128" t="e">
        <f>VLOOKUP(B1764,'LISTA 12'!$A$2:$G$301400,5,0)</f>
        <v>#N/A</v>
      </c>
      <c r="F1764" s="121" t="e">
        <f>VLOOKUP(B1764,'LISTA 12'!$A$2:$G$30100,7,0)</f>
        <v>#N/A</v>
      </c>
      <c r="G1764" s="254" t="e">
        <f>VLOOKUP(H1764,'lista 3'!$A$1:$C$31467,3,0)</f>
        <v>#N/A</v>
      </c>
      <c r="H1764" s="134"/>
      <c r="I1764" s="136"/>
      <c r="J1764" s="135"/>
      <c r="K1764" s="22"/>
    </row>
    <row r="1765" spans="1:11">
      <c r="A1765" s="241" t="e">
        <f>VLOOKUP(B1765,'lista 1'!$A$2:$E$30100,4,0)</f>
        <v>#N/A</v>
      </c>
      <c r="B1765" s="123"/>
      <c r="C1765" s="133" t="e">
        <f>VLOOKUP(B1765,'lista 1'!$A$2:$E$31000,5,0)</f>
        <v>#N/A</v>
      </c>
      <c r="D1765" s="167" t="e">
        <f>VLOOKUP(E13565,'lista obszary'!A:B,2,0)</f>
        <v>#N/A</v>
      </c>
      <c r="E1765" s="128" t="e">
        <f>VLOOKUP(B1765,'LISTA 12'!$A$2:$G$301400,5,0)</f>
        <v>#N/A</v>
      </c>
      <c r="F1765" s="121" t="e">
        <f>VLOOKUP(B1765,'LISTA 12'!$A$2:$G$30100,7,0)</f>
        <v>#N/A</v>
      </c>
      <c r="G1765" s="254" t="e">
        <f>VLOOKUP(H1765,'lista 3'!$A$1:$C$31467,3,0)</f>
        <v>#N/A</v>
      </c>
      <c r="H1765" s="134"/>
      <c r="I1765" s="136"/>
      <c r="J1765" s="135"/>
      <c r="K1765" s="22"/>
    </row>
    <row r="1766" spans="1:11">
      <c r="A1766" s="241" t="e">
        <f>VLOOKUP(B1766,'lista 1'!$A$2:$E$30100,4,0)</f>
        <v>#N/A</v>
      </c>
      <c r="B1766" s="123"/>
      <c r="C1766" s="133" t="e">
        <f>VLOOKUP(B1766,'lista 1'!$A$2:$E$31000,5,0)</f>
        <v>#N/A</v>
      </c>
      <c r="D1766" s="167" t="e">
        <f>VLOOKUP(E13566,'lista obszary'!A:B,2,0)</f>
        <v>#N/A</v>
      </c>
      <c r="E1766" s="128" t="e">
        <f>VLOOKUP(B1766,'LISTA 12'!$A$2:$G$301400,5,0)</f>
        <v>#N/A</v>
      </c>
      <c r="F1766" s="121" t="e">
        <f>VLOOKUP(B1766,'LISTA 12'!$A$2:$G$30100,7,0)</f>
        <v>#N/A</v>
      </c>
      <c r="G1766" s="254" t="e">
        <f>VLOOKUP(H1766,'lista 3'!$A$1:$C$31467,3,0)</f>
        <v>#N/A</v>
      </c>
      <c r="H1766" s="134"/>
      <c r="I1766" s="136"/>
      <c r="J1766" s="135"/>
      <c r="K1766" s="22"/>
    </row>
    <row r="1767" spans="1:11">
      <c r="A1767" s="241" t="e">
        <f>VLOOKUP(B1767,'lista 1'!$A$2:$E$30100,4,0)</f>
        <v>#N/A</v>
      </c>
      <c r="B1767" s="123"/>
      <c r="C1767" s="133" t="e">
        <f>VLOOKUP(B1767,'lista 1'!$A$2:$E$31000,5,0)</f>
        <v>#N/A</v>
      </c>
      <c r="D1767" s="167" t="e">
        <f>VLOOKUP(E13567,'lista obszary'!A:B,2,0)</f>
        <v>#N/A</v>
      </c>
      <c r="E1767" s="128" t="e">
        <f>VLOOKUP(B1767,'LISTA 12'!$A$2:$G$301400,5,0)</f>
        <v>#N/A</v>
      </c>
      <c r="F1767" s="121" t="e">
        <f>VLOOKUP(B1767,'LISTA 12'!$A$2:$G$30100,7,0)</f>
        <v>#N/A</v>
      </c>
      <c r="G1767" s="254" t="e">
        <f>VLOOKUP(H1767,'lista 3'!$A$1:$C$31467,3,0)</f>
        <v>#N/A</v>
      </c>
      <c r="H1767" s="134"/>
      <c r="I1767" s="136"/>
      <c r="J1767" s="135"/>
      <c r="K1767" s="22"/>
    </row>
    <row r="1768" spans="1:11">
      <c r="A1768" s="241" t="e">
        <f>VLOOKUP(B1768,'lista 1'!$A$2:$E$30100,4,0)</f>
        <v>#N/A</v>
      </c>
      <c r="B1768" s="123"/>
      <c r="C1768" s="133" t="e">
        <f>VLOOKUP(B1768,'lista 1'!$A$2:$E$31000,5,0)</f>
        <v>#N/A</v>
      </c>
      <c r="D1768" s="167" t="e">
        <f>VLOOKUP(E13568,'lista obszary'!A:B,2,0)</f>
        <v>#N/A</v>
      </c>
      <c r="E1768" s="128" t="e">
        <f>VLOOKUP(B1768,'LISTA 12'!$A$2:$G$301400,5,0)</f>
        <v>#N/A</v>
      </c>
      <c r="F1768" s="121" t="e">
        <f>VLOOKUP(B1768,'LISTA 12'!$A$2:$G$30100,7,0)</f>
        <v>#N/A</v>
      </c>
      <c r="G1768" s="254" t="e">
        <f>VLOOKUP(H1768,'lista 3'!$A$1:$C$31467,3,0)</f>
        <v>#N/A</v>
      </c>
      <c r="H1768" s="134"/>
      <c r="I1768" s="136"/>
      <c r="J1768" s="135"/>
      <c r="K1768" s="22"/>
    </row>
    <row r="1769" spans="1:11">
      <c r="A1769" s="241" t="e">
        <f>VLOOKUP(B1769,'lista 1'!$A$2:$E$30100,4,0)</f>
        <v>#N/A</v>
      </c>
      <c r="B1769" s="123"/>
      <c r="C1769" s="133" t="e">
        <f>VLOOKUP(B1769,'lista 1'!$A$2:$E$31000,5,0)</f>
        <v>#N/A</v>
      </c>
      <c r="D1769" s="167" t="e">
        <f>VLOOKUP(E13569,'lista obszary'!A:B,2,0)</f>
        <v>#N/A</v>
      </c>
      <c r="E1769" s="128" t="e">
        <f>VLOOKUP(B1769,'LISTA 12'!$A$2:$G$301400,5,0)</f>
        <v>#N/A</v>
      </c>
      <c r="F1769" s="121" t="e">
        <f>VLOOKUP(B1769,'LISTA 12'!$A$2:$G$30100,7,0)</f>
        <v>#N/A</v>
      </c>
      <c r="G1769" s="254" t="e">
        <f>VLOOKUP(H1769,'lista 3'!$A$1:$C$31467,3,0)</f>
        <v>#N/A</v>
      </c>
      <c r="H1769" s="134"/>
      <c r="I1769" s="136"/>
      <c r="J1769" s="135"/>
      <c r="K1769" s="22"/>
    </row>
    <row r="1770" spans="1:11">
      <c r="A1770" s="241" t="e">
        <f>VLOOKUP(B1770,'lista 1'!$A$2:$E$30100,4,0)</f>
        <v>#N/A</v>
      </c>
      <c r="B1770" s="123"/>
      <c r="C1770" s="133" t="e">
        <f>VLOOKUP(B1770,'lista 1'!$A$2:$E$31000,5,0)</f>
        <v>#N/A</v>
      </c>
      <c r="D1770" s="167" t="e">
        <f>VLOOKUP(E13570,'lista obszary'!A:B,2,0)</f>
        <v>#N/A</v>
      </c>
      <c r="E1770" s="128" t="e">
        <f>VLOOKUP(B1770,'LISTA 12'!$A$2:$G$301400,5,0)</f>
        <v>#N/A</v>
      </c>
      <c r="F1770" s="121" t="e">
        <f>VLOOKUP(B1770,'LISTA 12'!$A$2:$G$30100,7,0)</f>
        <v>#N/A</v>
      </c>
      <c r="G1770" s="254" t="e">
        <f>VLOOKUP(H1770,'lista 3'!$A$1:$C$31467,3,0)</f>
        <v>#N/A</v>
      </c>
      <c r="H1770" s="134"/>
      <c r="I1770" s="136"/>
      <c r="J1770" s="135"/>
      <c r="K1770" s="22"/>
    </row>
    <row r="1771" spans="1:11">
      <c r="A1771" s="241" t="e">
        <f>VLOOKUP(B1771,'lista 1'!$A$2:$E$30100,4,0)</f>
        <v>#N/A</v>
      </c>
      <c r="B1771" s="123"/>
      <c r="C1771" s="133" t="e">
        <f>VLOOKUP(B1771,'lista 1'!$A$2:$E$31000,5,0)</f>
        <v>#N/A</v>
      </c>
      <c r="D1771" s="167" t="e">
        <f>VLOOKUP(E13571,'lista obszary'!A:B,2,0)</f>
        <v>#N/A</v>
      </c>
      <c r="E1771" s="128" t="e">
        <f>VLOOKUP(B1771,'LISTA 12'!$A$2:$G$301400,5,0)</f>
        <v>#N/A</v>
      </c>
      <c r="F1771" s="121" t="e">
        <f>VLOOKUP(B1771,'LISTA 12'!$A$2:$G$30100,7,0)</f>
        <v>#N/A</v>
      </c>
      <c r="G1771" s="254" t="e">
        <f>VLOOKUP(H1771,'lista 3'!$A$1:$C$31467,3,0)</f>
        <v>#N/A</v>
      </c>
      <c r="H1771" s="134"/>
      <c r="I1771" s="136"/>
      <c r="J1771" s="135"/>
      <c r="K1771" s="22"/>
    </row>
    <row r="1772" spans="1:11">
      <c r="A1772" s="241" t="e">
        <f>VLOOKUP(B1772,'lista 1'!$A$2:$E$30100,4,0)</f>
        <v>#N/A</v>
      </c>
      <c r="B1772" s="123"/>
      <c r="C1772" s="133" t="e">
        <f>VLOOKUP(B1772,'lista 1'!$A$2:$E$31000,5,0)</f>
        <v>#N/A</v>
      </c>
      <c r="D1772" s="167" t="e">
        <f>VLOOKUP(E13572,'lista obszary'!A:B,2,0)</f>
        <v>#N/A</v>
      </c>
      <c r="E1772" s="128" t="e">
        <f>VLOOKUP(B1772,'LISTA 12'!$A$2:$G$301400,5,0)</f>
        <v>#N/A</v>
      </c>
      <c r="F1772" s="121" t="e">
        <f>VLOOKUP(B1772,'LISTA 12'!$A$2:$G$30100,7,0)</f>
        <v>#N/A</v>
      </c>
      <c r="G1772" s="254" t="e">
        <f>VLOOKUP(H1772,'lista 3'!$A$1:$C$31467,3,0)</f>
        <v>#N/A</v>
      </c>
      <c r="H1772" s="134"/>
      <c r="I1772" s="136"/>
      <c r="J1772" s="135"/>
      <c r="K1772" s="22"/>
    </row>
    <row r="1773" spans="1:11">
      <c r="A1773" s="241" t="e">
        <f>VLOOKUP(B1773,'lista 1'!$A$2:$E$30100,4,0)</f>
        <v>#N/A</v>
      </c>
      <c r="B1773" s="123"/>
      <c r="C1773" s="133" t="e">
        <f>VLOOKUP(B1773,'lista 1'!$A$2:$E$31000,5,0)</f>
        <v>#N/A</v>
      </c>
      <c r="D1773" s="167" t="e">
        <f>VLOOKUP(E13573,'lista obszary'!A:B,2,0)</f>
        <v>#N/A</v>
      </c>
      <c r="E1773" s="128" t="e">
        <f>VLOOKUP(B1773,'LISTA 12'!$A$2:$G$301400,5,0)</f>
        <v>#N/A</v>
      </c>
      <c r="F1773" s="121" t="e">
        <f>VLOOKUP(B1773,'LISTA 12'!$A$2:$G$30100,7,0)</f>
        <v>#N/A</v>
      </c>
      <c r="G1773" s="254" t="e">
        <f>VLOOKUP(H1773,'lista 3'!$A$1:$C$31467,3,0)</f>
        <v>#N/A</v>
      </c>
      <c r="H1773" s="134"/>
      <c r="I1773" s="136"/>
      <c r="J1773" s="135"/>
      <c r="K1773" s="22"/>
    </row>
    <row r="1774" spans="1:11">
      <c r="A1774" s="241" t="e">
        <f>VLOOKUP(B1774,'lista 1'!$A$2:$E$30100,4,0)</f>
        <v>#N/A</v>
      </c>
      <c r="B1774" s="123"/>
      <c r="C1774" s="133" t="e">
        <f>VLOOKUP(B1774,'lista 1'!$A$2:$E$31000,5,0)</f>
        <v>#N/A</v>
      </c>
      <c r="D1774" s="167" t="e">
        <f>VLOOKUP(E13574,'lista obszary'!A:B,2,0)</f>
        <v>#N/A</v>
      </c>
      <c r="E1774" s="128" t="e">
        <f>VLOOKUP(B1774,'LISTA 12'!$A$2:$G$301400,5,0)</f>
        <v>#N/A</v>
      </c>
      <c r="F1774" s="121" t="e">
        <f>VLOOKUP(B1774,'LISTA 12'!$A$2:$G$30100,7,0)</f>
        <v>#N/A</v>
      </c>
      <c r="G1774" s="254" t="e">
        <f>VLOOKUP(H1774,'lista 3'!$A$1:$C$31467,3,0)</f>
        <v>#N/A</v>
      </c>
      <c r="H1774" s="134"/>
      <c r="I1774" s="136"/>
      <c r="J1774" s="135"/>
      <c r="K1774" s="22"/>
    </row>
    <row r="1775" spans="1:11">
      <c r="A1775" s="241" t="e">
        <f>VLOOKUP(B1775,'lista 1'!$A$2:$E$30100,4,0)</f>
        <v>#N/A</v>
      </c>
      <c r="B1775" s="123"/>
      <c r="C1775" s="133" t="e">
        <f>VLOOKUP(B1775,'lista 1'!$A$2:$E$31000,5,0)</f>
        <v>#N/A</v>
      </c>
      <c r="D1775" s="167" t="e">
        <f>VLOOKUP(E13575,'lista obszary'!A:B,2,0)</f>
        <v>#N/A</v>
      </c>
      <c r="E1775" s="128" t="e">
        <f>VLOOKUP(B1775,'LISTA 12'!$A$2:$G$301400,5,0)</f>
        <v>#N/A</v>
      </c>
      <c r="F1775" s="121" t="e">
        <f>VLOOKUP(B1775,'LISTA 12'!$A$2:$G$30100,7,0)</f>
        <v>#N/A</v>
      </c>
      <c r="G1775" s="254" t="e">
        <f>VLOOKUP(H1775,'lista 3'!$A$1:$C$31467,3,0)</f>
        <v>#N/A</v>
      </c>
      <c r="H1775" s="134"/>
      <c r="I1775" s="136"/>
      <c r="J1775" s="135"/>
      <c r="K1775" s="22"/>
    </row>
    <row r="1776" spans="1:11">
      <c r="A1776" s="241" t="e">
        <f>VLOOKUP(B1776,'lista 1'!$A$2:$E$30100,4,0)</f>
        <v>#N/A</v>
      </c>
      <c r="B1776" s="123"/>
      <c r="C1776" s="133" t="e">
        <f>VLOOKUP(B1776,'lista 1'!$A$2:$E$31000,5,0)</f>
        <v>#N/A</v>
      </c>
      <c r="D1776" s="167" t="e">
        <f>VLOOKUP(E13576,'lista obszary'!A:B,2,0)</f>
        <v>#N/A</v>
      </c>
      <c r="E1776" s="128" t="e">
        <f>VLOOKUP(B1776,'LISTA 12'!$A$2:$G$301400,5,0)</f>
        <v>#N/A</v>
      </c>
      <c r="F1776" s="121" t="e">
        <f>VLOOKUP(B1776,'LISTA 12'!$A$2:$G$30100,7,0)</f>
        <v>#N/A</v>
      </c>
      <c r="G1776" s="254" t="e">
        <f>VLOOKUP(H1776,'lista 3'!$A$1:$C$31467,3,0)</f>
        <v>#N/A</v>
      </c>
      <c r="H1776" s="134"/>
      <c r="I1776" s="136"/>
      <c r="J1776" s="135"/>
      <c r="K1776" s="22"/>
    </row>
    <row r="1777" spans="1:11">
      <c r="A1777" s="241" t="e">
        <f>VLOOKUP(B1777,'lista 1'!$A$2:$E$30100,4,0)</f>
        <v>#N/A</v>
      </c>
      <c r="B1777" s="123"/>
      <c r="C1777" s="133" t="e">
        <f>VLOOKUP(B1777,'lista 1'!$A$2:$E$31000,5,0)</f>
        <v>#N/A</v>
      </c>
      <c r="D1777" s="167" t="e">
        <f>VLOOKUP(E13577,'lista obszary'!A:B,2,0)</f>
        <v>#N/A</v>
      </c>
      <c r="E1777" s="128" t="e">
        <f>VLOOKUP(B1777,'LISTA 12'!$A$2:$G$301400,5,0)</f>
        <v>#N/A</v>
      </c>
      <c r="F1777" s="121" t="e">
        <f>VLOOKUP(B1777,'LISTA 12'!$A$2:$G$30100,7,0)</f>
        <v>#N/A</v>
      </c>
      <c r="G1777" s="254" t="e">
        <f>VLOOKUP(H1777,'lista 3'!$A$1:$C$31467,3,0)</f>
        <v>#N/A</v>
      </c>
      <c r="H1777" s="134"/>
      <c r="I1777" s="136"/>
      <c r="J1777" s="135"/>
      <c r="K1777" s="22"/>
    </row>
    <row r="1778" spans="1:11">
      <c r="A1778" s="241" t="e">
        <f>VLOOKUP(B1778,'lista 1'!$A$2:$E$30100,4,0)</f>
        <v>#N/A</v>
      </c>
      <c r="B1778" s="123"/>
      <c r="C1778" s="133" t="e">
        <f>VLOOKUP(B1778,'lista 1'!$A$2:$E$31000,5,0)</f>
        <v>#N/A</v>
      </c>
      <c r="D1778" s="167" t="e">
        <f>VLOOKUP(E13578,'lista obszary'!A:B,2,0)</f>
        <v>#N/A</v>
      </c>
      <c r="E1778" s="128" t="e">
        <f>VLOOKUP(B1778,'LISTA 12'!$A$2:$G$301400,5,0)</f>
        <v>#N/A</v>
      </c>
      <c r="F1778" s="121" t="e">
        <f>VLOOKUP(B1778,'LISTA 12'!$A$2:$G$30100,7,0)</f>
        <v>#N/A</v>
      </c>
      <c r="G1778" s="254" t="e">
        <f>VLOOKUP(H1778,'lista 3'!$A$1:$C$31467,3,0)</f>
        <v>#N/A</v>
      </c>
      <c r="H1778" s="134"/>
      <c r="I1778" s="136"/>
      <c r="J1778" s="135"/>
      <c r="K1778" s="22"/>
    </row>
    <row r="1779" spans="1:11">
      <c r="A1779" s="241" t="e">
        <f>VLOOKUP(B1779,'lista 1'!$A$2:$E$30100,4,0)</f>
        <v>#N/A</v>
      </c>
      <c r="B1779" s="123"/>
      <c r="C1779" s="133" t="e">
        <f>VLOOKUP(B1779,'lista 1'!$A$2:$E$31000,5,0)</f>
        <v>#N/A</v>
      </c>
      <c r="D1779" s="167" t="e">
        <f>VLOOKUP(E13579,'lista obszary'!A:B,2,0)</f>
        <v>#N/A</v>
      </c>
      <c r="E1779" s="128" t="e">
        <f>VLOOKUP(B1779,'LISTA 12'!$A$2:$G$301400,5,0)</f>
        <v>#N/A</v>
      </c>
      <c r="F1779" s="121" t="e">
        <f>VLOOKUP(B1779,'LISTA 12'!$A$2:$G$30100,7,0)</f>
        <v>#N/A</v>
      </c>
      <c r="G1779" s="254" t="e">
        <f>VLOOKUP(H1779,'lista 3'!$A$1:$C$31467,3,0)</f>
        <v>#N/A</v>
      </c>
      <c r="H1779" s="134"/>
      <c r="I1779" s="136"/>
      <c r="J1779" s="135"/>
      <c r="K1779" s="22"/>
    </row>
    <row r="1780" spans="1:11">
      <c r="A1780" s="241" t="e">
        <f>VLOOKUP(B1780,'lista 1'!$A$2:$E$30100,4,0)</f>
        <v>#N/A</v>
      </c>
      <c r="B1780" s="123"/>
      <c r="C1780" s="133" t="e">
        <f>VLOOKUP(B1780,'lista 1'!$A$2:$E$31000,5,0)</f>
        <v>#N/A</v>
      </c>
      <c r="D1780" s="167" t="e">
        <f>VLOOKUP(E13580,'lista obszary'!A:B,2,0)</f>
        <v>#N/A</v>
      </c>
      <c r="E1780" s="128" t="e">
        <f>VLOOKUP(B1780,'LISTA 12'!$A$2:$G$301400,5,0)</f>
        <v>#N/A</v>
      </c>
      <c r="F1780" s="121" t="e">
        <f>VLOOKUP(B1780,'LISTA 12'!$A$2:$G$30100,7,0)</f>
        <v>#N/A</v>
      </c>
      <c r="G1780" s="254" t="e">
        <f>VLOOKUP(H1780,'lista 3'!$A$1:$C$31467,3,0)</f>
        <v>#N/A</v>
      </c>
      <c r="H1780" s="134"/>
      <c r="I1780" s="136"/>
      <c r="J1780" s="135"/>
      <c r="K1780" s="22"/>
    </row>
    <row r="1781" spans="1:11">
      <c r="A1781" s="241" t="e">
        <f>VLOOKUP(B1781,'lista 1'!$A$2:$E$30100,4,0)</f>
        <v>#N/A</v>
      </c>
      <c r="B1781" s="123"/>
      <c r="C1781" s="133" t="e">
        <f>VLOOKUP(B1781,'lista 1'!$A$2:$E$31000,5,0)</f>
        <v>#N/A</v>
      </c>
      <c r="D1781" s="167" t="e">
        <f>VLOOKUP(E13581,'lista obszary'!A:B,2,0)</f>
        <v>#N/A</v>
      </c>
      <c r="E1781" s="128" t="e">
        <f>VLOOKUP(B1781,'LISTA 12'!$A$2:$G$301400,5,0)</f>
        <v>#N/A</v>
      </c>
      <c r="F1781" s="121" t="e">
        <f>VLOOKUP(B1781,'LISTA 12'!$A$2:$G$30100,7,0)</f>
        <v>#N/A</v>
      </c>
      <c r="G1781" s="254" t="e">
        <f>VLOOKUP(H1781,'lista 3'!$A$1:$C$31467,3,0)</f>
        <v>#N/A</v>
      </c>
      <c r="H1781" s="134"/>
      <c r="I1781" s="136"/>
      <c r="J1781" s="135"/>
      <c r="K1781" s="22"/>
    </row>
    <row r="1782" spans="1:11">
      <c r="A1782" s="241" t="e">
        <f>VLOOKUP(B1782,'lista 1'!$A$2:$E$30100,4,0)</f>
        <v>#N/A</v>
      </c>
      <c r="B1782" s="123"/>
      <c r="C1782" s="133" t="e">
        <f>VLOOKUP(B1782,'lista 1'!$A$2:$E$31000,5,0)</f>
        <v>#N/A</v>
      </c>
      <c r="D1782" s="167" t="e">
        <f>VLOOKUP(E13582,'lista obszary'!A:B,2,0)</f>
        <v>#N/A</v>
      </c>
      <c r="E1782" s="128" t="e">
        <f>VLOOKUP(B1782,'LISTA 12'!$A$2:$G$301400,5,0)</f>
        <v>#N/A</v>
      </c>
      <c r="F1782" s="121" t="e">
        <f>VLOOKUP(B1782,'LISTA 12'!$A$2:$G$30100,7,0)</f>
        <v>#N/A</v>
      </c>
      <c r="G1782" s="254" t="e">
        <f>VLOOKUP(H1782,'lista 3'!$A$1:$C$31467,3,0)</f>
        <v>#N/A</v>
      </c>
      <c r="H1782" s="134"/>
      <c r="I1782" s="136"/>
      <c r="J1782" s="135"/>
      <c r="K1782" s="22"/>
    </row>
    <row r="1783" spans="1:11">
      <c r="A1783" s="241" t="e">
        <f>VLOOKUP(B1783,'lista 1'!$A$2:$E$30100,4,0)</f>
        <v>#N/A</v>
      </c>
      <c r="B1783" s="123"/>
      <c r="C1783" s="133" t="e">
        <f>VLOOKUP(B1783,'lista 1'!$A$2:$E$31000,5,0)</f>
        <v>#N/A</v>
      </c>
      <c r="D1783" s="167" t="e">
        <f>VLOOKUP(E13583,'lista obszary'!A:B,2,0)</f>
        <v>#N/A</v>
      </c>
      <c r="E1783" s="128" t="e">
        <f>VLOOKUP(B1783,'LISTA 12'!$A$2:$G$301400,5,0)</f>
        <v>#N/A</v>
      </c>
      <c r="F1783" s="121" t="e">
        <f>VLOOKUP(B1783,'LISTA 12'!$A$2:$G$30100,7,0)</f>
        <v>#N/A</v>
      </c>
      <c r="G1783" s="254" t="e">
        <f>VLOOKUP(H1783,'lista 3'!$A$1:$C$31467,3,0)</f>
        <v>#N/A</v>
      </c>
      <c r="H1783" s="134"/>
      <c r="I1783" s="136"/>
      <c r="J1783" s="135"/>
      <c r="K1783" s="22"/>
    </row>
    <row r="1784" spans="1:11">
      <c r="A1784" s="241" t="e">
        <f>VLOOKUP(B1784,'lista 1'!$A$2:$E$30100,4,0)</f>
        <v>#N/A</v>
      </c>
      <c r="B1784" s="123"/>
      <c r="C1784" s="133" t="e">
        <f>VLOOKUP(B1784,'lista 1'!$A$2:$E$31000,5,0)</f>
        <v>#N/A</v>
      </c>
      <c r="D1784" s="167" t="e">
        <f>VLOOKUP(E13584,'lista obszary'!A:B,2,0)</f>
        <v>#N/A</v>
      </c>
      <c r="E1784" s="128" t="e">
        <f>VLOOKUP(B1784,'LISTA 12'!$A$2:$G$301400,5,0)</f>
        <v>#N/A</v>
      </c>
      <c r="F1784" s="121" t="e">
        <f>VLOOKUP(B1784,'LISTA 12'!$A$2:$G$30100,7,0)</f>
        <v>#N/A</v>
      </c>
      <c r="G1784" s="254" t="e">
        <f>VLOOKUP(H1784,'lista 3'!$A$1:$C$31467,3,0)</f>
        <v>#N/A</v>
      </c>
      <c r="H1784" s="134"/>
      <c r="I1784" s="136"/>
      <c r="J1784" s="135"/>
      <c r="K1784" s="22"/>
    </row>
    <row r="1785" spans="1:11">
      <c r="A1785" s="241" t="e">
        <f>VLOOKUP(B1785,'lista 1'!$A$2:$E$30100,4,0)</f>
        <v>#N/A</v>
      </c>
      <c r="B1785" s="123"/>
      <c r="C1785" s="133" t="e">
        <f>VLOOKUP(B1785,'lista 1'!$A$2:$E$31000,5,0)</f>
        <v>#N/A</v>
      </c>
      <c r="D1785" s="167" t="e">
        <f>VLOOKUP(E13585,'lista obszary'!A:B,2,0)</f>
        <v>#N/A</v>
      </c>
      <c r="E1785" s="128" t="e">
        <f>VLOOKUP(B1785,'LISTA 12'!$A$2:$G$301400,5,0)</f>
        <v>#N/A</v>
      </c>
      <c r="F1785" s="121" t="e">
        <f>VLOOKUP(B1785,'LISTA 12'!$A$2:$G$30100,7,0)</f>
        <v>#N/A</v>
      </c>
      <c r="G1785" s="254" t="e">
        <f>VLOOKUP(H1785,'lista 3'!$A$1:$C$31467,3,0)</f>
        <v>#N/A</v>
      </c>
      <c r="H1785" s="134"/>
      <c r="I1785" s="136"/>
      <c r="J1785" s="135"/>
      <c r="K1785" s="22"/>
    </row>
    <row r="1786" spans="1:11">
      <c r="A1786" s="241" t="e">
        <f>VLOOKUP(B1786,'lista 1'!$A$2:$E$30100,4,0)</f>
        <v>#N/A</v>
      </c>
      <c r="B1786" s="123"/>
      <c r="C1786" s="133" t="e">
        <f>VLOOKUP(B1786,'lista 1'!$A$2:$E$31000,5,0)</f>
        <v>#N/A</v>
      </c>
      <c r="D1786" s="167" t="e">
        <f>VLOOKUP(E13586,'lista obszary'!A:B,2,0)</f>
        <v>#N/A</v>
      </c>
      <c r="E1786" s="128" t="e">
        <f>VLOOKUP(B1786,'LISTA 12'!$A$2:$G$301400,5,0)</f>
        <v>#N/A</v>
      </c>
      <c r="F1786" s="121" t="e">
        <f>VLOOKUP(B1786,'LISTA 12'!$A$2:$G$30100,7,0)</f>
        <v>#N/A</v>
      </c>
      <c r="G1786" s="254" t="e">
        <f>VLOOKUP(H1786,'lista 3'!$A$1:$C$31467,3,0)</f>
        <v>#N/A</v>
      </c>
      <c r="H1786" s="134"/>
      <c r="I1786" s="136"/>
      <c r="J1786" s="135"/>
      <c r="K1786" s="22"/>
    </row>
    <row r="1787" spans="1:11">
      <c r="A1787" s="241" t="e">
        <f>VLOOKUP(B1787,'lista 1'!$A$2:$E$30100,4,0)</f>
        <v>#N/A</v>
      </c>
      <c r="B1787" s="123"/>
      <c r="C1787" s="133" t="e">
        <f>VLOOKUP(B1787,'lista 1'!$A$2:$E$31000,5,0)</f>
        <v>#N/A</v>
      </c>
      <c r="D1787" s="167" t="e">
        <f>VLOOKUP(E13587,'lista obszary'!A:B,2,0)</f>
        <v>#N/A</v>
      </c>
      <c r="E1787" s="128" t="e">
        <f>VLOOKUP(B1787,'LISTA 12'!$A$2:$G$301400,5,0)</f>
        <v>#N/A</v>
      </c>
      <c r="F1787" s="121" t="e">
        <f>VLOOKUP(B1787,'LISTA 12'!$A$2:$G$30100,7,0)</f>
        <v>#N/A</v>
      </c>
      <c r="G1787" s="254" t="e">
        <f>VLOOKUP(H1787,'lista 3'!$A$1:$C$31467,3,0)</f>
        <v>#N/A</v>
      </c>
      <c r="H1787" s="134"/>
      <c r="I1787" s="136"/>
      <c r="J1787" s="135"/>
      <c r="K1787" s="22"/>
    </row>
    <row r="1788" spans="1:11">
      <c r="A1788" s="241" t="e">
        <f>VLOOKUP(B1788,'lista 1'!$A$2:$E$30100,4,0)</f>
        <v>#N/A</v>
      </c>
      <c r="B1788" s="123"/>
      <c r="C1788" s="133" t="e">
        <f>VLOOKUP(B1788,'lista 1'!$A$2:$E$31000,5,0)</f>
        <v>#N/A</v>
      </c>
      <c r="D1788" s="167" t="e">
        <f>VLOOKUP(E13588,'lista obszary'!A:B,2,0)</f>
        <v>#N/A</v>
      </c>
      <c r="E1788" s="128" t="e">
        <f>VLOOKUP(B1788,'LISTA 12'!$A$2:$G$301400,5,0)</f>
        <v>#N/A</v>
      </c>
      <c r="F1788" s="121" t="e">
        <f>VLOOKUP(B1788,'LISTA 12'!$A$2:$G$30100,7,0)</f>
        <v>#N/A</v>
      </c>
      <c r="G1788" s="254" t="e">
        <f>VLOOKUP(H1788,'lista 3'!$A$1:$C$31467,3,0)</f>
        <v>#N/A</v>
      </c>
      <c r="H1788" s="134"/>
      <c r="I1788" s="136"/>
      <c r="J1788" s="135"/>
      <c r="K1788" s="22"/>
    </row>
    <row r="1789" spans="1:11">
      <c r="A1789" s="241" t="e">
        <f>VLOOKUP(B1789,'lista 1'!$A$2:$E$30100,4,0)</f>
        <v>#N/A</v>
      </c>
      <c r="B1789" s="123"/>
      <c r="C1789" s="133" t="e">
        <f>VLOOKUP(B1789,'lista 1'!$A$2:$E$31000,5,0)</f>
        <v>#N/A</v>
      </c>
      <c r="D1789" s="167" t="e">
        <f>VLOOKUP(E13589,'lista obszary'!A:B,2,0)</f>
        <v>#N/A</v>
      </c>
      <c r="E1789" s="128" t="e">
        <f>VLOOKUP(B1789,'LISTA 12'!$A$2:$G$301400,5,0)</f>
        <v>#N/A</v>
      </c>
      <c r="F1789" s="121" t="e">
        <f>VLOOKUP(B1789,'LISTA 12'!$A$2:$G$30100,7,0)</f>
        <v>#N/A</v>
      </c>
      <c r="G1789" s="254" t="e">
        <f>VLOOKUP(H1789,'lista 3'!$A$1:$C$31467,3,0)</f>
        <v>#N/A</v>
      </c>
      <c r="H1789" s="134"/>
      <c r="I1789" s="136"/>
      <c r="J1789" s="135"/>
      <c r="K1789" s="22"/>
    </row>
    <row r="1790" spans="1:11">
      <c r="A1790" s="241" t="e">
        <f>VLOOKUP(B1790,'lista 1'!$A$2:$E$30100,4,0)</f>
        <v>#N/A</v>
      </c>
      <c r="B1790" s="123"/>
      <c r="C1790" s="133" t="e">
        <f>VLOOKUP(B1790,'lista 1'!$A$2:$E$31000,5,0)</f>
        <v>#N/A</v>
      </c>
      <c r="D1790" s="167" t="e">
        <f>VLOOKUP(E13590,'lista obszary'!A:B,2,0)</f>
        <v>#N/A</v>
      </c>
      <c r="E1790" s="128" t="e">
        <f>VLOOKUP(B1790,'LISTA 12'!$A$2:$G$301400,5,0)</f>
        <v>#N/A</v>
      </c>
      <c r="F1790" s="121" t="e">
        <f>VLOOKUP(B1790,'LISTA 12'!$A$2:$G$30100,7,0)</f>
        <v>#N/A</v>
      </c>
      <c r="G1790" s="254" t="e">
        <f>VLOOKUP(H1790,'lista 3'!$A$1:$C$31467,3,0)</f>
        <v>#N/A</v>
      </c>
      <c r="H1790" s="134"/>
      <c r="I1790" s="136"/>
      <c r="J1790" s="135"/>
      <c r="K1790" s="22"/>
    </row>
    <row r="1791" spans="1:11">
      <c r="A1791" s="241" t="e">
        <f>VLOOKUP(B1791,'lista 1'!$A$2:$E$30100,4,0)</f>
        <v>#N/A</v>
      </c>
      <c r="B1791" s="123"/>
      <c r="C1791" s="133" t="e">
        <f>VLOOKUP(B1791,'lista 1'!$A$2:$E$31000,5,0)</f>
        <v>#N/A</v>
      </c>
      <c r="D1791" s="167" t="e">
        <f>VLOOKUP(E13591,'lista obszary'!A:B,2,0)</f>
        <v>#N/A</v>
      </c>
      <c r="E1791" s="128" t="e">
        <f>VLOOKUP(B1791,'LISTA 12'!$A$2:$G$301400,5,0)</f>
        <v>#N/A</v>
      </c>
      <c r="F1791" s="121" t="e">
        <f>VLOOKUP(B1791,'LISTA 12'!$A$2:$G$30100,7,0)</f>
        <v>#N/A</v>
      </c>
      <c r="G1791" s="254" t="e">
        <f>VLOOKUP(H1791,'lista 3'!$A$1:$C$31467,3,0)</f>
        <v>#N/A</v>
      </c>
      <c r="H1791" s="134"/>
      <c r="I1791" s="136"/>
      <c r="J1791" s="135"/>
      <c r="K1791" s="22"/>
    </row>
    <row r="1792" spans="1:11">
      <c r="A1792" s="241" t="e">
        <f>VLOOKUP(B1792,'lista 1'!$A$2:$E$30100,4,0)</f>
        <v>#N/A</v>
      </c>
      <c r="B1792" s="123"/>
      <c r="C1792" s="133" t="e">
        <f>VLOOKUP(B1792,'lista 1'!$A$2:$E$31000,5,0)</f>
        <v>#N/A</v>
      </c>
      <c r="D1792" s="167" t="e">
        <f>VLOOKUP(E13592,'lista obszary'!A:B,2,0)</f>
        <v>#N/A</v>
      </c>
      <c r="E1792" s="128" t="e">
        <f>VLOOKUP(B1792,'LISTA 12'!$A$2:$G$301400,5,0)</f>
        <v>#N/A</v>
      </c>
      <c r="F1792" s="121" t="e">
        <f>VLOOKUP(B1792,'LISTA 12'!$A$2:$G$30100,7,0)</f>
        <v>#N/A</v>
      </c>
      <c r="G1792" s="254" t="e">
        <f>VLOOKUP(H1792,'lista 3'!$A$1:$C$31467,3,0)</f>
        <v>#N/A</v>
      </c>
      <c r="H1792" s="134"/>
      <c r="I1792" s="136"/>
      <c r="J1792" s="135"/>
      <c r="K1792" s="22"/>
    </row>
    <row r="1793" spans="1:11">
      <c r="A1793" s="241" t="e">
        <f>VLOOKUP(B1793,'lista 1'!$A$2:$E$30100,4,0)</f>
        <v>#N/A</v>
      </c>
      <c r="B1793" s="123"/>
      <c r="C1793" s="133" t="e">
        <f>VLOOKUP(B1793,'lista 1'!$A$2:$E$31000,5,0)</f>
        <v>#N/A</v>
      </c>
      <c r="D1793" s="167" t="e">
        <f>VLOOKUP(E13593,'lista obszary'!A:B,2,0)</f>
        <v>#N/A</v>
      </c>
      <c r="E1793" s="128" t="e">
        <f>VLOOKUP(B1793,'LISTA 12'!$A$2:$G$301400,5,0)</f>
        <v>#N/A</v>
      </c>
      <c r="F1793" s="121" t="e">
        <f>VLOOKUP(B1793,'LISTA 12'!$A$2:$G$30100,7,0)</f>
        <v>#N/A</v>
      </c>
      <c r="G1793" s="254" t="e">
        <f>VLOOKUP(H1793,'lista 3'!$A$1:$C$31467,3,0)</f>
        <v>#N/A</v>
      </c>
      <c r="H1793" s="134"/>
      <c r="I1793" s="136"/>
      <c r="J1793" s="135"/>
      <c r="K1793" s="22"/>
    </row>
    <row r="1794" spans="1:11">
      <c r="A1794" s="241" t="e">
        <f>VLOOKUP(B1794,'lista 1'!$A$2:$E$30100,4,0)</f>
        <v>#N/A</v>
      </c>
      <c r="B1794" s="123"/>
      <c r="C1794" s="133" t="e">
        <f>VLOOKUP(B1794,'lista 1'!$A$2:$E$31000,5,0)</f>
        <v>#N/A</v>
      </c>
      <c r="D1794" s="167" t="e">
        <f>VLOOKUP(E13594,'lista obszary'!A:B,2,0)</f>
        <v>#N/A</v>
      </c>
      <c r="E1794" s="128" t="e">
        <f>VLOOKUP(B1794,'LISTA 12'!$A$2:$G$301400,5,0)</f>
        <v>#N/A</v>
      </c>
      <c r="F1794" s="121" t="e">
        <f>VLOOKUP(B1794,'LISTA 12'!$A$2:$G$30100,7,0)</f>
        <v>#N/A</v>
      </c>
      <c r="G1794" s="254" t="e">
        <f>VLOOKUP(H1794,'lista 3'!$A$1:$C$31467,3,0)</f>
        <v>#N/A</v>
      </c>
      <c r="H1794" s="134"/>
      <c r="I1794" s="136"/>
      <c r="J1794" s="135"/>
      <c r="K1794" s="22"/>
    </row>
    <row r="1795" spans="1:11">
      <c r="A1795" s="241" t="e">
        <f>VLOOKUP(B1795,'lista 1'!$A$2:$E$30100,4,0)</f>
        <v>#N/A</v>
      </c>
      <c r="B1795" s="123"/>
      <c r="C1795" s="133" t="e">
        <f>VLOOKUP(B1795,'lista 1'!$A$2:$E$31000,5,0)</f>
        <v>#N/A</v>
      </c>
      <c r="D1795" s="167" t="e">
        <f>VLOOKUP(E13595,'lista obszary'!A:B,2,0)</f>
        <v>#N/A</v>
      </c>
      <c r="E1795" s="128" t="e">
        <f>VLOOKUP(B1795,'LISTA 12'!$A$2:$G$301400,5,0)</f>
        <v>#N/A</v>
      </c>
      <c r="F1795" s="121" t="e">
        <f>VLOOKUP(B1795,'LISTA 12'!$A$2:$G$30100,7,0)</f>
        <v>#N/A</v>
      </c>
      <c r="G1795" s="254" t="e">
        <f>VLOOKUP(H1795,'lista 3'!$A$1:$C$31467,3,0)</f>
        <v>#N/A</v>
      </c>
      <c r="H1795" s="134"/>
      <c r="I1795" s="136"/>
      <c r="J1795" s="135"/>
      <c r="K1795" s="22"/>
    </row>
    <row r="1796" spans="1:11">
      <c r="A1796" s="241" t="e">
        <f>VLOOKUP(B1796,'lista 1'!$A$2:$E$30100,4,0)</f>
        <v>#N/A</v>
      </c>
      <c r="B1796" s="123"/>
      <c r="C1796" s="133" t="e">
        <f>VLOOKUP(B1796,'lista 1'!$A$2:$E$31000,5,0)</f>
        <v>#N/A</v>
      </c>
      <c r="D1796" s="167" t="e">
        <f>VLOOKUP(E13596,'lista obszary'!A:B,2,0)</f>
        <v>#N/A</v>
      </c>
      <c r="E1796" s="128" t="e">
        <f>VLOOKUP(B1796,'LISTA 12'!$A$2:$G$301400,5,0)</f>
        <v>#N/A</v>
      </c>
      <c r="F1796" s="121" t="e">
        <f>VLOOKUP(B1796,'LISTA 12'!$A$2:$G$30100,7,0)</f>
        <v>#N/A</v>
      </c>
      <c r="G1796" s="254" t="e">
        <f>VLOOKUP(H1796,'lista 3'!$A$1:$C$31467,3,0)</f>
        <v>#N/A</v>
      </c>
      <c r="H1796" s="134"/>
      <c r="I1796" s="136"/>
      <c r="J1796" s="135"/>
      <c r="K1796" s="22"/>
    </row>
    <row r="1797" spans="1:11">
      <c r="A1797" s="241" t="e">
        <f>VLOOKUP(B1797,'lista 1'!$A$2:$E$30100,4,0)</f>
        <v>#N/A</v>
      </c>
      <c r="B1797" s="123"/>
      <c r="C1797" s="133" t="e">
        <f>VLOOKUP(B1797,'lista 1'!$A$2:$E$31000,5,0)</f>
        <v>#N/A</v>
      </c>
      <c r="D1797" s="167" t="e">
        <f>VLOOKUP(E13597,'lista obszary'!A:B,2,0)</f>
        <v>#N/A</v>
      </c>
      <c r="E1797" s="128" t="e">
        <f>VLOOKUP(B1797,'LISTA 12'!$A$2:$G$301400,5,0)</f>
        <v>#N/A</v>
      </c>
      <c r="F1797" s="121" t="e">
        <f>VLOOKUP(B1797,'LISTA 12'!$A$2:$G$30100,7,0)</f>
        <v>#N/A</v>
      </c>
      <c r="G1797" s="254" t="e">
        <f>VLOOKUP(H1797,'lista 3'!$A$1:$C$31467,3,0)</f>
        <v>#N/A</v>
      </c>
      <c r="H1797" s="134"/>
      <c r="I1797" s="136"/>
      <c r="J1797" s="135"/>
      <c r="K1797" s="22"/>
    </row>
    <row r="1798" spans="1:11">
      <c r="A1798" s="241" t="e">
        <f>VLOOKUP(B1798,'lista 1'!$A$2:$E$30100,4,0)</f>
        <v>#N/A</v>
      </c>
      <c r="B1798" s="123"/>
      <c r="C1798" s="133" t="e">
        <f>VLOOKUP(B1798,'lista 1'!$A$2:$E$31000,5,0)</f>
        <v>#N/A</v>
      </c>
      <c r="D1798" s="167" t="e">
        <f>VLOOKUP(E13598,'lista obszary'!A:B,2,0)</f>
        <v>#N/A</v>
      </c>
      <c r="E1798" s="128" t="e">
        <f>VLOOKUP(B1798,'LISTA 12'!$A$2:$G$301400,5,0)</f>
        <v>#N/A</v>
      </c>
      <c r="F1798" s="121" t="e">
        <f>VLOOKUP(B1798,'LISTA 12'!$A$2:$G$30100,7,0)</f>
        <v>#N/A</v>
      </c>
      <c r="G1798" s="254" t="e">
        <f>VLOOKUP(H1798,'lista 3'!$A$1:$C$31467,3,0)</f>
        <v>#N/A</v>
      </c>
      <c r="H1798" s="134"/>
      <c r="I1798" s="136"/>
      <c r="J1798" s="135"/>
      <c r="K1798" s="22"/>
    </row>
    <row r="1799" spans="1:11">
      <c r="A1799" s="241" t="e">
        <f>VLOOKUP(B1799,'lista 1'!$A$2:$E$30100,4,0)</f>
        <v>#N/A</v>
      </c>
      <c r="B1799" s="123"/>
      <c r="C1799" s="133" t="e">
        <f>VLOOKUP(B1799,'lista 1'!$A$2:$E$31000,5,0)</f>
        <v>#N/A</v>
      </c>
      <c r="D1799" s="167" t="e">
        <f>VLOOKUP(E13599,'lista obszary'!A:B,2,0)</f>
        <v>#N/A</v>
      </c>
      <c r="E1799" s="128" t="e">
        <f>VLOOKUP(B1799,'LISTA 12'!$A$2:$G$301400,5,0)</f>
        <v>#N/A</v>
      </c>
      <c r="F1799" s="121" t="e">
        <f>VLOOKUP(B1799,'LISTA 12'!$A$2:$G$30100,7,0)</f>
        <v>#N/A</v>
      </c>
      <c r="G1799" s="254" t="e">
        <f>VLOOKUP(H1799,'lista 3'!$A$1:$C$31467,3,0)</f>
        <v>#N/A</v>
      </c>
      <c r="H1799" s="134"/>
      <c r="I1799" s="136"/>
      <c r="J1799" s="135"/>
      <c r="K1799" s="22"/>
    </row>
    <row r="1800" spans="1:11">
      <c r="A1800" s="241" t="e">
        <f>VLOOKUP(B1800,'lista 1'!$A$2:$E$30100,4,0)</f>
        <v>#N/A</v>
      </c>
      <c r="B1800" s="123"/>
      <c r="C1800" s="133" t="e">
        <f>VLOOKUP(B1800,'lista 1'!$A$2:$E$31000,5,0)</f>
        <v>#N/A</v>
      </c>
      <c r="D1800" s="167" t="e">
        <f>VLOOKUP(E13600,'lista obszary'!A:B,2,0)</f>
        <v>#N/A</v>
      </c>
      <c r="E1800" s="128" t="e">
        <f>VLOOKUP(B1800,'LISTA 12'!$A$2:$G$301400,5,0)</f>
        <v>#N/A</v>
      </c>
      <c r="F1800" s="121" t="e">
        <f>VLOOKUP(B1800,'LISTA 12'!$A$2:$G$30100,7,0)</f>
        <v>#N/A</v>
      </c>
      <c r="G1800" s="254" t="e">
        <f>VLOOKUP(H1800,'lista 3'!$A$1:$C$31467,3,0)</f>
        <v>#N/A</v>
      </c>
      <c r="H1800" s="134"/>
      <c r="I1800" s="136"/>
      <c r="J1800" s="135"/>
      <c r="K1800" s="22"/>
    </row>
    <row r="1801" spans="1:11">
      <c r="A1801" s="241" t="e">
        <f>VLOOKUP(B1801,'lista 1'!$A$2:$E$30100,4,0)</f>
        <v>#N/A</v>
      </c>
      <c r="B1801" s="123"/>
      <c r="C1801" s="133" t="e">
        <f>VLOOKUP(B1801,'lista 1'!$A$2:$E$31000,5,0)</f>
        <v>#N/A</v>
      </c>
      <c r="D1801" s="167" t="e">
        <f>VLOOKUP(E13601,'lista obszary'!A:B,2,0)</f>
        <v>#N/A</v>
      </c>
      <c r="E1801" s="128" t="e">
        <f>VLOOKUP(B1801,'LISTA 12'!$A$2:$G$301400,5,0)</f>
        <v>#N/A</v>
      </c>
      <c r="F1801" s="121" t="e">
        <f>VLOOKUP(B1801,'LISTA 12'!$A$2:$G$30100,7,0)</f>
        <v>#N/A</v>
      </c>
      <c r="G1801" s="254" t="e">
        <f>VLOOKUP(H1801,'lista 3'!$A$1:$C$31467,3,0)</f>
        <v>#N/A</v>
      </c>
      <c r="H1801" s="134"/>
      <c r="I1801" s="136"/>
      <c r="J1801" s="135"/>
      <c r="K1801" s="22"/>
    </row>
    <row r="1802" spans="1:11">
      <c r="A1802" s="241" t="e">
        <f>VLOOKUP(B1802,'lista 1'!$A$2:$E$30100,4,0)</f>
        <v>#N/A</v>
      </c>
      <c r="B1802" s="123"/>
      <c r="C1802" s="133" t="e">
        <f>VLOOKUP(B1802,'lista 1'!$A$2:$E$31000,5,0)</f>
        <v>#N/A</v>
      </c>
      <c r="D1802" s="167" t="e">
        <f>VLOOKUP(E13602,'lista obszary'!A:B,2,0)</f>
        <v>#N/A</v>
      </c>
      <c r="E1802" s="128" t="e">
        <f>VLOOKUP(B1802,'LISTA 12'!$A$2:$G$301400,5,0)</f>
        <v>#N/A</v>
      </c>
      <c r="F1802" s="121" t="e">
        <f>VLOOKUP(B1802,'LISTA 12'!$A$2:$G$30100,7,0)</f>
        <v>#N/A</v>
      </c>
      <c r="G1802" s="254" t="e">
        <f>VLOOKUP(H1802,'lista 3'!$A$1:$C$31467,3,0)</f>
        <v>#N/A</v>
      </c>
      <c r="H1802" s="134"/>
      <c r="I1802" s="136"/>
      <c r="J1802" s="135"/>
      <c r="K1802" s="22"/>
    </row>
    <row r="1803" spans="1:11">
      <c r="A1803" s="241" t="e">
        <f>VLOOKUP(B1803,'lista 1'!$A$2:$E$30100,4,0)</f>
        <v>#N/A</v>
      </c>
      <c r="B1803" s="123"/>
      <c r="C1803" s="133" t="e">
        <f>VLOOKUP(B1803,'lista 1'!$A$2:$E$31000,5,0)</f>
        <v>#N/A</v>
      </c>
      <c r="D1803" s="167" t="e">
        <f>VLOOKUP(E13603,'lista obszary'!A:B,2,0)</f>
        <v>#N/A</v>
      </c>
      <c r="E1803" s="128" t="e">
        <f>VLOOKUP(B1803,'LISTA 12'!$A$2:$G$301400,5,0)</f>
        <v>#N/A</v>
      </c>
      <c r="F1803" s="121" t="e">
        <f>VLOOKUP(B1803,'LISTA 12'!$A$2:$G$30100,7,0)</f>
        <v>#N/A</v>
      </c>
      <c r="G1803" s="254" t="e">
        <f>VLOOKUP(H1803,'lista 3'!$A$1:$C$31467,3,0)</f>
        <v>#N/A</v>
      </c>
      <c r="H1803" s="134"/>
      <c r="I1803" s="136"/>
      <c r="J1803" s="135"/>
      <c r="K1803" s="22"/>
    </row>
    <row r="1804" spans="1:11">
      <c r="A1804" s="241" t="e">
        <f>VLOOKUP(B1804,'lista 1'!$A$2:$E$30100,4,0)</f>
        <v>#N/A</v>
      </c>
      <c r="B1804" s="123"/>
      <c r="C1804" s="133" t="e">
        <f>VLOOKUP(B1804,'lista 1'!$A$2:$E$31000,5,0)</f>
        <v>#N/A</v>
      </c>
      <c r="D1804" s="167" t="e">
        <f>VLOOKUP(E13604,'lista obszary'!A:B,2,0)</f>
        <v>#N/A</v>
      </c>
      <c r="E1804" s="128" t="e">
        <f>VLOOKUP(B1804,'LISTA 12'!$A$2:$G$301400,5,0)</f>
        <v>#N/A</v>
      </c>
      <c r="F1804" s="121" t="e">
        <f>VLOOKUP(B1804,'LISTA 12'!$A$2:$G$30100,7,0)</f>
        <v>#N/A</v>
      </c>
      <c r="G1804" s="254" t="e">
        <f>VLOOKUP(H1804,'lista 3'!$A$1:$C$31467,3,0)</f>
        <v>#N/A</v>
      </c>
      <c r="H1804" s="134"/>
      <c r="I1804" s="136"/>
      <c r="J1804" s="135"/>
      <c r="K1804" s="22"/>
    </row>
    <row r="1805" spans="1:11">
      <c r="A1805" s="241" t="e">
        <f>VLOOKUP(B1805,'lista 1'!$A$2:$E$30100,4,0)</f>
        <v>#N/A</v>
      </c>
      <c r="B1805" s="123"/>
      <c r="C1805" s="133" t="e">
        <f>VLOOKUP(B1805,'lista 1'!$A$2:$E$31000,5,0)</f>
        <v>#N/A</v>
      </c>
      <c r="D1805" s="167" t="e">
        <f>VLOOKUP(E13605,'lista obszary'!A:B,2,0)</f>
        <v>#N/A</v>
      </c>
      <c r="E1805" s="128" t="e">
        <f>VLOOKUP(B1805,'LISTA 12'!$A$2:$G$301400,5,0)</f>
        <v>#N/A</v>
      </c>
      <c r="F1805" s="121" t="e">
        <f>VLOOKUP(B1805,'LISTA 12'!$A$2:$G$30100,7,0)</f>
        <v>#N/A</v>
      </c>
      <c r="G1805" s="254" t="e">
        <f>VLOOKUP(H1805,'lista 3'!$A$1:$C$31467,3,0)</f>
        <v>#N/A</v>
      </c>
      <c r="H1805" s="134"/>
      <c r="I1805" s="136"/>
      <c r="J1805" s="135"/>
      <c r="K1805" s="22"/>
    </row>
    <row r="1806" spans="1:11">
      <c r="A1806" s="241" t="e">
        <f>VLOOKUP(B1806,'lista 1'!$A$2:$E$30100,4,0)</f>
        <v>#N/A</v>
      </c>
      <c r="B1806" s="123"/>
      <c r="C1806" s="133" t="e">
        <f>VLOOKUP(B1806,'lista 1'!$A$2:$E$31000,5,0)</f>
        <v>#N/A</v>
      </c>
      <c r="D1806" s="167" t="e">
        <f>VLOOKUP(E13606,'lista obszary'!A:B,2,0)</f>
        <v>#N/A</v>
      </c>
      <c r="E1806" s="128" t="e">
        <f>VLOOKUP(B1806,'LISTA 12'!$A$2:$G$301400,5,0)</f>
        <v>#N/A</v>
      </c>
      <c r="F1806" s="121" t="e">
        <f>VLOOKUP(B1806,'LISTA 12'!$A$2:$G$30100,7,0)</f>
        <v>#N/A</v>
      </c>
      <c r="G1806" s="254" t="e">
        <f>VLOOKUP(H1806,'lista 3'!$A$1:$C$31467,3,0)</f>
        <v>#N/A</v>
      </c>
      <c r="H1806" s="134"/>
      <c r="I1806" s="136"/>
      <c r="J1806" s="135"/>
      <c r="K1806" s="22"/>
    </row>
    <row r="1807" spans="1:11">
      <c r="A1807" s="241" t="e">
        <f>VLOOKUP(B1807,'lista 1'!$A$2:$E$30100,4,0)</f>
        <v>#N/A</v>
      </c>
      <c r="B1807" s="123"/>
      <c r="C1807" s="133" t="e">
        <f>VLOOKUP(B1807,'lista 1'!$A$2:$E$31000,5,0)</f>
        <v>#N/A</v>
      </c>
      <c r="D1807" s="167" t="e">
        <f>VLOOKUP(E13607,'lista obszary'!A:B,2,0)</f>
        <v>#N/A</v>
      </c>
      <c r="E1807" s="128" t="e">
        <f>VLOOKUP(B1807,'LISTA 12'!$A$2:$G$301400,5,0)</f>
        <v>#N/A</v>
      </c>
      <c r="F1807" s="121" t="e">
        <f>VLOOKUP(B1807,'LISTA 12'!$A$2:$G$30100,7,0)</f>
        <v>#N/A</v>
      </c>
      <c r="G1807" s="254" t="e">
        <f>VLOOKUP(H1807,'lista 3'!$A$1:$C$31467,3,0)</f>
        <v>#N/A</v>
      </c>
      <c r="H1807" s="134"/>
      <c r="I1807" s="136"/>
      <c r="J1807" s="135"/>
      <c r="K1807" s="22"/>
    </row>
    <row r="1808" spans="1:11">
      <c r="A1808" s="241" t="e">
        <f>VLOOKUP(B1808,'lista 1'!$A$2:$E$30100,4,0)</f>
        <v>#N/A</v>
      </c>
      <c r="B1808" s="123"/>
      <c r="C1808" s="133" t="e">
        <f>VLOOKUP(B1808,'lista 1'!$A$2:$E$31000,5,0)</f>
        <v>#N/A</v>
      </c>
      <c r="D1808" s="167" t="e">
        <f>VLOOKUP(E13608,'lista obszary'!A:B,2,0)</f>
        <v>#N/A</v>
      </c>
      <c r="E1808" s="128" t="e">
        <f>VLOOKUP(B1808,'LISTA 12'!$A$2:$G$301400,5,0)</f>
        <v>#N/A</v>
      </c>
      <c r="F1808" s="121" t="e">
        <f>VLOOKUP(B1808,'LISTA 12'!$A$2:$G$30100,7,0)</f>
        <v>#N/A</v>
      </c>
      <c r="G1808" s="254" t="e">
        <f>VLOOKUP(H1808,'lista 3'!$A$1:$C$31467,3,0)</f>
        <v>#N/A</v>
      </c>
      <c r="H1808" s="134"/>
      <c r="I1808" s="136"/>
      <c r="J1808" s="135"/>
      <c r="K1808" s="22"/>
    </row>
    <row r="1809" spans="1:11">
      <c r="A1809" s="241" t="e">
        <f>VLOOKUP(B1809,'lista 1'!$A$2:$E$30100,4,0)</f>
        <v>#N/A</v>
      </c>
      <c r="B1809" s="123"/>
      <c r="C1809" s="133" t="e">
        <f>VLOOKUP(B1809,'lista 1'!$A$2:$E$31000,5,0)</f>
        <v>#N/A</v>
      </c>
      <c r="D1809" s="167" t="e">
        <f>VLOOKUP(E13609,'lista obszary'!A:B,2,0)</f>
        <v>#N/A</v>
      </c>
      <c r="E1809" s="128" t="e">
        <f>VLOOKUP(B1809,'LISTA 12'!$A$2:$G$301400,5,0)</f>
        <v>#N/A</v>
      </c>
      <c r="F1809" s="121" t="e">
        <f>VLOOKUP(B1809,'LISTA 12'!$A$2:$G$30100,7,0)</f>
        <v>#N/A</v>
      </c>
      <c r="G1809" s="254" t="e">
        <f>VLOOKUP(H1809,'lista 3'!$A$1:$C$31467,3,0)</f>
        <v>#N/A</v>
      </c>
      <c r="H1809" s="134"/>
      <c r="I1809" s="136"/>
      <c r="J1809" s="135"/>
      <c r="K1809" s="22"/>
    </row>
    <row r="1810" spans="1:11">
      <c r="A1810" s="241" t="e">
        <f>VLOOKUP(B1810,'lista 1'!$A$2:$E$30100,4,0)</f>
        <v>#N/A</v>
      </c>
      <c r="B1810" s="123"/>
      <c r="C1810" s="133" t="e">
        <f>VLOOKUP(B1810,'lista 1'!$A$2:$E$31000,5,0)</f>
        <v>#N/A</v>
      </c>
      <c r="D1810" s="167" t="e">
        <f>VLOOKUP(E13610,'lista obszary'!A:B,2,0)</f>
        <v>#N/A</v>
      </c>
      <c r="E1810" s="128" t="e">
        <f>VLOOKUP(B1810,'LISTA 12'!$A$2:$G$301400,5,0)</f>
        <v>#N/A</v>
      </c>
      <c r="F1810" s="121" t="e">
        <f>VLOOKUP(B1810,'LISTA 12'!$A$2:$G$30100,7,0)</f>
        <v>#N/A</v>
      </c>
      <c r="G1810" s="254" t="e">
        <f>VLOOKUP(H1810,'lista 3'!$A$1:$C$31467,3,0)</f>
        <v>#N/A</v>
      </c>
      <c r="H1810" s="134"/>
      <c r="I1810" s="136"/>
      <c r="J1810" s="135"/>
      <c r="K1810" s="22"/>
    </row>
    <row r="1811" spans="1:11">
      <c r="A1811" s="241" t="e">
        <f>VLOOKUP(B1811,'lista 1'!$A$2:$E$30100,4,0)</f>
        <v>#N/A</v>
      </c>
      <c r="B1811" s="123"/>
      <c r="C1811" s="133" t="e">
        <f>VLOOKUP(B1811,'lista 1'!$A$2:$E$31000,5,0)</f>
        <v>#N/A</v>
      </c>
      <c r="D1811" s="167" t="e">
        <f>VLOOKUP(E13611,'lista obszary'!A:B,2,0)</f>
        <v>#N/A</v>
      </c>
      <c r="E1811" s="128" t="e">
        <f>VLOOKUP(B1811,'LISTA 12'!$A$2:$G$301400,5,0)</f>
        <v>#N/A</v>
      </c>
      <c r="F1811" s="121" t="e">
        <f>VLOOKUP(B1811,'LISTA 12'!$A$2:$G$30100,7,0)</f>
        <v>#N/A</v>
      </c>
      <c r="G1811" s="254" t="e">
        <f>VLOOKUP(H1811,'lista 3'!$A$1:$C$31467,3,0)</f>
        <v>#N/A</v>
      </c>
      <c r="H1811" s="134"/>
      <c r="I1811" s="136"/>
      <c r="J1811" s="135"/>
      <c r="K1811" s="22"/>
    </row>
    <row r="1812" spans="1:11">
      <c r="A1812" s="241" t="e">
        <f>VLOOKUP(B1812,'lista 1'!$A$2:$E$30100,4,0)</f>
        <v>#N/A</v>
      </c>
      <c r="B1812" s="123"/>
      <c r="C1812" s="133" t="e">
        <f>VLOOKUP(B1812,'lista 1'!$A$2:$E$31000,5,0)</f>
        <v>#N/A</v>
      </c>
      <c r="D1812" s="167" t="e">
        <f>VLOOKUP(E13612,'lista obszary'!A:B,2,0)</f>
        <v>#N/A</v>
      </c>
      <c r="E1812" s="128" t="e">
        <f>VLOOKUP(B1812,'LISTA 12'!$A$2:$G$301400,5,0)</f>
        <v>#N/A</v>
      </c>
      <c r="F1812" s="121" t="e">
        <f>VLOOKUP(B1812,'LISTA 12'!$A$2:$G$30100,7,0)</f>
        <v>#N/A</v>
      </c>
      <c r="G1812" s="254" t="e">
        <f>VLOOKUP(H1812,'lista 3'!$A$1:$C$31467,3,0)</f>
        <v>#N/A</v>
      </c>
      <c r="H1812" s="134"/>
      <c r="I1812" s="136"/>
      <c r="J1812" s="135"/>
      <c r="K1812" s="22"/>
    </row>
    <row r="1813" spans="1:11">
      <c r="A1813" s="241" t="e">
        <f>VLOOKUP(B1813,'lista 1'!$A$2:$E$30100,4,0)</f>
        <v>#N/A</v>
      </c>
      <c r="B1813" s="123"/>
      <c r="C1813" s="133" t="e">
        <f>VLOOKUP(B1813,'lista 1'!$A$2:$E$31000,5,0)</f>
        <v>#N/A</v>
      </c>
      <c r="D1813" s="167" t="e">
        <f>VLOOKUP(E13613,'lista obszary'!A:B,2,0)</f>
        <v>#N/A</v>
      </c>
      <c r="E1813" s="128" t="e">
        <f>VLOOKUP(B1813,'LISTA 12'!$A$2:$G$301400,5,0)</f>
        <v>#N/A</v>
      </c>
      <c r="F1813" s="121" t="e">
        <f>VLOOKUP(B1813,'LISTA 12'!$A$2:$G$30100,7,0)</f>
        <v>#N/A</v>
      </c>
      <c r="G1813" s="254" t="e">
        <f>VLOOKUP(H1813,'lista 3'!$A$1:$C$31467,3,0)</f>
        <v>#N/A</v>
      </c>
      <c r="H1813" s="134"/>
      <c r="I1813" s="136"/>
      <c r="J1813" s="135"/>
      <c r="K1813" s="22"/>
    </row>
    <row r="1814" spans="1:11">
      <c r="A1814" s="241" t="e">
        <f>VLOOKUP(B1814,'lista 1'!$A$2:$E$30100,4,0)</f>
        <v>#N/A</v>
      </c>
      <c r="B1814" s="123"/>
      <c r="C1814" s="133" t="e">
        <f>VLOOKUP(B1814,'lista 1'!$A$2:$E$31000,5,0)</f>
        <v>#N/A</v>
      </c>
      <c r="D1814" s="167" t="e">
        <f>VLOOKUP(E13614,'lista obszary'!A:B,2,0)</f>
        <v>#N/A</v>
      </c>
      <c r="E1814" s="128" t="e">
        <f>VLOOKUP(B1814,'LISTA 12'!$A$2:$G$301400,5,0)</f>
        <v>#N/A</v>
      </c>
      <c r="F1814" s="121" t="e">
        <f>VLOOKUP(B1814,'LISTA 12'!$A$2:$G$30100,7,0)</f>
        <v>#N/A</v>
      </c>
      <c r="G1814" s="254" t="e">
        <f>VLOOKUP(H1814,'lista 3'!$A$1:$C$31467,3,0)</f>
        <v>#N/A</v>
      </c>
      <c r="H1814" s="134"/>
      <c r="I1814" s="136"/>
      <c r="J1814" s="135"/>
      <c r="K1814" s="22"/>
    </row>
    <row r="1815" spans="1:11">
      <c r="A1815" s="241" t="e">
        <f>VLOOKUP(B1815,'lista 1'!$A$2:$E$30100,4,0)</f>
        <v>#N/A</v>
      </c>
      <c r="B1815" s="123"/>
      <c r="C1815" s="133" t="e">
        <f>VLOOKUP(B1815,'lista 1'!$A$2:$E$31000,5,0)</f>
        <v>#N/A</v>
      </c>
      <c r="D1815" s="167" t="e">
        <f>VLOOKUP(E13615,'lista obszary'!A:B,2,0)</f>
        <v>#N/A</v>
      </c>
      <c r="E1815" s="128" t="e">
        <f>VLOOKUP(B1815,'LISTA 12'!$A$2:$G$301400,5,0)</f>
        <v>#N/A</v>
      </c>
      <c r="F1815" s="121" t="e">
        <f>VLOOKUP(B1815,'LISTA 12'!$A$2:$G$30100,7,0)</f>
        <v>#N/A</v>
      </c>
      <c r="G1815" s="254" t="e">
        <f>VLOOKUP(H1815,'lista 3'!$A$1:$C$31467,3,0)</f>
        <v>#N/A</v>
      </c>
      <c r="H1815" s="134"/>
      <c r="I1815" s="136"/>
      <c r="J1815" s="135"/>
      <c r="K1815" s="22"/>
    </row>
    <row r="1816" spans="1:11">
      <c r="A1816" s="241" t="e">
        <f>VLOOKUP(B1816,'lista 1'!$A$2:$E$30100,4,0)</f>
        <v>#N/A</v>
      </c>
      <c r="B1816" s="123"/>
      <c r="C1816" s="133" t="e">
        <f>VLOOKUP(B1816,'lista 1'!$A$2:$E$31000,5,0)</f>
        <v>#N/A</v>
      </c>
      <c r="D1816" s="167" t="e">
        <f>VLOOKUP(E13616,'lista obszary'!A:B,2,0)</f>
        <v>#N/A</v>
      </c>
      <c r="E1816" s="128" t="e">
        <f>VLOOKUP(B1816,'LISTA 12'!$A$2:$G$301400,5,0)</f>
        <v>#N/A</v>
      </c>
      <c r="F1816" s="121" t="e">
        <f>VLOOKUP(B1816,'LISTA 12'!$A$2:$G$30100,7,0)</f>
        <v>#N/A</v>
      </c>
      <c r="G1816" s="254" t="e">
        <f>VLOOKUP(H1816,'lista 3'!$A$1:$C$31467,3,0)</f>
        <v>#N/A</v>
      </c>
      <c r="H1816" s="134"/>
      <c r="I1816" s="136"/>
      <c r="J1816" s="135"/>
      <c r="K1816" s="22"/>
    </row>
    <row r="1817" spans="1:11">
      <c r="A1817" s="241" t="e">
        <f>VLOOKUP(B1817,'lista 1'!$A$2:$E$30100,4,0)</f>
        <v>#N/A</v>
      </c>
      <c r="B1817" s="123"/>
      <c r="C1817" s="133" t="e">
        <f>VLOOKUP(B1817,'lista 1'!$A$2:$E$31000,5,0)</f>
        <v>#N/A</v>
      </c>
      <c r="D1817" s="167" t="e">
        <f>VLOOKUP(E13617,'lista obszary'!A:B,2,0)</f>
        <v>#N/A</v>
      </c>
      <c r="E1817" s="128" t="e">
        <f>VLOOKUP(B1817,'LISTA 12'!$A$2:$G$301400,5,0)</f>
        <v>#N/A</v>
      </c>
      <c r="F1817" s="121" t="e">
        <f>VLOOKUP(B1817,'LISTA 12'!$A$2:$G$30100,7,0)</f>
        <v>#N/A</v>
      </c>
      <c r="G1817" s="254" t="e">
        <f>VLOOKUP(H1817,'lista 3'!$A$1:$C$31467,3,0)</f>
        <v>#N/A</v>
      </c>
      <c r="H1817" s="134"/>
      <c r="I1817" s="136"/>
      <c r="J1817" s="135"/>
      <c r="K1817" s="22"/>
    </row>
    <row r="1818" spans="1:11">
      <c r="A1818" s="241" t="e">
        <f>VLOOKUP(B1818,'lista 1'!$A$2:$E$30100,4,0)</f>
        <v>#N/A</v>
      </c>
      <c r="B1818" s="123"/>
      <c r="C1818" s="133" t="e">
        <f>VLOOKUP(B1818,'lista 1'!$A$2:$E$31000,5,0)</f>
        <v>#N/A</v>
      </c>
      <c r="D1818" s="167" t="e">
        <f>VLOOKUP(E13618,'lista obszary'!A:B,2,0)</f>
        <v>#N/A</v>
      </c>
      <c r="E1818" s="128" t="e">
        <f>VLOOKUP(B1818,'LISTA 12'!$A$2:$G$301400,5,0)</f>
        <v>#N/A</v>
      </c>
      <c r="F1818" s="121" t="e">
        <f>VLOOKUP(B1818,'LISTA 12'!$A$2:$G$30100,7,0)</f>
        <v>#N/A</v>
      </c>
      <c r="G1818" s="254" t="e">
        <f>VLOOKUP(H1818,'lista 3'!$A$1:$C$31467,3,0)</f>
        <v>#N/A</v>
      </c>
      <c r="H1818" s="134"/>
      <c r="I1818" s="136"/>
      <c r="J1818" s="135"/>
      <c r="K1818" s="22"/>
    </row>
    <row r="1819" spans="1:11">
      <c r="A1819" s="241" t="e">
        <f>VLOOKUP(B1819,'lista 1'!$A$2:$E$30100,4,0)</f>
        <v>#N/A</v>
      </c>
      <c r="B1819" s="123"/>
      <c r="C1819" s="133" t="e">
        <f>VLOOKUP(B1819,'lista 1'!$A$2:$E$31000,5,0)</f>
        <v>#N/A</v>
      </c>
      <c r="D1819" s="167" t="e">
        <f>VLOOKUP(E13619,'lista obszary'!A:B,2,0)</f>
        <v>#N/A</v>
      </c>
      <c r="E1819" s="128" t="e">
        <f>VLOOKUP(B1819,'LISTA 12'!$A$2:$G$301400,5,0)</f>
        <v>#N/A</v>
      </c>
      <c r="F1819" s="121" t="e">
        <f>VLOOKUP(B1819,'LISTA 12'!$A$2:$G$30100,7,0)</f>
        <v>#N/A</v>
      </c>
      <c r="G1819" s="254" t="e">
        <f>VLOOKUP(H1819,'lista 3'!$A$1:$C$31467,3,0)</f>
        <v>#N/A</v>
      </c>
      <c r="H1819" s="134"/>
      <c r="I1819" s="136"/>
      <c r="J1819" s="135"/>
      <c r="K1819" s="22"/>
    </row>
    <row r="1820" spans="1:11">
      <c r="A1820" s="241" t="e">
        <f>VLOOKUP(B1820,'lista 1'!$A$2:$E$30100,4,0)</f>
        <v>#N/A</v>
      </c>
      <c r="B1820" s="123"/>
      <c r="C1820" s="133" t="e">
        <f>VLOOKUP(B1820,'lista 1'!$A$2:$E$31000,5,0)</f>
        <v>#N/A</v>
      </c>
      <c r="D1820" s="167" t="e">
        <f>VLOOKUP(E13620,'lista obszary'!A:B,2,0)</f>
        <v>#N/A</v>
      </c>
      <c r="E1820" s="128" t="e">
        <f>VLOOKUP(B1820,'LISTA 12'!$A$2:$G$301400,5,0)</f>
        <v>#N/A</v>
      </c>
      <c r="F1820" s="121" t="e">
        <f>VLOOKUP(B1820,'LISTA 12'!$A$2:$G$30100,7,0)</f>
        <v>#N/A</v>
      </c>
      <c r="G1820" s="254" t="e">
        <f>VLOOKUP(H1820,'lista 3'!$A$1:$C$31467,3,0)</f>
        <v>#N/A</v>
      </c>
      <c r="H1820" s="134"/>
      <c r="I1820" s="136"/>
      <c r="J1820" s="135"/>
      <c r="K1820" s="22"/>
    </row>
    <row r="1821" spans="1:11">
      <c r="A1821" s="241" t="e">
        <f>VLOOKUP(B1821,'lista 1'!$A$2:$E$30100,4,0)</f>
        <v>#N/A</v>
      </c>
      <c r="B1821" s="123"/>
      <c r="C1821" s="133" t="e">
        <f>VLOOKUP(B1821,'lista 1'!$A$2:$E$31000,5,0)</f>
        <v>#N/A</v>
      </c>
      <c r="D1821" s="167" t="e">
        <f>VLOOKUP(E13621,'lista obszary'!A:B,2,0)</f>
        <v>#N/A</v>
      </c>
      <c r="E1821" s="128" t="e">
        <f>VLOOKUP(B1821,'LISTA 12'!$A$2:$G$301400,5,0)</f>
        <v>#N/A</v>
      </c>
      <c r="F1821" s="121" t="e">
        <f>VLOOKUP(B1821,'LISTA 12'!$A$2:$G$30100,7,0)</f>
        <v>#N/A</v>
      </c>
      <c r="G1821" s="254" t="e">
        <f>VLOOKUP(H1821,'lista 3'!$A$1:$C$31467,3,0)</f>
        <v>#N/A</v>
      </c>
      <c r="H1821" s="134"/>
      <c r="I1821" s="136"/>
      <c r="J1821" s="135"/>
      <c r="K1821" s="22"/>
    </row>
    <row r="1822" spans="1:11">
      <c r="A1822" s="241" t="e">
        <f>VLOOKUP(B1822,'lista 1'!$A$2:$E$30100,4,0)</f>
        <v>#N/A</v>
      </c>
      <c r="B1822" s="123"/>
      <c r="C1822" s="133" t="e">
        <f>VLOOKUP(B1822,'lista 1'!$A$2:$E$31000,5,0)</f>
        <v>#N/A</v>
      </c>
      <c r="D1822" s="167" t="e">
        <f>VLOOKUP(E13622,'lista obszary'!A:B,2,0)</f>
        <v>#N/A</v>
      </c>
      <c r="E1822" s="128" t="e">
        <f>VLOOKUP(B1822,'LISTA 12'!$A$2:$G$301400,5,0)</f>
        <v>#N/A</v>
      </c>
      <c r="F1822" s="121" t="e">
        <f>VLOOKUP(B1822,'LISTA 12'!$A$2:$G$30100,7,0)</f>
        <v>#N/A</v>
      </c>
      <c r="G1822" s="254" t="e">
        <f>VLOOKUP(H1822,'lista 3'!$A$1:$C$31467,3,0)</f>
        <v>#N/A</v>
      </c>
      <c r="H1822" s="134"/>
      <c r="I1822" s="136"/>
      <c r="J1822" s="135"/>
      <c r="K1822" s="22"/>
    </row>
    <row r="1823" spans="1:11">
      <c r="A1823" s="241" t="e">
        <f>VLOOKUP(B1823,'lista 1'!$A$2:$E$30100,4,0)</f>
        <v>#N/A</v>
      </c>
      <c r="B1823" s="123"/>
      <c r="C1823" s="133" t="e">
        <f>VLOOKUP(B1823,'lista 1'!$A$2:$E$31000,5,0)</f>
        <v>#N/A</v>
      </c>
      <c r="D1823" s="167" t="e">
        <f>VLOOKUP(E13623,'lista obszary'!A:B,2,0)</f>
        <v>#N/A</v>
      </c>
      <c r="E1823" s="128" t="e">
        <f>VLOOKUP(B1823,'LISTA 12'!$A$2:$G$301400,5,0)</f>
        <v>#N/A</v>
      </c>
      <c r="F1823" s="121" t="e">
        <f>VLOOKUP(B1823,'LISTA 12'!$A$2:$G$30100,7,0)</f>
        <v>#N/A</v>
      </c>
      <c r="G1823" s="254" t="e">
        <f>VLOOKUP(H1823,'lista 3'!$A$1:$C$31467,3,0)</f>
        <v>#N/A</v>
      </c>
      <c r="H1823" s="134"/>
      <c r="I1823" s="136"/>
      <c r="J1823" s="135"/>
      <c r="K1823" s="22"/>
    </row>
    <row r="1824" spans="1:11">
      <c r="A1824" s="241" t="e">
        <f>VLOOKUP(B1824,'lista 1'!$A$2:$E$30100,4,0)</f>
        <v>#N/A</v>
      </c>
      <c r="B1824" s="123"/>
      <c r="C1824" s="133" t="e">
        <f>VLOOKUP(B1824,'lista 1'!$A$2:$E$31000,5,0)</f>
        <v>#N/A</v>
      </c>
      <c r="D1824" s="167" t="e">
        <f>VLOOKUP(E13624,'lista obszary'!A:B,2,0)</f>
        <v>#N/A</v>
      </c>
      <c r="E1824" s="128" t="e">
        <f>VLOOKUP(B1824,'LISTA 12'!$A$2:$G$301400,5,0)</f>
        <v>#N/A</v>
      </c>
      <c r="F1824" s="121" t="e">
        <f>VLOOKUP(B1824,'LISTA 12'!$A$2:$G$30100,7,0)</f>
        <v>#N/A</v>
      </c>
      <c r="G1824" s="254" t="e">
        <f>VLOOKUP(H1824,'lista 3'!$A$1:$C$31467,3,0)</f>
        <v>#N/A</v>
      </c>
      <c r="H1824" s="134"/>
      <c r="I1824" s="136"/>
      <c r="J1824" s="135"/>
      <c r="K1824" s="22"/>
    </row>
    <row r="1825" spans="1:11">
      <c r="A1825" s="241" t="e">
        <f>VLOOKUP(B1825,'lista 1'!$A$2:$E$30100,4,0)</f>
        <v>#N/A</v>
      </c>
      <c r="B1825" s="123"/>
      <c r="C1825" s="133" t="e">
        <f>VLOOKUP(B1825,'lista 1'!$A$2:$E$31000,5,0)</f>
        <v>#N/A</v>
      </c>
      <c r="D1825" s="167" t="e">
        <f>VLOOKUP(E13625,'lista obszary'!A:B,2,0)</f>
        <v>#N/A</v>
      </c>
      <c r="E1825" s="128" t="e">
        <f>VLOOKUP(B1825,'LISTA 12'!$A$2:$G$301400,5,0)</f>
        <v>#N/A</v>
      </c>
      <c r="F1825" s="121" t="e">
        <f>VLOOKUP(B1825,'LISTA 12'!$A$2:$G$30100,7,0)</f>
        <v>#N/A</v>
      </c>
      <c r="G1825" s="254" t="e">
        <f>VLOOKUP(H1825,'lista 3'!$A$1:$C$31467,3,0)</f>
        <v>#N/A</v>
      </c>
      <c r="H1825" s="134"/>
      <c r="I1825" s="136"/>
      <c r="J1825" s="135"/>
      <c r="K1825" s="22"/>
    </row>
    <row r="1826" spans="1:11">
      <c r="A1826" s="241" t="e">
        <f>VLOOKUP(B1826,'lista 1'!$A$2:$E$30100,4,0)</f>
        <v>#N/A</v>
      </c>
      <c r="B1826" s="123"/>
      <c r="C1826" s="133" t="e">
        <f>VLOOKUP(B1826,'lista 1'!$A$2:$E$31000,5,0)</f>
        <v>#N/A</v>
      </c>
      <c r="D1826" s="167" t="e">
        <f>VLOOKUP(E13626,'lista obszary'!A:B,2,0)</f>
        <v>#N/A</v>
      </c>
      <c r="E1826" s="128" t="e">
        <f>VLOOKUP(B1826,'LISTA 12'!$A$2:$G$301400,5,0)</f>
        <v>#N/A</v>
      </c>
      <c r="F1826" s="121" t="e">
        <f>VLOOKUP(B1826,'LISTA 12'!$A$2:$G$30100,7,0)</f>
        <v>#N/A</v>
      </c>
      <c r="G1826" s="254" t="e">
        <f>VLOOKUP(H1826,'lista 3'!$A$1:$C$31467,3,0)</f>
        <v>#N/A</v>
      </c>
      <c r="H1826" s="134"/>
      <c r="I1826" s="136"/>
      <c r="J1826" s="135"/>
      <c r="K1826" s="22"/>
    </row>
    <row r="1827" spans="1:11">
      <c r="A1827" s="241" t="e">
        <f>VLOOKUP(B1827,'lista 1'!$A$2:$E$30100,4,0)</f>
        <v>#N/A</v>
      </c>
      <c r="B1827" s="123"/>
      <c r="C1827" s="133" t="e">
        <f>VLOOKUP(B1827,'lista 1'!$A$2:$E$31000,5,0)</f>
        <v>#N/A</v>
      </c>
      <c r="D1827" s="167" t="e">
        <f>VLOOKUP(E13627,'lista obszary'!A:B,2,0)</f>
        <v>#N/A</v>
      </c>
      <c r="E1827" s="128" t="e">
        <f>VLOOKUP(B1827,'LISTA 12'!$A$2:$G$301400,5,0)</f>
        <v>#N/A</v>
      </c>
      <c r="F1827" s="121" t="e">
        <f>VLOOKUP(B1827,'LISTA 12'!$A$2:$G$30100,7,0)</f>
        <v>#N/A</v>
      </c>
      <c r="G1827" s="254" t="e">
        <f>VLOOKUP(H1827,'lista 3'!$A$1:$C$31467,3,0)</f>
        <v>#N/A</v>
      </c>
      <c r="H1827" s="134"/>
      <c r="I1827" s="136"/>
      <c r="J1827" s="135"/>
      <c r="K1827" s="22"/>
    </row>
    <row r="1828" spans="1:11">
      <c r="A1828" s="241" t="e">
        <f>VLOOKUP(B1828,'lista 1'!$A$2:$E$30100,4,0)</f>
        <v>#N/A</v>
      </c>
      <c r="B1828" s="123"/>
      <c r="C1828" s="133" t="e">
        <f>VLOOKUP(B1828,'lista 1'!$A$2:$E$31000,5,0)</f>
        <v>#N/A</v>
      </c>
      <c r="D1828" s="167" t="e">
        <f>VLOOKUP(E13628,'lista obszary'!A:B,2,0)</f>
        <v>#N/A</v>
      </c>
      <c r="E1828" s="128" t="e">
        <f>VLOOKUP(B1828,'LISTA 12'!$A$2:$G$301400,5,0)</f>
        <v>#N/A</v>
      </c>
      <c r="F1828" s="121" t="e">
        <f>VLOOKUP(B1828,'LISTA 12'!$A$2:$G$30100,7,0)</f>
        <v>#N/A</v>
      </c>
      <c r="G1828" s="254" t="e">
        <f>VLOOKUP(H1828,'lista 3'!$A$1:$C$31467,3,0)</f>
        <v>#N/A</v>
      </c>
      <c r="H1828" s="134"/>
      <c r="I1828" s="136"/>
      <c r="J1828" s="135"/>
      <c r="K1828" s="22"/>
    </row>
    <row r="1829" spans="1:11">
      <c r="A1829" s="241" t="e">
        <f>VLOOKUP(B1829,'lista 1'!$A$2:$E$30100,4,0)</f>
        <v>#N/A</v>
      </c>
      <c r="B1829" s="123"/>
      <c r="C1829" s="133" t="e">
        <f>VLOOKUP(B1829,'lista 1'!$A$2:$E$31000,5,0)</f>
        <v>#N/A</v>
      </c>
      <c r="D1829" s="167" t="e">
        <f>VLOOKUP(E13629,'lista obszary'!A:B,2,0)</f>
        <v>#N/A</v>
      </c>
      <c r="E1829" s="128" t="e">
        <f>VLOOKUP(B1829,'LISTA 12'!$A$2:$G$301400,5,0)</f>
        <v>#N/A</v>
      </c>
      <c r="F1829" s="121" t="e">
        <f>VLOOKUP(B1829,'LISTA 12'!$A$2:$G$30100,7,0)</f>
        <v>#N/A</v>
      </c>
      <c r="G1829" s="254" t="e">
        <f>VLOOKUP(H1829,'lista 3'!$A$1:$C$31467,3,0)</f>
        <v>#N/A</v>
      </c>
      <c r="H1829" s="134"/>
      <c r="I1829" s="136"/>
      <c r="J1829" s="135"/>
      <c r="K1829" s="22"/>
    </row>
    <row r="1830" spans="1:11">
      <c r="A1830" s="241" t="e">
        <f>VLOOKUP(B1830,'lista 1'!$A$2:$E$30100,4,0)</f>
        <v>#N/A</v>
      </c>
      <c r="B1830" s="123"/>
      <c r="C1830" s="133" t="e">
        <f>VLOOKUP(B1830,'lista 1'!$A$2:$E$31000,5,0)</f>
        <v>#N/A</v>
      </c>
      <c r="D1830" s="167" t="e">
        <f>VLOOKUP(E13630,'lista obszary'!A:B,2,0)</f>
        <v>#N/A</v>
      </c>
      <c r="E1830" s="128" t="e">
        <f>VLOOKUP(B1830,'LISTA 12'!$A$2:$G$301400,5,0)</f>
        <v>#N/A</v>
      </c>
      <c r="F1830" s="121" t="e">
        <f>VLOOKUP(B1830,'LISTA 12'!$A$2:$G$30100,7,0)</f>
        <v>#N/A</v>
      </c>
      <c r="G1830" s="254" t="e">
        <f>VLOOKUP(H1830,'lista 3'!$A$1:$C$31467,3,0)</f>
        <v>#N/A</v>
      </c>
      <c r="H1830" s="134"/>
      <c r="I1830" s="136"/>
      <c r="J1830" s="135"/>
      <c r="K1830" s="22"/>
    </row>
    <row r="1831" spans="1:11">
      <c r="A1831" s="241" t="e">
        <f>VLOOKUP(B1831,'lista 1'!$A$2:$E$30100,4,0)</f>
        <v>#N/A</v>
      </c>
      <c r="B1831" s="123"/>
      <c r="C1831" s="133" t="e">
        <f>VLOOKUP(B1831,'lista 1'!$A$2:$E$31000,5,0)</f>
        <v>#N/A</v>
      </c>
      <c r="D1831" s="167" t="e">
        <f>VLOOKUP(E13631,'lista obszary'!A:B,2,0)</f>
        <v>#N/A</v>
      </c>
      <c r="E1831" s="128" t="e">
        <f>VLOOKUP(B1831,'LISTA 12'!$A$2:$G$301400,5,0)</f>
        <v>#N/A</v>
      </c>
      <c r="F1831" s="121" t="e">
        <f>VLOOKUP(B1831,'LISTA 12'!$A$2:$G$30100,7,0)</f>
        <v>#N/A</v>
      </c>
      <c r="G1831" s="254" t="e">
        <f>VLOOKUP(H1831,'lista 3'!$A$1:$C$31467,3,0)</f>
        <v>#N/A</v>
      </c>
      <c r="H1831" s="134"/>
      <c r="I1831" s="136"/>
      <c r="J1831" s="135"/>
      <c r="K1831" s="22"/>
    </row>
    <row r="1832" spans="1:11">
      <c r="A1832" s="241" t="e">
        <f>VLOOKUP(B1832,'lista 1'!$A$2:$E$30100,4,0)</f>
        <v>#N/A</v>
      </c>
      <c r="B1832" s="123"/>
      <c r="C1832" s="133" t="e">
        <f>VLOOKUP(B1832,'lista 1'!$A$2:$E$31000,5,0)</f>
        <v>#N/A</v>
      </c>
      <c r="D1832" s="167" t="e">
        <f>VLOOKUP(E13632,'lista obszary'!A:B,2,0)</f>
        <v>#N/A</v>
      </c>
      <c r="E1832" s="128" t="e">
        <f>VLOOKUP(B1832,'LISTA 12'!$A$2:$G$301400,5,0)</f>
        <v>#N/A</v>
      </c>
      <c r="F1832" s="121" t="e">
        <f>VLOOKUP(B1832,'LISTA 12'!$A$2:$G$30100,7,0)</f>
        <v>#N/A</v>
      </c>
      <c r="G1832" s="254" t="e">
        <f>VLOOKUP(H1832,'lista 3'!$A$1:$C$31467,3,0)</f>
        <v>#N/A</v>
      </c>
      <c r="H1832" s="134"/>
      <c r="I1832" s="136"/>
      <c r="J1832" s="135"/>
      <c r="K1832" s="22"/>
    </row>
    <row r="1833" spans="1:11">
      <c r="A1833" s="241" t="e">
        <f>VLOOKUP(B1833,'lista 1'!$A$2:$E$30100,4,0)</f>
        <v>#N/A</v>
      </c>
      <c r="B1833" s="123"/>
      <c r="C1833" s="133" t="e">
        <f>VLOOKUP(B1833,'lista 1'!$A$2:$E$31000,5,0)</f>
        <v>#N/A</v>
      </c>
      <c r="D1833" s="167" t="e">
        <f>VLOOKUP(E13633,'lista obszary'!A:B,2,0)</f>
        <v>#N/A</v>
      </c>
      <c r="E1833" s="128" t="e">
        <f>VLOOKUP(B1833,'LISTA 12'!$A$2:$G$301400,5,0)</f>
        <v>#N/A</v>
      </c>
      <c r="F1833" s="121" t="e">
        <f>VLOOKUP(B1833,'LISTA 12'!$A$2:$G$30100,7,0)</f>
        <v>#N/A</v>
      </c>
      <c r="G1833" s="254" t="e">
        <f>VLOOKUP(H1833,'lista 3'!$A$1:$C$31467,3,0)</f>
        <v>#N/A</v>
      </c>
      <c r="H1833" s="134"/>
      <c r="I1833" s="136"/>
      <c r="J1833" s="135"/>
      <c r="K1833" s="22"/>
    </row>
    <row r="1834" spans="1:11">
      <c r="A1834" s="241" t="e">
        <f>VLOOKUP(B1834,'lista 1'!$A$2:$E$30100,4,0)</f>
        <v>#N/A</v>
      </c>
      <c r="B1834" s="123"/>
      <c r="C1834" s="133" t="e">
        <f>VLOOKUP(B1834,'lista 1'!$A$2:$E$31000,5,0)</f>
        <v>#N/A</v>
      </c>
      <c r="D1834" s="167" t="e">
        <f>VLOOKUP(E13634,'lista obszary'!A:B,2,0)</f>
        <v>#N/A</v>
      </c>
      <c r="E1834" s="128" t="e">
        <f>VLOOKUP(B1834,'LISTA 12'!$A$2:$G$301400,5,0)</f>
        <v>#N/A</v>
      </c>
      <c r="F1834" s="121" t="e">
        <f>VLOOKUP(B1834,'LISTA 12'!$A$2:$G$30100,7,0)</f>
        <v>#N/A</v>
      </c>
      <c r="G1834" s="254" t="e">
        <f>VLOOKUP(H1834,'lista 3'!$A$1:$C$31467,3,0)</f>
        <v>#N/A</v>
      </c>
      <c r="H1834" s="134"/>
      <c r="I1834" s="136"/>
      <c r="J1834" s="135"/>
      <c r="K1834" s="22"/>
    </row>
    <row r="1835" spans="1:11">
      <c r="A1835" s="241" t="e">
        <f>VLOOKUP(B1835,'lista 1'!$A$2:$E$30100,4,0)</f>
        <v>#N/A</v>
      </c>
      <c r="B1835" s="123"/>
      <c r="C1835" s="133" t="e">
        <f>VLOOKUP(B1835,'lista 1'!$A$2:$E$31000,5,0)</f>
        <v>#N/A</v>
      </c>
      <c r="D1835" s="167" t="e">
        <f>VLOOKUP(E13635,'lista obszary'!A:B,2,0)</f>
        <v>#N/A</v>
      </c>
      <c r="E1835" s="128" t="e">
        <f>VLOOKUP(B1835,'LISTA 12'!$A$2:$G$301400,5,0)</f>
        <v>#N/A</v>
      </c>
      <c r="F1835" s="121" t="e">
        <f>VLOOKUP(B1835,'LISTA 12'!$A$2:$G$30100,7,0)</f>
        <v>#N/A</v>
      </c>
      <c r="G1835" s="254" t="e">
        <f>VLOOKUP(H1835,'lista 3'!$A$1:$C$31467,3,0)</f>
        <v>#N/A</v>
      </c>
      <c r="H1835" s="134"/>
      <c r="I1835" s="136"/>
      <c r="J1835" s="135"/>
      <c r="K1835" s="22"/>
    </row>
    <row r="1836" spans="1:11">
      <c r="A1836" s="241" t="e">
        <f>VLOOKUP(B1836,'lista 1'!$A$2:$E$30100,4,0)</f>
        <v>#N/A</v>
      </c>
      <c r="B1836" s="123"/>
      <c r="C1836" s="133" t="e">
        <f>VLOOKUP(B1836,'lista 1'!$A$2:$E$31000,5,0)</f>
        <v>#N/A</v>
      </c>
      <c r="D1836" s="167" t="e">
        <f>VLOOKUP(E13636,'lista obszary'!A:B,2,0)</f>
        <v>#N/A</v>
      </c>
      <c r="E1836" s="128" t="e">
        <f>VLOOKUP(B1836,'LISTA 12'!$A$2:$G$301400,5,0)</f>
        <v>#N/A</v>
      </c>
      <c r="F1836" s="121" t="e">
        <f>VLOOKUP(B1836,'LISTA 12'!$A$2:$G$30100,7,0)</f>
        <v>#N/A</v>
      </c>
      <c r="G1836" s="254" t="e">
        <f>VLOOKUP(H1836,'lista 3'!$A$1:$C$31467,3,0)</f>
        <v>#N/A</v>
      </c>
      <c r="H1836" s="134"/>
      <c r="I1836" s="136"/>
      <c r="J1836" s="135"/>
      <c r="K1836" s="22"/>
    </row>
    <row r="1837" spans="1:11">
      <c r="A1837" s="241" t="e">
        <f>VLOOKUP(B1837,'lista 1'!$A$2:$E$30100,4,0)</f>
        <v>#N/A</v>
      </c>
      <c r="B1837" s="123"/>
      <c r="C1837" s="133" t="e">
        <f>VLOOKUP(B1837,'lista 1'!$A$2:$E$31000,5,0)</f>
        <v>#N/A</v>
      </c>
      <c r="D1837" s="167" t="e">
        <f>VLOOKUP(E13637,'lista obszary'!A:B,2,0)</f>
        <v>#N/A</v>
      </c>
      <c r="E1837" s="128" t="e">
        <f>VLOOKUP(B1837,'LISTA 12'!$A$2:$G$301400,5,0)</f>
        <v>#N/A</v>
      </c>
      <c r="F1837" s="121" t="e">
        <f>VLOOKUP(B1837,'LISTA 12'!$A$2:$G$30100,7,0)</f>
        <v>#N/A</v>
      </c>
      <c r="G1837" s="254" t="e">
        <f>VLOOKUP(H1837,'lista 3'!$A$1:$C$31467,3,0)</f>
        <v>#N/A</v>
      </c>
      <c r="H1837" s="134"/>
      <c r="I1837" s="136"/>
      <c r="J1837" s="135"/>
      <c r="K1837" s="22"/>
    </row>
    <row r="1838" spans="1:11">
      <c r="A1838" s="241" t="e">
        <f>VLOOKUP(B1838,'lista 1'!$A$2:$E$30100,4,0)</f>
        <v>#N/A</v>
      </c>
      <c r="B1838" s="123"/>
      <c r="C1838" s="133" t="e">
        <f>VLOOKUP(B1838,'lista 1'!$A$2:$E$31000,5,0)</f>
        <v>#N/A</v>
      </c>
      <c r="D1838" s="167" t="e">
        <f>VLOOKUP(E13638,'lista obszary'!A:B,2,0)</f>
        <v>#N/A</v>
      </c>
      <c r="E1838" s="128" t="e">
        <f>VLOOKUP(B1838,'LISTA 12'!$A$2:$G$301400,5,0)</f>
        <v>#N/A</v>
      </c>
      <c r="F1838" s="121" t="e">
        <f>VLOOKUP(B1838,'LISTA 12'!$A$2:$G$30100,7,0)</f>
        <v>#N/A</v>
      </c>
      <c r="G1838" s="254" t="e">
        <f>VLOOKUP(H1838,'lista 3'!$A$1:$C$31467,3,0)</f>
        <v>#N/A</v>
      </c>
      <c r="H1838" s="134"/>
      <c r="I1838" s="136"/>
      <c r="J1838" s="135"/>
      <c r="K1838" s="22"/>
    </row>
    <row r="1839" spans="1:11">
      <c r="A1839" s="241" t="e">
        <f>VLOOKUP(B1839,'lista 1'!$A$2:$E$30100,4,0)</f>
        <v>#N/A</v>
      </c>
      <c r="B1839" s="123"/>
      <c r="C1839" s="133" t="e">
        <f>VLOOKUP(B1839,'lista 1'!$A$2:$E$31000,5,0)</f>
        <v>#N/A</v>
      </c>
      <c r="D1839" s="167" t="e">
        <f>VLOOKUP(E13639,'lista obszary'!A:B,2,0)</f>
        <v>#N/A</v>
      </c>
      <c r="E1839" s="128" t="e">
        <f>VLOOKUP(B1839,'LISTA 12'!$A$2:$G$301400,5,0)</f>
        <v>#N/A</v>
      </c>
      <c r="F1839" s="121" t="e">
        <f>VLOOKUP(B1839,'LISTA 12'!$A$2:$G$30100,7,0)</f>
        <v>#N/A</v>
      </c>
      <c r="G1839" s="254" t="e">
        <f>VLOOKUP(H1839,'lista 3'!$A$1:$C$31467,3,0)</f>
        <v>#N/A</v>
      </c>
      <c r="H1839" s="134"/>
      <c r="I1839" s="136"/>
      <c r="J1839" s="135"/>
      <c r="K1839" s="22"/>
    </row>
    <row r="1840" spans="1:11">
      <c r="A1840" s="241" t="e">
        <f>VLOOKUP(B1840,'lista 1'!$A$2:$E$30100,4,0)</f>
        <v>#N/A</v>
      </c>
      <c r="B1840" s="123"/>
      <c r="C1840" s="133" t="e">
        <f>VLOOKUP(B1840,'lista 1'!$A$2:$E$31000,5,0)</f>
        <v>#N/A</v>
      </c>
      <c r="D1840" s="167" t="e">
        <f>VLOOKUP(E13640,'lista obszary'!A:B,2,0)</f>
        <v>#N/A</v>
      </c>
      <c r="E1840" s="128" t="e">
        <f>VLOOKUP(B1840,'LISTA 12'!$A$2:$G$301400,5,0)</f>
        <v>#N/A</v>
      </c>
      <c r="F1840" s="121" t="e">
        <f>VLOOKUP(B1840,'LISTA 12'!$A$2:$G$30100,7,0)</f>
        <v>#N/A</v>
      </c>
      <c r="G1840" s="254" t="e">
        <f>VLOOKUP(H1840,'lista 3'!$A$1:$C$31467,3,0)</f>
        <v>#N/A</v>
      </c>
      <c r="H1840" s="134"/>
      <c r="I1840" s="136"/>
      <c r="J1840" s="135"/>
      <c r="K1840" s="22"/>
    </row>
    <row r="1841" spans="1:11">
      <c r="A1841" s="241" t="e">
        <f>VLOOKUP(B1841,'lista 1'!$A$2:$E$30100,4,0)</f>
        <v>#N/A</v>
      </c>
      <c r="B1841" s="123"/>
      <c r="C1841" s="133" t="e">
        <f>VLOOKUP(B1841,'lista 1'!$A$2:$E$31000,5,0)</f>
        <v>#N/A</v>
      </c>
      <c r="D1841" s="167" t="e">
        <f>VLOOKUP(E13641,'lista obszary'!A:B,2,0)</f>
        <v>#N/A</v>
      </c>
      <c r="E1841" s="128" t="e">
        <f>VLOOKUP(B1841,'LISTA 12'!$A$2:$G$301400,5,0)</f>
        <v>#N/A</v>
      </c>
      <c r="F1841" s="121" t="e">
        <f>VLOOKUP(B1841,'LISTA 12'!$A$2:$G$30100,7,0)</f>
        <v>#N/A</v>
      </c>
      <c r="G1841" s="254" t="e">
        <f>VLOOKUP(H1841,'lista 3'!$A$1:$C$31467,3,0)</f>
        <v>#N/A</v>
      </c>
      <c r="H1841" s="134"/>
      <c r="I1841" s="136"/>
      <c r="J1841" s="135"/>
      <c r="K1841" s="22"/>
    </row>
    <row r="1842" spans="1:11">
      <c r="A1842" s="241" t="e">
        <f>VLOOKUP(B1842,'lista 1'!$A$2:$E$30100,4,0)</f>
        <v>#N/A</v>
      </c>
      <c r="B1842" s="123"/>
      <c r="C1842" s="133" t="e">
        <f>VLOOKUP(B1842,'lista 1'!$A$2:$E$31000,5,0)</f>
        <v>#N/A</v>
      </c>
      <c r="D1842" s="167" t="e">
        <f>VLOOKUP(E13642,'lista obszary'!A:B,2,0)</f>
        <v>#N/A</v>
      </c>
      <c r="E1842" s="128" t="e">
        <f>VLOOKUP(B1842,'LISTA 12'!$A$2:$G$301400,5,0)</f>
        <v>#N/A</v>
      </c>
      <c r="F1842" s="121" t="e">
        <f>VLOOKUP(B1842,'LISTA 12'!$A$2:$G$30100,7,0)</f>
        <v>#N/A</v>
      </c>
      <c r="G1842" s="254" t="e">
        <f>VLOOKUP(H1842,'lista 3'!$A$1:$C$31467,3,0)</f>
        <v>#N/A</v>
      </c>
      <c r="H1842" s="134"/>
      <c r="I1842" s="136"/>
      <c r="J1842" s="135"/>
      <c r="K1842" s="22"/>
    </row>
    <row r="1843" spans="1:11">
      <c r="A1843" s="241" t="e">
        <f>VLOOKUP(B1843,'lista 1'!$A$2:$E$30100,4,0)</f>
        <v>#N/A</v>
      </c>
      <c r="B1843" s="123"/>
      <c r="C1843" s="133" t="e">
        <f>VLOOKUP(B1843,'lista 1'!$A$2:$E$31000,5,0)</f>
        <v>#N/A</v>
      </c>
      <c r="D1843" s="167" t="e">
        <f>VLOOKUP(E13643,'lista obszary'!A:B,2,0)</f>
        <v>#N/A</v>
      </c>
      <c r="E1843" s="128" t="e">
        <f>VLOOKUP(B1843,'LISTA 12'!$A$2:$G$301400,5,0)</f>
        <v>#N/A</v>
      </c>
      <c r="F1843" s="121" t="e">
        <f>VLOOKUP(B1843,'LISTA 12'!$A$2:$G$30100,7,0)</f>
        <v>#N/A</v>
      </c>
      <c r="G1843" s="254" t="e">
        <f>VLOOKUP(H1843,'lista 3'!$A$1:$C$31467,3,0)</f>
        <v>#N/A</v>
      </c>
      <c r="H1843" s="134"/>
      <c r="I1843" s="136"/>
      <c r="J1843" s="135"/>
      <c r="K1843" s="22"/>
    </row>
    <row r="1844" spans="1:11">
      <c r="A1844" s="241" t="e">
        <f>VLOOKUP(B1844,'lista 1'!$A$2:$E$30100,4,0)</f>
        <v>#N/A</v>
      </c>
      <c r="B1844" s="123"/>
      <c r="C1844" s="133" t="e">
        <f>VLOOKUP(B1844,'lista 1'!$A$2:$E$31000,5,0)</f>
        <v>#N/A</v>
      </c>
      <c r="D1844" s="167" t="e">
        <f>VLOOKUP(E13644,'lista obszary'!A:B,2,0)</f>
        <v>#N/A</v>
      </c>
      <c r="E1844" s="128" t="e">
        <f>VLOOKUP(B1844,'LISTA 12'!$A$2:$G$301400,5,0)</f>
        <v>#N/A</v>
      </c>
      <c r="F1844" s="121" t="e">
        <f>VLOOKUP(B1844,'LISTA 12'!$A$2:$G$30100,7,0)</f>
        <v>#N/A</v>
      </c>
      <c r="G1844" s="254" t="e">
        <f>VLOOKUP(H1844,'lista 3'!$A$1:$C$31467,3,0)</f>
        <v>#N/A</v>
      </c>
      <c r="H1844" s="134"/>
      <c r="I1844" s="136"/>
      <c r="J1844" s="135"/>
      <c r="K1844" s="22"/>
    </row>
    <row r="1845" spans="1:11">
      <c r="A1845" s="241" t="e">
        <f>VLOOKUP(B1845,'lista 1'!$A$2:$E$30100,4,0)</f>
        <v>#N/A</v>
      </c>
      <c r="B1845" s="123"/>
      <c r="C1845" s="133" t="e">
        <f>VLOOKUP(B1845,'lista 1'!$A$2:$E$31000,5,0)</f>
        <v>#N/A</v>
      </c>
      <c r="D1845" s="167" t="e">
        <f>VLOOKUP(E13645,'lista obszary'!A:B,2,0)</f>
        <v>#N/A</v>
      </c>
      <c r="E1845" s="128" t="e">
        <f>VLOOKUP(B1845,'LISTA 12'!$A$2:$G$301400,5,0)</f>
        <v>#N/A</v>
      </c>
      <c r="F1845" s="121" t="e">
        <f>VLOOKUP(B1845,'LISTA 12'!$A$2:$G$30100,7,0)</f>
        <v>#N/A</v>
      </c>
      <c r="G1845" s="254" t="e">
        <f>VLOOKUP(H1845,'lista 3'!$A$1:$C$31467,3,0)</f>
        <v>#N/A</v>
      </c>
      <c r="H1845" s="134"/>
      <c r="I1845" s="136"/>
      <c r="J1845" s="135"/>
      <c r="K1845" s="22"/>
    </row>
    <row r="1846" spans="1:11">
      <c r="A1846" s="241" t="e">
        <f>VLOOKUP(B1846,'lista 1'!$A$2:$E$30100,4,0)</f>
        <v>#N/A</v>
      </c>
      <c r="B1846" s="123"/>
      <c r="C1846" s="133" t="e">
        <f>VLOOKUP(B1846,'lista 1'!$A$2:$E$31000,5,0)</f>
        <v>#N/A</v>
      </c>
      <c r="D1846" s="167" t="e">
        <f>VLOOKUP(E13646,'lista obszary'!A:B,2,0)</f>
        <v>#N/A</v>
      </c>
      <c r="E1846" s="128" t="e">
        <f>VLOOKUP(B1846,'LISTA 12'!$A$2:$G$301400,5,0)</f>
        <v>#N/A</v>
      </c>
      <c r="F1846" s="121" t="e">
        <f>VLOOKUP(B1846,'LISTA 12'!$A$2:$G$30100,7,0)</f>
        <v>#N/A</v>
      </c>
      <c r="G1846" s="254" t="e">
        <f>VLOOKUP(H1846,'lista 3'!$A$1:$C$31467,3,0)</f>
        <v>#N/A</v>
      </c>
      <c r="H1846" s="134"/>
      <c r="I1846" s="136"/>
      <c r="J1846" s="135"/>
      <c r="K1846" s="22"/>
    </row>
    <row r="1847" spans="1:11">
      <c r="A1847" s="241" t="e">
        <f>VLOOKUP(B1847,'lista 1'!$A$2:$E$30100,4,0)</f>
        <v>#N/A</v>
      </c>
      <c r="B1847" s="123"/>
      <c r="C1847" s="133" t="e">
        <f>VLOOKUP(B1847,'lista 1'!$A$2:$E$31000,5,0)</f>
        <v>#N/A</v>
      </c>
      <c r="D1847" s="167" t="e">
        <f>VLOOKUP(E13647,'lista obszary'!A:B,2,0)</f>
        <v>#N/A</v>
      </c>
      <c r="E1847" s="128" t="e">
        <f>VLOOKUP(B1847,'LISTA 12'!$A$2:$G$301400,5,0)</f>
        <v>#N/A</v>
      </c>
      <c r="F1847" s="121" t="e">
        <f>VLOOKUP(B1847,'LISTA 12'!$A$2:$G$30100,7,0)</f>
        <v>#N/A</v>
      </c>
      <c r="G1847" s="254" t="e">
        <f>VLOOKUP(H1847,'lista 3'!$A$1:$C$31467,3,0)</f>
        <v>#N/A</v>
      </c>
      <c r="H1847" s="134"/>
      <c r="I1847" s="136"/>
      <c r="J1847" s="135"/>
      <c r="K1847" s="22"/>
    </row>
    <row r="1848" spans="1:11">
      <c r="A1848" s="241" t="e">
        <f>VLOOKUP(B1848,'lista 1'!$A$2:$E$30100,4,0)</f>
        <v>#N/A</v>
      </c>
      <c r="B1848" s="123"/>
      <c r="C1848" s="133" t="e">
        <f>VLOOKUP(B1848,'lista 1'!$A$2:$E$31000,5,0)</f>
        <v>#N/A</v>
      </c>
      <c r="D1848" s="167" t="e">
        <f>VLOOKUP(E13648,'lista obszary'!A:B,2,0)</f>
        <v>#N/A</v>
      </c>
      <c r="E1848" s="128" t="e">
        <f>VLOOKUP(B1848,'LISTA 12'!$A$2:$G$301400,5,0)</f>
        <v>#N/A</v>
      </c>
      <c r="F1848" s="121" t="e">
        <f>VLOOKUP(B1848,'LISTA 12'!$A$2:$G$30100,7,0)</f>
        <v>#N/A</v>
      </c>
      <c r="G1848" s="254" t="e">
        <f>VLOOKUP(H1848,'lista 3'!$A$1:$C$31467,3,0)</f>
        <v>#N/A</v>
      </c>
      <c r="H1848" s="134"/>
      <c r="I1848" s="136"/>
      <c r="J1848" s="135"/>
      <c r="K1848" s="22"/>
    </row>
    <row r="1849" spans="1:11">
      <c r="A1849" s="241" t="e">
        <f>VLOOKUP(B1849,'lista 1'!$A$2:$E$30100,4,0)</f>
        <v>#N/A</v>
      </c>
      <c r="B1849" s="123"/>
      <c r="C1849" s="133" t="e">
        <f>VLOOKUP(B1849,'lista 1'!$A$2:$E$31000,5,0)</f>
        <v>#N/A</v>
      </c>
      <c r="D1849" s="167" t="e">
        <f>VLOOKUP(E13649,'lista obszary'!A:B,2,0)</f>
        <v>#N/A</v>
      </c>
      <c r="E1849" s="128" t="e">
        <f>VLOOKUP(B1849,'LISTA 12'!$A$2:$G$301400,5,0)</f>
        <v>#N/A</v>
      </c>
      <c r="F1849" s="121" t="e">
        <f>VLOOKUP(B1849,'LISTA 12'!$A$2:$G$30100,7,0)</f>
        <v>#N/A</v>
      </c>
      <c r="G1849" s="254" t="e">
        <f>VLOOKUP(H1849,'lista 3'!$A$1:$C$31467,3,0)</f>
        <v>#N/A</v>
      </c>
      <c r="H1849" s="134"/>
      <c r="I1849" s="136"/>
      <c r="J1849" s="135"/>
      <c r="K1849" s="22"/>
    </row>
    <row r="1850" spans="1:11">
      <c r="A1850" s="241" t="e">
        <f>VLOOKUP(B1850,'lista 1'!$A$2:$E$30100,4,0)</f>
        <v>#N/A</v>
      </c>
      <c r="B1850" s="123"/>
      <c r="C1850" s="133" t="e">
        <f>VLOOKUP(B1850,'lista 1'!$A$2:$E$31000,5,0)</f>
        <v>#N/A</v>
      </c>
      <c r="D1850" s="167" t="e">
        <f>VLOOKUP(E13650,'lista obszary'!A:B,2,0)</f>
        <v>#N/A</v>
      </c>
      <c r="E1850" s="128" t="e">
        <f>VLOOKUP(B1850,'LISTA 12'!$A$2:$G$301400,5,0)</f>
        <v>#N/A</v>
      </c>
      <c r="F1850" s="121" t="e">
        <f>VLOOKUP(B1850,'LISTA 12'!$A$2:$G$30100,7,0)</f>
        <v>#N/A</v>
      </c>
      <c r="G1850" s="254" t="e">
        <f>VLOOKUP(H1850,'lista 3'!$A$1:$C$31467,3,0)</f>
        <v>#N/A</v>
      </c>
      <c r="H1850" s="134"/>
      <c r="I1850" s="136"/>
      <c r="J1850" s="135"/>
      <c r="K1850" s="22"/>
    </row>
    <row r="1851" spans="1:11">
      <c r="A1851" s="241" t="e">
        <f>VLOOKUP(B1851,'lista 1'!$A$2:$E$30100,4,0)</f>
        <v>#N/A</v>
      </c>
      <c r="B1851" s="123"/>
      <c r="C1851" s="133" t="e">
        <f>VLOOKUP(B1851,'lista 1'!$A$2:$E$31000,5,0)</f>
        <v>#N/A</v>
      </c>
      <c r="D1851" s="167" t="e">
        <f>VLOOKUP(E13651,'lista obszary'!A:B,2,0)</f>
        <v>#N/A</v>
      </c>
      <c r="E1851" s="128" t="e">
        <f>VLOOKUP(B1851,'LISTA 12'!$A$2:$G$301400,5,0)</f>
        <v>#N/A</v>
      </c>
      <c r="F1851" s="121" t="e">
        <f>VLOOKUP(B1851,'LISTA 12'!$A$2:$G$30100,7,0)</f>
        <v>#N/A</v>
      </c>
      <c r="G1851" s="254" t="e">
        <f>VLOOKUP(H1851,'lista 3'!$A$1:$C$31467,3,0)</f>
        <v>#N/A</v>
      </c>
      <c r="H1851" s="134"/>
      <c r="I1851" s="136"/>
      <c r="J1851" s="135"/>
      <c r="K1851" s="22"/>
    </row>
    <row r="1852" spans="1:11">
      <c r="A1852" s="241" t="e">
        <f>VLOOKUP(B1852,'lista 1'!$A$2:$E$30100,4,0)</f>
        <v>#N/A</v>
      </c>
      <c r="B1852" s="123"/>
      <c r="C1852" s="133" t="e">
        <f>VLOOKUP(B1852,'lista 1'!$A$2:$E$31000,5,0)</f>
        <v>#N/A</v>
      </c>
      <c r="D1852" s="167" t="e">
        <f>VLOOKUP(E13652,'lista obszary'!A:B,2,0)</f>
        <v>#N/A</v>
      </c>
      <c r="E1852" s="128" t="e">
        <f>VLOOKUP(B1852,'LISTA 12'!$A$2:$G$301400,5,0)</f>
        <v>#N/A</v>
      </c>
      <c r="F1852" s="121" t="e">
        <f>VLOOKUP(B1852,'LISTA 12'!$A$2:$G$30100,7,0)</f>
        <v>#N/A</v>
      </c>
      <c r="G1852" s="254" t="e">
        <f>VLOOKUP(H1852,'lista 3'!$A$1:$C$31467,3,0)</f>
        <v>#N/A</v>
      </c>
      <c r="H1852" s="134"/>
      <c r="I1852" s="136"/>
      <c r="J1852" s="135"/>
      <c r="K1852" s="22"/>
    </row>
    <row r="1853" spans="1:11">
      <c r="A1853" s="241" t="e">
        <f>VLOOKUP(B1853,'lista 1'!$A$2:$E$30100,4,0)</f>
        <v>#N/A</v>
      </c>
      <c r="B1853" s="123"/>
      <c r="C1853" s="133" t="e">
        <f>VLOOKUP(B1853,'lista 1'!$A$2:$E$31000,5,0)</f>
        <v>#N/A</v>
      </c>
      <c r="D1853" s="167" t="e">
        <f>VLOOKUP(E13653,'lista obszary'!A:B,2,0)</f>
        <v>#N/A</v>
      </c>
      <c r="E1853" s="128" t="e">
        <f>VLOOKUP(B1853,'LISTA 12'!$A$2:$G$301400,5,0)</f>
        <v>#N/A</v>
      </c>
      <c r="F1853" s="121" t="e">
        <f>VLOOKUP(B1853,'LISTA 12'!$A$2:$G$30100,7,0)</f>
        <v>#N/A</v>
      </c>
      <c r="G1853" s="254" t="e">
        <f>VLOOKUP(H1853,'lista 3'!$A$1:$C$31467,3,0)</f>
        <v>#N/A</v>
      </c>
      <c r="H1853" s="134"/>
      <c r="I1853" s="136"/>
      <c r="J1853" s="135"/>
      <c r="K1853" s="22"/>
    </row>
    <row r="1854" spans="1:11">
      <c r="A1854" s="241" t="e">
        <f>VLOOKUP(B1854,'lista 1'!$A$2:$E$30100,4,0)</f>
        <v>#N/A</v>
      </c>
      <c r="B1854" s="123"/>
      <c r="C1854" s="133" t="e">
        <f>VLOOKUP(B1854,'lista 1'!$A$2:$E$31000,5,0)</f>
        <v>#N/A</v>
      </c>
      <c r="D1854" s="167" t="e">
        <f>VLOOKUP(E13654,'lista obszary'!A:B,2,0)</f>
        <v>#N/A</v>
      </c>
      <c r="E1854" s="128" t="e">
        <f>VLOOKUP(B1854,'LISTA 12'!$A$2:$G$301400,5,0)</f>
        <v>#N/A</v>
      </c>
      <c r="F1854" s="121" t="e">
        <f>VLOOKUP(B1854,'LISTA 12'!$A$2:$G$30100,7,0)</f>
        <v>#N/A</v>
      </c>
      <c r="G1854" s="254" t="e">
        <f>VLOOKUP(H1854,'lista 3'!$A$1:$C$31467,3,0)</f>
        <v>#N/A</v>
      </c>
      <c r="H1854" s="134"/>
      <c r="I1854" s="136"/>
      <c r="J1854" s="135"/>
      <c r="K1854" s="22"/>
    </row>
    <row r="1855" spans="1:11">
      <c r="A1855" s="241" t="e">
        <f>VLOOKUP(B1855,'lista 1'!$A$2:$E$30100,4,0)</f>
        <v>#N/A</v>
      </c>
      <c r="B1855" s="123"/>
      <c r="C1855" s="133" t="e">
        <f>VLOOKUP(B1855,'lista 1'!$A$2:$E$31000,5,0)</f>
        <v>#N/A</v>
      </c>
      <c r="D1855" s="167" t="e">
        <f>VLOOKUP(E13655,'lista obszary'!A:B,2,0)</f>
        <v>#N/A</v>
      </c>
      <c r="E1855" s="128" t="e">
        <f>VLOOKUP(B1855,'LISTA 12'!$A$2:$G$301400,5,0)</f>
        <v>#N/A</v>
      </c>
      <c r="F1855" s="121" t="e">
        <f>VLOOKUP(B1855,'LISTA 12'!$A$2:$G$30100,7,0)</f>
        <v>#N/A</v>
      </c>
      <c r="G1855" s="254" t="e">
        <f>VLOOKUP(H1855,'lista 3'!$A$1:$C$31467,3,0)</f>
        <v>#N/A</v>
      </c>
      <c r="H1855" s="134"/>
      <c r="I1855" s="136"/>
      <c r="J1855" s="135"/>
      <c r="K1855" s="22"/>
    </row>
    <row r="1856" spans="1:11">
      <c r="A1856" s="241" t="e">
        <f>VLOOKUP(B1856,'lista 1'!$A$2:$E$30100,4,0)</f>
        <v>#N/A</v>
      </c>
      <c r="B1856" s="123"/>
      <c r="C1856" s="133" t="e">
        <f>VLOOKUP(B1856,'lista 1'!$A$2:$E$31000,5,0)</f>
        <v>#N/A</v>
      </c>
      <c r="D1856" s="167" t="e">
        <f>VLOOKUP(E13656,'lista obszary'!A:B,2,0)</f>
        <v>#N/A</v>
      </c>
      <c r="E1856" s="128" t="e">
        <f>VLOOKUP(B1856,'LISTA 12'!$A$2:$G$301400,5,0)</f>
        <v>#N/A</v>
      </c>
      <c r="F1856" s="121" t="e">
        <f>VLOOKUP(B1856,'LISTA 12'!$A$2:$G$30100,7,0)</f>
        <v>#N/A</v>
      </c>
      <c r="G1856" s="254" t="e">
        <f>VLOOKUP(H1856,'lista 3'!$A$1:$C$31467,3,0)</f>
        <v>#N/A</v>
      </c>
      <c r="H1856" s="134"/>
      <c r="I1856" s="136"/>
      <c r="J1856" s="135"/>
      <c r="K1856" s="22"/>
    </row>
    <row r="1857" spans="1:11">
      <c r="A1857" s="241" t="e">
        <f>VLOOKUP(B1857,'lista 1'!$A$2:$E$30100,4,0)</f>
        <v>#N/A</v>
      </c>
      <c r="B1857" s="123"/>
      <c r="C1857" s="133" t="e">
        <f>VLOOKUP(B1857,'lista 1'!$A$2:$E$31000,5,0)</f>
        <v>#N/A</v>
      </c>
      <c r="D1857" s="167" t="e">
        <f>VLOOKUP(E13657,'lista obszary'!A:B,2,0)</f>
        <v>#N/A</v>
      </c>
      <c r="E1857" s="128" t="e">
        <f>VLOOKUP(B1857,'LISTA 12'!$A$2:$G$301400,5,0)</f>
        <v>#N/A</v>
      </c>
      <c r="F1857" s="121" t="e">
        <f>VLOOKUP(B1857,'LISTA 12'!$A$2:$G$30100,7,0)</f>
        <v>#N/A</v>
      </c>
      <c r="G1857" s="254" t="e">
        <f>VLOOKUP(H1857,'lista 3'!$A$1:$C$31467,3,0)</f>
        <v>#N/A</v>
      </c>
      <c r="H1857" s="134"/>
      <c r="I1857" s="136"/>
      <c r="J1857" s="135"/>
      <c r="K1857" s="22"/>
    </row>
    <row r="1858" spans="1:11">
      <c r="A1858" s="241" t="e">
        <f>VLOOKUP(B1858,'lista 1'!$A$2:$E$30100,4,0)</f>
        <v>#N/A</v>
      </c>
      <c r="B1858" s="123"/>
      <c r="C1858" s="133" t="e">
        <f>VLOOKUP(B1858,'lista 1'!$A$2:$E$31000,5,0)</f>
        <v>#N/A</v>
      </c>
      <c r="D1858" s="167" t="e">
        <f>VLOOKUP(E13658,'lista obszary'!A:B,2,0)</f>
        <v>#N/A</v>
      </c>
      <c r="E1858" s="128" t="e">
        <f>VLOOKUP(B1858,'LISTA 12'!$A$2:$G$301400,5,0)</f>
        <v>#N/A</v>
      </c>
      <c r="F1858" s="121" t="e">
        <f>VLOOKUP(B1858,'LISTA 12'!$A$2:$G$30100,7,0)</f>
        <v>#N/A</v>
      </c>
      <c r="G1858" s="254" t="e">
        <f>VLOOKUP(H1858,'lista 3'!$A$1:$C$31467,3,0)</f>
        <v>#N/A</v>
      </c>
      <c r="H1858" s="134"/>
      <c r="I1858" s="136"/>
      <c r="J1858" s="135"/>
      <c r="K1858" s="22"/>
    </row>
    <row r="1859" spans="1:11">
      <c r="A1859" s="241" t="e">
        <f>VLOOKUP(B1859,'lista 1'!$A$2:$E$30100,4,0)</f>
        <v>#N/A</v>
      </c>
      <c r="B1859" s="123"/>
      <c r="C1859" s="133" t="e">
        <f>VLOOKUP(B1859,'lista 1'!$A$2:$E$31000,5,0)</f>
        <v>#N/A</v>
      </c>
      <c r="D1859" s="167" t="e">
        <f>VLOOKUP(E13659,'lista obszary'!A:B,2,0)</f>
        <v>#N/A</v>
      </c>
      <c r="E1859" s="128" t="e">
        <f>VLOOKUP(B1859,'LISTA 12'!$A$2:$G$301400,5,0)</f>
        <v>#N/A</v>
      </c>
      <c r="F1859" s="121" t="e">
        <f>VLOOKUP(B1859,'LISTA 12'!$A$2:$G$30100,7,0)</f>
        <v>#N/A</v>
      </c>
      <c r="G1859" s="254" t="e">
        <f>VLOOKUP(H1859,'lista 3'!$A$1:$C$31467,3,0)</f>
        <v>#N/A</v>
      </c>
      <c r="H1859" s="134"/>
      <c r="I1859" s="136"/>
      <c r="J1859" s="135"/>
      <c r="K1859" s="22"/>
    </row>
    <row r="1860" spans="1:11">
      <c r="A1860" s="241" t="e">
        <f>VLOOKUP(B1860,'lista 1'!$A$2:$E$30100,4,0)</f>
        <v>#N/A</v>
      </c>
      <c r="B1860" s="123"/>
      <c r="C1860" s="133" t="e">
        <f>VLOOKUP(B1860,'lista 1'!$A$2:$E$31000,5,0)</f>
        <v>#N/A</v>
      </c>
      <c r="D1860" s="167" t="e">
        <f>VLOOKUP(E13660,'lista obszary'!A:B,2,0)</f>
        <v>#N/A</v>
      </c>
      <c r="E1860" s="128" t="e">
        <f>VLOOKUP(B1860,'LISTA 12'!$A$2:$G$301400,5,0)</f>
        <v>#N/A</v>
      </c>
      <c r="F1860" s="121" t="e">
        <f>VLOOKUP(B1860,'LISTA 12'!$A$2:$G$30100,7,0)</f>
        <v>#N/A</v>
      </c>
      <c r="G1860" s="254" t="e">
        <f>VLOOKUP(H1860,'lista 3'!$A$1:$C$31467,3,0)</f>
        <v>#N/A</v>
      </c>
      <c r="H1860" s="134"/>
      <c r="I1860" s="136"/>
      <c r="J1860" s="135"/>
      <c r="K1860" s="22"/>
    </row>
    <row r="1861" spans="1:11">
      <c r="A1861" s="241" t="e">
        <f>VLOOKUP(B1861,'lista 1'!$A$2:$E$30100,4,0)</f>
        <v>#N/A</v>
      </c>
      <c r="B1861" s="123"/>
      <c r="C1861" s="133" t="e">
        <f>VLOOKUP(B1861,'lista 1'!$A$2:$E$31000,5,0)</f>
        <v>#N/A</v>
      </c>
      <c r="D1861" s="167" t="e">
        <f>VLOOKUP(E13661,'lista obszary'!A:B,2,0)</f>
        <v>#N/A</v>
      </c>
      <c r="E1861" s="128" t="e">
        <f>VLOOKUP(B1861,'LISTA 12'!$A$2:$G$301400,5,0)</f>
        <v>#N/A</v>
      </c>
      <c r="F1861" s="121" t="e">
        <f>VLOOKUP(B1861,'LISTA 12'!$A$2:$G$30100,7,0)</f>
        <v>#N/A</v>
      </c>
      <c r="G1861" s="254" t="e">
        <f>VLOOKUP(H1861,'lista 3'!$A$1:$C$31467,3,0)</f>
        <v>#N/A</v>
      </c>
      <c r="H1861" s="134"/>
      <c r="I1861" s="136"/>
      <c r="J1861" s="135"/>
      <c r="K1861" s="22"/>
    </row>
    <row r="1862" spans="1:11">
      <c r="A1862" s="241" t="e">
        <f>VLOOKUP(B1862,'lista 1'!$A$2:$E$30100,4,0)</f>
        <v>#N/A</v>
      </c>
      <c r="B1862" s="123"/>
      <c r="C1862" s="133" t="e">
        <f>VLOOKUP(B1862,'lista 1'!$A$2:$E$31000,5,0)</f>
        <v>#N/A</v>
      </c>
      <c r="D1862" s="167" t="e">
        <f>VLOOKUP(E13662,'lista obszary'!A:B,2,0)</f>
        <v>#N/A</v>
      </c>
      <c r="E1862" s="128" t="e">
        <f>VLOOKUP(B1862,'LISTA 12'!$A$2:$G$301400,5,0)</f>
        <v>#N/A</v>
      </c>
      <c r="F1862" s="121" t="e">
        <f>VLOOKUP(B1862,'LISTA 12'!$A$2:$G$30100,7,0)</f>
        <v>#N/A</v>
      </c>
      <c r="G1862" s="254" t="e">
        <f>VLOOKUP(H1862,'lista 3'!$A$1:$C$31467,3,0)</f>
        <v>#N/A</v>
      </c>
      <c r="H1862" s="134"/>
      <c r="I1862" s="136"/>
      <c r="J1862" s="135"/>
      <c r="K1862" s="22"/>
    </row>
    <row r="1863" spans="1:11">
      <c r="A1863" s="241" t="e">
        <f>VLOOKUP(B1863,'lista 1'!$A$2:$E$30100,4,0)</f>
        <v>#N/A</v>
      </c>
      <c r="B1863" s="123"/>
      <c r="C1863" s="133" t="e">
        <f>VLOOKUP(B1863,'lista 1'!$A$2:$E$31000,5,0)</f>
        <v>#N/A</v>
      </c>
      <c r="D1863" s="167" t="e">
        <f>VLOOKUP(E13663,'lista obszary'!A:B,2,0)</f>
        <v>#N/A</v>
      </c>
      <c r="E1863" s="128" t="e">
        <f>VLOOKUP(B1863,'LISTA 12'!$A$2:$G$301400,5,0)</f>
        <v>#N/A</v>
      </c>
      <c r="F1863" s="121" t="e">
        <f>VLOOKUP(B1863,'LISTA 12'!$A$2:$G$30100,7,0)</f>
        <v>#N/A</v>
      </c>
      <c r="G1863" s="254" t="e">
        <f>VLOOKUP(H1863,'lista 3'!$A$1:$C$31467,3,0)</f>
        <v>#N/A</v>
      </c>
      <c r="H1863" s="134"/>
      <c r="I1863" s="136"/>
      <c r="J1863" s="135"/>
      <c r="K1863" s="22"/>
    </row>
    <row r="1864" spans="1:11">
      <c r="A1864" s="241" t="e">
        <f>VLOOKUP(B1864,'lista 1'!$A$2:$E$30100,4,0)</f>
        <v>#N/A</v>
      </c>
      <c r="B1864" s="123"/>
      <c r="C1864" s="133" t="e">
        <f>VLOOKUP(B1864,'lista 1'!$A$2:$E$31000,5,0)</f>
        <v>#N/A</v>
      </c>
      <c r="D1864" s="167" t="e">
        <f>VLOOKUP(E13664,'lista obszary'!A:B,2,0)</f>
        <v>#N/A</v>
      </c>
      <c r="E1864" s="128" t="e">
        <f>VLOOKUP(B1864,'LISTA 12'!$A$2:$G$301400,5,0)</f>
        <v>#N/A</v>
      </c>
      <c r="F1864" s="121" t="e">
        <f>VLOOKUP(B1864,'LISTA 12'!$A$2:$G$30100,7,0)</f>
        <v>#N/A</v>
      </c>
      <c r="G1864" s="254" t="e">
        <f>VLOOKUP(H1864,'lista 3'!$A$1:$C$31467,3,0)</f>
        <v>#N/A</v>
      </c>
      <c r="H1864" s="134"/>
      <c r="I1864" s="136"/>
      <c r="J1864" s="135"/>
      <c r="K1864" s="22"/>
    </row>
    <row r="1865" spans="1:11">
      <c r="A1865" s="241" t="e">
        <f>VLOOKUP(B1865,'lista 1'!$A$2:$E$30100,4,0)</f>
        <v>#N/A</v>
      </c>
      <c r="B1865" s="123"/>
      <c r="C1865" s="133" t="e">
        <f>VLOOKUP(B1865,'lista 1'!$A$2:$E$31000,5,0)</f>
        <v>#N/A</v>
      </c>
      <c r="D1865" s="167" t="e">
        <f>VLOOKUP(E13665,'lista obszary'!A:B,2,0)</f>
        <v>#N/A</v>
      </c>
      <c r="E1865" s="128" t="e">
        <f>VLOOKUP(B1865,'LISTA 12'!$A$2:$G$301400,5,0)</f>
        <v>#N/A</v>
      </c>
      <c r="F1865" s="121" t="e">
        <f>VLOOKUP(B1865,'LISTA 12'!$A$2:$G$30100,7,0)</f>
        <v>#N/A</v>
      </c>
      <c r="G1865" s="254" t="e">
        <f>VLOOKUP(H1865,'lista 3'!$A$1:$C$31467,3,0)</f>
        <v>#N/A</v>
      </c>
      <c r="H1865" s="134"/>
      <c r="I1865" s="136"/>
      <c r="J1865" s="135"/>
      <c r="K1865" s="22"/>
    </row>
    <row r="1866" spans="1:11">
      <c r="A1866" s="241" t="e">
        <f>VLOOKUP(B1866,'lista 1'!$A$2:$E$30100,4,0)</f>
        <v>#N/A</v>
      </c>
      <c r="B1866" s="123"/>
      <c r="C1866" s="133" t="e">
        <f>VLOOKUP(B1866,'lista 1'!$A$2:$E$31000,5,0)</f>
        <v>#N/A</v>
      </c>
      <c r="D1866" s="167" t="e">
        <f>VLOOKUP(E13666,'lista obszary'!A:B,2,0)</f>
        <v>#N/A</v>
      </c>
      <c r="E1866" s="128" t="e">
        <f>VLOOKUP(B1866,'LISTA 12'!$A$2:$G$301400,5,0)</f>
        <v>#N/A</v>
      </c>
      <c r="F1866" s="121" t="e">
        <f>VLOOKUP(B1866,'LISTA 12'!$A$2:$G$30100,7,0)</f>
        <v>#N/A</v>
      </c>
      <c r="G1866" s="254" t="e">
        <f>VLOOKUP(H1866,'lista 3'!$A$1:$C$31467,3,0)</f>
        <v>#N/A</v>
      </c>
      <c r="H1866" s="134"/>
      <c r="I1866" s="136"/>
      <c r="J1866" s="135"/>
      <c r="K1866" s="22"/>
    </row>
    <row r="1867" spans="1:11">
      <c r="A1867" s="241" t="e">
        <f>VLOOKUP(B1867,'lista 1'!$A$2:$E$30100,4,0)</f>
        <v>#N/A</v>
      </c>
      <c r="B1867" s="123"/>
      <c r="C1867" s="133" t="e">
        <f>VLOOKUP(B1867,'lista 1'!$A$2:$E$31000,5,0)</f>
        <v>#N/A</v>
      </c>
      <c r="D1867" s="167" t="e">
        <f>VLOOKUP(E13667,'lista obszary'!A:B,2,0)</f>
        <v>#N/A</v>
      </c>
      <c r="E1867" s="128" t="e">
        <f>VLOOKUP(B1867,'LISTA 12'!$A$2:$G$301400,5,0)</f>
        <v>#N/A</v>
      </c>
      <c r="F1867" s="121" t="e">
        <f>VLOOKUP(B1867,'LISTA 12'!$A$2:$G$30100,7,0)</f>
        <v>#N/A</v>
      </c>
      <c r="G1867" s="254" t="e">
        <f>VLOOKUP(H1867,'lista 3'!$A$1:$C$31467,3,0)</f>
        <v>#N/A</v>
      </c>
      <c r="H1867" s="134"/>
      <c r="I1867" s="136"/>
      <c r="J1867" s="135"/>
      <c r="K1867" s="22"/>
    </row>
    <row r="1868" spans="1:11">
      <c r="A1868" s="241" t="e">
        <f>VLOOKUP(B1868,'lista 1'!$A$2:$E$30100,4,0)</f>
        <v>#N/A</v>
      </c>
      <c r="B1868" s="123"/>
      <c r="C1868" s="133" t="e">
        <f>VLOOKUP(B1868,'lista 1'!$A$2:$E$31000,5,0)</f>
        <v>#N/A</v>
      </c>
      <c r="D1868" s="167" t="e">
        <f>VLOOKUP(E13668,'lista obszary'!A:B,2,0)</f>
        <v>#N/A</v>
      </c>
      <c r="E1868" s="128" t="e">
        <f>VLOOKUP(B1868,'LISTA 12'!$A$2:$G$301400,5,0)</f>
        <v>#N/A</v>
      </c>
      <c r="F1868" s="121" t="e">
        <f>VLOOKUP(B1868,'LISTA 12'!$A$2:$G$30100,7,0)</f>
        <v>#N/A</v>
      </c>
      <c r="G1868" s="254" t="e">
        <f>VLOOKUP(H1868,'lista 3'!$A$1:$C$31467,3,0)</f>
        <v>#N/A</v>
      </c>
      <c r="H1868" s="134"/>
      <c r="I1868" s="136"/>
      <c r="J1868" s="135"/>
      <c r="K1868" s="22"/>
    </row>
    <row r="1869" spans="1:11">
      <c r="A1869" s="241" t="e">
        <f>VLOOKUP(B1869,'lista 1'!$A$2:$E$30100,4,0)</f>
        <v>#N/A</v>
      </c>
      <c r="B1869" s="123"/>
      <c r="C1869" s="133" t="e">
        <f>VLOOKUP(B1869,'lista 1'!$A$2:$E$31000,5,0)</f>
        <v>#N/A</v>
      </c>
      <c r="D1869" s="167" t="e">
        <f>VLOOKUP(E13669,'lista obszary'!A:B,2,0)</f>
        <v>#N/A</v>
      </c>
      <c r="E1869" s="128" t="e">
        <f>VLOOKUP(B1869,'LISTA 12'!$A$2:$G$301400,5,0)</f>
        <v>#N/A</v>
      </c>
      <c r="F1869" s="121" t="e">
        <f>VLOOKUP(B1869,'LISTA 12'!$A$2:$G$30100,7,0)</f>
        <v>#N/A</v>
      </c>
      <c r="G1869" s="254" t="e">
        <f>VLOOKUP(H1869,'lista 3'!$A$1:$C$31467,3,0)</f>
        <v>#N/A</v>
      </c>
      <c r="H1869" s="134"/>
      <c r="I1869" s="136"/>
      <c r="J1869" s="135"/>
      <c r="K1869" s="22"/>
    </row>
    <row r="1870" spans="1:11">
      <c r="A1870" s="241" t="e">
        <f>VLOOKUP(B1870,'lista 1'!$A$2:$E$30100,4,0)</f>
        <v>#N/A</v>
      </c>
      <c r="B1870" s="123"/>
      <c r="C1870" s="133" t="e">
        <f>VLOOKUP(B1870,'lista 1'!$A$2:$E$31000,5,0)</f>
        <v>#N/A</v>
      </c>
      <c r="D1870" s="167" t="e">
        <f>VLOOKUP(E13670,'lista obszary'!A:B,2,0)</f>
        <v>#N/A</v>
      </c>
      <c r="E1870" s="128" t="e">
        <f>VLOOKUP(B1870,'LISTA 12'!$A$2:$G$301400,5,0)</f>
        <v>#N/A</v>
      </c>
      <c r="F1870" s="121" t="e">
        <f>VLOOKUP(B1870,'LISTA 12'!$A$2:$G$30100,7,0)</f>
        <v>#N/A</v>
      </c>
      <c r="G1870" s="254" t="e">
        <f>VLOOKUP(H1870,'lista 3'!$A$1:$C$31467,3,0)</f>
        <v>#N/A</v>
      </c>
      <c r="H1870" s="134"/>
      <c r="I1870" s="136"/>
      <c r="J1870" s="135"/>
      <c r="K1870" s="22"/>
    </row>
    <row r="1871" spans="1:11">
      <c r="A1871" s="241" t="e">
        <f>VLOOKUP(B1871,'lista 1'!$A$2:$E$30100,4,0)</f>
        <v>#N/A</v>
      </c>
      <c r="B1871" s="123"/>
      <c r="C1871" s="133" t="e">
        <f>VLOOKUP(B1871,'lista 1'!$A$2:$E$31000,5,0)</f>
        <v>#N/A</v>
      </c>
      <c r="D1871" s="167" t="e">
        <f>VLOOKUP(E13671,'lista obszary'!A:B,2,0)</f>
        <v>#N/A</v>
      </c>
      <c r="E1871" s="128" t="e">
        <f>VLOOKUP(B1871,'LISTA 12'!$A$2:$G$301400,5,0)</f>
        <v>#N/A</v>
      </c>
      <c r="F1871" s="121" t="e">
        <f>VLOOKUP(B1871,'LISTA 12'!$A$2:$G$30100,7,0)</f>
        <v>#N/A</v>
      </c>
      <c r="G1871" s="254" t="e">
        <f>VLOOKUP(H1871,'lista 3'!$A$1:$C$31467,3,0)</f>
        <v>#N/A</v>
      </c>
      <c r="H1871" s="134"/>
      <c r="I1871" s="136"/>
      <c r="J1871" s="135"/>
      <c r="K1871" s="22"/>
    </row>
    <row r="1872" spans="1:11">
      <c r="A1872" s="241" t="e">
        <f>VLOOKUP(B1872,'lista 1'!$A$2:$E$30100,4,0)</f>
        <v>#N/A</v>
      </c>
      <c r="B1872" s="123"/>
      <c r="C1872" s="133" t="e">
        <f>VLOOKUP(B1872,'lista 1'!$A$2:$E$31000,5,0)</f>
        <v>#N/A</v>
      </c>
      <c r="D1872" s="167" t="e">
        <f>VLOOKUP(E13672,'lista obszary'!A:B,2,0)</f>
        <v>#N/A</v>
      </c>
      <c r="E1872" s="128" t="e">
        <f>VLOOKUP(B1872,'LISTA 12'!$A$2:$G$301400,5,0)</f>
        <v>#N/A</v>
      </c>
      <c r="F1872" s="121" t="e">
        <f>VLOOKUP(B1872,'LISTA 12'!$A$2:$G$30100,7,0)</f>
        <v>#N/A</v>
      </c>
      <c r="G1872" s="254" t="e">
        <f>VLOOKUP(H1872,'lista 3'!$A$1:$C$31467,3,0)</f>
        <v>#N/A</v>
      </c>
      <c r="H1872" s="134"/>
      <c r="I1872" s="136"/>
      <c r="J1872" s="135"/>
      <c r="K1872" s="22"/>
    </row>
    <row r="1873" spans="1:11">
      <c r="A1873" s="241" t="e">
        <f>VLOOKUP(B1873,'lista 1'!$A$2:$E$30100,4,0)</f>
        <v>#N/A</v>
      </c>
      <c r="B1873" s="123"/>
      <c r="C1873" s="133" t="e">
        <f>VLOOKUP(B1873,'lista 1'!$A$2:$E$31000,5,0)</f>
        <v>#N/A</v>
      </c>
      <c r="D1873" s="167" t="e">
        <f>VLOOKUP(E13673,'lista obszary'!A:B,2,0)</f>
        <v>#N/A</v>
      </c>
      <c r="E1873" s="128" t="e">
        <f>VLOOKUP(B1873,'LISTA 12'!$A$2:$G$301400,5,0)</f>
        <v>#N/A</v>
      </c>
      <c r="F1873" s="121" t="e">
        <f>VLOOKUP(B1873,'LISTA 12'!$A$2:$G$30100,7,0)</f>
        <v>#N/A</v>
      </c>
      <c r="G1873" s="254" t="e">
        <f>VLOOKUP(H1873,'lista 3'!$A$1:$C$31467,3,0)</f>
        <v>#N/A</v>
      </c>
      <c r="H1873" s="134"/>
      <c r="I1873" s="136"/>
      <c r="J1873" s="135"/>
      <c r="K1873" s="22"/>
    </row>
    <row r="1874" spans="1:11">
      <c r="A1874" s="241" t="e">
        <f>VLOOKUP(B1874,'lista 1'!$A$2:$E$30100,4,0)</f>
        <v>#N/A</v>
      </c>
      <c r="B1874" s="123"/>
      <c r="C1874" s="133" t="e">
        <f>VLOOKUP(B1874,'lista 1'!$A$2:$E$31000,5,0)</f>
        <v>#N/A</v>
      </c>
      <c r="D1874" s="167" t="e">
        <f>VLOOKUP(E13674,'lista obszary'!A:B,2,0)</f>
        <v>#N/A</v>
      </c>
      <c r="E1874" s="128" t="e">
        <f>VLOOKUP(B1874,'LISTA 12'!$A$2:$G$301400,5,0)</f>
        <v>#N/A</v>
      </c>
      <c r="F1874" s="121" t="e">
        <f>VLOOKUP(B1874,'LISTA 12'!$A$2:$G$30100,7,0)</f>
        <v>#N/A</v>
      </c>
      <c r="G1874" s="254" t="e">
        <f>VLOOKUP(H1874,'lista 3'!$A$1:$C$31467,3,0)</f>
        <v>#N/A</v>
      </c>
      <c r="H1874" s="134"/>
      <c r="I1874" s="136"/>
      <c r="J1874" s="135"/>
      <c r="K1874" s="22"/>
    </row>
    <row r="1875" spans="1:11">
      <c r="A1875" s="241" t="e">
        <f>VLOOKUP(B1875,'lista 1'!$A$2:$E$30100,4,0)</f>
        <v>#N/A</v>
      </c>
      <c r="B1875" s="123"/>
      <c r="C1875" s="133" t="e">
        <f>VLOOKUP(B1875,'lista 1'!$A$2:$E$31000,5,0)</f>
        <v>#N/A</v>
      </c>
      <c r="D1875" s="167" t="e">
        <f>VLOOKUP(E13675,'lista obszary'!A:B,2,0)</f>
        <v>#N/A</v>
      </c>
      <c r="E1875" s="128" t="e">
        <f>VLOOKUP(B1875,'LISTA 12'!$A$2:$G$301400,5,0)</f>
        <v>#N/A</v>
      </c>
      <c r="F1875" s="121" t="e">
        <f>VLOOKUP(B1875,'LISTA 12'!$A$2:$G$30100,7,0)</f>
        <v>#N/A</v>
      </c>
      <c r="G1875" s="254" t="e">
        <f>VLOOKUP(H1875,'lista 3'!$A$1:$C$31467,3,0)</f>
        <v>#N/A</v>
      </c>
      <c r="H1875" s="134"/>
      <c r="I1875" s="136"/>
      <c r="J1875" s="135"/>
      <c r="K1875" s="22"/>
    </row>
    <row r="1876" spans="1:11">
      <c r="A1876" s="241" t="e">
        <f>VLOOKUP(B1876,'lista 1'!$A$2:$E$30100,4,0)</f>
        <v>#N/A</v>
      </c>
      <c r="B1876" s="123"/>
      <c r="C1876" s="133" t="e">
        <f>VLOOKUP(B1876,'lista 1'!$A$2:$E$31000,5,0)</f>
        <v>#N/A</v>
      </c>
      <c r="D1876" s="167" t="e">
        <f>VLOOKUP(E13676,'lista obszary'!A:B,2,0)</f>
        <v>#N/A</v>
      </c>
      <c r="E1876" s="128" t="e">
        <f>VLOOKUP(B1876,'LISTA 12'!$A$2:$G$301400,5,0)</f>
        <v>#N/A</v>
      </c>
      <c r="F1876" s="121" t="e">
        <f>VLOOKUP(B1876,'LISTA 12'!$A$2:$G$30100,7,0)</f>
        <v>#N/A</v>
      </c>
      <c r="G1876" s="254" t="e">
        <f>VLOOKUP(H1876,'lista 3'!$A$1:$C$31467,3,0)</f>
        <v>#N/A</v>
      </c>
      <c r="H1876" s="134"/>
      <c r="I1876" s="136"/>
      <c r="J1876" s="135"/>
      <c r="K1876" s="22"/>
    </row>
    <row r="1877" spans="1:11">
      <c r="A1877" s="241" t="e">
        <f>VLOOKUP(B1877,'lista 1'!$A$2:$E$30100,4,0)</f>
        <v>#N/A</v>
      </c>
      <c r="B1877" s="123"/>
      <c r="C1877" s="133" t="e">
        <f>VLOOKUP(B1877,'lista 1'!$A$2:$E$31000,5,0)</f>
        <v>#N/A</v>
      </c>
      <c r="D1877" s="167" t="e">
        <f>VLOOKUP(E13677,'lista obszary'!A:B,2,0)</f>
        <v>#N/A</v>
      </c>
      <c r="E1877" s="128" t="e">
        <f>VLOOKUP(B1877,'LISTA 12'!$A$2:$G$301400,5,0)</f>
        <v>#N/A</v>
      </c>
      <c r="F1877" s="121" t="e">
        <f>VLOOKUP(B1877,'LISTA 12'!$A$2:$G$30100,7,0)</f>
        <v>#N/A</v>
      </c>
      <c r="G1877" s="254" t="e">
        <f>VLOOKUP(H1877,'lista 3'!$A$1:$C$31467,3,0)</f>
        <v>#N/A</v>
      </c>
      <c r="H1877" s="134"/>
      <c r="I1877" s="136"/>
      <c r="J1877" s="135"/>
      <c r="K1877" s="22"/>
    </row>
    <row r="1878" spans="1:11">
      <c r="A1878" s="241" t="e">
        <f>VLOOKUP(B1878,'lista 1'!$A$2:$E$30100,4,0)</f>
        <v>#N/A</v>
      </c>
      <c r="B1878" s="123"/>
      <c r="C1878" s="133" t="e">
        <f>VLOOKUP(B1878,'lista 1'!$A$2:$E$31000,5,0)</f>
        <v>#N/A</v>
      </c>
      <c r="D1878" s="167" t="e">
        <f>VLOOKUP(E13678,'lista obszary'!A:B,2,0)</f>
        <v>#N/A</v>
      </c>
      <c r="E1878" s="128" t="e">
        <f>VLOOKUP(B1878,'LISTA 12'!$A$2:$G$301400,5,0)</f>
        <v>#N/A</v>
      </c>
      <c r="F1878" s="121" t="e">
        <f>VLOOKUP(B1878,'LISTA 12'!$A$2:$G$30100,7,0)</f>
        <v>#N/A</v>
      </c>
      <c r="G1878" s="254" t="e">
        <f>VLOOKUP(H1878,'lista 3'!$A$1:$C$31467,3,0)</f>
        <v>#N/A</v>
      </c>
      <c r="H1878" s="134"/>
      <c r="I1878" s="136"/>
      <c r="J1878" s="135"/>
      <c r="K1878" s="22"/>
    </row>
    <row r="1879" spans="1:11">
      <c r="A1879" s="241" t="e">
        <f>VLOOKUP(B1879,'lista 1'!$A$2:$E$30100,4,0)</f>
        <v>#N/A</v>
      </c>
      <c r="B1879" s="123"/>
      <c r="C1879" s="133" t="e">
        <f>VLOOKUP(B1879,'lista 1'!$A$2:$E$31000,5,0)</f>
        <v>#N/A</v>
      </c>
      <c r="D1879" s="167" t="e">
        <f>VLOOKUP(E13679,'lista obszary'!A:B,2,0)</f>
        <v>#N/A</v>
      </c>
      <c r="E1879" s="128" t="e">
        <f>VLOOKUP(B1879,'LISTA 12'!$A$2:$G$301400,5,0)</f>
        <v>#N/A</v>
      </c>
      <c r="F1879" s="121" t="e">
        <f>VLOOKUP(B1879,'LISTA 12'!$A$2:$G$30100,7,0)</f>
        <v>#N/A</v>
      </c>
      <c r="G1879" s="254" t="e">
        <f>VLOOKUP(H1879,'lista 3'!$A$1:$C$31467,3,0)</f>
        <v>#N/A</v>
      </c>
      <c r="H1879" s="134"/>
      <c r="I1879" s="136"/>
      <c r="J1879" s="135"/>
      <c r="K1879" s="22"/>
    </row>
    <row r="1880" spans="1:11">
      <c r="A1880" s="241" t="e">
        <f>VLOOKUP(B1880,'lista 1'!$A$2:$E$30100,4,0)</f>
        <v>#N/A</v>
      </c>
      <c r="B1880" s="123"/>
      <c r="C1880" s="133" t="e">
        <f>VLOOKUP(B1880,'lista 1'!$A$2:$E$31000,5,0)</f>
        <v>#N/A</v>
      </c>
      <c r="D1880" s="167" t="e">
        <f>VLOOKUP(E13680,'lista obszary'!A:B,2,0)</f>
        <v>#N/A</v>
      </c>
      <c r="E1880" s="128" t="e">
        <f>VLOOKUP(B1880,'LISTA 12'!$A$2:$G$301400,5,0)</f>
        <v>#N/A</v>
      </c>
      <c r="F1880" s="121" t="e">
        <f>VLOOKUP(B1880,'LISTA 12'!$A$2:$G$30100,7,0)</f>
        <v>#N/A</v>
      </c>
      <c r="G1880" s="254" t="e">
        <f>VLOOKUP(H1880,'lista 3'!$A$1:$C$31467,3,0)</f>
        <v>#N/A</v>
      </c>
      <c r="H1880" s="134"/>
      <c r="I1880" s="136"/>
      <c r="J1880" s="135"/>
      <c r="K1880" s="22"/>
    </row>
    <row r="1881" spans="1:11">
      <c r="A1881" s="241" t="e">
        <f>VLOOKUP(B1881,'lista 1'!$A$2:$E$30100,4,0)</f>
        <v>#N/A</v>
      </c>
      <c r="B1881" s="123"/>
      <c r="C1881" s="133" t="e">
        <f>VLOOKUP(B1881,'lista 1'!$A$2:$E$31000,5,0)</f>
        <v>#N/A</v>
      </c>
      <c r="D1881" s="167" t="e">
        <f>VLOOKUP(E13681,'lista obszary'!A:B,2,0)</f>
        <v>#N/A</v>
      </c>
      <c r="E1881" s="128" t="e">
        <f>VLOOKUP(B1881,'LISTA 12'!$A$2:$G$301400,5,0)</f>
        <v>#N/A</v>
      </c>
      <c r="F1881" s="121" t="e">
        <f>VLOOKUP(B1881,'LISTA 12'!$A$2:$G$30100,7,0)</f>
        <v>#N/A</v>
      </c>
      <c r="G1881" s="254" t="e">
        <f>VLOOKUP(H1881,'lista 3'!$A$1:$C$31467,3,0)</f>
        <v>#N/A</v>
      </c>
      <c r="H1881" s="134"/>
      <c r="I1881" s="136"/>
      <c r="J1881" s="135"/>
      <c r="K1881" s="22"/>
    </row>
    <row r="1882" spans="1:11">
      <c r="A1882" s="241" t="e">
        <f>VLOOKUP(B1882,'lista 1'!$A$2:$E$30100,4,0)</f>
        <v>#N/A</v>
      </c>
      <c r="B1882" s="123"/>
      <c r="C1882" s="133" t="e">
        <f>VLOOKUP(B1882,'lista 1'!$A$2:$E$31000,5,0)</f>
        <v>#N/A</v>
      </c>
      <c r="D1882" s="167" t="e">
        <f>VLOOKUP(E13682,'lista obszary'!A:B,2,0)</f>
        <v>#N/A</v>
      </c>
      <c r="E1882" s="128" t="e">
        <f>VLOOKUP(B1882,'LISTA 12'!$A$2:$G$301400,5,0)</f>
        <v>#N/A</v>
      </c>
      <c r="F1882" s="121" t="e">
        <f>VLOOKUP(B1882,'LISTA 12'!$A$2:$G$30100,7,0)</f>
        <v>#N/A</v>
      </c>
      <c r="G1882" s="254" t="e">
        <f>VLOOKUP(H1882,'lista 3'!$A$1:$C$31467,3,0)</f>
        <v>#N/A</v>
      </c>
      <c r="H1882" s="134"/>
      <c r="I1882" s="136"/>
      <c r="J1882" s="135"/>
      <c r="K1882" s="22"/>
    </row>
    <row r="1883" spans="1:11">
      <c r="A1883" s="241" t="e">
        <f>VLOOKUP(B1883,'lista 1'!$A$2:$E$30100,4,0)</f>
        <v>#N/A</v>
      </c>
      <c r="B1883" s="123"/>
      <c r="C1883" s="133" t="e">
        <f>VLOOKUP(B1883,'lista 1'!$A$2:$E$31000,5,0)</f>
        <v>#N/A</v>
      </c>
      <c r="D1883" s="167" t="e">
        <f>VLOOKUP(E13683,'lista obszary'!A:B,2,0)</f>
        <v>#N/A</v>
      </c>
      <c r="E1883" s="128" t="e">
        <f>VLOOKUP(B1883,'LISTA 12'!$A$2:$G$301400,5,0)</f>
        <v>#N/A</v>
      </c>
      <c r="F1883" s="121" t="e">
        <f>VLOOKUP(B1883,'LISTA 12'!$A$2:$G$30100,7,0)</f>
        <v>#N/A</v>
      </c>
      <c r="G1883" s="254" t="e">
        <f>VLOOKUP(H1883,'lista 3'!$A$1:$C$31467,3,0)</f>
        <v>#N/A</v>
      </c>
      <c r="H1883" s="134"/>
      <c r="I1883" s="136"/>
      <c r="J1883" s="135"/>
      <c r="K1883" s="22"/>
    </row>
    <row r="1884" spans="1:11">
      <c r="A1884" s="241" t="e">
        <f>VLOOKUP(B1884,'lista 1'!$A$2:$E$30100,4,0)</f>
        <v>#N/A</v>
      </c>
      <c r="B1884" s="123"/>
      <c r="C1884" s="133" t="e">
        <f>VLOOKUP(B1884,'lista 1'!$A$2:$E$31000,5,0)</f>
        <v>#N/A</v>
      </c>
      <c r="D1884" s="167" t="e">
        <f>VLOOKUP(E13684,'lista obszary'!A:B,2,0)</f>
        <v>#N/A</v>
      </c>
      <c r="E1884" s="128" t="e">
        <f>VLOOKUP(B1884,'LISTA 12'!$A$2:$G$301400,5,0)</f>
        <v>#N/A</v>
      </c>
      <c r="F1884" s="121" t="e">
        <f>VLOOKUP(B1884,'LISTA 12'!$A$2:$G$30100,7,0)</f>
        <v>#N/A</v>
      </c>
      <c r="G1884" s="254" t="e">
        <f>VLOOKUP(H1884,'lista 3'!$A$1:$C$31467,3,0)</f>
        <v>#N/A</v>
      </c>
      <c r="H1884" s="134"/>
      <c r="I1884" s="136"/>
      <c r="J1884" s="135"/>
      <c r="K1884" s="22"/>
    </row>
    <row r="1885" spans="1:11">
      <c r="A1885" s="241" t="e">
        <f>VLOOKUP(B1885,'lista 1'!$A$2:$E$30100,4,0)</f>
        <v>#N/A</v>
      </c>
      <c r="B1885" s="123"/>
      <c r="C1885" s="133" t="e">
        <f>VLOOKUP(B1885,'lista 1'!$A$2:$E$31000,5,0)</f>
        <v>#N/A</v>
      </c>
      <c r="D1885" s="167" t="e">
        <f>VLOOKUP(E13685,'lista obszary'!A:B,2,0)</f>
        <v>#N/A</v>
      </c>
      <c r="E1885" s="128" t="e">
        <f>VLOOKUP(B1885,'LISTA 12'!$A$2:$G$301400,5,0)</f>
        <v>#N/A</v>
      </c>
      <c r="F1885" s="121" t="e">
        <f>VLOOKUP(B1885,'LISTA 12'!$A$2:$G$30100,7,0)</f>
        <v>#N/A</v>
      </c>
      <c r="G1885" s="254" t="e">
        <f>VLOOKUP(H1885,'lista 3'!$A$1:$C$31467,3,0)</f>
        <v>#N/A</v>
      </c>
      <c r="H1885" s="134"/>
      <c r="I1885" s="136"/>
      <c r="J1885" s="135"/>
      <c r="K1885" s="22"/>
    </row>
    <row r="1886" spans="1:11">
      <c r="A1886" s="241" t="e">
        <f>VLOOKUP(B1886,'lista 1'!$A$2:$E$30100,4,0)</f>
        <v>#N/A</v>
      </c>
      <c r="B1886" s="123"/>
      <c r="C1886" s="133" t="e">
        <f>VLOOKUP(B1886,'lista 1'!$A$2:$E$31000,5,0)</f>
        <v>#N/A</v>
      </c>
      <c r="D1886" s="167" t="e">
        <f>VLOOKUP(E13686,'lista obszary'!A:B,2,0)</f>
        <v>#N/A</v>
      </c>
      <c r="E1886" s="128" t="e">
        <f>VLOOKUP(B1886,'LISTA 12'!$A$2:$G$301400,5,0)</f>
        <v>#N/A</v>
      </c>
      <c r="F1886" s="121" t="e">
        <f>VLOOKUP(B1886,'LISTA 12'!$A$2:$G$30100,7,0)</f>
        <v>#N/A</v>
      </c>
      <c r="G1886" s="254" t="e">
        <f>VLOOKUP(H1886,'lista 3'!$A$1:$C$31467,3,0)</f>
        <v>#N/A</v>
      </c>
      <c r="H1886" s="134"/>
      <c r="I1886" s="136"/>
      <c r="J1886" s="135"/>
      <c r="K1886" s="22"/>
    </row>
    <row r="1887" spans="1:11">
      <c r="A1887" s="241" t="e">
        <f>VLOOKUP(B1887,'lista 1'!$A$2:$E$30100,4,0)</f>
        <v>#N/A</v>
      </c>
      <c r="B1887" s="123"/>
      <c r="C1887" s="133" t="e">
        <f>VLOOKUP(B1887,'lista 1'!$A$2:$E$31000,5,0)</f>
        <v>#N/A</v>
      </c>
      <c r="D1887" s="167" t="e">
        <f>VLOOKUP(E13687,'lista obszary'!A:B,2,0)</f>
        <v>#N/A</v>
      </c>
      <c r="E1887" s="128" t="e">
        <f>VLOOKUP(B1887,'LISTA 12'!$A$2:$G$301400,5,0)</f>
        <v>#N/A</v>
      </c>
      <c r="F1887" s="121" t="e">
        <f>VLOOKUP(B1887,'LISTA 12'!$A$2:$G$30100,7,0)</f>
        <v>#N/A</v>
      </c>
      <c r="G1887" s="254" t="e">
        <f>VLOOKUP(H1887,'lista 3'!$A$1:$C$31467,3,0)</f>
        <v>#N/A</v>
      </c>
      <c r="H1887" s="134"/>
      <c r="I1887" s="136"/>
      <c r="J1887" s="135"/>
      <c r="K1887" s="22"/>
    </row>
    <row r="1888" spans="1:11">
      <c r="A1888" s="241" t="e">
        <f>VLOOKUP(B1888,'lista 1'!$A$2:$E$30100,4,0)</f>
        <v>#N/A</v>
      </c>
      <c r="B1888" s="123"/>
      <c r="C1888" s="133" t="e">
        <f>VLOOKUP(B1888,'lista 1'!$A$2:$E$31000,5,0)</f>
        <v>#N/A</v>
      </c>
      <c r="D1888" s="167" t="e">
        <f>VLOOKUP(E13688,'lista obszary'!A:B,2,0)</f>
        <v>#N/A</v>
      </c>
      <c r="E1888" s="128" t="e">
        <f>VLOOKUP(B1888,'LISTA 12'!$A$2:$G$301400,5,0)</f>
        <v>#N/A</v>
      </c>
      <c r="F1888" s="121" t="e">
        <f>VLOOKUP(B1888,'LISTA 12'!$A$2:$G$30100,7,0)</f>
        <v>#N/A</v>
      </c>
      <c r="G1888" s="254" t="e">
        <f>VLOOKUP(H1888,'lista 3'!$A$1:$C$31467,3,0)</f>
        <v>#N/A</v>
      </c>
      <c r="H1888" s="134"/>
      <c r="I1888" s="136"/>
      <c r="J1888" s="135"/>
      <c r="K1888" s="22"/>
    </row>
    <row r="1889" spans="1:11">
      <c r="A1889" s="241" t="e">
        <f>VLOOKUP(B1889,'lista 1'!$A$2:$E$30100,4,0)</f>
        <v>#N/A</v>
      </c>
      <c r="B1889" s="123"/>
      <c r="C1889" s="133" t="e">
        <f>VLOOKUP(B1889,'lista 1'!$A$2:$E$31000,5,0)</f>
        <v>#N/A</v>
      </c>
      <c r="D1889" s="167" t="e">
        <f>VLOOKUP(E13689,'lista obszary'!A:B,2,0)</f>
        <v>#N/A</v>
      </c>
      <c r="E1889" s="128" t="e">
        <f>VLOOKUP(B1889,'LISTA 12'!$A$2:$G$301400,5,0)</f>
        <v>#N/A</v>
      </c>
      <c r="F1889" s="121" t="e">
        <f>VLOOKUP(B1889,'LISTA 12'!$A$2:$G$30100,7,0)</f>
        <v>#N/A</v>
      </c>
      <c r="G1889" s="254" t="e">
        <f>VLOOKUP(H1889,'lista 3'!$A$1:$C$31467,3,0)</f>
        <v>#N/A</v>
      </c>
      <c r="H1889" s="134"/>
      <c r="I1889" s="136"/>
      <c r="J1889" s="135"/>
      <c r="K1889" s="22"/>
    </row>
    <row r="1890" spans="1:11">
      <c r="A1890" s="241" t="e">
        <f>VLOOKUP(B1890,'lista 1'!$A$2:$E$30100,4,0)</f>
        <v>#N/A</v>
      </c>
      <c r="B1890" s="123"/>
      <c r="C1890" s="133" t="e">
        <f>VLOOKUP(B1890,'lista 1'!$A$2:$E$31000,5,0)</f>
        <v>#N/A</v>
      </c>
      <c r="D1890" s="167" t="e">
        <f>VLOOKUP(E13690,'lista obszary'!A:B,2,0)</f>
        <v>#N/A</v>
      </c>
      <c r="E1890" s="128" t="e">
        <f>VLOOKUP(B1890,'LISTA 12'!$A$2:$G$301400,5,0)</f>
        <v>#N/A</v>
      </c>
      <c r="F1890" s="121" t="e">
        <f>VLOOKUP(B1890,'LISTA 12'!$A$2:$G$30100,7,0)</f>
        <v>#N/A</v>
      </c>
      <c r="G1890" s="254" t="e">
        <f>VLOOKUP(H1890,'lista 3'!$A$1:$C$31467,3,0)</f>
        <v>#N/A</v>
      </c>
      <c r="H1890" s="134"/>
      <c r="I1890" s="136"/>
      <c r="J1890" s="135"/>
      <c r="K1890" s="22"/>
    </row>
    <row r="1891" spans="1:11">
      <c r="A1891" s="241" t="e">
        <f>VLOOKUP(B1891,'lista 1'!$A$2:$E$30100,4,0)</f>
        <v>#N/A</v>
      </c>
      <c r="B1891" s="123"/>
      <c r="C1891" s="133" t="e">
        <f>VLOOKUP(B1891,'lista 1'!$A$2:$E$31000,5,0)</f>
        <v>#N/A</v>
      </c>
      <c r="D1891" s="167" t="e">
        <f>VLOOKUP(E13691,'lista obszary'!A:B,2,0)</f>
        <v>#N/A</v>
      </c>
      <c r="E1891" s="128" t="e">
        <f>VLOOKUP(B1891,'LISTA 12'!$A$2:$G$301400,5,0)</f>
        <v>#N/A</v>
      </c>
      <c r="F1891" s="121" t="e">
        <f>VLOOKUP(B1891,'LISTA 12'!$A$2:$G$30100,7,0)</f>
        <v>#N/A</v>
      </c>
      <c r="G1891" s="254" t="e">
        <f>VLOOKUP(H1891,'lista 3'!$A$1:$C$31467,3,0)</f>
        <v>#N/A</v>
      </c>
      <c r="H1891" s="134"/>
      <c r="I1891" s="136"/>
      <c r="J1891" s="135"/>
      <c r="K1891" s="22"/>
    </row>
    <row r="1892" spans="1:11">
      <c r="A1892" s="241" t="e">
        <f>VLOOKUP(B1892,'lista 1'!$A$2:$E$30100,4,0)</f>
        <v>#N/A</v>
      </c>
      <c r="B1892" s="123"/>
      <c r="C1892" s="133" t="e">
        <f>VLOOKUP(B1892,'lista 1'!$A$2:$E$31000,5,0)</f>
        <v>#N/A</v>
      </c>
      <c r="D1892" s="167" t="e">
        <f>VLOOKUP(E13692,'lista obszary'!A:B,2,0)</f>
        <v>#N/A</v>
      </c>
      <c r="E1892" s="128" t="e">
        <f>VLOOKUP(B1892,'LISTA 12'!$A$2:$G$301400,5,0)</f>
        <v>#N/A</v>
      </c>
      <c r="F1892" s="121" t="e">
        <f>VLOOKUP(B1892,'LISTA 12'!$A$2:$G$30100,7,0)</f>
        <v>#N/A</v>
      </c>
      <c r="G1892" s="254" t="e">
        <f>VLOOKUP(H1892,'lista 3'!$A$1:$C$31467,3,0)</f>
        <v>#N/A</v>
      </c>
      <c r="H1892" s="134"/>
      <c r="I1892" s="136"/>
      <c r="J1892" s="135"/>
      <c r="K1892" s="22"/>
    </row>
    <row r="1893" spans="1:11">
      <c r="A1893" s="241" t="e">
        <f>VLOOKUP(B1893,'lista 1'!$A$2:$E$30100,4,0)</f>
        <v>#N/A</v>
      </c>
      <c r="B1893" s="123"/>
      <c r="C1893" s="133" t="e">
        <f>VLOOKUP(B1893,'lista 1'!$A$2:$E$31000,5,0)</f>
        <v>#N/A</v>
      </c>
      <c r="D1893" s="167" t="e">
        <f>VLOOKUP(E13693,'lista obszary'!A:B,2,0)</f>
        <v>#N/A</v>
      </c>
      <c r="E1893" s="128" t="e">
        <f>VLOOKUP(B1893,'LISTA 12'!$A$2:$G$301400,5,0)</f>
        <v>#N/A</v>
      </c>
      <c r="F1893" s="121" t="e">
        <f>VLOOKUP(B1893,'LISTA 12'!$A$2:$G$30100,7,0)</f>
        <v>#N/A</v>
      </c>
      <c r="G1893" s="254" t="e">
        <f>VLOOKUP(H1893,'lista 3'!$A$1:$C$31467,3,0)</f>
        <v>#N/A</v>
      </c>
      <c r="H1893" s="134"/>
      <c r="I1893" s="136"/>
      <c r="J1893" s="135"/>
      <c r="K1893" s="22"/>
    </row>
    <row r="1894" spans="1:11">
      <c r="A1894" s="241" t="e">
        <f>VLOOKUP(B1894,'lista 1'!$A$2:$E$30100,4,0)</f>
        <v>#N/A</v>
      </c>
      <c r="B1894" s="123"/>
      <c r="C1894" s="133" t="e">
        <f>VLOOKUP(B1894,'lista 1'!$A$2:$E$31000,5,0)</f>
        <v>#N/A</v>
      </c>
      <c r="D1894" s="167" t="e">
        <f>VLOOKUP(E13694,'lista obszary'!A:B,2,0)</f>
        <v>#N/A</v>
      </c>
      <c r="E1894" s="128" t="e">
        <f>VLOOKUP(B1894,'LISTA 12'!$A$2:$G$301400,5,0)</f>
        <v>#N/A</v>
      </c>
      <c r="F1894" s="121" t="e">
        <f>VLOOKUP(B1894,'LISTA 12'!$A$2:$G$30100,7,0)</f>
        <v>#N/A</v>
      </c>
      <c r="G1894" s="254" t="e">
        <f>VLOOKUP(H1894,'lista 3'!$A$1:$C$31467,3,0)</f>
        <v>#N/A</v>
      </c>
      <c r="H1894" s="134"/>
      <c r="I1894" s="136"/>
      <c r="J1894" s="135"/>
      <c r="K1894" s="22"/>
    </row>
    <row r="1895" spans="1:11">
      <c r="A1895" s="241" t="e">
        <f>VLOOKUP(B1895,'lista 1'!$A$2:$E$30100,4,0)</f>
        <v>#N/A</v>
      </c>
      <c r="B1895" s="123"/>
      <c r="C1895" s="133" t="e">
        <f>VLOOKUP(B1895,'lista 1'!$A$2:$E$31000,5,0)</f>
        <v>#N/A</v>
      </c>
      <c r="D1895" s="167" t="e">
        <f>VLOOKUP(E13695,'lista obszary'!A:B,2,0)</f>
        <v>#N/A</v>
      </c>
      <c r="E1895" s="128" t="e">
        <f>VLOOKUP(B1895,'LISTA 12'!$A$2:$G$301400,5,0)</f>
        <v>#N/A</v>
      </c>
      <c r="F1895" s="121" t="e">
        <f>VLOOKUP(B1895,'LISTA 12'!$A$2:$G$30100,7,0)</f>
        <v>#N/A</v>
      </c>
      <c r="G1895" s="254" t="e">
        <f>VLOOKUP(H1895,'lista 3'!$A$1:$C$31467,3,0)</f>
        <v>#N/A</v>
      </c>
      <c r="H1895" s="134"/>
      <c r="I1895" s="136"/>
      <c r="J1895" s="135"/>
      <c r="K1895" s="22"/>
    </row>
    <row r="1896" spans="1:11">
      <c r="A1896" s="241" t="e">
        <f>VLOOKUP(B1896,'lista 1'!$A$2:$E$30100,4,0)</f>
        <v>#N/A</v>
      </c>
      <c r="B1896" s="123"/>
      <c r="C1896" s="133" t="e">
        <f>VLOOKUP(B1896,'lista 1'!$A$2:$E$31000,5,0)</f>
        <v>#N/A</v>
      </c>
      <c r="D1896" s="167" t="e">
        <f>VLOOKUP(E13696,'lista obszary'!A:B,2,0)</f>
        <v>#N/A</v>
      </c>
      <c r="E1896" s="128" t="e">
        <f>VLOOKUP(B1896,'LISTA 12'!$A$2:$G$301400,5,0)</f>
        <v>#N/A</v>
      </c>
      <c r="F1896" s="121" t="e">
        <f>VLOOKUP(B1896,'LISTA 12'!$A$2:$G$30100,7,0)</f>
        <v>#N/A</v>
      </c>
      <c r="G1896" s="254" t="e">
        <f>VLOOKUP(H1896,'lista 3'!$A$1:$C$31467,3,0)</f>
        <v>#N/A</v>
      </c>
      <c r="H1896" s="134"/>
      <c r="I1896" s="136"/>
      <c r="J1896" s="135"/>
      <c r="K1896" s="22"/>
    </row>
    <row r="1897" spans="1:11">
      <c r="A1897" s="241" t="e">
        <f>VLOOKUP(B1897,'lista 1'!$A$2:$E$30100,4,0)</f>
        <v>#N/A</v>
      </c>
      <c r="B1897" s="123"/>
      <c r="C1897" s="133" t="e">
        <f>VLOOKUP(B1897,'lista 1'!$A$2:$E$31000,5,0)</f>
        <v>#N/A</v>
      </c>
      <c r="D1897" s="167" t="e">
        <f>VLOOKUP(E13697,'lista obszary'!A:B,2,0)</f>
        <v>#N/A</v>
      </c>
      <c r="E1897" s="128" t="e">
        <f>VLOOKUP(B1897,'LISTA 12'!$A$2:$G$301400,5,0)</f>
        <v>#N/A</v>
      </c>
      <c r="F1897" s="121" t="e">
        <f>VLOOKUP(B1897,'LISTA 12'!$A$2:$G$30100,7,0)</f>
        <v>#N/A</v>
      </c>
      <c r="G1897" s="254" t="e">
        <f>VLOOKUP(H1897,'lista 3'!$A$1:$C$31467,3,0)</f>
        <v>#N/A</v>
      </c>
      <c r="H1897" s="134"/>
      <c r="I1897" s="136"/>
      <c r="J1897" s="135"/>
      <c r="K1897" s="22"/>
    </row>
    <row r="1898" spans="1:11">
      <c r="A1898" s="241" t="e">
        <f>VLOOKUP(B1898,'lista 1'!$A$2:$E$30100,4,0)</f>
        <v>#N/A</v>
      </c>
      <c r="B1898" s="123"/>
      <c r="C1898" s="133" t="e">
        <f>VLOOKUP(B1898,'lista 1'!$A$2:$E$31000,5,0)</f>
        <v>#N/A</v>
      </c>
      <c r="D1898" s="167" t="e">
        <f>VLOOKUP(E13698,'lista obszary'!A:B,2,0)</f>
        <v>#N/A</v>
      </c>
      <c r="E1898" s="128" t="e">
        <f>VLOOKUP(B1898,'LISTA 12'!$A$2:$G$301400,5,0)</f>
        <v>#N/A</v>
      </c>
      <c r="F1898" s="121" t="e">
        <f>VLOOKUP(B1898,'LISTA 12'!$A$2:$G$30100,7,0)</f>
        <v>#N/A</v>
      </c>
      <c r="G1898" s="254" t="e">
        <f>VLOOKUP(H1898,'lista 3'!$A$1:$C$31467,3,0)</f>
        <v>#N/A</v>
      </c>
      <c r="H1898" s="134"/>
      <c r="I1898" s="136"/>
      <c r="J1898" s="135"/>
      <c r="K1898" s="22"/>
    </row>
    <row r="1899" spans="1:11">
      <c r="A1899" s="241" t="e">
        <f>VLOOKUP(B1899,'lista 1'!$A$2:$E$30100,4,0)</f>
        <v>#N/A</v>
      </c>
      <c r="B1899" s="123"/>
      <c r="C1899" s="133" t="e">
        <f>VLOOKUP(B1899,'lista 1'!$A$2:$E$31000,5,0)</f>
        <v>#N/A</v>
      </c>
      <c r="D1899" s="167" t="e">
        <f>VLOOKUP(E13699,'lista obszary'!A:B,2,0)</f>
        <v>#N/A</v>
      </c>
      <c r="E1899" s="128" t="e">
        <f>VLOOKUP(B1899,'LISTA 12'!$A$2:$G$301400,5,0)</f>
        <v>#N/A</v>
      </c>
      <c r="F1899" s="121" t="e">
        <f>VLOOKUP(B1899,'LISTA 12'!$A$2:$G$30100,7,0)</f>
        <v>#N/A</v>
      </c>
      <c r="G1899" s="254" t="e">
        <f>VLOOKUP(H1899,'lista 3'!$A$1:$C$31467,3,0)</f>
        <v>#N/A</v>
      </c>
      <c r="H1899" s="134"/>
      <c r="I1899" s="136"/>
      <c r="J1899" s="135"/>
      <c r="K1899" s="22"/>
    </row>
    <row r="1900" spans="1:11">
      <c r="A1900" s="241" t="e">
        <f>VLOOKUP(B1900,'lista 1'!$A$2:$E$30100,4,0)</f>
        <v>#N/A</v>
      </c>
      <c r="B1900" s="123"/>
      <c r="C1900" s="133" t="e">
        <f>VLOOKUP(B1900,'lista 1'!$A$2:$E$31000,5,0)</f>
        <v>#N/A</v>
      </c>
      <c r="D1900" s="167" t="e">
        <f>VLOOKUP(E13700,'lista obszary'!A:B,2,0)</f>
        <v>#N/A</v>
      </c>
      <c r="E1900" s="128" t="e">
        <f>VLOOKUP(B1900,'LISTA 12'!$A$2:$G$301400,5,0)</f>
        <v>#N/A</v>
      </c>
      <c r="F1900" s="121" t="e">
        <f>VLOOKUP(B1900,'LISTA 12'!$A$2:$G$30100,7,0)</f>
        <v>#N/A</v>
      </c>
      <c r="G1900" s="254" t="e">
        <f>VLOOKUP(H1900,'lista 3'!$A$1:$C$31467,3,0)</f>
        <v>#N/A</v>
      </c>
      <c r="H1900" s="134"/>
      <c r="I1900" s="136"/>
      <c r="J1900" s="135"/>
      <c r="K1900" s="22"/>
    </row>
    <row r="1901" spans="1:11">
      <c r="A1901" s="241" t="e">
        <f>VLOOKUP(B1901,'lista 1'!$A$2:$E$30100,4,0)</f>
        <v>#N/A</v>
      </c>
      <c r="B1901" s="123"/>
      <c r="C1901" s="133" t="e">
        <f>VLOOKUP(B1901,'lista 1'!$A$2:$E$31000,5,0)</f>
        <v>#N/A</v>
      </c>
      <c r="D1901" s="167" t="e">
        <f>VLOOKUP(E13701,'lista obszary'!A:B,2,0)</f>
        <v>#N/A</v>
      </c>
      <c r="E1901" s="128" t="e">
        <f>VLOOKUP(B1901,'LISTA 12'!$A$2:$G$301400,5,0)</f>
        <v>#N/A</v>
      </c>
      <c r="F1901" s="121" t="e">
        <f>VLOOKUP(B1901,'LISTA 12'!$A$2:$G$30100,7,0)</f>
        <v>#N/A</v>
      </c>
      <c r="G1901" s="254" t="e">
        <f>VLOOKUP(H1901,'lista 3'!$A$1:$C$31467,3,0)</f>
        <v>#N/A</v>
      </c>
      <c r="H1901" s="134"/>
      <c r="I1901" s="136"/>
      <c r="J1901" s="135"/>
      <c r="K1901" s="22"/>
    </row>
    <row r="1902" spans="1:11">
      <c r="A1902" s="241" t="e">
        <f>VLOOKUP(B1902,'lista 1'!$A$2:$E$30100,4,0)</f>
        <v>#N/A</v>
      </c>
      <c r="B1902" s="123"/>
      <c r="C1902" s="133" t="e">
        <f>VLOOKUP(B1902,'lista 1'!$A$2:$E$31000,5,0)</f>
        <v>#N/A</v>
      </c>
      <c r="D1902" s="167" t="e">
        <f>VLOOKUP(E13702,'lista obszary'!A:B,2,0)</f>
        <v>#N/A</v>
      </c>
      <c r="E1902" s="128" t="e">
        <f>VLOOKUP(B1902,'LISTA 12'!$A$2:$G$301400,5,0)</f>
        <v>#N/A</v>
      </c>
      <c r="F1902" s="121" t="e">
        <f>VLOOKUP(B1902,'LISTA 12'!$A$2:$G$30100,7,0)</f>
        <v>#N/A</v>
      </c>
      <c r="G1902" s="254" t="e">
        <f>VLOOKUP(H1902,'lista 3'!$A$1:$C$31467,3,0)</f>
        <v>#N/A</v>
      </c>
      <c r="H1902" s="134"/>
      <c r="I1902" s="136"/>
      <c r="J1902" s="135"/>
      <c r="K1902" s="22"/>
    </row>
    <row r="1903" spans="1:11">
      <c r="A1903" s="241" t="e">
        <f>VLOOKUP(B1903,'lista 1'!$A$2:$E$30100,4,0)</f>
        <v>#N/A</v>
      </c>
      <c r="B1903" s="123"/>
      <c r="C1903" s="133" t="e">
        <f>VLOOKUP(B1903,'lista 1'!$A$2:$E$31000,5,0)</f>
        <v>#N/A</v>
      </c>
      <c r="D1903" s="167" t="e">
        <f>VLOOKUP(E13703,'lista obszary'!A:B,2,0)</f>
        <v>#N/A</v>
      </c>
      <c r="E1903" s="128" t="e">
        <f>VLOOKUP(B1903,'LISTA 12'!$A$2:$G$301400,5,0)</f>
        <v>#N/A</v>
      </c>
      <c r="F1903" s="121" t="e">
        <f>VLOOKUP(B1903,'LISTA 12'!$A$2:$G$30100,7,0)</f>
        <v>#N/A</v>
      </c>
      <c r="G1903" s="254" t="e">
        <f>VLOOKUP(H1903,'lista 3'!$A$1:$C$31467,3,0)</f>
        <v>#N/A</v>
      </c>
      <c r="H1903" s="134"/>
      <c r="I1903" s="136"/>
      <c r="J1903" s="135"/>
      <c r="K1903" s="22"/>
    </row>
    <row r="1904" spans="1:11">
      <c r="A1904" s="241" t="e">
        <f>VLOOKUP(B1904,'lista 1'!$A$2:$E$30100,4,0)</f>
        <v>#N/A</v>
      </c>
      <c r="B1904" s="123"/>
      <c r="C1904" s="133" t="e">
        <f>VLOOKUP(B1904,'lista 1'!$A$2:$E$31000,5,0)</f>
        <v>#N/A</v>
      </c>
      <c r="D1904" s="167" t="e">
        <f>VLOOKUP(E13704,'lista obszary'!A:B,2,0)</f>
        <v>#N/A</v>
      </c>
      <c r="E1904" s="128" t="e">
        <f>VLOOKUP(B1904,'LISTA 12'!$A$2:$G$301400,5,0)</f>
        <v>#N/A</v>
      </c>
      <c r="F1904" s="121" t="e">
        <f>VLOOKUP(B1904,'LISTA 12'!$A$2:$G$30100,7,0)</f>
        <v>#N/A</v>
      </c>
      <c r="G1904" s="254" t="e">
        <f>VLOOKUP(H1904,'lista 3'!$A$1:$C$31467,3,0)</f>
        <v>#N/A</v>
      </c>
      <c r="H1904" s="134"/>
      <c r="I1904" s="136"/>
      <c r="J1904" s="135"/>
      <c r="K1904" s="22"/>
    </row>
    <row r="1905" spans="1:11">
      <c r="A1905" s="241" t="e">
        <f>VLOOKUP(B1905,'lista 1'!$A$2:$E$30100,4,0)</f>
        <v>#N/A</v>
      </c>
      <c r="B1905" s="123"/>
      <c r="C1905" s="133" t="e">
        <f>VLOOKUP(B1905,'lista 1'!$A$2:$E$31000,5,0)</f>
        <v>#N/A</v>
      </c>
      <c r="D1905" s="167" t="e">
        <f>VLOOKUP(E13705,'lista obszary'!A:B,2,0)</f>
        <v>#N/A</v>
      </c>
      <c r="E1905" s="128" t="e">
        <f>VLOOKUP(B1905,'LISTA 12'!$A$2:$G$301400,5,0)</f>
        <v>#N/A</v>
      </c>
      <c r="F1905" s="121" t="e">
        <f>VLOOKUP(B1905,'LISTA 12'!$A$2:$G$30100,7,0)</f>
        <v>#N/A</v>
      </c>
      <c r="G1905" s="254" t="e">
        <f>VLOOKUP(H1905,'lista 3'!$A$1:$C$31467,3,0)</f>
        <v>#N/A</v>
      </c>
      <c r="H1905" s="134"/>
      <c r="I1905" s="136"/>
      <c r="J1905" s="135"/>
      <c r="K1905" s="22"/>
    </row>
    <row r="1906" spans="1:11">
      <c r="A1906" s="241" t="e">
        <f>VLOOKUP(B1906,'lista 1'!$A$2:$E$30100,4,0)</f>
        <v>#N/A</v>
      </c>
      <c r="B1906" s="123"/>
      <c r="C1906" s="133" t="e">
        <f>VLOOKUP(B1906,'lista 1'!$A$2:$E$31000,5,0)</f>
        <v>#N/A</v>
      </c>
      <c r="D1906" s="167" t="e">
        <f>VLOOKUP(E13706,'lista obszary'!A:B,2,0)</f>
        <v>#N/A</v>
      </c>
      <c r="E1906" s="128" t="e">
        <f>VLOOKUP(B1906,'LISTA 12'!$A$2:$G$301400,5,0)</f>
        <v>#N/A</v>
      </c>
      <c r="F1906" s="121" t="e">
        <f>VLOOKUP(B1906,'LISTA 12'!$A$2:$G$30100,7,0)</f>
        <v>#N/A</v>
      </c>
      <c r="G1906" s="254" t="e">
        <f>VLOOKUP(H1906,'lista 3'!$A$1:$C$31467,3,0)</f>
        <v>#N/A</v>
      </c>
      <c r="H1906" s="134"/>
      <c r="I1906" s="136"/>
      <c r="J1906" s="135"/>
      <c r="K1906" s="22"/>
    </row>
    <row r="1907" spans="1:11">
      <c r="A1907" s="241" t="e">
        <f>VLOOKUP(B1907,'lista 1'!$A$2:$E$30100,4,0)</f>
        <v>#N/A</v>
      </c>
      <c r="B1907" s="123"/>
      <c r="C1907" s="133" t="e">
        <f>VLOOKUP(B1907,'lista 1'!$A$2:$E$31000,5,0)</f>
        <v>#N/A</v>
      </c>
      <c r="D1907" s="167" t="e">
        <f>VLOOKUP(E13707,'lista obszary'!A:B,2,0)</f>
        <v>#N/A</v>
      </c>
      <c r="E1907" s="128" t="e">
        <f>VLOOKUP(B1907,'LISTA 12'!$A$2:$G$301400,5,0)</f>
        <v>#N/A</v>
      </c>
      <c r="F1907" s="121" t="e">
        <f>VLOOKUP(B1907,'LISTA 12'!$A$2:$G$30100,7,0)</f>
        <v>#N/A</v>
      </c>
      <c r="G1907" s="254" t="e">
        <f>VLOOKUP(H1907,'lista 3'!$A$1:$C$31467,3,0)</f>
        <v>#N/A</v>
      </c>
      <c r="H1907" s="134"/>
      <c r="I1907" s="136"/>
      <c r="J1907" s="135"/>
      <c r="K1907" s="22"/>
    </row>
    <row r="1908" spans="1:11">
      <c r="A1908" s="241" t="e">
        <f>VLOOKUP(B1908,'lista 1'!$A$2:$E$30100,4,0)</f>
        <v>#N/A</v>
      </c>
      <c r="B1908" s="123"/>
      <c r="C1908" s="133" t="e">
        <f>VLOOKUP(B1908,'lista 1'!$A$2:$E$31000,5,0)</f>
        <v>#N/A</v>
      </c>
      <c r="D1908" s="167" t="e">
        <f>VLOOKUP(E13708,'lista obszary'!A:B,2,0)</f>
        <v>#N/A</v>
      </c>
      <c r="E1908" s="128" t="e">
        <f>VLOOKUP(B1908,'LISTA 12'!$A$2:$G$301400,5,0)</f>
        <v>#N/A</v>
      </c>
      <c r="F1908" s="121" t="e">
        <f>VLOOKUP(B1908,'LISTA 12'!$A$2:$G$30100,7,0)</f>
        <v>#N/A</v>
      </c>
      <c r="G1908" s="254" t="e">
        <f>VLOOKUP(H1908,'lista 3'!$A$1:$C$31467,3,0)</f>
        <v>#N/A</v>
      </c>
      <c r="H1908" s="134"/>
      <c r="I1908" s="136"/>
      <c r="J1908" s="135"/>
      <c r="K1908" s="22"/>
    </row>
    <row r="1909" spans="1:11">
      <c r="A1909" s="241" t="e">
        <f>VLOOKUP(B1909,'lista 1'!$A$2:$E$30100,4,0)</f>
        <v>#N/A</v>
      </c>
      <c r="B1909" s="123"/>
      <c r="C1909" s="133" t="e">
        <f>VLOOKUP(B1909,'lista 1'!$A$2:$E$31000,5,0)</f>
        <v>#N/A</v>
      </c>
      <c r="D1909" s="167" t="e">
        <f>VLOOKUP(E13709,'lista obszary'!A:B,2,0)</f>
        <v>#N/A</v>
      </c>
      <c r="E1909" s="128" t="e">
        <f>VLOOKUP(B1909,'LISTA 12'!$A$2:$G$301400,5,0)</f>
        <v>#N/A</v>
      </c>
      <c r="F1909" s="121" t="e">
        <f>VLOOKUP(B1909,'LISTA 12'!$A$2:$G$30100,7,0)</f>
        <v>#N/A</v>
      </c>
      <c r="G1909" s="254" t="e">
        <f>VLOOKUP(H1909,'lista 3'!$A$1:$C$31467,3,0)</f>
        <v>#N/A</v>
      </c>
      <c r="H1909" s="134"/>
      <c r="I1909" s="136"/>
      <c r="J1909" s="135"/>
      <c r="K1909" s="22"/>
    </row>
    <row r="1910" spans="1:11">
      <c r="A1910" s="241" t="e">
        <f>VLOOKUP(B1910,'lista 1'!$A$2:$E$30100,4,0)</f>
        <v>#N/A</v>
      </c>
      <c r="B1910" s="123"/>
      <c r="C1910" s="133" t="e">
        <f>VLOOKUP(B1910,'lista 1'!$A$2:$E$31000,5,0)</f>
        <v>#N/A</v>
      </c>
      <c r="D1910" s="167" t="e">
        <f>VLOOKUP(E13710,'lista obszary'!A:B,2,0)</f>
        <v>#N/A</v>
      </c>
      <c r="E1910" s="128" t="e">
        <f>VLOOKUP(B1910,'LISTA 12'!$A$2:$G$301400,5,0)</f>
        <v>#N/A</v>
      </c>
      <c r="F1910" s="121" t="e">
        <f>VLOOKUP(B1910,'LISTA 12'!$A$2:$G$30100,7,0)</f>
        <v>#N/A</v>
      </c>
      <c r="G1910" s="254" t="e">
        <f>VLOOKUP(H1910,'lista 3'!$A$1:$C$31467,3,0)</f>
        <v>#N/A</v>
      </c>
      <c r="H1910" s="134"/>
      <c r="I1910" s="136"/>
      <c r="J1910" s="135"/>
      <c r="K1910" s="22"/>
    </row>
    <row r="1911" spans="1:11">
      <c r="A1911" s="241" t="e">
        <f>VLOOKUP(B1911,'lista 1'!$A$2:$E$30100,4,0)</f>
        <v>#N/A</v>
      </c>
      <c r="B1911" s="123"/>
      <c r="C1911" s="133" t="e">
        <f>VLOOKUP(B1911,'lista 1'!$A$2:$E$31000,5,0)</f>
        <v>#N/A</v>
      </c>
      <c r="D1911" s="167" t="e">
        <f>VLOOKUP(E13711,'lista obszary'!A:B,2,0)</f>
        <v>#N/A</v>
      </c>
      <c r="E1911" s="128" t="e">
        <f>VLOOKUP(B1911,'LISTA 12'!$A$2:$G$301400,5,0)</f>
        <v>#N/A</v>
      </c>
      <c r="F1911" s="121" t="e">
        <f>VLOOKUP(B1911,'LISTA 12'!$A$2:$G$30100,7,0)</f>
        <v>#N/A</v>
      </c>
      <c r="G1911" s="254" t="e">
        <f>VLOOKUP(H1911,'lista 3'!$A$1:$C$31467,3,0)</f>
        <v>#N/A</v>
      </c>
      <c r="H1911" s="134"/>
      <c r="I1911" s="136"/>
      <c r="J1911" s="135"/>
      <c r="K1911" s="22"/>
    </row>
    <row r="1912" spans="1:11">
      <c r="A1912" s="241" t="e">
        <f>VLOOKUP(B1912,'lista 1'!$A$2:$E$30100,4,0)</f>
        <v>#N/A</v>
      </c>
      <c r="B1912" s="123"/>
      <c r="C1912" s="133" t="e">
        <f>VLOOKUP(B1912,'lista 1'!$A$2:$E$31000,5,0)</f>
        <v>#N/A</v>
      </c>
      <c r="D1912" s="167" t="e">
        <f>VLOOKUP(E13712,'lista obszary'!A:B,2,0)</f>
        <v>#N/A</v>
      </c>
      <c r="E1912" s="128" t="e">
        <f>VLOOKUP(B1912,'LISTA 12'!$A$2:$G$301400,5,0)</f>
        <v>#N/A</v>
      </c>
      <c r="F1912" s="121" t="e">
        <f>VLOOKUP(B1912,'LISTA 12'!$A$2:$G$30100,7,0)</f>
        <v>#N/A</v>
      </c>
      <c r="G1912" s="254" t="e">
        <f>VLOOKUP(H1912,'lista 3'!$A$1:$C$31467,3,0)</f>
        <v>#N/A</v>
      </c>
      <c r="H1912" s="134"/>
      <c r="I1912" s="136"/>
      <c r="J1912" s="135"/>
      <c r="K1912" s="22"/>
    </row>
    <row r="1913" spans="1:11">
      <c r="A1913" s="241" t="e">
        <f>VLOOKUP(B1913,'lista 1'!$A$2:$E$30100,4,0)</f>
        <v>#N/A</v>
      </c>
      <c r="B1913" s="123"/>
      <c r="C1913" s="133" t="e">
        <f>VLOOKUP(B1913,'lista 1'!$A$2:$E$31000,5,0)</f>
        <v>#N/A</v>
      </c>
      <c r="D1913" s="167" t="e">
        <f>VLOOKUP(E13713,'lista obszary'!A:B,2,0)</f>
        <v>#N/A</v>
      </c>
      <c r="E1913" s="128" t="e">
        <f>VLOOKUP(B1913,'LISTA 12'!$A$2:$G$301400,5,0)</f>
        <v>#N/A</v>
      </c>
      <c r="F1913" s="121" t="e">
        <f>VLOOKUP(B1913,'LISTA 12'!$A$2:$G$30100,7,0)</f>
        <v>#N/A</v>
      </c>
      <c r="G1913" s="254" t="e">
        <f>VLOOKUP(H1913,'lista 3'!$A$1:$C$31467,3,0)</f>
        <v>#N/A</v>
      </c>
      <c r="H1913" s="134"/>
      <c r="I1913" s="136"/>
      <c r="J1913" s="135"/>
      <c r="K1913" s="22"/>
    </row>
    <row r="1914" spans="1:11">
      <c r="A1914" s="241" t="e">
        <f>VLOOKUP(B1914,'lista 1'!$A$2:$E$30100,4,0)</f>
        <v>#N/A</v>
      </c>
      <c r="B1914" s="123"/>
      <c r="C1914" s="133" t="e">
        <f>VLOOKUP(B1914,'lista 1'!$A$2:$E$31000,5,0)</f>
        <v>#N/A</v>
      </c>
      <c r="D1914" s="167" t="e">
        <f>VLOOKUP(E13714,'lista obszary'!A:B,2,0)</f>
        <v>#N/A</v>
      </c>
      <c r="E1914" s="128" t="e">
        <f>VLOOKUP(B1914,'LISTA 12'!$A$2:$G$301400,5,0)</f>
        <v>#N/A</v>
      </c>
      <c r="F1914" s="121" t="e">
        <f>VLOOKUP(B1914,'LISTA 12'!$A$2:$G$30100,7,0)</f>
        <v>#N/A</v>
      </c>
      <c r="G1914" s="254" t="e">
        <f>VLOOKUP(H1914,'lista 3'!$A$1:$C$31467,3,0)</f>
        <v>#N/A</v>
      </c>
      <c r="H1914" s="134"/>
      <c r="I1914" s="136"/>
      <c r="J1914" s="135"/>
      <c r="K1914" s="22"/>
    </row>
    <row r="1915" spans="1:11">
      <c r="A1915" s="241" t="e">
        <f>VLOOKUP(B1915,'lista 1'!$A$2:$E$30100,4,0)</f>
        <v>#N/A</v>
      </c>
      <c r="B1915" s="123"/>
      <c r="C1915" s="133" t="e">
        <f>VLOOKUP(B1915,'lista 1'!$A$2:$E$31000,5,0)</f>
        <v>#N/A</v>
      </c>
      <c r="D1915" s="167" t="e">
        <f>VLOOKUP(E13715,'lista obszary'!A:B,2,0)</f>
        <v>#N/A</v>
      </c>
      <c r="E1915" s="128" t="e">
        <f>VLOOKUP(B1915,'LISTA 12'!$A$2:$G$301400,5,0)</f>
        <v>#N/A</v>
      </c>
      <c r="F1915" s="121" t="e">
        <f>VLOOKUP(B1915,'LISTA 12'!$A$2:$G$30100,7,0)</f>
        <v>#N/A</v>
      </c>
      <c r="G1915" s="254" t="e">
        <f>VLOOKUP(H1915,'lista 3'!$A$1:$C$31467,3,0)</f>
        <v>#N/A</v>
      </c>
      <c r="H1915" s="134"/>
      <c r="I1915" s="136"/>
      <c r="J1915" s="135"/>
      <c r="K1915" s="22"/>
    </row>
    <row r="1916" spans="1:11">
      <c r="A1916" s="241" t="e">
        <f>VLOOKUP(B1916,'lista 1'!$A$2:$E$30100,4,0)</f>
        <v>#N/A</v>
      </c>
      <c r="B1916" s="123"/>
      <c r="C1916" s="133" t="e">
        <f>VLOOKUP(B1916,'lista 1'!$A$2:$E$31000,5,0)</f>
        <v>#N/A</v>
      </c>
      <c r="D1916" s="167" t="e">
        <f>VLOOKUP(E13716,'lista obszary'!A:B,2,0)</f>
        <v>#N/A</v>
      </c>
      <c r="E1916" s="128" t="e">
        <f>VLOOKUP(B1916,'LISTA 12'!$A$2:$G$301400,5,0)</f>
        <v>#N/A</v>
      </c>
      <c r="F1916" s="121" t="e">
        <f>VLOOKUP(B1916,'LISTA 12'!$A$2:$G$30100,7,0)</f>
        <v>#N/A</v>
      </c>
      <c r="G1916" s="254" t="e">
        <f>VLOOKUP(H1916,'lista 3'!$A$1:$C$31467,3,0)</f>
        <v>#N/A</v>
      </c>
      <c r="H1916" s="134"/>
      <c r="I1916" s="136"/>
      <c r="J1916" s="135"/>
      <c r="K1916" s="22"/>
    </row>
    <row r="1917" spans="1:11">
      <c r="A1917" s="241" t="e">
        <f>VLOOKUP(B1917,'lista 1'!$A$2:$E$30100,4,0)</f>
        <v>#N/A</v>
      </c>
      <c r="B1917" s="123"/>
      <c r="C1917" s="133" t="e">
        <f>VLOOKUP(B1917,'lista 1'!$A$2:$E$31000,5,0)</f>
        <v>#N/A</v>
      </c>
      <c r="D1917" s="167" t="e">
        <f>VLOOKUP(E13717,'lista obszary'!A:B,2,0)</f>
        <v>#N/A</v>
      </c>
      <c r="E1917" s="128" t="e">
        <f>VLOOKUP(B1917,'LISTA 12'!$A$2:$G$301400,5,0)</f>
        <v>#N/A</v>
      </c>
      <c r="F1917" s="121" t="e">
        <f>VLOOKUP(B1917,'LISTA 12'!$A$2:$G$30100,7,0)</f>
        <v>#N/A</v>
      </c>
      <c r="G1917" s="254" t="e">
        <f>VLOOKUP(H1917,'lista 3'!$A$1:$C$31467,3,0)</f>
        <v>#N/A</v>
      </c>
      <c r="H1917" s="134"/>
      <c r="I1917" s="136"/>
      <c r="J1917" s="135"/>
      <c r="K1917" s="22"/>
    </row>
    <row r="1918" spans="1:11">
      <c r="A1918" s="241" t="e">
        <f>VLOOKUP(B1918,'lista 1'!$A$2:$E$30100,4,0)</f>
        <v>#N/A</v>
      </c>
      <c r="B1918" s="123"/>
      <c r="C1918" s="133" t="e">
        <f>VLOOKUP(B1918,'lista 1'!$A$2:$E$31000,5,0)</f>
        <v>#N/A</v>
      </c>
      <c r="D1918" s="167" t="e">
        <f>VLOOKUP(E13718,'lista obszary'!A:B,2,0)</f>
        <v>#N/A</v>
      </c>
      <c r="E1918" s="128" t="e">
        <f>VLOOKUP(B1918,'LISTA 12'!$A$2:$G$301400,5,0)</f>
        <v>#N/A</v>
      </c>
      <c r="F1918" s="121" t="e">
        <f>VLOOKUP(B1918,'LISTA 12'!$A$2:$G$30100,7,0)</f>
        <v>#N/A</v>
      </c>
      <c r="G1918" s="254" t="e">
        <f>VLOOKUP(H1918,'lista 3'!$A$1:$C$31467,3,0)</f>
        <v>#N/A</v>
      </c>
      <c r="H1918" s="134"/>
      <c r="I1918" s="136"/>
      <c r="J1918" s="135"/>
      <c r="K1918" s="22"/>
    </row>
    <row r="1919" spans="1:11">
      <c r="A1919" s="241" t="e">
        <f>VLOOKUP(B1919,'lista 1'!$A$2:$E$30100,4,0)</f>
        <v>#N/A</v>
      </c>
      <c r="B1919" s="123"/>
      <c r="C1919" s="133" t="e">
        <f>VLOOKUP(B1919,'lista 1'!$A$2:$E$31000,5,0)</f>
        <v>#N/A</v>
      </c>
      <c r="D1919" s="167" t="e">
        <f>VLOOKUP(E13719,'lista obszary'!A:B,2,0)</f>
        <v>#N/A</v>
      </c>
      <c r="E1919" s="128" t="e">
        <f>VLOOKUP(B1919,'LISTA 12'!$A$2:$G$301400,5,0)</f>
        <v>#N/A</v>
      </c>
      <c r="F1919" s="121" t="e">
        <f>VLOOKUP(B1919,'LISTA 12'!$A$2:$G$30100,7,0)</f>
        <v>#N/A</v>
      </c>
      <c r="G1919" s="254" t="e">
        <f>VLOOKUP(H1919,'lista 3'!$A$1:$C$31467,3,0)</f>
        <v>#N/A</v>
      </c>
      <c r="H1919" s="134"/>
      <c r="I1919" s="136"/>
      <c r="J1919" s="135"/>
      <c r="K1919" s="22"/>
    </row>
    <row r="1920" spans="1:11">
      <c r="A1920" s="241" t="e">
        <f>VLOOKUP(B1920,'lista 1'!$A$2:$E$30100,4,0)</f>
        <v>#N/A</v>
      </c>
      <c r="B1920" s="123"/>
      <c r="C1920" s="133" t="e">
        <f>VLOOKUP(B1920,'lista 1'!$A$2:$E$31000,5,0)</f>
        <v>#N/A</v>
      </c>
      <c r="D1920" s="167" t="e">
        <f>VLOOKUP(E13720,'lista obszary'!A:B,2,0)</f>
        <v>#N/A</v>
      </c>
      <c r="E1920" s="128" t="e">
        <f>VLOOKUP(B1920,'LISTA 12'!$A$2:$G$301400,5,0)</f>
        <v>#N/A</v>
      </c>
      <c r="F1920" s="121" t="e">
        <f>VLOOKUP(B1920,'LISTA 12'!$A$2:$G$30100,7,0)</f>
        <v>#N/A</v>
      </c>
      <c r="G1920" s="254" t="e">
        <f>VLOOKUP(H1920,'lista 3'!$A$1:$C$31467,3,0)</f>
        <v>#N/A</v>
      </c>
      <c r="H1920" s="134"/>
      <c r="I1920" s="136"/>
      <c r="J1920" s="135"/>
      <c r="K1920" s="22"/>
    </row>
    <row r="1921" spans="1:11">
      <c r="A1921" s="241" t="e">
        <f>VLOOKUP(B1921,'lista 1'!$A$2:$E$30100,4,0)</f>
        <v>#N/A</v>
      </c>
      <c r="B1921" s="123"/>
      <c r="C1921" s="133" t="e">
        <f>VLOOKUP(B1921,'lista 1'!$A$2:$E$31000,5,0)</f>
        <v>#N/A</v>
      </c>
      <c r="D1921" s="167" t="e">
        <f>VLOOKUP(E13721,'lista obszary'!A:B,2,0)</f>
        <v>#N/A</v>
      </c>
      <c r="E1921" s="128" t="e">
        <f>VLOOKUP(B1921,'LISTA 12'!$A$2:$G$301400,5,0)</f>
        <v>#N/A</v>
      </c>
      <c r="F1921" s="121" t="e">
        <f>VLOOKUP(B1921,'LISTA 12'!$A$2:$G$30100,7,0)</f>
        <v>#N/A</v>
      </c>
      <c r="G1921" s="254" t="e">
        <f>VLOOKUP(H1921,'lista 3'!$A$1:$C$31467,3,0)</f>
        <v>#N/A</v>
      </c>
      <c r="H1921" s="134"/>
      <c r="I1921" s="136"/>
      <c r="J1921" s="135"/>
      <c r="K1921" s="22"/>
    </row>
    <row r="1922" spans="1:11">
      <c r="A1922" s="241" t="e">
        <f>VLOOKUP(B1922,'lista 1'!$A$2:$E$30100,4,0)</f>
        <v>#N/A</v>
      </c>
      <c r="B1922" s="123"/>
      <c r="C1922" s="133" t="e">
        <f>VLOOKUP(B1922,'lista 1'!$A$2:$E$31000,5,0)</f>
        <v>#N/A</v>
      </c>
      <c r="D1922" s="167" t="e">
        <f>VLOOKUP(E13722,'lista obszary'!A:B,2,0)</f>
        <v>#N/A</v>
      </c>
      <c r="E1922" s="128" t="e">
        <f>VLOOKUP(B1922,'LISTA 12'!$A$2:$G$301400,5,0)</f>
        <v>#N/A</v>
      </c>
      <c r="F1922" s="121" t="e">
        <f>VLOOKUP(B1922,'LISTA 12'!$A$2:$G$30100,7,0)</f>
        <v>#N/A</v>
      </c>
      <c r="G1922" s="254" t="e">
        <f>VLOOKUP(H1922,'lista 3'!$A$1:$C$31467,3,0)</f>
        <v>#N/A</v>
      </c>
      <c r="H1922" s="134"/>
      <c r="I1922" s="136"/>
      <c r="J1922" s="135"/>
      <c r="K1922" s="22"/>
    </row>
    <row r="1923" spans="1:11">
      <c r="A1923" s="241" t="e">
        <f>VLOOKUP(B1923,'lista 1'!$A$2:$E$30100,4,0)</f>
        <v>#N/A</v>
      </c>
      <c r="B1923" s="123"/>
      <c r="C1923" s="133" t="e">
        <f>VLOOKUP(B1923,'lista 1'!$A$2:$E$31000,5,0)</f>
        <v>#N/A</v>
      </c>
      <c r="D1923" s="167" t="e">
        <f>VLOOKUP(E13723,'lista obszary'!A:B,2,0)</f>
        <v>#N/A</v>
      </c>
      <c r="E1923" s="128" t="e">
        <f>VLOOKUP(B1923,'LISTA 12'!$A$2:$G$301400,5,0)</f>
        <v>#N/A</v>
      </c>
      <c r="F1923" s="121" t="e">
        <f>VLOOKUP(B1923,'LISTA 12'!$A$2:$G$30100,7,0)</f>
        <v>#N/A</v>
      </c>
      <c r="G1923" s="254" t="e">
        <f>VLOOKUP(H1923,'lista 3'!$A$1:$C$31467,3,0)</f>
        <v>#N/A</v>
      </c>
      <c r="H1923" s="134"/>
      <c r="I1923" s="136"/>
      <c r="J1923" s="135"/>
      <c r="K1923" s="22"/>
    </row>
    <row r="1924" spans="1:11">
      <c r="A1924" s="241" t="e">
        <f>VLOOKUP(B1924,'lista 1'!$A$2:$E$30100,4,0)</f>
        <v>#N/A</v>
      </c>
      <c r="B1924" s="123"/>
      <c r="C1924" s="133" t="e">
        <f>VLOOKUP(B1924,'lista 1'!$A$2:$E$31000,5,0)</f>
        <v>#N/A</v>
      </c>
      <c r="D1924" s="167" t="e">
        <f>VLOOKUP(E13724,'lista obszary'!A:B,2,0)</f>
        <v>#N/A</v>
      </c>
      <c r="E1924" s="128" t="e">
        <f>VLOOKUP(B1924,'LISTA 12'!$A$2:$G$301400,5,0)</f>
        <v>#N/A</v>
      </c>
      <c r="F1924" s="121" t="e">
        <f>VLOOKUP(B1924,'LISTA 12'!$A$2:$G$30100,7,0)</f>
        <v>#N/A</v>
      </c>
      <c r="G1924" s="254" t="e">
        <f>VLOOKUP(H1924,'lista 3'!$A$1:$C$31467,3,0)</f>
        <v>#N/A</v>
      </c>
      <c r="H1924" s="134"/>
      <c r="I1924" s="136"/>
      <c r="J1924" s="135"/>
      <c r="K1924" s="22"/>
    </row>
    <row r="1925" spans="1:11">
      <c r="A1925" s="241" t="e">
        <f>VLOOKUP(B1925,'lista 1'!$A$2:$E$30100,4,0)</f>
        <v>#N/A</v>
      </c>
      <c r="B1925" s="123"/>
      <c r="C1925" s="133" t="e">
        <f>VLOOKUP(B1925,'lista 1'!$A$2:$E$31000,5,0)</f>
        <v>#N/A</v>
      </c>
      <c r="D1925" s="167" t="e">
        <f>VLOOKUP(E13725,'lista obszary'!A:B,2,0)</f>
        <v>#N/A</v>
      </c>
      <c r="E1925" s="128" t="e">
        <f>VLOOKUP(B1925,'LISTA 12'!$A$2:$G$301400,5,0)</f>
        <v>#N/A</v>
      </c>
      <c r="F1925" s="121" t="e">
        <f>VLOOKUP(B1925,'LISTA 12'!$A$2:$G$30100,7,0)</f>
        <v>#N/A</v>
      </c>
      <c r="G1925" s="254" t="e">
        <f>VLOOKUP(H1925,'lista 3'!$A$1:$C$31467,3,0)</f>
        <v>#N/A</v>
      </c>
      <c r="H1925" s="134"/>
      <c r="I1925" s="136"/>
      <c r="J1925" s="135"/>
      <c r="K1925" s="22"/>
    </row>
    <row r="1926" spans="1:11">
      <c r="A1926" s="241" t="e">
        <f>VLOOKUP(B1926,'lista 1'!$A$2:$E$30100,4,0)</f>
        <v>#N/A</v>
      </c>
      <c r="B1926" s="123"/>
      <c r="C1926" s="133" t="e">
        <f>VLOOKUP(B1926,'lista 1'!$A$2:$E$31000,5,0)</f>
        <v>#N/A</v>
      </c>
      <c r="D1926" s="167" t="e">
        <f>VLOOKUP(E13726,'lista obszary'!A:B,2,0)</f>
        <v>#N/A</v>
      </c>
      <c r="E1926" s="128" t="e">
        <f>VLOOKUP(B1926,'LISTA 12'!$A$2:$G$301400,5,0)</f>
        <v>#N/A</v>
      </c>
      <c r="F1926" s="121" t="e">
        <f>VLOOKUP(B1926,'LISTA 12'!$A$2:$G$30100,7,0)</f>
        <v>#N/A</v>
      </c>
      <c r="G1926" s="254" t="e">
        <f>VLOOKUP(H1926,'lista 3'!$A$1:$C$31467,3,0)</f>
        <v>#N/A</v>
      </c>
      <c r="H1926" s="134"/>
      <c r="I1926" s="136"/>
      <c r="J1926" s="135"/>
      <c r="K1926" s="22"/>
    </row>
    <row r="1927" spans="1:11">
      <c r="A1927" s="241" t="e">
        <f>VLOOKUP(B1927,'lista 1'!$A$2:$E$30100,4,0)</f>
        <v>#N/A</v>
      </c>
      <c r="B1927" s="123"/>
      <c r="C1927" s="133" t="e">
        <f>VLOOKUP(B1927,'lista 1'!$A$2:$E$31000,5,0)</f>
        <v>#N/A</v>
      </c>
      <c r="D1927" s="167" t="e">
        <f>VLOOKUP(E13727,'lista obszary'!A:B,2,0)</f>
        <v>#N/A</v>
      </c>
      <c r="E1927" s="128" t="e">
        <f>VLOOKUP(B1927,'LISTA 12'!$A$2:$G$301400,5,0)</f>
        <v>#N/A</v>
      </c>
      <c r="F1927" s="121" t="e">
        <f>VLOOKUP(B1927,'LISTA 12'!$A$2:$G$30100,7,0)</f>
        <v>#N/A</v>
      </c>
      <c r="G1927" s="254" t="e">
        <f>VLOOKUP(H1927,'lista 3'!$A$1:$C$31467,3,0)</f>
        <v>#N/A</v>
      </c>
      <c r="H1927" s="134"/>
      <c r="I1927" s="136"/>
      <c r="J1927" s="135"/>
      <c r="K1927" s="22"/>
    </row>
    <row r="1928" spans="1:11">
      <c r="A1928" s="241" t="e">
        <f>VLOOKUP(B1928,'lista 1'!$A$2:$E$30100,4,0)</f>
        <v>#N/A</v>
      </c>
      <c r="B1928" s="123"/>
      <c r="C1928" s="133" t="e">
        <f>VLOOKUP(B1928,'lista 1'!$A$2:$E$31000,5,0)</f>
        <v>#N/A</v>
      </c>
      <c r="D1928" s="167" t="e">
        <f>VLOOKUP(E13728,'lista obszary'!A:B,2,0)</f>
        <v>#N/A</v>
      </c>
      <c r="E1928" s="128" t="e">
        <f>VLOOKUP(B1928,'LISTA 12'!$A$2:$G$301400,5,0)</f>
        <v>#N/A</v>
      </c>
      <c r="F1928" s="121" t="e">
        <f>VLOOKUP(B1928,'LISTA 12'!$A$2:$G$30100,7,0)</f>
        <v>#N/A</v>
      </c>
      <c r="G1928" s="254" t="e">
        <f>VLOOKUP(H1928,'lista 3'!$A$1:$C$31467,3,0)</f>
        <v>#N/A</v>
      </c>
      <c r="H1928" s="134"/>
      <c r="I1928" s="136"/>
      <c r="J1928" s="135"/>
      <c r="K1928" s="22"/>
    </row>
    <row r="1929" spans="1:11">
      <c r="A1929" s="241" t="e">
        <f>VLOOKUP(B1929,'lista 1'!$A$2:$E$30100,4,0)</f>
        <v>#N/A</v>
      </c>
      <c r="B1929" s="123"/>
      <c r="C1929" s="133" t="e">
        <f>VLOOKUP(B1929,'lista 1'!$A$2:$E$31000,5,0)</f>
        <v>#N/A</v>
      </c>
      <c r="D1929" s="167" t="e">
        <f>VLOOKUP(E13729,'lista obszary'!A:B,2,0)</f>
        <v>#N/A</v>
      </c>
      <c r="E1929" s="128" t="e">
        <f>VLOOKUP(B1929,'LISTA 12'!$A$2:$G$301400,5,0)</f>
        <v>#N/A</v>
      </c>
      <c r="F1929" s="121" t="e">
        <f>VLOOKUP(B1929,'LISTA 12'!$A$2:$G$30100,7,0)</f>
        <v>#N/A</v>
      </c>
      <c r="G1929" s="254" t="e">
        <f>VLOOKUP(H1929,'lista 3'!$A$1:$C$31467,3,0)</f>
        <v>#N/A</v>
      </c>
      <c r="H1929" s="134"/>
      <c r="I1929" s="136"/>
      <c r="J1929" s="135"/>
      <c r="K1929" s="22"/>
    </row>
    <row r="1930" spans="1:11">
      <c r="A1930" s="241" t="e">
        <f>VLOOKUP(B1930,'lista 1'!$A$2:$E$30100,4,0)</f>
        <v>#N/A</v>
      </c>
      <c r="B1930" s="123"/>
      <c r="C1930" s="133" t="e">
        <f>VLOOKUP(B1930,'lista 1'!$A$2:$E$31000,5,0)</f>
        <v>#N/A</v>
      </c>
      <c r="D1930" s="167" t="e">
        <f>VLOOKUP(E13730,'lista obszary'!A:B,2,0)</f>
        <v>#N/A</v>
      </c>
      <c r="E1930" s="128" t="e">
        <f>VLOOKUP(B1930,'LISTA 12'!$A$2:$G$301400,5,0)</f>
        <v>#N/A</v>
      </c>
      <c r="F1930" s="121" t="e">
        <f>VLOOKUP(B1930,'LISTA 12'!$A$2:$G$30100,7,0)</f>
        <v>#N/A</v>
      </c>
      <c r="G1930" s="254" t="e">
        <f>VLOOKUP(H1930,'lista 3'!$A$1:$C$31467,3,0)</f>
        <v>#N/A</v>
      </c>
      <c r="H1930" s="134"/>
      <c r="I1930" s="136"/>
      <c r="J1930" s="135"/>
      <c r="K1930" s="22"/>
    </row>
    <row r="1931" spans="1:11">
      <c r="A1931" s="241" t="e">
        <f>VLOOKUP(B1931,'lista 1'!$A$2:$E$30100,4,0)</f>
        <v>#N/A</v>
      </c>
      <c r="B1931" s="123"/>
      <c r="C1931" s="133" t="e">
        <f>VLOOKUP(B1931,'lista 1'!$A$2:$E$31000,5,0)</f>
        <v>#N/A</v>
      </c>
      <c r="D1931" s="167" t="e">
        <f>VLOOKUP(E13731,'lista obszary'!A:B,2,0)</f>
        <v>#N/A</v>
      </c>
      <c r="E1931" s="128" t="e">
        <f>VLOOKUP(B1931,'LISTA 12'!$A$2:$G$301400,5,0)</f>
        <v>#N/A</v>
      </c>
      <c r="F1931" s="121" t="e">
        <f>VLOOKUP(B1931,'LISTA 12'!$A$2:$G$30100,7,0)</f>
        <v>#N/A</v>
      </c>
      <c r="G1931" s="254" t="e">
        <f>VLOOKUP(H1931,'lista 3'!$A$1:$C$31467,3,0)</f>
        <v>#N/A</v>
      </c>
      <c r="H1931" s="134"/>
      <c r="I1931" s="136"/>
      <c r="J1931" s="135"/>
      <c r="K1931" s="22"/>
    </row>
    <row r="1932" spans="1:11">
      <c r="A1932" s="241" t="e">
        <f>VLOOKUP(B1932,'lista 1'!$A$2:$E$30100,4,0)</f>
        <v>#N/A</v>
      </c>
      <c r="B1932" s="123"/>
      <c r="C1932" s="133" t="e">
        <f>VLOOKUP(B1932,'lista 1'!$A$2:$E$31000,5,0)</f>
        <v>#N/A</v>
      </c>
      <c r="D1932" s="167" t="e">
        <f>VLOOKUP(E13732,'lista obszary'!A:B,2,0)</f>
        <v>#N/A</v>
      </c>
      <c r="E1932" s="128" t="e">
        <f>VLOOKUP(B1932,'LISTA 12'!$A$2:$G$301400,5,0)</f>
        <v>#N/A</v>
      </c>
      <c r="F1932" s="121" t="e">
        <f>VLOOKUP(B1932,'LISTA 12'!$A$2:$G$30100,7,0)</f>
        <v>#N/A</v>
      </c>
      <c r="G1932" s="254" t="e">
        <f>VLOOKUP(H1932,'lista 3'!$A$1:$C$31467,3,0)</f>
        <v>#N/A</v>
      </c>
      <c r="H1932" s="134"/>
      <c r="I1932" s="136"/>
      <c r="J1932" s="135"/>
      <c r="K1932" s="22"/>
    </row>
    <row r="1933" spans="1:11">
      <c r="A1933" s="241" t="e">
        <f>VLOOKUP(B1933,'lista 1'!$A$2:$E$30100,4,0)</f>
        <v>#N/A</v>
      </c>
      <c r="B1933" s="123"/>
      <c r="C1933" s="133" t="e">
        <f>VLOOKUP(B1933,'lista 1'!$A$2:$E$31000,5,0)</f>
        <v>#N/A</v>
      </c>
      <c r="D1933" s="167" t="e">
        <f>VLOOKUP(E13733,'lista obszary'!A:B,2,0)</f>
        <v>#N/A</v>
      </c>
      <c r="E1933" s="128" t="e">
        <f>VLOOKUP(B1933,'LISTA 12'!$A$2:$G$301400,5,0)</f>
        <v>#N/A</v>
      </c>
      <c r="F1933" s="121" t="e">
        <f>VLOOKUP(B1933,'LISTA 12'!$A$2:$G$30100,7,0)</f>
        <v>#N/A</v>
      </c>
      <c r="G1933" s="254" t="e">
        <f>VLOOKUP(H1933,'lista 3'!$A$1:$C$31467,3,0)</f>
        <v>#N/A</v>
      </c>
      <c r="H1933" s="134"/>
      <c r="I1933" s="136"/>
      <c r="J1933" s="135"/>
      <c r="K1933" s="22"/>
    </row>
    <row r="1934" spans="1:11">
      <c r="A1934" s="241" t="e">
        <f>VLOOKUP(B1934,'lista 1'!$A$2:$E$30100,4,0)</f>
        <v>#N/A</v>
      </c>
      <c r="B1934" s="123"/>
      <c r="C1934" s="133" t="e">
        <f>VLOOKUP(B1934,'lista 1'!$A$2:$E$31000,5,0)</f>
        <v>#N/A</v>
      </c>
      <c r="D1934" s="167" t="e">
        <f>VLOOKUP(E13734,'lista obszary'!A:B,2,0)</f>
        <v>#N/A</v>
      </c>
      <c r="E1934" s="128" t="e">
        <f>VLOOKUP(B1934,'LISTA 12'!$A$2:$G$301400,5,0)</f>
        <v>#N/A</v>
      </c>
      <c r="F1934" s="121" t="e">
        <f>VLOOKUP(B1934,'LISTA 12'!$A$2:$G$30100,7,0)</f>
        <v>#N/A</v>
      </c>
      <c r="G1934" s="254" t="e">
        <f>VLOOKUP(H1934,'lista 3'!$A$1:$C$31467,3,0)</f>
        <v>#N/A</v>
      </c>
      <c r="H1934" s="134"/>
      <c r="I1934" s="136"/>
      <c r="J1934" s="135"/>
      <c r="K1934" s="22"/>
    </row>
    <row r="1935" spans="1:11">
      <c r="A1935" s="241" t="e">
        <f>VLOOKUP(B1935,'lista 1'!$A$2:$E$30100,4,0)</f>
        <v>#N/A</v>
      </c>
      <c r="B1935" s="123"/>
      <c r="C1935" s="133" t="e">
        <f>VLOOKUP(B1935,'lista 1'!$A$2:$E$31000,5,0)</f>
        <v>#N/A</v>
      </c>
      <c r="D1935" s="167" t="e">
        <f>VLOOKUP(E13735,'lista obszary'!A:B,2,0)</f>
        <v>#N/A</v>
      </c>
      <c r="E1935" s="128" t="e">
        <f>VLOOKUP(B1935,'LISTA 12'!$A$2:$G$301400,5,0)</f>
        <v>#N/A</v>
      </c>
      <c r="F1935" s="121" t="e">
        <f>VLOOKUP(B1935,'LISTA 12'!$A$2:$G$30100,7,0)</f>
        <v>#N/A</v>
      </c>
      <c r="G1935" s="254" t="e">
        <f>VLOOKUP(H1935,'lista 3'!$A$1:$C$31467,3,0)</f>
        <v>#N/A</v>
      </c>
      <c r="H1935" s="134"/>
      <c r="I1935" s="136"/>
      <c r="J1935" s="135"/>
      <c r="K1935" s="22"/>
    </row>
    <row r="1936" spans="1:11">
      <c r="A1936" s="241" t="e">
        <f>VLOOKUP(B1936,'lista 1'!$A$2:$E$30100,4,0)</f>
        <v>#N/A</v>
      </c>
      <c r="B1936" s="123"/>
      <c r="C1936" s="133" t="e">
        <f>VLOOKUP(B1936,'lista 1'!$A$2:$E$31000,5,0)</f>
        <v>#N/A</v>
      </c>
      <c r="D1936" s="167" t="e">
        <f>VLOOKUP(E13736,'lista obszary'!A:B,2,0)</f>
        <v>#N/A</v>
      </c>
      <c r="E1936" s="128" t="e">
        <f>VLOOKUP(B1936,'LISTA 12'!$A$2:$G$301400,5,0)</f>
        <v>#N/A</v>
      </c>
      <c r="F1936" s="121" t="e">
        <f>VLOOKUP(B1936,'LISTA 12'!$A$2:$G$30100,7,0)</f>
        <v>#N/A</v>
      </c>
      <c r="G1936" s="254" t="e">
        <f>VLOOKUP(H1936,'lista 3'!$A$1:$C$31467,3,0)</f>
        <v>#N/A</v>
      </c>
      <c r="H1936" s="134"/>
      <c r="I1936" s="136"/>
      <c r="J1936" s="135"/>
      <c r="K1936" s="22"/>
    </row>
    <row r="1937" spans="1:11">
      <c r="A1937" s="241" t="e">
        <f>VLOOKUP(B1937,'lista 1'!$A$2:$E$30100,4,0)</f>
        <v>#N/A</v>
      </c>
      <c r="B1937" s="123"/>
      <c r="C1937" s="133" t="e">
        <f>VLOOKUP(B1937,'lista 1'!$A$2:$E$31000,5,0)</f>
        <v>#N/A</v>
      </c>
      <c r="D1937" s="167" t="e">
        <f>VLOOKUP(E13737,'lista obszary'!A:B,2,0)</f>
        <v>#N/A</v>
      </c>
      <c r="E1937" s="128" t="e">
        <f>VLOOKUP(B1937,'LISTA 12'!$A$2:$G$301400,5,0)</f>
        <v>#N/A</v>
      </c>
      <c r="F1937" s="121" t="e">
        <f>VLOOKUP(B1937,'LISTA 12'!$A$2:$G$30100,7,0)</f>
        <v>#N/A</v>
      </c>
      <c r="G1937" s="254" t="e">
        <f>VLOOKUP(H1937,'lista 3'!$A$1:$C$31467,3,0)</f>
        <v>#N/A</v>
      </c>
      <c r="H1937" s="134"/>
      <c r="I1937" s="136"/>
      <c r="J1937" s="135"/>
      <c r="K1937" s="22"/>
    </row>
    <row r="1938" spans="1:11">
      <c r="A1938" s="241" t="e">
        <f>VLOOKUP(B1938,'lista 1'!$A$2:$E$30100,4,0)</f>
        <v>#N/A</v>
      </c>
      <c r="B1938" s="123"/>
      <c r="C1938" s="133" t="e">
        <f>VLOOKUP(B1938,'lista 1'!$A$2:$E$31000,5,0)</f>
        <v>#N/A</v>
      </c>
      <c r="D1938" s="167" t="e">
        <f>VLOOKUP(E13738,'lista obszary'!A:B,2,0)</f>
        <v>#N/A</v>
      </c>
      <c r="E1938" s="128" t="e">
        <f>VLOOKUP(B1938,'LISTA 12'!$A$2:$G$301400,5,0)</f>
        <v>#N/A</v>
      </c>
      <c r="F1938" s="121" t="e">
        <f>VLOOKUP(B1938,'LISTA 12'!$A$2:$G$30100,7,0)</f>
        <v>#N/A</v>
      </c>
      <c r="G1938" s="254" t="e">
        <f>VLOOKUP(H1938,'lista 3'!$A$1:$C$31467,3,0)</f>
        <v>#N/A</v>
      </c>
      <c r="H1938" s="134"/>
      <c r="I1938" s="136"/>
      <c r="J1938" s="135"/>
      <c r="K1938" s="22"/>
    </row>
    <row r="1939" spans="1:11">
      <c r="A1939" s="241" t="e">
        <f>VLOOKUP(B1939,'lista 1'!$A$2:$E$30100,4,0)</f>
        <v>#N/A</v>
      </c>
      <c r="B1939" s="123"/>
      <c r="C1939" s="133" t="e">
        <f>VLOOKUP(B1939,'lista 1'!$A$2:$E$31000,5,0)</f>
        <v>#N/A</v>
      </c>
      <c r="D1939" s="167" t="e">
        <f>VLOOKUP(E13739,'lista obszary'!A:B,2,0)</f>
        <v>#N/A</v>
      </c>
      <c r="E1939" s="128" t="e">
        <f>VLOOKUP(B1939,'LISTA 12'!$A$2:$G$301400,5,0)</f>
        <v>#N/A</v>
      </c>
      <c r="F1939" s="121" t="e">
        <f>VLOOKUP(B1939,'LISTA 12'!$A$2:$G$30100,7,0)</f>
        <v>#N/A</v>
      </c>
      <c r="G1939" s="254" t="e">
        <f>VLOOKUP(H1939,'lista 3'!$A$1:$C$31467,3,0)</f>
        <v>#N/A</v>
      </c>
      <c r="H1939" s="134"/>
      <c r="I1939" s="136"/>
      <c r="J1939" s="135"/>
      <c r="K1939" s="22"/>
    </row>
    <row r="1940" spans="1:11">
      <c r="A1940" s="241" t="e">
        <f>VLOOKUP(B1940,'lista 1'!$A$2:$E$30100,4,0)</f>
        <v>#N/A</v>
      </c>
      <c r="B1940" s="123"/>
      <c r="C1940" s="133" t="e">
        <f>VLOOKUP(B1940,'lista 1'!$A$2:$E$31000,5,0)</f>
        <v>#N/A</v>
      </c>
      <c r="D1940" s="167" t="e">
        <f>VLOOKUP(E13740,'lista obszary'!A:B,2,0)</f>
        <v>#N/A</v>
      </c>
      <c r="E1940" s="128" t="e">
        <f>VLOOKUP(B1940,'LISTA 12'!$A$2:$G$301400,5,0)</f>
        <v>#N/A</v>
      </c>
      <c r="F1940" s="121" t="e">
        <f>VLOOKUP(B1940,'LISTA 12'!$A$2:$G$30100,7,0)</f>
        <v>#N/A</v>
      </c>
      <c r="G1940" s="254" t="e">
        <f>VLOOKUP(H1940,'lista 3'!$A$1:$C$31467,3,0)</f>
        <v>#N/A</v>
      </c>
      <c r="H1940" s="134"/>
      <c r="I1940" s="136"/>
      <c r="J1940" s="135"/>
      <c r="K1940" s="22"/>
    </row>
    <row r="1941" spans="1:11">
      <c r="A1941" s="241" t="e">
        <f>VLOOKUP(B1941,'lista 1'!$A$2:$E$30100,4,0)</f>
        <v>#N/A</v>
      </c>
      <c r="B1941" s="123"/>
      <c r="C1941" s="133" t="e">
        <f>VLOOKUP(B1941,'lista 1'!$A$2:$E$31000,5,0)</f>
        <v>#N/A</v>
      </c>
      <c r="D1941" s="167" t="e">
        <f>VLOOKUP(E13741,'lista obszary'!A:B,2,0)</f>
        <v>#N/A</v>
      </c>
      <c r="E1941" s="128" t="e">
        <f>VLOOKUP(B1941,'LISTA 12'!$A$2:$G$301400,5,0)</f>
        <v>#N/A</v>
      </c>
      <c r="F1941" s="121" t="e">
        <f>VLOOKUP(B1941,'LISTA 12'!$A$2:$G$30100,7,0)</f>
        <v>#N/A</v>
      </c>
      <c r="G1941" s="254" t="e">
        <f>VLOOKUP(H1941,'lista 3'!$A$1:$C$31467,3,0)</f>
        <v>#N/A</v>
      </c>
      <c r="H1941" s="134"/>
      <c r="I1941" s="136"/>
      <c r="J1941" s="135"/>
      <c r="K1941" s="22"/>
    </row>
    <row r="1942" spans="1:11">
      <c r="A1942" s="241" t="e">
        <f>VLOOKUP(B1942,'lista 1'!$A$2:$E$30100,4,0)</f>
        <v>#N/A</v>
      </c>
      <c r="B1942" s="123"/>
      <c r="C1942" s="133" t="e">
        <f>VLOOKUP(B1942,'lista 1'!$A$2:$E$31000,5,0)</f>
        <v>#N/A</v>
      </c>
      <c r="D1942" s="167" t="e">
        <f>VLOOKUP(E13742,'lista obszary'!A:B,2,0)</f>
        <v>#N/A</v>
      </c>
      <c r="E1942" s="128" t="e">
        <f>VLOOKUP(B1942,'LISTA 12'!$A$2:$G$301400,5,0)</f>
        <v>#N/A</v>
      </c>
      <c r="F1942" s="121" t="e">
        <f>VLOOKUP(B1942,'LISTA 12'!$A$2:$G$30100,7,0)</f>
        <v>#N/A</v>
      </c>
      <c r="G1942" s="254" t="e">
        <f>VLOOKUP(H1942,'lista 3'!$A$1:$C$31467,3,0)</f>
        <v>#N/A</v>
      </c>
      <c r="H1942" s="134"/>
      <c r="I1942" s="136"/>
      <c r="J1942" s="135"/>
      <c r="K1942" s="22"/>
    </row>
    <row r="1943" spans="1:11">
      <c r="A1943" s="241" t="e">
        <f>VLOOKUP(B1943,'lista 1'!$A$2:$E$30100,4,0)</f>
        <v>#N/A</v>
      </c>
      <c r="B1943" s="123"/>
      <c r="C1943" s="133" t="e">
        <f>VLOOKUP(B1943,'lista 1'!$A$2:$E$31000,5,0)</f>
        <v>#N/A</v>
      </c>
      <c r="D1943" s="167" t="e">
        <f>VLOOKUP(E13743,'lista obszary'!A:B,2,0)</f>
        <v>#N/A</v>
      </c>
      <c r="E1943" s="128" t="e">
        <f>VLOOKUP(B1943,'LISTA 12'!$A$2:$G$301400,5,0)</f>
        <v>#N/A</v>
      </c>
      <c r="F1943" s="121" t="e">
        <f>VLOOKUP(B1943,'LISTA 12'!$A$2:$G$30100,7,0)</f>
        <v>#N/A</v>
      </c>
      <c r="G1943" s="254" t="e">
        <f>VLOOKUP(H1943,'lista 3'!$A$1:$C$31467,3,0)</f>
        <v>#N/A</v>
      </c>
      <c r="H1943" s="134"/>
      <c r="I1943" s="136"/>
      <c r="J1943" s="135"/>
      <c r="K1943" s="22"/>
    </row>
    <row r="1944" spans="1:11">
      <c r="A1944" s="241" t="e">
        <f>VLOOKUP(B1944,'lista 1'!$A$2:$E$30100,4,0)</f>
        <v>#N/A</v>
      </c>
      <c r="B1944" s="123"/>
      <c r="C1944" s="133" t="e">
        <f>VLOOKUP(B1944,'lista 1'!$A$2:$E$31000,5,0)</f>
        <v>#N/A</v>
      </c>
      <c r="D1944" s="167" t="e">
        <f>VLOOKUP(E13744,'lista obszary'!A:B,2,0)</f>
        <v>#N/A</v>
      </c>
      <c r="E1944" s="128" t="e">
        <f>VLOOKUP(B1944,'LISTA 12'!$A$2:$G$301400,5,0)</f>
        <v>#N/A</v>
      </c>
      <c r="F1944" s="121" t="e">
        <f>VLOOKUP(B1944,'LISTA 12'!$A$2:$G$30100,7,0)</f>
        <v>#N/A</v>
      </c>
      <c r="G1944" s="254" t="e">
        <f>VLOOKUP(H1944,'lista 3'!$A$1:$C$31467,3,0)</f>
        <v>#N/A</v>
      </c>
      <c r="H1944" s="134"/>
      <c r="I1944" s="136"/>
      <c r="J1944" s="135"/>
      <c r="K1944" s="22"/>
    </row>
    <row r="1945" spans="1:11">
      <c r="A1945" s="241" t="e">
        <f>VLOOKUP(B1945,'lista 1'!$A$2:$E$30100,4,0)</f>
        <v>#N/A</v>
      </c>
      <c r="B1945" s="123"/>
      <c r="C1945" s="133" t="e">
        <f>VLOOKUP(B1945,'lista 1'!$A$2:$E$31000,5,0)</f>
        <v>#N/A</v>
      </c>
      <c r="D1945" s="167" t="e">
        <f>VLOOKUP(E13745,'lista obszary'!A:B,2,0)</f>
        <v>#N/A</v>
      </c>
      <c r="E1945" s="128" t="e">
        <f>VLOOKUP(B1945,'LISTA 12'!$A$2:$G$301400,5,0)</f>
        <v>#N/A</v>
      </c>
      <c r="F1945" s="121" t="e">
        <f>VLOOKUP(B1945,'LISTA 12'!$A$2:$G$30100,7,0)</f>
        <v>#N/A</v>
      </c>
      <c r="G1945" s="254" t="e">
        <f>VLOOKUP(H1945,'lista 3'!$A$1:$C$31467,3,0)</f>
        <v>#N/A</v>
      </c>
      <c r="H1945" s="134"/>
      <c r="I1945" s="136"/>
      <c r="J1945" s="135"/>
      <c r="K1945" s="22"/>
    </row>
    <row r="1946" spans="1:11">
      <c r="A1946" s="241" t="e">
        <f>VLOOKUP(B1946,'lista 1'!$A$2:$E$30100,4,0)</f>
        <v>#N/A</v>
      </c>
      <c r="B1946" s="123"/>
      <c r="C1946" s="133" t="e">
        <f>VLOOKUP(B1946,'lista 1'!$A$2:$E$31000,5,0)</f>
        <v>#N/A</v>
      </c>
      <c r="D1946" s="167" t="e">
        <f>VLOOKUP(E13746,'lista obszary'!A:B,2,0)</f>
        <v>#N/A</v>
      </c>
      <c r="E1946" s="128" t="e">
        <f>VLOOKUP(B1946,'LISTA 12'!$A$2:$G$301400,5,0)</f>
        <v>#N/A</v>
      </c>
      <c r="F1946" s="121" t="e">
        <f>VLOOKUP(B1946,'LISTA 12'!$A$2:$G$30100,7,0)</f>
        <v>#N/A</v>
      </c>
      <c r="G1946" s="254" t="e">
        <f>VLOOKUP(H1946,'lista 3'!$A$1:$C$31467,3,0)</f>
        <v>#N/A</v>
      </c>
      <c r="H1946" s="134"/>
      <c r="I1946" s="136"/>
      <c r="J1946" s="135"/>
      <c r="K1946" s="22"/>
    </row>
    <row r="1947" spans="1:11">
      <c r="A1947" s="241" t="e">
        <f>VLOOKUP(B1947,'lista 1'!$A$2:$E$30100,4,0)</f>
        <v>#N/A</v>
      </c>
      <c r="B1947" s="123"/>
      <c r="C1947" s="133" t="e">
        <f>VLOOKUP(B1947,'lista 1'!$A$2:$E$31000,5,0)</f>
        <v>#N/A</v>
      </c>
      <c r="D1947" s="167" t="e">
        <f>VLOOKUP(E13747,'lista obszary'!A:B,2,0)</f>
        <v>#N/A</v>
      </c>
      <c r="E1947" s="128" t="e">
        <f>VLOOKUP(B1947,'LISTA 12'!$A$2:$G$301400,5,0)</f>
        <v>#N/A</v>
      </c>
      <c r="F1947" s="121" t="e">
        <f>VLOOKUP(B1947,'LISTA 12'!$A$2:$G$30100,7,0)</f>
        <v>#N/A</v>
      </c>
      <c r="G1947" s="254" t="e">
        <f>VLOOKUP(H1947,'lista 3'!$A$1:$C$31467,3,0)</f>
        <v>#N/A</v>
      </c>
      <c r="H1947" s="134"/>
      <c r="I1947" s="136"/>
      <c r="J1947" s="135"/>
      <c r="K1947" s="22"/>
    </row>
    <row r="1948" spans="1:11">
      <c r="A1948" s="241" t="e">
        <f>VLOOKUP(B1948,'lista 1'!$A$2:$E$30100,4,0)</f>
        <v>#N/A</v>
      </c>
      <c r="B1948" s="123"/>
      <c r="C1948" s="133" t="e">
        <f>VLOOKUP(B1948,'lista 1'!$A$2:$E$31000,5,0)</f>
        <v>#N/A</v>
      </c>
      <c r="D1948" s="167" t="e">
        <f>VLOOKUP(E13748,'lista obszary'!A:B,2,0)</f>
        <v>#N/A</v>
      </c>
      <c r="E1948" s="128" t="e">
        <f>VLOOKUP(B1948,'LISTA 12'!$A$2:$G$301400,5,0)</f>
        <v>#N/A</v>
      </c>
      <c r="F1948" s="121" t="e">
        <f>VLOOKUP(B1948,'LISTA 12'!$A$2:$G$30100,7,0)</f>
        <v>#N/A</v>
      </c>
      <c r="G1948" s="254" t="e">
        <f>VLOOKUP(H1948,'lista 3'!$A$1:$C$31467,3,0)</f>
        <v>#N/A</v>
      </c>
      <c r="H1948" s="134"/>
      <c r="I1948" s="136"/>
      <c r="J1948" s="135"/>
      <c r="K1948" s="22"/>
    </row>
    <row r="1949" spans="1:11">
      <c r="A1949" s="241" t="e">
        <f>VLOOKUP(B1949,'lista 1'!$A$2:$E$30100,4,0)</f>
        <v>#N/A</v>
      </c>
      <c r="B1949" s="123"/>
      <c r="C1949" s="133" t="e">
        <f>VLOOKUP(B1949,'lista 1'!$A$2:$E$31000,5,0)</f>
        <v>#N/A</v>
      </c>
      <c r="D1949" s="167" t="e">
        <f>VLOOKUP(E13749,'lista obszary'!A:B,2,0)</f>
        <v>#N/A</v>
      </c>
      <c r="E1949" s="128" t="e">
        <f>VLOOKUP(B1949,'LISTA 12'!$A$2:$G$301400,5,0)</f>
        <v>#N/A</v>
      </c>
      <c r="F1949" s="121" t="e">
        <f>VLOOKUP(B1949,'LISTA 12'!$A$2:$G$30100,7,0)</f>
        <v>#N/A</v>
      </c>
      <c r="G1949" s="254" t="e">
        <f>VLOOKUP(H1949,'lista 3'!$A$1:$C$31467,3,0)</f>
        <v>#N/A</v>
      </c>
      <c r="H1949" s="134"/>
      <c r="I1949" s="136"/>
      <c r="J1949" s="135"/>
      <c r="K1949" s="22"/>
    </row>
    <row r="1950" spans="1:11">
      <c r="A1950" s="241" t="e">
        <f>VLOOKUP(B1950,'lista 1'!$A$2:$E$30100,4,0)</f>
        <v>#N/A</v>
      </c>
      <c r="B1950" s="123"/>
      <c r="C1950" s="133" t="e">
        <f>VLOOKUP(B1950,'lista 1'!$A$2:$E$31000,5,0)</f>
        <v>#N/A</v>
      </c>
      <c r="D1950" s="167" t="e">
        <f>VLOOKUP(E13750,'lista obszary'!A:B,2,0)</f>
        <v>#N/A</v>
      </c>
      <c r="E1950" s="128" t="e">
        <f>VLOOKUP(B1950,'LISTA 12'!$A$2:$G$301400,5,0)</f>
        <v>#N/A</v>
      </c>
      <c r="F1950" s="121" t="e">
        <f>VLOOKUP(B1950,'LISTA 12'!$A$2:$G$30100,7,0)</f>
        <v>#N/A</v>
      </c>
      <c r="G1950" s="254" t="e">
        <f>VLOOKUP(H1950,'lista 3'!$A$1:$C$31467,3,0)</f>
        <v>#N/A</v>
      </c>
      <c r="H1950" s="134"/>
      <c r="I1950" s="136"/>
      <c r="J1950" s="135"/>
      <c r="K1950" s="22"/>
    </row>
    <row r="1951" spans="1:11">
      <c r="A1951" s="241" t="e">
        <f>VLOOKUP(B1951,'lista 1'!$A$2:$E$30100,4,0)</f>
        <v>#N/A</v>
      </c>
      <c r="B1951" s="123"/>
      <c r="C1951" s="133" t="e">
        <f>VLOOKUP(B1951,'lista 1'!$A$2:$E$31000,5,0)</f>
        <v>#N/A</v>
      </c>
      <c r="D1951" s="167" t="e">
        <f>VLOOKUP(E13751,'lista obszary'!A:B,2,0)</f>
        <v>#N/A</v>
      </c>
      <c r="E1951" s="128" t="e">
        <f>VLOOKUP(B1951,'LISTA 12'!$A$2:$G$301400,5,0)</f>
        <v>#N/A</v>
      </c>
      <c r="F1951" s="121" t="e">
        <f>VLOOKUP(B1951,'LISTA 12'!$A$2:$G$30100,7,0)</f>
        <v>#N/A</v>
      </c>
      <c r="G1951" s="254" t="e">
        <f>VLOOKUP(H1951,'lista 3'!$A$1:$C$31467,3,0)</f>
        <v>#N/A</v>
      </c>
      <c r="H1951" s="134"/>
      <c r="I1951" s="136"/>
      <c r="J1951" s="135"/>
      <c r="K1951" s="22"/>
    </row>
    <row r="1952" spans="1:11">
      <c r="A1952" s="241" t="e">
        <f>VLOOKUP(B1952,'lista 1'!$A$2:$E$30100,4,0)</f>
        <v>#N/A</v>
      </c>
      <c r="B1952" s="123"/>
      <c r="C1952" s="133" t="e">
        <f>VLOOKUP(B1952,'lista 1'!$A$2:$E$31000,5,0)</f>
        <v>#N/A</v>
      </c>
      <c r="D1952" s="167" t="e">
        <f>VLOOKUP(E13752,'lista obszary'!A:B,2,0)</f>
        <v>#N/A</v>
      </c>
      <c r="E1952" s="128" t="e">
        <f>VLOOKUP(B1952,'LISTA 12'!$A$2:$G$301400,5,0)</f>
        <v>#N/A</v>
      </c>
      <c r="F1952" s="121" t="e">
        <f>VLOOKUP(B1952,'LISTA 12'!$A$2:$G$30100,7,0)</f>
        <v>#N/A</v>
      </c>
      <c r="G1952" s="254" t="e">
        <f>VLOOKUP(H1952,'lista 3'!$A$1:$C$31467,3,0)</f>
        <v>#N/A</v>
      </c>
      <c r="H1952" s="134"/>
      <c r="I1952" s="136"/>
      <c r="J1952" s="135"/>
      <c r="K1952" s="22"/>
    </row>
    <row r="1953" spans="1:11">
      <c r="A1953" s="241" t="e">
        <f>VLOOKUP(B1953,'lista 1'!$A$2:$E$30100,4,0)</f>
        <v>#N/A</v>
      </c>
      <c r="B1953" s="123"/>
      <c r="C1953" s="133" t="e">
        <f>VLOOKUP(B1953,'lista 1'!$A$2:$E$31000,5,0)</f>
        <v>#N/A</v>
      </c>
      <c r="D1953" s="167" t="e">
        <f>VLOOKUP(E13753,'lista obszary'!A:B,2,0)</f>
        <v>#N/A</v>
      </c>
      <c r="E1953" s="128" t="e">
        <f>VLOOKUP(B1953,'LISTA 12'!$A$2:$G$301400,5,0)</f>
        <v>#N/A</v>
      </c>
      <c r="F1953" s="121" t="e">
        <f>VLOOKUP(B1953,'LISTA 12'!$A$2:$G$30100,7,0)</f>
        <v>#N/A</v>
      </c>
      <c r="G1953" s="254" t="e">
        <f>VLOOKUP(H1953,'lista 3'!$A$1:$C$31467,3,0)</f>
        <v>#N/A</v>
      </c>
      <c r="H1953" s="134"/>
      <c r="I1953" s="136"/>
      <c r="J1953" s="135"/>
      <c r="K1953" s="22"/>
    </row>
    <row r="1954" spans="1:11">
      <c r="A1954" s="241" t="e">
        <f>VLOOKUP(B1954,'lista 1'!$A$2:$E$30100,4,0)</f>
        <v>#N/A</v>
      </c>
      <c r="B1954" s="123"/>
      <c r="C1954" s="133" t="e">
        <f>VLOOKUP(B1954,'lista 1'!$A$2:$E$31000,5,0)</f>
        <v>#N/A</v>
      </c>
      <c r="D1954" s="167" t="e">
        <f>VLOOKUP(E13754,'lista obszary'!A:B,2,0)</f>
        <v>#N/A</v>
      </c>
      <c r="E1954" s="128" t="e">
        <f>VLOOKUP(B1954,'LISTA 12'!$A$2:$G$301400,5,0)</f>
        <v>#N/A</v>
      </c>
      <c r="F1954" s="121" t="e">
        <f>VLOOKUP(B1954,'LISTA 12'!$A$2:$G$30100,7,0)</f>
        <v>#N/A</v>
      </c>
      <c r="G1954" s="254" t="e">
        <f>VLOOKUP(H1954,'lista 3'!$A$1:$C$31467,3,0)</f>
        <v>#N/A</v>
      </c>
      <c r="H1954" s="134"/>
      <c r="I1954" s="136"/>
      <c r="J1954" s="135"/>
      <c r="K1954" s="22"/>
    </row>
    <row r="1955" spans="1:11">
      <c r="A1955" s="241" t="e">
        <f>VLOOKUP(B1955,'lista 1'!$A$2:$E$30100,4,0)</f>
        <v>#N/A</v>
      </c>
      <c r="B1955" s="123"/>
      <c r="C1955" s="133" t="e">
        <f>VLOOKUP(B1955,'lista 1'!$A$2:$E$31000,5,0)</f>
        <v>#N/A</v>
      </c>
      <c r="D1955" s="167" t="e">
        <f>VLOOKUP(E13755,'lista obszary'!A:B,2,0)</f>
        <v>#N/A</v>
      </c>
      <c r="E1955" s="128" t="e">
        <f>VLOOKUP(B1955,'LISTA 12'!$A$2:$G$301400,5,0)</f>
        <v>#N/A</v>
      </c>
      <c r="F1955" s="121" t="e">
        <f>VLOOKUP(B1955,'LISTA 12'!$A$2:$G$30100,7,0)</f>
        <v>#N/A</v>
      </c>
      <c r="G1955" s="254" t="e">
        <f>VLOOKUP(H1955,'lista 3'!$A$1:$C$31467,3,0)</f>
        <v>#N/A</v>
      </c>
      <c r="H1955" s="134"/>
      <c r="I1955" s="136"/>
      <c r="J1955" s="135"/>
      <c r="K1955" s="22"/>
    </row>
    <row r="1956" spans="1:11">
      <c r="A1956" s="241" t="e">
        <f>VLOOKUP(B1956,'lista 1'!$A$2:$E$30100,4,0)</f>
        <v>#N/A</v>
      </c>
      <c r="B1956" s="123"/>
      <c r="C1956" s="133" t="e">
        <f>VLOOKUP(B1956,'lista 1'!$A$2:$E$31000,5,0)</f>
        <v>#N/A</v>
      </c>
      <c r="D1956" s="167" t="e">
        <f>VLOOKUP(E13756,'lista obszary'!A:B,2,0)</f>
        <v>#N/A</v>
      </c>
      <c r="E1956" s="128" t="e">
        <f>VLOOKUP(B1956,'LISTA 12'!$A$2:$G$301400,5,0)</f>
        <v>#N/A</v>
      </c>
      <c r="F1956" s="121" t="e">
        <f>VLOOKUP(B1956,'LISTA 12'!$A$2:$G$30100,7,0)</f>
        <v>#N/A</v>
      </c>
      <c r="G1956" s="254" t="e">
        <f>VLOOKUP(H1956,'lista 3'!$A$1:$C$31467,3,0)</f>
        <v>#N/A</v>
      </c>
      <c r="H1956" s="134"/>
      <c r="I1956" s="136"/>
      <c r="J1956" s="135"/>
      <c r="K1956" s="22"/>
    </row>
    <row r="1957" spans="1:11">
      <c r="A1957" s="241" t="e">
        <f>VLOOKUP(B1957,'lista 1'!$A$2:$E$30100,4,0)</f>
        <v>#N/A</v>
      </c>
      <c r="B1957" s="123"/>
      <c r="C1957" s="133" t="e">
        <f>VLOOKUP(B1957,'lista 1'!$A$2:$E$31000,5,0)</f>
        <v>#N/A</v>
      </c>
      <c r="D1957" s="167" t="e">
        <f>VLOOKUP(E13757,'lista obszary'!A:B,2,0)</f>
        <v>#N/A</v>
      </c>
      <c r="E1957" s="128" t="e">
        <f>VLOOKUP(B1957,'LISTA 12'!$A$2:$G$301400,5,0)</f>
        <v>#N/A</v>
      </c>
      <c r="F1957" s="121" t="e">
        <f>VLOOKUP(B1957,'LISTA 12'!$A$2:$G$30100,7,0)</f>
        <v>#N/A</v>
      </c>
      <c r="G1957" s="254" t="e">
        <f>VLOOKUP(H1957,'lista 3'!$A$1:$C$31467,3,0)</f>
        <v>#N/A</v>
      </c>
      <c r="H1957" s="134"/>
      <c r="I1957" s="136"/>
      <c r="J1957" s="135"/>
      <c r="K1957" s="22"/>
    </row>
    <row r="1958" spans="1:11">
      <c r="A1958" s="241" t="e">
        <f>VLOOKUP(B1958,'lista 1'!$A$2:$E$30100,4,0)</f>
        <v>#N/A</v>
      </c>
      <c r="B1958" s="123"/>
      <c r="C1958" s="133" t="e">
        <f>VLOOKUP(B1958,'lista 1'!$A$2:$E$31000,5,0)</f>
        <v>#N/A</v>
      </c>
      <c r="D1958" s="167" t="e">
        <f>VLOOKUP(E13758,'lista obszary'!A:B,2,0)</f>
        <v>#N/A</v>
      </c>
      <c r="E1958" s="128" t="e">
        <f>VLOOKUP(B1958,'LISTA 12'!$A$2:$G$301400,5,0)</f>
        <v>#N/A</v>
      </c>
      <c r="F1958" s="121" t="e">
        <f>VLOOKUP(B1958,'LISTA 12'!$A$2:$G$30100,7,0)</f>
        <v>#N/A</v>
      </c>
      <c r="G1958" s="254" t="e">
        <f>VLOOKUP(H1958,'lista 3'!$A$1:$C$31467,3,0)</f>
        <v>#N/A</v>
      </c>
      <c r="H1958" s="134"/>
      <c r="I1958" s="136"/>
      <c r="J1958" s="135"/>
      <c r="K1958" s="22"/>
    </row>
    <row r="1959" spans="1:11">
      <c r="A1959" s="241" t="e">
        <f>VLOOKUP(B1959,'lista 1'!$A$2:$E$30100,4,0)</f>
        <v>#N/A</v>
      </c>
      <c r="B1959" s="123"/>
      <c r="C1959" s="133" t="e">
        <f>VLOOKUP(B1959,'lista 1'!$A$2:$E$31000,5,0)</f>
        <v>#N/A</v>
      </c>
      <c r="D1959" s="167" t="e">
        <f>VLOOKUP(E13759,'lista obszary'!A:B,2,0)</f>
        <v>#N/A</v>
      </c>
      <c r="E1959" s="128" t="e">
        <f>VLOOKUP(B1959,'LISTA 12'!$A$2:$G$301400,5,0)</f>
        <v>#N/A</v>
      </c>
      <c r="F1959" s="121" t="e">
        <f>VLOOKUP(B1959,'LISTA 12'!$A$2:$G$30100,7,0)</f>
        <v>#N/A</v>
      </c>
      <c r="G1959" s="254" t="e">
        <f>VLOOKUP(H1959,'lista 3'!$A$1:$C$31467,3,0)</f>
        <v>#N/A</v>
      </c>
      <c r="H1959" s="134"/>
      <c r="I1959" s="136"/>
      <c r="J1959" s="135"/>
      <c r="K1959" s="22"/>
    </row>
    <row r="1960" spans="1:11">
      <c r="A1960" s="241" t="e">
        <f>VLOOKUP(B1960,'lista 1'!$A$2:$E$30100,4,0)</f>
        <v>#N/A</v>
      </c>
      <c r="B1960" s="123"/>
      <c r="C1960" s="133" t="e">
        <f>VLOOKUP(B1960,'lista 1'!$A$2:$E$31000,5,0)</f>
        <v>#N/A</v>
      </c>
      <c r="D1960" s="167" t="e">
        <f>VLOOKUP(E13760,'lista obszary'!A:B,2,0)</f>
        <v>#N/A</v>
      </c>
      <c r="E1960" s="128" t="e">
        <f>VLOOKUP(B1960,'LISTA 12'!$A$2:$G$301400,5,0)</f>
        <v>#N/A</v>
      </c>
      <c r="F1960" s="121" t="e">
        <f>VLOOKUP(B1960,'LISTA 12'!$A$2:$G$30100,7,0)</f>
        <v>#N/A</v>
      </c>
      <c r="G1960" s="254" t="e">
        <f>VLOOKUP(H1960,'lista 3'!$A$1:$C$31467,3,0)</f>
        <v>#N/A</v>
      </c>
      <c r="H1960" s="134"/>
      <c r="I1960" s="136"/>
      <c r="J1960" s="135"/>
      <c r="K1960" s="22"/>
    </row>
    <row r="1961" spans="1:11">
      <c r="A1961" s="241" t="e">
        <f>VLOOKUP(B1961,'lista 1'!$A$2:$E$30100,4,0)</f>
        <v>#N/A</v>
      </c>
      <c r="B1961" s="123"/>
      <c r="C1961" s="133" t="e">
        <f>VLOOKUP(B1961,'lista 1'!$A$2:$E$31000,5,0)</f>
        <v>#N/A</v>
      </c>
      <c r="D1961" s="167" t="e">
        <f>VLOOKUP(E13761,'lista obszary'!A:B,2,0)</f>
        <v>#N/A</v>
      </c>
      <c r="E1961" s="128" t="e">
        <f>VLOOKUP(B1961,'LISTA 12'!$A$2:$G$301400,5,0)</f>
        <v>#N/A</v>
      </c>
      <c r="F1961" s="121" t="e">
        <f>VLOOKUP(B1961,'LISTA 12'!$A$2:$G$30100,7,0)</f>
        <v>#N/A</v>
      </c>
      <c r="G1961" s="254" t="e">
        <f>VLOOKUP(H1961,'lista 3'!$A$1:$C$31467,3,0)</f>
        <v>#N/A</v>
      </c>
      <c r="H1961" s="134"/>
      <c r="I1961" s="136"/>
      <c r="J1961" s="135"/>
      <c r="K1961" s="22"/>
    </row>
    <row r="1962" spans="1:11">
      <c r="A1962" s="241" t="e">
        <f>VLOOKUP(B1962,'lista 1'!$A$2:$E$30100,4,0)</f>
        <v>#N/A</v>
      </c>
      <c r="B1962" s="123"/>
      <c r="C1962" s="133" t="e">
        <f>VLOOKUP(B1962,'lista 1'!$A$2:$E$31000,5,0)</f>
        <v>#N/A</v>
      </c>
      <c r="D1962" s="167" t="e">
        <f>VLOOKUP(E13762,'lista obszary'!A:B,2,0)</f>
        <v>#N/A</v>
      </c>
      <c r="E1962" s="128" t="e">
        <f>VLOOKUP(B1962,'LISTA 12'!$A$2:$G$301400,5,0)</f>
        <v>#N/A</v>
      </c>
      <c r="F1962" s="121" t="e">
        <f>VLOOKUP(B1962,'LISTA 12'!$A$2:$G$30100,7,0)</f>
        <v>#N/A</v>
      </c>
      <c r="G1962" s="254" t="e">
        <f>VLOOKUP(H1962,'lista 3'!$A$1:$C$31467,3,0)</f>
        <v>#N/A</v>
      </c>
      <c r="H1962" s="134"/>
      <c r="I1962" s="136"/>
      <c r="J1962" s="135"/>
      <c r="K1962" s="22"/>
    </row>
    <row r="1963" spans="1:11">
      <c r="A1963" s="241" t="e">
        <f>VLOOKUP(B1963,'lista 1'!$A$2:$E$30100,4,0)</f>
        <v>#N/A</v>
      </c>
      <c r="B1963" s="123"/>
      <c r="C1963" s="133" t="e">
        <f>VLOOKUP(B1963,'lista 1'!$A$2:$E$31000,5,0)</f>
        <v>#N/A</v>
      </c>
      <c r="D1963" s="167" t="e">
        <f>VLOOKUP(E13763,'lista obszary'!A:B,2,0)</f>
        <v>#N/A</v>
      </c>
      <c r="E1963" s="128" t="e">
        <f>VLOOKUP(B1963,'LISTA 12'!$A$2:$G$301400,5,0)</f>
        <v>#N/A</v>
      </c>
      <c r="F1963" s="121" t="e">
        <f>VLOOKUP(B1963,'LISTA 12'!$A$2:$G$30100,7,0)</f>
        <v>#N/A</v>
      </c>
      <c r="G1963" s="254" t="e">
        <f>VLOOKUP(H1963,'lista 3'!$A$1:$C$31467,3,0)</f>
        <v>#N/A</v>
      </c>
      <c r="H1963" s="134"/>
      <c r="I1963" s="136"/>
      <c r="J1963" s="135"/>
      <c r="K1963" s="22"/>
    </row>
    <row r="1964" spans="1:11">
      <c r="A1964" s="241" t="e">
        <f>VLOOKUP(B1964,'lista 1'!$A$2:$E$30100,4,0)</f>
        <v>#N/A</v>
      </c>
      <c r="B1964" s="123"/>
      <c r="C1964" s="133" t="e">
        <f>VLOOKUP(B1964,'lista 1'!$A$2:$E$31000,5,0)</f>
        <v>#N/A</v>
      </c>
      <c r="D1964" s="167" t="e">
        <f>VLOOKUP(E13764,'lista obszary'!A:B,2,0)</f>
        <v>#N/A</v>
      </c>
      <c r="E1964" s="128" t="e">
        <f>VLOOKUP(B1964,'LISTA 12'!$A$2:$G$301400,5,0)</f>
        <v>#N/A</v>
      </c>
      <c r="F1964" s="121" t="e">
        <f>VLOOKUP(B1964,'LISTA 12'!$A$2:$G$30100,7,0)</f>
        <v>#N/A</v>
      </c>
      <c r="G1964" s="254" t="e">
        <f>VLOOKUP(H1964,'lista 3'!$A$1:$C$31467,3,0)</f>
        <v>#N/A</v>
      </c>
      <c r="H1964" s="134"/>
      <c r="I1964" s="136"/>
      <c r="J1964" s="135"/>
      <c r="K1964" s="22"/>
    </row>
    <row r="1965" spans="1:11">
      <c r="A1965" s="241" t="e">
        <f>VLOOKUP(B1965,'lista 1'!$A$2:$E$30100,4,0)</f>
        <v>#N/A</v>
      </c>
      <c r="B1965" s="123"/>
      <c r="C1965" s="133" t="e">
        <f>VLOOKUP(B1965,'lista 1'!$A$2:$E$31000,5,0)</f>
        <v>#N/A</v>
      </c>
      <c r="D1965" s="167" t="e">
        <f>VLOOKUP(E13765,'lista obszary'!A:B,2,0)</f>
        <v>#N/A</v>
      </c>
      <c r="E1965" s="128" t="e">
        <f>VLOOKUP(B1965,'LISTA 12'!$A$2:$G$301400,5,0)</f>
        <v>#N/A</v>
      </c>
      <c r="F1965" s="121" t="e">
        <f>VLOOKUP(B1965,'LISTA 12'!$A$2:$G$30100,7,0)</f>
        <v>#N/A</v>
      </c>
      <c r="G1965" s="254" t="e">
        <f>VLOOKUP(H1965,'lista 3'!$A$1:$C$31467,3,0)</f>
        <v>#N/A</v>
      </c>
      <c r="H1965" s="134"/>
      <c r="I1965" s="136"/>
      <c r="J1965" s="135"/>
      <c r="K1965" s="22"/>
    </row>
    <row r="1966" spans="1:11">
      <c r="A1966" s="241" t="e">
        <f>VLOOKUP(B1966,'lista 1'!$A$2:$E$30100,4,0)</f>
        <v>#N/A</v>
      </c>
      <c r="B1966" s="123"/>
      <c r="C1966" s="133" t="e">
        <f>VLOOKUP(B1966,'lista 1'!$A$2:$E$31000,5,0)</f>
        <v>#N/A</v>
      </c>
      <c r="D1966" s="167" t="e">
        <f>VLOOKUP(E13766,'lista obszary'!A:B,2,0)</f>
        <v>#N/A</v>
      </c>
      <c r="E1966" s="128" t="e">
        <f>VLOOKUP(B1966,'LISTA 12'!$A$2:$G$301400,5,0)</f>
        <v>#N/A</v>
      </c>
      <c r="F1966" s="121" t="e">
        <f>VLOOKUP(B1966,'LISTA 12'!$A$2:$G$30100,7,0)</f>
        <v>#N/A</v>
      </c>
      <c r="G1966" s="254" t="e">
        <f>VLOOKUP(H1966,'lista 3'!$A$1:$C$31467,3,0)</f>
        <v>#N/A</v>
      </c>
      <c r="H1966" s="134"/>
      <c r="I1966" s="136"/>
      <c r="J1966" s="135"/>
      <c r="K1966" s="22"/>
    </row>
    <row r="1967" spans="1:11">
      <c r="A1967" s="241" t="e">
        <f>VLOOKUP(B1967,'lista 1'!$A$2:$E$30100,4,0)</f>
        <v>#N/A</v>
      </c>
      <c r="B1967" s="123"/>
      <c r="C1967" s="133" t="e">
        <f>VLOOKUP(B1967,'lista 1'!$A$2:$E$31000,5,0)</f>
        <v>#N/A</v>
      </c>
      <c r="D1967" s="167" t="e">
        <f>VLOOKUP(E13767,'lista obszary'!A:B,2,0)</f>
        <v>#N/A</v>
      </c>
      <c r="E1967" s="128" t="e">
        <f>VLOOKUP(B1967,'LISTA 12'!$A$2:$G$301400,5,0)</f>
        <v>#N/A</v>
      </c>
      <c r="F1967" s="121" t="e">
        <f>VLOOKUP(B1967,'LISTA 12'!$A$2:$G$30100,7,0)</f>
        <v>#N/A</v>
      </c>
      <c r="G1967" s="254" t="e">
        <f>VLOOKUP(H1967,'lista 3'!$A$1:$C$31467,3,0)</f>
        <v>#N/A</v>
      </c>
      <c r="H1967" s="134"/>
      <c r="I1967" s="136"/>
      <c r="J1967" s="135"/>
      <c r="K1967" s="22"/>
    </row>
    <row r="1968" spans="1:11">
      <c r="A1968" s="241" t="e">
        <f>VLOOKUP(B1968,'lista 1'!$A$2:$E$30100,4,0)</f>
        <v>#N/A</v>
      </c>
      <c r="B1968" s="123"/>
      <c r="C1968" s="133" t="e">
        <f>VLOOKUP(B1968,'lista 1'!$A$2:$E$31000,5,0)</f>
        <v>#N/A</v>
      </c>
      <c r="D1968" s="167" t="e">
        <f>VLOOKUP(E13768,'lista obszary'!A:B,2,0)</f>
        <v>#N/A</v>
      </c>
      <c r="E1968" s="128" t="e">
        <f>VLOOKUP(B1968,'LISTA 12'!$A$2:$G$301400,5,0)</f>
        <v>#N/A</v>
      </c>
      <c r="F1968" s="121" t="e">
        <f>VLOOKUP(B1968,'LISTA 12'!$A$2:$G$30100,7,0)</f>
        <v>#N/A</v>
      </c>
      <c r="G1968" s="254" t="e">
        <f>VLOOKUP(H1968,'lista 3'!$A$1:$C$31467,3,0)</f>
        <v>#N/A</v>
      </c>
      <c r="H1968" s="134"/>
      <c r="I1968" s="136"/>
      <c r="J1968" s="135"/>
      <c r="K1968" s="22"/>
    </row>
    <row r="1969" spans="1:11">
      <c r="A1969" s="241" t="e">
        <f>VLOOKUP(B1969,'lista 1'!$A$2:$E$30100,4,0)</f>
        <v>#N/A</v>
      </c>
      <c r="B1969" s="123"/>
      <c r="C1969" s="133" t="e">
        <f>VLOOKUP(B1969,'lista 1'!$A$2:$E$31000,5,0)</f>
        <v>#N/A</v>
      </c>
      <c r="D1969" s="167" t="e">
        <f>VLOOKUP(E13769,'lista obszary'!A:B,2,0)</f>
        <v>#N/A</v>
      </c>
      <c r="E1969" s="128" t="e">
        <f>VLOOKUP(B1969,'LISTA 12'!$A$2:$G$301400,5,0)</f>
        <v>#N/A</v>
      </c>
      <c r="F1969" s="121" t="e">
        <f>VLOOKUP(B1969,'LISTA 12'!$A$2:$G$30100,7,0)</f>
        <v>#N/A</v>
      </c>
      <c r="G1969" s="254" t="e">
        <f>VLOOKUP(H1969,'lista 3'!$A$1:$C$31467,3,0)</f>
        <v>#N/A</v>
      </c>
      <c r="H1969" s="134"/>
      <c r="I1969" s="136"/>
      <c r="J1969" s="135"/>
      <c r="K1969" s="22"/>
    </row>
    <row r="1970" spans="1:11">
      <c r="A1970" s="241" t="e">
        <f>VLOOKUP(B1970,'lista 1'!$A$2:$E$30100,4,0)</f>
        <v>#N/A</v>
      </c>
      <c r="B1970" s="123"/>
      <c r="C1970" s="133" t="e">
        <f>VLOOKUP(B1970,'lista 1'!$A$2:$E$31000,5,0)</f>
        <v>#N/A</v>
      </c>
      <c r="D1970" s="167" t="e">
        <f>VLOOKUP(E13770,'lista obszary'!A:B,2,0)</f>
        <v>#N/A</v>
      </c>
      <c r="E1970" s="128" t="e">
        <f>VLOOKUP(B1970,'LISTA 12'!$A$2:$G$301400,5,0)</f>
        <v>#N/A</v>
      </c>
      <c r="F1970" s="121" t="e">
        <f>VLOOKUP(B1970,'LISTA 12'!$A$2:$G$30100,7,0)</f>
        <v>#N/A</v>
      </c>
      <c r="G1970" s="254" t="e">
        <f>VLOOKUP(H1970,'lista 3'!$A$1:$C$31467,3,0)</f>
        <v>#N/A</v>
      </c>
      <c r="H1970" s="134"/>
      <c r="I1970" s="136"/>
      <c r="J1970" s="135"/>
      <c r="K1970" s="22"/>
    </row>
    <row r="1971" spans="1:11">
      <c r="A1971" s="241" t="e">
        <f>VLOOKUP(B1971,'lista 1'!$A$2:$E$30100,4,0)</f>
        <v>#N/A</v>
      </c>
      <c r="B1971" s="123"/>
      <c r="C1971" s="133" t="e">
        <f>VLOOKUP(B1971,'lista 1'!$A$2:$E$31000,5,0)</f>
        <v>#N/A</v>
      </c>
      <c r="D1971" s="167" t="e">
        <f>VLOOKUP(E13771,'lista obszary'!A:B,2,0)</f>
        <v>#N/A</v>
      </c>
      <c r="E1971" s="128" t="e">
        <f>VLOOKUP(B1971,'LISTA 12'!$A$2:$G$301400,5,0)</f>
        <v>#N/A</v>
      </c>
      <c r="F1971" s="121" t="e">
        <f>VLOOKUP(B1971,'LISTA 12'!$A$2:$G$30100,7,0)</f>
        <v>#N/A</v>
      </c>
      <c r="G1971" s="254" t="e">
        <f>VLOOKUP(H1971,'lista 3'!$A$1:$C$31467,3,0)</f>
        <v>#N/A</v>
      </c>
      <c r="H1971" s="134"/>
      <c r="I1971" s="136"/>
      <c r="J1971" s="135"/>
      <c r="K1971" s="22"/>
    </row>
    <row r="1972" spans="1:11">
      <c r="A1972" s="241" t="e">
        <f>VLOOKUP(B1972,'lista 1'!$A$2:$E$30100,4,0)</f>
        <v>#N/A</v>
      </c>
      <c r="B1972" s="123"/>
      <c r="C1972" s="133" t="e">
        <f>VLOOKUP(B1972,'lista 1'!$A$2:$E$31000,5,0)</f>
        <v>#N/A</v>
      </c>
      <c r="D1972" s="167" t="e">
        <f>VLOOKUP(E13772,'lista obszary'!A:B,2,0)</f>
        <v>#N/A</v>
      </c>
      <c r="E1972" s="128" t="e">
        <f>VLOOKUP(B1972,'LISTA 12'!$A$2:$G$301400,5,0)</f>
        <v>#N/A</v>
      </c>
      <c r="F1972" s="121" t="e">
        <f>VLOOKUP(B1972,'LISTA 12'!$A$2:$G$30100,7,0)</f>
        <v>#N/A</v>
      </c>
      <c r="G1972" s="254" t="e">
        <f>VLOOKUP(H1972,'lista 3'!$A$1:$C$31467,3,0)</f>
        <v>#N/A</v>
      </c>
      <c r="H1972" s="134"/>
      <c r="I1972" s="136"/>
      <c r="J1972" s="135"/>
      <c r="K1972" s="22"/>
    </row>
    <row r="1973" spans="1:11">
      <c r="A1973" s="241" t="e">
        <f>VLOOKUP(B1973,'lista 1'!$A$2:$E$30100,4,0)</f>
        <v>#N/A</v>
      </c>
      <c r="B1973" s="123"/>
      <c r="C1973" s="133" t="e">
        <f>VLOOKUP(B1973,'lista 1'!$A$2:$E$31000,5,0)</f>
        <v>#N/A</v>
      </c>
      <c r="D1973" s="167" t="e">
        <f>VLOOKUP(E13773,'lista obszary'!A:B,2,0)</f>
        <v>#N/A</v>
      </c>
      <c r="E1973" s="128" t="e">
        <f>VLOOKUP(B1973,'LISTA 12'!$A$2:$G$301400,5,0)</f>
        <v>#N/A</v>
      </c>
      <c r="F1973" s="121" t="e">
        <f>VLOOKUP(B1973,'LISTA 12'!$A$2:$G$30100,7,0)</f>
        <v>#N/A</v>
      </c>
      <c r="G1973" s="254" t="e">
        <f>VLOOKUP(H1973,'lista 3'!$A$1:$C$31467,3,0)</f>
        <v>#N/A</v>
      </c>
      <c r="H1973" s="134"/>
      <c r="I1973" s="136"/>
      <c r="J1973" s="135"/>
      <c r="K1973" s="22"/>
    </row>
    <row r="1974" spans="1:11">
      <c r="A1974" s="241" t="e">
        <f>VLOOKUP(B1974,'lista 1'!$A$2:$E$30100,4,0)</f>
        <v>#N/A</v>
      </c>
      <c r="B1974" s="123"/>
      <c r="C1974" s="133" t="e">
        <f>VLOOKUP(B1974,'lista 1'!$A$2:$E$31000,5,0)</f>
        <v>#N/A</v>
      </c>
      <c r="D1974" s="167" t="e">
        <f>VLOOKUP(E13774,'lista obszary'!A:B,2,0)</f>
        <v>#N/A</v>
      </c>
      <c r="E1974" s="128" t="e">
        <f>VLOOKUP(B1974,'LISTA 12'!$A$2:$G$301400,5,0)</f>
        <v>#N/A</v>
      </c>
      <c r="F1974" s="121" t="e">
        <f>VLOOKUP(B1974,'LISTA 12'!$A$2:$G$30100,7,0)</f>
        <v>#N/A</v>
      </c>
      <c r="G1974" s="254" t="e">
        <f>VLOOKUP(H1974,'lista 3'!$A$1:$C$31467,3,0)</f>
        <v>#N/A</v>
      </c>
      <c r="H1974" s="134"/>
      <c r="I1974" s="136"/>
      <c r="J1974" s="135"/>
      <c r="K1974" s="22"/>
    </row>
    <row r="1975" spans="1:11">
      <c r="A1975" s="241" t="e">
        <f>VLOOKUP(B1975,'lista 1'!$A$2:$E$30100,4,0)</f>
        <v>#N/A</v>
      </c>
      <c r="B1975" s="123"/>
      <c r="C1975" s="133" t="e">
        <f>VLOOKUP(B1975,'lista 1'!$A$2:$E$31000,5,0)</f>
        <v>#N/A</v>
      </c>
      <c r="D1975" s="167" t="e">
        <f>VLOOKUP(E13775,'lista obszary'!A:B,2,0)</f>
        <v>#N/A</v>
      </c>
      <c r="E1975" s="128" t="e">
        <f>VLOOKUP(B1975,'LISTA 12'!$A$2:$G$301400,5,0)</f>
        <v>#N/A</v>
      </c>
      <c r="F1975" s="121" t="e">
        <f>VLOOKUP(B1975,'LISTA 12'!$A$2:$G$30100,7,0)</f>
        <v>#N/A</v>
      </c>
      <c r="G1975" s="254" t="e">
        <f>VLOOKUP(H1975,'lista 3'!$A$1:$C$31467,3,0)</f>
        <v>#N/A</v>
      </c>
      <c r="H1975" s="134"/>
      <c r="I1975" s="136"/>
      <c r="J1975" s="135"/>
      <c r="K1975" s="22"/>
    </row>
    <row r="1976" spans="1:11">
      <c r="A1976" s="241" t="e">
        <f>VLOOKUP(B1976,'lista 1'!$A$2:$E$30100,4,0)</f>
        <v>#N/A</v>
      </c>
      <c r="B1976" s="123"/>
      <c r="C1976" s="133" t="e">
        <f>VLOOKUP(B1976,'lista 1'!$A$2:$E$31000,5,0)</f>
        <v>#N/A</v>
      </c>
      <c r="D1976" s="167" t="e">
        <f>VLOOKUP(E13776,'lista obszary'!A:B,2,0)</f>
        <v>#N/A</v>
      </c>
      <c r="E1976" s="128" t="e">
        <f>VLOOKUP(B1976,'LISTA 12'!$A$2:$G$301400,5,0)</f>
        <v>#N/A</v>
      </c>
      <c r="F1976" s="121" t="e">
        <f>VLOOKUP(B1976,'LISTA 12'!$A$2:$G$30100,7,0)</f>
        <v>#N/A</v>
      </c>
      <c r="G1976" s="254" t="e">
        <f>VLOOKUP(H1976,'lista 3'!$A$1:$C$31467,3,0)</f>
        <v>#N/A</v>
      </c>
      <c r="H1976" s="134"/>
      <c r="I1976" s="136"/>
      <c r="J1976" s="135"/>
      <c r="K1976" s="22"/>
    </row>
    <row r="1977" spans="1:11">
      <c r="A1977" s="241" t="e">
        <f>VLOOKUP(B1977,'lista 1'!$A$2:$E$30100,4,0)</f>
        <v>#N/A</v>
      </c>
      <c r="B1977" s="123"/>
      <c r="C1977" s="133" t="e">
        <f>VLOOKUP(B1977,'lista 1'!$A$2:$E$31000,5,0)</f>
        <v>#N/A</v>
      </c>
      <c r="D1977" s="167" t="e">
        <f>VLOOKUP(E13777,'lista obszary'!A:B,2,0)</f>
        <v>#N/A</v>
      </c>
      <c r="E1977" s="128" t="e">
        <f>VLOOKUP(B1977,'LISTA 12'!$A$2:$G$301400,5,0)</f>
        <v>#N/A</v>
      </c>
      <c r="F1977" s="121" t="e">
        <f>VLOOKUP(B1977,'LISTA 12'!$A$2:$G$30100,7,0)</f>
        <v>#N/A</v>
      </c>
      <c r="G1977" s="254" t="e">
        <f>VLOOKUP(H1977,'lista 3'!$A$1:$C$31467,3,0)</f>
        <v>#N/A</v>
      </c>
      <c r="H1977" s="134"/>
      <c r="I1977" s="136"/>
      <c r="J1977" s="135"/>
      <c r="K1977" s="22"/>
    </row>
    <row r="1978" spans="1:11">
      <c r="A1978" s="241" t="e">
        <f>VLOOKUP(B1978,'lista 1'!$A$2:$E$30100,4,0)</f>
        <v>#N/A</v>
      </c>
      <c r="B1978" s="123"/>
      <c r="C1978" s="133" t="e">
        <f>VLOOKUP(B1978,'lista 1'!$A$2:$E$31000,5,0)</f>
        <v>#N/A</v>
      </c>
      <c r="D1978" s="167" t="e">
        <f>VLOOKUP(E13778,'lista obszary'!A:B,2,0)</f>
        <v>#N/A</v>
      </c>
      <c r="E1978" s="128" t="e">
        <f>VLOOKUP(B1978,'LISTA 12'!$A$2:$G$301400,5,0)</f>
        <v>#N/A</v>
      </c>
      <c r="F1978" s="121" t="e">
        <f>VLOOKUP(B1978,'LISTA 12'!$A$2:$G$30100,7,0)</f>
        <v>#N/A</v>
      </c>
      <c r="G1978" s="254" t="e">
        <f>VLOOKUP(H1978,'lista 3'!$A$1:$C$31467,3,0)</f>
        <v>#N/A</v>
      </c>
      <c r="H1978" s="134"/>
      <c r="I1978" s="136"/>
      <c r="J1978" s="135"/>
      <c r="K1978" s="22"/>
    </row>
    <row r="1979" spans="1:11">
      <c r="A1979" s="241" t="e">
        <f>VLOOKUP(B1979,'lista 1'!$A$2:$E$30100,4,0)</f>
        <v>#N/A</v>
      </c>
      <c r="B1979" s="123"/>
      <c r="C1979" s="133" t="e">
        <f>VLOOKUP(B1979,'lista 1'!$A$2:$E$31000,5,0)</f>
        <v>#N/A</v>
      </c>
      <c r="D1979" s="167" t="e">
        <f>VLOOKUP(E13779,'lista obszary'!A:B,2,0)</f>
        <v>#N/A</v>
      </c>
      <c r="E1979" s="128" t="e">
        <f>VLOOKUP(B1979,'LISTA 12'!$A$2:$G$301400,5,0)</f>
        <v>#N/A</v>
      </c>
      <c r="F1979" s="121" t="e">
        <f>VLOOKUP(B1979,'LISTA 12'!$A$2:$G$30100,7,0)</f>
        <v>#N/A</v>
      </c>
      <c r="G1979" s="254" t="e">
        <f>VLOOKUP(H1979,'lista 3'!$A$1:$C$31467,3,0)</f>
        <v>#N/A</v>
      </c>
      <c r="H1979" s="134"/>
      <c r="I1979" s="136"/>
      <c r="J1979" s="135"/>
      <c r="K1979" s="22"/>
    </row>
    <row r="1980" spans="1:11">
      <c r="A1980" s="241" t="e">
        <f>VLOOKUP(B1980,'lista 1'!$A$2:$E$30100,4,0)</f>
        <v>#N/A</v>
      </c>
      <c r="B1980" s="123"/>
      <c r="C1980" s="133" t="e">
        <f>VLOOKUP(B1980,'lista 1'!$A$2:$E$31000,5,0)</f>
        <v>#N/A</v>
      </c>
      <c r="D1980" s="167" t="e">
        <f>VLOOKUP(E13780,'lista obszary'!A:B,2,0)</f>
        <v>#N/A</v>
      </c>
      <c r="E1980" s="128" t="e">
        <f>VLOOKUP(B1980,'LISTA 12'!$A$2:$G$301400,5,0)</f>
        <v>#N/A</v>
      </c>
      <c r="F1980" s="121" t="e">
        <f>VLOOKUP(B1980,'LISTA 12'!$A$2:$G$30100,7,0)</f>
        <v>#N/A</v>
      </c>
      <c r="G1980" s="254" t="e">
        <f>VLOOKUP(H1980,'lista 3'!$A$1:$C$31467,3,0)</f>
        <v>#N/A</v>
      </c>
      <c r="H1980" s="134"/>
      <c r="I1980" s="136"/>
      <c r="J1980" s="135"/>
      <c r="K1980" s="22"/>
    </row>
    <row r="1981" spans="1:11">
      <c r="A1981" s="241" t="e">
        <f>VLOOKUP(B1981,'lista 1'!$A$2:$E$30100,4,0)</f>
        <v>#N/A</v>
      </c>
      <c r="B1981" s="123"/>
      <c r="C1981" s="133" t="e">
        <f>VLOOKUP(B1981,'lista 1'!$A$2:$E$31000,5,0)</f>
        <v>#N/A</v>
      </c>
      <c r="D1981" s="167" t="e">
        <f>VLOOKUP(E13781,'lista obszary'!A:B,2,0)</f>
        <v>#N/A</v>
      </c>
      <c r="E1981" s="128" t="e">
        <f>VLOOKUP(B1981,'LISTA 12'!$A$2:$G$301400,5,0)</f>
        <v>#N/A</v>
      </c>
      <c r="F1981" s="121" t="e">
        <f>VLOOKUP(B1981,'LISTA 12'!$A$2:$G$30100,7,0)</f>
        <v>#N/A</v>
      </c>
      <c r="G1981" s="254" t="e">
        <f>VLOOKUP(H1981,'lista 3'!$A$1:$C$31467,3,0)</f>
        <v>#N/A</v>
      </c>
      <c r="H1981" s="134"/>
      <c r="I1981" s="136"/>
      <c r="J1981" s="135"/>
      <c r="K1981" s="22"/>
    </row>
    <row r="1982" spans="1:11">
      <c r="A1982" s="241" t="e">
        <f>VLOOKUP(B1982,'lista 1'!$A$2:$E$30100,4,0)</f>
        <v>#N/A</v>
      </c>
      <c r="B1982" s="123"/>
      <c r="C1982" s="133" t="e">
        <f>VLOOKUP(B1982,'lista 1'!$A$2:$E$31000,5,0)</f>
        <v>#N/A</v>
      </c>
      <c r="D1982" s="167" t="e">
        <f>VLOOKUP(E13782,'lista obszary'!A:B,2,0)</f>
        <v>#N/A</v>
      </c>
      <c r="E1982" s="128" t="e">
        <f>VLOOKUP(B1982,'LISTA 12'!$A$2:$G$301400,5,0)</f>
        <v>#N/A</v>
      </c>
      <c r="F1982" s="121" t="e">
        <f>VLOOKUP(B1982,'LISTA 12'!$A$2:$G$30100,7,0)</f>
        <v>#N/A</v>
      </c>
      <c r="G1982" s="254" t="e">
        <f>VLOOKUP(H1982,'lista 3'!$A$1:$C$31467,3,0)</f>
        <v>#N/A</v>
      </c>
      <c r="H1982" s="134"/>
      <c r="I1982" s="136"/>
      <c r="J1982" s="135"/>
      <c r="K1982" s="22"/>
    </row>
    <row r="1983" spans="1:11">
      <c r="A1983" s="241" t="e">
        <f>VLOOKUP(B1983,'lista 1'!$A$2:$E$30100,4,0)</f>
        <v>#N/A</v>
      </c>
      <c r="B1983" s="123"/>
      <c r="C1983" s="133" t="e">
        <f>VLOOKUP(B1983,'lista 1'!$A$2:$E$31000,5,0)</f>
        <v>#N/A</v>
      </c>
      <c r="D1983" s="167" t="e">
        <f>VLOOKUP(E13783,'lista obszary'!A:B,2,0)</f>
        <v>#N/A</v>
      </c>
      <c r="E1983" s="128" t="e">
        <f>VLOOKUP(B1983,'LISTA 12'!$A$2:$G$301400,5,0)</f>
        <v>#N/A</v>
      </c>
      <c r="F1983" s="121" t="e">
        <f>VLOOKUP(B1983,'LISTA 12'!$A$2:$G$30100,7,0)</f>
        <v>#N/A</v>
      </c>
      <c r="G1983" s="254" t="e">
        <f>VLOOKUP(H1983,'lista 3'!$A$1:$C$31467,3,0)</f>
        <v>#N/A</v>
      </c>
      <c r="H1983" s="134"/>
      <c r="I1983" s="136"/>
      <c r="J1983" s="135"/>
      <c r="K1983" s="22"/>
    </row>
    <row r="1984" spans="1:11">
      <c r="A1984" s="241" t="e">
        <f>VLOOKUP(B1984,'lista 1'!$A$2:$E$30100,4,0)</f>
        <v>#N/A</v>
      </c>
      <c r="B1984" s="123"/>
      <c r="C1984" s="133" t="e">
        <f>VLOOKUP(B1984,'lista 1'!$A$2:$E$31000,5,0)</f>
        <v>#N/A</v>
      </c>
      <c r="D1984" s="167" t="e">
        <f>VLOOKUP(E13784,'lista obszary'!A:B,2,0)</f>
        <v>#N/A</v>
      </c>
      <c r="E1984" s="128" t="e">
        <f>VLOOKUP(B1984,'LISTA 12'!$A$2:$G$301400,5,0)</f>
        <v>#N/A</v>
      </c>
      <c r="F1984" s="121" t="e">
        <f>VLOOKUP(B1984,'LISTA 12'!$A$2:$G$30100,7,0)</f>
        <v>#N/A</v>
      </c>
      <c r="G1984" s="254" t="e">
        <f>VLOOKUP(H1984,'lista 3'!$A$1:$C$31467,3,0)</f>
        <v>#N/A</v>
      </c>
      <c r="H1984" s="134"/>
      <c r="I1984" s="136"/>
      <c r="J1984" s="135"/>
      <c r="K1984" s="22"/>
    </row>
    <row r="1985" spans="1:11">
      <c r="A1985" s="241" t="e">
        <f>VLOOKUP(B1985,'lista 1'!$A$2:$E$30100,4,0)</f>
        <v>#N/A</v>
      </c>
      <c r="B1985" s="123"/>
      <c r="C1985" s="133" t="e">
        <f>VLOOKUP(B1985,'lista 1'!$A$2:$E$31000,5,0)</f>
        <v>#N/A</v>
      </c>
      <c r="D1985" s="167" t="e">
        <f>VLOOKUP(E13785,'lista obszary'!A:B,2,0)</f>
        <v>#N/A</v>
      </c>
      <c r="E1985" s="128" t="e">
        <f>VLOOKUP(B1985,'LISTA 12'!$A$2:$G$301400,5,0)</f>
        <v>#N/A</v>
      </c>
      <c r="F1985" s="121" t="e">
        <f>VLOOKUP(B1985,'LISTA 12'!$A$2:$G$30100,7,0)</f>
        <v>#N/A</v>
      </c>
      <c r="G1985" s="254" t="e">
        <f>VLOOKUP(H1985,'lista 3'!$A$1:$C$31467,3,0)</f>
        <v>#N/A</v>
      </c>
      <c r="H1985" s="134"/>
      <c r="I1985" s="136"/>
      <c r="J1985" s="135"/>
      <c r="K1985" s="22"/>
    </row>
    <row r="1986" spans="1:11">
      <c r="A1986" s="241" t="e">
        <f>VLOOKUP(B1986,'lista 1'!$A$2:$E$30100,4,0)</f>
        <v>#N/A</v>
      </c>
      <c r="B1986" s="123"/>
      <c r="C1986" s="133" t="e">
        <f>VLOOKUP(B1986,'lista 1'!$A$2:$E$31000,5,0)</f>
        <v>#N/A</v>
      </c>
      <c r="D1986" s="167" t="e">
        <f>VLOOKUP(E13786,'lista obszary'!A:B,2,0)</f>
        <v>#N/A</v>
      </c>
      <c r="E1986" s="128" t="e">
        <f>VLOOKUP(B1986,'LISTA 12'!$A$2:$G$301400,5,0)</f>
        <v>#N/A</v>
      </c>
      <c r="F1986" s="121" t="e">
        <f>VLOOKUP(B1986,'LISTA 12'!$A$2:$G$30100,7,0)</f>
        <v>#N/A</v>
      </c>
      <c r="G1986" s="254" t="e">
        <f>VLOOKUP(H1986,'lista 3'!$A$1:$C$31467,3,0)</f>
        <v>#N/A</v>
      </c>
      <c r="H1986" s="134"/>
      <c r="I1986" s="136"/>
      <c r="J1986" s="135"/>
      <c r="K1986" s="22"/>
    </row>
    <row r="1987" spans="1:11">
      <c r="A1987" s="241" t="e">
        <f>VLOOKUP(B1987,'lista 1'!$A$2:$E$30100,4,0)</f>
        <v>#N/A</v>
      </c>
      <c r="B1987" s="123"/>
      <c r="C1987" s="133" t="e">
        <f>VLOOKUP(B1987,'lista 1'!$A$2:$E$31000,5,0)</f>
        <v>#N/A</v>
      </c>
      <c r="D1987" s="167" t="e">
        <f>VLOOKUP(E13787,'lista obszary'!A:B,2,0)</f>
        <v>#N/A</v>
      </c>
      <c r="E1987" s="128" t="e">
        <f>VLOOKUP(B1987,'LISTA 12'!$A$2:$G$301400,5,0)</f>
        <v>#N/A</v>
      </c>
      <c r="F1987" s="121" t="e">
        <f>VLOOKUP(B1987,'LISTA 12'!$A$2:$G$30100,7,0)</f>
        <v>#N/A</v>
      </c>
      <c r="G1987" s="254" t="e">
        <f>VLOOKUP(H1987,'lista 3'!$A$1:$C$31467,3,0)</f>
        <v>#N/A</v>
      </c>
      <c r="H1987" s="134"/>
      <c r="I1987" s="136"/>
      <c r="J1987" s="135"/>
      <c r="K1987" s="22"/>
    </row>
    <row r="1988" spans="1:11">
      <c r="A1988" s="241" t="e">
        <f>VLOOKUP(B1988,'lista 1'!$A$2:$E$30100,4,0)</f>
        <v>#N/A</v>
      </c>
      <c r="B1988" s="123"/>
      <c r="C1988" s="133" t="e">
        <f>VLOOKUP(B1988,'lista 1'!$A$2:$E$31000,5,0)</f>
        <v>#N/A</v>
      </c>
      <c r="D1988" s="167" t="e">
        <f>VLOOKUP(E13788,'lista obszary'!A:B,2,0)</f>
        <v>#N/A</v>
      </c>
      <c r="E1988" s="128" t="e">
        <f>VLOOKUP(B1988,'LISTA 12'!$A$2:$G$301400,5,0)</f>
        <v>#N/A</v>
      </c>
      <c r="F1988" s="121" t="e">
        <f>VLOOKUP(B1988,'LISTA 12'!$A$2:$G$30100,7,0)</f>
        <v>#N/A</v>
      </c>
      <c r="G1988" s="254" t="e">
        <f>VLOOKUP(H1988,'lista 3'!$A$1:$C$31467,3,0)</f>
        <v>#N/A</v>
      </c>
      <c r="H1988" s="134"/>
      <c r="I1988" s="136"/>
      <c r="J1988" s="135"/>
      <c r="K1988" s="22"/>
    </row>
    <row r="1989" spans="1:11">
      <c r="A1989" s="241" t="e">
        <f>VLOOKUP(B1989,'lista 1'!$A$2:$E$30100,4,0)</f>
        <v>#N/A</v>
      </c>
      <c r="B1989" s="123"/>
      <c r="C1989" s="133" t="e">
        <f>VLOOKUP(B1989,'lista 1'!$A$2:$E$31000,5,0)</f>
        <v>#N/A</v>
      </c>
      <c r="D1989" s="167" t="e">
        <f>VLOOKUP(E13789,'lista obszary'!A:B,2,0)</f>
        <v>#N/A</v>
      </c>
      <c r="E1989" s="128" t="e">
        <f>VLOOKUP(B1989,'LISTA 12'!$A$2:$G$301400,5,0)</f>
        <v>#N/A</v>
      </c>
      <c r="F1989" s="121" t="e">
        <f>VLOOKUP(B1989,'LISTA 12'!$A$2:$G$30100,7,0)</f>
        <v>#N/A</v>
      </c>
      <c r="G1989" s="254" t="e">
        <f>VLOOKUP(H1989,'lista 3'!$A$1:$C$31467,3,0)</f>
        <v>#N/A</v>
      </c>
      <c r="H1989" s="134"/>
      <c r="I1989" s="136"/>
      <c r="J1989" s="135"/>
      <c r="K1989" s="22"/>
    </row>
    <row r="1990" spans="1:11">
      <c r="A1990" s="241" t="e">
        <f>VLOOKUP(B1990,'lista 1'!$A$2:$E$30100,4,0)</f>
        <v>#N/A</v>
      </c>
      <c r="B1990" s="123"/>
      <c r="C1990" s="133" t="e">
        <f>VLOOKUP(B1990,'lista 1'!$A$2:$E$31000,5,0)</f>
        <v>#N/A</v>
      </c>
      <c r="D1990" s="167" t="e">
        <f>VLOOKUP(E13790,'lista obszary'!A:B,2,0)</f>
        <v>#N/A</v>
      </c>
      <c r="E1990" s="128" t="e">
        <f>VLOOKUP(B1990,'LISTA 12'!$A$2:$G$301400,5,0)</f>
        <v>#N/A</v>
      </c>
      <c r="F1990" s="121" t="e">
        <f>VLOOKUP(B1990,'LISTA 12'!$A$2:$G$30100,7,0)</f>
        <v>#N/A</v>
      </c>
      <c r="G1990" s="254" t="e">
        <f>VLOOKUP(H1990,'lista 3'!$A$1:$C$31467,3,0)</f>
        <v>#N/A</v>
      </c>
      <c r="H1990" s="134"/>
      <c r="I1990" s="136"/>
      <c r="J1990" s="135"/>
      <c r="K1990" s="22"/>
    </row>
    <row r="1991" spans="1:11">
      <c r="A1991" s="241" t="e">
        <f>VLOOKUP(B1991,'lista 1'!$A$2:$E$30100,4,0)</f>
        <v>#N/A</v>
      </c>
      <c r="B1991" s="123"/>
      <c r="C1991" s="133" t="e">
        <f>VLOOKUP(B1991,'lista 1'!$A$2:$E$31000,5,0)</f>
        <v>#N/A</v>
      </c>
      <c r="D1991" s="167" t="e">
        <f>VLOOKUP(E13791,'lista obszary'!A:B,2,0)</f>
        <v>#N/A</v>
      </c>
      <c r="E1991" s="128" t="e">
        <f>VLOOKUP(B1991,'LISTA 12'!$A$2:$G$301400,5,0)</f>
        <v>#N/A</v>
      </c>
      <c r="F1991" s="121" t="e">
        <f>VLOOKUP(B1991,'LISTA 12'!$A$2:$G$30100,7,0)</f>
        <v>#N/A</v>
      </c>
      <c r="G1991" s="254" t="e">
        <f>VLOOKUP(H1991,'lista 3'!$A$1:$C$31467,3,0)</f>
        <v>#N/A</v>
      </c>
      <c r="H1991" s="134"/>
      <c r="I1991" s="136"/>
      <c r="J1991" s="135"/>
      <c r="K1991" s="22"/>
    </row>
    <row r="1992" spans="1:11">
      <c r="A1992" s="241" t="e">
        <f>VLOOKUP(B1992,'lista 1'!$A$2:$E$30100,4,0)</f>
        <v>#N/A</v>
      </c>
      <c r="B1992" s="123"/>
      <c r="C1992" s="133" t="e">
        <f>VLOOKUP(B1992,'lista 1'!$A$2:$E$31000,5,0)</f>
        <v>#N/A</v>
      </c>
      <c r="D1992" s="167" t="e">
        <f>VLOOKUP(E13792,'lista obszary'!A:B,2,0)</f>
        <v>#N/A</v>
      </c>
      <c r="E1992" s="128" t="e">
        <f>VLOOKUP(B1992,'LISTA 12'!$A$2:$G$301400,5,0)</f>
        <v>#N/A</v>
      </c>
      <c r="F1992" s="121" t="e">
        <f>VLOOKUP(B1992,'LISTA 12'!$A$2:$G$30100,7,0)</f>
        <v>#N/A</v>
      </c>
      <c r="G1992" s="254" t="e">
        <f>VLOOKUP(H1992,'lista 3'!$A$1:$C$31467,3,0)</f>
        <v>#N/A</v>
      </c>
      <c r="H1992" s="134"/>
      <c r="I1992" s="136"/>
      <c r="J1992" s="135"/>
      <c r="K1992" s="22"/>
    </row>
    <row r="1993" spans="1:11">
      <c r="A1993" s="241" t="e">
        <f>VLOOKUP(B1993,'lista 1'!$A$2:$E$30100,4,0)</f>
        <v>#N/A</v>
      </c>
      <c r="B1993" s="123"/>
      <c r="C1993" s="133" t="e">
        <f>VLOOKUP(B1993,'lista 1'!$A$2:$E$31000,5,0)</f>
        <v>#N/A</v>
      </c>
      <c r="D1993" s="167" t="e">
        <f>VLOOKUP(E13793,'lista obszary'!A:B,2,0)</f>
        <v>#N/A</v>
      </c>
      <c r="E1993" s="128" t="e">
        <f>VLOOKUP(B1993,'LISTA 12'!$A$2:$G$301400,5,0)</f>
        <v>#N/A</v>
      </c>
      <c r="F1993" s="121" t="e">
        <f>VLOOKUP(B1993,'LISTA 12'!$A$2:$G$30100,7,0)</f>
        <v>#N/A</v>
      </c>
      <c r="G1993" s="254" t="e">
        <f>VLOOKUP(H1993,'lista 3'!$A$1:$C$31467,3,0)</f>
        <v>#N/A</v>
      </c>
      <c r="H1993" s="134"/>
      <c r="I1993" s="136"/>
      <c r="J1993" s="135"/>
      <c r="K1993" s="22"/>
    </row>
    <row r="1994" spans="1:11">
      <c r="A1994" s="241" t="e">
        <f>VLOOKUP(B1994,'lista 1'!$A$2:$E$30100,4,0)</f>
        <v>#N/A</v>
      </c>
      <c r="B1994" s="123"/>
      <c r="C1994" s="133" t="e">
        <f>VLOOKUP(B1994,'lista 1'!$A$2:$E$31000,5,0)</f>
        <v>#N/A</v>
      </c>
      <c r="D1994" s="167" t="e">
        <f>VLOOKUP(E13794,'lista obszary'!A:B,2,0)</f>
        <v>#N/A</v>
      </c>
      <c r="E1994" s="128" t="e">
        <f>VLOOKUP(B1994,'LISTA 12'!$A$2:$G$301400,5,0)</f>
        <v>#N/A</v>
      </c>
      <c r="F1994" s="121" t="e">
        <f>VLOOKUP(B1994,'LISTA 12'!$A$2:$G$30100,7,0)</f>
        <v>#N/A</v>
      </c>
      <c r="G1994" s="254" t="e">
        <f>VLOOKUP(H1994,'lista 3'!$A$1:$C$31467,3,0)</f>
        <v>#N/A</v>
      </c>
      <c r="H1994" s="134"/>
      <c r="I1994" s="136"/>
      <c r="J1994" s="135"/>
      <c r="K1994" s="22"/>
    </row>
    <row r="1995" spans="1:11">
      <c r="A1995" s="241" t="e">
        <f>VLOOKUP(B1995,'lista 1'!$A$2:$E$30100,4,0)</f>
        <v>#N/A</v>
      </c>
      <c r="B1995" s="123"/>
      <c r="C1995" s="133" t="e">
        <f>VLOOKUP(B1995,'lista 1'!$A$2:$E$31000,5,0)</f>
        <v>#N/A</v>
      </c>
      <c r="D1995" s="167" t="e">
        <f>VLOOKUP(E13795,'lista obszary'!A:B,2,0)</f>
        <v>#N/A</v>
      </c>
      <c r="E1995" s="128" t="e">
        <f>VLOOKUP(B1995,'LISTA 12'!$A$2:$G$301400,5,0)</f>
        <v>#N/A</v>
      </c>
      <c r="F1995" s="121" t="e">
        <f>VLOOKUP(B1995,'LISTA 12'!$A$2:$G$30100,7,0)</f>
        <v>#N/A</v>
      </c>
      <c r="G1995" s="254" t="e">
        <f>VLOOKUP(H1995,'lista 3'!$A$1:$C$31467,3,0)</f>
        <v>#N/A</v>
      </c>
      <c r="H1995" s="134"/>
      <c r="I1995" s="136"/>
      <c r="J1995" s="135"/>
      <c r="K1995" s="22"/>
    </row>
    <row r="1996" spans="1:11">
      <c r="A1996" s="241" t="e">
        <f>VLOOKUP(B1996,'lista 1'!$A$2:$E$30100,4,0)</f>
        <v>#N/A</v>
      </c>
      <c r="B1996" s="123"/>
      <c r="C1996" s="133" t="e">
        <f>VLOOKUP(B1996,'lista 1'!$A$2:$E$31000,5,0)</f>
        <v>#N/A</v>
      </c>
      <c r="D1996" s="167" t="e">
        <f>VLOOKUP(E13796,'lista obszary'!A:B,2,0)</f>
        <v>#N/A</v>
      </c>
      <c r="E1996" s="128" t="e">
        <f>VLOOKUP(B1996,'LISTA 12'!$A$2:$G$301400,5,0)</f>
        <v>#N/A</v>
      </c>
      <c r="F1996" s="121" t="e">
        <f>VLOOKUP(B1996,'LISTA 12'!$A$2:$G$30100,7,0)</f>
        <v>#N/A</v>
      </c>
      <c r="G1996" s="254" t="e">
        <f>VLOOKUP(H1996,'lista 3'!$A$1:$C$31467,3,0)</f>
        <v>#N/A</v>
      </c>
      <c r="H1996" s="134"/>
      <c r="I1996" s="136"/>
      <c r="J1996" s="135"/>
      <c r="K1996" s="22"/>
    </row>
    <row r="1997" spans="1:11">
      <c r="A1997" s="241" t="e">
        <f>VLOOKUP(B1997,'lista 1'!$A$2:$E$30100,4,0)</f>
        <v>#N/A</v>
      </c>
      <c r="B1997" s="123"/>
      <c r="C1997" s="133" t="e">
        <f>VLOOKUP(B1997,'lista 1'!$A$2:$E$31000,5,0)</f>
        <v>#N/A</v>
      </c>
      <c r="D1997" s="167" t="e">
        <f>VLOOKUP(E13797,'lista obszary'!A:B,2,0)</f>
        <v>#N/A</v>
      </c>
      <c r="E1997" s="128" t="e">
        <f>VLOOKUP(B1997,'LISTA 12'!$A$2:$G$301400,5,0)</f>
        <v>#N/A</v>
      </c>
      <c r="F1997" s="121" t="e">
        <f>VLOOKUP(B1997,'LISTA 12'!$A$2:$G$30100,7,0)</f>
        <v>#N/A</v>
      </c>
      <c r="G1997" s="254" t="e">
        <f>VLOOKUP(H1997,'lista 3'!$A$1:$C$31467,3,0)</f>
        <v>#N/A</v>
      </c>
      <c r="H1997" s="134"/>
      <c r="I1997" s="136"/>
      <c r="J1997" s="135"/>
      <c r="K1997" s="22"/>
    </row>
    <row r="1998" spans="1:11">
      <c r="A1998" s="241" t="e">
        <f>VLOOKUP(B1998,'lista 1'!$A$2:$E$30100,4,0)</f>
        <v>#N/A</v>
      </c>
      <c r="B1998" s="123"/>
      <c r="C1998" s="133" t="e">
        <f>VLOOKUP(B1998,'lista 1'!$A$2:$E$31000,5,0)</f>
        <v>#N/A</v>
      </c>
      <c r="D1998" s="167" t="e">
        <f>VLOOKUP(E13798,'lista obszary'!A:B,2,0)</f>
        <v>#N/A</v>
      </c>
      <c r="E1998" s="128" t="e">
        <f>VLOOKUP(B1998,'LISTA 12'!$A$2:$G$301400,5,0)</f>
        <v>#N/A</v>
      </c>
      <c r="F1998" s="121" t="e">
        <f>VLOOKUP(B1998,'LISTA 12'!$A$2:$G$30100,7,0)</f>
        <v>#N/A</v>
      </c>
      <c r="G1998" s="254" t="e">
        <f>VLOOKUP(H1998,'lista 3'!$A$1:$C$31467,3,0)</f>
        <v>#N/A</v>
      </c>
      <c r="H1998" s="134"/>
      <c r="I1998" s="136"/>
      <c r="J1998" s="135"/>
      <c r="K1998" s="22"/>
    </row>
    <row r="1999" spans="1:11">
      <c r="A1999" s="241" t="e">
        <f>VLOOKUP(B1999,'lista 1'!$A$2:$E$30100,4,0)</f>
        <v>#N/A</v>
      </c>
      <c r="B1999" s="123"/>
      <c r="C1999" s="133" t="e">
        <f>VLOOKUP(B1999,'lista 1'!$A$2:$E$31000,5,0)</f>
        <v>#N/A</v>
      </c>
      <c r="D1999" s="167" t="e">
        <f>VLOOKUP(E13799,'lista obszary'!A:B,2,0)</f>
        <v>#N/A</v>
      </c>
      <c r="E1999" s="128" t="e">
        <f>VLOOKUP(B1999,'LISTA 12'!$A$2:$G$301400,5,0)</f>
        <v>#N/A</v>
      </c>
      <c r="F1999" s="121" t="e">
        <f>VLOOKUP(B1999,'LISTA 12'!$A$2:$G$30100,7,0)</f>
        <v>#N/A</v>
      </c>
      <c r="G1999" s="254" t="e">
        <f>VLOOKUP(H1999,'lista 3'!$A$1:$C$31467,3,0)</f>
        <v>#N/A</v>
      </c>
      <c r="H1999" s="134"/>
      <c r="I1999" s="136"/>
      <c r="J1999" s="135"/>
      <c r="K1999" s="22"/>
    </row>
    <row r="2000" spans="1:11">
      <c r="A2000" s="241" t="e">
        <f>VLOOKUP(B2000,'lista 1'!$A$2:$E$30100,4,0)</f>
        <v>#N/A</v>
      </c>
      <c r="B2000" s="123"/>
      <c r="C2000" s="133" t="e">
        <f>VLOOKUP(B2000,'lista 1'!$A$2:$E$31000,5,0)</f>
        <v>#N/A</v>
      </c>
      <c r="D2000" s="167" t="e">
        <f>VLOOKUP(E13800,'lista obszary'!A:B,2,0)</f>
        <v>#N/A</v>
      </c>
      <c r="E2000" s="128" t="e">
        <f>VLOOKUP(B2000,'LISTA 12'!$A$2:$G$301400,5,0)</f>
        <v>#N/A</v>
      </c>
      <c r="F2000" s="121" t="e">
        <f>VLOOKUP(B2000,'LISTA 12'!$A$2:$G$30100,7,0)</f>
        <v>#N/A</v>
      </c>
      <c r="G2000" s="254" t="e">
        <f>VLOOKUP(H2000,'lista 3'!$A$1:$C$31467,3,0)</f>
        <v>#N/A</v>
      </c>
      <c r="H2000" s="134"/>
      <c r="I2000" s="136"/>
      <c r="J2000" s="135"/>
      <c r="K2000" s="22"/>
    </row>
    <row r="2001" spans="1:11">
      <c r="A2001" s="241" t="e">
        <f>VLOOKUP(B2001,'lista 1'!$A$2:$E$30100,4,0)</f>
        <v>#N/A</v>
      </c>
      <c r="B2001" s="123"/>
      <c r="C2001" s="133" t="e">
        <f>VLOOKUP(B2001,'lista 1'!$A$2:$E$31000,5,0)</f>
        <v>#N/A</v>
      </c>
      <c r="D2001" s="167" t="e">
        <f>VLOOKUP(E13801,'lista obszary'!A:B,2,0)</f>
        <v>#N/A</v>
      </c>
      <c r="E2001" s="128" t="e">
        <f>VLOOKUP(B2001,'LISTA 12'!$A$2:$G$301400,5,0)</f>
        <v>#N/A</v>
      </c>
      <c r="F2001" s="121" t="e">
        <f>VLOOKUP(B2001,'LISTA 12'!$A$2:$G$30100,7,0)</f>
        <v>#N/A</v>
      </c>
      <c r="G2001" s="254" t="e">
        <f>VLOOKUP(H2001,'lista 3'!$A$1:$C$31467,3,0)</f>
        <v>#N/A</v>
      </c>
      <c r="H2001" s="134"/>
      <c r="I2001" s="136"/>
      <c r="J2001" s="135"/>
      <c r="K2001" s="22"/>
    </row>
    <row r="2002" spans="1:11">
      <c r="A2002" s="241" t="e">
        <f>VLOOKUP(B2002,'lista 1'!$A$2:$E$30100,4,0)</f>
        <v>#N/A</v>
      </c>
      <c r="B2002" s="123"/>
      <c r="C2002" s="133" t="e">
        <f>VLOOKUP(B2002,'lista 1'!$A$2:$E$31000,5,0)</f>
        <v>#N/A</v>
      </c>
      <c r="D2002" s="167" t="e">
        <f>VLOOKUP(E13802,'lista obszary'!A:B,2,0)</f>
        <v>#N/A</v>
      </c>
      <c r="E2002" s="128" t="e">
        <f>VLOOKUP(B2002,'LISTA 12'!$A$2:$G$301400,5,0)</f>
        <v>#N/A</v>
      </c>
      <c r="F2002" s="121" t="e">
        <f>VLOOKUP(B2002,'LISTA 12'!$A$2:$G$30100,7,0)</f>
        <v>#N/A</v>
      </c>
      <c r="G2002" s="254" t="e">
        <f>VLOOKUP(H2002,'lista 3'!$A$1:$C$31467,3,0)</f>
        <v>#N/A</v>
      </c>
      <c r="H2002" s="134"/>
      <c r="I2002" s="136"/>
      <c r="J2002" s="135"/>
      <c r="K2002" s="22"/>
    </row>
    <row r="2003" spans="1:11">
      <c r="A2003" s="241" t="e">
        <f>VLOOKUP(B2003,'lista 1'!$A$2:$E$30100,4,0)</f>
        <v>#N/A</v>
      </c>
      <c r="B2003" s="123"/>
      <c r="C2003" s="133" t="e">
        <f>VLOOKUP(B2003,'lista 1'!$A$2:$E$31000,5,0)</f>
        <v>#N/A</v>
      </c>
      <c r="D2003" s="167" t="e">
        <f>VLOOKUP(E13803,'lista obszary'!A:B,2,0)</f>
        <v>#N/A</v>
      </c>
      <c r="E2003" s="128" t="e">
        <f>VLOOKUP(B2003,'LISTA 12'!$A$2:$G$301400,5,0)</f>
        <v>#N/A</v>
      </c>
      <c r="F2003" s="121" t="e">
        <f>VLOOKUP(B2003,'LISTA 12'!$A$2:$G$30100,7,0)</f>
        <v>#N/A</v>
      </c>
      <c r="G2003" s="254" t="e">
        <f>VLOOKUP(H2003,'lista 3'!$A$1:$C$31467,3,0)</f>
        <v>#N/A</v>
      </c>
      <c r="H2003" s="134"/>
      <c r="I2003" s="136"/>
      <c r="J2003" s="135"/>
      <c r="K2003" s="22"/>
    </row>
    <row r="2004" spans="1:11">
      <c r="A2004" s="241" t="e">
        <f>VLOOKUP(B2004,'lista 1'!$A$2:$E$30100,4,0)</f>
        <v>#N/A</v>
      </c>
      <c r="B2004" s="123"/>
      <c r="C2004" s="133" t="e">
        <f>VLOOKUP(B2004,'lista 1'!$A$2:$E$31000,5,0)</f>
        <v>#N/A</v>
      </c>
      <c r="D2004" s="167" t="e">
        <f>VLOOKUP(E13804,'lista obszary'!A:B,2,0)</f>
        <v>#N/A</v>
      </c>
      <c r="E2004" s="128" t="e">
        <f>VLOOKUP(B2004,'LISTA 12'!$A$2:$G$301400,5,0)</f>
        <v>#N/A</v>
      </c>
      <c r="F2004" s="121" t="e">
        <f>VLOOKUP(B2004,'LISTA 12'!$A$2:$G$30100,7,0)</f>
        <v>#N/A</v>
      </c>
      <c r="G2004" s="254" t="e">
        <f>VLOOKUP(H2004,'lista 3'!$A$1:$C$31467,3,0)</f>
        <v>#N/A</v>
      </c>
      <c r="H2004" s="134"/>
      <c r="I2004" s="136"/>
      <c r="J2004" s="135"/>
      <c r="K2004" s="22"/>
    </row>
    <row r="2005" spans="1:11">
      <c r="A2005" s="241" t="e">
        <f>VLOOKUP(B2005,'lista 1'!$A$2:$E$30100,4,0)</f>
        <v>#N/A</v>
      </c>
      <c r="B2005" s="123"/>
      <c r="C2005" s="133" t="e">
        <f>VLOOKUP(B2005,'lista 1'!$A$2:$E$31000,5,0)</f>
        <v>#N/A</v>
      </c>
      <c r="D2005" s="167" t="e">
        <f>VLOOKUP(E13805,'lista obszary'!A:B,2,0)</f>
        <v>#N/A</v>
      </c>
      <c r="E2005" s="128" t="e">
        <f>VLOOKUP(B2005,'LISTA 12'!$A$2:$G$301400,5,0)</f>
        <v>#N/A</v>
      </c>
      <c r="F2005" s="121" t="e">
        <f>VLOOKUP(B2005,'LISTA 12'!$A$2:$G$30100,7,0)</f>
        <v>#N/A</v>
      </c>
      <c r="G2005" s="254" t="e">
        <f>VLOOKUP(H2005,'lista 3'!$A$1:$C$31467,3,0)</f>
        <v>#N/A</v>
      </c>
      <c r="H2005" s="134"/>
      <c r="I2005" s="136"/>
      <c r="J2005" s="135"/>
      <c r="K2005" s="22"/>
    </row>
    <row r="2006" spans="1:11">
      <c r="A2006" s="241" t="e">
        <f>VLOOKUP(B2006,'lista 1'!$A$2:$E$30100,4,0)</f>
        <v>#N/A</v>
      </c>
      <c r="B2006" s="123"/>
      <c r="C2006" s="133" t="e">
        <f>VLOOKUP(B2006,'lista 1'!$A$2:$E$31000,5,0)</f>
        <v>#N/A</v>
      </c>
      <c r="D2006" s="167" t="e">
        <f>VLOOKUP(E13806,'lista obszary'!A:B,2,0)</f>
        <v>#N/A</v>
      </c>
      <c r="E2006" s="128" t="e">
        <f>VLOOKUP(B2006,'LISTA 12'!$A$2:$G$301400,5,0)</f>
        <v>#N/A</v>
      </c>
      <c r="F2006" s="121" t="e">
        <f>VLOOKUP(B2006,'LISTA 12'!$A$2:$G$30100,7,0)</f>
        <v>#N/A</v>
      </c>
      <c r="G2006" s="254" t="e">
        <f>VLOOKUP(H2006,'lista 3'!$A$1:$C$31467,3,0)</f>
        <v>#N/A</v>
      </c>
      <c r="H2006" s="134"/>
      <c r="I2006" s="136"/>
      <c r="J2006" s="135"/>
      <c r="K2006" s="22"/>
    </row>
    <row r="2007" spans="1:11">
      <c r="A2007" s="241" t="e">
        <f>VLOOKUP(B2007,'lista 1'!$A$2:$E$30100,4,0)</f>
        <v>#N/A</v>
      </c>
      <c r="B2007" s="123"/>
      <c r="C2007" s="133" t="e">
        <f>VLOOKUP(B2007,'lista 1'!$A$2:$E$31000,5,0)</f>
        <v>#N/A</v>
      </c>
      <c r="D2007" s="167" t="e">
        <f>VLOOKUP(E13807,'lista obszary'!A:B,2,0)</f>
        <v>#N/A</v>
      </c>
      <c r="E2007" s="128" t="e">
        <f>VLOOKUP(B2007,'LISTA 12'!$A$2:$G$301400,5,0)</f>
        <v>#N/A</v>
      </c>
      <c r="F2007" s="121" t="e">
        <f>VLOOKUP(B2007,'LISTA 12'!$A$2:$G$30100,7,0)</f>
        <v>#N/A</v>
      </c>
      <c r="G2007" s="254" t="e">
        <f>VLOOKUP(H2007,'lista 3'!$A$1:$C$31467,3,0)</f>
        <v>#N/A</v>
      </c>
      <c r="H2007" s="134"/>
      <c r="I2007" s="136"/>
      <c r="J2007" s="135"/>
      <c r="K2007" s="22"/>
    </row>
    <row r="2008" spans="1:11">
      <c r="A2008" s="241" t="e">
        <f>VLOOKUP(B2008,'lista 1'!$A$2:$E$30100,4,0)</f>
        <v>#N/A</v>
      </c>
      <c r="B2008" s="123"/>
      <c r="C2008" s="133" t="e">
        <f>VLOOKUP(B2008,'lista 1'!$A$2:$E$31000,5,0)</f>
        <v>#N/A</v>
      </c>
      <c r="D2008" s="167" t="e">
        <f>VLOOKUP(E13808,'lista obszary'!A:B,2,0)</f>
        <v>#N/A</v>
      </c>
      <c r="E2008" s="128" t="e">
        <f>VLOOKUP(B2008,'LISTA 12'!$A$2:$G$301400,5,0)</f>
        <v>#N/A</v>
      </c>
      <c r="F2008" s="121" t="e">
        <f>VLOOKUP(B2008,'LISTA 12'!$A$2:$G$30100,7,0)</f>
        <v>#N/A</v>
      </c>
      <c r="G2008" s="254" t="e">
        <f>VLOOKUP(H2008,'lista 3'!$A$1:$C$31467,3,0)</f>
        <v>#N/A</v>
      </c>
      <c r="H2008" s="134"/>
      <c r="I2008" s="136"/>
      <c r="J2008" s="135"/>
      <c r="K2008" s="22"/>
    </row>
    <row r="2009" spans="1:11">
      <c r="A2009" s="241" t="e">
        <f>VLOOKUP(B2009,'lista 1'!$A$2:$E$30100,4,0)</f>
        <v>#N/A</v>
      </c>
      <c r="B2009" s="123"/>
      <c r="C2009" s="133" t="e">
        <f>VLOOKUP(B2009,'lista 1'!$A$2:$E$31000,5,0)</f>
        <v>#N/A</v>
      </c>
      <c r="D2009" s="167" t="e">
        <f>VLOOKUP(E13809,'lista obszary'!A:B,2,0)</f>
        <v>#N/A</v>
      </c>
      <c r="E2009" s="128" t="e">
        <f>VLOOKUP(B2009,'LISTA 12'!$A$2:$G$301400,5,0)</f>
        <v>#N/A</v>
      </c>
      <c r="F2009" s="121" t="e">
        <f>VLOOKUP(B2009,'LISTA 12'!$A$2:$G$30100,7,0)</f>
        <v>#N/A</v>
      </c>
      <c r="G2009" s="254" t="e">
        <f>VLOOKUP(H2009,'lista 3'!$A$1:$C$31467,3,0)</f>
        <v>#N/A</v>
      </c>
      <c r="H2009" s="134"/>
      <c r="I2009" s="136"/>
      <c r="J2009" s="135"/>
      <c r="K2009" s="22"/>
    </row>
    <row r="2010" spans="1:11">
      <c r="A2010" s="241" t="e">
        <f>VLOOKUP(B2010,'lista 1'!$A$2:$E$30100,4,0)</f>
        <v>#N/A</v>
      </c>
      <c r="B2010" s="123"/>
      <c r="C2010" s="133" t="e">
        <f>VLOOKUP(B2010,'lista 1'!$A$2:$E$31000,5,0)</f>
        <v>#N/A</v>
      </c>
      <c r="D2010" s="167" t="e">
        <f>VLOOKUP(E13810,'lista obszary'!A:B,2,0)</f>
        <v>#N/A</v>
      </c>
      <c r="E2010" s="128" t="e">
        <f>VLOOKUP(B2010,'LISTA 12'!$A$2:$G$301400,5,0)</f>
        <v>#N/A</v>
      </c>
      <c r="F2010" s="121" t="e">
        <f>VLOOKUP(B2010,'LISTA 12'!$A$2:$G$30100,7,0)</f>
        <v>#N/A</v>
      </c>
      <c r="G2010" s="254" t="e">
        <f>VLOOKUP(H2010,'lista 3'!$A$1:$C$31467,3,0)</f>
        <v>#N/A</v>
      </c>
      <c r="H2010" s="134"/>
      <c r="I2010" s="136"/>
      <c r="J2010" s="135"/>
      <c r="K2010" s="22"/>
    </row>
    <row r="2011" spans="1:11">
      <c r="A2011" s="241" t="e">
        <f>VLOOKUP(B2011,'lista 1'!$A$2:$E$30100,4,0)</f>
        <v>#N/A</v>
      </c>
      <c r="B2011" s="123"/>
      <c r="C2011" s="133" t="e">
        <f>VLOOKUP(B2011,'lista 1'!$A$2:$E$31000,5,0)</f>
        <v>#N/A</v>
      </c>
      <c r="D2011" s="167" t="e">
        <f>VLOOKUP(E13811,'lista obszary'!A:B,2,0)</f>
        <v>#N/A</v>
      </c>
      <c r="E2011" s="128" t="e">
        <f>VLOOKUP(B2011,'LISTA 12'!$A$2:$G$301400,5,0)</f>
        <v>#N/A</v>
      </c>
      <c r="F2011" s="121" t="e">
        <f>VLOOKUP(B2011,'LISTA 12'!$A$2:$G$30100,7,0)</f>
        <v>#N/A</v>
      </c>
      <c r="G2011" s="254" t="e">
        <f>VLOOKUP(H2011,'lista 3'!$A$1:$C$31467,3,0)</f>
        <v>#N/A</v>
      </c>
      <c r="H2011" s="134"/>
      <c r="I2011" s="136"/>
      <c r="J2011" s="135"/>
      <c r="K2011" s="22"/>
    </row>
    <row r="2012" spans="1:11">
      <c r="A2012" s="241" t="e">
        <f>VLOOKUP(B2012,'lista 1'!$A$2:$E$30100,4,0)</f>
        <v>#N/A</v>
      </c>
      <c r="B2012" s="123"/>
      <c r="C2012" s="133" t="e">
        <f>VLOOKUP(B2012,'lista 1'!$A$2:$E$31000,5,0)</f>
        <v>#N/A</v>
      </c>
      <c r="D2012" s="167" t="e">
        <f>VLOOKUP(E13812,'lista obszary'!A:B,2,0)</f>
        <v>#N/A</v>
      </c>
      <c r="E2012" s="128" t="e">
        <f>VLOOKUP(B2012,'LISTA 12'!$A$2:$G$301400,5,0)</f>
        <v>#N/A</v>
      </c>
      <c r="F2012" s="121" t="e">
        <f>VLOOKUP(B2012,'LISTA 12'!$A$2:$G$30100,7,0)</f>
        <v>#N/A</v>
      </c>
      <c r="G2012" s="254" t="e">
        <f>VLOOKUP(H2012,'lista 3'!$A$1:$C$31467,3,0)</f>
        <v>#N/A</v>
      </c>
      <c r="H2012" s="134"/>
      <c r="I2012" s="136"/>
      <c r="J2012" s="135"/>
      <c r="K2012" s="22"/>
    </row>
    <row r="2013" spans="1:11">
      <c r="A2013" s="241" t="e">
        <f>VLOOKUP(B2013,'lista 1'!$A$2:$E$30100,4,0)</f>
        <v>#N/A</v>
      </c>
      <c r="B2013" s="123"/>
      <c r="C2013" s="133" t="e">
        <f>VLOOKUP(B2013,'lista 1'!$A$2:$E$31000,5,0)</f>
        <v>#N/A</v>
      </c>
      <c r="D2013" s="167" t="e">
        <f>VLOOKUP(E13813,'lista obszary'!A:B,2,0)</f>
        <v>#N/A</v>
      </c>
      <c r="E2013" s="128" t="e">
        <f>VLOOKUP(B2013,'LISTA 12'!$A$2:$G$301400,5,0)</f>
        <v>#N/A</v>
      </c>
      <c r="F2013" s="121" t="e">
        <f>VLOOKUP(B2013,'LISTA 12'!$A$2:$G$30100,7,0)</f>
        <v>#N/A</v>
      </c>
      <c r="G2013" s="254" t="e">
        <f>VLOOKUP(H2013,'lista 3'!$A$1:$C$31467,3,0)</f>
        <v>#N/A</v>
      </c>
      <c r="H2013" s="134"/>
      <c r="I2013" s="136"/>
      <c r="J2013" s="135"/>
      <c r="K2013" s="22"/>
    </row>
    <row r="2014" spans="1:11">
      <c r="A2014" s="241" t="e">
        <f>VLOOKUP(B2014,'lista 1'!$A$2:$E$30100,4,0)</f>
        <v>#N/A</v>
      </c>
      <c r="B2014" s="123"/>
      <c r="C2014" s="133" t="e">
        <f>VLOOKUP(B2014,'lista 1'!$A$2:$E$31000,5,0)</f>
        <v>#N/A</v>
      </c>
      <c r="D2014" s="167" t="e">
        <f>VLOOKUP(E13814,'lista obszary'!A:B,2,0)</f>
        <v>#N/A</v>
      </c>
      <c r="E2014" s="128" t="e">
        <f>VLOOKUP(B2014,'LISTA 12'!$A$2:$G$301400,5,0)</f>
        <v>#N/A</v>
      </c>
      <c r="F2014" s="121" t="e">
        <f>VLOOKUP(B2014,'LISTA 12'!$A$2:$G$30100,7,0)</f>
        <v>#N/A</v>
      </c>
      <c r="G2014" s="254" t="e">
        <f>VLOOKUP(H2014,'lista 3'!$A$1:$C$31467,3,0)</f>
        <v>#N/A</v>
      </c>
      <c r="H2014" s="134"/>
      <c r="I2014" s="136"/>
      <c r="J2014" s="135"/>
      <c r="K2014" s="22"/>
    </row>
    <row r="2015" spans="1:11">
      <c r="A2015" s="241" t="e">
        <f>VLOOKUP(B2015,'lista 1'!$A$2:$E$30100,4,0)</f>
        <v>#N/A</v>
      </c>
      <c r="B2015" s="123"/>
      <c r="C2015" s="133" t="e">
        <f>VLOOKUP(B2015,'lista 1'!$A$2:$E$31000,5,0)</f>
        <v>#N/A</v>
      </c>
      <c r="D2015" s="167" t="e">
        <f>VLOOKUP(E13815,'lista obszary'!A:B,2,0)</f>
        <v>#N/A</v>
      </c>
      <c r="E2015" s="128" t="e">
        <f>VLOOKUP(B2015,'LISTA 12'!$A$2:$G$301400,5,0)</f>
        <v>#N/A</v>
      </c>
      <c r="F2015" s="121" t="e">
        <f>VLOOKUP(B2015,'LISTA 12'!$A$2:$G$30100,7,0)</f>
        <v>#N/A</v>
      </c>
      <c r="G2015" s="254" t="e">
        <f>VLOOKUP(H2015,'lista 3'!$A$1:$C$31467,3,0)</f>
        <v>#N/A</v>
      </c>
      <c r="H2015" s="134"/>
      <c r="I2015" s="136"/>
      <c r="J2015" s="135"/>
      <c r="K2015" s="22"/>
    </row>
    <row r="2016" spans="1:11">
      <c r="A2016" s="241" t="e">
        <f>VLOOKUP(B2016,'lista 1'!$A$2:$E$30100,4,0)</f>
        <v>#N/A</v>
      </c>
      <c r="B2016" s="123"/>
      <c r="C2016" s="133" t="e">
        <f>VLOOKUP(B2016,'lista 1'!$A$2:$E$31000,5,0)</f>
        <v>#N/A</v>
      </c>
      <c r="D2016" s="167" t="e">
        <f>VLOOKUP(E13816,'lista obszary'!A:B,2,0)</f>
        <v>#N/A</v>
      </c>
      <c r="E2016" s="128" t="e">
        <f>VLOOKUP(B2016,'LISTA 12'!$A$2:$G$301400,5,0)</f>
        <v>#N/A</v>
      </c>
      <c r="F2016" s="121" t="e">
        <f>VLOOKUP(B2016,'LISTA 12'!$A$2:$G$30100,7,0)</f>
        <v>#N/A</v>
      </c>
      <c r="G2016" s="254" t="e">
        <f>VLOOKUP(H2016,'lista 3'!$A$1:$C$31467,3,0)</f>
        <v>#N/A</v>
      </c>
      <c r="H2016" s="134"/>
      <c r="I2016" s="136"/>
      <c r="J2016" s="135"/>
      <c r="K2016" s="22"/>
    </row>
    <row r="2017" spans="1:11">
      <c r="A2017" s="241" t="e">
        <f>VLOOKUP(B2017,'lista 1'!$A$2:$E$30100,4,0)</f>
        <v>#N/A</v>
      </c>
      <c r="B2017" s="123"/>
      <c r="C2017" s="133" t="e">
        <f>VLOOKUP(B2017,'lista 1'!$A$2:$E$31000,5,0)</f>
        <v>#N/A</v>
      </c>
      <c r="D2017" s="167" t="e">
        <f>VLOOKUP(E13817,'lista obszary'!A:B,2,0)</f>
        <v>#N/A</v>
      </c>
      <c r="E2017" s="128" t="e">
        <f>VLOOKUP(B2017,'LISTA 12'!$A$2:$G$301400,5,0)</f>
        <v>#N/A</v>
      </c>
      <c r="F2017" s="121" t="e">
        <f>VLOOKUP(B2017,'LISTA 12'!$A$2:$G$30100,7,0)</f>
        <v>#N/A</v>
      </c>
      <c r="G2017" s="254" t="e">
        <f>VLOOKUP(H2017,'lista 3'!$A$1:$C$31467,3,0)</f>
        <v>#N/A</v>
      </c>
      <c r="H2017" s="134"/>
      <c r="I2017" s="136"/>
      <c r="J2017" s="135"/>
      <c r="K2017" s="22"/>
    </row>
    <row r="2018" spans="1:11">
      <c r="A2018" s="241" t="e">
        <f>VLOOKUP(B2018,'lista 1'!$A$2:$E$30100,4,0)</f>
        <v>#N/A</v>
      </c>
      <c r="B2018" s="123"/>
      <c r="C2018" s="133" t="e">
        <f>VLOOKUP(B2018,'lista 1'!$A$2:$E$31000,5,0)</f>
        <v>#N/A</v>
      </c>
      <c r="D2018" s="167" t="e">
        <f>VLOOKUP(E13818,'lista obszary'!A:B,2,0)</f>
        <v>#N/A</v>
      </c>
      <c r="E2018" s="128" t="e">
        <f>VLOOKUP(B2018,'LISTA 12'!$A$2:$G$301400,5,0)</f>
        <v>#N/A</v>
      </c>
      <c r="F2018" s="121" t="e">
        <f>VLOOKUP(B2018,'LISTA 12'!$A$2:$G$30100,7,0)</f>
        <v>#N/A</v>
      </c>
      <c r="G2018" s="254" t="e">
        <f>VLOOKUP(H2018,'lista 3'!$A$1:$C$31467,3,0)</f>
        <v>#N/A</v>
      </c>
      <c r="H2018" s="134"/>
      <c r="I2018" s="136"/>
      <c r="J2018" s="135"/>
      <c r="K2018" s="22"/>
    </row>
    <row r="2019" spans="1:11">
      <c r="A2019" s="241" t="e">
        <f>VLOOKUP(B2019,'lista 1'!$A$2:$E$30100,4,0)</f>
        <v>#N/A</v>
      </c>
      <c r="B2019" s="123"/>
      <c r="C2019" s="133" t="e">
        <f>VLOOKUP(B2019,'lista 1'!$A$2:$E$31000,5,0)</f>
        <v>#N/A</v>
      </c>
      <c r="D2019" s="167" t="e">
        <f>VLOOKUP(E13819,'lista obszary'!A:B,2,0)</f>
        <v>#N/A</v>
      </c>
      <c r="E2019" s="128" t="e">
        <f>VLOOKUP(B2019,'LISTA 12'!$A$2:$G$301400,5,0)</f>
        <v>#N/A</v>
      </c>
      <c r="F2019" s="121" t="e">
        <f>VLOOKUP(B2019,'LISTA 12'!$A$2:$G$30100,7,0)</f>
        <v>#N/A</v>
      </c>
      <c r="G2019" s="254" t="e">
        <f>VLOOKUP(H2019,'lista 3'!$A$1:$C$31467,3,0)</f>
        <v>#N/A</v>
      </c>
      <c r="H2019" s="134"/>
      <c r="I2019" s="136"/>
      <c r="J2019" s="135"/>
      <c r="K2019" s="22"/>
    </row>
    <row r="2020" spans="1:11">
      <c r="A2020" s="241" t="e">
        <f>VLOOKUP(B2020,'lista 1'!$A$2:$E$30100,4,0)</f>
        <v>#N/A</v>
      </c>
      <c r="B2020" s="123"/>
      <c r="C2020" s="133" t="e">
        <f>VLOOKUP(B2020,'lista 1'!$A$2:$E$31000,5,0)</f>
        <v>#N/A</v>
      </c>
      <c r="D2020" s="167" t="e">
        <f>VLOOKUP(E13820,'lista obszary'!A:B,2,0)</f>
        <v>#N/A</v>
      </c>
      <c r="E2020" s="128" t="e">
        <f>VLOOKUP(B2020,'LISTA 12'!$A$2:$G$301400,5,0)</f>
        <v>#N/A</v>
      </c>
      <c r="F2020" s="121" t="e">
        <f>VLOOKUP(B2020,'LISTA 12'!$A$2:$G$30100,7,0)</f>
        <v>#N/A</v>
      </c>
      <c r="G2020" s="254" t="e">
        <f>VLOOKUP(H2020,'lista 3'!$A$1:$C$31467,3,0)</f>
        <v>#N/A</v>
      </c>
      <c r="H2020" s="134"/>
      <c r="I2020" s="136"/>
      <c r="J2020" s="135"/>
      <c r="K2020" s="22"/>
    </row>
    <row r="2021" spans="1:11">
      <c r="A2021" s="241" t="e">
        <f>VLOOKUP(B2021,'lista 1'!$A$2:$E$30100,4,0)</f>
        <v>#N/A</v>
      </c>
      <c r="B2021" s="123"/>
      <c r="C2021" s="133" t="e">
        <f>VLOOKUP(B2021,'lista 1'!$A$2:$E$31000,5,0)</f>
        <v>#N/A</v>
      </c>
      <c r="D2021" s="167" t="e">
        <f>VLOOKUP(E13821,'lista obszary'!A:B,2,0)</f>
        <v>#N/A</v>
      </c>
      <c r="E2021" s="128" t="e">
        <f>VLOOKUP(B2021,'LISTA 12'!$A$2:$G$301400,5,0)</f>
        <v>#N/A</v>
      </c>
      <c r="F2021" s="121" t="e">
        <f>VLOOKUP(B2021,'LISTA 12'!$A$2:$G$30100,7,0)</f>
        <v>#N/A</v>
      </c>
      <c r="G2021" s="254" t="e">
        <f>VLOOKUP(H2021,'lista 3'!$A$1:$C$31467,3,0)</f>
        <v>#N/A</v>
      </c>
      <c r="H2021" s="134"/>
      <c r="I2021" s="136"/>
      <c r="J2021" s="135"/>
      <c r="K2021" s="22"/>
    </row>
    <row r="2022" spans="1:11">
      <c r="A2022" s="241" t="e">
        <f>VLOOKUP(B2022,'lista 1'!$A$2:$E$30100,4,0)</f>
        <v>#N/A</v>
      </c>
      <c r="B2022" s="123"/>
      <c r="C2022" s="133" t="e">
        <f>VLOOKUP(B2022,'lista 1'!$A$2:$E$31000,5,0)</f>
        <v>#N/A</v>
      </c>
      <c r="D2022" s="167" t="e">
        <f>VLOOKUP(E13822,'lista obszary'!A:B,2,0)</f>
        <v>#N/A</v>
      </c>
      <c r="E2022" s="128" t="e">
        <f>VLOOKUP(B2022,'LISTA 12'!$A$2:$G$301400,5,0)</f>
        <v>#N/A</v>
      </c>
      <c r="F2022" s="121" t="e">
        <f>VLOOKUP(B2022,'LISTA 12'!$A$2:$G$30100,7,0)</f>
        <v>#N/A</v>
      </c>
      <c r="G2022" s="254" t="e">
        <f>VLOOKUP(H2022,'lista 3'!$A$1:$C$31467,3,0)</f>
        <v>#N/A</v>
      </c>
      <c r="H2022" s="134"/>
      <c r="I2022" s="136"/>
      <c r="J2022" s="135"/>
      <c r="K2022" s="22"/>
    </row>
    <row r="2023" spans="1:11">
      <c r="A2023" s="241" t="e">
        <f>VLOOKUP(B2023,'lista 1'!$A$2:$E$30100,4,0)</f>
        <v>#N/A</v>
      </c>
      <c r="B2023" s="123"/>
      <c r="C2023" s="133" t="e">
        <f>VLOOKUP(B2023,'lista 1'!$A$2:$E$31000,5,0)</f>
        <v>#N/A</v>
      </c>
      <c r="D2023" s="167" t="e">
        <f>VLOOKUP(E13823,'lista obszary'!A:B,2,0)</f>
        <v>#N/A</v>
      </c>
      <c r="E2023" s="128" t="e">
        <f>VLOOKUP(B2023,'LISTA 12'!$A$2:$G$301400,5,0)</f>
        <v>#N/A</v>
      </c>
      <c r="F2023" s="121" t="e">
        <f>VLOOKUP(B2023,'LISTA 12'!$A$2:$G$30100,7,0)</f>
        <v>#N/A</v>
      </c>
      <c r="G2023" s="254" t="e">
        <f>VLOOKUP(H2023,'lista 3'!$A$1:$C$31467,3,0)</f>
        <v>#N/A</v>
      </c>
      <c r="H2023" s="134"/>
      <c r="I2023" s="136"/>
      <c r="J2023" s="135"/>
      <c r="K2023" s="22"/>
    </row>
    <row r="2024" spans="1:11">
      <c r="A2024" s="241" t="e">
        <f>VLOOKUP(B2024,'lista 1'!$A$2:$E$30100,4,0)</f>
        <v>#N/A</v>
      </c>
      <c r="B2024" s="123"/>
      <c r="C2024" s="133" t="e">
        <f>VLOOKUP(B2024,'lista 1'!$A$2:$E$31000,5,0)</f>
        <v>#N/A</v>
      </c>
      <c r="D2024" s="167" t="e">
        <f>VLOOKUP(E13824,'lista obszary'!A:B,2,0)</f>
        <v>#N/A</v>
      </c>
      <c r="E2024" s="128" t="e">
        <f>VLOOKUP(B2024,'LISTA 12'!$A$2:$G$301400,5,0)</f>
        <v>#N/A</v>
      </c>
      <c r="F2024" s="121" t="e">
        <f>VLOOKUP(B2024,'LISTA 12'!$A$2:$G$30100,7,0)</f>
        <v>#N/A</v>
      </c>
      <c r="G2024" s="254" t="e">
        <f>VLOOKUP(H2024,'lista 3'!$A$1:$C$31467,3,0)</f>
        <v>#N/A</v>
      </c>
      <c r="H2024" s="134"/>
      <c r="I2024" s="136"/>
      <c r="J2024" s="135"/>
      <c r="K2024" s="22"/>
    </row>
    <row r="2025" spans="1:11">
      <c r="A2025" s="241" t="e">
        <f>VLOOKUP(B2025,'lista 1'!$A$2:$E$30100,4,0)</f>
        <v>#N/A</v>
      </c>
      <c r="B2025" s="123"/>
      <c r="C2025" s="133" t="e">
        <f>VLOOKUP(B2025,'lista 1'!$A$2:$E$31000,5,0)</f>
        <v>#N/A</v>
      </c>
      <c r="D2025" s="167" t="e">
        <f>VLOOKUP(E13825,'lista obszary'!A:B,2,0)</f>
        <v>#N/A</v>
      </c>
      <c r="E2025" s="128" t="e">
        <f>VLOOKUP(B2025,'LISTA 12'!$A$2:$G$301400,5,0)</f>
        <v>#N/A</v>
      </c>
      <c r="F2025" s="121" t="e">
        <f>VLOOKUP(B2025,'LISTA 12'!$A$2:$G$30100,7,0)</f>
        <v>#N/A</v>
      </c>
      <c r="G2025" s="254" t="e">
        <f>VLOOKUP(H2025,'lista 3'!$A$1:$C$31467,3,0)</f>
        <v>#N/A</v>
      </c>
      <c r="H2025" s="134"/>
      <c r="I2025" s="136"/>
      <c r="J2025" s="135"/>
      <c r="K2025" s="22"/>
    </row>
    <row r="2026" spans="1:11">
      <c r="A2026" s="241" t="e">
        <f>VLOOKUP(B2026,'lista 1'!$A$2:$E$30100,4,0)</f>
        <v>#N/A</v>
      </c>
      <c r="B2026" s="123"/>
      <c r="C2026" s="133" t="e">
        <f>VLOOKUP(B2026,'lista 1'!$A$2:$E$31000,5,0)</f>
        <v>#N/A</v>
      </c>
      <c r="D2026" s="167" t="e">
        <f>VLOOKUP(E13826,'lista obszary'!A:B,2,0)</f>
        <v>#N/A</v>
      </c>
      <c r="E2026" s="128" t="e">
        <f>VLOOKUP(B2026,'LISTA 12'!$A$2:$G$301400,5,0)</f>
        <v>#N/A</v>
      </c>
      <c r="F2026" s="121" t="e">
        <f>VLOOKUP(B2026,'LISTA 12'!$A$2:$G$30100,7,0)</f>
        <v>#N/A</v>
      </c>
      <c r="G2026" s="254" t="e">
        <f>VLOOKUP(H2026,'lista 3'!$A$1:$C$31467,3,0)</f>
        <v>#N/A</v>
      </c>
      <c r="H2026" s="134"/>
      <c r="I2026" s="136"/>
      <c r="J2026" s="135"/>
      <c r="K2026" s="22"/>
    </row>
    <row r="2027" spans="1:11">
      <c r="A2027" s="241" t="e">
        <f>VLOOKUP(B2027,'lista 1'!$A$2:$E$30100,4,0)</f>
        <v>#N/A</v>
      </c>
      <c r="B2027" s="123"/>
      <c r="C2027" s="133" t="e">
        <f>VLOOKUP(B2027,'lista 1'!$A$2:$E$31000,5,0)</f>
        <v>#N/A</v>
      </c>
      <c r="D2027" s="167" t="e">
        <f>VLOOKUP(E13827,'lista obszary'!A:B,2,0)</f>
        <v>#N/A</v>
      </c>
      <c r="E2027" s="128" t="e">
        <f>VLOOKUP(B2027,'LISTA 12'!$A$2:$G$301400,5,0)</f>
        <v>#N/A</v>
      </c>
      <c r="F2027" s="121" t="e">
        <f>VLOOKUP(B2027,'LISTA 12'!$A$2:$G$30100,7,0)</f>
        <v>#N/A</v>
      </c>
      <c r="G2027" s="254" t="e">
        <f>VLOOKUP(H2027,'lista 3'!$A$1:$C$31467,3,0)</f>
        <v>#N/A</v>
      </c>
      <c r="H2027" s="134"/>
      <c r="I2027" s="136"/>
      <c r="J2027" s="135"/>
      <c r="K2027" s="22"/>
    </row>
    <row r="2028" spans="1:11">
      <c r="A2028" s="241" t="e">
        <f>VLOOKUP(B2028,'lista 1'!$A$2:$E$30100,4,0)</f>
        <v>#N/A</v>
      </c>
      <c r="B2028" s="123"/>
      <c r="C2028" s="133" t="e">
        <f>VLOOKUP(B2028,'lista 1'!$A$2:$E$31000,5,0)</f>
        <v>#N/A</v>
      </c>
      <c r="D2028" s="167" t="e">
        <f>VLOOKUP(E13828,'lista obszary'!A:B,2,0)</f>
        <v>#N/A</v>
      </c>
      <c r="E2028" s="128" t="e">
        <f>VLOOKUP(B2028,'LISTA 12'!$A$2:$G$301400,5,0)</f>
        <v>#N/A</v>
      </c>
      <c r="F2028" s="121" t="e">
        <f>VLOOKUP(B2028,'LISTA 12'!$A$2:$G$30100,7,0)</f>
        <v>#N/A</v>
      </c>
      <c r="G2028" s="254" t="e">
        <f>VLOOKUP(H2028,'lista 3'!$A$1:$C$31467,3,0)</f>
        <v>#N/A</v>
      </c>
      <c r="H2028" s="134"/>
      <c r="I2028" s="136"/>
      <c r="J2028" s="135"/>
      <c r="K2028" s="22"/>
    </row>
    <row r="2029" spans="1:11">
      <c r="A2029" s="241" t="e">
        <f>VLOOKUP(B2029,'lista 1'!$A$2:$E$30100,4,0)</f>
        <v>#N/A</v>
      </c>
      <c r="B2029" s="123"/>
      <c r="C2029" s="133" t="e">
        <f>VLOOKUP(B2029,'lista 1'!$A$2:$E$31000,5,0)</f>
        <v>#N/A</v>
      </c>
      <c r="D2029" s="167" t="e">
        <f>VLOOKUP(E13829,'lista obszary'!A:B,2,0)</f>
        <v>#N/A</v>
      </c>
      <c r="E2029" s="128" t="e">
        <f>VLOOKUP(B2029,'LISTA 12'!$A$2:$G$301400,5,0)</f>
        <v>#N/A</v>
      </c>
      <c r="F2029" s="121" t="e">
        <f>VLOOKUP(B2029,'LISTA 12'!$A$2:$G$30100,7,0)</f>
        <v>#N/A</v>
      </c>
      <c r="G2029" s="254" t="e">
        <f>VLOOKUP(H2029,'lista 3'!$A$1:$C$31467,3,0)</f>
        <v>#N/A</v>
      </c>
      <c r="H2029" s="134"/>
      <c r="I2029" s="136"/>
      <c r="J2029" s="135"/>
      <c r="K2029" s="22"/>
    </row>
    <row r="2030" spans="1:11">
      <c r="A2030" s="241" t="e">
        <f>VLOOKUP(B2030,'lista 1'!$A$2:$E$30100,4,0)</f>
        <v>#N/A</v>
      </c>
      <c r="B2030" s="123"/>
      <c r="C2030" s="133" t="e">
        <f>VLOOKUP(B2030,'lista 1'!$A$2:$E$31000,5,0)</f>
        <v>#N/A</v>
      </c>
      <c r="D2030" s="167" t="e">
        <f>VLOOKUP(E13830,'lista obszary'!A:B,2,0)</f>
        <v>#N/A</v>
      </c>
      <c r="E2030" s="128" t="e">
        <f>VLOOKUP(B2030,'LISTA 12'!$A$2:$G$301400,5,0)</f>
        <v>#N/A</v>
      </c>
      <c r="F2030" s="121" t="e">
        <f>VLOOKUP(B2030,'LISTA 12'!$A$2:$G$30100,7,0)</f>
        <v>#N/A</v>
      </c>
      <c r="G2030" s="254" t="e">
        <f>VLOOKUP(H2030,'lista 3'!$A$1:$C$31467,3,0)</f>
        <v>#N/A</v>
      </c>
      <c r="H2030" s="134"/>
      <c r="I2030" s="136"/>
      <c r="J2030" s="135"/>
      <c r="K2030" s="22"/>
    </row>
    <row r="2031" spans="1:11">
      <c r="A2031" s="241" t="e">
        <f>VLOOKUP(B2031,'lista 1'!$A$2:$E$30100,4,0)</f>
        <v>#N/A</v>
      </c>
      <c r="B2031" s="123"/>
      <c r="C2031" s="133" t="e">
        <f>VLOOKUP(B2031,'lista 1'!$A$2:$E$31000,5,0)</f>
        <v>#N/A</v>
      </c>
      <c r="D2031" s="167" t="e">
        <f>VLOOKUP(E13831,'lista obszary'!A:B,2,0)</f>
        <v>#N/A</v>
      </c>
      <c r="E2031" s="128" t="e">
        <f>VLOOKUP(B2031,'LISTA 12'!$A$2:$G$301400,5,0)</f>
        <v>#N/A</v>
      </c>
      <c r="F2031" s="121" t="e">
        <f>VLOOKUP(B2031,'LISTA 12'!$A$2:$G$30100,7,0)</f>
        <v>#N/A</v>
      </c>
      <c r="G2031" s="254" t="e">
        <f>VLOOKUP(H2031,'lista 3'!$A$1:$C$31467,3,0)</f>
        <v>#N/A</v>
      </c>
      <c r="H2031" s="134"/>
      <c r="I2031" s="136"/>
      <c r="J2031" s="135"/>
      <c r="K2031" s="22"/>
    </row>
    <row r="2032" spans="1:11">
      <c r="A2032" s="241" t="e">
        <f>VLOOKUP(B2032,'lista 1'!$A$2:$E$30100,4,0)</f>
        <v>#N/A</v>
      </c>
      <c r="B2032" s="123"/>
      <c r="C2032" s="133" t="e">
        <f>VLOOKUP(B2032,'lista 1'!$A$2:$E$31000,5,0)</f>
        <v>#N/A</v>
      </c>
      <c r="D2032" s="167" t="e">
        <f>VLOOKUP(E13832,'lista obszary'!A:B,2,0)</f>
        <v>#N/A</v>
      </c>
      <c r="E2032" s="128" t="e">
        <f>VLOOKUP(B2032,'LISTA 12'!$A$2:$G$301400,5,0)</f>
        <v>#N/A</v>
      </c>
      <c r="F2032" s="121" t="e">
        <f>VLOOKUP(B2032,'LISTA 12'!$A$2:$G$30100,7,0)</f>
        <v>#N/A</v>
      </c>
      <c r="G2032" s="254" t="e">
        <f>VLOOKUP(H2032,'lista 3'!$A$1:$C$31467,3,0)</f>
        <v>#N/A</v>
      </c>
      <c r="H2032" s="134"/>
      <c r="I2032" s="136"/>
      <c r="J2032" s="135"/>
      <c r="K2032" s="22"/>
    </row>
    <row r="2033" spans="1:11">
      <c r="A2033" s="241" t="e">
        <f>VLOOKUP(B2033,'lista 1'!$A$2:$E$30100,4,0)</f>
        <v>#N/A</v>
      </c>
      <c r="B2033" s="123"/>
      <c r="C2033" s="133" t="e">
        <f>VLOOKUP(B2033,'lista 1'!$A$2:$E$31000,5,0)</f>
        <v>#N/A</v>
      </c>
      <c r="D2033" s="167" t="e">
        <f>VLOOKUP(E13833,'lista obszary'!A:B,2,0)</f>
        <v>#N/A</v>
      </c>
      <c r="E2033" s="128" t="e">
        <f>VLOOKUP(B2033,'LISTA 12'!$A$2:$G$301400,5,0)</f>
        <v>#N/A</v>
      </c>
      <c r="F2033" s="121" t="e">
        <f>VLOOKUP(B2033,'LISTA 12'!$A$2:$G$30100,7,0)</f>
        <v>#N/A</v>
      </c>
      <c r="G2033" s="254" t="e">
        <f>VLOOKUP(H2033,'lista 3'!$A$1:$C$31467,3,0)</f>
        <v>#N/A</v>
      </c>
      <c r="H2033" s="134"/>
      <c r="I2033" s="136"/>
      <c r="J2033" s="135"/>
      <c r="K2033" s="22"/>
    </row>
    <row r="2034" spans="1:11">
      <c r="A2034" s="241" t="e">
        <f>VLOOKUP(B2034,'lista 1'!$A$2:$E$30100,4,0)</f>
        <v>#N/A</v>
      </c>
      <c r="B2034" s="123"/>
      <c r="C2034" s="133" t="e">
        <f>VLOOKUP(B2034,'lista 1'!$A$2:$E$31000,5,0)</f>
        <v>#N/A</v>
      </c>
      <c r="D2034" s="167" t="e">
        <f>VLOOKUP(E13834,'lista obszary'!A:B,2,0)</f>
        <v>#N/A</v>
      </c>
      <c r="E2034" s="128" t="e">
        <f>VLOOKUP(B2034,'LISTA 12'!$A$2:$G$301400,5,0)</f>
        <v>#N/A</v>
      </c>
      <c r="F2034" s="121" t="e">
        <f>VLOOKUP(B2034,'LISTA 12'!$A$2:$G$30100,7,0)</f>
        <v>#N/A</v>
      </c>
      <c r="G2034" s="254" t="e">
        <f>VLOOKUP(H2034,'lista 3'!$A$1:$C$31467,3,0)</f>
        <v>#N/A</v>
      </c>
      <c r="H2034" s="134"/>
      <c r="I2034" s="136"/>
      <c r="J2034" s="135"/>
      <c r="K2034" s="22"/>
    </row>
    <row r="2035" spans="1:11">
      <c r="A2035" s="241" t="e">
        <f>VLOOKUP(B2035,'lista 1'!$A$2:$E$30100,4,0)</f>
        <v>#N/A</v>
      </c>
      <c r="B2035" s="123"/>
      <c r="C2035" s="133" t="e">
        <f>VLOOKUP(B2035,'lista 1'!$A$2:$E$31000,5,0)</f>
        <v>#N/A</v>
      </c>
      <c r="D2035" s="167" t="e">
        <f>VLOOKUP(E13835,'lista obszary'!A:B,2,0)</f>
        <v>#N/A</v>
      </c>
      <c r="E2035" s="128" t="e">
        <f>VLOOKUP(B2035,'LISTA 12'!$A$2:$G$301400,5,0)</f>
        <v>#N/A</v>
      </c>
      <c r="F2035" s="121" t="e">
        <f>VLOOKUP(B2035,'LISTA 12'!$A$2:$G$30100,7,0)</f>
        <v>#N/A</v>
      </c>
      <c r="G2035" s="254" t="e">
        <f>VLOOKUP(H2035,'lista 3'!$A$1:$C$31467,3,0)</f>
        <v>#N/A</v>
      </c>
      <c r="H2035" s="134"/>
      <c r="I2035" s="136"/>
      <c r="J2035" s="135"/>
      <c r="K2035" s="22"/>
    </row>
    <row r="2036" spans="1:11">
      <c r="A2036" s="241" t="e">
        <f>VLOOKUP(B2036,'lista 1'!$A$2:$E$30100,4,0)</f>
        <v>#N/A</v>
      </c>
      <c r="B2036" s="123"/>
      <c r="C2036" s="133" t="e">
        <f>VLOOKUP(B2036,'lista 1'!$A$2:$E$31000,5,0)</f>
        <v>#N/A</v>
      </c>
      <c r="D2036" s="167" t="e">
        <f>VLOOKUP(E13836,'lista obszary'!A:B,2,0)</f>
        <v>#N/A</v>
      </c>
      <c r="E2036" s="128" t="e">
        <f>VLOOKUP(B2036,'LISTA 12'!$A$2:$G$301400,5,0)</f>
        <v>#N/A</v>
      </c>
      <c r="F2036" s="121" t="e">
        <f>VLOOKUP(B2036,'LISTA 12'!$A$2:$G$30100,7,0)</f>
        <v>#N/A</v>
      </c>
      <c r="G2036" s="254" t="e">
        <f>VLOOKUP(H2036,'lista 3'!$A$1:$C$31467,3,0)</f>
        <v>#N/A</v>
      </c>
      <c r="H2036" s="134"/>
      <c r="I2036" s="136"/>
      <c r="J2036" s="135"/>
      <c r="K2036" s="22"/>
    </row>
    <row r="2037" spans="1:11">
      <c r="A2037" s="241" t="e">
        <f>VLOOKUP(B2037,'lista 1'!$A$2:$E$30100,4,0)</f>
        <v>#N/A</v>
      </c>
      <c r="B2037" s="123"/>
      <c r="C2037" s="133" t="e">
        <f>VLOOKUP(B2037,'lista 1'!$A$2:$E$31000,5,0)</f>
        <v>#N/A</v>
      </c>
      <c r="D2037" s="167" t="e">
        <f>VLOOKUP(E13837,'lista obszary'!A:B,2,0)</f>
        <v>#N/A</v>
      </c>
      <c r="E2037" s="128" t="e">
        <f>VLOOKUP(B2037,'LISTA 12'!$A$2:$G$301400,5,0)</f>
        <v>#N/A</v>
      </c>
      <c r="F2037" s="121" t="e">
        <f>VLOOKUP(B2037,'LISTA 12'!$A$2:$G$30100,7,0)</f>
        <v>#N/A</v>
      </c>
      <c r="G2037" s="254" t="e">
        <f>VLOOKUP(H2037,'lista 3'!$A$1:$C$31467,3,0)</f>
        <v>#N/A</v>
      </c>
      <c r="H2037" s="134"/>
      <c r="I2037" s="136"/>
      <c r="J2037" s="135"/>
      <c r="K2037" s="22"/>
    </row>
    <row r="2038" spans="1:11">
      <c r="A2038" s="241" t="e">
        <f>VLOOKUP(B2038,'lista 1'!$A$2:$E$30100,4,0)</f>
        <v>#N/A</v>
      </c>
      <c r="B2038" s="123"/>
      <c r="C2038" s="133" t="e">
        <f>VLOOKUP(B2038,'lista 1'!$A$2:$E$31000,5,0)</f>
        <v>#N/A</v>
      </c>
      <c r="D2038" s="167" t="e">
        <f>VLOOKUP(E13838,'lista obszary'!A:B,2,0)</f>
        <v>#N/A</v>
      </c>
      <c r="E2038" s="128" t="e">
        <f>VLOOKUP(B2038,'LISTA 12'!$A$2:$G$301400,5,0)</f>
        <v>#N/A</v>
      </c>
      <c r="F2038" s="121" t="e">
        <f>VLOOKUP(B2038,'LISTA 12'!$A$2:$G$30100,7,0)</f>
        <v>#N/A</v>
      </c>
      <c r="G2038" s="254" t="e">
        <f>VLOOKUP(H2038,'lista 3'!$A$1:$C$31467,3,0)</f>
        <v>#N/A</v>
      </c>
      <c r="H2038" s="134"/>
      <c r="I2038" s="136"/>
      <c r="J2038" s="135"/>
      <c r="K2038" s="22"/>
    </row>
    <row r="2039" spans="1:11">
      <c r="A2039" s="241" t="e">
        <f>VLOOKUP(B2039,'lista 1'!$A$2:$E$30100,4,0)</f>
        <v>#N/A</v>
      </c>
      <c r="B2039" s="123"/>
      <c r="C2039" s="133" t="e">
        <f>VLOOKUP(B2039,'lista 1'!$A$2:$E$31000,5,0)</f>
        <v>#N/A</v>
      </c>
      <c r="D2039" s="167" t="e">
        <f>VLOOKUP(E13839,'lista obszary'!A:B,2,0)</f>
        <v>#N/A</v>
      </c>
      <c r="E2039" s="128" t="e">
        <f>VLOOKUP(B2039,'LISTA 12'!$A$2:$G$301400,5,0)</f>
        <v>#N/A</v>
      </c>
      <c r="F2039" s="121" t="e">
        <f>VLOOKUP(B2039,'LISTA 12'!$A$2:$G$30100,7,0)</f>
        <v>#N/A</v>
      </c>
      <c r="G2039" s="254" t="e">
        <f>VLOOKUP(H2039,'lista 3'!$A$1:$C$31467,3,0)</f>
        <v>#N/A</v>
      </c>
      <c r="H2039" s="134"/>
      <c r="I2039" s="136"/>
      <c r="J2039" s="135"/>
      <c r="K2039" s="22"/>
    </row>
    <row r="2040" spans="1:11">
      <c r="A2040" s="241" t="e">
        <f>VLOOKUP(B2040,'lista 1'!$A$2:$E$30100,4,0)</f>
        <v>#N/A</v>
      </c>
      <c r="B2040" s="123"/>
      <c r="C2040" s="133" t="e">
        <f>VLOOKUP(B2040,'lista 1'!$A$2:$E$31000,5,0)</f>
        <v>#N/A</v>
      </c>
      <c r="D2040" s="167" t="e">
        <f>VLOOKUP(E13840,'lista obszary'!A:B,2,0)</f>
        <v>#N/A</v>
      </c>
      <c r="E2040" s="128" t="e">
        <f>VLOOKUP(B2040,'LISTA 12'!$A$2:$G$301400,5,0)</f>
        <v>#N/A</v>
      </c>
      <c r="F2040" s="121" t="e">
        <f>VLOOKUP(B2040,'LISTA 12'!$A$2:$G$30100,7,0)</f>
        <v>#N/A</v>
      </c>
      <c r="G2040" s="254" t="e">
        <f>VLOOKUP(H2040,'lista 3'!$A$1:$C$31467,3,0)</f>
        <v>#N/A</v>
      </c>
      <c r="H2040" s="134"/>
      <c r="I2040" s="136"/>
      <c r="J2040" s="135"/>
      <c r="K2040" s="22"/>
    </row>
    <row r="2041" spans="1:11">
      <c r="A2041" s="241" t="e">
        <f>VLOOKUP(B2041,'lista 1'!$A$2:$E$30100,4,0)</f>
        <v>#N/A</v>
      </c>
      <c r="B2041" s="123"/>
      <c r="C2041" s="133" t="e">
        <f>VLOOKUP(B2041,'lista 1'!$A$2:$E$31000,5,0)</f>
        <v>#N/A</v>
      </c>
      <c r="D2041" s="167" t="e">
        <f>VLOOKUP(E13841,'lista obszary'!A:B,2,0)</f>
        <v>#N/A</v>
      </c>
      <c r="E2041" s="128" t="e">
        <f>VLOOKUP(B2041,'LISTA 12'!$A$2:$G$301400,5,0)</f>
        <v>#N/A</v>
      </c>
      <c r="F2041" s="121" t="e">
        <f>VLOOKUP(B2041,'LISTA 12'!$A$2:$G$30100,7,0)</f>
        <v>#N/A</v>
      </c>
      <c r="G2041" s="254" t="e">
        <f>VLOOKUP(H2041,'lista 3'!$A$1:$C$31467,3,0)</f>
        <v>#N/A</v>
      </c>
      <c r="H2041" s="134"/>
      <c r="I2041" s="136"/>
      <c r="J2041" s="135"/>
      <c r="K2041" s="22"/>
    </row>
    <row r="2042" spans="1:11">
      <c r="A2042" s="241" t="e">
        <f>VLOOKUP(B2042,'lista 1'!$A$2:$E$30100,4,0)</f>
        <v>#N/A</v>
      </c>
      <c r="B2042" s="123"/>
      <c r="C2042" s="133" t="e">
        <f>VLOOKUP(B2042,'lista 1'!$A$2:$E$31000,5,0)</f>
        <v>#N/A</v>
      </c>
      <c r="D2042" s="167" t="e">
        <f>VLOOKUP(E13842,'lista obszary'!A:B,2,0)</f>
        <v>#N/A</v>
      </c>
      <c r="E2042" s="128" t="e">
        <f>VLOOKUP(B2042,'LISTA 12'!$A$2:$G$301400,5,0)</f>
        <v>#N/A</v>
      </c>
      <c r="F2042" s="121" t="e">
        <f>VLOOKUP(B2042,'LISTA 12'!$A$2:$G$30100,7,0)</f>
        <v>#N/A</v>
      </c>
      <c r="G2042" s="254" t="e">
        <f>VLOOKUP(H2042,'lista 3'!$A$1:$C$31467,3,0)</f>
        <v>#N/A</v>
      </c>
      <c r="H2042" s="134"/>
      <c r="I2042" s="136"/>
      <c r="J2042" s="135"/>
      <c r="K2042" s="22"/>
    </row>
    <row r="2043" spans="1:11">
      <c r="A2043" s="241" t="e">
        <f>VLOOKUP(B2043,'lista 1'!$A$2:$E$30100,4,0)</f>
        <v>#N/A</v>
      </c>
      <c r="B2043" s="123"/>
      <c r="C2043" s="133" t="e">
        <f>VLOOKUP(B2043,'lista 1'!$A$2:$E$31000,5,0)</f>
        <v>#N/A</v>
      </c>
      <c r="D2043" s="167" t="e">
        <f>VLOOKUP(E13843,'lista obszary'!A:B,2,0)</f>
        <v>#N/A</v>
      </c>
      <c r="E2043" s="128" t="e">
        <f>VLOOKUP(B2043,'LISTA 12'!$A$2:$G$301400,5,0)</f>
        <v>#N/A</v>
      </c>
      <c r="F2043" s="121" t="e">
        <f>VLOOKUP(B2043,'LISTA 12'!$A$2:$G$30100,7,0)</f>
        <v>#N/A</v>
      </c>
      <c r="G2043" s="254" t="e">
        <f>VLOOKUP(H2043,'lista 3'!$A$1:$C$31467,3,0)</f>
        <v>#N/A</v>
      </c>
      <c r="H2043" s="134"/>
      <c r="I2043" s="136"/>
      <c r="J2043" s="135"/>
      <c r="K2043" s="22"/>
    </row>
    <row r="2044" spans="1:11">
      <c r="A2044" s="241" t="e">
        <f>VLOOKUP(B2044,'lista 1'!$A$2:$E$30100,4,0)</f>
        <v>#N/A</v>
      </c>
      <c r="B2044" s="123"/>
      <c r="C2044" s="133" t="e">
        <f>VLOOKUP(B2044,'lista 1'!$A$2:$E$31000,5,0)</f>
        <v>#N/A</v>
      </c>
      <c r="D2044" s="167" t="e">
        <f>VLOOKUP(E13844,'lista obszary'!A:B,2,0)</f>
        <v>#N/A</v>
      </c>
      <c r="E2044" s="128" t="e">
        <f>VLOOKUP(B2044,'LISTA 12'!$A$2:$G$301400,5,0)</f>
        <v>#N/A</v>
      </c>
      <c r="F2044" s="121" t="e">
        <f>VLOOKUP(B2044,'LISTA 12'!$A$2:$G$30100,7,0)</f>
        <v>#N/A</v>
      </c>
      <c r="G2044" s="254" t="e">
        <f>VLOOKUP(H2044,'lista 3'!$A$1:$C$31467,3,0)</f>
        <v>#N/A</v>
      </c>
      <c r="H2044" s="134"/>
      <c r="I2044" s="136"/>
      <c r="J2044" s="135"/>
      <c r="K2044" s="22"/>
    </row>
    <row r="2045" spans="1:11">
      <c r="A2045" s="241" t="e">
        <f>VLOOKUP(B2045,'lista 1'!$A$2:$E$30100,4,0)</f>
        <v>#N/A</v>
      </c>
      <c r="B2045" s="123"/>
      <c r="C2045" s="133" t="e">
        <f>VLOOKUP(B2045,'lista 1'!$A$2:$E$31000,5,0)</f>
        <v>#N/A</v>
      </c>
      <c r="D2045" s="167" t="e">
        <f>VLOOKUP(E13845,'lista obszary'!A:B,2,0)</f>
        <v>#N/A</v>
      </c>
      <c r="E2045" s="128" t="e">
        <f>VLOOKUP(B2045,'LISTA 12'!$A$2:$G$301400,5,0)</f>
        <v>#N/A</v>
      </c>
      <c r="F2045" s="121" t="e">
        <f>VLOOKUP(B2045,'LISTA 12'!$A$2:$G$30100,7,0)</f>
        <v>#N/A</v>
      </c>
      <c r="G2045" s="254" t="e">
        <f>VLOOKUP(H2045,'lista 3'!$A$1:$C$31467,3,0)</f>
        <v>#N/A</v>
      </c>
      <c r="H2045" s="134"/>
      <c r="I2045" s="136"/>
      <c r="J2045" s="135"/>
      <c r="K2045" s="22"/>
    </row>
    <row r="2046" spans="1:11">
      <c r="A2046" s="241" t="e">
        <f>VLOOKUP(B2046,'lista 1'!$A$2:$E$30100,4,0)</f>
        <v>#N/A</v>
      </c>
      <c r="B2046" s="123"/>
      <c r="C2046" s="133" t="e">
        <f>VLOOKUP(B2046,'lista 1'!$A$2:$E$31000,5,0)</f>
        <v>#N/A</v>
      </c>
      <c r="D2046" s="167" t="e">
        <f>VLOOKUP(E13846,'lista obszary'!A:B,2,0)</f>
        <v>#N/A</v>
      </c>
      <c r="E2046" s="128" t="e">
        <f>VLOOKUP(B2046,'LISTA 12'!$A$2:$G$301400,5,0)</f>
        <v>#N/A</v>
      </c>
      <c r="F2046" s="121" t="e">
        <f>VLOOKUP(B2046,'LISTA 12'!$A$2:$G$30100,7,0)</f>
        <v>#N/A</v>
      </c>
      <c r="G2046" s="254" t="e">
        <f>VLOOKUP(H2046,'lista 3'!$A$1:$C$31467,3,0)</f>
        <v>#N/A</v>
      </c>
      <c r="H2046" s="134"/>
      <c r="I2046" s="136"/>
      <c r="J2046" s="135"/>
      <c r="K2046" s="22"/>
    </row>
    <row r="2047" spans="1:11">
      <c r="A2047" s="241" t="e">
        <f>VLOOKUP(B2047,'lista 1'!$A$2:$E$30100,4,0)</f>
        <v>#N/A</v>
      </c>
      <c r="B2047" s="123"/>
      <c r="C2047" s="133" t="e">
        <f>VLOOKUP(B2047,'lista 1'!$A$2:$E$31000,5,0)</f>
        <v>#N/A</v>
      </c>
      <c r="D2047" s="167" t="e">
        <f>VLOOKUP(E13847,'lista obszary'!A:B,2,0)</f>
        <v>#N/A</v>
      </c>
      <c r="E2047" s="128" t="e">
        <f>VLOOKUP(B2047,'LISTA 12'!$A$2:$G$301400,5,0)</f>
        <v>#N/A</v>
      </c>
      <c r="F2047" s="121" t="e">
        <f>VLOOKUP(B2047,'LISTA 12'!$A$2:$G$30100,7,0)</f>
        <v>#N/A</v>
      </c>
      <c r="G2047" s="254" t="e">
        <f>VLOOKUP(H2047,'lista 3'!$A$1:$C$31467,3,0)</f>
        <v>#N/A</v>
      </c>
      <c r="H2047" s="134"/>
      <c r="I2047" s="136"/>
      <c r="J2047" s="135"/>
      <c r="K2047" s="22"/>
    </row>
    <row r="2048" spans="1:11">
      <c r="A2048" s="241" t="e">
        <f>VLOOKUP(B2048,'lista 1'!$A$2:$E$30100,4,0)</f>
        <v>#N/A</v>
      </c>
      <c r="B2048" s="123"/>
      <c r="C2048" s="133" t="e">
        <f>VLOOKUP(B2048,'lista 1'!$A$2:$E$31000,5,0)</f>
        <v>#N/A</v>
      </c>
      <c r="D2048" s="167" t="e">
        <f>VLOOKUP(E13848,'lista obszary'!A:B,2,0)</f>
        <v>#N/A</v>
      </c>
      <c r="E2048" s="128" t="e">
        <f>VLOOKUP(B2048,'LISTA 12'!$A$2:$G$301400,5,0)</f>
        <v>#N/A</v>
      </c>
      <c r="F2048" s="121" t="e">
        <f>VLOOKUP(B2048,'LISTA 12'!$A$2:$G$30100,7,0)</f>
        <v>#N/A</v>
      </c>
      <c r="G2048" s="254" t="e">
        <f>VLOOKUP(H2048,'lista 3'!$A$1:$C$31467,3,0)</f>
        <v>#N/A</v>
      </c>
      <c r="H2048" s="134"/>
      <c r="I2048" s="136"/>
      <c r="J2048" s="135"/>
      <c r="K2048" s="22"/>
    </row>
    <row r="2049" spans="1:11">
      <c r="A2049" s="241" t="e">
        <f>VLOOKUP(B2049,'lista 1'!$A$2:$E$30100,4,0)</f>
        <v>#N/A</v>
      </c>
      <c r="B2049" s="123"/>
      <c r="C2049" s="133" t="e">
        <f>VLOOKUP(B2049,'lista 1'!$A$2:$E$31000,5,0)</f>
        <v>#N/A</v>
      </c>
      <c r="D2049" s="167" t="e">
        <f>VLOOKUP(E13849,'lista obszary'!A:B,2,0)</f>
        <v>#N/A</v>
      </c>
      <c r="E2049" s="128" t="e">
        <f>VLOOKUP(B2049,'LISTA 12'!$A$2:$G$301400,5,0)</f>
        <v>#N/A</v>
      </c>
      <c r="F2049" s="121" t="e">
        <f>VLOOKUP(B2049,'LISTA 12'!$A$2:$G$30100,7,0)</f>
        <v>#N/A</v>
      </c>
      <c r="G2049" s="254" t="e">
        <f>VLOOKUP(H2049,'lista 3'!$A$1:$C$31467,3,0)</f>
        <v>#N/A</v>
      </c>
      <c r="H2049" s="134"/>
      <c r="I2049" s="136"/>
      <c r="J2049" s="135"/>
      <c r="K2049" s="22"/>
    </row>
    <row r="2050" spans="1:11">
      <c r="A2050" s="241" t="e">
        <f>VLOOKUP(B2050,'lista 1'!$A$2:$E$30100,4,0)</f>
        <v>#N/A</v>
      </c>
      <c r="B2050" s="123"/>
      <c r="C2050" s="133" t="e">
        <f>VLOOKUP(B2050,'lista 1'!$A$2:$E$31000,5,0)</f>
        <v>#N/A</v>
      </c>
      <c r="D2050" s="167" t="e">
        <f>VLOOKUP(E13850,'lista obszary'!A:B,2,0)</f>
        <v>#N/A</v>
      </c>
      <c r="E2050" s="128" t="e">
        <f>VLOOKUP(B2050,'LISTA 12'!$A$2:$G$301400,5,0)</f>
        <v>#N/A</v>
      </c>
      <c r="F2050" s="121" t="e">
        <f>VLOOKUP(B2050,'LISTA 12'!$A$2:$G$30100,7,0)</f>
        <v>#N/A</v>
      </c>
      <c r="G2050" s="254" t="e">
        <f>VLOOKUP(H2050,'lista 3'!$A$1:$C$31467,3,0)</f>
        <v>#N/A</v>
      </c>
      <c r="H2050" s="134"/>
      <c r="I2050" s="136"/>
      <c r="J2050" s="135"/>
      <c r="K2050" s="22"/>
    </row>
    <row r="2051" spans="1:11">
      <c r="A2051" s="241" t="e">
        <f>VLOOKUP(B2051,'lista 1'!$A$2:$E$30100,4,0)</f>
        <v>#N/A</v>
      </c>
      <c r="B2051" s="123"/>
      <c r="C2051" s="133" t="e">
        <f>VLOOKUP(B2051,'lista 1'!$A$2:$E$31000,5,0)</f>
        <v>#N/A</v>
      </c>
      <c r="D2051" s="167" t="e">
        <f>VLOOKUP(E13851,'lista obszary'!A:B,2,0)</f>
        <v>#N/A</v>
      </c>
      <c r="E2051" s="128" t="e">
        <f>VLOOKUP(B2051,'LISTA 12'!$A$2:$G$301400,5,0)</f>
        <v>#N/A</v>
      </c>
      <c r="F2051" s="121" t="e">
        <f>VLOOKUP(B2051,'LISTA 12'!$A$2:$G$30100,7,0)</f>
        <v>#N/A</v>
      </c>
      <c r="G2051" s="254" t="e">
        <f>VLOOKUP(H2051,'lista 3'!$A$1:$C$31467,3,0)</f>
        <v>#N/A</v>
      </c>
      <c r="H2051" s="134"/>
      <c r="I2051" s="136"/>
      <c r="J2051" s="135"/>
      <c r="K2051" s="22"/>
    </row>
    <row r="2052" spans="1:11">
      <c r="A2052" s="241" t="e">
        <f>VLOOKUP(B2052,'lista 1'!$A$2:$E$30100,4,0)</f>
        <v>#N/A</v>
      </c>
      <c r="B2052" s="123"/>
      <c r="C2052" s="133" t="e">
        <f>VLOOKUP(B2052,'lista 1'!$A$2:$E$31000,5,0)</f>
        <v>#N/A</v>
      </c>
      <c r="D2052" s="167" t="e">
        <f>VLOOKUP(E13852,'lista obszary'!A:B,2,0)</f>
        <v>#N/A</v>
      </c>
      <c r="E2052" s="128" t="e">
        <f>VLOOKUP(B2052,'LISTA 12'!$A$2:$G$301400,5,0)</f>
        <v>#N/A</v>
      </c>
      <c r="F2052" s="121" t="e">
        <f>VLOOKUP(B2052,'LISTA 12'!$A$2:$G$30100,7,0)</f>
        <v>#N/A</v>
      </c>
      <c r="G2052" s="254" t="e">
        <f>VLOOKUP(H2052,'lista 3'!$A$1:$C$31467,3,0)</f>
        <v>#N/A</v>
      </c>
      <c r="H2052" s="134"/>
      <c r="I2052" s="136"/>
      <c r="J2052" s="135"/>
      <c r="K2052" s="22"/>
    </row>
    <row r="2053" spans="1:11">
      <c r="A2053" s="241" t="e">
        <f>VLOOKUP(B2053,'lista 1'!$A$2:$E$30100,4,0)</f>
        <v>#N/A</v>
      </c>
      <c r="B2053" s="123"/>
      <c r="C2053" s="133" t="e">
        <f>VLOOKUP(B2053,'lista 1'!$A$2:$E$31000,5,0)</f>
        <v>#N/A</v>
      </c>
      <c r="D2053" s="167" t="e">
        <f>VLOOKUP(E13853,'lista obszary'!A:B,2,0)</f>
        <v>#N/A</v>
      </c>
      <c r="E2053" s="128" t="e">
        <f>VLOOKUP(B2053,'LISTA 12'!$A$2:$G$301400,5,0)</f>
        <v>#N/A</v>
      </c>
      <c r="F2053" s="121" t="e">
        <f>VLOOKUP(B2053,'LISTA 12'!$A$2:$G$30100,7,0)</f>
        <v>#N/A</v>
      </c>
      <c r="G2053" s="254" t="e">
        <f>VLOOKUP(H2053,'lista 3'!$A$1:$C$31467,3,0)</f>
        <v>#N/A</v>
      </c>
      <c r="H2053" s="134"/>
      <c r="I2053" s="136"/>
      <c r="J2053" s="135"/>
      <c r="K2053" s="22"/>
    </row>
    <row r="2054" spans="1:11">
      <c r="A2054" s="241" t="e">
        <f>VLOOKUP(B2054,'lista 1'!$A$2:$E$30100,4,0)</f>
        <v>#N/A</v>
      </c>
      <c r="B2054" s="123"/>
      <c r="C2054" s="133" t="e">
        <f>VLOOKUP(B2054,'lista 1'!$A$2:$E$31000,5,0)</f>
        <v>#N/A</v>
      </c>
      <c r="D2054" s="167" t="e">
        <f>VLOOKUP(E13854,'lista obszary'!A:B,2,0)</f>
        <v>#N/A</v>
      </c>
      <c r="E2054" s="128" t="e">
        <f>VLOOKUP(B2054,'LISTA 12'!$A$2:$G$301400,5,0)</f>
        <v>#N/A</v>
      </c>
      <c r="F2054" s="121" t="e">
        <f>VLOOKUP(B2054,'LISTA 12'!$A$2:$G$30100,7,0)</f>
        <v>#N/A</v>
      </c>
      <c r="G2054" s="254" t="e">
        <f>VLOOKUP(H2054,'lista 3'!$A$1:$C$31467,3,0)</f>
        <v>#N/A</v>
      </c>
      <c r="H2054" s="134"/>
      <c r="I2054" s="136"/>
      <c r="J2054" s="135"/>
      <c r="K2054" s="22"/>
    </row>
    <row r="2055" spans="1:11">
      <c r="A2055" s="241" t="e">
        <f>VLOOKUP(B2055,'lista 1'!$A$2:$E$30100,4,0)</f>
        <v>#N/A</v>
      </c>
      <c r="B2055" s="123"/>
      <c r="C2055" s="133" t="e">
        <f>VLOOKUP(B2055,'lista 1'!$A$2:$E$31000,5,0)</f>
        <v>#N/A</v>
      </c>
      <c r="D2055" s="167" t="e">
        <f>VLOOKUP(E13855,'lista obszary'!A:B,2,0)</f>
        <v>#N/A</v>
      </c>
      <c r="E2055" s="128" t="e">
        <f>VLOOKUP(B2055,'LISTA 12'!$A$2:$G$301400,5,0)</f>
        <v>#N/A</v>
      </c>
      <c r="F2055" s="121" t="e">
        <f>VLOOKUP(B2055,'LISTA 12'!$A$2:$G$30100,7,0)</f>
        <v>#N/A</v>
      </c>
      <c r="G2055" s="254" t="e">
        <f>VLOOKUP(H2055,'lista 3'!$A$1:$C$31467,3,0)</f>
        <v>#N/A</v>
      </c>
      <c r="H2055" s="134"/>
      <c r="I2055" s="136"/>
      <c r="J2055" s="135"/>
      <c r="K2055" s="22"/>
    </row>
    <row r="2056" spans="1:11">
      <c r="A2056" s="241" t="e">
        <f>VLOOKUP(B2056,'lista 1'!$A$2:$E$30100,4,0)</f>
        <v>#N/A</v>
      </c>
      <c r="B2056" s="123"/>
      <c r="C2056" s="133" t="e">
        <f>VLOOKUP(B2056,'lista 1'!$A$2:$E$31000,5,0)</f>
        <v>#N/A</v>
      </c>
      <c r="D2056" s="167" t="e">
        <f>VLOOKUP(E13856,'lista obszary'!A:B,2,0)</f>
        <v>#N/A</v>
      </c>
      <c r="E2056" s="128" t="e">
        <f>VLOOKUP(B2056,'LISTA 12'!$A$2:$G$301400,5,0)</f>
        <v>#N/A</v>
      </c>
      <c r="F2056" s="121" t="e">
        <f>VLOOKUP(B2056,'LISTA 12'!$A$2:$G$30100,7,0)</f>
        <v>#N/A</v>
      </c>
      <c r="G2056" s="254" t="e">
        <f>VLOOKUP(H2056,'lista 3'!$A$1:$C$31467,3,0)</f>
        <v>#N/A</v>
      </c>
      <c r="H2056" s="134"/>
      <c r="I2056" s="136"/>
      <c r="J2056" s="135"/>
      <c r="K2056" s="22"/>
    </row>
    <row r="2057" spans="1:11">
      <c r="A2057" s="241" t="e">
        <f>VLOOKUP(B2057,'lista 1'!$A$2:$E$30100,4,0)</f>
        <v>#N/A</v>
      </c>
      <c r="B2057" s="123"/>
      <c r="C2057" s="133" t="e">
        <f>VLOOKUP(B2057,'lista 1'!$A$2:$E$31000,5,0)</f>
        <v>#N/A</v>
      </c>
      <c r="D2057" s="167" t="e">
        <f>VLOOKUP(E13857,'lista obszary'!A:B,2,0)</f>
        <v>#N/A</v>
      </c>
      <c r="E2057" s="128" t="e">
        <f>VLOOKUP(B2057,'LISTA 12'!$A$2:$G$301400,5,0)</f>
        <v>#N/A</v>
      </c>
      <c r="F2057" s="121" t="e">
        <f>VLOOKUP(B2057,'LISTA 12'!$A$2:$G$30100,7,0)</f>
        <v>#N/A</v>
      </c>
      <c r="G2057" s="254" t="e">
        <f>VLOOKUP(H2057,'lista 3'!$A$1:$C$31467,3,0)</f>
        <v>#N/A</v>
      </c>
      <c r="H2057" s="134"/>
      <c r="I2057" s="136"/>
      <c r="J2057" s="135"/>
      <c r="K2057" s="22"/>
    </row>
    <row r="2058" spans="1:11">
      <c r="A2058" s="241" t="e">
        <f>VLOOKUP(B2058,'lista 1'!$A$2:$E$30100,4,0)</f>
        <v>#N/A</v>
      </c>
      <c r="B2058" s="123"/>
      <c r="C2058" s="133" t="e">
        <f>VLOOKUP(B2058,'lista 1'!$A$2:$E$31000,5,0)</f>
        <v>#N/A</v>
      </c>
      <c r="D2058" s="167" t="e">
        <f>VLOOKUP(E13858,'lista obszary'!A:B,2,0)</f>
        <v>#N/A</v>
      </c>
      <c r="E2058" s="128" t="e">
        <f>VLOOKUP(B2058,'LISTA 12'!$A$2:$G$301400,5,0)</f>
        <v>#N/A</v>
      </c>
      <c r="F2058" s="121" t="e">
        <f>VLOOKUP(B2058,'LISTA 12'!$A$2:$G$30100,7,0)</f>
        <v>#N/A</v>
      </c>
      <c r="G2058" s="254" t="e">
        <f>VLOOKUP(H2058,'lista 3'!$A$1:$C$31467,3,0)</f>
        <v>#N/A</v>
      </c>
      <c r="H2058" s="134"/>
      <c r="I2058" s="136"/>
      <c r="J2058" s="135"/>
      <c r="K2058" s="22"/>
    </row>
    <row r="2059" spans="1:11">
      <c r="A2059" s="241" t="e">
        <f>VLOOKUP(B2059,'lista 1'!$A$2:$E$30100,4,0)</f>
        <v>#N/A</v>
      </c>
      <c r="B2059" s="123"/>
      <c r="C2059" s="133" t="e">
        <f>VLOOKUP(B2059,'lista 1'!$A$2:$E$31000,5,0)</f>
        <v>#N/A</v>
      </c>
      <c r="D2059" s="167" t="e">
        <f>VLOOKUP(E13859,'lista obszary'!A:B,2,0)</f>
        <v>#N/A</v>
      </c>
      <c r="E2059" s="128" t="e">
        <f>VLOOKUP(B2059,'LISTA 12'!$A$2:$G$301400,5,0)</f>
        <v>#N/A</v>
      </c>
      <c r="F2059" s="121" t="e">
        <f>VLOOKUP(B2059,'LISTA 12'!$A$2:$G$30100,7,0)</f>
        <v>#N/A</v>
      </c>
      <c r="G2059" s="254" t="e">
        <f>VLOOKUP(H2059,'lista 3'!$A$1:$C$31467,3,0)</f>
        <v>#N/A</v>
      </c>
      <c r="H2059" s="134"/>
      <c r="I2059" s="136"/>
      <c r="J2059" s="135"/>
      <c r="K2059" s="22"/>
    </row>
    <row r="2060" spans="1:11">
      <c r="A2060" s="241" t="e">
        <f>VLOOKUP(B2060,'lista 1'!$A$2:$E$30100,4,0)</f>
        <v>#N/A</v>
      </c>
      <c r="B2060" s="123"/>
      <c r="C2060" s="133" t="e">
        <f>VLOOKUP(B2060,'lista 1'!$A$2:$E$31000,5,0)</f>
        <v>#N/A</v>
      </c>
      <c r="D2060" s="167" t="e">
        <f>VLOOKUP(E13860,'lista obszary'!A:B,2,0)</f>
        <v>#N/A</v>
      </c>
      <c r="E2060" s="128" t="e">
        <f>VLOOKUP(B2060,'LISTA 12'!$A$2:$G$301400,5,0)</f>
        <v>#N/A</v>
      </c>
      <c r="F2060" s="121" t="e">
        <f>VLOOKUP(B2060,'LISTA 12'!$A$2:$G$30100,7,0)</f>
        <v>#N/A</v>
      </c>
      <c r="G2060" s="254" t="e">
        <f>VLOOKUP(H2060,'lista 3'!$A$1:$C$31467,3,0)</f>
        <v>#N/A</v>
      </c>
      <c r="H2060" s="134"/>
      <c r="I2060" s="136"/>
      <c r="J2060" s="135"/>
      <c r="K2060" s="22"/>
    </row>
    <row r="2061" spans="1:11">
      <c r="A2061" s="241" t="e">
        <f>VLOOKUP(B2061,'lista 1'!$A$2:$E$30100,4,0)</f>
        <v>#N/A</v>
      </c>
      <c r="B2061" s="123"/>
      <c r="C2061" s="133" t="e">
        <f>VLOOKUP(B2061,'lista 1'!$A$2:$E$31000,5,0)</f>
        <v>#N/A</v>
      </c>
      <c r="D2061" s="167" t="e">
        <f>VLOOKUP(E13861,'lista obszary'!A:B,2,0)</f>
        <v>#N/A</v>
      </c>
      <c r="E2061" s="128" t="e">
        <f>VLOOKUP(B2061,'LISTA 12'!$A$2:$G$301400,5,0)</f>
        <v>#N/A</v>
      </c>
      <c r="F2061" s="121" t="e">
        <f>VLOOKUP(B2061,'LISTA 12'!$A$2:$G$30100,7,0)</f>
        <v>#N/A</v>
      </c>
      <c r="G2061" s="254" t="e">
        <f>VLOOKUP(H2061,'lista 3'!$A$1:$C$31467,3,0)</f>
        <v>#N/A</v>
      </c>
      <c r="H2061" s="134"/>
      <c r="I2061" s="136"/>
      <c r="J2061" s="135"/>
      <c r="K2061" s="22"/>
    </row>
    <row r="2062" spans="1:11">
      <c r="A2062" s="241" t="e">
        <f>VLOOKUP(B2062,'lista 1'!$A$2:$E$30100,4,0)</f>
        <v>#N/A</v>
      </c>
      <c r="B2062" s="123"/>
      <c r="C2062" s="133" t="e">
        <f>VLOOKUP(B2062,'lista 1'!$A$2:$E$31000,5,0)</f>
        <v>#N/A</v>
      </c>
      <c r="D2062" s="167" t="e">
        <f>VLOOKUP(E13862,'lista obszary'!A:B,2,0)</f>
        <v>#N/A</v>
      </c>
      <c r="E2062" s="128" t="e">
        <f>VLOOKUP(B2062,'LISTA 12'!$A$2:$G$301400,5,0)</f>
        <v>#N/A</v>
      </c>
      <c r="F2062" s="121" t="e">
        <f>VLOOKUP(B2062,'LISTA 12'!$A$2:$G$30100,7,0)</f>
        <v>#N/A</v>
      </c>
      <c r="G2062" s="254" t="e">
        <f>VLOOKUP(H2062,'lista 3'!$A$1:$C$31467,3,0)</f>
        <v>#N/A</v>
      </c>
      <c r="H2062" s="134"/>
      <c r="I2062" s="136"/>
      <c r="J2062" s="135"/>
      <c r="K2062" s="22"/>
    </row>
    <row r="2063" spans="1:11">
      <c r="A2063" s="241" t="e">
        <f>VLOOKUP(B2063,'lista 1'!$A$2:$E$30100,4,0)</f>
        <v>#N/A</v>
      </c>
      <c r="B2063" s="123"/>
      <c r="C2063" s="133" t="e">
        <f>VLOOKUP(B2063,'lista 1'!$A$2:$E$31000,5,0)</f>
        <v>#N/A</v>
      </c>
      <c r="D2063" s="167" t="e">
        <f>VLOOKUP(E13863,'lista obszary'!A:B,2,0)</f>
        <v>#N/A</v>
      </c>
      <c r="E2063" s="128" t="e">
        <f>VLOOKUP(B2063,'LISTA 12'!$A$2:$G$301400,5,0)</f>
        <v>#N/A</v>
      </c>
      <c r="F2063" s="121" t="e">
        <f>VLOOKUP(B2063,'LISTA 12'!$A$2:$G$30100,7,0)</f>
        <v>#N/A</v>
      </c>
      <c r="G2063" s="254" t="e">
        <f>VLOOKUP(H2063,'lista 3'!$A$1:$C$31467,3,0)</f>
        <v>#N/A</v>
      </c>
      <c r="H2063" s="134"/>
      <c r="I2063" s="136"/>
      <c r="J2063" s="135"/>
      <c r="K2063" s="22"/>
    </row>
    <row r="2064" spans="1:11">
      <c r="A2064" s="241" t="e">
        <f>VLOOKUP(B2064,'lista 1'!$A$2:$E$30100,4,0)</f>
        <v>#N/A</v>
      </c>
      <c r="B2064" s="123"/>
      <c r="C2064" s="133" t="e">
        <f>VLOOKUP(B2064,'lista 1'!$A$2:$E$31000,5,0)</f>
        <v>#N/A</v>
      </c>
      <c r="D2064" s="167" t="e">
        <f>VLOOKUP(E13864,'lista obszary'!A:B,2,0)</f>
        <v>#N/A</v>
      </c>
      <c r="E2064" s="128" t="e">
        <f>VLOOKUP(B2064,'LISTA 12'!$A$2:$G$301400,5,0)</f>
        <v>#N/A</v>
      </c>
      <c r="F2064" s="121" t="e">
        <f>VLOOKUP(B2064,'LISTA 12'!$A$2:$G$30100,7,0)</f>
        <v>#N/A</v>
      </c>
      <c r="G2064" s="254" t="e">
        <f>VLOOKUP(H2064,'lista 3'!$A$1:$C$31467,3,0)</f>
        <v>#N/A</v>
      </c>
      <c r="H2064" s="134"/>
      <c r="I2064" s="136"/>
      <c r="J2064" s="135"/>
      <c r="K2064" s="22"/>
    </row>
    <row r="2065" spans="1:11">
      <c r="A2065" s="241" t="e">
        <f>VLOOKUP(B2065,'lista 1'!$A$2:$E$30100,4,0)</f>
        <v>#N/A</v>
      </c>
      <c r="B2065" s="123"/>
      <c r="C2065" s="133" t="e">
        <f>VLOOKUP(B2065,'lista 1'!$A$2:$E$31000,5,0)</f>
        <v>#N/A</v>
      </c>
      <c r="D2065" s="167" t="e">
        <f>VLOOKUP(E13865,'lista obszary'!A:B,2,0)</f>
        <v>#N/A</v>
      </c>
      <c r="E2065" s="128" t="e">
        <f>VLOOKUP(B2065,'LISTA 12'!$A$2:$G$301400,5,0)</f>
        <v>#N/A</v>
      </c>
      <c r="F2065" s="121" t="e">
        <f>VLOOKUP(B2065,'LISTA 12'!$A$2:$G$30100,7,0)</f>
        <v>#N/A</v>
      </c>
      <c r="G2065" s="254" t="e">
        <f>VLOOKUP(H2065,'lista 3'!$A$1:$C$31467,3,0)</f>
        <v>#N/A</v>
      </c>
      <c r="H2065" s="134"/>
      <c r="I2065" s="136"/>
      <c r="J2065" s="135"/>
      <c r="K2065" s="22"/>
    </row>
    <row r="2066" spans="1:11">
      <c r="A2066" s="241" t="e">
        <f>VLOOKUP(B2066,'lista 1'!$A$2:$E$30100,4,0)</f>
        <v>#N/A</v>
      </c>
      <c r="B2066" s="123"/>
      <c r="C2066" s="133" t="e">
        <f>VLOOKUP(B2066,'lista 1'!$A$2:$E$31000,5,0)</f>
        <v>#N/A</v>
      </c>
      <c r="D2066" s="167" t="e">
        <f>VLOOKUP(E13866,'lista obszary'!A:B,2,0)</f>
        <v>#N/A</v>
      </c>
      <c r="E2066" s="128" t="e">
        <f>VLOOKUP(B2066,'LISTA 12'!$A$2:$G$301400,5,0)</f>
        <v>#N/A</v>
      </c>
      <c r="F2066" s="121" t="e">
        <f>VLOOKUP(B2066,'LISTA 12'!$A$2:$G$30100,7,0)</f>
        <v>#N/A</v>
      </c>
      <c r="G2066" s="254" t="e">
        <f>VLOOKUP(H2066,'lista 3'!$A$1:$C$31467,3,0)</f>
        <v>#N/A</v>
      </c>
      <c r="H2066" s="134"/>
      <c r="I2066" s="136"/>
      <c r="J2066" s="135"/>
      <c r="K2066" s="22"/>
    </row>
    <row r="2067" spans="1:11">
      <c r="A2067" s="241" t="e">
        <f>VLOOKUP(B2067,'lista 1'!$A$2:$E$30100,4,0)</f>
        <v>#N/A</v>
      </c>
      <c r="B2067" s="123"/>
      <c r="C2067" s="133" t="e">
        <f>VLOOKUP(B2067,'lista 1'!$A$2:$E$31000,5,0)</f>
        <v>#N/A</v>
      </c>
      <c r="D2067" s="167" t="e">
        <f>VLOOKUP(E13867,'lista obszary'!A:B,2,0)</f>
        <v>#N/A</v>
      </c>
      <c r="E2067" s="128" t="e">
        <f>VLOOKUP(B2067,'LISTA 12'!$A$2:$G$301400,5,0)</f>
        <v>#N/A</v>
      </c>
      <c r="F2067" s="121" t="e">
        <f>VLOOKUP(B2067,'LISTA 12'!$A$2:$G$30100,7,0)</f>
        <v>#N/A</v>
      </c>
      <c r="G2067" s="254" t="e">
        <f>VLOOKUP(H2067,'lista 3'!$A$1:$C$31467,3,0)</f>
        <v>#N/A</v>
      </c>
      <c r="H2067" s="134"/>
      <c r="I2067" s="136"/>
      <c r="J2067" s="135"/>
      <c r="K2067" s="22"/>
    </row>
    <row r="2068" spans="1:11">
      <c r="A2068" s="241" t="e">
        <f>VLOOKUP(B2068,'lista 1'!$A$2:$E$30100,4,0)</f>
        <v>#N/A</v>
      </c>
      <c r="B2068" s="123"/>
      <c r="C2068" s="133" t="e">
        <f>VLOOKUP(B2068,'lista 1'!$A$2:$E$31000,5,0)</f>
        <v>#N/A</v>
      </c>
      <c r="D2068" s="167" t="e">
        <f>VLOOKUP(E13868,'lista obszary'!A:B,2,0)</f>
        <v>#N/A</v>
      </c>
      <c r="E2068" s="128" t="e">
        <f>VLOOKUP(B2068,'LISTA 12'!$A$2:$G$301400,5,0)</f>
        <v>#N/A</v>
      </c>
      <c r="F2068" s="121" t="e">
        <f>VLOOKUP(B2068,'LISTA 12'!$A$2:$G$30100,7,0)</f>
        <v>#N/A</v>
      </c>
      <c r="G2068" s="254" t="e">
        <f>VLOOKUP(H2068,'lista 3'!$A$1:$C$31467,3,0)</f>
        <v>#N/A</v>
      </c>
      <c r="H2068" s="134"/>
      <c r="I2068" s="136"/>
      <c r="J2068" s="135"/>
      <c r="K2068" s="22"/>
    </row>
    <row r="2069" spans="1:11">
      <c r="A2069" s="241" t="e">
        <f>VLOOKUP(B2069,'lista 1'!$A$2:$E$30100,4,0)</f>
        <v>#N/A</v>
      </c>
      <c r="B2069" s="123"/>
      <c r="C2069" s="133" t="e">
        <f>VLOOKUP(B2069,'lista 1'!$A$2:$E$31000,5,0)</f>
        <v>#N/A</v>
      </c>
      <c r="D2069" s="167" t="e">
        <f>VLOOKUP(E13869,'lista obszary'!A:B,2,0)</f>
        <v>#N/A</v>
      </c>
      <c r="E2069" s="128" t="e">
        <f>VLOOKUP(B2069,'LISTA 12'!$A$2:$G$301400,5,0)</f>
        <v>#N/A</v>
      </c>
      <c r="F2069" s="121" t="e">
        <f>VLOOKUP(B2069,'LISTA 12'!$A$2:$G$30100,7,0)</f>
        <v>#N/A</v>
      </c>
      <c r="G2069" s="254" t="e">
        <f>VLOOKUP(H2069,'lista 3'!$A$1:$C$31467,3,0)</f>
        <v>#N/A</v>
      </c>
      <c r="H2069" s="134"/>
      <c r="I2069" s="136"/>
      <c r="J2069" s="135"/>
      <c r="K2069" s="22"/>
    </row>
    <row r="2070" spans="1:11">
      <c r="A2070" s="241" t="e">
        <f>VLOOKUP(B2070,'lista 1'!$A$2:$E$30100,4,0)</f>
        <v>#N/A</v>
      </c>
      <c r="B2070" s="123"/>
      <c r="C2070" s="133" t="e">
        <f>VLOOKUP(B2070,'lista 1'!$A$2:$E$31000,5,0)</f>
        <v>#N/A</v>
      </c>
      <c r="D2070" s="167" t="e">
        <f>VLOOKUP(E13870,'lista obszary'!A:B,2,0)</f>
        <v>#N/A</v>
      </c>
      <c r="E2070" s="128" t="e">
        <f>VLOOKUP(B2070,'LISTA 12'!$A$2:$G$301400,5,0)</f>
        <v>#N/A</v>
      </c>
      <c r="F2070" s="121" t="e">
        <f>VLOOKUP(B2070,'LISTA 12'!$A$2:$G$30100,7,0)</f>
        <v>#N/A</v>
      </c>
      <c r="G2070" s="254" t="e">
        <f>VLOOKUP(H2070,'lista 3'!$A$1:$C$31467,3,0)</f>
        <v>#N/A</v>
      </c>
      <c r="H2070" s="134"/>
      <c r="I2070" s="136"/>
      <c r="J2070" s="135"/>
      <c r="K2070" s="22"/>
    </row>
    <row r="2071" spans="1:11">
      <c r="A2071" s="241" t="e">
        <f>VLOOKUP(B2071,'lista 1'!$A$2:$E$30100,4,0)</f>
        <v>#N/A</v>
      </c>
      <c r="B2071" s="123"/>
      <c r="C2071" s="133" t="e">
        <f>VLOOKUP(B2071,'lista 1'!$A$2:$E$31000,5,0)</f>
        <v>#N/A</v>
      </c>
      <c r="D2071" s="167" t="e">
        <f>VLOOKUP(E13871,'lista obszary'!A:B,2,0)</f>
        <v>#N/A</v>
      </c>
      <c r="E2071" s="128" t="e">
        <f>VLOOKUP(B2071,'LISTA 12'!$A$2:$G$301400,5,0)</f>
        <v>#N/A</v>
      </c>
      <c r="F2071" s="121" t="e">
        <f>VLOOKUP(B2071,'LISTA 12'!$A$2:$G$30100,7,0)</f>
        <v>#N/A</v>
      </c>
      <c r="G2071" s="254" t="e">
        <f>VLOOKUP(H2071,'lista 3'!$A$1:$C$31467,3,0)</f>
        <v>#N/A</v>
      </c>
      <c r="H2071" s="134"/>
      <c r="I2071" s="136"/>
      <c r="J2071" s="135"/>
      <c r="K2071" s="22"/>
    </row>
    <row r="2072" spans="1:11">
      <c r="A2072" s="241" t="e">
        <f>VLOOKUP(B2072,'lista 1'!$A$2:$E$30100,4,0)</f>
        <v>#N/A</v>
      </c>
      <c r="B2072" s="123"/>
      <c r="C2072" s="133" t="e">
        <f>VLOOKUP(B2072,'lista 1'!$A$2:$E$31000,5,0)</f>
        <v>#N/A</v>
      </c>
      <c r="D2072" s="167" t="e">
        <f>VLOOKUP(E13872,'lista obszary'!A:B,2,0)</f>
        <v>#N/A</v>
      </c>
      <c r="E2072" s="128" t="e">
        <f>VLOOKUP(B2072,'LISTA 12'!$A$2:$G$301400,5,0)</f>
        <v>#N/A</v>
      </c>
      <c r="F2072" s="121" t="e">
        <f>VLOOKUP(B2072,'LISTA 12'!$A$2:$G$30100,7,0)</f>
        <v>#N/A</v>
      </c>
      <c r="G2072" s="254" t="e">
        <f>VLOOKUP(H2072,'lista 3'!$A$1:$C$31467,3,0)</f>
        <v>#N/A</v>
      </c>
      <c r="H2072" s="134"/>
      <c r="I2072" s="136"/>
      <c r="J2072" s="135"/>
      <c r="K2072" s="22"/>
    </row>
    <row r="2073" spans="1:11">
      <c r="A2073" s="241" t="e">
        <f>VLOOKUP(B2073,'lista 1'!$A$2:$E$30100,4,0)</f>
        <v>#N/A</v>
      </c>
      <c r="B2073" s="123"/>
      <c r="C2073" s="133" t="e">
        <f>VLOOKUP(B2073,'lista 1'!$A$2:$E$31000,5,0)</f>
        <v>#N/A</v>
      </c>
      <c r="D2073" s="167" t="e">
        <f>VLOOKUP(E13873,'lista obszary'!A:B,2,0)</f>
        <v>#N/A</v>
      </c>
      <c r="E2073" s="128" t="e">
        <f>VLOOKUP(B2073,'LISTA 12'!$A$2:$G$301400,5,0)</f>
        <v>#N/A</v>
      </c>
      <c r="F2073" s="121" t="e">
        <f>VLOOKUP(B2073,'LISTA 12'!$A$2:$G$30100,7,0)</f>
        <v>#N/A</v>
      </c>
      <c r="G2073" s="254" t="e">
        <f>VLOOKUP(H2073,'lista 3'!$A$1:$C$31467,3,0)</f>
        <v>#N/A</v>
      </c>
      <c r="H2073" s="134"/>
      <c r="I2073" s="136"/>
      <c r="J2073" s="135"/>
      <c r="K2073" s="22"/>
    </row>
    <row r="2074" spans="1:11">
      <c r="A2074" s="241" t="e">
        <f>VLOOKUP(B2074,'lista 1'!$A$2:$E$30100,4,0)</f>
        <v>#N/A</v>
      </c>
      <c r="B2074" s="123"/>
      <c r="C2074" s="133" t="e">
        <f>VLOOKUP(B2074,'lista 1'!$A$2:$E$31000,5,0)</f>
        <v>#N/A</v>
      </c>
      <c r="D2074" s="167" t="e">
        <f>VLOOKUP(E13874,'lista obszary'!A:B,2,0)</f>
        <v>#N/A</v>
      </c>
      <c r="E2074" s="128" t="e">
        <f>VLOOKUP(B2074,'LISTA 12'!$A$2:$G$301400,5,0)</f>
        <v>#N/A</v>
      </c>
      <c r="F2074" s="121" t="e">
        <f>VLOOKUP(B2074,'LISTA 12'!$A$2:$G$30100,7,0)</f>
        <v>#N/A</v>
      </c>
      <c r="G2074" s="254" t="e">
        <f>VLOOKUP(H2074,'lista 3'!$A$1:$C$31467,3,0)</f>
        <v>#N/A</v>
      </c>
      <c r="H2074" s="134"/>
      <c r="I2074" s="136"/>
      <c r="J2074" s="135"/>
      <c r="K2074" s="22"/>
    </row>
    <row r="2075" spans="1:11">
      <c r="A2075" s="241" t="e">
        <f>VLOOKUP(B2075,'lista 1'!$A$2:$E$30100,4,0)</f>
        <v>#N/A</v>
      </c>
      <c r="B2075" s="123"/>
      <c r="C2075" s="133" t="e">
        <f>VLOOKUP(B2075,'lista 1'!$A$2:$E$31000,5,0)</f>
        <v>#N/A</v>
      </c>
      <c r="D2075" s="167" t="e">
        <f>VLOOKUP(E13875,'lista obszary'!A:B,2,0)</f>
        <v>#N/A</v>
      </c>
      <c r="E2075" s="128" t="e">
        <f>VLOOKUP(B2075,'LISTA 12'!$A$2:$G$301400,5,0)</f>
        <v>#N/A</v>
      </c>
      <c r="F2075" s="121" t="e">
        <f>VLOOKUP(B2075,'LISTA 12'!$A$2:$G$30100,7,0)</f>
        <v>#N/A</v>
      </c>
      <c r="G2075" s="254" t="e">
        <f>VLOOKUP(H2075,'lista 3'!$A$1:$C$31467,3,0)</f>
        <v>#N/A</v>
      </c>
      <c r="H2075" s="134"/>
      <c r="I2075" s="136"/>
      <c r="J2075" s="135"/>
      <c r="K2075" s="22"/>
    </row>
    <row r="2076" spans="1:11">
      <c r="A2076" s="241" t="e">
        <f>VLOOKUP(B2076,'lista 1'!$A$2:$E$30100,4,0)</f>
        <v>#N/A</v>
      </c>
      <c r="B2076" s="123"/>
      <c r="C2076" s="133" t="e">
        <f>VLOOKUP(B2076,'lista 1'!$A$2:$E$31000,5,0)</f>
        <v>#N/A</v>
      </c>
      <c r="D2076" s="167" t="e">
        <f>VLOOKUP(E13876,'lista obszary'!A:B,2,0)</f>
        <v>#N/A</v>
      </c>
      <c r="E2076" s="128" t="e">
        <f>VLOOKUP(B2076,'LISTA 12'!$A$2:$G$301400,5,0)</f>
        <v>#N/A</v>
      </c>
      <c r="F2076" s="121" t="e">
        <f>VLOOKUP(B2076,'LISTA 12'!$A$2:$G$30100,7,0)</f>
        <v>#N/A</v>
      </c>
      <c r="G2076" s="254" t="e">
        <f>VLOOKUP(H2076,'lista 3'!$A$1:$C$31467,3,0)</f>
        <v>#N/A</v>
      </c>
      <c r="H2076" s="134"/>
      <c r="I2076" s="136"/>
      <c r="J2076" s="135"/>
      <c r="K2076" s="22"/>
    </row>
    <row r="2077" spans="1:11">
      <c r="A2077" s="241" t="e">
        <f>VLOOKUP(B2077,'lista 1'!$A$2:$E$30100,4,0)</f>
        <v>#N/A</v>
      </c>
      <c r="B2077" s="123"/>
      <c r="C2077" s="133" t="e">
        <f>VLOOKUP(B2077,'lista 1'!$A$2:$E$31000,5,0)</f>
        <v>#N/A</v>
      </c>
      <c r="D2077" s="167" t="e">
        <f>VLOOKUP(E13877,'lista obszary'!A:B,2,0)</f>
        <v>#N/A</v>
      </c>
      <c r="E2077" s="128" t="e">
        <f>VLOOKUP(B2077,'LISTA 12'!$A$2:$G$301400,5,0)</f>
        <v>#N/A</v>
      </c>
      <c r="F2077" s="121" t="e">
        <f>VLOOKUP(B2077,'LISTA 12'!$A$2:$G$30100,7,0)</f>
        <v>#N/A</v>
      </c>
      <c r="G2077" s="254" t="e">
        <f>VLOOKUP(H2077,'lista 3'!$A$1:$C$31467,3,0)</f>
        <v>#N/A</v>
      </c>
      <c r="H2077" s="134"/>
      <c r="I2077" s="136"/>
      <c r="J2077" s="135"/>
      <c r="K2077" s="22"/>
    </row>
    <row r="2078" spans="1:11">
      <c r="A2078" s="241" t="e">
        <f>VLOOKUP(B2078,'lista 1'!$A$2:$E$30100,4,0)</f>
        <v>#N/A</v>
      </c>
      <c r="B2078" s="123"/>
      <c r="C2078" s="133" t="e">
        <f>VLOOKUP(B2078,'lista 1'!$A$2:$E$31000,5,0)</f>
        <v>#N/A</v>
      </c>
      <c r="D2078" s="167" t="e">
        <f>VLOOKUP(E13878,'lista obszary'!A:B,2,0)</f>
        <v>#N/A</v>
      </c>
      <c r="E2078" s="128" t="e">
        <f>VLOOKUP(B2078,'LISTA 12'!$A$2:$G$301400,5,0)</f>
        <v>#N/A</v>
      </c>
      <c r="F2078" s="121" t="e">
        <f>VLOOKUP(B2078,'LISTA 12'!$A$2:$G$30100,7,0)</f>
        <v>#N/A</v>
      </c>
      <c r="G2078" s="254" t="e">
        <f>VLOOKUP(H2078,'lista 3'!$A$1:$C$31467,3,0)</f>
        <v>#N/A</v>
      </c>
      <c r="H2078" s="134"/>
      <c r="I2078" s="136"/>
      <c r="J2078" s="135"/>
      <c r="K2078" s="22"/>
    </row>
    <row r="2079" spans="1:11">
      <c r="A2079" s="241" t="e">
        <f>VLOOKUP(B2079,'lista 1'!$A$2:$E$30100,4,0)</f>
        <v>#N/A</v>
      </c>
      <c r="B2079" s="123"/>
      <c r="C2079" s="133" t="e">
        <f>VLOOKUP(B2079,'lista 1'!$A$2:$E$31000,5,0)</f>
        <v>#N/A</v>
      </c>
      <c r="D2079" s="167" t="e">
        <f>VLOOKUP(E13879,'lista obszary'!A:B,2,0)</f>
        <v>#N/A</v>
      </c>
      <c r="E2079" s="128" t="e">
        <f>VLOOKUP(B2079,'LISTA 12'!$A$2:$G$301400,5,0)</f>
        <v>#N/A</v>
      </c>
      <c r="F2079" s="121" t="e">
        <f>VLOOKUP(B2079,'LISTA 12'!$A$2:$G$30100,7,0)</f>
        <v>#N/A</v>
      </c>
      <c r="G2079" s="254" t="e">
        <f>VLOOKUP(H2079,'lista 3'!$A$1:$C$31467,3,0)</f>
        <v>#N/A</v>
      </c>
      <c r="H2079" s="134"/>
      <c r="I2079" s="136"/>
      <c r="J2079" s="135"/>
      <c r="K2079" s="22"/>
    </row>
    <row r="2080" spans="1:11">
      <c r="A2080" s="241" t="e">
        <f>VLOOKUP(B2080,'lista 1'!$A$2:$E$30100,4,0)</f>
        <v>#N/A</v>
      </c>
      <c r="B2080" s="123"/>
      <c r="C2080" s="133" t="e">
        <f>VLOOKUP(B2080,'lista 1'!$A$2:$E$31000,5,0)</f>
        <v>#N/A</v>
      </c>
      <c r="D2080" s="167" t="e">
        <f>VLOOKUP(E13880,'lista obszary'!A:B,2,0)</f>
        <v>#N/A</v>
      </c>
      <c r="E2080" s="128" t="e">
        <f>VLOOKUP(B2080,'LISTA 12'!$A$2:$G$301400,5,0)</f>
        <v>#N/A</v>
      </c>
      <c r="F2080" s="121" t="e">
        <f>VLOOKUP(B2080,'LISTA 12'!$A$2:$G$30100,7,0)</f>
        <v>#N/A</v>
      </c>
      <c r="G2080" s="254" t="e">
        <f>VLOOKUP(H2080,'lista 3'!$A$1:$C$31467,3,0)</f>
        <v>#N/A</v>
      </c>
      <c r="H2080" s="134"/>
      <c r="I2080" s="136"/>
      <c r="J2080" s="135"/>
      <c r="K2080" s="22"/>
    </row>
    <row r="2081" spans="1:11">
      <c r="A2081" s="241" t="e">
        <f>VLOOKUP(B2081,'lista 1'!$A$2:$E$30100,4,0)</f>
        <v>#N/A</v>
      </c>
      <c r="B2081" s="123"/>
      <c r="C2081" s="133" t="e">
        <f>VLOOKUP(B2081,'lista 1'!$A$2:$E$31000,5,0)</f>
        <v>#N/A</v>
      </c>
      <c r="D2081" s="167" t="e">
        <f>VLOOKUP(E13881,'lista obszary'!A:B,2,0)</f>
        <v>#N/A</v>
      </c>
      <c r="E2081" s="128" t="e">
        <f>VLOOKUP(B2081,'LISTA 12'!$A$2:$G$301400,5,0)</f>
        <v>#N/A</v>
      </c>
      <c r="F2081" s="121" t="e">
        <f>VLOOKUP(B2081,'LISTA 12'!$A$2:$G$30100,7,0)</f>
        <v>#N/A</v>
      </c>
      <c r="G2081" s="254" t="e">
        <f>VLOOKUP(H2081,'lista 3'!$A$1:$C$31467,3,0)</f>
        <v>#N/A</v>
      </c>
      <c r="H2081" s="134"/>
      <c r="I2081" s="136"/>
      <c r="J2081" s="135"/>
      <c r="K2081" s="22"/>
    </row>
    <row r="2082" spans="1:11">
      <c r="A2082" s="241" t="e">
        <f>VLOOKUP(B2082,'lista 1'!$A$2:$E$30100,4,0)</f>
        <v>#N/A</v>
      </c>
      <c r="B2082" s="123"/>
      <c r="C2082" s="133" t="e">
        <f>VLOOKUP(B2082,'lista 1'!$A$2:$E$31000,5,0)</f>
        <v>#N/A</v>
      </c>
      <c r="D2082" s="167" t="e">
        <f>VLOOKUP(E13882,'lista obszary'!A:B,2,0)</f>
        <v>#N/A</v>
      </c>
      <c r="E2082" s="128" t="e">
        <f>VLOOKUP(B2082,'LISTA 12'!$A$2:$G$301400,5,0)</f>
        <v>#N/A</v>
      </c>
      <c r="F2082" s="121" t="e">
        <f>VLOOKUP(B2082,'LISTA 12'!$A$2:$G$30100,7,0)</f>
        <v>#N/A</v>
      </c>
      <c r="G2082" s="254" t="e">
        <f>VLOOKUP(H2082,'lista 3'!$A$1:$C$31467,3,0)</f>
        <v>#N/A</v>
      </c>
      <c r="H2082" s="134"/>
      <c r="I2082" s="136"/>
      <c r="J2082" s="135"/>
      <c r="K2082" s="22"/>
    </row>
    <row r="2083" spans="1:11">
      <c r="A2083" s="241" t="e">
        <f>VLOOKUP(B2083,'lista 1'!$A$2:$E$30100,4,0)</f>
        <v>#N/A</v>
      </c>
      <c r="B2083" s="123"/>
      <c r="C2083" s="133" t="e">
        <f>VLOOKUP(B2083,'lista 1'!$A$2:$E$31000,5,0)</f>
        <v>#N/A</v>
      </c>
      <c r="D2083" s="167" t="e">
        <f>VLOOKUP(E13883,'lista obszary'!A:B,2,0)</f>
        <v>#N/A</v>
      </c>
      <c r="E2083" s="128" t="e">
        <f>VLOOKUP(B2083,'LISTA 12'!$A$2:$G$301400,5,0)</f>
        <v>#N/A</v>
      </c>
      <c r="F2083" s="121" t="e">
        <f>VLOOKUP(B2083,'LISTA 12'!$A$2:$G$30100,7,0)</f>
        <v>#N/A</v>
      </c>
      <c r="G2083" s="254" t="e">
        <f>VLOOKUP(H2083,'lista 3'!$A$1:$C$31467,3,0)</f>
        <v>#N/A</v>
      </c>
      <c r="H2083" s="134"/>
      <c r="I2083" s="136"/>
      <c r="J2083" s="135"/>
      <c r="K2083" s="22"/>
    </row>
    <row r="2084" spans="1:11">
      <c r="A2084" s="241" t="e">
        <f>VLOOKUP(B2084,'lista 1'!$A$2:$E$30100,4,0)</f>
        <v>#N/A</v>
      </c>
      <c r="B2084" s="123"/>
      <c r="C2084" s="133" t="e">
        <f>VLOOKUP(B2084,'lista 1'!$A$2:$E$31000,5,0)</f>
        <v>#N/A</v>
      </c>
      <c r="D2084" s="167" t="e">
        <f>VLOOKUP(E13884,'lista obszary'!A:B,2,0)</f>
        <v>#N/A</v>
      </c>
      <c r="E2084" s="128" t="e">
        <f>VLOOKUP(B2084,'LISTA 12'!$A$2:$G$301400,5,0)</f>
        <v>#N/A</v>
      </c>
      <c r="F2084" s="121" t="e">
        <f>VLOOKUP(B2084,'LISTA 12'!$A$2:$G$30100,7,0)</f>
        <v>#N/A</v>
      </c>
      <c r="G2084" s="254" t="e">
        <f>VLOOKUP(H2084,'lista 3'!$A$1:$C$31467,3,0)</f>
        <v>#N/A</v>
      </c>
      <c r="H2084" s="134"/>
      <c r="I2084" s="136"/>
      <c r="J2084" s="135"/>
      <c r="K2084" s="22"/>
    </row>
    <row r="2085" spans="1:11">
      <c r="A2085" s="241" t="e">
        <f>VLOOKUP(B2085,'lista 1'!$A$2:$E$30100,4,0)</f>
        <v>#N/A</v>
      </c>
      <c r="B2085" s="123"/>
      <c r="C2085" s="133" t="e">
        <f>VLOOKUP(B2085,'lista 1'!$A$2:$E$31000,5,0)</f>
        <v>#N/A</v>
      </c>
      <c r="D2085" s="167" t="e">
        <f>VLOOKUP(E13885,'lista obszary'!A:B,2,0)</f>
        <v>#N/A</v>
      </c>
      <c r="E2085" s="128" t="e">
        <f>VLOOKUP(B2085,'LISTA 12'!$A$2:$G$301400,5,0)</f>
        <v>#N/A</v>
      </c>
      <c r="F2085" s="121" t="e">
        <f>VLOOKUP(B2085,'LISTA 12'!$A$2:$G$30100,7,0)</f>
        <v>#N/A</v>
      </c>
      <c r="G2085" s="254" t="e">
        <f>VLOOKUP(H2085,'lista 3'!$A$1:$C$31467,3,0)</f>
        <v>#N/A</v>
      </c>
      <c r="H2085" s="134"/>
      <c r="I2085" s="136"/>
      <c r="J2085" s="135"/>
      <c r="K2085" s="22"/>
    </row>
    <row r="2086" spans="1:11">
      <c r="A2086" s="241" t="e">
        <f>VLOOKUP(B2086,'lista 1'!$A$2:$E$30100,4,0)</f>
        <v>#N/A</v>
      </c>
      <c r="B2086" s="123"/>
      <c r="C2086" s="133" t="e">
        <f>VLOOKUP(B2086,'lista 1'!$A$2:$E$31000,5,0)</f>
        <v>#N/A</v>
      </c>
      <c r="D2086" s="167" t="e">
        <f>VLOOKUP(E13886,'lista obszary'!A:B,2,0)</f>
        <v>#N/A</v>
      </c>
      <c r="E2086" s="128" t="e">
        <f>VLOOKUP(B2086,'LISTA 12'!$A$2:$G$301400,5,0)</f>
        <v>#N/A</v>
      </c>
      <c r="F2086" s="121" t="e">
        <f>VLOOKUP(B2086,'LISTA 12'!$A$2:$G$30100,7,0)</f>
        <v>#N/A</v>
      </c>
      <c r="G2086" s="254" t="e">
        <f>VLOOKUP(H2086,'lista 3'!$A$1:$C$31467,3,0)</f>
        <v>#N/A</v>
      </c>
      <c r="H2086" s="134"/>
      <c r="I2086" s="136"/>
      <c r="J2086" s="135"/>
      <c r="K2086" s="22"/>
    </row>
    <row r="2087" spans="1:11">
      <c r="A2087" s="241" t="e">
        <f>VLOOKUP(B2087,'lista 1'!$A$2:$E$30100,4,0)</f>
        <v>#N/A</v>
      </c>
      <c r="B2087" s="123"/>
      <c r="C2087" s="133" t="e">
        <f>VLOOKUP(B2087,'lista 1'!$A$2:$E$31000,5,0)</f>
        <v>#N/A</v>
      </c>
      <c r="D2087" s="167" t="e">
        <f>VLOOKUP(E13887,'lista obszary'!A:B,2,0)</f>
        <v>#N/A</v>
      </c>
      <c r="E2087" s="128" t="e">
        <f>VLOOKUP(B2087,'LISTA 12'!$A$2:$G$301400,5,0)</f>
        <v>#N/A</v>
      </c>
      <c r="F2087" s="121" t="e">
        <f>VLOOKUP(B2087,'LISTA 12'!$A$2:$G$30100,7,0)</f>
        <v>#N/A</v>
      </c>
      <c r="G2087" s="254" t="e">
        <f>VLOOKUP(H2087,'lista 3'!$A$1:$C$31467,3,0)</f>
        <v>#N/A</v>
      </c>
      <c r="H2087" s="134"/>
      <c r="I2087" s="136"/>
      <c r="J2087" s="135"/>
      <c r="K2087" s="22"/>
    </row>
    <row r="2088" spans="1:11">
      <c r="A2088" s="241" t="e">
        <f>VLOOKUP(B2088,'lista 1'!$A$2:$E$30100,4,0)</f>
        <v>#N/A</v>
      </c>
      <c r="B2088" s="123"/>
      <c r="C2088" s="133" t="e">
        <f>VLOOKUP(B2088,'lista 1'!$A$2:$E$31000,5,0)</f>
        <v>#N/A</v>
      </c>
      <c r="D2088" s="167" t="e">
        <f>VLOOKUP(E13888,'lista obszary'!A:B,2,0)</f>
        <v>#N/A</v>
      </c>
      <c r="E2088" s="128" t="e">
        <f>VLOOKUP(B2088,'LISTA 12'!$A$2:$G$301400,5,0)</f>
        <v>#N/A</v>
      </c>
      <c r="F2088" s="121" t="e">
        <f>VLOOKUP(B2088,'LISTA 12'!$A$2:$G$30100,7,0)</f>
        <v>#N/A</v>
      </c>
      <c r="G2088" s="254" t="e">
        <f>VLOOKUP(H2088,'lista 3'!$A$1:$C$31467,3,0)</f>
        <v>#N/A</v>
      </c>
      <c r="H2088" s="134"/>
      <c r="I2088" s="136"/>
      <c r="J2088" s="135"/>
      <c r="K2088" s="22"/>
    </row>
    <row r="2089" spans="1:11">
      <c r="A2089" s="241" t="e">
        <f>VLOOKUP(B2089,'lista 1'!$A$2:$E$30100,4,0)</f>
        <v>#N/A</v>
      </c>
      <c r="B2089" s="123"/>
      <c r="C2089" s="133" t="e">
        <f>VLOOKUP(B2089,'lista 1'!$A$2:$E$31000,5,0)</f>
        <v>#N/A</v>
      </c>
      <c r="D2089" s="167" t="e">
        <f>VLOOKUP(E13889,'lista obszary'!A:B,2,0)</f>
        <v>#N/A</v>
      </c>
      <c r="E2089" s="128" t="e">
        <f>VLOOKUP(B2089,'LISTA 12'!$A$2:$G$301400,5,0)</f>
        <v>#N/A</v>
      </c>
      <c r="F2089" s="121" t="e">
        <f>VLOOKUP(B2089,'LISTA 12'!$A$2:$G$30100,7,0)</f>
        <v>#N/A</v>
      </c>
      <c r="G2089" s="254" t="e">
        <f>VLOOKUP(H2089,'lista 3'!$A$1:$C$31467,3,0)</f>
        <v>#N/A</v>
      </c>
      <c r="H2089" s="134"/>
      <c r="I2089" s="136"/>
      <c r="J2089" s="135"/>
      <c r="K2089" s="22"/>
    </row>
    <row r="2090" spans="1:11">
      <c r="A2090" s="241" t="e">
        <f>VLOOKUP(B2090,'lista 1'!$A$2:$E$30100,4,0)</f>
        <v>#N/A</v>
      </c>
      <c r="B2090" s="123"/>
      <c r="C2090" s="133" t="e">
        <f>VLOOKUP(B2090,'lista 1'!$A$2:$E$31000,5,0)</f>
        <v>#N/A</v>
      </c>
      <c r="D2090" s="167" t="e">
        <f>VLOOKUP(E13890,'lista obszary'!A:B,2,0)</f>
        <v>#N/A</v>
      </c>
      <c r="E2090" s="128" t="e">
        <f>VLOOKUP(B2090,'LISTA 12'!$A$2:$G$301400,5,0)</f>
        <v>#N/A</v>
      </c>
      <c r="F2090" s="121" t="e">
        <f>VLOOKUP(B2090,'LISTA 12'!$A$2:$G$30100,7,0)</f>
        <v>#N/A</v>
      </c>
      <c r="G2090" s="254" t="e">
        <f>VLOOKUP(H2090,'lista 3'!$A$1:$C$31467,3,0)</f>
        <v>#N/A</v>
      </c>
      <c r="H2090" s="134"/>
      <c r="I2090" s="136"/>
      <c r="J2090" s="135"/>
      <c r="K2090" s="22"/>
    </row>
    <row r="2091" spans="1:11">
      <c r="A2091" s="241" t="e">
        <f>VLOOKUP(B2091,'lista 1'!$A$2:$E$30100,4,0)</f>
        <v>#N/A</v>
      </c>
      <c r="B2091" s="123"/>
      <c r="C2091" s="133" t="e">
        <f>VLOOKUP(B2091,'lista 1'!$A$2:$E$31000,5,0)</f>
        <v>#N/A</v>
      </c>
      <c r="D2091" s="167" t="e">
        <f>VLOOKUP(E13891,'lista obszary'!A:B,2,0)</f>
        <v>#N/A</v>
      </c>
      <c r="E2091" s="128" t="e">
        <f>VLOOKUP(B2091,'LISTA 12'!$A$2:$G$301400,5,0)</f>
        <v>#N/A</v>
      </c>
      <c r="F2091" s="121" t="e">
        <f>VLOOKUP(B2091,'LISTA 12'!$A$2:$G$30100,7,0)</f>
        <v>#N/A</v>
      </c>
      <c r="G2091" s="254" t="e">
        <f>VLOOKUP(H2091,'lista 3'!$A$1:$C$31467,3,0)</f>
        <v>#N/A</v>
      </c>
      <c r="H2091" s="134"/>
      <c r="I2091" s="136"/>
      <c r="J2091" s="135"/>
      <c r="K2091" s="22"/>
    </row>
    <row r="2092" spans="1:11">
      <c r="A2092" s="241" t="e">
        <f>VLOOKUP(B2092,'lista 1'!$A$2:$E$30100,4,0)</f>
        <v>#N/A</v>
      </c>
      <c r="B2092" s="123"/>
      <c r="C2092" s="133" t="e">
        <f>VLOOKUP(B2092,'lista 1'!$A$2:$E$31000,5,0)</f>
        <v>#N/A</v>
      </c>
      <c r="D2092" s="167" t="e">
        <f>VLOOKUP(E13892,'lista obszary'!A:B,2,0)</f>
        <v>#N/A</v>
      </c>
      <c r="E2092" s="128" t="e">
        <f>VLOOKUP(B2092,'LISTA 12'!$A$2:$G$301400,5,0)</f>
        <v>#N/A</v>
      </c>
      <c r="F2092" s="121" t="e">
        <f>VLOOKUP(B2092,'LISTA 12'!$A$2:$G$30100,7,0)</f>
        <v>#N/A</v>
      </c>
      <c r="G2092" s="254" t="e">
        <f>VLOOKUP(H2092,'lista 3'!$A$1:$C$31467,3,0)</f>
        <v>#N/A</v>
      </c>
      <c r="H2092" s="134"/>
      <c r="I2092" s="136"/>
      <c r="J2092" s="135"/>
      <c r="K2092" s="22"/>
    </row>
    <row r="2093" spans="1:11">
      <c r="A2093" s="241" t="e">
        <f>VLOOKUP(B2093,'lista 1'!$A$2:$E$30100,4,0)</f>
        <v>#N/A</v>
      </c>
      <c r="B2093" s="123"/>
      <c r="C2093" s="133" t="e">
        <f>VLOOKUP(B2093,'lista 1'!$A$2:$E$31000,5,0)</f>
        <v>#N/A</v>
      </c>
      <c r="D2093" s="167" t="e">
        <f>VLOOKUP(E13893,'lista obszary'!A:B,2,0)</f>
        <v>#N/A</v>
      </c>
      <c r="E2093" s="128" t="e">
        <f>VLOOKUP(B2093,'LISTA 12'!$A$2:$G$301400,5,0)</f>
        <v>#N/A</v>
      </c>
      <c r="F2093" s="121" t="e">
        <f>VLOOKUP(B2093,'LISTA 12'!$A$2:$G$30100,7,0)</f>
        <v>#N/A</v>
      </c>
      <c r="G2093" s="254" t="e">
        <f>VLOOKUP(H2093,'lista 3'!$A$1:$C$31467,3,0)</f>
        <v>#N/A</v>
      </c>
      <c r="H2093" s="134"/>
      <c r="I2093" s="136"/>
      <c r="J2093" s="135"/>
      <c r="K2093" s="22"/>
    </row>
    <row r="2094" spans="1:11">
      <c r="A2094" s="241" t="e">
        <f>VLOOKUP(B2094,'lista 1'!$A$2:$E$30100,4,0)</f>
        <v>#N/A</v>
      </c>
      <c r="B2094" s="123"/>
      <c r="C2094" s="133" t="e">
        <f>VLOOKUP(B2094,'lista 1'!$A$2:$E$31000,5,0)</f>
        <v>#N/A</v>
      </c>
      <c r="D2094" s="167" t="e">
        <f>VLOOKUP(E13894,'lista obszary'!A:B,2,0)</f>
        <v>#N/A</v>
      </c>
      <c r="E2094" s="128" t="e">
        <f>VLOOKUP(B2094,'LISTA 12'!$A$2:$G$301400,5,0)</f>
        <v>#N/A</v>
      </c>
      <c r="F2094" s="121" t="e">
        <f>VLOOKUP(B2094,'LISTA 12'!$A$2:$G$30100,7,0)</f>
        <v>#N/A</v>
      </c>
      <c r="G2094" s="254" t="e">
        <f>VLOOKUP(H2094,'lista 3'!$A$1:$C$31467,3,0)</f>
        <v>#N/A</v>
      </c>
      <c r="H2094" s="134"/>
      <c r="I2094" s="136"/>
      <c r="J2094" s="135"/>
      <c r="K2094" s="22"/>
    </row>
    <row r="2095" spans="1:11">
      <c r="A2095" s="241" t="e">
        <f>VLOOKUP(B2095,'lista 1'!$A$2:$E$30100,4,0)</f>
        <v>#N/A</v>
      </c>
      <c r="B2095" s="123"/>
      <c r="C2095" s="133" t="e">
        <f>VLOOKUP(B2095,'lista 1'!$A$2:$E$31000,5,0)</f>
        <v>#N/A</v>
      </c>
      <c r="D2095" s="167" t="e">
        <f>VLOOKUP(E13895,'lista obszary'!A:B,2,0)</f>
        <v>#N/A</v>
      </c>
      <c r="E2095" s="128" t="e">
        <f>VLOOKUP(B2095,'LISTA 12'!$A$2:$G$301400,5,0)</f>
        <v>#N/A</v>
      </c>
      <c r="F2095" s="121" t="e">
        <f>VLOOKUP(B2095,'LISTA 12'!$A$2:$G$30100,7,0)</f>
        <v>#N/A</v>
      </c>
      <c r="G2095" s="254" t="e">
        <f>VLOOKUP(H2095,'lista 3'!$A$1:$C$31467,3,0)</f>
        <v>#N/A</v>
      </c>
      <c r="H2095" s="134"/>
      <c r="I2095" s="136"/>
      <c r="J2095" s="135"/>
      <c r="K2095" s="22"/>
    </row>
    <row r="2096" spans="1:11">
      <c r="A2096" s="241" t="e">
        <f>VLOOKUP(B2096,'lista 1'!$A$2:$E$30100,4,0)</f>
        <v>#N/A</v>
      </c>
      <c r="B2096" s="123"/>
      <c r="C2096" s="133" t="e">
        <f>VLOOKUP(B2096,'lista 1'!$A$2:$E$31000,5,0)</f>
        <v>#N/A</v>
      </c>
      <c r="D2096" s="167" t="e">
        <f>VLOOKUP(E13896,'lista obszary'!A:B,2,0)</f>
        <v>#N/A</v>
      </c>
      <c r="E2096" s="128" t="e">
        <f>VLOOKUP(B2096,'LISTA 12'!$A$2:$G$301400,5,0)</f>
        <v>#N/A</v>
      </c>
      <c r="F2096" s="121" t="e">
        <f>VLOOKUP(B2096,'LISTA 12'!$A$2:$G$30100,7,0)</f>
        <v>#N/A</v>
      </c>
      <c r="G2096" s="254" t="e">
        <f>VLOOKUP(H2096,'lista 3'!$A$1:$C$31467,3,0)</f>
        <v>#N/A</v>
      </c>
      <c r="H2096" s="134"/>
      <c r="I2096" s="136"/>
      <c r="J2096" s="135"/>
      <c r="K2096" s="22"/>
    </row>
    <row r="2097" spans="1:11">
      <c r="A2097" s="241" t="e">
        <f>VLOOKUP(B2097,'lista 1'!$A$2:$E$30100,4,0)</f>
        <v>#N/A</v>
      </c>
      <c r="B2097" s="123"/>
      <c r="C2097" s="133" t="e">
        <f>VLOOKUP(B2097,'lista 1'!$A$2:$E$31000,5,0)</f>
        <v>#N/A</v>
      </c>
      <c r="D2097" s="167" t="e">
        <f>VLOOKUP(E13897,'lista obszary'!A:B,2,0)</f>
        <v>#N/A</v>
      </c>
      <c r="E2097" s="128" t="e">
        <f>VLOOKUP(B2097,'LISTA 12'!$A$2:$G$301400,5,0)</f>
        <v>#N/A</v>
      </c>
      <c r="F2097" s="121" t="e">
        <f>VLOOKUP(B2097,'LISTA 12'!$A$2:$G$30100,7,0)</f>
        <v>#N/A</v>
      </c>
      <c r="G2097" s="254" t="e">
        <f>VLOOKUP(H2097,'lista 3'!$A$1:$C$31467,3,0)</f>
        <v>#N/A</v>
      </c>
      <c r="H2097" s="134"/>
      <c r="I2097" s="136"/>
      <c r="J2097" s="135"/>
      <c r="K2097" s="22"/>
    </row>
    <row r="2098" spans="1:11">
      <c r="A2098" s="241" t="e">
        <f>VLOOKUP(B2098,'lista 1'!$A$2:$E$30100,4,0)</f>
        <v>#N/A</v>
      </c>
      <c r="B2098" s="123"/>
      <c r="C2098" s="133" t="e">
        <f>VLOOKUP(B2098,'lista 1'!$A$2:$E$31000,5,0)</f>
        <v>#N/A</v>
      </c>
      <c r="D2098" s="167" t="e">
        <f>VLOOKUP(E13898,'lista obszary'!A:B,2,0)</f>
        <v>#N/A</v>
      </c>
      <c r="E2098" s="128" t="e">
        <f>VLOOKUP(B2098,'LISTA 12'!$A$2:$G$301400,5,0)</f>
        <v>#N/A</v>
      </c>
      <c r="F2098" s="121" t="e">
        <f>VLOOKUP(B2098,'LISTA 12'!$A$2:$G$30100,7,0)</f>
        <v>#N/A</v>
      </c>
      <c r="G2098" s="254" t="e">
        <f>VLOOKUP(H2098,'lista 3'!$A$1:$C$31467,3,0)</f>
        <v>#N/A</v>
      </c>
      <c r="H2098" s="134"/>
      <c r="I2098" s="136"/>
      <c r="J2098" s="135"/>
      <c r="K2098" s="22"/>
    </row>
    <row r="2099" spans="1:11">
      <c r="A2099" s="241" t="e">
        <f>VLOOKUP(B2099,'lista 1'!$A$2:$E$30100,4,0)</f>
        <v>#N/A</v>
      </c>
      <c r="B2099" s="123"/>
      <c r="C2099" s="133" t="e">
        <f>VLOOKUP(B2099,'lista 1'!$A$2:$E$31000,5,0)</f>
        <v>#N/A</v>
      </c>
      <c r="D2099" s="167" t="e">
        <f>VLOOKUP(E13899,'lista obszary'!A:B,2,0)</f>
        <v>#N/A</v>
      </c>
      <c r="E2099" s="128" t="e">
        <f>VLOOKUP(B2099,'LISTA 12'!$A$2:$G$301400,5,0)</f>
        <v>#N/A</v>
      </c>
      <c r="F2099" s="121" t="e">
        <f>VLOOKUP(B2099,'LISTA 12'!$A$2:$G$30100,7,0)</f>
        <v>#N/A</v>
      </c>
      <c r="G2099" s="254" t="e">
        <f>VLOOKUP(H2099,'lista 3'!$A$1:$C$31467,3,0)</f>
        <v>#N/A</v>
      </c>
      <c r="H2099" s="134"/>
      <c r="I2099" s="136"/>
      <c r="J2099" s="135"/>
      <c r="K2099" s="22"/>
    </row>
    <row r="2100" spans="1:11">
      <c r="A2100" s="241" t="e">
        <f>VLOOKUP(B2100,'lista 1'!$A$2:$E$30100,4,0)</f>
        <v>#N/A</v>
      </c>
      <c r="B2100" s="123"/>
      <c r="C2100" s="133" t="e">
        <f>VLOOKUP(B2100,'lista 1'!$A$2:$E$31000,5,0)</f>
        <v>#N/A</v>
      </c>
      <c r="D2100" s="167" t="e">
        <f>VLOOKUP(E13900,'lista obszary'!A:B,2,0)</f>
        <v>#N/A</v>
      </c>
      <c r="E2100" s="128" t="e">
        <f>VLOOKUP(B2100,'LISTA 12'!$A$2:$G$301400,5,0)</f>
        <v>#N/A</v>
      </c>
      <c r="F2100" s="121" t="e">
        <f>VLOOKUP(B2100,'LISTA 12'!$A$2:$G$30100,7,0)</f>
        <v>#N/A</v>
      </c>
      <c r="G2100" s="254" t="e">
        <f>VLOOKUP(H2100,'lista 3'!$A$1:$C$31467,3,0)</f>
        <v>#N/A</v>
      </c>
      <c r="H2100" s="134"/>
      <c r="I2100" s="136"/>
      <c r="J2100" s="135"/>
      <c r="K2100" s="22"/>
    </row>
    <row r="2101" spans="1:11">
      <c r="A2101" s="241" t="e">
        <f>VLOOKUP(B2101,'lista 1'!$A$2:$E$30100,4,0)</f>
        <v>#N/A</v>
      </c>
      <c r="B2101" s="123"/>
      <c r="C2101" s="133" t="e">
        <f>VLOOKUP(B2101,'lista 1'!$A$2:$E$31000,5,0)</f>
        <v>#N/A</v>
      </c>
      <c r="D2101" s="167" t="e">
        <f>VLOOKUP(E13901,'lista obszary'!A:B,2,0)</f>
        <v>#N/A</v>
      </c>
      <c r="E2101" s="128" t="e">
        <f>VLOOKUP(B2101,'LISTA 12'!$A$2:$G$301400,5,0)</f>
        <v>#N/A</v>
      </c>
      <c r="F2101" s="121" t="e">
        <f>VLOOKUP(B2101,'LISTA 12'!$A$2:$G$30100,7,0)</f>
        <v>#N/A</v>
      </c>
      <c r="G2101" s="254" t="e">
        <f>VLOOKUP(H2101,'lista 3'!$A$1:$C$31467,3,0)</f>
        <v>#N/A</v>
      </c>
      <c r="H2101" s="134"/>
      <c r="I2101" s="136"/>
      <c r="J2101" s="135"/>
      <c r="K2101" s="22"/>
    </row>
    <row r="2102" spans="1:11">
      <c r="A2102" s="241" t="e">
        <f>VLOOKUP(B2102,'lista 1'!$A$2:$E$30100,4,0)</f>
        <v>#N/A</v>
      </c>
      <c r="B2102" s="123"/>
      <c r="C2102" s="133" t="e">
        <f>VLOOKUP(B2102,'lista 1'!$A$2:$E$31000,5,0)</f>
        <v>#N/A</v>
      </c>
      <c r="D2102" s="167" t="e">
        <f>VLOOKUP(E13902,'lista obszary'!A:B,2,0)</f>
        <v>#N/A</v>
      </c>
      <c r="E2102" s="128" t="e">
        <f>VLOOKUP(B2102,'LISTA 12'!$A$2:$G$301400,5,0)</f>
        <v>#N/A</v>
      </c>
      <c r="F2102" s="121" t="e">
        <f>VLOOKUP(B2102,'LISTA 12'!$A$2:$G$30100,7,0)</f>
        <v>#N/A</v>
      </c>
      <c r="G2102" s="254" t="e">
        <f>VLOOKUP(H2102,'lista 3'!$A$1:$C$31467,3,0)</f>
        <v>#N/A</v>
      </c>
      <c r="H2102" s="134"/>
      <c r="I2102" s="136"/>
      <c r="J2102" s="135"/>
      <c r="K2102" s="22"/>
    </row>
    <row r="2103" spans="1:11">
      <c r="A2103" s="241" t="e">
        <f>VLOOKUP(B2103,'lista 1'!$A$2:$E$30100,4,0)</f>
        <v>#N/A</v>
      </c>
      <c r="B2103" s="123"/>
      <c r="C2103" s="133" t="e">
        <f>VLOOKUP(B2103,'lista 1'!$A$2:$E$31000,5,0)</f>
        <v>#N/A</v>
      </c>
      <c r="D2103" s="167" t="e">
        <f>VLOOKUP(E13903,'lista obszary'!A:B,2,0)</f>
        <v>#N/A</v>
      </c>
      <c r="E2103" s="128" t="e">
        <f>VLOOKUP(B2103,'LISTA 12'!$A$2:$G$301400,5,0)</f>
        <v>#N/A</v>
      </c>
      <c r="F2103" s="121" t="e">
        <f>VLOOKUP(B2103,'LISTA 12'!$A$2:$G$30100,7,0)</f>
        <v>#N/A</v>
      </c>
      <c r="G2103" s="254" t="e">
        <f>VLOOKUP(H2103,'lista 3'!$A$1:$C$31467,3,0)</f>
        <v>#N/A</v>
      </c>
      <c r="H2103" s="134"/>
      <c r="I2103" s="136"/>
      <c r="J2103" s="135"/>
      <c r="K2103" s="22"/>
    </row>
    <row r="2104" spans="1:11">
      <c r="A2104" s="241" t="e">
        <f>VLOOKUP(B2104,'lista 1'!$A$2:$E$30100,4,0)</f>
        <v>#N/A</v>
      </c>
      <c r="B2104" s="123"/>
      <c r="C2104" s="133" t="e">
        <f>VLOOKUP(B2104,'lista 1'!$A$2:$E$31000,5,0)</f>
        <v>#N/A</v>
      </c>
      <c r="D2104" s="167" t="e">
        <f>VLOOKUP(E13904,'lista obszary'!A:B,2,0)</f>
        <v>#N/A</v>
      </c>
      <c r="E2104" s="128" t="e">
        <f>VLOOKUP(B2104,'LISTA 12'!$A$2:$G$301400,5,0)</f>
        <v>#N/A</v>
      </c>
      <c r="F2104" s="121" t="e">
        <f>VLOOKUP(B2104,'LISTA 12'!$A$2:$G$30100,7,0)</f>
        <v>#N/A</v>
      </c>
      <c r="G2104" s="254" t="e">
        <f>VLOOKUP(H2104,'lista 3'!$A$1:$C$31467,3,0)</f>
        <v>#N/A</v>
      </c>
      <c r="H2104" s="134"/>
      <c r="I2104" s="136"/>
      <c r="J2104" s="135"/>
      <c r="K2104" s="22"/>
    </row>
    <row r="2105" spans="1:11">
      <c r="A2105" s="241" t="e">
        <f>VLOOKUP(B2105,'lista 1'!$A$2:$E$30100,4,0)</f>
        <v>#N/A</v>
      </c>
      <c r="B2105" s="123"/>
      <c r="C2105" s="133" t="e">
        <f>VLOOKUP(B2105,'lista 1'!$A$2:$E$31000,5,0)</f>
        <v>#N/A</v>
      </c>
      <c r="D2105" s="167" t="e">
        <f>VLOOKUP(E13905,'lista obszary'!A:B,2,0)</f>
        <v>#N/A</v>
      </c>
      <c r="E2105" s="128" t="e">
        <f>VLOOKUP(B2105,'LISTA 12'!$A$2:$G$301400,5,0)</f>
        <v>#N/A</v>
      </c>
      <c r="F2105" s="121" t="e">
        <f>VLOOKUP(B2105,'LISTA 12'!$A$2:$G$30100,7,0)</f>
        <v>#N/A</v>
      </c>
      <c r="G2105" s="254" t="e">
        <f>VLOOKUP(H2105,'lista 3'!$A$1:$C$31467,3,0)</f>
        <v>#N/A</v>
      </c>
      <c r="H2105" s="134"/>
      <c r="I2105" s="136"/>
      <c r="J2105" s="135"/>
      <c r="K2105" s="22"/>
    </row>
    <row r="2106" spans="1:11">
      <c r="A2106" s="241" t="e">
        <f>VLOOKUP(B2106,'lista 1'!$A$2:$E$30100,4,0)</f>
        <v>#N/A</v>
      </c>
      <c r="B2106" s="123"/>
      <c r="C2106" s="133" t="e">
        <f>VLOOKUP(B2106,'lista 1'!$A$2:$E$31000,5,0)</f>
        <v>#N/A</v>
      </c>
      <c r="D2106" s="167" t="e">
        <f>VLOOKUP(E13906,'lista obszary'!A:B,2,0)</f>
        <v>#N/A</v>
      </c>
      <c r="E2106" s="128" t="e">
        <f>VLOOKUP(B2106,'LISTA 12'!$A$2:$G$301400,5,0)</f>
        <v>#N/A</v>
      </c>
      <c r="F2106" s="121" t="e">
        <f>VLOOKUP(B2106,'LISTA 12'!$A$2:$G$30100,7,0)</f>
        <v>#N/A</v>
      </c>
      <c r="G2106" s="254" t="e">
        <f>VLOOKUP(H2106,'lista 3'!$A$1:$C$31467,3,0)</f>
        <v>#N/A</v>
      </c>
      <c r="H2106" s="134"/>
      <c r="I2106" s="136"/>
      <c r="J2106" s="135"/>
      <c r="K2106" s="22"/>
    </row>
    <row r="2107" spans="1:11">
      <c r="A2107" s="241" t="e">
        <f>VLOOKUP(B2107,'lista 1'!$A$2:$E$30100,4,0)</f>
        <v>#N/A</v>
      </c>
      <c r="B2107" s="123"/>
      <c r="C2107" s="133" t="e">
        <f>VLOOKUP(B2107,'lista 1'!$A$2:$E$31000,5,0)</f>
        <v>#N/A</v>
      </c>
      <c r="D2107" s="167" t="e">
        <f>VLOOKUP(E13907,'lista obszary'!A:B,2,0)</f>
        <v>#N/A</v>
      </c>
      <c r="E2107" s="128" t="e">
        <f>VLOOKUP(B2107,'LISTA 12'!$A$2:$G$301400,5,0)</f>
        <v>#N/A</v>
      </c>
      <c r="F2107" s="121" t="e">
        <f>VLOOKUP(B2107,'LISTA 12'!$A$2:$G$30100,7,0)</f>
        <v>#N/A</v>
      </c>
      <c r="G2107" s="254" t="e">
        <f>VLOOKUP(H2107,'lista 3'!$A$1:$C$31467,3,0)</f>
        <v>#N/A</v>
      </c>
      <c r="H2107" s="134"/>
      <c r="I2107" s="136"/>
      <c r="J2107" s="135"/>
      <c r="K2107" s="22"/>
    </row>
    <row r="2108" spans="1:11">
      <c r="A2108" s="241" t="e">
        <f>VLOOKUP(B2108,'lista 1'!$A$2:$E$30100,4,0)</f>
        <v>#N/A</v>
      </c>
      <c r="B2108" s="123"/>
      <c r="C2108" s="133" t="e">
        <f>VLOOKUP(B2108,'lista 1'!$A$2:$E$31000,5,0)</f>
        <v>#N/A</v>
      </c>
      <c r="D2108" s="167" t="e">
        <f>VLOOKUP(E13908,'lista obszary'!A:B,2,0)</f>
        <v>#N/A</v>
      </c>
      <c r="E2108" s="128" t="e">
        <f>VLOOKUP(B2108,'LISTA 12'!$A$2:$G$301400,5,0)</f>
        <v>#N/A</v>
      </c>
      <c r="F2108" s="121" t="e">
        <f>VLOOKUP(B2108,'LISTA 12'!$A$2:$G$30100,7,0)</f>
        <v>#N/A</v>
      </c>
      <c r="G2108" s="254" t="e">
        <f>VLOOKUP(H2108,'lista 3'!$A$1:$C$31467,3,0)</f>
        <v>#N/A</v>
      </c>
      <c r="H2108" s="134"/>
      <c r="I2108" s="136"/>
      <c r="J2108" s="135"/>
      <c r="K2108" s="22"/>
    </row>
    <row r="2109" spans="1:11">
      <c r="A2109" s="241" t="e">
        <f>VLOOKUP(B2109,'lista 1'!$A$2:$E$30100,4,0)</f>
        <v>#N/A</v>
      </c>
      <c r="B2109" s="123"/>
      <c r="C2109" s="133" t="e">
        <f>VLOOKUP(B2109,'lista 1'!$A$2:$E$31000,5,0)</f>
        <v>#N/A</v>
      </c>
      <c r="D2109" s="167" t="e">
        <f>VLOOKUP(E13909,'lista obszary'!A:B,2,0)</f>
        <v>#N/A</v>
      </c>
      <c r="E2109" s="128" t="e">
        <f>VLOOKUP(B2109,'LISTA 12'!$A$2:$G$301400,5,0)</f>
        <v>#N/A</v>
      </c>
      <c r="F2109" s="121" t="e">
        <f>VLOOKUP(B2109,'LISTA 12'!$A$2:$G$30100,7,0)</f>
        <v>#N/A</v>
      </c>
      <c r="G2109" s="254" t="e">
        <f>VLOOKUP(H2109,'lista 3'!$A$1:$C$31467,3,0)</f>
        <v>#N/A</v>
      </c>
      <c r="H2109" s="134"/>
      <c r="I2109" s="136"/>
      <c r="J2109" s="135"/>
      <c r="K2109" s="22"/>
    </row>
    <row r="2110" spans="1:11">
      <c r="A2110" s="241" t="e">
        <f>VLOOKUP(B2110,'lista 1'!$A$2:$E$30100,4,0)</f>
        <v>#N/A</v>
      </c>
      <c r="B2110" s="123"/>
      <c r="C2110" s="133" t="e">
        <f>VLOOKUP(B2110,'lista 1'!$A$2:$E$31000,5,0)</f>
        <v>#N/A</v>
      </c>
      <c r="D2110" s="167" t="e">
        <f>VLOOKUP(E13910,'lista obszary'!A:B,2,0)</f>
        <v>#N/A</v>
      </c>
      <c r="E2110" s="128" t="e">
        <f>VLOOKUP(B2110,'LISTA 12'!$A$2:$G$301400,5,0)</f>
        <v>#N/A</v>
      </c>
      <c r="F2110" s="121" t="e">
        <f>VLOOKUP(B2110,'LISTA 12'!$A$2:$G$30100,7,0)</f>
        <v>#N/A</v>
      </c>
      <c r="G2110" s="254" t="e">
        <f>VLOOKUP(H2110,'lista 3'!$A$1:$C$31467,3,0)</f>
        <v>#N/A</v>
      </c>
      <c r="H2110" s="134"/>
      <c r="I2110" s="136"/>
      <c r="J2110" s="135"/>
      <c r="K2110" s="22"/>
    </row>
    <row r="2111" spans="1:11">
      <c r="A2111" s="241" t="e">
        <f>VLOOKUP(B2111,'lista 1'!$A$2:$E$30100,4,0)</f>
        <v>#N/A</v>
      </c>
      <c r="B2111" s="123"/>
      <c r="C2111" s="133" t="e">
        <f>VLOOKUP(B2111,'lista 1'!$A$2:$E$31000,5,0)</f>
        <v>#N/A</v>
      </c>
      <c r="D2111" s="167" t="e">
        <f>VLOOKUP(E13911,'lista obszary'!A:B,2,0)</f>
        <v>#N/A</v>
      </c>
      <c r="E2111" s="128" t="e">
        <f>VLOOKUP(B2111,'LISTA 12'!$A$2:$G$301400,5,0)</f>
        <v>#N/A</v>
      </c>
      <c r="F2111" s="121" t="e">
        <f>VLOOKUP(B2111,'LISTA 12'!$A$2:$G$30100,7,0)</f>
        <v>#N/A</v>
      </c>
      <c r="G2111" s="254" t="e">
        <f>VLOOKUP(H2111,'lista 3'!$A$1:$C$31467,3,0)</f>
        <v>#N/A</v>
      </c>
      <c r="H2111" s="134"/>
      <c r="I2111" s="136"/>
      <c r="J2111" s="135"/>
      <c r="K2111" s="22"/>
    </row>
    <row r="2112" spans="1:11">
      <c r="A2112" s="241" t="e">
        <f>VLOOKUP(B2112,'lista 1'!$A$2:$E$30100,4,0)</f>
        <v>#N/A</v>
      </c>
      <c r="B2112" s="123"/>
      <c r="C2112" s="133" t="e">
        <f>VLOOKUP(B2112,'lista 1'!$A$2:$E$31000,5,0)</f>
        <v>#N/A</v>
      </c>
      <c r="D2112" s="167" t="e">
        <f>VLOOKUP(E13912,'lista obszary'!A:B,2,0)</f>
        <v>#N/A</v>
      </c>
      <c r="E2112" s="128" t="e">
        <f>VLOOKUP(B2112,'LISTA 12'!$A$2:$G$301400,5,0)</f>
        <v>#N/A</v>
      </c>
      <c r="F2112" s="121" t="e">
        <f>VLOOKUP(B2112,'LISTA 12'!$A$2:$G$30100,7,0)</f>
        <v>#N/A</v>
      </c>
      <c r="G2112" s="254" t="e">
        <f>VLOOKUP(H2112,'lista 3'!$A$1:$C$31467,3,0)</f>
        <v>#N/A</v>
      </c>
      <c r="H2112" s="134"/>
      <c r="I2112" s="136"/>
      <c r="J2112" s="135"/>
      <c r="K2112" s="22"/>
    </row>
    <row r="2113" spans="1:11">
      <c r="A2113" s="241" t="e">
        <f>VLOOKUP(B2113,'lista 1'!$A$2:$E$30100,4,0)</f>
        <v>#N/A</v>
      </c>
      <c r="B2113" s="123"/>
      <c r="C2113" s="133" t="e">
        <f>VLOOKUP(B2113,'lista 1'!$A$2:$E$31000,5,0)</f>
        <v>#N/A</v>
      </c>
      <c r="D2113" s="167" t="e">
        <f>VLOOKUP(E13913,'lista obszary'!A:B,2,0)</f>
        <v>#N/A</v>
      </c>
      <c r="E2113" s="128" t="e">
        <f>VLOOKUP(B2113,'LISTA 12'!$A$2:$G$301400,5,0)</f>
        <v>#N/A</v>
      </c>
      <c r="F2113" s="121" t="e">
        <f>VLOOKUP(B2113,'LISTA 12'!$A$2:$G$30100,7,0)</f>
        <v>#N/A</v>
      </c>
      <c r="G2113" s="254" t="e">
        <f>VLOOKUP(H2113,'lista 3'!$A$1:$C$31467,3,0)</f>
        <v>#N/A</v>
      </c>
      <c r="H2113" s="134"/>
      <c r="I2113" s="136"/>
      <c r="J2113" s="135"/>
      <c r="K2113" s="22"/>
    </row>
    <row r="2114" spans="1:11">
      <c r="A2114" s="241" t="e">
        <f>VLOOKUP(B2114,'lista 1'!$A$2:$E$30100,4,0)</f>
        <v>#N/A</v>
      </c>
      <c r="B2114" s="123"/>
      <c r="C2114" s="133" t="e">
        <f>VLOOKUP(B2114,'lista 1'!$A$2:$E$31000,5,0)</f>
        <v>#N/A</v>
      </c>
      <c r="D2114" s="167" t="e">
        <f>VLOOKUP(E13914,'lista obszary'!A:B,2,0)</f>
        <v>#N/A</v>
      </c>
      <c r="E2114" s="128" t="e">
        <f>VLOOKUP(B2114,'LISTA 12'!$A$2:$G$301400,5,0)</f>
        <v>#N/A</v>
      </c>
      <c r="F2114" s="121" t="e">
        <f>VLOOKUP(B2114,'LISTA 12'!$A$2:$G$30100,7,0)</f>
        <v>#N/A</v>
      </c>
      <c r="G2114" s="254" t="e">
        <f>VLOOKUP(H2114,'lista 3'!$A$1:$C$31467,3,0)</f>
        <v>#N/A</v>
      </c>
      <c r="H2114" s="134"/>
      <c r="I2114" s="136"/>
      <c r="J2114" s="135"/>
      <c r="K2114" s="22"/>
    </row>
    <row r="2115" spans="1:11">
      <c r="A2115" s="241" t="e">
        <f>VLOOKUP(B2115,'lista 1'!$A$2:$E$30100,4,0)</f>
        <v>#N/A</v>
      </c>
      <c r="B2115" s="123"/>
      <c r="C2115" s="133" t="e">
        <f>VLOOKUP(B2115,'lista 1'!$A$2:$E$31000,5,0)</f>
        <v>#N/A</v>
      </c>
      <c r="D2115" s="167" t="e">
        <f>VLOOKUP(E13915,'lista obszary'!A:B,2,0)</f>
        <v>#N/A</v>
      </c>
      <c r="E2115" s="128" t="e">
        <f>VLOOKUP(B2115,'LISTA 12'!$A$2:$G$301400,5,0)</f>
        <v>#N/A</v>
      </c>
      <c r="F2115" s="121" t="e">
        <f>VLOOKUP(B2115,'LISTA 12'!$A$2:$G$30100,7,0)</f>
        <v>#N/A</v>
      </c>
      <c r="G2115" s="254" t="e">
        <f>VLOOKUP(H2115,'lista 3'!$A$1:$C$31467,3,0)</f>
        <v>#N/A</v>
      </c>
      <c r="H2115" s="134"/>
      <c r="I2115" s="136"/>
      <c r="J2115" s="135"/>
      <c r="K2115" s="22"/>
    </row>
    <row r="2116" spans="1:11">
      <c r="A2116" s="241" t="e">
        <f>VLOOKUP(B2116,'lista 1'!$A$2:$E$30100,4,0)</f>
        <v>#N/A</v>
      </c>
      <c r="B2116" s="123"/>
      <c r="C2116" s="133" t="e">
        <f>VLOOKUP(B2116,'lista 1'!$A$2:$E$31000,5,0)</f>
        <v>#N/A</v>
      </c>
      <c r="D2116" s="167" t="e">
        <f>VLOOKUP(E13916,'lista obszary'!A:B,2,0)</f>
        <v>#N/A</v>
      </c>
      <c r="E2116" s="128" t="e">
        <f>VLOOKUP(B2116,'LISTA 12'!$A$2:$G$301400,5,0)</f>
        <v>#N/A</v>
      </c>
      <c r="F2116" s="121" t="e">
        <f>VLOOKUP(B2116,'LISTA 12'!$A$2:$G$30100,7,0)</f>
        <v>#N/A</v>
      </c>
      <c r="G2116" s="254" t="e">
        <f>VLOOKUP(H2116,'lista 3'!$A$1:$C$31467,3,0)</f>
        <v>#N/A</v>
      </c>
      <c r="H2116" s="134"/>
      <c r="I2116" s="136"/>
      <c r="J2116" s="135"/>
      <c r="K2116" s="22"/>
    </row>
    <row r="2117" spans="1:11">
      <c r="A2117" s="241" t="e">
        <f>VLOOKUP(B2117,'lista 1'!$A$2:$E$30100,4,0)</f>
        <v>#N/A</v>
      </c>
      <c r="B2117" s="123"/>
      <c r="C2117" s="133" t="e">
        <f>VLOOKUP(B2117,'lista 1'!$A$2:$E$31000,5,0)</f>
        <v>#N/A</v>
      </c>
      <c r="D2117" s="167" t="e">
        <f>VLOOKUP(E13917,'lista obszary'!A:B,2,0)</f>
        <v>#N/A</v>
      </c>
      <c r="E2117" s="128" t="e">
        <f>VLOOKUP(B2117,'LISTA 12'!$A$2:$G$301400,5,0)</f>
        <v>#N/A</v>
      </c>
      <c r="F2117" s="121" t="e">
        <f>VLOOKUP(B2117,'LISTA 12'!$A$2:$G$30100,7,0)</f>
        <v>#N/A</v>
      </c>
      <c r="G2117" s="254" t="e">
        <f>VLOOKUP(H2117,'lista 3'!$A$1:$C$31467,3,0)</f>
        <v>#N/A</v>
      </c>
      <c r="H2117" s="134"/>
      <c r="I2117" s="136"/>
      <c r="J2117" s="135"/>
      <c r="K2117" s="22"/>
    </row>
    <row r="2118" spans="1:11">
      <c r="A2118" s="241" t="e">
        <f>VLOOKUP(B2118,'lista 1'!$A$2:$E$30100,4,0)</f>
        <v>#N/A</v>
      </c>
      <c r="B2118" s="123"/>
      <c r="C2118" s="133" t="e">
        <f>VLOOKUP(B2118,'lista 1'!$A$2:$E$31000,5,0)</f>
        <v>#N/A</v>
      </c>
      <c r="D2118" s="167" t="e">
        <f>VLOOKUP(E13918,'lista obszary'!A:B,2,0)</f>
        <v>#N/A</v>
      </c>
      <c r="E2118" s="128" t="e">
        <f>VLOOKUP(B2118,'LISTA 12'!$A$2:$G$301400,5,0)</f>
        <v>#N/A</v>
      </c>
      <c r="F2118" s="121" t="e">
        <f>VLOOKUP(B2118,'LISTA 12'!$A$2:$G$30100,7,0)</f>
        <v>#N/A</v>
      </c>
      <c r="G2118" s="254" t="e">
        <f>VLOOKUP(H2118,'lista 3'!$A$1:$C$31467,3,0)</f>
        <v>#N/A</v>
      </c>
      <c r="H2118" s="134"/>
      <c r="I2118" s="136"/>
      <c r="J2118" s="135"/>
      <c r="K2118" s="22"/>
    </row>
    <row r="2119" spans="1:11">
      <c r="A2119" s="241" t="e">
        <f>VLOOKUP(B2119,'lista 1'!$A$2:$E$30100,4,0)</f>
        <v>#N/A</v>
      </c>
      <c r="B2119" s="123"/>
      <c r="C2119" s="133" t="e">
        <f>VLOOKUP(B2119,'lista 1'!$A$2:$E$31000,5,0)</f>
        <v>#N/A</v>
      </c>
      <c r="D2119" s="167" t="e">
        <f>VLOOKUP(E13919,'lista obszary'!A:B,2,0)</f>
        <v>#N/A</v>
      </c>
      <c r="E2119" s="128" t="e">
        <f>VLOOKUP(B2119,'LISTA 12'!$A$2:$G$301400,5,0)</f>
        <v>#N/A</v>
      </c>
      <c r="F2119" s="121" t="e">
        <f>VLOOKUP(B2119,'LISTA 12'!$A$2:$G$30100,7,0)</f>
        <v>#N/A</v>
      </c>
      <c r="G2119" s="254" t="e">
        <f>VLOOKUP(H2119,'lista 3'!$A$1:$C$31467,3,0)</f>
        <v>#N/A</v>
      </c>
      <c r="H2119" s="134"/>
      <c r="I2119" s="136"/>
      <c r="J2119" s="135"/>
      <c r="K2119" s="22"/>
    </row>
    <row r="2120" spans="1:11">
      <c r="A2120" s="241" t="e">
        <f>VLOOKUP(B2120,'lista 1'!$A$2:$E$30100,4,0)</f>
        <v>#N/A</v>
      </c>
      <c r="B2120" s="123"/>
      <c r="C2120" s="133" t="e">
        <f>VLOOKUP(B2120,'lista 1'!$A$2:$E$31000,5,0)</f>
        <v>#N/A</v>
      </c>
      <c r="D2120" s="167" t="e">
        <f>VLOOKUP(E13920,'lista obszary'!A:B,2,0)</f>
        <v>#N/A</v>
      </c>
      <c r="E2120" s="128" t="e">
        <f>VLOOKUP(B2120,'LISTA 12'!$A$2:$G$301400,5,0)</f>
        <v>#N/A</v>
      </c>
      <c r="F2120" s="121" t="e">
        <f>VLOOKUP(B2120,'LISTA 12'!$A$2:$G$30100,7,0)</f>
        <v>#N/A</v>
      </c>
      <c r="G2120" s="254" t="e">
        <f>VLOOKUP(H2120,'lista 3'!$A$1:$C$31467,3,0)</f>
        <v>#N/A</v>
      </c>
      <c r="H2120" s="134"/>
      <c r="I2120" s="136"/>
      <c r="J2120" s="135"/>
      <c r="K2120" s="22"/>
    </row>
    <row r="2121" spans="1:11">
      <c r="A2121" s="241" t="e">
        <f>VLOOKUP(B2121,'lista 1'!$A$2:$E$30100,4,0)</f>
        <v>#N/A</v>
      </c>
      <c r="B2121" s="123"/>
      <c r="C2121" s="133" t="e">
        <f>VLOOKUP(B2121,'lista 1'!$A$2:$E$31000,5,0)</f>
        <v>#N/A</v>
      </c>
      <c r="D2121" s="167" t="e">
        <f>VLOOKUP(E13921,'lista obszary'!A:B,2,0)</f>
        <v>#N/A</v>
      </c>
      <c r="E2121" s="128" t="e">
        <f>VLOOKUP(B2121,'LISTA 12'!$A$2:$G$301400,5,0)</f>
        <v>#N/A</v>
      </c>
      <c r="F2121" s="121" t="e">
        <f>VLOOKUP(B2121,'LISTA 12'!$A$2:$G$30100,7,0)</f>
        <v>#N/A</v>
      </c>
      <c r="G2121" s="254" t="e">
        <f>VLOOKUP(H2121,'lista 3'!$A$1:$C$31467,3,0)</f>
        <v>#N/A</v>
      </c>
      <c r="H2121" s="134"/>
      <c r="I2121" s="136"/>
      <c r="J2121" s="135"/>
      <c r="K2121" s="22"/>
    </row>
    <row r="2122" spans="1:11">
      <c r="A2122" s="241" t="e">
        <f>VLOOKUP(B2122,'lista 1'!$A$2:$E$30100,4,0)</f>
        <v>#N/A</v>
      </c>
      <c r="B2122" s="123"/>
      <c r="C2122" s="133" t="e">
        <f>VLOOKUP(B2122,'lista 1'!$A$2:$E$31000,5,0)</f>
        <v>#N/A</v>
      </c>
      <c r="D2122" s="167" t="e">
        <f>VLOOKUP(E13922,'lista obszary'!A:B,2,0)</f>
        <v>#N/A</v>
      </c>
      <c r="E2122" s="128" t="e">
        <f>VLOOKUP(B2122,'LISTA 12'!$A$2:$G$301400,5,0)</f>
        <v>#N/A</v>
      </c>
      <c r="F2122" s="121" t="e">
        <f>VLOOKUP(B2122,'LISTA 12'!$A$2:$G$30100,7,0)</f>
        <v>#N/A</v>
      </c>
      <c r="G2122" s="254" t="e">
        <f>VLOOKUP(H2122,'lista 3'!$A$1:$C$31467,3,0)</f>
        <v>#N/A</v>
      </c>
      <c r="H2122" s="134"/>
      <c r="I2122" s="136"/>
      <c r="J2122" s="135"/>
      <c r="K2122" s="22"/>
    </row>
    <row r="2123" spans="1:11">
      <c r="A2123" s="241" t="e">
        <f>VLOOKUP(B2123,'lista 1'!$A$2:$E$30100,4,0)</f>
        <v>#N/A</v>
      </c>
      <c r="B2123" s="123"/>
      <c r="C2123" s="133" t="e">
        <f>VLOOKUP(B2123,'lista 1'!$A$2:$E$31000,5,0)</f>
        <v>#N/A</v>
      </c>
      <c r="D2123" s="167" t="e">
        <f>VLOOKUP(E13923,'lista obszary'!A:B,2,0)</f>
        <v>#N/A</v>
      </c>
      <c r="E2123" s="128" t="e">
        <f>VLOOKUP(B2123,'LISTA 12'!$A$2:$G$301400,5,0)</f>
        <v>#N/A</v>
      </c>
      <c r="F2123" s="121" t="e">
        <f>VLOOKUP(B2123,'LISTA 12'!$A$2:$G$30100,7,0)</f>
        <v>#N/A</v>
      </c>
      <c r="G2123" s="254" t="e">
        <f>VLOOKUP(H2123,'lista 3'!$A$1:$C$31467,3,0)</f>
        <v>#N/A</v>
      </c>
      <c r="H2123" s="134"/>
      <c r="I2123" s="136"/>
      <c r="J2123" s="135"/>
      <c r="K2123" s="22"/>
    </row>
    <row r="2124" spans="1:11">
      <c r="A2124" s="241" t="e">
        <f>VLOOKUP(B2124,'lista 1'!$A$2:$E$30100,4,0)</f>
        <v>#N/A</v>
      </c>
      <c r="B2124" s="123"/>
      <c r="C2124" s="133" t="e">
        <f>VLOOKUP(B2124,'lista 1'!$A$2:$E$31000,5,0)</f>
        <v>#N/A</v>
      </c>
      <c r="D2124" s="167" t="e">
        <f>VLOOKUP(E13924,'lista obszary'!A:B,2,0)</f>
        <v>#N/A</v>
      </c>
      <c r="E2124" s="128" t="e">
        <f>VLOOKUP(B2124,'LISTA 12'!$A$2:$G$301400,5,0)</f>
        <v>#N/A</v>
      </c>
      <c r="F2124" s="121" t="e">
        <f>VLOOKUP(B2124,'LISTA 12'!$A$2:$G$30100,7,0)</f>
        <v>#N/A</v>
      </c>
      <c r="G2124" s="254" t="e">
        <f>VLOOKUP(H2124,'lista 3'!$A$1:$C$31467,3,0)</f>
        <v>#N/A</v>
      </c>
      <c r="H2124" s="134"/>
      <c r="I2124" s="136"/>
      <c r="J2124" s="135"/>
      <c r="K2124" s="22"/>
    </row>
    <row r="2125" spans="1:11">
      <c r="A2125" s="241" t="e">
        <f>VLOOKUP(B2125,'lista 1'!$A$2:$E$30100,4,0)</f>
        <v>#N/A</v>
      </c>
      <c r="B2125" s="123"/>
      <c r="C2125" s="133" t="e">
        <f>VLOOKUP(B2125,'lista 1'!$A$2:$E$31000,5,0)</f>
        <v>#N/A</v>
      </c>
      <c r="D2125" s="167" t="e">
        <f>VLOOKUP(E13925,'lista obszary'!A:B,2,0)</f>
        <v>#N/A</v>
      </c>
      <c r="E2125" s="128" t="e">
        <f>VLOOKUP(B2125,'LISTA 12'!$A$2:$G$301400,5,0)</f>
        <v>#N/A</v>
      </c>
      <c r="F2125" s="121" t="e">
        <f>VLOOKUP(B2125,'LISTA 12'!$A$2:$G$30100,7,0)</f>
        <v>#N/A</v>
      </c>
      <c r="G2125" s="254" t="e">
        <f>VLOOKUP(H2125,'lista 3'!$A$1:$C$31467,3,0)</f>
        <v>#N/A</v>
      </c>
      <c r="H2125" s="134"/>
      <c r="I2125" s="136"/>
      <c r="J2125" s="135"/>
      <c r="K2125" s="22"/>
    </row>
    <row r="2126" spans="1:11">
      <c r="A2126" s="241" t="e">
        <f>VLOOKUP(B2126,'lista 1'!$A$2:$E$30100,4,0)</f>
        <v>#N/A</v>
      </c>
      <c r="B2126" s="123"/>
      <c r="C2126" s="133" t="e">
        <f>VLOOKUP(B2126,'lista 1'!$A$2:$E$31000,5,0)</f>
        <v>#N/A</v>
      </c>
      <c r="D2126" s="167" t="e">
        <f>VLOOKUP(E13926,'lista obszary'!A:B,2,0)</f>
        <v>#N/A</v>
      </c>
      <c r="E2126" s="128" t="e">
        <f>VLOOKUP(B2126,'LISTA 12'!$A$2:$G$301400,5,0)</f>
        <v>#N/A</v>
      </c>
      <c r="F2126" s="121" t="e">
        <f>VLOOKUP(B2126,'LISTA 12'!$A$2:$G$30100,7,0)</f>
        <v>#N/A</v>
      </c>
      <c r="G2126" s="254" t="e">
        <f>VLOOKUP(H2126,'lista 3'!$A$1:$C$31467,3,0)</f>
        <v>#N/A</v>
      </c>
      <c r="H2126" s="134"/>
      <c r="I2126" s="136"/>
      <c r="J2126" s="135"/>
      <c r="K2126" s="22"/>
    </row>
    <row r="2127" spans="1:11">
      <c r="A2127" s="241" t="e">
        <f>VLOOKUP(B2127,'lista 1'!$A$2:$E$30100,4,0)</f>
        <v>#N/A</v>
      </c>
      <c r="B2127" s="123"/>
      <c r="C2127" s="133" t="e">
        <f>VLOOKUP(B2127,'lista 1'!$A$2:$E$31000,5,0)</f>
        <v>#N/A</v>
      </c>
      <c r="D2127" s="167" t="e">
        <f>VLOOKUP(E13927,'lista obszary'!A:B,2,0)</f>
        <v>#N/A</v>
      </c>
      <c r="E2127" s="128" t="e">
        <f>VLOOKUP(B2127,'LISTA 12'!$A$2:$G$301400,5,0)</f>
        <v>#N/A</v>
      </c>
      <c r="F2127" s="121" t="e">
        <f>VLOOKUP(B2127,'LISTA 12'!$A$2:$G$30100,7,0)</f>
        <v>#N/A</v>
      </c>
      <c r="G2127" s="254" t="e">
        <f>VLOOKUP(H2127,'lista 3'!$A$1:$C$31467,3,0)</f>
        <v>#N/A</v>
      </c>
      <c r="H2127" s="134"/>
      <c r="I2127" s="136"/>
      <c r="J2127" s="135"/>
      <c r="K2127" s="22"/>
    </row>
    <row r="2128" spans="1:11">
      <c r="A2128" s="241" t="e">
        <f>VLOOKUP(B2128,'lista 1'!$A$2:$E$30100,4,0)</f>
        <v>#N/A</v>
      </c>
      <c r="B2128" s="123"/>
      <c r="C2128" s="133" t="e">
        <f>VLOOKUP(B2128,'lista 1'!$A$2:$E$31000,5,0)</f>
        <v>#N/A</v>
      </c>
      <c r="D2128" s="167" t="e">
        <f>VLOOKUP(E13928,'lista obszary'!A:B,2,0)</f>
        <v>#N/A</v>
      </c>
      <c r="E2128" s="128" t="e">
        <f>VLOOKUP(B2128,'LISTA 12'!$A$2:$G$301400,5,0)</f>
        <v>#N/A</v>
      </c>
      <c r="F2128" s="121" t="e">
        <f>VLOOKUP(B2128,'LISTA 12'!$A$2:$G$30100,7,0)</f>
        <v>#N/A</v>
      </c>
      <c r="G2128" s="254" t="e">
        <f>VLOOKUP(H2128,'lista 3'!$A$1:$C$31467,3,0)</f>
        <v>#N/A</v>
      </c>
      <c r="H2128" s="134"/>
      <c r="I2128" s="136"/>
      <c r="J2128" s="135"/>
      <c r="K2128" s="22"/>
    </row>
    <row r="2129" spans="1:11">
      <c r="A2129" s="241" t="e">
        <f>VLOOKUP(B2129,'lista 1'!$A$2:$E$30100,4,0)</f>
        <v>#N/A</v>
      </c>
      <c r="B2129" s="123"/>
      <c r="C2129" s="133" t="e">
        <f>VLOOKUP(B2129,'lista 1'!$A$2:$E$31000,5,0)</f>
        <v>#N/A</v>
      </c>
      <c r="D2129" s="167" t="e">
        <f>VLOOKUP(E13929,'lista obszary'!A:B,2,0)</f>
        <v>#N/A</v>
      </c>
      <c r="E2129" s="128" t="e">
        <f>VLOOKUP(B2129,'LISTA 12'!$A$2:$G$301400,5,0)</f>
        <v>#N/A</v>
      </c>
      <c r="F2129" s="121" t="e">
        <f>VLOOKUP(B2129,'LISTA 12'!$A$2:$G$30100,7,0)</f>
        <v>#N/A</v>
      </c>
      <c r="G2129" s="254" t="e">
        <f>VLOOKUP(H2129,'lista 3'!$A$1:$C$31467,3,0)</f>
        <v>#N/A</v>
      </c>
      <c r="H2129" s="134"/>
      <c r="I2129" s="136"/>
      <c r="J2129" s="135"/>
      <c r="K2129" s="22"/>
    </row>
    <row r="2130" spans="1:11">
      <c r="A2130" s="241" t="e">
        <f>VLOOKUP(B2130,'lista 1'!$A$2:$E$30100,4,0)</f>
        <v>#N/A</v>
      </c>
      <c r="B2130" s="123"/>
      <c r="C2130" s="133" t="e">
        <f>VLOOKUP(B2130,'lista 1'!$A$2:$E$31000,5,0)</f>
        <v>#N/A</v>
      </c>
      <c r="D2130" s="167" t="e">
        <f>VLOOKUP(E13930,'lista obszary'!A:B,2,0)</f>
        <v>#N/A</v>
      </c>
      <c r="E2130" s="128" t="e">
        <f>VLOOKUP(B2130,'LISTA 12'!$A$2:$G$301400,5,0)</f>
        <v>#N/A</v>
      </c>
      <c r="F2130" s="121" t="e">
        <f>VLOOKUP(B2130,'LISTA 12'!$A$2:$G$30100,7,0)</f>
        <v>#N/A</v>
      </c>
      <c r="G2130" s="254" t="e">
        <f>VLOOKUP(H2130,'lista 3'!$A$1:$C$31467,3,0)</f>
        <v>#N/A</v>
      </c>
      <c r="H2130" s="134"/>
      <c r="I2130" s="136"/>
      <c r="J2130" s="135"/>
      <c r="K2130" s="22"/>
    </row>
    <row r="2131" spans="1:11">
      <c r="A2131" s="241" t="e">
        <f>VLOOKUP(B2131,'lista 1'!$A$2:$E$30100,4,0)</f>
        <v>#N/A</v>
      </c>
      <c r="B2131" s="123"/>
      <c r="C2131" s="133" t="e">
        <f>VLOOKUP(B2131,'lista 1'!$A$2:$E$31000,5,0)</f>
        <v>#N/A</v>
      </c>
      <c r="D2131" s="167" t="e">
        <f>VLOOKUP(E13931,'lista obszary'!A:B,2,0)</f>
        <v>#N/A</v>
      </c>
      <c r="E2131" s="128" t="e">
        <f>VLOOKUP(B2131,'LISTA 12'!$A$2:$G$301400,5,0)</f>
        <v>#N/A</v>
      </c>
      <c r="F2131" s="121" t="e">
        <f>VLOOKUP(B2131,'LISTA 12'!$A$2:$G$30100,7,0)</f>
        <v>#N/A</v>
      </c>
      <c r="G2131" s="254" t="e">
        <f>VLOOKUP(H2131,'lista 3'!$A$1:$C$31467,3,0)</f>
        <v>#N/A</v>
      </c>
      <c r="H2131" s="134"/>
      <c r="I2131" s="136"/>
      <c r="J2131" s="135"/>
      <c r="K2131" s="22"/>
    </row>
    <row r="2132" spans="1:11">
      <c r="A2132" s="241" t="e">
        <f>VLOOKUP(B2132,'lista 1'!$A$2:$E$30100,4,0)</f>
        <v>#N/A</v>
      </c>
      <c r="B2132" s="123"/>
      <c r="C2132" s="133" t="e">
        <f>VLOOKUP(B2132,'lista 1'!$A$2:$E$31000,5,0)</f>
        <v>#N/A</v>
      </c>
      <c r="D2132" s="167" t="e">
        <f>VLOOKUP(E13932,'lista obszary'!A:B,2,0)</f>
        <v>#N/A</v>
      </c>
      <c r="E2132" s="128" t="e">
        <f>VLOOKUP(B2132,'LISTA 12'!$A$2:$G$301400,5,0)</f>
        <v>#N/A</v>
      </c>
      <c r="F2132" s="121" t="e">
        <f>VLOOKUP(B2132,'LISTA 12'!$A$2:$G$30100,7,0)</f>
        <v>#N/A</v>
      </c>
      <c r="G2132" s="254" t="e">
        <f>VLOOKUP(H2132,'lista 3'!$A$1:$C$31467,3,0)</f>
        <v>#N/A</v>
      </c>
      <c r="H2132" s="134"/>
      <c r="I2132" s="136"/>
      <c r="J2132" s="135"/>
      <c r="K2132" s="22"/>
    </row>
    <row r="2133" spans="1:11">
      <c r="A2133" s="241" t="e">
        <f>VLOOKUP(B2133,'lista 1'!$A$2:$E$30100,4,0)</f>
        <v>#N/A</v>
      </c>
      <c r="B2133" s="123"/>
      <c r="C2133" s="133" t="e">
        <f>VLOOKUP(B2133,'lista 1'!$A$2:$E$31000,5,0)</f>
        <v>#N/A</v>
      </c>
      <c r="D2133" s="167" t="e">
        <f>VLOOKUP(E13933,'lista obszary'!A:B,2,0)</f>
        <v>#N/A</v>
      </c>
      <c r="E2133" s="128" t="e">
        <f>VLOOKUP(B2133,'LISTA 12'!$A$2:$G$301400,5,0)</f>
        <v>#N/A</v>
      </c>
      <c r="F2133" s="121" t="e">
        <f>VLOOKUP(B2133,'LISTA 12'!$A$2:$G$30100,7,0)</f>
        <v>#N/A</v>
      </c>
      <c r="G2133" s="254" t="e">
        <f>VLOOKUP(H2133,'lista 3'!$A$1:$C$31467,3,0)</f>
        <v>#N/A</v>
      </c>
      <c r="H2133" s="134"/>
      <c r="I2133" s="136"/>
      <c r="J2133" s="135"/>
      <c r="K2133" s="22"/>
    </row>
    <row r="2134" spans="1:11">
      <c r="A2134" s="241" t="e">
        <f>VLOOKUP(B2134,'lista 1'!$A$2:$E$30100,4,0)</f>
        <v>#N/A</v>
      </c>
      <c r="B2134" s="123"/>
      <c r="C2134" s="133" t="e">
        <f>VLOOKUP(B2134,'lista 1'!$A$2:$E$31000,5,0)</f>
        <v>#N/A</v>
      </c>
      <c r="D2134" s="167" t="e">
        <f>VLOOKUP(E13934,'lista obszary'!A:B,2,0)</f>
        <v>#N/A</v>
      </c>
      <c r="E2134" s="128" t="e">
        <f>VLOOKUP(B2134,'LISTA 12'!$A$2:$G$301400,5,0)</f>
        <v>#N/A</v>
      </c>
      <c r="F2134" s="121" t="e">
        <f>VLOOKUP(B2134,'LISTA 12'!$A$2:$G$30100,7,0)</f>
        <v>#N/A</v>
      </c>
      <c r="G2134" s="254" t="e">
        <f>VLOOKUP(H2134,'lista 3'!$A$1:$C$31467,3,0)</f>
        <v>#N/A</v>
      </c>
      <c r="H2134" s="134"/>
      <c r="I2134" s="136"/>
      <c r="J2134" s="135"/>
      <c r="K2134" s="22"/>
    </row>
    <row r="2135" spans="1:11">
      <c r="A2135" s="241" t="e">
        <f>VLOOKUP(B2135,'lista 1'!$A$2:$E$30100,4,0)</f>
        <v>#N/A</v>
      </c>
      <c r="B2135" s="123"/>
      <c r="C2135" s="133" t="e">
        <f>VLOOKUP(B2135,'lista 1'!$A$2:$E$31000,5,0)</f>
        <v>#N/A</v>
      </c>
      <c r="D2135" s="167" t="e">
        <f>VLOOKUP(E13935,'lista obszary'!A:B,2,0)</f>
        <v>#N/A</v>
      </c>
      <c r="E2135" s="128" t="e">
        <f>VLOOKUP(B2135,'LISTA 12'!$A$2:$G$301400,5,0)</f>
        <v>#N/A</v>
      </c>
      <c r="F2135" s="121" t="e">
        <f>VLOOKUP(B2135,'LISTA 12'!$A$2:$G$30100,7,0)</f>
        <v>#N/A</v>
      </c>
      <c r="G2135" s="254" t="e">
        <f>VLOOKUP(H2135,'lista 3'!$A$1:$C$31467,3,0)</f>
        <v>#N/A</v>
      </c>
      <c r="H2135" s="134"/>
      <c r="I2135" s="136"/>
      <c r="J2135" s="135"/>
      <c r="K2135" s="22"/>
    </row>
    <row r="2136" spans="1:11">
      <c r="A2136" s="241" t="e">
        <f>VLOOKUP(B2136,'lista 1'!$A$2:$E$30100,4,0)</f>
        <v>#N/A</v>
      </c>
      <c r="B2136" s="123"/>
      <c r="C2136" s="133" t="e">
        <f>VLOOKUP(B2136,'lista 1'!$A$2:$E$31000,5,0)</f>
        <v>#N/A</v>
      </c>
      <c r="D2136" s="167" t="e">
        <f>VLOOKUP(E13936,'lista obszary'!A:B,2,0)</f>
        <v>#N/A</v>
      </c>
      <c r="E2136" s="128" t="e">
        <f>VLOOKUP(B2136,'LISTA 12'!$A$2:$G$301400,5,0)</f>
        <v>#N/A</v>
      </c>
      <c r="F2136" s="121" t="e">
        <f>VLOOKUP(B2136,'LISTA 12'!$A$2:$G$30100,7,0)</f>
        <v>#N/A</v>
      </c>
      <c r="G2136" s="254" t="e">
        <f>VLOOKUP(H2136,'lista 3'!$A$1:$C$31467,3,0)</f>
        <v>#N/A</v>
      </c>
      <c r="H2136" s="134"/>
      <c r="I2136" s="136"/>
      <c r="J2136" s="135"/>
      <c r="K2136" s="22"/>
    </row>
    <row r="2137" spans="1:11">
      <c r="A2137" s="241" t="e">
        <f>VLOOKUP(B2137,'lista 1'!$A$2:$E$30100,4,0)</f>
        <v>#N/A</v>
      </c>
      <c r="B2137" s="123"/>
      <c r="C2137" s="133" t="e">
        <f>VLOOKUP(B2137,'lista 1'!$A$2:$E$31000,5,0)</f>
        <v>#N/A</v>
      </c>
      <c r="D2137" s="167" t="e">
        <f>VLOOKUP(E13937,'lista obszary'!A:B,2,0)</f>
        <v>#N/A</v>
      </c>
      <c r="E2137" s="128" t="e">
        <f>VLOOKUP(B2137,'LISTA 12'!$A$2:$G$301400,5,0)</f>
        <v>#N/A</v>
      </c>
      <c r="F2137" s="121" t="e">
        <f>VLOOKUP(B2137,'LISTA 12'!$A$2:$G$30100,7,0)</f>
        <v>#N/A</v>
      </c>
      <c r="G2137" s="254" t="e">
        <f>VLOOKUP(H2137,'lista 3'!$A$1:$C$31467,3,0)</f>
        <v>#N/A</v>
      </c>
      <c r="H2137" s="134"/>
      <c r="I2137" s="136"/>
      <c r="J2137" s="135"/>
      <c r="K2137" s="22"/>
    </row>
    <row r="2138" spans="1:11">
      <c r="A2138" s="241" t="e">
        <f>VLOOKUP(B2138,'lista 1'!$A$2:$E$30100,4,0)</f>
        <v>#N/A</v>
      </c>
      <c r="B2138" s="123"/>
      <c r="C2138" s="133" t="e">
        <f>VLOOKUP(B2138,'lista 1'!$A$2:$E$31000,5,0)</f>
        <v>#N/A</v>
      </c>
      <c r="D2138" s="167" t="e">
        <f>VLOOKUP(E13938,'lista obszary'!A:B,2,0)</f>
        <v>#N/A</v>
      </c>
      <c r="E2138" s="128" t="e">
        <f>VLOOKUP(B2138,'LISTA 12'!$A$2:$G$301400,5,0)</f>
        <v>#N/A</v>
      </c>
      <c r="F2138" s="121" t="e">
        <f>VLOOKUP(B2138,'LISTA 12'!$A$2:$G$30100,7,0)</f>
        <v>#N/A</v>
      </c>
      <c r="G2138" s="254" t="e">
        <f>VLOOKUP(H2138,'lista 3'!$A$1:$C$31467,3,0)</f>
        <v>#N/A</v>
      </c>
      <c r="H2138" s="134"/>
      <c r="I2138" s="136"/>
      <c r="J2138" s="135"/>
      <c r="K2138" s="22"/>
    </row>
    <row r="2139" spans="1:11">
      <c r="A2139" s="241" t="e">
        <f>VLOOKUP(B2139,'lista 1'!$A$2:$E$30100,4,0)</f>
        <v>#N/A</v>
      </c>
      <c r="B2139" s="123"/>
      <c r="C2139" s="133" t="e">
        <f>VLOOKUP(B2139,'lista 1'!$A$2:$E$31000,5,0)</f>
        <v>#N/A</v>
      </c>
      <c r="D2139" s="167" t="e">
        <f>VLOOKUP(E13939,'lista obszary'!A:B,2,0)</f>
        <v>#N/A</v>
      </c>
      <c r="E2139" s="128" t="e">
        <f>VLOOKUP(B2139,'LISTA 12'!$A$2:$G$301400,5,0)</f>
        <v>#N/A</v>
      </c>
      <c r="F2139" s="121" t="e">
        <f>VLOOKUP(B2139,'LISTA 12'!$A$2:$G$30100,7,0)</f>
        <v>#N/A</v>
      </c>
      <c r="G2139" s="254" t="e">
        <f>VLOOKUP(H2139,'lista 3'!$A$1:$C$31467,3,0)</f>
        <v>#N/A</v>
      </c>
      <c r="H2139" s="134"/>
      <c r="I2139" s="136"/>
      <c r="J2139" s="135"/>
      <c r="K2139" s="22"/>
    </row>
    <row r="2140" spans="1:11">
      <c r="A2140" s="241" t="e">
        <f>VLOOKUP(B2140,'lista 1'!$A$2:$E$30100,4,0)</f>
        <v>#N/A</v>
      </c>
      <c r="B2140" s="123"/>
      <c r="C2140" s="133" t="e">
        <f>VLOOKUP(B2140,'lista 1'!$A$2:$E$31000,5,0)</f>
        <v>#N/A</v>
      </c>
      <c r="D2140" s="167" t="e">
        <f>VLOOKUP(E13940,'lista obszary'!A:B,2,0)</f>
        <v>#N/A</v>
      </c>
      <c r="E2140" s="128" t="e">
        <f>VLOOKUP(B2140,'LISTA 12'!$A$2:$G$301400,5,0)</f>
        <v>#N/A</v>
      </c>
      <c r="F2140" s="121" t="e">
        <f>VLOOKUP(B2140,'LISTA 12'!$A$2:$G$30100,7,0)</f>
        <v>#N/A</v>
      </c>
      <c r="G2140" s="254" t="e">
        <f>VLOOKUP(H2140,'lista 3'!$A$1:$C$31467,3,0)</f>
        <v>#N/A</v>
      </c>
      <c r="H2140" s="134"/>
      <c r="I2140" s="136"/>
      <c r="J2140" s="135"/>
      <c r="K2140" s="22"/>
    </row>
    <row r="2141" spans="1:11">
      <c r="A2141" s="241" t="e">
        <f>VLOOKUP(B2141,'lista 1'!$A$2:$E$30100,4,0)</f>
        <v>#N/A</v>
      </c>
      <c r="B2141" s="123"/>
      <c r="C2141" s="133" t="e">
        <f>VLOOKUP(B2141,'lista 1'!$A$2:$E$31000,5,0)</f>
        <v>#N/A</v>
      </c>
      <c r="D2141" s="167" t="e">
        <f>VLOOKUP(E13941,'lista obszary'!A:B,2,0)</f>
        <v>#N/A</v>
      </c>
      <c r="E2141" s="128" t="e">
        <f>VLOOKUP(B2141,'LISTA 12'!$A$2:$G$301400,5,0)</f>
        <v>#N/A</v>
      </c>
      <c r="F2141" s="121" t="e">
        <f>VLOOKUP(B2141,'LISTA 12'!$A$2:$G$30100,7,0)</f>
        <v>#N/A</v>
      </c>
      <c r="G2141" s="254" t="e">
        <f>VLOOKUP(H2141,'lista 3'!$A$1:$C$31467,3,0)</f>
        <v>#N/A</v>
      </c>
      <c r="H2141" s="134"/>
      <c r="I2141" s="136"/>
      <c r="J2141" s="135"/>
      <c r="K2141" s="22"/>
    </row>
    <row r="2142" spans="1:11">
      <c r="A2142" s="241" t="e">
        <f>VLOOKUP(B2142,'lista 1'!$A$2:$E$30100,4,0)</f>
        <v>#N/A</v>
      </c>
      <c r="B2142" s="123"/>
      <c r="C2142" s="133" t="e">
        <f>VLOOKUP(B2142,'lista 1'!$A$2:$E$31000,5,0)</f>
        <v>#N/A</v>
      </c>
      <c r="D2142" s="167" t="e">
        <f>VLOOKUP(E13942,'lista obszary'!A:B,2,0)</f>
        <v>#N/A</v>
      </c>
      <c r="E2142" s="128" t="e">
        <f>VLOOKUP(B2142,'LISTA 12'!$A$2:$G$301400,5,0)</f>
        <v>#N/A</v>
      </c>
      <c r="F2142" s="121" t="e">
        <f>VLOOKUP(B2142,'LISTA 12'!$A$2:$G$30100,7,0)</f>
        <v>#N/A</v>
      </c>
      <c r="G2142" s="254" t="e">
        <f>VLOOKUP(H2142,'lista 3'!$A$1:$C$31467,3,0)</f>
        <v>#N/A</v>
      </c>
      <c r="H2142" s="134"/>
      <c r="I2142" s="136"/>
      <c r="J2142" s="135"/>
      <c r="K2142" s="22"/>
    </row>
    <row r="2143" spans="1:11">
      <c r="A2143" s="241" t="e">
        <f>VLOOKUP(B2143,'lista 1'!$A$2:$E$30100,4,0)</f>
        <v>#N/A</v>
      </c>
      <c r="B2143" s="123"/>
      <c r="C2143" s="133" t="e">
        <f>VLOOKUP(B2143,'lista 1'!$A$2:$E$31000,5,0)</f>
        <v>#N/A</v>
      </c>
      <c r="D2143" s="167" t="e">
        <f>VLOOKUP(E13943,'lista obszary'!A:B,2,0)</f>
        <v>#N/A</v>
      </c>
      <c r="E2143" s="128" t="e">
        <f>VLOOKUP(B2143,'LISTA 12'!$A$2:$G$301400,5,0)</f>
        <v>#N/A</v>
      </c>
      <c r="F2143" s="121" t="e">
        <f>VLOOKUP(B2143,'LISTA 12'!$A$2:$G$30100,7,0)</f>
        <v>#N/A</v>
      </c>
      <c r="G2143" s="254" t="e">
        <f>VLOOKUP(H2143,'lista 3'!$A$1:$C$31467,3,0)</f>
        <v>#N/A</v>
      </c>
      <c r="H2143" s="134"/>
      <c r="I2143" s="136"/>
      <c r="J2143" s="135"/>
      <c r="K2143" s="22"/>
    </row>
    <row r="2144" spans="1:11">
      <c r="A2144" s="241" t="e">
        <f>VLOOKUP(B2144,'lista 1'!$A$2:$E$30100,4,0)</f>
        <v>#N/A</v>
      </c>
      <c r="B2144" s="123"/>
      <c r="C2144" s="133" t="e">
        <f>VLOOKUP(B2144,'lista 1'!$A$2:$E$31000,5,0)</f>
        <v>#N/A</v>
      </c>
      <c r="D2144" s="167" t="e">
        <f>VLOOKUP(E13944,'lista obszary'!A:B,2,0)</f>
        <v>#N/A</v>
      </c>
      <c r="E2144" s="128" t="e">
        <f>VLOOKUP(B2144,'LISTA 12'!$A$2:$G$301400,5,0)</f>
        <v>#N/A</v>
      </c>
      <c r="F2144" s="121" t="e">
        <f>VLOOKUP(B2144,'LISTA 12'!$A$2:$G$30100,7,0)</f>
        <v>#N/A</v>
      </c>
      <c r="G2144" s="254" t="e">
        <f>VLOOKUP(H2144,'lista 3'!$A$1:$C$31467,3,0)</f>
        <v>#N/A</v>
      </c>
      <c r="H2144" s="134"/>
      <c r="I2144" s="136"/>
      <c r="J2144" s="135"/>
      <c r="K2144" s="22"/>
    </row>
    <row r="2145" spans="1:11">
      <c r="A2145" s="241" t="e">
        <f>VLOOKUP(B2145,'lista 1'!$A$2:$E$30100,4,0)</f>
        <v>#N/A</v>
      </c>
      <c r="B2145" s="123"/>
      <c r="C2145" s="133" t="e">
        <f>VLOOKUP(B2145,'lista 1'!$A$2:$E$31000,5,0)</f>
        <v>#N/A</v>
      </c>
      <c r="D2145" s="167" t="e">
        <f>VLOOKUP(E13945,'lista obszary'!A:B,2,0)</f>
        <v>#N/A</v>
      </c>
      <c r="E2145" s="128" t="e">
        <f>VLOOKUP(B2145,'LISTA 12'!$A$2:$G$301400,5,0)</f>
        <v>#N/A</v>
      </c>
      <c r="F2145" s="121" t="e">
        <f>VLOOKUP(B2145,'LISTA 12'!$A$2:$G$30100,7,0)</f>
        <v>#N/A</v>
      </c>
      <c r="G2145" s="254" t="e">
        <f>VLOOKUP(H2145,'lista 3'!$A$1:$C$31467,3,0)</f>
        <v>#N/A</v>
      </c>
      <c r="H2145" s="134"/>
      <c r="I2145" s="136"/>
      <c r="J2145" s="135"/>
      <c r="K2145" s="22"/>
    </row>
    <row r="2146" spans="1:11">
      <c r="A2146" s="241" t="e">
        <f>VLOOKUP(B2146,'lista 1'!$A$2:$E$30100,4,0)</f>
        <v>#N/A</v>
      </c>
      <c r="B2146" s="123"/>
      <c r="C2146" s="133" t="e">
        <f>VLOOKUP(B2146,'lista 1'!$A$2:$E$31000,5,0)</f>
        <v>#N/A</v>
      </c>
      <c r="D2146" s="167" t="e">
        <f>VLOOKUP(E13946,'lista obszary'!A:B,2,0)</f>
        <v>#N/A</v>
      </c>
      <c r="E2146" s="128" t="e">
        <f>VLOOKUP(B2146,'LISTA 12'!$A$2:$G$301400,5,0)</f>
        <v>#N/A</v>
      </c>
      <c r="F2146" s="121" t="e">
        <f>VLOOKUP(B2146,'LISTA 12'!$A$2:$G$30100,7,0)</f>
        <v>#N/A</v>
      </c>
      <c r="G2146" s="254" t="e">
        <f>VLOOKUP(H2146,'lista 3'!$A$1:$C$31467,3,0)</f>
        <v>#N/A</v>
      </c>
      <c r="H2146" s="134"/>
      <c r="I2146" s="136"/>
      <c r="J2146" s="135"/>
      <c r="K2146" s="22"/>
    </row>
    <row r="2147" spans="1:11">
      <c r="A2147" s="241" t="e">
        <f>VLOOKUP(B2147,'lista 1'!$A$2:$E$30100,4,0)</f>
        <v>#N/A</v>
      </c>
      <c r="B2147" s="123"/>
      <c r="C2147" s="133" t="e">
        <f>VLOOKUP(B2147,'lista 1'!$A$2:$E$31000,5,0)</f>
        <v>#N/A</v>
      </c>
      <c r="D2147" s="167" t="e">
        <f>VLOOKUP(E13947,'lista obszary'!A:B,2,0)</f>
        <v>#N/A</v>
      </c>
      <c r="E2147" s="128" t="e">
        <f>VLOOKUP(B2147,'LISTA 12'!$A$2:$G$301400,5,0)</f>
        <v>#N/A</v>
      </c>
      <c r="F2147" s="121" t="e">
        <f>VLOOKUP(B2147,'LISTA 12'!$A$2:$G$30100,7,0)</f>
        <v>#N/A</v>
      </c>
      <c r="G2147" s="254" t="e">
        <f>VLOOKUP(H2147,'lista 3'!$A$1:$C$31467,3,0)</f>
        <v>#N/A</v>
      </c>
      <c r="H2147" s="134"/>
      <c r="I2147" s="136"/>
      <c r="J2147" s="135"/>
      <c r="K2147" s="22"/>
    </row>
    <row r="2148" spans="1:11">
      <c r="A2148" s="241" t="e">
        <f>VLOOKUP(B2148,'lista 1'!$A$2:$E$30100,4,0)</f>
        <v>#N/A</v>
      </c>
      <c r="B2148" s="123"/>
      <c r="C2148" s="133" t="e">
        <f>VLOOKUP(B2148,'lista 1'!$A$2:$E$31000,5,0)</f>
        <v>#N/A</v>
      </c>
      <c r="D2148" s="167" t="e">
        <f>VLOOKUP(E13948,'lista obszary'!A:B,2,0)</f>
        <v>#N/A</v>
      </c>
      <c r="E2148" s="128" t="e">
        <f>VLOOKUP(B2148,'LISTA 12'!$A$2:$G$301400,5,0)</f>
        <v>#N/A</v>
      </c>
      <c r="F2148" s="121" t="e">
        <f>VLOOKUP(B2148,'LISTA 12'!$A$2:$G$30100,7,0)</f>
        <v>#N/A</v>
      </c>
      <c r="G2148" s="254" t="e">
        <f>VLOOKUP(H2148,'lista 3'!$A$1:$C$31467,3,0)</f>
        <v>#N/A</v>
      </c>
      <c r="H2148" s="134"/>
      <c r="I2148" s="136"/>
      <c r="J2148" s="135"/>
      <c r="K2148" s="22"/>
    </row>
    <row r="2149" spans="1:11">
      <c r="A2149" s="241" t="e">
        <f>VLOOKUP(B2149,'lista 1'!$A$2:$E$30100,4,0)</f>
        <v>#N/A</v>
      </c>
      <c r="B2149" s="123"/>
      <c r="C2149" s="133" t="e">
        <f>VLOOKUP(B2149,'lista 1'!$A$2:$E$31000,5,0)</f>
        <v>#N/A</v>
      </c>
      <c r="D2149" s="167" t="e">
        <f>VLOOKUP(E13949,'lista obszary'!A:B,2,0)</f>
        <v>#N/A</v>
      </c>
      <c r="E2149" s="128" t="e">
        <f>VLOOKUP(B2149,'LISTA 12'!$A$2:$G$301400,5,0)</f>
        <v>#N/A</v>
      </c>
      <c r="F2149" s="121" t="e">
        <f>VLOOKUP(B2149,'LISTA 12'!$A$2:$G$30100,7,0)</f>
        <v>#N/A</v>
      </c>
      <c r="G2149" s="254" t="e">
        <f>VLOOKUP(H2149,'lista 3'!$A$1:$C$31467,3,0)</f>
        <v>#N/A</v>
      </c>
      <c r="H2149" s="134"/>
      <c r="I2149" s="136"/>
      <c r="J2149" s="135"/>
      <c r="K2149" s="22"/>
    </row>
    <row r="2150" spans="1:11">
      <c r="A2150" s="241" t="e">
        <f>VLOOKUP(B2150,'lista 1'!$A$2:$E$30100,4,0)</f>
        <v>#N/A</v>
      </c>
      <c r="B2150" s="123"/>
      <c r="C2150" s="133" t="e">
        <f>VLOOKUP(B2150,'lista 1'!$A$2:$E$31000,5,0)</f>
        <v>#N/A</v>
      </c>
      <c r="D2150" s="167" t="e">
        <f>VLOOKUP(E13950,'lista obszary'!A:B,2,0)</f>
        <v>#N/A</v>
      </c>
      <c r="E2150" s="128" t="e">
        <f>VLOOKUP(B2150,'LISTA 12'!$A$2:$G$301400,5,0)</f>
        <v>#N/A</v>
      </c>
      <c r="F2150" s="121" t="e">
        <f>VLOOKUP(B2150,'LISTA 12'!$A$2:$G$30100,7,0)</f>
        <v>#N/A</v>
      </c>
      <c r="G2150" s="254" t="e">
        <f>VLOOKUP(H2150,'lista 3'!$A$1:$C$31467,3,0)</f>
        <v>#N/A</v>
      </c>
      <c r="H2150" s="134"/>
      <c r="I2150" s="136"/>
      <c r="J2150" s="135"/>
      <c r="K2150" s="22"/>
    </row>
    <row r="2151" spans="1:11">
      <c r="A2151" s="241" t="e">
        <f>VLOOKUP(B2151,'lista 1'!$A$2:$E$30100,4,0)</f>
        <v>#N/A</v>
      </c>
      <c r="B2151" s="123"/>
      <c r="C2151" s="133" t="e">
        <f>VLOOKUP(B2151,'lista 1'!$A$2:$E$31000,5,0)</f>
        <v>#N/A</v>
      </c>
      <c r="D2151" s="167" t="e">
        <f>VLOOKUP(E13951,'lista obszary'!A:B,2,0)</f>
        <v>#N/A</v>
      </c>
      <c r="E2151" s="128" t="e">
        <f>VLOOKUP(B2151,'LISTA 12'!$A$2:$G$301400,5,0)</f>
        <v>#N/A</v>
      </c>
      <c r="F2151" s="121" t="e">
        <f>VLOOKUP(B2151,'LISTA 12'!$A$2:$G$30100,7,0)</f>
        <v>#N/A</v>
      </c>
      <c r="G2151" s="254" t="e">
        <f>VLOOKUP(H2151,'lista 3'!$A$1:$C$31467,3,0)</f>
        <v>#N/A</v>
      </c>
      <c r="H2151" s="134"/>
      <c r="I2151" s="136"/>
      <c r="J2151" s="135"/>
      <c r="K2151" s="22"/>
    </row>
    <row r="2152" spans="1:11">
      <c r="A2152" s="241" t="e">
        <f>VLOOKUP(B2152,'lista 1'!$A$2:$E$30100,4,0)</f>
        <v>#N/A</v>
      </c>
      <c r="B2152" s="123"/>
      <c r="C2152" s="133" t="e">
        <f>VLOOKUP(B2152,'lista 1'!$A$2:$E$31000,5,0)</f>
        <v>#N/A</v>
      </c>
      <c r="D2152" s="167" t="e">
        <f>VLOOKUP(E13952,'lista obszary'!A:B,2,0)</f>
        <v>#N/A</v>
      </c>
      <c r="E2152" s="128" t="e">
        <f>VLOOKUP(B2152,'LISTA 12'!$A$2:$G$301400,5,0)</f>
        <v>#N/A</v>
      </c>
      <c r="F2152" s="121" t="e">
        <f>VLOOKUP(B2152,'LISTA 12'!$A$2:$G$30100,7,0)</f>
        <v>#N/A</v>
      </c>
      <c r="G2152" s="254" t="e">
        <f>VLOOKUP(H2152,'lista 3'!$A$1:$C$31467,3,0)</f>
        <v>#N/A</v>
      </c>
      <c r="H2152" s="134"/>
      <c r="I2152" s="136"/>
      <c r="J2152" s="135"/>
      <c r="K2152" s="22"/>
    </row>
    <row r="2153" spans="1:11">
      <c r="A2153" s="241" t="e">
        <f>VLOOKUP(B2153,'lista 1'!$A$2:$E$30100,4,0)</f>
        <v>#N/A</v>
      </c>
      <c r="B2153" s="123"/>
      <c r="C2153" s="133" t="e">
        <f>VLOOKUP(B2153,'lista 1'!$A$2:$E$31000,5,0)</f>
        <v>#N/A</v>
      </c>
      <c r="D2153" s="167" t="e">
        <f>VLOOKUP(E13953,'lista obszary'!A:B,2,0)</f>
        <v>#N/A</v>
      </c>
      <c r="E2153" s="128" t="e">
        <f>VLOOKUP(B2153,'LISTA 12'!$A$2:$G$301400,5,0)</f>
        <v>#N/A</v>
      </c>
      <c r="F2153" s="121" t="e">
        <f>VLOOKUP(B2153,'LISTA 12'!$A$2:$G$30100,7,0)</f>
        <v>#N/A</v>
      </c>
      <c r="G2153" s="254" t="e">
        <f>VLOOKUP(H2153,'lista 3'!$A$1:$C$31467,3,0)</f>
        <v>#N/A</v>
      </c>
      <c r="H2153" s="134"/>
      <c r="I2153" s="136"/>
      <c r="J2153" s="135"/>
      <c r="K2153" s="22"/>
    </row>
    <row r="2154" spans="1:11">
      <c r="A2154" s="241" t="e">
        <f>VLOOKUP(B2154,'lista 1'!$A$2:$E$30100,4,0)</f>
        <v>#N/A</v>
      </c>
      <c r="B2154" s="123"/>
      <c r="C2154" s="133" t="e">
        <f>VLOOKUP(B2154,'lista 1'!$A$2:$E$31000,5,0)</f>
        <v>#N/A</v>
      </c>
      <c r="D2154" s="167" t="e">
        <f>VLOOKUP(E13954,'lista obszary'!A:B,2,0)</f>
        <v>#N/A</v>
      </c>
      <c r="E2154" s="128" t="e">
        <f>VLOOKUP(B2154,'LISTA 12'!$A$2:$G$301400,5,0)</f>
        <v>#N/A</v>
      </c>
      <c r="F2154" s="121" t="e">
        <f>VLOOKUP(B2154,'LISTA 12'!$A$2:$G$30100,7,0)</f>
        <v>#N/A</v>
      </c>
      <c r="G2154" s="254" t="e">
        <f>VLOOKUP(H2154,'lista 3'!$A$1:$C$31467,3,0)</f>
        <v>#N/A</v>
      </c>
      <c r="H2154" s="134"/>
      <c r="I2154" s="136"/>
      <c r="J2154" s="135"/>
      <c r="K2154" s="22"/>
    </row>
    <row r="2155" spans="1:11">
      <c r="A2155" s="241" t="e">
        <f>VLOOKUP(B2155,'lista 1'!$A$2:$E$30100,4,0)</f>
        <v>#N/A</v>
      </c>
      <c r="B2155" s="123"/>
      <c r="C2155" s="133" t="e">
        <f>VLOOKUP(B2155,'lista 1'!$A$2:$E$31000,5,0)</f>
        <v>#N/A</v>
      </c>
      <c r="D2155" s="167" t="e">
        <f>VLOOKUP(E13955,'lista obszary'!A:B,2,0)</f>
        <v>#N/A</v>
      </c>
      <c r="E2155" s="128" t="e">
        <f>VLOOKUP(B2155,'LISTA 12'!$A$2:$G$301400,5,0)</f>
        <v>#N/A</v>
      </c>
      <c r="F2155" s="121" t="e">
        <f>VLOOKUP(B2155,'LISTA 12'!$A$2:$G$30100,7,0)</f>
        <v>#N/A</v>
      </c>
      <c r="G2155" s="254" t="e">
        <f>VLOOKUP(H2155,'lista 3'!$A$1:$C$31467,3,0)</f>
        <v>#N/A</v>
      </c>
      <c r="H2155" s="134"/>
      <c r="I2155" s="136"/>
      <c r="J2155" s="135"/>
      <c r="K2155" s="22"/>
    </row>
    <row r="2156" spans="1:11">
      <c r="A2156" s="241" t="e">
        <f>VLOOKUP(B2156,'lista 1'!$A$2:$E$30100,4,0)</f>
        <v>#N/A</v>
      </c>
      <c r="B2156" s="123"/>
      <c r="C2156" s="133" t="e">
        <f>VLOOKUP(B2156,'lista 1'!$A$2:$E$31000,5,0)</f>
        <v>#N/A</v>
      </c>
      <c r="D2156" s="167" t="e">
        <f>VLOOKUP(E13956,'lista obszary'!A:B,2,0)</f>
        <v>#N/A</v>
      </c>
      <c r="E2156" s="128" t="e">
        <f>VLOOKUP(B2156,'LISTA 12'!$A$2:$G$301400,5,0)</f>
        <v>#N/A</v>
      </c>
      <c r="F2156" s="121" t="e">
        <f>VLOOKUP(B2156,'LISTA 12'!$A$2:$G$30100,7,0)</f>
        <v>#N/A</v>
      </c>
      <c r="G2156" s="254" t="e">
        <f>VLOOKUP(H2156,'lista 3'!$A$1:$C$31467,3,0)</f>
        <v>#N/A</v>
      </c>
      <c r="H2156" s="134"/>
      <c r="I2156" s="136"/>
      <c r="J2156" s="135"/>
      <c r="K2156" s="22"/>
    </row>
    <row r="2157" spans="1:11">
      <c r="A2157" s="241" t="e">
        <f>VLOOKUP(B2157,'lista 1'!$A$2:$E$30100,4,0)</f>
        <v>#N/A</v>
      </c>
      <c r="B2157" s="123"/>
      <c r="C2157" s="133" t="e">
        <f>VLOOKUP(B2157,'lista 1'!$A$2:$E$31000,5,0)</f>
        <v>#N/A</v>
      </c>
      <c r="D2157" s="167" t="e">
        <f>VLOOKUP(E13957,'lista obszary'!A:B,2,0)</f>
        <v>#N/A</v>
      </c>
      <c r="E2157" s="128" t="e">
        <f>VLOOKUP(B2157,'LISTA 12'!$A$2:$G$301400,5,0)</f>
        <v>#N/A</v>
      </c>
      <c r="F2157" s="121" t="e">
        <f>VLOOKUP(B2157,'LISTA 12'!$A$2:$G$30100,7,0)</f>
        <v>#N/A</v>
      </c>
      <c r="G2157" s="254" t="e">
        <f>VLOOKUP(H2157,'lista 3'!$A$1:$C$31467,3,0)</f>
        <v>#N/A</v>
      </c>
      <c r="H2157" s="134"/>
      <c r="I2157" s="136"/>
      <c r="J2157" s="135"/>
      <c r="K2157" s="22"/>
    </row>
    <row r="2158" spans="1:11">
      <c r="A2158" s="241" t="e">
        <f>VLOOKUP(B2158,'lista 1'!$A$2:$E$30100,4,0)</f>
        <v>#N/A</v>
      </c>
      <c r="B2158" s="123"/>
      <c r="C2158" s="133" t="e">
        <f>VLOOKUP(B2158,'lista 1'!$A$2:$E$31000,5,0)</f>
        <v>#N/A</v>
      </c>
      <c r="D2158" s="167" t="e">
        <f>VLOOKUP(E13958,'lista obszary'!A:B,2,0)</f>
        <v>#N/A</v>
      </c>
      <c r="E2158" s="128" t="e">
        <f>VLOOKUP(B2158,'LISTA 12'!$A$2:$G$301400,5,0)</f>
        <v>#N/A</v>
      </c>
      <c r="F2158" s="121" t="e">
        <f>VLOOKUP(B2158,'LISTA 12'!$A$2:$G$30100,7,0)</f>
        <v>#N/A</v>
      </c>
      <c r="G2158" s="254" t="e">
        <f>VLOOKUP(H2158,'lista 3'!$A$1:$C$31467,3,0)</f>
        <v>#N/A</v>
      </c>
      <c r="H2158" s="134"/>
      <c r="I2158" s="136"/>
      <c r="J2158" s="135"/>
      <c r="K2158" s="22"/>
    </row>
    <row r="2159" spans="1:11">
      <c r="A2159" s="241" t="e">
        <f>VLOOKUP(B2159,'lista 1'!$A$2:$E$30100,4,0)</f>
        <v>#N/A</v>
      </c>
      <c r="B2159" s="123"/>
      <c r="C2159" s="133" t="e">
        <f>VLOOKUP(B2159,'lista 1'!$A$2:$E$31000,5,0)</f>
        <v>#N/A</v>
      </c>
      <c r="D2159" s="167" t="e">
        <f>VLOOKUP(E13959,'lista obszary'!A:B,2,0)</f>
        <v>#N/A</v>
      </c>
      <c r="E2159" s="128" t="e">
        <f>VLOOKUP(B2159,'LISTA 12'!$A$2:$G$301400,5,0)</f>
        <v>#N/A</v>
      </c>
      <c r="F2159" s="121" t="e">
        <f>VLOOKUP(B2159,'LISTA 12'!$A$2:$G$30100,7,0)</f>
        <v>#N/A</v>
      </c>
      <c r="G2159" s="254" t="e">
        <f>VLOOKUP(H2159,'lista 3'!$A$1:$C$31467,3,0)</f>
        <v>#N/A</v>
      </c>
      <c r="H2159" s="134"/>
      <c r="I2159" s="136"/>
      <c r="J2159" s="135"/>
      <c r="K2159" s="22"/>
    </row>
    <row r="2160" spans="1:11">
      <c r="A2160" s="241" t="e">
        <f>VLOOKUP(B2160,'lista 1'!$A$2:$E$30100,4,0)</f>
        <v>#N/A</v>
      </c>
      <c r="B2160" s="123"/>
      <c r="C2160" s="133" t="e">
        <f>VLOOKUP(B2160,'lista 1'!$A$2:$E$31000,5,0)</f>
        <v>#N/A</v>
      </c>
      <c r="D2160" s="167" t="e">
        <f>VLOOKUP(E13960,'lista obszary'!A:B,2,0)</f>
        <v>#N/A</v>
      </c>
      <c r="E2160" s="128" t="e">
        <f>VLOOKUP(B2160,'LISTA 12'!$A$2:$G$301400,5,0)</f>
        <v>#N/A</v>
      </c>
      <c r="F2160" s="121" t="e">
        <f>VLOOKUP(B2160,'LISTA 12'!$A$2:$G$30100,7,0)</f>
        <v>#N/A</v>
      </c>
      <c r="G2160" s="254" t="e">
        <f>VLOOKUP(H2160,'lista 3'!$A$1:$C$31467,3,0)</f>
        <v>#N/A</v>
      </c>
      <c r="H2160" s="134"/>
      <c r="I2160" s="136"/>
      <c r="J2160" s="135"/>
      <c r="K2160" s="22"/>
    </row>
    <row r="2161" spans="1:11">
      <c r="A2161" s="241" t="e">
        <f>VLOOKUP(B2161,'lista 1'!$A$2:$E$30100,4,0)</f>
        <v>#N/A</v>
      </c>
      <c r="B2161" s="123"/>
      <c r="C2161" s="133" t="e">
        <f>VLOOKUP(B2161,'lista 1'!$A$2:$E$31000,5,0)</f>
        <v>#N/A</v>
      </c>
      <c r="D2161" s="167" t="e">
        <f>VLOOKUP(E13961,'lista obszary'!A:B,2,0)</f>
        <v>#N/A</v>
      </c>
      <c r="E2161" s="128" t="e">
        <f>VLOOKUP(B2161,'LISTA 12'!$A$2:$G$301400,5,0)</f>
        <v>#N/A</v>
      </c>
      <c r="F2161" s="121" t="e">
        <f>VLOOKUP(B2161,'LISTA 12'!$A$2:$G$30100,7,0)</f>
        <v>#N/A</v>
      </c>
      <c r="G2161" s="254" t="e">
        <f>VLOOKUP(H2161,'lista 3'!$A$1:$C$31467,3,0)</f>
        <v>#N/A</v>
      </c>
      <c r="H2161" s="134"/>
      <c r="I2161" s="136"/>
      <c r="J2161" s="135"/>
      <c r="K2161" s="22"/>
    </row>
    <row r="2162" spans="1:11">
      <c r="A2162" s="241" t="e">
        <f>VLOOKUP(B2162,'lista 1'!$A$2:$E$30100,4,0)</f>
        <v>#N/A</v>
      </c>
      <c r="B2162" s="123"/>
      <c r="C2162" s="133" t="e">
        <f>VLOOKUP(B2162,'lista 1'!$A$2:$E$31000,5,0)</f>
        <v>#N/A</v>
      </c>
      <c r="D2162" s="167" t="e">
        <f>VLOOKUP(E13962,'lista obszary'!A:B,2,0)</f>
        <v>#N/A</v>
      </c>
      <c r="E2162" s="128" t="e">
        <f>VLOOKUP(B2162,'LISTA 12'!$A$2:$G$301400,5,0)</f>
        <v>#N/A</v>
      </c>
      <c r="F2162" s="121" t="e">
        <f>VLOOKUP(B2162,'LISTA 12'!$A$2:$G$30100,7,0)</f>
        <v>#N/A</v>
      </c>
      <c r="G2162" s="254" t="e">
        <f>VLOOKUP(H2162,'lista 3'!$A$1:$C$31467,3,0)</f>
        <v>#N/A</v>
      </c>
      <c r="H2162" s="134"/>
      <c r="I2162" s="136"/>
      <c r="J2162" s="135"/>
      <c r="K2162" s="22"/>
    </row>
    <row r="2163" spans="1:11">
      <c r="A2163" s="241" t="e">
        <f>VLOOKUP(B2163,'lista 1'!$A$2:$E$30100,4,0)</f>
        <v>#N/A</v>
      </c>
      <c r="B2163" s="123"/>
      <c r="C2163" s="133" t="e">
        <f>VLOOKUP(B2163,'lista 1'!$A$2:$E$31000,5,0)</f>
        <v>#N/A</v>
      </c>
      <c r="D2163" s="167" t="e">
        <f>VLOOKUP(E13963,'lista obszary'!A:B,2,0)</f>
        <v>#N/A</v>
      </c>
      <c r="E2163" s="128" t="e">
        <f>VLOOKUP(B2163,'LISTA 12'!$A$2:$G$301400,5,0)</f>
        <v>#N/A</v>
      </c>
      <c r="F2163" s="121" t="e">
        <f>VLOOKUP(B2163,'LISTA 12'!$A$2:$G$30100,7,0)</f>
        <v>#N/A</v>
      </c>
      <c r="G2163" s="254" t="e">
        <f>VLOOKUP(H2163,'lista 3'!$A$1:$C$31467,3,0)</f>
        <v>#N/A</v>
      </c>
      <c r="H2163" s="134"/>
      <c r="I2163" s="136"/>
      <c r="J2163" s="135"/>
      <c r="K2163" s="22"/>
    </row>
    <row r="2164" spans="1:11">
      <c r="A2164" s="241" t="e">
        <f>VLOOKUP(B2164,'lista 1'!$A$2:$E$30100,4,0)</f>
        <v>#N/A</v>
      </c>
      <c r="B2164" s="123"/>
      <c r="C2164" s="133" t="e">
        <f>VLOOKUP(B2164,'lista 1'!$A$2:$E$31000,5,0)</f>
        <v>#N/A</v>
      </c>
      <c r="D2164" s="167" t="e">
        <f>VLOOKUP(E13964,'lista obszary'!A:B,2,0)</f>
        <v>#N/A</v>
      </c>
      <c r="E2164" s="128" t="e">
        <f>VLOOKUP(B2164,'LISTA 12'!$A$2:$G$301400,5,0)</f>
        <v>#N/A</v>
      </c>
      <c r="F2164" s="121" t="e">
        <f>VLOOKUP(B2164,'LISTA 12'!$A$2:$G$30100,7,0)</f>
        <v>#N/A</v>
      </c>
      <c r="G2164" s="254" t="e">
        <f>VLOOKUP(H2164,'lista 3'!$A$1:$C$31467,3,0)</f>
        <v>#N/A</v>
      </c>
      <c r="H2164" s="134"/>
      <c r="I2164" s="136"/>
      <c r="J2164" s="135"/>
      <c r="K2164" s="22"/>
    </row>
    <row r="2165" spans="1:11">
      <c r="A2165" s="241" t="e">
        <f>VLOOKUP(B2165,'lista 1'!$A$2:$E$30100,4,0)</f>
        <v>#N/A</v>
      </c>
      <c r="B2165" s="123"/>
      <c r="C2165" s="133" t="e">
        <f>VLOOKUP(B2165,'lista 1'!$A$2:$E$31000,5,0)</f>
        <v>#N/A</v>
      </c>
      <c r="D2165" s="167" t="e">
        <f>VLOOKUP(E13965,'lista obszary'!A:B,2,0)</f>
        <v>#N/A</v>
      </c>
      <c r="E2165" s="128" t="e">
        <f>VLOOKUP(B2165,'LISTA 12'!$A$2:$G$301400,5,0)</f>
        <v>#N/A</v>
      </c>
      <c r="F2165" s="121" t="e">
        <f>VLOOKUP(B2165,'LISTA 12'!$A$2:$G$30100,7,0)</f>
        <v>#N/A</v>
      </c>
      <c r="G2165" s="254" t="e">
        <f>VLOOKUP(H2165,'lista 3'!$A$1:$C$31467,3,0)</f>
        <v>#N/A</v>
      </c>
      <c r="H2165" s="134"/>
      <c r="I2165" s="136"/>
      <c r="J2165" s="135"/>
      <c r="K2165" s="22"/>
    </row>
    <row r="2166" spans="1:11">
      <c r="A2166" s="241" t="e">
        <f>VLOOKUP(B2166,'lista 1'!$A$2:$E$30100,4,0)</f>
        <v>#N/A</v>
      </c>
      <c r="B2166" s="123"/>
      <c r="C2166" s="133" t="e">
        <f>VLOOKUP(B2166,'lista 1'!$A$2:$E$31000,5,0)</f>
        <v>#N/A</v>
      </c>
      <c r="D2166" s="167" t="e">
        <f>VLOOKUP(E13966,'lista obszary'!A:B,2,0)</f>
        <v>#N/A</v>
      </c>
      <c r="E2166" s="128" t="e">
        <f>VLOOKUP(B2166,'LISTA 12'!$A$2:$G$301400,5,0)</f>
        <v>#N/A</v>
      </c>
      <c r="F2166" s="121" t="e">
        <f>VLOOKUP(B2166,'LISTA 12'!$A$2:$G$30100,7,0)</f>
        <v>#N/A</v>
      </c>
      <c r="G2166" s="254" t="e">
        <f>VLOOKUP(H2166,'lista 3'!$A$1:$C$31467,3,0)</f>
        <v>#N/A</v>
      </c>
      <c r="H2166" s="134"/>
      <c r="I2166" s="136"/>
      <c r="J2166" s="135"/>
      <c r="K2166" s="22"/>
    </row>
    <row r="2167" spans="1:11">
      <c r="A2167" s="241" t="e">
        <f>VLOOKUP(B2167,'lista 1'!$A$2:$E$30100,4,0)</f>
        <v>#N/A</v>
      </c>
      <c r="B2167" s="123"/>
      <c r="C2167" s="133" t="e">
        <f>VLOOKUP(B2167,'lista 1'!$A$2:$E$31000,5,0)</f>
        <v>#N/A</v>
      </c>
      <c r="D2167" s="167" t="e">
        <f>VLOOKUP(E13967,'lista obszary'!A:B,2,0)</f>
        <v>#N/A</v>
      </c>
      <c r="E2167" s="128" t="e">
        <f>VLOOKUP(B2167,'LISTA 12'!$A$2:$G$301400,5,0)</f>
        <v>#N/A</v>
      </c>
      <c r="F2167" s="121" t="e">
        <f>VLOOKUP(B2167,'LISTA 12'!$A$2:$G$30100,7,0)</f>
        <v>#N/A</v>
      </c>
      <c r="G2167" s="254" t="e">
        <f>VLOOKUP(H2167,'lista 3'!$A$1:$C$31467,3,0)</f>
        <v>#N/A</v>
      </c>
      <c r="H2167" s="134"/>
      <c r="I2167" s="136"/>
      <c r="J2167" s="135"/>
      <c r="K2167" s="22"/>
    </row>
    <row r="2168" spans="1:11">
      <c r="A2168" s="241" t="e">
        <f>VLOOKUP(B2168,'lista 1'!$A$2:$E$30100,4,0)</f>
        <v>#N/A</v>
      </c>
      <c r="B2168" s="123"/>
      <c r="C2168" s="133" t="e">
        <f>VLOOKUP(B2168,'lista 1'!$A$2:$E$31000,5,0)</f>
        <v>#N/A</v>
      </c>
      <c r="D2168" s="167" t="e">
        <f>VLOOKUP(E13968,'lista obszary'!A:B,2,0)</f>
        <v>#N/A</v>
      </c>
      <c r="E2168" s="128" t="e">
        <f>VLOOKUP(B2168,'LISTA 12'!$A$2:$G$301400,5,0)</f>
        <v>#N/A</v>
      </c>
      <c r="F2168" s="121" t="e">
        <f>VLOOKUP(B2168,'LISTA 12'!$A$2:$G$30100,7,0)</f>
        <v>#N/A</v>
      </c>
      <c r="G2168" s="254" t="e">
        <f>VLOOKUP(H2168,'lista 3'!$A$1:$C$31467,3,0)</f>
        <v>#N/A</v>
      </c>
      <c r="H2168" s="134"/>
      <c r="I2168" s="136"/>
      <c r="J2168" s="135"/>
      <c r="K2168" s="22"/>
    </row>
    <row r="2169" spans="1:11">
      <c r="A2169" s="241" t="e">
        <f>VLOOKUP(B2169,'lista 1'!$A$2:$E$30100,4,0)</f>
        <v>#N/A</v>
      </c>
      <c r="B2169" s="123"/>
      <c r="C2169" s="133" t="e">
        <f>VLOOKUP(B2169,'lista 1'!$A$2:$E$31000,5,0)</f>
        <v>#N/A</v>
      </c>
      <c r="D2169" s="167" t="e">
        <f>VLOOKUP(E13969,'lista obszary'!A:B,2,0)</f>
        <v>#N/A</v>
      </c>
      <c r="E2169" s="128" t="e">
        <f>VLOOKUP(B2169,'LISTA 12'!$A$2:$G$301400,5,0)</f>
        <v>#N/A</v>
      </c>
      <c r="F2169" s="121" t="e">
        <f>VLOOKUP(B2169,'LISTA 12'!$A$2:$G$30100,7,0)</f>
        <v>#N/A</v>
      </c>
      <c r="G2169" s="254" t="e">
        <f>VLOOKUP(H2169,'lista 3'!$A$1:$C$31467,3,0)</f>
        <v>#N/A</v>
      </c>
      <c r="H2169" s="134"/>
      <c r="I2169" s="136"/>
      <c r="J2169" s="135"/>
      <c r="K2169" s="22"/>
    </row>
    <row r="2170" spans="1:11">
      <c r="A2170" s="241" t="e">
        <f>VLOOKUP(B2170,'lista 1'!$A$2:$E$30100,4,0)</f>
        <v>#N/A</v>
      </c>
      <c r="B2170" s="123"/>
      <c r="C2170" s="133" t="e">
        <f>VLOOKUP(B2170,'lista 1'!$A$2:$E$31000,5,0)</f>
        <v>#N/A</v>
      </c>
      <c r="D2170" s="167" t="e">
        <f>VLOOKUP(E13970,'lista obszary'!A:B,2,0)</f>
        <v>#N/A</v>
      </c>
      <c r="E2170" s="128" t="e">
        <f>VLOOKUP(B2170,'LISTA 12'!$A$2:$G$301400,5,0)</f>
        <v>#N/A</v>
      </c>
      <c r="F2170" s="121" t="e">
        <f>VLOOKUP(B2170,'LISTA 12'!$A$2:$G$30100,7,0)</f>
        <v>#N/A</v>
      </c>
      <c r="G2170" s="254" t="e">
        <f>VLOOKUP(H2170,'lista 3'!$A$1:$C$31467,3,0)</f>
        <v>#N/A</v>
      </c>
      <c r="H2170" s="134"/>
      <c r="I2170" s="136"/>
      <c r="J2170" s="135"/>
      <c r="K2170" s="22"/>
    </row>
    <row r="2171" spans="1:11">
      <c r="A2171" s="241" t="e">
        <f>VLOOKUP(B2171,'lista 1'!$A$2:$E$30100,4,0)</f>
        <v>#N/A</v>
      </c>
      <c r="B2171" s="123"/>
      <c r="C2171" s="133" t="e">
        <f>VLOOKUP(B2171,'lista 1'!$A$2:$E$31000,5,0)</f>
        <v>#N/A</v>
      </c>
      <c r="D2171" s="167" t="e">
        <f>VLOOKUP(E13971,'lista obszary'!A:B,2,0)</f>
        <v>#N/A</v>
      </c>
      <c r="E2171" s="128" t="e">
        <f>VLOOKUP(B2171,'LISTA 12'!$A$2:$G$301400,5,0)</f>
        <v>#N/A</v>
      </c>
      <c r="F2171" s="121" t="e">
        <f>VLOOKUP(B2171,'LISTA 12'!$A$2:$G$30100,7,0)</f>
        <v>#N/A</v>
      </c>
      <c r="G2171" s="254" t="e">
        <f>VLOOKUP(H2171,'lista 3'!$A$1:$C$31467,3,0)</f>
        <v>#N/A</v>
      </c>
      <c r="H2171" s="134"/>
      <c r="I2171" s="136"/>
      <c r="J2171" s="135"/>
      <c r="K2171" s="22"/>
    </row>
    <row r="2172" spans="1:11">
      <c r="A2172" s="241" t="e">
        <f>VLOOKUP(B2172,'lista 1'!$A$2:$E$30100,4,0)</f>
        <v>#N/A</v>
      </c>
      <c r="B2172" s="123"/>
      <c r="C2172" s="133" t="e">
        <f>VLOOKUP(B2172,'lista 1'!$A$2:$E$31000,5,0)</f>
        <v>#N/A</v>
      </c>
      <c r="D2172" s="167" t="e">
        <f>VLOOKUP(E13972,'lista obszary'!A:B,2,0)</f>
        <v>#N/A</v>
      </c>
      <c r="E2172" s="128" t="e">
        <f>VLOOKUP(B2172,'LISTA 12'!$A$2:$G$301400,5,0)</f>
        <v>#N/A</v>
      </c>
      <c r="F2172" s="121" t="e">
        <f>VLOOKUP(B2172,'LISTA 12'!$A$2:$G$30100,7,0)</f>
        <v>#N/A</v>
      </c>
      <c r="G2172" s="254" t="e">
        <f>VLOOKUP(H2172,'lista 3'!$A$1:$C$31467,3,0)</f>
        <v>#N/A</v>
      </c>
      <c r="H2172" s="134"/>
      <c r="I2172" s="136"/>
      <c r="J2172" s="135"/>
      <c r="K2172" s="22"/>
    </row>
    <row r="2173" spans="1:11">
      <c r="A2173" s="241" t="e">
        <f>VLOOKUP(B2173,'lista 1'!$A$2:$E$30100,4,0)</f>
        <v>#N/A</v>
      </c>
      <c r="B2173" s="123"/>
      <c r="C2173" s="133" t="e">
        <f>VLOOKUP(B2173,'lista 1'!$A$2:$E$31000,5,0)</f>
        <v>#N/A</v>
      </c>
      <c r="D2173" s="167" t="e">
        <f>VLOOKUP(E13973,'lista obszary'!A:B,2,0)</f>
        <v>#N/A</v>
      </c>
      <c r="E2173" s="128" t="e">
        <f>VLOOKUP(B2173,'LISTA 12'!$A$2:$G$301400,5,0)</f>
        <v>#N/A</v>
      </c>
      <c r="F2173" s="121" t="e">
        <f>VLOOKUP(B2173,'LISTA 12'!$A$2:$G$30100,7,0)</f>
        <v>#N/A</v>
      </c>
      <c r="G2173" s="254" t="e">
        <f>VLOOKUP(H2173,'lista 3'!$A$1:$C$31467,3,0)</f>
        <v>#N/A</v>
      </c>
      <c r="H2173" s="134"/>
      <c r="I2173" s="136"/>
      <c r="J2173" s="135"/>
      <c r="K2173" s="22"/>
    </row>
    <row r="2174" spans="1:11">
      <c r="A2174" s="241" t="e">
        <f>VLOOKUP(B2174,'lista 1'!$A$2:$E$30100,4,0)</f>
        <v>#N/A</v>
      </c>
      <c r="B2174" s="123"/>
      <c r="C2174" s="133" t="e">
        <f>VLOOKUP(B2174,'lista 1'!$A$2:$E$31000,5,0)</f>
        <v>#N/A</v>
      </c>
      <c r="D2174" s="167" t="e">
        <f>VLOOKUP(E13974,'lista obszary'!A:B,2,0)</f>
        <v>#N/A</v>
      </c>
      <c r="E2174" s="128" t="e">
        <f>VLOOKUP(B2174,'LISTA 12'!$A$2:$G$301400,5,0)</f>
        <v>#N/A</v>
      </c>
      <c r="F2174" s="121" t="e">
        <f>VLOOKUP(B2174,'LISTA 12'!$A$2:$G$30100,7,0)</f>
        <v>#N/A</v>
      </c>
      <c r="G2174" s="254" t="e">
        <f>VLOOKUP(H2174,'lista 3'!$A$1:$C$31467,3,0)</f>
        <v>#N/A</v>
      </c>
      <c r="H2174" s="134"/>
      <c r="I2174" s="136"/>
      <c r="J2174" s="135"/>
      <c r="K2174" s="22"/>
    </row>
    <row r="2175" spans="1:11">
      <c r="A2175" s="241" t="e">
        <f>VLOOKUP(B2175,'lista 1'!$A$2:$E$30100,4,0)</f>
        <v>#N/A</v>
      </c>
      <c r="B2175" s="123"/>
      <c r="C2175" s="133" t="e">
        <f>VLOOKUP(B2175,'lista 1'!$A$2:$E$31000,5,0)</f>
        <v>#N/A</v>
      </c>
      <c r="D2175" s="167" t="e">
        <f>VLOOKUP(E13975,'lista obszary'!A:B,2,0)</f>
        <v>#N/A</v>
      </c>
      <c r="E2175" s="128" t="e">
        <f>VLOOKUP(B2175,'LISTA 12'!$A$2:$G$301400,5,0)</f>
        <v>#N/A</v>
      </c>
      <c r="F2175" s="121" t="e">
        <f>VLOOKUP(B2175,'LISTA 12'!$A$2:$G$30100,7,0)</f>
        <v>#N/A</v>
      </c>
      <c r="G2175" s="254" t="e">
        <f>VLOOKUP(H2175,'lista 3'!$A$1:$C$31467,3,0)</f>
        <v>#N/A</v>
      </c>
      <c r="H2175" s="134"/>
      <c r="I2175" s="136"/>
      <c r="J2175" s="135"/>
      <c r="K2175" s="22"/>
    </row>
    <row r="2176" spans="1:11">
      <c r="A2176" s="241" t="e">
        <f>VLOOKUP(B2176,'lista 1'!$A$2:$E$30100,4,0)</f>
        <v>#N/A</v>
      </c>
      <c r="B2176" s="123"/>
      <c r="C2176" s="133" t="e">
        <f>VLOOKUP(B2176,'lista 1'!$A$2:$E$31000,5,0)</f>
        <v>#N/A</v>
      </c>
      <c r="D2176" s="167" t="e">
        <f>VLOOKUP(E13976,'lista obszary'!A:B,2,0)</f>
        <v>#N/A</v>
      </c>
      <c r="E2176" s="128" t="e">
        <f>VLOOKUP(B2176,'LISTA 12'!$A$2:$G$301400,5,0)</f>
        <v>#N/A</v>
      </c>
      <c r="F2176" s="121" t="e">
        <f>VLOOKUP(B2176,'LISTA 12'!$A$2:$G$30100,7,0)</f>
        <v>#N/A</v>
      </c>
      <c r="G2176" s="254" t="e">
        <f>VLOOKUP(H2176,'lista 3'!$A$1:$C$31467,3,0)</f>
        <v>#N/A</v>
      </c>
      <c r="H2176" s="134"/>
      <c r="I2176" s="136"/>
      <c r="J2176" s="135"/>
      <c r="K2176" s="22"/>
    </row>
    <row r="2177" spans="1:11">
      <c r="A2177" s="241" t="e">
        <f>VLOOKUP(B2177,'lista 1'!$A$2:$E$30100,4,0)</f>
        <v>#N/A</v>
      </c>
      <c r="B2177" s="123"/>
      <c r="C2177" s="133" t="e">
        <f>VLOOKUP(B2177,'lista 1'!$A$2:$E$31000,5,0)</f>
        <v>#N/A</v>
      </c>
      <c r="D2177" s="167" t="e">
        <f>VLOOKUP(E13977,'lista obszary'!A:B,2,0)</f>
        <v>#N/A</v>
      </c>
      <c r="E2177" s="128" t="e">
        <f>VLOOKUP(B2177,'LISTA 12'!$A$2:$G$301400,5,0)</f>
        <v>#N/A</v>
      </c>
      <c r="F2177" s="121" t="e">
        <f>VLOOKUP(B2177,'LISTA 12'!$A$2:$G$30100,7,0)</f>
        <v>#N/A</v>
      </c>
      <c r="G2177" s="254" t="e">
        <f>VLOOKUP(H2177,'lista 3'!$A$1:$C$31467,3,0)</f>
        <v>#N/A</v>
      </c>
      <c r="H2177" s="134"/>
      <c r="I2177" s="136"/>
      <c r="J2177" s="135"/>
      <c r="K2177" s="22"/>
    </row>
    <row r="2178" spans="1:11">
      <c r="A2178" s="241" t="e">
        <f>VLOOKUP(B2178,'lista 1'!$A$2:$E$30100,4,0)</f>
        <v>#N/A</v>
      </c>
      <c r="B2178" s="123"/>
      <c r="C2178" s="133" t="e">
        <f>VLOOKUP(B2178,'lista 1'!$A$2:$E$31000,5,0)</f>
        <v>#N/A</v>
      </c>
      <c r="D2178" s="167" t="e">
        <f>VLOOKUP(E13978,'lista obszary'!A:B,2,0)</f>
        <v>#N/A</v>
      </c>
      <c r="E2178" s="128" t="e">
        <f>VLOOKUP(B2178,'LISTA 12'!$A$2:$G$301400,5,0)</f>
        <v>#N/A</v>
      </c>
      <c r="F2178" s="121" t="e">
        <f>VLOOKUP(B2178,'LISTA 12'!$A$2:$G$30100,7,0)</f>
        <v>#N/A</v>
      </c>
      <c r="G2178" s="254" t="e">
        <f>VLOOKUP(H2178,'lista 3'!$A$1:$C$31467,3,0)</f>
        <v>#N/A</v>
      </c>
      <c r="H2178" s="134"/>
      <c r="I2178" s="136"/>
      <c r="J2178" s="135"/>
      <c r="K2178" s="22"/>
    </row>
    <row r="2179" spans="1:11">
      <c r="A2179" s="241" t="e">
        <f>VLOOKUP(B2179,'lista 1'!$A$2:$E$30100,4,0)</f>
        <v>#N/A</v>
      </c>
      <c r="B2179" s="123"/>
      <c r="C2179" s="133" t="e">
        <f>VLOOKUP(B2179,'lista 1'!$A$2:$E$31000,5,0)</f>
        <v>#N/A</v>
      </c>
      <c r="D2179" s="167" t="e">
        <f>VLOOKUP(E13979,'lista obszary'!A:B,2,0)</f>
        <v>#N/A</v>
      </c>
      <c r="E2179" s="128" t="e">
        <f>VLOOKUP(B2179,'LISTA 12'!$A$2:$G$301400,5,0)</f>
        <v>#N/A</v>
      </c>
      <c r="F2179" s="121" t="e">
        <f>VLOOKUP(B2179,'LISTA 12'!$A$2:$G$30100,7,0)</f>
        <v>#N/A</v>
      </c>
      <c r="G2179" s="254" t="e">
        <f>VLOOKUP(H2179,'lista 3'!$A$1:$C$31467,3,0)</f>
        <v>#N/A</v>
      </c>
      <c r="H2179" s="134"/>
      <c r="I2179" s="136"/>
      <c r="J2179" s="135"/>
      <c r="K2179" s="22"/>
    </row>
    <row r="2180" spans="1:11">
      <c r="A2180" s="241" t="e">
        <f>VLOOKUP(B2180,'lista 1'!$A$2:$E$30100,4,0)</f>
        <v>#N/A</v>
      </c>
      <c r="B2180" s="123"/>
      <c r="C2180" s="133" t="e">
        <f>VLOOKUP(B2180,'lista 1'!$A$2:$E$31000,5,0)</f>
        <v>#N/A</v>
      </c>
      <c r="D2180" s="167" t="e">
        <f>VLOOKUP(E13980,'lista obszary'!A:B,2,0)</f>
        <v>#N/A</v>
      </c>
      <c r="E2180" s="128" t="e">
        <f>VLOOKUP(B2180,'LISTA 12'!$A$2:$G$301400,5,0)</f>
        <v>#N/A</v>
      </c>
      <c r="F2180" s="121" t="e">
        <f>VLOOKUP(B2180,'LISTA 12'!$A$2:$G$30100,7,0)</f>
        <v>#N/A</v>
      </c>
      <c r="G2180" s="254" t="e">
        <f>VLOOKUP(H2180,'lista 3'!$A$1:$C$31467,3,0)</f>
        <v>#N/A</v>
      </c>
      <c r="H2180" s="134"/>
      <c r="I2180" s="136"/>
      <c r="J2180" s="135"/>
      <c r="K2180" s="22"/>
    </row>
    <row r="2181" spans="1:11">
      <c r="A2181" s="241" t="e">
        <f>VLOOKUP(B2181,'lista 1'!$A$2:$E$30100,4,0)</f>
        <v>#N/A</v>
      </c>
      <c r="B2181" s="123"/>
      <c r="C2181" s="133" t="e">
        <f>VLOOKUP(B2181,'lista 1'!$A$2:$E$31000,5,0)</f>
        <v>#N/A</v>
      </c>
      <c r="D2181" s="167" t="e">
        <f>VLOOKUP(E13981,'lista obszary'!A:B,2,0)</f>
        <v>#N/A</v>
      </c>
      <c r="E2181" s="128" t="e">
        <f>VLOOKUP(B2181,'LISTA 12'!$A$2:$G$301400,5,0)</f>
        <v>#N/A</v>
      </c>
      <c r="F2181" s="121" t="e">
        <f>VLOOKUP(B2181,'LISTA 12'!$A$2:$G$30100,7,0)</f>
        <v>#N/A</v>
      </c>
      <c r="G2181" s="254" t="e">
        <f>VLOOKUP(H2181,'lista 3'!$A$1:$C$31467,3,0)</f>
        <v>#N/A</v>
      </c>
      <c r="H2181" s="134"/>
      <c r="I2181" s="136"/>
      <c r="J2181" s="135"/>
      <c r="K2181" s="22"/>
    </row>
    <row r="2182" spans="1:11">
      <c r="A2182" s="241" t="e">
        <f>VLOOKUP(B2182,'lista 1'!$A$2:$E$30100,4,0)</f>
        <v>#N/A</v>
      </c>
      <c r="B2182" s="123"/>
      <c r="C2182" s="133" t="e">
        <f>VLOOKUP(B2182,'lista 1'!$A$2:$E$31000,5,0)</f>
        <v>#N/A</v>
      </c>
      <c r="D2182" s="167" t="e">
        <f>VLOOKUP(E13982,'lista obszary'!A:B,2,0)</f>
        <v>#N/A</v>
      </c>
      <c r="E2182" s="128" t="e">
        <f>VLOOKUP(B2182,'LISTA 12'!$A$2:$G$301400,5,0)</f>
        <v>#N/A</v>
      </c>
      <c r="F2182" s="121" t="e">
        <f>VLOOKUP(B2182,'LISTA 12'!$A$2:$G$30100,7,0)</f>
        <v>#N/A</v>
      </c>
      <c r="G2182" s="254" t="e">
        <f>VLOOKUP(H2182,'lista 3'!$A$1:$C$31467,3,0)</f>
        <v>#N/A</v>
      </c>
      <c r="H2182" s="134"/>
      <c r="I2182" s="136"/>
      <c r="J2182" s="135"/>
      <c r="K2182" s="22"/>
    </row>
    <row r="2183" spans="1:11">
      <c r="A2183" s="241" t="e">
        <f>VLOOKUP(B2183,'lista 1'!$A$2:$E$30100,4,0)</f>
        <v>#N/A</v>
      </c>
      <c r="B2183" s="123"/>
      <c r="C2183" s="133" t="e">
        <f>VLOOKUP(B2183,'lista 1'!$A$2:$E$31000,5,0)</f>
        <v>#N/A</v>
      </c>
      <c r="D2183" s="167" t="e">
        <f>VLOOKUP(E13983,'lista obszary'!A:B,2,0)</f>
        <v>#N/A</v>
      </c>
      <c r="E2183" s="128" t="e">
        <f>VLOOKUP(B2183,'LISTA 12'!$A$2:$G$301400,5,0)</f>
        <v>#N/A</v>
      </c>
      <c r="F2183" s="121" t="e">
        <f>VLOOKUP(B2183,'LISTA 12'!$A$2:$G$30100,7,0)</f>
        <v>#N/A</v>
      </c>
      <c r="G2183" s="254" t="e">
        <f>VLOOKUP(H2183,'lista 3'!$A$1:$C$31467,3,0)</f>
        <v>#N/A</v>
      </c>
      <c r="H2183" s="134"/>
      <c r="I2183" s="136"/>
      <c r="J2183" s="135"/>
      <c r="K2183" s="22"/>
    </row>
    <row r="2184" spans="1:11">
      <c r="A2184" s="241" t="e">
        <f>VLOOKUP(B2184,'lista 1'!$A$2:$E$30100,4,0)</f>
        <v>#N/A</v>
      </c>
      <c r="B2184" s="123"/>
      <c r="C2184" s="133" t="e">
        <f>VLOOKUP(B2184,'lista 1'!$A$2:$E$31000,5,0)</f>
        <v>#N/A</v>
      </c>
      <c r="D2184" s="167" t="e">
        <f>VLOOKUP(E13984,'lista obszary'!A:B,2,0)</f>
        <v>#N/A</v>
      </c>
      <c r="E2184" s="128" t="e">
        <f>VLOOKUP(B2184,'LISTA 12'!$A$2:$G$301400,5,0)</f>
        <v>#N/A</v>
      </c>
      <c r="F2184" s="121" t="e">
        <f>VLOOKUP(B2184,'LISTA 12'!$A$2:$G$30100,7,0)</f>
        <v>#N/A</v>
      </c>
      <c r="G2184" s="254" t="e">
        <f>VLOOKUP(H2184,'lista 3'!$A$1:$C$31467,3,0)</f>
        <v>#N/A</v>
      </c>
      <c r="H2184" s="134"/>
      <c r="I2184" s="136"/>
      <c r="J2184" s="135"/>
      <c r="K2184" s="22"/>
    </row>
    <row r="2185" spans="1:11">
      <c r="A2185" s="241" t="e">
        <f>VLOOKUP(B2185,'lista 1'!$A$2:$E$30100,4,0)</f>
        <v>#N/A</v>
      </c>
      <c r="B2185" s="123"/>
      <c r="C2185" s="133" t="e">
        <f>VLOOKUP(B2185,'lista 1'!$A$2:$E$31000,5,0)</f>
        <v>#N/A</v>
      </c>
      <c r="D2185" s="167" t="e">
        <f>VLOOKUP(E13985,'lista obszary'!A:B,2,0)</f>
        <v>#N/A</v>
      </c>
      <c r="E2185" s="128" t="e">
        <f>VLOOKUP(B2185,'LISTA 12'!$A$2:$G$301400,5,0)</f>
        <v>#N/A</v>
      </c>
      <c r="F2185" s="121" t="e">
        <f>VLOOKUP(B2185,'LISTA 12'!$A$2:$G$30100,7,0)</f>
        <v>#N/A</v>
      </c>
      <c r="G2185" s="254" t="e">
        <f>VLOOKUP(H2185,'lista 3'!$A$1:$C$31467,3,0)</f>
        <v>#N/A</v>
      </c>
      <c r="H2185" s="134"/>
      <c r="I2185" s="136"/>
      <c r="J2185" s="135"/>
      <c r="K2185" s="22"/>
    </row>
    <row r="2186" spans="1:11">
      <c r="A2186" s="241" t="e">
        <f>VLOOKUP(B2186,'lista 1'!$A$2:$E$30100,4,0)</f>
        <v>#N/A</v>
      </c>
      <c r="B2186" s="123"/>
      <c r="C2186" s="133" t="e">
        <f>VLOOKUP(B2186,'lista 1'!$A$2:$E$31000,5,0)</f>
        <v>#N/A</v>
      </c>
      <c r="D2186" s="167" t="e">
        <f>VLOOKUP(E13986,'lista obszary'!A:B,2,0)</f>
        <v>#N/A</v>
      </c>
      <c r="E2186" s="128" t="e">
        <f>VLOOKUP(B2186,'LISTA 12'!$A$2:$G$301400,5,0)</f>
        <v>#N/A</v>
      </c>
      <c r="F2186" s="121" t="e">
        <f>VLOOKUP(B2186,'LISTA 12'!$A$2:$G$30100,7,0)</f>
        <v>#N/A</v>
      </c>
      <c r="G2186" s="254" t="e">
        <f>VLOOKUP(H2186,'lista 3'!$A$1:$C$31467,3,0)</f>
        <v>#N/A</v>
      </c>
      <c r="H2186" s="134"/>
      <c r="I2186" s="136"/>
      <c r="J2186" s="135"/>
      <c r="K2186" s="22"/>
    </row>
    <row r="2187" spans="1:11">
      <c r="A2187" s="241" t="e">
        <f>VLOOKUP(B2187,'lista 1'!$A$2:$E$30100,4,0)</f>
        <v>#N/A</v>
      </c>
      <c r="B2187" s="123"/>
      <c r="C2187" s="133" t="e">
        <f>VLOOKUP(B2187,'lista 1'!$A$2:$E$31000,5,0)</f>
        <v>#N/A</v>
      </c>
      <c r="D2187" s="167" t="e">
        <f>VLOOKUP(E13987,'lista obszary'!A:B,2,0)</f>
        <v>#N/A</v>
      </c>
      <c r="E2187" s="128" t="e">
        <f>VLOOKUP(B2187,'LISTA 12'!$A$2:$G$301400,5,0)</f>
        <v>#N/A</v>
      </c>
      <c r="F2187" s="121" t="e">
        <f>VLOOKUP(B2187,'LISTA 12'!$A$2:$G$30100,7,0)</f>
        <v>#N/A</v>
      </c>
      <c r="G2187" s="254" t="e">
        <f>VLOOKUP(H2187,'lista 3'!$A$1:$C$31467,3,0)</f>
        <v>#N/A</v>
      </c>
      <c r="H2187" s="134"/>
      <c r="I2187" s="136"/>
      <c r="J2187" s="135"/>
      <c r="K2187" s="22"/>
    </row>
    <row r="2188" spans="1:11">
      <c r="A2188" s="241" t="e">
        <f>VLOOKUP(B2188,'lista 1'!$A$2:$E$30100,4,0)</f>
        <v>#N/A</v>
      </c>
      <c r="B2188" s="123"/>
      <c r="C2188" s="133" t="e">
        <f>VLOOKUP(B2188,'lista 1'!$A$2:$E$31000,5,0)</f>
        <v>#N/A</v>
      </c>
      <c r="D2188" s="167" t="e">
        <f>VLOOKUP(E13988,'lista obszary'!A:B,2,0)</f>
        <v>#N/A</v>
      </c>
      <c r="E2188" s="128" t="e">
        <f>VLOOKUP(B2188,'LISTA 12'!$A$2:$G$301400,5,0)</f>
        <v>#N/A</v>
      </c>
      <c r="F2188" s="121" t="e">
        <f>VLOOKUP(B2188,'LISTA 12'!$A$2:$G$30100,7,0)</f>
        <v>#N/A</v>
      </c>
      <c r="G2188" s="254" t="e">
        <f>VLOOKUP(H2188,'lista 3'!$A$1:$C$31467,3,0)</f>
        <v>#N/A</v>
      </c>
      <c r="H2188" s="134"/>
      <c r="I2188" s="136"/>
      <c r="J2188" s="135"/>
      <c r="K2188" s="22"/>
    </row>
    <row r="2189" spans="1:11">
      <c r="A2189" s="241" t="e">
        <f>VLOOKUP(B2189,'lista 1'!$A$2:$E$30100,4,0)</f>
        <v>#N/A</v>
      </c>
      <c r="B2189" s="123"/>
      <c r="C2189" s="133" t="e">
        <f>VLOOKUP(B2189,'lista 1'!$A$2:$E$31000,5,0)</f>
        <v>#N/A</v>
      </c>
      <c r="D2189" s="167" t="e">
        <f>VLOOKUP(E13989,'lista obszary'!A:B,2,0)</f>
        <v>#N/A</v>
      </c>
      <c r="E2189" s="128" t="e">
        <f>VLOOKUP(B2189,'LISTA 12'!$A$2:$G$301400,5,0)</f>
        <v>#N/A</v>
      </c>
      <c r="F2189" s="121" t="e">
        <f>VLOOKUP(B2189,'LISTA 12'!$A$2:$G$30100,7,0)</f>
        <v>#N/A</v>
      </c>
      <c r="G2189" s="254" t="e">
        <f>VLOOKUP(H2189,'lista 3'!$A$1:$C$31467,3,0)</f>
        <v>#N/A</v>
      </c>
      <c r="H2189" s="134"/>
      <c r="I2189" s="136"/>
      <c r="J2189" s="135"/>
      <c r="K2189" s="22"/>
    </row>
    <row r="2190" spans="1:11">
      <c r="A2190" s="241" t="e">
        <f>VLOOKUP(B2190,'lista 1'!$A$2:$E$30100,4,0)</f>
        <v>#N/A</v>
      </c>
      <c r="B2190" s="123"/>
      <c r="C2190" s="133" t="e">
        <f>VLOOKUP(B2190,'lista 1'!$A$2:$E$31000,5,0)</f>
        <v>#N/A</v>
      </c>
      <c r="D2190" s="167" t="e">
        <f>VLOOKUP(E13990,'lista obszary'!A:B,2,0)</f>
        <v>#N/A</v>
      </c>
      <c r="E2190" s="128" t="e">
        <f>VLOOKUP(B2190,'LISTA 12'!$A$2:$G$301400,5,0)</f>
        <v>#N/A</v>
      </c>
      <c r="F2190" s="121" t="e">
        <f>VLOOKUP(B2190,'LISTA 12'!$A$2:$G$30100,7,0)</f>
        <v>#N/A</v>
      </c>
      <c r="G2190" s="254" t="e">
        <f>VLOOKUP(H2190,'lista 3'!$A$1:$C$31467,3,0)</f>
        <v>#N/A</v>
      </c>
      <c r="H2190" s="134"/>
      <c r="I2190" s="136"/>
      <c r="J2190" s="135"/>
      <c r="K2190" s="22"/>
    </row>
    <row r="2191" spans="1:11">
      <c r="A2191" s="241" t="e">
        <f>VLOOKUP(B2191,'lista 1'!$A$2:$E$30100,4,0)</f>
        <v>#N/A</v>
      </c>
      <c r="B2191" s="123"/>
      <c r="C2191" s="133" t="e">
        <f>VLOOKUP(B2191,'lista 1'!$A$2:$E$31000,5,0)</f>
        <v>#N/A</v>
      </c>
      <c r="D2191" s="167" t="e">
        <f>VLOOKUP(E13991,'lista obszary'!A:B,2,0)</f>
        <v>#N/A</v>
      </c>
      <c r="E2191" s="128" t="e">
        <f>VLOOKUP(B2191,'LISTA 12'!$A$2:$G$301400,5,0)</f>
        <v>#N/A</v>
      </c>
      <c r="F2191" s="121" t="e">
        <f>VLOOKUP(B2191,'LISTA 12'!$A$2:$G$30100,7,0)</f>
        <v>#N/A</v>
      </c>
      <c r="G2191" s="254" t="e">
        <f>VLOOKUP(H2191,'lista 3'!$A$1:$C$31467,3,0)</f>
        <v>#N/A</v>
      </c>
      <c r="H2191" s="134"/>
      <c r="I2191" s="136"/>
      <c r="J2191" s="135"/>
      <c r="K2191" s="22"/>
    </row>
    <row r="2192" spans="1:11">
      <c r="A2192" s="241" t="e">
        <f>VLOOKUP(B2192,'lista 1'!$A$2:$E$30100,4,0)</f>
        <v>#N/A</v>
      </c>
      <c r="B2192" s="123"/>
      <c r="C2192" s="133" t="e">
        <f>VLOOKUP(B2192,'lista 1'!$A$2:$E$31000,5,0)</f>
        <v>#N/A</v>
      </c>
      <c r="D2192" s="167" t="e">
        <f>VLOOKUP(E13992,'lista obszary'!A:B,2,0)</f>
        <v>#N/A</v>
      </c>
      <c r="E2192" s="128" t="e">
        <f>VLOOKUP(B2192,'LISTA 12'!$A$2:$G$301400,5,0)</f>
        <v>#N/A</v>
      </c>
      <c r="F2192" s="121" t="e">
        <f>VLOOKUP(B2192,'LISTA 12'!$A$2:$G$30100,7,0)</f>
        <v>#N/A</v>
      </c>
      <c r="G2192" s="254" t="e">
        <f>VLOOKUP(H2192,'lista 3'!$A$1:$C$31467,3,0)</f>
        <v>#N/A</v>
      </c>
      <c r="H2192" s="134"/>
      <c r="I2192" s="136"/>
      <c r="J2192" s="135"/>
      <c r="K2192" s="22"/>
    </row>
    <row r="2193" spans="1:11">
      <c r="A2193" s="241" t="e">
        <f>VLOOKUP(B2193,'lista 1'!$A$2:$E$30100,4,0)</f>
        <v>#N/A</v>
      </c>
      <c r="B2193" s="123"/>
      <c r="C2193" s="133" t="e">
        <f>VLOOKUP(B2193,'lista 1'!$A$2:$E$31000,5,0)</f>
        <v>#N/A</v>
      </c>
      <c r="D2193" s="167" t="e">
        <f>VLOOKUP(E13993,'lista obszary'!A:B,2,0)</f>
        <v>#N/A</v>
      </c>
      <c r="E2193" s="128" t="e">
        <f>VLOOKUP(B2193,'LISTA 12'!$A$2:$G$301400,5,0)</f>
        <v>#N/A</v>
      </c>
      <c r="F2193" s="121" t="e">
        <f>VLOOKUP(B2193,'LISTA 12'!$A$2:$G$30100,7,0)</f>
        <v>#N/A</v>
      </c>
      <c r="G2193" s="254" t="e">
        <f>VLOOKUP(H2193,'lista 3'!$A$1:$C$31467,3,0)</f>
        <v>#N/A</v>
      </c>
      <c r="H2193" s="134"/>
      <c r="I2193" s="136"/>
      <c r="J2193" s="135"/>
      <c r="K2193" s="22"/>
    </row>
    <row r="2194" spans="1:11">
      <c r="A2194" s="241" t="e">
        <f>VLOOKUP(B2194,'lista 1'!$A$2:$E$30100,4,0)</f>
        <v>#N/A</v>
      </c>
      <c r="B2194" s="123"/>
      <c r="C2194" s="133" t="e">
        <f>VLOOKUP(B2194,'lista 1'!$A$2:$E$31000,5,0)</f>
        <v>#N/A</v>
      </c>
      <c r="D2194" s="167" t="e">
        <f>VLOOKUP(E13994,'lista obszary'!A:B,2,0)</f>
        <v>#N/A</v>
      </c>
      <c r="E2194" s="128" t="e">
        <f>VLOOKUP(B2194,'LISTA 12'!$A$2:$G$301400,5,0)</f>
        <v>#N/A</v>
      </c>
      <c r="F2194" s="121" t="e">
        <f>VLOOKUP(B2194,'LISTA 12'!$A$2:$G$30100,7,0)</f>
        <v>#N/A</v>
      </c>
      <c r="G2194" s="254" t="e">
        <f>VLOOKUP(H2194,'lista 3'!$A$1:$C$31467,3,0)</f>
        <v>#N/A</v>
      </c>
      <c r="H2194" s="134"/>
      <c r="I2194" s="136"/>
      <c r="J2194" s="135"/>
      <c r="K2194" s="22"/>
    </row>
    <row r="2195" spans="1:11">
      <c r="A2195" s="241" t="e">
        <f>VLOOKUP(B2195,'lista 1'!$A$2:$E$30100,4,0)</f>
        <v>#N/A</v>
      </c>
      <c r="B2195" s="123"/>
      <c r="C2195" s="133" t="e">
        <f>VLOOKUP(B2195,'lista 1'!$A$2:$E$31000,5,0)</f>
        <v>#N/A</v>
      </c>
      <c r="D2195" s="167" t="e">
        <f>VLOOKUP(E13995,'lista obszary'!A:B,2,0)</f>
        <v>#N/A</v>
      </c>
      <c r="E2195" s="128" t="e">
        <f>VLOOKUP(B2195,'LISTA 12'!$A$2:$G$301400,5,0)</f>
        <v>#N/A</v>
      </c>
      <c r="F2195" s="121" t="e">
        <f>VLOOKUP(B2195,'LISTA 12'!$A$2:$G$30100,7,0)</f>
        <v>#N/A</v>
      </c>
      <c r="G2195" s="254" t="e">
        <f>VLOOKUP(H2195,'lista 3'!$A$1:$C$31467,3,0)</f>
        <v>#N/A</v>
      </c>
      <c r="H2195" s="134"/>
      <c r="I2195" s="136"/>
      <c r="J2195" s="135"/>
      <c r="K2195" s="22"/>
    </row>
    <row r="2196" spans="1:11">
      <c r="A2196" s="241" t="e">
        <f>VLOOKUP(B2196,'lista 1'!$A$2:$E$30100,4,0)</f>
        <v>#N/A</v>
      </c>
      <c r="B2196" s="123"/>
      <c r="C2196" s="133" t="e">
        <f>VLOOKUP(B2196,'lista 1'!$A$2:$E$31000,5,0)</f>
        <v>#N/A</v>
      </c>
      <c r="D2196" s="167" t="e">
        <f>VLOOKUP(E13996,'lista obszary'!A:B,2,0)</f>
        <v>#N/A</v>
      </c>
      <c r="E2196" s="128" t="e">
        <f>VLOOKUP(B2196,'LISTA 12'!$A$2:$G$301400,5,0)</f>
        <v>#N/A</v>
      </c>
      <c r="F2196" s="121" t="e">
        <f>VLOOKUP(B2196,'LISTA 12'!$A$2:$G$30100,7,0)</f>
        <v>#N/A</v>
      </c>
      <c r="G2196" s="254" t="e">
        <f>VLOOKUP(H2196,'lista 3'!$A$1:$C$31467,3,0)</f>
        <v>#N/A</v>
      </c>
      <c r="H2196" s="134"/>
      <c r="I2196" s="136"/>
      <c r="J2196" s="135"/>
      <c r="K2196" s="22"/>
    </row>
    <row r="2197" spans="1:11">
      <c r="A2197" s="241" t="e">
        <f>VLOOKUP(B2197,'lista 1'!$A$2:$E$30100,4,0)</f>
        <v>#N/A</v>
      </c>
      <c r="B2197" s="123"/>
      <c r="C2197" s="133" t="e">
        <f>VLOOKUP(B2197,'lista 1'!$A$2:$E$31000,5,0)</f>
        <v>#N/A</v>
      </c>
      <c r="D2197" s="167" t="e">
        <f>VLOOKUP(E13997,'lista obszary'!A:B,2,0)</f>
        <v>#N/A</v>
      </c>
      <c r="E2197" s="128" t="e">
        <f>VLOOKUP(B2197,'LISTA 12'!$A$2:$G$301400,5,0)</f>
        <v>#N/A</v>
      </c>
      <c r="F2197" s="121" t="e">
        <f>VLOOKUP(B2197,'LISTA 12'!$A$2:$G$30100,7,0)</f>
        <v>#N/A</v>
      </c>
      <c r="G2197" s="254" t="e">
        <f>VLOOKUP(H2197,'lista 3'!$A$1:$C$31467,3,0)</f>
        <v>#N/A</v>
      </c>
      <c r="H2197" s="134"/>
      <c r="I2197" s="136"/>
      <c r="J2197" s="135"/>
      <c r="K2197" s="22"/>
    </row>
    <row r="2198" spans="1:11">
      <c r="A2198" s="241" t="e">
        <f>VLOOKUP(B2198,'lista 1'!$A$2:$E$30100,4,0)</f>
        <v>#N/A</v>
      </c>
      <c r="B2198" s="123"/>
      <c r="C2198" s="133" t="e">
        <f>VLOOKUP(B2198,'lista 1'!$A$2:$E$31000,5,0)</f>
        <v>#N/A</v>
      </c>
      <c r="D2198" s="167" t="e">
        <f>VLOOKUP(E13998,'lista obszary'!A:B,2,0)</f>
        <v>#N/A</v>
      </c>
      <c r="E2198" s="128" t="e">
        <f>VLOOKUP(B2198,'LISTA 12'!$A$2:$G$301400,5,0)</f>
        <v>#N/A</v>
      </c>
      <c r="F2198" s="121" t="e">
        <f>VLOOKUP(B2198,'LISTA 12'!$A$2:$G$30100,7,0)</f>
        <v>#N/A</v>
      </c>
      <c r="G2198" s="254" t="e">
        <f>VLOOKUP(H2198,'lista 3'!$A$1:$C$31467,3,0)</f>
        <v>#N/A</v>
      </c>
      <c r="H2198" s="134"/>
      <c r="I2198" s="136"/>
      <c r="J2198" s="135"/>
      <c r="K2198" s="22"/>
    </row>
    <row r="2199" spans="1:11">
      <c r="A2199" s="241" t="e">
        <f>VLOOKUP(B2199,'lista 1'!$A$2:$E$30100,4,0)</f>
        <v>#N/A</v>
      </c>
      <c r="B2199" s="123"/>
      <c r="C2199" s="133" t="e">
        <f>VLOOKUP(B2199,'lista 1'!$A$2:$E$31000,5,0)</f>
        <v>#N/A</v>
      </c>
      <c r="D2199" s="167" t="e">
        <f>VLOOKUP(E13999,'lista obszary'!A:B,2,0)</f>
        <v>#N/A</v>
      </c>
      <c r="E2199" s="128" t="e">
        <f>VLOOKUP(B2199,'LISTA 12'!$A$2:$G$301400,5,0)</f>
        <v>#N/A</v>
      </c>
      <c r="F2199" s="121" t="e">
        <f>VLOOKUP(B2199,'LISTA 12'!$A$2:$G$30100,7,0)</f>
        <v>#N/A</v>
      </c>
      <c r="G2199" s="254" t="e">
        <f>VLOOKUP(H2199,'lista 3'!$A$1:$C$31467,3,0)</f>
        <v>#N/A</v>
      </c>
      <c r="H2199" s="134"/>
      <c r="I2199" s="136"/>
      <c r="J2199" s="135"/>
      <c r="K2199" s="22"/>
    </row>
    <row r="2200" spans="1:11">
      <c r="A2200" s="241" t="e">
        <f>VLOOKUP(B2200,'lista 1'!$A$2:$E$30100,4,0)</f>
        <v>#N/A</v>
      </c>
      <c r="B2200" s="123"/>
      <c r="C2200" s="133" t="e">
        <f>VLOOKUP(B2200,'lista 1'!$A$2:$E$31000,5,0)</f>
        <v>#N/A</v>
      </c>
      <c r="D2200" s="167" t="e">
        <f>VLOOKUP(E14000,'lista obszary'!A:B,2,0)</f>
        <v>#N/A</v>
      </c>
      <c r="E2200" s="128" t="e">
        <f>VLOOKUP(B2200,'LISTA 12'!$A$2:$G$301400,5,0)</f>
        <v>#N/A</v>
      </c>
      <c r="F2200" s="121" t="e">
        <f>VLOOKUP(B2200,'LISTA 12'!$A$2:$G$30100,7,0)</f>
        <v>#N/A</v>
      </c>
      <c r="G2200" s="254" t="e">
        <f>VLOOKUP(H2200,'lista 3'!$A$1:$C$31467,3,0)</f>
        <v>#N/A</v>
      </c>
      <c r="H2200" s="134"/>
      <c r="I2200" s="136"/>
      <c r="J2200" s="135"/>
      <c r="K2200" s="22"/>
    </row>
    <row r="2201" spans="1:11">
      <c r="A2201" s="241" t="e">
        <f>VLOOKUP(B2201,'lista 1'!$A$2:$E$30100,4,0)</f>
        <v>#N/A</v>
      </c>
      <c r="B2201" s="123"/>
      <c r="C2201" s="133" t="e">
        <f>VLOOKUP(B2201,'lista 1'!$A$2:$E$31000,5,0)</f>
        <v>#N/A</v>
      </c>
      <c r="D2201" s="167" t="e">
        <f>VLOOKUP(E14001,'lista obszary'!A:B,2,0)</f>
        <v>#N/A</v>
      </c>
      <c r="E2201" s="128" t="e">
        <f>VLOOKUP(B2201,'LISTA 12'!$A$2:$G$301400,5,0)</f>
        <v>#N/A</v>
      </c>
      <c r="F2201" s="121" t="e">
        <f>VLOOKUP(B2201,'LISTA 12'!$A$2:$G$30100,7,0)</f>
        <v>#N/A</v>
      </c>
      <c r="G2201" s="254" t="e">
        <f>VLOOKUP(H2201,'lista 3'!$A$1:$C$31467,3,0)</f>
        <v>#N/A</v>
      </c>
      <c r="H2201" s="134"/>
      <c r="I2201" s="136"/>
      <c r="J2201" s="135"/>
      <c r="K2201" s="22"/>
    </row>
    <row r="2202" spans="1:11">
      <c r="A2202" s="241" t="e">
        <f>VLOOKUP(B2202,'lista 1'!$A$2:$E$30100,4,0)</f>
        <v>#N/A</v>
      </c>
      <c r="B2202" s="123"/>
      <c r="C2202" s="133" t="e">
        <f>VLOOKUP(B2202,'lista 1'!$A$2:$E$31000,5,0)</f>
        <v>#N/A</v>
      </c>
      <c r="D2202" s="167" t="e">
        <f>VLOOKUP(E14002,'lista obszary'!A:B,2,0)</f>
        <v>#N/A</v>
      </c>
      <c r="E2202" s="128" t="e">
        <f>VLOOKUP(B2202,'LISTA 12'!$A$2:$G$301400,5,0)</f>
        <v>#N/A</v>
      </c>
      <c r="F2202" s="121" t="e">
        <f>VLOOKUP(B2202,'LISTA 12'!$A$2:$G$30100,7,0)</f>
        <v>#N/A</v>
      </c>
      <c r="G2202" s="254" t="e">
        <f>VLOOKUP(H2202,'lista 3'!$A$1:$C$31467,3,0)</f>
        <v>#N/A</v>
      </c>
      <c r="H2202" s="134"/>
      <c r="I2202" s="136"/>
      <c r="J2202" s="135"/>
      <c r="K2202" s="22"/>
    </row>
    <row r="2203" spans="1:11">
      <c r="A2203" s="241" t="e">
        <f>VLOOKUP(B2203,'lista 1'!$A$2:$E$30100,4,0)</f>
        <v>#N/A</v>
      </c>
      <c r="B2203" s="123"/>
      <c r="C2203" s="133" t="e">
        <f>VLOOKUP(B2203,'lista 1'!$A$2:$E$31000,5,0)</f>
        <v>#N/A</v>
      </c>
      <c r="D2203" s="167" t="e">
        <f>VLOOKUP(E14003,'lista obszary'!A:B,2,0)</f>
        <v>#N/A</v>
      </c>
      <c r="E2203" s="128" t="e">
        <f>VLOOKUP(B2203,'LISTA 12'!$A$2:$G$301400,5,0)</f>
        <v>#N/A</v>
      </c>
      <c r="F2203" s="121" t="e">
        <f>VLOOKUP(B2203,'LISTA 12'!$A$2:$G$30100,7,0)</f>
        <v>#N/A</v>
      </c>
      <c r="G2203" s="254" t="e">
        <f>VLOOKUP(H2203,'lista 3'!$A$1:$C$31467,3,0)</f>
        <v>#N/A</v>
      </c>
      <c r="H2203" s="134"/>
      <c r="I2203" s="136"/>
      <c r="J2203" s="135"/>
      <c r="K2203" s="22"/>
    </row>
    <row r="2204" spans="1:11">
      <c r="A2204" s="241" t="e">
        <f>VLOOKUP(B2204,'lista 1'!$A$2:$E$30100,4,0)</f>
        <v>#N/A</v>
      </c>
      <c r="B2204" s="123"/>
      <c r="C2204" s="133" t="e">
        <f>VLOOKUP(B2204,'lista 1'!$A$2:$E$31000,5,0)</f>
        <v>#N/A</v>
      </c>
      <c r="D2204" s="167" t="e">
        <f>VLOOKUP(E14004,'lista obszary'!A:B,2,0)</f>
        <v>#N/A</v>
      </c>
      <c r="E2204" s="128" t="e">
        <f>VLOOKUP(B2204,'LISTA 12'!$A$2:$G$301400,5,0)</f>
        <v>#N/A</v>
      </c>
      <c r="F2204" s="121" t="e">
        <f>VLOOKUP(B2204,'LISTA 12'!$A$2:$G$30100,7,0)</f>
        <v>#N/A</v>
      </c>
      <c r="G2204" s="254" t="e">
        <f>VLOOKUP(H2204,'lista 3'!$A$1:$C$31467,3,0)</f>
        <v>#N/A</v>
      </c>
      <c r="H2204" s="134"/>
      <c r="I2204" s="136"/>
      <c r="J2204" s="135"/>
      <c r="K2204" s="22"/>
    </row>
    <row r="2205" spans="1:11">
      <c r="A2205" s="241" t="e">
        <f>VLOOKUP(B2205,'lista 1'!$A$2:$E$30100,4,0)</f>
        <v>#N/A</v>
      </c>
      <c r="B2205" s="123"/>
      <c r="C2205" s="133" t="e">
        <f>VLOOKUP(B2205,'lista 1'!$A$2:$E$31000,5,0)</f>
        <v>#N/A</v>
      </c>
      <c r="D2205" s="167" t="e">
        <f>VLOOKUP(E14005,'lista obszary'!A:B,2,0)</f>
        <v>#N/A</v>
      </c>
      <c r="E2205" s="128" t="e">
        <f>VLOOKUP(B2205,'LISTA 12'!$A$2:$G$301400,5,0)</f>
        <v>#N/A</v>
      </c>
      <c r="F2205" s="121" t="e">
        <f>VLOOKUP(B2205,'LISTA 12'!$A$2:$G$30100,7,0)</f>
        <v>#N/A</v>
      </c>
      <c r="G2205" s="254" t="e">
        <f>VLOOKUP(H2205,'lista 3'!$A$1:$C$31467,3,0)</f>
        <v>#N/A</v>
      </c>
      <c r="H2205" s="134"/>
      <c r="I2205" s="136"/>
      <c r="J2205" s="135"/>
      <c r="K2205" s="22"/>
    </row>
    <row r="2206" spans="1:11">
      <c r="A2206" s="241" t="e">
        <f>VLOOKUP(B2206,'lista 1'!$A$2:$E$30100,4,0)</f>
        <v>#N/A</v>
      </c>
      <c r="B2206" s="123"/>
      <c r="C2206" s="133" t="e">
        <f>VLOOKUP(B2206,'lista 1'!$A$2:$E$31000,5,0)</f>
        <v>#N/A</v>
      </c>
      <c r="D2206" s="167" t="e">
        <f>VLOOKUP(E14006,'lista obszary'!A:B,2,0)</f>
        <v>#N/A</v>
      </c>
      <c r="E2206" s="128" t="e">
        <f>VLOOKUP(B2206,'LISTA 12'!$A$2:$G$301400,5,0)</f>
        <v>#N/A</v>
      </c>
      <c r="F2206" s="121" t="e">
        <f>VLOOKUP(B2206,'LISTA 12'!$A$2:$G$30100,7,0)</f>
        <v>#N/A</v>
      </c>
      <c r="G2206" s="254" t="e">
        <f>VLOOKUP(H2206,'lista 3'!$A$1:$C$31467,3,0)</f>
        <v>#N/A</v>
      </c>
      <c r="H2206" s="134"/>
      <c r="I2206" s="136"/>
      <c r="J2206" s="135"/>
      <c r="K2206" s="22"/>
    </row>
    <row r="2207" spans="1:11">
      <c r="A2207" s="241" t="e">
        <f>VLOOKUP(B2207,'lista 1'!$A$2:$E$30100,4,0)</f>
        <v>#N/A</v>
      </c>
      <c r="B2207" s="123"/>
      <c r="C2207" s="133" t="e">
        <f>VLOOKUP(B2207,'lista 1'!$A$2:$E$31000,5,0)</f>
        <v>#N/A</v>
      </c>
      <c r="D2207" s="167" t="e">
        <f>VLOOKUP(E14007,'lista obszary'!A:B,2,0)</f>
        <v>#N/A</v>
      </c>
      <c r="E2207" s="128" t="e">
        <f>VLOOKUP(B2207,'LISTA 12'!$A$2:$G$301400,5,0)</f>
        <v>#N/A</v>
      </c>
      <c r="F2207" s="121" t="e">
        <f>VLOOKUP(B2207,'LISTA 12'!$A$2:$G$30100,7,0)</f>
        <v>#N/A</v>
      </c>
      <c r="G2207" s="254" t="e">
        <f>VLOOKUP(H2207,'lista 3'!$A$1:$C$31467,3,0)</f>
        <v>#N/A</v>
      </c>
      <c r="H2207" s="134"/>
      <c r="I2207" s="136"/>
      <c r="J2207" s="135"/>
      <c r="K2207" s="22"/>
    </row>
    <row r="2208" spans="1:11">
      <c r="A2208" s="241" t="e">
        <f>VLOOKUP(B2208,'lista 1'!$A$2:$E$30100,4,0)</f>
        <v>#N/A</v>
      </c>
      <c r="B2208" s="123"/>
      <c r="C2208" s="133" t="e">
        <f>VLOOKUP(B2208,'lista 1'!$A$2:$E$31000,5,0)</f>
        <v>#N/A</v>
      </c>
      <c r="D2208" s="167" t="e">
        <f>VLOOKUP(E14008,'lista obszary'!A:B,2,0)</f>
        <v>#N/A</v>
      </c>
      <c r="E2208" s="128" t="e">
        <f>VLOOKUP(B2208,'LISTA 12'!$A$2:$G$301400,5,0)</f>
        <v>#N/A</v>
      </c>
      <c r="F2208" s="121" t="e">
        <f>VLOOKUP(B2208,'LISTA 12'!$A$2:$G$30100,7,0)</f>
        <v>#N/A</v>
      </c>
      <c r="G2208" s="254" t="e">
        <f>VLOOKUP(H2208,'lista 3'!$A$1:$C$31467,3,0)</f>
        <v>#N/A</v>
      </c>
      <c r="H2208" s="134"/>
      <c r="I2208" s="136"/>
      <c r="J2208" s="135"/>
      <c r="K2208" s="22"/>
    </row>
    <row r="2209" spans="1:11">
      <c r="A2209" s="241" t="e">
        <f>VLOOKUP(B2209,'lista 1'!$A$2:$E$30100,4,0)</f>
        <v>#N/A</v>
      </c>
      <c r="B2209" s="123"/>
      <c r="C2209" s="133" t="e">
        <f>VLOOKUP(B2209,'lista 1'!$A$2:$E$31000,5,0)</f>
        <v>#N/A</v>
      </c>
      <c r="D2209" s="167" t="e">
        <f>VLOOKUP(E14009,'lista obszary'!A:B,2,0)</f>
        <v>#N/A</v>
      </c>
      <c r="E2209" s="128" t="e">
        <f>VLOOKUP(B2209,'LISTA 12'!$A$2:$G$301400,5,0)</f>
        <v>#N/A</v>
      </c>
      <c r="F2209" s="121" t="e">
        <f>VLOOKUP(B2209,'LISTA 12'!$A$2:$G$30100,7,0)</f>
        <v>#N/A</v>
      </c>
      <c r="G2209" s="254" t="e">
        <f>VLOOKUP(H2209,'lista 3'!$A$1:$C$31467,3,0)</f>
        <v>#N/A</v>
      </c>
      <c r="H2209" s="134"/>
      <c r="I2209" s="136"/>
      <c r="J2209" s="135"/>
      <c r="K2209" s="22"/>
    </row>
    <row r="2210" spans="1:11">
      <c r="A2210" s="241" t="e">
        <f>VLOOKUP(B2210,'lista 1'!$A$2:$E$30100,4,0)</f>
        <v>#N/A</v>
      </c>
      <c r="B2210" s="123"/>
      <c r="C2210" s="133" t="e">
        <f>VLOOKUP(B2210,'lista 1'!$A$2:$E$31000,5,0)</f>
        <v>#N/A</v>
      </c>
      <c r="D2210" s="167" t="e">
        <f>VLOOKUP(E14010,'lista obszary'!A:B,2,0)</f>
        <v>#N/A</v>
      </c>
      <c r="E2210" s="128" t="e">
        <f>VLOOKUP(B2210,'LISTA 12'!$A$2:$G$301400,5,0)</f>
        <v>#N/A</v>
      </c>
      <c r="F2210" s="121" t="e">
        <f>VLOOKUP(B2210,'LISTA 12'!$A$2:$G$30100,7,0)</f>
        <v>#N/A</v>
      </c>
      <c r="G2210" s="254" t="e">
        <f>VLOOKUP(H2210,'lista 3'!$A$1:$C$31467,3,0)</f>
        <v>#N/A</v>
      </c>
      <c r="H2210" s="134"/>
      <c r="I2210" s="136"/>
      <c r="J2210" s="135"/>
      <c r="K2210" s="22"/>
    </row>
    <row r="2211" spans="1:11">
      <c r="A2211" s="241" t="e">
        <f>VLOOKUP(B2211,'lista 1'!$A$2:$E$30100,4,0)</f>
        <v>#N/A</v>
      </c>
      <c r="B2211" s="123"/>
      <c r="C2211" s="133" t="e">
        <f>VLOOKUP(B2211,'lista 1'!$A$2:$E$31000,5,0)</f>
        <v>#N/A</v>
      </c>
      <c r="D2211" s="167" t="e">
        <f>VLOOKUP(E14011,'lista obszary'!A:B,2,0)</f>
        <v>#N/A</v>
      </c>
      <c r="E2211" s="128" t="e">
        <f>VLOOKUP(B2211,'LISTA 12'!$A$2:$G$301400,5,0)</f>
        <v>#N/A</v>
      </c>
      <c r="F2211" s="121" t="e">
        <f>VLOOKUP(B2211,'LISTA 12'!$A$2:$G$30100,7,0)</f>
        <v>#N/A</v>
      </c>
      <c r="G2211" s="254" t="e">
        <f>VLOOKUP(H2211,'lista 3'!$A$1:$C$31467,3,0)</f>
        <v>#N/A</v>
      </c>
      <c r="H2211" s="134"/>
      <c r="I2211" s="136"/>
      <c r="J2211" s="135"/>
      <c r="K2211" s="22"/>
    </row>
    <row r="2212" spans="1:11">
      <c r="A2212" s="241" t="e">
        <f>VLOOKUP(B2212,'lista 1'!$A$2:$E$30100,4,0)</f>
        <v>#N/A</v>
      </c>
      <c r="B2212" s="123"/>
      <c r="C2212" s="133" t="e">
        <f>VLOOKUP(B2212,'lista 1'!$A$2:$E$31000,5,0)</f>
        <v>#N/A</v>
      </c>
      <c r="D2212" s="167" t="e">
        <f>VLOOKUP(E14012,'lista obszary'!A:B,2,0)</f>
        <v>#N/A</v>
      </c>
      <c r="E2212" s="128" t="e">
        <f>VLOOKUP(B2212,'LISTA 12'!$A$2:$G$301400,5,0)</f>
        <v>#N/A</v>
      </c>
      <c r="F2212" s="121" t="e">
        <f>VLOOKUP(B2212,'LISTA 12'!$A$2:$G$30100,7,0)</f>
        <v>#N/A</v>
      </c>
      <c r="G2212" s="254" t="e">
        <f>VLOOKUP(H2212,'lista 3'!$A$1:$C$31467,3,0)</f>
        <v>#N/A</v>
      </c>
      <c r="H2212" s="134"/>
      <c r="I2212" s="136"/>
      <c r="J2212" s="135"/>
      <c r="K2212" s="22"/>
    </row>
    <row r="2213" spans="1:11">
      <c r="A2213" s="241" t="e">
        <f>VLOOKUP(B2213,'lista 1'!$A$2:$E$30100,4,0)</f>
        <v>#N/A</v>
      </c>
      <c r="B2213" s="123"/>
      <c r="C2213" s="133" t="e">
        <f>VLOOKUP(B2213,'lista 1'!$A$2:$E$31000,5,0)</f>
        <v>#N/A</v>
      </c>
      <c r="D2213" s="167" t="e">
        <f>VLOOKUP(E14013,'lista obszary'!A:B,2,0)</f>
        <v>#N/A</v>
      </c>
      <c r="E2213" s="128" t="e">
        <f>VLOOKUP(B2213,'LISTA 12'!$A$2:$G$301400,5,0)</f>
        <v>#N/A</v>
      </c>
      <c r="F2213" s="121" t="e">
        <f>VLOOKUP(B2213,'LISTA 12'!$A$2:$G$30100,7,0)</f>
        <v>#N/A</v>
      </c>
      <c r="G2213" s="254" t="e">
        <f>VLOOKUP(H2213,'lista 3'!$A$1:$C$31467,3,0)</f>
        <v>#N/A</v>
      </c>
      <c r="H2213" s="134"/>
      <c r="I2213" s="136"/>
      <c r="J2213" s="135"/>
      <c r="K2213" s="22"/>
    </row>
    <row r="2214" spans="1:11">
      <c r="A2214" s="241" t="e">
        <f>VLOOKUP(B2214,'lista 1'!$A$2:$E$30100,4,0)</f>
        <v>#N/A</v>
      </c>
      <c r="B2214" s="123"/>
      <c r="C2214" s="133" t="e">
        <f>VLOOKUP(B2214,'lista 1'!$A$2:$E$31000,5,0)</f>
        <v>#N/A</v>
      </c>
      <c r="D2214" s="167" t="e">
        <f>VLOOKUP(E14014,'lista obszary'!A:B,2,0)</f>
        <v>#N/A</v>
      </c>
      <c r="E2214" s="128" t="e">
        <f>VLOOKUP(B2214,'LISTA 12'!$A$2:$G$301400,5,0)</f>
        <v>#N/A</v>
      </c>
      <c r="F2214" s="121" t="e">
        <f>VLOOKUP(B2214,'LISTA 12'!$A$2:$G$30100,7,0)</f>
        <v>#N/A</v>
      </c>
      <c r="G2214" s="254" t="e">
        <f>VLOOKUP(H2214,'lista 3'!$A$1:$C$31467,3,0)</f>
        <v>#N/A</v>
      </c>
      <c r="H2214" s="134"/>
      <c r="I2214" s="136"/>
      <c r="J2214" s="135"/>
      <c r="K2214" s="22"/>
    </row>
    <row r="2215" spans="1:11">
      <c r="A2215" s="241" t="e">
        <f>VLOOKUP(B2215,'lista 1'!$A$2:$E$30100,4,0)</f>
        <v>#N/A</v>
      </c>
      <c r="B2215" s="123"/>
      <c r="C2215" s="133" t="e">
        <f>VLOOKUP(B2215,'lista 1'!$A$2:$E$31000,5,0)</f>
        <v>#N/A</v>
      </c>
      <c r="D2215" s="167" t="e">
        <f>VLOOKUP(E14015,'lista obszary'!A:B,2,0)</f>
        <v>#N/A</v>
      </c>
      <c r="E2215" s="128" t="e">
        <f>VLOOKUP(B2215,'LISTA 12'!$A$2:$G$301400,5,0)</f>
        <v>#N/A</v>
      </c>
      <c r="F2215" s="121" t="e">
        <f>VLOOKUP(B2215,'LISTA 12'!$A$2:$G$30100,7,0)</f>
        <v>#N/A</v>
      </c>
      <c r="G2215" s="254" t="e">
        <f>VLOOKUP(H2215,'lista 3'!$A$1:$C$31467,3,0)</f>
        <v>#N/A</v>
      </c>
      <c r="H2215" s="134"/>
      <c r="I2215" s="136"/>
      <c r="J2215" s="135"/>
      <c r="K2215" s="22"/>
    </row>
    <row r="2216" spans="1:11">
      <c r="A2216" s="241" t="e">
        <f>VLOOKUP(B2216,'lista 1'!$A$2:$E$30100,4,0)</f>
        <v>#N/A</v>
      </c>
      <c r="B2216" s="123"/>
      <c r="C2216" s="133" t="e">
        <f>VLOOKUP(B2216,'lista 1'!$A$2:$E$31000,5,0)</f>
        <v>#N/A</v>
      </c>
      <c r="D2216" s="167" t="e">
        <f>VLOOKUP(E14016,'lista obszary'!A:B,2,0)</f>
        <v>#N/A</v>
      </c>
      <c r="E2216" s="128" t="e">
        <f>VLOOKUP(B2216,'LISTA 12'!$A$2:$G$301400,5,0)</f>
        <v>#N/A</v>
      </c>
      <c r="F2216" s="121" t="e">
        <f>VLOOKUP(B2216,'LISTA 12'!$A$2:$G$30100,7,0)</f>
        <v>#N/A</v>
      </c>
      <c r="G2216" s="254" t="e">
        <f>VLOOKUP(H2216,'lista 3'!$A$1:$C$31467,3,0)</f>
        <v>#N/A</v>
      </c>
      <c r="H2216" s="134"/>
      <c r="I2216" s="136"/>
      <c r="J2216" s="135"/>
      <c r="K2216" s="22"/>
    </row>
    <row r="2217" spans="1:11">
      <c r="A2217" s="241" t="e">
        <f>VLOOKUP(B2217,'lista 1'!$A$2:$E$30100,4,0)</f>
        <v>#N/A</v>
      </c>
      <c r="B2217" s="123"/>
      <c r="C2217" s="133" t="e">
        <f>VLOOKUP(B2217,'lista 1'!$A$2:$E$31000,5,0)</f>
        <v>#N/A</v>
      </c>
      <c r="D2217" s="167" t="e">
        <f>VLOOKUP(E14017,'lista obszary'!A:B,2,0)</f>
        <v>#N/A</v>
      </c>
      <c r="E2217" s="128" t="e">
        <f>VLOOKUP(B2217,'LISTA 12'!$A$2:$G$301400,5,0)</f>
        <v>#N/A</v>
      </c>
      <c r="F2217" s="121" t="e">
        <f>VLOOKUP(B2217,'LISTA 12'!$A$2:$G$30100,7,0)</f>
        <v>#N/A</v>
      </c>
      <c r="G2217" s="254" t="e">
        <f>VLOOKUP(H2217,'lista 3'!$A$1:$C$31467,3,0)</f>
        <v>#N/A</v>
      </c>
      <c r="H2217" s="134"/>
      <c r="I2217" s="136"/>
      <c r="J2217" s="135"/>
      <c r="K2217" s="22"/>
    </row>
    <row r="2218" spans="1:11">
      <c r="A2218" s="241" t="e">
        <f>VLOOKUP(B2218,'lista 1'!$A$2:$E$30100,4,0)</f>
        <v>#N/A</v>
      </c>
      <c r="B2218" s="123"/>
      <c r="C2218" s="133" t="e">
        <f>VLOOKUP(B2218,'lista 1'!$A$2:$E$31000,5,0)</f>
        <v>#N/A</v>
      </c>
      <c r="D2218" s="167" t="e">
        <f>VLOOKUP(E14018,'lista obszary'!A:B,2,0)</f>
        <v>#N/A</v>
      </c>
      <c r="E2218" s="128" t="e">
        <f>VLOOKUP(B2218,'LISTA 12'!$A$2:$G$301400,5,0)</f>
        <v>#N/A</v>
      </c>
      <c r="F2218" s="121" t="e">
        <f>VLOOKUP(B2218,'LISTA 12'!$A$2:$G$30100,7,0)</f>
        <v>#N/A</v>
      </c>
      <c r="G2218" s="254" t="e">
        <f>VLOOKUP(H2218,'lista 3'!$A$1:$C$31467,3,0)</f>
        <v>#N/A</v>
      </c>
      <c r="H2218" s="134"/>
      <c r="I2218" s="136"/>
      <c r="J2218" s="135"/>
      <c r="K2218" s="22"/>
    </row>
    <row r="2219" spans="1:11">
      <c r="A2219" s="241" t="e">
        <f>VLOOKUP(B2219,'lista 1'!$A$2:$E$30100,4,0)</f>
        <v>#N/A</v>
      </c>
      <c r="B2219" s="123"/>
      <c r="C2219" s="133" t="e">
        <f>VLOOKUP(B2219,'lista 1'!$A$2:$E$31000,5,0)</f>
        <v>#N/A</v>
      </c>
      <c r="D2219" s="167" t="e">
        <f>VLOOKUP(E14019,'lista obszary'!A:B,2,0)</f>
        <v>#N/A</v>
      </c>
      <c r="E2219" s="128" t="e">
        <f>VLOOKUP(B2219,'LISTA 12'!$A$2:$G$301400,5,0)</f>
        <v>#N/A</v>
      </c>
      <c r="F2219" s="121" t="e">
        <f>VLOOKUP(B2219,'LISTA 12'!$A$2:$G$30100,7,0)</f>
        <v>#N/A</v>
      </c>
      <c r="G2219" s="254" t="e">
        <f>VLOOKUP(H2219,'lista 3'!$A$1:$C$31467,3,0)</f>
        <v>#N/A</v>
      </c>
      <c r="H2219" s="134"/>
      <c r="I2219" s="136"/>
      <c r="J2219" s="135"/>
      <c r="K2219" s="22"/>
    </row>
    <row r="2220" spans="1:11">
      <c r="A2220" s="241" t="e">
        <f>VLOOKUP(B2220,'lista 1'!$A$2:$E$30100,4,0)</f>
        <v>#N/A</v>
      </c>
      <c r="B2220" s="123"/>
      <c r="C2220" s="133" t="e">
        <f>VLOOKUP(B2220,'lista 1'!$A$2:$E$31000,5,0)</f>
        <v>#N/A</v>
      </c>
      <c r="D2220" s="167" t="e">
        <f>VLOOKUP(E14020,'lista obszary'!A:B,2,0)</f>
        <v>#N/A</v>
      </c>
      <c r="E2220" s="128" t="e">
        <f>VLOOKUP(B2220,'LISTA 12'!$A$2:$G$301400,5,0)</f>
        <v>#N/A</v>
      </c>
      <c r="F2220" s="121" t="e">
        <f>VLOOKUP(B2220,'LISTA 12'!$A$2:$G$30100,7,0)</f>
        <v>#N/A</v>
      </c>
      <c r="G2220" s="254" t="e">
        <f>VLOOKUP(H2220,'lista 3'!$A$1:$C$31467,3,0)</f>
        <v>#N/A</v>
      </c>
      <c r="H2220" s="134"/>
      <c r="I2220" s="136"/>
      <c r="J2220" s="135"/>
      <c r="K2220" s="22"/>
    </row>
    <row r="2221" spans="1:11">
      <c r="A2221" s="241" t="e">
        <f>VLOOKUP(B2221,'lista 1'!$A$2:$E$30100,4,0)</f>
        <v>#N/A</v>
      </c>
      <c r="B2221" s="123"/>
      <c r="C2221" s="133" t="e">
        <f>VLOOKUP(B2221,'lista 1'!$A$2:$E$31000,5,0)</f>
        <v>#N/A</v>
      </c>
      <c r="D2221" s="167" t="e">
        <f>VLOOKUP(E14021,'lista obszary'!A:B,2,0)</f>
        <v>#N/A</v>
      </c>
      <c r="E2221" s="128" t="e">
        <f>VLOOKUP(B2221,'LISTA 12'!$A$2:$G$301400,5,0)</f>
        <v>#N/A</v>
      </c>
      <c r="F2221" s="121" t="e">
        <f>VLOOKUP(B2221,'LISTA 12'!$A$2:$G$30100,7,0)</f>
        <v>#N/A</v>
      </c>
      <c r="G2221" s="254" t="e">
        <f>VLOOKUP(H2221,'lista 3'!$A$1:$C$31467,3,0)</f>
        <v>#N/A</v>
      </c>
      <c r="H2221" s="134"/>
      <c r="I2221" s="136"/>
      <c r="J2221" s="135"/>
      <c r="K2221" s="22"/>
    </row>
    <row r="2222" spans="1:11">
      <c r="A2222" s="241" t="e">
        <f>VLOOKUP(B2222,'lista 1'!$A$2:$E$30100,4,0)</f>
        <v>#N/A</v>
      </c>
      <c r="B2222" s="123"/>
      <c r="C2222" s="133" t="e">
        <f>VLOOKUP(B2222,'lista 1'!$A$2:$E$31000,5,0)</f>
        <v>#N/A</v>
      </c>
      <c r="D2222" s="167" t="e">
        <f>VLOOKUP(E14022,'lista obszary'!A:B,2,0)</f>
        <v>#N/A</v>
      </c>
      <c r="E2222" s="128" t="e">
        <f>VLOOKUP(B2222,'LISTA 12'!$A$2:$G$301400,5,0)</f>
        <v>#N/A</v>
      </c>
      <c r="F2222" s="121" t="e">
        <f>VLOOKUP(B2222,'LISTA 12'!$A$2:$G$30100,7,0)</f>
        <v>#N/A</v>
      </c>
      <c r="G2222" s="254" t="e">
        <f>VLOOKUP(H2222,'lista 3'!$A$1:$C$31467,3,0)</f>
        <v>#N/A</v>
      </c>
      <c r="H2222" s="134"/>
      <c r="I2222" s="136"/>
      <c r="J2222" s="135"/>
      <c r="K2222" s="22"/>
    </row>
    <row r="2223" spans="1:11">
      <c r="A2223" s="241" t="e">
        <f>VLOOKUP(B2223,'lista 1'!$A$2:$E$30100,4,0)</f>
        <v>#N/A</v>
      </c>
      <c r="B2223" s="123"/>
      <c r="C2223" s="133" t="e">
        <f>VLOOKUP(B2223,'lista 1'!$A$2:$E$31000,5,0)</f>
        <v>#N/A</v>
      </c>
      <c r="D2223" s="167" t="e">
        <f>VLOOKUP(E14023,'lista obszary'!A:B,2,0)</f>
        <v>#N/A</v>
      </c>
      <c r="E2223" s="128" t="e">
        <f>VLOOKUP(B2223,'LISTA 12'!$A$2:$G$301400,5,0)</f>
        <v>#N/A</v>
      </c>
      <c r="F2223" s="121" t="e">
        <f>VLOOKUP(B2223,'LISTA 12'!$A$2:$G$30100,7,0)</f>
        <v>#N/A</v>
      </c>
      <c r="G2223" s="254" t="e">
        <f>VLOOKUP(H2223,'lista 3'!$A$1:$C$31467,3,0)</f>
        <v>#N/A</v>
      </c>
      <c r="H2223" s="134"/>
      <c r="I2223" s="136"/>
      <c r="J2223" s="135"/>
      <c r="K2223" s="22"/>
    </row>
    <row r="2224" spans="1:11">
      <c r="A2224" s="241" t="e">
        <f>VLOOKUP(B2224,'lista 1'!$A$2:$E$30100,4,0)</f>
        <v>#N/A</v>
      </c>
      <c r="B2224" s="123"/>
      <c r="C2224" s="133" t="e">
        <f>VLOOKUP(B2224,'lista 1'!$A$2:$E$31000,5,0)</f>
        <v>#N/A</v>
      </c>
      <c r="D2224" s="167" t="e">
        <f>VLOOKUP(E14024,'lista obszary'!A:B,2,0)</f>
        <v>#N/A</v>
      </c>
      <c r="E2224" s="128" t="e">
        <f>VLOOKUP(B2224,'LISTA 12'!$A$2:$G$301400,5,0)</f>
        <v>#N/A</v>
      </c>
      <c r="F2224" s="121" t="e">
        <f>VLOOKUP(B2224,'LISTA 12'!$A$2:$G$30100,7,0)</f>
        <v>#N/A</v>
      </c>
      <c r="G2224" s="254" t="e">
        <f>VLOOKUP(H2224,'lista 3'!$A$1:$C$31467,3,0)</f>
        <v>#N/A</v>
      </c>
      <c r="H2224" s="134"/>
      <c r="I2224" s="136"/>
      <c r="J2224" s="135"/>
      <c r="K2224" s="22"/>
    </row>
    <row r="2225" spans="1:11">
      <c r="A2225" s="241" t="e">
        <f>VLOOKUP(B2225,'lista 1'!$A$2:$E$30100,4,0)</f>
        <v>#N/A</v>
      </c>
      <c r="B2225" s="123"/>
      <c r="C2225" s="133" t="e">
        <f>VLOOKUP(B2225,'lista 1'!$A$2:$E$31000,5,0)</f>
        <v>#N/A</v>
      </c>
      <c r="D2225" s="167" t="e">
        <f>VLOOKUP(E14025,'lista obszary'!A:B,2,0)</f>
        <v>#N/A</v>
      </c>
      <c r="E2225" s="128" t="e">
        <f>VLOOKUP(B2225,'LISTA 12'!$A$2:$G$301400,5,0)</f>
        <v>#N/A</v>
      </c>
      <c r="F2225" s="121" t="e">
        <f>VLOOKUP(B2225,'LISTA 12'!$A$2:$G$30100,7,0)</f>
        <v>#N/A</v>
      </c>
      <c r="G2225" s="254" t="e">
        <f>VLOOKUP(H2225,'lista 3'!$A$1:$C$31467,3,0)</f>
        <v>#N/A</v>
      </c>
      <c r="H2225" s="134"/>
      <c r="I2225" s="136"/>
      <c r="J2225" s="135"/>
      <c r="K2225" s="22"/>
    </row>
    <row r="2226" spans="1:11">
      <c r="A2226" s="241" t="e">
        <f>VLOOKUP(B2226,'lista 1'!$A$2:$E$30100,4,0)</f>
        <v>#N/A</v>
      </c>
      <c r="B2226" s="123"/>
      <c r="C2226" s="133" t="e">
        <f>VLOOKUP(B2226,'lista 1'!$A$2:$E$31000,5,0)</f>
        <v>#N/A</v>
      </c>
      <c r="D2226" s="167" t="e">
        <f>VLOOKUP(E14026,'lista obszary'!A:B,2,0)</f>
        <v>#N/A</v>
      </c>
      <c r="E2226" s="128" t="e">
        <f>VLOOKUP(B2226,'LISTA 12'!$A$2:$G$301400,5,0)</f>
        <v>#N/A</v>
      </c>
      <c r="F2226" s="121" t="e">
        <f>VLOOKUP(B2226,'LISTA 12'!$A$2:$G$30100,7,0)</f>
        <v>#N/A</v>
      </c>
      <c r="G2226" s="254" t="e">
        <f>VLOOKUP(H2226,'lista 3'!$A$1:$C$31467,3,0)</f>
        <v>#N/A</v>
      </c>
      <c r="H2226" s="134"/>
      <c r="I2226" s="136"/>
      <c r="J2226" s="135"/>
      <c r="K2226" s="22"/>
    </row>
    <row r="2227" spans="1:11">
      <c r="A2227" s="241" t="e">
        <f>VLOOKUP(B2227,'lista 1'!$A$2:$E$30100,4,0)</f>
        <v>#N/A</v>
      </c>
      <c r="B2227" s="123"/>
      <c r="C2227" s="133" t="e">
        <f>VLOOKUP(B2227,'lista 1'!$A$2:$E$31000,5,0)</f>
        <v>#N/A</v>
      </c>
      <c r="D2227" s="167" t="e">
        <f>VLOOKUP(E14027,'lista obszary'!A:B,2,0)</f>
        <v>#N/A</v>
      </c>
      <c r="E2227" s="128" t="e">
        <f>VLOOKUP(B2227,'LISTA 12'!$A$2:$G$301400,5,0)</f>
        <v>#N/A</v>
      </c>
      <c r="F2227" s="121" t="e">
        <f>VLOOKUP(B2227,'LISTA 12'!$A$2:$G$30100,7,0)</f>
        <v>#N/A</v>
      </c>
      <c r="G2227" s="254" t="e">
        <f>VLOOKUP(H2227,'lista 3'!$A$1:$C$31467,3,0)</f>
        <v>#N/A</v>
      </c>
      <c r="H2227" s="134"/>
      <c r="I2227" s="136"/>
      <c r="J2227" s="135"/>
      <c r="K2227" s="22"/>
    </row>
    <row r="2228" spans="1:11">
      <c r="A2228" s="241" t="e">
        <f>VLOOKUP(B2228,'lista 1'!$A$2:$E$30100,4,0)</f>
        <v>#N/A</v>
      </c>
      <c r="B2228" s="123"/>
      <c r="C2228" s="133" t="e">
        <f>VLOOKUP(B2228,'lista 1'!$A$2:$E$31000,5,0)</f>
        <v>#N/A</v>
      </c>
      <c r="D2228" s="167" t="e">
        <f>VLOOKUP(E14028,'lista obszary'!A:B,2,0)</f>
        <v>#N/A</v>
      </c>
      <c r="E2228" s="128" t="e">
        <f>VLOOKUP(B2228,'LISTA 12'!$A$2:$G$301400,5,0)</f>
        <v>#N/A</v>
      </c>
      <c r="F2228" s="121" t="e">
        <f>VLOOKUP(B2228,'LISTA 12'!$A$2:$G$30100,7,0)</f>
        <v>#N/A</v>
      </c>
      <c r="G2228" s="254" t="e">
        <f>VLOOKUP(H2228,'lista 3'!$A$1:$C$31467,3,0)</f>
        <v>#N/A</v>
      </c>
      <c r="H2228" s="134"/>
      <c r="I2228" s="136"/>
      <c r="J2228" s="135"/>
      <c r="K2228" s="22"/>
    </row>
    <row r="2229" spans="1:11">
      <c r="A2229" s="241" t="e">
        <f>VLOOKUP(B2229,'lista 1'!$A$2:$E$30100,4,0)</f>
        <v>#N/A</v>
      </c>
      <c r="B2229" s="123"/>
      <c r="C2229" s="133" t="e">
        <f>VLOOKUP(B2229,'lista 1'!$A$2:$E$31000,5,0)</f>
        <v>#N/A</v>
      </c>
      <c r="D2229" s="167" t="e">
        <f>VLOOKUP(E14029,'lista obszary'!A:B,2,0)</f>
        <v>#N/A</v>
      </c>
      <c r="E2229" s="128" t="e">
        <f>VLOOKUP(B2229,'LISTA 12'!$A$2:$G$301400,5,0)</f>
        <v>#N/A</v>
      </c>
      <c r="F2229" s="121" t="e">
        <f>VLOOKUP(B2229,'LISTA 12'!$A$2:$G$30100,7,0)</f>
        <v>#N/A</v>
      </c>
      <c r="G2229" s="254" t="e">
        <f>VLOOKUP(H2229,'lista 3'!$A$1:$C$31467,3,0)</f>
        <v>#N/A</v>
      </c>
      <c r="H2229" s="134"/>
      <c r="I2229" s="136"/>
      <c r="J2229" s="135"/>
      <c r="K2229" s="22"/>
    </row>
    <row r="2230" spans="1:11">
      <c r="A2230" s="241" t="e">
        <f>VLOOKUP(B2230,'lista 1'!$A$2:$E$30100,4,0)</f>
        <v>#N/A</v>
      </c>
      <c r="B2230" s="123"/>
      <c r="C2230" s="133" t="e">
        <f>VLOOKUP(B2230,'lista 1'!$A$2:$E$31000,5,0)</f>
        <v>#N/A</v>
      </c>
      <c r="D2230" s="167" t="e">
        <f>VLOOKUP(E14030,'lista obszary'!A:B,2,0)</f>
        <v>#N/A</v>
      </c>
      <c r="E2230" s="128" t="e">
        <f>VLOOKUP(B2230,'LISTA 12'!$A$2:$G$301400,5,0)</f>
        <v>#N/A</v>
      </c>
      <c r="F2230" s="121" t="e">
        <f>VLOOKUP(B2230,'LISTA 12'!$A$2:$G$30100,7,0)</f>
        <v>#N/A</v>
      </c>
      <c r="G2230" s="254" t="e">
        <f>VLOOKUP(H2230,'lista 3'!$A$1:$C$31467,3,0)</f>
        <v>#N/A</v>
      </c>
      <c r="H2230" s="134"/>
      <c r="I2230" s="136"/>
      <c r="J2230" s="135"/>
      <c r="K2230" s="22"/>
    </row>
    <row r="2231" spans="1:11">
      <c r="A2231" s="241" t="e">
        <f>VLOOKUP(B2231,'lista 1'!$A$2:$E$30100,4,0)</f>
        <v>#N/A</v>
      </c>
      <c r="B2231" s="123"/>
      <c r="C2231" s="133" t="e">
        <f>VLOOKUP(B2231,'lista 1'!$A$2:$E$31000,5,0)</f>
        <v>#N/A</v>
      </c>
      <c r="D2231" s="167" t="e">
        <f>VLOOKUP(E14031,'lista obszary'!A:B,2,0)</f>
        <v>#N/A</v>
      </c>
      <c r="E2231" s="128" t="e">
        <f>VLOOKUP(B2231,'LISTA 12'!$A$2:$G$301400,5,0)</f>
        <v>#N/A</v>
      </c>
      <c r="F2231" s="121" t="e">
        <f>VLOOKUP(B2231,'LISTA 12'!$A$2:$G$30100,7,0)</f>
        <v>#N/A</v>
      </c>
      <c r="G2231" s="254" t="e">
        <f>VLOOKUP(H2231,'lista 3'!$A$1:$C$31467,3,0)</f>
        <v>#N/A</v>
      </c>
      <c r="H2231" s="134"/>
      <c r="I2231" s="136"/>
      <c r="J2231" s="135"/>
      <c r="K2231" s="22"/>
    </row>
    <row r="2232" spans="1:11">
      <c r="A2232" s="241" t="e">
        <f>VLOOKUP(B2232,'lista 1'!$A$2:$E$30100,4,0)</f>
        <v>#N/A</v>
      </c>
      <c r="B2232" s="123"/>
      <c r="C2232" s="133" t="e">
        <f>VLOOKUP(B2232,'lista 1'!$A$2:$E$31000,5,0)</f>
        <v>#N/A</v>
      </c>
      <c r="D2232" s="167" t="e">
        <f>VLOOKUP(E14032,'lista obszary'!A:B,2,0)</f>
        <v>#N/A</v>
      </c>
      <c r="E2232" s="128" t="e">
        <f>VLOOKUP(B2232,'LISTA 12'!$A$2:$G$301400,5,0)</f>
        <v>#N/A</v>
      </c>
      <c r="F2232" s="121" t="e">
        <f>VLOOKUP(B2232,'LISTA 12'!$A$2:$G$30100,7,0)</f>
        <v>#N/A</v>
      </c>
      <c r="G2232" s="254" t="e">
        <f>VLOOKUP(H2232,'lista 3'!$A$1:$C$31467,3,0)</f>
        <v>#N/A</v>
      </c>
      <c r="H2232" s="134"/>
      <c r="I2232" s="136"/>
      <c r="J2232" s="135"/>
      <c r="K2232" s="22"/>
    </row>
    <row r="2233" spans="1:11">
      <c r="A2233" s="241" t="e">
        <f>VLOOKUP(B2233,'lista 1'!$A$2:$E$30100,4,0)</f>
        <v>#N/A</v>
      </c>
      <c r="B2233" s="123"/>
      <c r="C2233" s="133" t="e">
        <f>VLOOKUP(B2233,'lista 1'!$A$2:$E$31000,5,0)</f>
        <v>#N/A</v>
      </c>
      <c r="D2233" s="167" t="e">
        <f>VLOOKUP(E14033,'lista obszary'!A:B,2,0)</f>
        <v>#N/A</v>
      </c>
      <c r="E2233" s="128" t="e">
        <f>VLOOKUP(B2233,'LISTA 12'!$A$2:$G$301400,5,0)</f>
        <v>#N/A</v>
      </c>
      <c r="F2233" s="121" t="e">
        <f>VLOOKUP(B2233,'LISTA 12'!$A$2:$G$30100,7,0)</f>
        <v>#N/A</v>
      </c>
      <c r="G2233" s="254" t="e">
        <f>VLOOKUP(H2233,'lista 3'!$A$1:$C$31467,3,0)</f>
        <v>#N/A</v>
      </c>
      <c r="H2233" s="134"/>
      <c r="I2233" s="136"/>
      <c r="J2233" s="135"/>
      <c r="K2233" s="22"/>
    </row>
    <row r="2234" spans="1:11">
      <c r="A2234" s="241" t="e">
        <f>VLOOKUP(B2234,'lista 1'!$A$2:$E$30100,4,0)</f>
        <v>#N/A</v>
      </c>
      <c r="B2234" s="123"/>
      <c r="C2234" s="133" t="e">
        <f>VLOOKUP(B2234,'lista 1'!$A$2:$E$31000,5,0)</f>
        <v>#N/A</v>
      </c>
      <c r="D2234" s="167" t="e">
        <f>VLOOKUP(E14034,'lista obszary'!A:B,2,0)</f>
        <v>#N/A</v>
      </c>
      <c r="E2234" s="128" t="e">
        <f>VLOOKUP(B2234,'LISTA 12'!$A$2:$G$301400,5,0)</f>
        <v>#N/A</v>
      </c>
      <c r="F2234" s="121" t="e">
        <f>VLOOKUP(B2234,'LISTA 12'!$A$2:$G$30100,7,0)</f>
        <v>#N/A</v>
      </c>
      <c r="G2234" s="254" t="e">
        <f>VLOOKUP(H2234,'lista 3'!$A$1:$C$31467,3,0)</f>
        <v>#N/A</v>
      </c>
      <c r="H2234" s="134"/>
      <c r="I2234" s="136"/>
      <c r="J2234" s="135"/>
      <c r="K2234" s="22"/>
    </row>
    <row r="2235" spans="1:11">
      <c r="A2235" s="241" t="e">
        <f>VLOOKUP(B2235,'lista 1'!$A$2:$E$30100,4,0)</f>
        <v>#N/A</v>
      </c>
      <c r="B2235" s="123"/>
      <c r="C2235" s="133" t="e">
        <f>VLOOKUP(B2235,'lista 1'!$A$2:$E$31000,5,0)</f>
        <v>#N/A</v>
      </c>
      <c r="D2235" s="167" t="e">
        <f>VLOOKUP(E14035,'lista obszary'!A:B,2,0)</f>
        <v>#N/A</v>
      </c>
      <c r="E2235" s="128" t="e">
        <f>VLOOKUP(B2235,'LISTA 12'!$A$2:$G$301400,5,0)</f>
        <v>#N/A</v>
      </c>
      <c r="F2235" s="121" t="e">
        <f>VLOOKUP(B2235,'LISTA 12'!$A$2:$G$30100,7,0)</f>
        <v>#N/A</v>
      </c>
      <c r="G2235" s="254" t="e">
        <f>VLOOKUP(H2235,'lista 3'!$A$1:$C$31467,3,0)</f>
        <v>#N/A</v>
      </c>
      <c r="H2235" s="134"/>
      <c r="I2235" s="136"/>
      <c r="J2235" s="135"/>
      <c r="K2235" s="22"/>
    </row>
    <row r="2236" spans="1:11">
      <c r="A2236" s="241" t="e">
        <f>VLOOKUP(B2236,'lista 1'!$A$2:$E$30100,4,0)</f>
        <v>#N/A</v>
      </c>
      <c r="B2236" s="123"/>
      <c r="C2236" s="133" t="e">
        <f>VLOOKUP(B2236,'lista 1'!$A$2:$E$31000,5,0)</f>
        <v>#N/A</v>
      </c>
      <c r="D2236" s="167" t="e">
        <f>VLOOKUP(E14036,'lista obszary'!A:B,2,0)</f>
        <v>#N/A</v>
      </c>
      <c r="E2236" s="128" t="e">
        <f>VLOOKUP(B2236,'LISTA 12'!$A$2:$G$301400,5,0)</f>
        <v>#N/A</v>
      </c>
      <c r="F2236" s="121" t="e">
        <f>VLOOKUP(B2236,'LISTA 12'!$A$2:$G$30100,7,0)</f>
        <v>#N/A</v>
      </c>
      <c r="G2236" s="254" t="e">
        <f>VLOOKUP(H2236,'lista 3'!$A$1:$C$31467,3,0)</f>
        <v>#N/A</v>
      </c>
      <c r="H2236" s="134"/>
      <c r="I2236" s="136"/>
      <c r="J2236" s="135"/>
      <c r="K2236" s="22"/>
    </row>
    <row r="2237" spans="1:11">
      <c r="A2237" s="241" t="e">
        <f>VLOOKUP(B2237,'lista 1'!$A$2:$E$30100,4,0)</f>
        <v>#N/A</v>
      </c>
      <c r="B2237" s="123"/>
      <c r="C2237" s="133" t="e">
        <f>VLOOKUP(B2237,'lista 1'!$A$2:$E$31000,5,0)</f>
        <v>#N/A</v>
      </c>
      <c r="D2237" s="167" t="e">
        <f>VLOOKUP(E14037,'lista obszary'!A:B,2,0)</f>
        <v>#N/A</v>
      </c>
      <c r="E2237" s="128" t="e">
        <f>VLOOKUP(B2237,'LISTA 12'!$A$2:$G$301400,5,0)</f>
        <v>#N/A</v>
      </c>
      <c r="F2237" s="121" t="e">
        <f>VLOOKUP(B2237,'LISTA 12'!$A$2:$G$30100,7,0)</f>
        <v>#N/A</v>
      </c>
      <c r="G2237" s="254" t="e">
        <f>VLOOKUP(H2237,'lista 3'!$A$1:$C$31467,3,0)</f>
        <v>#N/A</v>
      </c>
      <c r="H2237" s="134"/>
      <c r="I2237" s="136"/>
      <c r="J2237" s="135"/>
      <c r="K2237" s="22"/>
    </row>
    <row r="2238" spans="1:11">
      <c r="A2238" s="241" t="e">
        <f>VLOOKUP(B2238,'lista 1'!$A$2:$E$30100,4,0)</f>
        <v>#N/A</v>
      </c>
      <c r="B2238" s="123"/>
      <c r="C2238" s="133" t="e">
        <f>VLOOKUP(B2238,'lista 1'!$A$2:$E$31000,5,0)</f>
        <v>#N/A</v>
      </c>
      <c r="D2238" s="167" t="e">
        <f>VLOOKUP(E14038,'lista obszary'!A:B,2,0)</f>
        <v>#N/A</v>
      </c>
      <c r="E2238" s="128" t="e">
        <f>VLOOKUP(B2238,'LISTA 12'!$A$2:$G$301400,5,0)</f>
        <v>#N/A</v>
      </c>
      <c r="F2238" s="121" t="e">
        <f>VLOOKUP(B2238,'LISTA 12'!$A$2:$G$30100,7,0)</f>
        <v>#N/A</v>
      </c>
      <c r="G2238" s="254" t="e">
        <f>VLOOKUP(H2238,'lista 3'!$A$1:$C$31467,3,0)</f>
        <v>#N/A</v>
      </c>
      <c r="H2238" s="134"/>
      <c r="I2238" s="136"/>
      <c r="J2238" s="135"/>
      <c r="K2238" s="22"/>
    </row>
    <row r="2239" spans="1:11">
      <c r="A2239" s="241" t="e">
        <f>VLOOKUP(B2239,'lista 1'!$A$2:$E$30100,4,0)</f>
        <v>#N/A</v>
      </c>
      <c r="B2239" s="123"/>
      <c r="C2239" s="133" t="e">
        <f>VLOOKUP(B2239,'lista 1'!$A$2:$E$31000,5,0)</f>
        <v>#N/A</v>
      </c>
      <c r="D2239" s="167" t="e">
        <f>VLOOKUP(E14039,'lista obszary'!A:B,2,0)</f>
        <v>#N/A</v>
      </c>
      <c r="E2239" s="128" t="e">
        <f>VLOOKUP(B2239,'LISTA 12'!$A$2:$G$301400,5,0)</f>
        <v>#N/A</v>
      </c>
      <c r="F2239" s="121" t="e">
        <f>VLOOKUP(B2239,'LISTA 12'!$A$2:$G$30100,7,0)</f>
        <v>#N/A</v>
      </c>
      <c r="G2239" s="254" t="e">
        <f>VLOOKUP(H2239,'lista 3'!$A$1:$C$31467,3,0)</f>
        <v>#N/A</v>
      </c>
      <c r="H2239" s="134"/>
      <c r="I2239" s="136"/>
      <c r="J2239" s="135"/>
      <c r="K2239" s="22"/>
    </row>
    <row r="2240" spans="1:11">
      <c r="A2240" s="241" t="e">
        <f>VLOOKUP(B2240,'lista 1'!$A$2:$E$30100,4,0)</f>
        <v>#N/A</v>
      </c>
      <c r="B2240" s="123"/>
      <c r="C2240" s="133" t="e">
        <f>VLOOKUP(B2240,'lista 1'!$A$2:$E$31000,5,0)</f>
        <v>#N/A</v>
      </c>
      <c r="D2240" s="167" t="e">
        <f>VLOOKUP(E14040,'lista obszary'!A:B,2,0)</f>
        <v>#N/A</v>
      </c>
      <c r="E2240" s="128" t="e">
        <f>VLOOKUP(B2240,'LISTA 12'!$A$2:$G$301400,5,0)</f>
        <v>#N/A</v>
      </c>
      <c r="F2240" s="121" t="e">
        <f>VLOOKUP(B2240,'LISTA 12'!$A$2:$G$30100,7,0)</f>
        <v>#N/A</v>
      </c>
      <c r="G2240" s="254" t="e">
        <f>VLOOKUP(H2240,'lista 3'!$A$1:$C$31467,3,0)</f>
        <v>#N/A</v>
      </c>
      <c r="H2240" s="134"/>
      <c r="I2240" s="136"/>
      <c r="J2240" s="135"/>
      <c r="K2240" s="22"/>
    </row>
    <row r="2241" spans="1:11">
      <c r="A2241" s="241" t="e">
        <f>VLOOKUP(B2241,'lista 1'!$A$2:$E$30100,4,0)</f>
        <v>#N/A</v>
      </c>
      <c r="B2241" s="123"/>
      <c r="C2241" s="133" t="e">
        <f>VLOOKUP(B2241,'lista 1'!$A$2:$E$31000,5,0)</f>
        <v>#N/A</v>
      </c>
      <c r="D2241" s="167" t="e">
        <f>VLOOKUP(E14041,'lista obszary'!A:B,2,0)</f>
        <v>#N/A</v>
      </c>
      <c r="E2241" s="128" t="e">
        <f>VLOOKUP(B2241,'LISTA 12'!$A$2:$G$301400,5,0)</f>
        <v>#N/A</v>
      </c>
      <c r="F2241" s="121" t="e">
        <f>VLOOKUP(B2241,'LISTA 12'!$A$2:$G$30100,7,0)</f>
        <v>#N/A</v>
      </c>
      <c r="G2241" s="254" t="e">
        <f>VLOOKUP(H2241,'lista 3'!$A$1:$C$31467,3,0)</f>
        <v>#N/A</v>
      </c>
      <c r="H2241" s="134"/>
      <c r="I2241" s="136"/>
      <c r="J2241" s="135"/>
      <c r="K2241" s="22"/>
    </row>
    <row r="2242" spans="1:11">
      <c r="A2242" s="241" t="e">
        <f>VLOOKUP(B2242,'lista 1'!$A$2:$E$30100,4,0)</f>
        <v>#N/A</v>
      </c>
      <c r="B2242" s="123"/>
      <c r="C2242" s="133" t="e">
        <f>VLOOKUP(B2242,'lista 1'!$A$2:$E$31000,5,0)</f>
        <v>#N/A</v>
      </c>
      <c r="D2242" s="167" t="e">
        <f>VLOOKUP(E14042,'lista obszary'!A:B,2,0)</f>
        <v>#N/A</v>
      </c>
      <c r="E2242" s="128" t="e">
        <f>VLOOKUP(B2242,'LISTA 12'!$A$2:$G$301400,5,0)</f>
        <v>#N/A</v>
      </c>
      <c r="F2242" s="121" t="e">
        <f>VLOOKUP(B2242,'LISTA 12'!$A$2:$G$30100,7,0)</f>
        <v>#N/A</v>
      </c>
      <c r="G2242" s="254" t="e">
        <f>VLOOKUP(H2242,'lista 3'!$A$1:$C$31467,3,0)</f>
        <v>#N/A</v>
      </c>
      <c r="H2242" s="134"/>
      <c r="I2242" s="136"/>
      <c r="J2242" s="135"/>
      <c r="K2242" s="22"/>
    </row>
    <row r="2243" spans="1:11">
      <c r="A2243" s="241" t="e">
        <f>VLOOKUP(B2243,'lista 1'!$A$2:$E$30100,4,0)</f>
        <v>#N/A</v>
      </c>
      <c r="B2243" s="123"/>
      <c r="C2243" s="133" t="e">
        <f>VLOOKUP(B2243,'lista 1'!$A$2:$E$31000,5,0)</f>
        <v>#N/A</v>
      </c>
      <c r="D2243" s="167" t="e">
        <f>VLOOKUP(E14043,'lista obszary'!A:B,2,0)</f>
        <v>#N/A</v>
      </c>
      <c r="E2243" s="128" t="e">
        <f>VLOOKUP(B2243,'LISTA 12'!$A$2:$G$301400,5,0)</f>
        <v>#N/A</v>
      </c>
      <c r="F2243" s="121" t="e">
        <f>VLOOKUP(B2243,'LISTA 12'!$A$2:$G$30100,7,0)</f>
        <v>#N/A</v>
      </c>
      <c r="G2243" s="254" t="e">
        <f>VLOOKUP(H2243,'lista 3'!$A$1:$C$31467,3,0)</f>
        <v>#N/A</v>
      </c>
      <c r="H2243" s="134"/>
      <c r="I2243" s="136"/>
      <c r="J2243" s="135"/>
      <c r="K2243" s="22"/>
    </row>
    <row r="2244" spans="1:11">
      <c r="A2244" s="241" t="e">
        <f>VLOOKUP(B2244,'lista 1'!$A$2:$E$30100,4,0)</f>
        <v>#N/A</v>
      </c>
      <c r="B2244" s="123"/>
      <c r="C2244" s="133" t="e">
        <f>VLOOKUP(B2244,'lista 1'!$A$2:$E$31000,5,0)</f>
        <v>#N/A</v>
      </c>
      <c r="D2244" s="167" t="e">
        <f>VLOOKUP(E14044,'lista obszary'!A:B,2,0)</f>
        <v>#N/A</v>
      </c>
      <c r="E2244" s="128" t="e">
        <f>VLOOKUP(B2244,'LISTA 12'!$A$2:$G$301400,5,0)</f>
        <v>#N/A</v>
      </c>
      <c r="F2244" s="121" t="e">
        <f>VLOOKUP(B2244,'LISTA 12'!$A$2:$G$30100,7,0)</f>
        <v>#N/A</v>
      </c>
      <c r="G2244" s="254" t="e">
        <f>VLOOKUP(H2244,'lista 3'!$A$1:$C$31467,3,0)</f>
        <v>#N/A</v>
      </c>
      <c r="H2244" s="134"/>
      <c r="I2244" s="136"/>
      <c r="J2244" s="135"/>
      <c r="K2244" s="22"/>
    </row>
    <row r="2245" spans="1:11">
      <c r="A2245" s="241" t="e">
        <f>VLOOKUP(B2245,'lista 1'!$A$2:$E$30100,4,0)</f>
        <v>#N/A</v>
      </c>
      <c r="B2245" s="123"/>
      <c r="C2245" s="133" t="e">
        <f>VLOOKUP(B2245,'lista 1'!$A$2:$E$31000,5,0)</f>
        <v>#N/A</v>
      </c>
      <c r="D2245" s="167" t="e">
        <f>VLOOKUP(E14045,'lista obszary'!A:B,2,0)</f>
        <v>#N/A</v>
      </c>
      <c r="E2245" s="128" t="e">
        <f>VLOOKUP(B2245,'LISTA 12'!$A$2:$G$301400,5,0)</f>
        <v>#N/A</v>
      </c>
      <c r="F2245" s="121" t="e">
        <f>VLOOKUP(B2245,'LISTA 12'!$A$2:$G$30100,7,0)</f>
        <v>#N/A</v>
      </c>
      <c r="G2245" s="254" t="e">
        <f>VLOOKUP(H2245,'lista 3'!$A$1:$C$31467,3,0)</f>
        <v>#N/A</v>
      </c>
      <c r="H2245" s="134"/>
      <c r="I2245" s="136"/>
      <c r="J2245" s="135"/>
      <c r="K2245" s="22"/>
    </row>
    <row r="2246" spans="1:11">
      <c r="A2246" s="241" t="e">
        <f>VLOOKUP(B2246,'lista 1'!$A$2:$E$30100,4,0)</f>
        <v>#N/A</v>
      </c>
      <c r="B2246" s="123"/>
      <c r="C2246" s="133" t="e">
        <f>VLOOKUP(B2246,'lista 1'!$A$2:$E$31000,5,0)</f>
        <v>#N/A</v>
      </c>
      <c r="D2246" s="167" t="e">
        <f>VLOOKUP(E14046,'lista obszary'!A:B,2,0)</f>
        <v>#N/A</v>
      </c>
      <c r="E2246" s="128" t="e">
        <f>VLOOKUP(B2246,'LISTA 12'!$A$2:$G$301400,5,0)</f>
        <v>#N/A</v>
      </c>
      <c r="F2246" s="121" t="e">
        <f>VLOOKUP(B2246,'LISTA 12'!$A$2:$G$30100,7,0)</f>
        <v>#N/A</v>
      </c>
      <c r="G2246" s="254" t="e">
        <f>VLOOKUP(H2246,'lista 3'!$A$1:$C$31467,3,0)</f>
        <v>#N/A</v>
      </c>
      <c r="H2246" s="134"/>
      <c r="I2246" s="136"/>
      <c r="J2246" s="135"/>
      <c r="K2246" s="22"/>
    </row>
    <row r="2247" spans="1:11">
      <c r="A2247" s="241" t="e">
        <f>VLOOKUP(B2247,'lista 1'!$A$2:$E$30100,4,0)</f>
        <v>#N/A</v>
      </c>
      <c r="B2247" s="123"/>
      <c r="C2247" s="133" t="e">
        <f>VLOOKUP(B2247,'lista 1'!$A$2:$E$31000,5,0)</f>
        <v>#N/A</v>
      </c>
      <c r="D2247" s="167" t="e">
        <f>VLOOKUP(E14047,'lista obszary'!A:B,2,0)</f>
        <v>#N/A</v>
      </c>
      <c r="E2247" s="128" t="e">
        <f>VLOOKUP(B2247,'LISTA 12'!$A$2:$G$301400,5,0)</f>
        <v>#N/A</v>
      </c>
      <c r="F2247" s="121" t="e">
        <f>VLOOKUP(B2247,'LISTA 12'!$A$2:$G$30100,7,0)</f>
        <v>#N/A</v>
      </c>
      <c r="G2247" s="254" t="e">
        <f>VLOOKUP(H2247,'lista 3'!$A$1:$C$31467,3,0)</f>
        <v>#N/A</v>
      </c>
      <c r="H2247" s="134"/>
      <c r="I2247" s="136"/>
      <c r="J2247" s="135"/>
      <c r="K2247" s="22"/>
    </row>
    <row r="2248" spans="1:11">
      <c r="A2248" s="241" t="e">
        <f>VLOOKUP(B2248,'lista 1'!$A$2:$E$30100,4,0)</f>
        <v>#N/A</v>
      </c>
      <c r="B2248" s="123"/>
      <c r="C2248" s="133" t="e">
        <f>VLOOKUP(B2248,'lista 1'!$A$2:$E$31000,5,0)</f>
        <v>#N/A</v>
      </c>
      <c r="D2248" s="167" t="e">
        <f>VLOOKUP(E14048,'lista obszary'!A:B,2,0)</f>
        <v>#N/A</v>
      </c>
      <c r="E2248" s="128" t="e">
        <f>VLOOKUP(B2248,'LISTA 12'!$A$2:$G$301400,5,0)</f>
        <v>#N/A</v>
      </c>
      <c r="F2248" s="121" t="e">
        <f>VLOOKUP(B2248,'LISTA 12'!$A$2:$G$30100,7,0)</f>
        <v>#N/A</v>
      </c>
      <c r="G2248" s="254" t="e">
        <f>VLOOKUP(H2248,'lista 3'!$A$1:$C$31467,3,0)</f>
        <v>#N/A</v>
      </c>
      <c r="H2248" s="134"/>
      <c r="I2248" s="136"/>
      <c r="J2248" s="135"/>
      <c r="K2248" s="22"/>
    </row>
    <row r="2249" spans="1:11">
      <c r="A2249" s="241" t="e">
        <f>VLOOKUP(B2249,'lista 1'!$A$2:$E$30100,4,0)</f>
        <v>#N/A</v>
      </c>
      <c r="B2249" s="123"/>
      <c r="C2249" s="133" t="e">
        <f>VLOOKUP(B2249,'lista 1'!$A$2:$E$31000,5,0)</f>
        <v>#N/A</v>
      </c>
      <c r="D2249" s="167" t="e">
        <f>VLOOKUP(E14049,'lista obszary'!A:B,2,0)</f>
        <v>#N/A</v>
      </c>
      <c r="E2249" s="128" t="e">
        <f>VLOOKUP(B2249,'LISTA 12'!$A$2:$G$301400,5,0)</f>
        <v>#N/A</v>
      </c>
      <c r="F2249" s="121" t="e">
        <f>VLOOKUP(B2249,'LISTA 12'!$A$2:$G$30100,7,0)</f>
        <v>#N/A</v>
      </c>
      <c r="G2249" s="254" t="e">
        <f>VLOOKUP(H2249,'lista 3'!$A$1:$C$31467,3,0)</f>
        <v>#N/A</v>
      </c>
      <c r="H2249" s="134"/>
      <c r="I2249" s="136"/>
      <c r="J2249" s="135"/>
      <c r="K2249" s="22"/>
    </row>
    <row r="2250" spans="1:11">
      <c r="A2250" s="241" t="e">
        <f>VLOOKUP(B2250,'lista 1'!$A$2:$E$30100,4,0)</f>
        <v>#N/A</v>
      </c>
      <c r="B2250" s="123"/>
      <c r="C2250" s="133" t="e">
        <f>VLOOKUP(B2250,'lista 1'!$A$2:$E$31000,5,0)</f>
        <v>#N/A</v>
      </c>
      <c r="D2250" s="167" t="e">
        <f>VLOOKUP(E14050,'lista obszary'!A:B,2,0)</f>
        <v>#N/A</v>
      </c>
      <c r="E2250" s="128" t="e">
        <f>VLOOKUP(B2250,'LISTA 12'!$A$2:$G$301400,5,0)</f>
        <v>#N/A</v>
      </c>
      <c r="F2250" s="121" t="e">
        <f>VLOOKUP(B2250,'LISTA 12'!$A$2:$G$30100,7,0)</f>
        <v>#N/A</v>
      </c>
      <c r="G2250" s="254" t="e">
        <f>VLOOKUP(H2250,'lista 3'!$A$1:$C$31467,3,0)</f>
        <v>#N/A</v>
      </c>
      <c r="H2250" s="134"/>
      <c r="I2250" s="136"/>
      <c r="J2250" s="135"/>
      <c r="K2250" s="22"/>
    </row>
    <row r="2251" spans="1:11">
      <c r="A2251" s="241" t="e">
        <f>VLOOKUP(B2251,'lista 1'!$A$2:$E$30100,4,0)</f>
        <v>#N/A</v>
      </c>
      <c r="B2251" s="123"/>
      <c r="C2251" s="133" t="e">
        <f>VLOOKUP(B2251,'lista 1'!$A$2:$E$31000,5,0)</f>
        <v>#N/A</v>
      </c>
      <c r="D2251" s="167" t="e">
        <f>VLOOKUP(E14051,'lista obszary'!A:B,2,0)</f>
        <v>#N/A</v>
      </c>
      <c r="E2251" s="128" t="e">
        <f>VLOOKUP(B2251,'LISTA 12'!$A$2:$G$301400,5,0)</f>
        <v>#N/A</v>
      </c>
      <c r="F2251" s="121" t="e">
        <f>VLOOKUP(B2251,'LISTA 12'!$A$2:$G$30100,7,0)</f>
        <v>#N/A</v>
      </c>
      <c r="G2251" s="254" t="e">
        <f>VLOOKUP(H2251,'lista 3'!$A$1:$C$31467,3,0)</f>
        <v>#N/A</v>
      </c>
      <c r="H2251" s="134"/>
      <c r="I2251" s="136"/>
      <c r="J2251" s="135"/>
      <c r="K2251" s="22"/>
    </row>
    <row r="2252" spans="1:11">
      <c r="A2252" s="241" t="e">
        <f>VLOOKUP(B2252,'lista 1'!$A$2:$E$30100,4,0)</f>
        <v>#N/A</v>
      </c>
      <c r="B2252" s="123"/>
      <c r="C2252" s="133" t="e">
        <f>VLOOKUP(B2252,'lista 1'!$A$2:$E$31000,5,0)</f>
        <v>#N/A</v>
      </c>
      <c r="D2252" s="167" t="e">
        <f>VLOOKUP(E14052,'lista obszary'!A:B,2,0)</f>
        <v>#N/A</v>
      </c>
      <c r="E2252" s="128" t="e">
        <f>VLOOKUP(B2252,'LISTA 12'!$A$2:$G$301400,5,0)</f>
        <v>#N/A</v>
      </c>
      <c r="F2252" s="121" t="e">
        <f>VLOOKUP(B2252,'LISTA 12'!$A$2:$G$30100,7,0)</f>
        <v>#N/A</v>
      </c>
      <c r="G2252" s="254" t="e">
        <f>VLOOKUP(H2252,'lista 3'!$A$1:$C$31467,3,0)</f>
        <v>#N/A</v>
      </c>
      <c r="H2252" s="134"/>
      <c r="I2252" s="136"/>
      <c r="J2252" s="135"/>
      <c r="K2252" s="22"/>
    </row>
    <row r="2253" spans="1:11">
      <c r="A2253" s="241" t="e">
        <f>VLOOKUP(B2253,'lista 1'!$A$2:$E$30100,4,0)</f>
        <v>#N/A</v>
      </c>
      <c r="B2253" s="123"/>
      <c r="C2253" s="133" t="e">
        <f>VLOOKUP(B2253,'lista 1'!$A$2:$E$31000,5,0)</f>
        <v>#N/A</v>
      </c>
      <c r="D2253" s="167" t="e">
        <f>VLOOKUP(E14053,'lista obszary'!A:B,2,0)</f>
        <v>#N/A</v>
      </c>
      <c r="E2253" s="128" t="e">
        <f>VLOOKUP(B2253,'LISTA 12'!$A$2:$G$301400,5,0)</f>
        <v>#N/A</v>
      </c>
      <c r="F2253" s="121" t="e">
        <f>VLOOKUP(B2253,'LISTA 12'!$A$2:$G$30100,7,0)</f>
        <v>#N/A</v>
      </c>
      <c r="G2253" s="254" t="e">
        <f>VLOOKUP(H2253,'lista 3'!$A$1:$C$31467,3,0)</f>
        <v>#N/A</v>
      </c>
      <c r="H2253" s="134"/>
      <c r="I2253" s="136"/>
      <c r="J2253" s="135"/>
      <c r="K2253" s="22"/>
    </row>
    <row r="2254" spans="1:11">
      <c r="A2254" s="241" t="e">
        <f>VLOOKUP(B2254,'lista 1'!$A$2:$E$30100,4,0)</f>
        <v>#N/A</v>
      </c>
      <c r="B2254" s="123"/>
      <c r="C2254" s="133" t="e">
        <f>VLOOKUP(B2254,'lista 1'!$A$2:$E$31000,5,0)</f>
        <v>#N/A</v>
      </c>
      <c r="D2254" s="167" t="e">
        <f>VLOOKUP(E14054,'lista obszary'!A:B,2,0)</f>
        <v>#N/A</v>
      </c>
      <c r="E2254" s="128" t="e">
        <f>VLOOKUP(B2254,'LISTA 12'!$A$2:$G$301400,5,0)</f>
        <v>#N/A</v>
      </c>
      <c r="F2254" s="121" t="e">
        <f>VLOOKUP(B2254,'LISTA 12'!$A$2:$G$30100,7,0)</f>
        <v>#N/A</v>
      </c>
      <c r="G2254" s="254" t="e">
        <f>VLOOKUP(H2254,'lista 3'!$A$1:$C$31467,3,0)</f>
        <v>#N/A</v>
      </c>
      <c r="H2254" s="134"/>
      <c r="I2254" s="136"/>
      <c r="J2254" s="135"/>
      <c r="K2254" s="22"/>
    </row>
    <row r="2255" spans="1:11">
      <c r="A2255" s="241" t="e">
        <f>VLOOKUP(B2255,'lista 1'!$A$2:$E$30100,4,0)</f>
        <v>#N/A</v>
      </c>
      <c r="B2255" s="123"/>
      <c r="C2255" s="133" t="e">
        <f>VLOOKUP(B2255,'lista 1'!$A$2:$E$31000,5,0)</f>
        <v>#N/A</v>
      </c>
      <c r="D2255" s="167" t="e">
        <f>VLOOKUP(E14055,'lista obszary'!A:B,2,0)</f>
        <v>#N/A</v>
      </c>
      <c r="E2255" s="128" t="e">
        <f>VLOOKUP(B2255,'LISTA 12'!$A$2:$G$301400,5,0)</f>
        <v>#N/A</v>
      </c>
      <c r="F2255" s="121" t="e">
        <f>VLOOKUP(B2255,'LISTA 12'!$A$2:$G$30100,7,0)</f>
        <v>#N/A</v>
      </c>
      <c r="G2255" s="254" t="e">
        <f>VLOOKUP(H2255,'lista 3'!$A$1:$C$31467,3,0)</f>
        <v>#N/A</v>
      </c>
      <c r="H2255" s="134"/>
      <c r="I2255" s="136"/>
      <c r="J2255" s="135"/>
      <c r="K2255" s="22"/>
    </row>
    <row r="2256" spans="1:11">
      <c r="A2256" s="241" t="e">
        <f>VLOOKUP(B2256,'lista 1'!$A$2:$E$30100,4,0)</f>
        <v>#N/A</v>
      </c>
      <c r="B2256" s="123"/>
      <c r="C2256" s="133" t="e">
        <f>VLOOKUP(B2256,'lista 1'!$A$2:$E$31000,5,0)</f>
        <v>#N/A</v>
      </c>
      <c r="D2256" s="167" t="e">
        <f>VLOOKUP(E14056,'lista obszary'!A:B,2,0)</f>
        <v>#N/A</v>
      </c>
      <c r="E2256" s="128" t="e">
        <f>VLOOKUP(B2256,'LISTA 12'!$A$2:$G$301400,5,0)</f>
        <v>#N/A</v>
      </c>
      <c r="F2256" s="121" t="e">
        <f>VLOOKUP(B2256,'LISTA 12'!$A$2:$G$30100,7,0)</f>
        <v>#N/A</v>
      </c>
      <c r="G2256" s="254" t="e">
        <f>VLOOKUP(H2256,'lista 3'!$A$1:$C$31467,3,0)</f>
        <v>#N/A</v>
      </c>
      <c r="H2256" s="134"/>
      <c r="I2256" s="136"/>
      <c r="J2256" s="135"/>
      <c r="K2256" s="22"/>
    </row>
    <row r="2257" spans="1:11">
      <c r="A2257" s="241" t="e">
        <f>VLOOKUP(B2257,'lista 1'!$A$2:$E$30100,4,0)</f>
        <v>#N/A</v>
      </c>
      <c r="B2257" s="123"/>
      <c r="C2257" s="133" t="e">
        <f>VLOOKUP(B2257,'lista 1'!$A$2:$E$31000,5,0)</f>
        <v>#N/A</v>
      </c>
      <c r="D2257" s="167" t="e">
        <f>VLOOKUP(E14057,'lista obszary'!A:B,2,0)</f>
        <v>#N/A</v>
      </c>
      <c r="E2257" s="128" t="e">
        <f>VLOOKUP(B2257,'LISTA 12'!$A$2:$G$301400,5,0)</f>
        <v>#N/A</v>
      </c>
      <c r="F2257" s="121" t="e">
        <f>VLOOKUP(B2257,'LISTA 12'!$A$2:$G$30100,7,0)</f>
        <v>#N/A</v>
      </c>
      <c r="G2257" s="254" t="e">
        <f>VLOOKUP(H2257,'lista 3'!$A$1:$C$31467,3,0)</f>
        <v>#N/A</v>
      </c>
      <c r="H2257" s="134"/>
      <c r="I2257" s="136"/>
      <c r="J2257" s="135"/>
      <c r="K2257" s="22"/>
    </row>
    <row r="2258" spans="1:11">
      <c r="A2258" s="241" t="e">
        <f>VLOOKUP(B2258,'lista 1'!$A$2:$E$30100,4,0)</f>
        <v>#N/A</v>
      </c>
      <c r="B2258" s="123"/>
      <c r="C2258" s="133" t="e">
        <f>VLOOKUP(B2258,'lista 1'!$A$2:$E$31000,5,0)</f>
        <v>#N/A</v>
      </c>
      <c r="D2258" s="167" t="e">
        <f>VLOOKUP(E14058,'lista obszary'!A:B,2,0)</f>
        <v>#N/A</v>
      </c>
      <c r="E2258" s="128" t="e">
        <f>VLOOKUP(B2258,'LISTA 12'!$A$2:$G$301400,5,0)</f>
        <v>#N/A</v>
      </c>
      <c r="F2258" s="121" t="e">
        <f>VLOOKUP(B2258,'LISTA 12'!$A$2:$G$30100,7,0)</f>
        <v>#N/A</v>
      </c>
      <c r="G2258" s="254" t="e">
        <f>VLOOKUP(H2258,'lista 3'!$A$1:$C$31467,3,0)</f>
        <v>#N/A</v>
      </c>
      <c r="H2258" s="134"/>
      <c r="I2258" s="136"/>
      <c r="J2258" s="135"/>
      <c r="K2258" s="22"/>
    </row>
    <row r="2259" spans="1:11">
      <c r="A2259" s="241" t="e">
        <f>VLOOKUP(B2259,'lista 1'!$A$2:$E$30100,4,0)</f>
        <v>#N/A</v>
      </c>
      <c r="B2259" s="123"/>
      <c r="C2259" s="133" t="e">
        <f>VLOOKUP(B2259,'lista 1'!$A$2:$E$31000,5,0)</f>
        <v>#N/A</v>
      </c>
      <c r="D2259" s="167" t="e">
        <f>VLOOKUP(E14059,'lista obszary'!A:B,2,0)</f>
        <v>#N/A</v>
      </c>
      <c r="E2259" s="128" t="e">
        <f>VLOOKUP(B2259,'LISTA 12'!$A$2:$G$301400,5,0)</f>
        <v>#N/A</v>
      </c>
      <c r="F2259" s="121" t="e">
        <f>VLOOKUP(B2259,'LISTA 12'!$A$2:$G$30100,7,0)</f>
        <v>#N/A</v>
      </c>
      <c r="G2259" s="254" t="e">
        <f>VLOOKUP(H2259,'lista 3'!$A$1:$C$31467,3,0)</f>
        <v>#N/A</v>
      </c>
      <c r="H2259" s="134"/>
      <c r="I2259" s="136"/>
      <c r="J2259" s="135"/>
      <c r="K2259" s="22"/>
    </row>
    <row r="2260" spans="1:11">
      <c r="A2260" s="241" t="e">
        <f>VLOOKUP(B2260,'lista 1'!$A$2:$E$30100,4,0)</f>
        <v>#N/A</v>
      </c>
      <c r="B2260" s="123"/>
      <c r="C2260" s="133" t="e">
        <f>VLOOKUP(B2260,'lista 1'!$A$2:$E$31000,5,0)</f>
        <v>#N/A</v>
      </c>
      <c r="D2260" s="167" t="e">
        <f>VLOOKUP(E14060,'lista obszary'!A:B,2,0)</f>
        <v>#N/A</v>
      </c>
      <c r="E2260" s="128" t="e">
        <f>VLOOKUP(B2260,'LISTA 12'!$A$2:$G$301400,5,0)</f>
        <v>#N/A</v>
      </c>
      <c r="F2260" s="121" t="e">
        <f>VLOOKUP(B2260,'LISTA 12'!$A$2:$G$30100,7,0)</f>
        <v>#N/A</v>
      </c>
      <c r="G2260" s="254" t="e">
        <f>VLOOKUP(H2260,'lista 3'!$A$1:$C$31467,3,0)</f>
        <v>#N/A</v>
      </c>
      <c r="H2260" s="134"/>
      <c r="I2260" s="136"/>
      <c r="J2260" s="135"/>
      <c r="K2260" s="22"/>
    </row>
    <row r="2261" spans="1:11">
      <c r="A2261" s="241" t="e">
        <f>VLOOKUP(B2261,'lista 1'!$A$2:$E$30100,4,0)</f>
        <v>#N/A</v>
      </c>
      <c r="B2261" s="123"/>
      <c r="C2261" s="133" t="e">
        <f>VLOOKUP(B2261,'lista 1'!$A$2:$E$31000,5,0)</f>
        <v>#N/A</v>
      </c>
      <c r="D2261" s="167" t="e">
        <f>VLOOKUP(E14061,'lista obszary'!A:B,2,0)</f>
        <v>#N/A</v>
      </c>
      <c r="E2261" s="128" t="e">
        <f>VLOOKUP(B2261,'LISTA 12'!$A$2:$G$301400,5,0)</f>
        <v>#N/A</v>
      </c>
      <c r="F2261" s="121" t="e">
        <f>VLOOKUP(B2261,'LISTA 12'!$A$2:$G$30100,7,0)</f>
        <v>#N/A</v>
      </c>
      <c r="G2261" s="254" t="e">
        <f>VLOOKUP(H2261,'lista 3'!$A$1:$C$31467,3,0)</f>
        <v>#N/A</v>
      </c>
      <c r="H2261" s="134"/>
      <c r="I2261" s="136"/>
      <c r="J2261" s="135"/>
      <c r="K2261" s="22"/>
    </row>
    <row r="2262" spans="1:11">
      <c r="A2262" s="241" t="e">
        <f>VLOOKUP(B2262,'lista 1'!$A$2:$E$30100,4,0)</f>
        <v>#N/A</v>
      </c>
      <c r="B2262" s="123"/>
      <c r="C2262" s="133" t="e">
        <f>VLOOKUP(B2262,'lista 1'!$A$2:$E$31000,5,0)</f>
        <v>#N/A</v>
      </c>
      <c r="D2262" s="167" t="e">
        <f>VLOOKUP(E14062,'lista obszary'!A:B,2,0)</f>
        <v>#N/A</v>
      </c>
      <c r="E2262" s="128" t="e">
        <f>VLOOKUP(B2262,'LISTA 12'!$A$2:$G$301400,5,0)</f>
        <v>#N/A</v>
      </c>
      <c r="F2262" s="121" t="e">
        <f>VLOOKUP(B2262,'LISTA 12'!$A$2:$G$30100,7,0)</f>
        <v>#N/A</v>
      </c>
      <c r="G2262" s="254" t="e">
        <f>VLOOKUP(H2262,'lista 3'!$A$1:$C$31467,3,0)</f>
        <v>#N/A</v>
      </c>
      <c r="H2262" s="134"/>
      <c r="I2262" s="136"/>
      <c r="J2262" s="135"/>
      <c r="K2262" s="22"/>
    </row>
    <row r="2263" spans="1:11">
      <c r="A2263" s="241" t="e">
        <f>VLOOKUP(B2263,'lista 1'!$A$2:$E$30100,4,0)</f>
        <v>#N/A</v>
      </c>
      <c r="B2263" s="123"/>
      <c r="C2263" s="133" t="e">
        <f>VLOOKUP(B2263,'lista 1'!$A$2:$E$31000,5,0)</f>
        <v>#N/A</v>
      </c>
      <c r="D2263" s="167" t="e">
        <f>VLOOKUP(E14063,'lista obszary'!A:B,2,0)</f>
        <v>#N/A</v>
      </c>
      <c r="E2263" s="128" t="e">
        <f>VLOOKUP(B2263,'LISTA 12'!$A$2:$G$301400,5,0)</f>
        <v>#N/A</v>
      </c>
      <c r="F2263" s="121" t="e">
        <f>VLOOKUP(B2263,'LISTA 12'!$A$2:$G$30100,7,0)</f>
        <v>#N/A</v>
      </c>
      <c r="G2263" s="254" t="e">
        <f>VLOOKUP(H2263,'lista 3'!$A$1:$C$31467,3,0)</f>
        <v>#N/A</v>
      </c>
      <c r="H2263" s="134"/>
      <c r="I2263" s="136"/>
      <c r="J2263" s="135"/>
      <c r="K2263" s="22"/>
    </row>
    <row r="2264" spans="1:11">
      <c r="A2264" s="241" t="e">
        <f>VLOOKUP(B2264,'lista 1'!$A$2:$E$30100,4,0)</f>
        <v>#N/A</v>
      </c>
      <c r="B2264" s="123"/>
      <c r="C2264" s="133" t="e">
        <f>VLOOKUP(B2264,'lista 1'!$A$2:$E$31000,5,0)</f>
        <v>#N/A</v>
      </c>
      <c r="D2264" s="167" t="e">
        <f>VLOOKUP(E14064,'lista obszary'!A:B,2,0)</f>
        <v>#N/A</v>
      </c>
      <c r="E2264" s="128" t="e">
        <f>VLOOKUP(B2264,'LISTA 12'!$A$2:$G$301400,5,0)</f>
        <v>#N/A</v>
      </c>
      <c r="F2264" s="121" t="e">
        <f>VLOOKUP(B2264,'LISTA 12'!$A$2:$G$30100,7,0)</f>
        <v>#N/A</v>
      </c>
      <c r="G2264" s="254" t="e">
        <f>VLOOKUP(H2264,'lista 3'!$A$1:$C$31467,3,0)</f>
        <v>#N/A</v>
      </c>
      <c r="H2264" s="134"/>
      <c r="I2264" s="136"/>
      <c r="J2264" s="135"/>
      <c r="K2264" s="22"/>
    </row>
    <row r="2265" spans="1:11">
      <c r="A2265" s="241" t="e">
        <f>VLOOKUP(B2265,'lista 1'!$A$2:$E$30100,4,0)</f>
        <v>#N/A</v>
      </c>
      <c r="B2265" s="123"/>
      <c r="C2265" s="133" t="e">
        <f>VLOOKUP(B2265,'lista 1'!$A$2:$E$31000,5,0)</f>
        <v>#N/A</v>
      </c>
      <c r="D2265" s="167" t="e">
        <f>VLOOKUP(E14065,'lista obszary'!A:B,2,0)</f>
        <v>#N/A</v>
      </c>
      <c r="E2265" s="128" t="e">
        <f>VLOOKUP(B2265,'LISTA 12'!$A$2:$G$301400,5,0)</f>
        <v>#N/A</v>
      </c>
      <c r="F2265" s="121" t="e">
        <f>VLOOKUP(B2265,'LISTA 12'!$A$2:$G$30100,7,0)</f>
        <v>#N/A</v>
      </c>
      <c r="G2265" s="254" t="e">
        <f>VLOOKUP(H2265,'lista 3'!$A$1:$C$31467,3,0)</f>
        <v>#N/A</v>
      </c>
      <c r="H2265" s="134"/>
      <c r="I2265" s="136"/>
      <c r="J2265" s="135"/>
      <c r="K2265" s="22"/>
    </row>
    <row r="2266" spans="1:11">
      <c r="A2266" s="241" t="e">
        <f>VLOOKUP(B2266,'lista 1'!$A$2:$E$30100,4,0)</f>
        <v>#N/A</v>
      </c>
      <c r="B2266" s="123"/>
      <c r="C2266" s="133" t="e">
        <f>VLOOKUP(B2266,'lista 1'!$A$2:$E$31000,5,0)</f>
        <v>#N/A</v>
      </c>
      <c r="D2266" s="167" t="e">
        <f>VLOOKUP(E14066,'lista obszary'!A:B,2,0)</f>
        <v>#N/A</v>
      </c>
      <c r="E2266" s="128" t="e">
        <f>VLOOKUP(B2266,'LISTA 12'!$A$2:$G$301400,5,0)</f>
        <v>#N/A</v>
      </c>
      <c r="F2266" s="121" t="e">
        <f>VLOOKUP(B2266,'LISTA 12'!$A$2:$G$30100,7,0)</f>
        <v>#N/A</v>
      </c>
      <c r="G2266" s="254" t="e">
        <f>VLOOKUP(H2266,'lista 3'!$A$1:$C$31467,3,0)</f>
        <v>#N/A</v>
      </c>
      <c r="H2266" s="134"/>
      <c r="I2266" s="136"/>
      <c r="J2266" s="135"/>
      <c r="K2266" s="22"/>
    </row>
    <row r="2267" spans="1:11">
      <c r="A2267" s="241" t="e">
        <f>VLOOKUP(B2267,'lista 1'!$A$2:$E$30100,4,0)</f>
        <v>#N/A</v>
      </c>
      <c r="B2267" s="123"/>
      <c r="C2267" s="133" t="e">
        <f>VLOOKUP(B2267,'lista 1'!$A$2:$E$31000,5,0)</f>
        <v>#N/A</v>
      </c>
      <c r="D2267" s="167" t="e">
        <f>VLOOKUP(E14067,'lista obszary'!A:B,2,0)</f>
        <v>#N/A</v>
      </c>
      <c r="E2267" s="128" t="e">
        <f>VLOOKUP(B2267,'LISTA 12'!$A$2:$G$301400,5,0)</f>
        <v>#N/A</v>
      </c>
      <c r="F2267" s="121" t="e">
        <f>VLOOKUP(B2267,'LISTA 12'!$A$2:$G$30100,7,0)</f>
        <v>#N/A</v>
      </c>
      <c r="G2267" s="254" t="e">
        <f>VLOOKUP(H2267,'lista 3'!$A$1:$C$31467,3,0)</f>
        <v>#N/A</v>
      </c>
      <c r="H2267" s="134"/>
      <c r="I2267" s="136"/>
      <c r="J2267" s="135"/>
      <c r="K2267" s="22"/>
    </row>
    <row r="2268" spans="1:11">
      <c r="A2268" s="241" t="e">
        <f>VLOOKUP(B2268,'lista 1'!$A$2:$E$30100,4,0)</f>
        <v>#N/A</v>
      </c>
      <c r="B2268" s="123"/>
      <c r="C2268" s="133" t="e">
        <f>VLOOKUP(B2268,'lista 1'!$A$2:$E$31000,5,0)</f>
        <v>#N/A</v>
      </c>
      <c r="D2268" s="167" t="e">
        <f>VLOOKUP(E14068,'lista obszary'!A:B,2,0)</f>
        <v>#N/A</v>
      </c>
      <c r="E2268" s="128" t="e">
        <f>VLOOKUP(B2268,'LISTA 12'!$A$2:$G$301400,5,0)</f>
        <v>#N/A</v>
      </c>
      <c r="F2268" s="121" t="e">
        <f>VLOOKUP(B2268,'LISTA 12'!$A$2:$G$30100,7,0)</f>
        <v>#N/A</v>
      </c>
      <c r="G2268" s="254" t="e">
        <f>VLOOKUP(H2268,'lista 3'!$A$1:$C$31467,3,0)</f>
        <v>#N/A</v>
      </c>
      <c r="H2268" s="134"/>
      <c r="I2268" s="136"/>
      <c r="J2268" s="135"/>
      <c r="K2268" s="22"/>
    </row>
    <row r="2269" spans="1:11">
      <c r="A2269" s="241" t="e">
        <f>VLOOKUP(B2269,'lista 1'!$A$2:$E$30100,4,0)</f>
        <v>#N/A</v>
      </c>
      <c r="B2269" s="123"/>
      <c r="C2269" s="133" t="e">
        <f>VLOOKUP(B2269,'lista 1'!$A$2:$E$31000,5,0)</f>
        <v>#N/A</v>
      </c>
      <c r="D2269" s="167" t="e">
        <f>VLOOKUP(E14069,'lista obszary'!A:B,2,0)</f>
        <v>#N/A</v>
      </c>
      <c r="E2269" s="128" t="e">
        <f>VLOOKUP(B2269,'LISTA 12'!$A$2:$G$301400,5,0)</f>
        <v>#N/A</v>
      </c>
      <c r="F2269" s="121" t="e">
        <f>VLOOKUP(B2269,'LISTA 12'!$A$2:$G$30100,7,0)</f>
        <v>#N/A</v>
      </c>
      <c r="G2269" s="254" t="e">
        <f>VLOOKUP(H2269,'lista 3'!$A$1:$C$31467,3,0)</f>
        <v>#N/A</v>
      </c>
      <c r="H2269" s="134"/>
      <c r="I2269" s="136"/>
      <c r="J2269" s="135"/>
      <c r="K2269" s="22"/>
    </row>
    <row r="2270" spans="1:11">
      <c r="A2270" s="241" t="e">
        <f>VLOOKUP(B2270,'lista 1'!$A$2:$E$30100,4,0)</f>
        <v>#N/A</v>
      </c>
      <c r="B2270" s="123"/>
      <c r="C2270" s="133" t="e">
        <f>VLOOKUP(B2270,'lista 1'!$A$2:$E$31000,5,0)</f>
        <v>#N/A</v>
      </c>
      <c r="D2270" s="167" t="e">
        <f>VLOOKUP(E14070,'lista obszary'!A:B,2,0)</f>
        <v>#N/A</v>
      </c>
      <c r="E2270" s="128" t="e">
        <f>VLOOKUP(B2270,'LISTA 12'!$A$2:$G$301400,5,0)</f>
        <v>#N/A</v>
      </c>
      <c r="F2270" s="121" t="e">
        <f>VLOOKUP(B2270,'LISTA 12'!$A$2:$G$30100,7,0)</f>
        <v>#N/A</v>
      </c>
      <c r="G2270" s="254" t="e">
        <f>VLOOKUP(H2270,'lista 3'!$A$1:$C$31467,3,0)</f>
        <v>#N/A</v>
      </c>
      <c r="H2270" s="134"/>
      <c r="I2270" s="136"/>
      <c r="J2270" s="135"/>
      <c r="K2270" s="22"/>
    </row>
    <row r="2271" spans="1:11">
      <c r="A2271" s="241" t="e">
        <f>VLOOKUP(B2271,'lista 1'!$A$2:$E$30100,4,0)</f>
        <v>#N/A</v>
      </c>
      <c r="B2271" s="123"/>
      <c r="C2271" s="133" t="e">
        <f>VLOOKUP(B2271,'lista 1'!$A$2:$E$31000,5,0)</f>
        <v>#N/A</v>
      </c>
      <c r="D2271" s="167" t="e">
        <f>VLOOKUP(E14071,'lista obszary'!A:B,2,0)</f>
        <v>#N/A</v>
      </c>
      <c r="E2271" s="128" t="e">
        <f>VLOOKUP(B2271,'LISTA 12'!$A$2:$G$301400,5,0)</f>
        <v>#N/A</v>
      </c>
      <c r="F2271" s="121" t="e">
        <f>VLOOKUP(B2271,'LISTA 12'!$A$2:$G$30100,7,0)</f>
        <v>#N/A</v>
      </c>
      <c r="G2271" s="254" t="e">
        <f>VLOOKUP(H2271,'lista 3'!$A$1:$C$31467,3,0)</f>
        <v>#N/A</v>
      </c>
      <c r="H2271" s="134"/>
      <c r="I2271" s="136"/>
      <c r="J2271" s="135"/>
      <c r="K2271" s="22"/>
    </row>
    <row r="2272" spans="1:11">
      <c r="A2272" s="241" t="e">
        <f>VLOOKUP(B2272,'lista 1'!$A$2:$E$30100,4,0)</f>
        <v>#N/A</v>
      </c>
      <c r="B2272" s="123"/>
      <c r="C2272" s="133" t="e">
        <f>VLOOKUP(B2272,'lista 1'!$A$2:$E$31000,5,0)</f>
        <v>#N/A</v>
      </c>
      <c r="D2272" s="167" t="e">
        <f>VLOOKUP(E14072,'lista obszary'!A:B,2,0)</f>
        <v>#N/A</v>
      </c>
      <c r="E2272" s="128" t="e">
        <f>VLOOKUP(B2272,'LISTA 12'!$A$2:$G$301400,5,0)</f>
        <v>#N/A</v>
      </c>
      <c r="F2272" s="121" t="e">
        <f>VLOOKUP(B2272,'LISTA 12'!$A$2:$G$30100,7,0)</f>
        <v>#N/A</v>
      </c>
      <c r="G2272" s="254" t="e">
        <f>VLOOKUP(H2272,'lista 3'!$A$1:$C$31467,3,0)</f>
        <v>#N/A</v>
      </c>
      <c r="H2272" s="134"/>
      <c r="I2272" s="136"/>
      <c r="J2272" s="135"/>
      <c r="K2272" s="22"/>
    </row>
    <row r="2273" spans="1:11">
      <c r="A2273" s="241" t="e">
        <f>VLOOKUP(B2273,'lista 1'!$A$2:$E$30100,4,0)</f>
        <v>#N/A</v>
      </c>
      <c r="B2273" s="123"/>
      <c r="C2273" s="133" t="e">
        <f>VLOOKUP(B2273,'lista 1'!$A$2:$E$31000,5,0)</f>
        <v>#N/A</v>
      </c>
      <c r="D2273" s="167" t="e">
        <f>VLOOKUP(E14073,'lista obszary'!A:B,2,0)</f>
        <v>#N/A</v>
      </c>
      <c r="E2273" s="128" t="e">
        <f>VLOOKUP(B2273,'LISTA 12'!$A$2:$G$301400,5,0)</f>
        <v>#N/A</v>
      </c>
      <c r="F2273" s="121" t="e">
        <f>VLOOKUP(B2273,'LISTA 12'!$A$2:$G$30100,7,0)</f>
        <v>#N/A</v>
      </c>
      <c r="G2273" s="254" t="e">
        <f>VLOOKUP(H2273,'lista 3'!$A$1:$C$31467,3,0)</f>
        <v>#N/A</v>
      </c>
      <c r="H2273" s="134"/>
      <c r="I2273" s="136"/>
      <c r="J2273" s="135"/>
      <c r="K2273" s="22"/>
    </row>
    <row r="2274" spans="1:11">
      <c r="A2274" s="241" t="e">
        <f>VLOOKUP(B2274,'lista 1'!$A$2:$E$30100,4,0)</f>
        <v>#N/A</v>
      </c>
      <c r="B2274" s="123"/>
      <c r="C2274" s="133" t="e">
        <f>VLOOKUP(B2274,'lista 1'!$A$2:$E$31000,5,0)</f>
        <v>#N/A</v>
      </c>
      <c r="D2274" s="167" t="e">
        <f>VLOOKUP(E14074,'lista obszary'!A:B,2,0)</f>
        <v>#N/A</v>
      </c>
      <c r="E2274" s="128" t="e">
        <f>VLOOKUP(B2274,'LISTA 12'!$A$2:$G$301400,5,0)</f>
        <v>#N/A</v>
      </c>
      <c r="F2274" s="121" t="e">
        <f>VLOOKUP(B2274,'LISTA 12'!$A$2:$G$30100,7,0)</f>
        <v>#N/A</v>
      </c>
      <c r="G2274" s="254" t="e">
        <f>VLOOKUP(H2274,'lista 3'!$A$1:$C$31467,3,0)</f>
        <v>#N/A</v>
      </c>
      <c r="H2274" s="134"/>
      <c r="I2274" s="136"/>
      <c r="J2274" s="135"/>
      <c r="K2274" s="22"/>
    </row>
    <row r="2275" spans="1:11">
      <c r="A2275" s="241" t="e">
        <f>VLOOKUP(B2275,'lista 1'!$A$2:$E$30100,4,0)</f>
        <v>#N/A</v>
      </c>
      <c r="B2275" s="123"/>
      <c r="C2275" s="133" t="e">
        <f>VLOOKUP(B2275,'lista 1'!$A$2:$E$31000,5,0)</f>
        <v>#N/A</v>
      </c>
      <c r="D2275" s="167" t="e">
        <f>VLOOKUP(E14075,'lista obszary'!A:B,2,0)</f>
        <v>#N/A</v>
      </c>
      <c r="E2275" s="128" t="e">
        <f>VLOOKUP(B2275,'LISTA 12'!$A$2:$G$301400,5,0)</f>
        <v>#N/A</v>
      </c>
      <c r="F2275" s="121" t="e">
        <f>VLOOKUP(B2275,'LISTA 12'!$A$2:$G$30100,7,0)</f>
        <v>#N/A</v>
      </c>
      <c r="G2275" s="254" t="e">
        <f>VLOOKUP(H2275,'lista 3'!$A$1:$C$31467,3,0)</f>
        <v>#N/A</v>
      </c>
      <c r="H2275" s="134"/>
      <c r="I2275" s="136"/>
      <c r="J2275" s="135"/>
      <c r="K2275" s="22"/>
    </row>
    <row r="2276" spans="1:11">
      <c r="A2276" s="241" t="e">
        <f>VLOOKUP(B2276,'lista 1'!$A$2:$E$30100,4,0)</f>
        <v>#N/A</v>
      </c>
      <c r="B2276" s="123"/>
      <c r="C2276" s="133" t="e">
        <f>VLOOKUP(B2276,'lista 1'!$A$2:$E$31000,5,0)</f>
        <v>#N/A</v>
      </c>
      <c r="D2276" s="167" t="e">
        <f>VLOOKUP(E14076,'lista obszary'!A:B,2,0)</f>
        <v>#N/A</v>
      </c>
      <c r="E2276" s="128" t="e">
        <f>VLOOKUP(B2276,'LISTA 12'!$A$2:$G$301400,5,0)</f>
        <v>#N/A</v>
      </c>
      <c r="F2276" s="121" t="e">
        <f>VLOOKUP(B2276,'LISTA 12'!$A$2:$G$30100,7,0)</f>
        <v>#N/A</v>
      </c>
      <c r="G2276" s="254" t="e">
        <f>VLOOKUP(H2276,'lista 3'!$A$1:$C$31467,3,0)</f>
        <v>#N/A</v>
      </c>
      <c r="H2276" s="134"/>
      <c r="I2276" s="136"/>
      <c r="J2276" s="135"/>
      <c r="K2276" s="22"/>
    </row>
    <row r="2277" spans="1:11">
      <c r="A2277" s="241" t="e">
        <f>VLOOKUP(B2277,'lista 1'!$A$2:$E$30100,4,0)</f>
        <v>#N/A</v>
      </c>
      <c r="B2277" s="123"/>
      <c r="C2277" s="133" t="e">
        <f>VLOOKUP(B2277,'lista 1'!$A$2:$E$31000,5,0)</f>
        <v>#N/A</v>
      </c>
      <c r="D2277" s="167" t="e">
        <f>VLOOKUP(E14077,'lista obszary'!A:B,2,0)</f>
        <v>#N/A</v>
      </c>
      <c r="E2277" s="128" t="e">
        <f>VLOOKUP(B2277,'LISTA 12'!$A$2:$G$301400,5,0)</f>
        <v>#N/A</v>
      </c>
      <c r="F2277" s="121" t="e">
        <f>VLOOKUP(B2277,'LISTA 12'!$A$2:$G$30100,7,0)</f>
        <v>#N/A</v>
      </c>
      <c r="G2277" s="254" t="e">
        <f>VLOOKUP(H2277,'lista 3'!$A$1:$C$31467,3,0)</f>
        <v>#N/A</v>
      </c>
      <c r="H2277" s="134"/>
      <c r="I2277" s="136"/>
      <c r="J2277" s="135"/>
      <c r="K2277" s="22"/>
    </row>
    <row r="2278" spans="1:11">
      <c r="A2278" s="241" t="e">
        <f>VLOOKUP(B2278,'lista 1'!$A$2:$E$30100,4,0)</f>
        <v>#N/A</v>
      </c>
      <c r="B2278" s="123"/>
      <c r="C2278" s="133" t="e">
        <f>VLOOKUP(B2278,'lista 1'!$A$2:$E$31000,5,0)</f>
        <v>#N/A</v>
      </c>
      <c r="D2278" s="167" t="e">
        <f>VLOOKUP(E14078,'lista obszary'!A:B,2,0)</f>
        <v>#N/A</v>
      </c>
      <c r="E2278" s="128" t="e">
        <f>VLOOKUP(B2278,'LISTA 12'!$A$2:$G$301400,5,0)</f>
        <v>#N/A</v>
      </c>
      <c r="F2278" s="121" t="e">
        <f>VLOOKUP(B2278,'LISTA 12'!$A$2:$G$30100,7,0)</f>
        <v>#N/A</v>
      </c>
      <c r="G2278" s="254" t="e">
        <f>VLOOKUP(H2278,'lista 3'!$A$1:$C$31467,3,0)</f>
        <v>#N/A</v>
      </c>
      <c r="H2278" s="134"/>
      <c r="I2278" s="136"/>
      <c r="J2278" s="135"/>
      <c r="K2278" s="22"/>
    </row>
    <row r="2279" spans="1:11">
      <c r="A2279" s="241" t="e">
        <f>VLOOKUP(B2279,'lista 1'!$A$2:$E$30100,4,0)</f>
        <v>#N/A</v>
      </c>
      <c r="B2279" s="123"/>
      <c r="C2279" s="133" t="e">
        <f>VLOOKUP(B2279,'lista 1'!$A$2:$E$31000,5,0)</f>
        <v>#N/A</v>
      </c>
      <c r="D2279" s="167" t="e">
        <f>VLOOKUP(E14079,'lista obszary'!A:B,2,0)</f>
        <v>#N/A</v>
      </c>
      <c r="E2279" s="128" t="e">
        <f>VLOOKUP(B2279,'LISTA 12'!$A$2:$G$301400,5,0)</f>
        <v>#N/A</v>
      </c>
      <c r="F2279" s="121" t="e">
        <f>VLOOKUP(B2279,'LISTA 12'!$A$2:$G$30100,7,0)</f>
        <v>#N/A</v>
      </c>
      <c r="G2279" s="254" t="e">
        <f>VLOOKUP(H2279,'lista 3'!$A$1:$C$31467,3,0)</f>
        <v>#N/A</v>
      </c>
      <c r="H2279" s="134"/>
      <c r="I2279" s="136"/>
      <c r="J2279" s="135"/>
      <c r="K2279" s="22"/>
    </row>
    <row r="2280" spans="1:11">
      <c r="A2280" s="241" t="e">
        <f>VLOOKUP(B2280,'lista 1'!$A$2:$E$30100,4,0)</f>
        <v>#N/A</v>
      </c>
      <c r="B2280" s="123"/>
      <c r="C2280" s="133" t="e">
        <f>VLOOKUP(B2280,'lista 1'!$A$2:$E$31000,5,0)</f>
        <v>#N/A</v>
      </c>
      <c r="D2280" s="167" t="e">
        <f>VLOOKUP(E14080,'lista obszary'!A:B,2,0)</f>
        <v>#N/A</v>
      </c>
      <c r="E2280" s="128" t="e">
        <f>VLOOKUP(B2280,'LISTA 12'!$A$2:$G$301400,5,0)</f>
        <v>#N/A</v>
      </c>
      <c r="F2280" s="121" t="e">
        <f>VLOOKUP(B2280,'LISTA 12'!$A$2:$G$30100,7,0)</f>
        <v>#N/A</v>
      </c>
      <c r="G2280" s="254" t="e">
        <f>VLOOKUP(H2280,'lista 3'!$A$1:$C$31467,3,0)</f>
        <v>#N/A</v>
      </c>
      <c r="H2280" s="134"/>
      <c r="I2280" s="136"/>
      <c r="J2280" s="135"/>
      <c r="K2280" s="22"/>
    </row>
    <row r="2281" spans="1:11">
      <c r="A2281" s="241" t="e">
        <f>VLOOKUP(B2281,'lista 1'!$A$2:$E$30100,4,0)</f>
        <v>#N/A</v>
      </c>
      <c r="B2281" s="123"/>
      <c r="C2281" s="133" t="e">
        <f>VLOOKUP(B2281,'lista 1'!$A$2:$E$31000,5,0)</f>
        <v>#N/A</v>
      </c>
      <c r="D2281" s="167" t="e">
        <f>VLOOKUP(E14081,'lista obszary'!A:B,2,0)</f>
        <v>#N/A</v>
      </c>
      <c r="E2281" s="128" t="e">
        <f>VLOOKUP(B2281,'LISTA 12'!$A$2:$G$301400,5,0)</f>
        <v>#N/A</v>
      </c>
      <c r="F2281" s="121" t="e">
        <f>VLOOKUP(B2281,'LISTA 12'!$A$2:$G$30100,7,0)</f>
        <v>#N/A</v>
      </c>
      <c r="G2281" s="254" t="e">
        <f>VLOOKUP(H2281,'lista 3'!$A$1:$C$31467,3,0)</f>
        <v>#N/A</v>
      </c>
      <c r="H2281" s="134"/>
      <c r="I2281" s="136"/>
      <c r="J2281" s="135"/>
      <c r="K2281" s="22"/>
    </row>
    <row r="2282" spans="1:11">
      <c r="A2282" s="241" t="e">
        <f>VLOOKUP(B2282,'lista 1'!$A$2:$E$30100,4,0)</f>
        <v>#N/A</v>
      </c>
      <c r="B2282" s="123"/>
      <c r="C2282" s="133" t="e">
        <f>VLOOKUP(B2282,'lista 1'!$A$2:$E$31000,5,0)</f>
        <v>#N/A</v>
      </c>
      <c r="D2282" s="167" t="e">
        <f>VLOOKUP(E14082,'lista obszary'!A:B,2,0)</f>
        <v>#N/A</v>
      </c>
      <c r="E2282" s="128" t="e">
        <f>VLOOKUP(B2282,'LISTA 12'!$A$2:$G$301400,5,0)</f>
        <v>#N/A</v>
      </c>
      <c r="F2282" s="121" t="e">
        <f>VLOOKUP(B2282,'LISTA 12'!$A$2:$G$30100,7,0)</f>
        <v>#N/A</v>
      </c>
      <c r="G2282" s="254" t="e">
        <f>VLOOKUP(H2282,'lista 3'!$A$1:$C$31467,3,0)</f>
        <v>#N/A</v>
      </c>
      <c r="H2282" s="134"/>
      <c r="I2282" s="136"/>
      <c r="J2282" s="135"/>
      <c r="K2282" s="22"/>
    </row>
    <row r="2283" spans="1:11">
      <c r="A2283" s="241" t="e">
        <f>VLOOKUP(B2283,'lista 1'!$A$2:$E$30100,4,0)</f>
        <v>#N/A</v>
      </c>
      <c r="B2283" s="123"/>
      <c r="C2283" s="133" t="e">
        <f>VLOOKUP(B2283,'lista 1'!$A$2:$E$31000,5,0)</f>
        <v>#N/A</v>
      </c>
      <c r="D2283" s="167" t="e">
        <f>VLOOKUP(E14083,'lista obszary'!A:B,2,0)</f>
        <v>#N/A</v>
      </c>
      <c r="E2283" s="128" t="e">
        <f>VLOOKUP(B2283,'LISTA 12'!$A$2:$G$301400,5,0)</f>
        <v>#N/A</v>
      </c>
      <c r="F2283" s="121" t="e">
        <f>VLOOKUP(B2283,'LISTA 12'!$A$2:$G$30100,7,0)</f>
        <v>#N/A</v>
      </c>
      <c r="G2283" s="254" t="e">
        <f>VLOOKUP(H2283,'lista 3'!$A$1:$C$31467,3,0)</f>
        <v>#N/A</v>
      </c>
      <c r="H2283" s="134"/>
      <c r="I2283" s="136"/>
      <c r="J2283" s="135"/>
      <c r="K2283" s="22"/>
    </row>
    <row r="2284" spans="1:11">
      <c r="A2284" s="241" t="e">
        <f>VLOOKUP(B2284,'lista 1'!$A$2:$E$30100,4,0)</f>
        <v>#N/A</v>
      </c>
      <c r="B2284" s="123"/>
      <c r="C2284" s="133" t="e">
        <f>VLOOKUP(B2284,'lista 1'!$A$2:$E$31000,5,0)</f>
        <v>#N/A</v>
      </c>
      <c r="D2284" s="167" t="e">
        <f>VLOOKUP(E14084,'lista obszary'!A:B,2,0)</f>
        <v>#N/A</v>
      </c>
      <c r="E2284" s="128" t="e">
        <f>VLOOKUP(B2284,'LISTA 12'!$A$2:$G$301400,5,0)</f>
        <v>#N/A</v>
      </c>
      <c r="F2284" s="121" t="e">
        <f>VLOOKUP(B2284,'LISTA 12'!$A$2:$G$30100,7,0)</f>
        <v>#N/A</v>
      </c>
      <c r="G2284" s="254" t="e">
        <f>VLOOKUP(H2284,'lista 3'!$A$1:$C$31467,3,0)</f>
        <v>#N/A</v>
      </c>
      <c r="H2284" s="134"/>
      <c r="I2284" s="136"/>
      <c r="J2284" s="135"/>
      <c r="K2284" s="22"/>
    </row>
    <row r="2285" spans="1:11">
      <c r="A2285" s="241" t="e">
        <f>VLOOKUP(B2285,'lista 1'!$A$2:$E$30100,4,0)</f>
        <v>#N/A</v>
      </c>
      <c r="B2285" s="123"/>
      <c r="C2285" s="133" t="e">
        <f>VLOOKUP(B2285,'lista 1'!$A$2:$E$31000,5,0)</f>
        <v>#N/A</v>
      </c>
      <c r="D2285" s="167" t="e">
        <f>VLOOKUP(E14085,'lista obszary'!A:B,2,0)</f>
        <v>#N/A</v>
      </c>
      <c r="E2285" s="128" t="e">
        <f>VLOOKUP(B2285,'LISTA 12'!$A$2:$G$301400,5,0)</f>
        <v>#N/A</v>
      </c>
      <c r="F2285" s="121" t="e">
        <f>VLOOKUP(B2285,'LISTA 12'!$A$2:$G$30100,7,0)</f>
        <v>#N/A</v>
      </c>
      <c r="G2285" s="254" t="e">
        <f>VLOOKUP(H2285,'lista 3'!$A$1:$C$31467,3,0)</f>
        <v>#N/A</v>
      </c>
      <c r="H2285" s="134"/>
      <c r="I2285" s="136"/>
      <c r="J2285" s="135"/>
      <c r="K2285" s="22"/>
    </row>
    <row r="2286" spans="1:11">
      <c r="A2286" s="241" t="e">
        <f>VLOOKUP(B2286,'lista 1'!$A$2:$E$30100,4,0)</f>
        <v>#N/A</v>
      </c>
      <c r="B2286" s="123"/>
      <c r="C2286" s="133" t="e">
        <f>VLOOKUP(B2286,'lista 1'!$A$2:$E$31000,5,0)</f>
        <v>#N/A</v>
      </c>
      <c r="D2286" s="167" t="e">
        <f>VLOOKUP(E14086,'lista obszary'!A:B,2,0)</f>
        <v>#N/A</v>
      </c>
      <c r="E2286" s="128" t="e">
        <f>VLOOKUP(B2286,'LISTA 12'!$A$2:$G$301400,5,0)</f>
        <v>#N/A</v>
      </c>
      <c r="F2286" s="121" t="e">
        <f>VLOOKUP(B2286,'LISTA 12'!$A$2:$G$30100,7,0)</f>
        <v>#N/A</v>
      </c>
      <c r="G2286" s="254" t="e">
        <f>VLOOKUP(H2286,'lista 3'!$A$1:$C$31467,3,0)</f>
        <v>#N/A</v>
      </c>
      <c r="H2286" s="134"/>
      <c r="I2286" s="136"/>
      <c r="J2286" s="135"/>
      <c r="K2286" s="22"/>
    </row>
    <row r="2287" spans="1:11">
      <c r="A2287" s="241" t="e">
        <f>VLOOKUP(B2287,'lista 1'!$A$2:$E$30100,4,0)</f>
        <v>#N/A</v>
      </c>
      <c r="B2287" s="123"/>
      <c r="C2287" s="133" t="e">
        <f>VLOOKUP(B2287,'lista 1'!$A$2:$E$31000,5,0)</f>
        <v>#N/A</v>
      </c>
      <c r="D2287" s="167" t="e">
        <f>VLOOKUP(E14087,'lista obszary'!A:B,2,0)</f>
        <v>#N/A</v>
      </c>
      <c r="E2287" s="128" t="e">
        <f>VLOOKUP(B2287,'LISTA 12'!$A$2:$G$301400,5,0)</f>
        <v>#N/A</v>
      </c>
      <c r="F2287" s="121" t="e">
        <f>VLOOKUP(B2287,'LISTA 12'!$A$2:$G$30100,7,0)</f>
        <v>#N/A</v>
      </c>
      <c r="G2287" s="254" t="e">
        <f>VLOOKUP(H2287,'lista 3'!$A$1:$C$31467,3,0)</f>
        <v>#N/A</v>
      </c>
      <c r="H2287" s="134"/>
      <c r="I2287" s="136"/>
      <c r="J2287" s="135"/>
      <c r="K2287" s="22"/>
    </row>
    <row r="2288" spans="1:11">
      <c r="A2288" s="241" t="e">
        <f>VLOOKUP(B2288,'lista 1'!$A$2:$E$30100,4,0)</f>
        <v>#N/A</v>
      </c>
      <c r="B2288" s="123"/>
      <c r="C2288" s="133" t="e">
        <f>VLOOKUP(B2288,'lista 1'!$A$2:$E$31000,5,0)</f>
        <v>#N/A</v>
      </c>
      <c r="D2288" s="167" t="e">
        <f>VLOOKUP(E14088,'lista obszary'!A:B,2,0)</f>
        <v>#N/A</v>
      </c>
      <c r="E2288" s="128" t="e">
        <f>VLOOKUP(B2288,'LISTA 12'!$A$2:$G$301400,5,0)</f>
        <v>#N/A</v>
      </c>
      <c r="F2288" s="121" t="e">
        <f>VLOOKUP(B2288,'LISTA 12'!$A$2:$G$30100,7,0)</f>
        <v>#N/A</v>
      </c>
      <c r="G2288" s="254" t="e">
        <f>VLOOKUP(H2288,'lista 3'!$A$1:$C$31467,3,0)</f>
        <v>#N/A</v>
      </c>
      <c r="H2288" s="134"/>
      <c r="I2288" s="136"/>
      <c r="J2288" s="135"/>
      <c r="K2288" s="22"/>
    </row>
    <row r="2289" spans="1:11">
      <c r="A2289" s="241" t="e">
        <f>VLOOKUP(B2289,'lista 1'!$A$2:$E$30100,4,0)</f>
        <v>#N/A</v>
      </c>
      <c r="B2289" s="123"/>
      <c r="C2289" s="133" t="e">
        <f>VLOOKUP(B2289,'lista 1'!$A$2:$E$31000,5,0)</f>
        <v>#N/A</v>
      </c>
      <c r="D2289" s="167" t="e">
        <f>VLOOKUP(E14089,'lista obszary'!A:B,2,0)</f>
        <v>#N/A</v>
      </c>
      <c r="E2289" s="128" t="e">
        <f>VLOOKUP(B2289,'LISTA 12'!$A$2:$G$301400,5,0)</f>
        <v>#N/A</v>
      </c>
      <c r="F2289" s="121" t="e">
        <f>VLOOKUP(B2289,'LISTA 12'!$A$2:$G$30100,7,0)</f>
        <v>#N/A</v>
      </c>
      <c r="G2289" s="254" t="e">
        <f>VLOOKUP(H2289,'lista 3'!$A$1:$C$31467,3,0)</f>
        <v>#N/A</v>
      </c>
      <c r="H2289" s="134"/>
      <c r="I2289" s="136"/>
      <c r="J2289" s="135"/>
      <c r="K2289" s="22"/>
    </row>
    <row r="2290" spans="1:11">
      <c r="A2290" s="241" t="e">
        <f>VLOOKUP(B2290,'lista 1'!$A$2:$E$30100,4,0)</f>
        <v>#N/A</v>
      </c>
      <c r="B2290" s="123"/>
      <c r="C2290" s="133" t="e">
        <f>VLOOKUP(B2290,'lista 1'!$A$2:$E$31000,5,0)</f>
        <v>#N/A</v>
      </c>
      <c r="D2290" s="167" t="e">
        <f>VLOOKUP(E14090,'lista obszary'!A:B,2,0)</f>
        <v>#N/A</v>
      </c>
      <c r="E2290" s="128" t="e">
        <f>VLOOKUP(B2290,'LISTA 12'!$A$2:$G$301400,5,0)</f>
        <v>#N/A</v>
      </c>
      <c r="F2290" s="121" t="e">
        <f>VLOOKUP(B2290,'LISTA 12'!$A$2:$G$30100,7,0)</f>
        <v>#N/A</v>
      </c>
      <c r="G2290" s="254" t="e">
        <f>VLOOKUP(H2290,'lista 3'!$A$1:$C$31467,3,0)</f>
        <v>#N/A</v>
      </c>
      <c r="H2290" s="134"/>
      <c r="I2290" s="136"/>
      <c r="J2290" s="135"/>
      <c r="K2290" s="22"/>
    </row>
    <row r="2291" spans="1:11">
      <c r="A2291" s="241" t="e">
        <f>VLOOKUP(B2291,'lista 1'!$A$2:$E$30100,4,0)</f>
        <v>#N/A</v>
      </c>
      <c r="B2291" s="123"/>
      <c r="C2291" s="133" t="e">
        <f>VLOOKUP(B2291,'lista 1'!$A$2:$E$31000,5,0)</f>
        <v>#N/A</v>
      </c>
      <c r="D2291" s="167" t="e">
        <f>VLOOKUP(E14091,'lista obszary'!A:B,2,0)</f>
        <v>#N/A</v>
      </c>
      <c r="E2291" s="128" t="e">
        <f>VLOOKUP(B2291,'LISTA 12'!$A$2:$G$301400,5,0)</f>
        <v>#N/A</v>
      </c>
      <c r="F2291" s="121" t="e">
        <f>VLOOKUP(B2291,'LISTA 12'!$A$2:$G$30100,7,0)</f>
        <v>#N/A</v>
      </c>
      <c r="G2291" s="254" t="e">
        <f>VLOOKUP(H2291,'lista 3'!$A$1:$C$31467,3,0)</f>
        <v>#N/A</v>
      </c>
      <c r="H2291" s="134"/>
      <c r="I2291" s="136"/>
      <c r="J2291" s="135"/>
      <c r="K2291" s="22"/>
    </row>
    <row r="2292" spans="1:11">
      <c r="A2292" s="241" t="e">
        <f>VLOOKUP(B2292,'lista 1'!$A$2:$E$30100,4,0)</f>
        <v>#N/A</v>
      </c>
      <c r="B2292" s="123"/>
      <c r="C2292" s="133" t="e">
        <f>VLOOKUP(B2292,'lista 1'!$A$2:$E$31000,5,0)</f>
        <v>#N/A</v>
      </c>
      <c r="D2292" s="167" t="e">
        <f>VLOOKUP(E14092,'lista obszary'!A:B,2,0)</f>
        <v>#N/A</v>
      </c>
      <c r="E2292" s="128" t="e">
        <f>VLOOKUP(B2292,'LISTA 12'!$A$2:$G$301400,5,0)</f>
        <v>#N/A</v>
      </c>
      <c r="F2292" s="121" t="e">
        <f>VLOOKUP(B2292,'LISTA 12'!$A$2:$G$30100,7,0)</f>
        <v>#N/A</v>
      </c>
      <c r="G2292" s="254" t="e">
        <f>VLOOKUP(H2292,'lista 3'!$A$1:$C$31467,3,0)</f>
        <v>#N/A</v>
      </c>
      <c r="H2292" s="134"/>
      <c r="I2292" s="136"/>
      <c r="J2292" s="135"/>
      <c r="K2292" s="22"/>
    </row>
    <row r="2293" spans="1:11">
      <c r="A2293" s="241" t="e">
        <f>VLOOKUP(B2293,'lista 1'!$A$2:$E$30100,4,0)</f>
        <v>#N/A</v>
      </c>
      <c r="B2293" s="123"/>
      <c r="C2293" s="133" t="e">
        <f>VLOOKUP(B2293,'lista 1'!$A$2:$E$31000,5,0)</f>
        <v>#N/A</v>
      </c>
      <c r="D2293" s="167" t="e">
        <f>VLOOKUP(E14093,'lista obszary'!A:B,2,0)</f>
        <v>#N/A</v>
      </c>
      <c r="E2293" s="128" t="e">
        <f>VLOOKUP(B2293,'LISTA 12'!$A$2:$G$301400,5,0)</f>
        <v>#N/A</v>
      </c>
      <c r="F2293" s="121" t="e">
        <f>VLOOKUP(B2293,'LISTA 12'!$A$2:$G$30100,7,0)</f>
        <v>#N/A</v>
      </c>
      <c r="G2293" s="254" t="e">
        <f>VLOOKUP(H2293,'lista 3'!$A$1:$C$31467,3,0)</f>
        <v>#N/A</v>
      </c>
      <c r="H2293" s="134"/>
      <c r="I2293" s="136"/>
      <c r="J2293" s="135"/>
      <c r="K2293" s="22"/>
    </row>
    <row r="2294" spans="1:11">
      <c r="A2294" s="241" t="e">
        <f>VLOOKUP(B2294,'lista 1'!$A$2:$E$30100,4,0)</f>
        <v>#N/A</v>
      </c>
      <c r="B2294" s="123"/>
      <c r="C2294" s="133" t="e">
        <f>VLOOKUP(B2294,'lista 1'!$A$2:$E$31000,5,0)</f>
        <v>#N/A</v>
      </c>
      <c r="D2294" s="167" t="e">
        <f>VLOOKUP(E14094,'lista obszary'!A:B,2,0)</f>
        <v>#N/A</v>
      </c>
      <c r="E2294" s="128" t="e">
        <f>VLOOKUP(B2294,'LISTA 12'!$A$2:$G$301400,5,0)</f>
        <v>#N/A</v>
      </c>
      <c r="F2294" s="121" t="e">
        <f>VLOOKUP(B2294,'LISTA 12'!$A$2:$G$30100,7,0)</f>
        <v>#N/A</v>
      </c>
      <c r="G2294" s="254" t="e">
        <f>VLOOKUP(H2294,'lista 3'!$A$1:$C$31467,3,0)</f>
        <v>#N/A</v>
      </c>
      <c r="H2294" s="134"/>
      <c r="I2294" s="136"/>
      <c r="J2294" s="135"/>
      <c r="K2294" s="22"/>
    </row>
    <row r="2295" spans="1:11">
      <c r="A2295" s="241" t="e">
        <f>VLOOKUP(B2295,'lista 1'!$A$2:$E$30100,4,0)</f>
        <v>#N/A</v>
      </c>
      <c r="B2295" s="123"/>
      <c r="C2295" s="133" t="e">
        <f>VLOOKUP(B2295,'lista 1'!$A$2:$E$31000,5,0)</f>
        <v>#N/A</v>
      </c>
      <c r="D2295" s="167" t="e">
        <f>VLOOKUP(E14095,'lista obszary'!A:B,2,0)</f>
        <v>#N/A</v>
      </c>
      <c r="E2295" s="128" t="e">
        <f>VLOOKUP(B2295,'LISTA 12'!$A$2:$G$301400,5,0)</f>
        <v>#N/A</v>
      </c>
      <c r="F2295" s="121" t="e">
        <f>VLOOKUP(B2295,'LISTA 12'!$A$2:$G$30100,7,0)</f>
        <v>#N/A</v>
      </c>
      <c r="G2295" s="254" t="e">
        <f>VLOOKUP(H2295,'lista 3'!$A$1:$C$31467,3,0)</f>
        <v>#N/A</v>
      </c>
      <c r="H2295" s="134"/>
      <c r="I2295" s="136"/>
      <c r="J2295" s="135"/>
      <c r="K2295" s="22"/>
    </row>
    <row r="2296" spans="1:11">
      <c r="A2296" s="241" t="e">
        <f>VLOOKUP(B2296,'lista 1'!$A$2:$E$30100,4,0)</f>
        <v>#N/A</v>
      </c>
      <c r="B2296" s="123"/>
      <c r="C2296" s="133" t="e">
        <f>VLOOKUP(B2296,'lista 1'!$A$2:$E$31000,5,0)</f>
        <v>#N/A</v>
      </c>
      <c r="D2296" s="167" t="e">
        <f>VLOOKUP(E14096,'lista obszary'!A:B,2,0)</f>
        <v>#N/A</v>
      </c>
      <c r="E2296" s="128" t="e">
        <f>VLOOKUP(B2296,'LISTA 12'!$A$2:$G$301400,5,0)</f>
        <v>#N/A</v>
      </c>
      <c r="F2296" s="121" t="e">
        <f>VLOOKUP(B2296,'LISTA 12'!$A$2:$G$30100,7,0)</f>
        <v>#N/A</v>
      </c>
      <c r="G2296" s="254" t="e">
        <f>VLOOKUP(H2296,'lista 3'!$A$1:$C$31467,3,0)</f>
        <v>#N/A</v>
      </c>
      <c r="H2296" s="134"/>
      <c r="I2296" s="136"/>
      <c r="J2296" s="135"/>
      <c r="K2296" s="22"/>
    </row>
    <row r="2297" spans="1:11">
      <c r="A2297" s="241" t="e">
        <f>VLOOKUP(B2297,'lista 1'!$A$2:$E$30100,4,0)</f>
        <v>#N/A</v>
      </c>
      <c r="B2297" s="123"/>
      <c r="C2297" s="133" t="e">
        <f>VLOOKUP(B2297,'lista 1'!$A$2:$E$31000,5,0)</f>
        <v>#N/A</v>
      </c>
      <c r="D2297" s="167" t="e">
        <f>VLOOKUP(E14097,'lista obszary'!A:B,2,0)</f>
        <v>#N/A</v>
      </c>
      <c r="E2297" s="128" t="e">
        <f>VLOOKUP(B2297,'LISTA 12'!$A$2:$G$301400,5,0)</f>
        <v>#N/A</v>
      </c>
      <c r="F2297" s="121" t="e">
        <f>VLOOKUP(B2297,'LISTA 12'!$A$2:$G$30100,7,0)</f>
        <v>#N/A</v>
      </c>
      <c r="G2297" s="254" t="e">
        <f>VLOOKUP(H2297,'lista 3'!$A$1:$C$31467,3,0)</f>
        <v>#N/A</v>
      </c>
      <c r="H2297" s="134"/>
      <c r="I2297" s="136"/>
      <c r="J2297" s="135"/>
      <c r="K2297" s="22"/>
    </row>
    <row r="2298" spans="1:11">
      <c r="A2298" s="241" t="e">
        <f>VLOOKUP(B2298,'lista 1'!$A$2:$E$30100,4,0)</f>
        <v>#N/A</v>
      </c>
      <c r="B2298" s="123"/>
      <c r="C2298" s="133" t="e">
        <f>VLOOKUP(B2298,'lista 1'!$A$2:$E$31000,5,0)</f>
        <v>#N/A</v>
      </c>
      <c r="D2298" s="167" t="e">
        <f>VLOOKUP(E14098,'lista obszary'!A:B,2,0)</f>
        <v>#N/A</v>
      </c>
      <c r="E2298" s="128" t="e">
        <f>VLOOKUP(B2298,'LISTA 12'!$A$2:$G$301400,5,0)</f>
        <v>#N/A</v>
      </c>
      <c r="F2298" s="121" t="e">
        <f>VLOOKUP(B2298,'LISTA 12'!$A$2:$G$30100,7,0)</f>
        <v>#N/A</v>
      </c>
      <c r="G2298" s="254" t="e">
        <f>VLOOKUP(H2298,'lista 3'!$A$1:$C$31467,3,0)</f>
        <v>#N/A</v>
      </c>
      <c r="H2298" s="134"/>
      <c r="I2298" s="136"/>
      <c r="J2298" s="135"/>
      <c r="K2298" s="22"/>
    </row>
    <row r="2299" spans="1:11">
      <c r="A2299" s="241" t="e">
        <f>VLOOKUP(B2299,'lista 1'!$A$2:$E$30100,4,0)</f>
        <v>#N/A</v>
      </c>
      <c r="B2299" s="123"/>
      <c r="C2299" s="133" t="e">
        <f>VLOOKUP(B2299,'lista 1'!$A$2:$E$31000,5,0)</f>
        <v>#N/A</v>
      </c>
      <c r="D2299" s="167" t="e">
        <f>VLOOKUP(E14099,'lista obszary'!A:B,2,0)</f>
        <v>#N/A</v>
      </c>
      <c r="E2299" s="128" t="e">
        <f>VLOOKUP(B2299,'LISTA 12'!$A$2:$G$301400,5,0)</f>
        <v>#N/A</v>
      </c>
      <c r="F2299" s="121" t="e">
        <f>VLOOKUP(B2299,'LISTA 12'!$A$2:$G$30100,7,0)</f>
        <v>#N/A</v>
      </c>
      <c r="G2299" s="254" t="e">
        <f>VLOOKUP(H2299,'lista 3'!$A$1:$C$31467,3,0)</f>
        <v>#N/A</v>
      </c>
      <c r="H2299" s="134"/>
      <c r="I2299" s="136"/>
      <c r="J2299" s="135"/>
      <c r="K2299" s="22"/>
    </row>
    <row r="2300" spans="1:11">
      <c r="A2300" s="241" t="e">
        <f>VLOOKUP(B2300,'lista 1'!$A$2:$E$30100,4,0)</f>
        <v>#N/A</v>
      </c>
      <c r="B2300" s="123"/>
      <c r="C2300" s="133" t="e">
        <f>VLOOKUP(B2300,'lista 1'!$A$2:$E$31000,5,0)</f>
        <v>#N/A</v>
      </c>
      <c r="D2300" s="167" t="e">
        <f>VLOOKUP(E14100,'lista obszary'!A:B,2,0)</f>
        <v>#N/A</v>
      </c>
      <c r="E2300" s="128" t="e">
        <f>VLOOKUP(B2300,'LISTA 12'!$A$2:$G$301400,5,0)</f>
        <v>#N/A</v>
      </c>
      <c r="F2300" s="121" t="e">
        <f>VLOOKUP(B2300,'LISTA 12'!$A$2:$G$30100,7,0)</f>
        <v>#N/A</v>
      </c>
      <c r="G2300" s="254" t="e">
        <f>VLOOKUP(H2300,'lista 3'!$A$1:$C$31467,3,0)</f>
        <v>#N/A</v>
      </c>
      <c r="H2300" s="134"/>
      <c r="I2300" s="136"/>
      <c r="J2300" s="135"/>
      <c r="K2300" s="22"/>
    </row>
    <row r="2301" spans="1:11">
      <c r="A2301" s="241" t="e">
        <f>VLOOKUP(B2301,'lista 1'!$A$2:$E$30100,4,0)</f>
        <v>#N/A</v>
      </c>
      <c r="B2301" s="123"/>
      <c r="C2301" s="133" t="e">
        <f>VLOOKUP(B2301,'lista 1'!$A$2:$E$31000,5,0)</f>
        <v>#N/A</v>
      </c>
      <c r="D2301" s="167" t="e">
        <f>VLOOKUP(E14101,'lista obszary'!A:B,2,0)</f>
        <v>#N/A</v>
      </c>
      <c r="E2301" s="128" t="e">
        <f>VLOOKUP(B2301,'LISTA 12'!$A$2:$G$301400,5,0)</f>
        <v>#N/A</v>
      </c>
      <c r="F2301" s="121" t="e">
        <f>VLOOKUP(B2301,'LISTA 12'!$A$2:$G$30100,7,0)</f>
        <v>#N/A</v>
      </c>
      <c r="G2301" s="254" t="e">
        <f>VLOOKUP(H2301,'lista 3'!$A$1:$C$31467,3,0)</f>
        <v>#N/A</v>
      </c>
      <c r="H2301" s="134"/>
      <c r="I2301" s="136"/>
      <c r="J2301" s="135"/>
      <c r="K2301" s="22"/>
    </row>
    <row r="2302" spans="1:11">
      <c r="A2302" s="241" t="e">
        <f>VLOOKUP(B2302,'lista 1'!$A$2:$E$30100,4,0)</f>
        <v>#N/A</v>
      </c>
      <c r="B2302" s="123"/>
      <c r="C2302" s="133" t="e">
        <f>VLOOKUP(B2302,'lista 1'!$A$2:$E$31000,5,0)</f>
        <v>#N/A</v>
      </c>
      <c r="D2302" s="167" t="e">
        <f>VLOOKUP(E14102,'lista obszary'!A:B,2,0)</f>
        <v>#N/A</v>
      </c>
      <c r="E2302" s="128" t="e">
        <f>VLOOKUP(B2302,'LISTA 12'!$A$2:$G$301400,5,0)</f>
        <v>#N/A</v>
      </c>
      <c r="F2302" s="121" t="e">
        <f>VLOOKUP(B2302,'LISTA 12'!$A$2:$G$30100,7,0)</f>
        <v>#N/A</v>
      </c>
      <c r="G2302" s="254" t="e">
        <f>VLOOKUP(H2302,'lista 3'!$A$1:$C$31467,3,0)</f>
        <v>#N/A</v>
      </c>
      <c r="H2302" s="134"/>
      <c r="I2302" s="136"/>
      <c r="J2302" s="135"/>
      <c r="K2302" s="22"/>
    </row>
    <row r="2303" spans="1:11">
      <c r="A2303" s="241" t="e">
        <f>VLOOKUP(B2303,'lista 1'!$A$2:$E$30100,4,0)</f>
        <v>#N/A</v>
      </c>
      <c r="B2303" s="123"/>
      <c r="C2303" s="133" t="e">
        <f>VLOOKUP(B2303,'lista 1'!$A$2:$E$31000,5,0)</f>
        <v>#N/A</v>
      </c>
      <c r="D2303" s="167" t="e">
        <f>VLOOKUP(E14103,'lista obszary'!A:B,2,0)</f>
        <v>#N/A</v>
      </c>
      <c r="E2303" s="128" t="e">
        <f>VLOOKUP(B2303,'LISTA 12'!$A$2:$G$301400,5,0)</f>
        <v>#N/A</v>
      </c>
      <c r="F2303" s="121" t="e">
        <f>VLOOKUP(B2303,'LISTA 12'!$A$2:$G$30100,7,0)</f>
        <v>#N/A</v>
      </c>
      <c r="G2303" s="254" t="e">
        <f>VLOOKUP(H2303,'lista 3'!$A$1:$C$31467,3,0)</f>
        <v>#N/A</v>
      </c>
      <c r="H2303" s="134"/>
      <c r="I2303" s="136"/>
      <c r="J2303" s="135"/>
      <c r="K2303" s="22"/>
    </row>
    <row r="2304" spans="1:11">
      <c r="A2304" s="241" t="e">
        <f>VLOOKUP(B2304,'lista 1'!$A$2:$E$30100,4,0)</f>
        <v>#N/A</v>
      </c>
      <c r="B2304" s="123"/>
      <c r="C2304" s="133" t="e">
        <f>VLOOKUP(B2304,'lista 1'!$A$2:$E$31000,5,0)</f>
        <v>#N/A</v>
      </c>
      <c r="D2304" s="167" t="e">
        <f>VLOOKUP(E14104,'lista obszary'!A:B,2,0)</f>
        <v>#N/A</v>
      </c>
      <c r="E2304" s="128" t="e">
        <f>VLOOKUP(B2304,'LISTA 12'!$A$2:$G$301400,5,0)</f>
        <v>#N/A</v>
      </c>
      <c r="F2304" s="121" t="e">
        <f>VLOOKUP(B2304,'LISTA 12'!$A$2:$G$30100,7,0)</f>
        <v>#N/A</v>
      </c>
      <c r="G2304" s="254" t="e">
        <f>VLOOKUP(H2304,'lista 3'!$A$1:$C$31467,3,0)</f>
        <v>#N/A</v>
      </c>
      <c r="H2304" s="134"/>
      <c r="I2304" s="136"/>
      <c r="J2304" s="135"/>
      <c r="K2304" s="22"/>
    </row>
    <row r="2305" spans="1:11">
      <c r="A2305" s="241" t="e">
        <f>VLOOKUP(B2305,'lista 1'!$A$2:$E$30100,4,0)</f>
        <v>#N/A</v>
      </c>
      <c r="B2305" s="123"/>
      <c r="C2305" s="133" t="e">
        <f>VLOOKUP(B2305,'lista 1'!$A$2:$E$31000,5,0)</f>
        <v>#N/A</v>
      </c>
      <c r="D2305" s="167" t="e">
        <f>VLOOKUP(E14105,'lista obszary'!A:B,2,0)</f>
        <v>#N/A</v>
      </c>
      <c r="E2305" s="128" t="e">
        <f>VLOOKUP(B2305,'LISTA 12'!$A$2:$G$301400,5,0)</f>
        <v>#N/A</v>
      </c>
      <c r="F2305" s="121" t="e">
        <f>VLOOKUP(B2305,'LISTA 12'!$A$2:$G$30100,7,0)</f>
        <v>#N/A</v>
      </c>
      <c r="G2305" s="254" t="e">
        <f>VLOOKUP(H2305,'lista 3'!$A$1:$C$31467,3,0)</f>
        <v>#N/A</v>
      </c>
      <c r="H2305" s="134"/>
      <c r="I2305" s="136"/>
      <c r="J2305" s="135"/>
      <c r="K2305" s="22"/>
    </row>
    <row r="2306" spans="1:11">
      <c r="A2306" s="241" t="e">
        <f>VLOOKUP(B2306,'lista 1'!$A$2:$E$30100,4,0)</f>
        <v>#N/A</v>
      </c>
      <c r="B2306" s="123"/>
      <c r="C2306" s="133" t="e">
        <f>VLOOKUP(B2306,'lista 1'!$A$2:$E$31000,5,0)</f>
        <v>#N/A</v>
      </c>
      <c r="D2306" s="167" t="e">
        <f>VLOOKUP(E14106,'lista obszary'!A:B,2,0)</f>
        <v>#N/A</v>
      </c>
      <c r="E2306" s="128" t="e">
        <f>VLOOKUP(B2306,'LISTA 12'!$A$2:$G$301400,5,0)</f>
        <v>#N/A</v>
      </c>
      <c r="F2306" s="121" t="e">
        <f>VLOOKUP(B2306,'LISTA 12'!$A$2:$G$30100,7,0)</f>
        <v>#N/A</v>
      </c>
      <c r="G2306" s="254" t="e">
        <f>VLOOKUP(H2306,'lista 3'!$A$1:$C$31467,3,0)</f>
        <v>#N/A</v>
      </c>
      <c r="H2306" s="134"/>
      <c r="I2306" s="136"/>
      <c r="J2306" s="135"/>
      <c r="K2306" s="22"/>
    </row>
    <row r="2307" spans="1:11">
      <c r="A2307" s="241" t="e">
        <f>VLOOKUP(B2307,'lista 1'!$A$2:$E$30100,4,0)</f>
        <v>#N/A</v>
      </c>
      <c r="B2307" s="123"/>
      <c r="C2307" s="133" t="e">
        <f>VLOOKUP(B2307,'lista 1'!$A$2:$E$31000,5,0)</f>
        <v>#N/A</v>
      </c>
      <c r="D2307" s="167" t="e">
        <f>VLOOKUP(E14107,'lista obszary'!A:B,2,0)</f>
        <v>#N/A</v>
      </c>
      <c r="E2307" s="128" t="e">
        <f>VLOOKUP(B2307,'LISTA 12'!$A$2:$G$301400,5,0)</f>
        <v>#N/A</v>
      </c>
      <c r="F2307" s="121" t="e">
        <f>VLOOKUP(B2307,'LISTA 12'!$A$2:$G$30100,7,0)</f>
        <v>#N/A</v>
      </c>
      <c r="G2307" s="254" t="e">
        <f>VLOOKUP(H2307,'lista 3'!$A$1:$C$31467,3,0)</f>
        <v>#N/A</v>
      </c>
      <c r="H2307" s="134"/>
      <c r="I2307" s="136"/>
      <c r="J2307" s="135"/>
      <c r="K2307" s="22"/>
    </row>
    <row r="2308" spans="1:11">
      <c r="A2308" s="241" t="e">
        <f>VLOOKUP(B2308,'lista 1'!$A$2:$E$30100,4,0)</f>
        <v>#N/A</v>
      </c>
      <c r="B2308" s="123"/>
      <c r="C2308" s="133" t="e">
        <f>VLOOKUP(B2308,'lista 1'!$A$2:$E$31000,5,0)</f>
        <v>#N/A</v>
      </c>
      <c r="D2308" s="167" t="e">
        <f>VLOOKUP(E14108,'lista obszary'!A:B,2,0)</f>
        <v>#N/A</v>
      </c>
      <c r="E2308" s="128" t="e">
        <f>VLOOKUP(B2308,'LISTA 12'!$A$2:$G$301400,5,0)</f>
        <v>#N/A</v>
      </c>
      <c r="F2308" s="121" t="e">
        <f>VLOOKUP(B2308,'LISTA 12'!$A$2:$G$30100,7,0)</f>
        <v>#N/A</v>
      </c>
      <c r="G2308" s="254" t="e">
        <f>VLOOKUP(H2308,'lista 3'!$A$1:$C$31467,3,0)</f>
        <v>#N/A</v>
      </c>
      <c r="H2308" s="134"/>
      <c r="I2308" s="136"/>
      <c r="J2308" s="135"/>
      <c r="K2308" s="22"/>
    </row>
    <row r="2309" spans="1:11">
      <c r="A2309" s="241" t="e">
        <f>VLOOKUP(B2309,'lista 1'!$A$2:$E$30100,4,0)</f>
        <v>#N/A</v>
      </c>
      <c r="B2309" s="123"/>
      <c r="C2309" s="133" t="e">
        <f>VLOOKUP(B2309,'lista 1'!$A$2:$E$31000,5,0)</f>
        <v>#N/A</v>
      </c>
      <c r="D2309" s="167" t="e">
        <f>VLOOKUP(E14109,'lista obszary'!A:B,2,0)</f>
        <v>#N/A</v>
      </c>
      <c r="E2309" s="128" t="e">
        <f>VLOOKUP(B2309,'LISTA 12'!$A$2:$G$301400,5,0)</f>
        <v>#N/A</v>
      </c>
      <c r="F2309" s="121" t="e">
        <f>VLOOKUP(B2309,'LISTA 12'!$A$2:$G$30100,7,0)</f>
        <v>#N/A</v>
      </c>
      <c r="G2309" s="254" t="e">
        <f>VLOOKUP(H2309,'lista 3'!$A$1:$C$31467,3,0)</f>
        <v>#N/A</v>
      </c>
      <c r="H2309" s="134"/>
      <c r="I2309" s="136"/>
      <c r="J2309" s="135"/>
      <c r="K2309" s="22"/>
    </row>
    <row r="2310" spans="1:11">
      <c r="A2310" s="241" t="e">
        <f>VLOOKUP(B2310,'lista 1'!$A$2:$E$30100,4,0)</f>
        <v>#N/A</v>
      </c>
      <c r="B2310" s="123"/>
      <c r="C2310" s="133" t="e">
        <f>VLOOKUP(B2310,'lista 1'!$A$2:$E$31000,5,0)</f>
        <v>#N/A</v>
      </c>
      <c r="D2310" s="167" t="e">
        <f>VLOOKUP(E14110,'lista obszary'!A:B,2,0)</f>
        <v>#N/A</v>
      </c>
      <c r="E2310" s="128" t="e">
        <f>VLOOKUP(B2310,'LISTA 12'!$A$2:$G$301400,5,0)</f>
        <v>#N/A</v>
      </c>
      <c r="F2310" s="121" t="e">
        <f>VLOOKUP(B2310,'LISTA 12'!$A$2:$G$30100,7,0)</f>
        <v>#N/A</v>
      </c>
      <c r="G2310" s="254" t="e">
        <f>VLOOKUP(H2310,'lista 3'!$A$1:$C$31467,3,0)</f>
        <v>#N/A</v>
      </c>
      <c r="H2310" s="134"/>
      <c r="I2310" s="136"/>
      <c r="J2310" s="135"/>
      <c r="K2310" s="22"/>
    </row>
    <row r="2311" spans="1:11">
      <c r="A2311" s="241" t="e">
        <f>VLOOKUP(B2311,'lista 1'!$A$2:$E$30100,4,0)</f>
        <v>#N/A</v>
      </c>
      <c r="B2311" s="123"/>
      <c r="C2311" s="133" t="e">
        <f>VLOOKUP(B2311,'lista 1'!$A$2:$E$31000,5,0)</f>
        <v>#N/A</v>
      </c>
      <c r="D2311" s="167" t="e">
        <f>VLOOKUP(E14111,'lista obszary'!A:B,2,0)</f>
        <v>#N/A</v>
      </c>
      <c r="E2311" s="128" t="e">
        <f>VLOOKUP(B2311,'LISTA 12'!$A$2:$G$301400,5,0)</f>
        <v>#N/A</v>
      </c>
      <c r="F2311" s="121" t="e">
        <f>VLOOKUP(B2311,'LISTA 12'!$A$2:$G$30100,7,0)</f>
        <v>#N/A</v>
      </c>
      <c r="G2311" s="254" t="e">
        <f>VLOOKUP(H2311,'lista 3'!$A$1:$C$31467,3,0)</f>
        <v>#N/A</v>
      </c>
      <c r="H2311" s="134"/>
      <c r="I2311" s="136"/>
      <c r="J2311" s="135"/>
      <c r="K2311" s="22"/>
    </row>
    <row r="2312" spans="1:11">
      <c r="A2312" s="241" t="e">
        <f>VLOOKUP(B2312,'lista 1'!$A$2:$E$30100,4,0)</f>
        <v>#N/A</v>
      </c>
      <c r="B2312" s="123"/>
      <c r="C2312" s="133" t="e">
        <f>VLOOKUP(B2312,'lista 1'!$A$2:$E$31000,5,0)</f>
        <v>#N/A</v>
      </c>
      <c r="D2312" s="167" t="e">
        <f>VLOOKUP(E14112,'lista obszary'!A:B,2,0)</f>
        <v>#N/A</v>
      </c>
      <c r="E2312" s="128" t="e">
        <f>VLOOKUP(B2312,'LISTA 12'!$A$2:$G$301400,5,0)</f>
        <v>#N/A</v>
      </c>
      <c r="F2312" s="121" t="e">
        <f>VLOOKUP(B2312,'LISTA 12'!$A$2:$G$30100,7,0)</f>
        <v>#N/A</v>
      </c>
      <c r="G2312" s="254" t="e">
        <f>VLOOKUP(H2312,'lista 3'!$A$1:$C$31467,3,0)</f>
        <v>#N/A</v>
      </c>
      <c r="H2312" s="134"/>
      <c r="I2312" s="136"/>
      <c r="J2312" s="135"/>
      <c r="K2312" s="22"/>
    </row>
    <row r="2313" spans="1:11">
      <c r="A2313" s="241" t="e">
        <f>VLOOKUP(B2313,'lista 1'!$A$2:$E$30100,4,0)</f>
        <v>#N/A</v>
      </c>
      <c r="B2313" s="123"/>
      <c r="C2313" s="133" t="e">
        <f>VLOOKUP(B2313,'lista 1'!$A$2:$E$31000,5,0)</f>
        <v>#N/A</v>
      </c>
      <c r="D2313" s="167" t="e">
        <f>VLOOKUP(E14113,'lista obszary'!A:B,2,0)</f>
        <v>#N/A</v>
      </c>
      <c r="E2313" s="128" t="e">
        <f>VLOOKUP(B2313,'LISTA 12'!$A$2:$G$301400,5,0)</f>
        <v>#N/A</v>
      </c>
      <c r="F2313" s="121" t="e">
        <f>VLOOKUP(B2313,'LISTA 12'!$A$2:$G$30100,7,0)</f>
        <v>#N/A</v>
      </c>
      <c r="G2313" s="254" t="e">
        <f>VLOOKUP(H2313,'lista 3'!$A$1:$C$31467,3,0)</f>
        <v>#N/A</v>
      </c>
      <c r="H2313" s="134"/>
      <c r="I2313" s="136"/>
      <c r="J2313" s="135"/>
      <c r="K2313" s="22"/>
    </row>
    <row r="2314" spans="1:11">
      <c r="A2314" s="241" t="e">
        <f>VLOOKUP(B2314,'lista 1'!$A$2:$E$30100,4,0)</f>
        <v>#N/A</v>
      </c>
      <c r="B2314" s="123"/>
      <c r="C2314" s="133" t="e">
        <f>VLOOKUP(B2314,'lista 1'!$A$2:$E$31000,5,0)</f>
        <v>#N/A</v>
      </c>
      <c r="D2314" s="167" t="e">
        <f>VLOOKUP(E14114,'lista obszary'!A:B,2,0)</f>
        <v>#N/A</v>
      </c>
      <c r="E2314" s="128" t="e">
        <f>VLOOKUP(B2314,'LISTA 12'!$A$2:$G$301400,5,0)</f>
        <v>#N/A</v>
      </c>
      <c r="F2314" s="121" t="e">
        <f>VLOOKUP(B2314,'LISTA 12'!$A$2:$G$30100,7,0)</f>
        <v>#N/A</v>
      </c>
      <c r="G2314" s="254" t="e">
        <f>VLOOKUP(H2314,'lista 3'!$A$1:$C$31467,3,0)</f>
        <v>#N/A</v>
      </c>
      <c r="H2314" s="134"/>
      <c r="I2314" s="136"/>
      <c r="J2314" s="135"/>
      <c r="K2314" s="22"/>
    </row>
    <row r="2315" spans="1:11">
      <c r="A2315" s="241" t="e">
        <f>VLOOKUP(B2315,'lista 1'!$A$2:$E$30100,4,0)</f>
        <v>#N/A</v>
      </c>
      <c r="B2315" s="123"/>
      <c r="C2315" s="133" t="e">
        <f>VLOOKUP(B2315,'lista 1'!$A$2:$E$31000,5,0)</f>
        <v>#N/A</v>
      </c>
      <c r="D2315" s="167" t="e">
        <f>VLOOKUP(E14115,'lista obszary'!A:B,2,0)</f>
        <v>#N/A</v>
      </c>
      <c r="E2315" s="128" t="e">
        <f>VLOOKUP(B2315,'LISTA 12'!$A$2:$G$301400,5,0)</f>
        <v>#N/A</v>
      </c>
      <c r="F2315" s="121" t="e">
        <f>VLOOKUP(B2315,'LISTA 12'!$A$2:$G$30100,7,0)</f>
        <v>#N/A</v>
      </c>
      <c r="G2315" s="254" t="e">
        <f>VLOOKUP(H2315,'lista 3'!$A$1:$C$31467,3,0)</f>
        <v>#N/A</v>
      </c>
      <c r="H2315" s="134"/>
      <c r="I2315" s="136"/>
      <c r="J2315" s="135"/>
      <c r="K2315" s="22"/>
    </row>
    <row r="2316" spans="1:11">
      <c r="A2316" s="241" t="e">
        <f>VLOOKUP(B2316,'lista 1'!$A$2:$E$30100,4,0)</f>
        <v>#N/A</v>
      </c>
      <c r="B2316" s="123"/>
      <c r="C2316" s="133" t="e">
        <f>VLOOKUP(B2316,'lista 1'!$A$2:$E$31000,5,0)</f>
        <v>#N/A</v>
      </c>
      <c r="D2316" s="167" t="e">
        <f>VLOOKUP(E14116,'lista obszary'!A:B,2,0)</f>
        <v>#N/A</v>
      </c>
      <c r="E2316" s="128" t="e">
        <f>VLOOKUP(B2316,'LISTA 12'!$A$2:$G$301400,5,0)</f>
        <v>#N/A</v>
      </c>
      <c r="F2316" s="121" t="e">
        <f>VLOOKUP(B2316,'LISTA 12'!$A$2:$G$30100,7,0)</f>
        <v>#N/A</v>
      </c>
      <c r="G2316" s="254" t="e">
        <f>VLOOKUP(H2316,'lista 3'!$A$1:$C$31467,3,0)</f>
        <v>#N/A</v>
      </c>
      <c r="H2316" s="134"/>
      <c r="I2316" s="136"/>
      <c r="J2316" s="135"/>
      <c r="K2316" s="22"/>
    </row>
    <row r="2317" spans="1:11">
      <c r="A2317" s="241" t="e">
        <f>VLOOKUP(B2317,'lista 1'!$A$2:$E$30100,4,0)</f>
        <v>#N/A</v>
      </c>
      <c r="B2317" s="123"/>
      <c r="C2317" s="133" t="e">
        <f>VLOOKUP(B2317,'lista 1'!$A$2:$E$31000,5,0)</f>
        <v>#N/A</v>
      </c>
      <c r="D2317" s="167" t="e">
        <f>VLOOKUP(E14117,'lista obszary'!A:B,2,0)</f>
        <v>#N/A</v>
      </c>
      <c r="E2317" s="128" t="e">
        <f>VLOOKUP(B2317,'LISTA 12'!$A$2:$G$301400,5,0)</f>
        <v>#N/A</v>
      </c>
      <c r="F2317" s="121" t="e">
        <f>VLOOKUP(B2317,'LISTA 12'!$A$2:$G$30100,7,0)</f>
        <v>#N/A</v>
      </c>
      <c r="G2317" s="254" t="e">
        <f>VLOOKUP(H2317,'lista 3'!$A$1:$C$31467,3,0)</f>
        <v>#N/A</v>
      </c>
      <c r="H2317" s="134"/>
      <c r="I2317" s="136"/>
      <c r="J2317" s="135"/>
      <c r="K2317" s="22"/>
    </row>
    <row r="2318" spans="1:11">
      <c r="A2318" s="241" t="e">
        <f>VLOOKUP(B2318,'lista 1'!$A$2:$E$30100,4,0)</f>
        <v>#N/A</v>
      </c>
      <c r="B2318" s="123"/>
      <c r="C2318" s="133" t="e">
        <f>VLOOKUP(B2318,'lista 1'!$A$2:$E$31000,5,0)</f>
        <v>#N/A</v>
      </c>
      <c r="D2318" s="167" t="e">
        <f>VLOOKUP(E14118,'lista obszary'!A:B,2,0)</f>
        <v>#N/A</v>
      </c>
      <c r="E2318" s="128" t="e">
        <f>VLOOKUP(B2318,'LISTA 12'!$A$2:$G$301400,5,0)</f>
        <v>#N/A</v>
      </c>
      <c r="F2318" s="121" t="e">
        <f>VLOOKUP(B2318,'LISTA 12'!$A$2:$G$30100,7,0)</f>
        <v>#N/A</v>
      </c>
      <c r="G2318" s="254" t="e">
        <f>VLOOKUP(H2318,'lista 3'!$A$1:$C$31467,3,0)</f>
        <v>#N/A</v>
      </c>
      <c r="H2318" s="134"/>
      <c r="I2318" s="136"/>
      <c r="J2318" s="135"/>
      <c r="K2318" s="22"/>
    </row>
    <row r="2319" spans="1:11">
      <c r="A2319" s="241" t="e">
        <f>VLOOKUP(B2319,'lista 1'!$A$2:$E$30100,4,0)</f>
        <v>#N/A</v>
      </c>
      <c r="B2319" s="123"/>
      <c r="C2319" s="133" t="e">
        <f>VLOOKUP(B2319,'lista 1'!$A$2:$E$31000,5,0)</f>
        <v>#N/A</v>
      </c>
      <c r="D2319" s="167" t="e">
        <f>VLOOKUP(E14119,'lista obszary'!A:B,2,0)</f>
        <v>#N/A</v>
      </c>
      <c r="E2319" s="128" t="e">
        <f>VLOOKUP(B2319,'LISTA 12'!$A$2:$G$301400,5,0)</f>
        <v>#N/A</v>
      </c>
      <c r="F2319" s="121" t="e">
        <f>VLOOKUP(B2319,'LISTA 12'!$A$2:$G$30100,7,0)</f>
        <v>#N/A</v>
      </c>
      <c r="G2319" s="254" t="e">
        <f>VLOOKUP(H2319,'lista 3'!$A$1:$C$31467,3,0)</f>
        <v>#N/A</v>
      </c>
      <c r="H2319" s="134"/>
      <c r="I2319" s="136"/>
      <c r="J2319" s="135"/>
      <c r="K2319" s="22"/>
    </row>
    <row r="2320" spans="1:11">
      <c r="A2320" s="241" t="e">
        <f>VLOOKUP(B2320,'lista 1'!$A$2:$E$30100,4,0)</f>
        <v>#N/A</v>
      </c>
      <c r="B2320" s="123"/>
      <c r="C2320" s="133" t="e">
        <f>VLOOKUP(B2320,'lista 1'!$A$2:$E$31000,5,0)</f>
        <v>#N/A</v>
      </c>
      <c r="D2320" s="167" t="e">
        <f>VLOOKUP(E14120,'lista obszary'!A:B,2,0)</f>
        <v>#N/A</v>
      </c>
      <c r="E2320" s="128" t="e">
        <f>VLOOKUP(B2320,'LISTA 12'!$A$2:$G$301400,5,0)</f>
        <v>#N/A</v>
      </c>
      <c r="F2320" s="121" t="e">
        <f>VLOOKUP(B2320,'LISTA 12'!$A$2:$G$30100,7,0)</f>
        <v>#N/A</v>
      </c>
      <c r="G2320" s="254" t="e">
        <f>VLOOKUP(H2320,'lista 3'!$A$1:$C$31467,3,0)</f>
        <v>#N/A</v>
      </c>
      <c r="H2320" s="134"/>
      <c r="I2320" s="136"/>
      <c r="J2320" s="135"/>
      <c r="K2320" s="22"/>
    </row>
    <row r="2321" spans="1:11">
      <c r="A2321" s="241" t="e">
        <f>VLOOKUP(B2321,'lista 1'!$A$2:$E$30100,4,0)</f>
        <v>#N/A</v>
      </c>
      <c r="B2321" s="123"/>
      <c r="C2321" s="133" t="e">
        <f>VLOOKUP(B2321,'lista 1'!$A$2:$E$31000,5,0)</f>
        <v>#N/A</v>
      </c>
      <c r="D2321" s="167" t="e">
        <f>VLOOKUP(E14121,'lista obszary'!A:B,2,0)</f>
        <v>#N/A</v>
      </c>
      <c r="E2321" s="128" t="e">
        <f>VLOOKUP(B2321,'LISTA 12'!$A$2:$G$301400,5,0)</f>
        <v>#N/A</v>
      </c>
      <c r="F2321" s="121" t="e">
        <f>VLOOKUP(B2321,'LISTA 12'!$A$2:$G$30100,7,0)</f>
        <v>#N/A</v>
      </c>
      <c r="G2321" s="254" t="e">
        <f>VLOOKUP(H2321,'lista 3'!$A$1:$C$31467,3,0)</f>
        <v>#N/A</v>
      </c>
      <c r="H2321" s="134"/>
      <c r="I2321" s="136"/>
      <c r="J2321" s="135"/>
      <c r="K2321" s="22"/>
    </row>
    <row r="2322" spans="1:11">
      <c r="A2322" s="241" t="e">
        <f>VLOOKUP(B2322,'lista 1'!$A$2:$E$30100,4,0)</f>
        <v>#N/A</v>
      </c>
      <c r="B2322" s="123"/>
      <c r="C2322" s="133" t="e">
        <f>VLOOKUP(B2322,'lista 1'!$A$2:$E$31000,5,0)</f>
        <v>#N/A</v>
      </c>
      <c r="D2322" s="167" t="e">
        <f>VLOOKUP(E14122,'lista obszary'!A:B,2,0)</f>
        <v>#N/A</v>
      </c>
      <c r="E2322" s="128" t="e">
        <f>VLOOKUP(B2322,'LISTA 12'!$A$2:$G$301400,5,0)</f>
        <v>#N/A</v>
      </c>
      <c r="F2322" s="121" t="e">
        <f>VLOOKUP(B2322,'LISTA 12'!$A$2:$G$30100,7,0)</f>
        <v>#N/A</v>
      </c>
      <c r="G2322" s="254" t="e">
        <f>VLOOKUP(H2322,'lista 3'!$A$1:$C$31467,3,0)</f>
        <v>#N/A</v>
      </c>
      <c r="H2322" s="134"/>
      <c r="I2322" s="136"/>
      <c r="J2322" s="135"/>
      <c r="K2322" s="22"/>
    </row>
    <row r="2323" spans="1:11">
      <c r="A2323" s="241" t="e">
        <f>VLOOKUP(B2323,'lista 1'!$A$2:$E$30100,4,0)</f>
        <v>#N/A</v>
      </c>
      <c r="B2323" s="123"/>
      <c r="C2323" s="133" t="e">
        <f>VLOOKUP(B2323,'lista 1'!$A$2:$E$31000,5,0)</f>
        <v>#N/A</v>
      </c>
      <c r="D2323" s="167" t="e">
        <f>VLOOKUP(E14123,'lista obszary'!A:B,2,0)</f>
        <v>#N/A</v>
      </c>
      <c r="E2323" s="128" t="e">
        <f>VLOOKUP(B2323,'LISTA 12'!$A$2:$G$301400,5,0)</f>
        <v>#N/A</v>
      </c>
      <c r="F2323" s="121" t="e">
        <f>VLOOKUP(B2323,'LISTA 12'!$A$2:$G$30100,7,0)</f>
        <v>#N/A</v>
      </c>
      <c r="G2323" s="254" t="e">
        <f>VLOOKUP(H2323,'lista 3'!$A$1:$C$31467,3,0)</f>
        <v>#N/A</v>
      </c>
      <c r="H2323" s="134"/>
      <c r="I2323" s="136"/>
      <c r="J2323" s="135"/>
      <c r="K2323" s="22"/>
    </row>
    <row r="2324" spans="1:11">
      <c r="A2324" s="241" t="e">
        <f>VLOOKUP(B2324,'lista 1'!$A$2:$E$30100,4,0)</f>
        <v>#N/A</v>
      </c>
      <c r="B2324" s="123"/>
      <c r="C2324" s="133" t="e">
        <f>VLOOKUP(B2324,'lista 1'!$A$2:$E$31000,5,0)</f>
        <v>#N/A</v>
      </c>
      <c r="D2324" s="167" t="e">
        <f>VLOOKUP(E14124,'lista obszary'!A:B,2,0)</f>
        <v>#N/A</v>
      </c>
      <c r="E2324" s="128" t="e">
        <f>VLOOKUP(B2324,'LISTA 12'!$A$2:$G$301400,5,0)</f>
        <v>#N/A</v>
      </c>
      <c r="F2324" s="121" t="e">
        <f>VLOOKUP(B2324,'LISTA 12'!$A$2:$G$30100,7,0)</f>
        <v>#N/A</v>
      </c>
      <c r="G2324" s="254" t="e">
        <f>VLOOKUP(H2324,'lista 3'!$A$1:$C$31467,3,0)</f>
        <v>#N/A</v>
      </c>
      <c r="H2324" s="134"/>
      <c r="I2324" s="136"/>
      <c r="J2324" s="135"/>
      <c r="K2324" s="22"/>
    </row>
    <row r="2325" spans="1:11">
      <c r="A2325" s="241" t="e">
        <f>VLOOKUP(B2325,'lista 1'!$A$2:$E$30100,4,0)</f>
        <v>#N/A</v>
      </c>
      <c r="B2325" s="123"/>
      <c r="C2325" s="133" t="e">
        <f>VLOOKUP(B2325,'lista 1'!$A$2:$E$31000,5,0)</f>
        <v>#N/A</v>
      </c>
      <c r="D2325" s="167" t="e">
        <f>VLOOKUP(E14125,'lista obszary'!A:B,2,0)</f>
        <v>#N/A</v>
      </c>
      <c r="E2325" s="128" t="e">
        <f>VLOOKUP(B2325,'LISTA 12'!$A$2:$G$301400,5,0)</f>
        <v>#N/A</v>
      </c>
      <c r="F2325" s="121" t="e">
        <f>VLOOKUP(B2325,'LISTA 12'!$A$2:$G$30100,7,0)</f>
        <v>#N/A</v>
      </c>
      <c r="G2325" s="254" t="e">
        <f>VLOOKUP(H2325,'lista 3'!$A$1:$C$31467,3,0)</f>
        <v>#N/A</v>
      </c>
      <c r="H2325" s="134"/>
      <c r="I2325" s="136"/>
      <c r="J2325" s="135"/>
      <c r="K2325" s="22"/>
    </row>
    <row r="2326" spans="1:11">
      <c r="A2326" s="241" t="e">
        <f>VLOOKUP(B2326,'lista 1'!$A$2:$E$30100,4,0)</f>
        <v>#N/A</v>
      </c>
      <c r="B2326" s="123"/>
      <c r="C2326" s="133" t="e">
        <f>VLOOKUP(B2326,'lista 1'!$A$2:$E$31000,5,0)</f>
        <v>#N/A</v>
      </c>
      <c r="D2326" s="167" t="e">
        <f>VLOOKUP(E14126,'lista obszary'!A:B,2,0)</f>
        <v>#N/A</v>
      </c>
      <c r="E2326" s="128" t="e">
        <f>VLOOKUP(B2326,'LISTA 12'!$A$2:$G$301400,5,0)</f>
        <v>#N/A</v>
      </c>
      <c r="F2326" s="121" t="e">
        <f>VLOOKUP(B2326,'LISTA 12'!$A$2:$G$30100,7,0)</f>
        <v>#N/A</v>
      </c>
      <c r="G2326" s="254" t="e">
        <f>VLOOKUP(H2326,'lista 3'!$A$1:$C$31467,3,0)</f>
        <v>#N/A</v>
      </c>
      <c r="H2326" s="134"/>
      <c r="I2326" s="136"/>
      <c r="J2326" s="135"/>
      <c r="K2326" s="22"/>
    </row>
    <row r="2327" spans="1:11">
      <c r="A2327" s="241" t="e">
        <f>VLOOKUP(B2327,'lista 1'!$A$2:$E$30100,4,0)</f>
        <v>#N/A</v>
      </c>
      <c r="B2327" s="123"/>
      <c r="C2327" s="133" t="e">
        <f>VLOOKUP(B2327,'lista 1'!$A$2:$E$31000,5,0)</f>
        <v>#N/A</v>
      </c>
      <c r="D2327" s="167" t="e">
        <f>VLOOKUP(E14127,'lista obszary'!A:B,2,0)</f>
        <v>#N/A</v>
      </c>
      <c r="E2327" s="128" t="e">
        <f>VLOOKUP(B2327,'LISTA 12'!$A$2:$G$301400,5,0)</f>
        <v>#N/A</v>
      </c>
      <c r="F2327" s="121" t="e">
        <f>VLOOKUP(B2327,'LISTA 12'!$A$2:$G$30100,7,0)</f>
        <v>#N/A</v>
      </c>
      <c r="G2327" s="254" t="e">
        <f>VLOOKUP(H2327,'lista 3'!$A$1:$C$31467,3,0)</f>
        <v>#N/A</v>
      </c>
      <c r="H2327" s="134"/>
      <c r="I2327" s="136"/>
      <c r="J2327" s="135"/>
      <c r="K2327" s="22"/>
    </row>
    <row r="2328" spans="1:11">
      <c r="A2328" s="241" t="e">
        <f>VLOOKUP(B2328,'lista 1'!$A$2:$E$30100,4,0)</f>
        <v>#N/A</v>
      </c>
      <c r="B2328" s="123"/>
      <c r="C2328" s="133" t="e">
        <f>VLOOKUP(B2328,'lista 1'!$A$2:$E$31000,5,0)</f>
        <v>#N/A</v>
      </c>
      <c r="D2328" s="167" t="e">
        <f>VLOOKUP(E14128,'lista obszary'!A:B,2,0)</f>
        <v>#N/A</v>
      </c>
      <c r="E2328" s="128" t="e">
        <f>VLOOKUP(B2328,'LISTA 12'!$A$2:$G$301400,5,0)</f>
        <v>#N/A</v>
      </c>
      <c r="F2328" s="121" t="e">
        <f>VLOOKUP(B2328,'LISTA 12'!$A$2:$G$30100,7,0)</f>
        <v>#N/A</v>
      </c>
      <c r="G2328" s="254" t="e">
        <f>VLOOKUP(H2328,'lista 3'!$A$1:$C$31467,3,0)</f>
        <v>#N/A</v>
      </c>
      <c r="H2328" s="134"/>
      <c r="I2328" s="136"/>
      <c r="J2328" s="135"/>
      <c r="K2328" s="22"/>
    </row>
    <row r="2329" spans="1:11">
      <c r="A2329" s="241" t="e">
        <f>VLOOKUP(B2329,'lista 1'!$A$2:$E$30100,4,0)</f>
        <v>#N/A</v>
      </c>
      <c r="B2329" s="123"/>
      <c r="C2329" s="133" t="e">
        <f>VLOOKUP(B2329,'lista 1'!$A$2:$E$31000,5,0)</f>
        <v>#N/A</v>
      </c>
      <c r="D2329" s="167" t="e">
        <f>VLOOKUP(E14129,'lista obszary'!A:B,2,0)</f>
        <v>#N/A</v>
      </c>
      <c r="E2329" s="128" t="e">
        <f>VLOOKUP(B2329,'LISTA 12'!$A$2:$G$301400,5,0)</f>
        <v>#N/A</v>
      </c>
      <c r="F2329" s="121" t="e">
        <f>VLOOKUP(B2329,'LISTA 12'!$A$2:$G$30100,7,0)</f>
        <v>#N/A</v>
      </c>
      <c r="G2329" s="254" t="e">
        <f>VLOOKUP(H2329,'lista 3'!$A$1:$C$31467,3,0)</f>
        <v>#N/A</v>
      </c>
      <c r="H2329" s="134"/>
      <c r="I2329" s="136"/>
      <c r="J2329" s="135"/>
      <c r="K2329" s="22"/>
    </row>
    <row r="2330" spans="1:11">
      <c r="A2330" s="241" t="e">
        <f>VLOOKUP(B2330,'lista 1'!$A$2:$E$30100,4,0)</f>
        <v>#N/A</v>
      </c>
      <c r="B2330" s="123"/>
      <c r="C2330" s="133" t="e">
        <f>VLOOKUP(B2330,'lista 1'!$A$2:$E$31000,5,0)</f>
        <v>#N/A</v>
      </c>
      <c r="D2330" s="167" t="e">
        <f>VLOOKUP(E14130,'lista obszary'!A:B,2,0)</f>
        <v>#N/A</v>
      </c>
      <c r="E2330" s="128" t="e">
        <f>VLOOKUP(B2330,'LISTA 12'!$A$2:$G$301400,5,0)</f>
        <v>#N/A</v>
      </c>
      <c r="F2330" s="121" t="e">
        <f>VLOOKUP(B2330,'LISTA 12'!$A$2:$G$30100,7,0)</f>
        <v>#N/A</v>
      </c>
      <c r="G2330" s="254" t="e">
        <f>VLOOKUP(H2330,'lista 3'!$A$1:$C$31467,3,0)</f>
        <v>#N/A</v>
      </c>
      <c r="H2330" s="134"/>
      <c r="I2330" s="136"/>
      <c r="J2330" s="135"/>
      <c r="K2330" s="22"/>
    </row>
    <row r="2331" spans="1:11">
      <c r="A2331" s="241" t="e">
        <f>VLOOKUP(B2331,'lista 1'!$A$2:$E$30100,4,0)</f>
        <v>#N/A</v>
      </c>
      <c r="B2331" s="123"/>
      <c r="C2331" s="133" t="e">
        <f>VLOOKUP(B2331,'lista 1'!$A$2:$E$31000,5,0)</f>
        <v>#N/A</v>
      </c>
      <c r="D2331" s="167" t="e">
        <f>VLOOKUP(E14131,'lista obszary'!A:B,2,0)</f>
        <v>#N/A</v>
      </c>
      <c r="E2331" s="128" t="e">
        <f>VLOOKUP(B2331,'LISTA 12'!$A$2:$G$301400,5,0)</f>
        <v>#N/A</v>
      </c>
      <c r="F2331" s="121" t="e">
        <f>VLOOKUP(B2331,'LISTA 12'!$A$2:$G$30100,7,0)</f>
        <v>#N/A</v>
      </c>
      <c r="G2331" s="254" t="e">
        <f>VLOOKUP(H2331,'lista 3'!$A$1:$C$31467,3,0)</f>
        <v>#N/A</v>
      </c>
      <c r="H2331" s="134"/>
      <c r="I2331" s="136"/>
      <c r="J2331" s="135"/>
      <c r="K2331" s="22"/>
    </row>
    <row r="2332" spans="1:11">
      <c r="A2332" s="241" t="e">
        <f>VLOOKUP(B2332,'lista 1'!$A$2:$E$30100,4,0)</f>
        <v>#N/A</v>
      </c>
      <c r="B2332" s="123"/>
      <c r="C2332" s="133" t="e">
        <f>VLOOKUP(B2332,'lista 1'!$A$2:$E$31000,5,0)</f>
        <v>#N/A</v>
      </c>
      <c r="D2332" s="167" t="e">
        <f>VLOOKUP(E14132,'lista obszary'!A:B,2,0)</f>
        <v>#N/A</v>
      </c>
      <c r="E2332" s="128" t="e">
        <f>VLOOKUP(B2332,'LISTA 12'!$A$2:$G$301400,5,0)</f>
        <v>#N/A</v>
      </c>
      <c r="F2332" s="121" t="e">
        <f>VLOOKUP(B2332,'LISTA 12'!$A$2:$G$30100,7,0)</f>
        <v>#N/A</v>
      </c>
      <c r="G2332" s="254" t="e">
        <f>VLOOKUP(H2332,'lista 3'!$A$1:$C$31467,3,0)</f>
        <v>#N/A</v>
      </c>
      <c r="H2332" s="134"/>
      <c r="I2332" s="136"/>
      <c r="J2332" s="135"/>
      <c r="K2332" s="22"/>
    </row>
    <row r="2333" spans="1:11">
      <c r="A2333" s="241" t="e">
        <f>VLOOKUP(B2333,'lista 1'!$A$2:$E$30100,4,0)</f>
        <v>#N/A</v>
      </c>
      <c r="B2333" s="123"/>
      <c r="C2333" s="133" t="e">
        <f>VLOOKUP(B2333,'lista 1'!$A$2:$E$31000,5,0)</f>
        <v>#N/A</v>
      </c>
      <c r="D2333" s="167" t="e">
        <f>VLOOKUP(E14133,'lista obszary'!A:B,2,0)</f>
        <v>#N/A</v>
      </c>
      <c r="E2333" s="128" t="e">
        <f>VLOOKUP(B2333,'LISTA 12'!$A$2:$G$301400,5,0)</f>
        <v>#N/A</v>
      </c>
      <c r="F2333" s="121" t="e">
        <f>VLOOKUP(B2333,'LISTA 12'!$A$2:$G$30100,7,0)</f>
        <v>#N/A</v>
      </c>
      <c r="G2333" s="254" t="e">
        <f>VLOOKUP(H2333,'lista 3'!$A$1:$C$31467,3,0)</f>
        <v>#N/A</v>
      </c>
      <c r="H2333" s="134"/>
      <c r="I2333" s="136"/>
      <c r="J2333" s="135"/>
      <c r="K2333" s="22"/>
    </row>
    <row r="2334" spans="1:11">
      <c r="A2334" s="241" t="e">
        <f>VLOOKUP(B2334,'lista 1'!$A$2:$E$30100,4,0)</f>
        <v>#N/A</v>
      </c>
      <c r="B2334" s="123"/>
      <c r="C2334" s="133" t="e">
        <f>VLOOKUP(B2334,'lista 1'!$A$2:$E$31000,5,0)</f>
        <v>#N/A</v>
      </c>
      <c r="D2334" s="167" t="e">
        <f>VLOOKUP(E14134,'lista obszary'!A:B,2,0)</f>
        <v>#N/A</v>
      </c>
      <c r="E2334" s="128" t="e">
        <f>VLOOKUP(B2334,'LISTA 12'!$A$2:$G$301400,5,0)</f>
        <v>#N/A</v>
      </c>
      <c r="F2334" s="121" t="e">
        <f>VLOOKUP(B2334,'LISTA 12'!$A$2:$G$30100,7,0)</f>
        <v>#N/A</v>
      </c>
      <c r="G2334" s="254" t="e">
        <f>VLOOKUP(H2334,'lista 3'!$A$1:$C$31467,3,0)</f>
        <v>#N/A</v>
      </c>
      <c r="H2334" s="134"/>
      <c r="I2334" s="136"/>
      <c r="J2334" s="135"/>
      <c r="K2334" s="22"/>
    </row>
    <row r="2335" spans="1:11">
      <c r="A2335" s="241" t="e">
        <f>VLOOKUP(B2335,'lista 1'!$A$2:$E$30100,4,0)</f>
        <v>#N/A</v>
      </c>
      <c r="B2335" s="123"/>
      <c r="C2335" s="133" t="e">
        <f>VLOOKUP(B2335,'lista 1'!$A$2:$E$31000,5,0)</f>
        <v>#N/A</v>
      </c>
      <c r="D2335" s="167" t="e">
        <f>VLOOKUP(E14135,'lista obszary'!A:B,2,0)</f>
        <v>#N/A</v>
      </c>
      <c r="E2335" s="128" t="e">
        <f>VLOOKUP(B2335,'LISTA 12'!$A$2:$G$301400,5,0)</f>
        <v>#N/A</v>
      </c>
      <c r="F2335" s="121" t="e">
        <f>VLOOKUP(B2335,'LISTA 12'!$A$2:$G$30100,7,0)</f>
        <v>#N/A</v>
      </c>
      <c r="G2335" s="254" t="e">
        <f>VLOOKUP(H2335,'lista 3'!$A$1:$C$31467,3,0)</f>
        <v>#N/A</v>
      </c>
      <c r="H2335" s="134"/>
      <c r="I2335" s="136"/>
      <c r="J2335" s="135"/>
      <c r="K2335" s="22"/>
    </row>
    <row r="2336" spans="1:11">
      <c r="A2336" s="241" t="e">
        <f>VLOOKUP(B2336,'lista 1'!$A$2:$E$30100,4,0)</f>
        <v>#N/A</v>
      </c>
      <c r="B2336" s="123"/>
      <c r="C2336" s="133" t="e">
        <f>VLOOKUP(B2336,'lista 1'!$A$2:$E$31000,5,0)</f>
        <v>#N/A</v>
      </c>
      <c r="D2336" s="167" t="e">
        <f>VLOOKUP(E14136,'lista obszary'!A:B,2,0)</f>
        <v>#N/A</v>
      </c>
      <c r="E2336" s="128" t="e">
        <f>VLOOKUP(B2336,'LISTA 12'!$A$2:$G$301400,5,0)</f>
        <v>#N/A</v>
      </c>
      <c r="F2336" s="121" t="e">
        <f>VLOOKUP(B2336,'LISTA 12'!$A$2:$G$30100,7,0)</f>
        <v>#N/A</v>
      </c>
      <c r="G2336" s="254" t="e">
        <f>VLOOKUP(H2336,'lista 3'!$A$1:$C$31467,3,0)</f>
        <v>#N/A</v>
      </c>
      <c r="H2336" s="134"/>
      <c r="I2336" s="136"/>
      <c r="J2336" s="135"/>
      <c r="K2336" s="22"/>
    </row>
    <row r="2337" spans="1:11">
      <c r="A2337" s="241" t="e">
        <f>VLOOKUP(B2337,'lista 1'!$A$2:$E$30100,4,0)</f>
        <v>#N/A</v>
      </c>
      <c r="B2337" s="123"/>
      <c r="C2337" s="133" t="e">
        <f>VLOOKUP(B2337,'lista 1'!$A$2:$E$31000,5,0)</f>
        <v>#N/A</v>
      </c>
      <c r="D2337" s="167" t="e">
        <f>VLOOKUP(E14137,'lista obszary'!A:B,2,0)</f>
        <v>#N/A</v>
      </c>
      <c r="E2337" s="128" t="e">
        <f>VLOOKUP(B2337,'LISTA 12'!$A$2:$G$301400,5,0)</f>
        <v>#N/A</v>
      </c>
      <c r="F2337" s="121" t="e">
        <f>VLOOKUP(B2337,'LISTA 12'!$A$2:$G$30100,7,0)</f>
        <v>#N/A</v>
      </c>
      <c r="G2337" s="254" t="e">
        <f>VLOOKUP(H2337,'lista 3'!$A$1:$C$31467,3,0)</f>
        <v>#N/A</v>
      </c>
      <c r="H2337" s="134"/>
      <c r="I2337" s="136"/>
      <c r="J2337" s="135"/>
      <c r="K2337" s="22"/>
    </row>
    <row r="2338" spans="1:11">
      <c r="A2338" s="241" t="e">
        <f>VLOOKUP(B2338,'lista 1'!$A$2:$E$30100,4,0)</f>
        <v>#N/A</v>
      </c>
      <c r="B2338" s="123"/>
      <c r="C2338" s="133" t="e">
        <f>VLOOKUP(B2338,'lista 1'!$A$2:$E$31000,5,0)</f>
        <v>#N/A</v>
      </c>
      <c r="D2338" s="167" t="e">
        <f>VLOOKUP(E14138,'lista obszary'!A:B,2,0)</f>
        <v>#N/A</v>
      </c>
      <c r="E2338" s="128" t="e">
        <f>VLOOKUP(B2338,'LISTA 12'!$A$2:$G$301400,5,0)</f>
        <v>#N/A</v>
      </c>
      <c r="F2338" s="121" t="e">
        <f>VLOOKUP(B2338,'LISTA 12'!$A$2:$G$30100,7,0)</f>
        <v>#N/A</v>
      </c>
      <c r="G2338" s="254" t="e">
        <f>VLOOKUP(H2338,'lista 3'!$A$1:$C$31467,3,0)</f>
        <v>#N/A</v>
      </c>
      <c r="H2338" s="134"/>
      <c r="I2338" s="136"/>
      <c r="J2338" s="135"/>
      <c r="K2338" s="22"/>
    </row>
    <row r="2339" spans="1:11">
      <c r="A2339" s="241" t="e">
        <f>VLOOKUP(B2339,'lista 1'!$A$2:$E$30100,4,0)</f>
        <v>#N/A</v>
      </c>
      <c r="B2339" s="123"/>
      <c r="C2339" s="133" t="e">
        <f>VLOOKUP(B2339,'lista 1'!$A$2:$E$31000,5,0)</f>
        <v>#N/A</v>
      </c>
      <c r="D2339" s="167" t="e">
        <f>VLOOKUP(E14139,'lista obszary'!A:B,2,0)</f>
        <v>#N/A</v>
      </c>
      <c r="E2339" s="128" t="e">
        <f>VLOOKUP(B2339,'LISTA 12'!$A$2:$G$301400,5,0)</f>
        <v>#N/A</v>
      </c>
      <c r="F2339" s="121" t="e">
        <f>VLOOKUP(B2339,'LISTA 12'!$A$2:$G$30100,7,0)</f>
        <v>#N/A</v>
      </c>
      <c r="G2339" s="254" t="e">
        <f>VLOOKUP(H2339,'lista 3'!$A$1:$C$31467,3,0)</f>
        <v>#N/A</v>
      </c>
      <c r="H2339" s="134"/>
      <c r="I2339" s="136"/>
      <c r="J2339" s="135"/>
      <c r="K2339" s="22"/>
    </row>
    <row r="2340" spans="1:11">
      <c r="A2340" s="241" t="e">
        <f>VLOOKUP(B2340,'lista 1'!$A$2:$E$30100,4,0)</f>
        <v>#N/A</v>
      </c>
      <c r="B2340" s="123"/>
      <c r="C2340" s="133" t="e">
        <f>VLOOKUP(B2340,'lista 1'!$A$2:$E$31000,5,0)</f>
        <v>#N/A</v>
      </c>
      <c r="D2340" s="167" t="e">
        <f>VLOOKUP(E14140,'lista obszary'!A:B,2,0)</f>
        <v>#N/A</v>
      </c>
      <c r="E2340" s="128" t="e">
        <f>VLOOKUP(B2340,'LISTA 12'!$A$2:$G$301400,5,0)</f>
        <v>#N/A</v>
      </c>
      <c r="F2340" s="121" t="e">
        <f>VLOOKUP(B2340,'LISTA 12'!$A$2:$G$30100,7,0)</f>
        <v>#N/A</v>
      </c>
      <c r="G2340" s="254" t="e">
        <f>VLOOKUP(H2340,'lista 3'!$A$1:$C$31467,3,0)</f>
        <v>#N/A</v>
      </c>
      <c r="H2340" s="134"/>
      <c r="I2340" s="136"/>
      <c r="J2340" s="135"/>
      <c r="K2340" s="22"/>
    </row>
    <row r="2341" spans="1:11">
      <c r="A2341" s="241" t="e">
        <f>VLOOKUP(B2341,'lista 1'!$A$2:$E$30100,4,0)</f>
        <v>#N/A</v>
      </c>
      <c r="B2341" s="123"/>
      <c r="C2341" s="133" t="e">
        <f>VLOOKUP(B2341,'lista 1'!$A$2:$E$31000,5,0)</f>
        <v>#N/A</v>
      </c>
      <c r="D2341" s="167" t="e">
        <f>VLOOKUP(E14141,'lista obszary'!A:B,2,0)</f>
        <v>#N/A</v>
      </c>
      <c r="E2341" s="128" t="e">
        <f>VLOOKUP(B2341,'LISTA 12'!$A$2:$G$301400,5,0)</f>
        <v>#N/A</v>
      </c>
      <c r="F2341" s="121" t="e">
        <f>VLOOKUP(B2341,'LISTA 12'!$A$2:$G$30100,7,0)</f>
        <v>#N/A</v>
      </c>
      <c r="G2341" s="254" t="e">
        <f>VLOOKUP(H2341,'lista 3'!$A$1:$C$31467,3,0)</f>
        <v>#N/A</v>
      </c>
      <c r="H2341" s="134"/>
      <c r="I2341" s="136"/>
      <c r="J2341" s="135"/>
      <c r="K2341" s="22"/>
    </row>
    <row r="2342" spans="1:11">
      <c r="A2342" s="241" t="e">
        <f>VLOOKUP(B2342,'lista 1'!$A$2:$E$30100,4,0)</f>
        <v>#N/A</v>
      </c>
      <c r="B2342" s="123"/>
      <c r="C2342" s="133" t="e">
        <f>VLOOKUP(B2342,'lista 1'!$A$2:$E$31000,5,0)</f>
        <v>#N/A</v>
      </c>
      <c r="D2342" s="167" t="e">
        <f>VLOOKUP(E14142,'lista obszary'!A:B,2,0)</f>
        <v>#N/A</v>
      </c>
      <c r="E2342" s="128" t="e">
        <f>VLOOKUP(B2342,'LISTA 12'!$A$2:$G$301400,5,0)</f>
        <v>#N/A</v>
      </c>
      <c r="F2342" s="121" t="e">
        <f>VLOOKUP(B2342,'LISTA 12'!$A$2:$G$30100,7,0)</f>
        <v>#N/A</v>
      </c>
      <c r="G2342" s="254" t="e">
        <f>VLOOKUP(H2342,'lista 3'!$A$1:$C$31467,3,0)</f>
        <v>#N/A</v>
      </c>
      <c r="H2342" s="134"/>
      <c r="I2342" s="136"/>
      <c r="J2342" s="135"/>
      <c r="K2342" s="22"/>
    </row>
    <row r="2343" spans="1:11">
      <c r="A2343" s="241" t="e">
        <f>VLOOKUP(B2343,'lista 1'!$A$2:$E$30100,4,0)</f>
        <v>#N/A</v>
      </c>
      <c r="B2343" s="123"/>
      <c r="C2343" s="133" t="e">
        <f>VLOOKUP(B2343,'lista 1'!$A$2:$E$31000,5,0)</f>
        <v>#N/A</v>
      </c>
      <c r="D2343" s="167" t="e">
        <f>VLOOKUP(E14143,'lista obszary'!A:B,2,0)</f>
        <v>#N/A</v>
      </c>
      <c r="E2343" s="128" t="e">
        <f>VLOOKUP(B2343,'LISTA 12'!$A$2:$G$301400,5,0)</f>
        <v>#N/A</v>
      </c>
      <c r="F2343" s="121" t="e">
        <f>VLOOKUP(B2343,'LISTA 12'!$A$2:$G$30100,7,0)</f>
        <v>#N/A</v>
      </c>
      <c r="G2343" s="254" t="e">
        <f>VLOOKUP(H2343,'lista 3'!$A$1:$C$31467,3,0)</f>
        <v>#N/A</v>
      </c>
      <c r="H2343" s="134"/>
      <c r="I2343" s="136"/>
      <c r="J2343" s="135"/>
      <c r="K2343" s="22"/>
    </row>
    <row r="2344" spans="1:11">
      <c r="A2344" s="241" t="e">
        <f>VLOOKUP(B2344,'lista 1'!$A$2:$E$30100,4,0)</f>
        <v>#N/A</v>
      </c>
      <c r="B2344" s="123"/>
      <c r="C2344" s="133" t="e">
        <f>VLOOKUP(B2344,'lista 1'!$A$2:$E$31000,5,0)</f>
        <v>#N/A</v>
      </c>
      <c r="D2344" s="167" t="e">
        <f>VLOOKUP(E14144,'lista obszary'!A:B,2,0)</f>
        <v>#N/A</v>
      </c>
      <c r="E2344" s="128" t="e">
        <f>VLOOKUP(B2344,'LISTA 12'!$A$2:$G$301400,5,0)</f>
        <v>#N/A</v>
      </c>
      <c r="F2344" s="121" t="e">
        <f>VLOOKUP(B2344,'LISTA 12'!$A$2:$G$30100,7,0)</f>
        <v>#N/A</v>
      </c>
      <c r="G2344" s="254" t="e">
        <f>VLOOKUP(H2344,'lista 3'!$A$1:$C$31467,3,0)</f>
        <v>#N/A</v>
      </c>
      <c r="H2344" s="134"/>
      <c r="I2344" s="136"/>
      <c r="J2344" s="135"/>
      <c r="K2344" s="22"/>
    </row>
    <row r="2345" spans="1:11">
      <c r="A2345" s="241" t="e">
        <f>VLOOKUP(B2345,'lista 1'!$A$2:$E$30100,4,0)</f>
        <v>#N/A</v>
      </c>
      <c r="B2345" s="123"/>
      <c r="C2345" s="133" t="e">
        <f>VLOOKUP(B2345,'lista 1'!$A$2:$E$31000,5,0)</f>
        <v>#N/A</v>
      </c>
      <c r="D2345" s="167" t="e">
        <f>VLOOKUP(E14145,'lista obszary'!A:B,2,0)</f>
        <v>#N/A</v>
      </c>
      <c r="E2345" s="128" t="e">
        <f>VLOOKUP(B2345,'LISTA 12'!$A$2:$G$301400,5,0)</f>
        <v>#N/A</v>
      </c>
      <c r="F2345" s="121" t="e">
        <f>VLOOKUP(B2345,'LISTA 12'!$A$2:$G$30100,7,0)</f>
        <v>#N/A</v>
      </c>
      <c r="G2345" s="254" t="e">
        <f>VLOOKUP(H2345,'lista 3'!$A$1:$C$31467,3,0)</f>
        <v>#N/A</v>
      </c>
      <c r="H2345" s="134"/>
      <c r="I2345" s="136"/>
      <c r="J2345" s="135"/>
      <c r="K2345" s="22"/>
    </row>
    <row r="2346" spans="1:11">
      <c r="A2346" s="241" t="e">
        <f>VLOOKUP(B2346,'lista 1'!$A$2:$E$30100,4,0)</f>
        <v>#N/A</v>
      </c>
      <c r="B2346" s="123"/>
      <c r="C2346" s="133" t="e">
        <f>VLOOKUP(B2346,'lista 1'!$A$2:$E$31000,5,0)</f>
        <v>#N/A</v>
      </c>
      <c r="D2346" s="167" t="e">
        <f>VLOOKUP(E14146,'lista obszary'!A:B,2,0)</f>
        <v>#N/A</v>
      </c>
      <c r="E2346" s="128" t="e">
        <f>VLOOKUP(B2346,'LISTA 12'!$A$2:$G$301400,5,0)</f>
        <v>#N/A</v>
      </c>
      <c r="F2346" s="121" t="e">
        <f>VLOOKUP(B2346,'LISTA 12'!$A$2:$G$30100,7,0)</f>
        <v>#N/A</v>
      </c>
      <c r="G2346" s="254" t="e">
        <f>VLOOKUP(H2346,'lista 3'!$A$1:$C$31467,3,0)</f>
        <v>#N/A</v>
      </c>
      <c r="H2346" s="134"/>
      <c r="I2346" s="136"/>
      <c r="J2346" s="135"/>
      <c r="K2346" s="22"/>
    </row>
    <row r="2347" spans="1:11">
      <c r="A2347" s="241" t="e">
        <f>VLOOKUP(B2347,'lista 1'!$A$2:$E$30100,4,0)</f>
        <v>#N/A</v>
      </c>
      <c r="B2347" s="123"/>
      <c r="C2347" s="133" t="e">
        <f>VLOOKUP(B2347,'lista 1'!$A$2:$E$31000,5,0)</f>
        <v>#N/A</v>
      </c>
      <c r="D2347" s="167" t="e">
        <f>VLOOKUP(E14147,'lista obszary'!A:B,2,0)</f>
        <v>#N/A</v>
      </c>
      <c r="E2347" s="128" t="e">
        <f>VLOOKUP(B2347,'LISTA 12'!$A$2:$G$301400,5,0)</f>
        <v>#N/A</v>
      </c>
      <c r="F2347" s="121" t="e">
        <f>VLOOKUP(B2347,'LISTA 12'!$A$2:$G$30100,7,0)</f>
        <v>#N/A</v>
      </c>
      <c r="G2347" s="254" t="e">
        <f>VLOOKUP(H2347,'lista 3'!$A$1:$C$31467,3,0)</f>
        <v>#N/A</v>
      </c>
      <c r="H2347" s="134"/>
      <c r="I2347" s="136"/>
      <c r="J2347" s="135"/>
      <c r="K2347" s="22"/>
    </row>
    <row r="2348" spans="1:11">
      <c r="A2348" s="241" t="e">
        <f>VLOOKUP(B2348,'lista 1'!$A$2:$E$30100,4,0)</f>
        <v>#N/A</v>
      </c>
      <c r="B2348" s="123"/>
      <c r="C2348" s="133" t="e">
        <f>VLOOKUP(B2348,'lista 1'!$A$2:$E$31000,5,0)</f>
        <v>#N/A</v>
      </c>
      <c r="D2348" s="167" t="e">
        <f>VLOOKUP(E14148,'lista obszary'!A:B,2,0)</f>
        <v>#N/A</v>
      </c>
      <c r="E2348" s="128" t="e">
        <f>VLOOKUP(B2348,'LISTA 12'!$A$2:$G$301400,5,0)</f>
        <v>#N/A</v>
      </c>
      <c r="F2348" s="121" t="e">
        <f>VLOOKUP(B2348,'LISTA 12'!$A$2:$G$30100,7,0)</f>
        <v>#N/A</v>
      </c>
      <c r="G2348" s="254" t="e">
        <f>VLOOKUP(H2348,'lista 3'!$A$1:$C$31467,3,0)</f>
        <v>#N/A</v>
      </c>
      <c r="H2348" s="134"/>
      <c r="I2348" s="136"/>
      <c r="J2348" s="135"/>
      <c r="K2348" s="22"/>
    </row>
    <row r="2349" spans="1:11">
      <c r="A2349" s="241" t="e">
        <f>VLOOKUP(B2349,'lista 1'!$A$2:$E$30100,4,0)</f>
        <v>#N/A</v>
      </c>
      <c r="B2349" s="123"/>
      <c r="C2349" s="133" t="e">
        <f>VLOOKUP(B2349,'lista 1'!$A$2:$E$31000,5,0)</f>
        <v>#N/A</v>
      </c>
      <c r="D2349" s="167" t="e">
        <f>VLOOKUP(E14149,'lista obszary'!A:B,2,0)</f>
        <v>#N/A</v>
      </c>
      <c r="E2349" s="128" t="e">
        <f>VLOOKUP(B2349,'LISTA 12'!$A$2:$G$301400,5,0)</f>
        <v>#N/A</v>
      </c>
      <c r="F2349" s="121" t="e">
        <f>VLOOKUP(B2349,'LISTA 12'!$A$2:$G$30100,7,0)</f>
        <v>#N/A</v>
      </c>
      <c r="G2349" s="254" t="e">
        <f>VLOOKUP(H2349,'lista 3'!$A$1:$C$31467,3,0)</f>
        <v>#N/A</v>
      </c>
      <c r="H2349" s="134"/>
      <c r="I2349" s="136"/>
      <c r="J2349" s="135"/>
      <c r="K2349" s="22"/>
    </row>
    <row r="2350" spans="1:11">
      <c r="A2350" s="241" t="e">
        <f>VLOOKUP(B2350,'lista 1'!$A$2:$E$30100,4,0)</f>
        <v>#N/A</v>
      </c>
      <c r="B2350" s="123"/>
      <c r="C2350" s="133" t="e">
        <f>VLOOKUP(B2350,'lista 1'!$A$2:$E$31000,5,0)</f>
        <v>#N/A</v>
      </c>
      <c r="D2350" s="167" t="e">
        <f>VLOOKUP(E14150,'lista obszary'!A:B,2,0)</f>
        <v>#N/A</v>
      </c>
      <c r="E2350" s="128" t="e">
        <f>VLOOKUP(B2350,'LISTA 12'!$A$2:$G$301400,5,0)</f>
        <v>#N/A</v>
      </c>
      <c r="F2350" s="121" t="e">
        <f>VLOOKUP(B2350,'LISTA 12'!$A$2:$G$30100,7,0)</f>
        <v>#N/A</v>
      </c>
      <c r="G2350" s="254" t="e">
        <f>VLOOKUP(H2350,'lista 3'!$A$1:$C$31467,3,0)</f>
        <v>#N/A</v>
      </c>
      <c r="H2350" s="134"/>
      <c r="I2350" s="136"/>
      <c r="J2350" s="135"/>
      <c r="K2350" s="22"/>
    </row>
    <row r="2351" spans="1:11">
      <c r="A2351" s="241" t="e">
        <f>VLOOKUP(B2351,'lista 1'!$A$2:$E$30100,4,0)</f>
        <v>#N/A</v>
      </c>
      <c r="B2351" s="123"/>
      <c r="C2351" s="133" t="e">
        <f>VLOOKUP(B2351,'lista 1'!$A$2:$E$31000,5,0)</f>
        <v>#N/A</v>
      </c>
      <c r="D2351" s="167" t="e">
        <f>VLOOKUP(E14151,'lista obszary'!A:B,2,0)</f>
        <v>#N/A</v>
      </c>
      <c r="E2351" s="128" t="e">
        <f>VLOOKUP(B2351,'LISTA 12'!$A$2:$G$301400,5,0)</f>
        <v>#N/A</v>
      </c>
      <c r="F2351" s="121" t="e">
        <f>VLOOKUP(B2351,'LISTA 12'!$A$2:$G$30100,7,0)</f>
        <v>#N/A</v>
      </c>
      <c r="G2351" s="254" t="e">
        <f>VLOOKUP(H2351,'lista 3'!$A$1:$C$31467,3,0)</f>
        <v>#N/A</v>
      </c>
      <c r="H2351" s="134"/>
      <c r="I2351" s="136"/>
      <c r="J2351" s="135"/>
      <c r="K2351" s="22"/>
    </row>
    <row r="2352" spans="1:11">
      <c r="A2352" s="241" t="e">
        <f>VLOOKUP(B2352,'lista 1'!$A$2:$E$30100,4,0)</f>
        <v>#N/A</v>
      </c>
      <c r="B2352" s="123"/>
      <c r="C2352" s="133" t="e">
        <f>VLOOKUP(B2352,'lista 1'!$A$2:$E$31000,5,0)</f>
        <v>#N/A</v>
      </c>
      <c r="D2352" s="167" t="e">
        <f>VLOOKUP(E14152,'lista obszary'!A:B,2,0)</f>
        <v>#N/A</v>
      </c>
      <c r="E2352" s="128" t="e">
        <f>VLOOKUP(B2352,'LISTA 12'!$A$2:$G$301400,5,0)</f>
        <v>#N/A</v>
      </c>
      <c r="F2352" s="121" t="e">
        <f>VLOOKUP(B2352,'LISTA 12'!$A$2:$G$30100,7,0)</f>
        <v>#N/A</v>
      </c>
      <c r="G2352" s="254" t="e">
        <f>VLOOKUP(H2352,'lista 3'!$A$1:$C$31467,3,0)</f>
        <v>#N/A</v>
      </c>
      <c r="H2352" s="134"/>
      <c r="I2352" s="136"/>
      <c r="J2352" s="135"/>
      <c r="K2352" s="22"/>
    </row>
    <row r="2353" spans="1:11">
      <c r="A2353" s="241" t="e">
        <f>VLOOKUP(B2353,'lista 1'!$A$2:$E$30100,4,0)</f>
        <v>#N/A</v>
      </c>
      <c r="B2353" s="123"/>
      <c r="C2353" s="133" t="e">
        <f>VLOOKUP(B2353,'lista 1'!$A$2:$E$31000,5,0)</f>
        <v>#N/A</v>
      </c>
      <c r="D2353" s="167" t="e">
        <f>VLOOKUP(E14153,'lista obszary'!A:B,2,0)</f>
        <v>#N/A</v>
      </c>
      <c r="E2353" s="128" t="e">
        <f>VLOOKUP(B2353,'LISTA 12'!$A$2:$G$301400,5,0)</f>
        <v>#N/A</v>
      </c>
      <c r="F2353" s="121" t="e">
        <f>VLOOKUP(B2353,'LISTA 12'!$A$2:$G$30100,7,0)</f>
        <v>#N/A</v>
      </c>
      <c r="G2353" s="254" t="e">
        <f>VLOOKUP(H2353,'lista 3'!$A$1:$C$31467,3,0)</f>
        <v>#N/A</v>
      </c>
      <c r="H2353" s="134"/>
      <c r="I2353" s="136"/>
      <c r="J2353" s="135"/>
      <c r="K2353" s="22"/>
    </row>
    <row r="2354" spans="1:11">
      <c r="A2354" s="241" t="e">
        <f>VLOOKUP(B2354,'lista 1'!$A$2:$E$30100,4,0)</f>
        <v>#N/A</v>
      </c>
      <c r="B2354" s="123"/>
      <c r="C2354" s="133" t="e">
        <f>VLOOKUP(B2354,'lista 1'!$A$2:$E$31000,5,0)</f>
        <v>#N/A</v>
      </c>
      <c r="D2354" s="167" t="e">
        <f>VLOOKUP(E14154,'lista obszary'!A:B,2,0)</f>
        <v>#N/A</v>
      </c>
      <c r="E2354" s="128" t="e">
        <f>VLOOKUP(B2354,'LISTA 12'!$A$2:$G$301400,5,0)</f>
        <v>#N/A</v>
      </c>
      <c r="F2354" s="121" t="e">
        <f>VLOOKUP(B2354,'LISTA 12'!$A$2:$G$30100,7,0)</f>
        <v>#N/A</v>
      </c>
      <c r="G2354" s="254" t="e">
        <f>VLOOKUP(H2354,'lista 3'!$A$1:$C$31467,3,0)</f>
        <v>#N/A</v>
      </c>
      <c r="H2354" s="134"/>
      <c r="I2354" s="136"/>
      <c r="J2354" s="135"/>
      <c r="K2354" s="22"/>
    </row>
    <row r="2355" spans="1:11">
      <c r="A2355" s="241" t="e">
        <f>VLOOKUP(B2355,'lista 1'!$A$2:$E$30100,4,0)</f>
        <v>#N/A</v>
      </c>
      <c r="B2355" s="123"/>
      <c r="C2355" s="133" t="e">
        <f>VLOOKUP(B2355,'lista 1'!$A$2:$E$31000,5,0)</f>
        <v>#N/A</v>
      </c>
      <c r="D2355" s="167" t="e">
        <f>VLOOKUP(E14155,'lista obszary'!A:B,2,0)</f>
        <v>#N/A</v>
      </c>
      <c r="E2355" s="128" t="e">
        <f>VLOOKUP(B2355,'LISTA 12'!$A$2:$G$301400,5,0)</f>
        <v>#N/A</v>
      </c>
      <c r="F2355" s="121" t="e">
        <f>VLOOKUP(B2355,'LISTA 12'!$A$2:$G$30100,7,0)</f>
        <v>#N/A</v>
      </c>
      <c r="G2355" s="254" t="e">
        <f>VLOOKUP(H2355,'lista 3'!$A$1:$C$31467,3,0)</f>
        <v>#N/A</v>
      </c>
      <c r="H2355" s="134"/>
      <c r="I2355" s="136"/>
      <c r="J2355" s="135"/>
      <c r="K2355" s="22"/>
    </row>
    <row r="2356" spans="1:11">
      <c r="A2356" s="241" t="e">
        <f>VLOOKUP(B2356,'lista 1'!$A$2:$E$30100,4,0)</f>
        <v>#N/A</v>
      </c>
      <c r="B2356" s="123"/>
      <c r="C2356" s="133" t="e">
        <f>VLOOKUP(B2356,'lista 1'!$A$2:$E$31000,5,0)</f>
        <v>#N/A</v>
      </c>
      <c r="D2356" s="167" t="e">
        <f>VLOOKUP(E14156,'lista obszary'!A:B,2,0)</f>
        <v>#N/A</v>
      </c>
      <c r="E2356" s="128" t="e">
        <f>VLOOKUP(B2356,'LISTA 12'!$A$2:$G$301400,5,0)</f>
        <v>#N/A</v>
      </c>
      <c r="F2356" s="121" t="e">
        <f>VLOOKUP(B2356,'LISTA 12'!$A$2:$G$30100,7,0)</f>
        <v>#N/A</v>
      </c>
      <c r="G2356" s="254" t="e">
        <f>VLOOKUP(H2356,'lista 3'!$A$1:$C$31467,3,0)</f>
        <v>#N/A</v>
      </c>
      <c r="H2356" s="134"/>
      <c r="I2356" s="136"/>
      <c r="J2356" s="135"/>
      <c r="K2356" s="22"/>
    </row>
    <row r="2357" spans="1:11">
      <c r="A2357" s="241" t="e">
        <f>VLOOKUP(B2357,'lista 1'!$A$2:$E$30100,4,0)</f>
        <v>#N/A</v>
      </c>
      <c r="B2357" s="123"/>
      <c r="C2357" s="133" t="e">
        <f>VLOOKUP(B2357,'lista 1'!$A$2:$E$31000,5,0)</f>
        <v>#N/A</v>
      </c>
      <c r="D2357" s="167" t="e">
        <f>VLOOKUP(E14157,'lista obszary'!A:B,2,0)</f>
        <v>#N/A</v>
      </c>
      <c r="E2357" s="128" t="e">
        <f>VLOOKUP(B2357,'LISTA 12'!$A$2:$G$301400,5,0)</f>
        <v>#N/A</v>
      </c>
      <c r="F2357" s="121" t="e">
        <f>VLOOKUP(B2357,'LISTA 12'!$A$2:$G$30100,7,0)</f>
        <v>#N/A</v>
      </c>
      <c r="G2357" s="254" t="e">
        <f>VLOOKUP(H2357,'lista 3'!$A$1:$C$31467,3,0)</f>
        <v>#N/A</v>
      </c>
      <c r="H2357" s="134"/>
      <c r="I2357" s="136"/>
      <c r="J2357" s="135"/>
      <c r="K2357" s="22"/>
    </row>
    <row r="2358" spans="1:11">
      <c r="A2358" s="241" t="e">
        <f>VLOOKUP(B2358,'lista 1'!$A$2:$E$30100,4,0)</f>
        <v>#N/A</v>
      </c>
      <c r="B2358" s="123"/>
      <c r="C2358" s="133" t="e">
        <f>VLOOKUP(B2358,'lista 1'!$A$2:$E$31000,5,0)</f>
        <v>#N/A</v>
      </c>
      <c r="D2358" s="167" t="e">
        <f>VLOOKUP(E14158,'lista obszary'!A:B,2,0)</f>
        <v>#N/A</v>
      </c>
      <c r="E2358" s="128" t="e">
        <f>VLOOKUP(B2358,'LISTA 12'!$A$2:$G$301400,5,0)</f>
        <v>#N/A</v>
      </c>
      <c r="F2358" s="121" t="e">
        <f>VLOOKUP(B2358,'LISTA 12'!$A$2:$G$30100,7,0)</f>
        <v>#N/A</v>
      </c>
      <c r="G2358" s="254" t="e">
        <f>VLOOKUP(H2358,'lista 3'!$A$1:$C$31467,3,0)</f>
        <v>#N/A</v>
      </c>
      <c r="H2358" s="134"/>
      <c r="I2358" s="136"/>
      <c r="J2358" s="135"/>
      <c r="K2358" s="22"/>
    </row>
    <row r="2359" spans="1:11">
      <c r="A2359" s="241" t="e">
        <f>VLOOKUP(B2359,'lista 1'!$A$2:$E$30100,4,0)</f>
        <v>#N/A</v>
      </c>
      <c r="B2359" s="123"/>
      <c r="C2359" s="133" t="e">
        <f>VLOOKUP(B2359,'lista 1'!$A$2:$E$31000,5,0)</f>
        <v>#N/A</v>
      </c>
      <c r="D2359" s="167" t="e">
        <f>VLOOKUP(E14159,'lista obszary'!A:B,2,0)</f>
        <v>#N/A</v>
      </c>
      <c r="E2359" s="128" t="e">
        <f>VLOOKUP(B2359,'LISTA 12'!$A$2:$G$301400,5,0)</f>
        <v>#N/A</v>
      </c>
      <c r="F2359" s="121" t="e">
        <f>VLOOKUP(B2359,'LISTA 12'!$A$2:$G$30100,7,0)</f>
        <v>#N/A</v>
      </c>
      <c r="G2359" s="254" t="e">
        <f>VLOOKUP(H2359,'lista 3'!$A$1:$C$31467,3,0)</f>
        <v>#N/A</v>
      </c>
      <c r="H2359" s="134"/>
      <c r="I2359" s="136"/>
      <c r="J2359" s="135"/>
      <c r="K2359" s="22"/>
    </row>
    <row r="2360" spans="1:11">
      <c r="A2360" s="241" t="e">
        <f>VLOOKUP(B2360,'lista 1'!$A$2:$E$30100,4,0)</f>
        <v>#N/A</v>
      </c>
      <c r="B2360" s="123"/>
      <c r="C2360" s="133" t="e">
        <f>VLOOKUP(B2360,'lista 1'!$A$2:$E$31000,5,0)</f>
        <v>#N/A</v>
      </c>
      <c r="D2360" s="167" t="e">
        <f>VLOOKUP(E14160,'lista obszary'!A:B,2,0)</f>
        <v>#N/A</v>
      </c>
      <c r="E2360" s="128" t="e">
        <f>VLOOKUP(B2360,'LISTA 12'!$A$2:$G$301400,5,0)</f>
        <v>#N/A</v>
      </c>
      <c r="F2360" s="121" t="e">
        <f>VLOOKUP(B2360,'LISTA 12'!$A$2:$G$30100,7,0)</f>
        <v>#N/A</v>
      </c>
      <c r="G2360" s="254" t="e">
        <f>VLOOKUP(H2360,'lista 3'!$A$1:$C$31467,3,0)</f>
        <v>#N/A</v>
      </c>
      <c r="H2360" s="134"/>
      <c r="I2360" s="136"/>
      <c r="J2360" s="135"/>
      <c r="K2360" s="22"/>
    </row>
    <row r="2361" spans="1:11">
      <c r="A2361" s="241" t="e">
        <f>VLOOKUP(B2361,'lista 1'!$A$2:$E$30100,4,0)</f>
        <v>#N/A</v>
      </c>
      <c r="B2361" s="123"/>
      <c r="C2361" s="133" t="e">
        <f>VLOOKUP(B2361,'lista 1'!$A$2:$E$31000,5,0)</f>
        <v>#N/A</v>
      </c>
      <c r="D2361" s="167" t="e">
        <f>VLOOKUP(E14161,'lista obszary'!A:B,2,0)</f>
        <v>#N/A</v>
      </c>
      <c r="E2361" s="128" t="e">
        <f>VLOOKUP(B2361,'LISTA 12'!$A$2:$G$301400,5,0)</f>
        <v>#N/A</v>
      </c>
      <c r="F2361" s="121" t="e">
        <f>VLOOKUP(B2361,'LISTA 12'!$A$2:$G$30100,7,0)</f>
        <v>#N/A</v>
      </c>
      <c r="G2361" s="254" t="e">
        <f>VLOOKUP(H2361,'lista 3'!$A$1:$C$31467,3,0)</f>
        <v>#N/A</v>
      </c>
      <c r="H2361" s="134"/>
      <c r="I2361" s="136"/>
      <c r="J2361" s="135"/>
      <c r="K2361" s="22"/>
    </row>
    <row r="2362" spans="1:11">
      <c r="A2362" s="241" t="e">
        <f>VLOOKUP(B2362,'lista 1'!$A$2:$E$30100,4,0)</f>
        <v>#N/A</v>
      </c>
      <c r="B2362" s="123"/>
      <c r="C2362" s="133" t="e">
        <f>VLOOKUP(B2362,'lista 1'!$A$2:$E$31000,5,0)</f>
        <v>#N/A</v>
      </c>
      <c r="D2362" s="167" t="e">
        <f>VLOOKUP(E14162,'lista obszary'!A:B,2,0)</f>
        <v>#N/A</v>
      </c>
      <c r="E2362" s="128" t="e">
        <f>VLOOKUP(B2362,'LISTA 12'!$A$2:$G$301400,5,0)</f>
        <v>#N/A</v>
      </c>
      <c r="F2362" s="121" t="e">
        <f>VLOOKUP(B2362,'LISTA 12'!$A$2:$G$30100,7,0)</f>
        <v>#N/A</v>
      </c>
      <c r="G2362" s="254" t="e">
        <f>VLOOKUP(H2362,'lista 3'!$A$1:$C$31467,3,0)</f>
        <v>#N/A</v>
      </c>
      <c r="H2362" s="134"/>
      <c r="I2362" s="136"/>
      <c r="J2362" s="135"/>
      <c r="K2362" s="22"/>
    </row>
    <row r="2363" spans="1:11">
      <c r="A2363" s="241" t="e">
        <f>VLOOKUP(B2363,'lista 1'!$A$2:$E$30100,4,0)</f>
        <v>#N/A</v>
      </c>
      <c r="B2363" s="123"/>
      <c r="C2363" s="133" t="e">
        <f>VLOOKUP(B2363,'lista 1'!$A$2:$E$31000,5,0)</f>
        <v>#N/A</v>
      </c>
      <c r="D2363" s="167" t="e">
        <f>VLOOKUP(E14163,'lista obszary'!A:B,2,0)</f>
        <v>#N/A</v>
      </c>
      <c r="E2363" s="128" t="e">
        <f>VLOOKUP(B2363,'LISTA 12'!$A$2:$G$301400,5,0)</f>
        <v>#N/A</v>
      </c>
      <c r="F2363" s="121" t="e">
        <f>VLOOKUP(B2363,'LISTA 12'!$A$2:$G$30100,7,0)</f>
        <v>#N/A</v>
      </c>
      <c r="G2363" s="254" t="e">
        <f>VLOOKUP(H2363,'lista 3'!$A$1:$C$31467,3,0)</f>
        <v>#N/A</v>
      </c>
      <c r="H2363" s="134"/>
      <c r="I2363" s="136"/>
      <c r="J2363" s="135"/>
      <c r="K2363" s="22"/>
    </row>
    <row r="2364" spans="1:11">
      <c r="A2364" s="241" t="e">
        <f>VLOOKUP(B2364,'lista 1'!$A$2:$E$30100,4,0)</f>
        <v>#N/A</v>
      </c>
      <c r="B2364" s="123"/>
      <c r="C2364" s="133" t="e">
        <f>VLOOKUP(B2364,'lista 1'!$A$2:$E$31000,5,0)</f>
        <v>#N/A</v>
      </c>
      <c r="D2364" s="167" t="e">
        <f>VLOOKUP(E14164,'lista obszary'!A:B,2,0)</f>
        <v>#N/A</v>
      </c>
      <c r="E2364" s="128" t="e">
        <f>VLOOKUP(B2364,'LISTA 12'!$A$2:$G$301400,5,0)</f>
        <v>#N/A</v>
      </c>
      <c r="F2364" s="121" t="e">
        <f>VLOOKUP(B2364,'LISTA 12'!$A$2:$G$30100,7,0)</f>
        <v>#N/A</v>
      </c>
      <c r="G2364" s="254" t="e">
        <f>VLOOKUP(H2364,'lista 3'!$A$1:$C$31467,3,0)</f>
        <v>#N/A</v>
      </c>
      <c r="H2364" s="134"/>
      <c r="I2364" s="136"/>
      <c r="J2364" s="135"/>
      <c r="K2364" s="22"/>
    </row>
    <row r="2365" spans="1:11">
      <c r="A2365" s="241" t="e">
        <f>VLOOKUP(B2365,'lista 1'!$A$2:$E$30100,4,0)</f>
        <v>#N/A</v>
      </c>
      <c r="B2365" s="123"/>
      <c r="C2365" s="133" t="e">
        <f>VLOOKUP(B2365,'lista 1'!$A$2:$E$31000,5,0)</f>
        <v>#N/A</v>
      </c>
      <c r="D2365" s="167" t="e">
        <f>VLOOKUP(E14165,'lista obszary'!A:B,2,0)</f>
        <v>#N/A</v>
      </c>
      <c r="E2365" s="128" t="e">
        <f>VLOOKUP(B2365,'LISTA 12'!$A$2:$G$301400,5,0)</f>
        <v>#N/A</v>
      </c>
      <c r="F2365" s="121" t="e">
        <f>VLOOKUP(B2365,'LISTA 12'!$A$2:$G$30100,7,0)</f>
        <v>#N/A</v>
      </c>
      <c r="G2365" s="254" t="e">
        <f>VLOOKUP(H2365,'lista 3'!$A$1:$C$31467,3,0)</f>
        <v>#N/A</v>
      </c>
      <c r="H2365" s="134"/>
      <c r="I2365" s="136"/>
      <c r="J2365" s="135"/>
      <c r="K2365" s="22"/>
    </row>
    <row r="2366" spans="1:11">
      <c r="A2366" s="241" t="e">
        <f>VLOOKUP(B2366,'lista 1'!$A$2:$E$30100,4,0)</f>
        <v>#N/A</v>
      </c>
      <c r="B2366" s="123"/>
      <c r="C2366" s="133" t="e">
        <f>VLOOKUP(B2366,'lista 1'!$A$2:$E$31000,5,0)</f>
        <v>#N/A</v>
      </c>
      <c r="D2366" s="167" t="e">
        <f>VLOOKUP(E14166,'lista obszary'!A:B,2,0)</f>
        <v>#N/A</v>
      </c>
      <c r="E2366" s="128" t="e">
        <f>VLOOKUP(B2366,'LISTA 12'!$A$2:$G$301400,5,0)</f>
        <v>#N/A</v>
      </c>
      <c r="F2366" s="121" t="e">
        <f>VLOOKUP(B2366,'LISTA 12'!$A$2:$G$30100,7,0)</f>
        <v>#N/A</v>
      </c>
      <c r="G2366" s="254" t="e">
        <f>VLOOKUP(H2366,'lista 3'!$A$1:$C$31467,3,0)</f>
        <v>#N/A</v>
      </c>
      <c r="H2366" s="134"/>
      <c r="I2366" s="136"/>
      <c r="J2366" s="135"/>
      <c r="K2366" s="22"/>
    </row>
    <row r="2367" spans="1:11">
      <c r="A2367" s="241" t="e">
        <f>VLOOKUP(B2367,'lista 1'!$A$2:$E$30100,4,0)</f>
        <v>#N/A</v>
      </c>
      <c r="B2367" s="123"/>
      <c r="C2367" s="133" t="e">
        <f>VLOOKUP(B2367,'lista 1'!$A$2:$E$31000,5,0)</f>
        <v>#N/A</v>
      </c>
      <c r="D2367" s="167" t="e">
        <f>VLOOKUP(E14167,'lista obszary'!A:B,2,0)</f>
        <v>#N/A</v>
      </c>
      <c r="E2367" s="128" t="e">
        <f>VLOOKUP(B2367,'LISTA 12'!$A$2:$G$301400,5,0)</f>
        <v>#N/A</v>
      </c>
      <c r="F2367" s="121" t="e">
        <f>VLOOKUP(B2367,'LISTA 12'!$A$2:$G$30100,7,0)</f>
        <v>#N/A</v>
      </c>
      <c r="G2367" s="254" t="e">
        <f>VLOOKUP(H2367,'lista 3'!$A$1:$C$31467,3,0)</f>
        <v>#N/A</v>
      </c>
      <c r="H2367" s="134"/>
      <c r="I2367" s="136"/>
      <c r="J2367" s="135"/>
      <c r="K2367" s="22"/>
    </row>
    <row r="2368" spans="1:11">
      <c r="A2368" s="241" t="e">
        <f>VLOOKUP(B2368,'lista 1'!$A$2:$E$30100,4,0)</f>
        <v>#N/A</v>
      </c>
      <c r="B2368" s="123"/>
      <c r="C2368" s="133" t="e">
        <f>VLOOKUP(B2368,'lista 1'!$A$2:$E$31000,5,0)</f>
        <v>#N/A</v>
      </c>
      <c r="D2368" s="167" t="e">
        <f>VLOOKUP(E14168,'lista obszary'!A:B,2,0)</f>
        <v>#N/A</v>
      </c>
      <c r="E2368" s="128" t="e">
        <f>VLOOKUP(B2368,'LISTA 12'!$A$2:$G$301400,5,0)</f>
        <v>#N/A</v>
      </c>
      <c r="F2368" s="121" t="e">
        <f>VLOOKUP(B2368,'LISTA 12'!$A$2:$G$30100,7,0)</f>
        <v>#N/A</v>
      </c>
      <c r="G2368" s="254" t="e">
        <f>VLOOKUP(H2368,'lista 3'!$A$1:$C$31467,3,0)</f>
        <v>#N/A</v>
      </c>
      <c r="H2368" s="134"/>
      <c r="I2368" s="136"/>
      <c r="J2368" s="135"/>
      <c r="K2368" s="22"/>
    </row>
    <row r="2369" spans="1:11">
      <c r="A2369" s="241" t="e">
        <f>VLOOKUP(B2369,'lista 1'!$A$2:$E$30100,4,0)</f>
        <v>#N/A</v>
      </c>
      <c r="B2369" s="123"/>
      <c r="C2369" s="133" t="e">
        <f>VLOOKUP(B2369,'lista 1'!$A$2:$E$31000,5,0)</f>
        <v>#N/A</v>
      </c>
      <c r="D2369" s="167" t="e">
        <f>VLOOKUP(E14169,'lista obszary'!A:B,2,0)</f>
        <v>#N/A</v>
      </c>
      <c r="E2369" s="128" t="e">
        <f>VLOOKUP(B2369,'LISTA 12'!$A$2:$G$301400,5,0)</f>
        <v>#N/A</v>
      </c>
      <c r="F2369" s="121" t="e">
        <f>VLOOKUP(B2369,'LISTA 12'!$A$2:$G$30100,7,0)</f>
        <v>#N/A</v>
      </c>
      <c r="G2369" s="254" t="e">
        <f>VLOOKUP(H2369,'lista 3'!$A$1:$C$31467,3,0)</f>
        <v>#N/A</v>
      </c>
      <c r="H2369" s="134"/>
      <c r="I2369" s="136"/>
      <c r="J2369" s="135"/>
      <c r="K2369" s="22"/>
    </row>
    <row r="2370" spans="1:11">
      <c r="A2370" s="241" t="e">
        <f>VLOOKUP(B2370,'lista 1'!$A$2:$E$30100,4,0)</f>
        <v>#N/A</v>
      </c>
      <c r="B2370" s="123"/>
      <c r="C2370" s="133" t="e">
        <f>VLOOKUP(B2370,'lista 1'!$A$2:$E$31000,5,0)</f>
        <v>#N/A</v>
      </c>
      <c r="D2370" s="167" t="e">
        <f>VLOOKUP(E14170,'lista obszary'!A:B,2,0)</f>
        <v>#N/A</v>
      </c>
      <c r="E2370" s="128" t="e">
        <f>VLOOKUP(B2370,'LISTA 12'!$A$2:$G$301400,5,0)</f>
        <v>#N/A</v>
      </c>
      <c r="F2370" s="121" t="e">
        <f>VLOOKUP(B2370,'LISTA 12'!$A$2:$G$30100,7,0)</f>
        <v>#N/A</v>
      </c>
      <c r="G2370" s="254" t="e">
        <f>VLOOKUP(H2370,'lista 3'!$A$1:$C$31467,3,0)</f>
        <v>#N/A</v>
      </c>
      <c r="H2370" s="134"/>
      <c r="I2370" s="136"/>
      <c r="J2370" s="135"/>
      <c r="K2370" s="22"/>
    </row>
    <row r="2371" spans="1:11">
      <c r="A2371" s="241" t="e">
        <f>VLOOKUP(B2371,'lista 1'!$A$2:$E$30100,4,0)</f>
        <v>#N/A</v>
      </c>
      <c r="B2371" s="123"/>
      <c r="C2371" s="133" t="e">
        <f>VLOOKUP(B2371,'lista 1'!$A$2:$E$31000,5,0)</f>
        <v>#N/A</v>
      </c>
      <c r="D2371" s="167" t="e">
        <f>VLOOKUP(E14171,'lista obszary'!A:B,2,0)</f>
        <v>#N/A</v>
      </c>
      <c r="E2371" s="128" t="e">
        <f>VLOOKUP(B2371,'LISTA 12'!$A$2:$G$301400,5,0)</f>
        <v>#N/A</v>
      </c>
      <c r="F2371" s="121" t="e">
        <f>VLOOKUP(B2371,'LISTA 12'!$A$2:$G$30100,7,0)</f>
        <v>#N/A</v>
      </c>
      <c r="G2371" s="254" t="e">
        <f>VLOOKUP(H2371,'lista 3'!$A$1:$C$31467,3,0)</f>
        <v>#N/A</v>
      </c>
      <c r="H2371" s="134"/>
      <c r="I2371" s="136"/>
      <c r="J2371" s="135"/>
      <c r="K2371" s="22"/>
    </row>
    <row r="2372" spans="1:11">
      <c r="A2372" s="241" t="e">
        <f>VLOOKUP(B2372,'lista 1'!$A$2:$E$30100,4,0)</f>
        <v>#N/A</v>
      </c>
      <c r="B2372" s="123"/>
      <c r="C2372" s="133" t="e">
        <f>VLOOKUP(B2372,'lista 1'!$A$2:$E$31000,5,0)</f>
        <v>#N/A</v>
      </c>
      <c r="D2372" s="167" t="e">
        <f>VLOOKUP(E14172,'lista obszary'!A:B,2,0)</f>
        <v>#N/A</v>
      </c>
      <c r="E2372" s="128" t="e">
        <f>VLOOKUP(B2372,'LISTA 12'!$A$2:$G$301400,5,0)</f>
        <v>#N/A</v>
      </c>
      <c r="F2372" s="121" t="e">
        <f>VLOOKUP(B2372,'LISTA 12'!$A$2:$G$30100,7,0)</f>
        <v>#N/A</v>
      </c>
      <c r="G2372" s="254" t="e">
        <f>VLOOKUP(H2372,'lista 3'!$A$1:$C$31467,3,0)</f>
        <v>#N/A</v>
      </c>
      <c r="H2372" s="134"/>
      <c r="I2372" s="136"/>
      <c r="J2372" s="135"/>
      <c r="K2372" s="22"/>
    </row>
    <row r="2373" spans="1:11">
      <c r="A2373" s="241" t="e">
        <f>VLOOKUP(B2373,'lista 1'!$A$2:$E$30100,4,0)</f>
        <v>#N/A</v>
      </c>
      <c r="B2373" s="123"/>
      <c r="C2373" s="133" t="e">
        <f>VLOOKUP(B2373,'lista 1'!$A$2:$E$31000,5,0)</f>
        <v>#N/A</v>
      </c>
      <c r="D2373" s="167" t="e">
        <f>VLOOKUP(E14173,'lista obszary'!A:B,2,0)</f>
        <v>#N/A</v>
      </c>
      <c r="E2373" s="128" t="e">
        <f>VLOOKUP(B2373,'LISTA 12'!$A$2:$G$301400,5,0)</f>
        <v>#N/A</v>
      </c>
      <c r="F2373" s="121" t="e">
        <f>VLOOKUP(B2373,'LISTA 12'!$A$2:$G$30100,7,0)</f>
        <v>#N/A</v>
      </c>
      <c r="G2373" s="254" t="e">
        <f>VLOOKUP(H2373,'lista 3'!$A$1:$C$31467,3,0)</f>
        <v>#N/A</v>
      </c>
      <c r="H2373" s="134"/>
      <c r="I2373" s="136"/>
      <c r="J2373" s="135"/>
      <c r="K2373" s="22"/>
    </row>
    <row r="2374" spans="1:11">
      <c r="A2374" s="241" t="e">
        <f>VLOOKUP(B2374,'lista 1'!$A$2:$E$30100,4,0)</f>
        <v>#N/A</v>
      </c>
      <c r="B2374" s="123"/>
      <c r="C2374" s="133" t="e">
        <f>VLOOKUP(B2374,'lista 1'!$A$2:$E$31000,5,0)</f>
        <v>#N/A</v>
      </c>
      <c r="D2374" s="167" t="e">
        <f>VLOOKUP(E14174,'lista obszary'!A:B,2,0)</f>
        <v>#N/A</v>
      </c>
      <c r="E2374" s="128" t="e">
        <f>VLOOKUP(B2374,'LISTA 12'!$A$2:$G$301400,5,0)</f>
        <v>#N/A</v>
      </c>
      <c r="F2374" s="121" t="e">
        <f>VLOOKUP(B2374,'LISTA 12'!$A$2:$G$30100,7,0)</f>
        <v>#N/A</v>
      </c>
      <c r="G2374" s="254" t="e">
        <f>VLOOKUP(H2374,'lista 3'!$A$1:$C$31467,3,0)</f>
        <v>#N/A</v>
      </c>
      <c r="H2374" s="134"/>
      <c r="I2374" s="136"/>
      <c r="J2374" s="135"/>
      <c r="K2374" s="22"/>
    </row>
    <row r="2375" spans="1:11">
      <c r="A2375" s="241" t="e">
        <f>VLOOKUP(B2375,'lista 1'!$A$2:$E$30100,4,0)</f>
        <v>#N/A</v>
      </c>
      <c r="B2375" s="123"/>
      <c r="C2375" s="133" t="e">
        <f>VLOOKUP(B2375,'lista 1'!$A$2:$E$31000,5,0)</f>
        <v>#N/A</v>
      </c>
      <c r="D2375" s="167" t="e">
        <f>VLOOKUP(E14175,'lista obszary'!A:B,2,0)</f>
        <v>#N/A</v>
      </c>
      <c r="E2375" s="128" t="e">
        <f>VLOOKUP(B2375,'LISTA 12'!$A$2:$G$301400,5,0)</f>
        <v>#N/A</v>
      </c>
      <c r="F2375" s="121" t="e">
        <f>VLOOKUP(B2375,'LISTA 12'!$A$2:$G$30100,7,0)</f>
        <v>#N/A</v>
      </c>
      <c r="G2375" s="254" t="e">
        <f>VLOOKUP(H2375,'lista 3'!$A$1:$C$31467,3,0)</f>
        <v>#N/A</v>
      </c>
      <c r="H2375" s="134"/>
      <c r="I2375" s="136"/>
      <c r="J2375" s="135"/>
      <c r="K2375" s="22"/>
    </row>
    <row r="2376" spans="1:11">
      <c r="A2376" s="241" t="e">
        <f>VLOOKUP(B2376,'lista 1'!$A$2:$E$30100,4,0)</f>
        <v>#N/A</v>
      </c>
      <c r="B2376" s="123"/>
      <c r="C2376" s="133" t="e">
        <f>VLOOKUP(B2376,'lista 1'!$A$2:$E$31000,5,0)</f>
        <v>#N/A</v>
      </c>
      <c r="D2376" s="167" t="e">
        <f>VLOOKUP(E14176,'lista obszary'!A:B,2,0)</f>
        <v>#N/A</v>
      </c>
      <c r="E2376" s="128" t="e">
        <f>VLOOKUP(B2376,'LISTA 12'!$A$2:$G$301400,5,0)</f>
        <v>#N/A</v>
      </c>
      <c r="F2376" s="121" t="e">
        <f>VLOOKUP(B2376,'LISTA 12'!$A$2:$G$30100,7,0)</f>
        <v>#N/A</v>
      </c>
      <c r="G2376" s="254" t="e">
        <f>VLOOKUP(H2376,'lista 3'!$A$1:$C$31467,3,0)</f>
        <v>#N/A</v>
      </c>
      <c r="H2376" s="134"/>
      <c r="I2376" s="136"/>
      <c r="J2376" s="135"/>
      <c r="K2376" s="22"/>
    </row>
    <row r="2377" spans="1:11">
      <c r="A2377" s="241" t="e">
        <f>VLOOKUP(B2377,'lista 1'!$A$2:$E$30100,4,0)</f>
        <v>#N/A</v>
      </c>
      <c r="B2377" s="123"/>
      <c r="C2377" s="133" t="e">
        <f>VLOOKUP(B2377,'lista 1'!$A$2:$E$31000,5,0)</f>
        <v>#N/A</v>
      </c>
      <c r="D2377" s="167" t="e">
        <f>VLOOKUP(E14177,'lista obszary'!A:B,2,0)</f>
        <v>#N/A</v>
      </c>
      <c r="E2377" s="128" t="e">
        <f>VLOOKUP(B2377,'LISTA 12'!$A$2:$G$301400,5,0)</f>
        <v>#N/A</v>
      </c>
      <c r="F2377" s="121" t="e">
        <f>VLOOKUP(B2377,'LISTA 12'!$A$2:$G$30100,7,0)</f>
        <v>#N/A</v>
      </c>
      <c r="G2377" s="254" t="e">
        <f>VLOOKUP(H2377,'lista 3'!$A$1:$C$31467,3,0)</f>
        <v>#N/A</v>
      </c>
      <c r="H2377" s="134"/>
      <c r="I2377" s="136"/>
      <c r="J2377" s="135"/>
      <c r="K2377" s="22"/>
    </row>
    <row r="2378" spans="1:11">
      <c r="A2378" s="241" t="e">
        <f>VLOOKUP(B2378,'lista 1'!$A$2:$E$30100,4,0)</f>
        <v>#N/A</v>
      </c>
      <c r="B2378" s="123"/>
      <c r="C2378" s="133" t="e">
        <f>VLOOKUP(B2378,'lista 1'!$A$2:$E$31000,5,0)</f>
        <v>#N/A</v>
      </c>
      <c r="D2378" s="167" t="e">
        <f>VLOOKUP(E14178,'lista obszary'!A:B,2,0)</f>
        <v>#N/A</v>
      </c>
      <c r="E2378" s="128" t="e">
        <f>VLOOKUP(B2378,'LISTA 12'!$A$2:$G$301400,5,0)</f>
        <v>#N/A</v>
      </c>
      <c r="F2378" s="121" t="e">
        <f>VLOOKUP(B2378,'LISTA 12'!$A$2:$G$30100,7,0)</f>
        <v>#N/A</v>
      </c>
      <c r="G2378" s="254" t="e">
        <f>VLOOKUP(H2378,'lista 3'!$A$1:$C$31467,3,0)</f>
        <v>#N/A</v>
      </c>
      <c r="H2378" s="134"/>
      <c r="I2378" s="136"/>
      <c r="J2378" s="135"/>
      <c r="K2378" s="22"/>
    </row>
    <row r="2379" spans="1:11">
      <c r="A2379" s="241" t="e">
        <f>VLOOKUP(B2379,'lista 1'!$A$2:$E$30100,4,0)</f>
        <v>#N/A</v>
      </c>
      <c r="B2379" s="123"/>
      <c r="C2379" s="133" t="e">
        <f>VLOOKUP(B2379,'lista 1'!$A$2:$E$31000,5,0)</f>
        <v>#N/A</v>
      </c>
      <c r="D2379" s="167" t="e">
        <f>VLOOKUP(E14179,'lista obszary'!A:B,2,0)</f>
        <v>#N/A</v>
      </c>
      <c r="E2379" s="128" t="e">
        <f>VLOOKUP(B2379,'LISTA 12'!$A$2:$G$301400,5,0)</f>
        <v>#N/A</v>
      </c>
      <c r="F2379" s="121" t="e">
        <f>VLOOKUP(B2379,'LISTA 12'!$A$2:$G$30100,7,0)</f>
        <v>#N/A</v>
      </c>
      <c r="G2379" s="254" t="e">
        <f>VLOOKUP(H2379,'lista 3'!$A$1:$C$31467,3,0)</f>
        <v>#N/A</v>
      </c>
      <c r="H2379" s="134"/>
      <c r="I2379" s="136"/>
      <c r="J2379" s="135"/>
      <c r="K2379" s="22"/>
    </row>
    <row r="2380" spans="1:11">
      <c r="A2380" s="241" t="e">
        <f>VLOOKUP(B2380,'lista 1'!$A$2:$E$30100,4,0)</f>
        <v>#N/A</v>
      </c>
      <c r="B2380" s="123"/>
      <c r="C2380" s="133" t="e">
        <f>VLOOKUP(B2380,'lista 1'!$A$2:$E$31000,5,0)</f>
        <v>#N/A</v>
      </c>
      <c r="D2380" s="167" t="e">
        <f>VLOOKUP(E14180,'lista obszary'!A:B,2,0)</f>
        <v>#N/A</v>
      </c>
      <c r="E2380" s="128" t="e">
        <f>VLOOKUP(B2380,'LISTA 12'!$A$2:$G$301400,5,0)</f>
        <v>#N/A</v>
      </c>
      <c r="F2380" s="121" t="e">
        <f>VLOOKUP(B2380,'LISTA 12'!$A$2:$G$30100,7,0)</f>
        <v>#N/A</v>
      </c>
      <c r="G2380" s="254" t="e">
        <f>VLOOKUP(H2380,'lista 3'!$A$1:$C$31467,3,0)</f>
        <v>#N/A</v>
      </c>
      <c r="H2380" s="134"/>
      <c r="I2380" s="136"/>
      <c r="J2380" s="135"/>
      <c r="K2380" s="22"/>
    </row>
    <row r="2381" spans="1:11">
      <c r="A2381" s="241" t="e">
        <f>VLOOKUP(B2381,'lista 1'!$A$2:$E$30100,4,0)</f>
        <v>#N/A</v>
      </c>
      <c r="B2381" s="123"/>
      <c r="C2381" s="133" t="e">
        <f>VLOOKUP(B2381,'lista 1'!$A$2:$E$31000,5,0)</f>
        <v>#N/A</v>
      </c>
      <c r="D2381" s="167" t="e">
        <f>VLOOKUP(E14181,'lista obszary'!A:B,2,0)</f>
        <v>#N/A</v>
      </c>
      <c r="E2381" s="128" t="e">
        <f>VLOOKUP(B2381,'LISTA 12'!$A$2:$G$301400,5,0)</f>
        <v>#N/A</v>
      </c>
      <c r="F2381" s="121" t="e">
        <f>VLOOKUP(B2381,'LISTA 12'!$A$2:$G$30100,7,0)</f>
        <v>#N/A</v>
      </c>
      <c r="G2381" s="254" t="e">
        <f>VLOOKUP(H2381,'lista 3'!$A$1:$C$31467,3,0)</f>
        <v>#N/A</v>
      </c>
      <c r="H2381" s="134"/>
      <c r="I2381" s="136"/>
      <c r="J2381" s="135"/>
      <c r="K2381" s="22"/>
    </row>
    <row r="2382" spans="1:11">
      <c r="A2382" s="241" t="e">
        <f>VLOOKUP(B2382,'lista 1'!$A$2:$E$30100,4,0)</f>
        <v>#N/A</v>
      </c>
      <c r="B2382" s="123"/>
      <c r="C2382" s="133" t="e">
        <f>VLOOKUP(B2382,'lista 1'!$A$2:$E$31000,5,0)</f>
        <v>#N/A</v>
      </c>
      <c r="D2382" s="167" t="e">
        <f>VLOOKUP(E14182,'lista obszary'!A:B,2,0)</f>
        <v>#N/A</v>
      </c>
      <c r="E2382" s="128" t="e">
        <f>VLOOKUP(B2382,'LISTA 12'!$A$2:$G$301400,5,0)</f>
        <v>#N/A</v>
      </c>
      <c r="F2382" s="121" t="e">
        <f>VLOOKUP(B2382,'LISTA 12'!$A$2:$G$30100,7,0)</f>
        <v>#N/A</v>
      </c>
      <c r="G2382" s="254" t="e">
        <f>VLOOKUP(H2382,'lista 3'!$A$1:$C$31467,3,0)</f>
        <v>#N/A</v>
      </c>
      <c r="H2382" s="134"/>
      <c r="I2382" s="136"/>
      <c r="J2382" s="135"/>
      <c r="K2382" s="22"/>
    </row>
    <row r="2383" spans="1:11">
      <c r="A2383" s="241" t="e">
        <f>VLOOKUP(B2383,'lista 1'!$A$2:$E$30100,4,0)</f>
        <v>#N/A</v>
      </c>
      <c r="B2383" s="123"/>
      <c r="C2383" s="133" t="e">
        <f>VLOOKUP(B2383,'lista 1'!$A$2:$E$31000,5,0)</f>
        <v>#N/A</v>
      </c>
      <c r="D2383" s="167" t="e">
        <f>VLOOKUP(E14183,'lista obszary'!A:B,2,0)</f>
        <v>#N/A</v>
      </c>
      <c r="E2383" s="128" t="e">
        <f>VLOOKUP(B2383,'LISTA 12'!$A$2:$G$301400,5,0)</f>
        <v>#N/A</v>
      </c>
      <c r="F2383" s="121" t="e">
        <f>VLOOKUP(B2383,'LISTA 12'!$A$2:$G$30100,7,0)</f>
        <v>#N/A</v>
      </c>
      <c r="G2383" s="254" t="e">
        <f>VLOOKUP(H2383,'lista 3'!$A$1:$C$31467,3,0)</f>
        <v>#N/A</v>
      </c>
      <c r="H2383" s="134"/>
      <c r="I2383" s="136"/>
      <c r="J2383" s="135"/>
      <c r="K2383" s="22"/>
    </row>
    <row r="2384" spans="1:11">
      <c r="A2384" s="241" t="e">
        <f>VLOOKUP(B2384,'lista 1'!$A$2:$E$30100,4,0)</f>
        <v>#N/A</v>
      </c>
      <c r="B2384" s="123"/>
      <c r="C2384" s="133" t="e">
        <f>VLOOKUP(B2384,'lista 1'!$A$2:$E$31000,5,0)</f>
        <v>#N/A</v>
      </c>
      <c r="D2384" s="167" t="e">
        <f>VLOOKUP(E14184,'lista obszary'!A:B,2,0)</f>
        <v>#N/A</v>
      </c>
      <c r="E2384" s="128" t="e">
        <f>VLOOKUP(B2384,'LISTA 12'!$A$2:$G$301400,5,0)</f>
        <v>#N/A</v>
      </c>
      <c r="F2384" s="121" t="e">
        <f>VLOOKUP(B2384,'LISTA 12'!$A$2:$G$30100,7,0)</f>
        <v>#N/A</v>
      </c>
      <c r="G2384" s="254" t="e">
        <f>VLOOKUP(H2384,'lista 3'!$A$1:$C$31467,3,0)</f>
        <v>#N/A</v>
      </c>
      <c r="H2384" s="134"/>
      <c r="I2384" s="136"/>
      <c r="J2384" s="135"/>
      <c r="K2384" s="22"/>
    </row>
    <row r="2385" spans="1:11">
      <c r="A2385" s="241" t="e">
        <f>VLOOKUP(B2385,'lista 1'!$A$2:$E$30100,4,0)</f>
        <v>#N/A</v>
      </c>
      <c r="B2385" s="123"/>
      <c r="C2385" s="133" t="e">
        <f>VLOOKUP(B2385,'lista 1'!$A$2:$E$31000,5,0)</f>
        <v>#N/A</v>
      </c>
      <c r="D2385" s="167" t="e">
        <f>VLOOKUP(E14185,'lista obszary'!A:B,2,0)</f>
        <v>#N/A</v>
      </c>
      <c r="E2385" s="128" t="e">
        <f>VLOOKUP(B2385,'LISTA 12'!$A$2:$G$301400,5,0)</f>
        <v>#N/A</v>
      </c>
      <c r="F2385" s="121" t="e">
        <f>VLOOKUP(B2385,'LISTA 12'!$A$2:$G$30100,7,0)</f>
        <v>#N/A</v>
      </c>
      <c r="G2385" s="254" t="e">
        <f>VLOOKUP(H2385,'lista 3'!$A$1:$C$31467,3,0)</f>
        <v>#N/A</v>
      </c>
      <c r="H2385" s="134"/>
      <c r="I2385" s="136"/>
      <c r="J2385" s="135"/>
      <c r="K2385" s="22"/>
    </row>
    <row r="2386" spans="1:11">
      <c r="A2386" s="241" t="e">
        <f>VLOOKUP(B2386,'lista 1'!$A$2:$E$30100,4,0)</f>
        <v>#N/A</v>
      </c>
      <c r="B2386" s="123"/>
      <c r="C2386" s="133" t="e">
        <f>VLOOKUP(B2386,'lista 1'!$A$2:$E$31000,5,0)</f>
        <v>#N/A</v>
      </c>
      <c r="D2386" s="167" t="e">
        <f>VLOOKUP(E14186,'lista obszary'!A:B,2,0)</f>
        <v>#N/A</v>
      </c>
      <c r="E2386" s="128" t="e">
        <f>VLOOKUP(B2386,'LISTA 12'!$A$2:$G$301400,5,0)</f>
        <v>#N/A</v>
      </c>
      <c r="F2386" s="121" t="e">
        <f>VLOOKUP(B2386,'LISTA 12'!$A$2:$G$30100,7,0)</f>
        <v>#N/A</v>
      </c>
      <c r="G2386" s="254" t="e">
        <f>VLOOKUP(H2386,'lista 3'!$A$1:$C$31467,3,0)</f>
        <v>#N/A</v>
      </c>
      <c r="H2386" s="134"/>
      <c r="I2386" s="136"/>
      <c r="J2386" s="135"/>
      <c r="K2386" s="22"/>
    </row>
    <row r="2387" spans="1:11">
      <c r="A2387" s="241" t="e">
        <f>VLOOKUP(B2387,'lista 1'!$A$2:$E$30100,4,0)</f>
        <v>#N/A</v>
      </c>
      <c r="B2387" s="123"/>
      <c r="C2387" s="133" t="e">
        <f>VLOOKUP(B2387,'lista 1'!$A$2:$E$31000,5,0)</f>
        <v>#N/A</v>
      </c>
      <c r="D2387" s="167" t="e">
        <f>VLOOKUP(E14187,'lista obszary'!A:B,2,0)</f>
        <v>#N/A</v>
      </c>
      <c r="E2387" s="128" t="e">
        <f>VLOOKUP(B2387,'LISTA 12'!$A$2:$G$301400,5,0)</f>
        <v>#N/A</v>
      </c>
      <c r="F2387" s="121" t="e">
        <f>VLOOKUP(B2387,'LISTA 12'!$A$2:$G$30100,7,0)</f>
        <v>#N/A</v>
      </c>
      <c r="G2387" s="254" t="e">
        <f>VLOOKUP(H2387,'lista 3'!$A$1:$C$31467,3,0)</f>
        <v>#N/A</v>
      </c>
      <c r="H2387" s="134"/>
      <c r="I2387" s="136"/>
      <c r="J2387" s="135"/>
      <c r="K2387" s="22"/>
    </row>
    <row r="2388" spans="1:11">
      <c r="A2388" s="241" t="e">
        <f>VLOOKUP(B2388,'lista 1'!$A$2:$E$30100,4,0)</f>
        <v>#N/A</v>
      </c>
      <c r="B2388" s="123"/>
      <c r="C2388" s="133" t="e">
        <f>VLOOKUP(B2388,'lista 1'!$A$2:$E$31000,5,0)</f>
        <v>#N/A</v>
      </c>
      <c r="D2388" s="167" t="e">
        <f>VLOOKUP(E14188,'lista obszary'!A:B,2,0)</f>
        <v>#N/A</v>
      </c>
      <c r="E2388" s="128" t="e">
        <f>VLOOKUP(B2388,'LISTA 12'!$A$2:$G$301400,5,0)</f>
        <v>#N/A</v>
      </c>
      <c r="F2388" s="121" t="e">
        <f>VLOOKUP(B2388,'LISTA 12'!$A$2:$G$30100,7,0)</f>
        <v>#N/A</v>
      </c>
      <c r="G2388" s="254" t="e">
        <f>VLOOKUP(H2388,'lista 3'!$A$1:$C$31467,3,0)</f>
        <v>#N/A</v>
      </c>
      <c r="H2388" s="134"/>
      <c r="I2388" s="136"/>
      <c r="J2388" s="135"/>
      <c r="K2388" s="22"/>
    </row>
    <row r="2389" spans="1:11">
      <c r="A2389" s="241" t="e">
        <f>VLOOKUP(B2389,'lista 1'!$A$2:$E$30100,4,0)</f>
        <v>#N/A</v>
      </c>
      <c r="B2389" s="123"/>
      <c r="C2389" s="133" t="e">
        <f>VLOOKUP(B2389,'lista 1'!$A$2:$E$31000,5,0)</f>
        <v>#N/A</v>
      </c>
      <c r="D2389" s="167" t="e">
        <f>VLOOKUP(E14189,'lista obszary'!A:B,2,0)</f>
        <v>#N/A</v>
      </c>
      <c r="E2389" s="128" t="e">
        <f>VLOOKUP(B2389,'LISTA 12'!$A$2:$G$301400,5,0)</f>
        <v>#N/A</v>
      </c>
      <c r="F2389" s="121" t="e">
        <f>VLOOKUP(B2389,'LISTA 12'!$A$2:$G$30100,7,0)</f>
        <v>#N/A</v>
      </c>
      <c r="G2389" s="254" t="e">
        <f>VLOOKUP(H2389,'lista 3'!$A$1:$C$31467,3,0)</f>
        <v>#N/A</v>
      </c>
      <c r="H2389" s="134"/>
      <c r="I2389" s="136"/>
      <c r="J2389" s="135"/>
      <c r="K2389" s="22"/>
    </row>
    <row r="2390" spans="1:11">
      <c r="A2390" s="241" t="e">
        <f>VLOOKUP(B2390,'lista 1'!$A$2:$E$30100,4,0)</f>
        <v>#N/A</v>
      </c>
      <c r="B2390" s="123"/>
      <c r="C2390" s="133" t="e">
        <f>VLOOKUP(B2390,'lista 1'!$A$2:$E$31000,5,0)</f>
        <v>#N/A</v>
      </c>
      <c r="D2390" s="167" t="e">
        <f>VLOOKUP(E14190,'lista obszary'!A:B,2,0)</f>
        <v>#N/A</v>
      </c>
      <c r="E2390" s="128" t="e">
        <f>VLOOKUP(B2390,'LISTA 12'!$A$2:$G$301400,5,0)</f>
        <v>#N/A</v>
      </c>
      <c r="F2390" s="121" t="e">
        <f>VLOOKUP(B2390,'LISTA 12'!$A$2:$G$30100,7,0)</f>
        <v>#N/A</v>
      </c>
      <c r="G2390" s="254" t="e">
        <f>VLOOKUP(H2390,'lista 3'!$A$1:$C$31467,3,0)</f>
        <v>#N/A</v>
      </c>
      <c r="H2390" s="134"/>
      <c r="I2390" s="136"/>
      <c r="J2390" s="135"/>
      <c r="K2390" s="22"/>
    </row>
    <row r="2391" spans="1:11">
      <c r="A2391" s="241" t="e">
        <f>VLOOKUP(B2391,'lista 1'!$A$2:$E$30100,4,0)</f>
        <v>#N/A</v>
      </c>
      <c r="B2391" s="123"/>
      <c r="C2391" s="133" t="e">
        <f>VLOOKUP(B2391,'lista 1'!$A$2:$E$31000,5,0)</f>
        <v>#N/A</v>
      </c>
      <c r="D2391" s="167" t="e">
        <f>VLOOKUP(E14191,'lista obszary'!A:B,2,0)</f>
        <v>#N/A</v>
      </c>
      <c r="E2391" s="128" t="e">
        <f>VLOOKUP(B2391,'LISTA 12'!$A$2:$G$301400,5,0)</f>
        <v>#N/A</v>
      </c>
      <c r="F2391" s="121" t="e">
        <f>VLOOKUP(B2391,'LISTA 12'!$A$2:$G$30100,7,0)</f>
        <v>#N/A</v>
      </c>
      <c r="G2391" s="254" t="e">
        <f>VLOOKUP(H2391,'lista 3'!$A$1:$C$31467,3,0)</f>
        <v>#N/A</v>
      </c>
      <c r="H2391" s="134"/>
      <c r="I2391" s="136"/>
      <c r="J2391" s="135"/>
      <c r="K2391" s="22"/>
    </row>
    <row r="2392" spans="1:11">
      <c r="A2392" s="241" t="e">
        <f>VLOOKUP(B2392,'lista 1'!$A$2:$E$30100,4,0)</f>
        <v>#N/A</v>
      </c>
      <c r="B2392" s="123"/>
      <c r="C2392" s="133" t="e">
        <f>VLOOKUP(B2392,'lista 1'!$A$2:$E$31000,5,0)</f>
        <v>#N/A</v>
      </c>
      <c r="D2392" s="167" t="e">
        <f>VLOOKUP(E14192,'lista obszary'!A:B,2,0)</f>
        <v>#N/A</v>
      </c>
      <c r="E2392" s="128" t="e">
        <f>VLOOKUP(B2392,'LISTA 12'!$A$2:$G$301400,5,0)</f>
        <v>#N/A</v>
      </c>
      <c r="F2392" s="121" t="e">
        <f>VLOOKUP(B2392,'LISTA 12'!$A$2:$G$30100,7,0)</f>
        <v>#N/A</v>
      </c>
      <c r="G2392" s="254" t="e">
        <f>VLOOKUP(H2392,'lista 3'!$A$1:$C$31467,3,0)</f>
        <v>#N/A</v>
      </c>
      <c r="H2392" s="134"/>
      <c r="I2392" s="136"/>
      <c r="J2392" s="135"/>
      <c r="K2392" s="22"/>
    </row>
    <row r="2393" spans="1:11">
      <c r="A2393" s="241" t="e">
        <f>VLOOKUP(B2393,'lista 1'!$A$2:$E$30100,4,0)</f>
        <v>#N/A</v>
      </c>
      <c r="B2393" s="123"/>
      <c r="C2393" s="133" t="e">
        <f>VLOOKUP(B2393,'lista 1'!$A$2:$E$31000,5,0)</f>
        <v>#N/A</v>
      </c>
      <c r="D2393" s="167" t="e">
        <f>VLOOKUP(E14193,'lista obszary'!A:B,2,0)</f>
        <v>#N/A</v>
      </c>
      <c r="E2393" s="128" t="e">
        <f>VLOOKUP(B2393,'LISTA 12'!$A$2:$G$301400,5,0)</f>
        <v>#N/A</v>
      </c>
      <c r="F2393" s="121" t="e">
        <f>VLOOKUP(B2393,'LISTA 12'!$A$2:$G$30100,7,0)</f>
        <v>#N/A</v>
      </c>
      <c r="G2393" s="254" t="e">
        <f>VLOOKUP(H2393,'lista 3'!$A$1:$C$31467,3,0)</f>
        <v>#N/A</v>
      </c>
      <c r="H2393" s="134"/>
      <c r="I2393" s="136"/>
      <c r="J2393" s="135"/>
      <c r="K2393" s="22"/>
    </row>
    <row r="2394" spans="1:11">
      <c r="A2394" s="241" t="e">
        <f>VLOOKUP(B2394,'lista 1'!$A$2:$E$30100,4,0)</f>
        <v>#N/A</v>
      </c>
      <c r="B2394" s="123"/>
      <c r="C2394" s="133" t="e">
        <f>VLOOKUP(B2394,'lista 1'!$A$2:$E$31000,5,0)</f>
        <v>#N/A</v>
      </c>
      <c r="D2394" s="167" t="e">
        <f>VLOOKUP(E14194,'lista obszary'!A:B,2,0)</f>
        <v>#N/A</v>
      </c>
      <c r="E2394" s="128" t="e">
        <f>VLOOKUP(B2394,'LISTA 12'!$A$2:$G$301400,5,0)</f>
        <v>#N/A</v>
      </c>
      <c r="F2394" s="121" t="e">
        <f>VLOOKUP(B2394,'LISTA 12'!$A$2:$G$30100,7,0)</f>
        <v>#N/A</v>
      </c>
      <c r="G2394" s="254" t="e">
        <f>VLOOKUP(H2394,'lista 3'!$A$1:$C$31467,3,0)</f>
        <v>#N/A</v>
      </c>
      <c r="H2394" s="134"/>
      <c r="I2394" s="136"/>
      <c r="J2394" s="135"/>
      <c r="K2394" s="22"/>
    </row>
    <row r="2395" spans="1:11">
      <c r="A2395" s="241" t="e">
        <f>VLOOKUP(B2395,'lista 1'!$A$2:$E$30100,4,0)</f>
        <v>#N/A</v>
      </c>
      <c r="B2395" s="123"/>
      <c r="C2395" s="133" t="e">
        <f>VLOOKUP(B2395,'lista 1'!$A$2:$E$31000,5,0)</f>
        <v>#N/A</v>
      </c>
      <c r="D2395" s="167" t="e">
        <f>VLOOKUP(E14195,'lista obszary'!A:B,2,0)</f>
        <v>#N/A</v>
      </c>
      <c r="E2395" s="128" t="e">
        <f>VLOOKUP(B2395,'LISTA 12'!$A$2:$G$301400,5,0)</f>
        <v>#N/A</v>
      </c>
      <c r="F2395" s="121" t="e">
        <f>VLOOKUP(B2395,'LISTA 12'!$A$2:$G$30100,7,0)</f>
        <v>#N/A</v>
      </c>
      <c r="G2395" s="254" t="e">
        <f>VLOOKUP(H2395,'lista 3'!$A$1:$C$31467,3,0)</f>
        <v>#N/A</v>
      </c>
      <c r="H2395" s="134"/>
      <c r="I2395" s="136"/>
      <c r="J2395" s="135"/>
      <c r="K2395" s="22"/>
    </row>
    <row r="2396" spans="1:11">
      <c r="A2396" s="241" t="e">
        <f>VLOOKUP(B2396,'lista 1'!$A$2:$E$30100,4,0)</f>
        <v>#N/A</v>
      </c>
      <c r="B2396" s="123"/>
      <c r="C2396" s="133" t="e">
        <f>VLOOKUP(B2396,'lista 1'!$A$2:$E$31000,5,0)</f>
        <v>#N/A</v>
      </c>
      <c r="D2396" s="167" t="e">
        <f>VLOOKUP(E14196,'lista obszary'!A:B,2,0)</f>
        <v>#N/A</v>
      </c>
      <c r="E2396" s="128" t="e">
        <f>VLOOKUP(B2396,'LISTA 12'!$A$2:$G$301400,5,0)</f>
        <v>#N/A</v>
      </c>
      <c r="F2396" s="121" t="e">
        <f>VLOOKUP(B2396,'LISTA 12'!$A$2:$G$30100,7,0)</f>
        <v>#N/A</v>
      </c>
      <c r="G2396" s="254" t="e">
        <f>VLOOKUP(H2396,'lista 3'!$A$1:$C$31467,3,0)</f>
        <v>#N/A</v>
      </c>
      <c r="H2396" s="134"/>
      <c r="I2396" s="136"/>
      <c r="J2396" s="135"/>
      <c r="K2396" s="22"/>
    </row>
    <row r="2397" spans="1:11">
      <c r="A2397" s="241" t="e">
        <f>VLOOKUP(B2397,'lista 1'!$A$2:$E$30100,4,0)</f>
        <v>#N/A</v>
      </c>
      <c r="B2397" s="123"/>
      <c r="C2397" s="133" t="e">
        <f>VLOOKUP(B2397,'lista 1'!$A$2:$E$31000,5,0)</f>
        <v>#N/A</v>
      </c>
      <c r="D2397" s="167" t="e">
        <f>VLOOKUP(E14197,'lista obszary'!A:B,2,0)</f>
        <v>#N/A</v>
      </c>
      <c r="E2397" s="128" t="e">
        <f>VLOOKUP(B2397,'LISTA 12'!$A$2:$G$301400,5,0)</f>
        <v>#N/A</v>
      </c>
      <c r="F2397" s="121" t="e">
        <f>VLOOKUP(B2397,'LISTA 12'!$A$2:$G$30100,7,0)</f>
        <v>#N/A</v>
      </c>
      <c r="G2397" s="254" t="e">
        <f>VLOOKUP(H2397,'lista 3'!$A$1:$C$31467,3,0)</f>
        <v>#N/A</v>
      </c>
      <c r="H2397" s="134"/>
      <c r="I2397" s="136"/>
      <c r="J2397" s="135"/>
      <c r="K2397" s="22"/>
    </row>
    <row r="2398" spans="1:11">
      <c r="A2398" s="241" t="e">
        <f>VLOOKUP(B2398,'lista 1'!$A$2:$E$30100,4,0)</f>
        <v>#N/A</v>
      </c>
      <c r="B2398" s="123"/>
      <c r="C2398" s="133" t="e">
        <f>VLOOKUP(B2398,'lista 1'!$A$2:$E$31000,5,0)</f>
        <v>#N/A</v>
      </c>
      <c r="D2398" s="167" t="e">
        <f>VLOOKUP(E14198,'lista obszary'!A:B,2,0)</f>
        <v>#N/A</v>
      </c>
      <c r="E2398" s="128" t="e">
        <f>VLOOKUP(B2398,'LISTA 12'!$A$2:$G$301400,5,0)</f>
        <v>#N/A</v>
      </c>
      <c r="F2398" s="121" t="e">
        <f>VLOOKUP(B2398,'LISTA 12'!$A$2:$G$30100,7,0)</f>
        <v>#N/A</v>
      </c>
      <c r="G2398" s="254" t="e">
        <f>VLOOKUP(H2398,'lista 3'!$A$1:$C$31467,3,0)</f>
        <v>#N/A</v>
      </c>
      <c r="H2398" s="134"/>
      <c r="I2398" s="136"/>
      <c r="J2398" s="135"/>
      <c r="K2398" s="22"/>
    </row>
    <row r="2399" spans="1:11">
      <c r="A2399" s="241" t="e">
        <f>VLOOKUP(B2399,'lista 1'!$A$2:$E$30100,4,0)</f>
        <v>#N/A</v>
      </c>
      <c r="B2399" s="123"/>
      <c r="C2399" s="133" t="e">
        <f>VLOOKUP(B2399,'lista 1'!$A$2:$E$31000,5,0)</f>
        <v>#N/A</v>
      </c>
      <c r="D2399" s="167" t="e">
        <f>VLOOKUP(E14199,'lista obszary'!A:B,2,0)</f>
        <v>#N/A</v>
      </c>
      <c r="E2399" s="128" t="e">
        <f>VLOOKUP(B2399,'LISTA 12'!$A$2:$G$301400,5,0)</f>
        <v>#N/A</v>
      </c>
      <c r="F2399" s="121" t="e">
        <f>VLOOKUP(B2399,'LISTA 12'!$A$2:$G$30100,7,0)</f>
        <v>#N/A</v>
      </c>
      <c r="G2399" s="254" t="e">
        <f>VLOOKUP(H2399,'lista 3'!$A$1:$C$31467,3,0)</f>
        <v>#N/A</v>
      </c>
      <c r="H2399" s="134"/>
      <c r="I2399" s="136"/>
      <c r="J2399" s="135"/>
      <c r="K2399" s="22"/>
    </row>
    <row r="2400" spans="1:11">
      <c r="A2400" s="241" t="e">
        <f>VLOOKUP(B2400,'lista 1'!$A$2:$E$30100,4,0)</f>
        <v>#N/A</v>
      </c>
      <c r="B2400" s="123"/>
      <c r="C2400" s="133" t="e">
        <f>VLOOKUP(B2400,'lista 1'!$A$2:$E$31000,5,0)</f>
        <v>#N/A</v>
      </c>
      <c r="D2400" s="167" t="e">
        <f>VLOOKUP(E14200,'lista obszary'!A:B,2,0)</f>
        <v>#N/A</v>
      </c>
      <c r="E2400" s="128" t="e">
        <f>VLOOKUP(B2400,'LISTA 12'!$A$2:$G$301400,5,0)</f>
        <v>#N/A</v>
      </c>
      <c r="F2400" s="121" t="e">
        <f>VLOOKUP(B2400,'LISTA 12'!$A$2:$G$30100,7,0)</f>
        <v>#N/A</v>
      </c>
      <c r="G2400" s="254" t="e">
        <f>VLOOKUP(H2400,'lista 3'!$A$1:$C$31467,3,0)</f>
        <v>#N/A</v>
      </c>
      <c r="H2400" s="134"/>
      <c r="I2400" s="136"/>
      <c r="J2400" s="135"/>
      <c r="K2400" s="22"/>
    </row>
    <row r="2401" spans="1:11">
      <c r="A2401" s="241" t="e">
        <f>VLOOKUP(B2401,'lista 1'!$A$2:$E$30100,4,0)</f>
        <v>#N/A</v>
      </c>
      <c r="B2401" s="123"/>
      <c r="C2401" s="133" t="e">
        <f>VLOOKUP(B2401,'lista 1'!$A$2:$E$31000,5,0)</f>
        <v>#N/A</v>
      </c>
      <c r="D2401" s="167" t="e">
        <f>VLOOKUP(E14201,'lista obszary'!A:B,2,0)</f>
        <v>#N/A</v>
      </c>
      <c r="E2401" s="128" t="e">
        <f>VLOOKUP(B2401,'LISTA 12'!$A$2:$G$301400,5,0)</f>
        <v>#N/A</v>
      </c>
      <c r="F2401" s="121" t="e">
        <f>VLOOKUP(B2401,'LISTA 12'!$A$2:$G$30100,7,0)</f>
        <v>#N/A</v>
      </c>
      <c r="G2401" s="254" t="e">
        <f>VLOOKUP(H2401,'lista 3'!$A$1:$C$31467,3,0)</f>
        <v>#N/A</v>
      </c>
      <c r="H2401" s="134"/>
      <c r="I2401" s="136"/>
      <c r="J2401" s="135"/>
      <c r="K2401" s="22"/>
    </row>
    <row r="2402" spans="1:11">
      <c r="A2402" s="241" t="e">
        <f>VLOOKUP(B2402,'lista 1'!$A$2:$E$30100,4,0)</f>
        <v>#N/A</v>
      </c>
      <c r="B2402" s="123"/>
      <c r="C2402" s="133" t="e">
        <f>VLOOKUP(B2402,'lista 1'!$A$2:$E$31000,5,0)</f>
        <v>#N/A</v>
      </c>
      <c r="D2402" s="167" t="e">
        <f>VLOOKUP(E14202,'lista obszary'!A:B,2,0)</f>
        <v>#N/A</v>
      </c>
      <c r="E2402" s="128" t="e">
        <f>VLOOKUP(B2402,'LISTA 12'!$A$2:$G$301400,5,0)</f>
        <v>#N/A</v>
      </c>
      <c r="F2402" s="121" t="e">
        <f>VLOOKUP(B2402,'LISTA 12'!$A$2:$G$30100,7,0)</f>
        <v>#N/A</v>
      </c>
      <c r="G2402" s="254" t="e">
        <f>VLOOKUP(H2402,'lista 3'!$A$1:$C$31467,3,0)</f>
        <v>#N/A</v>
      </c>
      <c r="H2402" s="134"/>
      <c r="I2402" s="136"/>
      <c r="J2402" s="135"/>
      <c r="K2402" s="22"/>
    </row>
    <row r="2403" spans="1:11">
      <c r="A2403" s="241" t="e">
        <f>VLOOKUP(B2403,'lista 1'!$A$2:$E$30100,4,0)</f>
        <v>#N/A</v>
      </c>
      <c r="B2403" s="123"/>
      <c r="C2403" s="133" t="e">
        <f>VLOOKUP(B2403,'lista 1'!$A$2:$E$31000,5,0)</f>
        <v>#N/A</v>
      </c>
      <c r="D2403" s="167" t="e">
        <f>VLOOKUP(E14203,'lista obszary'!A:B,2,0)</f>
        <v>#N/A</v>
      </c>
      <c r="E2403" s="128" t="e">
        <f>VLOOKUP(B2403,'LISTA 12'!$A$2:$G$301400,5,0)</f>
        <v>#N/A</v>
      </c>
      <c r="F2403" s="121" t="e">
        <f>VLOOKUP(B2403,'LISTA 12'!$A$2:$G$30100,7,0)</f>
        <v>#N/A</v>
      </c>
      <c r="G2403" s="254" t="e">
        <f>VLOOKUP(H2403,'lista 3'!$A$1:$C$31467,3,0)</f>
        <v>#N/A</v>
      </c>
      <c r="H2403" s="134"/>
      <c r="I2403" s="136"/>
      <c r="J2403" s="135"/>
      <c r="K2403" s="22"/>
    </row>
    <row r="2404" spans="1:11">
      <c r="A2404" s="241" t="e">
        <f>VLOOKUP(B2404,'lista 1'!$A$2:$E$30100,4,0)</f>
        <v>#N/A</v>
      </c>
      <c r="B2404" s="123"/>
      <c r="C2404" s="133" t="e">
        <f>VLOOKUP(B2404,'lista 1'!$A$2:$E$31000,5,0)</f>
        <v>#N/A</v>
      </c>
      <c r="D2404" s="167" t="e">
        <f>VLOOKUP(E14204,'lista obszary'!A:B,2,0)</f>
        <v>#N/A</v>
      </c>
      <c r="E2404" s="128" t="e">
        <f>VLOOKUP(B2404,'LISTA 12'!$A$2:$G$301400,5,0)</f>
        <v>#N/A</v>
      </c>
      <c r="F2404" s="121" t="e">
        <f>VLOOKUP(B2404,'LISTA 12'!$A$2:$G$30100,7,0)</f>
        <v>#N/A</v>
      </c>
      <c r="G2404" s="254" t="e">
        <f>VLOOKUP(H2404,'lista 3'!$A$1:$C$31467,3,0)</f>
        <v>#N/A</v>
      </c>
      <c r="H2404" s="134"/>
      <c r="I2404" s="136"/>
      <c r="J2404" s="135"/>
      <c r="K2404" s="22"/>
    </row>
    <row r="2405" spans="1:11">
      <c r="A2405" s="241" t="e">
        <f>VLOOKUP(B2405,'lista 1'!$A$2:$E$30100,4,0)</f>
        <v>#N/A</v>
      </c>
      <c r="B2405" s="123"/>
      <c r="C2405" s="133" t="e">
        <f>VLOOKUP(B2405,'lista 1'!$A$2:$E$31000,5,0)</f>
        <v>#N/A</v>
      </c>
      <c r="D2405" s="167" t="e">
        <f>VLOOKUP(E14205,'lista obszary'!A:B,2,0)</f>
        <v>#N/A</v>
      </c>
      <c r="E2405" s="128" t="e">
        <f>VLOOKUP(B2405,'LISTA 12'!$A$2:$G$301400,5,0)</f>
        <v>#N/A</v>
      </c>
      <c r="F2405" s="121" t="e">
        <f>VLOOKUP(B2405,'LISTA 12'!$A$2:$G$30100,7,0)</f>
        <v>#N/A</v>
      </c>
      <c r="G2405" s="254" t="e">
        <f>VLOOKUP(H2405,'lista 3'!$A$1:$C$31467,3,0)</f>
        <v>#N/A</v>
      </c>
      <c r="H2405" s="134"/>
      <c r="I2405" s="136"/>
      <c r="J2405" s="135"/>
      <c r="K2405" s="22"/>
    </row>
    <row r="2406" spans="1:11">
      <c r="A2406" s="241" t="e">
        <f>VLOOKUP(B2406,'lista 1'!$A$2:$E$30100,4,0)</f>
        <v>#N/A</v>
      </c>
      <c r="B2406" s="123"/>
      <c r="C2406" s="133" t="e">
        <f>VLOOKUP(B2406,'lista 1'!$A$2:$E$31000,5,0)</f>
        <v>#N/A</v>
      </c>
      <c r="D2406" s="167" t="e">
        <f>VLOOKUP(E14206,'lista obszary'!A:B,2,0)</f>
        <v>#N/A</v>
      </c>
      <c r="E2406" s="128" t="e">
        <f>VLOOKUP(B2406,'LISTA 12'!$A$2:$G$301400,5,0)</f>
        <v>#N/A</v>
      </c>
      <c r="F2406" s="121" t="e">
        <f>VLOOKUP(B2406,'LISTA 12'!$A$2:$G$30100,7,0)</f>
        <v>#N/A</v>
      </c>
      <c r="G2406" s="254" t="e">
        <f>VLOOKUP(H2406,'lista 3'!$A$1:$C$31467,3,0)</f>
        <v>#N/A</v>
      </c>
      <c r="H2406" s="134"/>
      <c r="I2406" s="136"/>
      <c r="J2406" s="135"/>
      <c r="K2406" s="22"/>
    </row>
    <row r="2407" spans="1:11">
      <c r="A2407" s="241" t="e">
        <f>VLOOKUP(B2407,'lista 1'!$A$2:$E$30100,4,0)</f>
        <v>#N/A</v>
      </c>
      <c r="B2407" s="123"/>
      <c r="C2407" s="133" t="e">
        <f>VLOOKUP(B2407,'lista 1'!$A$2:$E$31000,5,0)</f>
        <v>#N/A</v>
      </c>
      <c r="D2407" s="167" t="e">
        <f>VLOOKUP(E14207,'lista obszary'!A:B,2,0)</f>
        <v>#N/A</v>
      </c>
      <c r="E2407" s="128" t="e">
        <f>VLOOKUP(B2407,'LISTA 12'!$A$2:$G$301400,5,0)</f>
        <v>#N/A</v>
      </c>
      <c r="F2407" s="121" t="e">
        <f>VLOOKUP(B2407,'LISTA 12'!$A$2:$G$30100,7,0)</f>
        <v>#N/A</v>
      </c>
      <c r="G2407" s="254" t="e">
        <f>VLOOKUP(H2407,'lista 3'!$A$1:$C$31467,3,0)</f>
        <v>#N/A</v>
      </c>
      <c r="H2407" s="134"/>
      <c r="I2407" s="136"/>
      <c r="J2407" s="135"/>
      <c r="K2407" s="22"/>
    </row>
    <row r="2408" spans="1:11">
      <c r="A2408" s="241" t="e">
        <f>VLOOKUP(B2408,'lista 1'!$A$2:$E$30100,4,0)</f>
        <v>#N/A</v>
      </c>
      <c r="B2408" s="123"/>
      <c r="C2408" s="133" t="e">
        <f>VLOOKUP(B2408,'lista 1'!$A$2:$E$31000,5,0)</f>
        <v>#N/A</v>
      </c>
      <c r="D2408" s="167" t="e">
        <f>VLOOKUP(E14208,'lista obszary'!A:B,2,0)</f>
        <v>#N/A</v>
      </c>
      <c r="E2408" s="128" t="e">
        <f>VLOOKUP(B2408,'LISTA 12'!$A$2:$G$301400,5,0)</f>
        <v>#N/A</v>
      </c>
      <c r="F2408" s="121" t="e">
        <f>VLOOKUP(B2408,'LISTA 12'!$A$2:$G$30100,7,0)</f>
        <v>#N/A</v>
      </c>
      <c r="G2408" s="254" t="e">
        <f>VLOOKUP(H2408,'lista 3'!$A$1:$C$31467,3,0)</f>
        <v>#N/A</v>
      </c>
      <c r="H2408" s="134"/>
      <c r="I2408" s="136"/>
      <c r="J2408" s="135"/>
      <c r="K2408" s="22"/>
    </row>
    <row r="2409" spans="1:11">
      <c r="A2409" s="241" t="e">
        <f>VLOOKUP(B2409,'lista 1'!$A$2:$E$30100,4,0)</f>
        <v>#N/A</v>
      </c>
      <c r="B2409" s="123"/>
      <c r="C2409" s="133" t="e">
        <f>VLOOKUP(B2409,'lista 1'!$A$2:$E$31000,5,0)</f>
        <v>#N/A</v>
      </c>
      <c r="D2409" s="167" t="e">
        <f>VLOOKUP(E14209,'lista obszary'!A:B,2,0)</f>
        <v>#N/A</v>
      </c>
      <c r="E2409" s="128" t="e">
        <f>VLOOKUP(B2409,'LISTA 12'!$A$2:$G$301400,5,0)</f>
        <v>#N/A</v>
      </c>
      <c r="F2409" s="121" t="e">
        <f>VLOOKUP(B2409,'LISTA 12'!$A$2:$G$30100,7,0)</f>
        <v>#N/A</v>
      </c>
      <c r="G2409" s="254" t="e">
        <f>VLOOKUP(H2409,'lista 3'!$A$1:$C$31467,3,0)</f>
        <v>#N/A</v>
      </c>
      <c r="H2409" s="134"/>
      <c r="I2409" s="136"/>
      <c r="J2409" s="135"/>
      <c r="K2409" s="22"/>
    </row>
    <row r="2410" spans="1:11">
      <c r="A2410" s="241" t="e">
        <f>VLOOKUP(B2410,'lista 1'!$A$2:$E$30100,4,0)</f>
        <v>#N/A</v>
      </c>
      <c r="B2410" s="123"/>
      <c r="C2410" s="133" t="e">
        <f>VLOOKUP(B2410,'lista 1'!$A$2:$E$31000,5,0)</f>
        <v>#N/A</v>
      </c>
      <c r="D2410" s="167" t="e">
        <f>VLOOKUP(E14210,'lista obszary'!A:B,2,0)</f>
        <v>#N/A</v>
      </c>
      <c r="E2410" s="128" t="e">
        <f>VLOOKUP(B2410,'LISTA 12'!$A$2:$G$301400,5,0)</f>
        <v>#N/A</v>
      </c>
      <c r="F2410" s="121" t="e">
        <f>VLOOKUP(B2410,'LISTA 12'!$A$2:$G$30100,7,0)</f>
        <v>#N/A</v>
      </c>
      <c r="G2410" s="254" t="e">
        <f>VLOOKUP(H2410,'lista 3'!$A$1:$C$31467,3,0)</f>
        <v>#N/A</v>
      </c>
      <c r="H2410" s="134"/>
      <c r="I2410" s="136"/>
      <c r="J2410" s="135"/>
      <c r="K2410" s="22"/>
    </row>
    <row r="2411" spans="1:11">
      <c r="A2411" s="241" t="e">
        <f>VLOOKUP(B2411,'lista 1'!$A$2:$E$30100,4,0)</f>
        <v>#N/A</v>
      </c>
      <c r="B2411" s="123"/>
      <c r="C2411" s="133" t="e">
        <f>VLOOKUP(B2411,'lista 1'!$A$2:$E$31000,5,0)</f>
        <v>#N/A</v>
      </c>
      <c r="D2411" s="167" t="e">
        <f>VLOOKUP(E14211,'lista obszary'!A:B,2,0)</f>
        <v>#N/A</v>
      </c>
      <c r="E2411" s="128" t="e">
        <f>VLOOKUP(B2411,'LISTA 12'!$A$2:$G$301400,5,0)</f>
        <v>#N/A</v>
      </c>
      <c r="F2411" s="121" t="e">
        <f>VLOOKUP(B2411,'LISTA 12'!$A$2:$G$30100,7,0)</f>
        <v>#N/A</v>
      </c>
      <c r="G2411" s="254" t="e">
        <f>VLOOKUP(H2411,'lista 3'!$A$1:$C$31467,3,0)</f>
        <v>#N/A</v>
      </c>
      <c r="H2411" s="134"/>
      <c r="I2411" s="136"/>
      <c r="J2411" s="135"/>
      <c r="K2411" s="22"/>
    </row>
    <row r="2412" spans="1:11">
      <c r="A2412" s="241" t="e">
        <f>VLOOKUP(B2412,'lista 1'!$A$2:$E$30100,4,0)</f>
        <v>#N/A</v>
      </c>
      <c r="B2412" s="123"/>
      <c r="C2412" s="133" t="e">
        <f>VLOOKUP(B2412,'lista 1'!$A$2:$E$31000,5,0)</f>
        <v>#N/A</v>
      </c>
      <c r="D2412" s="167" t="e">
        <f>VLOOKUP(E14212,'lista obszary'!A:B,2,0)</f>
        <v>#N/A</v>
      </c>
      <c r="E2412" s="128" t="e">
        <f>VLOOKUP(B2412,'LISTA 12'!$A$2:$G$301400,5,0)</f>
        <v>#N/A</v>
      </c>
      <c r="F2412" s="121" t="e">
        <f>VLOOKUP(B2412,'LISTA 12'!$A$2:$G$30100,7,0)</f>
        <v>#N/A</v>
      </c>
      <c r="G2412" s="254" t="e">
        <f>VLOOKUP(H2412,'lista 3'!$A$1:$C$31467,3,0)</f>
        <v>#N/A</v>
      </c>
      <c r="H2412" s="134"/>
      <c r="I2412" s="136"/>
      <c r="J2412" s="135"/>
      <c r="K2412" s="22"/>
    </row>
    <row r="2413" spans="1:11">
      <c r="A2413" s="241" t="e">
        <f>VLOOKUP(B2413,'lista 1'!$A$2:$E$30100,4,0)</f>
        <v>#N/A</v>
      </c>
      <c r="B2413" s="123"/>
      <c r="C2413" s="133" t="e">
        <f>VLOOKUP(B2413,'lista 1'!$A$2:$E$31000,5,0)</f>
        <v>#N/A</v>
      </c>
      <c r="D2413" s="167" t="e">
        <f>VLOOKUP(E14213,'lista obszary'!A:B,2,0)</f>
        <v>#N/A</v>
      </c>
      <c r="E2413" s="128" t="e">
        <f>VLOOKUP(B2413,'LISTA 12'!$A$2:$G$301400,5,0)</f>
        <v>#N/A</v>
      </c>
      <c r="F2413" s="121" t="e">
        <f>VLOOKUP(B2413,'LISTA 12'!$A$2:$G$30100,7,0)</f>
        <v>#N/A</v>
      </c>
      <c r="G2413" s="254" t="e">
        <f>VLOOKUP(H2413,'lista 3'!$A$1:$C$31467,3,0)</f>
        <v>#N/A</v>
      </c>
      <c r="H2413" s="134"/>
      <c r="I2413" s="136"/>
      <c r="J2413" s="135"/>
      <c r="K2413" s="22"/>
    </row>
    <row r="2414" spans="1:11">
      <c r="A2414" s="241" t="e">
        <f>VLOOKUP(B2414,'lista 1'!$A$2:$E$30100,4,0)</f>
        <v>#N/A</v>
      </c>
      <c r="B2414" s="123"/>
      <c r="C2414" s="133" t="e">
        <f>VLOOKUP(B2414,'lista 1'!$A$2:$E$31000,5,0)</f>
        <v>#N/A</v>
      </c>
      <c r="D2414" s="167" t="e">
        <f>VLOOKUP(E14214,'lista obszary'!A:B,2,0)</f>
        <v>#N/A</v>
      </c>
      <c r="E2414" s="128" t="e">
        <f>VLOOKUP(B2414,'LISTA 12'!$A$2:$G$301400,5,0)</f>
        <v>#N/A</v>
      </c>
      <c r="F2414" s="121" t="e">
        <f>VLOOKUP(B2414,'LISTA 12'!$A$2:$G$30100,7,0)</f>
        <v>#N/A</v>
      </c>
      <c r="G2414" s="254" t="e">
        <f>VLOOKUP(H2414,'lista 3'!$A$1:$C$31467,3,0)</f>
        <v>#N/A</v>
      </c>
      <c r="H2414" s="134"/>
      <c r="I2414" s="136"/>
      <c r="J2414" s="135"/>
      <c r="K2414" s="22"/>
    </row>
    <row r="2415" spans="1:11">
      <c r="A2415" s="241" t="e">
        <f>VLOOKUP(B2415,'lista 1'!$A$2:$E$30100,4,0)</f>
        <v>#N/A</v>
      </c>
      <c r="B2415" s="123"/>
      <c r="C2415" s="133" t="e">
        <f>VLOOKUP(B2415,'lista 1'!$A$2:$E$31000,5,0)</f>
        <v>#N/A</v>
      </c>
      <c r="D2415" s="167" t="e">
        <f>VLOOKUP(E14215,'lista obszary'!A:B,2,0)</f>
        <v>#N/A</v>
      </c>
      <c r="E2415" s="128" t="e">
        <f>VLOOKUP(B2415,'LISTA 12'!$A$2:$G$301400,5,0)</f>
        <v>#N/A</v>
      </c>
      <c r="F2415" s="121" t="e">
        <f>VLOOKUP(B2415,'LISTA 12'!$A$2:$G$30100,7,0)</f>
        <v>#N/A</v>
      </c>
      <c r="G2415" s="254" t="e">
        <f>VLOOKUP(H2415,'lista 3'!$A$1:$C$31467,3,0)</f>
        <v>#N/A</v>
      </c>
      <c r="H2415" s="134"/>
      <c r="I2415" s="136"/>
      <c r="J2415" s="135"/>
      <c r="K2415" s="22"/>
    </row>
    <row r="2416" spans="1:11">
      <c r="A2416" s="241" t="e">
        <f>VLOOKUP(B2416,'lista 1'!$A$2:$E$30100,4,0)</f>
        <v>#N/A</v>
      </c>
      <c r="B2416" s="123"/>
      <c r="C2416" s="133" t="e">
        <f>VLOOKUP(B2416,'lista 1'!$A$2:$E$31000,5,0)</f>
        <v>#N/A</v>
      </c>
      <c r="D2416" s="167" t="e">
        <f>VLOOKUP(E14216,'lista obszary'!A:B,2,0)</f>
        <v>#N/A</v>
      </c>
      <c r="E2416" s="128" t="e">
        <f>VLOOKUP(B2416,'LISTA 12'!$A$2:$G$301400,5,0)</f>
        <v>#N/A</v>
      </c>
      <c r="F2416" s="121" t="e">
        <f>VLOOKUP(B2416,'LISTA 12'!$A$2:$G$30100,7,0)</f>
        <v>#N/A</v>
      </c>
      <c r="G2416" s="254" t="e">
        <f>VLOOKUP(H2416,'lista 3'!$A$1:$C$31467,3,0)</f>
        <v>#N/A</v>
      </c>
      <c r="H2416" s="134"/>
      <c r="I2416" s="136"/>
      <c r="J2416" s="135"/>
      <c r="K2416" s="22"/>
    </row>
    <row r="2417" spans="1:11">
      <c r="A2417" s="241" t="e">
        <f>VLOOKUP(B2417,'lista 1'!$A$2:$E$30100,4,0)</f>
        <v>#N/A</v>
      </c>
      <c r="B2417" s="123"/>
      <c r="C2417" s="133" t="e">
        <f>VLOOKUP(B2417,'lista 1'!$A$2:$E$31000,5,0)</f>
        <v>#N/A</v>
      </c>
      <c r="D2417" s="167" t="e">
        <f>VLOOKUP(E14217,'lista obszary'!A:B,2,0)</f>
        <v>#N/A</v>
      </c>
      <c r="E2417" s="128" t="e">
        <f>VLOOKUP(B2417,'LISTA 12'!$A$2:$G$301400,5,0)</f>
        <v>#N/A</v>
      </c>
      <c r="F2417" s="121" t="e">
        <f>VLOOKUP(B2417,'LISTA 12'!$A$2:$G$30100,7,0)</f>
        <v>#N/A</v>
      </c>
      <c r="G2417" s="254" t="e">
        <f>VLOOKUP(H2417,'lista 3'!$A$1:$C$31467,3,0)</f>
        <v>#N/A</v>
      </c>
      <c r="H2417" s="134"/>
      <c r="I2417" s="136"/>
      <c r="J2417" s="135"/>
      <c r="K2417" s="22"/>
    </row>
    <row r="2418" spans="1:11">
      <c r="A2418" s="241" t="e">
        <f>VLOOKUP(B2418,'lista 1'!$A$2:$E$30100,4,0)</f>
        <v>#N/A</v>
      </c>
      <c r="B2418" s="123"/>
      <c r="C2418" s="133" t="e">
        <f>VLOOKUP(B2418,'lista 1'!$A$2:$E$31000,5,0)</f>
        <v>#N/A</v>
      </c>
      <c r="D2418" s="167" t="e">
        <f>VLOOKUP(E14218,'lista obszary'!A:B,2,0)</f>
        <v>#N/A</v>
      </c>
      <c r="E2418" s="128" t="e">
        <f>VLOOKUP(B2418,'LISTA 12'!$A$2:$G$301400,5,0)</f>
        <v>#N/A</v>
      </c>
      <c r="F2418" s="121" t="e">
        <f>VLOOKUP(B2418,'LISTA 12'!$A$2:$G$30100,7,0)</f>
        <v>#N/A</v>
      </c>
      <c r="G2418" s="254" t="e">
        <f>VLOOKUP(H2418,'lista 3'!$A$1:$C$31467,3,0)</f>
        <v>#N/A</v>
      </c>
      <c r="H2418" s="134"/>
      <c r="I2418" s="136"/>
      <c r="J2418" s="135"/>
      <c r="K2418" s="22"/>
    </row>
    <row r="2419" spans="1:11">
      <c r="A2419" s="241" t="e">
        <f>VLOOKUP(B2419,'lista 1'!$A$2:$E$30100,4,0)</f>
        <v>#N/A</v>
      </c>
      <c r="B2419" s="123"/>
      <c r="C2419" s="133" t="e">
        <f>VLOOKUP(B2419,'lista 1'!$A$2:$E$31000,5,0)</f>
        <v>#N/A</v>
      </c>
      <c r="D2419" s="167" t="e">
        <f>VLOOKUP(E14219,'lista obszary'!A:B,2,0)</f>
        <v>#N/A</v>
      </c>
      <c r="E2419" s="128" t="e">
        <f>VLOOKUP(B2419,'LISTA 12'!$A$2:$G$301400,5,0)</f>
        <v>#N/A</v>
      </c>
      <c r="F2419" s="121" t="e">
        <f>VLOOKUP(B2419,'LISTA 12'!$A$2:$G$30100,7,0)</f>
        <v>#N/A</v>
      </c>
      <c r="G2419" s="254" t="e">
        <f>VLOOKUP(H2419,'lista 3'!$A$1:$C$31467,3,0)</f>
        <v>#N/A</v>
      </c>
      <c r="H2419" s="134"/>
      <c r="I2419" s="136"/>
      <c r="J2419" s="135"/>
      <c r="K2419" s="22"/>
    </row>
    <row r="2420" spans="1:11">
      <c r="A2420" s="241" t="e">
        <f>VLOOKUP(B2420,'lista 1'!$A$2:$E$30100,4,0)</f>
        <v>#N/A</v>
      </c>
      <c r="B2420" s="123"/>
      <c r="C2420" s="133" t="e">
        <f>VLOOKUP(B2420,'lista 1'!$A$2:$E$31000,5,0)</f>
        <v>#N/A</v>
      </c>
      <c r="D2420" s="167" t="e">
        <f>VLOOKUP(E14220,'lista obszary'!A:B,2,0)</f>
        <v>#N/A</v>
      </c>
      <c r="E2420" s="128" t="e">
        <f>VLOOKUP(B2420,'LISTA 12'!$A$2:$G$301400,5,0)</f>
        <v>#N/A</v>
      </c>
      <c r="F2420" s="121" t="e">
        <f>VLOOKUP(B2420,'LISTA 12'!$A$2:$G$30100,7,0)</f>
        <v>#N/A</v>
      </c>
      <c r="G2420" s="254" t="e">
        <f>VLOOKUP(H2420,'lista 3'!$A$1:$C$31467,3,0)</f>
        <v>#N/A</v>
      </c>
      <c r="H2420" s="134"/>
      <c r="I2420" s="136"/>
      <c r="J2420" s="135"/>
      <c r="K2420" s="22"/>
    </row>
    <row r="2421" spans="1:11">
      <c r="A2421" s="241" t="e">
        <f>VLOOKUP(B2421,'lista 1'!$A$2:$E$30100,4,0)</f>
        <v>#N/A</v>
      </c>
      <c r="B2421" s="123"/>
      <c r="C2421" s="133" t="e">
        <f>VLOOKUP(B2421,'lista 1'!$A$2:$E$31000,5,0)</f>
        <v>#N/A</v>
      </c>
      <c r="D2421" s="167" t="e">
        <f>VLOOKUP(E14221,'lista obszary'!A:B,2,0)</f>
        <v>#N/A</v>
      </c>
      <c r="E2421" s="128" t="e">
        <f>VLOOKUP(B2421,'LISTA 12'!$A$2:$G$301400,5,0)</f>
        <v>#N/A</v>
      </c>
      <c r="F2421" s="121" t="e">
        <f>VLOOKUP(B2421,'LISTA 12'!$A$2:$G$30100,7,0)</f>
        <v>#N/A</v>
      </c>
      <c r="G2421" s="254" t="e">
        <f>VLOOKUP(H2421,'lista 3'!$A$1:$C$31467,3,0)</f>
        <v>#N/A</v>
      </c>
      <c r="H2421" s="134"/>
      <c r="I2421" s="136"/>
      <c r="J2421" s="135"/>
      <c r="K2421" s="22"/>
    </row>
    <row r="2422" spans="1:11">
      <c r="A2422" s="241" t="e">
        <f>VLOOKUP(B2422,'lista 1'!$A$2:$E$30100,4,0)</f>
        <v>#N/A</v>
      </c>
      <c r="B2422" s="123"/>
      <c r="C2422" s="133" t="e">
        <f>VLOOKUP(B2422,'lista 1'!$A$2:$E$31000,5,0)</f>
        <v>#N/A</v>
      </c>
      <c r="D2422" s="167" t="e">
        <f>VLOOKUP(E14222,'lista obszary'!A:B,2,0)</f>
        <v>#N/A</v>
      </c>
      <c r="E2422" s="128" t="e">
        <f>VLOOKUP(B2422,'LISTA 12'!$A$2:$G$301400,5,0)</f>
        <v>#N/A</v>
      </c>
      <c r="F2422" s="121" t="e">
        <f>VLOOKUP(B2422,'LISTA 12'!$A$2:$G$30100,7,0)</f>
        <v>#N/A</v>
      </c>
      <c r="G2422" s="254" t="e">
        <f>VLOOKUP(H2422,'lista 3'!$A$1:$C$31467,3,0)</f>
        <v>#N/A</v>
      </c>
      <c r="H2422" s="134"/>
      <c r="I2422" s="136"/>
      <c r="J2422" s="135"/>
      <c r="K2422" s="22"/>
    </row>
    <row r="2423" spans="1:11">
      <c r="A2423" s="241" t="e">
        <f>VLOOKUP(B2423,'lista 1'!$A$2:$E$30100,4,0)</f>
        <v>#N/A</v>
      </c>
      <c r="B2423" s="123"/>
      <c r="C2423" s="133" t="e">
        <f>VLOOKUP(B2423,'lista 1'!$A$2:$E$31000,5,0)</f>
        <v>#N/A</v>
      </c>
      <c r="D2423" s="167" t="e">
        <f>VLOOKUP(E14223,'lista obszary'!A:B,2,0)</f>
        <v>#N/A</v>
      </c>
      <c r="E2423" s="128" t="e">
        <f>VLOOKUP(B2423,'LISTA 12'!$A$2:$G$301400,5,0)</f>
        <v>#N/A</v>
      </c>
      <c r="F2423" s="121" t="e">
        <f>VLOOKUP(B2423,'LISTA 12'!$A$2:$G$30100,7,0)</f>
        <v>#N/A</v>
      </c>
      <c r="G2423" s="254" t="e">
        <f>VLOOKUP(H2423,'lista 3'!$A$1:$C$31467,3,0)</f>
        <v>#N/A</v>
      </c>
      <c r="H2423" s="134"/>
      <c r="I2423" s="136"/>
      <c r="J2423" s="135"/>
      <c r="K2423" s="22"/>
    </row>
    <row r="2424" spans="1:11">
      <c r="A2424" s="241" t="e">
        <f>VLOOKUP(B2424,'lista 1'!$A$2:$E$30100,4,0)</f>
        <v>#N/A</v>
      </c>
      <c r="B2424" s="123"/>
      <c r="C2424" s="133" t="e">
        <f>VLOOKUP(B2424,'lista 1'!$A$2:$E$31000,5,0)</f>
        <v>#N/A</v>
      </c>
      <c r="D2424" s="167" t="e">
        <f>VLOOKUP(E14224,'lista obszary'!A:B,2,0)</f>
        <v>#N/A</v>
      </c>
      <c r="E2424" s="128" t="e">
        <f>VLOOKUP(B2424,'LISTA 12'!$A$2:$G$301400,5,0)</f>
        <v>#N/A</v>
      </c>
      <c r="F2424" s="121" t="e">
        <f>VLOOKUP(B2424,'LISTA 12'!$A$2:$G$30100,7,0)</f>
        <v>#N/A</v>
      </c>
      <c r="G2424" s="254" t="e">
        <f>VLOOKUP(H2424,'lista 3'!$A$1:$C$31467,3,0)</f>
        <v>#N/A</v>
      </c>
      <c r="H2424" s="134"/>
      <c r="I2424" s="136"/>
      <c r="J2424" s="135"/>
      <c r="K2424" s="22"/>
    </row>
    <row r="2425" spans="1:11">
      <c r="A2425" s="241" t="e">
        <f>VLOOKUP(B2425,'lista 1'!$A$2:$E$30100,4,0)</f>
        <v>#N/A</v>
      </c>
      <c r="B2425" s="123"/>
      <c r="C2425" s="133" t="e">
        <f>VLOOKUP(B2425,'lista 1'!$A$2:$E$31000,5,0)</f>
        <v>#N/A</v>
      </c>
      <c r="D2425" s="167" t="e">
        <f>VLOOKUP(E14225,'lista obszary'!A:B,2,0)</f>
        <v>#N/A</v>
      </c>
      <c r="E2425" s="128" t="e">
        <f>VLOOKUP(B2425,'LISTA 12'!$A$2:$G$301400,5,0)</f>
        <v>#N/A</v>
      </c>
      <c r="F2425" s="121" t="e">
        <f>VLOOKUP(B2425,'LISTA 12'!$A$2:$G$30100,7,0)</f>
        <v>#N/A</v>
      </c>
      <c r="G2425" s="254" t="e">
        <f>VLOOKUP(H2425,'lista 3'!$A$1:$C$31467,3,0)</f>
        <v>#N/A</v>
      </c>
      <c r="H2425" s="134"/>
      <c r="I2425" s="136"/>
      <c r="J2425" s="135"/>
      <c r="K2425" s="22"/>
    </row>
    <row r="2426" spans="1:11">
      <c r="A2426" s="241" t="e">
        <f>VLOOKUP(B2426,'lista 1'!$A$2:$E$30100,4,0)</f>
        <v>#N/A</v>
      </c>
      <c r="B2426" s="123"/>
      <c r="C2426" s="133" t="e">
        <f>VLOOKUP(B2426,'lista 1'!$A$2:$E$31000,5,0)</f>
        <v>#N/A</v>
      </c>
      <c r="D2426" s="167" t="e">
        <f>VLOOKUP(E14226,'lista obszary'!A:B,2,0)</f>
        <v>#N/A</v>
      </c>
      <c r="E2426" s="128" t="e">
        <f>VLOOKUP(B2426,'LISTA 12'!$A$2:$G$301400,5,0)</f>
        <v>#N/A</v>
      </c>
      <c r="F2426" s="121" t="e">
        <f>VLOOKUP(B2426,'LISTA 12'!$A$2:$G$30100,7,0)</f>
        <v>#N/A</v>
      </c>
      <c r="G2426" s="254" t="e">
        <f>VLOOKUP(H2426,'lista 3'!$A$1:$C$31467,3,0)</f>
        <v>#N/A</v>
      </c>
      <c r="H2426" s="134"/>
      <c r="I2426" s="136"/>
      <c r="J2426" s="135"/>
      <c r="K2426" s="22"/>
    </row>
    <row r="2427" spans="1:11">
      <c r="A2427" s="241" t="e">
        <f>VLOOKUP(B2427,'lista 1'!$A$2:$E$30100,4,0)</f>
        <v>#N/A</v>
      </c>
      <c r="B2427" s="123"/>
      <c r="C2427" s="133" t="e">
        <f>VLOOKUP(B2427,'lista 1'!$A$2:$E$31000,5,0)</f>
        <v>#N/A</v>
      </c>
      <c r="D2427" s="167" t="e">
        <f>VLOOKUP(E14227,'lista obszary'!A:B,2,0)</f>
        <v>#N/A</v>
      </c>
      <c r="E2427" s="128" t="e">
        <f>VLOOKUP(B2427,'LISTA 12'!$A$2:$G$301400,5,0)</f>
        <v>#N/A</v>
      </c>
      <c r="F2427" s="121" t="e">
        <f>VLOOKUP(B2427,'LISTA 12'!$A$2:$G$30100,7,0)</f>
        <v>#N/A</v>
      </c>
      <c r="G2427" s="254" t="e">
        <f>VLOOKUP(H2427,'lista 3'!$A$1:$C$31467,3,0)</f>
        <v>#N/A</v>
      </c>
      <c r="H2427" s="134"/>
      <c r="I2427" s="136"/>
      <c r="J2427" s="135"/>
      <c r="K2427" s="22"/>
    </row>
    <row r="2428" spans="1:11">
      <c r="A2428" s="241" t="e">
        <f>VLOOKUP(B2428,'lista 1'!$A$2:$E$30100,4,0)</f>
        <v>#N/A</v>
      </c>
      <c r="B2428" s="123"/>
      <c r="C2428" s="133" t="e">
        <f>VLOOKUP(B2428,'lista 1'!$A$2:$E$31000,5,0)</f>
        <v>#N/A</v>
      </c>
      <c r="D2428" s="167" t="e">
        <f>VLOOKUP(E14228,'lista obszary'!A:B,2,0)</f>
        <v>#N/A</v>
      </c>
      <c r="E2428" s="128" t="e">
        <f>VLOOKUP(B2428,'LISTA 12'!$A$2:$G$301400,5,0)</f>
        <v>#N/A</v>
      </c>
      <c r="F2428" s="121" t="e">
        <f>VLOOKUP(B2428,'LISTA 12'!$A$2:$G$30100,7,0)</f>
        <v>#N/A</v>
      </c>
      <c r="G2428" s="254" t="e">
        <f>VLOOKUP(H2428,'lista 3'!$A$1:$C$31467,3,0)</f>
        <v>#N/A</v>
      </c>
      <c r="H2428" s="134"/>
      <c r="I2428" s="136"/>
      <c r="J2428" s="135"/>
      <c r="K2428" s="22"/>
    </row>
    <row r="2429" spans="1:11">
      <c r="A2429" s="241" t="e">
        <f>VLOOKUP(B2429,'lista 1'!$A$2:$E$30100,4,0)</f>
        <v>#N/A</v>
      </c>
      <c r="B2429" s="123"/>
      <c r="C2429" s="133" t="e">
        <f>VLOOKUP(B2429,'lista 1'!$A$2:$E$31000,5,0)</f>
        <v>#N/A</v>
      </c>
      <c r="D2429" s="167" t="e">
        <f>VLOOKUP(E14229,'lista obszary'!A:B,2,0)</f>
        <v>#N/A</v>
      </c>
      <c r="E2429" s="128" t="e">
        <f>VLOOKUP(B2429,'LISTA 12'!$A$2:$G$301400,5,0)</f>
        <v>#N/A</v>
      </c>
      <c r="F2429" s="121" t="e">
        <f>VLOOKUP(B2429,'LISTA 12'!$A$2:$G$30100,7,0)</f>
        <v>#N/A</v>
      </c>
      <c r="G2429" s="254" t="e">
        <f>VLOOKUP(H2429,'lista 3'!$A$1:$C$31467,3,0)</f>
        <v>#N/A</v>
      </c>
      <c r="H2429" s="134"/>
      <c r="I2429" s="136"/>
      <c r="J2429" s="135"/>
      <c r="K2429" s="22"/>
    </row>
    <row r="2430" spans="1:11">
      <c r="A2430" s="241" t="e">
        <f>VLOOKUP(B2430,'lista 1'!$A$2:$E$30100,4,0)</f>
        <v>#N/A</v>
      </c>
      <c r="B2430" s="123"/>
      <c r="C2430" s="133" t="e">
        <f>VLOOKUP(B2430,'lista 1'!$A$2:$E$31000,5,0)</f>
        <v>#N/A</v>
      </c>
      <c r="D2430" s="167" t="e">
        <f>VLOOKUP(E14230,'lista obszary'!A:B,2,0)</f>
        <v>#N/A</v>
      </c>
      <c r="E2430" s="128" t="e">
        <f>VLOOKUP(B2430,'LISTA 12'!$A$2:$G$301400,5,0)</f>
        <v>#N/A</v>
      </c>
      <c r="F2430" s="121" t="e">
        <f>VLOOKUP(B2430,'LISTA 12'!$A$2:$G$30100,7,0)</f>
        <v>#N/A</v>
      </c>
      <c r="G2430" s="254" t="e">
        <f>VLOOKUP(H2430,'lista 3'!$A$1:$C$31467,3,0)</f>
        <v>#N/A</v>
      </c>
      <c r="H2430" s="134"/>
      <c r="I2430" s="136"/>
      <c r="J2430" s="135"/>
      <c r="K2430" s="22"/>
    </row>
    <row r="2431" spans="1:11">
      <c r="A2431" s="241" t="e">
        <f>VLOOKUP(B2431,'lista 1'!$A$2:$E$30100,4,0)</f>
        <v>#N/A</v>
      </c>
      <c r="B2431" s="123"/>
      <c r="C2431" s="133" t="e">
        <f>VLOOKUP(B2431,'lista 1'!$A$2:$E$31000,5,0)</f>
        <v>#N/A</v>
      </c>
      <c r="D2431" s="167" t="e">
        <f>VLOOKUP(E14231,'lista obszary'!A:B,2,0)</f>
        <v>#N/A</v>
      </c>
      <c r="E2431" s="128" t="e">
        <f>VLOOKUP(B2431,'LISTA 12'!$A$2:$G$301400,5,0)</f>
        <v>#N/A</v>
      </c>
      <c r="F2431" s="121" t="e">
        <f>VLOOKUP(B2431,'LISTA 12'!$A$2:$G$30100,7,0)</f>
        <v>#N/A</v>
      </c>
      <c r="G2431" s="254" t="e">
        <f>VLOOKUP(H2431,'lista 3'!$A$1:$C$31467,3,0)</f>
        <v>#N/A</v>
      </c>
      <c r="H2431" s="134"/>
      <c r="I2431" s="136"/>
      <c r="J2431" s="135"/>
      <c r="K2431" s="22"/>
    </row>
    <row r="2432" spans="1:11">
      <c r="A2432" s="241" t="e">
        <f>VLOOKUP(B2432,'lista 1'!$A$2:$E$30100,4,0)</f>
        <v>#N/A</v>
      </c>
      <c r="B2432" s="123"/>
      <c r="C2432" s="133" t="e">
        <f>VLOOKUP(B2432,'lista 1'!$A$2:$E$31000,5,0)</f>
        <v>#N/A</v>
      </c>
      <c r="D2432" s="167" t="e">
        <f>VLOOKUP(E14232,'lista obszary'!A:B,2,0)</f>
        <v>#N/A</v>
      </c>
      <c r="E2432" s="128" t="e">
        <f>VLOOKUP(B2432,'LISTA 12'!$A$2:$G$301400,5,0)</f>
        <v>#N/A</v>
      </c>
      <c r="F2432" s="121" t="e">
        <f>VLOOKUP(B2432,'LISTA 12'!$A$2:$G$30100,7,0)</f>
        <v>#N/A</v>
      </c>
      <c r="G2432" s="254" t="e">
        <f>VLOOKUP(H2432,'lista 3'!$A$1:$C$31467,3,0)</f>
        <v>#N/A</v>
      </c>
      <c r="H2432" s="134"/>
      <c r="I2432" s="136"/>
      <c r="J2432" s="135"/>
      <c r="K2432" s="22"/>
    </row>
    <row r="2433" spans="1:11">
      <c r="A2433" s="241" t="e">
        <f>VLOOKUP(B2433,'lista 1'!$A$2:$E$30100,4,0)</f>
        <v>#N/A</v>
      </c>
      <c r="B2433" s="123"/>
      <c r="C2433" s="133" t="e">
        <f>VLOOKUP(B2433,'lista 1'!$A$2:$E$31000,5,0)</f>
        <v>#N/A</v>
      </c>
      <c r="D2433" s="167" t="e">
        <f>VLOOKUP(E14233,'lista obszary'!A:B,2,0)</f>
        <v>#N/A</v>
      </c>
      <c r="E2433" s="128" t="e">
        <f>VLOOKUP(B2433,'LISTA 12'!$A$2:$G$301400,5,0)</f>
        <v>#N/A</v>
      </c>
      <c r="F2433" s="121" t="e">
        <f>VLOOKUP(B2433,'LISTA 12'!$A$2:$G$30100,7,0)</f>
        <v>#N/A</v>
      </c>
      <c r="G2433" s="254" t="e">
        <f>VLOOKUP(H2433,'lista 3'!$A$1:$C$31467,3,0)</f>
        <v>#N/A</v>
      </c>
      <c r="H2433" s="134"/>
      <c r="I2433" s="136"/>
      <c r="J2433" s="135"/>
      <c r="K2433" s="22"/>
    </row>
    <row r="2434" spans="1:11">
      <c r="A2434" s="241" t="e">
        <f>VLOOKUP(B2434,'lista 1'!$A$2:$E$30100,4,0)</f>
        <v>#N/A</v>
      </c>
      <c r="B2434" s="123"/>
      <c r="C2434" s="133" t="e">
        <f>VLOOKUP(B2434,'lista 1'!$A$2:$E$31000,5,0)</f>
        <v>#N/A</v>
      </c>
      <c r="D2434" s="167" t="e">
        <f>VLOOKUP(E14234,'lista obszary'!A:B,2,0)</f>
        <v>#N/A</v>
      </c>
      <c r="E2434" s="128" t="e">
        <f>VLOOKUP(B2434,'LISTA 12'!$A$2:$G$301400,5,0)</f>
        <v>#N/A</v>
      </c>
      <c r="F2434" s="121" t="e">
        <f>VLOOKUP(B2434,'LISTA 12'!$A$2:$G$30100,7,0)</f>
        <v>#N/A</v>
      </c>
      <c r="G2434" s="254" t="e">
        <f>VLOOKUP(H2434,'lista 3'!$A$1:$C$31467,3,0)</f>
        <v>#N/A</v>
      </c>
      <c r="H2434" s="134"/>
      <c r="I2434" s="136"/>
      <c r="J2434" s="135"/>
      <c r="K2434" s="22"/>
    </row>
    <row r="2435" spans="1:11">
      <c r="A2435" s="241" t="e">
        <f>VLOOKUP(B2435,'lista 1'!$A$2:$E$30100,4,0)</f>
        <v>#N/A</v>
      </c>
      <c r="B2435" s="123"/>
      <c r="C2435" s="133" t="e">
        <f>VLOOKUP(B2435,'lista 1'!$A$2:$E$31000,5,0)</f>
        <v>#N/A</v>
      </c>
      <c r="D2435" s="167" t="e">
        <f>VLOOKUP(E14235,'lista obszary'!A:B,2,0)</f>
        <v>#N/A</v>
      </c>
      <c r="E2435" s="128" t="e">
        <f>VLOOKUP(B2435,'LISTA 12'!$A$2:$G$301400,5,0)</f>
        <v>#N/A</v>
      </c>
      <c r="F2435" s="121" t="e">
        <f>VLOOKUP(B2435,'LISTA 12'!$A$2:$G$30100,7,0)</f>
        <v>#N/A</v>
      </c>
      <c r="G2435" s="254" t="e">
        <f>VLOOKUP(H2435,'lista 3'!$A$1:$C$31467,3,0)</f>
        <v>#N/A</v>
      </c>
      <c r="H2435" s="134"/>
      <c r="I2435" s="136"/>
      <c r="J2435" s="135"/>
      <c r="K2435" s="22"/>
    </row>
    <row r="2436" spans="1:11">
      <c r="A2436" s="241" t="e">
        <f>VLOOKUP(B2436,'lista 1'!$A$2:$E$30100,4,0)</f>
        <v>#N/A</v>
      </c>
      <c r="B2436" s="123"/>
      <c r="C2436" s="133" t="e">
        <f>VLOOKUP(B2436,'lista 1'!$A$2:$E$31000,5,0)</f>
        <v>#N/A</v>
      </c>
      <c r="D2436" s="167" t="e">
        <f>VLOOKUP(E14236,'lista obszary'!A:B,2,0)</f>
        <v>#N/A</v>
      </c>
      <c r="E2436" s="128" t="e">
        <f>VLOOKUP(B2436,'LISTA 12'!$A$2:$G$301400,5,0)</f>
        <v>#N/A</v>
      </c>
      <c r="F2436" s="121" t="e">
        <f>VLOOKUP(B2436,'LISTA 12'!$A$2:$G$30100,7,0)</f>
        <v>#N/A</v>
      </c>
      <c r="G2436" s="254" t="e">
        <f>VLOOKUP(H2436,'lista 3'!$A$1:$C$31467,3,0)</f>
        <v>#N/A</v>
      </c>
      <c r="H2436" s="134"/>
      <c r="I2436" s="136"/>
      <c r="J2436" s="135"/>
      <c r="K2436" s="22"/>
    </row>
    <row r="2437" spans="1:11">
      <c r="A2437" s="241" t="e">
        <f>VLOOKUP(B2437,'lista 1'!$A$2:$E$30100,4,0)</f>
        <v>#N/A</v>
      </c>
      <c r="B2437" s="123"/>
      <c r="C2437" s="133" t="e">
        <f>VLOOKUP(B2437,'lista 1'!$A$2:$E$31000,5,0)</f>
        <v>#N/A</v>
      </c>
      <c r="D2437" s="167" t="e">
        <f>VLOOKUP(E14237,'lista obszary'!A:B,2,0)</f>
        <v>#N/A</v>
      </c>
      <c r="E2437" s="128" t="e">
        <f>VLOOKUP(B2437,'LISTA 12'!$A$2:$G$301400,5,0)</f>
        <v>#N/A</v>
      </c>
      <c r="F2437" s="121" t="e">
        <f>VLOOKUP(B2437,'LISTA 12'!$A$2:$G$30100,7,0)</f>
        <v>#N/A</v>
      </c>
      <c r="G2437" s="254" t="e">
        <f>VLOOKUP(H2437,'lista 3'!$A$1:$C$31467,3,0)</f>
        <v>#N/A</v>
      </c>
      <c r="H2437" s="134"/>
      <c r="I2437" s="136"/>
      <c r="J2437" s="135"/>
      <c r="K2437" s="22"/>
    </row>
    <row r="2438" spans="1:11">
      <c r="A2438" s="241" t="e">
        <f>VLOOKUP(B2438,'lista 1'!$A$2:$E$30100,4,0)</f>
        <v>#N/A</v>
      </c>
      <c r="B2438" s="123"/>
      <c r="C2438" s="133" t="e">
        <f>VLOOKUP(B2438,'lista 1'!$A$2:$E$31000,5,0)</f>
        <v>#N/A</v>
      </c>
      <c r="D2438" s="167" t="e">
        <f>VLOOKUP(E14238,'lista obszary'!A:B,2,0)</f>
        <v>#N/A</v>
      </c>
      <c r="E2438" s="128" t="e">
        <f>VLOOKUP(B2438,'LISTA 12'!$A$2:$G$301400,5,0)</f>
        <v>#N/A</v>
      </c>
      <c r="F2438" s="121" t="e">
        <f>VLOOKUP(B2438,'LISTA 12'!$A$2:$G$30100,7,0)</f>
        <v>#N/A</v>
      </c>
      <c r="G2438" s="254" t="e">
        <f>VLOOKUP(H2438,'lista 3'!$A$1:$C$31467,3,0)</f>
        <v>#N/A</v>
      </c>
      <c r="H2438" s="134"/>
      <c r="I2438" s="136"/>
      <c r="J2438" s="135"/>
      <c r="K2438" s="22"/>
    </row>
    <row r="2439" spans="1:11">
      <c r="A2439" s="241" t="e">
        <f>VLOOKUP(B2439,'lista 1'!$A$2:$E$30100,4,0)</f>
        <v>#N/A</v>
      </c>
      <c r="B2439" s="123"/>
      <c r="C2439" s="133" t="e">
        <f>VLOOKUP(B2439,'lista 1'!$A$2:$E$31000,5,0)</f>
        <v>#N/A</v>
      </c>
      <c r="D2439" s="167" t="e">
        <f>VLOOKUP(E14239,'lista obszary'!A:B,2,0)</f>
        <v>#N/A</v>
      </c>
      <c r="E2439" s="128" t="e">
        <f>VLOOKUP(B2439,'LISTA 12'!$A$2:$G$301400,5,0)</f>
        <v>#N/A</v>
      </c>
      <c r="F2439" s="121" t="e">
        <f>VLOOKUP(B2439,'LISTA 12'!$A$2:$G$30100,7,0)</f>
        <v>#N/A</v>
      </c>
      <c r="G2439" s="254" t="e">
        <f>VLOOKUP(H2439,'lista 3'!$A$1:$C$31467,3,0)</f>
        <v>#N/A</v>
      </c>
      <c r="H2439" s="134"/>
      <c r="I2439" s="136"/>
      <c r="J2439" s="135"/>
      <c r="K2439" s="22"/>
    </row>
    <row r="2440" spans="1:11">
      <c r="A2440" s="241" t="e">
        <f>VLOOKUP(B2440,'lista 1'!$A$2:$E$30100,4,0)</f>
        <v>#N/A</v>
      </c>
      <c r="B2440" s="123"/>
      <c r="C2440" s="133" t="e">
        <f>VLOOKUP(B2440,'lista 1'!$A$2:$E$31000,5,0)</f>
        <v>#N/A</v>
      </c>
      <c r="D2440" s="167" t="e">
        <f>VLOOKUP(E14240,'lista obszary'!A:B,2,0)</f>
        <v>#N/A</v>
      </c>
      <c r="E2440" s="128" t="e">
        <f>VLOOKUP(B2440,'LISTA 12'!$A$2:$G$301400,5,0)</f>
        <v>#N/A</v>
      </c>
      <c r="F2440" s="121" t="e">
        <f>VLOOKUP(B2440,'LISTA 12'!$A$2:$G$30100,7,0)</f>
        <v>#N/A</v>
      </c>
      <c r="G2440" s="254" t="e">
        <f>VLOOKUP(H2440,'lista 3'!$A$1:$C$31467,3,0)</f>
        <v>#N/A</v>
      </c>
      <c r="H2440" s="134"/>
      <c r="I2440" s="136"/>
      <c r="J2440" s="135"/>
      <c r="K2440" s="22"/>
    </row>
    <row r="2441" spans="1:11">
      <c r="A2441" s="241" t="e">
        <f>VLOOKUP(B2441,'lista 1'!$A$2:$E$30100,4,0)</f>
        <v>#N/A</v>
      </c>
      <c r="B2441" s="123"/>
      <c r="C2441" s="133" t="e">
        <f>VLOOKUP(B2441,'lista 1'!$A$2:$E$31000,5,0)</f>
        <v>#N/A</v>
      </c>
      <c r="D2441" s="167" t="e">
        <f>VLOOKUP(E14241,'lista obszary'!A:B,2,0)</f>
        <v>#N/A</v>
      </c>
      <c r="E2441" s="128" t="e">
        <f>VLOOKUP(B2441,'LISTA 12'!$A$2:$G$301400,5,0)</f>
        <v>#N/A</v>
      </c>
      <c r="F2441" s="121" t="e">
        <f>VLOOKUP(B2441,'LISTA 12'!$A$2:$G$30100,7,0)</f>
        <v>#N/A</v>
      </c>
      <c r="G2441" s="254" t="e">
        <f>VLOOKUP(H2441,'lista 3'!$A$1:$C$31467,3,0)</f>
        <v>#N/A</v>
      </c>
      <c r="H2441" s="134"/>
      <c r="I2441" s="136"/>
      <c r="J2441" s="135"/>
      <c r="K2441" s="22"/>
    </row>
    <row r="2442" spans="1:11">
      <c r="A2442" s="241" t="e">
        <f>VLOOKUP(B2442,'lista 1'!$A$2:$E$30100,4,0)</f>
        <v>#N/A</v>
      </c>
      <c r="B2442" s="123"/>
      <c r="C2442" s="133" t="e">
        <f>VLOOKUP(B2442,'lista 1'!$A$2:$E$31000,5,0)</f>
        <v>#N/A</v>
      </c>
      <c r="D2442" s="167" t="e">
        <f>VLOOKUP(E14242,'lista obszary'!A:B,2,0)</f>
        <v>#N/A</v>
      </c>
      <c r="E2442" s="128" t="e">
        <f>VLOOKUP(B2442,'LISTA 12'!$A$2:$G$301400,5,0)</f>
        <v>#N/A</v>
      </c>
      <c r="F2442" s="121" t="e">
        <f>VLOOKUP(B2442,'LISTA 12'!$A$2:$G$30100,7,0)</f>
        <v>#N/A</v>
      </c>
      <c r="G2442" s="254" t="e">
        <f>VLOOKUP(H2442,'lista 3'!$A$1:$C$31467,3,0)</f>
        <v>#N/A</v>
      </c>
      <c r="H2442" s="134"/>
      <c r="I2442" s="136"/>
      <c r="J2442" s="135"/>
      <c r="K2442" s="22"/>
    </row>
    <row r="2443" spans="1:11">
      <c r="A2443" s="241" t="e">
        <f>VLOOKUP(B2443,'lista 1'!$A$2:$E$30100,4,0)</f>
        <v>#N/A</v>
      </c>
      <c r="B2443" s="123"/>
      <c r="C2443" s="133" t="e">
        <f>VLOOKUP(B2443,'lista 1'!$A$2:$E$31000,5,0)</f>
        <v>#N/A</v>
      </c>
      <c r="D2443" s="167" t="e">
        <f>VLOOKUP(E14243,'lista obszary'!A:B,2,0)</f>
        <v>#N/A</v>
      </c>
      <c r="E2443" s="128" t="e">
        <f>VLOOKUP(B2443,'LISTA 12'!$A$2:$G$301400,5,0)</f>
        <v>#N/A</v>
      </c>
      <c r="F2443" s="121" t="e">
        <f>VLOOKUP(B2443,'LISTA 12'!$A$2:$G$30100,7,0)</f>
        <v>#N/A</v>
      </c>
      <c r="G2443" s="254" t="e">
        <f>VLOOKUP(H2443,'lista 3'!$A$1:$C$31467,3,0)</f>
        <v>#N/A</v>
      </c>
      <c r="H2443" s="134"/>
      <c r="I2443" s="136"/>
      <c r="J2443" s="135"/>
      <c r="K2443" s="22"/>
    </row>
    <row r="2444" spans="1:11">
      <c r="A2444" s="241" t="e">
        <f>VLOOKUP(B2444,'lista 1'!$A$2:$E$30100,4,0)</f>
        <v>#N/A</v>
      </c>
      <c r="B2444" s="123"/>
      <c r="C2444" s="133" t="e">
        <f>VLOOKUP(B2444,'lista 1'!$A$2:$E$31000,5,0)</f>
        <v>#N/A</v>
      </c>
      <c r="D2444" s="167" t="e">
        <f>VLOOKUP(E14244,'lista obszary'!A:B,2,0)</f>
        <v>#N/A</v>
      </c>
      <c r="E2444" s="128" t="e">
        <f>VLOOKUP(B2444,'LISTA 12'!$A$2:$G$301400,5,0)</f>
        <v>#N/A</v>
      </c>
      <c r="F2444" s="121" t="e">
        <f>VLOOKUP(B2444,'LISTA 12'!$A$2:$G$30100,7,0)</f>
        <v>#N/A</v>
      </c>
      <c r="G2444" s="254" t="e">
        <f>VLOOKUP(H2444,'lista 3'!$A$1:$C$31467,3,0)</f>
        <v>#N/A</v>
      </c>
      <c r="H2444" s="134"/>
      <c r="I2444" s="136"/>
      <c r="J2444" s="135"/>
      <c r="K2444" s="22"/>
    </row>
    <row r="2445" spans="1:11">
      <c r="A2445" s="241" t="e">
        <f>VLOOKUP(B2445,'lista 1'!$A$2:$E$30100,4,0)</f>
        <v>#N/A</v>
      </c>
      <c r="B2445" s="123"/>
      <c r="C2445" s="133" t="e">
        <f>VLOOKUP(B2445,'lista 1'!$A$2:$E$31000,5,0)</f>
        <v>#N/A</v>
      </c>
      <c r="D2445" s="167" t="e">
        <f>VLOOKUP(E14245,'lista obszary'!A:B,2,0)</f>
        <v>#N/A</v>
      </c>
      <c r="E2445" s="128" t="e">
        <f>VLOOKUP(B2445,'LISTA 12'!$A$2:$G$301400,5,0)</f>
        <v>#N/A</v>
      </c>
      <c r="F2445" s="121" t="e">
        <f>VLOOKUP(B2445,'LISTA 12'!$A$2:$G$30100,7,0)</f>
        <v>#N/A</v>
      </c>
      <c r="G2445" s="254" t="e">
        <f>VLOOKUP(H2445,'lista 3'!$A$1:$C$31467,3,0)</f>
        <v>#N/A</v>
      </c>
      <c r="H2445" s="134"/>
      <c r="I2445" s="136"/>
      <c r="J2445" s="135"/>
      <c r="K2445" s="22"/>
    </row>
    <row r="2446" spans="1:11">
      <c r="A2446" s="241" t="e">
        <f>VLOOKUP(B2446,'lista 1'!$A$2:$E$30100,4,0)</f>
        <v>#N/A</v>
      </c>
      <c r="B2446" s="123"/>
      <c r="C2446" s="133" t="e">
        <f>VLOOKUP(B2446,'lista 1'!$A$2:$E$31000,5,0)</f>
        <v>#N/A</v>
      </c>
      <c r="D2446" s="167" t="e">
        <f>VLOOKUP(E14246,'lista obszary'!A:B,2,0)</f>
        <v>#N/A</v>
      </c>
      <c r="E2446" s="128" t="e">
        <f>VLOOKUP(B2446,'LISTA 12'!$A$2:$G$301400,5,0)</f>
        <v>#N/A</v>
      </c>
      <c r="F2446" s="121" t="e">
        <f>VLOOKUP(B2446,'LISTA 12'!$A$2:$G$30100,7,0)</f>
        <v>#N/A</v>
      </c>
      <c r="G2446" s="254" t="e">
        <f>VLOOKUP(H2446,'lista 3'!$A$1:$C$31467,3,0)</f>
        <v>#N/A</v>
      </c>
      <c r="H2446" s="134"/>
      <c r="I2446" s="136"/>
      <c r="J2446" s="135"/>
      <c r="K2446" s="22"/>
    </row>
    <row r="2447" spans="1:11">
      <c r="A2447" s="241" t="e">
        <f>VLOOKUP(B2447,'lista 1'!$A$2:$E$30100,4,0)</f>
        <v>#N/A</v>
      </c>
      <c r="B2447" s="123"/>
      <c r="C2447" s="133" t="e">
        <f>VLOOKUP(B2447,'lista 1'!$A$2:$E$31000,5,0)</f>
        <v>#N/A</v>
      </c>
      <c r="D2447" s="167" t="e">
        <f>VLOOKUP(E14247,'lista obszary'!A:B,2,0)</f>
        <v>#N/A</v>
      </c>
      <c r="E2447" s="128" t="e">
        <f>VLOOKUP(B2447,'LISTA 12'!$A$2:$G$301400,5,0)</f>
        <v>#N/A</v>
      </c>
      <c r="F2447" s="121" t="e">
        <f>VLOOKUP(B2447,'LISTA 12'!$A$2:$G$30100,7,0)</f>
        <v>#N/A</v>
      </c>
      <c r="G2447" s="254" t="e">
        <f>VLOOKUP(H2447,'lista 3'!$A$1:$C$31467,3,0)</f>
        <v>#N/A</v>
      </c>
      <c r="H2447" s="134"/>
      <c r="I2447" s="136"/>
      <c r="J2447" s="135"/>
      <c r="K2447" s="22"/>
    </row>
    <row r="2448" spans="1:11">
      <c r="A2448" s="241" t="e">
        <f>VLOOKUP(B2448,'lista 1'!$A$2:$E$30100,4,0)</f>
        <v>#N/A</v>
      </c>
      <c r="B2448" s="123"/>
      <c r="C2448" s="133" t="e">
        <f>VLOOKUP(B2448,'lista 1'!$A$2:$E$31000,5,0)</f>
        <v>#N/A</v>
      </c>
      <c r="D2448" s="167" t="e">
        <f>VLOOKUP(E14248,'lista obszary'!A:B,2,0)</f>
        <v>#N/A</v>
      </c>
      <c r="E2448" s="128" t="e">
        <f>VLOOKUP(B2448,'LISTA 12'!$A$2:$G$301400,5,0)</f>
        <v>#N/A</v>
      </c>
      <c r="F2448" s="121" t="e">
        <f>VLOOKUP(B2448,'LISTA 12'!$A$2:$G$30100,7,0)</f>
        <v>#N/A</v>
      </c>
      <c r="G2448" s="254" t="e">
        <f>VLOOKUP(H2448,'lista 3'!$A$1:$C$31467,3,0)</f>
        <v>#N/A</v>
      </c>
      <c r="H2448" s="134"/>
      <c r="I2448" s="136"/>
      <c r="J2448" s="135"/>
      <c r="K2448" s="22"/>
    </row>
    <row r="2449" spans="1:11">
      <c r="A2449" s="241" t="e">
        <f>VLOOKUP(B2449,'lista 1'!$A$2:$E$30100,4,0)</f>
        <v>#N/A</v>
      </c>
      <c r="B2449" s="123"/>
      <c r="C2449" s="133" t="e">
        <f>VLOOKUP(B2449,'lista 1'!$A$2:$E$31000,5,0)</f>
        <v>#N/A</v>
      </c>
      <c r="D2449" s="167" t="e">
        <f>VLOOKUP(E14249,'lista obszary'!A:B,2,0)</f>
        <v>#N/A</v>
      </c>
      <c r="E2449" s="128" t="e">
        <f>VLOOKUP(B2449,'LISTA 12'!$A$2:$G$301400,5,0)</f>
        <v>#N/A</v>
      </c>
      <c r="F2449" s="121" t="e">
        <f>VLOOKUP(B2449,'LISTA 12'!$A$2:$G$30100,7,0)</f>
        <v>#N/A</v>
      </c>
      <c r="G2449" s="254" t="e">
        <f>VLOOKUP(H2449,'lista 3'!$A$1:$C$31467,3,0)</f>
        <v>#N/A</v>
      </c>
      <c r="H2449" s="134"/>
      <c r="I2449" s="136"/>
      <c r="J2449" s="135"/>
      <c r="K2449" s="22"/>
    </row>
    <row r="2450" spans="1:11">
      <c r="A2450" s="241" t="e">
        <f>VLOOKUP(B2450,'lista 1'!$A$2:$E$30100,4,0)</f>
        <v>#N/A</v>
      </c>
      <c r="B2450" s="123"/>
      <c r="C2450" s="133" t="e">
        <f>VLOOKUP(B2450,'lista 1'!$A$2:$E$31000,5,0)</f>
        <v>#N/A</v>
      </c>
      <c r="D2450" s="167" t="e">
        <f>VLOOKUP(E14250,'lista obszary'!A:B,2,0)</f>
        <v>#N/A</v>
      </c>
      <c r="E2450" s="128" t="e">
        <f>VLOOKUP(B2450,'LISTA 12'!$A$2:$G$301400,5,0)</f>
        <v>#N/A</v>
      </c>
      <c r="F2450" s="121" t="e">
        <f>VLOOKUP(B2450,'LISTA 12'!$A$2:$G$30100,7,0)</f>
        <v>#N/A</v>
      </c>
      <c r="G2450" s="254" t="e">
        <f>VLOOKUP(H2450,'lista 3'!$A$1:$C$31467,3,0)</f>
        <v>#N/A</v>
      </c>
      <c r="H2450" s="134"/>
      <c r="I2450" s="136"/>
      <c r="J2450" s="135"/>
      <c r="K2450" s="22"/>
    </row>
    <row r="2451" spans="1:11">
      <c r="A2451" s="241" t="e">
        <f>VLOOKUP(B2451,'lista 1'!$A$2:$E$30100,4,0)</f>
        <v>#N/A</v>
      </c>
      <c r="B2451" s="123"/>
      <c r="C2451" s="133" t="e">
        <f>VLOOKUP(B2451,'lista 1'!$A$2:$E$31000,5,0)</f>
        <v>#N/A</v>
      </c>
      <c r="D2451" s="167" t="e">
        <f>VLOOKUP(E14251,'lista obszary'!A:B,2,0)</f>
        <v>#N/A</v>
      </c>
      <c r="E2451" s="128" t="e">
        <f>VLOOKUP(B2451,'LISTA 12'!$A$2:$G$301400,5,0)</f>
        <v>#N/A</v>
      </c>
      <c r="F2451" s="121" t="e">
        <f>VLOOKUP(B2451,'LISTA 12'!$A$2:$G$30100,7,0)</f>
        <v>#N/A</v>
      </c>
      <c r="G2451" s="254" t="e">
        <f>VLOOKUP(H2451,'lista 3'!$A$1:$C$31467,3,0)</f>
        <v>#N/A</v>
      </c>
      <c r="H2451" s="134"/>
      <c r="I2451" s="136"/>
      <c r="J2451" s="135"/>
      <c r="K2451" s="22"/>
    </row>
    <row r="2452" spans="1:11">
      <c r="A2452" s="241" t="e">
        <f>VLOOKUP(B2452,'lista 1'!$A$2:$E$30100,4,0)</f>
        <v>#N/A</v>
      </c>
      <c r="B2452" s="123"/>
      <c r="C2452" s="133" t="e">
        <f>VLOOKUP(B2452,'lista 1'!$A$2:$E$31000,5,0)</f>
        <v>#N/A</v>
      </c>
      <c r="D2452" s="167" t="e">
        <f>VLOOKUP(E14252,'lista obszary'!A:B,2,0)</f>
        <v>#N/A</v>
      </c>
      <c r="E2452" s="128" t="e">
        <f>VLOOKUP(B2452,'LISTA 12'!$A$2:$G$301400,5,0)</f>
        <v>#N/A</v>
      </c>
      <c r="F2452" s="121" t="e">
        <f>VLOOKUP(B2452,'LISTA 12'!$A$2:$G$30100,7,0)</f>
        <v>#N/A</v>
      </c>
      <c r="G2452" s="254" t="e">
        <f>VLOOKUP(H2452,'lista 3'!$A$1:$C$31467,3,0)</f>
        <v>#N/A</v>
      </c>
      <c r="H2452" s="134"/>
      <c r="I2452" s="136"/>
      <c r="J2452" s="135"/>
      <c r="K2452" s="22"/>
    </row>
    <row r="2453" spans="1:11">
      <c r="A2453" s="241" t="e">
        <f>VLOOKUP(B2453,'lista 1'!$A$2:$E$30100,4,0)</f>
        <v>#N/A</v>
      </c>
      <c r="B2453" s="123"/>
      <c r="C2453" s="133" t="e">
        <f>VLOOKUP(B2453,'lista 1'!$A$2:$E$31000,5,0)</f>
        <v>#N/A</v>
      </c>
      <c r="D2453" s="167" t="e">
        <f>VLOOKUP(E14253,'lista obszary'!A:B,2,0)</f>
        <v>#N/A</v>
      </c>
      <c r="E2453" s="128" t="e">
        <f>VLOOKUP(B2453,'LISTA 12'!$A$2:$G$301400,5,0)</f>
        <v>#N/A</v>
      </c>
      <c r="F2453" s="121" t="e">
        <f>VLOOKUP(B2453,'LISTA 12'!$A$2:$G$30100,7,0)</f>
        <v>#N/A</v>
      </c>
      <c r="G2453" s="254" t="e">
        <f>VLOOKUP(H2453,'lista 3'!$A$1:$C$31467,3,0)</f>
        <v>#N/A</v>
      </c>
      <c r="H2453" s="134"/>
      <c r="I2453" s="136"/>
      <c r="J2453" s="135"/>
      <c r="K2453" s="22"/>
    </row>
    <row r="2454" spans="1:11">
      <c r="A2454" s="241" t="e">
        <f>VLOOKUP(B2454,'lista 1'!$A$2:$E$30100,4,0)</f>
        <v>#N/A</v>
      </c>
      <c r="B2454" s="123"/>
      <c r="C2454" s="133" t="e">
        <f>VLOOKUP(B2454,'lista 1'!$A$2:$E$31000,5,0)</f>
        <v>#N/A</v>
      </c>
      <c r="D2454" s="167" t="e">
        <f>VLOOKUP(E14254,'lista obszary'!A:B,2,0)</f>
        <v>#N/A</v>
      </c>
      <c r="E2454" s="128" t="e">
        <f>VLOOKUP(B2454,'LISTA 12'!$A$2:$G$301400,5,0)</f>
        <v>#N/A</v>
      </c>
      <c r="F2454" s="121" t="e">
        <f>VLOOKUP(B2454,'LISTA 12'!$A$2:$G$30100,7,0)</f>
        <v>#N/A</v>
      </c>
      <c r="G2454" s="254" t="e">
        <f>VLOOKUP(H2454,'lista 3'!$A$1:$C$31467,3,0)</f>
        <v>#N/A</v>
      </c>
      <c r="H2454" s="134"/>
      <c r="I2454" s="136"/>
      <c r="J2454" s="135"/>
      <c r="K2454" s="22"/>
    </row>
    <row r="2455" spans="1:11">
      <c r="A2455" s="241" t="e">
        <f>VLOOKUP(B2455,'lista 1'!$A$2:$E$30100,4,0)</f>
        <v>#N/A</v>
      </c>
      <c r="B2455" s="123"/>
      <c r="C2455" s="133" t="e">
        <f>VLOOKUP(B2455,'lista 1'!$A$2:$E$31000,5,0)</f>
        <v>#N/A</v>
      </c>
      <c r="D2455" s="167" t="e">
        <f>VLOOKUP(E14255,'lista obszary'!A:B,2,0)</f>
        <v>#N/A</v>
      </c>
      <c r="E2455" s="128" t="e">
        <f>VLOOKUP(B2455,'LISTA 12'!$A$2:$G$301400,5,0)</f>
        <v>#N/A</v>
      </c>
      <c r="F2455" s="121" t="e">
        <f>VLOOKUP(B2455,'LISTA 12'!$A$2:$G$30100,7,0)</f>
        <v>#N/A</v>
      </c>
      <c r="G2455" s="254" t="e">
        <f>VLOOKUP(H2455,'lista 3'!$A$1:$C$31467,3,0)</f>
        <v>#N/A</v>
      </c>
      <c r="H2455" s="134"/>
      <c r="I2455" s="136"/>
      <c r="J2455" s="135"/>
      <c r="K2455" s="22"/>
    </row>
    <row r="2456" spans="1:11">
      <c r="A2456" s="241" t="e">
        <f>VLOOKUP(B2456,'lista 1'!$A$2:$E$30100,4,0)</f>
        <v>#N/A</v>
      </c>
      <c r="B2456" s="123"/>
      <c r="C2456" s="133" t="e">
        <f>VLOOKUP(B2456,'lista 1'!$A$2:$E$31000,5,0)</f>
        <v>#N/A</v>
      </c>
      <c r="D2456" s="167" t="e">
        <f>VLOOKUP(E14256,'lista obszary'!A:B,2,0)</f>
        <v>#N/A</v>
      </c>
      <c r="E2456" s="128" t="e">
        <f>VLOOKUP(B2456,'LISTA 12'!$A$2:$G$301400,5,0)</f>
        <v>#N/A</v>
      </c>
      <c r="F2456" s="121" t="e">
        <f>VLOOKUP(B2456,'LISTA 12'!$A$2:$G$30100,7,0)</f>
        <v>#N/A</v>
      </c>
      <c r="G2456" s="254" t="e">
        <f>VLOOKUP(H2456,'lista 3'!$A$1:$C$31467,3,0)</f>
        <v>#N/A</v>
      </c>
      <c r="H2456" s="134"/>
      <c r="I2456" s="136"/>
      <c r="J2456" s="135"/>
      <c r="K2456" s="22"/>
    </row>
    <row r="2457" spans="1:11">
      <c r="A2457" s="241" t="e">
        <f>VLOOKUP(B2457,'lista 1'!$A$2:$E$30100,4,0)</f>
        <v>#N/A</v>
      </c>
      <c r="B2457" s="123"/>
      <c r="C2457" s="133" t="e">
        <f>VLOOKUP(B2457,'lista 1'!$A$2:$E$31000,5,0)</f>
        <v>#N/A</v>
      </c>
      <c r="D2457" s="167" t="e">
        <f>VLOOKUP(E14257,'lista obszary'!A:B,2,0)</f>
        <v>#N/A</v>
      </c>
      <c r="E2457" s="128" t="e">
        <f>VLOOKUP(B2457,'LISTA 12'!$A$2:$G$301400,5,0)</f>
        <v>#N/A</v>
      </c>
      <c r="F2457" s="121" t="e">
        <f>VLOOKUP(B2457,'LISTA 12'!$A$2:$G$30100,7,0)</f>
        <v>#N/A</v>
      </c>
      <c r="G2457" s="254" t="e">
        <f>VLOOKUP(H2457,'lista 3'!$A$1:$C$31467,3,0)</f>
        <v>#N/A</v>
      </c>
      <c r="H2457" s="134"/>
      <c r="I2457" s="136"/>
      <c r="J2457" s="135"/>
      <c r="K2457" s="22"/>
    </row>
    <row r="2458" spans="1:11">
      <c r="A2458" s="241" t="e">
        <f>VLOOKUP(B2458,'lista 1'!$A$2:$E$30100,4,0)</f>
        <v>#N/A</v>
      </c>
      <c r="B2458" s="123"/>
      <c r="C2458" s="133" t="e">
        <f>VLOOKUP(B2458,'lista 1'!$A$2:$E$31000,5,0)</f>
        <v>#N/A</v>
      </c>
      <c r="D2458" s="167" t="e">
        <f>VLOOKUP(E14258,'lista obszary'!A:B,2,0)</f>
        <v>#N/A</v>
      </c>
      <c r="E2458" s="128" t="e">
        <f>VLOOKUP(B2458,'LISTA 12'!$A$2:$G$301400,5,0)</f>
        <v>#N/A</v>
      </c>
      <c r="F2458" s="121" t="e">
        <f>VLOOKUP(B2458,'LISTA 12'!$A$2:$G$30100,7,0)</f>
        <v>#N/A</v>
      </c>
      <c r="G2458" s="254" t="e">
        <f>VLOOKUP(H2458,'lista 3'!$A$1:$C$31467,3,0)</f>
        <v>#N/A</v>
      </c>
      <c r="H2458" s="134"/>
      <c r="I2458" s="136"/>
      <c r="J2458" s="135"/>
      <c r="K2458" s="22"/>
    </row>
    <row r="2459" spans="1:11">
      <c r="A2459" s="241" t="e">
        <f>VLOOKUP(B2459,'lista 1'!$A$2:$E$30100,4,0)</f>
        <v>#N/A</v>
      </c>
      <c r="B2459" s="123"/>
      <c r="C2459" s="133" t="e">
        <f>VLOOKUP(B2459,'lista 1'!$A$2:$E$31000,5,0)</f>
        <v>#N/A</v>
      </c>
      <c r="D2459" s="167" t="e">
        <f>VLOOKUP(E14259,'lista obszary'!A:B,2,0)</f>
        <v>#N/A</v>
      </c>
      <c r="E2459" s="128" t="e">
        <f>VLOOKUP(B2459,'LISTA 12'!$A$2:$G$301400,5,0)</f>
        <v>#N/A</v>
      </c>
      <c r="F2459" s="121" t="e">
        <f>VLOOKUP(B2459,'LISTA 12'!$A$2:$G$30100,7,0)</f>
        <v>#N/A</v>
      </c>
      <c r="G2459" s="254" t="e">
        <f>VLOOKUP(H2459,'lista 3'!$A$1:$C$31467,3,0)</f>
        <v>#N/A</v>
      </c>
      <c r="H2459" s="134"/>
      <c r="I2459" s="136"/>
      <c r="J2459" s="135"/>
      <c r="K2459" s="22"/>
    </row>
    <row r="2460" spans="1:11">
      <c r="A2460" s="241" t="e">
        <f>VLOOKUP(B2460,'lista 1'!$A$2:$E$30100,4,0)</f>
        <v>#N/A</v>
      </c>
      <c r="B2460" s="123"/>
      <c r="C2460" s="133" t="e">
        <f>VLOOKUP(B2460,'lista 1'!$A$2:$E$31000,5,0)</f>
        <v>#N/A</v>
      </c>
      <c r="D2460" s="167" t="e">
        <f>VLOOKUP(E14260,'lista obszary'!A:B,2,0)</f>
        <v>#N/A</v>
      </c>
      <c r="E2460" s="128" t="e">
        <f>VLOOKUP(B2460,'LISTA 12'!$A$2:$G$301400,5,0)</f>
        <v>#N/A</v>
      </c>
      <c r="F2460" s="121" t="e">
        <f>VLOOKUP(B2460,'LISTA 12'!$A$2:$G$30100,7,0)</f>
        <v>#N/A</v>
      </c>
      <c r="G2460" s="254" t="e">
        <f>VLOOKUP(H2460,'lista 3'!$A$1:$C$31467,3,0)</f>
        <v>#N/A</v>
      </c>
      <c r="H2460" s="134"/>
      <c r="I2460" s="136"/>
      <c r="J2460" s="135"/>
      <c r="K2460" s="22"/>
    </row>
    <row r="2461" spans="1:11">
      <c r="A2461" s="241" t="e">
        <f>VLOOKUP(B2461,'lista 1'!$A$2:$E$30100,4,0)</f>
        <v>#N/A</v>
      </c>
      <c r="B2461" s="123"/>
      <c r="C2461" s="133" t="e">
        <f>VLOOKUP(B2461,'lista 1'!$A$2:$E$31000,5,0)</f>
        <v>#N/A</v>
      </c>
      <c r="D2461" s="167" t="e">
        <f>VLOOKUP(E14261,'lista obszary'!A:B,2,0)</f>
        <v>#N/A</v>
      </c>
      <c r="E2461" s="128" t="e">
        <f>VLOOKUP(B2461,'LISTA 12'!$A$2:$G$301400,5,0)</f>
        <v>#N/A</v>
      </c>
      <c r="F2461" s="121" t="e">
        <f>VLOOKUP(B2461,'LISTA 12'!$A$2:$G$30100,7,0)</f>
        <v>#N/A</v>
      </c>
      <c r="G2461" s="254" t="e">
        <f>VLOOKUP(H2461,'lista 3'!$A$1:$C$31467,3,0)</f>
        <v>#N/A</v>
      </c>
      <c r="H2461" s="134"/>
      <c r="I2461" s="136"/>
      <c r="J2461" s="135"/>
      <c r="K2461" s="22"/>
    </row>
    <row r="2462" spans="1:11">
      <c r="A2462" s="241" t="e">
        <f>VLOOKUP(B2462,'lista 1'!$A$2:$E$30100,4,0)</f>
        <v>#N/A</v>
      </c>
      <c r="B2462" s="123"/>
      <c r="C2462" s="133" t="e">
        <f>VLOOKUP(B2462,'lista 1'!$A$2:$E$31000,5,0)</f>
        <v>#N/A</v>
      </c>
      <c r="D2462" s="167" t="e">
        <f>VLOOKUP(E14262,'lista obszary'!A:B,2,0)</f>
        <v>#N/A</v>
      </c>
      <c r="E2462" s="128" t="e">
        <f>VLOOKUP(B2462,'LISTA 12'!$A$2:$G$301400,5,0)</f>
        <v>#N/A</v>
      </c>
      <c r="F2462" s="121" t="e">
        <f>VLOOKUP(B2462,'LISTA 12'!$A$2:$G$30100,7,0)</f>
        <v>#N/A</v>
      </c>
      <c r="G2462" s="254" t="e">
        <f>VLOOKUP(H2462,'lista 3'!$A$1:$C$31467,3,0)</f>
        <v>#N/A</v>
      </c>
      <c r="H2462" s="134"/>
      <c r="I2462" s="136"/>
      <c r="J2462" s="135"/>
      <c r="K2462" s="22"/>
    </row>
    <row r="2463" spans="1:11">
      <c r="A2463" s="241" t="e">
        <f>VLOOKUP(B2463,'lista 1'!$A$2:$E$30100,4,0)</f>
        <v>#N/A</v>
      </c>
      <c r="B2463" s="123"/>
      <c r="C2463" s="133" t="e">
        <f>VLOOKUP(B2463,'lista 1'!$A$2:$E$31000,5,0)</f>
        <v>#N/A</v>
      </c>
      <c r="D2463" s="167" t="e">
        <f>VLOOKUP(E14263,'lista obszary'!A:B,2,0)</f>
        <v>#N/A</v>
      </c>
      <c r="E2463" s="128" t="e">
        <f>VLOOKUP(B2463,'LISTA 12'!$A$2:$G$301400,5,0)</f>
        <v>#N/A</v>
      </c>
      <c r="F2463" s="121" t="e">
        <f>VLOOKUP(B2463,'LISTA 12'!$A$2:$G$30100,7,0)</f>
        <v>#N/A</v>
      </c>
      <c r="G2463" s="254" t="e">
        <f>VLOOKUP(H2463,'lista 3'!$A$1:$C$31467,3,0)</f>
        <v>#N/A</v>
      </c>
      <c r="H2463" s="134"/>
      <c r="I2463" s="136"/>
      <c r="J2463" s="135"/>
      <c r="K2463" s="22"/>
    </row>
    <row r="2464" spans="1:11">
      <c r="A2464" s="241" t="e">
        <f>VLOOKUP(B2464,'lista 1'!$A$2:$E$30100,4,0)</f>
        <v>#N/A</v>
      </c>
      <c r="B2464" s="123"/>
      <c r="C2464" s="133" t="e">
        <f>VLOOKUP(B2464,'lista 1'!$A$2:$E$31000,5,0)</f>
        <v>#N/A</v>
      </c>
      <c r="D2464" s="167" t="e">
        <f>VLOOKUP(E14264,'lista obszary'!A:B,2,0)</f>
        <v>#N/A</v>
      </c>
      <c r="E2464" s="128" t="e">
        <f>VLOOKUP(B2464,'LISTA 12'!$A$2:$G$301400,5,0)</f>
        <v>#N/A</v>
      </c>
      <c r="F2464" s="121" t="e">
        <f>VLOOKUP(B2464,'LISTA 12'!$A$2:$G$30100,7,0)</f>
        <v>#N/A</v>
      </c>
      <c r="G2464" s="254" t="e">
        <f>VLOOKUP(H2464,'lista 3'!$A$1:$C$31467,3,0)</f>
        <v>#N/A</v>
      </c>
      <c r="H2464" s="134"/>
      <c r="I2464" s="136"/>
      <c r="J2464" s="135"/>
      <c r="K2464" s="22"/>
    </row>
    <row r="2465" spans="1:11">
      <c r="A2465" s="241" t="e">
        <f>VLOOKUP(B2465,'lista 1'!$A$2:$E$30100,4,0)</f>
        <v>#N/A</v>
      </c>
      <c r="B2465" s="123"/>
      <c r="C2465" s="133" t="e">
        <f>VLOOKUP(B2465,'lista 1'!$A$2:$E$31000,5,0)</f>
        <v>#N/A</v>
      </c>
      <c r="D2465" s="167" t="e">
        <f>VLOOKUP(E14265,'lista obszary'!A:B,2,0)</f>
        <v>#N/A</v>
      </c>
      <c r="E2465" s="128" t="e">
        <f>VLOOKUP(B2465,'LISTA 12'!$A$2:$G$301400,5,0)</f>
        <v>#N/A</v>
      </c>
      <c r="F2465" s="121" t="e">
        <f>VLOOKUP(B2465,'LISTA 12'!$A$2:$G$30100,7,0)</f>
        <v>#N/A</v>
      </c>
      <c r="G2465" s="254" t="e">
        <f>VLOOKUP(H2465,'lista 3'!$A$1:$C$31467,3,0)</f>
        <v>#N/A</v>
      </c>
      <c r="H2465" s="134"/>
      <c r="I2465" s="136"/>
      <c r="J2465" s="135"/>
      <c r="K2465" s="22"/>
    </row>
    <row r="2466" spans="1:11">
      <c r="A2466" s="241" t="e">
        <f>VLOOKUP(B2466,'lista 1'!$A$2:$E$30100,4,0)</f>
        <v>#N/A</v>
      </c>
      <c r="B2466" s="123"/>
      <c r="C2466" s="133" t="e">
        <f>VLOOKUP(B2466,'lista 1'!$A$2:$E$31000,5,0)</f>
        <v>#N/A</v>
      </c>
      <c r="D2466" s="167" t="e">
        <f>VLOOKUP(E14266,'lista obszary'!A:B,2,0)</f>
        <v>#N/A</v>
      </c>
      <c r="E2466" s="128" t="e">
        <f>VLOOKUP(B2466,'LISTA 12'!$A$2:$G$301400,5,0)</f>
        <v>#N/A</v>
      </c>
      <c r="F2466" s="121" t="e">
        <f>VLOOKUP(B2466,'LISTA 12'!$A$2:$G$30100,7,0)</f>
        <v>#N/A</v>
      </c>
      <c r="G2466" s="254" t="e">
        <f>VLOOKUP(H2466,'lista 3'!$A$1:$C$31467,3,0)</f>
        <v>#N/A</v>
      </c>
      <c r="H2466" s="134"/>
      <c r="I2466" s="136"/>
      <c r="J2466" s="135"/>
      <c r="K2466" s="22"/>
    </row>
    <row r="2467" spans="1:11">
      <c r="A2467" s="241" t="e">
        <f>VLOOKUP(B2467,'lista 1'!$A$2:$E$30100,4,0)</f>
        <v>#N/A</v>
      </c>
      <c r="B2467" s="123"/>
      <c r="C2467" s="133" t="e">
        <f>VLOOKUP(B2467,'lista 1'!$A$2:$E$31000,5,0)</f>
        <v>#N/A</v>
      </c>
      <c r="D2467" s="167" t="e">
        <f>VLOOKUP(E14267,'lista obszary'!A:B,2,0)</f>
        <v>#N/A</v>
      </c>
      <c r="E2467" s="128" t="e">
        <f>VLOOKUP(B2467,'LISTA 12'!$A$2:$G$301400,5,0)</f>
        <v>#N/A</v>
      </c>
      <c r="F2467" s="121" t="e">
        <f>VLOOKUP(B2467,'LISTA 12'!$A$2:$G$30100,7,0)</f>
        <v>#N/A</v>
      </c>
      <c r="G2467" s="254" t="e">
        <f>VLOOKUP(H2467,'lista 3'!$A$1:$C$31467,3,0)</f>
        <v>#N/A</v>
      </c>
      <c r="H2467" s="134"/>
      <c r="I2467" s="136"/>
      <c r="J2467" s="135"/>
      <c r="K2467" s="22"/>
    </row>
    <row r="2468" spans="1:11">
      <c r="A2468" s="241" t="e">
        <f>VLOOKUP(B2468,'lista 1'!$A$2:$E$30100,4,0)</f>
        <v>#N/A</v>
      </c>
      <c r="B2468" s="123"/>
      <c r="C2468" s="133" t="e">
        <f>VLOOKUP(B2468,'lista 1'!$A$2:$E$31000,5,0)</f>
        <v>#N/A</v>
      </c>
      <c r="D2468" s="167" t="e">
        <f>VLOOKUP(E14268,'lista obszary'!A:B,2,0)</f>
        <v>#N/A</v>
      </c>
      <c r="E2468" s="128" t="e">
        <f>VLOOKUP(B2468,'LISTA 12'!$A$2:$G$301400,5,0)</f>
        <v>#N/A</v>
      </c>
      <c r="F2468" s="121" t="e">
        <f>VLOOKUP(B2468,'LISTA 12'!$A$2:$G$30100,7,0)</f>
        <v>#N/A</v>
      </c>
      <c r="G2468" s="254" t="e">
        <f>VLOOKUP(H2468,'lista 3'!$A$1:$C$31467,3,0)</f>
        <v>#N/A</v>
      </c>
      <c r="H2468" s="134"/>
      <c r="I2468" s="136"/>
      <c r="J2468" s="135"/>
      <c r="K2468" s="22"/>
    </row>
    <row r="2469" spans="1:11">
      <c r="A2469" s="241" t="e">
        <f>VLOOKUP(B2469,'lista 1'!$A$2:$E$30100,4,0)</f>
        <v>#N/A</v>
      </c>
      <c r="B2469" s="123"/>
      <c r="C2469" s="133" t="e">
        <f>VLOOKUP(B2469,'lista 1'!$A$2:$E$31000,5,0)</f>
        <v>#N/A</v>
      </c>
      <c r="D2469" s="167" t="e">
        <f>VLOOKUP(E14269,'lista obszary'!A:B,2,0)</f>
        <v>#N/A</v>
      </c>
      <c r="E2469" s="128" t="e">
        <f>VLOOKUP(B2469,'LISTA 12'!$A$2:$G$301400,5,0)</f>
        <v>#N/A</v>
      </c>
      <c r="F2469" s="121" t="e">
        <f>VLOOKUP(B2469,'LISTA 12'!$A$2:$G$30100,7,0)</f>
        <v>#N/A</v>
      </c>
      <c r="G2469" s="254" t="e">
        <f>VLOOKUP(H2469,'lista 3'!$A$1:$C$31467,3,0)</f>
        <v>#N/A</v>
      </c>
      <c r="H2469" s="134"/>
      <c r="I2469" s="136"/>
      <c r="J2469" s="135"/>
      <c r="K2469" s="22"/>
    </row>
    <row r="2470" spans="1:11">
      <c r="A2470" s="241" t="e">
        <f>VLOOKUP(B2470,'lista 1'!$A$2:$E$30100,4,0)</f>
        <v>#N/A</v>
      </c>
      <c r="B2470" s="123"/>
      <c r="C2470" s="133" t="e">
        <f>VLOOKUP(B2470,'lista 1'!$A$2:$E$31000,5,0)</f>
        <v>#N/A</v>
      </c>
      <c r="D2470" s="167" t="e">
        <f>VLOOKUP(E14270,'lista obszary'!A:B,2,0)</f>
        <v>#N/A</v>
      </c>
      <c r="E2470" s="128" t="e">
        <f>VLOOKUP(B2470,'LISTA 12'!$A$2:$G$301400,5,0)</f>
        <v>#N/A</v>
      </c>
      <c r="F2470" s="121" t="e">
        <f>VLOOKUP(B2470,'LISTA 12'!$A$2:$G$30100,7,0)</f>
        <v>#N/A</v>
      </c>
      <c r="G2470" s="254" t="e">
        <f>VLOOKUP(H2470,'lista 3'!$A$1:$C$31467,3,0)</f>
        <v>#N/A</v>
      </c>
      <c r="H2470" s="134"/>
      <c r="I2470" s="136"/>
      <c r="J2470" s="135"/>
      <c r="K2470" s="22"/>
    </row>
    <row r="2471" spans="1:11">
      <c r="A2471" s="241" t="e">
        <f>VLOOKUP(B2471,'lista 1'!$A$2:$E$30100,4,0)</f>
        <v>#N/A</v>
      </c>
      <c r="B2471" s="123"/>
      <c r="C2471" s="133" t="e">
        <f>VLOOKUP(B2471,'lista 1'!$A$2:$E$31000,5,0)</f>
        <v>#N/A</v>
      </c>
      <c r="D2471" s="167" t="e">
        <f>VLOOKUP(E14271,'lista obszary'!A:B,2,0)</f>
        <v>#N/A</v>
      </c>
      <c r="E2471" s="128" t="e">
        <f>VLOOKUP(B2471,'LISTA 12'!$A$2:$G$301400,5,0)</f>
        <v>#N/A</v>
      </c>
      <c r="F2471" s="121" t="e">
        <f>VLOOKUP(B2471,'LISTA 12'!$A$2:$G$30100,7,0)</f>
        <v>#N/A</v>
      </c>
      <c r="G2471" s="254" t="e">
        <f>VLOOKUP(H2471,'lista 3'!$A$1:$C$31467,3,0)</f>
        <v>#N/A</v>
      </c>
      <c r="H2471" s="134"/>
      <c r="I2471" s="136"/>
      <c r="J2471" s="135"/>
      <c r="K2471" s="22"/>
    </row>
    <row r="2472" spans="1:11">
      <c r="A2472" s="241" t="e">
        <f>VLOOKUP(B2472,'lista 1'!$A$2:$E$30100,4,0)</f>
        <v>#N/A</v>
      </c>
      <c r="B2472" s="123"/>
      <c r="C2472" s="133" t="e">
        <f>VLOOKUP(B2472,'lista 1'!$A$2:$E$31000,5,0)</f>
        <v>#N/A</v>
      </c>
      <c r="D2472" s="167" t="e">
        <f>VLOOKUP(E14272,'lista obszary'!A:B,2,0)</f>
        <v>#N/A</v>
      </c>
      <c r="E2472" s="128" t="e">
        <f>VLOOKUP(B2472,'LISTA 12'!$A$2:$G$301400,5,0)</f>
        <v>#N/A</v>
      </c>
      <c r="F2472" s="121" t="e">
        <f>VLOOKUP(B2472,'LISTA 12'!$A$2:$G$30100,7,0)</f>
        <v>#N/A</v>
      </c>
      <c r="G2472" s="254" t="e">
        <f>VLOOKUP(H2472,'lista 3'!$A$1:$C$31467,3,0)</f>
        <v>#N/A</v>
      </c>
      <c r="H2472" s="134"/>
      <c r="I2472" s="136"/>
      <c r="J2472" s="135"/>
      <c r="K2472" s="22"/>
    </row>
    <row r="2473" spans="1:11">
      <c r="A2473" s="241" t="e">
        <f>VLOOKUP(B2473,'lista 1'!$A$2:$E$30100,4,0)</f>
        <v>#N/A</v>
      </c>
      <c r="B2473" s="123"/>
      <c r="C2473" s="133" t="e">
        <f>VLOOKUP(B2473,'lista 1'!$A$2:$E$31000,5,0)</f>
        <v>#N/A</v>
      </c>
      <c r="D2473" s="167" t="e">
        <f>VLOOKUP(E14273,'lista obszary'!A:B,2,0)</f>
        <v>#N/A</v>
      </c>
      <c r="E2473" s="128" t="e">
        <f>VLOOKUP(B2473,'LISTA 12'!$A$2:$G$301400,5,0)</f>
        <v>#N/A</v>
      </c>
      <c r="F2473" s="121" t="e">
        <f>VLOOKUP(B2473,'LISTA 12'!$A$2:$G$30100,7,0)</f>
        <v>#N/A</v>
      </c>
      <c r="G2473" s="254" t="e">
        <f>VLOOKUP(H2473,'lista 3'!$A$1:$C$31467,3,0)</f>
        <v>#N/A</v>
      </c>
      <c r="H2473" s="134"/>
      <c r="I2473" s="136"/>
      <c r="J2473" s="135"/>
      <c r="K2473" s="22"/>
    </row>
    <row r="2474" spans="1:11">
      <c r="A2474" s="241" t="e">
        <f>VLOOKUP(B2474,'lista 1'!$A$2:$E$30100,4,0)</f>
        <v>#N/A</v>
      </c>
      <c r="B2474" s="123"/>
      <c r="C2474" s="133" t="e">
        <f>VLOOKUP(B2474,'lista 1'!$A$2:$E$31000,5,0)</f>
        <v>#N/A</v>
      </c>
      <c r="D2474" s="167" t="e">
        <f>VLOOKUP(E14274,'lista obszary'!A:B,2,0)</f>
        <v>#N/A</v>
      </c>
      <c r="E2474" s="128" t="e">
        <f>VLOOKUP(B2474,'LISTA 12'!$A$2:$G$301400,5,0)</f>
        <v>#N/A</v>
      </c>
      <c r="F2474" s="121" t="e">
        <f>VLOOKUP(B2474,'LISTA 12'!$A$2:$G$30100,7,0)</f>
        <v>#N/A</v>
      </c>
      <c r="G2474" s="254" t="e">
        <f>VLOOKUP(H2474,'lista 3'!$A$1:$C$31467,3,0)</f>
        <v>#N/A</v>
      </c>
      <c r="H2474" s="134"/>
      <c r="I2474" s="136"/>
      <c r="J2474" s="135"/>
      <c r="K2474" s="22"/>
    </row>
    <row r="2475" spans="1:11">
      <c r="A2475" s="241" t="e">
        <f>VLOOKUP(B2475,'lista 1'!$A$2:$E$30100,4,0)</f>
        <v>#N/A</v>
      </c>
      <c r="B2475" s="123"/>
      <c r="C2475" s="133" t="e">
        <f>VLOOKUP(B2475,'lista 1'!$A$2:$E$31000,5,0)</f>
        <v>#N/A</v>
      </c>
      <c r="D2475" s="167" t="e">
        <f>VLOOKUP(E14275,'lista obszary'!A:B,2,0)</f>
        <v>#N/A</v>
      </c>
      <c r="E2475" s="128" t="e">
        <f>VLOOKUP(B2475,'LISTA 12'!$A$2:$G$301400,5,0)</f>
        <v>#N/A</v>
      </c>
      <c r="F2475" s="121" t="e">
        <f>VLOOKUP(B2475,'LISTA 12'!$A$2:$G$30100,7,0)</f>
        <v>#N/A</v>
      </c>
      <c r="G2475" s="254" t="e">
        <f>VLOOKUP(H2475,'lista 3'!$A$1:$C$31467,3,0)</f>
        <v>#N/A</v>
      </c>
      <c r="H2475" s="134"/>
      <c r="I2475" s="136"/>
      <c r="J2475" s="135"/>
      <c r="K2475" s="22"/>
    </row>
    <row r="2476" spans="1:11">
      <c r="A2476" s="241" t="e">
        <f>VLOOKUP(B2476,'lista 1'!$A$2:$E$30100,4,0)</f>
        <v>#N/A</v>
      </c>
      <c r="B2476" s="123"/>
      <c r="C2476" s="133" t="e">
        <f>VLOOKUP(B2476,'lista 1'!$A$2:$E$31000,5,0)</f>
        <v>#N/A</v>
      </c>
      <c r="D2476" s="167" t="e">
        <f>VLOOKUP(E14276,'lista obszary'!A:B,2,0)</f>
        <v>#N/A</v>
      </c>
      <c r="E2476" s="128" t="e">
        <f>VLOOKUP(B2476,'LISTA 12'!$A$2:$G$301400,5,0)</f>
        <v>#N/A</v>
      </c>
      <c r="F2476" s="121" t="e">
        <f>VLOOKUP(B2476,'LISTA 12'!$A$2:$G$30100,7,0)</f>
        <v>#N/A</v>
      </c>
      <c r="G2476" s="254" t="e">
        <f>VLOOKUP(H2476,'lista 3'!$A$1:$C$31467,3,0)</f>
        <v>#N/A</v>
      </c>
      <c r="H2476" s="134"/>
      <c r="I2476" s="136"/>
      <c r="J2476" s="135"/>
      <c r="K2476" s="22"/>
    </row>
    <row r="2477" spans="1:11">
      <c r="A2477" s="241" t="e">
        <f>VLOOKUP(B2477,'lista 1'!$A$2:$E$30100,4,0)</f>
        <v>#N/A</v>
      </c>
      <c r="B2477" s="123"/>
      <c r="C2477" s="133" t="e">
        <f>VLOOKUP(B2477,'lista 1'!$A$2:$E$31000,5,0)</f>
        <v>#N/A</v>
      </c>
      <c r="D2477" s="167" t="e">
        <f>VLOOKUP(E14277,'lista obszary'!A:B,2,0)</f>
        <v>#N/A</v>
      </c>
      <c r="E2477" s="128" t="e">
        <f>VLOOKUP(B2477,'LISTA 12'!$A$2:$G$301400,5,0)</f>
        <v>#N/A</v>
      </c>
      <c r="F2477" s="121" t="e">
        <f>VLOOKUP(B2477,'LISTA 12'!$A$2:$G$30100,7,0)</f>
        <v>#N/A</v>
      </c>
      <c r="G2477" s="254" t="e">
        <f>VLOOKUP(H2477,'lista 3'!$A$1:$C$31467,3,0)</f>
        <v>#N/A</v>
      </c>
      <c r="H2477" s="134"/>
      <c r="I2477" s="136"/>
      <c r="J2477" s="135"/>
      <c r="K2477" s="22"/>
    </row>
    <row r="2478" spans="1:11">
      <c r="A2478" s="241" t="e">
        <f>VLOOKUP(B2478,'lista 1'!$A$2:$E$30100,4,0)</f>
        <v>#N/A</v>
      </c>
      <c r="B2478" s="123"/>
      <c r="C2478" s="133" t="e">
        <f>VLOOKUP(B2478,'lista 1'!$A$2:$E$31000,5,0)</f>
        <v>#N/A</v>
      </c>
      <c r="D2478" s="167" t="e">
        <f>VLOOKUP(E14278,'lista obszary'!A:B,2,0)</f>
        <v>#N/A</v>
      </c>
      <c r="E2478" s="128" t="e">
        <f>VLOOKUP(B2478,'LISTA 12'!$A$2:$G$301400,5,0)</f>
        <v>#N/A</v>
      </c>
      <c r="F2478" s="121" t="e">
        <f>VLOOKUP(B2478,'LISTA 12'!$A$2:$G$30100,7,0)</f>
        <v>#N/A</v>
      </c>
      <c r="G2478" s="254" t="e">
        <f>VLOOKUP(H2478,'lista 3'!$A$1:$C$31467,3,0)</f>
        <v>#N/A</v>
      </c>
      <c r="H2478" s="134"/>
      <c r="I2478" s="136"/>
      <c r="J2478" s="135"/>
      <c r="K2478" s="22"/>
    </row>
    <row r="2479" spans="1:11">
      <c r="A2479" s="241" t="e">
        <f>VLOOKUP(B2479,'lista 1'!$A$2:$E$30100,4,0)</f>
        <v>#N/A</v>
      </c>
      <c r="B2479" s="123"/>
      <c r="C2479" s="133" t="e">
        <f>VLOOKUP(B2479,'lista 1'!$A$2:$E$31000,5,0)</f>
        <v>#N/A</v>
      </c>
      <c r="D2479" s="167" t="e">
        <f>VLOOKUP(E14279,'lista obszary'!A:B,2,0)</f>
        <v>#N/A</v>
      </c>
      <c r="E2479" s="128" t="e">
        <f>VLOOKUP(B2479,'LISTA 12'!$A$2:$G$301400,5,0)</f>
        <v>#N/A</v>
      </c>
      <c r="F2479" s="121" t="e">
        <f>VLOOKUP(B2479,'LISTA 12'!$A$2:$G$30100,7,0)</f>
        <v>#N/A</v>
      </c>
      <c r="G2479" s="254" t="e">
        <f>VLOOKUP(H2479,'lista 3'!$A$1:$C$31467,3,0)</f>
        <v>#N/A</v>
      </c>
      <c r="H2479" s="134"/>
      <c r="I2479" s="136"/>
      <c r="J2479" s="135"/>
      <c r="K2479" s="22"/>
    </row>
    <row r="2480" spans="1:11">
      <c r="A2480" s="241" t="e">
        <f>VLOOKUP(B2480,'lista 1'!$A$2:$E$30100,4,0)</f>
        <v>#N/A</v>
      </c>
      <c r="B2480" s="123"/>
      <c r="C2480" s="133" t="e">
        <f>VLOOKUP(B2480,'lista 1'!$A$2:$E$31000,5,0)</f>
        <v>#N/A</v>
      </c>
      <c r="D2480" s="167" t="e">
        <f>VLOOKUP(E14280,'lista obszary'!A:B,2,0)</f>
        <v>#N/A</v>
      </c>
      <c r="E2480" s="128" t="e">
        <f>VLOOKUP(B2480,'LISTA 12'!$A$2:$G$301400,5,0)</f>
        <v>#N/A</v>
      </c>
      <c r="F2480" s="121" t="e">
        <f>VLOOKUP(B2480,'LISTA 12'!$A$2:$G$30100,7,0)</f>
        <v>#N/A</v>
      </c>
      <c r="G2480" s="254" t="e">
        <f>VLOOKUP(H2480,'lista 3'!$A$1:$C$31467,3,0)</f>
        <v>#N/A</v>
      </c>
      <c r="H2480" s="134"/>
      <c r="I2480" s="136"/>
      <c r="J2480" s="135"/>
      <c r="K2480" s="22"/>
    </row>
    <row r="2481" spans="1:11">
      <c r="A2481" s="241" t="e">
        <f>VLOOKUP(B2481,'lista 1'!$A$2:$E$30100,4,0)</f>
        <v>#N/A</v>
      </c>
      <c r="B2481" s="123"/>
      <c r="C2481" s="133" t="e">
        <f>VLOOKUP(B2481,'lista 1'!$A$2:$E$31000,5,0)</f>
        <v>#N/A</v>
      </c>
      <c r="D2481" s="167" t="e">
        <f>VLOOKUP(E14281,'lista obszary'!A:B,2,0)</f>
        <v>#N/A</v>
      </c>
      <c r="E2481" s="128" t="e">
        <f>VLOOKUP(B2481,'LISTA 12'!$A$2:$G$301400,5,0)</f>
        <v>#N/A</v>
      </c>
      <c r="F2481" s="121" t="e">
        <f>VLOOKUP(B2481,'LISTA 12'!$A$2:$G$30100,7,0)</f>
        <v>#N/A</v>
      </c>
      <c r="G2481" s="254" t="e">
        <f>VLOOKUP(H2481,'lista 3'!$A$1:$C$31467,3,0)</f>
        <v>#N/A</v>
      </c>
      <c r="H2481" s="134"/>
      <c r="I2481" s="136"/>
      <c r="J2481" s="135"/>
      <c r="K2481" s="22"/>
    </row>
    <row r="2482" spans="1:11">
      <c r="A2482" s="241" t="e">
        <f>VLOOKUP(B2482,'lista 1'!$A$2:$E$30100,4,0)</f>
        <v>#N/A</v>
      </c>
      <c r="B2482" s="123"/>
      <c r="C2482" s="133" t="e">
        <f>VLOOKUP(B2482,'lista 1'!$A$2:$E$31000,5,0)</f>
        <v>#N/A</v>
      </c>
      <c r="D2482" s="167" t="e">
        <f>VLOOKUP(E14282,'lista obszary'!A:B,2,0)</f>
        <v>#N/A</v>
      </c>
      <c r="E2482" s="128" t="e">
        <f>VLOOKUP(B2482,'LISTA 12'!$A$2:$G$301400,5,0)</f>
        <v>#N/A</v>
      </c>
      <c r="F2482" s="121" t="e">
        <f>VLOOKUP(B2482,'LISTA 12'!$A$2:$G$30100,7,0)</f>
        <v>#N/A</v>
      </c>
      <c r="G2482" s="254" t="e">
        <f>VLOOKUP(H2482,'lista 3'!$A$1:$C$31467,3,0)</f>
        <v>#N/A</v>
      </c>
      <c r="H2482" s="134"/>
      <c r="I2482" s="136"/>
      <c r="J2482" s="135"/>
      <c r="K2482" s="22"/>
    </row>
    <row r="2483" spans="1:11">
      <c r="A2483" s="241" t="e">
        <f>VLOOKUP(B2483,'lista 1'!$A$2:$E$30100,4,0)</f>
        <v>#N/A</v>
      </c>
      <c r="B2483" s="123"/>
      <c r="C2483" s="133" t="e">
        <f>VLOOKUP(B2483,'lista 1'!$A$2:$E$31000,5,0)</f>
        <v>#N/A</v>
      </c>
      <c r="D2483" s="167" t="e">
        <f>VLOOKUP(E14283,'lista obszary'!A:B,2,0)</f>
        <v>#N/A</v>
      </c>
      <c r="E2483" s="128" t="e">
        <f>VLOOKUP(B2483,'LISTA 12'!$A$2:$G$301400,5,0)</f>
        <v>#N/A</v>
      </c>
      <c r="F2483" s="121" t="e">
        <f>VLOOKUP(B2483,'LISTA 12'!$A$2:$G$30100,7,0)</f>
        <v>#N/A</v>
      </c>
      <c r="G2483" s="254" t="e">
        <f>VLOOKUP(H2483,'lista 3'!$A$1:$C$31467,3,0)</f>
        <v>#N/A</v>
      </c>
      <c r="H2483" s="134"/>
      <c r="I2483" s="136"/>
      <c r="J2483" s="135"/>
      <c r="K2483" s="22"/>
    </row>
    <row r="2484" spans="1:11">
      <c r="A2484" s="241" t="e">
        <f>VLOOKUP(B2484,'lista 1'!$A$2:$E$30100,4,0)</f>
        <v>#N/A</v>
      </c>
      <c r="B2484" s="123"/>
      <c r="C2484" s="133" t="e">
        <f>VLOOKUP(B2484,'lista 1'!$A$2:$E$31000,5,0)</f>
        <v>#N/A</v>
      </c>
      <c r="D2484" s="167" t="e">
        <f>VLOOKUP(E14284,'lista obszary'!A:B,2,0)</f>
        <v>#N/A</v>
      </c>
      <c r="E2484" s="128" t="e">
        <f>VLOOKUP(B2484,'LISTA 12'!$A$2:$G$301400,5,0)</f>
        <v>#N/A</v>
      </c>
      <c r="F2484" s="121" t="e">
        <f>VLOOKUP(B2484,'LISTA 12'!$A$2:$G$30100,7,0)</f>
        <v>#N/A</v>
      </c>
      <c r="G2484" s="254" t="e">
        <f>VLOOKUP(H2484,'lista 3'!$A$1:$C$31467,3,0)</f>
        <v>#N/A</v>
      </c>
      <c r="H2484" s="134"/>
      <c r="I2484" s="136"/>
      <c r="J2484" s="135"/>
      <c r="K2484" s="22"/>
    </row>
    <row r="2485" spans="1:11">
      <c r="A2485" s="241" t="e">
        <f>VLOOKUP(B2485,'lista 1'!$A$2:$E$30100,4,0)</f>
        <v>#N/A</v>
      </c>
      <c r="B2485" s="123"/>
      <c r="C2485" s="133" t="e">
        <f>VLOOKUP(B2485,'lista 1'!$A$2:$E$31000,5,0)</f>
        <v>#N/A</v>
      </c>
      <c r="D2485" s="167" t="e">
        <f>VLOOKUP(E14285,'lista obszary'!A:B,2,0)</f>
        <v>#N/A</v>
      </c>
      <c r="E2485" s="128" t="e">
        <f>VLOOKUP(B2485,'LISTA 12'!$A$2:$G$301400,5,0)</f>
        <v>#N/A</v>
      </c>
      <c r="F2485" s="121" t="e">
        <f>VLOOKUP(B2485,'LISTA 12'!$A$2:$G$30100,7,0)</f>
        <v>#N/A</v>
      </c>
      <c r="G2485" s="254" t="e">
        <f>VLOOKUP(H2485,'lista 3'!$A$1:$C$31467,3,0)</f>
        <v>#N/A</v>
      </c>
      <c r="H2485" s="134"/>
      <c r="I2485" s="136"/>
      <c r="J2485" s="135"/>
      <c r="K2485" s="22"/>
    </row>
    <row r="2486" spans="1:11">
      <c r="A2486" s="241" t="e">
        <f>VLOOKUP(B2486,'lista 1'!$A$2:$E$30100,4,0)</f>
        <v>#N/A</v>
      </c>
      <c r="B2486" s="123"/>
      <c r="C2486" s="133" t="e">
        <f>VLOOKUP(B2486,'lista 1'!$A$2:$E$31000,5,0)</f>
        <v>#N/A</v>
      </c>
      <c r="D2486" s="167" t="e">
        <f>VLOOKUP(E14286,'lista obszary'!A:B,2,0)</f>
        <v>#N/A</v>
      </c>
      <c r="E2486" s="128" t="e">
        <f>VLOOKUP(B2486,'LISTA 12'!$A$2:$G$301400,5,0)</f>
        <v>#N/A</v>
      </c>
      <c r="F2486" s="121" t="e">
        <f>VLOOKUP(B2486,'LISTA 12'!$A$2:$G$30100,7,0)</f>
        <v>#N/A</v>
      </c>
      <c r="G2486" s="254" t="e">
        <f>VLOOKUP(H2486,'lista 3'!$A$1:$C$31467,3,0)</f>
        <v>#N/A</v>
      </c>
      <c r="H2486" s="134"/>
      <c r="I2486" s="136"/>
      <c r="J2486" s="135"/>
      <c r="K2486" s="22"/>
    </row>
    <row r="2487" spans="1:11">
      <c r="A2487" s="241" t="e">
        <f>VLOOKUP(B2487,'lista 1'!$A$2:$E$30100,4,0)</f>
        <v>#N/A</v>
      </c>
      <c r="B2487" s="123"/>
      <c r="C2487" s="133" t="e">
        <f>VLOOKUP(B2487,'lista 1'!$A$2:$E$31000,5,0)</f>
        <v>#N/A</v>
      </c>
      <c r="D2487" s="167" t="e">
        <f>VLOOKUP(E14287,'lista obszary'!A:B,2,0)</f>
        <v>#N/A</v>
      </c>
      <c r="E2487" s="128" t="e">
        <f>VLOOKUP(B2487,'LISTA 12'!$A$2:$G$301400,5,0)</f>
        <v>#N/A</v>
      </c>
      <c r="F2487" s="121" t="e">
        <f>VLOOKUP(B2487,'LISTA 12'!$A$2:$G$30100,7,0)</f>
        <v>#N/A</v>
      </c>
      <c r="G2487" s="254" t="e">
        <f>VLOOKUP(H2487,'lista 3'!$A$1:$C$31467,3,0)</f>
        <v>#N/A</v>
      </c>
      <c r="H2487" s="134"/>
      <c r="I2487" s="136"/>
      <c r="J2487" s="135"/>
      <c r="K2487" s="22"/>
    </row>
    <row r="2488" spans="1:11">
      <c r="A2488" s="241" t="e">
        <f>VLOOKUP(B2488,'lista 1'!$A$2:$E$30100,4,0)</f>
        <v>#N/A</v>
      </c>
      <c r="B2488" s="123"/>
      <c r="C2488" s="133" t="e">
        <f>VLOOKUP(B2488,'lista 1'!$A$2:$E$31000,5,0)</f>
        <v>#N/A</v>
      </c>
      <c r="D2488" s="167" t="e">
        <f>VLOOKUP(E14288,'lista obszary'!A:B,2,0)</f>
        <v>#N/A</v>
      </c>
      <c r="E2488" s="128" t="e">
        <f>VLOOKUP(B2488,'LISTA 12'!$A$2:$G$301400,5,0)</f>
        <v>#N/A</v>
      </c>
      <c r="F2488" s="121" t="e">
        <f>VLOOKUP(B2488,'LISTA 12'!$A$2:$G$30100,7,0)</f>
        <v>#N/A</v>
      </c>
      <c r="G2488" s="254" t="e">
        <f>VLOOKUP(H2488,'lista 3'!$A$1:$C$31467,3,0)</f>
        <v>#N/A</v>
      </c>
      <c r="H2488" s="134"/>
      <c r="I2488" s="136"/>
      <c r="J2488" s="135"/>
      <c r="K2488" s="22"/>
    </row>
    <row r="2489" spans="1:11">
      <c r="A2489" s="241" t="e">
        <f>VLOOKUP(B2489,'lista 1'!$A$2:$E$30100,4,0)</f>
        <v>#N/A</v>
      </c>
      <c r="B2489" s="123"/>
      <c r="C2489" s="133" t="e">
        <f>VLOOKUP(B2489,'lista 1'!$A$2:$E$31000,5,0)</f>
        <v>#N/A</v>
      </c>
      <c r="D2489" s="167" t="e">
        <f>VLOOKUP(E14289,'lista obszary'!A:B,2,0)</f>
        <v>#N/A</v>
      </c>
      <c r="E2489" s="128" t="e">
        <f>VLOOKUP(B2489,'LISTA 12'!$A$2:$G$301400,5,0)</f>
        <v>#N/A</v>
      </c>
      <c r="F2489" s="121" t="e">
        <f>VLOOKUP(B2489,'LISTA 12'!$A$2:$G$30100,7,0)</f>
        <v>#N/A</v>
      </c>
      <c r="G2489" s="254" t="e">
        <f>VLOOKUP(H2489,'lista 3'!$A$1:$C$31467,3,0)</f>
        <v>#N/A</v>
      </c>
      <c r="H2489" s="134"/>
      <c r="I2489" s="136"/>
      <c r="J2489" s="135"/>
      <c r="K2489" s="22"/>
    </row>
    <row r="2490" spans="1:11">
      <c r="A2490" s="241" t="e">
        <f>VLOOKUP(B2490,'lista 1'!$A$2:$E$30100,4,0)</f>
        <v>#N/A</v>
      </c>
      <c r="B2490" s="123"/>
      <c r="C2490" s="133" t="e">
        <f>VLOOKUP(B2490,'lista 1'!$A$2:$E$31000,5,0)</f>
        <v>#N/A</v>
      </c>
      <c r="D2490" s="167" t="e">
        <f>VLOOKUP(E14290,'lista obszary'!A:B,2,0)</f>
        <v>#N/A</v>
      </c>
      <c r="E2490" s="128" t="e">
        <f>VLOOKUP(B2490,'LISTA 12'!$A$2:$G$301400,5,0)</f>
        <v>#N/A</v>
      </c>
      <c r="F2490" s="121" t="e">
        <f>VLOOKUP(B2490,'LISTA 12'!$A$2:$G$30100,7,0)</f>
        <v>#N/A</v>
      </c>
      <c r="G2490" s="254" t="e">
        <f>VLOOKUP(H2490,'lista 3'!$A$1:$C$31467,3,0)</f>
        <v>#N/A</v>
      </c>
      <c r="H2490" s="134"/>
      <c r="I2490" s="136"/>
      <c r="J2490" s="135"/>
      <c r="K2490" s="22"/>
    </row>
    <row r="2491" spans="1:11">
      <c r="A2491" s="241" t="e">
        <f>VLOOKUP(B2491,'lista 1'!$A$2:$E$30100,4,0)</f>
        <v>#N/A</v>
      </c>
      <c r="B2491" s="123"/>
      <c r="C2491" s="133" t="e">
        <f>VLOOKUP(B2491,'lista 1'!$A$2:$E$31000,5,0)</f>
        <v>#N/A</v>
      </c>
      <c r="D2491" s="167" t="e">
        <f>VLOOKUP(E14291,'lista obszary'!A:B,2,0)</f>
        <v>#N/A</v>
      </c>
      <c r="E2491" s="128" t="e">
        <f>VLOOKUP(B2491,'LISTA 12'!$A$2:$G$301400,5,0)</f>
        <v>#N/A</v>
      </c>
      <c r="F2491" s="121" t="e">
        <f>VLOOKUP(B2491,'LISTA 12'!$A$2:$G$30100,7,0)</f>
        <v>#N/A</v>
      </c>
      <c r="G2491" s="254" t="e">
        <f>VLOOKUP(H2491,'lista 3'!$A$1:$C$31467,3,0)</f>
        <v>#N/A</v>
      </c>
      <c r="H2491" s="134"/>
      <c r="I2491" s="136"/>
      <c r="J2491" s="135"/>
      <c r="K2491" s="22"/>
    </row>
    <row r="2492" spans="1:11">
      <c r="A2492" s="241" t="e">
        <f>VLOOKUP(B2492,'lista 1'!$A$2:$E$30100,4,0)</f>
        <v>#N/A</v>
      </c>
      <c r="B2492" s="123"/>
      <c r="C2492" s="133" t="e">
        <f>VLOOKUP(B2492,'lista 1'!$A$2:$E$31000,5,0)</f>
        <v>#N/A</v>
      </c>
      <c r="D2492" s="167" t="e">
        <f>VLOOKUP(E14292,'lista obszary'!A:B,2,0)</f>
        <v>#N/A</v>
      </c>
      <c r="E2492" s="128" t="e">
        <f>VLOOKUP(B2492,'LISTA 12'!$A$2:$G$301400,5,0)</f>
        <v>#N/A</v>
      </c>
      <c r="F2492" s="121" t="e">
        <f>VLOOKUP(B2492,'LISTA 12'!$A$2:$G$30100,7,0)</f>
        <v>#N/A</v>
      </c>
      <c r="G2492" s="254" t="e">
        <f>VLOOKUP(H2492,'lista 3'!$A$1:$C$31467,3,0)</f>
        <v>#N/A</v>
      </c>
      <c r="H2492" s="134"/>
      <c r="I2492" s="136"/>
      <c r="J2492" s="135"/>
      <c r="K2492" s="22"/>
    </row>
    <row r="2493" spans="1:11">
      <c r="A2493" s="241" t="e">
        <f>VLOOKUP(B2493,'lista 1'!$A$2:$E$30100,4,0)</f>
        <v>#N/A</v>
      </c>
      <c r="B2493" s="123"/>
      <c r="C2493" s="133" t="e">
        <f>VLOOKUP(B2493,'lista 1'!$A$2:$E$31000,5,0)</f>
        <v>#N/A</v>
      </c>
      <c r="D2493" s="167" t="e">
        <f>VLOOKUP(E14293,'lista obszary'!A:B,2,0)</f>
        <v>#N/A</v>
      </c>
      <c r="E2493" s="128" t="e">
        <f>VLOOKUP(B2493,'LISTA 12'!$A$2:$G$301400,5,0)</f>
        <v>#N/A</v>
      </c>
      <c r="F2493" s="121" t="e">
        <f>VLOOKUP(B2493,'LISTA 12'!$A$2:$G$30100,7,0)</f>
        <v>#N/A</v>
      </c>
      <c r="G2493" s="254" t="e">
        <f>VLOOKUP(H2493,'lista 3'!$A$1:$C$31467,3,0)</f>
        <v>#N/A</v>
      </c>
      <c r="H2493" s="134"/>
      <c r="I2493" s="136"/>
      <c r="J2493" s="135"/>
      <c r="K2493" s="22"/>
    </row>
    <row r="2494" spans="1:11">
      <c r="A2494" s="241" t="e">
        <f>VLOOKUP(B2494,'lista 1'!$A$2:$E$30100,4,0)</f>
        <v>#N/A</v>
      </c>
      <c r="B2494" s="123"/>
      <c r="C2494" s="133" t="e">
        <f>VLOOKUP(B2494,'lista 1'!$A$2:$E$31000,5,0)</f>
        <v>#N/A</v>
      </c>
      <c r="D2494" s="167" t="e">
        <f>VLOOKUP(E14294,'lista obszary'!A:B,2,0)</f>
        <v>#N/A</v>
      </c>
      <c r="E2494" s="128" t="e">
        <f>VLOOKUP(B2494,'LISTA 12'!$A$2:$G$301400,5,0)</f>
        <v>#N/A</v>
      </c>
      <c r="F2494" s="121" t="e">
        <f>VLOOKUP(B2494,'LISTA 12'!$A$2:$G$30100,7,0)</f>
        <v>#N/A</v>
      </c>
      <c r="G2494" s="254" t="e">
        <f>VLOOKUP(H2494,'lista 3'!$A$1:$C$31467,3,0)</f>
        <v>#N/A</v>
      </c>
      <c r="H2494" s="134"/>
      <c r="I2494" s="136"/>
      <c r="J2494" s="135"/>
      <c r="K2494" s="22"/>
    </row>
    <row r="2495" spans="1:11">
      <c r="A2495" s="241" t="e">
        <f>VLOOKUP(B2495,'lista 1'!$A$2:$E$30100,4,0)</f>
        <v>#N/A</v>
      </c>
      <c r="B2495" s="123"/>
      <c r="C2495" s="133" t="e">
        <f>VLOOKUP(B2495,'lista 1'!$A$2:$E$31000,5,0)</f>
        <v>#N/A</v>
      </c>
      <c r="D2495" s="167" t="e">
        <f>VLOOKUP(E14295,'lista obszary'!A:B,2,0)</f>
        <v>#N/A</v>
      </c>
      <c r="E2495" s="128" t="e">
        <f>VLOOKUP(B2495,'LISTA 12'!$A$2:$G$301400,5,0)</f>
        <v>#N/A</v>
      </c>
      <c r="F2495" s="121" t="e">
        <f>VLOOKUP(B2495,'LISTA 12'!$A$2:$G$30100,7,0)</f>
        <v>#N/A</v>
      </c>
      <c r="G2495" s="254" t="e">
        <f>VLOOKUP(H2495,'lista 3'!$A$1:$C$31467,3,0)</f>
        <v>#N/A</v>
      </c>
      <c r="H2495" s="134"/>
      <c r="I2495" s="136"/>
      <c r="J2495" s="135"/>
      <c r="K2495" s="22"/>
    </row>
    <row r="2496" spans="1:11">
      <c r="A2496" s="241" t="e">
        <f>VLOOKUP(B2496,'lista 1'!$A$2:$E$30100,4,0)</f>
        <v>#N/A</v>
      </c>
      <c r="B2496" s="123"/>
      <c r="C2496" s="133" t="e">
        <f>VLOOKUP(B2496,'lista 1'!$A$2:$E$31000,5,0)</f>
        <v>#N/A</v>
      </c>
      <c r="D2496" s="167" t="e">
        <f>VLOOKUP(E14296,'lista obszary'!A:B,2,0)</f>
        <v>#N/A</v>
      </c>
      <c r="E2496" s="128" t="e">
        <f>VLOOKUP(B2496,'LISTA 12'!$A$2:$G$301400,5,0)</f>
        <v>#N/A</v>
      </c>
      <c r="F2496" s="121" t="e">
        <f>VLOOKUP(B2496,'LISTA 12'!$A$2:$G$30100,7,0)</f>
        <v>#N/A</v>
      </c>
      <c r="G2496" s="254" t="e">
        <f>VLOOKUP(H2496,'lista 3'!$A$1:$C$31467,3,0)</f>
        <v>#N/A</v>
      </c>
      <c r="H2496" s="134"/>
      <c r="I2496" s="136"/>
      <c r="J2496" s="135"/>
      <c r="K2496" s="22"/>
    </row>
    <row r="2497" spans="1:11">
      <c r="A2497" s="241" t="e">
        <f>VLOOKUP(B2497,'lista 1'!$A$2:$E$30100,4,0)</f>
        <v>#N/A</v>
      </c>
      <c r="B2497" s="123"/>
      <c r="C2497" s="133" t="e">
        <f>VLOOKUP(B2497,'lista 1'!$A$2:$E$31000,5,0)</f>
        <v>#N/A</v>
      </c>
      <c r="D2497" s="167" t="e">
        <f>VLOOKUP(E14297,'lista obszary'!A:B,2,0)</f>
        <v>#N/A</v>
      </c>
      <c r="E2497" s="128" t="e">
        <f>VLOOKUP(B2497,'LISTA 12'!$A$2:$G$301400,5,0)</f>
        <v>#N/A</v>
      </c>
      <c r="F2497" s="121" t="e">
        <f>VLOOKUP(B2497,'LISTA 12'!$A$2:$G$30100,7,0)</f>
        <v>#N/A</v>
      </c>
      <c r="G2497" s="254" t="e">
        <f>VLOOKUP(H2497,'lista 3'!$A$1:$C$31467,3,0)</f>
        <v>#N/A</v>
      </c>
      <c r="H2497" s="134"/>
      <c r="I2497" s="136"/>
      <c r="J2497" s="135"/>
      <c r="K2497" s="22"/>
    </row>
    <row r="2498" spans="1:11">
      <c r="A2498" s="241" t="e">
        <f>VLOOKUP(B2498,'lista 1'!$A$2:$E$30100,4,0)</f>
        <v>#N/A</v>
      </c>
      <c r="B2498" s="123"/>
      <c r="C2498" s="133" t="e">
        <f>VLOOKUP(B2498,'lista 1'!$A$2:$E$31000,5,0)</f>
        <v>#N/A</v>
      </c>
      <c r="D2498" s="167" t="e">
        <f>VLOOKUP(E14298,'lista obszary'!A:B,2,0)</f>
        <v>#N/A</v>
      </c>
      <c r="E2498" s="128" t="e">
        <f>VLOOKUP(B2498,'LISTA 12'!$A$2:$G$301400,5,0)</f>
        <v>#N/A</v>
      </c>
      <c r="F2498" s="121" t="e">
        <f>VLOOKUP(B2498,'LISTA 12'!$A$2:$G$30100,7,0)</f>
        <v>#N/A</v>
      </c>
      <c r="G2498" s="254" t="e">
        <f>VLOOKUP(H2498,'lista 3'!$A$1:$C$31467,3,0)</f>
        <v>#N/A</v>
      </c>
      <c r="H2498" s="134"/>
      <c r="I2498" s="136"/>
      <c r="J2498" s="135"/>
      <c r="K2498" s="22"/>
    </row>
    <row r="2499" spans="1:11">
      <c r="A2499" s="241" t="e">
        <f>VLOOKUP(B2499,'lista 1'!$A$2:$E$30100,4,0)</f>
        <v>#N/A</v>
      </c>
      <c r="B2499" s="123"/>
      <c r="C2499" s="133" t="e">
        <f>VLOOKUP(B2499,'lista 1'!$A$2:$E$31000,5,0)</f>
        <v>#N/A</v>
      </c>
      <c r="D2499" s="167" t="e">
        <f>VLOOKUP(E14299,'lista obszary'!A:B,2,0)</f>
        <v>#N/A</v>
      </c>
      <c r="E2499" s="128" t="e">
        <f>VLOOKUP(B2499,'LISTA 12'!$A$2:$G$301400,5,0)</f>
        <v>#N/A</v>
      </c>
      <c r="F2499" s="121" t="e">
        <f>VLOOKUP(B2499,'LISTA 12'!$A$2:$G$30100,7,0)</f>
        <v>#N/A</v>
      </c>
      <c r="G2499" s="254" t="e">
        <f>VLOOKUP(H2499,'lista 3'!$A$1:$C$31467,3,0)</f>
        <v>#N/A</v>
      </c>
      <c r="H2499" s="134"/>
      <c r="I2499" s="136"/>
      <c r="J2499" s="135"/>
      <c r="K2499" s="22"/>
    </row>
    <row r="2500" spans="1:11">
      <c r="A2500" s="241" t="e">
        <f>VLOOKUP(B2500,'lista 1'!$A$2:$E$30100,4,0)</f>
        <v>#N/A</v>
      </c>
      <c r="B2500" s="123"/>
      <c r="C2500" s="133" t="e">
        <f>VLOOKUP(B2500,'lista 1'!$A$2:$E$31000,5,0)</f>
        <v>#N/A</v>
      </c>
      <c r="D2500" s="167" t="e">
        <f>VLOOKUP(E14300,'lista obszary'!A:B,2,0)</f>
        <v>#N/A</v>
      </c>
      <c r="E2500" s="128" t="e">
        <f>VLOOKUP(B2500,'LISTA 12'!$A$2:$G$301400,5,0)</f>
        <v>#N/A</v>
      </c>
      <c r="F2500" s="121" t="e">
        <f>VLOOKUP(B2500,'LISTA 12'!$A$2:$G$30100,7,0)</f>
        <v>#N/A</v>
      </c>
      <c r="G2500" s="254" t="e">
        <f>VLOOKUP(H2500,'lista 3'!$A$1:$C$31467,3,0)</f>
        <v>#N/A</v>
      </c>
      <c r="H2500" s="134"/>
      <c r="I2500" s="136"/>
      <c r="J2500" s="135"/>
      <c r="K2500" s="22"/>
    </row>
    <row r="2501" spans="1:11">
      <c r="A2501" s="241" t="e">
        <f>VLOOKUP(B2501,'lista 1'!$A$2:$E$30100,4,0)</f>
        <v>#N/A</v>
      </c>
      <c r="B2501" s="123"/>
      <c r="C2501" s="133" t="e">
        <f>VLOOKUP(B2501,'lista 1'!$A$2:$E$31000,5,0)</f>
        <v>#N/A</v>
      </c>
      <c r="D2501" s="167" t="e">
        <f>VLOOKUP(E14301,'lista obszary'!A:B,2,0)</f>
        <v>#N/A</v>
      </c>
      <c r="E2501" s="128" t="e">
        <f>VLOOKUP(B2501,'LISTA 12'!$A$2:$G$301400,5,0)</f>
        <v>#N/A</v>
      </c>
      <c r="F2501" s="121" t="e">
        <f>VLOOKUP(B2501,'LISTA 12'!$A$2:$G$30100,7,0)</f>
        <v>#N/A</v>
      </c>
      <c r="G2501" s="254" t="e">
        <f>VLOOKUP(H2501,'lista 3'!$A$1:$C$31467,3,0)</f>
        <v>#N/A</v>
      </c>
      <c r="H2501" s="134"/>
      <c r="I2501" s="136"/>
      <c r="J2501" s="135"/>
      <c r="K2501" s="22"/>
    </row>
    <row r="2502" spans="1:11">
      <c r="A2502" s="241" t="e">
        <f>VLOOKUP(B2502,'lista 1'!$A$2:$E$30100,4,0)</f>
        <v>#N/A</v>
      </c>
      <c r="B2502" s="123"/>
      <c r="C2502" s="133" t="e">
        <f>VLOOKUP(B2502,'lista 1'!$A$2:$E$31000,5,0)</f>
        <v>#N/A</v>
      </c>
      <c r="D2502" s="167" t="e">
        <f>VLOOKUP(E14302,'lista obszary'!A:B,2,0)</f>
        <v>#N/A</v>
      </c>
      <c r="E2502" s="128" t="e">
        <f>VLOOKUP(B2502,'LISTA 12'!$A$2:$G$301400,5,0)</f>
        <v>#N/A</v>
      </c>
      <c r="F2502" s="121" t="e">
        <f>VLOOKUP(B2502,'LISTA 12'!$A$2:$G$30100,7,0)</f>
        <v>#N/A</v>
      </c>
      <c r="G2502" s="254" t="e">
        <f>VLOOKUP(H2502,'lista 3'!$A$1:$C$31467,3,0)</f>
        <v>#N/A</v>
      </c>
      <c r="H2502" s="134"/>
      <c r="I2502" s="136"/>
      <c r="J2502" s="135"/>
      <c r="K2502" s="22"/>
    </row>
    <row r="2503" spans="1:11">
      <c r="A2503" s="241" t="e">
        <f>VLOOKUP(B2503,'lista 1'!$A$2:$E$30100,4,0)</f>
        <v>#N/A</v>
      </c>
      <c r="B2503" s="123"/>
      <c r="C2503" s="133" t="e">
        <f>VLOOKUP(B2503,'lista 1'!$A$2:$E$31000,5,0)</f>
        <v>#N/A</v>
      </c>
      <c r="D2503" s="167" t="e">
        <f>VLOOKUP(E14303,'lista obszary'!A:B,2,0)</f>
        <v>#N/A</v>
      </c>
      <c r="E2503" s="128" t="e">
        <f>VLOOKUP(B2503,'LISTA 12'!$A$2:$G$301400,5,0)</f>
        <v>#N/A</v>
      </c>
      <c r="F2503" s="121" t="e">
        <f>VLOOKUP(B2503,'LISTA 12'!$A$2:$G$30100,7,0)</f>
        <v>#N/A</v>
      </c>
      <c r="G2503" s="254" t="e">
        <f>VLOOKUP(H2503,'lista 3'!$A$1:$C$31467,3,0)</f>
        <v>#N/A</v>
      </c>
      <c r="H2503" s="134"/>
      <c r="I2503" s="136"/>
      <c r="J2503" s="135"/>
      <c r="K2503" s="22"/>
    </row>
    <row r="2504" spans="1:11">
      <c r="A2504" s="241" t="e">
        <f>VLOOKUP(B2504,'lista 1'!$A$2:$E$30100,4,0)</f>
        <v>#N/A</v>
      </c>
      <c r="B2504" s="123"/>
      <c r="C2504" s="133" t="e">
        <f>VLOOKUP(B2504,'lista 1'!$A$2:$E$31000,5,0)</f>
        <v>#N/A</v>
      </c>
      <c r="D2504" s="167" t="e">
        <f>VLOOKUP(E14304,'lista obszary'!A:B,2,0)</f>
        <v>#N/A</v>
      </c>
      <c r="E2504" s="128" t="e">
        <f>VLOOKUP(B2504,'LISTA 12'!$A$2:$G$301400,5,0)</f>
        <v>#N/A</v>
      </c>
      <c r="F2504" s="121" t="e">
        <f>VLOOKUP(B2504,'LISTA 12'!$A$2:$G$30100,7,0)</f>
        <v>#N/A</v>
      </c>
      <c r="G2504" s="254" t="e">
        <f>VLOOKUP(H2504,'lista 3'!$A$1:$C$31467,3,0)</f>
        <v>#N/A</v>
      </c>
      <c r="H2504" s="134"/>
      <c r="I2504" s="136"/>
      <c r="J2504" s="135"/>
      <c r="K2504" s="22"/>
    </row>
    <row r="2505" spans="1:11">
      <c r="A2505" s="241" t="e">
        <f>VLOOKUP(B2505,'lista 1'!$A$2:$E$30100,4,0)</f>
        <v>#N/A</v>
      </c>
      <c r="B2505" s="123"/>
      <c r="C2505" s="133" t="e">
        <f>VLOOKUP(B2505,'lista 1'!$A$2:$E$31000,5,0)</f>
        <v>#N/A</v>
      </c>
      <c r="D2505" s="167" t="e">
        <f>VLOOKUP(E14305,'lista obszary'!A:B,2,0)</f>
        <v>#N/A</v>
      </c>
      <c r="E2505" s="128" t="e">
        <f>VLOOKUP(B2505,'LISTA 12'!$A$2:$G$301400,5,0)</f>
        <v>#N/A</v>
      </c>
      <c r="F2505" s="121" t="e">
        <f>VLOOKUP(B2505,'LISTA 12'!$A$2:$G$30100,7,0)</f>
        <v>#N/A</v>
      </c>
      <c r="G2505" s="254" t="e">
        <f>VLOOKUP(H2505,'lista 3'!$A$1:$C$31467,3,0)</f>
        <v>#N/A</v>
      </c>
      <c r="H2505" s="134"/>
      <c r="I2505" s="136"/>
      <c r="J2505" s="135"/>
      <c r="K2505" s="22"/>
    </row>
    <row r="2506" spans="1:11">
      <c r="A2506" s="241" t="e">
        <f>VLOOKUP(B2506,'lista 1'!$A$2:$E$30100,4,0)</f>
        <v>#N/A</v>
      </c>
      <c r="B2506" s="123"/>
      <c r="C2506" s="133" t="e">
        <f>VLOOKUP(B2506,'lista 1'!$A$2:$E$31000,5,0)</f>
        <v>#N/A</v>
      </c>
      <c r="D2506" s="167" t="e">
        <f>VLOOKUP(E14306,'lista obszary'!A:B,2,0)</f>
        <v>#N/A</v>
      </c>
      <c r="E2506" s="128" t="e">
        <f>VLOOKUP(B2506,'LISTA 12'!$A$2:$G$301400,5,0)</f>
        <v>#N/A</v>
      </c>
      <c r="F2506" s="121" t="e">
        <f>VLOOKUP(B2506,'LISTA 12'!$A$2:$G$30100,7,0)</f>
        <v>#N/A</v>
      </c>
      <c r="G2506" s="254" t="e">
        <f>VLOOKUP(H2506,'lista 3'!$A$1:$C$31467,3,0)</f>
        <v>#N/A</v>
      </c>
      <c r="H2506" s="134"/>
      <c r="I2506" s="136"/>
      <c r="J2506" s="135"/>
      <c r="K2506" s="22"/>
    </row>
    <row r="2507" spans="1:11">
      <c r="A2507" s="241" t="e">
        <f>VLOOKUP(B2507,'lista 1'!$A$2:$E$30100,4,0)</f>
        <v>#N/A</v>
      </c>
      <c r="B2507" s="123"/>
      <c r="C2507" s="133" t="e">
        <f>VLOOKUP(B2507,'lista 1'!$A$2:$E$31000,5,0)</f>
        <v>#N/A</v>
      </c>
      <c r="D2507" s="167" t="e">
        <f>VLOOKUP(E14307,'lista obszary'!A:B,2,0)</f>
        <v>#N/A</v>
      </c>
      <c r="E2507" s="128" t="e">
        <f>VLOOKUP(B2507,'LISTA 12'!$A$2:$G$301400,5,0)</f>
        <v>#N/A</v>
      </c>
      <c r="F2507" s="121" t="e">
        <f>VLOOKUP(B2507,'LISTA 12'!$A$2:$G$30100,7,0)</f>
        <v>#N/A</v>
      </c>
      <c r="G2507" s="254" t="e">
        <f>VLOOKUP(H2507,'lista 3'!$A$1:$C$31467,3,0)</f>
        <v>#N/A</v>
      </c>
      <c r="H2507" s="134"/>
      <c r="I2507" s="136"/>
      <c r="J2507" s="135"/>
      <c r="K2507" s="22"/>
    </row>
    <row r="2508" spans="1:11">
      <c r="A2508" s="241" t="e">
        <f>VLOOKUP(B2508,'lista 1'!$A$2:$E$30100,4,0)</f>
        <v>#N/A</v>
      </c>
      <c r="B2508" s="123"/>
      <c r="C2508" s="133" t="e">
        <f>VLOOKUP(B2508,'lista 1'!$A$2:$E$31000,5,0)</f>
        <v>#N/A</v>
      </c>
      <c r="D2508" s="167" t="e">
        <f>VLOOKUP(E14308,'lista obszary'!A:B,2,0)</f>
        <v>#N/A</v>
      </c>
      <c r="E2508" s="128" t="e">
        <f>VLOOKUP(B2508,'LISTA 12'!$A$2:$G$301400,5,0)</f>
        <v>#N/A</v>
      </c>
      <c r="F2508" s="121" t="e">
        <f>VLOOKUP(B2508,'LISTA 12'!$A$2:$G$30100,7,0)</f>
        <v>#N/A</v>
      </c>
      <c r="G2508" s="254" t="e">
        <f>VLOOKUP(H2508,'lista 3'!$A$1:$C$31467,3,0)</f>
        <v>#N/A</v>
      </c>
      <c r="H2508" s="134"/>
      <c r="I2508" s="136"/>
      <c r="J2508" s="135"/>
      <c r="K2508" s="22"/>
    </row>
    <row r="2509" spans="1:11">
      <c r="A2509" s="241" t="e">
        <f>VLOOKUP(B2509,'lista 1'!$A$2:$E$30100,4,0)</f>
        <v>#N/A</v>
      </c>
      <c r="B2509" s="123"/>
      <c r="C2509" s="133" t="e">
        <f>VLOOKUP(B2509,'lista 1'!$A$2:$E$31000,5,0)</f>
        <v>#N/A</v>
      </c>
      <c r="D2509" s="167" t="e">
        <f>VLOOKUP(E14309,'lista obszary'!A:B,2,0)</f>
        <v>#N/A</v>
      </c>
      <c r="E2509" s="128" t="e">
        <f>VLOOKUP(B2509,'LISTA 12'!$A$2:$G$301400,5,0)</f>
        <v>#N/A</v>
      </c>
      <c r="F2509" s="121" t="e">
        <f>VLOOKUP(B2509,'LISTA 12'!$A$2:$G$30100,7,0)</f>
        <v>#N/A</v>
      </c>
      <c r="G2509" s="254" t="e">
        <f>VLOOKUP(H2509,'lista 3'!$A$1:$C$31467,3,0)</f>
        <v>#N/A</v>
      </c>
      <c r="H2509" s="134"/>
      <c r="I2509" s="136"/>
      <c r="J2509" s="135"/>
      <c r="K2509" s="22"/>
    </row>
    <row r="2510" spans="1:11">
      <c r="A2510" s="241" t="e">
        <f>VLOOKUP(B2510,'lista 1'!$A$2:$E$30100,4,0)</f>
        <v>#N/A</v>
      </c>
      <c r="B2510" s="123"/>
      <c r="C2510" s="133" t="e">
        <f>VLOOKUP(B2510,'lista 1'!$A$2:$E$31000,5,0)</f>
        <v>#N/A</v>
      </c>
      <c r="D2510" s="167" t="e">
        <f>VLOOKUP(E14310,'lista obszary'!A:B,2,0)</f>
        <v>#N/A</v>
      </c>
      <c r="E2510" s="128" t="e">
        <f>VLOOKUP(B2510,'LISTA 12'!$A$2:$G$301400,5,0)</f>
        <v>#N/A</v>
      </c>
      <c r="F2510" s="121" t="e">
        <f>VLOOKUP(B2510,'LISTA 12'!$A$2:$G$30100,7,0)</f>
        <v>#N/A</v>
      </c>
      <c r="G2510" s="254" t="e">
        <f>VLOOKUP(H2510,'lista 3'!$A$1:$C$31467,3,0)</f>
        <v>#N/A</v>
      </c>
      <c r="H2510" s="134"/>
      <c r="I2510" s="136"/>
      <c r="J2510" s="135"/>
      <c r="K2510" s="22"/>
    </row>
    <row r="2511" spans="1:11">
      <c r="A2511" s="241" t="e">
        <f>VLOOKUP(B2511,'lista 1'!$A$2:$E$30100,4,0)</f>
        <v>#N/A</v>
      </c>
      <c r="B2511" s="123"/>
      <c r="C2511" s="133" t="e">
        <f>VLOOKUP(B2511,'lista 1'!$A$2:$E$31000,5,0)</f>
        <v>#N/A</v>
      </c>
      <c r="D2511" s="167" t="e">
        <f>VLOOKUP(E14311,'lista obszary'!A:B,2,0)</f>
        <v>#N/A</v>
      </c>
      <c r="E2511" s="128" t="e">
        <f>VLOOKUP(B2511,'LISTA 12'!$A$2:$G$301400,5,0)</f>
        <v>#N/A</v>
      </c>
      <c r="F2511" s="121" t="e">
        <f>VLOOKUP(B2511,'LISTA 12'!$A$2:$G$30100,7,0)</f>
        <v>#N/A</v>
      </c>
      <c r="G2511" s="254" t="e">
        <f>VLOOKUP(H2511,'lista 3'!$A$1:$C$31467,3,0)</f>
        <v>#N/A</v>
      </c>
      <c r="H2511" s="134"/>
      <c r="I2511" s="136"/>
      <c r="J2511" s="135"/>
      <c r="K2511" s="22"/>
    </row>
    <row r="2512" spans="1:11">
      <c r="A2512" s="241" t="e">
        <f>VLOOKUP(B2512,'lista 1'!$A$2:$E$30100,4,0)</f>
        <v>#N/A</v>
      </c>
      <c r="B2512" s="123"/>
      <c r="C2512" s="133" t="e">
        <f>VLOOKUP(B2512,'lista 1'!$A$2:$E$31000,5,0)</f>
        <v>#N/A</v>
      </c>
      <c r="D2512" s="167" t="e">
        <f>VLOOKUP(E14312,'lista obszary'!A:B,2,0)</f>
        <v>#N/A</v>
      </c>
      <c r="E2512" s="128" t="e">
        <f>VLOOKUP(B2512,'LISTA 12'!$A$2:$G$301400,5,0)</f>
        <v>#N/A</v>
      </c>
      <c r="F2512" s="121" t="e">
        <f>VLOOKUP(B2512,'LISTA 12'!$A$2:$G$30100,7,0)</f>
        <v>#N/A</v>
      </c>
      <c r="G2512" s="254" t="e">
        <f>VLOOKUP(H2512,'lista 3'!$A$1:$C$31467,3,0)</f>
        <v>#N/A</v>
      </c>
      <c r="H2512" s="134"/>
      <c r="I2512" s="136"/>
      <c r="J2512" s="135"/>
      <c r="K2512" s="22"/>
    </row>
    <row r="2513" spans="1:11">
      <c r="A2513" s="241" t="e">
        <f>VLOOKUP(B2513,'lista 1'!$A$2:$E$30100,4,0)</f>
        <v>#N/A</v>
      </c>
      <c r="B2513" s="123"/>
      <c r="C2513" s="133" t="e">
        <f>VLOOKUP(B2513,'lista 1'!$A$2:$E$31000,5,0)</f>
        <v>#N/A</v>
      </c>
      <c r="D2513" s="167" t="e">
        <f>VLOOKUP(E14313,'lista obszary'!A:B,2,0)</f>
        <v>#N/A</v>
      </c>
      <c r="E2513" s="128" t="e">
        <f>VLOOKUP(B2513,'LISTA 12'!$A$2:$G$301400,5,0)</f>
        <v>#N/A</v>
      </c>
      <c r="F2513" s="121" t="e">
        <f>VLOOKUP(B2513,'LISTA 12'!$A$2:$G$30100,7,0)</f>
        <v>#N/A</v>
      </c>
      <c r="G2513" s="254" t="e">
        <f>VLOOKUP(H2513,'lista 3'!$A$1:$C$31467,3,0)</f>
        <v>#N/A</v>
      </c>
      <c r="H2513" s="134"/>
      <c r="I2513" s="136"/>
      <c r="J2513" s="135"/>
      <c r="K2513" s="22"/>
    </row>
    <row r="2514" spans="1:11">
      <c r="A2514" s="241" t="e">
        <f>VLOOKUP(B2514,'lista 1'!$A$2:$E$30100,4,0)</f>
        <v>#N/A</v>
      </c>
      <c r="B2514" s="123"/>
      <c r="C2514" s="133" t="e">
        <f>VLOOKUP(B2514,'lista 1'!$A$2:$E$31000,5,0)</f>
        <v>#N/A</v>
      </c>
      <c r="D2514" s="167" t="e">
        <f>VLOOKUP(E14314,'lista obszary'!A:B,2,0)</f>
        <v>#N/A</v>
      </c>
      <c r="E2514" s="128" t="e">
        <f>VLOOKUP(B2514,'LISTA 12'!$A$2:$G$301400,5,0)</f>
        <v>#N/A</v>
      </c>
      <c r="F2514" s="121" t="e">
        <f>VLOOKUP(B2514,'LISTA 12'!$A$2:$G$30100,7,0)</f>
        <v>#N/A</v>
      </c>
      <c r="G2514" s="254" t="e">
        <f>VLOOKUP(H2514,'lista 3'!$A$1:$C$31467,3,0)</f>
        <v>#N/A</v>
      </c>
      <c r="H2514" s="134"/>
      <c r="I2514" s="136"/>
      <c r="J2514" s="135"/>
      <c r="K2514" s="22"/>
    </row>
    <row r="2515" spans="1:11">
      <c r="A2515" s="241" t="e">
        <f>VLOOKUP(B2515,'lista 1'!$A$2:$E$30100,4,0)</f>
        <v>#N/A</v>
      </c>
      <c r="B2515" s="123"/>
      <c r="C2515" s="133" t="e">
        <f>VLOOKUP(B2515,'lista 1'!$A$2:$E$31000,5,0)</f>
        <v>#N/A</v>
      </c>
      <c r="D2515" s="167" t="e">
        <f>VLOOKUP(E14315,'lista obszary'!A:B,2,0)</f>
        <v>#N/A</v>
      </c>
      <c r="E2515" s="128" t="e">
        <f>VLOOKUP(B2515,'LISTA 12'!$A$2:$G$301400,5,0)</f>
        <v>#N/A</v>
      </c>
      <c r="F2515" s="121" t="e">
        <f>VLOOKUP(B2515,'LISTA 12'!$A$2:$G$30100,7,0)</f>
        <v>#N/A</v>
      </c>
      <c r="G2515" s="254" t="e">
        <f>VLOOKUP(H2515,'lista 3'!$A$1:$C$31467,3,0)</f>
        <v>#N/A</v>
      </c>
      <c r="H2515" s="134"/>
      <c r="I2515" s="136"/>
      <c r="J2515" s="135"/>
      <c r="K2515" s="22"/>
    </row>
    <row r="2516" spans="1:11">
      <c r="A2516" s="241" t="e">
        <f>VLOOKUP(B2516,'lista 1'!$A$2:$E$30100,4,0)</f>
        <v>#N/A</v>
      </c>
      <c r="B2516" s="123"/>
      <c r="C2516" s="133" t="e">
        <f>VLOOKUP(B2516,'lista 1'!$A$2:$E$31000,5,0)</f>
        <v>#N/A</v>
      </c>
      <c r="D2516" s="167" t="e">
        <f>VLOOKUP(E14316,'lista obszary'!A:B,2,0)</f>
        <v>#N/A</v>
      </c>
      <c r="E2516" s="128" t="e">
        <f>VLOOKUP(B2516,'LISTA 12'!$A$2:$G$301400,5,0)</f>
        <v>#N/A</v>
      </c>
      <c r="F2516" s="121" t="e">
        <f>VLOOKUP(B2516,'LISTA 12'!$A$2:$G$30100,7,0)</f>
        <v>#N/A</v>
      </c>
      <c r="G2516" s="254" t="e">
        <f>VLOOKUP(H2516,'lista 3'!$A$1:$C$31467,3,0)</f>
        <v>#N/A</v>
      </c>
      <c r="H2516" s="134"/>
      <c r="I2516" s="136"/>
      <c r="J2516" s="135"/>
      <c r="K2516" s="22"/>
    </row>
    <row r="2517" spans="1:11">
      <c r="A2517" s="241" t="e">
        <f>VLOOKUP(B2517,'lista 1'!$A$2:$E$30100,4,0)</f>
        <v>#N/A</v>
      </c>
      <c r="B2517" s="123"/>
      <c r="C2517" s="133" t="e">
        <f>VLOOKUP(B2517,'lista 1'!$A$2:$E$31000,5,0)</f>
        <v>#N/A</v>
      </c>
      <c r="D2517" s="167" t="e">
        <f>VLOOKUP(E14317,'lista obszary'!A:B,2,0)</f>
        <v>#N/A</v>
      </c>
      <c r="E2517" s="128" t="e">
        <f>VLOOKUP(B2517,'LISTA 12'!$A$2:$G$301400,5,0)</f>
        <v>#N/A</v>
      </c>
      <c r="F2517" s="121" t="e">
        <f>VLOOKUP(B2517,'LISTA 12'!$A$2:$G$30100,7,0)</f>
        <v>#N/A</v>
      </c>
      <c r="G2517" s="254" t="e">
        <f>VLOOKUP(H2517,'lista 3'!$A$1:$C$31467,3,0)</f>
        <v>#N/A</v>
      </c>
      <c r="H2517" s="134"/>
      <c r="I2517" s="136"/>
      <c r="J2517" s="135"/>
      <c r="K2517" s="22"/>
    </row>
    <row r="2518" spans="1:11">
      <c r="A2518" s="241" t="e">
        <f>VLOOKUP(B2518,'lista 1'!$A$2:$E$30100,4,0)</f>
        <v>#N/A</v>
      </c>
      <c r="B2518" s="123"/>
      <c r="C2518" s="133" t="e">
        <f>VLOOKUP(B2518,'lista 1'!$A$2:$E$31000,5,0)</f>
        <v>#N/A</v>
      </c>
      <c r="D2518" s="167" t="e">
        <f>VLOOKUP(E14318,'lista obszary'!A:B,2,0)</f>
        <v>#N/A</v>
      </c>
      <c r="E2518" s="128" t="e">
        <f>VLOOKUP(B2518,'LISTA 12'!$A$2:$G$301400,5,0)</f>
        <v>#N/A</v>
      </c>
      <c r="F2518" s="121" t="e">
        <f>VLOOKUP(B2518,'LISTA 12'!$A$2:$G$30100,7,0)</f>
        <v>#N/A</v>
      </c>
      <c r="G2518" s="254" t="e">
        <f>VLOOKUP(H2518,'lista 3'!$A$1:$C$31467,3,0)</f>
        <v>#N/A</v>
      </c>
      <c r="H2518" s="134"/>
      <c r="I2518" s="136"/>
      <c r="J2518" s="135"/>
      <c r="K2518" s="22"/>
    </row>
    <row r="2519" spans="1:11">
      <c r="A2519" s="241" t="e">
        <f>VLOOKUP(B2519,'lista 1'!$A$2:$E$30100,4,0)</f>
        <v>#N/A</v>
      </c>
      <c r="B2519" s="123"/>
      <c r="C2519" s="133" t="e">
        <f>VLOOKUP(B2519,'lista 1'!$A$2:$E$31000,5,0)</f>
        <v>#N/A</v>
      </c>
      <c r="D2519" s="167" t="e">
        <f>VLOOKUP(E14319,'lista obszary'!A:B,2,0)</f>
        <v>#N/A</v>
      </c>
      <c r="E2519" s="128" t="e">
        <f>VLOOKUP(B2519,'LISTA 12'!$A$2:$G$301400,5,0)</f>
        <v>#N/A</v>
      </c>
      <c r="F2519" s="121" t="e">
        <f>VLOOKUP(B2519,'LISTA 12'!$A$2:$G$30100,7,0)</f>
        <v>#N/A</v>
      </c>
      <c r="G2519" s="254" t="e">
        <f>VLOOKUP(H2519,'lista 3'!$A$1:$C$31467,3,0)</f>
        <v>#N/A</v>
      </c>
      <c r="H2519" s="134"/>
      <c r="I2519" s="136"/>
      <c r="J2519" s="135"/>
      <c r="K2519" s="22"/>
    </row>
    <row r="2520" spans="1:11">
      <c r="A2520" s="241" t="e">
        <f>VLOOKUP(B2520,'lista 1'!$A$2:$E$30100,4,0)</f>
        <v>#N/A</v>
      </c>
      <c r="B2520" s="123"/>
      <c r="C2520" s="133" t="e">
        <f>VLOOKUP(B2520,'lista 1'!$A$2:$E$31000,5,0)</f>
        <v>#N/A</v>
      </c>
      <c r="D2520" s="167" t="e">
        <f>VLOOKUP(E14320,'lista obszary'!A:B,2,0)</f>
        <v>#N/A</v>
      </c>
      <c r="E2520" s="128" t="e">
        <f>VLOOKUP(B2520,'LISTA 12'!$A$2:$G$301400,5,0)</f>
        <v>#N/A</v>
      </c>
      <c r="F2520" s="121" t="e">
        <f>VLOOKUP(B2520,'LISTA 12'!$A$2:$G$30100,7,0)</f>
        <v>#N/A</v>
      </c>
      <c r="G2520" s="254" t="e">
        <f>VLOOKUP(H2520,'lista 3'!$A$1:$C$31467,3,0)</f>
        <v>#N/A</v>
      </c>
      <c r="H2520" s="134"/>
      <c r="I2520" s="136"/>
      <c r="J2520" s="135"/>
      <c r="K2520" s="22"/>
    </row>
    <row r="2521" spans="1:11">
      <c r="A2521" s="241" t="e">
        <f>VLOOKUP(B2521,'lista 1'!$A$2:$E$30100,4,0)</f>
        <v>#N/A</v>
      </c>
      <c r="B2521" s="123"/>
      <c r="C2521" s="133" t="e">
        <f>VLOOKUP(B2521,'lista 1'!$A$2:$E$31000,5,0)</f>
        <v>#N/A</v>
      </c>
      <c r="D2521" s="167" t="e">
        <f>VLOOKUP(E14321,'lista obszary'!A:B,2,0)</f>
        <v>#N/A</v>
      </c>
      <c r="E2521" s="128" t="e">
        <f>VLOOKUP(B2521,'LISTA 12'!$A$2:$G$301400,5,0)</f>
        <v>#N/A</v>
      </c>
      <c r="F2521" s="121" t="e">
        <f>VLOOKUP(B2521,'LISTA 12'!$A$2:$G$30100,7,0)</f>
        <v>#N/A</v>
      </c>
      <c r="G2521" s="254" t="e">
        <f>VLOOKUP(H2521,'lista 3'!$A$1:$C$31467,3,0)</f>
        <v>#N/A</v>
      </c>
      <c r="H2521" s="134"/>
      <c r="I2521" s="136"/>
      <c r="J2521" s="135"/>
      <c r="K2521" s="22"/>
    </row>
    <row r="2522" spans="1:11">
      <c r="A2522" s="241" t="e">
        <f>VLOOKUP(B2522,'lista 1'!$A$2:$E$30100,4,0)</f>
        <v>#N/A</v>
      </c>
      <c r="B2522" s="123"/>
      <c r="C2522" s="133" t="e">
        <f>VLOOKUP(B2522,'lista 1'!$A$2:$E$31000,5,0)</f>
        <v>#N/A</v>
      </c>
      <c r="D2522" s="167" t="e">
        <f>VLOOKUP(E14322,'lista obszary'!A:B,2,0)</f>
        <v>#N/A</v>
      </c>
      <c r="E2522" s="128" t="e">
        <f>VLOOKUP(B2522,'LISTA 12'!$A$2:$G$301400,5,0)</f>
        <v>#N/A</v>
      </c>
      <c r="F2522" s="121" t="e">
        <f>VLOOKUP(B2522,'LISTA 12'!$A$2:$G$30100,7,0)</f>
        <v>#N/A</v>
      </c>
      <c r="G2522" s="254" t="e">
        <f>VLOOKUP(H2522,'lista 3'!$A$1:$C$31467,3,0)</f>
        <v>#N/A</v>
      </c>
      <c r="H2522" s="134"/>
      <c r="I2522" s="136"/>
      <c r="J2522" s="135"/>
      <c r="K2522" s="22"/>
    </row>
    <row r="2523" spans="1:11">
      <c r="A2523" s="241" t="e">
        <f>VLOOKUP(B2523,'lista 1'!$A$2:$E$30100,4,0)</f>
        <v>#N/A</v>
      </c>
      <c r="B2523" s="123"/>
      <c r="C2523" s="133" t="e">
        <f>VLOOKUP(B2523,'lista 1'!$A$2:$E$31000,5,0)</f>
        <v>#N/A</v>
      </c>
      <c r="D2523" s="167" t="e">
        <f>VLOOKUP(E14323,'lista obszary'!A:B,2,0)</f>
        <v>#N/A</v>
      </c>
      <c r="E2523" s="128" t="e">
        <f>VLOOKUP(B2523,'LISTA 12'!$A$2:$G$301400,5,0)</f>
        <v>#N/A</v>
      </c>
      <c r="F2523" s="121" t="e">
        <f>VLOOKUP(B2523,'LISTA 12'!$A$2:$G$30100,7,0)</f>
        <v>#N/A</v>
      </c>
      <c r="G2523" s="254" t="e">
        <f>VLOOKUP(H2523,'lista 3'!$A$1:$C$31467,3,0)</f>
        <v>#N/A</v>
      </c>
      <c r="H2523" s="134"/>
      <c r="I2523" s="136"/>
      <c r="J2523" s="135"/>
      <c r="K2523" s="22"/>
    </row>
    <row r="2524" spans="1:11">
      <c r="A2524" s="241" t="e">
        <f>VLOOKUP(B2524,'lista 1'!$A$2:$E$30100,4,0)</f>
        <v>#N/A</v>
      </c>
      <c r="B2524" s="123"/>
      <c r="C2524" s="133" t="e">
        <f>VLOOKUP(B2524,'lista 1'!$A$2:$E$31000,5,0)</f>
        <v>#N/A</v>
      </c>
      <c r="D2524" s="167" t="e">
        <f>VLOOKUP(E14324,'lista obszary'!A:B,2,0)</f>
        <v>#N/A</v>
      </c>
      <c r="E2524" s="128" t="e">
        <f>VLOOKUP(B2524,'LISTA 12'!$A$2:$G$301400,5,0)</f>
        <v>#N/A</v>
      </c>
      <c r="F2524" s="121" t="e">
        <f>VLOOKUP(B2524,'LISTA 12'!$A$2:$G$30100,7,0)</f>
        <v>#N/A</v>
      </c>
      <c r="G2524" s="254" t="e">
        <f>VLOOKUP(H2524,'lista 3'!$A$1:$C$31467,3,0)</f>
        <v>#N/A</v>
      </c>
      <c r="H2524" s="134"/>
      <c r="I2524" s="136"/>
      <c r="J2524" s="135"/>
      <c r="K2524" s="22"/>
    </row>
    <row r="2525" spans="1:11">
      <c r="A2525" s="241" t="e">
        <f>VLOOKUP(B2525,'lista 1'!$A$2:$E$30100,4,0)</f>
        <v>#N/A</v>
      </c>
      <c r="B2525" s="123"/>
      <c r="C2525" s="133" t="e">
        <f>VLOOKUP(B2525,'lista 1'!$A$2:$E$31000,5,0)</f>
        <v>#N/A</v>
      </c>
      <c r="D2525" s="167" t="e">
        <f>VLOOKUP(E14325,'lista obszary'!A:B,2,0)</f>
        <v>#N/A</v>
      </c>
      <c r="E2525" s="128" t="e">
        <f>VLOOKUP(B2525,'LISTA 12'!$A$2:$G$301400,5,0)</f>
        <v>#N/A</v>
      </c>
      <c r="F2525" s="121" t="e">
        <f>VLOOKUP(B2525,'LISTA 12'!$A$2:$G$30100,7,0)</f>
        <v>#N/A</v>
      </c>
      <c r="G2525" s="254" t="e">
        <f>VLOOKUP(H2525,'lista 3'!$A$1:$C$31467,3,0)</f>
        <v>#N/A</v>
      </c>
      <c r="H2525" s="134"/>
      <c r="I2525" s="136"/>
      <c r="J2525" s="135"/>
      <c r="K2525" s="22"/>
    </row>
    <row r="2526" spans="1:11">
      <c r="A2526" s="241" t="e">
        <f>VLOOKUP(B2526,'lista 1'!$A$2:$E$30100,4,0)</f>
        <v>#N/A</v>
      </c>
      <c r="B2526" s="123"/>
      <c r="C2526" s="133" t="e">
        <f>VLOOKUP(B2526,'lista 1'!$A$2:$E$31000,5,0)</f>
        <v>#N/A</v>
      </c>
      <c r="D2526" s="167" t="e">
        <f>VLOOKUP(E14326,'lista obszary'!A:B,2,0)</f>
        <v>#N/A</v>
      </c>
      <c r="E2526" s="128" t="e">
        <f>VLOOKUP(B2526,'LISTA 12'!$A$2:$G$301400,5,0)</f>
        <v>#N/A</v>
      </c>
      <c r="F2526" s="121" t="e">
        <f>VLOOKUP(B2526,'LISTA 12'!$A$2:$G$30100,7,0)</f>
        <v>#N/A</v>
      </c>
      <c r="G2526" s="254" t="e">
        <f>VLOOKUP(H2526,'lista 3'!$A$1:$C$31467,3,0)</f>
        <v>#N/A</v>
      </c>
      <c r="H2526" s="134"/>
      <c r="I2526" s="136"/>
      <c r="J2526" s="135"/>
      <c r="K2526" s="22"/>
    </row>
    <row r="2527" spans="1:11">
      <c r="A2527" s="241" t="e">
        <f>VLOOKUP(B2527,'lista 1'!$A$2:$E$30100,4,0)</f>
        <v>#N/A</v>
      </c>
      <c r="B2527" s="123"/>
      <c r="C2527" s="133" t="e">
        <f>VLOOKUP(B2527,'lista 1'!$A$2:$E$31000,5,0)</f>
        <v>#N/A</v>
      </c>
      <c r="D2527" s="167" t="e">
        <f>VLOOKUP(E14327,'lista obszary'!A:B,2,0)</f>
        <v>#N/A</v>
      </c>
      <c r="E2527" s="128" t="e">
        <f>VLOOKUP(B2527,'LISTA 12'!$A$2:$G$301400,5,0)</f>
        <v>#N/A</v>
      </c>
      <c r="F2527" s="121" t="e">
        <f>VLOOKUP(B2527,'LISTA 12'!$A$2:$G$30100,7,0)</f>
        <v>#N/A</v>
      </c>
      <c r="G2527" s="254" t="e">
        <f>VLOOKUP(H2527,'lista 3'!$A$1:$C$31467,3,0)</f>
        <v>#N/A</v>
      </c>
      <c r="H2527" s="134"/>
      <c r="I2527" s="136"/>
      <c r="J2527" s="135"/>
      <c r="K2527" s="22"/>
    </row>
    <row r="2528" spans="1:11">
      <c r="A2528" s="241" t="e">
        <f>VLOOKUP(B2528,'lista 1'!$A$2:$E$30100,4,0)</f>
        <v>#N/A</v>
      </c>
      <c r="B2528" s="123"/>
      <c r="C2528" s="133" t="e">
        <f>VLOOKUP(B2528,'lista 1'!$A$2:$E$31000,5,0)</f>
        <v>#N/A</v>
      </c>
      <c r="D2528" s="167" t="e">
        <f>VLOOKUP(E14328,'lista obszary'!A:B,2,0)</f>
        <v>#N/A</v>
      </c>
      <c r="E2528" s="128" t="e">
        <f>VLOOKUP(B2528,'LISTA 12'!$A$2:$G$301400,5,0)</f>
        <v>#N/A</v>
      </c>
      <c r="F2528" s="121" t="e">
        <f>VLOOKUP(B2528,'LISTA 12'!$A$2:$G$30100,7,0)</f>
        <v>#N/A</v>
      </c>
      <c r="G2528" s="254" t="e">
        <f>VLOOKUP(H2528,'lista 3'!$A$1:$C$31467,3,0)</f>
        <v>#N/A</v>
      </c>
      <c r="H2528" s="134"/>
      <c r="I2528" s="136"/>
      <c r="J2528" s="135"/>
      <c r="K2528" s="22"/>
    </row>
    <row r="2529" spans="1:11">
      <c r="A2529" s="241" t="e">
        <f>VLOOKUP(B2529,'lista 1'!$A$2:$E$30100,4,0)</f>
        <v>#N/A</v>
      </c>
      <c r="B2529" s="123"/>
      <c r="C2529" s="133" t="e">
        <f>VLOOKUP(B2529,'lista 1'!$A$2:$E$31000,5,0)</f>
        <v>#N/A</v>
      </c>
      <c r="D2529" s="167" t="e">
        <f>VLOOKUP(E14329,'lista obszary'!A:B,2,0)</f>
        <v>#N/A</v>
      </c>
      <c r="E2529" s="128" t="e">
        <f>VLOOKUP(B2529,'LISTA 12'!$A$2:$G$301400,5,0)</f>
        <v>#N/A</v>
      </c>
      <c r="F2529" s="121" t="e">
        <f>VLOOKUP(B2529,'LISTA 12'!$A$2:$G$30100,7,0)</f>
        <v>#N/A</v>
      </c>
      <c r="G2529" s="254" t="e">
        <f>VLOOKUP(H2529,'lista 3'!$A$1:$C$31467,3,0)</f>
        <v>#N/A</v>
      </c>
      <c r="H2529" s="134"/>
      <c r="I2529" s="136"/>
      <c r="J2529" s="135"/>
      <c r="K2529" s="22"/>
    </row>
    <row r="2530" spans="1:11">
      <c r="A2530" s="241" t="e">
        <f>VLOOKUP(B2530,'lista 1'!$A$2:$E$30100,4,0)</f>
        <v>#N/A</v>
      </c>
      <c r="B2530" s="123"/>
      <c r="C2530" s="133" t="e">
        <f>VLOOKUP(B2530,'lista 1'!$A$2:$E$31000,5,0)</f>
        <v>#N/A</v>
      </c>
      <c r="D2530" s="167" t="e">
        <f>VLOOKUP(E14330,'lista obszary'!A:B,2,0)</f>
        <v>#N/A</v>
      </c>
      <c r="E2530" s="128" t="e">
        <f>VLOOKUP(B2530,'LISTA 12'!$A$2:$G$301400,5,0)</f>
        <v>#N/A</v>
      </c>
      <c r="F2530" s="121" t="e">
        <f>VLOOKUP(B2530,'LISTA 12'!$A$2:$G$30100,7,0)</f>
        <v>#N/A</v>
      </c>
      <c r="G2530" s="254" t="e">
        <f>VLOOKUP(H2530,'lista 3'!$A$1:$C$31467,3,0)</f>
        <v>#N/A</v>
      </c>
      <c r="H2530" s="134"/>
      <c r="I2530" s="136"/>
      <c r="J2530" s="135"/>
      <c r="K2530" s="22"/>
    </row>
    <row r="2531" spans="1:11">
      <c r="A2531" s="241" t="e">
        <f>VLOOKUP(B2531,'lista 1'!$A$2:$E$30100,4,0)</f>
        <v>#N/A</v>
      </c>
      <c r="B2531" s="123"/>
      <c r="C2531" s="133" t="e">
        <f>VLOOKUP(B2531,'lista 1'!$A$2:$E$31000,5,0)</f>
        <v>#N/A</v>
      </c>
      <c r="D2531" s="167" t="e">
        <f>VLOOKUP(E14331,'lista obszary'!A:B,2,0)</f>
        <v>#N/A</v>
      </c>
      <c r="E2531" s="128" t="e">
        <f>VLOOKUP(B2531,'LISTA 12'!$A$2:$G$301400,5,0)</f>
        <v>#N/A</v>
      </c>
      <c r="F2531" s="121" t="e">
        <f>VLOOKUP(B2531,'LISTA 12'!$A$2:$G$30100,7,0)</f>
        <v>#N/A</v>
      </c>
      <c r="G2531" s="254" t="e">
        <f>VLOOKUP(H2531,'lista 3'!$A$1:$C$31467,3,0)</f>
        <v>#N/A</v>
      </c>
      <c r="H2531" s="134"/>
      <c r="I2531" s="136"/>
      <c r="J2531" s="135"/>
      <c r="K2531" s="22"/>
    </row>
    <row r="2532" spans="1:11">
      <c r="A2532" s="241" t="e">
        <f>VLOOKUP(B2532,'lista 1'!$A$2:$E$30100,4,0)</f>
        <v>#N/A</v>
      </c>
      <c r="B2532" s="123"/>
      <c r="C2532" s="133" t="e">
        <f>VLOOKUP(B2532,'lista 1'!$A$2:$E$31000,5,0)</f>
        <v>#N/A</v>
      </c>
      <c r="D2532" s="167" t="e">
        <f>VLOOKUP(E14332,'lista obszary'!A:B,2,0)</f>
        <v>#N/A</v>
      </c>
      <c r="E2532" s="128" t="e">
        <f>VLOOKUP(B2532,'LISTA 12'!$A$2:$G$301400,5,0)</f>
        <v>#N/A</v>
      </c>
      <c r="F2532" s="121" t="e">
        <f>VLOOKUP(B2532,'LISTA 12'!$A$2:$G$30100,7,0)</f>
        <v>#N/A</v>
      </c>
      <c r="G2532" s="254" t="e">
        <f>VLOOKUP(H2532,'lista 3'!$A$1:$C$31467,3,0)</f>
        <v>#N/A</v>
      </c>
      <c r="H2532" s="134"/>
      <c r="I2532" s="136"/>
      <c r="J2532" s="135"/>
      <c r="K2532" s="22"/>
    </row>
    <row r="2533" spans="1:11">
      <c r="A2533" s="241" t="e">
        <f>VLOOKUP(B2533,'lista 1'!$A$2:$E$30100,4,0)</f>
        <v>#N/A</v>
      </c>
      <c r="B2533" s="123"/>
      <c r="C2533" s="133" t="e">
        <f>VLOOKUP(B2533,'lista 1'!$A$2:$E$31000,5,0)</f>
        <v>#N/A</v>
      </c>
      <c r="D2533" s="167" t="e">
        <f>VLOOKUP(E14333,'lista obszary'!A:B,2,0)</f>
        <v>#N/A</v>
      </c>
      <c r="E2533" s="128" t="e">
        <f>VLOOKUP(B2533,'LISTA 12'!$A$2:$G$301400,5,0)</f>
        <v>#N/A</v>
      </c>
      <c r="F2533" s="121" t="e">
        <f>VLOOKUP(B2533,'LISTA 12'!$A$2:$G$30100,7,0)</f>
        <v>#N/A</v>
      </c>
      <c r="G2533" s="254" t="e">
        <f>VLOOKUP(H2533,'lista 3'!$A$1:$C$31467,3,0)</f>
        <v>#N/A</v>
      </c>
      <c r="H2533" s="134"/>
      <c r="I2533" s="136"/>
      <c r="J2533" s="135"/>
      <c r="K2533" s="22"/>
    </row>
    <row r="2534" spans="1:11">
      <c r="A2534" s="241" t="e">
        <f>VLOOKUP(B2534,'lista 1'!$A$2:$E$30100,4,0)</f>
        <v>#N/A</v>
      </c>
      <c r="B2534" s="123"/>
      <c r="C2534" s="133" t="e">
        <f>VLOOKUP(B2534,'lista 1'!$A$2:$E$31000,5,0)</f>
        <v>#N/A</v>
      </c>
      <c r="D2534" s="167" t="e">
        <f>VLOOKUP(E14334,'lista obszary'!A:B,2,0)</f>
        <v>#N/A</v>
      </c>
      <c r="E2534" s="128" t="e">
        <f>VLOOKUP(B2534,'LISTA 12'!$A$2:$G$301400,5,0)</f>
        <v>#N/A</v>
      </c>
      <c r="F2534" s="121" t="e">
        <f>VLOOKUP(B2534,'LISTA 12'!$A$2:$G$30100,7,0)</f>
        <v>#N/A</v>
      </c>
      <c r="G2534" s="254" t="e">
        <f>VLOOKUP(H2534,'lista 3'!$A$1:$C$31467,3,0)</f>
        <v>#N/A</v>
      </c>
      <c r="H2534" s="134"/>
      <c r="I2534" s="136"/>
      <c r="J2534" s="135"/>
      <c r="K2534" s="22"/>
    </row>
    <row r="2535" spans="1:11">
      <c r="A2535" s="241" t="e">
        <f>VLOOKUP(B2535,'lista 1'!$A$2:$E$30100,4,0)</f>
        <v>#N/A</v>
      </c>
      <c r="B2535" s="123"/>
      <c r="C2535" s="133" t="e">
        <f>VLOOKUP(B2535,'lista 1'!$A$2:$E$31000,5,0)</f>
        <v>#N/A</v>
      </c>
      <c r="D2535" s="167" t="e">
        <f>VLOOKUP(E14335,'lista obszary'!A:B,2,0)</f>
        <v>#N/A</v>
      </c>
      <c r="E2535" s="128" t="e">
        <f>VLOOKUP(B2535,'LISTA 12'!$A$2:$G$301400,5,0)</f>
        <v>#N/A</v>
      </c>
      <c r="F2535" s="121" t="e">
        <f>VLOOKUP(B2535,'LISTA 12'!$A$2:$G$30100,7,0)</f>
        <v>#N/A</v>
      </c>
      <c r="G2535" s="254" t="e">
        <f>VLOOKUP(H2535,'lista 3'!$A$1:$C$31467,3,0)</f>
        <v>#N/A</v>
      </c>
      <c r="H2535" s="134"/>
      <c r="I2535" s="136"/>
      <c r="J2535" s="135"/>
      <c r="K2535" s="22"/>
    </row>
    <row r="2536" spans="1:11">
      <c r="A2536" s="241" t="e">
        <f>VLOOKUP(B2536,'lista 1'!$A$2:$E$30100,4,0)</f>
        <v>#N/A</v>
      </c>
      <c r="B2536" s="123"/>
      <c r="C2536" s="133" t="e">
        <f>VLOOKUP(B2536,'lista 1'!$A$2:$E$31000,5,0)</f>
        <v>#N/A</v>
      </c>
      <c r="D2536" s="167" t="e">
        <f>VLOOKUP(E14336,'lista obszary'!A:B,2,0)</f>
        <v>#N/A</v>
      </c>
      <c r="E2536" s="128" t="e">
        <f>VLOOKUP(B2536,'LISTA 12'!$A$2:$G$301400,5,0)</f>
        <v>#N/A</v>
      </c>
      <c r="F2536" s="121" t="e">
        <f>VLOOKUP(B2536,'LISTA 12'!$A$2:$G$30100,7,0)</f>
        <v>#N/A</v>
      </c>
      <c r="G2536" s="254" t="e">
        <f>VLOOKUP(H2536,'lista 3'!$A$1:$C$31467,3,0)</f>
        <v>#N/A</v>
      </c>
      <c r="H2536" s="134"/>
      <c r="I2536" s="136"/>
      <c r="J2536" s="135"/>
      <c r="K2536" s="22"/>
    </row>
    <row r="2537" spans="1:11">
      <c r="A2537" s="241" t="e">
        <f>VLOOKUP(B2537,'lista 1'!$A$2:$E$30100,4,0)</f>
        <v>#N/A</v>
      </c>
      <c r="B2537" s="123"/>
      <c r="C2537" s="133" t="e">
        <f>VLOOKUP(B2537,'lista 1'!$A$2:$E$31000,5,0)</f>
        <v>#N/A</v>
      </c>
      <c r="D2537" s="167" t="e">
        <f>VLOOKUP(E14337,'lista obszary'!A:B,2,0)</f>
        <v>#N/A</v>
      </c>
      <c r="E2537" s="128" t="e">
        <f>VLOOKUP(B2537,'LISTA 12'!$A$2:$G$301400,5,0)</f>
        <v>#N/A</v>
      </c>
      <c r="F2537" s="121" t="e">
        <f>VLOOKUP(B2537,'LISTA 12'!$A$2:$G$30100,7,0)</f>
        <v>#N/A</v>
      </c>
      <c r="G2537" s="254" t="e">
        <f>VLOOKUP(H2537,'lista 3'!$A$1:$C$31467,3,0)</f>
        <v>#N/A</v>
      </c>
      <c r="H2537" s="134"/>
      <c r="I2537" s="136"/>
      <c r="J2537" s="135"/>
      <c r="K2537" s="22"/>
    </row>
    <row r="2538" spans="1:11">
      <c r="A2538" s="241" t="e">
        <f>VLOOKUP(B2538,'lista 1'!$A$2:$E$30100,4,0)</f>
        <v>#N/A</v>
      </c>
      <c r="B2538" s="123"/>
      <c r="C2538" s="133" t="e">
        <f>VLOOKUP(B2538,'lista 1'!$A$2:$E$31000,5,0)</f>
        <v>#N/A</v>
      </c>
      <c r="D2538" s="167" t="e">
        <f>VLOOKUP(E14338,'lista obszary'!A:B,2,0)</f>
        <v>#N/A</v>
      </c>
      <c r="E2538" s="128" t="e">
        <f>VLOOKUP(B2538,'LISTA 12'!$A$2:$G$301400,5,0)</f>
        <v>#N/A</v>
      </c>
      <c r="F2538" s="121" t="e">
        <f>VLOOKUP(B2538,'LISTA 12'!$A$2:$G$30100,7,0)</f>
        <v>#N/A</v>
      </c>
      <c r="G2538" s="254" t="e">
        <f>VLOOKUP(H2538,'lista 3'!$A$1:$C$31467,3,0)</f>
        <v>#N/A</v>
      </c>
      <c r="H2538" s="134"/>
      <c r="I2538" s="136"/>
      <c r="J2538" s="135"/>
      <c r="K2538" s="22"/>
    </row>
    <row r="2539" spans="1:11">
      <c r="A2539" s="241" t="e">
        <f>VLOOKUP(B2539,'lista 1'!$A$2:$E$30100,4,0)</f>
        <v>#N/A</v>
      </c>
      <c r="B2539" s="123"/>
      <c r="C2539" s="133" t="e">
        <f>VLOOKUP(B2539,'lista 1'!$A$2:$E$31000,5,0)</f>
        <v>#N/A</v>
      </c>
      <c r="D2539" s="167" t="e">
        <f>VLOOKUP(E14339,'lista obszary'!A:B,2,0)</f>
        <v>#N/A</v>
      </c>
      <c r="E2539" s="128" t="e">
        <f>VLOOKUP(B2539,'LISTA 12'!$A$2:$G$301400,5,0)</f>
        <v>#N/A</v>
      </c>
      <c r="F2539" s="121" t="e">
        <f>VLOOKUP(B2539,'LISTA 12'!$A$2:$G$30100,7,0)</f>
        <v>#N/A</v>
      </c>
      <c r="G2539" s="254" t="e">
        <f>VLOOKUP(H2539,'lista 3'!$A$1:$C$31467,3,0)</f>
        <v>#N/A</v>
      </c>
      <c r="H2539" s="134"/>
      <c r="I2539" s="136"/>
      <c r="J2539" s="135"/>
      <c r="K2539" s="22"/>
    </row>
    <row r="2540" spans="1:11">
      <c r="A2540" s="241" t="e">
        <f>VLOOKUP(B2540,'lista 1'!$A$2:$E$30100,4,0)</f>
        <v>#N/A</v>
      </c>
      <c r="B2540" s="123"/>
      <c r="C2540" s="133" t="e">
        <f>VLOOKUP(B2540,'lista 1'!$A$2:$E$31000,5,0)</f>
        <v>#N/A</v>
      </c>
      <c r="D2540" s="167" t="e">
        <f>VLOOKUP(E14340,'lista obszary'!A:B,2,0)</f>
        <v>#N/A</v>
      </c>
      <c r="E2540" s="128" t="e">
        <f>VLOOKUP(B2540,'LISTA 12'!$A$2:$G$301400,5,0)</f>
        <v>#N/A</v>
      </c>
      <c r="F2540" s="121" t="e">
        <f>VLOOKUP(B2540,'LISTA 12'!$A$2:$G$30100,7,0)</f>
        <v>#N/A</v>
      </c>
      <c r="G2540" s="254" t="e">
        <f>VLOOKUP(H2540,'lista 3'!$A$1:$C$31467,3,0)</f>
        <v>#N/A</v>
      </c>
      <c r="H2540" s="134"/>
      <c r="I2540" s="136"/>
      <c r="J2540" s="135"/>
      <c r="K2540" s="22"/>
    </row>
    <row r="2541" spans="1:11">
      <c r="A2541" s="241" t="e">
        <f>VLOOKUP(B2541,'lista 1'!$A$2:$E$30100,4,0)</f>
        <v>#N/A</v>
      </c>
      <c r="B2541" s="123"/>
      <c r="C2541" s="133" t="e">
        <f>VLOOKUP(B2541,'lista 1'!$A$2:$E$31000,5,0)</f>
        <v>#N/A</v>
      </c>
      <c r="D2541" s="167" t="e">
        <f>VLOOKUP(E14341,'lista obszary'!A:B,2,0)</f>
        <v>#N/A</v>
      </c>
      <c r="E2541" s="128" t="e">
        <f>VLOOKUP(B2541,'LISTA 12'!$A$2:$G$301400,5,0)</f>
        <v>#N/A</v>
      </c>
      <c r="F2541" s="121" t="e">
        <f>VLOOKUP(B2541,'LISTA 12'!$A$2:$G$30100,7,0)</f>
        <v>#N/A</v>
      </c>
      <c r="G2541" s="254" t="e">
        <f>VLOOKUP(H2541,'lista 3'!$A$1:$C$31467,3,0)</f>
        <v>#N/A</v>
      </c>
      <c r="H2541" s="134"/>
      <c r="I2541" s="136"/>
      <c r="J2541" s="135"/>
      <c r="K2541" s="22"/>
    </row>
    <row r="2542" spans="1:11">
      <c r="A2542" s="241" t="e">
        <f>VLOOKUP(B2542,'lista 1'!$A$2:$E$30100,4,0)</f>
        <v>#N/A</v>
      </c>
      <c r="B2542" s="123"/>
      <c r="C2542" s="133" t="e">
        <f>VLOOKUP(B2542,'lista 1'!$A$2:$E$31000,5,0)</f>
        <v>#N/A</v>
      </c>
      <c r="D2542" s="167" t="e">
        <f>VLOOKUP(E14342,'lista obszary'!A:B,2,0)</f>
        <v>#N/A</v>
      </c>
      <c r="E2542" s="128" t="e">
        <f>VLOOKUP(B2542,'LISTA 12'!$A$2:$G$301400,5,0)</f>
        <v>#N/A</v>
      </c>
      <c r="F2542" s="121" t="e">
        <f>VLOOKUP(B2542,'LISTA 12'!$A$2:$G$30100,7,0)</f>
        <v>#N/A</v>
      </c>
      <c r="G2542" s="254" t="e">
        <f>VLOOKUP(H2542,'lista 3'!$A$1:$C$31467,3,0)</f>
        <v>#N/A</v>
      </c>
      <c r="H2542" s="134"/>
      <c r="I2542" s="136"/>
      <c r="J2542" s="135"/>
      <c r="K2542" s="22"/>
    </row>
    <row r="2543" spans="1:11">
      <c r="A2543" s="241" t="e">
        <f>VLOOKUP(B2543,'lista 1'!$A$2:$E$30100,4,0)</f>
        <v>#N/A</v>
      </c>
      <c r="B2543" s="123"/>
      <c r="C2543" s="133" t="e">
        <f>VLOOKUP(B2543,'lista 1'!$A$2:$E$31000,5,0)</f>
        <v>#N/A</v>
      </c>
      <c r="D2543" s="167" t="e">
        <f>VLOOKUP(E14343,'lista obszary'!A:B,2,0)</f>
        <v>#N/A</v>
      </c>
      <c r="E2543" s="128" t="e">
        <f>VLOOKUP(B2543,'LISTA 12'!$A$2:$G$301400,5,0)</f>
        <v>#N/A</v>
      </c>
      <c r="F2543" s="121" t="e">
        <f>VLOOKUP(B2543,'LISTA 12'!$A$2:$G$30100,7,0)</f>
        <v>#N/A</v>
      </c>
      <c r="G2543" s="254" t="e">
        <f>VLOOKUP(H2543,'lista 3'!$A$1:$C$31467,3,0)</f>
        <v>#N/A</v>
      </c>
      <c r="H2543" s="134"/>
      <c r="I2543" s="136"/>
      <c r="J2543" s="135"/>
      <c r="K2543" s="22"/>
    </row>
    <row r="2544" spans="1:11">
      <c r="A2544" s="241" t="e">
        <f>VLOOKUP(B2544,'lista 1'!$A$2:$E$30100,4,0)</f>
        <v>#N/A</v>
      </c>
      <c r="B2544" s="123"/>
      <c r="C2544" s="133" t="e">
        <f>VLOOKUP(B2544,'lista 1'!$A$2:$E$31000,5,0)</f>
        <v>#N/A</v>
      </c>
      <c r="D2544" s="167" t="e">
        <f>VLOOKUP(E14344,'lista obszary'!A:B,2,0)</f>
        <v>#N/A</v>
      </c>
      <c r="E2544" s="128" t="e">
        <f>VLOOKUP(B2544,'LISTA 12'!$A$2:$G$301400,5,0)</f>
        <v>#N/A</v>
      </c>
      <c r="F2544" s="121" t="e">
        <f>VLOOKUP(B2544,'LISTA 12'!$A$2:$G$30100,7,0)</f>
        <v>#N/A</v>
      </c>
      <c r="G2544" s="254" t="e">
        <f>VLOOKUP(H2544,'lista 3'!$A$1:$C$31467,3,0)</f>
        <v>#N/A</v>
      </c>
      <c r="H2544" s="134"/>
      <c r="I2544" s="136"/>
      <c r="J2544" s="135"/>
      <c r="K2544" s="22"/>
    </row>
    <row r="2545" spans="1:11">
      <c r="A2545" s="241" t="e">
        <f>VLOOKUP(B2545,'lista 1'!$A$2:$E$30100,4,0)</f>
        <v>#N/A</v>
      </c>
      <c r="B2545" s="123"/>
      <c r="C2545" s="133" t="e">
        <f>VLOOKUP(B2545,'lista 1'!$A$2:$E$31000,5,0)</f>
        <v>#N/A</v>
      </c>
      <c r="D2545" s="167" t="e">
        <f>VLOOKUP(E14345,'lista obszary'!A:B,2,0)</f>
        <v>#N/A</v>
      </c>
      <c r="E2545" s="128" t="e">
        <f>VLOOKUP(B2545,'LISTA 12'!$A$2:$G$301400,5,0)</f>
        <v>#N/A</v>
      </c>
      <c r="F2545" s="121" t="e">
        <f>VLOOKUP(B2545,'LISTA 12'!$A$2:$G$30100,7,0)</f>
        <v>#N/A</v>
      </c>
      <c r="G2545" s="254" t="e">
        <f>VLOOKUP(H2545,'lista 3'!$A$1:$C$31467,3,0)</f>
        <v>#N/A</v>
      </c>
      <c r="H2545" s="134"/>
      <c r="I2545" s="136"/>
      <c r="J2545" s="135"/>
      <c r="K2545" s="22"/>
    </row>
    <row r="2546" spans="1:11">
      <c r="A2546" s="241" t="e">
        <f>VLOOKUP(B2546,'lista 1'!$A$2:$E$30100,4,0)</f>
        <v>#N/A</v>
      </c>
      <c r="B2546" s="123"/>
      <c r="C2546" s="133" t="e">
        <f>VLOOKUP(B2546,'lista 1'!$A$2:$E$31000,5,0)</f>
        <v>#N/A</v>
      </c>
      <c r="D2546" s="167" t="e">
        <f>VLOOKUP(E14346,'lista obszary'!A:B,2,0)</f>
        <v>#N/A</v>
      </c>
      <c r="E2546" s="128" t="e">
        <f>VLOOKUP(B2546,'LISTA 12'!$A$2:$G$301400,5,0)</f>
        <v>#N/A</v>
      </c>
      <c r="F2546" s="121" t="e">
        <f>VLOOKUP(B2546,'LISTA 12'!$A$2:$G$30100,7,0)</f>
        <v>#N/A</v>
      </c>
      <c r="G2546" s="254" t="e">
        <f>VLOOKUP(H2546,'lista 3'!$A$1:$C$31467,3,0)</f>
        <v>#N/A</v>
      </c>
      <c r="H2546" s="134"/>
      <c r="I2546" s="136"/>
      <c r="J2546" s="135"/>
      <c r="K2546" s="22"/>
    </row>
    <row r="2547" spans="1:11">
      <c r="A2547" s="241" t="e">
        <f>VLOOKUP(B2547,'lista 1'!$A$2:$E$30100,4,0)</f>
        <v>#N/A</v>
      </c>
      <c r="B2547" s="123"/>
      <c r="C2547" s="133" t="e">
        <f>VLOOKUP(B2547,'lista 1'!$A$2:$E$31000,5,0)</f>
        <v>#N/A</v>
      </c>
      <c r="D2547" s="167" t="e">
        <f>VLOOKUP(E14347,'lista obszary'!A:B,2,0)</f>
        <v>#N/A</v>
      </c>
      <c r="E2547" s="128" t="e">
        <f>VLOOKUP(B2547,'LISTA 12'!$A$2:$G$301400,5,0)</f>
        <v>#N/A</v>
      </c>
      <c r="F2547" s="121" t="e">
        <f>VLOOKUP(B2547,'LISTA 12'!$A$2:$G$30100,7,0)</f>
        <v>#N/A</v>
      </c>
      <c r="G2547" s="254" t="e">
        <f>VLOOKUP(H2547,'lista 3'!$A$1:$C$31467,3,0)</f>
        <v>#N/A</v>
      </c>
      <c r="H2547" s="134"/>
      <c r="I2547" s="136"/>
      <c r="J2547" s="135"/>
      <c r="K2547" s="22"/>
    </row>
    <row r="2548" spans="1:11">
      <c r="A2548" s="241" t="e">
        <f>VLOOKUP(B2548,'lista 1'!$A$2:$E$30100,4,0)</f>
        <v>#N/A</v>
      </c>
      <c r="B2548" s="123"/>
      <c r="C2548" s="133" t="e">
        <f>VLOOKUP(B2548,'lista 1'!$A$2:$E$31000,5,0)</f>
        <v>#N/A</v>
      </c>
      <c r="D2548" s="167" t="e">
        <f>VLOOKUP(E14348,'lista obszary'!A:B,2,0)</f>
        <v>#N/A</v>
      </c>
      <c r="E2548" s="128" t="e">
        <f>VLOOKUP(B2548,'LISTA 12'!$A$2:$G$301400,5,0)</f>
        <v>#N/A</v>
      </c>
      <c r="F2548" s="121" t="e">
        <f>VLOOKUP(B2548,'LISTA 12'!$A$2:$G$30100,7,0)</f>
        <v>#N/A</v>
      </c>
      <c r="G2548" s="254" t="e">
        <f>VLOOKUP(H2548,'lista 3'!$A$1:$C$31467,3,0)</f>
        <v>#N/A</v>
      </c>
      <c r="H2548" s="134"/>
      <c r="I2548" s="136"/>
      <c r="J2548" s="135"/>
      <c r="K2548" s="22"/>
    </row>
    <row r="2549" spans="1:11">
      <c r="A2549" s="241" t="e">
        <f>VLOOKUP(B2549,'lista 1'!$A$2:$E$30100,4,0)</f>
        <v>#N/A</v>
      </c>
      <c r="B2549" s="123"/>
      <c r="C2549" s="133" t="e">
        <f>VLOOKUP(B2549,'lista 1'!$A$2:$E$31000,5,0)</f>
        <v>#N/A</v>
      </c>
      <c r="D2549" s="167" t="e">
        <f>VLOOKUP(E14349,'lista obszary'!A:B,2,0)</f>
        <v>#N/A</v>
      </c>
      <c r="E2549" s="128" t="e">
        <f>VLOOKUP(B2549,'LISTA 12'!$A$2:$G$301400,5,0)</f>
        <v>#N/A</v>
      </c>
      <c r="F2549" s="121" t="e">
        <f>VLOOKUP(B2549,'LISTA 12'!$A$2:$G$30100,7,0)</f>
        <v>#N/A</v>
      </c>
      <c r="G2549" s="254" t="e">
        <f>VLOOKUP(H2549,'lista 3'!$A$1:$C$31467,3,0)</f>
        <v>#N/A</v>
      </c>
      <c r="H2549" s="134"/>
      <c r="I2549" s="136"/>
      <c r="J2549" s="135"/>
      <c r="K2549" s="22"/>
    </row>
    <row r="2550" spans="1:11">
      <c r="A2550" s="241" t="e">
        <f>VLOOKUP(B2550,'lista 1'!$A$2:$E$30100,4,0)</f>
        <v>#N/A</v>
      </c>
      <c r="B2550" s="123"/>
      <c r="C2550" s="133" t="e">
        <f>VLOOKUP(B2550,'lista 1'!$A$2:$E$31000,5,0)</f>
        <v>#N/A</v>
      </c>
      <c r="D2550" s="167" t="e">
        <f>VLOOKUP(E14350,'lista obszary'!A:B,2,0)</f>
        <v>#N/A</v>
      </c>
      <c r="E2550" s="128" t="e">
        <f>VLOOKUP(B2550,'LISTA 12'!$A$2:$G$301400,5,0)</f>
        <v>#N/A</v>
      </c>
      <c r="F2550" s="121" t="e">
        <f>VLOOKUP(B2550,'LISTA 12'!$A$2:$G$30100,7,0)</f>
        <v>#N/A</v>
      </c>
      <c r="G2550" s="254" t="e">
        <f>VLOOKUP(H2550,'lista 3'!$A$1:$C$31467,3,0)</f>
        <v>#N/A</v>
      </c>
      <c r="H2550" s="134"/>
      <c r="I2550" s="136"/>
      <c r="J2550" s="135"/>
      <c r="K2550" s="22"/>
    </row>
    <row r="2551" spans="1:11">
      <c r="A2551" s="241" t="e">
        <f>VLOOKUP(B2551,'lista 1'!$A$2:$E$30100,4,0)</f>
        <v>#N/A</v>
      </c>
      <c r="B2551" s="123"/>
      <c r="C2551" s="133" t="e">
        <f>VLOOKUP(B2551,'lista 1'!$A$2:$E$31000,5,0)</f>
        <v>#N/A</v>
      </c>
      <c r="D2551" s="167" t="e">
        <f>VLOOKUP(E14351,'lista obszary'!A:B,2,0)</f>
        <v>#N/A</v>
      </c>
      <c r="E2551" s="128" t="e">
        <f>VLOOKUP(B2551,'LISTA 12'!$A$2:$G$301400,5,0)</f>
        <v>#N/A</v>
      </c>
      <c r="F2551" s="121" t="e">
        <f>VLOOKUP(B2551,'LISTA 12'!$A$2:$G$30100,7,0)</f>
        <v>#N/A</v>
      </c>
      <c r="G2551" s="254" t="e">
        <f>VLOOKUP(H2551,'lista 3'!$A$1:$C$31467,3,0)</f>
        <v>#N/A</v>
      </c>
      <c r="H2551" s="134"/>
      <c r="I2551" s="136"/>
      <c r="J2551" s="135"/>
      <c r="K2551" s="22"/>
    </row>
    <row r="2552" spans="1:11">
      <c r="A2552" s="241" t="e">
        <f>VLOOKUP(B2552,'lista 1'!$A$2:$E$30100,4,0)</f>
        <v>#N/A</v>
      </c>
      <c r="B2552" s="123"/>
      <c r="C2552" s="133" t="e">
        <f>VLOOKUP(B2552,'lista 1'!$A$2:$E$31000,5,0)</f>
        <v>#N/A</v>
      </c>
      <c r="D2552" s="167" t="e">
        <f>VLOOKUP(E14352,'lista obszary'!A:B,2,0)</f>
        <v>#N/A</v>
      </c>
      <c r="E2552" s="128" t="e">
        <f>VLOOKUP(B2552,'LISTA 12'!$A$2:$G$301400,5,0)</f>
        <v>#N/A</v>
      </c>
      <c r="F2552" s="121" t="e">
        <f>VLOOKUP(B2552,'LISTA 12'!$A$2:$G$30100,7,0)</f>
        <v>#N/A</v>
      </c>
      <c r="G2552" s="254" t="e">
        <f>VLOOKUP(H2552,'lista 3'!$A$1:$C$31467,3,0)</f>
        <v>#N/A</v>
      </c>
      <c r="H2552" s="134"/>
      <c r="I2552" s="136"/>
      <c r="J2552" s="135"/>
      <c r="K2552" s="22"/>
    </row>
    <row r="2553" spans="1:11">
      <c r="A2553" s="241" t="e">
        <f>VLOOKUP(B2553,'lista 1'!$A$2:$E$30100,4,0)</f>
        <v>#N/A</v>
      </c>
      <c r="B2553" s="123"/>
      <c r="C2553" s="133" t="e">
        <f>VLOOKUP(B2553,'lista 1'!$A$2:$E$31000,5,0)</f>
        <v>#N/A</v>
      </c>
      <c r="D2553" s="167" t="e">
        <f>VLOOKUP(E14353,'lista obszary'!A:B,2,0)</f>
        <v>#N/A</v>
      </c>
      <c r="E2553" s="128" t="e">
        <f>VLOOKUP(B2553,'LISTA 12'!$A$2:$G$301400,5,0)</f>
        <v>#N/A</v>
      </c>
      <c r="F2553" s="121" t="e">
        <f>VLOOKUP(B2553,'LISTA 12'!$A$2:$G$30100,7,0)</f>
        <v>#N/A</v>
      </c>
      <c r="G2553" s="254" t="e">
        <f>VLOOKUP(H2553,'lista 3'!$A$1:$C$31467,3,0)</f>
        <v>#N/A</v>
      </c>
      <c r="H2553" s="134"/>
      <c r="I2553" s="136"/>
      <c r="J2553" s="135"/>
      <c r="K2553" s="22"/>
    </row>
    <row r="2554" spans="1:11">
      <c r="A2554" s="241" t="e">
        <f>VLOOKUP(B2554,'lista 1'!$A$2:$E$30100,4,0)</f>
        <v>#N/A</v>
      </c>
      <c r="B2554" s="123"/>
      <c r="C2554" s="133" t="e">
        <f>VLOOKUP(B2554,'lista 1'!$A$2:$E$31000,5,0)</f>
        <v>#N/A</v>
      </c>
      <c r="D2554" s="167" t="e">
        <f>VLOOKUP(E14354,'lista obszary'!A:B,2,0)</f>
        <v>#N/A</v>
      </c>
      <c r="E2554" s="128" t="e">
        <f>VLOOKUP(B2554,'LISTA 12'!$A$2:$G$301400,5,0)</f>
        <v>#N/A</v>
      </c>
      <c r="F2554" s="121" t="e">
        <f>VLOOKUP(B2554,'LISTA 12'!$A$2:$G$30100,7,0)</f>
        <v>#N/A</v>
      </c>
      <c r="G2554" s="254" t="e">
        <f>VLOOKUP(H2554,'lista 3'!$A$1:$C$31467,3,0)</f>
        <v>#N/A</v>
      </c>
      <c r="H2554" s="134"/>
      <c r="I2554" s="136"/>
      <c r="J2554" s="135"/>
      <c r="K2554" s="22"/>
    </row>
    <row r="2555" spans="1:11">
      <c r="A2555" s="241" t="e">
        <f>VLOOKUP(B2555,'lista 1'!$A$2:$E$30100,4,0)</f>
        <v>#N/A</v>
      </c>
      <c r="B2555" s="123"/>
      <c r="C2555" s="133" t="e">
        <f>VLOOKUP(B2555,'lista 1'!$A$2:$E$31000,5,0)</f>
        <v>#N/A</v>
      </c>
      <c r="D2555" s="167" t="e">
        <f>VLOOKUP(E14355,'lista obszary'!A:B,2,0)</f>
        <v>#N/A</v>
      </c>
      <c r="E2555" s="128" t="e">
        <f>VLOOKUP(B2555,'LISTA 12'!$A$2:$G$301400,5,0)</f>
        <v>#N/A</v>
      </c>
      <c r="F2555" s="121" t="e">
        <f>VLOOKUP(B2555,'LISTA 12'!$A$2:$G$30100,7,0)</f>
        <v>#N/A</v>
      </c>
      <c r="G2555" s="254" t="e">
        <f>VLOOKUP(H2555,'lista 3'!$A$1:$C$31467,3,0)</f>
        <v>#N/A</v>
      </c>
      <c r="H2555" s="134"/>
      <c r="I2555" s="136"/>
      <c r="J2555" s="135"/>
      <c r="K2555" s="22"/>
    </row>
    <row r="2556" spans="1:11">
      <c r="A2556" s="241" t="e">
        <f>VLOOKUP(B2556,'lista 1'!$A$2:$E$30100,4,0)</f>
        <v>#N/A</v>
      </c>
      <c r="B2556" s="123"/>
      <c r="C2556" s="133" t="e">
        <f>VLOOKUP(B2556,'lista 1'!$A$2:$E$31000,5,0)</f>
        <v>#N/A</v>
      </c>
      <c r="D2556" s="167" t="e">
        <f>VLOOKUP(E14356,'lista obszary'!A:B,2,0)</f>
        <v>#N/A</v>
      </c>
      <c r="E2556" s="128" t="e">
        <f>VLOOKUP(B2556,'LISTA 12'!$A$2:$G$301400,5,0)</f>
        <v>#N/A</v>
      </c>
      <c r="F2556" s="121" t="e">
        <f>VLOOKUP(B2556,'LISTA 12'!$A$2:$G$30100,7,0)</f>
        <v>#N/A</v>
      </c>
      <c r="G2556" s="254" t="e">
        <f>VLOOKUP(H2556,'lista 3'!$A$1:$C$31467,3,0)</f>
        <v>#N/A</v>
      </c>
      <c r="H2556" s="134"/>
      <c r="I2556" s="136"/>
      <c r="J2556" s="135"/>
      <c r="K2556" s="22"/>
    </row>
    <row r="2557" spans="1:11">
      <c r="A2557" s="241" t="e">
        <f>VLOOKUP(B2557,'lista 1'!$A$2:$E$30100,4,0)</f>
        <v>#N/A</v>
      </c>
      <c r="B2557" s="123"/>
      <c r="C2557" s="133" t="e">
        <f>VLOOKUP(B2557,'lista 1'!$A$2:$E$31000,5,0)</f>
        <v>#N/A</v>
      </c>
      <c r="D2557" s="167" t="e">
        <f>VLOOKUP(E14357,'lista obszary'!A:B,2,0)</f>
        <v>#N/A</v>
      </c>
      <c r="E2557" s="128" t="e">
        <f>VLOOKUP(B2557,'LISTA 12'!$A$2:$G$301400,5,0)</f>
        <v>#N/A</v>
      </c>
      <c r="F2557" s="121" t="e">
        <f>VLOOKUP(B2557,'LISTA 12'!$A$2:$G$30100,7,0)</f>
        <v>#N/A</v>
      </c>
      <c r="G2557" s="254" t="e">
        <f>VLOOKUP(H2557,'lista 3'!$A$1:$C$31467,3,0)</f>
        <v>#N/A</v>
      </c>
      <c r="H2557" s="134"/>
      <c r="I2557" s="136"/>
      <c r="J2557" s="135"/>
      <c r="K2557" s="22"/>
    </row>
    <row r="2558" spans="1:11">
      <c r="A2558" s="241" t="e">
        <f>VLOOKUP(B2558,'lista 1'!$A$2:$E$30100,4,0)</f>
        <v>#N/A</v>
      </c>
      <c r="B2558" s="123"/>
      <c r="C2558" s="133" t="e">
        <f>VLOOKUP(B2558,'lista 1'!$A$2:$E$31000,5,0)</f>
        <v>#N/A</v>
      </c>
      <c r="D2558" s="167" t="e">
        <f>VLOOKUP(E14358,'lista obszary'!A:B,2,0)</f>
        <v>#N/A</v>
      </c>
      <c r="E2558" s="128" t="e">
        <f>VLOOKUP(B2558,'LISTA 12'!$A$2:$G$301400,5,0)</f>
        <v>#N/A</v>
      </c>
      <c r="F2558" s="121" t="e">
        <f>VLOOKUP(B2558,'LISTA 12'!$A$2:$G$30100,7,0)</f>
        <v>#N/A</v>
      </c>
      <c r="G2558" s="254" t="e">
        <f>VLOOKUP(H2558,'lista 3'!$A$1:$C$31467,3,0)</f>
        <v>#N/A</v>
      </c>
      <c r="H2558" s="134"/>
      <c r="I2558" s="136"/>
      <c r="J2558" s="135"/>
      <c r="K2558" s="22"/>
    </row>
    <row r="2559" spans="1:11">
      <c r="A2559" s="241" t="e">
        <f>VLOOKUP(B2559,'lista 1'!$A$2:$E$30100,4,0)</f>
        <v>#N/A</v>
      </c>
      <c r="B2559" s="123"/>
      <c r="C2559" s="133" t="e">
        <f>VLOOKUP(B2559,'lista 1'!$A$2:$E$31000,5,0)</f>
        <v>#N/A</v>
      </c>
      <c r="D2559" s="167" t="e">
        <f>VLOOKUP(E14359,'lista obszary'!A:B,2,0)</f>
        <v>#N/A</v>
      </c>
      <c r="E2559" s="128" t="e">
        <f>VLOOKUP(B2559,'LISTA 12'!$A$2:$G$301400,5,0)</f>
        <v>#N/A</v>
      </c>
      <c r="F2559" s="121" t="e">
        <f>VLOOKUP(B2559,'LISTA 12'!$A$2:$G$30100,7,0)</f>
        <v>#N/A</v>
      </c>
      <c r="G2559" s="254" t="e">
        <f>VLOOKUP(H2559,'lista 3'!$A$1:$C$31467,3,0)</f>
        <v>#N/A</v>
      </c>
      <c r="H2559" s="134"/>
      <c r="I2559" s="136"/>
      <c r="J2559" s="135"/>
      <c r="K2559" s="22"/>
    </row>
    <row r="2560" spans="1:11">
      <c r="A2560" s="241" t="e">
        <f>VLOOKUP(B2560,'lista 1'!$A$2:$E$30100,4,0)</f>
        <v>#N/A</v>
      </c>
      <c r="B2560" s="123"/>
      <c r="C2560" s="133" t="e">
        <f>VLOOKUP(B2560,'lista 1'!$A$2:$E$31000,5,0)</f>
        <v>#N/A</v>
      </c>
      <c r="D2560" s="167" t="e">
        <f>VLOOKUP(E14360,'lista obszary'!A:B,2,0)</f>
        <v>#N/A</v>
      </c>
      <c r="E2560" s="128" t="e">
        <f>VLOOKUP(B2560,'LISTA 12'!$A$2:$G$301400,5,0)</f>
        <v>#N/A</v>
      </c>
      <c r="F2560" s="121" t="e">
        <f>VLOOKUP(B2560,'LISTA 12'!$A$2:$G$30100,7,0)</f>
        <v>#N/A</v>
      </c>
      <c r="G2560" s="254" t="e">
        <f>VLOOKUP(H2560,'lista 3'!$A$1:$C$31467,3,0)</f>
        <v>#N/A</v>
      </c>
      <c r="H2560" s="134"/>
      <c r="I2560" s="136"/>
      <c r="J2560" s="135"/>
      <c r="K2560" s="22"/>
    </row>
    <row r="2561" spans="1:11">
      <c r="A2561" s="241" t="e">
        <f>VLOOKUP(B2561,'lista 1'!$A$2:$E$30100,4,0)</f>
        <v>#N/A</v>
      </c>
      <c r="B2561" s="123"/>
      <c r="C2561" s="133" t="e">
        <f>VLOOKUP(B2561,'lista 1'!$A$2:$E$31000,5,0)</f>
        <v>#N/A</v>
      </c>
      <c r="D2561" s="167" t="e">
        <f>VLOOKUP(E14361,'lista obszary'!A:B,2,0)</f>
        <v>#N/A</v>
      </c>
      <c r="E2561" s="128" t="e">
        <f>VLOOKUP(B2561,'LISTA 12'!$A$2:$G$301400,5,0)</f>
        <v>#N/A</v>
      </c>
      <c r="F2561" s="121" t="e">
        <f>VLOOKUP(B2561,'LISTA 12'!$A$2:$G$30100,7,0)</f>
        <v>#N/A</v>
      </c>
      <c r="G2561" s="254" t="e">
        <f>VLOOKUP(H2561,'lista 3'!$A$1:$C$31467,3,0)</f>
        <v>#N/A</v>
      </c>
      <c r="H2561" s="134"/>
      <c r="I2561" s="136"/>
      <c r="J2561" s="135"/>
      <c r="K2561" s="22"/>
    </row>
    <row r="2562" spans="1:11">
      <c r="A2562" s="241" t="e">
        <f>VLOOKUP(B2562,'lista 1'!$A$2:$E$30100,4,0)</f>
        <v>#N/A</v>
      </c>
      <c r="B2562" s="123"/>
      <c r="C2562" s="133" t="e">
        <f>VLOOKUP(B2562,'lista 1'!$A$2:$E$31000,5,0)</f>
        <v>#N/A</v>
      </c>
      <c r="D2562" s="167" t="e">
        <f>VLOOKUP(E14362,'lista obszary'!A:B,2,0)</f>
        <v>#N/A</v>
      </c>
      <c r="E2562" s="128" t="e">
        <f>VLOOKUP(B2562,'LISTA 12'!$A$2:$G$301400,5,0)</f>
        <v>#N/A</v>
      </c>
      <c r="F2562" s="121" t="e">
        <f>VLOOKUP(B2562,'LISTA 12'!$A$2:$G$30100,7,0)</f>
        <v>#N/A</v>
      </c>
      <c r="G2562" s="254" t="e">
        <f>VLOOKUP(H2562,'lista 3'!$A$1:$C$31467,3,0)</f>
        <v>#N/A</v>
      </c>
      <c r="H2562" s="134"/>
      <c r="I2562" s="136"/>
      <c r="J2562" s="135"/>
      <c r="K2562" s="22"/>
    </row>
    <row r="2563" spans="1:11">
      <c r="A2563" s="241" t="e">
        <f>VLOOKUP(B2563,'lista 1'!$A$2:$E$30100,4,0)</f>
        <v>#N/A</v>
      </c>
      <c r="B2563" s="123"/>
      <c r="C2563" s="133" t="e">
        <f>VLOOKUP(B2563,'lista 1'!$A$2:$E$31000,5,0)</f>
        <v>#N/A</v>
      </c>
      <c r="D2563" s="167" t="e">
        <f>VLOOKUP(E14363,'lista obszary'!A:B,2,0)</f>
        <v>#N/A</v>
      </c>
      <c r="E2563" s="128" t="e">
        <f>VLOOKUP(B2563,'LISTA 12'!$A$2:$G$301400,5,0)</f>
        <v>#N/A</v>
      </c>
      <c r="F2563" s="121" t="e">
        <f>VLOOKUP(B2563,'LISTA 12'!$A$2:$G$30100,7,0)</f>
        <v>#N/A</v>
      </c>
      <c r="G2563" s="254" t="e">
        <f>VLOOKUP(H2563,'lista 3'!$A$1:$C$31467,3,0)</f>
        <v>#N/A</v>
      </c>
      <c r="H2563" s="134"/>
      <c r="I2563" s="136"/>
      <c r="J2563" s="135"/>
      <c r="K2563" s="22"/>
    </row>
    <row r="2564" spans="1:11">
      <c r="A2564" s="241" t="e">
        <f>VLOOKUP(B2564,'lista 1'!$A$2:$E$30100,4,0)</f>
        <v>#N/A</v>
      </c>
      <c r="B2564" s="123"/>
      <c r="C2564" s="133" t="e">
        <f>VLOOKUP(B2564,'lista 1'!$A$2:$E$31000,5,0)</f>
        <v>#N/A</v>
      </c>
      <c r="D2564" s="167" t="e">
        <f>VLOOKUP(E14364,'lista obszary'!A:B,2,0)</f>
        <v>#N/A</v>
      </c>
      <c r="E2564" s="128" t="e">
        <f>VLOOKUP(B2564,'LISTA 12'!$A$2:$G$301400,5,0)</f>
        <v>#N/A</v>
      </c>
      <c r="F2564" s="121" t="e">
        <f>VLOOKUP(B2564,'LISTA 12'!$A$2:$G$30100,7,0)</f>
        <v>#N/A</v>
      </c>
      <c r="G2564" s="254" t="e">
        <f>VLOOKUP(H2564,'lista 3'!$A$1:$C$31467,3,0)</f>
        <v>#N/A</v>
      </c>
      <c r="H2564" s="134"/>
      <c r="I2564" s="136"/>
      <c r="J2564" s="135"/>
      <c r="K2564" s="22"/>
    </row>
    <row r="2565" spans="1:11">
      <c r="A2565" s="241" t="e">
        <f>VLOOKUP(B2565,'lista 1'!$A$2:$E$30100,4,0)</f>
        <v>#N/A</v>
      </c>
      <c r="B2565" s="123"/>
      <c r="C2565" s="133" t="e">
        <f>VLOOKUP(B2565,'lista 1'!$A$2:$E$31000,5,0)</f>
        <v>#N/A</v>
      </c>
      <c r="D2565" s="167" t="e">
        <f>VLOOKUP(E14365,'lista obszary'!A:B,2,0)</f>
        <v>#N/A</v>
      </c>
      <c r="E2565" s="128" t="e">
        <f>VLOOKUP(B2565,'LISTA 12'!$A$2:$G$301400,5,0)</f>
        <v>#N/A</v>
      </c>
      <c r="F2565" s="121" t="e">
        <f>VLOOKUP(B2565,'LISTA 12'!$A$2:$G$30100,7,0)</f>
        <v>#N/A</v>
      </c>
      <c r="G2565" s="254" t="e">
        <f>VLOOKUP(H2565,'lista 3'!$A$1:$C$31467,3,0)</f>
        <v>#N/A</v>
      </c>
      <c r="H2565" s="134"/>
      <c r="I2565" s="136"/>
      <c r="J2565" s="135"/>
      <c r="K2565" s="22"/>
    </row>
    <row r="2566" spans="1:11">
      <c r="A2566" s="241" t="e">
        <f>VLOOKUP(B2566,'lista 1'!$A$2:$E$30100,4,0)</f>
        <v>#N/A</v>
      </c>
      <c r="B2566" s="123"/>
      <c r="C2566" s="133" t="e">
        <f>VLOOKUP(B2566,'lista 1'!$A$2:$E$31000,5,0)</f>
        <v>#N/A</v>
      </c>
      <c r="D2566" s="167" t="e">
        <f>VLOOKUP(E14366,'lista obszary'!A:B,2,0)</f>
        <v>#N/A</v>
      </c>
      <c r="E2566" s="128" t="e">
        <f>VLOOKUP(B2566,'LISTA 12'!$A$2:$G$301400,5,0)</f>
        <v>#N/A</v>
      </c>
      <c r="F2566" s="121" t="e">
        <f>VLOOKUP(B2566,'LISTA 12'!$A$2:$G$30100,7,0)</f>
        <v>#N/A</v>
      </c>
      <c r="G2566" s="254" t="e">
        <f>VLOOKUP(H2566,'lista 3'!$A$1:$C$31467,3,0)</f>
        <v>#N/A</v>
      </c>
      <c r="H2566" s="134"/>
      <c r="I2566" s="136"/>
      <c r="J2566" s="135"/>
      <c r="K2566" s="22"/>
    </row>
    <row r="2567" spans="1:11">
      <c r="A2567" s="241" t="e">
        <f>VLOOKUP(B2567,'lista 1'!$A$2:$E$30100,4,0)</f>
        <v>#N/A</v>
      </c>
      <c r="B2567" s="123"/>
      <c r="C2567" s="133" t="e">
        <f>VLOOKUP(B2567,'lista 1'!$A$2:$E$31000,5,0)</f>
        <v>#N/A</v>
      </c>
      <c r="D2567" s="167" t="e">
        <f>VLOOKUP(E14367,'lista obszary'!A:B,2,0)</f>
        <v>#N/A</v>
      </c>
      <c r="E2567" s="128" t="e">
        <f>VLOOKUP(B2567,'LISTA 12'!$A$2:$G$301400,5,0)</f>
        <v>#N/A</v>
      </c>
      <c r="F2567" s="121" t="e">
        <f>VLOOKUP(B2567,'LISTA 12'!$A$2:$G$30100,7,0)</f>
        <v>#N/A</v>
      </c>
      <c r="G2567" s="254" t="e">
        <f>VLOOKUP(H2567,'lista 3'!$A$1:$C$31467,3,0)</f>
        <v>#N/A</v>
      </c>
      <c r="H2567" s="134"/>
      <c r="I2567" s="136"/>
      <c r="J2567" s="135"/>
      <c r="K2567" s="22"/>
    </row>
    <row r="2568" spans="1:11">
      <c r="A2568" s="241" t="e">
        <f>VLOOKUP(B2568,'lista 1'!$A$2:$E$30100,4,0)</f>
        <v>#N/A</v>
      </c>
      <c r="B2568" s="123"/>
      <c r="C2568" s="133" t="e">
        <f>VLOOKUP(B2568,'lista 1'!$A$2:$E$31000,5,0)</f>
        <v>#N/A</v>
      </c>
      <c r="D2568" s="167" t="e">
        <f>VLOOKUP(E14368,'lista obszary'!A:B,2,0)</f>
        <v>#N/A</v>
      </c>
      <c r="E2568" s="128" t="e">
        <f>VLOOKUP(B2568,'LISTA 12'!$A$2:$G$301400,5,0)</f>
        <v>#N/A</v>
      </c>
      <c r="F2568" s="121" t="e">
        <f>VLOOKUP(B2568,'LISTA 12'!$A$2:$G$30100,7,0)</f>
        <v>#N/A</v>
      </c>
      <c r="G2568" s="254" t="e">
        <f>VLOOKUP(H2568,'lista 3'!$A$1:$C$31467,3,0)</f>
        <v>#N/A</v>
      </c>
      <c r="H2568" s="134"/>
      <c r="I2568" s="136"/>
      <c r="J2568" s="135"/>
      <c r="K2568" s="22"/>
    </row>
    <row r="2569" spans="1:11">
      <c r="A2569" s="241" t="e">
        <f>VLOOKUP(B2569,'lista 1'!$A$2:$E$30100,4,0)</f>
        <v>#N/A</v>
      </c>
      <c r="B2569" s="123"/>
      <c r="C2569" s="133" t="e">
        <f>VLOOKUP(B2569,'lista 1'!$A$2:$E$31000,5,0)</f>
        <v>#N/A</v>
      </c>
      <c r="D2569" s="167" t="e">
        <f>VLOOKUP(E14369,'lista obszary'!A:B,2,0)</f>
        <v>#N/A</v>
      </c>
      <c r="E2569" s="128" t="e">
        <f>VLOOKUP(B2569,'LISTA 12'!$A$2:$G$301400,5,0)</f>
        <v>#N/A</v>
      </c>
      <c r="F2569" s="121" t="e">
        <f>VLOOKUP(B2569,'LISTA 12'!$A$2:$G$30100,7,0)</f>
        <v>#N/A</v>
      </c>
      <c r="G2569" s="254" t="e">
        <f>VLOOKUP(H2569,'lista 3'!$A$1:$C$31467,3,0)</f>
        <v>#N/A</v>
      </c>
      <c r="H2569" s="134"/>
      <c r="I2569" s="136"/>
      <c r="J2569" s="135"/>
      <c r="K2569" s="22"/>
    </row>
    <row r="2570" spans="1:11">
      <c r="A2570" s="241" t="e">
        <f>VLOOKUP(B2570,'lista 1'!$A$2:$E$30100,4,0)</f>
        <v>#N/A</v>
      </c>
      <c r="B2570" s="123"/>
      <c r="C2570" s="133" t="e">
        <f>VLOOKUP(B2570,'lista 1'!$A$2:$E$31000,5,0)</f>
        <v>#N/A</v>
      </c>
      <c r="D2570" s="167" t="e">
        <f>VLOOKUP(E14370,'lista obszary'!A:B,2,0)</f>
        <v>#N/A</v>
      </c>
      <c r="E2570" s="128" t="e">
        <f>VLOOKUP(B2570,'LISTA 12'!$A$2:$G$301400,5,0)</f>
        <v>#N/A</v>
      </c>
      <c r="F2570" s="121" t="e">
        <f>VLOOKUP(B2570,'LISTA 12'!$A$2:$G$30100,7,0)</f>
        <v>#N/A</v>
      </c>
      <c r="G2570" s="254" t="e">
        <f>VLOOKUP(H2570,'lista 3'!$A$1:$C$31467,3,0)</f>
        <v>#N/A</v>
      </c>
      <c r="H2570" s="134"/>
      <c r="I2570" s="136"/>
      <c r="J2570" s="135"/>
      <c r="K2570" s="22"/>
    </row>
    <row r="2571" spans="1:11">
      <c r="A2571" s="241" t="e">
        <f>VLOOKUP(B2571,'lista 1'!$A$2:$E$30100,4,0)</f>
        <v>#N/A</v>
      </c>
      <c r="B2571" s="123"/>
      <c r="C2571" s="133" t="e">
        <f>VLOOKUP(B2571,'lista 1'!$A$2:$E$31000,5,0)</f>
        <v>#N/A</v>
      </c>
      <c r="D2571" s="167" t="e">
        <f>VLOOKUP(E14371,'lista obszary'!A:B,2,0)</f>
        <v>#N/A</v>
      </c>
      <c r="E2571" s="128" t="e">
        <f>VLOOKUP(B2571,'LISTA 12'!$A$2:$G$301400,5,0)</f>
        <v>#N/A</v>
      </c>
      <c r="F2571" s="121" t="e">
        <f>VLOOKUP(B2571,'LISTA 12'!$A$2:$G$30100,7,0)</f>
        <v>#N/A</v>
      </c>
      <c r="G2571" s="254" t="e">
        <f>VLOOKUP(H2571,'lista 3'!$A$1:$C$31467,3,0)</f>
        <v>#N/A</v>
      </c>
      <c r="H2571" s="134"/>
      <c r="I2571" s="136"/>
      <c r="J2571" s="135"/>
      <c r="K2571" s="22"/>
    </row>
    <row r="2572" spans="1:11">
      <c r="A2572" s="241" t="e">
        <f>VLOOKUP(B2572,'lista 1'!$A$2:$E$30100,4,0)</f>
        <v>#N/A</v>
      </c>
      <c r="B2572" s="123"/>
      <c r="C2572" s="133" t="e">
        <f>VLOOKUP(B2572,'lista 1'!$A$2:$E$31000,5,0)</f>
        <v>#N/A</v>
      </c>
      <c r="D2572" s="167" t="e">
        <f>VLOOKUP(E14372,'lista obszary'!A:B,2,0)</f>
        <v>#N/A</v>
      </c>
      <c r="E2572" s="128" t="e">
        <f>VLOOKUP(B2572,'LISTA 12'!$A$2:$G$301400,5,0)</f>
        <v>#N/A</v>
      </c>
      <c r="F2572" s="121" t="e">
        <f>VLOOKUP(B2572,'LISTA 12'!$A$2:$G$30100,7,0)</f>
        <v>#N/A</v>
      </c>
      <c r="G2572" s="254" t="e">
        <f>VLOOKUP(H2572,'lista 3'!$A$1:$C$31467,3,0)</f>
        <v>#N/A</v>
      </c>
      <c r="H2572" s="134"/>
      <c r="I2572" s="136"/>
      <c r="J2572" s="135"/>
      <c r="K2572" s="22"/>
    </row>
    <row r="2573" spans="1:11">
      <c r="A2573" s="241" t="e">
        <f>VLOOKUP(B2573,'lista 1'!$A$2:$E$30100,4,0)</f>
        <v>#N/A</v>
      </c>
      <c r="B2573" s="123"/>
      <c r="C2573" s="133" t="e">
        <f>VLOOKUP(B2573,'lista 1'!$A$2:$E$31000,5,0)</f>
        <v>#N/A</v>
      </c>
      <c r="D2573" s="167" t="e">
        <f>VLOOKUP(E14373,'lista obszary'!A:B,2,0)</f>
        <v>#N/A</v>
      </c>
      <c r="E2573" s="128" t="e">
        <f>VLOOKUP(B2573,'LISTA 12'!$A$2:$G$301400,5,0)</f>
        <v>#N/A</v>
      </c>
      <c r="F2573" s="121" t="e">
        <f>VLOOKUP(B2573,'LISTA 12'!$A$2:$G$30100,7,0)</f>
        <v>#N/A</v>
      </c>
      <c r="G2573" s="254" t="e">
        <f>VLOOKUP(H2573,'lista 3'!$A$1:$C$31467,3,0)</f>
        <v>#N/A</v>
      </c>
      <c r="H2573" s="134"/>
      <c r="I2573" s="136"/>
      <c r="J2573" s="135"/>
      <c r="K2573" s="22"/>
    </row>
    <row r="2574" spans="1:11">
      <c r="A2574" s="241" t="e">
        <f>VLOOKUP(B2574,'lista 1'!$A$2:$E$30100,4,0)</f>
        <v>#N/A</v>
      </c>
      <c r="B2574" s="123"/>
      <c r="C2574" s="133" t="e">
        <f>VLOOKUP(B2574,'lista 1'!$A$2:$E$31000,5,0)</f>
        <v>#N/A</v>
      </c>
      <c r="D2574" s="167" t="e">
        <f>VLOOKUP(E14374,'lista obszary'!A:B,2,0)</f>
        <v>#N/A</v>
      </c>
      <c r="E2574" s="128" t="e">
        <f>VLOOKUP(B2574,'LISTA 12'!$A$2:$G$301400,5,0)</f>
        <v>#N/A</v>
      </c>
      <c r="F2574" s="121" t="e">
        <f>VLOOKUP(B2574,'LISTA 12'!$A$2:$G$30100,7,0)</f>
        <v>#N/A</v>
      </c>
      <c r="G2574" s="254" t="e">
        <f>VLOOKUP(H2574,'lista 3'!$A$1:$C$31467,3,0)</f>
        <v>#N/A</v>
      </c>
      <c r="H2574" s="134"/>
      <c r="I2574" s="136"/>
      <c r="J2574" s="135"/>
      <c r="K2574" s="22"/>
    </row>
    <row r="2575" spans="1:11">
      <c r="A2575" s="241" t="e">
        <f>VLOOKUP(B2575,'lista 1'!$A$2:$E$30100,4,0)</f>
        <v>#N/A</v>
      </c>
      <c r="B2575" s="123"/>
      <c r="C2575" s="133" t="e">
        <f>VLOOKUP(B2575,'lista 1'!$A$2:$E$31000,5,0)</f>
        <v>#N/A</v>
      </c>
      <c r="D2575" s="167" t="e">
        <f>VLOOKUP(E14375,'lista obszary'!A:B,2,0)</f>
        <v>#N/A</v>
      </c>
      <c r="E2575" s="128" t="e">
        <f>VLOOKUP(B2575,'LISTA 12'!$A$2:$G$301400,5,0)</f>
        <v>#N/A</v>
      </c>
      <c r="F2575" s="121" t="e">
        <f>VLOOKUP(B2575,'LISTA 12'!$A$2:$G$30100,7,0)</f>
        <v>#N/A</v>
      </c>
      <c r="G2575" s="254" t="e">
        <f>VLOOKUP(H2575,'lista 3'!$A$1:$C$31467,3,0)</f>
        <v>#N/A</v>
      </c>
      <c r="H2575" s="134"/>
      <c r="I2575" s="136"/>
      <c r="J2575" s="135"/>
      <c r="K2575" s="22"/>
    </row>
    <row r="2576" spans="1:11">
      <c r="A2576" s="241" t="e">
        <f>VLOOKUP(B2576,'lista 1'!$A$2:$E$30100,4,0)</f>
        <v>#N/A</v>
      </c>
      <c r="B2576" s="123"/>
      <c r="C2576" s="133" t="e">
        <f>VLOOKUP(B2576,'lista 1'!$A$2:$E$31000,5,0)</f>
        <v>#N/A</v>
      </c>
      <c r="D2576" s="167" t="e">
        <f>VLOOKUP(E14376,'lista obszary'!A:B,2,0)</f>
        <v>#N/A</v>
      </c>
      <c r="E2576" s="128" t="e">
        <f>VLOOKUP(B2576,'LISTA 12'!$A$2:$G$301400,5,0)</f>
        <v>#N/A</v>
      </c>
      <c r="F2576" s="121" t="e">
        <f>VLOOKUP(B2576,'LISTA 12'!$A$2:$G$30100,7,0)</f>
        <v>#N/A</v>
      </c>
      <c r="G2576" s="254" t="e">
        <f>VLOOKUP(H2576,'lista 3'!$A$1:$C$31467,3,0)</f>
        <v>#N/A</v>
      </c>
      <c r="H2576" s="134"/>
      <c r="I2576" s="136"/>
      <c r="J2576" s="135"/>
      <c r="K2576" s="22"/>
    </row>
    <row r="2577" spans="1:11">
      <c r="A2577" s="241" t="e">
        <f>VLOOKUP(B2577,'lista 1'!$A$2:$E$30100,4,0)</f>
        <v>#N/A</v>
      </c>
      <c r="B2577" s="123"/>
      <c r="C2577" s="133" t="e">
        <f>VLOOKUP(B2577,'lista 1'!$A$2:$E$31000,5,0)</f>
        <v>#N/A</v>
      </c>
      <c r="D2577" s="167" t="e">
        <f>VLOOKUP(E14377,'lista obszary'!A:B,2,0)</f>
        <v>#N/A</v>
      </c>
      <c r="E2577" s="128" t="e">
        <f>VLOOKUP(B2577,'LISTA 12'!$A$2:$G$301400,5,0)</f>
        <v>#N/A</v>
      </c>
      <c r="F2577" s="121" t="e">
        <f>VLOOKUP(B2577,'LISTA 12'!$A$2:$G$30100,7,0)</f>
        <v>#N/A</v>
      </c>
      <c r="G2577" s="254" t="e">
        <f>VLOOKUP(H2577,'lista 3'!$A$1:$C$31467,3,0)</f>
        <v>#N/A</v>
      </c>
      <c r="H2577" s="134"/>
      <c r="I2577" s="136"/>
      <c r="J2577" s="135"/>
      <c r="K2577" s="22"/>
    </row>
    <row r="2578" spans="1:11">
      <c r="A2578" s="241" t="e">
        <f>VLOOKUP(B2578,'lista 1'!$A$2:$E$30100,4,0)</f>
        <v>#N/A</v>
      </c>
      <c r="B2578" s="123"/>
      <c r="C2578" s="133" t="e">
        <f>VLOOKUP(B2578,'lista 1'!$A$2:$E$31000,5,0)</f>
        <v>#N/A</v>
      </c>
      <c r="D2578" s="167" t="e">
        <f>VLOOKUP(E14378,'lista obszary'!A:B,2,0)</f>
        <v>#N/A</v>
      </c>
      <c r="E2578" s="128" t="e">
        <f>VLOOKUP(B2578,'LISTA 12'!$A$2:$G$301400,5,0)</f>
        <v>#N/A</v>
      </c>
      <c r="F2578" s="121" t="e">
        <f>VLOOKUP(B2578,'LISTA 12'!$A$2:$G$30100,7,0)</f>
        <v>#N/A</v>
      </c>
      <c r="G2578" s="254" t="e">
        <f>VLOOKUP(H2578,'lista 3'!$A$1:$C$31467,3,0)</f>
        <v>#N/A</v>
      </c>
      <c r="H2578" s="134"/>
      <c r="I2578" s="136"/>
      <c r="J2578" s="135"/>
      <c r="K2578" s="22"/>
    </row>
    <row r="2579" spans="1:11">
      <c r="A2579" s="241" t="e">
        <f>VLOOKUP(B2579,'lista 1'!$A$2:$E$30100,4,0)</f>
        <v>#N/A</v>
      </c>
      <c r="B2579" s="123"/>
      <c r="C2579" s="133" t="e">
        <f>VLOOKUP(B2579,'lista 1'!$A$2:$E$31000,5,0)</f>
        <v>#N/A</v>
      </c>
      <c r="D2579" s="167" t="e">
        <f>VLOOKUP(E14379,'lista obszary'!A:B,2,0)</f>
        <v>#N/A</v>
      </c>
      <c r="E2579" s="128" t="e">
        <f>VLOOKUP(B2579,'LISTA 12'!$A$2:$G$301400,5,0)</f>
        <v>#N/A</v>
      </c>
      <c r="F2579" s="121" t="e">
        <f>VLOOKUP(B2579,'LISTA 12'!$A$2:$G$30100,7,0)</f>
        <v>#N/A</v>
      </c>
      <c r="G2579" s="254" t="e">
        <f>VLOOKUP(H2579,'lista 3'!$A$1:$C$31467,3,0)</f>
        <v>#N/A</v>
      </c>
      <c r="H2579" s="134"/>
      <c r="I2579" s="136"/>
      <c r="J2579" s="135"/>
      <c r="K2579" s="22"/>
    </row>
    <row r="2580" spans="1:11">
      <c r="A2580" s="241" t="e">
        <f>VLOOKUP(B2580,'lista 1'!$A$2:$E$30100,4,0)</f>
        <v>#N/A</v>
      </c>
      <c r="B2580" s="123"/>
      <c r="C2580" s="133" t="e">
        <f>VLOOKUP(B2580,'lista 1'!$A$2:$E$31000,5,0)</f>
        <v>#N/A</v>
      </c>
      <c r="D2580" s="167" t="e">
        <f>VLOOKUP(E14380,'lista obszary'!A:B,2,0)</f>
        <v>#N/A</v>
      </c>
      <c r="E2580" s="128" t="e">
        <f>VLOOKUP(B2580,'LISTA 12'!$A$2:$G$301400,5,0)</f>
        <v>#N/A</v>
      </c>
      <c r="F2580" s="121" t="e">
        <f>VLOOKUP(B2580,'LISTA 12'!$A$2:$G$30100,7,0)</f>
        <v>#N/A</v>
      </c>
      <c r="G2580" s="254" t="e">
        <f>VLOOKUP(H2580,'lista 3'!$A$1:$C$31467,3,0)</f>
        <v>#N/A</v>
      </c>
      <c r="H2580" s="134"/>
      <c r="I2580" s="136"/>
      <c r="J2580" s="135"/>
      <c r="K2580" s="22"/>
    </row>
    <row r="2581" spans="1:11">
      <c r="A2581" s="241" t="e">
        <f>VLOOKUP(B2581,'lista 1'!$A$2:$E$30100,4,0)</f>
        <v>#N/A</v>
      </c>
      <c r="B2581" s="123"/>
      <c r="C2581" s="133" t="e">
        <f>VLOOKUP(B2581,'lista 1'!$A$2:$E$31000,5,0)</f>
        <v>#N/A</v>
      </c>
      <c r="D2581" s="167" t="e">
        <f>VLOOKUP(E14381,'lista obszary'!A:B,2,0)</f>
        <v>#N/A</v>
      </c>
      <c r="E2581" s="128" t="e">
        <f>VLOOKUP(B2581,'LISTA 12'!$A$2:$G$301400,5,0)</f>
        <v>#N/A</v>
      </c>
      <c r="F2581" s="121" t="e">
        <f>VLOOKUP(B2581,'LISTA 12'!$A$2:$G$30100,7,0)</f>
        <v>#N/A</v>
      </c>
      <c r="G2581" s="254" t="e">
        <f>VLOOKUP(H2581,'lista 3'!$A$1:$C$31467,3,0)</f>
        <v>#N/A</v>
      </c>
      <c r="H2581" s="134"/>
      <c r="I2581" s="136"/>
      <c r="J2581" s="135"/>
      <c r="K2581" s="22"/>
    </row>
    <row r="2582" spans="1:11">
      <c r="A2582" s="241" t="e">
        <f>VLOOKUP(B2582,'lista 1'!$A$2:$E$30100,4,0)</f>
        <v>#N/A</v>
      </c>
      <c r="B2582" s="123"/>
      <c r="C2582" s="133" t="e">
        <f>VLOOKUP(B2582,'lista 1'!$A$2:$E$31000,5,0)</f>
        <v>#N/A</v>
      </c>
      <c r="D2582" s="167" t="e">
        <f>VLOOKUP(E14382,'lista obszary'!A:B,2,0)</f>
        <v>#N/A</v>
      </c>
      <c r="E2582" s="128" t="e">
        <f>VLOOKUP(B2582,'LISTA 12'!$A$2:$G$301400,5,0)</f>
        <v>#N/A</v>
      </c>
      <c r="F2582" s="121" t="e">
        <f>VLOOKUP(B2582,'LISTA 12'!$A$2:$G$30100,7,0)</f>
        <v>#N/A</v>
      </c>
      <c r="G2582" s="254" t="e">
        <f>VLOOKUP(H2582,'lista 3'!$A$1:$C$31467,3,0)</f>
        <v>#N/A</v>
      </c>
      <c r="H2582" s="134"/>
      <c r="I2582" s="136"/>
      <c r="J2582" s="135"/>
      <c r="K2582" s="22"/>
    </row>
    <row r="2583" spans="1:11">
      <c r="A2583" s="241" t="e">
        <f>VLOOKUP(B2583,'lista 1'!$A$2:$E$30100,4,0)</f>
        <v>#N/A</v>
      </c>
      <c r="B2583" s="123"/>
      <c r="C2583" s="133" t="e">
        <f>VLOOKUP(B2583,'lista 1'!$A$2:$E$31000,5,0)</f>
        <v>#N/A</v>
      </c>
      <c r="D2583" s="167" t="e">
        <f>VLOOKUP(E14383,'lista obszary'!A:B,2,0)</f>
        <v>#N/A</v>
      </c>
      <c r="E2583" s="128" t="e">
        <f>VLOOKUP(B2583,'LISTA 12'!$A$2:$G$301400,5,0)</f>
        <v>#N/A</v>
      </c>
      <c r="F2583" s="121" t="e">
        <f>VLOOKUP(B2583,'LISTA 12'!$A$2:$G$30100,7,0)</f>
        <v>#N/A</v>
      </c>
      <c r="G2583" s="254" t="e">
        <f>VLOOKUP(H2583,'lista 3'!$A$1:$C$31467,3,0)</f>
        <v>#N/A</v>
      </c>
      <c r="H2583" s="134"/>
      <c r="I2583" s="136"/>
      <c r="J2583" s="135"/>
      <c r="K2583" s="22"/>
    </row>
    <row r="2584" spans="1:11">
      <c r="A2584" s="241" t="e">
        <f>VLOOKUP(B2584,'lista 1'!$A$2:$E$30100,4,0)</f>
        <v>#N/A</v>
      </c>
      <c r="B2584" s="123"/>
      <c r="C2584" s="133" t="e">
        <f>VLOOKUP(B2584,'lista 1'!$A$2:$E$31000,5,0)</f>
        <v>#N/A</v>
      </c>
      <c r="D2584" s="167" t="e">
        <f>VLOOKUP(E14384,'lista obszary'!A:B,2,0)</f>
        <v>#N/A</v>
      </c>
      <c r="E2584" s="128" t="e">
        <f>VLOOKUP(B2584,'LISTA 12'!$A$2:$G$301400,5,0)</f>
        <v>#N/A</v>
      </c>
      <c r="F2584" s="121" t="e">
        <f>VLOOKUP(B2584,'LISTA 12'!$A$2:$G$30100,7,0)</f>
        <v>#N/A</v>
      </c>
      <c r="G2584" s="254" t="e">
        <f>VLOOKUP(H2584,'lista 3'!$A$1:$C$31467,3,0)</f>
        <v>#N/A</v>
      </c>
      <c r="H2584" s="134"/>
      <c r="I2584" s="136"/>
      <c r="J2584" s="135"/>
      <c r="K2584" s="22"/>
    </row>
    <row r="2585" spans="1:11">
      <c r="A2585" s="241" t="e">
        <f>VLOOKUP(B2585,'lista 1'!$A$2:$E$30100,4,0)</f>
        <v>#N/A</v>
      </c>
      <c r="B2585" s="123"/>
      <c r="C2585" s="133" t="e">
        <f>VLOOKUP(B2585,'lista 1'!$A$2:$E$31000,5,0)</f>
        <v>#N/A</v>
      </c>
      <c r="D2585" s="167" t="e">
        <f>VLOOKUP(E14385,'lista obszary'!A:B,2,0)</f>
        <v>#N/A</v>
      </c>
      <c r="E2585" s="128" t="e">
        <f>VLOOKUP(B2585,'LISTA 12'!$A$2:$G$301400,5,0)</f>
        <v>#N/A</v>
      </c>
      <c r="F2585" s="121" t="e">
        <f>VLOOKUP(B2585,'LISTA 12'!$A$2:$G$30100,7,0)</f>
        <v>#N/A</v>
      </c>
      <c r="G2585" s="254" t="e">
        <f>VLOOKUP(H2585,'lista 3'!$A$1:$C$31467,3,0)</f>
        <v>#N/A</v>
      </c>
      <c r="H2585" s="134"/>
      <c r="I2585" s="136"/>
      <c r="J2585" s="135"/>
      <c r="K2585" s="22"/>
    </row>
    <row r="2586" spans="1:11">
      <c r="A2586" s="241" t="e">
        <f>VLOOKUP(B2586,'lista 1'!$A$2:$E$30100,4,0)</f>
        <v>#N/A</v>
      </c>
      <c r="B2586" s="123"/>
      <c r="C2586" s="133" t="e">
        <f>VLOOKUP(B2586,'lista 1'!$A$2:$E$31000,5,0)</f>
        <v>#N/A</v>
      </c>
      <c r="D2586" s="167" t="e">
        <f>VLOOKUP(E14386,'lista obszary'!A:B,2,0)</f>
        <v>#N/A</v>
      </c>
      <c r="E2586" s="128" t="e">
        <f>VLOOKUP(B2586,'LISTA 12'!$A$2:$G$301400,5,0)</f>
        <v>#N/A</v>
      </c>
      <c r="F2586" s="121" t="e">
        <f>VLOOKUP(B2586,'LISTA 12'!$A$2:$G$30100,7,0)</f>
        <v>#N/A</v>
      </c>
      <c r="G2586" s="254" t="e">
        <f>VLOOKUP(H2586,'lista 3'!$A$1:$C$31467,3,0)</f>
        <v>#N/A</v>
      </c>
      <c r="H2586" s="134"/>
      <c r="I2586" s="136"/>
      <c r="J2586" s="135"/>
      <c r="K2586" s="22"/>
    </row>
    <row r="2587" spans="1:11">
      <c r="A2587" s="241" t="e">
        <f>VLOOKUP(B2587,'lista 1'!$A$2:$E$30100,4,0)</f>
        <v>#N/A</v>
      </c>
      <c r="B2587" s="123"/>
      <c r="C2587" s="133" t="e">
        <f>VLOOKUP(B2587,'lista 1'!$A$2:$E$31000,5,0)</f>
        <v>#N/A</v>
      </c>
      <c r="D2587" s="167" t="e">
        <f>VLOOKUP(E14387,'lista obszary'!A:B,2,0)</f>
        <v>#N/A</v>
      </c>
      <c r="E2587" s="128" t="e">
        <f>VLOOKUP(B2587,'LISTA 12'!$A$2:$G$301400,5,0)</f>
        <v>#N/A</v>
      </c>
      <c r="F2587" s="121" t="e">
        <f>VLOOKUP(B2587,'LISTA 12'!$A$2:$G$30100,7,0)</f>
        <v>#N/A</v>
      </c>
      <c r="G2587" s="254" t="e">
        <f>VLOOKUP(H2587,'lista 3'!$A$1:$C$31467,3,0)</f>
        <v>#N/A</v>
      </c>
      <c r="H2587" s="134"/>
      <c r="I2587" s="136"/>
      <c r="J2587" s="135"/>
      <c r="K2587" s="22"/>
    </row>
    <row r="2588" spans="1:11">
      <c r="A2588" s="241" t="e">
        <f>VLOOKUP(B2588,'lista 1'!$A$2:$E$30100,4,0)</f>
        <v>#N/A</v>
      </c>
      <c r="B2588" s="123"/>
      <c r="C2588" s="133" t="e">
        <f>VLOOKUP(B2588,'lista 1'!$A$2:$E$31000,5,0)</f>
        <v>#N/A</v>
      </c>
      <c r="D2588" s="167" t="e">
        <f>VLOOKUP(E14388,'lista obszary'!A:B,2,0)</f>
        <v>#N/A</v>
      </c>
      <c r="E2588" s="128" t="e">
        <f>VLOOKUP(B2588,'LISTA 12'!$A$2:$G$301400,5,0)</f>
        <v>#N/A</v>
      </c>
      <c r="F2588" s="121" t="e">
        <f>VLOOKUP(B2588,'LISTA 12'!$A$2:$G$30100,7,0)</f>
        <v>#N/A</v>
      </c>
      <c r="G2588" s="254" t="e">
        <f>VLOOKUP(H2588,'lista 3'!$A$1:$C$31467,3,0)</f>
        <v>#N/A</v>
      </c>
      <c r="H2588" s="134"/>
      <c r="I2588" s="136"/>
      <c r="J2588" s="135"/>
      <c r="K2588" s="22"/>
    </row>
    <row r="2589" spans="1:11">
      <c r="A2589" s="241" t="e">
        <f>VLOOKUP(B2589,'lista 1'!$A$2:$E$30100,4,0)</f>
        <v>#N/A</v>
      </c>
      <c r="B2589" s="123"/>
      <c r="C2589" s="133" t="e">
        <f>VLOOKUP(B2589,'lista 1'!$A$2:$E$31000,5,0)</f>
        <v>#N/A</v>
      </c>
      <c r="D2589" s="167" t="e">
        <f>VLOOKUP(E14389,'lista obszary'!A:B,2,0)</f>
        <v>#N/A</v>
      </c>
      <c r="E2589" s="128" t="e">
        <f>VLOOKUP(B2589,'LISTA 12'!$A$2:$G$301400,5,0)</f>
        <v>#N/A</v>
      </c>
      <c r="F2589" s="121" t="e">
        <f>VLOOKUP(B2589,'LISTA 12'!$A$2:$G$30100,7,0)</f>
        <v>#N/A</v>
      </c>
      <c r="G2589" s="254" t="e">
        <f>VLOOKUP(H2589,'lista 3'!$A$1:$C$31467,3,0)</f>
        <v>#N/A</v>
      </c>
      <c r="H2589" s="134"/>
      <c r="I2589" s="136"/>
      <c r="J2589" s="135"/>
      <c r="K2589" s="22"/>
    </row>
    <row r="2590" spans="1:11">
      <c r="A2590" s="241" t="e">
        <f>VLOOKUP(B2590,'lista 1'!$A$2:$E$30100,4,0)</f>
        <v>#N/A</v>
      </c>
      <c r="B2590" s="123"/>
      <c r="C2590" s="133" t="e">
        <f>VLOOKUP(B2590,'lista 1'!$A$2:$E$31000,5,0)</f>
        <v>#N/A</v>
      </c>
      <c r="D2590" s="167" t="e">
        <f>VLOOKUP(E14390,'lista obszary'!A:B,2,0)</f>
        <v>#N/A</v>
      </c>
      <c r="E2590" s="128" t="e">
        <f>VLOOKUP(B2590,'LISTA 12'!$A$2:$G$301400,5,0)</f>
        <v>#N/A</v>
      </c>
      <c r="F2590" s="121" t="e">
        <f>VLOOKUP(B2590,'LISTA 12'!$A$2:$G$30100,7,0)</f>
        <v>#N/A</v>
      </c>
      <c r="G2590" s="254" t="e">
        <f>VLOOKUP(H2590,'lista 3'!$A$1:$C$31467,3,0)</f>
        <v>#N/A</v>
      </c>
      <c r="H2590" s="134"/>
      <c r="I2590" s="136"/>
      <c r="J2590" s="135"/>
      <c r="K2590" s="22"/>
    </row>
    <row r="2591" spans="1:11">
      <c r="A2591" s="241" t="e">
        <f>VLOOKUP(B2591,'lista 1'!$A$2:$E$30100,4,0)</f>
        <v>#N/A</v>
      </c>
      <c r="B2591" s="123"/>
      <c r="C2591" s="133" t="e">
        <f>VLOOKUP(B2591,'lista 1'!$A$2:$E$31000,5,0)</f>
        <v>#N/A</v>
      </c>
      <c r="D2591" s="167" t="e">
        <f>VLOOKUP(E14391,'lista obszary'!A:B,2,0)</f>
        <v>#N/A</v>
      </c>
      <c r="E2591" s="128" t="e">
        <f>VLOOKUP(B2591,'LISTA 12'!$A$2:$G$301400,5,0)</f>
        <v>#N/A</v>
      </c>
      <c r="F2591" s="121" t="e">
        <f>VLOOKUP(B2591,'LISTA 12'!$A$2:$G$30100,7,0)</f>
        <v>#N/A</v>
      </c>
      <c r="G2591" s="254" t="e">
        <f>VLOOKUP(H2591,'lista 3'!$A$1:$C$31467,3,0)</f>
        <v>#N/A</v>
      </c>
      <c r="H2591" s="134"/>
      <c r="I2591" s="136"/>
      <c r="J2591" s="135"/>
      <c r="K2591" s="22"/>
    </row>
    <row r="2592" spans="1:11">
      <c r="A2592" s="241" t="e">
        <f>VLOOKUP(B2592,'lista 1'!$A$2:$E$30100,4,0)</f>
        <v>#N/A</v>
      </c>
      <c r="B2592" s="123"/>
      <c r="C2592" s="133" t="e">
        <f>VLOOKUP(B2592,'lista 1'!$A$2:$E$31000,5,0)</f>
        <v>#N/A</v>
      </c>
      <c r="D2592" s="167" t="e">
        <f>VLOOKUP(E14392,'lista obszary'!A:B,2,0)</f>
        <v>#N/A</v>
      </c>
      <c r="E2592" s="128" t="e">
        <f>VLOOKUP(B2592,'LISTA 12'!$A$2:$G$301400,5,0)</f>
        <v>#N/A</v>
      </c>
      <c r="F2592" s="121" t="e">
        <f>VLOOKUP(B2592,'LISTA 12'!$A$2:$G$30100,7,0)</f>
        <v>#N/A</v>
      </c>
      <c r="G2592" s="254" t="e">
        <f>VLOOKUP(H2592,'lista 3'!$A$1:$C$31467,3,0)</f>
        <v>#N/A</v>
      </c>
      <c r="H2592" s="134"/>
      <c r="I2592" s="136"/>
      <c r="J2592" s="135"/>
      <c r="K2592" s="22"/>
    </row>
    <row r="2593" spans="1:11">
      <c r="A2593" s="241" t="e">
        <f>VLOOKUP(B2593,'lista 1'!$A$2:$E$30100,4,0)</f>
        <v>#N/A</v>
      </c>
      <c r="B2593" s="123"/>
      <c r="C2593" s="133" t="e">
        <f>VLOOKUP(B2593,'lista 1'!$A$2:$E$31000,5,0)</f>
        <v>#N/A</v>
      </c>
      <c r="D2593" s="167" t="e">
        <f>VLOOKUP(E14393,'lista obszary'!A:B,2,0)</f>
        <v>#N/A</v>
      </c>
      <c r="E2593" s="128" t="e">
        <f>VLOOKUP(B2593,'LISTA 12'!$A$2:$G$301400,5,0)</f>
        <v>#N/A</v>
      </c>
      <c r="F2593" s="121" t="e">
        <f>VLOOKUP(B2593,'LISTA 12'!$A$2:$G$30100,7,0)</f>
        <v>#N/A</v>
      </c>
      <c r="G2593" s="254" t="e">
        <f>VLOOKUP(H2593,'lista 3'!$A$1:$C$31467,3,0)</f>
        <v>#N/A</v>
      </c>
      <c r="H2593" s="134"/>
      <c r="I2593" s="136"/>
      <c r="J2593" s="135"/>
      <c r="K2593" s="22"/>
    </row>
    <row r="2594" spans="1:11">
      <c r="A2594" s="241" t="e">
        <f>VLOOKUP(B2594,'lista 1'!$A$2:$E$30100,4,0)</f>
        <v>#N/A</v>
      </c>
      <c r="B2594" s="123"/>
      <c r="C2594" s="133" t="e">
        <f>VLOOKUP(B2594,'lista 1'!$A$2:$E$31000,5,0)</f>
        <v>#N/A</v>
      </c>
      <c r="D2594" s="167" t="e">
        <f>VLOOKUP(E14394,'lista obszary'!A:B,2,0)</f>
        <v>#N/A</v>
      </c>
      <c r="E2594" s="128" t="e">
        <f>VLOOKUP(B2594,'LISTA 12'!$A$2:$G$301400,5,0)</f>
        <v>#N/A</v>
      </c>
      <c r="F2594" s="121" t="e">
        <f>VLOOKUP(B2594,'LISTA 12'!$A$2:$G$30100,7,0)</f>
        <v>#N/A</v>
      </c>
      <c r="G2594" s="254" t="e">
        <f>VLOOKUP(H2594,'lista 3'!$A$1:$C$31467,3,0)</f>
        <v>#N/A</v>
      </c>
      <c r="H2594" s="134"/>
      <c r="I2594" s="136"/>
      <c r="J2594" s="135"/>
      <c r="K2594" s="22"/>
    </row>
    <row r="2595" spans="1:11">
      <c r="A2595" s="241" t="e">
        <f>VLOOKUP(B2595,'lista 1'!$A$2:$E$30100,4,0)</f>
        <v>#N/A</v>
      </c>
      <c r="B2595" s="123"/>
      <c r="C2595" s="133" t="e">
        <f>VLOOKUP(B2595,'lista 1'!$A$2:$E$31000,5,0)</f>
        <v>#N/A</v>
      </c>
      <c r="D2595" s="167" t="e">
        <f>VLOOKUP(E14395,'lista obszary'!A:B,2,0)</f>
        <v>#N/A</v>
      </c>
      <c r="E2595" s="128" t="e">
        <f>VLOOKUP(B2595,'LISTA 12'!$A$2:$G$301400,5,0)</f>
        <v>#N/A</v>
      </c>
      <c r="F2595" s="121" t="e">
        <f>VLOOKUP(B2595,'LISTA 12'!$A$2:$G$30100,7,0)</f>
        <v>#N/A</v>
      </c>
      <c r="G2595" s="254" t="e">
        <f>VLOOKUP(H2595,'lista 3'!$A$1:$C$31467,3,0)</f>
        <v>#N/A</v>
      </c>
      <c r="H2595" s="134"/>
      <c r="I2595" s="136"/>
      <c r="J2595" s="135"/>
      <c r="K2595" s="22"/>
    </row>
    <row r="2596" spans="1:11">
      <c r="A2596" s="241" t="e">
        <f>VLOOKUP(B2596,'lista 1'!$A$2:$E$30100,4,0)</f>
        <v>#N/A</v>
      </c>
      <c r="B2596" s="123"/>
      <c r="C2596" s="133" t="e">
        <f>VLOOKUP(B2596,'lista 1'!$A$2:$E$31000,5,0)</f>
        <v>#N/A</v>
      </c>
      <c r="D2596" s="167" t="e">
        <f>VLOOKUP(E14396,'lista obszary'!A:B,2,0)</f>
        <v>#N/A</v>
      </c>
      <c r="E2596" s="128" t="e">
        <f>VLOOKUP(B2596,'LISTA 12'!$A$2:$G$301400,5,0)</f>
        <v>#N/A</v>
      </c>
      <c r="F2596" s="121" t="e">
        <f>VLOOKUP(B2596,'LISTA 12'!$A$2:$G$30100,7,0)</f>
        <v>#N/A</v>
      </c>
      <c r="G2596" s="254" t="e">
        <f>VLOOKUP(H2596,'lista 3'!$A$1:$C$31467,3,0)</f>
        <v>#N/A</v>
      </c>
      <c r="H2596" s="134"/>
      <c r="I2596" s="136"/>
      <c r="J2596" s="135"/>
      <c r="K2596" s="22"/>
    </row>
    <row r="2597" spans="1:11">
      <c r="A2597" s="241" t="e">
        <f>VLOOKUP(B2597,'lista 1'!$A$2:$E$30100,4,0)</f>
        <v>#N/A</v>
      </c>
      <c r="B2597" s="123"/>
      <c r="C2597" s="133" t="e">
        <f>VLOOKUP(B2597,'lista 1'!$A$2:$E$31000,5,0)</f>
        <v>#N/A</v>
      </c>
      <c r="D2597" s="167" t="e">
        <f>VLOOKUP(E14397,'lista obszary'!A:B,2,0)</f>
        <v>#N/A</v>
      </c>
      <c r="E2597" s="128" t="e">
        <f>VLOOKUP(B2597,'LISTA 12'!$A$2:$G$301400,5,0)</f>
        <v>#N/A</v>
      </c>
      <c r="F2597" s="121" t="e">
        <f>VLOOKUP(B2597,'LISTA 12'!$A$2:$G$30100,7,0)</f>
        <v>#N/A</v>
      </c>
      <c r="G2597" s="254" t="e">
        <f>VLOOKUP(H2597,'lista 3'!$A$1:$C$31467,3,0)</f>
        <v>#N/A</v>
      </c>
      <c r="H2597" s="134"/>
      <c r="I2597" s="136"/>
      <c r="J2597" s="135"/>
      <c r="K2597" s="22"/>
    </row>
    <row r="2598" spans="1:11">
      <c r="A2598" s="241" t="e">
        <f>VLOOKUP(B2598,'lista 1'!$A$2:$E$30100,4,0)</f>
        <v>#N/A</v>
      </c>
      <c r="B2598" s="123"/>
      <c r="C2598" s="133" t="e">
        <f>VLOOKUP(B2598,'lista 1'!$A$2:$E$31000,5,0)</f>
        <v>#N/A</v>
      </c>
      <c r="D2598" s="167" t="e">
        <f>VLOOKUP(E14398,'lista obszary'!A:B,2,0)</f>
        <v>#N/A</v>
      </c>
      <c r="E2598" s="128" t="e">
        <f>VLOOKUP(B2598,'LISTA 12'!$A$2:$G$301400,5,0)</f>
        <v>#N/A</v>
      </c>
      <c r="F2598" s="121" t="e">
        <f>VLOOKUP(B2598,'LISTA 12'!$A$2:$G$30100,7,0)</f>
        <v>#N/A</v>
      </c>
      <c r="G2598" s="254" t="e">
        <f>VLOOKUP(H2598,'lista 3'!$A$1:$C$31467,3,0)</f>
        <v>#N/A</v>
      </c>
      <c r="H2598" s="134"/>
      <c r="I2598" s="136"/>
      <c r="J2598" s="135"/>
      <c r="K2598" s="22"/>
    </row>
    <row r="2599" spans="1:11">
      <c r="A2599" s="241" t="e">
        <f>VLOOKUP(B2599,'lista 1'!$A$2:$E$30100,4,0)</f>
        <v>#N/A</v>
      </c>
      <c r="B2599" s="123"/>
      <c r="C2599" s="133" t="e">
        <f>VLOOKUP(B2599,'lista 1'!$A$2:$E$31000,5,0)</f>
        <v>#N/A</v>
      </c>
      <c r="D2599" s="167" t="e">
        <f>VLOOKUP(E14399,'lista obszary'!A:B,2,0)</f>
        <v>#N/A</v>
      </c>
      <c r="E2599" s="128" t="e">
        <f>VLOOKUP(B2599,'LISTA 12'!$A$2:$G$301400,5,0)</f>
        <v>#N/A</v>
      </c>
      <c r="F2599" s="121" t="e">
        <f>VLOOKUP(B2599,'LISTA 12'!$A$2:$G$30100,7,0)</f>
        <v>#N/A</v>
      </c>
      <c r="G2599" s="254" t="e">
        <f>VLOOKUP(H2599,'lista 3'!$A$1:$C$31467,3,0)</f>
        <v>#N/A</v>
      </c>
      <c r="H2599" s="134"/>
      <c r="I2599" s="136"/>
      <c r="J2599" s="135"/>
      <c r="K2599" s="22"/>
    </row>
    <row r="2600" spans="1:11">
      <c r="A2600" s="241" t="e">
        <f>VLOOKUP(B2600,'lista 1'!$A$2:$E$30100,4,0)</f>
        <v>#N/A</v>
      </c>
      <c r="B2600" s="123"/>
      <c r="C2600" s="133" t="e">
        <f>VLOOKUP(B2600,'lista 1'!$A$2:$E$31000,5,0)</f>
        <v>#N/A</v>
      </c>
      <c r="D2600" s="167" t="e">
        <f>VLOOKUP(E14400,'lista obszary'!A:B,2,0)</f>
        <v>#N/A</v>
      </c>
      <c r="E2600" s="128" t="e">
        <f>VLOOKUP(B2600,'LISTA 12'!$A$2:$G$301400,5,0)</f>
        <v>#N/A</v>
      </c>
      <c r="F2600" s="121" t="e">
        <f>VLOOKUP(B2600,'LISTA 12'!$A$2:$G$30100,7,0)</f>
        <v>#N/A</v>
      </c>
      <c r="G2600" s="254" t="e">
        <f>VLOOKUP(H2600,'lista 3'!$A$1:$C$31467,3,0)</f>
        <v>#N/A</v>
      </c>
      <c r="H2600" s="134"/>
      <c r="I2600" s="136"/>
      <c r="J2600" s="135"/>
      <c r="K2600" s="22"/>
    </row>
    <row r="2601" spans="1:11">
      <c r="A2601" s="241" t="e">
        <f>VLOOKUP(B2601,'lista 1'!$A$2:$E$30100,4,0)</f>
        <v>#N/A</v>
      </c>
      <c r="B2601" s="123"/>
      <c r="C2601" s="133" t="e">
        <f>VLOOKUP(B2601,'lista 1'!$A$2:$E$31000,5,0)</f>
        <v>#N/A</v>
      </c>
      <c r="D2601" s="167" t="e">
        <f>VLOOKUP(E14401,'lista obszary'!A:B,2,0)</f>
        <v>#N/A</v>
      </c>
      <c r="E2601" s="128" t="e">
        <f>VLOOKUP(B2601,'LISTA 12'!$A$2:$G$301400,5,0)</f>
        <v>#N/A</v>
      </c>
      <c r="F2601" s="121" t="e">
        <f>VLOOKUP(B2601,'LISTA 12'!$A$2:$G$30100,7,0)</f>
        <v>#N/A</v>
      </c>
      <c r="G2601" s="254" t="e">
        <f>VLOOKUP(H2601,'lista 3'!$A$1:$C$31467,3,0)</f>
        <v>#N/A</v>
      </c>
      <c r="H2601" s="134"/>
      <c r="I2601" s="136"/>
      <c r="J2601" s="135"/>
      <c r="K2601" s="22"/>
    </row>
    <row r="2602" spans="1:11">
      <c r="A2602" s="241" t="e">
        <f>VLOOKUP(B2602,'lista 1'!$A$2:$E$30100,4,0)</f>
        <v>#N/A</v>
      </c>
      <c r="B2602" s="123"/>
      <c r="C2602" s="133" t="e">
        <f>VLOOKUP(B2602,'lista 1'!$A$2:$E$31000,5,0)</f>
        <v>#N/A</v>
      </c>
      <c r="D2602" s="167" t="e">
        <f>VLOOKUP(E14402,'lista obszary'!A:B,2,0)</f>
        <v>#N/A</v>
      </c>
      <c r="E2602" s="128" t="e">
        <f>VLOOKUP(B2602,'LISTA 12'!$A$2:$G$301400,5,0)</f>
        <v>#N/A</v>
      </c>
      <c r="F2602" s="121" t="e">
        <f>VLOOKUP(B2602,'LISTA 12'!$A$2:$G$30100,7,0)</f>
        <v>#N/A</v>
      </c>
      <c r="G2602" s="254" t="e">
        <f>VLOOKUP(H2602,'lista 3'!$A$1:$C$31467,3,0)</f>
        <v>#N/A</v>
      </c>
      <c r="H2602" s="134"/>
      <c r="I2602" s="136"/>
      <c r="J2602" s="135"/>
      <c r="K2602" s="22"/>
    </row>
    <row r="2603" spans="1:11">
      <c r="A2603" s="241" t="e">
        <f>VLOOKUP(B2603,'lista 1'!$A$2:$E$30100,4,0)</f>
        <v>#N/A</v>
      </c>
      <c r="B2603" s="123"/>
      <c r="C2603" s="133" t="e">
        <f>VLOOKUP(B2603,'lista 1'!$A$2:$E$31000,5,0)</f>
        <v>#N/A</v>
      </c>
      <c r="D2603" s="167" t="e">
        <f>VLOOKUP(E14403,'lista obszary'!A:B,2,0)</f>
        <v>#N/A</v>
      </c>
      <c r="E2603" s="128" t="e">
        <f>VLOOKUP(B2603,'LISTA 12'!$A$2:$G$301400,5,0)</f>
        <v>#N/A</v>
      </c>
      <c r="F2603" s="121" t="e">
        <f>VLOOKUP(B2603,'LISTA 12'!$A$2:$G$30100,7,0)</f>
        <v>#N/A</v>
      </c>
      <c r="G2603" s="254" t="e">
        <f>VLOOKUP(H2603,'lista 3'!$A$1:$C$31467,3,0)</f>
        <v>#N/A</v>
      </c>
      <c r="H2603" s="134"/>
      <c r="I2603" s="136"/>
      <c r="J2603" s="135"/>
      <c r="K2603" s="22"/>
    </row>
    <row r="2604" spans="1:11">
      <c r="A2604" s="241" t="e">
        <f>VLOOKUP(B2604,'lista 1'!$A$2:$E$30100,4,0)</f>
        <v>#N/A</v>
      </c>
      <c r="B2604" s="123"/>
      <c r="C2604" s="133" t="e">
        <f>VLOOKUP(B2604,'lista 1'!$A$2:$E$31000,5,0)</f>
        <v>#N/A</v>
      </c>
      <c r="D2604" s="167" t="e">
        <f>VLOOKUP(E14404,'lista obszary'!A:B,2,0)</f>
        <v>#N/A</v>
      </c>
      <c r="E2604" s="128" t="e">
        <f>VLOOKUP(B2604,'LISTA 12'!$A$2:$G$301400,5,0)</f>
        <v>#N/A</v>
      </c>
      <c r="F2604" s="121" t="e">
        <f>VLOOKUP(B2604,'LISTA 12'!$A$2:$G$30100,7,0)</f>
        <v>#N/A</v>
      </c>
      <c r="G2604" s="254" t="e">
        <f>VLOOKUP(H2604,'lista 3'!$A$1:$C$31467,3,0)</f>
        <v>#N/A</v>
      </c>
      <c r="H2604" s="134"/>
      <c r="I2604" s="136"/>
      <c r="J2604" s="135"/>
      <c r="K2604" s="22"/>
    </row>
    <row r="2605" spans="1:11">
      <c r="A2605" s="241" t="e">
        <f>VLOOKUP(B2605,'lista 1'!$A$2:$E$30100,4,0)</f>
        <v>#N/A</v>
      </c>
      <c r="B2605" s="123"/>
      <c r="C2605" s="133" t="e">
        <f>VLOOKUP(B2605,'lista 1'!$A$2:$E$31000,5,0)</f>
        <v>#N/A</v>
      </c>
      <c r="D2605" s="167" t="e">
        <f>VLOOKUP(E14405,'lista obszary'!A:B,2,0)</f>
        <v>#N/A</v>
      </c>
      <c r="E2605" s="128" t="e">
        <f>VLOOKUP(B2605,'LISTA 12'!$A$2:$G$301400,5,0)</f>
        <v>#N/A</v>
      </c>
      <c r="F2605" s="121" t="e">
        <f>VLOOKUP(B2605,'LISTA 12'!$A$2:$G$30100,7,0)</f>
        <v>#N/A</v>
      </c>
      <c r="G2605" s="254" t="e">
        <f>VLOOKUP(H2605,'lista 3'!$A$1:$C$31467,3,0)</f>
        <v>#N/A</v>
      </c>
      <c r="H2605" s="134"/>
      <c r="I2605" s="136"/>
      <c r="J2605" s="135"/>
      <c r="K2605" s="22"/>
    </row>
    <row r="2606" spans="1:11">
      <c r="A2606" s="241" t="e">
        <f>VLOOKUP(B2606,'lista 1'!$A$2:$E$30100,4,0)</f>
        <v>#N/A</v>
      </c>
      <c r="B2606" s="123"/>
      <c r="C2606" s="133" t="e">
        <f>VLOOKUP(B2606,'lista 1'!$A$2:$E$31000,5,0)</f>
        <v>#N/A</v>
      </c>
      <c r="D2606" s="167" t="e">
        <f>VLOOKUP(E14406,'lista obszary'!A:B,2,0)</f>
        <v>#N/A</v>
      </c>
      <c r="E2606" s="128" t="e">
        <f>VLOOKUP(B2606,'LISTA 12'!$A$2:$G$301400,5,0)</f>
        <v>#N/A</v>
      </c>
      <c r="F2606" s="121" t="e">
        <f>VLOOKUP(B2606,'LISTA 12'!$A$2:$G$30100,7,0)</f>
        <v>#N/A</v>
      </c>
      <c r="G2606" s="254" t="e">
        <f>VLOOKUP(H2606,'lista 3'!$A$1:$C$31467,3,0)</f>
        <v>#N/A</v>
      </c>
      <c r="H2606" s="134"/>
      <c r="I2606" s="136"/>
      <c r="J2606" s="135"/>
      <c r="K2606" s="22"/>
    </row>
    <row r="2607" spans="1:11">
      <c r="A2607" s="241" t="e">
        <f>VLOOKUP(B2607,'lista 1'!$A$2:$E$30100,4,0)</f>
        <v>#N/A</v>
      </c>
      <c r="B2607" s="123"/>
      <c r="C2607" s="133" t="e">
        <f>VLOOKUP(B2607,'lista 1'!$A$2:$E$31000,5,0)</f>
        <v>#N/A</v>
      </c>
      <c r="D2607" s="167" t="e">
        <f>VLOOKUP(E14407,'lista obszary'!A:B,2,0)</f>
        <v>#N/A</v>
      </c>
      <c r="E2607" s="128" t="e">
        <f>VLOOKUP(B2607,'LISTA 12'!$A$2:$G$301400,5,0)</f>
        <v>#N/A</v>
      </c>
      <c r="F2607" s="121" t="e">
        <f>VLOOKUP(B2607,'LISTA 12'!$A$2:$G$30100,7,0)</f>
        <v>#N/A</v>
      </c>
      <c r="G2607" s="254" t="e">
        <f>VLOOKUP(H2607,'lista 3'!$A$1:$C$31467,3,0)</f>
        <v>#N/A</v>
      </c>
      <c r="H2607" s="134"/>
      <c r="I2607" s="136"/>
      <c r="J2607" s="135"/>
      <c r="K2607" s="22"/>
    </row>
    <row r="2608" spans="1:11">
      <c r="A2608" s="241" t="e">
        <f>VLOOKUP(B2608,'lista 1'!$A$2:$E$30100,4,0)</f>
        <v>#N/A</v>
      </c>
      <c r="B2608" s="123"/>
      <c r="C2608" s="133" t="e">
        <f>VLOOKUP(B2608,'lista 1'!$A$2:$E$31000,5,0)</f>
        <v>#N/A</v>
      </c>
      <c r="D2608" s="167" t="e">
        <f>VLOOKUP(E14408,'lista obszary'!A:B,2,0)</f>
        <v>#N/A</v>
      </c>
      <c r="E2608" s="128" t="e">
        <f>VLOOKUP(B2608,'LISTA 12'!$A$2:$G$301400,5,0)</f>
        <v>#N/A</v>
      </c>
      <c r="F2608" s="121" t="e">
        <f>VLOOKUP(B2608,'LISTA 12'!$A$2:$G$30100,7,0)</f>
        <v>#N/A</v>
      </c>
      <c r="G2608" s="254" t="e">
        <f>VLOOKUP(H2608,'lista 3'!$A$1:$C$31467,3,0)</f>
        <v>#N/A</v>
      </c>
      <c r="H2608" s="134"/>
      <c r="I2608" s="136"/>
      <c r="J2608" s="135"/>
      <c r="K2608" s="22"/>
    </row>
    <row r="2609" spans="1:11">
      <c r="A2609" s="241" t="e">
        <f>VLOOKUP(B2609,'lista 1'!$A$2:$E$30100,4,0)</f>
        <v>#N/A</v>
      </c>
      <c r="B2609" s="123"/>
      <c r="C2609" s="133" t="e">
        <f>VLOOKUP(B2609,'lista 1'!$A$2:$E$31000,5,0)</f>
        <v>#N/A</v>
      </c>
      <c r="D2609" s="167" t="e">
        <f>VLOOKUP(E14409,'lista obszary'!A:B,2,0)</f>
        <v>#N/A</v>
      </c>
      <c r="E2609" s="128" t="e">
        <f>VLOOKUP(B2609,'LISTA 12'!$A$2:$G$301400,5,0)</f>
        <v>#N/A</v>
      </c>
      <c r="F2609" s="121" t="e">
        <f>VLOOKUP(B2609,'LISTA 12'!$A$2:$G$30100,7,0)</f>
        <v>#N/A</v>
      </c>
      <c r="G2609" s="254" t="e">
        <f>VLOOKUP(H2609,'lista 3'!$A$1:$C$31467,3,0)</f>
        <v>#N/A</v>
      </c>
      <c r="H2609" s="134"/>
      <c r="I2609" s="136"/>
      <c r="J2609" s="135"/>
      <c r="K2609" s="22"/>
    </row>
    <row r="2610" spans="1:11">
      <c r="A2610" s="241" t="e">
        <f>VLOOKUP(B2610,'lista 1'!$A$2:$E$30100,4,0)</f>
        <v>#N/A</v>
      </c>
      <c r="B2610" s="123"/>
      <c r="C2610" s="133" t="e">
        <f>VLOOKUP(B2610,'lista 1'!$A$2:$E$31000,5,0)</f>
        <v>#N/A</v>
      </c>
      <c r="D2610" s="167" t="e">
        <f>VLOOKUP(E14410,'lista obszary'!A:B,2,0)</f>
        <v>#N/A</v>
      </c>
      <c r="E2610" s="128" t="e">
        <f>VLOOKUP(B2610,'LISTA 12'!$A$2:$G$301400,5,0)</f>
        <v>#N/A</v>
      </c>
      <c r="F2610" s="121" t="e">
        <f>VLOOKUP(B2610,'LISTA 12'!$A$2:$G$30100,7,0)</f>
        <v>#N/A</v>
      </c>
      <c r="G2610" s="254" t="e">
        <f>VLOOKUP(H2610,'lista 3'!$A$1:$C$31467,3,0)</f>
        <v>#N/A</v>
      </c>
      <c r="H2610" s="134"/>
      <c r="I2610" s="136"/>
      <c r="J2610" s="135"/>
      <c r="K2610" s="22"/>
    </row>
    <row r="2611" spans="1:11">
      <c r="A2611" s="241" t="e">
        <f>VLOOKUP(B2611,'lista 1'!$A$2:$E$30100,4,0)</f>
        <v>#N/A</v>
      </c>
      <c r="B2611" s="123"/>
      <c r="C2611" s="133" t="e">
        <f>VLOOKUP(B2611,'lista 1'!$A$2:$E$31000,5,0)</f>
        <v>#N/A</v>
      </c>
      <c r="D2611" s="167" t="e">
        <f>VLOOKUP(E14411,'lista obszary'!A:B,2,0)</f>
        <v>#N/A</v>
      </c>
      <c r="E2611" s="128" t="e">
        <f>VLOOKUP(B2611,'LISTA 12'!$A$2:$G$301400,5,0)</f>
        <v>#N/A</v>
      </c>
      <c r="F2611" s="121" t="e">
        <f>VLOOKUP(B2611,'LISTA 12'!$A$2:$G$30100,7,0)</f>
        <v>#N/A</v>
      </c>
      <c r="G2611" s="254" t="e">
        <f>VLOOKUP(H2611,'lista 3'!$A$1:$C$31467,3,0)</f>
        <v>#N/A</v>
      </c>
      <c r="H2611" s="134"/>
      <c r="I2611" s="136"/>
      <c r="J2611" s="135"/>
      <c r="K2611" s="22"/>
    </row>
    <row r="2612" spans="1:11">
      <c r="A2612" s="241" t="e">
        <f>VLOOKUP(B2612,'lista 1'!$A$2:$E$30100,4,0)</f>
        <v>#N/A</v>
      </c>
      <c r="B2612" s="123"/>
      <c r="C2612" s="133" t="e">
        <f>VLOOKUP(B2612,'lista 1'!$A$2:$E$31000,5,0)</f>
        <v>#N/A</v>
      </c>
      <c r="D2612" s="167" t="e">
        <f>VLOOKUP(E14412,'lista obszary'!A:B,2,0)</f>
        <v>#N/A</v>
      </c>
      <c r="E2612" s="128" t="e">
        <f>VLOOKUP(B2612,'LISTA 12'!$A$2:$G$301400,5,0)</f>
        <v>#N/A</v>
      </c>
      <c r="F2612" s="121" t="e">
        <f>VLOOKUP(B2612,'LISTA 12'!$A$2:$G$30100,7,0)</f>
        <v>#N/A</v>
      </c>
      <c r="G2612" s="254" t="e">
        <f>VLOOKUP(H2612,'lista 3'!$A$1:$C$31467,3,0)</f>
        <v>#N/A</v>
      </c>
      <c r="H2612" s="134"/>
      <c r="I2612" s="136"/>
      <c r="J2612" s="135"/>
      <c r="K2612" s="22"/>
    </row>
    <row r="2613" spans="1:11">
      <c r="A2613" s="241" t="e">
        <f>VLOOKUP(B2613,'lista 1'!$A$2:$E$30100,4,0)</f>
        <v>#N/A</v>
      </c>
      <c r="B2613" s="123"/>
      <c r="C2613" s="133" t="e">
        <f>VLOOKUP(B2613,'lista 1'!$A$2:$E$31000,5,0)</f>
        <v>#N/A</v>
      </c>
      <c r="D2613" s="167" t="e">
        <f>VLOOKUP(E14413,'lista obszary'!A:B,2,0)</f>
        <v>#N/A</v>
      </c>
      <c r="E2613" s="128" t="e">
        <f>VLOOKUP(B2613,'LISTA 12'!$A$2:$G$301400,5,0)</f>
        <v>#N/A</v>
      </c>
      <c r="F2613" s="121" t="e">
        <f>VLOOKUP(B2613,'LISTA 12'!$A$2:$G$30100,7,0)</f>
        <v>#N/A</v>
      </c>
      <c r="G2613" s="254" t="e">
        <f>VLOOKUP(H2613,'lista 3'!$A$1:$C$31467,3,0)</f>
        <v>#N/A</v>
      </c>
      <c r="H2613" s="134"/>
      <c r="I2613" s="136"/>
      <c r="J2613" s="135"/>
      <c r="K2613" s="22"/>
    </row>
    <row r="2614" spans="1:11">
      <c r="A2614" s="241" t="e">
        <f>VLOOKUP(B2614,'lista 1'!$A$2:$E$30100,4,0)</f>
        <v>#N/A</v>
      </c>
      <c r="B2614" s="123"/>
      <c r="C2614" s="133" t="e">
        <f>VLOOKUP(B2614,'lista 1'!$A$2:$E$31000,5,0)</f>
        <v>#N/A</v>
      </c>
      <c r="D2614" s="167" t="e">
        <f>VLOOKUP(E14414,'lista obszary'!A:B,2,0)</f>
        <v>#N/A</v>
      </c>
      <c r="E2614" s="128" t="e">
        <f>VLOOKUP(B2614,'LISTA 12'!$A$2:$G$301400,5,0)</f>
        <v>#N/A</v>
      </c>
      <c r="F2614" s="121" t="e">
        <f>VLOOKUP(B2614,'LISTA 12'!$A$2:$G$30100,7,0)</f>
        <v>#N/A</v>
      </c>
      <c r="G2614" s="254" t="e">
        <f>VLOOKUP(H2614,'lista 3'!$A$1:$C$31467,3,0)</f>
        <v>#N/A</v>
      </c>
      <c r="H2614" s="134"/>
      <c r="I2614" s="136"/>
      <c r="J2614" s="135"/>
      <c r="K2614" s="22"/>
    </row>
    <row r="2615" spans="1:11">
      <c r="A2615" s="241" t="e">
        <f>VLOOKUP(B2615,'lista 1'!$A$2:$E$30100,4,0)</f>
        <v>#N/A</v>
      </c>
      <c r="B2615" s="123"/>
      <c r="C2615" s="133" t="e">
        <f>VLOOKUP(B2615,'lista 1'!$A$2:$E$31000,5,0)</f>
        <v>#N/A</v>
      </c>
      <c r="D2615" s="167" t="e">
        <f>VLOOKUP(E14415,'lista obszary'!A:B,2,0)</f>
        <v>#N/A</v>
      </c>
      <c r="E2615" s="128" t="e">
        <f>VLOOKUP(B2615,'LISTA 12'!$A$2:$G$301400,5,0)</f>
        <v>#N/A</v>
      </c>
      <c r="F2615" s="121" t="e">
        <f>VLOOKUP(B2615,'LISTA 12'!$A$2:$G$30100,7,0)</f>
        <v>#N/A</v>
      </c>
      <c r="G2615" s="254" t="e">
        <f>VLOOKUP(H2615,'lista 3'!$A$1:$C$31467,3,0)</f>
        <v>#N/A</v>
      </c>
      <c r="H2615" s="134"/>
      <c r="I2615" s="136"/>
      <c r="J2615" s="135"/>
      <c r="K2615" s="22"/>
    </row>
    <row r="2616" spans="1:11">
      <c r="A2616" s="241" t="e">
        <f>VLOOKUP(B2616,'lista 1'!$A$2:$E$30100,4,0)</f>
        <v>#N/A</v>
      </c>
      <c r="B2616" s="123"/>
      <c r="C2616" s="133" t="e">
        <f>VLOOKUP(B2616,'lista 1'!$A$2:$E$31000,5,0)</f>
        <v>#N/A</v>
      </c>
      <c r="D2616" s="167" t="e">
        <f>VLOOKUP(E14416,'lista obszary'!A:B,2,0)</f>
        <v>#N/A</v>
      </c>
      <c r="E2616" s="128" t="e">
        <f>VLOOKUP(B2616,'LISTA 12'!$A$2:$G$301400,5,0)</f>
        <v>#N/A</v>
      </c>
      <c r="F2616" s="121" t="e">
        <f>VLOOKUP(B2616,'LISTA 12'!$A$2:$G$30100,7,0)</f>
        <v>#N/A</v>
      </c>
      <c r="G2616" s="254" t="e">
        <f>VLOOKUP(H2616,'lista 3'!$A$1:$C$31467,3,0)</f>
        <v>#N/A</v>
      </c>
      <c r="H2616" s="134"/>
      <c r="I2616" s="136"/>
      <c r="J2616" s="135"/>
      <c r="K2616" s="22"/>
    </row>
    <row r="2617" spans="1:11">
      <c r="A2617" s="241" t="e">
        <f>VLOOKUP(B2617,'lista 1'!$A$2:$E$30100,4,0)</f>
        <v>#N/A</v>
      </c>
      <c r="B2617" s="123"/>
      <c r="C2617" s="133" t="e">
        <f>VLOOKUP(B2617,'lista 1'!$A$2:$E$31000,5,0)</f>
        <v>#N/A</v>
      </c>
      <c r="D2617" s="167" t="e">
        <f>VLOOKUP(E14417,'lista obszary'!A:B,2,0)</f>
        <v>#N/A</v>
      </c>
      <c r="E2617" s="128" t="e">
        <f>VLOOKUP(B2617,'LISTA 12'!$A$2:$G$301400,5,0)</f>
        <v>#N/A</v>
      </c>
      <c r="F2617" s="121" t="e">
        <f>VLOOKUP(B2617,'LISTA 12'!$A$2:$G$30100,7,0)</f>
        <v>#N/A</v>
      </c>
      <c r="G2617" s="254" t="e">
        <f>VLOOKUP(H2617,'lista 3'!$A$1:$C$31467,3,0)</f>
        <v>#N/A</v>
      </c>
      <c r="H2617" s="134"/>
      <c r="I2617" s="136"/>
      <c r="J2617" s="135"/>
      <c r="K2617" s="22"/>
    </row>
    <row r="2618" spans="1:11">
      <c r="A2618" s="241" t="e">
        <f>VLOOKUP(B2618,'lista 1'!$A$2:$E$30100,4,0)</f>
        <v>#N/A</v>
      </c>
      <c r="B2618" s="123"/>
      <c r="C2618" s="133" t="e">
        <f>VLOOKUP(B2618,'lista 1'!$A$2:$E$31000,5,0)</f>
        <v>#N/A</v>
      </c>
      <c r="D2618" s="167" t="e">
        <f>VLOOKUP(E14418,'lista obszary'!A:B,2,0)</f>
        <v>#N/A</v>
      </c>
      <c r="E2618" s="128" t="e">
        <f>VLOOKUP(B2618,'LISTA 12'!$A$2:$G$301400,5,0)</f>
        <v>#N/A</v>
      </c>
      <c r="F2618" s="121" t="e">
        <f>VLOOKUP(B2618,'LISTA 12'!$A$2:$G$30100,7,0)</f>
        <v>#N/A</v>
      </c>
      <c r="G2618" s="254" t="e">
        <f>VLOOKUP(H2618,'lista 3'!$A$1:$C$31467,3,0)</f>
        <v>#N/A</v>
      </c>
      <c r="H2618" s="134"/>
      <c r="I2618" s="136"/>
      <c r="J2618" s="135"/>
      <c r="K2618" s="22"/>
    </row>
    <row r="2619" spans="1:11">
      <c r="A2619" s="241" t="e">
        <f>VLOOKUP(B2619,'lista 1'!$A$2:$E$30100,4,0)</f>
        <v>#N/A</v>
      </c>
      <c r="B2619" s="123"/>
      <c r="C2619" s="133" t="e">
        <f>VLOOKUP(B2619,'lista 1'!$A$2:$E$31000,5,0)</f>
        <v>#N/A</v>
      </c>
      <c r="D2619" s="167" t="e">
        <f>VLOOKUP(E14419,'lista obszary'!A:B,2,0)</f>
        <v>#N/A</v>
      </c>
      <c r="E2619" s="128" t="e">
        <f>VLOOKUP(B2619,'LISTA 12'!$A$2:$G$301400,5,0)</f>
        <v>#N/A</v>
      </c>
      <c r="F2619" s="121" t="e">
        <f>VLOOKUP(B2619,'LISTA 12'!$A$2:$G$30100,7,0)</f>
        <v>#N/A</v>
      </c>
      <c r="G2619" s="254" t="e">
        <f>VLOOKUP(H2619,'lista 3'!$A$1:$C$31467,3,0)</f>
        <v>#N/A</v>
      </c>
      <c r="H2619" s="134"/>
      <c r="I2619" s="136"/>
      <c r="J2619" s="135"/>
      <c r="K2619" s="22"/>
    </row>
    <row r="2620" spans="1:11">
      <c r="A2620" s="241" t="e">
        <f>VLOOKUP(B2620,'lista 1'!$A$2:$E$30100,4,0)</f>
        <v>#N/A</v>
      </c>
      <c r="B2620" s="123"/>
      <c r="C2620" s="133" t="e">
        <f>VLOOKUP(B2620,'lista 1'!$A$2:$E$31000,5,0)</f>
        <v>#N/A</v>
      </c>
      <c r="D2620" s="167" t="e">
        <f>VLOOKUP(E14420,'lista obszary'!A:B,2,0)</f>
        <v>#N/A</v>
      </c>
      <c r="E2620" s="128" t="e">
        <f>VLOOKUP(B2620,'LISTA 12'!$A$2:$G$301400,5,0)</f>
        <v>#N/A</v>
      </c>
      <c r="F2620" s="121" t="e">
        <f>VLOOKUP(B2620,'LISTA 12'!$A$2:$G$30100,7,0)</f>
        <v>#N/A</v>
      </c>
      <c r="G2620" s="254" t="e">
        <f>VLOOKUP(H2620,'lista 3'!$A$1:$C$31467,3,0)</f>
        <v>#N/A</v>
      </c>
      <c r="H2620" s="134"/>
      <c r="I2620" s="136"/>
      <c r="J2620" s="135"/>
      <c r="K2620" s="22"/>
    </row>
    <row r="2621" spans="1:11">
      <c r="A2621" s="241" t="e">
        <f>VLOOKUP(B2621,'lista 1'!$A$2:$E$30100,4,0)</f>
        <v>#N/A</v>
      </c>
      <c r="B2621" s="123"/>
      <c r="C2621" s="133" t="e">
        <f>VLOOKUP(B2621,'lista 1'!$A$2:$E$31000,5,0)</f>
        <v>#N/A</v>
      </c>
      <c r="D2621" s="167" t="e">
        <f>VLOOKUP(E14421,'lista obszary'!A:B,2,0)</f>
        <v>#N/A</v>
      </c>
      <c r="E2621" s="128" t="e">
        <f>VLOOKUP(B2621,'LISTA 12'!$A$2:$G$301400,5,0)</f>
        <v>#N/A</v>
      </c>
      <c r="F2621" s="121" t="e">
        <f>VLOOKUP(B2621,'LISTA 12'!$A$2:$G$30100,7,0)</f>
        <v>#N/A</v>
      </c>
      <c r="G2621" s="254" t="e">
        <f>VLOOKUP(H2621,'lista 3'!$A$1:$C$31467,3,0)</f>
        <v>#N/A</v>
      </c>
      <c r="H2621" s="134"/>
      <c r="I2621" s="136"/>
      <c r="J2621" s="135"/>
      <c r="K2621" s="22"/>
    </row>
    <row r="2622" spans="1:11">
      <c r="A2622" s="241" t="e">
        <f>VLOOKUP(B2622,'lista 1'!$A$2:$E$30100,4,0)</f>
        <v>#N/A</v>
      </c>
      <c r="B2622" s="123"/>
      <c r="C2622" s="133" t="e">
        <f>VLOOKUP(B2622,'lista 1'!$A$2:$E$31000,5,0)</f>
        <v>#N/A</v>
      </c>
      <c r="D2622" s="167" t="e">
        <f>VLOOKUP(E14422,'lista obszary'!A:B,2,0)</f>
        <v>#N/A</v>
      </c>
      <c r="E2622" s="128" t="e">
        <f>VLOOKUP(B2622,'LISTA 12'!$A$2:$G$301400,5,0)</f>
        <v>#N/A</v>
      </c>
      <c r="F2622" s="121" t="e">
        <f>VLOOKUP(B2622,'LISTA 12'!$A$2:$G$30100,7,0)</f>
        <v>#N/A</v>
      </c>
      <c r="G2622" s="254" t="e">
        <f>VLOOKUP(H2622,'lista 3'!$A$1:$C$31467,3,0)</f>
        <v>#N/A</v>
      </c>
      <c r="H2622" s="134"/>
      <c r="I2622" s="136"/>
      <c r="J2622" s="135"/>
      <c r="K2622" s="22"/>
    </row>
    <row r="2623" spans="1:11">
      <c r="A2623" s="241" t="e">
        <f>VLOOKUP(B2623,'lista 1'!$A$2:$E$30100,4,0)</f>
        <v>#N/A</v>
      </c>
      <c r="B2623" s="123"/>
      <c r="C2623" s="133" t="e">
        <f>VLOOKUP(B2623,'lista 1'!$A$2:$E$31000,5,0)</f>
        <v>#N/A</v>
      </c>
      <c r="D2623" s="167" t="e">
        <f>VLOOKUP(E14423,'lista obszary'!A:B,2,0)</f>
        <v>#N/A</v>
      </c>
      <c r="E2623" s="128" t="e">
        <f>VLOOKUP(B2623,'LISTA 12'!$A$2:$G$301400,5,0)</f>
        <v>#N/A</v>
      </c>
      <c r="F2623" s="121" t="e">
        <f>VLOOKUP(B2623,'LISTA 12'!$A$2:$G$30100,7,0)</f>
        <v>#N/A</v>
      </c>
      <c r="G2623" s="254" t="e">
        <f>VLOOKUP(H2623,'lista 3'!$A$1:$C$31467,3,0)</f>
        <v>#N/A</v>
      </c>
      <c r="H2623" s="134"/>
      <c r="I2623" s="136"/>
      <c r="J2623" s="135"/>
      <c r="K2623" s="22"/>
    </row>
    <row r="2624" spans="1:11">
      <c r="A2624" s="241" t="e">
        <f>VLOOKUP(B2624,'lista 1'!$A$2:$E$30100,4,0)</f>
        <v>#N/A</v>
      </c>
      <c r="B2624" s="123"/>
      <c r="C2624" s="133" t="e">
        <f>VLOOKUP(B2624,'lista 1'!$A$2:$E$31000,5,0)</f>
        <v>#N/A</v>
      </c>
      <c r="D2624" s="167" t="e">
        <f>VLOOKUP(E14424,'lista obszary'!A:B,2,0)</f>
        <v>#N/A</v>
      </c>
      <c r="E2624" s="128" t="e">
        <f>VLOOKUP(B2624,'LISTA 12'!$A$2:$G$301400,5,0)</f>
        <v>#N/A</v>
      </c>
      <c r="F2624" s="121" t="e">
        <f>VLOOKUP(B2624,'LISTA 12'!$A$2:$G$30100,7,0)</f>
        <v>#N/A</v>
      </c>
      <c r="G2624" s="254" t="e">
        <f>VLOOKUP(H2624,'lista 3'!$A$1:$C$31467,3,0)</f>
        <v>#N/A</v>
      </c>
      <c r="H2624" s="134"/>
      <c r="I2624" s="136"/>
      <c r="J2624" s="135"/>
      <c r="K2624" s="22"/>
    </row>
    <row r="2625" spans="1:11">
      <c r="A2625" s="241" t="e">
        <f>VLOOKUP(B2625,'lista 1'!$A$2:$E$30100,4,0)</f>
        <v>#N/A</v>
      </c>
      <c r="B2625" s="123"/>
      <c r="C2625" s="133" t="e">
        <f>VLOOKUP(B2625,'lista 1'!$A$2:$E$31000,5,0)</f>
        <v>#N/A</v>
      </c>
      <c r="D2625" s="167" t="e">
        <f>VLOOKUP(E14425,'lista obszary'!A:B,2,0)</f>
        <v>#N/A</v>
      </c>
      <c r="E2625" s="128" t="e">
        <f>VLOOKUP(B2625,'LISTA 12'!$A$2:$G$301400,5,0)</f>
        <v>#N/A</v>
      </c>
      <c r="F2625" s="121" t="e">
        <f>VLOOKUP(B2625,'LISTA 12'!$A$2:$G$30100,7,0)</f>
        <v>#N/A</v>
      </c>
      <c r="G2625" s="254" t="e">
        <f>VLOOKUP(H2625,'lista 3'!$A$1:$C$31467,3,0)</f>
        <v>#N/A</v>
      </c>
      <c r="H2625" s="134"/>
      <c r="I2625" s="136"/>
      <c r="J2625" s="135"/>
      <c r="K2625" s="22"/>
    </row>
    <row r="2626" spans="1:11">
      <c r="A2626" s="241" t="e">
        <f>VLOOKUP(B2626,'lista 1'!$A$2:$E$30100,4,0)</f>
        <v>#N/A</v>
      </c>
      <c r="B2626" s="123"/>
      <c r="C2626" s="133" t="e">
        <f>VLOOKUP(B2626,'lista 1'!$A$2:$E$31000,5,0)</f>
        <v>#N/A</v>
      </c>
      <c r="D2626" s="167" t="e">
        <f>VLOOKUP(E14426,'lista obszary'!A:B,2,0)</f>
        <v>#N/A</v>
      </c>
      <c r="E2626" s="128" t="e">
        <f>VLOOKUP(B2626,'LISTA 12'!$A$2:$G$301400,5,0)</f>
        <v>#N/A</v>
      </c>
      <c r="F2626" s="121" t="e">
        <f>VLOOKUP(B2626,'LISTA 12'!$A$2:$G$30100,7,0)</f>
        <v>#N/A</v>
      </c>
      <c r="G2626" s="254" t="e">
        <f>VLOOKUP(H2626,'lista 3'!$A$1:$C$31467,3,0)</f>
        <v>#N/A</v>
      </c>
      <c r="H2626" s="134"/>
      <c r="I2626" s="136"/>
      <c r="J2626" s="135"/>
      <c r="K2626" s="22"/>
    </row>
    <row r="2627" spans="1:11">
      <c r="A2627" s="241" t="e">
        <f>VLOOKUP(B2627,'lista 1'!$A$2:$E$30100,4,0)</f>
        <v>#N/A</v>
      </c>
      <c r="B2627" s="123"/>
      <c r="C2627" s="133" t="e">
        <f>VLOOKUP(B2627,'lista 1'!$A$2:$E$31000,5,0)</f>
        <v>#N/A</v>
      </c>
      <c r="D2627" s="167" t="e">
        <f>VLOOKUP(E14427,'lista obszary'!A:B,2,0)</f>
        <v>#N/A</v>
      </c>
      <c r="E2627" s="128" t="e">
        <f>VLOOKUP(B2627,'LISTA 12'!$A$2:$G$301400,5,0)</f>
        <v>#N/A</v>
      </c>
      <c r="F2627" s="121" t="e">
        <f>VLOOKUP(B2627,'LISTA 12'!$A$2:$G$30100,7,0)</f>
        <v>#N/A</v>
      </c>
      <c r="G2627" s="254" t="e">
        <f>VLOOKUP(H2627,'lista 3'!$A$1:$C$31467,3,0)</f>
        <v>#N/A</v>
      </c>
      <c r="H2627" s="134"/>
      <c r="I2627" s="136"/>
      <c r="J2627" s="135"/>
      <c r="K2627" s="22"/>
    </row>
    <row r="2628" spans="1:11">
      <c r="A2628" s="241" t="e">
        <f>VLOOKUP(B2628,'lista 1'!$A$2:$E$30100,4,0)</f>
        <v>#N/A</v>
      </c>
      <c r="B2628" s="123"/>
      <c r="C2628" s="133" t="e">
        <f>VLOOKUP(B2628,'lista 1'!$A$2:$E$31000,5,0)</f>
        <v>#N/A</v>
      </c>
      <c r="D2628" s="167" t="e">
        <f>VLOOKUP(E14428,'lista obszary'!A:B,2,0)</f>
        <v>#N/A</v>
      </c>
      <c r="E2628" s="128" t="e">
        <f>VLOOKUP(B2628,'LISTA 12'!$A$2:$G$301400,5,0)</f>
        <v>#N/A</v>
      </c>
      <c r="F2628" s="121" t="e">
        <f>VLOOKUP(B2628,'LISTA 12'!$A$2:$G$30100,7,0)</f>
        <v>#N/A</v>
      </c>
      <c r="G2628" s="254" t="e">
        <f>VLOOKUP(H2628,'lista 3'!$A$1:$C$31467,3,0)</f>
        <v>#N/A</v>
      </c>
      <c r="H2628" s="134"/>
      <c r="I2628" s="136"/>
      <c r="J2628" s="135"/>
      <c r="K2628" s="22"/>
    </row>
    <row r="2629" spans="1:11">
      <c r="A2629" s="241" t="e">
        <f>VLOOKUP(B2629,'lista 1'!$A$2:$E$30100,4,0)</f>
        <v>#N/A</v>
      </c>
      <c r="B2629" s="123"/>
      <c r="C2629" s="133" t="e">
        <f>VLOOKUP(B2629,'lista 1'!$A$2:$E$31000,5,0)</f>
        <v>#N/A</v>
      </c>
      <c r="D2629" s="167" t="e">
        <f>VLOOKUP(E14429,'lista obszary'!A:B,2,0)</f>
        <v>#N/A</v>
      </c>
      <c r="E2629" s="128" t="e">
        <f>VLOOKUP(B2629,'LISTA 12'!$A$2:$G$301400,5,0)</f>
        <v>#N/A</v>
      </c>
      <c r="F2629" s="121" t="e">
        <f>VLOOKUP(B2629,'LISTA 12'!$A$2:$G$30100,7,0)</f>
        <v>#N/A</v>
      </c>
      <c r="G2629" s="254" t="e">
        <f>VLOOKUP(H2629,'lista 3'!$A$1:$C$31467,3,0)</f>
        <v>#N/A</v>
      </c>
      <c r="H2629" s="134"/>
      <c r="I2629" s="136"/>
      <c r="J2629" s="135"/>
      <c r="K2629" s="22"/>
    </row>
    <row r="2630" spans="1:11">
      <c r="A2630" s="241" t="e">
        <f>VLOOKUP(B2630,'lista 1'!$A$2:$E$30100,4,0)</f>
        <v>#N/A</v>
      </c>
      <c r="B2630" s="123"/>
      <c r="C2630" s="133" t="e">
        <f>VLOOKUP(B2630,'lista 1'!$A$2:$E$31000,5,0)</f>
        <v>#N/A</v>
      </c>
      <c r="D2630" s="167" t="e">
        <f>VLOOKUP(E14430,'lista obszary'!A:B,2,0)</f>
        <v>#N/A</v>
      </c>
      <c r="E2630" s="128" t="e">
        <f>VLOOKUP(B2630,'LISTA 12'!$A$2:$G$301400,5,0)</f>
        <v>#N/A</v>
      </c>
      <c r="F2630" s="121" t="e">
        <f>VLOOKUP(B2630,'LISTA 12'!$A$2:$G$30100,7,0)</f>
        <v>#N/A</v>
      </c>
      <c r="G2630" s="254" t="e">
        <f>VLOOKUP(H2630,'lista 3'!$A$1:$C$31467,3,0)</f>
        <v>#N/A</v>
      </c>
      <c r="H2630" s="134"/>
      <c r="I2630" s="136"/>
      <c r="J2630" s="135"/>
      <c r="K2630" s="22"/>
    </row>
    <row r="2631" spans="1:11">
      <c r="A2631" s="241" t="e">
        <f>VLOOKUP(B2631,'lista 1'!$A$2:$E$30100,4,0)</f>
        <v>#N/A</v>
      </c>
      <c r="B2631" s="123"/>
      <c r="C2631" s="133" t="e">
        <f>VLOOKUP(B2631,'lista 1'!$A$2:$E$31000,5,0)</f>
        <v>#N/A</v>
      </c>
      <c r="D2631" s="167" t="e">
        <f>VLOOKUP(E14431,'lista obszary'!A:B,2,0)</f>
        <v>#N/A</v>
      </c>
      <c r="E2631" s="128" t="e">
        <f>VLOOKUP(B2631,'LISTA 12'!$A$2:$G$301400,5,0)</f>
        <v>#N/A</v>
      </c>
      <c r="F2631" s="121" t="e">
        <f>VLOOKUP(B2631,'LISTA 12'!$A$2:$G$30100,7,0)</f>
        <v>#N/A</v>
      </c>
      <c r="G2631" s="254" t="e">
        <f>VLOOKUP(H2631,'lista 3'!$A$1:$C$31467,3,0)</f>
        <v>#N/A</v>
      </c>
      <c r="H2631" s="134"/>
      <c r="I2631" s="136"/>
      <c r="J2631" s="135"/>
      <c r="K2631" s="22"/>
    </row>
    <row r="2632" spans="1:11">
      <c r="A2632" s="241" t="e">
        <f>VLOOKUP(B2632,'lista 1'!$A$2:$E$30100,4,0)</f>
        <v>#N/A</v>
      </c>
      <c r="B2632" s="123"/>
      <c r="C2632" s="133" t="e">
        <f>VLOOKUP(B2632,'lista 1'!$A$2:$E$31000,5,0)</f>
        <v>#N/A</v>
      </c>
      <c r="D2632" s="167" t="e">
        <f>VLOOKUP(E14432,'lista obszary'!A:B,2,0)</f>
        <v>#N/A</v>
      </c>
      <c r="E2632" s="128" t="e">
        <f>VLOOKUP(B2632,'LISTA 12'!$A$2:$G$301400,5,0)</f>
        <v>#N/A</v>
      </c>
      <c r="F2632" s="121" t="e">
        <f>VLOOKUP(B2632,'LISTA 12'!$A$2:$G$30100,7,0)</f>
        <v>#N/A</v>
      </c>
      <c r="G2632" s="254" t="e">
        <f>VLOOKUP(H2632,'lista 3'!$A$1:$C$31467,3,0)</f>
        <v>#N/A</v>
      </c>
      <c r="H2632" s="134"/>
      <c r="I2632" s="136"/>
      <c r="J2632" s="135"/>
      <c r="K2632" s="22"/>
    </row>
    <row r="2633" spans="1:11">
      <c r="A2633" s="241" t="e">
        <f>VLOOKUP(B2633,'lista 1'!$A$2:$E$30100,4,0)</f>
        <v>#N/A</v>
      </c>
      <c r="B2633" s="123"/>
      <c r="C2633" s="133" t="e">
        <f>VLOOKUP(B2633,'lista 1'!$A$2:$E$31000,5,0)</f>
        <v>#N/A</v>
      </c>
      <c r="D2633" s="167" t="e">
        <f>VLOOKUP(E14433,'lista obszary'!A:B,2,0)</f>
        <v>#N/A</v>
      </c>
      <c r="E2633" s="128" t="e">
        <f>VLOOKUP(B2633,'LISTA 12'!$A$2:$G$301400,5,0)</f>
        <v>#N/A</v>
      </c>
      <c r="F2633" s="121" t="e">
        <f>VLOOKUP(B2633,'LISTA 12'!$A$2:$G$30100,7,0)</f>
        <v>#N/A</v>
      </c>
      <c r="G2633" s="254" t="e">
        <f>VLOOKUP(H2633,'lista 3'!$A$1:$C$31467,3,0)</f>
        <v>#N/A</v>
      </c>
      <c r="H2633" s="134"/>
      <c r="I2633" s="136"/>
      <c r="J2633" s="135"/>
      <c r="K2633" s="22"/>
    </row>
    <row r="2634" spans="1:11">
      <c r="A2634" s="241" t="e">
        <f>VLOOKUP(B2634,'lista 1'!$A$2:$E$30100,4,0)</f>
        <v>#N/A</v>
      </c>
      <c r="B2634" s="123"/>
      <c r="C2634" s="133" t="e">
        <f>VLOOKUP(B2634,'lista 1'!$A$2:$E$31000,5,0)</f>
        <v>#N/A</v>
      </c>
      <c r="D2634" s="167" t="e">
        <f>VLOOKUP(E14434,'lista obszary'!A:B,2,0)</f>
        <v>#N/A</v>
      </c>
      <c r="E2634" s="128" t="e">
        <f>VLOOKUP(B2634,'LISTA 12'!$A$2:$G$301400,5,0)</f>
        <v>#N/A</v>
      </c>
      <c r="F2634" s="121" t="e">
        <f>VLOOKUP(B2634,'LISTA 12'!$A$2:$G$30100,7,0)</f>
        <v>#N/A</v>
      </c>
      <c r="G2634" s="254" t="e">
        <f>VLOOKUP(H2634,'lista 3'!$A$1:$C$31467,3,0)</f>
        <v>#N/A</v>
      </c>
      <c r="H2634" s="134"/>
      <c r="I2634" s="136"/>
      <c r="J2634" s="135"/>
      <c r="K2634" s="22"/>
    </row>
    <row r="2635" spans="1:11">
      <c r="A2635" s="241" t="e">
        <f>VLOOKUP(B2635,'lista 1'!$A$2:$E$30100,4,0)</f>
        <v>#N/A</v>
      </c>
      <c r="B2635" s="123"/>
      <c r="C2635" s="133" t="e">
        <f>VLOOKUP(B2635,'lista 1'!$A$2:$E$31000,5,0)</f>
        <v>#N/A</v>
      </c>
      <c r="D2635" s="167" t="e">
        <f>VLOOKUP(E14435,'lista obszary'!A:B,2,0)</f>
        <v>#N/A</v>
      </c>
      <c r="E2635" s="128" t="e">
        <f>VLOOKUP(B2635,'LISTA 12'!$A$2:$G$301400,5,0)</f>
        <v>#N/A</v>
      </c>
      <c r="F2635" s="121" t="e">
        <f>VLOOKUP(B2635,'LISTA 12'!$A$2:$G$30100,7,0)</f>
        <v>#N/A</v>
      </c>
      <c r="G2635" s="254" t="e">
        <f>VLOOKUP(H2635,'lista 3'!$A$1:$C$31467,3,0)</f>
        <v>#N/A</v>
      </c>
      <c r="H2635" s="134"/>
      <c r="I2635" s="136"/>
      <c r="J2635" s="135"/>
      <c r="K2635" s="22"/>
    </row>
    <row r="2636" spans="1:11">
      <c r="A2636" s="241" t="e">
        <f>VLOOKUP(B2636,'lista 1'!$A$2:$E$30100,4,0)</f>
        <v>#N/A</v>
      </c>
      <c r="B2636" s="123"/>
      <c r="C2636" s="133" t="e">
        <f>VLOOKUP(B2636,'lista 1'!$A$2:$E$31000,5,0)</f>
        <v>#N/A</v>
      </c>
      <c r="D2636" s="167" t="e">
        <f>VLOOKUP(E14436,'lista obszary'!A:B,2,0)</f>
        <v>#N/A</v>
      </c>
      <c r="E2636" s="128" t="e">
        <f>VLOOKUP(B2636,'LISTA 12'!$A$2:$G$301400,5,0)</f>
        <v>#N/A</v>
      </c>
      <c r="F2636" s="121" t="e">
        <f>VLOOKUP(B2636,'LISTA 12'!$A$2:$G$30100,7,0)</f>
        <v>#N/A</v>
      </c>
      <c r="G2636" s="254" t="e">
        <f>VLOOKUP(H2636,'lista 3'!$A$1:$C$31467,3,0)</f>
        <v>#N/A</v>
      </c>
      <c r="H2636" s="134"/>
      <c r="I2636" s="136"/>
      <c r="J2636" s="135"/>
      <c r="K2636" s="22"/>
    </row>
    <row r="2637" spans="1:11">
      <c r="A2637" s="241" t="e">
        <f>VLOOKUP(B2637,'lista 1'!$A$2:$E$30100,4,0)</f>
        <v>#N/A</v>
      </c>
      <c r="B2637" s="123"/>
      <c r="C2637" s="133" t="e">
        <f>VLOOKUP(B2637,'lista 1'!$A$2:$E$31000,5,0)</f>
        <v>#N/A</v>
      </c>
      <c r="D2637" s="167" t="e">
        <f>VLOOKUP(E14437,'lista obszary'!A:B,2,0)</f>
        <v>#N/A</v>
      </c>
      <c r="E2637" s="128" t="e">
        <f>VLOOKUP(B2637,'LISTA 12'!$A$2:$G$301400,5,0)</f>
        <v>#N/A</v>
      </c>
      <c r="F2637" s="121" t="e">
        <f>VLOOKUP(B2637,'LISTA 12'!$A$2:$G$30100,7,0)</f>
        <v>#N/A</v>
      </c>
      <c r="G2637" s="254" t="e">
        <f>VLOOKUP(H2637,'lista 3'!$A$1:$C$31467,3,0)</f>
        <v>#N/A</v>
      </c>
      <c r="H2637" s="134"/>
      <c r="I2637" s="136"/>
      <c r="J2637" s="135"/>
      <c r="K2637" s="22"/>
    </row>
    <row r="2638" spans="1:11">
      <c r="A2638" s="241" t="e">
        <f>VLOOKUP(B2638,'lista 1'!$A$2:$E$30100,4,0)</f>
        <v>#N/A</v>
      </c>
      <c r="B2638" s="123"/>
      <c r="C2638" s="133" t="e">
        <f>VLOOKUP(B2638,'lista 1'!$A$2:$E$31000,5,0)</f>
        <v>#N/A</v>
      </c>
      <c r="D2638" s="167" t="e">
        <f>VLOOKUP(E14438,'lista obszary'!A:B,2,0)</f>
        <v>#N/A</v>
      </c>
      <c r="E2638" s="128" t="e">
        <f>VLOOKUP(B2638,'LISTA 12'!$A$2:$G$301400,5,0)</f>
        <v>#N/A</v>
      </c>
      <c r="F2638" s="121" t="e">
        <f>VLOOKUP(B2638,'LISTA 12'!$A$2:$G$30100,7,0)</f>
        <v>#N/A</v>
      </c>
      <c r="G2638" s="254" t="e">
        <f>VLOOKUP(H2638,'lista 3'!$A$1:$C$31467,3,0)</f>
        <v>#N/A</v>
      </c>
      <c r="H2638" s="134"/>
      <c r="I2638" s="136"/>
      <c r="J2638" s="135"/>
      <c r="K2638" s="22"/>
    </row>
    <row r="2639" spans="1:11">
      <c r="A2639" s="241" t="e">
        <f>VLOOKUP(B2639,'lista 1'!$A$2:$E$30100,4,0)</f>
        <v>#N/A</v>
      </c>
      <c r="B2639" s="123"/>
      <c r="C2639" s="133" t="e">
        <f>VLOOKUP(B2639,'lista 1'!$A$2:$E$31000,5,0)</f>
        <v>#N/A</v>
      </c>
      <c r="D2639" s="167" t="e">
        <f>VLOOKUP(E14439,'lista obszary'!A:B,2,0)</f>
        <v>#N/A</v>
      </c>
      <c r="E2639" s="128" t="e">
        <f>VLOOKUP(B2639,'LISTA 12'!$A$2:$G$301400,5,0)</f>
        <v>#N/A</v>
      </c>
      <c r="F2639" s="121" t="e">
        <f>VLOOKUP(B2639,'LISTA 12'!$A$2:$G$30100,7,0)</f>
        <v>#N/A</v>
      </c>
      <c r="G2639" s="254" t="e">
        <f>VLOOKUP(H2639,'lista 3'!$A$1:$C$31467,3,0)</f>
        <v>#N/A</v>
      </c>
      <c r="H2639" s="134"/>
      <c r="I2639" s="136"/>
      <c r="J2639" s="135"/>
      <c r="K2639" s="22"/>
    </row>
    <row r="2640" spans="1:11">
      <c r="A2640" s="241" t="e">
        <f>VLOOKUP(B2640,'lista 1'!$A$2:$E$30100,4,0)</f>
        <v>#N/A</v>
      </c>
      <c r="B2640" s="123"/>
      <c r="C2640" s="133" t="e">
        <f>VLOOKUP(B2640,'lista 1'!$A$2:$E$31000,5,0)</f>
        <v>#N/A</v>
      </c>
      <c r="D2640" s="167" t="e">
        <f>VLOOKUP(E14440,'lista obszary'!A:B,2,0)</f>
        <v>#N/A</v>
      </c>
      <c r="E2640" s="128" t="e">
        <f>VLOOKUP(B2640,'LISTA 12'!$A$2:$G$301400,5,0)</f>
        <v>#N/A</v>
      </c>
      <c r="F2640" s="121" t="e">
        <f>VLOOKUP(B2640,'LISTA 12'!$A$2:$G$30100,7,0)</f>
        <v>#N/A</v>
      </c>
      <c r="G2640" s="254" t="e">
        <f>VLOOKUP(H2640,'lista 3'!$A$1:$C$31467,3,0)</f>
        <v>#N/A</v>
      </c>
      <c r="H2640" s="134"/>
      <c r="I2640" s="136"/>
      <c r="J2640" s="135"/>
      <c r="K2640" s="22"/>
    </row>
    <row r="2641" spans="1:11">
      <c r="A2641" s="241" t="e">
        <f>VLOOKUP(B2641,'lista 1'!$A$2:$E$30100,4,0)</f>
        <v>#N/A</v>
      </c>
      <c r="B2641" s="123"/>
      <c r="C2641" s="133" t="e">
        <f>VLOOKUP(B2641,'lista 1'!$A$2:$E$31000,5,0)</f>
        <v>#N/A</v>
      </c>
      <c r="D2641" s="167" t="e">
        <f>VLOOKUP(E14441,'lista obszary'!A:B,2,0)</f>
        <v>#N/A</v>
      </c>
      <c r="E2641" s="128" t="e">
        <f>VLOOKUP(B2641,'LISTA 12'!$A$2:$G$301400,5,0)</f>
        <v>#N/A</v>
      </c>
      <c r="F2641" s="121" t="e">
        <f>VLOOKUP(B2641,'LISTA 12'!$A$2:$G$30100,7,0)</f>
        <v>#N/A</v>
      </c>
      <c r="G2641" s="254" t="e">
        <f>VLOOKUP(H2641,'lista 3'!$A$1:$C$31467,3,0)</f>
        <v>#N/A</v>
      </c>
      <c r="H2641" s="134"/>
      <c r="I2641" s="136"/>
      <c r="J2641" s="135"/>
      <c r="K2641" s="22"/>
    </row>
    <row r="2642" spans="1:11">
      <c r="A2642" s="241" t="e">
        <f>VLOOKUP(B2642,'lista 1'!$A$2:$E$30100,4,0)</f>
        <v>#N/A</v>
      </c>
      <c r="B2642" s="123"/>
      <c r="C2642" s="133" t="e">
        <f>VLOOKUP(B2642,'lista 1'!$A$2:$E$31000,5,0)</f>
        <v>#N/A</v>
      </c>
      <c r="D2642" s="167" t="e">
        <f>VLOOKUP(E14442,'lista obszary'!A:B,2,0)</f>
        <v>#N/A</v>
      </c>
      <c r="E2642" s="128" t="e">
        <f>VLOOKUP(B2642,'LISTA 12'!$A$2:$G$301400,5,0)</f>
        <v>#N/A</v>
      </c>
      <c r="F2642" s="121" t="e">
        <f>VLOOKUP(B2642,'LISTA 12'!$A$2:$G$30100,7,0)</f>
        <v>#N/A</v>
      </c>
      <c r="G2642" s="254" t="e">
        <f>VLOOKUP(H2642,'lista 3'!$A$1:$C$31467,3,0)</f>
        <v>#N/A</v>
      </c>
      <c r="H2642" s="134"/>
      <c r="I2642" s="136"/>
      <c r="J2642" s="135"/>
      <c r="K2642" s="22"/>
    </row>
    <row r="2643" spans="1:11">
      <c r="A2643" s="241" t="e">
        <f>VLOOKUP(B2643,'lista 1'!$A$2:$E$30100,4,0)</f>
        <v>#N/A</v>
      </c>
      <c r="B2643" s="123"/>
      <c r="C2643" s="133" t="e">
        <f>VLOOKUP(B2643,'lista 1'!$A$2:$E$31000,5,0)</f>
        <v>#N/A</v>
      </c>
      <c r="D2643" s="167" t="e">
        <f>VLOOKUP(E14443,'lista obszary'!A:B,2,0)</f>
        <v>#N/A</v>
      </c>
      <c r="E2643" s="128" t="e">
        <f>VLOOKUP(B2643,'LISTA 12'!$A$2:$G$301400,5,0)</f>
        <v>#N/A</v>
      </c>
      <c r="F2643" s="121" t="e">
        <f>VLOOKUP(B2643,'LISTA 12'!$A$2:$G$30100,7,0)</f>
        <v>#N/A</v>
      </c>
      <c r="G2643" s="254" t="e">
        <f>VLOOKUP(H2643,'lista 3'!$A$1:$C$31467,3,0)</f>
        <v>#N/A</v>
      </c>
      <c r="H2643" s="134"/>
      <c r="I2643" s="136"/>
      <c r="J2643" s="135"/>
      <c r="K2643" s="22"/>
    </row>
    <row r="2644" spans="1:11">
      <c r="A2644" s="241" t="e">
        <f>VLOOKUP(B2644,'lista 1'!$A$2:$E$30100,4,0)</f>
        <v>#N/A</v>
      </c>
      <c r="B2644" s="123"/>
      <c r="C2644" s="133" t="e">
        <f>VLOOKUP(B2644,'lista 1'!$A$2:$E$31000,5,0)</f>
        <v>#N/A</v>
      </c>
      <c r="D2644" s="167" t="e">
        <f>VLOOKUP(E14444,'lista obszary'!A:B,2,0)</f>
        <v>#N/A</v>
      </c>
      <c r="E2644" s="128" t="e">
        <f>VLOOKUP(B2644,'LISTA 12'!$A$2:$G$301400,5,0)</f>
        <v>#N/A</v>
      </c>
      <c r="F2644" s="121" t="e">
        <f>VLOOKUP(B2644,'LISTA 12'!$A$2:$G$30100,7,0)</f>
        <v>#N/A</v>
      </c>
      <c r="G2644" s="254" t="e">
        <f>VLOOKUP(H2644,'lista 3'!$A$1:$C$31467,3,0)</f>
        <v>#N/A</v>
      </c>
      <c r="H2644" s="134"/>
      <c r="I2644" s="136"/>
      <c r="J2644" s="135"/>
      <c r="K2644" s="22"/>
    </row>
    <row r="2645" spans="1:11">
      <c r="A2645" s="241" t="e">
        <f>VLOOKUP(B2645,'lista 1'!$A$2:$E$30100,4,0)</f>
        <v>#N/A</v>
      </c>
      <c r="B2645" s="123"/>
      <c r="C2645" s="133" t="e">
        <f>VLOOKUP(B2645,'lista 1'!$A$2:$E$31000,5,0)</f>
        <v>#N/A</v>
      </c>
      <c r="D2645" s="167" t="e">
        <f>VLOOKUP(E14445,'lista obszary'!A:B,2,0)</f>
        <v>#N/A</v>
      </c>
      <c r="E2645" s="128" t="e">
        <f>VLOOKUP(B2645,'LISTA 12'!$A$2:$G$301400,5,0)</f>
        <v>#N/A</v>
      </c>
      <c r="F2645" s="121" t="e">
        <f>VLOOKUP(B2645,'LISTA 12'!$A$2:$G$30100,7,0)</f>
        <v>#N/A</v>
      </c>
      <c r="G2645" s="254" t="e">
        <f>VLOOKUP(H2645,'lista 3'!$A$1:$C$31467,3,0)</f>
        <v>#N/A</v>
      </c>
      <c r="H2645" s="134"/>
      <c r="I2645" s="136"/>
      <c r="J2645" s="135"/>
      <c r="K2645" s="22"/>
    </row>
    <row r="2646" spans="1:11">
      <c r="A2646" s="241" t="e">
        <f>VLOOKUP(B2646,'lista 1'!$A$2:$E$30100,4,0)</f>
        <v>#N/A</v>
      </c>
      <c r="B2646" s="123"/>
      <c r="C2646" s="133" t="e">
        <f>VLOOKUP(B2646,'lista 1'!$A$2:$E$31000,5,0)</f>
        <v>#N/A</v>
      </c>
      <c r="D2646" s="167" t="e">
        <f>VLOOKUP(E14446,'lista obszary'!A:B,2,0)</f>
        <v>#N/A</v>
      </c>
      <c r="E2646" s="128" t="e">
        <f>VLOOKUP(B2646,'LISTA 12'!$A$2:$G$301400,5,0)</f>
        <v>#N/A</v>
      </c>
      <c r="F2646" s="121" t="e">
        <f>VLOOKUP(B2646,'LISTA 12'!$A$2:$G$30100,7,0)</f>
        <v>#N/A</v>
      </c>
      <c r="G2646" s="254" t="e">
        <f>VLOOKUP(H2646,'lista 3'!$A$1:$C$31467,3,0)</f>
        <v>#N/A</v>
      </c>
      <c r="H2646" s="134"/>
      <c r="I2646" s="136"/>
      <c r="J2646" s="135"/>
      <c r="K2646" s="22"/>
    </row>
    <row r="2647" spans="1:11">
      <c r="A2647" s="241" t="e">
        <f>VLOOKUP(B2647,'lista 1'!$A$2:$E$30100,4,0)</f>
        <v>#N/A</v>
      </c>
      <c r="B2647" s="123"/>
      <c r="C2647" s="133" t="e">
        <f>VLOOKUP(B2647,'lista 1'!$A$2:$E$31000,5,0)</f>
        <v>#N/A</v>
      </c>
      <c r="D2647" s="167" t="e">
        <f>VLOOKUP(E14447,'lista obszary'!A:B,2,0)</f>
        <v>#N/A</v>
      </c>
      <c r="E2647" s="128" t="e">
        <f>VLOOKUP(B2647,'LISTA 12'!$A$2:$G$301400,5,0)</f>
        <v>#N/A</v>
      </c>
      <c r="F2647" s="121" t="e">
        <f>VLOOKUP(B2647,'LISTA 12'!$A$2:$G$30100,7,0)</f>
        <v>#N/A</v>
      </c>
      <c r="G2647" s="254" t="e">
        <f>VLOOKUP(H2647,'lista 3'!$A$1:$C$31467,3,0)</f>
        <v>#N/A</v>
      </c>
      <c r="H2647" s="134"/>
      <c r="I2647" s="136"/>
      <c r="J2647" s="135"/>
      <c r="K2647" s="22"/>
    </row>
    <row r="2648" spans="1:11">
      <c r="A2648" s="241" t="e">
        <f>VLOOKUP(B2648,'lista 1'!$A$2:$E$30100,4,0)</f>
        <v>#N/A</v>
      </c>
      <c r="B2648" s="123"/>
      <c r="C2648" s="133" t="e">
        <f>VLOOKUP(B2648,'lista 1'!$A$2:$E$31000,5,0)</f>
        <v>#N/A</v>
      </c>
      <c r="D2648" s="167" t="e">
        <f>VLOOKUP(E14448,'lista obszary'!A:B,2,0)</f>
        <v>#N/A</v>
      </c>
      <c r="E2648" s="128" t="e">
        <f>VLOOKUP(B2648,'LISTA 12'!$A$2:$G$301400,5,0)</f>
        <v>#N/A</v>
      </c>
      <c r="F2648" s="121" t="e">
        <f>VLOOKUP(B2648,'LISTA 12'!$A$2:$G$30100,7,0)</f>
        <v>#N/A</v>
      </c>
      <c r="G2648" s="254" t="e">
        <f>VLOOKUP(H2648,'lista 3'!$A$1:$C$31467,3,0)</f>
        <v>#N/A</v>
      </c>
      <c r="H2648" s="134"/>
      <c r="I2648" s="136"/>
      <c r="J2648" s="135"/>
      <c r="K2648" s="22"/>
    </row>
    <row r="2649" spans="1:11">
      <c r="A2649" s="241" t="e">
        <f>VLOOKUP(B2649,'lista 1'!$A$2:$E$30100,4,0)</f>
        <v>#N/A</v>
      </c>
      <c r="B2649" s="123"/>
      <c r="C2649" s="133" t="e">
        <f>VLOOKUP(B2649,'lista 1'!$A$2:$E$31000,5,0)</f>
        <v>#N/A</v>
      </c>
      <c r="D2649" s="167" t="e">
        <f>VLOOKUP(E14449,'lista obszary'!A:B,2,0)</f>
        <v>#N/A</v>
      </c>
      <c r="E2649" s="128" t="e">
        <f>VLOOKUP(B2649,'LISTA 12'!$A$2:$G$301400,5,0)</f>
        <v>#N/A</v>
      </c>
      <c r="F2649" s="121" t="e">
        <f>VLOOKUP(B2649,'LISTA 12'!$A$2:$G$30100,7,0)</f>
        <v>#N/A</v>
      </c>
      <c r="G2649" s="254" t="e">
        <f>VLOOKUP(H2649,'lista 3'!$A$1:$C$31467,3,0)</f>
        <v>#N/A</v>
      </c>
      <c r="H2649" s="134"/>
      <c r="I2649" s="136"/>
      <c r="J2649" s="135"/>
      <c r="K2649" s="22"/>
    </row>
    <row r="2650" spans="1:11">
      <c r="A2650" s="241" t="e">
        <f>VLOOKUP(B2650,'lista 1'!$A$2:$E$30100,4,0)</f>
        <v>#N/A</v>
      </c>
      <c r="B2650" s="123"/>
      <c r="C2650" s="133" t="e">
        <f>VLOOKUP(B2650,'lista 1'!$A$2:$E$31000,5,0)</f>
        <v>#N/A</v>
      </c>
      <c r="D2650" s="167" t="e">
        <f>VLOOKUP(E14450,'lista obszary'!A:B,2,0)</f>
        <v>#N/A</v>
      </c>
      <c r="E2650" s="128" t="e">
        <f>VLOOKUP(B2650,'LISTA 12'!$A$2:$G$301400,5,0)</f>
        <v>#N/A</v>
      </c>
      <c r="F2650" s="121" t="e">
        <f>VLOOKUP(B2650,'LISTA 12'!$A$2:$G$30100,7,0)</f>
        <v>#N/A</v>
      </c>
      <c r="G2650" s="254" t="e">
        <f>VLOOKUP(H2650,'lista 3'!$A$1:$C$31467,3,0)</f>
        <v>#N/A</v>
      </c>
      <c r="H2650" s="134"/>
      <c r="I2650" s="136"/>
      <c r="J2650" s="135"/>
      <c r="K2650" s="22"/>
    </row>
    <row r="2651" spans="1:11">
      <c r="A2651" s="241" t="e">
        <f>VLOOKUP(B2651,'lista 1'!$A$2:$E$30100,4,0)</f>
        <v>#N/A</v>
      </c>
      <c r="B2651" s="123"/>
      <c r="C2651" s="133" t="e">
        <f>VLOOKUP(B2651,'lista 1'!$A$2:$E$31000,5,0)</f>
        <v>#N/A</v>
      </c>
      <c r="D2651" s="167" t="e">
        <f>VLOOKUP(E14451,'lista obszary'!A:B,2,0)</f>
        <v>#N/A</v>
      </c>
      <c r="E2651" s="128" t="e">
        <f>VLOOKUP(B2651,'LISTA 12'!$A$2:$G$301400,5,0)</f>
        <v>#N/A</v>
      </c>
      <c r="F2651" s="121" t="e">
        <f>VLOOKUP(B2651,'LISTA 12'!$A$2:$G$30100,7,0)</f>
        <v>#N/A</v>
      </c>
      <c r="G2651" s="254" t="e">
        <f>VLOOKUP(H2651,'lista 3'!$A$1:$C$31467,3,0)</f>
        <v>#N/A</v>
      </c>
      <c r="H2651" s="134"/>
      <c r="I2651" s="136"/>
      <c r="J2651" s="135"/>
      <c r="K2651" s="22"/>
    </row>
    <row r="2652" spans="1:11">
      <c r="A2652" s="241" t="e">
        <f>VLOOKUP(B2652,'lista 1'!$A$2:$E$30100,4,0)</f>
        <v>#N/A</v>
      </c>
      <c r="B2652" s="123"/>
      <c r="C2652" s="133" t="e">
        <f>VLOOKUP(B2652,'lista 1'!$A$2:$E$31000,5,0)</f>
        <v>#N/A</v>
      </c>
      <c r="D2652" s="167" t="e">
        <f>VLOOKUP(E14452,'lista obszary'!A:B,2,0)</f>
        <v>#N/A</v>
      </c>
      <c r="E2652" s="128" t="e">
        <f>VLOOKUP(B2652,'LISTA 12'!$A$2:$G$301400,5,0)</f>
        <v>#N/A</v>
      </c>
      <c r="F2652" s="121" t="e">
        <f>VLOOKUP(B2652,'LISTA 12'!$A$2:$G$30100,7,0)</f>
        <v>#N/A</v>
      </c>
      <c r="G2652" s="254" t="e">
        <f>VLOOKUP(H2652,'lista 3'!$A$1:$C$31467,3,0)</f>
        <v>#N/A</v>
      </c>
      <c r="H2652" s="134"/>
      <c r="I2652" s="136"/>
      <c r="J2652" s="135"/>
      <c r="K2652" s="22"/>
    </row>
    <row r="2653" spans="1:11">
      <c r="A2653" s="241" t="e">
        <f>VLOOKUP(B2653,'lista 1'!$A$2:$E$30100,4,0)</f>
        <v>#N/A</v>
      </c>
      <c r="B2653" s="123"/>
      <c r="C2653" s="133" t="e">
        <f>VLOOKUP(B2653,'lista 1'!$A$2:$E$31000,5,0)</f>
        <v>#N/A</v>
      </c>
      <c r="D2653" s="167" t="e">
        <f>VLOOKUP(E14453,'lista obszary'!A:B,2,0)</f>
        <v>#N/A</v>
      </c>
      <c r="E2653" s="128" t="e">
        <f>VLOOKUP(B2653,'LISTA 12'!$A$2:$G$301400,5,0)</f>
        <v>#N/A</v>
      </c>
      <c r="F2653" s="121" t="e">
        <f>VLOOKUP(B2653,'LISTA 12'!$A$2:$G$30100,7,0)</f>
        <v>#N/A</v>
      </c>
      <c r="G2653" s="254" t="e">
        <f>VLOOKUP(H2653,'lista 3'!$A$1:$C$31467,3,0)</f>
        <v>#N/A</v>
      </c>
      <c r="H2653" s="134"/>
      <c r="I2653" s="136"/>
      <c r="J2653" s="135"/>
      <c r="K2653" s="22"/>
    </row>
    <row r="2654" spans="1:11">
      <c r="A2654" s="241" t="e">
        <f>VLOOKUP(B2654,'lista 1'!$A$2:$E$30100,4,0)</f>
        <v>#N/A</v>
      </c>
      <c r="B2654" s="123"/>
      <c r="C2654" s="133" t="e">
        <f>VLOOKUP(B2654,'lista 1'!$A$2:$E$31000,5,0)</f>
        <v>#N/A</v>
      </c>
      <c r="D2654" s="167" t="e">
        <f>VLOOKUP(E14454,'lista obszary'!A:B,2,0)</f>
        <v>#N/A</v>
      </c>
      <c r="E2654" s="128" t="e">
        <f>VLOOKUP(B2654,'LISTA 12'!$A$2:$G$301400,5,0)</f>
        <v>#N/A</v>
      </c>
      <c r="F2654" s="121" t="e">
        <f>VLOOKUP(B2654,'LISTA 12'!$A$2:$G$30100,7,0)</f>
        <v>#N/A</v>
      </c>
      <c r="G2654" s="254" t="e">
        <f>VLOOKUP(H2654,'lista 3'!$A$1:$C$31467,3,0)</f>
        <v>#N/A</v>
      </c>
      <c r="H2654" s="134"/>
      <c r="I2654" s="136"/>
      <c r="J2654" s="135"/>
      <c r="K2654" s="22"/>
    </row>
    <row r="2655" spans="1:11">
      <c r="A2655" s="241" t="e">
        <f>VLOOKUP(B2655,'lista 1'!$A$2:$E$30100,4,0)</f>
        <v>#N/A</v>
      </c>
      <c r="B2655" s="123"/>
      <c r="C2655" s="133" t="e">
        <f>VLOOKUP(B2655,'lista 1'!$A$2:$E$31000,5,0)</f>
        <v>#N/A</v>
      </c>
      <c r="D2655" s="167" t="e">
        <f>VLOOKUP(E14455,'lista obszary'!A:B,2,0)</f>
        <v>#N/A</v>
      </c>
      <c r="E2655" s="128" t="e">
        <f>VLOOKUP(B2655,'LISTA 12'!$A$2:$G$301400,5,0)</f>
        <v>#N/A</v>
      </c>
      <c r="F2655" s="121" t="e">
        <f>VLOOKUP(B2655,'LISTA 12'!$A$2:$G$30100,7,0)</f>
        <v>#N/A</v>
      </c>
      <c r="G2655" s="254" t="e">
        <f>VLOOKUP(H2655,'lista 3'!$A$1:$C$31467,3,0)</f>
        <v>#N/A</v>
      </c>
      <c r="H2655" s="134"/>
      <c r="I2655" s="136"/>
      <c r="J2655" s="135"/>
      <c r="K2655" s="22"/>
    </row>
    <row r="2656" spans="1:11">
      <c r="A2656" s="241" t="e">
        <f>VLOOKUP(B2656,'lista 1'!$A$2:$E$30100,4,0)</f>
        <v>#N/A</v>
      </c>
      <c r="B2656" s="123"/>
      <c r="C2656" s="133" t="e">
        <f>VLOOKUP(B2656,'lista 1'!$A$2:$E$31000,5,0)</f>
        <v>#N/A</v>
      </c>
      <c r="D2656" s="167" t="e">
        <f>VLOOKUP(E14456,'lista obszary'!A:B,2,0)</f>
        <v>#N/A</v>
      </c>
      <c r="E2656" s="128" t="e">
        <f>VLOOKUP(B2656,'LISTA 12'!$A$2:$G$301400,5,0)</f>
        <v>#N/A</v>
      </c>
      <c r="F2656" s="121" t="e">
        <f>VLOOKUP(B2656,'LISTA 12'!$A$2:$G$30100,7,0)</f>
        <v>#N/A</v>
      </c>
      <c r="G2656" s="254" t="e">
        <f>VLOOKUP(H2656,'lista 3'!$A$1:$C$31467,3,0)</f>
        <v>#N/A</v>
      </c>
      <c r="H2656" s="134"/>
      <c r="I2656" s="136"/>
      <c r="J2656" s="135"/>
      <c r="K2656" s="22"/>
    </row>
    <row r="2657" spans="1:11">
      <c r="A2657" s="241" t="e">
        <f>VLOOKUP(B2657,'lista 1'!$A$2:$E$30100,4,0)</f>
        <v>#N/A</v>
      </c>
      <c r="B2657" s="123"/>
      <c r="C2657" s="133" t="e">
        <f>VLOOKUP(B2657,'lista 1'!$A$2:$E$31000,5,0)</f>
        <v>#N/A</v>
      </c>
      <c r="D2657" s="167" t="e">
        <f>VLOOKUP(E14457,'lista obszary'!A:B,2,0)</f>
        <v>#N/A</v>
      </c>
      <c r="E2657" s="128" t="e">
        <f>VLOOKUP(B2657,'LISTA 12'!$A$2:$G$301400,5,0)</f>
        <v>#N/A</v>
      </c>
      <c r="F2657" s="121" t="e">
        <f>VLOOKUP(B2657,'LISTA 12'!$A$2:$G$30100,7,0)</f>
        <v>#N/A</v>
      </c>
      <c r="G2657" s="254" t="e">
        <f>VLOOKUP(H2657,'lista 3'!$A$1:$C$31467,3,0)</f>
        <v>#N/A</v>
      </c>
      <c r="H2657" s="134"/>
      <c r="I2657" s="136"/>
      <c r="J2657" s="135"/>
      <c r="K2657" s="22"/>
    </row>
    <row r="2658" spans="1:11">
      <c r="A2658" s="241" t="e">
        <f>VLOOKUP(B2658,'lista 1'!$A$2:$E$30100,4,0)</f>
        <v>#N/A</v>
      </c>
      <c r="B2658" s="123"/>
      <c r="C2658" s="133" t="e">
        <f>VLOOKUP(B2658,'lista 1'!$A$2:$E$31000,5,0)</f>
        <v>#N/A</v>
      </c>
      <c r="D2658" s="167" t="e">
        <f>VLOOKUP(E14458,'lista obszary'!A:B,2,0)</f>
        <v>#N/A</v>
      </c>
      <c r="E2658" s="128" t="e">
        <f>VLOOKUP(B2658,'LISTA 12'!$A$2:$G$301400,5,0)</f>
        <v>#N/A</v>
      </c>
      <c r="F2658" s="121" t="e">
        <f>VLOOKUP(B2658,'LISTA 12'!$A$2:$G$30100,7,0)</f>
        <v>#N/A</v>
      </c>
      <c r="G2658" s="254" t="e">
        <f>VLOOKUP(H2658,'lista 3'!$A$1:$C$31467,3,0)</f>
        <v>#N/A</v>
      </c>
      <c r="H2658" s="134"/>
      <c r="I2658" s="136"/>
      <c r="J2658" s="135"/>
      <c r="K2658" s="22"/>
    </row>
    <row r="2659" spans="1:11">
      <c r="A2659" s="241" t="e">
        <f>VLOOKUP(B2659,'lista 1'!$A$2:$E$30100,4,0)</f>
        <v>#N/A</v>
      </c>
      <c r="B2659" s="123"/>
      <c r="C2659" s="133" t="e">
        <f>VLOOKUP(B2659,'lista 1'!$A$2:$E$31000,5,0)</f>
        <v>#N/A</v>
      </c>
      <c r="D2659" s="167" t="e">
        <f>VLOOKUP(E14459,'lista obszary'!A:B,2,0)</f>
        <v>#N/A</v>
      </c>
      <c r="E2659" s="128" t="e">
        <f>VLOOKUP(B2659,'LISTA 12'!$A$2:$G$301400,5,0)</f>
        <v>#N/A</v>
      </c>
      <c r="F2659" s="121" t="e">
        <f>VLOOKUP(B2659,'LISTA 12'!$A$2:$G$30100,7,0)</f>
        <v>#N/A</v>
      </c>
      <c r="G2659" s="254" t="e">
        <f>VLOOKUP(H2659,'lista 3'!$A$1:$C$31467,3,0)</f>
        <v>#N/A</v>
      </c>
      <c r="H2659" s="134"/>
      <c r="I2659" s="136"/>
      <c r="J2659" s="135"/>
      <c r="K2659" s="22"/>
    </row>
    <row r="2660" spans="1:11">
      <c r="A2660" s="241" t="e">
        <f>VLOOKUP(B2660,'lista 1'!$A$2:$E$30100,4,0)</f>
        <v>#N/A</v>
      </c>
      <c r="B2660" s="123"/>
      <c r="C2660" s="133" t="e">
        <f>VLOOKUP(B2660,'lista 1'!$A$2:$E$31000,5,0)</f>
        <v>#N/A</v>
      </c>
      <c r="D2660" s="167" t="e">
        <f>VLOOKUP(E14460,'lista obszary'!A:B,2,0)</f>
        <v>#N/A</v>
      </c>
      <c r="E2660" s="128" t="e">
        <f>VLOOKUP(B2660,'LISTA 12'!$A$2:$G$301400,5,0)</f>
        <v>#N/A</v>
      </c>
      <c r="F2660" s="121" t="e">
        <f>VLOOKUP(B2660,'LISTA 12'!$A$2:$G$30100,7,0)</f>
        <v>#N/A</v>
      </c>
      <c r="G2660" s="254" t="e">
        <f>VLOOKUP(H2660,'lista 3'!$A$1:$C$31467,3,0)</f>
        <v>#N/A</v>
      </c>
      <c r="H2660" s="134"/>
      <c r="I2660" s="136"/>
      <c r="J2660" s="135"/>
      <c r="K2660" s="22"/>
    </row>
    <row r="2661" spans="1:11">
      <c r="A2661" s="241" t="e">
        <f>VLOOKUP(B2661,'lista 1'!$A$2:$E$30100,4,0)</f>
        <v>#N/A</v>
      </c>
      <c r="B2661" s="123"/>
      <c r="C2661" s="133" t="e">
        <f>VLOOKUP(B2661,'lista 1'!$A$2:$E$31000,5,0)</f>
        <v>#N/A</v>
      </c>
      <c r="D2661" s="167" t="e">
        <f>VLOOKUP(E14461,'lista obszary'!A:B,2,0)</f>
        <v>#N/A</v>
      </c>
      <c r="E2661" s="128" t="e">
        <f>VLOOKUP(B2661,'LISTA 12'!$A$2:$G$301400,5,0)</f>
        <v>#N/A</v>
      </c>
      <c r="F2661" s="121" t="e">
        <f>VLOOKUP(B2661,'LISTA 12'!$A$2:$G$30100,7,0)</f>
        <v>#N/A</v>
      </c>
      <c r="G2661" s="254" t="e">
        <f>VLOOKUP(H2661,'lista 3'!$A$1:$C$31467,3,0)</f>
        <v>#N/A</v>
      </c>
      <c r="H2661" s="134"/>
      <c r="I2661" s="136"/>
      <c r="J2661" s="135"/>
      <c r="K2661" s="22"/>
    </row>
    <row r="2662" spans="1:11">
      <c r="A2662" s="241" t="e">
        <f>VLOOKUP(B2662,'lista 1'!$A$2:$E$30100,4,0)</f>
        <v>#N/A</v>
      </c>
      <c r="B2662" s="123"/>
      <c r="C2662" s="133" t="e">
        <f>VLOOKUP(B2662,'lista 1'!$A$2:$E$31000,5,0)</f>
        <v>#N/A</v>
      </c>
      <c r="D2662" s="167" t="e">
        <f>VLOOKUP(E14462,'lista obszary'!A:B,2,0)</f>
        <v>#N/A</v>
      </c>
      <c r="E2662" s="128" t="e">
        <f>VLOOKUP(B2662,'LISTA 12'!$A$2:$G$301400,5,0)</f>
        <v>#N/A</v>
      </c>
      <c r="F2662" s="121" t="e">
        <f>VLOOKUP(B2662,'LISTA 12'!$A$2:$G$30100,7,0)</f>
        <v>#N/A</v>
      </c>
      <c r="G2662" s="254" t="e">
        <f>VLOOKUP(H2662,'lista 3'!$A$1:$C$31467,3,0)</f>
        <v>#N/A</v>
      </c>
      <c r="H2662" s="134"/>
      <c r="I2662" s="136"/>
      <c r="J2662" s="135"/>
      <c r="K2662" s="22"/>
    </row>
    <row r="2663" spans="1:11">
      <c r="A2663" s="241" t="e">
        <f>VLOOKUP(B2663,'lista 1'!$A$2:$E$30100,4,0)</f>
        <v>#N/A</v>
      </c>
      <c r="B2663" s="123"/>
      <c r="C2663" s="133" t="e">
        <f>VLOOKUP(B2663,'lista 1'!$A$2:$E$31000,5,0)</f>
        <v>#N/A</v>
      </c>
      <c r="D2663" s="167" t="e">
        <f>VLOOKUP(E14463,'lista obszary'!A:B,2,0)</f>
        <v>#N/A</v>
      </c>
      <c r="E2663" s="128" t="e">
        <f>VLOOKUP(B2663,'LISTA 12'!$A$2:$G$301400,5,0)</f>
        <v>#N/A</v>
      </c>
      <c r="F2663" s="121" t="e">
        <f>VLOOKUP(B2663,'LISTA 12'!$A$2:$G$30100,7,0)</f>
        <v>#N/A</v>
      </c>
      <c r="G2663" s="254" t="e">
        <f>VLOOKUP(H2663,'lista 3'!$A$1:$C$31467,3,0)</f>
        <v>#N/A</v>
      </c>
      <c r="H2663" s="134"/>
      <c r="I2663" s="136"/>
      <c r="J2663" s="135"/>
      <c r="K2663" s="22"/>
    </row>
    <row r="2664" spans="1:11">
      <c r="A2664" s="241" t="e">
        <f>VLOOKUP(B2664,'lista 1'!$A$2:$E$30100,4,0)</f>
        <v>#N/A</v>
      </c>
      <c r="B2664" s="123"/>
      <c r="C2664" s="133" t="e">
        <f>VLOOKUP(B2664,'lista 1'!$A$2:$E$31000,5,0)</f>
        <v>#N/A</v>
      </c>
      <c r="D2664" s="167" t="e">
        <f>VLOOKUP(E14464,'lista obszary'!A:B,2,0)</f>
        <v>#N/A</v>
      </c>
      <c r="E2664" s="128" t="e">
        <f>VLOOKUP(B2664,'LISTA 12'!$A$2:$G$301400,5,0)</f>
        <v>#N/A</v>
      </c>
      <c r="F2664" s="121" t="e">
        <f>VLOOKUP(B2664,'LISTA 12'!$A$2:$G$30100,7,0)</f>
        <v>#N/A</v>
      </c>
      <c r="G2664" s="254" t="e">
        <f>VLOOKUP(H2664,'lista 3'!$A$1:$C$31467,3,0)</f>
        <v>#N/A</v>
      </c>
      <c r="H2664" s="134"/>
      <c r="I2664" s="136"/>
      <c r="J2664" s="135"/>
      <c r="K2664" s="22"/>
    </row>
    <row r="2665" spans="1:11">
      <c r="A2665" s="241" t="e">
        <f>VLOOKUP(B2665,'lista 1'!$A$2:$E$30100,4,0)</f>
        <v>#N/A</v>
      </c>
      <c r="B2665" s="123"/>
      <c r="C2665" s="133" t="e">
        <f>VLOOKUP(B2665,'lista 1'!$A$2:$E$31000,5,0)</f>
        <v>#N/A</v>
      </c>
      <c r="D2665" s="167" t="e">
        <f>VLOOKUP(E14465,'lista obszary'!A:B,2,0)</f>
        <v>#N/A</v>
      </c>
      <c r="E2665" s="128" t="e">
        <f>VLOOKUP(B2665,'LISTA 12'!$A$2:$G$301400,5,0)</f>
        <v>#N/A</v>
      </c>
      <c r="F2665" s="121" t="e">
        <f>VLOOKUP(B2665,'LISTA 12'!$A$2:$G$30100,7,0)</f>
        <v>#N/A</v>
      </c>
      <c r="G2665" s="254" t="e">
        <f>VLOOKUP(H2665,'lista 3'!$A$1:$C$31467,3,0)</f>
        <v>#N/A</v>
      </c>
      <c r="H2665" s="134"/>
      <c r="I2665" s="136"/>
      <c r="J2665" s="135"/>
      <c r="K2665" s="22"/>
    </row>
    <row r="2666" spans="1:11">
      <c r="A2666" s="241" t="e">
        <f>VLOOKUP(B2666,'lista 1'!$A$2:$E$30100,4,0)</f>
        <v>#N/A</v>
      </c>
      <c r="B2666" s="123"/>
      <c r="C2666" s="133" t="e">
        <f>VLOOKUP(B2666,'lista 1'!$A$2:$E$31000,5,0)</f>
        <v>#N/A</v>
      </c>
      <c r="D2666" s="167" t="e">
        <f>VLOOKUP(E14466,'lista obszary'!A:B,2,0)</f>
        <v>#N/A</v>
      </c>
      <c r="E2666" s="128" t="e">
        <f>VLOOKUP(B2666,'LISTA 12'!$A$2:$G$301400,5,0)</f>
        <v>#N/A</v>
      </c>
      <c r="F2666" s="121" t="e">
        <f>VLOOKUP(B2666,'LISTA 12'!$A$2:$G$30100,7,0)</f>
        <v>#N/A</v>
      </c>
      <c r="G2666" s="254" t="e">
        <f>VLOOKUP(H2666,'lista 3'!$A$1:$C$31467,3,0)</f>
        <v>#N/A</v>
      </c>
      <c r="H2666" s="134"/>
      <c r="I2666" s="136"/>
      <c r="J2666" s="135"/>
      <c r="K2666" s="22"/>
    </row>
    <row r="2667" spans="1:11">
      <c r="A2667" s="241" t="e">
        <f>VLOOKUP(B2667,'lista 1'!$A$2:$E$30100,4,0)</f>
        <v>#N/A</v>
      </c>
      <c r="B2667" s="123"/>
      <c r="C2667" s="133" t="e">
        <f>VLOOKUP(B2667,'lista 1'!$A$2:$E$31000,5,0)</f>
        <v>#N/A</v>
      </c>
      <c r="D2667" s="167" t="e">
        <f>VLOOKUP(E14467,'lista obszary'!A:B,2,0)</f>
        <v>#N/A</v>
      </c>
      <c r="E2667" s="128" t="e">
        <f>VLOOKUP(B2667,'LISTA 12'!$A$2:$G$301400,5,0)</f>
        <v>#N/A</v>
      </c>
      <c r="F2667" s="121" t="e">
        <f>VLOOKUP(B2667,'LISTA 12'!$A$2:$G$30100,7,0)</f>
        <v>#N/A</v>
      </c>
      <c r="G2667" s="254" t="e">
        <f>VLOOKUP(H2667,'lista 3'!$A$1:$C$31467,3,0)</f>
        <v>#N/A</v>
      </c>
      <c r="H2667" s="134"/>
      <c r="I2667" s="136"/>
      <c r="J2667" s="135"/>
      <c r="K2667" s="22"/>
    </row>
    <row r="2668" spans="1:11">
      <c r="A2668" s="241" t="e">
        <f>VLOOKUP(B2668,'lista 1'!$A$2:$E$30100,4,0)</f>
        <v>#N/A</v>
      </c>
      <c r="B2668" s="123"/>
      <c r="C2668" s="133" t="e">
        <f>VLOOKUP(B2668,'lista 1'!$A$2:$E$31000,5,0)</f>
        <v>#N/A</v>
      </c>
      <c r="D2668" s="167" t="e">
        <f>VLOOKUP(E14468,'lista obszary'!A:B,2,0)</f>
        <v>#N/A</v>
      </c>
      <c r="E2668" s="128" t="e">
        <f>VLOOKUP(B2668,'LISTA 12'!$A$2:$G$301400,5,0)</f>
        <v>#N/A</v>
      </c>
      <c r="F2668" s="121" t="e">
        <f>VLOOKUP(B2668,'LISTA 12'!$A$2:$G$30100,7,0)</f>
        <v>#N/A</v>
      </c>
      <c r="G2668" s="254" t="e">
        <f>VLOOKUP(H2668,'lista 3'!$A$1:$C$31467,3,0)</f>
        <v>#N/A</v>
      </c>
      <c r="H2668" s="134"/>
      <c r="I2668" s="136"/>
      <c r="J2668" s="135"/>
      <c r="K2668" s="22"/>
    </row>
    <row r="2669" spans="1:11">
      <c r="A2669" s="241" t="e">
        <f>VLOOKUP(B2669,'lista 1'!$A$2:$E$30100,4,0)</f>
        <v>#N/A</v>
      </c>
      <c r="B2669" s="123"/>
      <c r="C2669" s="133" t="e">
        <f>VLOOKUP(B2669,'lista 1'!$A$2:$E$31000,5,0)</f>
        <v>#N/A</v>
      </c>
      <c r="D2669" s="167" t="e">
        <f>VLOOKUP(E14469,'lista obszary'!A:B,2,0)</f>
        <v>#N/A</v>
      </c>
      <c r="E2669" s="128" t="e">
        <f>VLOOKUP(B2669,'LISTA 12'!$A$2:$G$301400,5,0)</f>
        <v>#N/A</v>
      </c>
      <c r="F2669" s="121" t="e">
        <f>VLOOKUP(B2669,'LISTA 12'!$A$2:$G$30100,7,0)</f>
        <v>#N/A</v>
      </c>
      <c r="G2669" s="254" t="e">
        <f>VLOOKUP(H2669,'lista 3'!$A$1:$C$31467,3,0)</f>
        <v>#N/A</v>
      </c>
      <c r="H2669" s="134"/>
      <c r="I2669" s="136"/>
      <c r="J2669" s="135"/>
      <c r="K2669" s="22"/>
    </row>
    <row r="2670" spans="1:11">
      <c r="A2670" s="241" t="e">
        <f>VLOOKUP(B2670,'lista 1'!$A$2:$E$30100,4,0)</f>
        <v>#N/A</v>
      </c>
      <c r="B2670" s="123"/>
      <c r="C2670" s="133" t="e">
        <f>VLOOKUP(B2670,'lista 1'!$A$2:$E$31000,5,0)</f>
        <v>#N/A</v>
      </c>
      <c r="D2670" s="167" t="e">
        <f>VLOOKUP(E14470,'lista obszary'!A:B,2,0)</f>
        <v>#N/A</v>
      </c>
      <c r="E2670" s="128" t="e">
        <f>VLOOKUP(B2670,'LISTA 12'!$A$2:$G$301400,5,0)</f>
        <v>#N/A</v>
      </c>
      <c r="F2670" s="121" t="e">
        <f>VLOOKUP(B2670,'LISTA 12'!$A$2:$G$30100,7,0)</f>
        <v>#N/A</v>
      </c>
      <c r="G2670" s="254" t="e">
        <f>VLOOKUP(H2670,'lista 3'!$A$1:$C$31467,3,0)</f>
        <v>#N/A</v>
      </c>
      <c r="H2670" s="134"/>
      <c r="I2670" s="136"/>
      <c r="J2670" s="135"/>
      <c r="K2670" s="22"/>
    </row>
    <row r="2671" spans="1:11">
      <c r="A2671" s="241" t="e">
        <f>VLOOKUP(B2671,'lista 1'!$A$2:$E$30100,4,0)</f>
        <v>#N/A</v>
      </c>
      <c r="B2671" s="123"/>
      <c r="C2671" s="133" t="e">
        <f>VLOOKUP(B2671,'lista 1'!$A$2:$E$31000,5,0)</f>
        <v>#N/A</v>
      </c>
      <c r="D2671" s="167" t="e">
        <f>VLOOKUP(E14471,'lista obszary'!A:B,2,0)</f>
        <v>#N/A</v>
      </c>
      <c r="E2671" s="128" t="e">
        <f>VLOOKUP(B2671,'LISTA 12'!$A$2:$G$301400,5,0)</f>
        <v>#N/A</v>
      </c>
      <c r="F2671" s="121" t="e">
        <f>VLOOKUP(B2671,'LISTA 12'!$A$2:$G$30100,7,0)</f>
        <v>#N/A</v>
      </c>
      <c r="G2671" s="254" t="e">
        <f>VLOOKUP(H2671,'lista 3'!$A$1:$C$31467,3,0)</f>
        <v>#N/A</v>
      </c>
      <c r="H2671" s="134"/>
      <c r="I2671" s="136"/>
      <c r="J2671" s="135"/>
      <c r="K2671" s="22"/>
    </row>
    <row r="2672" spans="1:11">
      <c r="A2672" s="241" t="e">
        <f>VLOOKUP(B2672,'lista 1'!$A$2:$E$30100,4,0)</f>
        <v>#N/A</v>
      </c>
      <c r="B2672" s="123"/>
      <c r="C2672" s="133" t="e">
        <f>VLOOKUP(B2672,'lista 1'!$A$2:$E$31000,5,0)</f>
        <v>#N/A</v>
      </c>
      <c r="D2672" s="167" t="e">
        <f>VLOOKUP(E14472,'lista obszary'!A:B,2,0)</f>
        <v>#N/A</v>
      </c>
      <c r="E2672" s="128" t="e">
        <f>VLOOKUP(B2672,'LISTA 12'!$A$2:$G$301400,5,0)</f>
        <v>#N/A</v>
      </c>
      <c r="F2672" s="121" t="e">
        <f>VLOOKUP(B2672,'LISTA 12'!$A$2:$G$30100,7,0)</f>
        <v>#N/A</v>
      </c>
      <c r="G2672" s="254" t="e">
        <f>VLOOKUP(H2672,'lista 3'!$A$1:$C$31467,3,0)</f>
        <v>#N/A</v>
      </c>
      <c r="H2672" s="134"/>
      <c r="I2672" s="136"/>
      <c r="J2672" s="135"/>
      <c r="K2672" s="22"/>
    </row>
    <row r="2673" spans="1:11">
      <c r="A2673" s="241" t="e">
        <f>VLOOKUP(B2673,'lista 1'!$A$2:$E$30100,4,0)</f>
        <v>#N/A</v>
      </c>
      <c r="B2673" s="123"/>
      <c r="C2673" s="133" t="e">
        <f>VLOOKUP(B2673,'lista 1'!$A$2:$E$31000,5,0)</f>
        <v>#N/A</v>
      </c>
      <c r="D2673" s="167" t="e">
        <f>VLOOKUP(E14473,'lista obszary'!A:B,2,0)</f>
        <v>#N/A</v>
      </c>
      <c r="E2673" s="128" t="e">
        <f>VLOOKUP(B2673,'LISTA 12'!$A$2:$G$301400,5,0)</f>
        <v>#N/A</v>
      </c>
      <c r="F2673" s="121" t="e">
        <f>VLOOKUP(B2673,'LISTA 12'!$A$2:$G$30100,7,0)</f>
        <v>#N/A</v>
      </c>
      <c r="G2673" s="254" t="e">
        <f>VLOOKUP(H2673,'lista 3'!$A$1:$C$31467,3,0)</f>
        <v>#N/A</v>
      </c>
      <c r="H2673" s="134"/>
      <c r="I2673" s="136"/>
      <c r="J2673" s="135"/>
      <c r="K2673" s="22"/>
    </row>
    <row r="2674" spans="1:11">
      <c r="A2674" s="241" t="e">
        <f>VLOOKUP(B2674,'lista 1'!$A$2:$E$30100,4,0)</f>
        <v>#N/A</v>
      </c>
      <c r="B2674" s="123"/>
      <c r="C2674" s="133" t="e">
        <f>VLOOKUP(B2674,'lista 1'!$A$2:$E$31000,5,0)</f>
        <v>#N/A</v>
      </c>
      <c r="D2674" s="167" t="e">
        <f>VLOOKUP(E14474,'lista obszary'!A:B,2,0)</f>
        <v>#N/A</v>
      </c>
      <c r="E2674" s="128" t="e">
        <f>VLOOKUP(B2674,'LISTA 12'!$A$2:$G$301400,5,0)</f>
        <v>#N/A</v>
      </c>
      <c r="F2674" s="121" t="e">
        <f>VLOOKUP(B2674,'LISTA 12'!$A$2:$G$30100,7,0)</f>
        <v>#N/A</v>
      </c>
      <c r="G2674" s="254" t="e">
        <f>VLOOKUP(H2674,'lista 3'!$A$1:$C$31467,3,0)</f>
        <v>#N/A</v>
      </c>
      <c r="H2674" s="134"/>
      <c r="I2674" s="136"/>
      <c r="J2674" s="135"/>
      <c r="K2674" s="22"/>
    </row>
    <row r="2675" spans="1:11">
      <c r="A2675" s="241" t="e">
        <f>VLOOKUP(B2675,'lista 1'!$A$2:$E$30100,4,0)</f>
        <v>#N/A</v>
      </c>
      <c r="B2675" s="123"/>
      <c r="C2675" s="133" t="e">
        <f>VLOOKUP(B2675,'lista 1'!$A$2:$E$31000,5,0)</f>
        <v>#N/A</v>
      </c>
      <c r="D2675" s="167" t="e">
        <f>VLOOKUP(E14475,'lista obszary'!A:B,2,0)</f>
        <v>#N/A</v>
      </c>
      <c r="E2675" s="128" t="e">
        <f>VLOOKUP(B2675,'LISTA 12'!$A$2:$G$301400,5,0)</f>
        <v>#N/A</v>
      </c>
      <c r="F2675" s="121" t="e">
        <f>VLOOKUP(B2675,'LISTA 12'!$A$2:$G$30100,7,0)</f>
        <v>#N/A</v>
      </c>
      <c r="G2675" s="254" t="e">
        <f>VLOOKUP(H2675,'lista 3'!$A$1:$C$31467,3,0)</f>
        <v>#N/A</v>
      </c>
      <c r="H2675" s="134"/>
      <c r="I2675" s="136"/>
      <c r="J2675" s="135"/>
      <c r="K2675" s="22"/>
    </row>
    <row r="2676" spans="1:11">
      <c r="A2676" s="241" t="e">
        <f>VLOOKUP(B2676,'lista 1'!$A$2:$E$30100,4,0)</f>
        <v>#N/A</v>
      </c>
      <c r="B2676" s="123"/>
      <c r="C2676" s="133" t="e">
        <f>VLOOKUP(B2676,'lista 1'!$A$2:$E$31000,5,0)</f>
        <v>#N/A</v>
      </c>
      <c r="D2676" s="167" t="e">
        <f>VLOOKUP(E14476,'lista obszary'!A:B,2,0)</f>
        <v>#N/A</v>
      </c>
      <c r="E2676" s="128" t="e">
        <f>VLOOKUP(B2676,'LISTA 12'!$A$2:$G$301400,5,0)</f>
        <v>#N/A</v>
      </c>
      <c r="F2676" s="121" t="e">
        <f>VLOOKUP(B2676,'LISTA 12'!$A$2:$G$30100,7,0)</f>
        <v>#N/A</v>
      </c>
      <c r="G2676" s="254" t="e">
        <f>VLOOKUP(H2676,'lista 3'!$A$1:$C$31467,3,0)</f>
        <v>#N/A</v>
      </c>
      <c r="H2676" s="134"/>
      <c r="I2676" s="136"/>
      <c r="J2676" s="135"/>
      <c r="K2676" s="22"/>
    </row>
    <row r="2677" spans="1:11">
      <c r="A2677" s="241" t="e">
        <f>VLOOKUP(B2677,'lista 1'!$A$2:$E$30100,4,0)</f>
        <v>#N/A</v>
      </c>
      <c r="B2677" s="123"/>
      <c r="C2677" s="133" t="e">
        <f>VLOOKUP(B2677,'lista 1'!$A$2:$E$31000,5,0)</f>
        <v>#N/A</v>
      </c>
      <c r="D2677" s="167" t="e">
        <f>VLOOKUP(E14477,'lista obszary'!A:B,2,0)</f>
        <v>#N/A</v>
      </c>
      <c r="E2677" s="128" t="e">
        <f>VLOOKUP(B2677,'LISTA 12'!$A$2:$G$301400,5,0)</f>
        <v>#N/A</v>
      </c>
      <c r="F2677" s="121" t="e">
        <f>VLOOKUP(B2677,'LISTA 12'!$A$2:$G$30100,7,0)</f>
        <v>#N/A</v>
      </c>
      <c r="G2677" s="254" t="e">
        <f>VLOOKUP(H2677,'lista 3'!$A$1:$C$31467,3,0)</f>
        <v>#N/A</v>
      </c>
      <c r="H2677" s="134"/>
      <c r="I2677" s="136"/>
      <c r="J2677" s="135"/>
      <c r="K2677" s="22"/>
    </row>
    <row r="2678" spans="1:11">
      <c r="A2678" s="241" t="e">
        <f>VLOOKUP(B2678,'lista 1'!$A$2:$E$30100,4,0)</f>
        <v>#N/A</v>
      </c>
      <c r="B2678" s="123"/>
      <c r="C2678" s="133" t="e">
        <f>VLOOKUP(B2678,'lista 1'!$A$2:$E$31000,5,0)</f>
        <v>#N/A</v>
      </c>
      <c r="D2678" s="167" t="e">
        <f>VLOOKUP(E14478,'lista obszary'!A:B,2,0)</f>
        <v>#N/A</v>
      </c>
      <c r="E2678" s="128" t="e">
        <f>VLOOKUP(B2678,'LISTA 12'!$A$2:$G$301400,5,0)</f>
        <v>#N/A</v>
      </c>
      <c r="F2678" s="121" t="e">
        <f>VLOOKUP(B2678,'LISTA 12'!$A$2:$G$30100,7,0)</f>
        <v>#N/A</v>
      </c>
      <c r="G2678" s="254" t="e">
        <f>VLOOKUP(H2678,'lista 3'!$A$1:$C$31467,3,0)</f>
        <v>#N/A</v>
      </c>
      <c r="H2678" s="134"/>
      <c r="I2678" s="136"/>
      <c r="J2678" s="135"/>
      <c r="K2678" s="22"/>
    </row>
    <row r="2679" spans="1:11">
      <c r="A2679" s="241" t="e">
        <f>VLOOKUP(B2679,'lista 1'!$A$2:$E$30100,4,0)</f>
        <v>#N/A</v>
      </c>
      <c r="B2679" s="123"/>
      <c r="C2679" s="133" t="e">
        <f>VLOOKUP(B2679,'lista 1'!$A$2:$E$31000,5,0)</f>
        <v>#N/A</v>
      </c>
      <c r="D2679" s="167" t="e">
        <f>VLOOKUP(E14479,'lista obszary'!A:B,2,0)</f>
        <v>#N/A</v>
      </c>
      <c r="E2679" s="128" t="e">
        <f>VLOOKUP(B2679,'LISTA 12'!$A$2:$G$301400,5,0)</f>
        <v>#N/A</v>
      </c>
      <c r="F2679" s="121" t="e">
        <f>VLOOKUP(B2679,'LISTA 12'!$A$2:$G$30100,7,0)</f>
        <v>#N/A</v>
      </c>
      <c r="G2679" s="254" t="e">
        <f>VLOOKUP(H2679,'lista 3'!$A$1:$C$31467,3,0)</f>
        <v>#N/A</v>
      </c>
      <c r="H2679" s="134"/>
      <c r="I2679" s="136"/>
      <c r="J2679" s="135"/>
      <c r="K2679" s="22"/>
    </row>
    <row r="2680" spans="1:11">
      <c r="A2680" s="241" t="e">
        <f>VLOOKUP(B2680,'lista 1'!$A$2:$E$30100,4,0)</f>
        <v>#N/A</v>
      </c>
      <c r="B2680" s="123"/>
      <c r="C2680" s="133" t="e">
        <f>VLOOKUP(B2680,'lista 1'!$A$2:$E$31000,5,0)</f>
        <v>#N/A</v>
      </c>
      <c r="D2680" s="167" t="e">
        <f>VLOOKUP(E14480,'lista obszary'!A:B,2,0)</f>
        <v>#N/A</v>
      </c>
      <c r="E2680" s="128" t="e">
        <f>VLOOKUP(B2680,'LISTA 12'!$A$2:$G$301400,5,0)</f>
        <v>#N/A</v>
      </c>
      <c r="F2680" s="121" t="e">
        <f>VLOOKUP(B2680,'LISTA 12'!$A$2:$G$30100,7,0)</f>
        <v>#N/A</v>
      </c>
      <c r="G2680" s="254" t="e">
        <f>VLOOKUP(H2680,'lista 3'!$A$1:$C$31467,3,0)</f>
        <v>#N/A</v>
      </c>
      <c r="H2680" s="134"/>
      <c r="I2680" s="136"/>
      <c r="J2680" s="135"/>
      <c r="K2680" s="22"/>
    </row>
    <row r="2681" spans="1:11">
      <c r="A2681" s="241" t="e">
        <f>VLOOKUP(B2681,'lista 1'!$A$2:$E$30100,4,0)</f>
        <v>#N/A</v>
      </c>
      <c r="B2681" s="123"/>
      <c r="C2681" s="133" t="e">
        <f>VLOOKUP(B2681,'lista 1'!$A$2:$E$31000,5,0)</f>
        <v>#N/A</v>
      </c>
      <c r="D2681" s="167" t="e">
        <f>VLOOKUP(E14481,'lista obszary'!A:B,2,0)</f>
        <v>#N/A</v>
      </c>
      <c r="E2681" s="128" t="e">
        <f>VLOOKUP(B2681,'LISTA 12'!$A$2:$G$301400,5,0)</f>
        <v>#N/A</v>
      </c>
      <c r="F2681" s="121" t="e">
        <f>VLOOKUP(B2681,'LISTA 12'!$A$2:$G$30100,7,0)</f>
        <v>#N/A</v>
      </c>
      <c r="G2681" s="254" t="e">
        <f>VLOOKUP(H2681,'lista 3'!$A$1:$C$31467,3,0)</f>
        <v>#N/A</v>
      </c>
      <c r="H2681" s="134"/>
      <c r="I2681" s="136"/>
      <c r="J2681" s="135"/>
      <c r="K2681" s="22"/>
    </row>
    <row r="2682" spans="1:11">
      <c r="A2682" s="241" t="e">
        <f>VLOOKUP(B2682,'lista 1'!$A$2:$E$30100,4,0)</f>
        <v>#N/A</v>
      </c>
      <c r="B2682" s="123"/>
      <c r="C2682" s="133" t="e">
        <f>VLOOKUP(B2682,'lista 1'!$A$2:$E$31000,5,0)</f>
        <v>#N/A</v>
      </c>
      <c r="D2682" s="167" t="e">
        <f>VLOOKUP(E14482,'lista obszary'!A:B,2,0)</f>
        <v>#N/A</v>
      </c>
      <c r="E2682" s="128" t="e">
        <f>VLOOKUP(B2682,'LISTA 12'!$A$2:$G$301400,5,0)</f>
        <v>#N/A</v>
      </c>
      <c r="F2682" s="121" t="e">
        <f>VLOOKUP(B2682,'LISTA 12'!$A$2:$G$30100,7,0)</f>
        <v>#N/A</v>
      </c>
      <c r="G2682" s="254" t="e">
        <f>VLOOKUP(H2682,'lista 3'!$A$1:$C$31467,3,0)</f>
        <v>#N/A</v>
      </c>
      <c r="H2682" s="134"/>
      <c r="I2682" s="136"/>
      <c r="J2682" s="135"/>
      <c r="K2682" s="22"/>
    </row>
    <row r="2683" spans="1:11">
      <c r="A2683" s="241" t="e">
        <f>VLOOKUP(B2683,'lista 1'!$A$2:$E$30100,4,0)</f>
        <v>#N/A</v>
      </c>
      <c r="B2683" s="123"/>
      <c r="C2683" s="133" t="e">
        <f>VLOOKUP(B2683,'lista 1'!$A$2:$E$31000,5,0)</f>
        <v>#N/A</v>
      </c>
      <c r="D2683" s="167" t="e">
        <f>VLOOKUP(E14483,'lista obszary'!A:B,2,0)</f>
        <v>#N/A</v>
      </c>
      <c r="E2683" s="128" t="e">
        <f>VLOOKUP(B2683,'LISTA 12'!$A$2:$G$301400,5,0)</f>
        <v>#N/A</v>
      </c>
      <c r="F2683" s="121" t="e">
        <f>VLOOKUP(B2683,'LISTA 12'!$A$2:$G$30100,7,0)</f>
        <v>#N/A</v>
      </c>
      <c r="G2683" s="254" t="e">
        <f>VLOOKUP(H2683,'lista 3'!$A$1:$C$31467,3,0)</f>
        <v>#N/A</v>
      </c>
      <c r="H2683" s="134"/>
      <c r="I2683" s="136"/>
      <c r="J2683" s="135"/>
      <c r="K2683" s="22"/>
    </row>
    <row r="2684" spans="1:11">
      <c r="A2684" s="241" t="e">
        <f>VLOOKUP(B2684,'lista 1'!$A$2:$E$30100,4,0)</f>
        <v>#N/A</v>
      </c>
      <c r="B2684" s="123"/>
      <c r="C2684" s="133" t="e">
        <f>VLOOKUP(B2684,'lista 1'!$A$2:$E$31000,5,0)</f>
        <v>#N/A</v>
      </c>
      <c r="D2684" s="167" t="e">
        <f>VLOOKUP(E14484,'lista obszary'!A:B,2,0)</f>
        <v>#N/A</v>
      </c>
      <c r="E2684" s="128" t="e">
        <f>VLOOKUP(B2684,'LISTA 12'!$A$2:$G$301400,5,0)</f>
        <v>#N/A</v>
      </c>
      <c r="F2684" s="121" t="e">
        <f>VLOOKUP(B2684,'LISTA 12'!$A$2:$G$30100,7,0)</f>
        <v>#N/A</v>
      </c>
      <c r="G2684" s="254" t="e">
        <f>VLOOKUP(H2684,'lista 3'!$A$1:$C$31467,3,0)</f>
        <v>#N/A</v>
      </c>
      <c r="H2684" s="134"/>
      <c r="I2684" s="136"/>
      <c r="J2684" s="135"/>
      <c r="K2684" s="22"/>
    </row>
    <row r="2685" spans="1:11">
      <c r="A2685" s="241" t="e">
        <f>VLOOKUP(B2685,'lista 1'!$A$2:$E$30100,4,0)</f>
        <v>#N/A</v>
      </c>
      <c r="B2685" s="123"/>
      <c r="C2685" s="133" t="e">
        <f>VLOOKUP(B2685,'lista 1'!$A$2:$E$31000,5,0)</f>
        <v>#N/A</v>
      </c>
      <c r="D2685" s="167" t="e">
        <f>VLOOKUP(E14485,'lista obszary'!A:B,2,0)</f>
        <v>#N/A</v>
      </c>
      <c r="E2685" s="128" t="e">
        <f>VLOOKUP(B2685,'LISTA 12'!$A$2:$G$301400,5,0)</f>
        <v>#N/A</v>
      </c>
      <c r="F2685" s="121" t="e">
        <f>VLOOKUP(B2685,'LISTA 12'!$A$2:$G$30100,7,0)</f>
        <v>#N/A</v>
      </c>
      <c r="G2685" s="254" t="e">
        <f>VLOOKUP(H2685,'lista 3'!$A$1:$C$31467,3,0)</f>
        <v>#N/A</v>
      </c>
      <c r="H2685" s="134"/>
      <c r="I2685" s="136"/>
      <c r="J2685" s="135"/>
      <c r="K2685" s="22"/>
    </row>
    <row r="2686" spans="1:11">
      <c r="A2686" s="241" t="e">
        <f>VLOOKUP(B2686,'lista 1'!$A$2:$E$30100,4,0)</f>
        <v>#N/A</v>
      </c>
      <c r="B2686" s="123"/>
      <c r="C2686" s="133" t="e">
        <f>VLOOKUP(B2686,'lista 1'!$A$2:$E$31000,5,0)</f>
        <v>#N/A</v>
      </c>
      <c r="D2686" s="167" t="e">
        <f>VLOOKUP(E14486,'lista obszary'!A:B,2,0)</f>
        <v>#N/A</v>
      </c>
      <c r="E2686" s="128" t="e">
        <f>VLOOKUP(B2686,'LISTA 12'!$A$2:$G$301400,5,0)</f>
        <v>#N/A</v>
      </c>
      <c r="F2686" s="121" t="e">
        <f>VLOOKUP(B2686,'LISTA 12'!$A$2:$G$30100,7,0)</f>
        <v>#N/A</v>
      </c>
      <c r="G2686" s="254" t="e">
        <f>VLOOKUP(H2686,'lista 3'!$A$1:$C$31467,3,0)</f>
        <v>#N/A</v>
      </c>
      <c r="H2686" s="134"/>
      <c r="I2686" s="136"/>
      <c r="J2686" s="135"/>
      <c r="K2686" s="22"/>
    </row>
    <row r="2687" spans="1:11">
      <c r="A2687" s="241" t="e">
        <f>VLOOKUP(B2687,'lista 1'!$A$2:$E$30100,4,0)</f>
        <v>#N/A</v>
      </c>
      <c r="B2687" s="123"/>
      <c r="C2687" s="133" t="e">
        <f>VLOOKUP(B2687,'lista 1'!$A$2:$E$31000,5,0)</f>
        <v>#N/A</v>
      </c>
      <c r="D2687" s="167" t="e">
        <f>VLOOKUP(E14487,'lista obszary'!A:B,2,0)</f>
        <v>#N/A</v>
      </c>
      <c r="E2687" s="128" t="e">
        <f>VLOOKUP(B2687,'LISTA 12'!$A$2:$G$301400,5,0)</f>
        <v>#N/A</v>
      </c>
      <c r="F2687" s="121" t="e">
        <f>VLOOKUP(B2687,'LISTA 12'!$A$2:$G$30100,7,0)</f>
        <v>#N/A</v>
      </c>
      <c r="G2687" s="254" t="e">
        <f>VLOOKUP(H2687,'lista 3'!$A$1:$C$31467,3,0)</f>
        <v>#N/A</v>
      </c>
      <c r="H2687" s="134"/>
      <c r="I2687" s="136"/>
      <c r="J2687" s="135"/>
      <c r="K2687" s="22"/>
    </row>
    <row r="2688" spans="1:11">
      <c r="A2688" s="241" t="e">
        <f>VLOOKUP(B2688,'lista 1'!$A$2:$E$30100,4,0)</f>
        <v>#N/A</v>
      </c>
      <c r="B2688" s="123"/>
      <c r="C2688" s="133" t="e">
        <f>VLOOKUP(B2688,'lista 1'!$A$2:$E$31000,5,0)</f>
        <v>#N/A</v>
      </c>
      <c r="D2688" s="167" t="e">
        <f>VLOOKUP(E14488,'lista obszary'!A:B,2,0)</f>
        <v>#N/A</v>
      </c>
      <c r="E2688" s="128" t="e">
        <f>VLOOKUP(B2688,'LISTA 12'!$A$2:$G$301400,5,0)</f>
        <v>#N/A</v>
      </c>
      <c r="F2688" s="121" t="e">
        <f>VLOOKUP(B2688,'LISTA 12'!$A$2:$G$30100,7,0)</f>
        <v>#N/A</v>
      </c>
      <c r="G2688" s="254" t="e">
        <f>VLOOKUP(H2688,'lista 3'!$A$1:$C$31467,3,0)</f>
        <v>#N/A</v>
      </c>
      <c r="H2688" s="134"/>
      <c r="I2688" s="136"/>
      <c r="J2688" s="135"/>
      <c r="K2688" s="22"/>
    </row>
    <row r="2689" spans="1:11">
      <c r="A2689" s="241" t="e">
        <f>VLOOKUP(B2689,'lista 1'!$A$2:$E$30100,4,0)</f>
        <v>#N/A</v>
      </c>
      <c r="B2689" s="123"/>
      <c r="C2689" s="133" t="e">
        <f>VLOOKUP(B2689,'lista 1'!$A$2:$E$31000,5,0)</f>
        <v>#N/A</v>
      </c>
      <c r="D2689" s="167" t="e">
        <f>VLOOKUP(E14489,'lista obszary'!A:B,2,0)</f>
        <v>#N/A</v>
      </c>
      <c r="E2689" s="128" t="e">
        <f>VLOOKUP(B2689,'LISTA 12'!$A$2:$G$301400,5,0)</f>
        <v>#N/A</v>
      </c>
      <c r="F2689" s="121" t="e">
        <f>VLOOKUP(B2689,'LISTA 12'!$A$2:$G$30100,7,0)</f>
        <v>#N/A</v>
      </c>
      <c r="G2689" s="254" t="e">
        <f>VLOOKUP(H2689,'lista 3'!$A$1:$C$31467,3,0)</f>
        <v>#N/A</v>
      </c>
      <c r="H2689" s="134"/>
      <c r="I2689" s="136"/>
      <c r="J2689" s="135"/>
      <c r="K2689" s="22"/>
    </row>
    <row r="2690" spans="1:11">
      <c r="A2690" s="241" t="e">
        <f>VLOOKUP(B2690,'lista 1'!$A$2:$E$30100,4,0)</f>
        <v>#N/A</v>
      </c>
      <c r="B2690" s="123"/>
      <c r="C2690" s="133" t="e">
        <f>VLOOKUP(B2690,'lista 1'!$A$2:$E$31000,5,0)</f>
        <v>#N/A</v>
      </c>
      <c r="D2690" s="167" t="e">
        <f>VLOOKUP(E14490,'lista obszary'!A:B,2,0)</f>
        <v>#N/A</v>
      </c>
      <c r="E2690" s="128" t="e">
        <f>VLOOKUP(B2690,'LISTA 12'!$A$2:$G$301400,5,0)</f>
        <v>#N/A</v>
      </c>
      <c r="F2690" s="121" t="e">
        <f>VLOOKUP(B2690,'LISTA 12'!$A$2:$G$30100,7,0)</f>
        <v>#N/A</v>
      </c>
      <c r="G2690" s="254" t="e">
        <f>VLOOKUP(H2690,'lista 3'!$A$1:$C$31467,3,0)</f>
        <v>#N/A</v>
      </c>
      <c r="H2690" s="134"/>
      <c r="I2690" s="136"/>
      <c r="J2690" s="135"/>
      <c r="K2690" s="22"/>
    </row>
    <row r="2691" spans="1:11">
      <c r="A2691" s="241" t="e">
        <f>VLOOKUP(B2691,'lista 1'!$A$2:$E$30100,4,0)</f>
        <v>#N/A</v>
      </c>
      <c r="B2691" s="123"/>
      <c r="C2691" s="133" t="e">
        <f>VLOOKUP(B2691,'lista 1'!$A$2:$E$31000,5,0)</f>
        <v>#N/A</v>
      </c>
      <c r="D2691" s="167" t="e">
        <f>VLOOKUP(E14491,'lista obszary'!A:B,2,0)</f>
        <v>#N/A</v>
      </c>
      <c r="E2691" s="128" t="e">
        <f>VLOOKUP(B2691,'LISTA 12'!$A$2:$G$301400,5,0)</f>
        <v>#N/A</v>
      </c>
      <c r="F2691" s="121" t="e">
        <f>VLOOKUP(B2691,'LISTA 12'!$A$2:$G$30100,7,0)</f>
        <v>#N/A</v>
      </c>
      <c r="G2691" s="254" t="e">
        <f>VLOOKUP(H2691,'lista 3'!$A$1:$C$31467,3,0)</f>
        <v>#N/A</v>
      </c>
      <c r="H2691" s="134"/>
      <c r="I2691" s="136"/>
      <c r="J2691" s="135"/>
      <c r="K2691" s="22"/>
    </row>
    <row r="2692" spans="1:11">
      <c r="A2692" s="241" t="e">
        <f>VLOOKUP(B2692,'lista 1'!$A$2:$E$30100,4,0)</f>
        <v>#N/A</v>
      </c>
      <c r="B2692" s="123"/>
      <c r="C2692" s="133" t="e">
        <f>VLOOKUP(B2692,'lista 1'!$A$2:$E$31000,5,0)</f>
        <v>#N/A</v>
      </c>
      <c r="D2692" s="167" t="e">
        <f>VLOOKUP(E14492,'lista obszary'!A:B,2,0)</f>
        <v>#N/A</v>
      </c>
      <c r="E2692" s="128" t="e">
        <f>VLOOKUP(B2692,'LISTA 12'!$A$2:$G$301400,5,0)</f>
        <v>#N/A</v>
      </c>
      <c r="F2692" s="121" t="e">
        <f>VLOOKUP(B2692,'LISTA 12'!$A$2:$G$30100,7,0)</f>
        <v>#N/A</v>
      </c>
      <c r="G2692" s="254" t="e">
        <f>VLOOKUP(H2692,'lista 3'!$A$1:$C$31467,3,0)</f>
        <v>#N/A</v>
      </c>
      <c r="H2692" s="134"/>
      <c r="I2692" s="136"/>
      <c r="J2692" s="135"/>
      <c r="K2692" s="22"/>
    </row>
    <row r="2693" spans="1:11">
      <c r="A2693" s="241" t="e">
        <f>VLOOKUP(B2693,'lista 1'!$A$2:$E$30100,4,0)</f>
        <v>#N/A</v>
      </c>
      <c r="B2693" s="123"/>
      <c r="C2693" s="133" t="e">
        <f>VLOOKUP(B2693,'lista 1'!$A$2:$E$31000,5,0)</f>
        <v>#N/A</v>
      </c>
      <c r="D2693" s="167" t="e">
        <f>VLOOKUP(E14493,'lista obszary'!A:B,2,0)</f>
        <v>#N/A</v>
      </c>
      <c r="E2693" s="128" t="e">
        <f>VLOOKUP(B2693,'LISTA 12'!$A$2:$G$301400,5,0)</f>
        <v>#N/A</v>
      </c>
      <c r="F2693" s="121" t="e">
        <f>VLOOKUP(B2693,'LISTA 12'!$A$2:$G$30100,7,0)</f>
        <v>#N/A</v>
      </c>
      <c r="G2693" s="254" t="e">
        <f>VLOOKUP(H2693,'lista 3'!$A$1:$C$31467,3,0)</f>
        <v>#N/A</v>
      </c>
      <c r="H2693" s="134"/>
      <c r="I2693" s="136"/>
      <c r="J2693" s="135"/>
      <c r="K2693" s="22"/>
    </row>
    <row r="2694" spans="1:11">
      <c r="A2694" s="241" t="e">
        <f>VLOOKUP(B2694,'lista 1'!$A$2:$E$30100,4,0)</f>
        <v>#N/A</v>
      </c>
      <c r="B2694" s="123"/>
      <c r="C2694" s="133" t="e">
        <f>VLOOKUP(B2694,'lista 1'!$A$2:$E$31000,5,0)</f>
        <v>#N/A</v>
      </c>
      <c r="D2694" s="167" t="e">
        <f>VLOOKUP(E14494,'lista obszary'!A:B,2,0)</f>
        <v>#N/A</v>
      </c>
      <c r="E2694" s="128" t="e">
        <f>VLOOKUP(B2694,'LISTA 12'!$A$2:$G$301400,5,0)</f>
        <v>#N/A</v>
      </c>
      <c r="F2694" s="121" t="e">
        <f>VLOOKUP(B2694,'LISTA 12'!$A$2:$G$30100,7,0)</f>
        <v>#N/A</v>
      </c>
      <c r="G2694" s="254" t="e">
        <f>VLOOKUP(H2694,'lista 3'!$A$1:$C$31467,3,0)</f>
        <v>#N/A</v>
      </c>
      <c r="H2694" s="134"/>
      <c r="I2694" s="136"/>
      <c r="J2694" s="135"/>
      <c r="K2694" s="22"/>
    </row>
    <row r="2695" spans="1:11">
      <c r="A2695" s="241" t="e">
        <f>VLOOKUP(B2695,'lista 1'!$A$2:$E$30100,4,0)</f>
        <v>#N/A</v>
      </c>
      <c r="B2695" s="123"/>
      <c r="C2695" s="133" t="e">
        <f>VLOOKUP(B2695,'lista 1'!$A$2:$E$31000,5,0)</f>
        <v>#N/A</v>
      </c>
      <c r="D2695" s="167" t="e">
        <f>VLOOKUP(E14495,'lista obszary'!A:B,2,0)</f>
        <v>#N/A</v>
      </c>
      <c r="E2695" s="128" t="e">
        <f>VLOOKUP(B2695,'LISTA 12'!$A$2:$G$301400,5,0)</f>
        <v>#N/A</v>
      </c>
      <c r="F2695" s="121" t="e">
        <f>VLOOKUP(B2695,'LISTA 12'!$A$2:$G$30100,7,0)</f>
        <v>#N/A</v>
      </c>
      <c r="G2695" s="254" t="e">
        <f>VLOOKUP(H2695,'lista 3'!$A$1:$C$31467,3,0)</f>
        <v>#N/A</v>
      </c>
      <c r="H2695" s="134"/>
      <c r="I2695" s="136"/>
      <c r="J2695" s="135"/>
      <c r="K2695" s="22"/>
    </row>
    <row r="2696" spans="1:11">
      <c r="A2696" s="241" t="e">
        <f>VLOOKUP(B2696,'lista 1'!$A$2:$E$30100,4,0)</f>
        <v>#N/A</v>
      </c>
      <c r="B2696" s="123"/>
      <c r="C2696" s="133" t="e">
        <f>VLOOKUP(B2696,'lista 1'!$A$2:$E$31000,5,0)</f>
        <v>#N/A</v>
      </c>
      <c r="D2696" s="167" t="e">
        <f>VLOOKUP(E14496,'lista obszary'!A:B,2,0)</f>
        <v>#N/A</v>
      </c>
      <c r="E2696" s="128" t="e">
        <f>VLOOKUP(B2696,'LISTA 12'!$A$2:$G$301400,5,0)</f>
        <v>#N/A</v>
      </c>
      <c r="F2696" s="121" t="e">
        <f>VLOOKUP(B2696,'LISTA 12'!$A$2:$G$30100,7,0)</f>
        <v>#N/A</v>
      </c>
      <c r="G2696" s="254" t="e">
        <f>VLOOKUP(H2696,'lista 3'!$A$1:$C$31467,3,0)</f>
        <v>#N/A</v>
      </c>
      <c r="H2696" s="134"/>
      <c r="I2696" s="136"/>
      <c r="J2696" s="135"/>
      <c r="K2696" s="22"/>
    </row>
    <row r="2697" spans="1:11">
      <c r="A2697" s="241" t="e">
        <f>VLOOKUP(B2697,'lista 1'!$A$2:$E$30100,4,0)</f>
        <v>#N/A</v>
      </c>
      <c r="B2697" s="123"/>
      <c r="C2697" s="133" t="e">
        <f>VLOOKUP(B2697,'lista 1'!$A$2:$E$31000,5,0)</f>
        <v>#N/A</v>
      </c>
      <c r="D2697" s="167" t="e">
        <f>VLOOKUP(E14497,'lista obszary'!A:B,2,0)</f>
        <v>#N/A</v>
      </c>
      <c r="E2697" s="128" t="e">
        <f>VLOOKUP(B2697,'LISTA 12'!$A$2:$G$301400,5,0)</f>
        <v>#N/A</v>
      </c>
      <c r="F2697" s="121" t="e">
        <f>VLOOKUP(B2697,'LISTA 12'!$A$2:$G$30100,7,0)</f>
        <v>#N/A</v>
      </c>
      <c r="G2697" s="254" t="e">
        <f>VLOOKUP(H2697,'lista 3'!$A$1:$C$31467,3,0)</f>
        <v>#N/A</v>
      </c>
      <c r="H2697" s="134"/>
      <c r="I2697" s="136"/>
      <c r="J2697" s="135"/>
      <c r="K2697" s="22"/>
    </row>
    <row r="2698" spans="1:11">
      <c r="A2698" s="241" t="e">
        <f>VLOOKUP(B2698,'lista 1'!$A$2:$E$30100,4,0)</f>
        <v>#N/A</v>
      </c>
      <c r="B2698" s="123"/>
      <c r="C2698" s="133" t="e">
        <f>VLOOKUP(B2698,'lista 1'!$A$2:$E$31000,5,0)</f>
        <v>#N/A</v>
      </c>
      <c r="D2698" s="167" t="e">
        <f>VLOOKUP(E14498,'lista obszary'!A:B,2,0)</f>
        <v>#N/A</v>
      </c>
      <c r="E2698" s="128" t="e">
        <f>VLOOKUP(B2698,'LISTA 12'!$A$2:$G$301400,5,0)</f>
        <v>#N/A</v>
      </c>
      <c r="F2698" s="121" t="e">
        <f>VLOOKUP(B2698,'LISTA 12'!$A$2:$G$30100,7,0)</f>
        <v>#N/A</v>
      </c>
      <c r="G2698" s="254" t="e">
        <f>VLOOKUP(H2698,'lista 3'!$A$1:$C$31467,3,0)</f>
        <v>#N/A</v>
      </c>
      <c r="H2698" s="134"/>
      <c r="I2698" s="136"/>
      <c r="J2698" s="135"/>
      <c r="K2698" s="22"/>
    </row>
    <row r="2699" spans="1:11">
      <c r="A2699" s="241" t="e">
        <f>VLOOKUP(B2699,'lista 1'!$A$2:$E$30100,4,0)</f>
        <v>#N/A</v>
      </c>
      <c r="B2699" s="123"/>
      <c r="C2699" s="133" t="e">
        <f>VLOOKUP(B2699,'lista 1'!$A$2:$E$31000,5,0)</f>
        <v>#N/A</v>
      </c>
      <c r="D2699" s="167" t="e">
        <f>VLOOKUP(E14499,'lista obszary'!A:B,2,0)</f>
        <v>#N/A</v>
      </c>
      <c r="E2699" s="128" t="e">
        <f>VLOOKUP(B2699,'LISTA 12'!$A$2:$G$301400,5,0)</f>
        <v>#N/A</v>
      </c>
      <c r="F2699" s="121" t="e">
        <f>VLOOKUP(B2699,'LISTA 12'!$A$2:$G$30100,7,0)</f>
        <v>#N/A</v>
      </c>
      <c r="G2699" s="254" t="e">
        <f>VLOOKUP(H2699,'lista 3'!$A$1:$C$31467,3,0)</f>
        <v>#N/A</v>
      </c>
      <c r="H2699" s="134"/>
      <c r="I2699" s="136"/>
      <c r="J2699" s="135"/>
      <c r="K2699" s="22"/>
    </row>
    <row r="2700" spans="1:11">
      <c r="A2700" s="241" t="e">
        <f>VLOOKUP(B2700,'lista 1'!$A$2:$E$30100,4,0)</f>
        <v>#N/A</v>
      </c>
      <c r="B2700" s="123"/>
      <c r="C2700" s="133" t="e">
        <f>VLOOKUP(B2700,'lista 1'!$A$2:$E$31000,5,0)</f>
        <v>#N/A</v>
      </c>
      <c r="D2700" s="167" t="e">
        <f>VLOOKUP(E14500,'lista obszary'!A:B,2,0)</f>
        <v>#N/A</v>
      </c>
      <c r="E2700" s="128" t="e">
        <f>VLOOKUP(B2700,'LISTA 12'!$A$2:$G$301400,5,0)</f>
        <v>#N/A</v>
      </c>
      <c r="F2700" s="121" t="e">
        <f>VLOOKUP(B2700,'LISTA 12'!$A$2:$G$30100,7,0)</f>
        <v>#N/A</v>
      </c>
      <c r="G2700" s="254" t="e">
        <f>VLOOKUP(H2700,'lista 3'!$A$1:$C$31467,3,0)</f>
        <v>#N/A</v>
      </c>
      <c r="H2700" s="134"/>
      <c r="I2700" s="136"/>
      <c r="J2700" s="135"/>
      <c r="K2700" s="22"/>
    </row>
    <row r="2701" spans="1:11">
      <c r="A2701" s="241" t="e">
        <f>VLOOKUP(B2701,'lista 1'!$A$2:$E$30100,4,0)</f>
        <v>#N/A</v>
      </c>
      <c r="B2701" s="123"/>
      <c r="C2701" s="133" t="e">
        <f>VLOOKUP(B2701,'lista 1'!$A$2:$E$31000,5,0)</f>
        <v>#N/A</v>
      </c>
      <c r="D2701" s="167" t="e">
        <f>VLOOKUP(E14501,'lista obszary'!A:B,2,0)</f>
        <v>#N/A</v>
      </c>
      <c r="E2701" s="128" t="e">
        <f>VLOOKUP(B2701,'LISTA 12'!$A$2:$G$301400,5,0)</f>
        <v>#N/A</v>
      </c>
      <c r="F2701" s="121" t="e">
        <f>VLOOKUP(B2701,'LISTA 12'!$A$2:$G$30100,7,0)</f>
        <v>#N/A</v>
      </c>
      <c r="G2701" s="254" t="e">
        <f>VLOOKUP(H2701,'lista 3'!$A$1:$C$31467,3,0)</f>
        <v>#N/A</v>
      </c>
      <c r="H2701" s="134"/>
      <c r="I2701" s="136"/>
      <c r="J2701" s="135"/>
      <c r="K2701" s="22"/>
    </row>
    <row r="2702" spans="1:11">
      <c r="A2702" s="241" t="e">
        <f>VLOOKUP(B2702,'lista 1'!$A$2:$E$30100,4,0)</f>
        <v>#N/A</v>
      </c>
      <c r="B2702" s="123"/>
      <c r="C2702" s="133" t="e">
        <f>VLOOKUP(B2702,'lista 1'!$A$2:$E$31000,5,0)</f>
        <v>#N/A</v>
      </c>
      <c r="D2702" s="167" t="e">
        <f>VLOOKUP(E14502,'lista obszary'!A:B,2,0)</f>
        <v>#N/A</v>
      </c>
      <c r="E2702" s="128" t="e">
        <f>VLOOKUP(B2702,'LISTA 12'!$A$2:$G$301400,5,0)</f>
        <v>#N/A</v>
      </c>
      <c r="F2702" s="121" t="e">
        <f>VLOOKUP(B2702,'LISTA 12'!$A$2:$G$30100,7,0)</f>
        <v>#N/A</v>
      </c>
      <c r="G2702" s="254" t="e">
        <f>VLOOKUP(H2702,'lista 3'!$A$1:$C$31467,3,0)</f>
        <v>#N/A</v>
      </c>
      <c r="H2702" s="134"/>
      <c r="I2702" s="136"/>
      <c r="J2702" s="135"/>
      <c r="K2702" s="22"/>
    </row>
    <row r="2703" spans="1:11">
      <c r="A2703" s="241" t="e">
        <f>VLOOKUP(B2703,'lista 1'!$A$2:$E$30100,4,0)</f>
        <v>#N/A</v>
      </c>
      <c r="B2703" s="123"/>
      <c r="C2703" s="133" t="e">
        <f>VLOOKUP(B2703,'lista 1'!$A$2:$E$31000,5,0)</f>
        <v>#N/A</v>
      </c>
      <c r="D2703" s="167" t="e">
        <f>VLOOKUP(E14503,'lista obszary'!A:B,2,0)</f>
        <v>#N/A</v>
      </c>
      <c r="E2703" s="128" t="e">
        <f>VLOOKUP(B2703,'LISTA 12'!$A$2:$G$301400,5,0)</f>
        <v>#N/A</v>
      </c>
      <c r="F2703" s="121" t="e">
        <f>VLOOKUP(B2703,'LISTA 12'!$A$2:$G$30100,7,0)</f>
        <v>#N/A</v>
      </c>
      <c r="G2703" s="254" t="e">
        <f>VLOOKUP(H2703,'lista 3'!$A$1:$C$31467,3,0)</f>
        <v>#N/A</v>
      </c>
      <c r="H2703" s="134"/>
      <c r="I2703" s="136"/>
      <c r="J2703" s="135"/>
      <c r="K2703" s="22"/>
    </row>
    <row r="2704" spans="1:11">
      <c r="A2704" s="241" t="e">
        <f>VLOOKUP(B2704,'lista 1'!$A$2:$E$30100,4,0)</f>
        <v>#N/A</v>
      </c>
      <c r="B2704" s="123"/>
      <c r="C2704" s="133" t="e">
        <f>VLOOKUP(B2704,'lista 1'!$A$2:$E$31000,5,0)</f>
        <v>#N/A</v>
      </c>
      <c r="D2704" s="167" t="e">
        <f>VLOOKUP(E14504,'lista obszary'!A:B,2,0)</f>
        <v>#N/A</v>
      </c>
      <c r="E2704" s="128" t="e">
        <f>VLOOKUP(B2704,'LISTA 12'!$A$2:$G$301400,5,0)</f>
        <v>#N/A</v>
      </c>
      <c r="F2704" s="121" t="e">
        <f>VLOOKUP(B2704,'LISTA 12'!$A$2:$G$30100,7,0)</f>
        <v>#N/A</v>
      </c>
      <c r="G2704" s="254" t="e">
        <f>VLOOKUP(H2704,'lista 3'!$A$1:$C$31467,3,0)</f>
        <v>#N/A</v>
      </c>
      <c r="H2704" s="134"/>
      <c r="I2704" s="136"/>
      <c r="J2704" s="135"/>
      <c r="K2704" s="22"/>
    </row>
    <row r="2705" spans="1:11">
      <c r="A2705" s="241" t="e">
        <f>VLOOKUP(B2705,'lista 1'!$A$2:$E$30100,4,0)</f>
        <v>#N/A</v>
      </c>
      <c r="B2705" s="123"/>
      <c r="C2705" s="133" t="e">
        <f>VLOOKUP(B2705,'lista 1'!$A$2:$E$31000,5,0)</f>
        <v>#N/A</v>
      </c>
      <c r="D2705" s="167" t="e">
        <f>VLOOKUP(E14505,'lista obszary'!A:B,2,0)</f>
        <v>#N/A</v>
      </c>
      <c r="E2705" s="128" t="e">
        <f>VLOOKUP(B2705,'LISTA 12'!$A$2:$G$301400,5,0)</f>
        <v>#N/A</v>
      </c>
      <c r="F2705" s="121" t="e">
        <f>VLOOKUP(B2705,'LISTA 12'!$A$2:$G$30100,7,0)</f>
        <v>#N/A</v>
      </c>
      <c r="G2705" s="254" t="e">
        <f>VLOOKUP(H2705,'lista 3'!$A$1:$C$31467,3,0)</f>
        <v>#N/A</v>
      </c>
      <c r="H2705" s="134"/>
      <c r="I2705" s="136"/>
      <c r="J2705" s="135"/>
      <c r="K2705" s="22"/>
    </row>
    <row r="2706" spans="1:11">
      <c r="A2706" s="241" t="e">
        <f>VLOOKUP(B2706,'lista 1'!$A$2:$E$30100,4,0)</f>
        <v>#N/A</v>
      </c>
      <c r="B2706" s="123"/>
      <c r="C2706" s="133" t="e">
        <f>VLOOKUP(B2706,'lista 1'!$A$2:$E$31000,5,0)</f>
        <v>#N/A</v>
      </c>
      <c r="D2706" s="167" t="e">
        <f>VLOOKUP(E14506,'lista obszary'!A:B,2,0)</f>
        <v>#N/A</v>
      </c>
      <c r="E2706" s="128" t="e">
        <f>VLOOKUP(B2706,'LISTA 12'!$A$2:$G$301400,5,0)</f>
        <v>#N/A</v>
      </c>
      <c r="F2706" s="121" t="e">
        <f>VLOOKUP(B2706,'LISTA 12'!$A$2:$G$30100,7,0)</f>
        <v>#N/A</v>
      </c>
      <c r="G2706" s="254" t="e">
        <f>VLOOKUP(H2706,'lista 3'!$A$1:$C$31467,3,0)</f>
        <v>#N/A</v>
      </c>
      <c r="H2706" s="134"/>
      <c r="I2706" s="136"/>
      <c r="J2706" s="135"/>
      <c r="K2706" s="22"/>
    </row>
    <row r="2707" spans="1:11">
      <c r="A2707" s="241" t="e">
        <f>VLOOKUP(B2707,'lista 1'!$A$2:$E$30100,4,0)</f>
        <v>#N/A</v>
      </c>
      <c r="B2707" s="123"/>
      <c r="C2707" s="133" t="e">
        <f>VLOOKUP(B2707,'lista 1'!$A$2:$E$31000,5,0)</f>
        <v>#N/A</v>
      </c>
      <c r="D2707" s="167" t="e">
        <f>VLOOKUP(E14507,'lista obszary'!A:B,2,0)</f>
        <v>#N/A</v>
      </c>
      <c r="E2707" s="128" t="e">
        <f>VLOOKUP(B2707,'LISTA 12'!$A$2:$G$301400,5,0)</f>
        <v>#N/A</v>
      </c>
      <c r="F2707" s="121" t="e">
        <f>VLOOKUP(B2707,'LISTA 12'!$A$2:$G$30100,7,0)</f>
        <v>#N/A</v>
      </c>
      <c r="G2707" s="254" t="e">
        <f>VLOOKUP(H2707,'lista 3'!$A$1:$C$31467,3,0)</f>
        <v>#N/A</v>
      </c>
      <c r="H2707" s="134"/>
      <c r="I2707" s="136"/>
      <c r="J2707" s="135"/>
      <c r="K2707" s="22"/>
    </row>
    <row r="2708" spans="1:11">
      <c r="A2708" s="241" t="e">
        <f>VLOOKUP(B2708,'lista 1'!$A$2:$E$30100,4,0)</f>
        <v>#N/A</v>
      </c>
      <c r="B2708" s="123"/>
      <c r="C2708" s="133" t="e">
        <f>VLOOKUP(B2708,'lista 1'!$A$2:$E$31000,5,0)</f>
        <v>#N/A</v>
      </c>
      <c r="D2708" s="167" t="e">
        <f>VLOOKUP(E14508,'lista obszary'!A:B,2,0)</f>
        <v>#N/A</v>
      </c>
      <c r="E2708" s="128" t="e">
        <f>VLOOKUP(B2708,'LISTA 12'!$A$2:$G$301400,5,0)</f>
        <v>#N/A</v>
      </c>
      <c r="F2708" s="121" t="e">
        <f>VLOOKUP(B2708,'LISTA 12'!$A$2:$G$30100,7,0)</f>
        <v>#N/A</v>
      </c>
      <c r="G2708" s="254" t="e">
        <f>VLOOKUP(H2708,'lista 3'!$A$1:$C$31467,3,0)</f>
        <v>#N/A</v>
      </c>
      <c r="H2708" s="134"/>
      <c r="I2708" s="136"/>
      <c r="J2708" s="135"/>
      <c r="K2708" s="22"/>
    </row>
    <row r="2709" spans="1:11">
      <c r="A2709" s="241" t="e">
        <f>VLOOKUP(B2709,'lista 1'!$A$2:$E$30100,4,0)</f>
        <v>#N/A</v>
      </c>
      <c r="B2709" s="123"/>
      <c r="C2709" s="133" t="e">
        <f>VLOOKUP(B2709,'lista 1'!$A$2:$E$31000,5,0)</f>
        <v>#N/A</v>
      </c>
      <c r="D2709" s="167" t="e">
        <f>VLOOKUP(E14509,'lista obszary'!A:B,2,0)</f>
        <v>#N/A</v>
      </c>
      <c r="E2709" s="128" t="e">
        <f>VLOOKUP(B2709,'LISTA 12'!$A$2:$G$301400,5,0)</f>
        <v>#N/A</v>
      </c>
      <c r="F2709" s="121" t="e">
        <f>VLOOKUP(B2709,'LISTA 12'!$A$2:$G$30100,7,0)</f>
        <v>#N/A</v>
      </c>
      <c r="G2709" s="254" t="e">
        <f>VLOOKUP(H2709,'lista 3'!$A$1:$C$31467,3,0)</f>
        <v>#N/A</v>
      </c>
      <c r="H2709" s="134"/>
      <c r="I2709" s="136"/>
      <c r="J2709" s="135"/>
      <c r="K2709" s="22"/>
    </row>
    <row r="2710" spans="1:11">
      <c r="A2710" s="241" t="e">
        <f>VLOOKUP(B2710,'lista 1'!$A$2:$E$30100,4,0)</f>
        <v>#N/A</v>
      </c>
      <c r="B2710" s="123"/>
      <c r="C2710" s="133" t="e">
        <f>VLOOKUP(B2710,'lista 1'!$A$2:$E$31000,5,0)</f>
        <v>#N/A</v>
      </c>
      <c r="D2710" s="167" t="e">
        <f>VLOOKUP(E14510,'lista obszary'!A:B,2,0)</f>
        <v>#N/A</v>
      </c>
      <c r="E2710" s="128" t="e">
        <f>VLOOKUP(B2710,'LISTA 12'!$A$2:$G$301400,5,0)</f>
        <v>#N/A</v>
      </c>
      <c r="F2710" s="121" t="e">
        <f>VLOOKUP(B2710,'LISTA 12'!$A$2:$G$30100,7,0)</f>
        <v>#N/A</v>
      </c>
      <c r="G2710" s="254" t="e">
        <f>VLOOKUP(H2710,'lista 3'!$A$1:$C$31467,3,0)</f>
        <v>#N/A</v>
      </c>
      <c r="H2710" s="134"/>
      <c r="I2710" s="136"/>
      <c r="J2710" s="135"/>
      <c r="K2710" s="22"/>
    </row>
    <row r="2711" spans="1:11">
      <c r="A2711" s="241" t="e">
        <f>VLOOKUP(B2711,'lista 1'!$A$2:$E$30100,4,0)</f>
        <v>#N/A</v>
      </c>
      <c r="B2711" s="123"/>
      <c r="C2711" s="133" t="e">
        <f>VLOOKUP(B2711,'lista 1'!$A$2:$E$31000,5,0)</f>
        <v>#N/A</v>
      </c>
      <c r="D2711" s="167" t="e">
        <f>VLOOKUP(E14511,'lista obszary'!A:B,2,0)</f>
        <v>#N/A</v>
      </c>
      <c r="E2711" s="128" t="e">
        <f>VLOOKUP(B2711,'LISTA 12'!$A$2:$G$301400,5,0)</f>
        <v>#N/A</v>
      </c>
      <c r="F2711" s="121" t="e">
        <f>VLOOKUP(B2711,'LISTA 12'!$A$2:$G$30100,7,0)</f>
        <v>#N/A</v>
      </c>
      <c r="G2711" s="254" t="e">
        <f>VLOOKUP(H2711,'lista 3'!$A$1:$C$31467,3,0)</f>
        <v>#N/A</v>
      </c>
      <c r="H2711" s="134"/>
      <c r="I2711" s="136"/>
      <c r="J2711" s="135"/>
      <c r="K2711" s="22"/>
    </row>
    <row r="2712" spans="1:11">
      <c r="A2712" s="241" t="e">
        <f>VLOOKUP(B2712,'lista 1'!$A$2:$E$30100,4,0)</f>
        <v>#N/A</v>
      </c>
      <c r="B2712" s="123"/>
      <c r="C2712" s="133" t="e">
        <f>VLOOKUP(B2712,'lista 1'!$A$2:$E$31000,5,0)</f>
        <v>#N/A</v>
      </c>
      <c r="D2712" s="167" t="e">
        <f>VLOOKUP(E14512,'lista obszary'!A:B,2,0)</f>
        <v>#N/A</v>
      </c>
      <c r="E2712" s="128" t="e">
        <f>VLOOKUP(B2712,'LISTA 12'!$A$2:$G$301400,5,0)</f>
        <v>#N/A</v>
      </c>
      <c r="F2712" s="121" t="e">
        <f>VLOOKUP(B2712,'LISTA 12'!$A$2:$G$30100,7,0)</f>
        <v>#N/A</v>
      </c>
      <c r="G2712" s="254" t="e">
        <f>VLOOKUP(H2712,'lista 3'!$A$1:$C$31467,3,0)</f>
        <v>#N/A</v>
      </c>
      <c r="H2712" s="134"/>
      <c r="I2712" s="136"/>
      <c r="J2712" s="135"/>
      <c r="K2712" s="22"/>
    </row>
    <row r="2713" spans="1:11">
      <c r="A2713" s="241" t="e">
        <f>VLOOKUP(B2713,'lista 1'!$A$2:$E$30100,4,0)</f>
        <v>#N/A</v>
      </c>
      <c r="B2713" s="123"/>
      <c r="C2713" s="133" t="e">
        <f>VLOOKUP(B2713,'lista 1'!$A$2:$E$31000,5,0)</f>
        <v>#N/A</v>
      </c>
      <c r="D2713" s="167" t="e">
        <f>VLOOKUP(E14513,'lista obszary'!A:B,2,0)</f>
        <v>#N/A</v>
      </c>
      <c r="E2713" s="128" t="e">
        <f>VLOOKUP(B2713,'LISTA 12'!$A$2:$G$301400,5,0)</f>
        <v>#N/A</v>
      </c>
      <c r="F2713" s="121" t="e">
        <f>VLOOKUP(B2713,'LISTA 12'!$A$2:$G$30100,7,0)</f>
        <v>#N/A</v>
      </c>
      <c r="G2713" s="254" t="e">
        <f>VLOOKUP(H2713,'lista 3'!$A$1:$C$31467,3,0)</f>
        <v>#N/A</v>
      </c>
      <c r="H2713" s="134"/>
      <c r="I2713" s="136"/>
      <c r="J2713" s="135"/>
      <c r="K2713" s="22"/>
    </row>
    <row r="2714" spans="1:11">
      <c r="A2714" s="241" t="e">
        <f>VLOOKUP(B2714,'lista 1'!$A$2:$E$30100,4,0)</f>
        <v>#N/A</v>
      </c>
      <c r="B2714" s="123"/>
      <c r="C2714" s="133" t="e">
        <f>VLOOKUP(B2714,'lista 1'!$A$2:$E$31000,5,0)</f>
        <v>#N/A</v>
      </c>
      <c r="D2714" s="167" t="e">
        <f>VLOOKUP(E14514,'lista obszary'!A:B,2,0)</f>
        <v>#N/A</v>
      </c>
      <c r="E2714" s="128" t="e">
        <f>VLOOKUP(B2714,'LISTA 12'!$A$2:$G$301400,5,0)</f>
        <v>#N/A</v>
      </c>
      <c r="F2714" s="121" t="e">
        <f>VLOOKUP(B2714,'LISTA 12'!$A$2:$G$30100,7,0)</f>
        <v>#N/A</v>
      </c>
      <c r="G2714" s="254" t="e">
        <f>VLOOKUP(H2714,'lista 3'!$A$1:$C$31467,3,0)</f>
        <v>#N/A</v>
      </c>
      <c r="H2714" s="134"/>
      <c r="I2714" s="136"/>
      <c r="J2714" s="135"/>
      <c r="K2714" s="22"/>
    </row>
    <row r="2715" spans="1:11">
      <c r="A2715" s="241" t="e">
        <f>VLOOKUP(B2715,'lista 1'!$A$2:$E$30100,4,0)</f>
        <v>#N/A</v>
      </c>
      <c r="B2715" s="123"/>
      <c r="C2715" s="133" t="e">
        <f>VLOOKUP(B2715,'lista 1'!$A$2:$E$31000,5,0)</f>
        <v>#N/A</v>
      </c>
      <c r="D2715" s="167" t="e">
        <f>VLOOKUP(E14515,'lista obszary'!A:B,2,0)</f>
        <v>#N/A</v>
      </c>
      <c r="E2715" s="128" t="e">
        <f>VLOOKUP(B2715,'LISTA 12'!$A$2:$G$301400,5,0)</f>
        <v>#N/A</v>
      </c>
      <c r="F2715" s="121" t="e">
        <f>VLOOKUP(B2715,'LISTA 12'!$A$2:$G$30100,7,0)</f>
        <v>#N/A</v>
      </c>
      <c r="G2715" s="254" t="e">
        <f>VLOOKUP(H2715,'lista 3'!$A$1:$C$31467,3,0)</f>
        <v>#N/A</v>
      </c>
      <c r="H2715" s="134"/>
      <c r="I2715" s="136"/>
      <c r="J2715" s="135"/>
      <c r="K2715" s="22"/>
    </row>
    <row r="2716" spans="1:11">
      <c r="A2716" s="241" t="e">
        <f>VLOOKUP(B2716,'lista 1'!$A$2:$E$30100,4,0)</f>
        <v>#N/A</v>
      </c>
      <c r="B2716" s="123"/>
      <c r="C2716" s="133" t="e">
        <f>VLOOKUP(B2716,'lista 1'!$A$2:$E$31000,5,0)</f>
        <v>#N/A</v>
      </c>
      <c r="D2716" s="167" t="e">
        <f>VLOOKUP(E14516,'lista obszary'!A:B,2,0)</f>
        <v>#N/A</v>
      </c>
      <c r="E2716" s="128" t="e">
        <f>VLOOKUP(B2716,'LISTA 12'!$A$2:$G$301400,5,0)</f>
        <v>#N/A</v>
      </c>
      <c r="F2716" s="121" t="e">
        <f>VLOOKUP(B2716,'LISTA 12'!$A$2:$G$30100,7,0)</f>
        <v>#N/A</v>
      </c>
      <c r="G2716" s="254" t="e">
        <f>VLOOKUP(H2716,'lista 3'!$A$1:$C$31467,3,0)</f>
        <v>#N/A</v>
      </c>
      <c r="H2716" s="134"/>
      <c r="I2716" s="136"/>
      <c r="J2716" s="135"/>
      <c r="K2716" s="22"/>
    </row>
    <row r="2717" spans="1:11">
      <c r="A2717" s="241" t="e">
        <f>VLOOKUP(B2717,'lista 1'!$A$2:$E$30100,4,0)</f>
        <v>#N/A</v>
      </c>
      <c r="B2717" s="123"/>
      <c r="C2717" s="133" t="e">
        <f>VLOOKUP(B2717,'lista 1'!$A$2:$E$31000,5,0)</f>
        <v>#N/A</v>
      </c>
      <c r="D2717" s="167" t="e">
        <f>VLOOKUP(E14517,'lista obszary'!A:B,2,0)</f>
        <v>#N/A</v>
      </c>
      <c r="E2717" s="128" t="e">
        <f>VLOOKUP(B2717,'LISTA 12'!$A$2:$G$301400,5,0)</f>
        <v>#N/A</v>
      </c>
      <c r="F2717" s="121" t="e">
        <f>VLOOKUP(B2717,'LISTA 12'!$A$2:$G$30100,7,0)</f>
        <v>#N/A</v>
      </c>
      <c r="G2717" s="254" t="e">
        <f>VLOOKUP(H2717,'lista 3'!$A$1:$C$31467,3,0)</f>
        <v>#N/A</v>
      </c>
      <c r="H2717" s="134"/>
      <c r="I2717" s="136"/>
      <c r="J2717" s="135"/>
      <c r="K2717" s="22"/>
    </row>
    <row r="2718" spans="1:11">
      <c r="A2718" s="241" t="e">
        <f>VLOOKUP(B2718,'lista 1'!$A$2:$E$30100,4,0)</f>
        <v>#N/A</v>
      </c>
      <c r="B2718" s="123"/>
      <c r="C2718" s="133" t="e">
        <f>VLOOKUP(B2718,'lista 1'!$A$2:$E$31000,5,0)</f>
        <v>#N/A</v>
      </c>
      <c r="D2718" s="167" t="e">
        <f>VLOOKUP(E14518,'lista obszary'!A:B,2,0)</f>
        <v>#N/A</v>
      </c>
      <c r="E2718" s="128" t="e">
        <f>VLOOKUP(B2718,'LISTA 12'!$A$2:$G$301400,5,0)</f>
        <v>#N/A</v>
      </c>
      <c r="F2718" s="121" t="e">
        <f>VLOOKUP(B2718,'LISTA 12'!$A$2:$G$30100,7,0)</f>
        <v>#N/A</v>
      </c>
      <c r="G2718" s="254" t="e">
        <f>VLOOKUP(H2718,'lista 3'!$A$1:$C$31467,3,0)</f>
        <v>#N/A</v>
      </c>
      <c r="H2718" s="134"/>
      <c r="I2718" s="136"/>
      <c r="J2718" s="135"/>
      <c r="K2718" s="22"/>
    </row>
    <row r="2719" spans="1:11">
      <c r="A2719" s="241" t="e">
        <f>VLOOKUP(B2719,'lista 1'!$A$2:$E$30100,4,0)</f>
        <v>#N/A</v>
      </c>
      <c r="B2719" s="123"/>
      <c r="C2719" s="133" t="e">
        <f>VLOOKUP(B2719,'lista 1'!$A$2:$E$31000,5,0)</f>
        <v>#N/A</v>
      </c>
      <c r="D2719" s="167" t="e">
        <f>VLOOKUP(E14519,'lista obszary'!A:B,2,0)</f>
        <v>#N/A</v>
      </c>
      <c r="E2719" s="128" t="e">
        <f>VLOOKUP(B2719,'LISTA 12'!$A$2:$G$301400,5,0)</f>
        <v>#N/A</v>
      </c>
      <c r="F2719" s="121" t="e">
        <f>VLOOKUP(B2719,'LISTA 12'!$A$2:$G$30100,7,0)</f>
        <v>#N/A</v>
      </c>
      <c r="G2719" s="254" t="e">
        <f>VLOOKUP(H2719,'lista 3'!$A$1:$C$31467,3,0)</f>
        <v>#N/A</v>
      </c>
      <c r="H2719" s="134"/>
      <c r="I2719" s="136"/>
      <c r="J2719" s="135"/>
      <c r="K2719" s="22"/>
    </row>
    <row r="2720" spans="1:11">
      <c r="A2720" s="241" t="e">
        <f>VLOOKUP(B2720,'lista 1'!$A$2:$E$30100,4,0)</f>
        <v>#N/A</v>
      </c>
      <c r="B2720" s="123"/>
      <c r="C2720" s="133" t="e">
        <f>VLOOKUP(B2720,'lista 1'!$A$2:$E$31000,5,0)</f>
        <v>#N/A</v>
      </c>
      <c r="D2720" s="167" t="e">
        <f>VLOOKUP(E14520,'lista obszary'!A:B,2,0)</f>
        <v>#N/A</v>
      </c>
      <c r="E2720" s="128" t="e">
        <f>VLOOKUP(B2720,'LISTA 12'!$A$2:$G$301400,5,0)</f>
        <v>#N/A</v>
      </c>
      <c r="F2720" s="121" t="e">
        <f>VLOOKUP(B2720,'LISTA 12'!$A$2:$G$30100,7,0)</f>
        <v>#N/A</v>
      </c>
      <c r="G2720" s="254" t="e">
        <f>VLOOKUP(H2720,'lista 3'!$A$1:$C$31467,3,0)</f>
        <v>#N/A</v>
      </c>
      <c r="H2720" s="134"/>
      <c r="I2720" s="136"/>
      <c r="J2720" s="135"/>
      <c r="K2720" s="22"/>
    </row>
    <row r="2721" spans="1:11">
      <c r="A2721" s="241" t="e">
        <f>VLOOKUP(B2721,'lista 1'!$A$2:$E$30100,4,0)</f>
        <v>#N/A</v>
      </c>
      <c r="B2721" s="123"/>
      <c r="C2721" s="133" t="e">
        <f>VLOOKUP(B2721,'lista 1'!$A$2:$E$31000,5,0)</f>
        <v>#N/A</v>
      </c>
      <c r="D2721" s="167" t="e">
        <f>VLOOKUP(E14521,'lista obszary'!A:B,2,0)</f>
        <v>#N/A</v>
      </c>
      <c r="E2721" s="128" t="e">
        <f>VLOOKUP(B2721,'LISTA 12'!$A$2:$G$301400,5,0)</f>
        <v>#N/A</v>
      </c>
      <c r="F2721" s="121" t="e">
        <f>VLOOKUP(B2721,'LISTA 12'!$A$2:$G$30100,7,0)</f>
        <v>#N/A</v>
      </c>
      <c r="G2721" s="254" t="e">
        <f>VLOOKUP(H2721,'lista 3'!$A$1:$C$31467,3,0)</f>
        <v>#N/A</v>
      </c>
      <c r="H2721" s="134"/>
      <c r="I2721" s="136"/>
      <c r="J2721" s="135"/>
      <c r="K2721" s="22"/>
    </row>
    <row r="2722" spans="1:11">
      <c r="A2722" s="241" t="e">
        <f>VLOOKUP(B2722,'lista 1'!$A$2:$E$30100,4,0)</f>
        <v>#N/A</v>
      </c>
      <c r="B2722" s="123"/>
      <c r="C2722" s="133" t="e">
        <f>VLOOKUP(B2722,'lista 1'!$A$2:$E$31000,5,0)</f>
        <v>#N/A</v>
      </c>
      <c r="D2722" s="167" t="e">
        <f>VLOOKUP(E14522,'lista obszary'!A:B,2,0)</f>
        <v>#N/A</v>
      </c>
      <c r="E2722" s="128" t="e">
        <f>VLOOKUP(B2722,'LISTA 12'!$A$2:$G$301400,5,0)</f>
        <v>#N/A</v>
      </c>
      <c r="F2722" s="121" t="e">
        <f>VLOOKUP(B2722,'LISTA 12'!$A$2:$G$30100,7,0)</f>
        <v>#N/A</v>
      </c>
      <c r="G2722" s="254" t="e">
        <f>VLOOKUP(H2722,'lista 3'!$A$1:$C$31467,3,0)</f>
        <v>#N/A</v>
      </c>
      <c r="H2722" s="134"/>
      <c r="I2722" s="136"/>
      <c r="J2722" s="135"/>
      <c r="K2722" s="22"/>
    </row>
    <row r="2723" spans="1:11">
      <c r="A2723" s="241" t="e">
        <f>VLOOKUP(B2723,'lista 1'!$A$2:$E$30100,4,0)</f>
        <v>#N/A</v>
      </c>
      <c r="B2723" s="123"/>
      <c r="C2723" s="133" t="e">
        <f>VLOOKUP(B2723,'lista 1'!$A$2:$E$31000,5,0)</f>
        <v>#N/A</v>
      </c>
      <c r="D2723" s="167" t="e">
        <f>VLOOKUP(E14523,'lista obszary'!A:B,2,0)</f>
        <v>#N/A</v>
      </c>
      <c r="E2723" s="128" t="e">
        <f>VLOOKUP(B2723,'LISTA 12'!$A$2:$G$301400,5,0)</f>
        <v>#N/A</v>
      </c>
      <c r="F2723" s="121" t="e">
        <f>VLOOKUP(B2723,'LISTA 12'!$A$2:$G$30100,7,0)</f>
        <v>#N/A</v>
      </c>
      <c r="G2723" s="254" t="e">
        <f>VLOOKUP(H2723,'lista 3'!$A$1:$C$31467,3,0)</f>
        <v>#N/A</v>
      </c>
      <c r="H2723" s="134"/>
      <c r="I2723" s="136"/>
      <c r="J2723" s="135"/>
      <c r="K2723" s="22"/>
    </row>
    <row r="2724" spans="1:11">
      <c r="A2724" s="241" t="e">
        <f>VLOOKUP(B2724,'lista 1'!$A$2:$E$30100,4,0)</f>
        <v>#N/A</v>
      </c>
      <c r="B2724" s="123"/>
      <c r="C2724" s="133" t="e">
        <f>VLOOKUP(B2724,'lista 1'!$A$2:$E$31000,5,0)</f>
        <v>#N/A</v>
      </c>
      <c r="D2724" s="167" t="e">
        <f>VLOOKUP(E14524,'lista obszary'!A:B,2,0)</f>
        <v>#N/A</v>
      </c>
      <c r="E2724" s="128" t="e">
        <f>VLOOKUP(B2724,'LISTA 12'!$A$2:$G$301400,5,0)</f>
        <v>#N/A</v>
      </c>
      <c r="F2724" s="121" t="e">
        <f>VLOOKUP(B2724,'LISTA 12'!$A$2:$G$30100,7,0)</f>
        <v>#N/A</v>
      </c>
      <c r="G2724" s="254" t="e">
        <f>VLOOKUP(H2724,'lista 3'!$A$1:$C$31467,3,0)</f>
        <v>#N/A</v>
      </c>
      <c r="H2724" s="134"/>
      <c r="I2724" s="136"/>
      <c r="J2724" s="135"/>
      <c r="K2724" s="22"/>
    </row>
    <row r="2725" spans="1:11">
      <c r="A2725" s="241" t="e">
        <f>VLOOKUP(B2725,'lista 1'!$A$2:$E$30100,4,0)</f>
        <v>#N/A</v>
      </c>
      <c r="B2725" s="123"/>
      <c r="C2725" s="133" t="e">
        <f>VLOOKUP(B2725,'lista 1'!$A$2:$E$31000,5,0)</f>
        <v>#N/A</v>
      </c>
      <c r="D2725" s="167" t="e">
        <f>VLOOKUP(E14525,'lista obszary'!A:B,2,0)</f>
        <v>#N/A</v>
      </c>
      <c r="E2725" s="128" t="e">
        <f>VLOOKUP(B2725,'LISTA 12'!$A$2:$G$301400,5,0)</f>
        <v>#N/A</v>
      </c>
      <c r="F2725" s="121" t="e">
        <f>VLOOKUP(B2725,'LISTA 12'!$A$2:$G$30100,7,0)</f>
        <v>#N/A</v>
      </c>
      <c r="G2725" s="254" t="e">
        <f>VLOOKUP(H2725,'lista 3'!$A$1:$C$31467,3,0)</f>
        <v>#N/A</v>
      </c>
      <c r="H2725" s="134"/>
      <c r="I2725" s="136"/>
      <c r="J2725" s="135"/>
      <c r="K2725" s="22"/>
    </row>
    <row r="2726" spans="1:11">
      <c r="A2726" s="241" t="e">
        <f>VLOOKUP(B2726,'lista 1'!$A$2:$E$30100,4,0)</f>
        <v>#N/A</v>
      </c>
      <c r="B2726" s="123"/>
      <c r="C2726" s="133" t="e">
        <f>VLOOKUP(B2726,'lista 1'!$A$2:$E$31000,5,0)</f>
        <v>#N/A</v>
      </c>
      <c r="D2726" s="167" t="e">
        <f>VLOOKUP(E14526,'lista obszary'!A:B,2,0)</f>
        <v>#N/A</v>
      </c>
      <c r="E2726" s="128" t="e">
        <f>VLOOKUP(B2726,'LISTA 12'!$A$2:$G$301400,5,0)</f>
        <v>#N/A</v>
      </c>
      <c r="F2726" s="121" t="e">
        <f>VLOOKUP(B2726,'LISTA 12'!$A$2:$G$30100,7,0)</f>
        <v>#N/A</v>
      </c>
      <c r="G2726" s="254" t="e">
        <f>VLOOKUP(H2726,'lista 3'!$A$1:$C$31467,3,0)</f>
        <v>#N/A</v>
      </c>
      <c r="H2726" s="134"/>
      <c r="I2726" s="136"/>
      <c r="J2726" s="135"/>
      <c r="K2726" s="22"/>
    </row>
    <row r="2727" spans="1:11">
      <c r="A2727" s="241" t="e">
        <f>VLOOKUP(B2727,'lista 1'!$A$2:$E$30100,4,0)</f>
        <v>#N/A</v>
      </c>
      <c r="B2727" s="123"/>
      <c r="C2727" s="133" t="e">
        <f>VLOOKUP(B2727,'lista 1'!$A$2:$E$31000,5,0)</f>
        <v>#N/A</v>
      </c>
      <c r="D2727" s="167" t="e">
        <f>VLOOKUP(E14527,'lista obszary'!A:B,2,0)</f>
        <v>#N/A</v>
      </c>
      <c r="E2727" s="128" t="e">
        <f>VLOOKUP(B2727,'LISTA 12'!$A$2:$G$301400,5,0)</f>
        <v>#N/A</v>
      </c>
      <c r="F2727" s="121" t="e">
        <f>VLOOKUP(B2727,'LISTA 12'!$A$2:$G$30100,7,0)</f>
        <v>#N/A</v>
      </c>
      <c r="G2727" s="254" t="e">
        <f>VLOOKUP(H2727,'lista 3'!$A$1:$C$31467,3,0)</f>
        <v>#N/A</v>
      </c>
      <c r="H2727" s="134"/>
      <c r="I2727" s="136"/>
      <c r="J2727" s="135"/>
      <c r="K2727" s="22"/>
    </row>
    <row r="2728" spans="1:11">
      <c r="A2728" s="241" t="e">
        <f>VLOOKUP(B2728,'lista 1'!$A$2:$E$30100,4,0)</f>
        <v>#N/A</v>
      </c>
      <c r="B2728" s="123"/>
      <c r="C2728" s="133" t="e">
        <f>VLOOKUP(B2728,'lista 1'!$A$2:$E$31000,5,0)</f>
        <v>#N/A</v>
      </c>
      <c r="D2728" s="167" t="e">
        <f>VLOOKUP(E14528,'lista obszary'!A:B,2,0)</f>
        <v>#N/A</v>
      </c>
      <c r="E2728" s="128" t="e">
        <f>VLOOKUP(B2728,'LISTA 12'!$A$2:$G$301400,5,0)</f>
        <v>#N/A</v>
      </c>
      <c r="F2728" s="121" t="e">
        <f>VLOOKUP(B2728,'LISTA 12'!$A$2:$G$30100,7,0)</f>
        <v>#N/A</v>
      </c>
      <c r="G2728" s="254" t="e">
        <f>VLOOKUP(H2728,'lista 3'!$A$1:$C$31467,3,0)</f>
        <v>#N/A</v>
      </c>
      <c r="H2728" s="134"/>
      <c r="I2728" s="136"/>
      <c r="J2728" s="135"/>
      <c r="K2728" s="22"/>
    </row>
    <row r="2729" spans="1:11">
      <c r="A2729" s="241" t="e">
        <f>VLOOKUP(B2729,'lista 1'!$A$2:$E$30100,4,0)</f>
        <v>#N/A</v>
      </c>
      <c r="B2729" s="123"/>
      <c r="C2729" s="133" t="e">
        <f>VLOOKUP(B2729,'lista 1'!$A$2:$E$31000,5,0)</f>
        <v>#N/A</v>
      </c>
      <c r="D2729" s="167" t="e">
        <f>VLOOKUP(E14529,'lista obszary'!A:B,2,0)</f>
        <v>#N/A</v>
      </c>
      <c r="E2729" s="128" t="e">
        <f>VLOOKUP(B2729,'LISTA 12'!$A$2:$G$301400,5,0)</f>
        <v>#N/A</v>
      </c>
      <c r="F2729" s="121" t="e">
        <f>VLOOKUP(B2729,'LISTA 12'!$A$2:$G$30100,7,0)</f>
        <v>#N/A</v>
      </c>
      <c r="G2729" s="254" t="e">
        <f>VLOOKUP(H2729,'lista 3'!$A$1:$C$31467,3,0)</f>
        <v>#N/A</v>
      </c>
      <c r="H2729" s="134"/>
      <c r="I2729" s="136"/>
      <c r="J2729" s="135"/>
      <c r="K2729" s="22"/>
    </row>
    <row r="2730" spans="1:11">
      <c r="A2730" s="241" t="e">
        <f>VLOOKUP(B2730,'lista 1'!$A$2:$E$30100,4,0)</f>
        <v>#N/A</v>
      </c>
      <c r="B2730" s="123"/>
      <c r="C2730" s="133" t="e">
        <f>VLOOKUP(B2730,'lista 1'!$A$2:$E$31000,5,0)</f>
        <v>#N/A</v>
      </c>
      <c r="D2730" s="167" t="e">
        <f>VLOOKUP(E14530,'lista obszary'!A:B,2,0)</f>
        <v>#N/A</v>
      </c>
      <c r="E2730" s="128" t="e">
        <f>VLOOKUP(B2730,'LISTA 12'!$A$2:$G$301400,5,0)</f>
        <v>#N/A</v>
      </c>
      <c r="F2730" s="121" t="e">
        <f>VLOOKUP(B2730,'LISTA 12'!$A$2:$G$30100,7,0)</f>
        <v>#N/A</v>
      </c>
      <c r="G2730" s="254" t="e">
        <f>VLOOKUP(H2730,'lista 3'!$A$1:$C$31467,3,0)</f>
        <v>#N/A</v>
      </c>
      <c r="H2730" s="134"/>
      <c r="I2730" s="136"/>
      <c r="J2730" s="135"/>
      <c r="K2730" s="22"/>
    </row>
    <row r="2731" spans="1:11">
      <c r="A2731" s="241" t="e">
        <f>VLOOKUP(B2731,'lista 1'!$A$2:$E$30100,4,0)</f>
        <v>#N/A</v>
      </c>
      <c r="B2731" s="123"/>
      <c r="C2731" s="133" t="e">
        <f>VLOOKUP(B2731,'lista 1'!$A$2:$E$31000,5,0)</f>
        <v>#N/A</v>
      </c>
      <c r="D2731" s="167" t="e">
        <f>VLOOKUP(E14531,'lista obszary'!A:B,2,0)</f>
        <v>#N/A</v>
      </c>
      <c r="E2731" s="128" t="e">
        <f>VLOOKUP(B2731,'LISTA 12'!$A$2:$G$301400,5,0)</f>
        <v>#N/A</v>
      </c>
      <c r="F2731" s="121" t="e">
        <f>VLOOKUP(B2731,'LISTA 12'!$A$2:$G$30100,7,0)</f>
        <v>#N/A</v>
      </c>
      <c r="G2731" s="254" t="e">
        <f>VLOOKUP(H2731,'lista 3'!$A$1:$C$31467,3,0)</f>
        <v>#N/A</v>
      </c>
      <c r="H2731" s="134"/>
      <c r="I2731" s="136"/>
      <c r="J2731" s="135"/>
      <c r="K2731" s="22"/>
    </row>
    <row r="2732" spans="1:11">
      <c r="A2732" s="241" t="e">
        <f>VLOOKUP(B2732,'lista 1'!$A$2:$E$30100,4,0)</f>
        <v>#N/A</v>
      </c>
      <c r="B2732" s="123"/>
      <c r="C2732" s="133" t="e">
        <f>VLOOKUP(B2732,'lista 1'!$A$2:$E$31000,5,0)</f>
        <v>#N/A</v>
      </c>
      <c r="D2732" s="167" t="e">
        <f>VLOOKUP(E14532,'lista obszary'!A:B,2,0)</f>
        <v>#N/A</v>
      </c>
      <c r="E2732" s="128" t="e">
        <f>VLOOKUP(B2732,'LISTA 12'!$A$2:$G$301400,5,0)</f>
        <v>#N/A</v>
      </c>
      <c r="F2732" s="121" t="e">
        <f>VLOOKUP(B2732,'LISTA 12'!$A$2:$G$30100,7,0)</f>
        <v>#N/A</v>
      </c>
      <c r="G2732" s="254" t="e">
        <f>VLOOKUP(H2732,'lista 3'!$A$1:$C$31467,3,0)</f>
        <v>#N/A</v>
      </c>
      <c r="H2732" s="134"/>
      <c r="I2732" s="136"/>
      <c r="J2732" s="135"/>
      <c r="K2732" s="22"/>
    </row>
    <row r="2733" spans="1:11">
      <c r="A2733" s="241" t="e">
        <f>VLOOKUP(B2733,'lista 1'!$A$2:$E$30100,4,0)</f>
        <v>#N/A</v>
      </c>
      <c r="B2733" s="123"/>
      <c r="C2733" s="133" t="e">
        <f>VLOOKUP(B2733,'lista 1'!$A$2:$E$31000,5,0)</f>
        <v>#N/A</v>
      </c>
      <c r="D2733" s="167" t="e">
        <f>VLOOKUP(E14533,'lista obszary'!A:B,2,0)</f>
        <v>#N/A</v>
      </c>
      <c r="E2733" s="128" t="e">
        <f>VLOOKUP(B2733,'LISTA 12'!$A$2:$G$301400,5,0)</f>
        <v>#N/A</v>
      </c>
      <c r="F2733" s="121" t="e">
        <f>VLOOKUP(B2733,'LISTA 12'!$A$2:$G$30100,7,0)</f>
        <v>#N/A</v>
      </c>
      <c r="G2733" s="254" t="e">
        <f>VLOOKUP(H2733,'lista 3'!$A$1:$C$31467,3,0)</f>
        <v>#N/A</v>
      </c>
      <c r="H2733" s="134"/>
      <c r="I2733" s="136"/>
      <c r="J2733" s="135"/>
      <c r="K2733" s="22"/>
    </row>
    <row r="2734" spans="1:11">
      <c r="A2734" s="241" t="e">
        <f>VLOOKUP(B2734,'lista 1'!$A$2:$E$30100,4,0)</f>
        <v>#N/A</v>
      </c>
      <c r="B2734" s="123"/>
      <c r="C2734" s="133" t="e">
        <f>VLOOKUP(B2734,'lista 1'!$A$2:$E$31000,5,0)</f>
        <v>#N/A</v>
      </c>
      <c r="D2734" s="167" t="e">
        <f>VLOOKUP(E14534,'lista obszary'!A:B,2,0)</f>
        <v>#N/A</v>
      </c>
      <c r="E2734" s="128" t="e">
        <f>VLOOKUP(B2734,'LISTA 12'!$A$2:$G$301400,5,0)</f>
        <v>#N/A</v>
      </c>
      <c r="F2734" s="121" t="e">
        <f>VLOOKUP(B2734,'LISTA 12'!$A$2:$G$30100,7,0)</f>
        <v>#N/A</v>
      </c>
      <c r="G2734" s="254" t="e">
        <f>VLOOKUP(H2734,'lista 3'!$A$1:$C$31467,3,0)</f>
        <v>#N/A</v>
      </c>
      <c r="H2734" s="134"/>
      <c r="I2734" s="136"/>
      <c r="J2734" s="135"/>
      <c r="K2734" s="22"/>
    </row>
    <row r="2735" spans="1:11">
      <c r="A2735" s="241" t="e">
        <f>VLOOKUP(B2735,'lista 1'!$A$2:$E$30100,4,0)</f>
        <v>#N/A</v>
      </c>
      <c r="B2735" s="123"/>
      <c r="C2735" s="133" t="e">
        <f>VLOOKUP(B2735,'lista 1'!$A$2:$E$31000,5,0)</f>
        <v>#N/A</v>
      </c>
      <c r="D2735" s="167" t="e">
        <f>VLOOKUP(E14535,'lista obszary'!A:B,2,0)</f>
        <v>#N/A</v>
      </c>
      <c r="E2735" s="128" t="e">
        <f>VLOOKUP(B2735,'LISTA 12'!$A$2:$G$301400,5,0)</f>
        <v>#N/A</v>
      </c>
      <c r="F2735" s="121" t="e">
        <f>VLOOKUP(B2735,'LISTA 12'!$A$2:$G$30100,7,0)</f>
        <v>#N/A</v>
      </c>
      <c r="G2735" s="254" t="e">
        <f>VLOOKUP(H2735,'lista 3'!$A$1:$C$31467,3,0)</f>
        <v>#N/A</v>
      </c>
      <c r="H2735" s="134"/>
      <c r="I2735" s="136"/>
      <c r="J2735" s="135"/>
      <c r="K2735" s="22"/>
    </row>
    <row r="2736" spans="1:11">
      <c r="A2736" s="241" t="e">
        <f>VLOOKUP(B2736,'lista 1'!$A$2:$E$30100,4,0)</f>
        <v>#N/A</v>
      </c>
      <c r="B2736" s="123"/>
      <c r="C2736" s="133" t="e">
        <f>VLOOKUP(B2736,'lista 1'!$A$2:$E$31000,5,0)</f>
        <v>#N/A</v>
      </c>
      <c r="D2736" s="167" t="e">
        <f>VLOOKUP(E14536,'lista obszary'!A:B,2,0)</f>
        <v>#N/A</v>
      </c>
      <c r="E2736" s="128" t="e">
        <f>VLOOKUP(B2736,'LISTA 12'!$A$2:$G$301400,5,0)</f>
        <v>#N/A</v>
      </c>
      <c r="F2736" s="121" t="e">
        <f>VLOOKUP(B2736,'LISTA 12'!$A$2:$G$30100,7,0)</f>
        <v>#N/A</v>
      </c>
      <c r="G2736" s="254" t="e">
        <f>VLOOKUP(H2736,'lista 3'!$A$1:$C$31467,3,0)</f>
        <v>#N/A</v>
      </c>
      <c r="H2736" s="134"/>
      <c r="I2736" s="136"/>
      <c r="J2736" s="135"/>
      <c r="K2736" s="22"/>
    </row>
    <row r="2737" spans="1:11">
      <c r="A2737" s="241" t="e">
        <f>VLOOKUP(B2737,'lista 1'!$A$2:$E$30100,4,0)</f>
        <v>#N/A</v>
      </c>
      <c r="B2737" s="123"/>
      <c r="C2737" s="133" t="e">
        <f>VLOOKUP(B2737,'lista 1'!$A$2:$E$31000,5,0)</f>
        <v>#N/A</v>
      </c>
      <c r="D2737" s="167" t="e">
        <f>VLOOKUP(E14537,'lista obszary'!A:B,2,0)</f>
        <v>#N/A</v>
      </c>
      <c r="E2737" s="128" t="e">
        <f>VLOOKUP(B2737,'LISTA 12'!$A$2:$G$301400,5,0)</f>
        <v>#N/A</v>
      </c>
      <c r="F2737" s="121" t="e">
        <f>VLOOKUP(B2737,'LISTA 12'!$A$2:$G$30100,7,0)</f>
        <v>#N/A</v>
      </c>
      <c r="G2737" s="254" t="e">
        <f>VLOOKUP(H2737,'lista 3'!$A$1:$C$31467,3,0)</f>
        <v>#N/A</v>
      </c>
      <c r="H2737" s="134"/>
      <c r="I2737" s="136"/>
      <c r="J2737" s="135"/>
      <c r="K2737" s="22"/>
    </row>
    <row r="2738" spans="1:11">
      <c r="A2738" s="241" t="e">
        <f>VLOOKUP(B2738,'lista 1'!$A$2:$E$30100,4,0)</f>
        <v>#N/A</v>
      </c>
      <c r="B2738" s="123"/>
      <c r="C2738" s="133" t="e">
        <f>VLOOKUP(B2738,'lista 1'!$A$2:$E$31000,5,0)</f>
        <v>#N/A</v>
      </c>
      <c r="D2738" s="167" t="e">
        <f>VLOOKUP(E14538,'lista obszary'!A:B,2,0)</f>
        <v>#N/A</v>
      </c>
      <c r="E2738" s="128" t="e">
        <f>VLOOKUP(B2738,'LISTA 12'!$A$2:$G$301400,5,0)</f>
        <v>#N/A</v>
      </c>
      <c r="F2738" s="121" t="e">
        <f>VLOOKUP(B2738,'LISTA 12'!$A$2:$G$30100,7,0)</f>
        <v>#N/A</v>
      </c>
      <c r="G2738" s="254" t="e">
        <f>VLOOKUP(H2738,'lista 3'!$A$1:$C$31467,3,0)</f>
        <v>#N/A</v>
      </c>
      <c r="H2738" s="134"/>
      <c r="I2738" s="136"/>
      <c r="J2738" s="135"/>
      <c r="K2738" s="22"/>
    </row>
    <row r="2739" spans="1:11">
      <c r="A2739" s="241" t="e">
        <f>VLOOKUP(B2739,'lista 1'!$A$2:$E$30100,4,0)</f>
        <v>#N/A</v>
      </c>
      <c r="B2739" s="123"/>
      <c r="C2739" s="133" t="e">
        <f>VLOOKUP(B2739,'lista 1'!$A$2:$E$31000,5,0)</f>
        <v>#N/A</v>
      </c>
      <c r="D2739" s="167" t="e">
        <f>VLOOKUP(E14539,'lista obszary'!A:B,2,0)</f>
        <v>#N/A</v>
      </c>
      <c r="E2739" s="128" t="e">
        <f>VLOOKUP(B2739,'LISTA 12'!$A$2:$G$301400,5,0)</f>
        <v>#N/A</v>
      </c>
      <c r="F2739" s="121" t="e">
        <f>VLOOKUP(B2739,'LISTA 12'!$A$2:$G$30100,7,0)</f>
        <v>#N/A</v>
      </c>
      <c r="G2739" s="254" t="e">
        <f>VLOOKUP(H2739,'lista 3'!$A$1:$C$31467,3,0)</f>
        <v>#N/A</v>
      </c>
      <c r="H2739" s="134"/>
      <c r="I2739" s="136"/>
      <c r="J2739" s="135"/>
      <c r="K2739" s="22"/>
    </row>
    <row r="2740" spans="1:11">
      <c r="A2740" s="241" t="e">
        <f>VLOOKUP(B2740,'lista 1'!$A$2:$E$30100,4,0)</f>
        <v>#N/A</v>
      </c>
      <c r="B2740" s="123"/>
      <c r="C2740" s="133" t="e">
        <f>VLOOKUP(B2740,'lista 1'!$A$2:$E$31000,5,0)</f>
        <v>#N/A</v>
      </c>
      <c r="D2740" s="167" t="e">
        <f>VLOOKUP(E14540,'lista obszary'!A:B,2,0)</f>
        <v>#N/A</v>
      </c>
      <c r="E2740" s="128" t="e">
        <f>VLOOKUP(B2740,'LISTA 12'!$A$2:$G$301400,5,0)</f>
        <v>#N/A</v>
      </c>
      <c r="F2740" s="121" t="e">
        <f>VLOOKUP(B2740,'LISTA 12'!$A$2:$G$30100,7,0)</f>
        <v>#N/A</v>
      </c>
      <c r="G2740" s="254" t="e">
        <f>VLOOKUP(H2740,'lista 3'!$A$1:$C$31467,3,0)</f>
        <v>#N/A</v>
      </c>
      <c r="H2740" s="134"/>
      <c r="I2740" s="136"/>
      <c r="J2740" s="135"/>
      <c r="K2740" s="22"/>
    </row>
    <row r="2741" spans="1:11">
      <c r="A2741" s="241" t="e">
        <f>VLOOKUP(B2741,'lista 1'!$A$2:$E$30100,4,0)</f>
        <v>#N/A</v>
      </c>
      <c r="B2741" s="123"/>
      <c r="C2741" s="133" t="e">
        <f>VLOOKUP(B2741,'lista 1'!$A$2:$E$31000,5,0)</f>
        <v>#N/A</v>
      </c>
      <c r="D2741" s="167" t="e">
        <f>VLOOKUP(E14541,'lista obszary'!A:B,2,0)</f>
        <v>#N/A</v>
      </c>
      <c r="E2741" s="128" t="e">
        <f>VLOOKUP(B2741,'LISTA 12'!$A$2:$G$301400,5,0)</f>
        <v>#N/A</v>
      </c>
      <c r="F2741" s="121" t="e">
        <f>VLOOKUP(B2741,'LISTA 12'!$A$2:$G$30100,7,0)</f>
        <v>#N/A</v>
      </c>
      <c r="G2741" s="254" t="e">
        <f>VLOOKUP(H2741,'lista 3'!$A$1:$C$31467,3,0)</f>
        <v>#N/A</v>
      </c>
      <c r="H2741" s="134"/>
      <c r="I2741" s="136"/>
      <c r="J2741" s="135"/>
      <c r="K2741" s="22"/>
    </row>
    <row r="2742" spans="1:11">
      <c r="A2742" s="241" t="e">
        <f>VLOOKUP(B2742,'lista 1'!$A$2:$E$30100,4,0)</f>
        <v>#N/A</v>
      </c>
      <c r="B2742" s="123"/>
      <c r="C2742" s="133" t="e">
        <f>VLOOKUP(B2742,'lista 1'!$A$2:$E$31000,5,0)</f>
        <v>#N/A</v>
      </c>
      <c r="D2742" s="167" t="e">
        <f>VLOOKUP(E14542,'lista obszary'!A:B,2,0)</f>
        <v>#N/A</v>
      </c>
      <c r="E2742" s="128" t="e">
        <f>VLOOKUP(B2742,'LISTA 12'!$A$2:$G$301400,5,0)</f>
        <v>#N/A</v>
      </c>
      <c r="F2742" s="121" t="e">
        <f>VLOOKUP(B2742,'LISTA 12'!$A$2:$G$30100,7,0)</f>
        <v>#N/A</v>
      </c>
      <c r="G2742" s="254" t="e">
        <f>VLOOKUP(H2742,'lista 3'!$A$1:$C$31467,3,0)</f>
        <v>#N/A</v>
      </c>
      <c r="H2742" s="134"/>
      <c r="I2742" s="136"/>
      <c r="J2742" s="135"/>
      <c r="K2742" s="22"/>
    </row>
    <row r="2743" spans="1:11">
      <c r="A2743" s="241" t="e">
        <f>VLOOKUP(B2743,'lista 1'!$A$2:$E$30100,4,0)</f>
        <v>#N/A</v>
      </c>
      <c r="B2743" s="123"/>
      <c r="C2743" s="133" t="e">
        <f>VLOOKUP(B2743,'lista 1'!$A$2:$E$31000,5,0)</f>
        <v>#N/A</v>
      </c>
      <c r="D2743" s="167" t="e">
        <f>VLOOKUP(E14543,'lista obszary'!A:B,2,0)</f>
        <v>#N/A</v>
      </c>
      <c r="E2743" s="128" t="e">
        <f>VLOOKUP(B2743,'LISTA 12'!$A$2:$G$301400,5,0)</f>
        <v>#N/A</v>
      </c>
      <c r="F2743" s="121" t="e">
        <f>VLOOKUP(B2743,'LISTA 12'!$A$2:$G$30100,7,0)</f>
        <v>#N/A</v>
      </c>
      <c r="G2743" s="254" t="e">
        <f>VLOOKUP(H2743,'lista 3'!$A$1:$C$31467,3,0)</f>
        <v>#N/A</v>
      </c>
      <c r="H2743" s="134"/>
      <c r="I2743" s="136"/>
      <c r="J2743" s="135"/>
      <c r="K2743" s="22"/>
    </row>
    <row r="2744" spans="1:11">
      <c r="A2744" s="241" t="e">
        <f>VLOOKUP(B2744,'lista 1'!$A$2:$E$30100,4,0)</f>
        <v>#N/A</v>
      </c>
      <c r="B2744" s="123"/>
      <c r="C2744" s="133" t="e">
        <f>VLOOKUP(B2744,'lista 1'!$A$2:$E$31000,5,0)</f>
        <v>#N/A</v>
      </c>
      <c r="D2744" s="167" t="e">
        <f>VLOOKUP(E14544,'lista obszary'!A:B,2,0)</f>
        <v>#N/A</v>
      </c>
      <c r="E2744" s="128" t="e">
        <f>VLOOKUP(B2744,'LISTA 12'!$A$2:$G$301400,5,0)</f>
        <v>#N/A</v>
      </c>
      <c r="F2744" s="121" t="e">
        <f>VLOOKUP(B2744,'LISTA 12'!$A$2:$G$30100,7,0)</f>
        <v>#N/A</v>
      </c>
      <c r="G2744" s="254" t="e">
        <f>VLOOKUP(H2744,'lista 3'!$A$1:$C$31467,3,0)</f>
        <v>#N/A</v>
      </c>
      <c r="H2744" s="134"/>
      <c r="I2744" s="136"/>
      <c r="J2744" s="135"/>
      <c r="K2744" s="22"/>
    </row>
    <row r="2745" spans="1:11">
      <c r="A2745" s="241" t="e">
        <f>VLOOKUP(B2745,'lista 1'!$A$2:$E$30100,4,0)</f>
        <v>#N/A</v>
      </c>
      <c r="B2745" s="123"/>
      <c r="C2745" s="133" t="e">
        <f>VLOOKUP(B2745,'lista 1'!$A$2:$E$31000,5,0)</f>
        <v>#N/A</v>
      </c>
      <c r="D2745" s="167" t="e">
        <f>VLOOKUP(E14545,'lista obszary'!A:B,2,0)</f>
        <v>#N/A</v>
      </c>
      <c r="E2745" s="128" t="e">
        <f>VLOOKUP(B2745,'LISTA 12'!$A$2:$G$301400,5,0)</f>
        <v>#N/A</v>
      </c>
      <c r="F2745" s="121" t="e">
        <f>VLOOKUP(B2745,'LISTA 12'!$A$2:$G$30100,7,0)</f>
        <v>#N/A</v>
      </c>
      <c r="G2745" s="254" t="e">
        <f>VLOOKUP(H2745,'lista 3'!$A$1:$C$31467,3,0)</f>
        <v>#N/A</v>
      </c>
      <c r="H2745" s="134"/>
      <c r="I2745" s="136"/>
      <c r="J2745" s="135"/>
      <c r="K2745" s="22"/>
    </row>
    <row r="2746" spans="1:11">
      <c r="A2746" s="241" t="e">
        <f>VLOOKUP(B2746,'lista 1'!$A$2:$E$30100,4,0)</f>
        <v>#N/A</v>
      </c>
      <c r="B2746" s="123"/>
      <c r="C2746" s="133" t="e">
        <f>VLOOKUP(B2746,'lista 1'!$A$2:$E$31000,5,0)</f>
        <v>#N/A</v>
      </c>
      <c r="D2746" s="167" t="e">
        <f>VLOOKUP(E14546,'lista obszary'!A:B,2,0)</f>
        <v>#N/A</v>
      </c>
      <c r="E2746" s="128" t="e">
        <f>VLOOKUP(B2746,'LISTA 12'!$A$2:$G$301400,5,0)</f>
        <v>#N/A</v>
      </c>
      <c r="F2746" s="121" t="e">
        <f>VLOOKUP(B2746,'LISTA 12'!$A$2:$G$30100,7,0)</f>
        <v>#N/A</v>
      </c>
      <c r="G2746" s="254" t="e">
        <f>VLOOKUP(H2746,'lista 3'!$A$1:$C$31467,3,0)</f>
        <v>#N/A</v>
      </c>
      <c r="H2746" s="134"/>
      <c r="I2746" s="136"/>
      <c r="J2746" s="135"/>
      <c r="K2746" s="22"/>
    </row>
    <row r="2747" spans="1:11">
      <c r="A2747" s="241" t="e">
        <f>VLOOKUP(B2747,'lista 1'!$A$2:$E$30100,4,0)</f>
        <v>#N/A</v>
      </c>
      <c r="B2747" s="123"/>
      <c r="C2747" s="133" t="e">
        <f>VLOOKUP(B2747,'lista 1'!$A$2:$E$31000,5,0)</f>
        <v>#N/A</v>
      </c>
      <c r="D2747" s="167" t="e">
        <f>VLOOKUP(E14547,'lista obszary'!A:B,2,0)</f>
        <v>#N/A</v>
      </c>
      <c r="E2747" s="128" t="e">
        <f>VLOOKUP(B2747,'LISTA 12'!$A$2:$G$301400,5,0)</f>
        <v>#N/A</v>
      </c>
      <c r="F2747" s="121" t="e">
        <f>VLOOKUP(B2747,'LISTA 12'!$A$2:$G$30100,7,0)</f>
        <v>#N/A</v>
      </c>
      <c r="G2747" s="254" t="e">
        <f>VLOOKUP(H2747,'lista 3'!$A$1:$C$31467,3,0)</f>
        <v>#N/A</v>
      </c>
      <c r="H2747" s="134"/>
      <c r="I2747" s="136"/>
      <c r="J2747" s="135"/>
      <c r="K2747" s="22"/>
    </row>
    <row r="2748" spans="1:11">
      <c r="A2748" s="241" t="e">
        <f>VLOOKUP(B2748,'lista 1'!$A$2:$E$30100,4,0)</f>
        <v>#N/A</v>
      </c>
      <c r="B2748" s="123"/>
      <c r="C2748" s="133" t="e">
        <f>VLOOKUP(B2748,'lista 1'!$A$2:$E$31000,5,0)</f>
        <v>#N/A</v>
      </c>
      <c r="D2748" s="167" t="e">
        <f>VLOOKUP(E14548,'lista obszary'!A:B,2,0)</f>
        <v>#N/A</v>
      </c>
      <c r="E2748" s="128" t="e">
        <f>VLOOKUP(B2748,'LISTA 12'!$A$2:$G$301400,5,0)</f>
        <v>#N/A</v>
      </c>
      <c r="F2748" s="121" t="e">
        <f>VLOOKUP(B2748,'LISTA 12'!$A$2:$G$30100,7,0)</f>
        <v>#N/A</v>
      </c>
      <c r="G2748" s="254" t="e">
        <f>VLOOKUP(H2748,'lista 3'!$A$1:$C$31467,3,0)</f>
        <v>#N/A</v>
      </c>
      <c r="H2748" s="134"/>
      <c r="I2748" s="136"/>
      <c r="J2748" s="135"/>
      <c r="K2748" s="22"/>
    </row>
    <row r="2749" spans="1:11">
      <c r="A2749" s="241" t="e">
        <f>VLOOKUP(B2749,'lista 1'!$A$2:$E$30100,4,0)</f>
        <v>#N/A</v>
      </c>
      <c r="B2749" s="123"/>
      <c r="C2749" s="133" t="e">
        <f>VLOOKUP(B2749,'lista 1'!$A$2:$E$31000,5,0)</f>
        <v>#N/A</v>
      </c>
      <c r="D2749" s="167" t="e">
        <f>VLOOKUP(E14549,'lista obszary'!A:B,2,0)</f>
        <v>#N/A</v>
      </c>
      <c r="E2749" s="128" t="e">
        <f>VLOOKUP(B2749,'LISTA 12'!$A$2:$G$301400,5,0)</f>
        <v>#N/A</v>
      </c>
      <c r="F2749" s="121" t="e">
        <f>VLOOKUP(B2749,'LISTA 12'!$A$2:$G$30100,7,0)</f>
        <v>#N/A</v>
      </c>
      <c r="G2749" s="254" t="e">
        <f>VLOOKUP(H2749,'lista 3'!$A$1:$C$31467,3,0)</f>
        <v>#N/A</v>
      </c>
      <c r="H2749" s="134"/>
      <c r="I2749" s="136"/>
      <c r="J2749" s="135"/>
      <c r="K2749" s="22"/>
    </row>
    <row r="2750" spans="1:11">
      <c r="A2750" s="241" t="e">
        <f>VLOOKUP(B2750,'lista 1'!$A$2:$E$30100,4,0)</f>
        <v>#N/A</v>
      </c>
      <c r="B2750" s="123"/>
      <c r="C2750" s="133" t="e">
        <f>VLOOKUP(B2750,'lista 1'!$A$2:$E$31000,5,0)</f>
        <v>#N/A</v>
      </c>
      <c r="D2750" s="167" t="e">
        <f>VLOOKUP(E14550,'lista obszary'!A:B,2,0)</f>
        <v>#N/A</v>
      </c>
      <c r="E2750" s="128" t="e">
        <f>VLOOKUP(B2750,'LISTA 12'!$A$2:$G$301400,5,0)</f>
        <v>#N/A</v>
      </c>
      <c r="F2750" s="121" t="e">
        <f>VLOOKUP(B2750,'LISTA 12'!$A$2:$G$30100,7,0)</f>
        <v>#N/A</v>
      </c>
      <c r="G2750" s="254" t="e">
        <f>VLOOKUP(H2750,'lista 3'!$A$1:$C$31467,3,0)</f>
        <v>#N/A</v>
      </c>
      <c r="H2750" s="134"/>
      <c r="I2750" s="136"/>
      <c r="J2750" s="135"/>
      <c r="K2750" s="22"/>
    </row>
    <row r="2751" spans="1:11">
      <c r="A2751" s="241" t="e">
        <f>VLOOKUP(B2751,'lista 1'!$A$2:$E$30100,4,0)</f>
        <v>#N/A</v>
      </c>
      <c r="B2751" s="123"/>
      <c r="C2751" s="133" t="e">
        <f>VLOOKUP(B2751,'lista 1'!$A$2:$E$31000,5,0)</f>
        <v>#N/A</v>
      </c>
      <c r="D2751" s="167" t="e">
        <f>VLOOKUP(E14551,'lista obszary'!A:B,2,0)</f>
        <v>#N/A</v>
      </c>
      <c r="E2751" s="128" t="e">
        <f>VLOOKUP(B2751,'LISTA 12'!$A$2:$G$301400,5,0)</f>
        <v>#N/A</v>
      </c>
      <c r="F2751" s="121" t="e">
        <f>VLOOKUP(B2751,'LISTA 12'!$A$2:$G$30100,7,0)</f>
        <v>#N/A</v>
      </c>
      <c r="G2751" s="254" t="e">
        <f>VLOOKUP(H2751,'lista 3'!$A$1:$C$31467,3,0)</f>
        <v>#N/A</v>
      </c>
      <c r="H2751" s="134"/>
      <c r="I2751" s="136"/>
      <c r="J2751" s="135"/>
      <c r="K2751" s="22"/>
    </row>
    <row r="2752" spans="1:11">
      <c r="A2752" s="241" t="e">
        <f>VLOOKUP(B2752,'lista 1'!$A$2:$E$30100,4,0)</f>
        <v>#N/A</v>
      </c>
      <c r="B2752" s="123"/>
      <c r="C2752" s="133" t="e">
        <f>VLOOKUP(B2752,'lista 1'!$A$2:$E$31000,5,0)</f>
        <v>#N/A</v>
      </c>
      <c r="D2752" s="167" t="e">
        <f>VLOOKUP(E14552,'lista obszary'!A:B,2,0)</f>
        <v>#N/A</v>
      </c>
      <c r="E2752" s="128" t="e">
        <f>VLOOKUP(B2752,'LISTA 12'!$A$2:$G$301400,5,0)</f>
        <v>#N/A</v>
      </c>
      <c r="F2752" s="121" t="e">
        <f>VLOOKUP(B2752,'LISTA 12'!$A$2:$G$30100,7,0)</f>
        <v>#N/A</v>
      </c>
      <c r="G2752" s="254" t="e">
        <f>VLOOKUP(H2752,'lista 3'!$A$1:$C$31467,3,0)</f>
        <v>#N/A</v>
      </c>
      <c r="H2752" s="134"/>
      <c r="I2752" s="136"/>
      <c r="J2752" s="135"/>
      <c r="K2752" s="22"/>
    </row>
    <row r="2753" spans="1:11">
      <c r="A2753" s="241" t="e">
        <f>VLOOKUP(B2753,'lista 1'!$A$2:$E$30100,4,0)</f>
        <v>#N/A</v>
      </c>
      <c r="B2753" s="123"/>
      <c r="C2753" s="133" t="e">
        <f>VLOOKUP(B2753,'lista 1'!$A$2:$E$31000,5,0)</f>
        <v>#N/A</v>
      </c>
      <c r="D2753" s="167" t="e">
        <f>VLOOKUP(E14553,'lista obszary'!A:B,2,0)</f>
        <v>#N/A</v>
      </c>
      <c r="E2753" s="128" t="e">
        <f>VLOOKUP(B2753,'LISTA 12'!$A$2:$G$301400,5,0)</f>
        <v>#N/A</v>
      </c>
      <c r="F2753" s="121" t="e">
        <f>VLOOKUP(B2753,'LISTA 12'!$A$2:$G$30100,7,0)</f>
        <v>#N/A</v>
      </c>
      <c r="G2753" s="254" t="e">
        <f>VLOOKUP(H2753,'lista 3'!$A$1:$C$31467,3,0)</f>
        <v>#N/A</v>
      </c>
      <c r="H2753" s="134"/>
      <c r="I2753" s="136"/>
      <c r="J2753" s="135"/>
      <c r="K2753" s="22"/>
    </row>
    <row r="2754" spans="1:11">
      <c r="A2754" s="241" t="e">
        <f>VLOOKUP(B2754,'lista 1'!$A$2:$E$30100,4,0)</f>
        <v>#N/A</v>
      </c>
      <c r="B2754" s="123"/>
      <c r="C2754" s="133" t="e">
        <f>VLOOKUP(B2754,'lista 1'!$A$2:$E$31000,5,0)</f>
        <v>#N/A</v>
      </c>
      <c r="D2754" s="167" t="e">
        <f>VLOOKUP(E14554,'lista obszary'!A:B,2,0)</f>
        <v>#N/A</v>
      </c>
      <c r="E2754" s="128" t="e">
        <f>VLOOKUP(B2754,'LISTA 12'!$A$2:$G$301400,5,0)</f>
        <v>#N/A</v>
      </c>
      <c r="F2754" s="121" t="e">
        <f>VLOOKUP(B2754,'LISTA 12'!$A$2:$G$30100,7,0)</f>
        <v>#N/A</v>
      </c>
      <c r="G2754" s="254" t="e">
        <f>VLOOKUP(H2754,'lista 3'!$A$1:$C$31467,3,0)</f>
        <v>#N/A</v>
      </c>
      <c r="H2754" s="134"/>
      <c r="I2754" s="136"/>
      <c r="J2754" s="135"/>
      <c r="K2754" s="22"/>
    </row>
    <row r="2755" spans="1:11">
      <c r="A2755" s="241" t="e">
        <f>VLOOKUP(B2755,'lista 1'!$A$2:$E$30100,4,0)</f>
        <v>#N/A</v>
      </c>
      <c r="B2755" s="123"/>
      <c r="C2755" s="133" t="e">
        <f>VLOOKUP(B2755,'lista 1'!$A$2:$E$31000,5,0)</f>
        <v>#N/A</v>
      </c>
      <c r="D2755" s="167" t="e">
        <f>VLOOKUP(E14555,'lista obszary'!A:B,2,0)</f>
        <v>#N/A</v>
      </c>
      <c r="E2755" s="128" t="e">
        <f>VLOOKUP(B2755,'LISTA 12'!$A$2:$G$301400,5,0)</f>
        <v>#N/A</v>
      </c>
      <c r="F2755" s="121" t="e">
        <f>VLOOKUP(B2755,'LISTA 12'!$A$2:$G$30100,7,0)</f>
        <v>#N/A</v>
      </c>
      <c r="G2755" s="254" t="e">
        <f>VLOOKUP(H2755,'lista 3'!$A$1:$C$31467,3,0)</f>
        <v>#N/A</v>
      </c>
      <c r="H2755" s="134"/>
      <c r="I2755" s="136"/>
      <c r="J2755" s="135"/>
      <c r="K2755" s="22"/>
    </row>
    <row r="2756" spans="1:11">
      <c r="A2756" s="241" t="e">
        <f>VLOOKUP(B2756,'lista 1'!$A$2:$E$30100,4,0)</f>
        <v>#N/A</v>
      </c>
      <c r="B2756" s="123"/>
      <c r="C2756" s="133" t="e">
        <f>VLOOKUP(B2756,'lista 1'!$A$2:$E$31000,5,0)</f>
        <v>#N/A</v>
      </c>
      <c r="D2756" s="167" t="e">
        <f>VLOOKUP(E14556,'lista obszary'!A:B,2,0)</f>
        <v>#N/A</v>
      </c>
      <c r="E2756" s="128" t="e">
        <f>VLOOKUP(B2756,'LISTA 12'!$A$2:$G$301400,5,0)</f>
        <v>#N/A</v>
      </c>
      <c r="F2756" s="121" t="e">
        <f>VLOOKUP(B2756,'LISTA 12'!$A$2:$G$30100,7,0)</f>
        <v>#N/A</v>
      </c>
      <c r="G2756" s="254" t="e">
        <f>VLOOKUP(H2756,'lista 3'!$A$1:$C$31467,3,0)</f>
        <v>#N/A</v>
      </c>
      <c r="H2756" s="134"/>
      <c r="I2756" s="136"/>
      <c r="J2756" s="135"/>
      <c r="K2756" s="22"/>
    </row>
    <row r="2757" spans="1:11">
      <c r="A2757" s="241" t="e">
        <f>VLOOKUP(B2757,'lista 1'!$A$2:$E$30100,4,0)</f>
        <v>#N/A</v>
      </c>
      <c r="B2757" s="123"/>
      <c r="C2757" s="133" t="e">
        <f>VLOOKUP(B2757,'lista 1'!$A$2:$E$31000,5,0)</f>
        <v>#N/A</v>
      </c>
      <c r="D2757" s="167" t="e">
        <f>VLOOKUP(E14557,'lista obszary'!A:B,2,0)</f>
        <v>#N/A</v>
      </c>
      <c r="E2757" s="128" t="e">
        <f>VLOOKUP(B2757,'LISTA 12'!$A$2:$G$301400,5,0)</f>
        <v>#N/A</v>
      </c>
      <c r="F2757" s="121" t="e">
        <f>VLOOKUP(B2757,'LISTA 12'!$A$2:$G$30100,7,0)</f>
        <v>#N/A</v>
      </c>
      <c r="G2757" s="254" t="e">
        <f>VLOOKUP(H2757,'lista 3'!$A$1:$C$31467,3,0)</f>
        <v>#N/A</v>
      </c>
      <c r="H2757" s="134"/>
      <c r="I2757" s="136"/>
      <c r="J2757" s="135"/>
      <c r="K2757" s="22"/>
    </row>
    <row r="2758" spans="1:11">
      <c r="A2758" s="241" t="e">
        <f>VLOOKUP(B2758,'lista 1'!$A$2:$E$30100,4,0)</f>
        <v>#N/A</v>
      </c>
      <c r="B2758" s="123"/>
      <c r="C2758" s="133" t="e">
        <f>VLOOKUP(B2758,'lista 1'!$A$2:$E$31000,5,0)</f>
        <v>#N/A</v>
      </c>
      <c r="D2758" s="167" t="e">
        <f>VLOOKUP(E14558,'lista obszary'!A:B,2,0)</f>
        <v>#N/A</v>
      </c>
      <c r="E2758" s="128" t="e">
        <f>VLOOKUP(B2758,'LISTA 12'!$A$2:$G$301400,5,0)</f>
        <v>#N/A</v>
      </c>
      <c r="F2758" s="121" t="e">
        <f>VLOOKUP(B2758,'LISTA 12'!$A$2:$G$30100,7,0)</f>
        <v>#N/A</v>
      </c>
      <c r="G2758" s="254" t="e">
        <f>VLOOKUP(H2758,'lista 3'!$A$1:$C$31467,3,0)</f>
        <v>#N/A</v>
      </c>
      <c r="H2758" s="134"/>
      <c r="I2758" s="136"/>
      <c r="J2758" s="135"/>
      <c r="K2758" s="22"/>
    </row>
    <row r="2759" spans="1:11">
      <c r="A2759" s="241" t="e">
        <f>VLOOKUP(B2759,'lista 1'!$A$2:$E$30100,4,0)</f>
        <v>#N/A</v>
      </c>
      <c r="B2759" s="123"/>
      <c r="C2759" s="133" t="e">
        <f>VLOOKUP(B2759,'lista 1'!$A$2:$E$31000,5,0)</f>
        <v>#N/A</v>
      </c>
      <c r="D2759" s="167" t="e">
        <f>VLOOKUP(E14559,'lista obszary'!A:B,2,0)</f>
        <v>#N/A</v>
      </c>
      <c r="E2759" s="128" t="e">
        <f>VLOOKUP(B2759,'LISTA 12'!$A$2:$G$301400,5,0)</f>
        <v>#N/A</v>
      </c>
      <c r="F2759" s="121" t="e">
        <f>VLOOKUP(B2759,'LISTA 12'!$A$2:$G$30100,7,0)</f>
        <v>#N/A</v>
      </c>
      <c r="G2759" s="254" t="e">
        <f>VLOOKUP(H2759,'lista 3'!$A$1:$C$31467,3,0)</f>
        <v>#N/A</v>
      </c>
      <c r="H2759" s="134"/>
      <c r="I2759" s="136"/>
      <c r="J2759" s="135"/>
      <c r="K2759" s="22"/>
    </row>
    <row r="2760" spans="1:11">
      <c r="A2760" s="241" t="e">
        <f>VLOOKUP(B2760,'lista 1'!$A$2:$E$30100,4,0)</f>
        <v>#N/A</v>
      </c>
      <c r="B2760" s="123"/>
      <c r="C2760" s="133" t="e">
        <f>VLOOKUP(B2760,'lista 1'!$A$2:$E$31000,5,0)</f>
        <v>#N/A</v>
      </c>
      <c r="D2760" s="167" t="e">
        <f>VLOOKUP(E14560,'lista obszary'!A:B,2,0)</f>
        <v>#N/A</v>
      </c>
      <c r="E2760" s="128" t="e">
        <f>VLOOKUP(B2760,'LISTA 12'!$A$2:$G$301400,5,0)</f>
        <v>#N/A</v>
      </c>
      <c r="F2760" s="121" t="e">
        <f>VLOOKUP(B2760,'LISTA 12'!$A$2:$G$30100,7,0)</f>
        <v>#N/A</v>
      </c>
      <c r="G2760" s="254" t="e">
        <f>VLOOKUP(H2760,'lista 3'!$A$1:$C$31467,3,0)</f>
        <v>#N/A</v>
      </c>
      <c r="H2760" s="134"/>
      <c r="I2760" s="136"/>
      <c r="J2760" s="135"/>
      <c r="K2760" s="22"/>
    </row>
    <row r="2761" spans="1:11">
      <c r="A2761" s="241" t="e">
        <f>VLOOKUP(B2761,'lista 1'!$A$2:$E$30100,4,0)</f>
        <v>#N/A</v>
      </c>
      <c r="B2761" s="123"/>
      <c r="C2761" s="133" t="e">
        <f>VLOOKUP(B2761,'lista 1'!$A$2:$E$31000,5,0)</f>
        <v>#N/A</v>
      </c>
      <c r="D2761" s="167" t="e">
        <f>VLOOKUP(E14561,'lista obszary'!A:B,2,0)</f>
        <v>#N/A</v>
      </c>
      <c r="E2761" s="128" t="e">
        <f>VLOOKUP(B2761,'LISTA 12'!$A$2:$G$301400,5,0)</f>
        <v>#N/A</v>
      </c>
      <c r="F2761" s="121" t="e">
        <f>VLOOKUP(B2761,'LISTA 12'!$A$2:$G$30100,7,0)</f>
        <v>#N/A</v>
      </c>
      <c r="G2761" s="254" t="e">
        <f>VLOOKUP(H2761,'lista 3'!$A$1:$C$31467,3,0)</f>
        <v>#N/A</v>
      </c>
      <c r="H2761" s="134"/>
      <c r="I2761" s="136"/>
      <c r="J2761" s="135"/>
      <c r="K2761" s="22"/>
    </row>
    <row r="2762" spans="1:11">
      <c r="A2762" s="241" t="e">
        <f>VLOOKUP(B2762,'lista 1'!$A$2:$E$30100,4,0)</f>
        <v>#N/A</v>
      </c>
      <c r="B2762" s="123"/>
      <c r="C2762" s="133" t="e">
        <f>VLOOKUP(B2762,'lista 1'!$A$2:$E$31000,5,0)</f>
        <v>#N/A</v>
      </c>
      <c r="D2762" s="167" t="e">
        <f>VLOOKUP(E14562,'lista obszary'!A:B,2,0)</f>
        <v>#N/A</v>
      </c>
      <c r="E2762" s="128" t="e">
        <f>VLOOKUP(B2762,'LISTA 12'!$A$2:$G$301400,5,0)</f>
        <v>#N/A</v>
      </c>
      <c r="F2762" s="121" t="e">
        <f>VLOOKUP(B2762,'LISTA 12'!$A$2:$G$30100,7,0)</f>
        <v>#N/A</v>
      </c>
      <c r="G2762" s="254" t="e">
        <f>VLOOKUP(H2762,'lista 3'!$A$1:$C$31467,3,0)</f>
        <v>#N/A</v>
      </c>
      <c r="H2762" s="134"/>
      <c r="I2762" s="136"/>
      <c r="J2762" s="135"/>
      <c r="K2762" s="22"/>
    </row>
    <row r="2763" spans="1:11">
      <c r="A2763" s="241" t="e">
        <f>VLOOKUP(B2763,'lista 1'!$A$2:$E$30100,4,0)</f>
        <v>#N/A</v>
      </c>
      <c r="B2763" s="123"/>
      <c r="C2763" s="133" t="e">
        <f>VLOOKUP(B2763,'lista 1'!$A$2:$E$31000,5,0)</f>
        <v>#N/A</v>
      </c>
      <c r="D2763" s="167" t="e">
        <f>VLOOKUP(E14563,'lista obszary'!A:B,2,0)</f>
        <v>#N/A</v>
      </c>
      <c r="E2763" s="128" t="e">
        <f>VLOOKUP(B2763,'LISTA 12'!$A$2:$G$301400,5,0)</f>
        <v>#N/A</v>
      </c>
      <c r="F2763" s="121" t="e">
        <f>VLOOKUP(B2763,'LISTA 12'!$A$2:$G$30100,7,0)</f>
        <v>#N/A</v>
      </c>
      <c r="G2763" s="254" t="e">
        <f>VLOOKUP(H2763,'lista 3'!$A$1:$C$31467,3,0)</f>
        <v>#N/A</v>
      </c>
      <c r="H2763" s="134"/>
      <c r="I2763" s="136"/>
      <c r="J2763" s="135"/>
      <c r="K2763" s="22"/>
    </row>
    <row r="2764" spans="1:11">
      <c r="A2764" s="241" t="e">
        <f>VLOOKUP(B2764,'lista 1'!$A$2:$E$30100,4,0)</f>
        <v>#N/A</v>
      </c>
      <c r="B2764" s="123"/>
      <c r="C2764" s="133" t="e">
        <f>VLOOKUP(B2764,'lista 1'!$A$2:$E$31000,5,0)</f>
        <v>#N/A</v>
      </c>
      <c r="D2764" s="167" t="e">
        <f>VLOOKUP(E14564,'lista obszary'!A:B,2,0)</f>
        <v>#N/A</v>
      </c>
      <c r="E2764" s="128" t="e">
        <f>VLOOKUP(B2764,'LISTA 12'!$A$2:$G$301400,5,0)</f>
        <v>#N/A</v>
      </c>
      <c r="F2764" s="121" t="e">
        <f>VLOOKUP(B2764,'LISTA 12'!$A$2:$G$30100,7,0)</f>
        <v>#N/A</v>
      </c>
      <c r="G2764" s="254" t="e">
        <f>VLOOKUP(H2764,'lista 3'!$A$1:$C$31467,3,0)</f>
        <v>#N/A</v>
      </c>
      <c r="H2764" s="134"/>
      <c r="I2764" s="136"/>
      <c r="J2764" s="135"/>
      <c r="K2764" s="22"/>
    </row>
    <row r="2765" spans="1:11">
      <c r="A2765" s="241" t="e">
        <f>VLOOKUP(B2765,'lista 1'!$A$2:$E$30100,4,0)</f>
        <v>#N/A</v>
      </c>
      <c r="B2765" s="123"/>
      <c r="C2765" s="133" t="e">
        <f>VLOOKUP(B2765,'lista 1'!$A$2:$E$31000,5,0)</f>
        <v>#N/A</v>
      </c>
      <c r="D2765" s="167" t="e">
        <f>VLOOKUP(E14565,'lista obszary'!A:B,2,0)</f>
        <v>#N/A</v>
      </c>
      <c r="E2765" s="128" t="e">
        <f>VLOOKUP(B2765,'LISTA 12'!$A$2:$G$301400,5,0)</f>
        <v>#N/A</v>
      </c>
      <c r="F2765" s="121" t="e">
        <f>VLOOKUP(B2765,'LISTA 12'!$A$2:$G$30100,7,0)</f>
        <v>#N/A</v>
      </c>
      <c r="G2765" s="254" t="e">
        <f>VLOOKUP(H2765,'lista 3'!$A$1:$C$31467,3,0)</f>
        <v>#N/A</v>
      </c>
      <c r="H2765" s="134"/>
      <c r="I2765" s="136"/>
      <c r="J2765" s="135"/>
      <c r="K2765" s="22"/>
    </row>
    <row r="2766" spans="1:11">
      <c r="A2766" s="241" t="e">
        <f>VLOOKUP(B2766,'lista 1'!$A$2:$E$30100,4,0)</f>
        <v>#N/A</v>
      </c>
      <c r="B2766" s="123"/>
      <c r="C2766" s="133" t="e">
        <f>VLOOKUP(B2766,'lista 1'!$A$2:$E$31000,5,0)</f>
        <v>#N/A</v>
      </c>
      <c r="D2766" s="167" t="e">
        <f>VLOOKUP(E14566,'lista obszary'!A:B,2,0)</f>
        <v>#N/A</v>
      </c>
      <c r="E2766" s="128" t="e">
        <f>VLOOKUP(B2766,'LISTA 12'!$A$2:$G$301400,5,0)</f>
        <v>#N/A</v>
      </c>
      <c r="F2766" s="121" t="e">
        <f>VLOOKUP(B2766,'LISTA 12'!$A$2:$G$30100,7,0)</f>
        <v>#N/A</v>
      </c>
      <c r="G2766" s="254" t="e">
        <f>VLOOKUP(H2766,'lista 3'!$A$1:$C$31467,3,0)</f>
        <v>#N/A</v>
      </c>
      <c r="H2766" s="134"/>
      <c r="I2766" s="136"/>
      <c r="J2766" s="135"/>
      <c r="K2766" s="22"/>
    </row>
    <row r="2767" spans="1:11">
      <c r="A2767" s="241" t="e">
        <f>VLOOKUP(B2767,'lista 1'!$A$2:$E$30100,4,0)</f>
        <v>#N/A</v>
      </c>
      <c r="B2767" s="123"/>
      <c r="C2767" s="133" t="e">
        <f>VLOOKUP(B2767,'lista 1'!$A$2:$E$31000,5,0)</f>
        <v>#N/A</v>
      </c>
      <c r="D2767" s="167" t="e">
        <f>VLOOKUP(E14567,'lista obszary'!A:B,2,0)</f>
        <v>#N/A</v>
      </c>
      <c r="E2767" s="128" t="e">
        <f>VLOOKUP(B2767,'LISTA 12'!$A$2:$G$301400,5,0)</f>
        <v>#N/A</v>
      </c>
      <c r="F2767" s="121" t="e">
        <f>VLOOKUP(B2767,'LISTA 12'!$A$2:$G$30100,7,0)</f>
        <v>#N/A</v>
      </c>
      <c r="G2767" s="254" t="e">
        <f>VLOOKUP(H2767,'lista 3'!$A$1:$C$31467,3,0)</f>
        <v>#N/A</v>
      </c>
      <c r="H2767" s="134"/>
      <c r="I2767" s="136"/>
      <c r="J2767" s="135"/>
      <c r="K2767" s="22"/>
    </row>
    <row r="2768" spans="1:11">
      <c r="A2768" s="241" t="e">
        <f>VLOOKUP(B2768,'lista 1'!$A$2:$E$30100,4,0)</f>
        <v>#N/A</v>
      </c>
      <c r="B2768" s="123"/>
      <c r="C2768" s="133" t="e">
        <f>VLOOKUP(B2768,'lista 1'!$A$2:$E$31000,5,0)</f>
        <v>#N/A</v>
      </c>
      <c r="D2768" s="167" t="e">
        <f>VLOOKUP(E14568,'lista obszary'!A:B,2,0)</f>
        <v>#N/A</v>
      </c>
      <c r="E2768" s="128" t="e">
        <f>VLOOKUP(B2768,'LISTA 12'!$A$2:$G$301400,5,0)</f>
        <v>#N/A</v>
      </c>
      <c r="F2768" s="121" t="e">
        <f>VLOOKUP(B2768,'LISTA 12'!$A$2:$G$30100,7,0)</f>
        <v>#N/A</v>
      </c>
      <c r="G2768" s="254" t="e">
        <f>VLOOKUP(H2768,'lista 3'!$A$1:$C$31467,3,0)</f>
        <v>#N/A</v>
      </c>
      <c r="H2768" s="134"/>
      <c r="I2768" s="136"/>
      <c r="J2768" s="135"/>
      <c r="K2768" s="22"/>
    </row>
    <row r="2769" spans="1:11">
      <c r="A2769" s="241" t="e">
        <f>VLOOKUP(B2769,'lista 1'!$A$2:$E$30100,4,0)</f>
        <v>#N/A</v>
      </c>
      <c r="B2769" s="123"/>
      <c r="C2769" s="133" t="e">
        <f>VLOOKUP(B2769,'lista 1'!$A$2:$E$31000,5,0)</f>
        <v>#N/A</v>
      </c>
      <c r="D2769" s="167" t="e">
        <f>VLOOKUP(E14569,'lista obszary'!A:B,2,0)</f>
        <v>#N/A</v>
      </c>
      <c r="E2769" s="128" t="e">
        <f>VLOOKUP(B2769,'LISTA 12'!$A$2:$G$301400,5,0)</f>
        <v>#N/A</v>
      </c>
      <c r="F2769" s="121" t="e">
        <f>VLOOKUP(B2769,'LISTA 12'!$A$2:$G$30100,7,0)</f>
        <v>#N/A</v>
      </c>
      <c r="G2769" s="254" t="e">
        <f>VLOOKUP(H2769,'lista 3'!$A$1:$C$31467,3,0)</f>
        <v>#N/A</v>
      </c>
      <c r="H2769" s="134"/>
      <c r="I2769" s="136"/>
      <c r="J2769" s="135"/>
      <c r="K2769" s="22"/>
    </row>
    <row r="2770" spans="1:11">
      <c r="A2770" s="241" t="e">
        <f>VLOOKUP(B2770,'lista 1'!$A$2:$E$30100,4,0)</f>
        <v>#N/A</v>
      </c>
      <c r="B2770" s="123"/>
      <c r="C2770" s="133" t="e">
        <f>VLOOKUP(B2770,'lista 1'!$A$2:$E$31000,5,0)</f>
        <v>#N/A</v>
      </c>
      <c r="D2770" s="167" t="e">
        <f>VLOOKUP(E14570,'lista obszary'!A:B,2,0)</f>
        <v>#N/A</v>
      </c>
      <c r="E2770" s="128" t="e">
        <f>VLOOKUP(B2770,'LISTA 12'!$A$2:$G$301400,5,0)</f>
        <v>#N/A</v>
      </c>
      <c r="F2770" s="121" t="e">
        <f>VLOOKUP(B2770,'LISTA 12'!$A$2:$G$30100,7,0)</f>
        <v>#N/A</v>
      </c>
      <c r="G2770" s="254" t="e">
        <f>VLOOKUP(H2770,'lista 3'!$A$1:$C$31467,3,0)</f>
        <v>#N/A</v>
      </c>
      <c r="H2770" s="134"/>
      <c r="I2770" s="136"/>
      <c r="J2770" s="135"/>
      <c r="K2770" s="22"/>
    </row>
    <row r="2771" spans="1:11">
      <c r="A2771" s="241" t="e">
        <f>VLOOKUP(B2771,'lista 1'!$A$2:$E$30100,4,0)</f>
        <v>#N/A</v>
      </c>
      <c r="B2771" s="123"/>
      <c r="C2771" s="133" t="e">
        <f>VLOOKUP(B2771,'lista 1'!$A$2:$E$31000,5,0)</f>
        <v>#N/A</v>
      </c>
      <c r="D2771" s="167" t="e">
        <f>VLOOKUP(E14571,'lista obszary'!A:B,2,0)</f>
        <v>#N/A</v>
      </c>
      <c r="E2771" s="128" t="e">
        <f>VLOOKUP(B2771,'LISTA 12'!$A$2:$G$301400,5,0)</f>
        <v>#N/A</v>
      </c>
      <c r="F2771" s="121" t="e">
        <f>VLOOKUP(B2771,'LISTA 12'!$A$2:$G$30100,7,0)</f>
        <v>#N/A</v>
      </c>
      <c r="G2771" s="254" t="e">
        <f>VLOOKUP(H2771,'lista 3'!$A$1:$C$31467,3,0)</f>
        <v>#N/A</v>
      </c>
      <c r="H2771" s="134"/>
      <c r="I2771" s="136"/>
      <c r="J2771" s="135"/>
      <c r="K2771" s="22"/>
    </row>
    <row r="2772" spans="1:11">
      <c r="A2772" s="241" t="e">
        <f>VLOOKUP(B2772,'lista 1'!$A$2:$E$30100,4,0)</f>
        <v>#N/A</v>
      </c>
      <c r="B2772" s="123"/>
      <c r="C2772" s="133" t="e">
        <f>VLOOKUP(B2772,'lista 1'!$A$2:$E$31000,5,0)</f>
        <v>#N/A</v>
      </c>
      <c r="D2772" s="167" t="e">
        <f>VLOOKUP(E14572,'lista obszary'!A:B,2,0)</f>
        <v>#N/A</v>
      </c>
      <c r="E2772" s="128" t="e">
        <f>VLOOKUP(B2772,'LISTA 12'!$A$2:$G$301400,5,0)</f>
        <v>#N/A</v>
      </c>
      <c r="F2772" s="121" t="e">
        <f>VLOOKUP(B2772,'LISTA 12'!$A$2:$G$30100,7,0)</f>
        <v>#N/A</v>
      </c>
      <c r="G2772" s="254" t="e">
        <f>VLOOKUP(H2772,'lista 3'!$A$1:$C$31467,3,0)</f>
        <v>#N/A</v>
      </c>
      <c r="H2772" s="134"/>
      <c r="I2772" s="136"/>
      <c r="J2772" s="135"/>
      <c r="K2772" s="22"/>
    </row>
    <row r="2773" spans="1:11">
      <c r="A2773" s="241" t="e">
        <f>VLOOKUP(B2773,'lista 1'!$A$2:$E$30100,4,0)</f>
        <v>#N/A</v>
      </c>
      <c r="B2773" s="123"/>
      <c r="C2773" s="133" t="e">
        <f>VLOOKUP(B2773,'lista 1'!$A$2:$E$31000,5,0)</f>
        <v>#N/A</v>
      </c>
      <c r="D2773" s="167" t="e">
        <f>VLOOKUP(E14573,'lista obszary'!A:B,2,0)</f>
        <v>#N/A</v>
      </c>
      <c r="E2773" s="128" t="e">
        <f>VLOOKUP(B2773,'LISTA 12'!$A$2:$G$301400,5,0)</f>
        <v>#N/A</v>
      </c>
      <c r="F2773" s="121" t="e">
        <f>VLOOKUP(B2773,'LISTA 12'!$A$2:$G$30100,7,0)</f>
        <v>#N/A</v>
      </c>
      <c r="G2773" s="254" t="e">
        <f>VLOOKUP(H2773,'lista 3'!$A$1:$C$31467,3,0)</f>
        <v>#N/A</v>
      </c>
      <c r="H2773" s="134"/>
      <c r="I2773" s="136"/>
      <c r="J2773" s="135"/>
      <c r="K2773" s="22"/>
    </row>
    <row r="2774" spans="1:11">
      <c r="A2774" s="241" t="e">
        <f>VLOOKUP(B2774,'lista 1'!$A$2:$E$30100,4,0)</f>
        <v>#N/A</v>
      </c>
      <c r="B2774" s="123"/>
      <c r="C2774" s="133" t="e">
        <f>VLOOKUP(B2774,'lista 1'!$A$2:$E$31000,5,0)</f>
        <v>#N/A</v>
      </c>
      <c r="D2774" s="167" t="e">
        <f>VLOOKUP(E14574,'lista obszary'!A:B,2,0)</f>
        <v>#N/A</v>
      </c>
      <c r="E2774" s="128" t="e">
        <f>VLOOKUP(B2774,'LISTA 12'!$A$2:$G$301400,5,0)</f>
        <v>#N/A</v>
      </c>
      <c r="F2774" s="121" t="e">
        <f>VLOOKUP(B2774,'LISTA 12'!$A$2:$G$30100,7,0)</f>
        <v>#N/A</v>
      </c>
      <c r="G2774" s="254" t="e">
        <f>VLOOKUP(H2774,'lista 3'!$A$1:$C$31467,3,0)</f>
        <v>#N/A</v>
      </c>
      <c r="H2774" s="134"/>
      <c r="I2774" s="136"/>
      <c r="J2774" s="135"/>
      <c r="K2774" s="22"/>
    </row>
    <row r="2775" spans="1:11">
      <c r="A2775" s="241" t="e">
        <f>VLOOKUP(B2775,'lista 1'!$A$2:$E$30100,4,0)</f>
        <v>#N/A</v>
      </c>
      <c r="B2775" s="123"/>
      <c r="C2775" s="133" t="e">
        <f>VLOOKUP(B2775,'lista 1'!$A$2:$E$31000,5,0)</f>
        <v>#N/A</v>
      </c>
      <c r="D2775" s="167" t="e">
        <f>VLOOKUP(E14575,'lista obszary'!A:B,2,0)</f>
        <v>#N/A</v>
      </c>
      <c r="E2775" s="128" t="e">
        <f>VLOOKUP(B2775,'LISTA 12'!$A$2:$G$301400,5,0)</f>
        <v>#N/A</v>
      </c>
      <c r="F2775" s="121" t="e">
        <f>VLOOKUP(B2775,'LISTA 12'!$A$2:$G$30100,7,0)</f>
        <v>#N/A</v>
      </c>
      <c r="G2775" s="254" t="e">
        <f>VLOOKUP(H2775,'lista 3'!$A$1:$C$31467,3,0)</f>
        <v>#N/A</v>
      </c>
      <c r="H2775" s="134"/>
      <c r="I2775" s="136"/>
      <c r="J2775" s="135"/>
      <c r="K2775" s="22"/>
    </row>
    <row r="2776" spans="1:11">
      <c r="A2776" s="241" t="e">
        <f>VLOOKUP(B2776,'lista 1'!$A$2:$E$30100,4,0)</f>
        <v>#N/A</v>
      </c>
      <c r="B2776" s="123"/>
      <c r="C2776" s="133" t="e">
        <f>VLOOKUP(B2776,'lista 1'!$A$2:$E$31000,5,0)</f>
        <v>#N/A</v>
      </c>
      <c r="D2776" s="167" t="e">
        <f>VLOOKUP(E14576,'lista obszary'!A:B,2,0)</f>
        <v>#N/A</v>
      </c>
      <c r="E2776" s="128" t="e">
        <f>VLOOKUP(B2776,'LISTA 12'!$A$2:$G$301400,5,0)</f>
        <v>#N/A</v>
      </c>
      <c r="F2776" s="121" t="e">
        <f>VLOOKUP(B2776,'LISTA 12'!$A$2:$G$30100,7,0)</f>
        <v>#N/A</v>
      </c>
      <c r="G2776" s="254" t="e">
        <f>VLOOKUP(H2776,'lista 3'!$A$1:$C$31467,3,0)</f>
        <v>#N/A</v>
      </c>
      <c r="H2776" s="134"/>
      <c r="I2776" s="136"/>
      <c r="J2776" s="135"/>
      <c r="K2776" s="22"/>
    </row>
    <row r="2777" spans="1:11">
      <c r="A2777" s="241" t="e">
        <f>VLOOKUP(B2777,'lista 1'!$A$2:$E$30100,4,0)</f>
        <v>#N/A</v>
      </c>
      <c r="B2777" s="123"/>
      <c r="C2777" s="133" t="e">
        <f>VLOOKUP(B2777,'lista 1'!$A$2:$E$31000,5,0)</f>
        <v>#N/A</v>
      </c>
      <c r="D2777" s="167" t="e">
        <f>VLOOKUP(E14577,'lista obszary'!A:B,2,0)</f>
        <v>#N/A</v>
      </c>
      <c r="E2777" s="128" t="e">
        <f>VLOOKUP(B2777,'LISTA 12'!$A$2:$G$301400,5,0)</f>
        <v>#N/A</v>
      </c>
      <c r="F2777" s="121" t="e">
        <f>VLOOKUP(B2777,'LISTA 12'!$A$2:$G$30100,7,0)</f>
        <v>#N/A</v>
      </c>
      <c r="G2777" s="254" t="e">
        <f>VLOOKUP(H2777,'lista 3'!$A$1:$C$31467,3,0)</f>
        <v>#N/A</v>
      </c>
      <c r="H2777" s="134"/>
      <c r="I2777" s="136"/>
      <c r="J2777" s="135"/>
      <c r="K2777" s="22"/>
    </row>
    <row r="2778" spans="1:11">
      <c r="A2778" s="241" t="e">
        <f>VLOOKUP(B2778,'lista 1'!$A$2:$E$30100,4,0)</f>
        <v>#N/A</v>
      </c>
      <c r="B2778" s="123"/>
      <c r="C2778" s="133" t="e">
        <f>VLOOKUP(B2778,'lista 1'!$A$2:$E$31000,5,0)</f>
        <v>#N/A</v>
      </c>
      <c r="D2778" s="167" t="e">
        <f>VLOOKUP(E14578,'lista obszary'!A:B,2,0)</f>
        <v>#N/A</v>
      </c>
      <c r="E2778" s="128" t="e">
        <f>VLOOKUP(B2778,'LISTA 12'!$A$2:$G$301400,5,0)</f>
        <v>#N/A</v>
      </c>
      <c r="F2778" s="121" t="e">
        <f>VLOOKUP(B2778,'LISTA 12'!$A$2:$G$30100,7,0)</f>
        <v>#N/A</v>
      </c>
      <c r="G2778" s="254" t="e">
        <f>VLOOKUP(H2778,'lista 3'!$A$1:$C$31467,3,0)</f>
        <v>#N/A</v>
      </c>
      <c r="H2778" s="134"/>
      <c r="I2778" s="136"/>
      <c r="J2778" s="135"/>
      <c r="K2778" s="22"/>
    </row>
    <row r="2779" spans="1:11">
      <c r="A2779" s="241" t="e">
        <f>VLOOKUP(B2779,'lista 1'!$A$2:$E$30100,4,0)</f>
        <v>#N/A</v>
      </c>
      <c r="B2779" s="123"/>
      <c r="C2779" s="133" t="e">
        <f>VLOOKUP(B2779,'lista 1'!$A$2:$E$31000,5,0)</f>
        <v>#N/A</v>
      </c>
      <c r="D2779" s="167" t="e">
        <f>VLOOKUP(E14579,'lista obszary'!A:B,2,0)</f>
        <v>#N/A</v>
      </c>
      <c r="E2779" s="128" t="e">
        <f>VLOOKUP(B2779,'LISTA 12'!$A$2:$G$301400,5,0)</f>
        <v>#N/A</v>
      </c>
      <c r="F2779" s="121" t="e">
        <f>VLOOKUP(B2779,'LISTA 12'!$A$2:$G$30100,7,0)</f>
        <v>#N/A</v>
      </c>
      <c r="G2779" s="254" t="e">
        <f>VLOOKUP(H2779,'lista 3'!$A$1:$C$31467,3,0)</f>
        <v>#N/A</v>
      </c>
      <c r="H2779" s="134"/>
      <c r="I2779" s="136"/>
      <c r="J2779" s="135"/>
      <c r="K2779" s="22"/>
    </row>
    <row r="2780" spans="1:11">
      <c r="A2780" s="241" t="e">
        <f>VLOOKUP(B2780,'lista 1'!$A$2:$E$30100,4,0)</f>
        <v>#N/A</v>
      </c>
      <c r="B2780" s="123"/>
      <c r="C2780" s="133" t="e">
        <f>VLOOKUP(B2780,'lista 1'!$A$2:$E$31000,5,0)</f>
        <v>#N/A</v>
      </c>
      <c r="D2780" s="167" t="e">
        <f>VLOOKUP(E14580,'lista obszary'!A:B,2,0)</f>
        <v>#N/A</v>
      </c>
      <c r="E2780" s="128" t="e">
        <f>VLOOKUP(B2780,'LISTA 12'!$A$2:$G$301400,5,0)</f>
        <v>#N/A</v>
      </c>
      <c r="F2780" s="121" t="e">
        <f>VLOOKUP(B2780,'LISTA 12'!$A$2:$G$30100,7,0)</f>
        <v>#N/A</v>
      </c>
      <c r="G2780" s="254" t="e">
        <f>VLOOKUP(H2780,'lista 3'!$A$1:$C$31467,3,0)</f>
        <v>#N/A</v>
      </c>
      <c r="H2780" s="134"/>
      <c r="I2780" s="136"/>
      <c r="J2780" s="135"/>
      <c r="K2780" s="22"/>
    </row>
    <row r="2781" spans="1:11">
      <c r="A2781" s="241" t="e">
        <f>VLOOKUP(B2781,'lista 1'!$A$2:$E$30100,4,0)</f>
        <v>#N/A</v>
      </c>
      <c r="B2781" s="123"/>
      <c r="C2781" s="133" t="e">
        <f>VLOOKUP(B2781,'lista 1'!$A$2:$E$31000,5,0)</f>
        <v>#N/A</v>
      </c>
      <c r="D2781" s="167" t="e">
        <f>VLOOKUP(E14581,'lista obszary'!A:B,2,0)</f>
        <v>#N/A</v>
      </c>
      <c r="E2781" s="128" t="e">
        <f>VLOOKUP(B2781,'LISTA 12'!$A$2:$G$301400,5,0)</f>
        <v>#N/A</v>
      </c>
      <c r="F2781" s="121" t="e">
        <f>VLOOKUP(B2781,'LISTA 12'!$A$2:$G$30100,7,0)</f>
        <v>#N/A</v>
      </c>
      <c r="G2781" s="254" t="e">
        <f>VLOOKUP(H2781,'lista 3'!$A$1:$C$31467,3,0)</f>
        <v>#N/A</v>
      </c>
      <c r="H2781" s="134"/>
      <c r="I2781" s="136"/>
      <c r="J2781" s="135"/>
      <c r="K2781" s="22"/>
    </row>
    <row r="2782" spans="1:11">
      <c r="A2782" s="241" t="e">
        <f>VLOOKUP(B2782,'lista 1'!$A$2:$E$30100,4,0)</f>
        <v>#N/A</v>
      </c>
      <c r="B2782" s="123"/>
      <c r="C2782" s="133" t="e">
        <f>VLOOKUP(B2782,'lista 1'!$A$2:$E$31000,5,0)</f>
        <v>#N/A</v>
      </c>
      <c r="D2782" s="167" t="e">
        <f>VLOOKUP(E14582,'lista obszary'!A:B,2,0)</f>
        <v>#N/A</v>
      </c>
      <c r="E2782" s="128" t="e">
        <f>VLOOKUP(B2782,'LISTA 12'!$A$2:$G$301400,5,0)</f>
        <v>#N/A</v>
      </c>
      <c r="F2782" s="121" t="e">
        <f>VLOOKUP(B2782,'LISTA 12'!$A$2:$G$30100,7,0)</f>
        <v>#N/A</v>
      </c>
      <c r="G2782" s="254" t="e">
        <f>VLOOKUP(H2782,'lista 3'!$A$1:$C$31467,3,0)</f>
        <v>#N/A</v>
      </c>
      <c r="H2782" s="134"/>
      <c r="I2782" s="136"/>
      <c r="J2782" s="135"/>
      <c r="K2782" s="22"/>
    </row>
    <row r="2783" spans="1:11">
      <c r="A2783" s="241" t="e">
        <f>VLOOKUP(B2783,'lista 1'!$A$2:$E$30100,4,0)</f>
        <v>#N/A</v>
      </c>
      <c r="B2783" s="123"/>
      <c r="C2783" s="133" t="e">
        <f>VLOOKUP(B2783,'lista 1'!$A$2:$E$31000,5,0)</f>
        <v>#N/A</v>
      </c>
      <c r="D2783" s="167" t="e">
        <f>VLOOKUP(E14583,'lista obszary'!A:B,2,0)</f>
        <v>#N/A</v>
      </c>
      <c r="E2783" s="128" t="e">
        <f>VLOOKUP(B2783,'LISTA 12'!$A$2:$G$301400,5,0)</f>
        <v>#N/A</v>
      </c>
      <c r="F2783" s="121" t="e">
        <f>VLOOKUP(B2783,'LISTA 12'!$A$2:$G$30100,7,0)</f>
        <v>#N/A</v>
      </c>
      <c r="G2783" s="254" t="e">
        <f>VLOOKUP(H2783,'lista 3'!$A$1:$C$31467,3,0)</f>
        <v>#N/A</v>
      </c>
      <c r="H2783" s="134"/>
      <c r="I2783" s="136"/>
      <c r="J2783" s="135"/>
      <c r="K2783" s="22"/>
    </row>
    <row r="2784" spans="1:11">
      <c r="A2784" s="241" t="e">
        <f>VLOOKUP(B2784,'lista 1'!$A$2:$E$30100,4,0)</f>
        <v>#N/A</v>
      </c>
      <c r="B2784" s="123"/>
      <c r="C2784" s="133" t="e">
        <f>VLOOKUP(B2784,'lista 1'!$A$2:$E$31000,5,0)</f>
        <v>#N/A</v>
      </c>
      <c r="D2784" s="167" t="e">
        <f>VLOOKUP(E14584,'lista obszary'!A:B,2,0)</f>
        <v>#N/A</v>
      </c>
      <c r="E2784" s="128" t="e">
        <f>VLOOKUP(B2784,'LISTA 12'!$A$2:$G$301400,5,0)</f>
        <v>#N/A</v>
      </c>
      <c r="F2784" s="121" t="e">
        <f>VLOOKUP(B2784,'LISTA 12'!$A$2:$G$30100,7,0)</f>
        <v>#N/A</v>
      </c>
      <c r="G2784" s="254" t="e">
        <f>VLOOKUP(H2784,'lista 3'!$A$1:$C$31467,3,0)</f>
        <v>#N/A</v>
      </c>
      <c r="H2784" s="134"/>
      <c r="I2784" s="136"/>
      <c r="J2784" s="135"/>
      <c r="K2784" s="22"/>
    </row>
    <row r="2785" spans="1:11">
      <c r="A2785" s="241" t="e">
        <f>VLOOKUP(B2785,'lista 1'!$A$2:$E$30100,4,0)</f>
        <v>#N/A</v>
      </c>
      <c r="B2785" s="123"/>
      <c r="C2785" s="133" t="e">
        <f>VLOOKUP(B2785,'lista 1'!$A$2:$E$31000,5,0)</f>
        <v>#N/A</v>
      </c>
      <c r="D2785" s="167" t="e">
        <f>VLOOKUP(E14585,'lista obszary'!A:B,2,0)</f>
        <v>#N/A</v>
      </c>
      <c r="E2785" s="128" t="e">
        <f>VLOOKUP(B2785,'LISTA 12'!$A$2:$G$301400,5,0)</f>
        <v>#N/A</v>
      </c>
      <c r="F2785" s="121" t="e">
        <f>VLOOKUP(B2785,'LISTA 12'!$A$2:$G$30100,7,0)</f>
        <v>#N/A</v>
      </c>
      <c r="G2785" s="254" t="e">
        <f>VLOOKUP(H2785,'lista 3'!$A$1:$C$31467,3,0)</f>
        <v>#N/A</v>
      </c>
      <c r="H2785" s="134"/>
      <c r="I2785" s="136"/>
      <c r="J2785" s="135"/>
      <c r="K2785" s="22"/>
    </row>
    <row r="2786" spans="1:11">
      <c r="A2786" s="241" t="e">
        <f>VLOOKUP(B2786,'lista 1'!$A$2:$E$30100,4,0)</f>
        <v>#N/A</v>
      </c>
      <c r="B2786" s="123"/>
      <c r="C2786" s="133" t="e">
        <f>VLOOKUP(B2786,'lista 1'!$A$2:$E$31000,5,0)</f>
        <v>#N/A</v>
      </c>
      <c r="D2786" s="167" t="e">
        <f>VLOOKUP(E14586,'lista obszary'!A:B,2,0)</f>
        <v>#N/A</v>
      </c>
      <c r="E2786" s="128" t="e">
        <f>VLOOKUP(B2786,'LISTA 12'!$A$2:$G$301400,5,0)</f>
        <v>#N/A</v>
      </c>
      <c r="F2786" s="121" t="e">
        <f>VLOOKUP(B2786,'LISTA 12'!$A$2:$G$30100,7,0)</f>
        <v>#N/A</v>
      </c>
      <c r="G2786" s="254" t="e">
        <f>VLOOKUP(H2786,'lista 3'!$A$1:$C$31467,3,0)</f>
        <v>#N/A</v>
      </c>
      <c r="H2786" s="134"/>
      <c r="I2786" s="136"/>
      <c r="J2786" s="135"/>
      <c r="K2786" s="22"/>
    </row>
    <row r="2787" spans="1:11">
      <c r="A2787" s="241" t="e">
        <f>VLOOKUP(B2787,'lista 1'!$A$2:$E$30100,4,0)</f>
        <v>#N/A</v>
      </c>
      <c r="B2787" s="123"/>
      <c r="C2787" s="133" t="e">
        <f>VLOOKUP(B2787,'lista 1'!$A$2:$E$31000,5,0)</f>
        <v>#N/A</v>
      </c>
      <c r="D2787" s="167" t="e">
        <f>VLOOKUP(E14587,'lista obszary'!A:B,2,0)</f>
        <v>#N/A</v>
      </c>
      <c r="E2787" s="128" t="e">
        <f>VLOOKUP(B2787,'LISTA 12'!$A$2:$G$301400,5,0)</f>
        <v>#N/A</v>
      </c>
      <c r="F2787" s="121" t="e">
        <f>VLOOKUP(B2787,'LISTA 12'!$A$2:$G$30100,7,0)</f>
        <v>#N/A</v>
      </c>
      <c r="G2787" s="254" t="e">
        <f>VLOOKUP(H2787,'lista 3'!$A$1:$C$31467,3,0)</f>
        <v>#N/A</v>
      </c>
      <c r="H2787" s="134"/>
      <c r="I2787" s="136"/>
      <c r="J2787" s="135"/>
      <c r="K2787" s="22"/>
    </row>
    <row r="2788" spans="1:11">
      <c r="A2788" s="241" t="e">
        <f>VLOOKUP(B2788,'lista 1'!$A$2:$E$30100,4,0)</f>
        <v>#N/A</v>
      </c>
      <c r="B2788" s="123"/>
      <c r="C2788" s="133" t="e">
        <f>VLOOKUP(B2788,'lista 1'!$A$2:$E$31000,5,0)</f>
        <v>#N/A</v>
      </c>
      <c r="D2788" s="167" t="e">
        <f>VLOOKUP(E14588,'lista obszary'!A:B,2,0)</f>
        <v>#N/A</v>
      </c>
      <c r="E2788" s="128" t="e">
        <f>VLOOKUP(B2788,'LISTA 12'!$A$2:$G$301400,5,0)</f>
        <v>#N/A</v>
      </c>
      <c r="F2788" s="121" t="e">
        <f>VLOOKUP(B2788,'LISTA 12'!$A$2:$G$30100,7,0)</f>
        <v>#N/A</v>
      </c>
      <c r="G2788" s="254" t="e">
        <f>VLOOKUP(H2788,'lista 3'!$A$1:$C$31467,3,0)</f>
        <v>#N/A</v>
      </c>
      <c r="H2788" s="134"/>
      <c r="I2788" s="136"/>
      <c r="J2788" s="135"/>
      <c r="K2788" s="22"/>
    </row>
    <row r="2789" spans="1:11">
      <c r="A2789" s="241" t="e">
        <f>VLOOKUP(B2789,'lista 1'!$A$2:$E$30100,4,0)</f>
        <v>#N/A</v>
      </c>
      <c r="B2789" s="123"/>
      <c r="C2789" s="133" t="e">
        <f>VLOOKUP(B2789,'lista 1'!$A$2:$E$31000,5,0)</f>
        <v>#N/A</v>
      </c>
      <c r="D2789" s="167" t="e">
        <f>VLOOKUP(E14589,'lista obszary'!A:B,2,0)</f>
        <v>#N/A</v>
      </c>
      <c r="E2789" s="128" t="e">
        <f>VLOOKUP(B2789,'LISTA 12'!$A$2:$G$301400,5,0)</f>
        <v>#N/A</v>
      </c>
      <c r="F2789" s="121" t="e">
        <f>VLOOKUP(B2789,'LISTA 12'!$A$2:$G$30100,7,0)</f>
        <v>#N/A</v>
      </c>
      <c r="G2789" s="254" t="e">
        <f>VLOOKUP(H2789,'lista 3'!$A$1:$C$31467,3,0)</f>
        <v>#N/A</v>
      </c>
      <c r="H2789" s="134"/>
      <c r="I2789" s="136"/>
      <c r="J2789" s="135"/>
      <c r="K2789" s="22"/>
    </row>
    <row r="2790" spans="1:11">
      <c r="A2790" s="241" t="e">
        <f>VLOOKUP(B2790,'lista 1'!$A$2:$E$30100,4,0)</f>
        <v>#N/A</v>
      </c>
      <c r="B2790" s="123"/>
      <c r="C2790" s="133" t="e">
        <f>VLOOKUP(B2790,'lista 1'!$A$2:$E$31000,5,0)</f>
        <v>#N/A</v>
      </c>
      <c r="D2790" s="167" t="e">
        <f>VLOOKUP(E14590,'lista obszary'!A:B,2,0)</f>
        <v>#N/A</v>
      </c>
      <c r="E2790" s="128" t="e">
        <f>VLOOKUP(B2790,'LISTA 12'!$A$2:$G$301400,5,0)</f>
        <v>#N/A</v>
      </c>
      <c r="F2790" s="121" t="e">
        <f>VLOOKUP(B2790,'LISTA 12'!$A$2:$G$30100,7,0)</f>
        <v>#N/A</v>
      </c>
      <c r="G2790" s="254" t="e">
        <f>VLOOKUP(H2790,'lista 3'!$A$1:$C$31467,3,0)</f>
        <v>#N/A</v>
      </c>
      <c r="H2790" s="134"/>
      <c r="I2790" s="136"/>
      <c r="J2790" s="135"/>
      <c r="K2790" s="22"/>
    </row>
    <row r="2791" spans="1:11">
      <c r="A2791" s="241" t="e">
        <f>VLOOKUP(B2791,'lista 1'!$A$2:$E$30100,4,0)</f>
        <v>#N/A</v>
      </c>
      <c r="B2791" s="123"/>
      <c r="C2791" s="133" t="e">
        <f>VLOOKUP(B2791,'lista 1'!$A$2:$E$31000,5,0)</f>
        <v>#N/A</v>
      </c>
      <c r="D2791" s="167" t="e">
        <f>VLOOKUP(E14591,'lista obszary'!A:B,2,0)</f>
        <v>#N/A</v>
      </c>
      <c r="E2791" s="128" t="e">
        <f>VLOOKUP(B2791,'LISTA 12'!$A$2:$G$301400,5,0)</f>
        <v>#N/A</v>
      </c>
      <c r="F2791" s="121" t="e">
        <f>VLOOKUP(B2791,'LISTA 12'!$A$2:$G$30100,7,0)</f>
        <v>#N/A</v>
      </c>
      <c r="G2791" s="254" t="e">
        <f>VLOOKUP(H2791,'lista 3'!$A$1:$C$31467,3,0)</f>
        <v>#N/A</v>
      </c>
      <c r="H2791" s="134"/>
      <c r="I2791" s="136"/>
      <c r="J2791" s="135"/>
      <c r="K2791" s="22"/>
    </row>
    <row r="2792" spans="1:11">
      <c r="A2792" s="241" t="e">
        <f>VLOOKUP(B2792,'lista 1'!$A$2:$E$30100,4,0)</f>
        <v>#N/A</v>
      </c>
      <c r="B2792" s="123"/>
      <c r="C2792" s="133" t="e">
        <f>VLOOKUP(B2792,'lista 1'!$A$2:$E$31000,5,0)</f>
        <v>#N/A</v>
      </c>
      <c r="D2792" s="167" t="e">
        <f>VLOOKUP(E14592,'lista obszary'!A:B,2,0)</f>
        <v>#N/A</v>
      </c>
      <c r="E2792" s="128" t="e">
        <f>VLOOKUP(B2792,'LISTA 12'!$A$2:$G$301400,5,0)</f>
        <v>#N/A</v>
      </c>
      <c r="F2792" s="121" t="e">
        <f>VLOOKUP(B2792,'LISTA 12'!$A$2:$G$30100,7,0)</f>
        <v>#N/A</v>
      </c>
      <c r="G2792" s="254" t="e">
        <f>VLOOKUP(H2792,'lista 3'!$A$1:$C$31467,3,0)</f>
        <v>#N/A</v>
      </c>
      <c r="H2792" s="134"/>
      <c r="I2792" s="136"/>
      <c r="J2792" s="135"/>
      <c r="K2792" s="22"/>
    </row>
    <row r="2793" spans="1:11">
      <c r="A2793" s="241" t="e">
        <f>VLOOKUP(B2793,'lista 1'!$A$2:$E$30100,4,0)</f>
        <v>#N/A</v>
      </c>
      <c r="B2793" s="123"/>
      <c r="C2793" s="133" t="e">
        <f>VLOOKUP(B2793,'lista 1'!$A$2:$E$31000,5,0)</f>
        <v>#N/A</v>
      </c>
      <c r="D2793" s="167" t="e">
        <f>VLOOKUP(E14593,'lista obszary'!A:B,2,0)</f>
        <v>#N/A</v>
      </c>
      <c r="E2793" s="128" t="e">
        <f>VLOOKUP(B2793,'LISTA 12'!$A$2:$G$301400,5,0)</f>
        <v>#N/A</v>
      </c>
      <c r="F2793" s="121" t="e">
        <f>VLOOKUP(B2793,'LISTA 12'!$A$2:$G$30100,7,0)</f>
        <v>#N/A</v>
      </c>
      <c r="G2793" s="254" t="e">
        <f>VLOOKUP(H2793,'lista 3'!$A$1:$C$31467,3,0)</f>
        <v>#N/A</v>
      </c>
      <c r="H2793" s="134"/>
      <c r="I2793" s="136"/>
      <c r="J2793" s="135"/>
      <c r="K2793" s="22"/>
    </row>
    <row r="2794" spans="1:11">
      <c r="A2794" s="241" t="e">
        <f>VLOOKUP(B2794,'lista 1'!$A$2:$E$30100,4,0)</f>
        <v>#N/A</v>
      </c>
      <c r="B2794" s="123"/>
      <c r="C2794" s="133" t="e">
        <f>VLOOKUP(B2794,'lista 1'!$A$2:$E$31000,5,0)</f>
        <v>#N/A</v>
      </c>
      <c r="D2794" s="167" t="e">
        <f>VLOOKUP(E14594,'lista obszary'!A:B,2,0)</f>
        <v>#N/A</v>
      </c>
      <c r="E2794" s="128" t="e">
        <f>VLOOKUP(B2794,'LISTA 12'!$A$2:$G$301400,5,0)</f>
        <v>#N/A</v>
      </c>
      <c r="F2794" s="121" t="e">
        <f>VLOOKUP(B2794,'LISTA 12'!$A$2:$G$30100,7,0)</f>
        <v>#N/A</v>
      </c>
      <c r="G2794" s="254" t="e">
        <f>VLOOKUP(H2794,'lista 3'!$A$1:$C$31467,3,0)</f>
        <v>#N/A</v>
      </c>
      <c r="H2794" s="134"/>
      <c r="I2794" s="136"/>
      <c r="J2794" s="135"/>
      <c r="K2794" s="22"/>
    </row>
    <row r="2795" spans="1:11">
      <c r="A2795" s="241" t="e">
        <f>VLOOKUP(B2795,'lista 1'!$A$2:$E$30100,4,0)</f>
        <v>#N/A</v>
      </c>
      <c r="B2795" s="123"/>
      <c r="C2795" s="133" t="e">
        <f>VLOOKUP(B2795,'lista 1'!$A$2:$E$31000,5,0)</f>
        <v>#N/A</v>
      </c>
      <c r="D2795" s="167" t="e">
        <f>VLOOKUP(E14595,'lista obszary'!A:B,2,0)</f>
        <v>#N/A</v>
      </c>
      <c r="E2795" s="128" t="e">
        <f>VLOOKUP(B2795,'LISTA 12'!$A$2:$G$301400,5,0)</f>
        <v>#N/A</v>
      </c>
      <c r="F2795" s="121" t="e">
        <f>VLOOKUP(B2795,'LISTA 12'!$A$2:$G$30100,7,0)</f>
        <v>#N/A</v>
      </c>
      <c r="G2795" s="254" t="e">
        <f>VLOOKUP(H2795,'lista 3'!$A$1:$C$31467,3,0)</f>
        <v>#N/A</v>
      </c>
      <c r="H2795" s="134"/>
      <c r="I2795" s="136"/>
      <c r="J2795" s="135"/>
      <c r="K2795" s="22"/>
    </row>
    <row r="2796" spans="1:11">
      <c r="A2796" s="241" t="e">
        <f>VLOOKUP(B2796,'lista 1'!$A$2:$E$30100,4,0)</f>
        <v>#N/A</v>
      </c>
      <c r="B2796" s="123"/>
      <c r="C2796" s="133" t="e">
        <f>VLOOKUP(B2796,'lista 1'!$A$2:$E$31000,5,0)</f>
        <v>#N/A</v>
      </c>
      <c r="D2796" s="167" t="e">
        <f>VLOOKUP(E14596,'lista obszary'!A:B,2,0)</f>
        <v>#N/A</v>
      </c>
      <c r="E2796" s="128" t="e">
        <f>VLOOKUP(B2796,'LISTA 12'!$A$2:$G$301400,5,0)</f>
        <v>#N/A</v>
      </c>
      <c r="F2796" s="121" t="e">
        <f>VLOOKUP(B2796,'LISTA 12'!$A$2:$G$30100,7,0)</f>
        <v>#N/A</v>
      </c>
      <c r="G2796" s="254" t="e">
        <f>VLOOKUP(H2796,'lista 3'!$A$1:$C$31467,3,0)</f>
        <v>#N/A</v>
      </c>
      <c r="H2796" s="134"/>
      <c r="I2796" s="136"/>
      <c r="J2796" s="135"/>
      <c r="K2796" s="22"/>
    </row>
    <row r="2797" spans="1:11">
      <c r="A2797" s="241" t="e">
        <f>VLOOKUP(B2797,'lista 1'!$A$2:$E$30100,4,0)</f>
        <v>#N/A</v>
      </c>
      <c r="B2797" s="123"/>
      <c r="C2797" s="133" t="e">
        <f>VLOOKUP(B2797,'lista 1'!$A$2:$E$31000,5,0)</f>
        <v>#N/A</v>
      </c>
      <c r="D2797" s="167" t="e">
        <f>VLOOKUP(E14597,'lista obszary'!A:B,2,0)</f>
        <v>#N/A</v>
      </c>
      <c r="E2797" s="128" t="e">
        <f>VLOOKUP(B2797,'LISTA 12'!$A$2:$G$301400,5,0)</f>
        <v>#N/A</v>
      </c>
      <c r="F2797" s="121" t="e">
        <f>VLOOKUP(B2797,'LISTA 12'!$A$2:$G$30100,7,0)</f>
        <v>#N/A</v>
      </c>
      <c r="G2797" s="254" t="e">
        <f>VLOOKUP(H2797,'lista 3'!$A$1:$C$31467,3,0)</f>
        <v>#N/A</v>
      </c>
      <c r="H2797" s="134"/>
      <c r="I2797" s="136"/>
      <c r="J2797" s="135"/>
      <c r="K2797" s="22"/>
    </row>
    <row r="2798" spans="1:11">
      <c r="A2798" s="241" t="e">
        <f>VLOOKUP(B2798,'lista 1'!$A$2:$E$30100,4,0)</f>
        <v>#N/A</v>
      </c>
      <c r="B2798" s="123"/>
      <c r="C2798" s="133" t="e">
        <f>VLOOKUP(B2798,'lista 1'!$A$2:$E$31000,5,0)</f>
        <v>#N/A</v>
      </c>
      <c r="D2798" s="167" t="e">
        <f>VLOOKUP(E14598,'lista obszary'!A:B,2,0)</f>
        <v>#N/A</v>
      </c>
      <c r="E2798" s="128" t="e">
        <f>VLOOKUP(B2798,'LISTA 12'!$A$2:$G$301400,5,0)</f>
        <v>#N/A</v>
      </c>
      <c r="F2798" s="121" t="e">
        <f>VLOOKUP(B2798,'LISTA 12'!$A$2:$G$30100,7,0)</f>
        <v>#N/A</v>
      </c>
      <c r="G2798" s="254" t="e">
        <f>VLOOKUP(H2798,'lista 3'!$A$1:$C$31467,3,0)</f>
        <v>#N/A</v>
      </c>
      <c r="H2798" s="134"/>
      <c r="I2798" s="136"/>
      <c r="J2798" s="135"/>
      <c r="K2798" s="22"/>
    </row>
    <row r="2799" spans="1:11">
      <c r="A2799" s="241" t="e">
        <f>VLOOKUP(B2799,'lista 1'!$A$2:$E$30100,4,0)</f>
        <v>#N/A</v>
      </c>
      <c r="B2799" s="123"/>
      <c r="C2799" s="133" t="e">
        <f>VLOOKUP(B2799,'lista 1'!$A$2:$E$31000,5,0)</f>
        <v>#N/A</v>
      </c>
      <c r="D2799" s="167" t="e">
        <f>VLOOKUP(E14599,'lista obszary'!A:B,2,0)</f>
        <v>#N/A</v>
      </c>
      <c r="E2799" s="128" t="e">
        <f>VLOOKUP(B2799,'LISTA 12'!$A$2:$G$301400,5,0)</f>
        <v>#N/A</v>
      </c>
      <c r="F2799" s="121" t="e">
        <f>VLOOKUP(B2799,'LISTA 12'!$A$2:$G$30100,7,0)</f>
        <v>#N/A</v>
      </c>
      <c r="G2799" s="254" t="e">
        <f>VLOOKUP(H2799,'lista 3'!$A$1:$C$31467,3,0)</f>
        <v>#N/A</v>
      </c>
      <c r="H2799" s="134"/>
      <c r="I2799" s="136"/>
      <c r="J2799" s="135"/>
      <c r="K2799" s="22"/>
    </row>
    <row r="2800" spans="1:11">
      <c r="A2800" s="241" t="e">
        <f>VLOOKUP(B2800,'lista 1'!$A$2:$E$30100,4,0)</f>
        <v>#N/A</v>
      </c>
      <c r="B2800" s="123"/>
      <c r="C2800" s="133" t="e">
        <f>VLOOKUP(B2800,'lista 1'!$A$2:$E$31000,5,0)</f>
        <v>#N/A</v>
      </c>
      <c r="D2800" s="167" t="e">
        <f>VLOOKUP(E14600,'lista obszary'!A:B,2,0)</f>
        <v>#N/A</v>
      </c>
      <c r="E2800" s="128" t="e">
        <f>VLOOKUP(B2800,'LISTA 12'!$A$2:$G$301400,5,0)</f>
        <v>#N/A</v>
      </c>
      <c r="F2800" s="121" t="e">
        <f>VLOOKUP(B2800,'LISTA 12'!$A$2:$G$30100,7,0)</f>
        <v>#N/A</v>
      </c>
      <c r="G2800" s="254" t="e">
        <f>VLOOKUP(H2800,'lista 3'!$A$1:$C$31467,3,0)</f>
        <v>#N/A</v>
      </c>
      <c r="H2800" s="134"/>
      <c r="I2800" s="136"/>
      <c r="J2800" s="135"/>
      <c r="K2800" s="22"/>
    </row>
    <row r="2801" spans="1:11">
      <c r="A2801" s="241" t="e">
        <f>VLOOKUP(B2801,'lista 1'!$A$2:$E$30100,4,0)</f>
        <v>#N/A</v>
      </c>
      <c r="B2801" s="123"/>
      <c r="C2801" s="133" t="e">
        <f>VLOOKUP(B2801,'lista 1'!$A$2:$E$31000,5,0)</f>
        <v>#N/A</v>
      </c>
      <c r="D2801" s="167" t="e">
        <f>VLOOKUP(E14601,'lista obszary'!A:B,2,0)</f>
        <v>#N/A</v>
      </c>
      <c r="E2801" s="128" t="e">
        <f>VLOOKUP(B2801,'LISTA 12'!$A$2:$G$301400,5,0)</f>
        <v>#N/A</v>
      </c>
      <c r="F2801" s="121" t="e">
        <f>VLOOKUP(B2801,'LISTA 12'!$A$2:$G$30100,7,0)</f>
        <v>#N/A</v>
      </c>
      <c r="G2801" s="254" t="e">
        <f>VLOOKUP(H2801,'lista 3'!$A$1:$C$31467,3,0)</f>
        <v>#N/A</v>
      </c>
      <c r="H2801" s="134"/>
      <c r="I2801" s="136"/>
      <c r="J2801" s="135"/>
      <c r="K2801" s="22"/>
    </row>
    <row r="2802" spans="1:11">
      <c r="A2802" s="241" t="e">
        <f>VLOOKUP(B2802,'lista 1'!$A$2:$E$30100,4,0)</f>
        <v>#N/A</v>
      </c>
      <c r="B2802" s="123"/>
      <c r="C2802" s="133" t="e">
        <f>VLOOKUP(B2802,'lista 1'!$A$2:$E$31000,5,0)</f>
        <v>#N/A</v>
      </c>
      <c r="D2802" s="167" t="e">
        <f>VLOOKUP(E14602,'lista obszary'!A:B,2,0)</f>
        <v>#N/A</v>
      </c>
      <c r="E2802" s="128" t="e">
        <f>VLOOKUP(B2802,'LISTA 12'!$A$2:$G$301400,5,0)</f>
        <v>#N/A</v>
      </c>
      <c r="F2802" s="121" t="e">
        <f>VLOOKUP(B2802,'LISTA 12'!$A$2:$G$30100,7,0)</f>
        <v>#N/A</v>
      </c>
      <c r="G2802" s="254" t="e">
        <f>VLOOKUP(H2802,'lista 3'!$A$1:$C$31467,3,0)</f>
        <v>#N/A</v>
      </c>
      <c r="H2802" s="134"/>
      <c r="I2802" s="136"/>
      <c r="J2802" s="135"/>
      <c r="K2802" s="22"/>
    </row>
    <row r="2803" spans="1:11">
      <c r="A2803" s="241" t="e">
        <f>VLOOKUP(B2803,'lista 1'!$A$2:$E$30100,4,0)</f>
        <v>#N/A</v>
      </c>
      <c r="B2803" s="123"/>
      <c r="C2803" s="133" t="e">
        <f>VLOOKUP(B2803,'lista 1'!$A$2:$E$31000,5,0)</f>
        <v>#N/A</v>
      </c>
      <c r="D2803" s="167" t="e">
        <f>VLOOKUP(E14603,'lista obszary'!A:B,2,0)</f>
        <v>#N/A</v>
      </c>
      <c r="E2803" s="128" t="e">
        <f>VLOOKUP(B2803,'LISTA 12'!$A$2:$G$301400,5,0)</f>
        <v>#N/A</v>
      </c>
      <c r="F2803" s="121" t="e">
        <f>VLOOKUP(B2803,'LISTA 12'!$A$2:$G$30100,7,0)</f>
        <v>#N/A</v>
      </c>
      <c r="G2803" s="254" t="e">
        <f>VLOOKUP(H2803,'lista 3'!$A$1:$C$31467,3,0)</f>
        <v>#N/A</v>
      </c>
      <c r="H2803" s="134"/>
      <c r="I2803" s="136"/>
      <c r="J2803" s="135"/>
      <c r="K2803" s="22"/>
    </row>
    <row r="2804" spans="1:11">
      <c r="A2804" s="241" t="e">
        <f>VLOOKUP(B2804,'lista 1'!$A$2:$E$30100,4,0)</f>
        <v>#N/A</v>
      </c>
      <c r="B2804" s="123"/>
      <c r="C2804" s="133" t="e">
        <f>VLOOKUP(B2804,'lista 1'!$A$2:$E$31000,5,0)</f>
        <v>#N/A</v>
      </c>
      <c r="D2804" s="167" t="e">
        <f>VLOOKUP(E14604,'lista obszary'!A:B,2,0)</f>
        <v>#N/A</v>
      </c>
      <c r="E2804" s="128" t="e">
        <f>VLOOKUP(B2804,'LISTA 12'!$A$2:$G$301400,5,0)</f>
        <v>#N/A</v>
      </c>
      <c r="F2804" s="121" t="e">
        <f>VLOOKUP(B2804,'LISTA 12'!$A$2:$G$30100,7,0)</f>
        <v>#N/A</v>
      </c>
      <c r="G2804" s="254" t="e">
        <f>VLOOKUP(H2804,'lista 3'!$A$1:$C$31467,3,0)</f>
        <v>#N/A</v>
      </c>
      <c r="H2804" s="134"/>
      <c r="I2804" s="136"/>
      <c r="J2804" s="135"/>
      <c r="K2804" s="22"/>
    </row>
    <row r="2805" spans="1:11">
      <c r="A2805" s="241" t="e">
        <f>VLOOKUP(B2805,'lista 1'!$A$2:$E$30100,4,0)</f>
        <v>#N/A</v>
      </c>
      <c r="B2805" s="123"/>
      <c r="C2805" s="133" t="e">
        <f>VLOOKUP(B2805,'lista 1'!$A$2:$E$31000,5,0)</f>
        <v>#N/A</v>
      </c>
      <c r="D2805" s="167" t="e">
        <f>VLOOKUP(E14605,'lista obszary'!A:B,2,0)</f>
        <v>#N/A</v>
      </c>
      <c r="E2805" s="128" t="e">
        <f>VLOOKUP(B2805,'LISTA 12'!$A$2:$G$301400,5,0)</f>
        <v>#N/A</v>
      </c>
      <c r="F2805" s="121" t="e">
        <f>VLOOKUP(B2805,'LISTA 12'!$A$2:$G$30100,7,0)</f>
        <v>#N/A</v>
      </c>
      <c r="G2805" s="254" t="e">
        <f>VLOOKUP(H2805,'lista 3'!$A$1:$C$31467,3,0)</f>
        <v>#N/A</v>
      </c>
      <c r="H2805" s="134"/>
      <c r="I2805" s="136"/>
      <c r="J2805" s="135"/>
      <c r="K2805" s="22"/>
    </row>
    <row r="2806" spans="1:11">
      <c r="A2806" s="241" t="e">
        <f>VLOOKUP(B2806,'lista 1'!$A$2:$E$30100,4,0)</f>
        <v>#N/A</v>
      </c>
      <c r="B2806" s="123"/>
      <c r="C2806" s="133" t="e">
        <f>VLOOKUP(B2806,'lista 1'!$A$2:$E$31000,5,0)</f>
        <v>#N/A</v>
      </c>
      <c r="D2806" s="167" t="e">
        <f>VLOOKUP(E14606,'lista obszary'!A:B,2,0)</f>
        <v>#N/A</v>
      </c>
      <c r="E2806" s="128" t="e">
        <f>VLOOKUP(B2806,'LISTA 12'!$A$2:$G$301400,5,0)</f>
        <v>#N/A</v>
      </c>
      <c r="F2806" s="121" t="e">
        <f>VLOOKUP(B2806,'LISTA 12'!$A$2:$G$30100,7,0)</f>
        <v>#N/A</v>
      </c>
      <c r="G2806" s="254" t="e">
        <f>VLOOKUP(H2806,'lista 3'!$A$1:$C$31467,3,0)</f>
        <v>#N/A</v>
      </c>
      <c r="H2806" s="134"/>
      <c r="I2806" s="136"/>
      <c r="J2806" s="135"/>
      <c r="K2806" s="22"/>
    </row>
    <row r="2807" spans="1:11">
      <c r="A2807" s="241" t="e">
        <f>VLOOKUP(B2807,'lista 1'!$A$2:$E$30100,4,0)</f>
        <v>#N/A</v>
      </c>
      <c r="B2807" s="123"/>
      <c r="C2807" s="133" t="e">
        <f>VLOOKUP(B2807,'lista 1'!$A$2:$E$31000,5,0)</f>
        <v>#N/A</v>
      </c>
      <c r="D2807" s="167" t="e">
        <f>VLOOKUP(E14607,'lista obszary'!A:B,2,0)</f>
        <v>#N/A</v>
      </c>
      <c r="E2807" s="128" t="e">
        <f>VLOOKUP(B2807,'LISTA 12'!$A$2:$G$301400,5,0)</f>
        <v>#N/A</v>
      </c>
      <c r="F2807" s="121" t="e">
        <f>VLOOKUP(B2807,'LISTA 12'!$A$2:$G$30100,7,0)</f>
        <v>#N/A</v>
      </c>
      <c r="G2807" s="254" t="e">
        <f>VLOOKUP(H2807,'lista 3'!$A$1:$C$31467,3,0)</f>
        <v>#N/A</v>
      </c>
      <c r="H2807" s="134"/>
      <c r="I2807" s="136"/>
      <c r="J2807" s="135"/>
      <c r="K2807" s="22"/>
    </row>
    <row r="2808" spans="1:11">
      <c r="A2808" s="241" t="e">
        <f>VLOOKUP(B2808,'lista 1'!$A$2:$E$30100,4,0)</f>
        <v>#N/A</v>
      </c>
      <c r="B2808" s="123"/>
      <c r="C2808" s="133" t="e">
        <f>VLOOKUP(B2808,'lista 1'!$A$2:$E$31000,5,0)</f>
        <v>#N/A</v>
      </c>
      <c r="D2808" s="167" t="e">
        <f>VLOOKUP(E14608,'lista obszary'!A:B,2,0)</f>
        <v>#N/A</v>
      </c>
      <c r="E2808" s="128" t="e">
        <f>VLOOKUP(B2808,'LISTA 12'!$A$2:$G$301400,5,0)</f>
        <v>#N/A</v>
      </c>
      <c r="F2808" s="121" t="e">
        <f>VLOOKUP(B2808,'LISTA 12'!$A$2:$G$30100,7,0)</f>
        <v>#N/A</v>
      </c>
      <c r="G2808" s="254" t="e">
        <f>VLOOKUP(H2808,'lista 3'!$A$1:$C$31467,3,0)</f>
        <v>#N/A</v>
      </c>
      <c r="H2808" s="134"/>
      <c r="I2808" s="136"/>
      <c r="J2808" s="135"/>
      <c r="K2808" s="22"/>
    </row>
    <row r="2809" spans="1:11">
      <c r="A2809" s="241" t="e">
        <f>VLOOKUP(B2809,'lista 1'!$A$2:$E$30100,4,0)</f>
        <v>#N/A</v>
      </c>
      <c r="B2809" s="123"/>
      <c r="C2809" s="133" t="e">
        <f>VLOOKUP(B2809,'lista 1'!$A$2:$E$31000,5,0)</f>
        <v>#N/A</v>
      </c>
      <c r="D2809" s="167" t="e">
        <f>VLOOKUP(E14609,'lista obszary'!A:B,2,0)</f>
        <v>#N/A</v>
      </c>
      <c r="E2809" s="128" t="e">
        <f>VLOOKUP(B2809,'LISTA 12'!$A$2:$G$301400,5,0)</f>
        <v>#N/A</v>
      </c>
      <c r="F2809" s="121" t="e">
        <f>VLOOKUP(B2809,'LISTA 12'!$A$2:$G$30100,7,0)</f>
        <v>#N/A</v>
      </c>
      <c r="G2809" s="254" t="e">
        <f>VLOOKUP(H2809,'lista 3'!$A$1:$C$31467,3,0)</f>
        <v>#N/A</v>
      </c>
      <c r="H2809" s="134"/>
      <c r="I2809" s="136"/>
      <c r="J2809" s="135"/>
      <c r="K2809" s="22"/>
    </row>
    <row r="2810" spans="1:11">
      <c r="A2810" s="241" t="e">
        <f>VLOOKUP(B2810,'lista 1'!$A$2:$E$30100,4,0)</f>
        <v>#N/A</v>
      </c>
      <c r="B2810" s="123"/>
      <c r="C2810" s="133" t="e">
        <f>VLOOKUP(B2810,'lista 1'!$A$2:$E$31000,5,0)</f>
        <v>#N/A</v>
      </c>
      <c r="D2810" s="167" t="e">
        <f>VLOOKUP(E14610,'lista obszary'!A:B,2,0)</f>
        <v>#N/A</v>
      </c>
      <c r="E2810" s="128" t="e">
        <f>VLOOKUP(B2810,'LISTA 12'!$A$2:$G$301400,5,0)</f>
        <v>#N/A</v>
      </c>
      <c r="F2810" s="121" t="e">
        <f>VLOOKUP(B2810,'LISTA 12'!$A$2:$G$30100,7,0)</f>
        <v>#N/A</v>
      </c>
      <c r="G2810" s="254" t="e">
        <f>VLOOKUP(H2810,'lista 3'!$A$1:$C$31467,3,0)</f>
        <v>#N/A</v>
      </c>
      <c r="H2810" s="134"/>
      <c r="I2810" s="136"/>
      <c r="J2810" s="135"/>
      <c r="K2810" s="22"/>
    </row>
    <row r="2811" spans="1:11">
      <c r="A2811" s="241" t="e">
        <f>VLOOKUP(B2811,'lista 1'!$A$2:$E$30100,4,0)</f>
        <v>#N/A</v>
      </c>
      <c r="B2811" s="123"/>
      <c r="C2811" s="133" t="e">
        <f>VLOOKUP(B2811,'lista 1'!$A$2:$E$31000,5,0)</f>
        <v>#N/A</v>
      </c>
      <c r="D2811" s="167" t="e">
        <f>VLOOKUP(E14611,'lista obszary'!A:B,2,0)</f>
        <v>#N/A</v>
      </c>
      <c r="E2811" s="128" t="e">
        <f>VLOOKUP(B2811,'LISTA 12'!$A$2:$G$301400,5,0)</f>
        <v>#N/A</v>
      </c>
      <c r="F2811" s="121" t="e">
        <f>VLOOKUP(B2811,'LISTA 12'!$A$2:$G$30100,7,0)</f>
        <v>#N/A</v>
      </c>
      <c r="G2811" s="254" t="e">
        <f>VLOOKUP(H2811,'lista 3'!$A$1:$C$31467,3,0)</f>
        <v>#N/A</v>
      </c>
      <c r="H2811" s="134"/>
      <c r="I2811" s="136"/>
      <c r="J2811" s="135"/>
      <c r="K2811" s="22"/>
    </row>
    <row r="2812" spans="1:11">
      <c r="A2812" s="241" t="e">
        <f>VLOOKUP(B2812,'lista 1'!$A$2:$E$30100,4,0)</f>
        <v>#N/A</v>
      </c>
      <c r="B2812" s="123"/>
      <c r="C2812" s="133" t="e">
        <f>VLOOKUP(B2812,'lista 1'!$A$2:$E$31000,5,0)</f>
        <v>#N/A</v>
      </c>
      <c r="D2812" s="167" t="e">
        <f>VLOOKUP(E14612,'lista obszary'!A:B,2,0)</f>
        <v>#N/A</v>
      </c>
      <c r="E2812" s="128" t="e">
        <f>VLOOKUP(B2812,'LISTA 12'!$A$2:$G$301400,5,0)</f>
        <v>#N/A</v>
      </c>
      <c r="F2812" s="121" t="e">
        <f>VLOOKUP(B2812,'LISTA 12'!$A$2:$G$30100,7,0)</f>
        <v>#N/A</v>
      </c>
      <c r="G2812" s="254" t="e">
        <f>VLOOKUP(H2812,'lista 3'!$A$1:$C$31467,3,0)</f>
        <v>#N/A</v>
      </c>
      <c r="H2812" s="134"/>
      <c r="I2812" s="136"/>
      <c r="J2812" s="135"/>
      <c r="K2812" s="22"/>
    </row>
    <row r="2813" spans="1:11">
      <c r="A2813" s="241" t="e">
        <f>VLOOKUP(B2813,'lista 1'!$A$2:$E$30100,4,0)</f>
        <v>#N/A</v>
      </c>
      <c r="B2813" s="123"/>
      <c r="C2813" s="133" t="e">
        <f>VLOOKUP(B2813,'lista 1'!$A$2:$E$31000,5,0)</f>
        <v>#N/A</v>
      </c>
      <c r="D2813" s="167" t="e">
        <f>VLOOKUP(E14613,'lista obszary'!A:B,2,0)</f>
        <v>#N/A</v>
      </c>
      <c r="E2813" s="128" t="e">
        <f>VLOOKUP(B2813,'LISTA 12'!$A$2:$G$301400,5,0)</f>
        <v>#N/A</v>
      </c>
      <c r="F2813" s="121" t="e">
        <f>VLOOKUP(B2813,'LISTA 12'!$A$2:$G$30100,7,0)</f>
        <v>#N/A</v>
      </c>
      <c r="G2813" s="254" t="e">
        <f>VLOOKUP(H2813,'lista 3'!$A$1:$C$31467,3,0)</f>
        <v>#N/A</v>
      </c>
      <c r="H2813" s="134"/>
      <c r="I2813" s="136"/>
      <c r="J2813" s="135"/>
      <c r="K2813" s="22"/>
    </row>
    <row r="2814" spans="1:11">
      <c r="A2814" s="241" t="e">
        <f>VLOOKUP(B2814,'lista 1'!$A$2:$E$30100,4,0)</f>
        <v>#N/A</v>
      </c>
      <c r="B2814" s="123"/>
      <c r="C2814" s="133" t="e">
        <f>VLOOKUP(B2814,'lista 1'!$A$2:$E$31000,5,0)</f>
        <v>#N/A</v>
      </c>
      <c r="D2814" s="167" t="e">
        <f>VLOOKUP(E14614,'lista obszary'!A:B,2,0)</f>
        <v>#N/A</v>
      </c>
      <c r="E2814" s="128" t="e">
        <f>VLOOKUP(B2814,'LISTA 12'!$A$2:$G$301400,5,0)</f>
        <v>#N/A</v>
      </c>
      <c r="F2814" s="121" t="e">
        <f>VLOOKUP(B2814,'LISTA 12'!$A$2:$G$30100,7,0)</f>
        <v>#N/A</v>
      </c>
      <c r="G2814" s="254" t="e">
        <f>VLOOKUP(H2814,'lista 3'!$A$1:$C$31467,3,0)</f>
        <v>#N/A</v>
      </c>
      <c r="H2814" s="134"/>
      <c r="I2814" s="136"/>
      <c r="J2814" s="135"/>
      <c r="K2814" s="22"/>
    </row>
    <row r="2815" spans="1:11">
      <c r="A2815" s="241" t="e">
        <f>VLOOKUP(B2815,'lista 1'!$A$2:$E$30100,4,0)</f>
        <v>#N/A</v>
      </c>
      <c r="B2815" s="123"/>
      <c r="C2815" s="133" t="e">
        <f>VLOOKUP(B2815,'lista 1'!$A$2:$E$31000,5,0)</f>
        <v>#N/A</v>
      </c>
      <c r="D2815" s="167" t="e">
        <f>VLOOKUP(E14615,'lista obszary'!A:B,2,0)</f>
        <v>#N/A</v>
      </c>
      <c r="E2815" s="128" t="e">
        <f>VLOOKUP(B2815,'LISTA 12'!$A$2:$G$301400,5,0)</f>
        <v>#N/A</v>
      </c>
      <c r="F2815" s="121" t="e">
        <f>VLOOKUP(B2815,'LISTA 12'!$A$2:$G$30100,7,0)</f>
        <v>#N/A</v>
      </c>
      <c r="G2815" s="254" t="e">
        <f>VLOOKUP(H2815,'lista 3'!$A$1:$C$31467,3,0)</f>
        <v>#N/A</v>
      </c>
      <c r="H2815" s="134"/>
      <c r="I2815" s="136"/>
      <c r="J2815" s="135"/>
      <c r="K2815" s="22"/>
    </row>
    <row r="2816" spans="1:11">
      <c r="A2816" s="241" t="e">
        <f>VLOOKUP(B2816,'lista 1'!$A$2:$E$30100,4,0)</f>
        <v>#N/A</v>
      </c>
      <c r="B2816" s="123"/>
      <c r="C2816" s="133" t="e">
        <f>VLOOKUP(B2816,'lista 1'!$A$2:$E$31000,5,0)</f>
        <v>#N/A</v>
      </c>
      <c r="D2816" s="167" t="e">
        <f>VLOOKUP(E14616,'lista obszary'!A:B,2,0)</f>
        <v>#N/A</v>
      </c>
      <c r="E2816" s="128" t="e">
        <f>VLOOKUP(B2816,'LISTA 12'!$A$2:$G$301400,5,0)</f>
        <v>#N/A</v>
      </c>
      <c r="F2816" s="121" t="e">
        <f>VLOOKUP(B2816,'LISTA 12'!$A$2:$G$30100,7,0)</f>
        <v>#N/A</v>
      </c>
      <c r="G2816" s="254" t="e">
        <f>VLOOKUP(H2816,'lista 3'!$A$1:$C$31467,3,0)</f>
        <v>#N/A</v>
      </c>
      <c r="H2816" s="134"/>
      <c r="I2816" s="136"/>
      <c r="J2816" s="135"/>
      <c r="K2816" s="22"/>
    </row>
    <row r="2817" spans="1:11">
      <c r="A2817" s="241" t="e">
        <f>VLOOKUP(B2817,'lista 1'!$A$2:$E$30100,4,0)</f>
        <v>#N/A</v>
      </c>
      <c r="B2817" s="123"/>
      <c r="C2817" s="133" t="e">
        <f>VLOOKUP(B2817,'lista 1'!$A$2:$E$31000,5,0)</f>
        <v>#N/A</v>
      </c>
      <c r="D2817" s="167" t="e">
        <f>VLOOKUP(E14617,'lista obszary'!A:B,2,0)</f>
        <v>#N/A</v>
      </c>
      <c r="E2817" s="128" t="e">
        <f>VLOOKUP(B2817,'LISTA 12'!$A$2:$G$301400,5,0)</f>
        <v>#N/A</v>
      </c>
      <c r="F2817" s="121" t="e">
        <f>VLOOKUP(B2817,'LISTA 12'!$A$2:$G$30100,7,0)</f>
        <v>#N/A</v>
      </c>
      <c r="G2817" s="254" t="e">
        <f>VLOOKUP(H2817,'lista 3'!$A$1:$C$31467,3,0)</f>
        <v>#N/A</v>
      </c>
      <c r="H2817" s="134"/>
      <c r="I2817" s="136"/>
      <c r="J2817" s="135"/>
      <c r="K2817" s="22"/>
    </row>
    <row r="2818" spans="1:11">
      <c r="A2818" s="241" t="e">
        <f>VLOOKUP(B2818,'lista 1'!$A$2:$E$30100,4,0)</f>
        <v>#N/A</v>
      </c>
      <c r="B2818" s="123"/>
      <c r="C2818" s="133" t="e">
        <f>VLOOKUP(B2818,'lista 1'!$A$2:$E$31000,5,0)</f>
        <v>#N/A</v>
      </c>
      <c r="D2818" s="167" t="e">
        <f>VLOOKUP(E14618,'lista obszary'!A:B,2,0)</f>
        <v>#N/A</v>
      </c>
      <c r="E2818" s="128" t="e">
        <f>VLOOKUP(B2818,'LISTA 12'!$A$2:$G$301400,5,0)</f>
        <v>#N/A</v>
      </c>
      <c r="F2818" s="121" t="e">
        <f>VLOOKUP(B2818,'LISTA 12'!$A$2:$G$30100,7,0)</f>
        <v>#N/A</v>
      </c>
      <c r="G2818" s="254" t="e">
        <f>VLOOKUP(H2818,'lista 3'!$A$1:$C$31467,3,0)</f>
        <v>#N/A</v>
      </c>
      <c r="H2818" s="134"/>
      <c r="I2818" s="136"/>
      <c r="J2818" s="135"/>
      <c r="K2818" s="22"/>
    </row>
    <row r="2819" spans="1:11">
      <c r="A2819" s="241" t="e">
        <f>VLOOKUP(B2819,'lista 1'!$A$2:$E$30100,4,0)</f>
        <v>#N/A</v>
      </c>
      <c r="B2819" s="123"/>
      <c r="C2819" s="133" t="e">
        <f>VLOOKUP(B2819,'lista 1'!$A$2:$E$31000,5,0)</f>
        <v>#N/A</v>
      </c>
      <c r="D2819" s="167" t="e">
        <f>VLOOKUP(E14619,'lista obszary'!A:B,2,0)</f>
        <v>#N/A</v>
      </c>
      <c r="E2819" s="128" t="e">
        <f>VLOOKUP(B2819,'LISTA 12'!$A$2:$G$301400,5,0)</f>
        <v>#N/A</v>
      </c>
      <c r="F2819" s="121" t="e">
        <f>VLOOKUP(B2819,'LISTA 12'!$A$2:$G$30100,7,0)</f>
        <v>#N/A</v>
      </c>
      <c r="G2819" s="254" t="e">
        <f>VLOOKUP(H2819,'lista 3'!$A$1:$C$31467,3,0)</f>
        <v>#N/A</v>
      </c>
      <c r="H2819" s="134"/>
      <c r="I2819" s="136"/>
      <c r="J2819" s="135"/>
      <c r="K2819" s="22"/>
    </row>
    <row r="2820" spans="1:11">
      <c r="A2820" s="241" t="e">
        <f>VLOOKUP(B2820,'lista 1'!$A$2:$E$30100,4,0)</f>
        <v>#N/A</v>
      </c>
      <c r="B2820" s="123"/>
      <c r="C2820" s="133" t="e">
        <f>VLOOKUP(B2820,'lista 1'!$A$2:$E$31000,5,0)</f>
        <v>#N/A</v>
      </c>
      <c r="D2820" s="167" t="e">
        <f>VLOOKUP(E14620,'lista obszary'!A:B,2,0)</f>
        <v>#N/A</v>
      </c>
      <c r="E2820" s="128" t="e">
        <f>VLOOKUP(B2820,'LISTA 12'!$A$2:$G$301400,5,0)</f>
        <v>#N/A</v>
      </c>
      <c r="F2820" s="121" t="e">
        <f>VLOOKUP(B2820,'LISTA 12'!$A$2:$G$30100,7,0)</f>
        <v>#N/A</v>
      </c>
      <c r="G2820" s="254" t="e">
        <f>VLOOKUP(H2820,'lista 3'!$A$1:$C$31467,3,0)</f>
        <v>#N/A</v>
      </c>
      <c r="H2820" s="134"/>
      <c r="I2820" s="136"/>
      <c r="J2820" s="135"/>
      <c r="K2820" s="22"/>
    </row>
    <row r="2821" spans="1:11">
      <c r="A2821" s="241" t="e">
        <f>VLOOKUP(B2821,'lista 1'!$A$2:$E$30100,4,0)</f>
        <v>#N/A</v>
      </c>
      <c r="B2821" s="123"/>
      <c r="C2821" s="133" t="e">
        <f>VLOOKUP(B2821,'lista 1'!$A$2:$E$31000,5,0)</f>
        <v>#N/A</v>
      </c>
      <c r="D2821" s="167" t="e">
        <f>VLOOKUP(E14621,'lista obszary'!A:B,2,0)</f>
        <v>#N/A</v>
      </c>
      <c r="E2821" s="128" t="e">
        <f>VLOOKUP(B2821,'LISTA 12'!$A$2:$G$301400,5,0)</f>
        <v>#N/A</v>
      </c>
      <c r="F2821" s="121" t="e">
        <f>VLOOKUP(B2821,'LISTA 12'!$A$2:$G$30100,7,0)</f>
        <v>#N/A</v>
      </c>
      <c r="G2821" s="254" t="e">
        <f>VLOOKUP(H2821,'lista 3'!$A$1:$C$31467,3,0)</f>
        <v>#N/A</v>
      </c>
      <c r="H2821" s="134"/>
      <c r="I2821" s="136"/>
      <c r="J2821" s="135"/>
      <c r="K2821" s="22"/>
    </row>
    <row r="2822" spans="1:11">
      <c r="A2822" s="241" t="e">
        <f>VLOOKUP(B2822,'lista 1'!$A$2:$E$30100,4,0)</f>
        <v>#N/A</v>
      </c>
      <c r="B2822" s="123"/>
      <c r="C2822" s="133" t="e">
        <f>VLOOKUP(B2822,'lista 1'!$A$2:$E$31000,5,0)</f>
        <v>#N/A</v>
      </c>
      <c r="D2822" s="167" t="e">
        <f>VLOOKUP(E14622,'lista obszary'!A:B,2,0)</f>
        <v>#N/A</v>
      </c>
      <c r="E2822" s="128" t="e">
        <f>VLOOKUP(B2822,'LISTA 12'!$A$2:$G$301400,5,0)</f>
        <v>#N/A</v>
      </c>
      <c r="F2822" s="121" t="e">
        <f>VLOOKUP(B2822,'LISTA 12'!$A$2:$G$30100,7,0)</f>
        <v>#N/A</v>
      </c>
      <c r="G2822" s="254" t="e">
        <f>VLOOKUP(H2822,'lista 3'!$A$1:$C$31467,3,0)</f>
        <v>#N/A</v>
      </c>
      <c r="H2822" s="134"/>
      <c r="I2822" s="136"/>
      <c r="J2822" s="135"/>
      <c r="K2822" s="22"/>
    </row>
    <row r="2823" spans="1:11">
      <c r="A2823" s="241" t="e">
        <f>VLOOKUP(B2823,'lista 1'!$A$2:$E$30100,4,0)</f>
        <v>#N/A</v>
      </c>
      <c r="B2823" s="123"/>
      <c r="C2823" s="133" t="e">
        <f>VLOOKUP(B2823,'lista 1'!$A$2:$E$31000,5,0)</f>
        <v>#N/A</v>
      </c>
      <c r="D2823" s="167" t="e">
        <f>VLOOKUP(E14623,'lista obszary'!A:B,2,0)</f>
        <v>#N/A</v>
      </c>
      <c r="E2823" s="128" t="e">
        <f>VLOOKUP(B2823,'LISTA 12'!$A$2:$G$301400,5,0)</f>
        <v>#N/A</v>
      </c>
      <c r="F2823" s="121" t="e">
        <f>VLOOKUP(B2823,'LISTA 12'!$A$2:$G$30100,7,0)</f>
        <v>#N/A</v>
      </c>
      <c r="G2823" s="254" t="e">
        <f>VLOOKUP(H2823,'lista 3'!$A$1:$C$31467,3,0)</f>
        <v>#N/A</v>
      </c>
      <c r="H2823" s="134"/>
      <c r="I2823" s="136"/>
      <c r="J2823" s="135"/>
      <c r="K2823" s="22"/>
    </row>
    <row r="2824" spans="1:11">
      <c r="A2824" s="241" t="e">
        <f>VLOOKUP(B2824,'lista 1'!$A$2:$E$30100,4,0)</f>
        <v>#N/A</v>
      </c>
      <c r="B2824" s="123"/>
      <c r="C2824" s="133" t="e">
        <f>VLOOKUP(B2824,'lista 1'!$A$2:$E$31000,5,0)</f>
        <v>#N/A</v>
      </c>
      <c r="D2824" s="167" t="e">
        <f>VLOOKUP(E14624,'lista obszary'!A:B,2,0)</f>
        <v>#N/A</v>
      </c>
      <c r="E2824" s="128" t="e">
        <f>VLOOKUP(B2824,'LISTA 12'!$A$2:$G$301400,5,0)</f>
        <v>#N/A</v>
      </c>
      <c r="F2824" s="121" t="e">
        <f>VLOOKUP(B2824,'LISTA 12'!$A$2:$G$30100,7,0)</f>
        <v>#N/A</v>
      </c>
      <c r="G2824" s="254" t="e">
        <f>VLOOKUP(H2824,'lista 3'!$A$1:$C$31467,3,0)</f>
        <v>#N/A</v>
      </c>
      <c r="H2824" s="134"/>
      <c r="I2824" s="136"/>
      <c r="J2824" s="135"/>
      <c r="K2824" s="22"/>
    </row>
    <row r="2825" spans="1:11">
      <c r="A2825" s="241" t="e">
        <f>VLOOKUP(B2825,'lista 1'!$A$2:$E$30100,4,0)</f>
        <v>#N/A</v>
      </c>
      <c r="B2825" s="123"/>
      <c r="C2825" s="133" t="e">
        <f>VLOOKUP(B2825,'lista 1'!$A$2:$E$31000,5,0)</f>
        <v>#N/A</v>
      </c>
      <c r="D2825" s="167" t="e">
        <f>VLOOKUP(E14625,'lista obszary'!A:B,2,0)</f>
        <v>#N/A</v>
      </c>
      <c r="E2825" s="128" t="e">
        <f>VLOOKUP(B2825,'LISTA 12'!$A$2:$G$301400,5,0)</f>
        <v>#N/A</v>
      </c>
      <c r="F2825" s="121" t="e">
        <f>VLOOKUP(B2825,'LISTA 12'!$A$2:$G$30100,7,0)</f>
        <v>#N/A</v>
      </c>
      <c r="G2825" s="254" t="e">
        <f>VLOOKUP(H2825,'lista 3'!$A$1:$C$31467,3,0)</f>
        <v>#N/A</v>
      </c>
      <c r="H2825" s="134"/>
      <c r="I2825" s="136"/>
      <c r="J2825" s="135"/>
      <c r="K2825" s="22"/>
    </row>
    <row r="2826" spans="1:11">
      <c r="A2826" s="241" t="e">
        <f>VLOOKUP(B2826,'lista 1'!$A$2:$E$30100,4,0)</f>
        <v>#N/A</v>
      </c>
      <c r="B2826" s="123"/>
      <c r="C2826" s="133" t="e">
        <f>VLOOKUP(B2826,'lista 1'!$A$2:$E$31000,5,0)</f>
        <v>#N/A</v>
      </c>
      <c r="D2826" s="167" t="e">
        <f>VLOOKUP(E14626,'lista obszary'!A:B,2,0)</f>
        <v>#N/A</v>
      </c>
      <c r="E2826" s="128" t="e">
        <f>VLOOKUP(B2826,'LISTA 12'!$A$2:$G$301400,5,0)</f>
        <v>#N/A</v>
      </c>
      <c r="F2826" s="121" t="e">
        <f>VLOOKUP(B2826,'LISTA 12'!$A$2:$G$30100,7,0)</f>
        <v>#N/A</v>
      </c>
      <c r="G2826" s="254" t="e">
        <f>VLOOKUP(H2826,'lista 3'!$A$1:$C$31467,3,0)</f>
        <v>#N/A</v>
      </c>
      <c r="H2826" s="134"/>
      <c r="I2826" s="136"/>
      <c r="J2826" s="135"/>
      <c r="K2826" s="22"/>
    </row>
    <row r="2827" spans="1:11">
      <c r="A2827" s="241" t="e">
        <f>VLOOKUP(B2827,'lista 1'!$A$2:$E$30100,4,0)</f>
        <v>#N/A</v>
      </c>
      <c r="B2827" s="123"/>
      <c r="C2827" s="133" t="e">
        <f>VLOOKUP(B2827,'lista 1'!$A$2:$E$31000,5,0)</f>
        <v>#N/A</v>
      </c>
      <c r="D2827" s="167" t="e">
        <f>VLOOKUP(E14627,'lista obszary'!A:B,2,0)</f>
        <v>#N/A</v>
      </c>
      <c r="E2827" s="128" t="e">
        <f>VLOOKUP(B2827,'LISTA 12'!$A$2:$G$301400,5,0)</f>
        <v>#N/A</v>
      </c>
      <c r="F2827" s="121" t="e">
        <f>VLOOKUP(B2827,'LISTA 12'!$A$2:$G$30100,7,0)</f>
        <v>#N/A</v>
      </c>
      <c r="G2827" s="254" t="e">
        <f>VLOOKUP(H2827,'lista 3'!$A$1:$C$31467,3,0)</f>
        <v>#N/A</v>
      </c>
      <c r="H2827" s="134"/>
      <c r="I2827" s="136"/>
      <c r="J2827" s="135"/>
      <c r="K2827" s="22"/>
    </row>
    <row r="2828" spans="1:11">
      <c r="A2828" s="241" t="e">
        <f>VLOOKUP(B2828,'lista 1'!$A$2:$E$30100,4,0)</f>
        <v>#N/A</v>
      </c>
      <c r="B2828" s="123"/>
      <c r="C2828" s="133" t="e">
        <f>VLOOKUP(B2828,'lista 1'!$A$2:$E$31000,5,0)</f>
        <v>#N/A</v>
      </c>
      <c r="D2828" s="167" t="e">
        <f>VLOOKUP(E14628,'lista obszary'!A:B,2,0)</f>
        <v>#N/A</v>
      </c>
      <c r="E2828" s="128" t="e">
        <f>VLOOKUP(B2828,'LISTA 12'!$A$2:$G$301400,5,0)</f>
        <v>#N/A</v>
      </c>
      <c r="F2828" s="121" t="e">
        <f>VLOOKUP(B2828,'LISTA 12'!$A$2:$G$30100,7,0)</f>
        <v>#N/A</v>
      </c>
      <c r="G2828" s="254" t="e">
        <f>VLOOKUP(H2828,'lista 3'!$A$1:$C$31467,3,0)</f>
        <v>#N/A</v>
      </c>
      <c r="H2828" s="134"/>
      <c r="I2828" s="136"/>
      <c r="J2828" s="135"/>
      <c r="K2828" s="22"/>
    </row>
    <row r="2829" spans="1:11">
      <c r="A2829" s="241" t="e">
        <f>VLOOKUP(B2829,'lista 1'!$A$2:$E$30100,4,0)</f>
        <v>#N/A</v>
      </c>
      <c r="B2829" s="123"/>
      <c r="C2829" s="133" t="e">
        <f>VLOOKUP(B2829,'lista 1'!$A$2:$E$31000,5,0)</f>
        <v>#N/A</v>
      </c>
      <c r="D2829" s="167" t="e">
        <f>VLOOKUP(E14629,'lista obszary'!A:B,2,0)</f>
        <v>#N/A</v>
      </c>
      <c r="E2829" s="128" t="e">
        <f>VLOOKUP(B2829,'LISTA 12'!$A$2:$G$301400,5,0)</f>
        <v>#N/A</v>
      </c>
      <c r="F2829" s="121" t="e">
        <f>VLOOKUP(B2829,'LISTA 12'!$A$2:$G$30100,7,0)</f>
        <v>#N/A</v>
      </c>
      <c r="G2829" s="254" t="e">
        <f>VLOOKUP(H2829,'lista 3'!$A$1:$C$31467,3,0)</f>
        <v>#N/A</v>
      </c>
      <c r="H2829" s="134"/>
      <c r="I2829" s="136"/>
      <c r="J2829" s="135"/>
      <c r="K2829" s="22"/>
    </row>
    <row r="2830" spans="1:11">
      <c r="A2830" s="241" t="e">
        <f>VLOOKUP(B2830,'lista 1'!$A$2:$E$30100,4,0)</f>
        <v>#N/A</v>
      </c>
      <c r="B2830" s="123"/>
      <c r="C2830" s="133" t="e">
        <f>VLOOKUP(B2830,'lista 1'!$A$2:$E$31000,5,0)</f>
        <v>#N/A</v>
      </c>
      <c r="D2830" s="167" t="e">
        <f>VLOOKUP(E14630,'lista obszary'!A:B,2,0)</f>
        <v>#N/A</v>
      </c>
      <c r="E2830" s="128" t="e">
        <f>VLOOKUP(B2830,'LISTA 12'!$A$2:$G$301400,5,0)</f>
        <v>#N/A</v>
      </c>
      <c r="F2830" s="121" t="e">
        <f>VLOOKUP(B2830,'LISTA 12'!$A$2:$G$30100,7,0)</f>
        <v>#N/A</v>
      </c>
      <c r="G2830" s="254" t="e">
        <f>VLOOKUP(H2830,'lista 3'!$A$1:$C$31467,3,0)</f>
        <v>#N/A</v>
      </c>
      <c r="H2830" s="134"/>
      <c r="I2830" s="136"/>
      <c r="J2830" s="135"/>
      <c r="K2830" s="22"/>
    </row>
    <row r="2831" spans="1:11">
      <c r="A2831" s="241" t="e">
        <f>VLOOKUP(B2831,'lista 1'!$A$2:$E$30100,4,0)</f>
        <v>#N/A</v>
      </c>
      <c r="B2831" s="123"/>
      <c r="C2831" s="133" t="e">
        <f>VLOOKUP(B2831,'lista 1'!$A$2:$E$31000,5,0)</f>
        <v>#N/A</v>
      </c>
      <c r="D2831" s="167" t="e">
        <f>VLOOKUP(E14631,'lista obszary'!A:B,2,0)</f>
        <v>#N/A</v>
      </c>
      <c r="E2831" s="128" t="e">
        <f>VLOOKUP(B2831,'LISTA 12'!$A$2:$G$301400,5,0)</f>
        <v>#N/A</v>
      </c>
      <c r="F2831" s="121" t="e">
        <f>VLOOKUP(B2831,'LISTA 12'!$A$2:$G$30100,7,0)</f>
        <v>#N/A</v>
      </c>
      <c r="G2831" s="254" t="e">
        <f>VLOOKUP(H2831,'lista 3'!$A$1:$C$31467,3,0)</f>
        <v>#N/A</v>
      </c>
      <c r="H2831" s="134"/>
      <c r="I2831" s="136"/>
      <c r="J2831" s="135"/>
      <c r="K2831" s="22"/>
    </row>
    <row r="2832" spans="1:11">
      <c r="A2832" s="241" t="e">
        <f>VLOOKUP(B2832,'lista 1'!$A$2:$E$30100,4,0)</f>
        <v>#N/A</v>
      </c>
      <c r="B2832" s="123"/>
      <c r="C2832" s="133" t="e">
        <f>VLOOKUP(B2832,'lista 1'!$A$2:$E$31000,5,0)</f>
        <v>#N/A</v>
      </c>
      <c r="D2832" s="167" t="e">
        <f>VLOOKUP(E14632,'lista obszary'!A:B,2,0)</f>
        <v>#N/A</v>
      </c>
      <c r="E2832" s="128" t="e">
        <f>VLOOKUP(B2832,'LISTA 12'!$A$2:$G$301400,5,0)</f>
        <v>#N/A</v>
      </c>
      <c r="F2832" s="121" t="e">
        <f>VLOOKUP(B2832,'LISTA 12'!$A$2:$G$30100,7,0)</f>
        <v>#N/A</v>
      </c>
      <c r="G2832" s="254" t="e">
        <f>VLOOKUP(H2832,'lista 3'!$A$1:$C$31467,3,0)</f>
        <v>#N/A</v>
      </c>
      <c r="H2832" s="134"/>
      <c r="I2832" s="136"/>
      <c r="J2832" s="135"/>
      <c r="K2832" s="22"/>
    </row>
    <row r="2833" spans="1:11">
      <c r="A2833" s="241" t="e">
        <f>VLOOKUP(B2833,'lista 1'!$A$2:$E$30100,4,0)</f>
        <v>#N/A</v>
      </c>
      <c r="B2833" s="123"/>
      <c r="C2833" s="133" t="e">
        <f>VLOOKUP(B2833,'lista 1'!$A$2:$E$31000,5,0)</f>
        <v>#N/A</v>
      </c>
      <c r="D2833" s="167" t="e">
        <f>VLOOKUP(E14633,'lista obszary'!A:B,2,0)</f>
        <v>#N/A</v>
      </c>
      <c r="E2833" s="128" t="e">
        <f>VLOOKUP(B2833,'LISTA 12'!$A$2:$G$301400,5,0)</f>
        <v>#N/A</v>
      </c>
      <c r="F2833" s="121" t="e">
        <f>VLOOKUP(B2833,'LISTA 12'!$A$2:$G$30100,7,0)</f>
        <v>#N/A</v>
      </c>
      <c r="G2833" s="254" t="e">
        <f>VLOOKUP(H2833,'lista 3'!$A$1:$C$31467,3,0)</f>
        <v>#N/A</v>
      </c>
      <c r="H2833" s="134"/>
      <c r="I2833" s="136"/>
      <c r="J2833" s="135"/>
      <c r="K2833" s="22"/>
    </row>
    <row r="2834" spans="1:11">
      <c r="A2834" s="241" t="e">
        <f>VLOOKUP(B2834,'lista 1'!$A$2:$E$30100,4,0)</f>
        <v>#N/A</v>
      </c>
      <c r="B2834" s="123"/>
      <c r="C2834" s="133" t="e">
        <f>VLOOKUP(B2834,'lista 1'!$A$2:$E$31000,5,0)</f>
        <v>#N/A</v>
      </c>
      <c r="D2834" s="167" t="e">
        <f>VLOOKUP(E14634,'lista obszary'!A:B,2,0)</f>
        <v>#N/A</v>
      </c>
      <c r="E2834" s="128" t="e">
        <f>VLOOKUP(B2834,'LISTA 12'!$A$2:$G$301400,5,0)</f>
        <v>#N/A</v>
      </c>
      <c r="F2834" s="121" t="e">
        <f>VLOOKUP(B2834,'LISTA 12'!$A$2:$G$30100,7,0)</f>
        <v>#N/A</v>
      </c>
      <c r="G2834" s="254" t="e">
        <f>VLOOKUP(H2834,'lista 3'!$A$1:$C$31467,3,0)</f>
        <v>#N/A</v>
      </c>
      <c r="H2834" s="134"/>
      <c r="I2834" s="136"/>
      <c r="J2834" s="135"/>
      <c r="K2834" s="22"/>
    </row>
    <row r="2835" spans="1:11">
      <c r="A2835" s="241" t="e">
        <f>VLOOKUP(B2835,'lista 1'!$A$2:$E$30100,4,0)</f>
        <v>#N/A</v>
      </c>
      <c r="B2835" s="123"/>
      <c r="C2835" s="133" t="e">
        <f>VLOOKUP(B2835,'lista 1'!$A$2:$E$31000,5,0)</f>
        <v>#N/A</v>
      </c>
      <c r="D2835" s="167" t="e">
        <f>VLOOKUP(E14635,'lista obszary'!A:B,2,0)</f>
        <v>#N/A</v>
      </c>
      <c r="E2835" s="128" t="e">
        <f>VLOOKUP(B2835,'LISTA 12'!$A$2:$G$301400,5,0)</f>
        <v>#N/A</v>
      </c>
      <c r="F2835" s="121" t="e">
        <f>VLOOKUP(B2835,'LISTA 12'!$A$2:$G$30100,7,0)</f>
        <v>#N/A</v>
      </c>
      <c r="G2835" s="254" t="e">
        <f>VLOOKUP(H2835,'lista 3'!$A$1:$C$31467,3,0)</f>
        <v>#N/A</v>
      </c>
      <c r="H2835" s="134"/>
      <c r="I2835" s="136"/>
      <c r="J2835" s="135"/>
      <c r="K2835" s="22"/>
    </row>
    <row r="2836" spans="1:11">
      <c r="A2836" s="241" t="e">
        <f>VLOOKUP(B2836,'lista 1'!$A$2:$E$30100,4,0)</f>
        <v>#N/A</v>
      </c>
      <c r="B2836" s="123"/>
      <c r="C2836" s="133" t="e">
        <f>VLOOKUP(B2836,'lista 1'!$A$2:$E$31000,5,0)</f>
        <v>#N/A</v>
      </c>
      <c r="D2836" s="167" t="e">
        <f>VLOOKUP(E14636,'lista obszary'!A:B,2,0)</f>
        <v>#N/A</v>
      </c>
      <c r="E2836" s="128" t="e">
        <f>VLOOKUP(B2836,'LISTA 12'!$A$2:$G$301400,5,0)</f>
        <v>#N/A</v>
      </c>
      <c r="F2836" s="121" t="e">
        <f>VLOOKUP(B2836,'LISTA 12'!$A$2:$G$30100,7,0)</f>
        <v>#N/A</v>
      </c>
      <c r="G2836" s="254" t="e">
        <f>VLOOKUP(H2836,'lista 3'!$A$1:$C$31467,3,0)</f>
        <v>#N/A</v>
      </c>
      <c r="H2836" s="134"/>
      <c r="I2836" s="136"/>
      <c r="J2836" s="135"/>
      <c r="K2836" s="22"/>
    </row>
    <row r="2837" spans="1:11">
      <c r="A2837" s="241" t="e">
        <f>VLOOKUP(B2837,'lista 1'!$A$2:$E$30100,4,0)</f>
        <v>#N/A</v>
      </c>
      <c r="B2837" s="123"/>
      <c r="C2837" s="133" t="e">
        <f>VLOOKUP(B2837,'lista 1'!$A$2:$E$31000,5,0)</f>
        <v>#N/A</v>
      </c>
      <c r="D2837" s="167" t="e">
        <f>VLOOKUP(E14637,'lista obszary'!A:B,2,0)</f>
        <v>#N/A</v>
      </c>
      <c r="E2837" s="128" t="e">
        <f>VLOOKUP(B2837,'LISTA 12'!$A$2:$G$301400,5,0)</f>
        <v>#N/A</v>
      </c>
      <c r="F2837" s="121" t="e">
        <f>VLOOKUP(B2837,'LISTA 12'!$A$2:$G$30100,7,0)</f>
        <v>#N/A</v>
      </c>
      <c r="G2837" s="254" t="e">
        <f>VLOOKUP(H2837,'lista 3'!$A$1:$C$31467,3,0)</f>
        <v>#N/A</v>
      </c>
      <c r="H2837" s="134"/>
      <c r="I2837" s="136"/>
      <c r="J2837" s="135"/>
      <c r="K2837" s="22"/>
    </row>
    <row r="2838" spans="1:11">
      <c r="A2838" s="241" t="e">
        <f>VLOOKUP(B2838,'lista 1'!$A$2:$E$30100,4,0)</f>
        <v>#N/A</v>
      </c>
      <c r="B2838" s="123"/>
      <c r="C2838" s="133" t="e">
        <f>VLOOKUP(B2838,'lista 1'!$A$2:$E$31000,5,0)</f>
        <v>#N/A</v>
      </c>
      <c r="D2838" s="167" t="e">
        <f>VLOOKUP(E14638,'lista obszary'!A:B,2,0)</f>
        <v>#N/A</v>
      </c>
      <c r="E2838" s="128" t="e">
        <f>VLOOKUP(B2838,'LISTA 12'!$A$2:$G$301400,5,0)</f>
        <v>#N/A</v>
      </c>
      <c r="F2838" s="121" t="e">
        <f>VLOOKUP(B2838,'LISTA 12'!$A$2:$G$30100,7,0)</f>
        <v>#N/A</v>
      </c>
      <c r="G2838" s="254" t="e">
        <f>VLOOKUP(H2838,'lista 3'!$A$1:$C$31467,3,0)</f>
        <v>#N/A</v>
      </c>
      <c r="H2838" s="134"/>
      <c r="I2838" s="136"/>
      <c r="J2838" s="135"/>
      <c r="K2838" s="22"/>
    </row>
    <row r="2839" spans="1:11">
      <c r="A2839" s="241" t="e">
        <f>VLOOKUP(B2839,'lista 1'!$A$2:$E$30100,4,0)</f>
        <v>#N/A</v>
      </c>
      <c r="B2839" s="123"/>
      <c r="C2839" s="133" t="e">
        <f>VLOOKUP(B2839,'lista 1'!$A$2:$E$31000,5,0)</f>
        <v>#N/A</v>
      </c>
      <c r="D2839" s="167" t="e">
        <f>VLOOKUP(E14639,'lista obszary'!A:B,2,0)</f>
        <v>#N/A</v>
      </c>
      <c r="E2839" s="128" t="e">
        <f>VLOOKUP(B2839,'LISTA 12'!$A$2:$G$301400,5,0)</f>
        <v>#N/A</v>
      </c>
      <c r="F2839" s="121" t="e">
        <f>VLOOKUP(B2839,'LISTA 12'!$A$2:$G$30100,7,0)</f>
        <v>#N/A</v>
      </c>
      <c r="G2839" s="254" t="e">
        <f>VLOOKUP(H2839,'lista 3'!$A$1:$C$31467,3,0)</f>
        <v>#N/A</v>
      </c>
      <c r="H2839" s="134"/>
      <c r="I2839" s="136"/>
      <c r="J2839" s="135"/>
      <c r="K2839" s="22"/>
    </row>
    <row r="2840" spans="1:11">
      <c r="A2840" s="241" t="e">
        <f>VLOOKUP(B2840,'lista 1'!$A$2:$E$30100,4,0)</f>
        <v>#N/A</v>
      </c>
      <c r="B2840" s="123"/>
      <c r="C2840" s="133" t="e">
        <f>VLOOKUP(B2840,'lista 1'!$A$2:$E$31000,5,0)</f>
        <v>#N/A</v>
      </c>
      <c r="D2840" s="167" t="e">
        <f>VLOOKUP(E14640,'lista obszary'!A:B,2,0)</f>
        <v>#N/A</v>
      </c>
      <c r="E2840" s="128" t="e">
        <f>VLOOKUP(B2840,'LISTA 12'!$A$2:$G$301400,5,0)</f>
        <v>#N/A</v>
      </c>
      <c r="F2840" s="121" t="e">
        <f>VLOOKUP(B2840,'LISTA 12'!$A$2:$G$30100,7,0)</f>
        <v>#N/A</v>
      </c>
      <c r="G2840" s="254" t="e">
        <f>VLOOKUP(H2840,'lista 3'!$A$1:$C$31467,3,0)</f>
        <v>#N/A</v>
      </c>
      <c r="H2840" s="134"/>
      <c r="I2840" s="136"/>
      <c r="J2840" s="135"/>
      <c r="K2840" s="22"/>
    </row>
    <row r="2841" spans="1:11">
      <c r="A2841" s="241" t="e">
        <f>VLOOKUP(B2841,'lista 1'!$A$2:$E$30100,4,0)</f>
        <v>#N/A</v>
      </c>
      <c r="B2841" s="123"/>
      <c r="C2841" s="133" t="e">
        <f>VLOOKUP(B2841,'lista 1'!$A$2:$E$31000,5,0)</f>
        <v>#N/A</v>
      </c>
      <c r="D2841" s="167" t="e">
        <f>VLOOKUP(E14641,'lista obszary'!A:B,2,0)</f>
        <v>#N/A</v>
      </c>
      <c r="E2841" s="128" t="e">
        <f>VLOOKUP(B2841,'LISTA 12'!$A$2:$G$301400,5,0)</f>
        <v>#N/A</v>
      </c>
      <c r="F2841" s="121" t="e">
        <f>VLOOKUP(B2841,'LISTA 12'!$A$2:$G$30100,7,0)</f>
        <v>#N/A</v>
      </c>
      <c r="G2841" s="254" t="e">
        <f>VLOOKUP(H2841,'lista 3'!$A$1:$C$31467,3,0)</f>
        <v>#N/A</v>
      </c>
      <c r="H2841" s="134"/>
      <c r="I2841" s="136"/>
      <c r="J2841" s="135"/>
      <c r="K2841" s="22"/>
    </row>
    <row r="2842" spans="1:11">
      <c r="A2842" s="241" t="e">
        <f>VLOOKUP(B2842,'lista 1'!$A$2:$E$30100,4,0)</f>
        <v>#N/A</v>
      </c>
      <c r="B2842" s="123"/>
      <c r="C2842" s="133" t="e">
        <f>VLOOKUP(B2842,'lista 1'!$A$2:$E$31000,5,0)</f>
        <v>#N/A</v>
      </c>
      <c r="D2842" s="167" t="e">
        <f>VLOOKUP(E14642,'lista obszary'!A:B,2,0)</f>
        <v>#N/A</v>
      </c>
      <c r="E2842" s="128" t="e">
        <f>VLOOKUP(B2842,'LISTA 12'!$A$2:$G$301400,5,0)</f>
        <v>#N/A</v>
      </c>
      <c r="F2842" s="121" t="e">
        <f>VLOOKUP(B2842,'LISTA 12'!$A$2:$G$30100,7,0)</f>
        <v>#N/A</v>
      </c>
      <c r="G2842" s="254" t="e">
        <f>VLOOKUP(H2842,'lista 3'!$A$1:$C$31467,3,0)</f>
        <v>#N/A</v>
      </c>
      <c r="H2842" s="134"/>
      <c r="I2842" s="136"/>
      <c r="J2842" s="135"/>
      <c r="K2842" s="22"/>
    </row>
    <row r="2843" spans="1:11">
      <c r="A2843" s="241" t="e">
        <f>VLOOKUP(B2843,'lista 1'!$A$2:$E$30100,4,0)</f>
        <v>#N/A</v>
      </c>
      <c r="B2843" s="123"/>
      <c r="C2843" s="133" t="e">
        <f>VLOOKUP(B2843,'lista 1'!$A$2:$E$31000,5,0)</f>
        <v>#N/A</v>
      </c>
      <c r="D2843" s="167" t="e">
        <f>VLOOKUP(E14643,'lista obszary'!A:B,2,0)</f>
        <v>#N/A</v>
      </c>
      <c r="E2843" s="128" t="e">
        <f>VLOOKUP(B2843,'LISTA 12'!$A$2:$G$301400,5,0)</f>
        <v>#N/A</v>
      </c>
      <c r="F2843" s="121" t="e">
        <f>VLOOKUP(B2843,'LISTA 12'!$A$2:$G$30100,7,0)</f>
        <v>#N/A</v>
      </c>
      <c r="G2843" s="254" t="e">
        <f>VLOOKUP(H2843,'lista 3'!$A$1:$C$31467,3,0)</f>
        <v>#N/A</v>
      </c>
      <c r="H2843" s="134"/>
      <c r="I2843" s="136"/>
      <c r="J2843" s="135"/>
      <c r="K2843" s="22"/>
    </row>
    <row r="2844" spans="1:11">
      <c r="A2844" s="241" t="e">
        <f>VLOOKUP(B2844,'lista 1'!$A$2:$E$30100,4,0)</f>
        <v>#N/A</v>
      </c>
      <c r="B2844" s="123"/>
      <c r="C2844" s="133" t="e">
        <f>VLOOKUP(B2844,'lista 1'!$A$2:$E$31000,5,0)</f>
        <v>#N/A</v>
      </c>
      <c r="D2844" s="167" t="e">
        <f>VLOOKUP(E14644,'lista obszary'!A:B,2,0)</f>
        <v>#N/A</v>
      </c>
      <c r="E2844" s="128" t="e">
        <f>VLOOKUP(B2844,'LISTA 12'!$A$2:$G$301400,5,0)</f>
        <v>#N/A</v>
      </c>
      <c r="F2844" s="121" t="e">
        <f>VLOOKUP(B2844,'LISTA 12'!$A$2:$G$30100,7,0)</f>
        <v>#N/A</v>
      </c>
      <c r="G2844" s="254" t="e">
        <f>VLOOKUP(H2844,'lista 3'!$A$1:$C$31467,3,0)</f>
        <v>#N/A</v>
      </c>
      <c r="H2844" s="134"/>
      <c r="I2844" s="136"/>
      <c r="J2844" s="135"/>
      <c r="K2844" s="22"/>
    </row>
    <row r="2845" spans="1:11">
      <c r="A2845" s="241" t="e">
        <f>VLOOKUP(B2845,'lista 1'!$A$2:$E$30100,4,0)</f>
        <v>#N/A</v>
      </c>
      <c r="B2845" s="123"/>
      <c r="C2845" s="133" t="e">
        <f>VLOOKUP(B2845,'lista 1'!$A$2:$E$31000,5,0)</f>
        <v>#N/A</v>
      </c>
      <c r="D2845" s="167" t="e">
        <f>VLOOKUP(E14645,'lista obszary'!A:B,2,0)</f>
        <v>#N/A</v>
      </c>
      <c r="E2845" s="128" t="e">
        <f>VLOOKUP(B2845,'LISTA 12'!$A$2:$G$301400,5,0)</f>
        <v>#N/A</v>
      </c>
      <c r="F2845" s="121" t="e">
        <f>VLOOKUP(B2845,'LISTA 12'!$A$2:$G$30100,7,0)</f>
        <v>#N/A</v>
      </c>
      <c r="G2845" s="254" t="e">
        <f>VLOOKUP(H2845,'lista 3'!$A$1:$C$31467,3,0)</f>
        <v>#N/A</v>
      </c>
      <c r="H2845" s="134"/>
      <c r="I2845" s="136"/>
      <c r="J2845" s="135"/>
      <c r="K2845" s="22"/>
    </row>
    <row r="2846" spans="1:11">
      <c r="A2846" s="241" t="e">
        <f>VLOOKUP(B2846,'lista 1'!$A$2:$E$30100,4,0)</f>
        <v>#N/A</v>
      </c>
      <c r="B2846" s="123"/>
      <c r="C2846" s="133" t="e">
        <f>VLOOKUP(B2846,'lista 1'!$A$2:$E$31000,5,0)</f>
        <v>#N/A</v>
      </c>
      <c r="D2846" s="167" t="e">
        <f>VLOOKUP(E14646,'lista obszary'!A:B,2,0)</f>
        <v>#N/A</v>
      </c>
      <c r="E2846" s="128" t="e">
        <f>VLOOKUP(B2846,'LISTA 12'!$A$2:$G$301400,5,0)</f>
        <v>#N/A</v>
      </c>
      <c r="F2846" s="121" t="e">
        <f>VLOOKUP(B2846,'LISTA 12'!$A$2:$G$30100,7,0)</f>
        <v>#N/A</v>
      </c>
      <c r="G2846" s="254" t="e">
        <f>VLOOKUP(H2846,'lista 3'!$A$1:$C$31467,3,0)</f>
        <v>#N/A</v>
      </c>
      <c r="H2846" s="134"/>
      <c r="I2846" s="136"/>
      <c r="J2846" s="135"/>
      <c r="K2846" s="22"/>
    </row>
    <row r="2847" spans="1:11">
      <c r="A2847" s="241" t="e">
        <f>VLOOKUP(B2847,'lista 1'!$A$2:$E$30100,4,0)</f>
        <v>#N/A</v>
      </c>
      <c r="B2847" s="123"/>
      <c r="C2847" s="133" t="e">
        <f>VLOOKUP(B2847,'lista 1'!$A$2:$E$31000,5,0)</f>
        <v>#N/A</v>
      </c>
      <c r="D2847" s="167" t="e">
        <f>VLOOKUP(E14647,'lista obszary'!A:B,2,0)</f>
        <v>#N/A</v>
      </c>
      <c r="E2847" s="128" t="e">
        <f>VLOOKUP(B2847,'LISTA 12'!$A$2:$G$301400,5,0)</f>
        <v>#N/A</v>
      </c>
      <c r="F2847" s="121" t="e">
        <f>VLOOKUP(B2847,'LISTA 12'!$A$2:$G$30100,7,0)</f>
        <v>#N/A</v>
      </c>
      <c r="G2847" s="254" t="e">
        <f>VLOOKUP(H2847,'lista 3'!$A$1:$C$31467,3,0)</f>
        <v>#N/A</v>
      </c>
      <c r="H2847" s="134"/>
      <c r="I2847" s="136"/>
      <c r="J2847" s="135"/>
      <c r="K2847" s="22"/>
    </row>
    <row r="2848" spans="1:11">
      <c r="A2848" s="241" t="e">
        <f>VLOOKUP(B2848,'lista 1'!$A$2:$E$30100,4,0)</f>
        <v>#N/A</v>
      </c>
      <c r="B2848" s="123"/>
      <c r="C2848" s="133" t="e">
        <f>VLOOKUP(B2848,'lista 1'!$A$2:$E$31000,5,0)</f>
        <v>#N/A</v>
      </c>
      <c r="D2848" s="167" t="e">
        <f>VLOOKUP(E14648,'lista obszary'!A:B,2,0)</f>
        <v>#N/A</v>
      </c>
      <c r="E2848" s="128" t="e">
        <f>VLOOKUP(B2848,'LISTA 12'!$A$2:$G$301400,5,0)</f>
        <v>#N/A</v>
      </c>
      <c r="F2848" s="121" t="e">
        <f>VLOOKUP(B2848,'LISTA 12'!$A$2:$G$30100,7,0)</f>
        <v>#N/A</v>
      </c>
      <c r="G2848" s="254" t="e">
        <f>VLOOKUP(H2848,'lista 3'!$A$1:$C$31467,3,0)</f>
        <v>#N/A</v>
      </c>
      <c r="H2848" s="134"/>
      <c r="I2848" s="136"/>
      <c r="J2848" s="135"/>
      <c r="K2848" s="22"/>
    </row>
    <row r="2849" spans="1:11">
      <c r="A2849" s="241" t="e">
        <f>VLOOKUP(B2849,'lista 1'!$A$2:$E$30100,4,0)</f>
        <v>#N/A</v>
      </c>
      <c r="B2849" s="123"/>
      <c r="C2849" s="133" t="e">
        <f>VLOOKUP(B2849,'lista 1'!$A$2:$E$31000,5,0)</f>
        <v>#N/A</v>
      </c>
      <c r="D2849" s="167" t="e">
        <f>VLOOKUP(E14649,'lista obszary'!A:B,2,0)</f>
        <v>#N/A</v>
      </c>
      <c r="E2849" s="128" t="e">
        <f>VLOOKUP(B2849,'LISTA 12'!$A$2:$G$301400,5,0)</f>
        <v>#N/A</v>
      </c>
      <c r="F2849" s="121" t="e">
        <f>VLOOKUP(B2849,'LISTA 12'!$A$2:$G$30100,7,0)</f>
        <v>#N/A</v>
      </c>
      <c r="G2849" s="254" t="e">
        <f>VLOOKUP(H2849,'lista 3'!$A$1:$C$31467,3,0)</f>
        <v>#N/A</v>
      </c>
      <c r="H2849" s="134"/>
      <c r="I2849" s="136"/>
      <c r="J2849" s="135"/>
      <c r="K2849" s="22"/>
    </row>
    <row r="2850" spans="1:11">
      <c r="A2850" s="241" t="e">
        <f>VLOOKUP(B2850,'lista 1'!$A$2:$E$30100,4,0)</f>
        <v>#N/A</v>
      </c>
      <c r="B2850" s="123"/>
      <c r="C2850" s="133" t="e">
        <f>VLOOKUP(B2850,'lista 1'!$A$2:$E$31000,5,0)</f>
        <v>#N/A</v>
      </c>
      <c r="D2850" s="167" t="e">
        <f>VLOOKUP(E14650,'lista obszary'!A:B,2,0)</f>
        <v>#N/A</v>
      </c>
      <c r="E2850" s="128" t="e">
        <f>VLOOKUP(B2850,'LISTA 12'!$A$2:$G$301400,5,0)</f>
        <v>#N/A</v>
      </c>
      <c r="F2850" s="121" t="e">
        <f>VLOOKUP(B2850,'LISTA 12'!$A$2:$G$30100,7,0)</f>
        <v>#N/A</v>
      </c>
      <c r="G2850" s="254" t="e">
        <f>VLOOKUP(H2850,'lista 3'!$A$1:$C$31467,3,0)</f>
        <v>#N/A</v>
      </c>
      <c r="H2850" s="134"/>
      <c r="I2850" s="136"/>
      <c r="J2850" s="135"/>
      <c r="K2850" s="22"/>
    </row>
    <row r="2851" spans="1:11">
      <c r="A2851" s="241" t="e">
        <f>VLOOKUP(B2851,'lista 1'!$A$2:$E$30100,4,0)</f>
        <v>#N/A</v>
      </c>
      <c r="B2851" s="123"/>
      <c r="C2851" s="133" t="e">
        <f>VLOOKUP(B2851,'lista 1'!$A$2:$E$31000,5,0)</f>
        <v>#N/A</v>
      </c>
      <c r="D2851" s="167" t="e">
        <f>VLOOKUP(E14651,'lista obszary'!A:B,2,0)</f>
        <v>#N/A</v>
      </c>
      <c r="E2851" s="128" t="e">
        <f>VLOOKUP(B2851,'LISTA 12'!$A$2:$G$301400,5,0)</f>
        <v>#N/A</v>
      </c>
      <c r="F2851" s="121" t="e">
        <f>VLOOKUP(B2851,'LISTA 12'!$A$2:$G$30100,7,0)</f>
        <v>#N/A</v>
      </c>
      <c r="G2851" s="254" t="e">
        <f>VLOOKUP(H2851,'lista 3'!$A$1:$C$31467,3,0)</f>
        <v>#N/A</v>
      </c>
      <c r="H2851" s="134"/>
      <c r="I2851" s="136"/>
      <c r="J2851" s="135"/>
      <c r="K2851" s="22"/>
    </row>
    <row r="2852" spans="1:11">
      <c r="A2852" s="241" t="e">
        <f>VLOOKUP(B2852,'lista 1'!$A$2:$E$30100,4,0)</f>
        <v>#N/A</v>
      </c>
      <c r="B2852" s="123"/>
      <c r="C2852" s="133" t="e">
        <f>VLOOKUP(B2852,'lista 1'!$A$2:$E$31000,5,0)</f>
        <v>#N/A</v>
      </c>
      <c r="D2852" s="167" t="e">
        <f>VLOOKUP(E14652,'lista obszary'!A:B,2,0)</f>
        <v>#N/A</v>
      </c>
      <c r="E2852" s="128" t="e">
        <f>VLOOKUP(B2852,'LISTA 12'!$A$2:$G$301400,5,0)</f>
        <v>#N/A</v>
      </c>
      <c r="F2852" s="121" t="e">
        <f>VLOOKUP(B2852,'LISTA 12'!$A$2:$G$30100,7,0)</f>
        <v>#N/A</v>
      </c>
      <c r="G2852" s="254" t="e">
        <f>VLOOKUP(H2852,'lista 3'!$A$1:$C$31467,3,0)</f>
        <v>#N/A</v>
      </c>
      <c r="H2852" s="134"/>
      <c r="I2852" s="136"/>
      <c r="J2852" s="135"/>
      <c r="K2852" s="22"/>
    </row>
    <row r="2853" spans="1:11">
      <c r="A2853" s="241" t="e">
        <f>VLOOKUP(B2853,'lista 1'!$A$2:$E$30100,4,0)</f>
        <v>#N/A</v>
      </c>
      <c r="B2853" s="123"/>
      <c r="C2853" s="133" t="e">
        <f>VLOOKUP(B2853,'lista 1'!$A$2:$E$31000,5,0)</f>
        <v>#N/A</v>
      </c>
      <c r="D2853" s="167" t="e">
        <f>VLOOKUP(E14653,'lista obszary'!A:B,2,0)</f>
        <v>#N/A</v>
      </c>
      <c r="E2853" s="128" t="e">
        <f>VLOOKUP(B2853,'LISTA 12'!$A$2:$G$301400,5,0)</f>
        <v>#N/A</v>
      </c>
      <c r="F2853" s="121" t="e">
        <f>VLOOKUP(B2853,'LISTA 12'!$A$2:$G$30100,7,0)</f>
        <v>#N/A</v>
      </c>
      <c r="G2853" s="254" t="e">
        <f>VLOOKUP(H2853,'lista 3'!$A$1:$C$31467,3,0)</f>
        <v>#N/A</v>
      </c>
      <c r="H2853" s="134"/>
      <c r="I2853" s="136"/>
      <c r="J2853" s="135"/>
      <c r="K2853" s="22"/>
    </row>
    <row r="2854" spans="1:11">
      <c r="A2854" s="241" t="e">
        <f>VLOOKUP(B2854,'lista 1'!$A$2:$E$30100,4,0)</f>
        <v>#N/A</v>
      </c>
      <c r="B2854" s="123"/>
      <c r="C2854" s="133" t="e">
        <f>VLOOKUP(B2854,'lista 1'!$A$2:$E$31000,5,0)</f>
        <v>#N/A</v>
      </c>
      <c r="D2854" s="167" t="e">
        <f>VLOOKUP(E14654,'lista obszary'!A:B,2,0)</f>
        <v>#N/A</v>
      </c>
      <c r="E2854" s="128" t="e">
        <f>VLOOKUP(B2854,'LISTA 12'!$A$2:$G$301400,5,0)</f>
        <v>#N/A</v>
      </c>
      <c r="F2854" s="121" t="e">
        <f>VLOOKUP(B2854,'LISTA 12'!$A$2:$G$30100,7,0)</f>
        <v>#N/A</v>
      </c>
      <c r="G2854" s="254" t="e">
        <f>VLOOKUP(H2854,'lista 3'!$A$1:$C$31467,3,0)</f>
        <v>#N/A</v>
      </c>
      <c r="H2854" s="134"/>
      <c r="I2854" s="136"/>
      <c r="J2854" s="135"/>
      <c r="K2854" s="22"/>
    </row>
    <row r="2855" spans="1:11">
      <c r="A2855" s="241" t="e">
        <f>VLOOKUP(B2855,'lista 1'!$A$2:$E$30100,4,0)</f>
        <v>#N/A</v>
      </c>
      <c r="B2855" s="123"/>
      <c r="C2855" s="133" t="e">
        <f>VLOOKUP(B2855,'lista 1'!$A$2:$E$31000,5,0)</f>
        <v>#N/A</v>
      </c>
      <c r="D2855" s="167" t="e">
        <f>VLOOKUP(E14655,'lista obszary'!A:B,2,0)</f>
        <v>#N/A</v>
      </c>
      <c r="E2855" s="128" t="e">
        <f>VLOOKUP(B2855,'LISTA 12'!$A$2:$G$301400,5,0)</f>
        <v>#N/A</v>
      </c>
      <c r="F2855" s="121" t="e">
        <f>VLOOKUP(B2855,'LISTA 12'!$A$2:$G$30100,7,0)</f>
        <v>#N/A</v>
      </c>
      <c r="G2855" s="254" t="e">
        <f>VLOOKUP(H2855,'lista 3'!$A$1:$C$31467,3,0)</f>
        <v>#N/A</v>
      </c>
      <c r="H2855" s="134"/>
      <c r="I2855" s="136"/>
      <c r="J2855" s="135"/>
      <c r="K2855" s="22"/>
    </row>
    <row r="2856" spans="1:11">
      <c r="A2856" s="241" t="e">
        <f>VLOOKUP(B2856,'lista 1'!$A$2:$E$30100,4,0)</f>
        <v>#N/A</v>
      </c>
      <c r="B2856" s="123"/>
      <c r="C2856" s="133" t="e">
        <f>VLOOKUP(B2856,'lista 1'!$A$2:$E$31000,5,0)</f>
        <v>#N/A</v>
      </c>
      <c r="D2856" s="167" t="e">
        <f>VLOOKUP(E14656,'lista obszary'!A:B,2,0)</f>
        <v>#N/A</v>
      </c>
      <c r="E2856" s="128" t="e">
        <f>VLOOKUP(B2856,'LISTA 12'!$A$2:$G$301400,5,0)</f>
        <v>#N/A</v>
      </c>
      <c r="F2856" s="121" t="e">
        <f>VLOOKUP(B2856,'LISTA 12'!$A$2:$G$30100,7,0)</f>
        <v>#N/A</v>
      </c>
      <c r="G2856" s="254" t="e">
        <f>VLOOKUP(H2856,'lista 3'!$A$1:$C$31467,3,0)</f>
        <v>#N/A</v>
      </c>
      <c r="H2856" s="134"/>
      <c r="I2856" s="136"/>
      <c r="J2856" s="135"/>
      <c r="K2856" s="22"/>
    </row>
    <row r="2857" spans="1:11">
      <c r="A2857" s="241" t="e">
        <f>VLOOKUP(B2857,'lista 1'!$A$2:$E$30100,4,0)</f>
        <v>#N/A</v>
      </c>
      <c r="B2857" s="123"/>
      <c r="C2857" s="133" t="e">
        <f>VLOOKUP(B2857,'lista 1'!$A$2:$E$31000,5,0)</f>
        <v>#N/A</v>
      </c>
      <c r="D2857" s="167" t="e">
        <f>VLOOKUP(E14657,'lista obszary'!A:B,2,0)</f>
        <v>#N/A</v>
      </c>
      <c r="E2857" s="128" t="e">
        <f>VLOOKUP(B2857,'LISTA 12'!$A$2:$G$301400,5,0)</f>
        <v>#N/A</v>
      </c>
      <c r="F2857" s="121" t="e">
        <f>VLOOKUP(B2857,'LISTA 12'!$A$2:$G$30100,7,0)</f>
        <v>#N/A</v>
      </c>
      <c r="G2857" s="254" t="e">
        <f>VLOOKUP(H2857,'lista 3'!$A$1:$C$31467,3,0)</f>
        <v>#N/A</v>
      </c>
      <c r="H2857" s="134"/>
      <c r="I2857" s="136"/>
      <c r="J2857" s="135"/>
      <c r="K2857" s="22"/>
    </row>
    <row r="2858" spans="1:11">
      <c r="A2858" s="241" t="e">
        <f>VLOOKUP(B2858,'lista 1'!$A$2:$E$30100,4,0)</f>
        <v>#N/A</v>
      </c>
      <c r="B2858" s="123"/>
      <c r="C2858" s="133" t="e">
        <f>VLOOKUP(B2858,'lista 1'!$A$2:$E$31000,5,0)</f>
        <v>#N/A</v>
      </c>
      <c r="D2858" s="167" t="e">
        <f>VLOOKUP(E14658,'lista obszary'!A:B,2,0)</f>
        <v>#N/A</v>
      </c>
      <c r="E2858" s="128" t="e">
        <f>VLOOKUP(B2858,'LISTA 12'!$A$2:$G$301400,5,0)</f>
        <v>#N/A</v>
      </c>
      <c r="F2858" s="121" t="e">
        <f>VLOOKUP(B2858,'LISTA 12'!$A$2:$G$30100,7,0)</f>
        <v>#N/A</v>
      </c>
      <c r="G2858" s="254" t="e">
        <f>VLOOKUP(H2858,'lista 3'!$A$1:$C$31467,3,0)</f>
        <v>#N/A</v>
      </c>
      <c r="H2858" s="134"/>
      <c r="I2858" s="136"/>
      <c r="J2858" s="135"/>
      <c r="K2858" s="22"/>
    </row>
    <row r="2859" spans="1:11">
      <c r="A2859" s="241" t="e">
        <f>VLOOKUP(B2859,'lista 1'!$A$2:$E$30100,4,0)</f>
        <v>#N/A</v>
      </c>
      <c r="B2859" s="123"/>
      <c r="C2859" s="133" t="e">
        <f>VLOOKUP(B2859,'lista 1'!$A$2:$E$31000,5,0)</f>
        <v>#N/A</v>
      </c>
      <c r="D2859" s="167" t="e">
        <f>VLOOKUP(E14659,'lista obszary'!A:B,2,0)</f>
        <v>#N/A</v>
      </c>
      <c r="E2859" s="128" t="e">
        <f>VLOOKUP(B2859,'LISTA 12'!$A$2:$G$301400,5,0)</f>
        <v>#N/A</v>
      </c>
      <c r="F2859" s="121" t="e">
        <f>VLOOKUP(B2859,'LISTA 12'!$A$2:$G$30100,7,0)</f>
        <v>#N/A</v>
      </c>
      <c r="G2859" s="254" t="e">
        <f>VLOOKUP(H2859,'lista 3'!$A$1:$C$31467,3,0)</f>
        <v>#N/A</v>
      </c>
      <c r="H2859" s="134"/>
      <c r="I2859" s="136"/>
      <c r="J2859" s="135"/>
      <c r="K2859" s="22"/>
    </row>
    <row r="2860" spans="1:11">
      <c r="A2860" s="241" t="e">
        <f>VLOOKUP(B2860,'lista 1'!$A$2:$E$30100,4,0)</f>
        <v>#N/A</v>
      </c>
      <c r="B2860" s="123"/>
      <c r="C2860" s="133" t="e">
        <f>VLOOKUP(B2860,'lista 1'!$A$2:$E$31000,5,0)</f>
        <v>#N/A</v>
      </c>
      <c r="D2860" s="167" t="e">
        <f>VLOOKUP(E14660,'lista obszary'!A:B,2,0)</f>
        <v>#N/A</v>
      </c>
      <c r="E2860" s="128" t="e">
        <f>VLOOKUP(B2860,'LISTA 12'!$A$2:$G$301400,5,0)</f>
        <v>#N/A</v>
      </c>
      <c r="F2860" s="121" t="e">
        <f>VLOOKUP(B2860,'LISTA 12'!$A$2:$G$30100,7,0)</f>
        <v>#N/A</v>
      </c>
      <c r="G2860" s="254" t="e">
        <f>VLOOKUP(H2860,'lista 3'!$A$1:$C$31467,3,0)</f>
        <v>#N/A</v>
      </c>
      <c r="H2860" s="134"/>
      <c r="I2860" s="136"/>
      <c r="J2860" s="135"/>
      <c r="K2860" s="22"/>
    </row>
    <row r="2861" spans="1:11">
      <c r="A2861" s="241" t="e">
        <f>VLOOKUP(B2861,'lista 1'!$A$2:$E$30100,4,0)</f>
        <v>#N/A</v>
      </c>
      <c r="B2861" s="123"/>
      <c r="C2861" s="133" t="e">
        <f>VLOOKUP(B2861,'lista 1'!$A$2:$E$31000,5,0)</f>
        <v>#N/A</v>
      </c>
      <c r="D2861" s="167" t="e">
        <f>VLOOKUP(E14661,'lista obszary'!A:B,2,0)</f>
        <v>#N/A</v>
      </c>
      <c r="E2861" s="128" t="e">
        <f>VLOOKUP(B2861,'LISTA 12'!$A$2:$G$301400,5,0)</f>
        <v>#N/A</v>
      </c>
      <c r="F2861" s="121" t="e">
        <f>VLOOKUP(B2861,'LISTA 12'!$A$2:$G$30100,7,0)</f>
        <v>#N/A</v>
      </c>
      <c r="G2861" s="254" t="e">
        <f>VLOOKUP(H2861,'lista 3'!$A$1:$C$31467,3,0)</f>
        <v>#N/A</v>
      </c>
      <c r="H2861" s="134"/>
      <c r="I2861" s="136"/>
      <c r="J2861" s="135"/>
      <c r="K2861" s="22"/>
    </row>
    <row r="2862" spans="1:11">
      <c r="A2862" s="241" t="e">
        <f>VLOOKUP(B2862,'lista 1'!$A$2:$E$30100,4,0)</f>
        <v>#N/A</v>
      </c>
      <c r="B2862" s="123"/>
      <c r="C2862" s="133" t="e">
        <f>VLOOKUP(B2862,'lista 1'!$A$2:$E$31000,5,0)</f>
        <v>#N/A</v>
      </c>
      <c r="D2862" s="167" t="e">
        <f>VLOOKUP(E14662,'lista obszary'!A:B,2,0)</f>
        <v>#N/A</v>
      </c>
      <c r="E2862" s="128" t="e">
        <f>VLOOKUP(B2862,'LISTA 12'!$A$2:$G$301400,5,0)</f>
        <v>#N/A</v>
      </c>
      <c r="F2862" s="121" t="e">
        <f>VLOOKUP(B2862,'LISTA 12'!$A$2:$G$30100,7,0)</f>
        <v>#N/A</v>
      </c>
      <c r="G2862" s="254" t="e">
        <f>VLOOKUP(H2862,'lista 3'!$A$1:$C$31467,3,0)</f>
        <v>#N/A</v>
      </c>
      <c r="H2862" s="134"/>
      <c r="I2862" s="136"/>
      <c r="J2862" s="135"/>
      <c r="K2862" s="22"/>
    </row>
    <row r="2863" spans="1:11">
      <c r="A2863" s="241" t="e">
        <f>VLOOKUP(B2863,'lista 1'!$A$2:$E$30100,4,0)</f>
        <v>#N/A</v>
      </c>
      <c r="B2863" s="123"/>
      <c r="C2863" s="133" t="e">
        <f>VLOOKUP(B2863,'lista 1'!$A$2:$E$31000,5,0)</f>
        <v>#N/A</v>
      </c>
      <c r="D2863" s="167" t="e">
        <f>VLOOKUP(E14663,'lista obszary'!A:B,2,0)</f>
        <v>#N/A</v>
      </c>
      <c r="E2863" s="128" t="e">
        <f>VLOOKUP(B2863,'LISTA 12'!$A$2:$G$301400,5,0)</f>
        <v>#N/A</v>
      </c>
      <c r="F2863" s="121" t="e">
        <f>VLOOKUP(B2863,'LISTA 12'!$A$2:$G$30100,7,0)</f>
        <v>#N/A</v>
      </c>
      <c r="G2863" s="254" t="e">
        <f>VLOOKUP(H2863,'lista 3'!$A$1:$C$31467,3,0)</f>
        <v>#N/A</v>
      </c>
      <c r="H2863" s="134"/>
      <c r="I2863" s="136"/>
      <c r="J2863" s="135"/>
      <c r="K2863" s="22"/>
    </row>
    <row r="2864" spans="1:11">
      <c r="A2864" s="241" t="e">
        <f>VLOOKUP(B2864,'lista 1'!$A$2:$E$30100,4,0)</f>
        <v>#N/A</v>
      </c>
      <c r="B2864" s="123"/>
      <c r="C2864" s="133" t="e">
        <f>VLOOKUP(B2864,'lista 1'!$A$2:$E$31000,5,0)</f>
        <v>#N/A</v>
      </c>
      <c r="D2864" s="167" t="e">
        <f>VLOOKUP(E14664,'lista obszary'!A:B,2,0)</f>
        <v>#N/A</v>
      </c>
      <c r="E2864" s="128" t="e">
        <f>VLOOKUP(B2864,'LISTA 12'!$A$2:$G$301400,5,0)</f>
        <v>#N/A</v>
      </c>
      <c r="F2864" s="121" t="e">
        <f>VLOOKUP(B2864,'LISTA 12'!$A$2:$G$30100,7,0)</f>
        <v>#N/A</v>
      </c>
      <c r="G2864" s="254" t="e">
        <f>VLOOKUP(H2864,'lista 3'!$A$1:$C$31467,3,0)</f>
        <v>#N/A</v>
      </c>
      <c r="H2864" s="134"/>
      <c r="I2864" s="136"/>
      <c r="J2864" s="135"/>
      <c r="K2864" s="22"/>
    </row>
    <row r="2865" spans="1:11">
      <c r="A2865" s="241" t="e">
        <f>VLOOKUP(B2865,'lista 1'!$A$2:$E$30100,4,0)</f>
        <v>#N/A</v>
      </c>
      <c r="B2865" s="123"/>
      <c r="C2865" s="133" t="e">
        <f>VLOOKUP(B2865,'lista 1'!$A$2:$E$31000,5,0)</f>
        <v>#N/A</v>
      </c>
      <c r="D2865" s="167" t="e">
        <f>VLOOKUP(E14665,'lista obszary'!A:B,2,0)</f>
        <v>#N/A</v>
      </c>
      <c r="E2865" s="128" t="e">
        <f>VLOOKUP(B2865,'LISTA 12'!$A$2:$G$301400,5,0)</f>
        <v>#N/A</v>
      </c>
      <c r="F2865" s="121" t="e">
        <f>VLOOKUP(B2865,'LISTA 12'!$A$2:$G$30100,7,0)</f>
        <v>#N/A</v>
      </c>
      <c r="G2865" s="254" t="e">
        <f>VLOOKUP(H2865,'lista 3'!$A$1:$C$31467,3,0)</f>
        <v>#N/A</v>
      </c>
      <c r="H2865" s="134"/>
      <c r="I2865" s="136"/>
      <c r="J2865" s="135"/>
      <c r="K2865" s="22"/>
    </row>
    <row r="2866" spans="1:11">
      <c r="A2866" s="241" t="e">
        <f>VLOOKUP(B2866,'lista 1'!$A$2:$E$30100,4,0)</f>
        <v>#N/A</v>
      </c>
      <c r="B2866" s="123"/>
      <c r="C2866" s="133" t="e">
        <f>VLOOKUP(B2866,'lista 1'!$A$2:$E$31000,5,0)</f>
        <v>#N/A</v>
      </c>
      <c r="D2866" s="167" t="e">
        <f>VLOOKUP(E14666,'lista obszary'!A:B,2,0)</f>
        <v>#N/A</v>
      </c>
      <c r="E2866" s="128" t="e">
        <f>VLOOKUP(B2866,'LISTA 12'!$A$2:$G$301400,5,0)</f>
        <v>#N/A</v>
      </c>
      <c r="F2866" s="121" t="e">
        <f>VLOOKUP(B2866,'LISTA 12'!$A$2:$G$30100,7,0)</f>
        <v>#N/A</v>
      </c>
      <c r="G2866" s="254" t="e">
        <f>VLOOKUP(H2866,'lista 3'!$A$1:$C$31467,3,0)</f>
        <v>#N/A</v>
      </c>
      <c r="H2866" s="134"/>
      <c r="I2866" s="136"/>
      <c r="J2866" s="135"/>
      <c r="K2866" s="22"/>
    </row>
    <row r="2867" spans="1:11">
      <c r="A2867" s="241" t="e">
        <f>VLOOKUP(B2867,'lista 1'!$A$2:$E$30100,4,0)</f>
        <v>#N/A</v>
      </c>
      <c r="B2867" s="123"/>
      <c r="C2867" s="133" t="e">
        <f>VLOOKUP(B2867,'lista 1'!$A$2:$E$31000,5,0)</f>
        <v>#N/A</v>
      </c>
      <c r="D2867" s="167" t="e">
        <f>VLOOKUP(E14667,'lista obszary'!A:B,2,0)</f>
        <v>#N/A</v>
      </c>
      <c r="E2867" s="128" t="e">
        <f>VLOOKUP(B2867,'LISTA 12'!$A$2:$G$301400,5,0)</f>
        <v>#N/A</v>
      </c>
      <c r="F2867" s="121" t="e">
        <f>VLOOKUP(B2867,'LISTA 12'!$A$2:$G$30100,7,0)</f>
        <v>#N/A</v>
      </c>
      <c r="G2867" s="254" t="e">
        <f>VLOOKUP(H2867,'lista 3'!$A$1:$C$31467,3,0)</f>
        <v>#N/A</v>
      </c>
      <c r="H2867" s="134"/>
      <c r="I2867" s="136"/>
      <c r="J2867" s="135"/>
      <c r="K2867" s="22"/>
    </row>
    <row r="2868" spans="1:11">
      <c r="A2868" s="241" t="e">
        <f>VLOOKUP(B2868,'lista 1'!$A$2:$E$30100,4,0)</f>
        <v>#N/A</v>
      </c>
      <c r="B2868" s="123"/>
      <c r="C2868" s="133" t="e">
        <f>VLOOKUP(B2868,'lista 1'!$A$2:$E$31000,5,0)</f>
        <v>#N/A</v>
      </c>
      <c r="D2868" s="167" t="e">
        <f>VLOOKUP(E14668,'lista obszary'!A:B,2,0)</f>
        <v>#N/A</v>
      </c>
      <c r="E2868" s="128" t="e">
        <f>VLOOKUP(B2868,'LISTA 12'!$A$2:$G$301400,5,0)</f>
        <v>#N/A</v>
      </c>
      <c r="F2868" s="121" t="e">
        <f>VLOOKUP(B2868,'LISTA 12'!$A$2:$G$30100,7,0)</f>
        <v>#N/A</v>
      </c>
      <c r="G2868" s="254" t="e">
        <f>VLOOKUP(H2868,'lista 3'!$A$1:$C$31467,3,0)</f>
        <v>#N/A</v>
      </c>
      <c r="H2868" s="134"/>
      <c r="I2868" s="136"/>
      <c r="J2868" s="135"/>
      <c r="K2868" s="22"/>
    </row>
    <row r="2869" spans="1:11">
      <c r="A2869" s="241" t="e">
        <f>VLOOKUP(B2869,'lista 1'!$A$2:$E$30100,4,0)</f>
        <v>#N/A</v>
      </c>
      <c r="B2869" s="123"/>
      <c r="C2869" s="133" t="e">
        <f>VLOOKUP(B2869,'lista 1'!$A$2:$E$31000,5,0)</f>
        <v>#N/A</v>
      </c>
      <c r="D2869" s="167" t="e">
        <f>VLOOKUP(E14669,'lista obszary'!A:B,2,0)</f>
        <v>#N/A</v>
      </c>
      <c r="E2869" s="128" t="e">
        <f>VLOOKUP(B2869,'LISTA 12'!$A$2:$G$301400,5,0)</f>
        <v>#N/A</v>
      </c>
      <c r="F2869" s="121" t="e">
        <f>VLOOKUP(B2869,'LISTA 12'!$A$2:$G$30100,7,0)</f>
        <v>#N/A</v>
      </c>
      <c r="G2869" s="254" t="e">
        <f>VLOOKUP(H2869,'lista 3'!$A$1:$C$31467,3,0)</f>
        <v>#N/A</v>
      </c>
      <c r="H2869" s="134"/>
      <c r="I2869" s="136"/>
      <c r="J2869" s="135"/>
      <c r="K2869" s="22"/>
    </row>
    <row r="2870" spans="1:11">
      <c r="A2870" s="241" t="e">
        <f>VLOOKUP(B2870,'lista 1'!$A$2:$E$30100,4,0)</f>
        <v>#N/A</v>
      </c>
      <c r="B2870" s="123"/>
      <c r="C2870" s="133" t="e">
        <f>VLOOKUP(B2870,'lista 1'!$A$2:$E$31000,5,0)</f>
        <v>#N/A</v>
      </c>
      <c r="D2870" s="167" t="e">
        <f>VLOOKUP(E14670,'lista obszary'!A:B,2,0)</f>
        <v>#N/A</v>
      </c>
      <c r="E2870" s="128" t="e">
        <f>VLOOKUP(B2870,'LISTA 12'!$A$2:$G$301400,5,0)</f>
        <v>#N/A</v>
      </c>
      <c r="F2870" s="121" t="e">
        <f>VLOOKUP(B2870,'LISTA 12'!$A$2:$G$30100,7,0)</f>
        <v>#N/A</v>
      </c>
      <c r="G2870" s="254" t="e">
        <f>VLOOKUP(H2870,'lista 3'!$A$1:$C$31467,3,0)</f>
        <v>#N/A</v>
      </c>
      <c r="H2870" s="134"/>
      <c r="I2870" s="136"/>
      <c r="J2870" s="135"/>
      <c r="K2870" s="22"/>
    </row>
    <row r="2871" spans="1:11">
      <c r="A2871" s="241" t="e">
        <f>VLOOKUP(B2871,'lista 1'!$A$2:$E$30100,4,0)</f>
        <v>#N/A</v>
      </c>
      <c r="B2871" s="123"/>
      <c r="C2871" s="133" t="e">
        <f>VLOOKUP(B2871,'lista 1'!$A$2:$E$31000,5,0)</f>
        <v>#N/A</v>
      </c>
      <c r="D2871" s="167" t="e">
        <f>VLOOKUP(E14671,'lista obszary'!A:B,2,0)</f>
        <v>#N/A</v>
      </c>
      <c r="E2871" s="128" t="e">
        <f>VLOOKUP(B2871,'LISTA 12'!$A$2:$G$301400,5,0)</f>
        <v>#N/A</v>
      </c>
      <c r="F2871" s="121" t="e">
        <f>VLOOKUP(B2871,'LISTA 12'!$A$2:$G$30100,7,0)</f>
        <v>#N/A</v>
      </c>
      <c r="G2871" s="254" t="e">
        <f>VLOOKUP(H2871,'lista 3'!$A$1:$C$31467,3,0)</f>
        <v>#N/A</v>
      </c>
      <c r="H2871" s="134"/>
      <c r="I2871" s="136"/>
      <c r="J2871" s="135"/>
      <c r="K2871" s="22"/>
    </row>
    <row r="2872" spans="1:11">
      <c r="A2872" s="241" t="e">
        <f>VLOOKUP(B2872,'lista 1'!$A$2:$E$30100,4,0)</f>
        <v>#N/A</v>
      </c>
      <c r="B2872" s="123"/>
      <c r="C2872" s="133" t="e">
        <f>VLOOKUP(B2872,'lista 1'!$A$2:$E$31000,5,0)</f>
        <v>#N/A</v>
      </c>
      <c r="D2872" s="167" t="e">
        <f>VLOOKUP(E14672,'lista obszary'!A:B,2,0)</f>
        <v>#N/A</v>
      </c>
      <c r="E2872" s="128" t="e">
        <f>VLOOKUP(B2872,'LISTA 12'!$A$2:$G$301400,5,0)</f>
        <v>#N/A</v>
      </c>
      <c r="F2872" s="121" t="e">
        <f>VLOOKUP(B2872,'LISTA 12'!$A$2:$G$30100,7,0)</f>
        <v>#N/A</v>
      </c>
      <c r="G2872" s="254" t="e">
        <f>VLOOKUP(H2872,'lista 3'!$A$1:$C$31467,3,0)</f>
        <v>#N/A</v>
      </c>
      <c r="H2872" s="134"/>
      <c r="I2872" s="136"/>
      <c r="J2872" s="135"/>
      <c r="K2872" s="22"/>
    </row>
    <row r="2873" spans="1:11">
      <c r="A2873" s="241" t="e">
        <f>VLOOKUP(B2873,'lista 1'!$A$2:$E$30100,4,0)</f>
        <v>#N/A</v>
      </c>
      <c r="B2873" s="123"/>
      <c r="C2873" s="133" t="e">
        <f>VLOOKUP(B2873,'lista 1'!$A$2:$E$31000,5,0)</f>
        <v>#N/A</v>
      </c>
      <c r="D2873" s="167" t="e">
        <f>VLOOKUP(E14673,'lista obszary'!A:B,2,0)</f>
        <v>#N/A</v>
      </c>
      <c r="E2873" s="128" t="e">
        <f>VLOOKUP(B2873,'LISTA 12'!$A$2:$G$301400,5,0)</f>
        <v>#N/A</v>
      </c>
      <c r="F2873" s="121" t="e">
        <f>VLOOKUP(B2873,'LISTA 12'!$A$2:$G$30100,7,0)</f>
        <v>#N/A</v>
      </c>
      <c r="G2873" s="254" t="e">
        <f>VLOOKUP(H2873,'lista 3'!$A$1:$C$31467,3,0)</f>
        <v>#N/A</v>
      </c>
      <c r="H2873" s="134"/>
      <c r="I2873" s="136"/>
      <c r="J2873" s="135"/>
      <c r="K2873" s="22"/>
    </row>
    <row r="2874" spans="1:11">
      <c r="A2874" s="241" t="e">
        <f>VLOOKUP(B2874,'lista 1'!$A$2:$E$30100,4,0)</f>
        <v>#N/A</v>
      </c>
      <c r="B2874" s="123"/>
      <c r="C2874" s="133" t="e">
        <f>VLOOKUP(B2874,'lista 1'!$A$2:$E$31000,5,0)</f>
        <v>#N/A</v>
      </c>
      <c r="D2874" s="167" t="e">
        <f>VLOOKUP(E14674,'lista obszary'!A:B,2,0)</f>
        <v>#N/A</v>
      </c>
      <c r="E2874" s="128" t="e">
        <f>VLOOKUP(B2874,'LISTA 12'!$A$2:$G$301400,5,0)</f>
        <v>#N/A</v>
      </c>
      <c r="F2874" s="121" t="e">
        <f>VLOOKUP(B2874,'LISTA 12'!$A$2:$G$30100,7,0)</f>
        <v>#N/A</v>
      </c>
      <c r="G2874" s="254" t="e">
        <f>VLOOKUP(H2874,'lista 3'!$A$1:$C$31467,3,0)</f>
        <v>#N/A</v>
      </c>
      <c r="H2874" s="134"/>
      <c r="I2874" s="136"/>
      <c r="J2874" s="135"/>
      <c r="K2874" s="22"/>
    </row>
    <row r="2875" spans="1:11">
      <c r="A2875" s="241" t="e">
        <f>VLOOKUP(B2875,'lista 1'!$A$2:$E$30100,4,0)</f>
        <v>#N/A</v>
      </c>
      <c r="B2875" s="123"/>
      <c r="C2875" s="133" t="e">
        <f>VLOOKUP(B2875,'lista 1'!$A$2:$E$31000,5,0)</f>
        <v>#N/A</v>
      </c>
      <c r="D2875" s="167" t="e">
        <f>VLOOKUP(E14675,'lista obszary'!A:B,2,0)</f>
        <v>#N/A</v>
      </c>
      <c r="E2875" s="128" t="e">
        <f>VLOOKUP(B2875,'LISTA 12'!$A$2:$G$301400,5,0)</f>
        <v>#N/A</v>
      </c>
      <c r="F2875" s="121" t="e">
        <f>VLOOKUP(B2875,'LISTA 12'!$A$2:$G$30100,7,0)</f>
        <v>#N/A</v>
      </c>
      <c r="G2875" s="254" t="e">
        <f>VLOOKUP(H2875,'lista 3'!$A$1:$C$31467,3,0)</f>
        <v>#N/A</v>
      </c>
      <c r="H2875" s="134"/>
      <c r="I2875" s="136"/>
      <c r="J2875" s="135"/>
      <c r="K2875" s="22"/>
    </row>
    <row r="2876" spans="1:11">
      <c r="A2876" s="241" t="e">
        <f>VLOOKUP(B2876,'lista 1'!$A$2:$E$30100,4,0)</f>
        <v>#N/A</v>
      </c>
      <c r="B2876" s="123"/>
      <c r="C2876" s="133" t="e">
        <f>VLOOKUP(B2876,'lista 1'!$A$2:$E$31000,5,0)</f>
        <v>#N/A</v>
      </c>
      <c r="D2876" s="167" t="e">
        <f>VLOOKUP(E14676,'lista obszary'!A:B,2,0)</f>
        <v>#N/A</v>
      </c>
      <c r="E2876" s="128" t="e">
        <f>VLOOKUP(B2876,'LISTA 12'!$A$2:$G$301400,5,0)</f>
        <v>#N/A</v>
      </c>
      <c r="F2876" s="121" t="e">
        <f>VLOOKUP(B2876,'LISTA 12'!$A$2:$G$30100,7,0)</f>
        <v>#N/A</v>
      </c>
      <c r="G2876" s="254" t="e">
        <f>VLOOKUP(H2876,'lista 3'!$A$1:$C$31467,3,0)</f>
        <v>#N/A</v>
      </c>
      <c r="H2876" s="134"/>
      <c r="I2876" s="136"/>
      <c r="J2876" s="135"/>
      <c r="K2876" s="22"/>
    </row>
    <row r="2877" spans="1:11">
      <c r="A2877" s="241" t="e">
        <f>VLOOKUP(B2877,'lista 1'!$A$2:$E$30100,4,0)</f>
        <v>#N/A</v>
      </c>
      <c r="B2877" s="123"/>
      <c r="C2877" s="133" t="e">
        <f>VLOOKUP(B2877,'lista 1'!$A$2:$E$31000,5,0)</f>
        <v>#N/A</v>
      </c>
      <c r="D2877" s="167" t="e">
        <f>VLOOKUP(E14677,'lista obszary'!A:B,2,0)</f>
        <v>#N/A</v>
      </c>
      <c r="E2877" s="128" t="e">
        <f>VLOOKUP(B2877,'LISTA 12'!$A$2:$G$301400,5,0)</f>
        <v>#N/A</v>
      </c>
      <c r="F2877" s="121" t="e">
        <f>VLOOKUP(B2877,'LISTA 12'!$A$2:$G$30100,7,0)</f>
        <v>#N/A</v>
      </c>
      <c r="G2877" s="254" t="e">
        <f>VLOOKUP(H2877,'lista 3'!$A$1:$C$31467,3,0)</f>
        <v>#N/A</v>
      </c>
      <c r="H2877" s="134"/>
      <c r="I2877" s="136"/>
      <c r="J2877" s="135"/>
      <c r="K2877" s="22"/>
    </row>
    <row r="2878" spans="1:11">
      <c r="A2878" s="241" t="e">
        <f>VLOOKUP(B2878,'lista 1'!$A$2:$E$30100,4,0)</f>
        <v>#N/A</v>
      </c>
      <c r="B2878" s="123"/>
      <c r="C2878" s="133" t="e">
        <f>VLOOKUP(B2878,'lista 1'!$A$2:$E$31000,5,0)</f>
        <v>#N/A</v>
      </c>
      <c r="D2878" s="167" t="e">
        <f>VLOOKUP(E14678,'lista obszary'!A:B,2,0)</f>
        <v>#N/A</v>
      </c>
      <c r="E2878" s="128" t="e">
        <f>VLOOKUP(B2878,'LISTA 12'!$A$2:$G$301400,5,0)</f>
        <v>#N/A</v>
      </c>
      <c r="F2878" s="121" t="e">
        <f>VLOOKUP(B2878,'LISTA 12'!$A$2:$G$30100,7,0)</f>
        <v>#N/A</v>
      </c>
      <c r="G2878" s="254" t="e">
        <f>VLOOKUP(H2878,'lista 3'!$A$1:$C$31467,3,0)</f>
        <v>#N/A</v>
      </c>
      <c r="H2878" s="134"/>
      <c r="I2878" s="136"/>
      <c r="J2878" s="135"/>
      <c r="K2878" s="22"/>
    </row>
    <row r="2879" spans="1:11">
      <c r="A2879" s="241" t="e">
        <f>VLOOKUP(B2879,'lista 1'!$A$2:$E$30100,4,0)</f>
        <v>#N/A</v>
      </c>
      <c r="B2879" s="123"/>
      <c r="C2879" s="133" t="e">
        <f>VLOOKUP(B2879,'lista 1'!$A$2:$E$31000,5,0)</f>
        <v>#N/A</v>
      </c>
      <c r="D2879" s="167" t="e">
        <f>VLOOKUP(E14679,'lista obszary'!A:B,2,0)</f>
        <v>#N/A</v>
      </c>
      <c r="E2879" s="128" t="e">
        <f>VLOOKUP(B2879,'LISTA 12'!$A$2:$G$301400,5,0)</f>
        <v>#N/A</v>
      </c>
      <c r="F2879" s="121" t="e">
        <f>VLOOKUP(B2879,'LISTA 12'!$A$2:$G$30100,7,0)</f>
        <v>#N/A</v>
      </c>
      <c r="G2879" s="254" t="e">
        <f>VLOOKUP(H2879,'lista 3'!$A$1:$C$31467,3,0)</f>
        <v>#N/A</v>
      </c>
      <c r="H2879" s="134"/>
      <c r="I2879" s="136"/>
      <c r="J2879" s="135"/>
      <c r="K2879" s="22"/>
    </row>
    <row r="2880" spans="1:11">
      <c r="A2880" s="241" t="e">
        <f>VLOOKUP(B2880,'lista 1'!$A$2:$E$30100,4,0)</f>
        <v>#N/A</v>
      </c>
      <c r="B2880" s="123"/>
      <c r="C2880" s="133" t="e">
        <f>VLOOKUP(B2880,'lista 1'!$A$2:$E$31000,5,0)</f>
        <v>#N/A</v>
      </c>
      <c r="D2880" s="167" t="e">
        <f>VLOOKUP(E14680,'lista obszary'!A:B,2,0)</f>
        <v>#N/A</v>
      </c>
      <c r="E2880" s="128" t="e">
        <f>VLOOKUP(B2880,'LISTA 12'!$A$2:$G$301400,5,0)</f>
        <v>#N/A</v>
      </c>
      <c r="F2880" s="121" t="e">
        <f>VLOOKUP(B2880,'LISTA 12'!$A$2:$G$30100,7,0)</f>
        <v>#N/A</v>
      </c>
      <c r="G2880" s="254" t="e">
        <f>VLOOKUP(H2880,'lista 3'!$A$1:$C$31467,3,0)</f>
        <v>#N/A</v>
      </c>
      <c r="H2880" s="134"/>
      <c r="I2880" s="136"/>
      <c r="J2880" s="135"/>
      <c r="K2880" s="22"/>
    </row>
    <row r="2881" spans="1:11">
      <c r="A2881" s="241" t="e">
        <f>VLOOKUP(B2881,'lista 1'!$A$2:$E$30100,4,0)</f>
        <v>#N/A</v>
      </c>
      <c r="B2881" s="123"/>
      <c r="C2881" s="133" t="e">
        <f>VLOOKUP(B2881,'lista 1'!$A$2:$E$31000,5,0)</f>
        <v>#N/A</v>
      </c>
      <c r="D2881" s="167" t="e">
        <f>VLOOKUP(E14681,'lista obszary'!A:B,2,0)</f>
        <v>#N/A</v>
      </c>
      <c r="E2881" s="128" t="e">
        <f>VLOOKUP(B2881,'LISTA 12'!$A$2:$G$301400,5,0)</f>
        <v>#N/A</v>
      </c>
      <c r="F2881" s="121" t="e">
        <f>VLOOKUP(B2881,'LISTA 12'!$A$2:$G$30100,7,0)</f>
        <v>#N/A</v>
      </c>
      <c r="G2881" s="254" t="e">
        <f>VLOOKUP(H2881,'lista 3'!$A$1:$C$31467,3,0)</f>
        <v>#N/A</v>
      </c>
      <c r="H2881" s="134"/>
      <c r="I2881" s="136"/>
      <c r="J2881" s="135"/>
      <c r="K2881" s="22"/>
    </row>
    <row r="2882" spans="1:11">
      <c r="A2882" s="241" t="e">
        <f>VLOOKUP(B2882,'lista 1'!$A$2:$E$30100,4,0)</f>
        <v>#N/A</v>
      </c>
      <c r="B2882" s="123"/>
      <c r="C2882" s="133" t="e">
        <f>VLOOKUP(B2882,'lista 1'!$A$2:$E$31000,5,0)</f>
        <v>#N/A</v>
      </c>
      <c r="D2882" s="167" t="e">
        <f>VLOOKUP(E14682,'lista obszary'!A:B,2,0)</f>
        <v>#N/A</v>
      </c>
      <c r="E2882" s="128" t="e">
        <f>VLOOKUP(B2882,'LISTA 12'!$A$2:$G$301400,5,0)</f>
        <v>#N/A</v>
      </c>
      <c r="F2882" s="121" t="e">
        <f>VLOOKUP(B2882,'LISTA 12'!$A$2:$G$30100,7,0)</f>
        <v>#N/A</v>
      </c>
      <c r="G2882" s="254" t="e">
        <f>VLOOKUP(H2882,'lista 3'!$A$1:$C$31467,3,0)</f>
        <v>#N/A</v>
      </c>
      <c r="H2882" s="134"/>
      <c r="I2882" s="136"/>
      <c r="J2882" s="135"/>
      <c r="K2882" s="22"/>
    </row>
    <row r="2883" spans="1:11">
      <c r="A2883" s="241" t="e">
        <f>VLOOKUP(B2883,'lista 1'!$A$2:$E$30100,4,0)</f>
        <v>#N/A</v>
      </c>
      <c r="B2883" s="123"/>
      <c r="C2883" s="133" t="e">
        <f>VLOOKUP(B2883,'lista 1'!$A$2:$E$31000,5,0)</f>
        <v>#N/A</v>
      </c>
      <c r="D2883" s="167" t="e">
        <f>VLOOKUP(E14683,'lista obszary'!A:B,2,0)</f>
        <v>#N/A</v>
      </c>
      <c r="E2883" s="128" t="e">
        <f>VLOOKUP(B2883,'LISTA 12'!$A$2:$G$301400,5,0)</f>
        <v>#N/A</v>
      </c>
      <c r="F2883" s="121" t="e">
        <f>VLOOKUP(B2883,'LISTA 12'!$A$2:$G$30100,7,0)</f>
        <v>#N/A</v>
      </c>
      <c r="G2883" s="254" t="e">
        <f>VLOOKUP(H2883,'lista 3'!$A$1:$C$31467,3,0)</f>
        <v>#N/A</v>
      </c>
      <c r="H2883" s="134"/>
      <c r="I2883" s="136"/>
      <c r="J2883" s="135"/>
      <c r="K2883" s="22"/>
    </row>
    <row r="2884" spans="1:11">
      <c r="A2884" s="241" t="e">
        <f>VLOOKUP(B2884,'lista 1'!$A$2:$E$30100,4,0)</f>
        <v>#N/A</v>
      </c>
      <c r="B2884" s="123"/>
      <c r="C2884" s="133" t="e">
        <f>VLOOKUP(B2884,'lista 1'!$A$2:$E$31000,5,0)</f>
        <v>#N/A</v>
      </c>
      <c r="D2884" s="167" t="e">
        <f>VLOOKUP(E14684,'lista obszary'!A:B,2,0)</f>
        <v>#N/A</v>
      </c>
      <c r="E2884" s="128" t="e">
        <f>VLOOKUP(B2884,'LISTA 12'!$A$2:$G$301400,5,0)</f>
        <v>#N/A</v>
      </c>
      <c r="F2884" s="121" t="e">
        <f>VLOOKUP(B2884,'LISTA 12'!$A$2:$G$30100,7,0)</f>
        <v>#N/A</v>
      </c>
      <c r="G2884" s="254" t="e">
        <f>VLOOKUP(H2884,'lista 3'!$A$1:$C$31467,3,0)</f>
        <v>#N/A</v>
      </c>
      <c r="H2884" s="134"/>
      <c r="I2884" s="136"/>
      <c r="J2884" s="135"/>
      <c r="K2884" s="22"/>
    </row>
    <row r="2885" spans="1:11">
      <c r="A2885" s="241" t="e">
        <f>VLOOKUP(B2885,'lista 1'!$A$2:$E$30100,4,0)</f>
        <v>#N/A</v>
      </c>
      <c r="B2885" s="123"/>
      <c r="C2885" s="133" t="e">
        <f>VLOOKUP(B2885,'lista 1'!$A$2:$E$31000,5,0)</f>
        <v>#N/A</v>
      </c>
      <c r="D2885" s="167" t="e">
        <f>VLOOKUP(E14685,'lista obszary'!A:B,2,0)</f>
        <v>#N/A</v>
      </c>
      <c r="E2885" s="128" t="e">
        <f>VLOOKUP(B2885,'LISTA 12'!$A$2:$G$301400,5,0)</f>
        <v>#N/A</v>
      </c>
      <c r="F2885" s="121" t="e">
        <f>VLOOKUP(B2885,'LISTA 12'!$A$2:$G$30100,7,0)</f>
        <v>#N/A</v>
      </c>
      <c r="G2885" s="254" t="e">
        <f>VLOOKUP(H2885,'lista 3'!$A$1:$C$31467,3,0)</f>
        <v>#N/A</v>
      </c>
      <c r="H2885" s="134"/>
      <c r="I2885" s="136"/>
      <c r="J2885" s="135"/>
      <c r="K2885" s="22"/>
    </row>
    <row r="2886" spans="1:11">
      <c r="A2886" s="241" t="e">
        <f>VLOOKUP(B2886,'lista 1'!$A$2:$E$30100,4,0)</f>
        <v>#N/A</v>
      </c>
      <c r="B2886" s="123"/>
      <c r="C2886" s="133" t="e">
        <f>VLOOKUP(B2886,'lista 1'!$A$2:$E$31000,5,0)</f>
        <v>#N/A</v>
      </c>
      <c r="D2886" s="167" t="e">
        <f>VLOOKUP(E14686,'lista obszary'!A:B,2,0)</f>
        <v>#N/A</v>
      </c>
      <c r="E2886" s="128" t="e">
        <f>VLOOKUP(B2886,'LISTA 12'!$A$2:$G$301400,5,0)</f>
        <v>#N/A</v>
      </c>
      <c r="F2886" s="121" t="e">
        <f>VLOOKUP(B2886,'LISTA 12'!$A$2:$G$30100,7,0)</f>
        <v>#N/A</v>
      </c>
      <c r="G2886" s="254" t="e">
        <f>VLOOKUP(H2886,'lista 3'!$A$1:$C$31467,3,0)</f>
        <v>#N/A</v>
      </c>
      <c r="H2886" s="134"/>
      <c r="I2886" s="136"/>
      <c r="J2886" s="135"/>
      <c r="K2886" s="22"/>
    </row>
    <row r="2887" spans="1:11">
      <c r="A2887" s="241" t="e">
        <f>VLOOKUP(B2887,'lista 1'!$A$2:$E$30100,4,0)</f>
        <v>#N/A</v>
      </c>
      <c r="B2887" s="123"/>
      <c r="C2887" s="133" t="e">
        <f>VLOOKUP(B2887,'lista 1'!$A$2:$E$31000,5,0)</f>
        <v>#N/A</v>
      </c>
      <c r="D2887" s="167" t="e">
        <f>VLOOKUP(E14687,'lista obszary'!A:B,2,0)</f>
        <v>#N/A</v>
      </c>
      <c r="E2887" s="128" t="e">
        <f>VLOOKUP(B2887,'LISTA 12'!$A$2:$G$301400,5,0)</f>
        <v>#N/A</v>
      </c>
      <c r="F2887" s="121" t="e">
        <f>VLOOKUP(B2887,'LISTA 12'!$A$2:$G$30100,7,0)</f>
        <v>#N/A</v>
      </c>
      <c r="G2887" s="254" t="e">
        <f>VLOOKUP(H2887,'lista 3'!$A$1:$C$31467,3,0)</f>
        <v>#N/A</v>
      </c>
      <c r="H2887" s="134"/>
      <c r="I2887" s="136"/>
      <c r="J2887" s="135"/>
      <c r="K2887" s="22"/>
    </row>
    <row r="2888" spans="1:11">
      <c r="A2888" s="241" t="e">
        <f>VLOOKUP(B2888,'lista 1'!$A$2:$E$30100,4,0)</f>
        <v>#N/A</v>
      </c>
      <c r="B2888" s="123"/>
      <c r="C2888" s="133" t="e">
        <f>VLOOKUP(B2888,'lista 1'!$A$2:$E$31000,5,0)</f>
        <v>#N/A</v>
      </c>
      <c r="D2888" s="167" t="e">
        <f>VLOOKUP(E14688,'lista obszary'!A:B,2,0)</f>
        <v>#N/A</v>
      </c>
      <c r="E2888" s="128" t="e">
        <f>VLOOKUP(B2888,'LISTA 12'!$A$2:$G$301400,5,0)</f>
        <v>#N/A</v>
      </c>
      <c r="F2888" s="121" t="e">
        <f>VLOOKUP(B2888,'LISTA 12'!$A$2:$G$30100,7,0)</f>
        <v>#N/A</v>
      </c>
      <c r="G2888" s="254" t="e">
        <f>VLOOKUP(H2888,'lista 3'!$A$1:$C$31467,3,0)</f>
        <v>#N/A</v>
      </c>
      <c r="H2888" s="134"/>
      <c r="I2888" s="136"/>
      <c r="J2888" s="135"/>
      <c r="K2888" s="22"/>
    </row>
    <row r="2889" spans="1:11">
      <c r="A2889" s="241" t="e">
        <f>VLOOKUP(B2889,'lista 1'!$A$2:$E$30100,4,0)</f>
        <v>#N/A</v>
      </c>
      <c r="B2889" s="123"/>
      <c r="C2889" s="133" t="e">
        <f>VLOOKUP(B2889,'lista 1'!$A$2:$E$31000,5,0)</f>
        <v>#N/A</v>
      </c>
      <c r="D2889" s="167" t="e">
        <f>VLOOKUP(E14689,'lista obszary'!A:B,2,0)</f>
        <v>#N/A</v>
      </c>
      <c r="E2889" s="128" t="e">
        <f>VLOOKUP(B2889,'LISTA 12'!$A$2:$G$301400,5,0)</f>
        <v>#N/A</v>
      </c>
      <c r="F2889" s="121" t="e">
        <f>VLOOKUP(B2889,'LISTA 12'!$A$2:$G$30100,7,0)</f>
        <v>#N/A</v>
      </c>
      <c r="G2889" s="254" t="e">
        <f>VLOOKUP(H2889,'lista 3'!$A$1:$C$31467,3,0)</f>
        <v>#N/A</v>
      </c>
      <c r="H2889" s="134"/>
      <c r="I2889" s="136"/>
      <c r="J2889" s="135"/>
      <c r="K2889" s="22"/>
    </row>
    <row r="2890" spans="1:11">
      <c r="A2890" s="241" t="e">
        <f>VLOOKUP(B2890,'lista 1'!$A$2:$E$30100,4,0)</f>
        <v>#N/A</v>
      </c>
      <c r="B2890" s="123"/>
      <c r="C2890" s="133" t="e">
        <f>VLOOKUP(B2890,'lista 1'!$A$2:$E$31000,5,0)</f>
        <v>#N/A</v>
      </c>
      <c r="D2890" s="167" t="e">
        <f>VLOOKUP(E14690,'lista obszary'!A:B,2,0)</f>
        <v>#N/A</v>
      </c>
      <c r="E2890" s="128" t="e">
        <f>VLOOKUP(B2890,'LISTA 12'!$A$2:$G$301400,5,0)</f>
        <v>#N/A</v>
      </c>
      <c r="F2890" s="121" t="e">
        <f>VLOOKUP(B2890,'LISTA 12'!$A$2:$G$30100,7,0)</f>
        <v>#N/A</v>
      </c>
      <c r="G2890" s="254" t="e">
        <f>VLOOKUP(H2890,'lista 3'!$A$1:$C$31467,3,0)</f>
        <v>#N/A</v>
      </c>
      <c r="H2890" s="134"/>
      <c r="I2890" s="136"/>
      <c r="J2890" s="135"/>
      <c r="K2890" s="22"/>
    </row>
    <row r="2891" spans="1:11">
      <c r="A2891" s="241" t="e">
        <f>VLOOKUP(B2891,'lista 1'!$A$2:$E$30100,4,0)</f>
        <v>#N/A</v>
      </c>
      <c r="B2891" s="123"/>
      <c r="C2891" s="133" t="e">
        <f>VLOOKUP(B2891,'lista 1'!$A$2:$E$31000,5,0)</f>
        <v>#N/A</v>
      </c>
      <c r="D2891" s="167" t="e">
        <f>VLOOKUP(E14691,'lista obszary'!A:B,2,0)</f>
        <v>#N/A</v>
      </c>
      <c r="E2891" s="128" t="e">
        <f>VLOOKUP(B2891,'LISTA 12'!$A$2:$G$301400,5,0)</f>
        <v>#N/A</v>
      </c>
      <c r="F2891" s="121" t="e">
        <f>VLOOKUP(B2891,'LISTA 12'!$A$2:$G$30100,7,0)</f>
        <v>#N/A</v>
      </c>
      <c r="G2891" s="254" t="e">
        <f>VLOOKUP(H2891,'lista 3'!$A$1:$C$31467,3,0)</f>
        <v>#N/A</v>
      </c>
      <c r="H2891" s="134"/>
      <c r="I2891" s="136"/>
      <c r="J2891" s="135"/>
      <c r="K2891" s="22"/>
    </row>
    <row r="2892" spans="1:11">
      <c r="A2892" s="241" t="e">
        <f>VLOOKUP(B2892,'lista 1'!$A$2:$E$30100,4,0)</f>
        <v>#N/A</v>
      </c>
      <c r="B2892" s="123"/>
      <c r="C2892" s="133" t="e">
        <f>VLOOKUP(B2892,'lista 1'!$A$2:$E$31000,5,0)</f>
        <v>#N/A</v>
      </c>
      <c r="D2892" s="167" t="e">
        <f>VLOOKUP(E14692,'lista obszary'!A:B,2,0)</f>
        <v>#N/A</v>
      </c>
      <c r="E2892" s="128" t="e">
        <f>VLOOKUP(B2892,'LISTA 12'!$A$2:$G$301400,5,0)</f>
        <v>#N/A</v>
      </c>
      <c r="F2892" s="121" t="e">
        <f>VLOOKUP(B2892,'LISTA 12'!$A$2:$G$30100,7,0)</f>
        <v>#N/A</v>
      </c>
      <c r="G2892" s="254" t="e">
        <f>VLOOKUP(H2892,'lista 3'!$A$1:$C$31467,3,0)</f>
        <v>#N/A</v>
      </c>
      <c r="H2892" s="134"/>
      <c r="I2892" s="136"/>
      <c r="J2892" s="135"/>
      <c r="K2892" s="22"/>
    </row>
    <row r="2893" spans="1:11">
      <c r="A2893" s="241" t="e">
        <f>VLOOKUP(B2893,'lista 1'!$A$2:$E$30100,4,0)</f>
        <v>#N/A</v>
      </c>
      <c r="B2893" s="123"/>
      <c r="C2893" s="133" t="e">
        <f>VLOOKUP(B2893,'lista 1'!$A$2:$E$31000,5,0)</f>
        <v>#N/A</v>
      </c>
      <c r="D2893" s="167" t="e">
        <f>VLOOKUP(E14693,'lista obszary'!A:B,2,0)</f>
        <v>#N/A</v>
      </c>
      <c r="E2893" s="128" t="e">
        <f>VLOOKUP(B2893,'LISTA 12'!$A$2:$G$301400,5,0)</f>
        <v>#N/A</v>
      </c>
      <c r="F2893" s="121" t="e">
        <f>VLOOKUP(B2893,'LISTA 12'!$A$2:$G$30100,7,0)</f>
        <v>#N/A</v>
      </c>
      <c r="G2893" s="254" t="e">
        <f>VLOOKUP(H2893,'lista 3'!$A$1:$C$31467,3,0)</f>
        <v>#N/A</v>
      </c>
      <c r="H2893" s="134"/>
      <c r="I2893" s="136"/>
      <c r="J2893" s="135"/>
      <c r="K2893" s="22"/>
    </row>
    <row r="2894" spans="1:11">
      <c r="A2894" s="241" t="e">
        <f>VLOOKUP(B2894,'lista 1'!$A$2:$E$30100,4,0)</f>
        <v>#N/A</v>
      </c>
      <c r="B2894" s="123"/>
      <c r="C2894" s="133" t="e">
        <f>VLOOKUP(B2894,'lista 1'!$A$2:$E$31000,5,0)</f>
        <v>#N/A</v>
      </c>
      <c r="D2894" s="167" t="e">
        <f>VLOOKUP(E14694,'lista obszary'!A:B,2,0)</f>
        <v>#N/A</v>
      </c>
      <c r="E2894" s="128" t="e">
        <f>VLOOKUP(B2894,'LISTA 12'!$A$2:$G$301400,5,0)</f>
        <v>#N/A</v>
      </c>
      <c r="F2894" s="121" t="e">
        <f>VLOOKUP(B2894,'LISTA 12'!$A$2:$G$30100,7,0)</f>
        <v>#N/A</v>
      </c>
      <c r="G2894" s="254" t="e">
        <f>VLOOKUP(H2894,'lista 3'!$A$1:$C$31467,3,0)</f>
        <v>#N/A</v>
      </c>
      <c r="H2894" s="134"/>
      <c r="I2894" s="136"/>
      <c r="J2894" s="135"/>
      <c r="K2894" s="22"/>
    </row>
    <row r="2895" spans="1:11">
      <c r="A2895" s="241" t="e">
        <f>VLOOKUP(B2895,'lista 1'!$A$2:$E$30100,4,0)</f>
        <v>#N/A</v>
      </c>
      <c r="B2895" s="123"/>
      <c r="C2895" s="133" t="e">
        <f>VLOOKUP(B2895,'lista 1'!$A$2:$E$31000,5,0)</f>
        <v>#N/A</v>
      </c>
      <c r="D2895" s="167" t="e">
        <f>VLOOKUP(E14695,'lista obszary'!A:B,2,0)</f>
        <v>#N/A</v>
      </c>
      <c r="E2895" s="128" t="e">
        <f>VLOOKUP(B2895,'LISTA 12'!$A$2:$G$301400,5,0)</f>
        <v>#N/A</v>
      </c>
      <c r="F2895" s="121" t="e">
        <f>VLOOKUP(B2895,'LISTA 12'!$A$2:$G$30100,7,0)</f>
        <v>#N/A</v>
      </c>
      <c r="G2895" s="254" t="e">
        <f>VLOOKUP(H2895,'lista 3'!$A$1:$C$31467,3,0)</f>
        <v>#N/A</v>
      </c>
      <c r="H2895" s="134"/>
      <c r="I2895" s="136"/>
      <c r="J2895" s="135"/>
      <c r="K2895" s="22"/>
    </row>
    <row r="2896" spans="1:11">
      <c r="A2896" s="241" t="e">
        <f>VLOOKUP(B2896,'lista 1'!$A$2:$E$30100,4,0)</f>
        <v>#N/A</v>
      </c>
      <c r="B2896" s="123"/>
      <c r="C2896" s="133" t="e">
        <f>VLOOKUP(B2896,'lista 1'!$A$2:$E$31000,5,0)</f>
        <v>#N/A</v>
      </c>
      <c r="D2896" s="167" t="e">
        <f>VLOOKUP(E14696,'lista obszary'!A:B,2,0)</f>
        <v>#N/A</v>
      </c>
      <c r="E2896" s="128" t="e">
        <f>VLOOKUP(B2896,'LISTA 12'!$A$2:$G$301400,5,0)</f>
        <v>#N/A</v>
      </c>
      <c r="F2896" s="121" t="e">
        <f>VLOOKUP(B2896,'LISTA 12'!$A$2:$G$30100,7,0)</f>
        <v>#N/A</v>
      </c>
      <c r="G2896" s="254" t="e">
        <f>VLOOKUP(H2896,'lista 3'!$A$1:$C$31467,3,0)</f>
        <v>#N/A</v>
      </c>
      <c r="H2896" s="134"/>
      <c r="I2896" s="136"/>
      <c r="J2896" s="135"/>
      <c r="K2896" s="22"/>
    </row>
    <row r="2897" spans="1:11">
      <c r="A2897" s="241" t="e">
        <f>VLOOKUP(B2897,'lista 1'!$A$2:$E$30100,4,0)</f>
        <v>#N/A</v>
      </c>
      <c r="B2897" s="123"/>
      <c r="C2897" s="133" t="e">
        <f>VLOOKUP(B2897,'lista 1'!$A$2:$E$31000,5,0)</f>
        <v>#N/A</v>
      </c>
      <c r="D2897" s="167" t="e">
        <f>VLOOKUP(E14697,'lista obszary'!A:B,2,0)</f>
        <v>#N/A</v>
      </c>
      <c r="E2897" s="128" t="e">
        <f>VLOOKUP(B2897,'LISTA 12'!$A$2:$G$301400,5,0)</f>
        <v>#N/A</v>
      </c>
      <c r="F2897" s="121" t="e">
        <f>VLOOKUP(B2897,'LISTA 12'!$A$2:$G$30100,7,0)</f>
        <v>#N/A</v>
      </c>
      <c r="G2897" s="254" t="e">
        <f>VLOOKUP(H2897,'lista 3'!$A$1:$C$31467,3,0)</f>
        <v>#N/A</v>
      </c>
      <c r="H2897" s="134"/>
      <c r="I2897" s="136"/>
      <c r="J2897" s="135"/>
      <c r="K2897" s="22"/>
    </row>
    <row r="2898" spans="1:11">
      <c r="A2898" s="241" t="e">
        <f>VLOOKUP(B2898,'lista 1'!$A$2:$E$30100,4,0)</f>
        <v>#N/A</v>
      </c>
      <c r="B2898" s="123"/>
      <c r="C2898" s="133" t="e">
        <f>VLOOKUP(B2898,'lista 1'!$A$2:$E$31000,5,0)</f>
        <v>#N/A</v>
      </c>
      <c r="D2898" s="167" t="e">
        <f>VLOOKUP(E14698,'lista obszary'!A:B,2,0)</f>
        <v>#N/A</v>
      </c>
      <c r="E2898" s="128" t="e">
        <f>VLOOKUP(B2898,'LISTA 12'!$A$2:$G$301400,5,0)</f>
        <v>#N/A</v>
      </c>
      <c r="F2898" s="121" t="e">
        <f>VLOOKUP(B2898,'LISTA 12'!$A$2:$G$30100,7,0)</f>
        <v>#N/A</v>
      </c>
      <c r="G2898" s="254" t="e">
        <f>VLOOKUP(H2898,'lista 3'!$A$1:$C$31467,3,0)</f>
        <v>#N/A</v>
      </c>
      <c r="H2898" s="134"/>
      <c r="I2898" s="136"/>
      <c r="J2898" s="135"/>
      <c r="K2898" s="22"/>
    </row>
    <row r="2899" spans="1:11">
      <c r="A2899" s="241" t="e">
        <f>VLOOKUP(B2899,'lista 1'!$A$2:$E$30100,4,0)</f>
        <v>#N/A</v>
      </c>
      <c r="B2899" s="123"/>
      <c r="C2899" s="133" t="e">
        <f>VLOOKUP(B2899,'lista 1'!$A$2:$E$31000,5,0)</f>
        <v>#N/A</v>
      </c>
      <c r="D2899" s="167" t="e">
        <f>VLOOKUP(E14699,'lista obszary'!A:B,2,0)</f>
        <v>#N/A</v>
      </c>
      <c r="E2899" s="128" t="e">
        <f>VLOOKUP(B2899,'LISTA 12'!$A$2:$G$301400,5,0)</f>
        <v>#N/A</v>
      </c>
      <c r="F2899" s="121" t="e">
        <f>VLOOKUP(B2899,'LISTA 12'!$A$2:$G$30100,7,0)</f>
        <v>#N/A</v>
      </c>
      <c r="G2899" s="254" t="e">
        <f>VLOOKUP(H2899,'lista 3'!$A$1:$C$31467,3,0)</f>
        <v>#N/A</v>
      </c>
      <c r="H2899" s="134"/>
      <c r="I2899" s="136"/>
      <c r="J2899" s="135"/>
      <c r="K2899" s="22"/>
    </row>
    <row r="2900" spans="1:11">
      <c r="A2900" s="241" t="e">
        <f>VLOOKUP(B2900,'lista 1'!$A$2:$E$30100,4,0)</f>
        <v>#N/A</v>
      </c>
      <c r="B2900" s="123"/>
      <c r="C2900" s="133" t="e">
        <f>VLOOKUP(B2900,'lista 1'!$A$2:$E$31000,5,0)</f>
        <v>#N/A</v>
      </c>
      <c r="D2900" s="167" t="e">
        <f>VLOOKUP(E14700,'lista obszary'!A:B,2,0)</f>
        <v>#N/A</v>
      </c>
      <c r="E2900" s="128" t="e">
        <f>VLOOKUP(B2900,'LISTA 12'!$A$2:$G$301400,5,0)</f>
        <v>#N/A</v>
      </c>
      <c r="F2900" s="121" t="e">
        <f>VLOOKUP(B2900,'LISTA 12'!$A$2:$G$30100,7,0)</f>
        <v>#N/A</v>
      </c>
      <c r="G2900" s="254" t="e">
        <f>VLOOKUP(H2900,'lista 3'!$A$1:$C$31467,3,0)</f>
        <v>#N/A</v>
      </c>
      <c r="H2900" s="134"/>
      <c r="I2900" s="136"/>
      <c r="J2900" s="135"/>
      <c r="K2900" s="22"/>
    </row>
    <row r="2901" spans="1:11">
      <c r="A2901" s="241" t="e">
        <f>VLOOKUP(B2901,'lista 1'!$A$2:$E$30100,4,0)</f>
        <v>#N/A</v>
      </c>
      <c r="B2901" s="123"/>
      <c r="C2901" s="133" t="e">
        <f>VLOOKUP(B2901,'lista 1'!$A$2:$E$31000,5,0)</f>
        <v>#N/A</v>
      </c>
      <c r="D2901" s="167" t="e">
        <f>VLOOKUP(E14701,'lista obszary'!A:B,2,0)</f>
        <v>#N/A</v>
      </c>
      <c r="E2901" s="128" t="e">
        <f>VLOOKUP(B2901,'LISTA 12'!$A$2:$G$301400,5,0)</f>
        <v>#N/A</v>
      </c>
      <c r="F2901" s="121" t="e">
        <f>VLOOKUP(B2901,'LISTA 12'!$A$2:$G$30100,7,0)</f>
        <v>#N/A</v>
      </c>
      <c r="G2901" s="254" t="e">
        <f>VLOOKUP(H2901,'lista 3'!$A$1:$C$31467,3,0)</f>
        <v>#N/A</v>
      </c>
      <c r="H2901" s="134"/>
      <c r="I2901" s="136"/>
      <c r="J2901" s="135"/>
      <c r="K2901" s="22"/>
    </row>
    <row r="2902" spans="1:11">
      <c r="A2902" s="241" t="e">
        <f>VLOOKUP(B2902,'lista 1'!$A$2:$E$30100,4,0)</f>
        <v>#N/A</v>
      </c>
      <c r="B2902" s="123"/>
      <c r="C2902" s="133" t="e">
        <f>VLOOKUP(B2902,'lista 1'!$A$2:$E$31000,5,0)</f>
        <v>#N/A</v>
      </c>
      <c r="D2902" s="167" t="e">
        <f>VLOOKUP(E14702,'lista obszary'!A:B,2,0)</f>
        <v>#N/A</v>
      </c>
      <c r="E2902" s="128" t="e">
        <f>VLOOKUP(B2902,'LISTA 12'!$A$2:$G$301400,5,0)</f>
        <v>#N/A</v>
      </c>
      <c r="F2902" s="121" t="e">
        <f>VLOOKUP(B2902,'LISTA 12'!$A$2:$G$30100,7,0)</f>
        <v>#N/A</v>
      </c>
      <c r="G2902" s="254" t="e">
        <f>VLOOKUP(H2902,'lista 3'!$A$1:$C$31467,3,0)</f>
        <v>#N/A</v>
      </c>
      <c r="H2902" s="134"/>
      <c r="I2902" s="136"/>
      <c r="J2902" s="135"/>
      <c r="K2902" s="22"/>
    </row>
    <row r="2903" spans="1:11">
      <c r="A2903" s="241" t="e">
        <f>VLOOKUP(B2903,'lista 1'!$A$2:$E$30100,4,0)</f>
        <v>#N/A</v>
      </c>
      <c r="B2903" s="123"/>
      <c r="C2903" s="133" t="e">
        <f>VLOOKUP(B2903,'lista 1'!$A$2:$E$31000,5,0)</f>
        <v>#N/A</v>
      </c>
      <c r="D2903" s="167" t="e">
        <f>VLOOKUP(E14703,'lista obszary'!A:B,2,0)</f>
        <v>#N/A</v>
      </c>
      <c r="E2903" s="128" t="e">
        <f>VLOOKUP(B2903,'LISTA 12'!$A$2:$G$301400,5,0)</f>
        <v>#N/A</v>
      </c>
      <c r="F2903" s="121" t="e">
        <f>VLOOKUP(B2903,'LISTA 12'!$A$2:$G$30100,7,0)</f>
        <v>#N/A</v>
      </c>
      <c r="G2903" s="254" t="e">
        <f>VLOOKUP(H2903,'lista 3'!$A$1:$C$31467,3,0)</f>
        <v>#N/A</v>
      </c>
      <c r="H2903" s="134"/>
      <c r="I2903" s="136"/>
      <c r="J2903" s="135"/>
      <c r="K2903" s="22"/>
    </row>
    <row r="2904" spans="1:11">
      <c r="A2904" s="241" t="e">
        <f>VLOOKUP(B2904,'lista 1'!$A$2:$E$30100,4,0)</f>
        <v>#N/A</v>
      </c>
      <c r="B2904" s="123"/>
      <c r="C2904" s="133" t="e">
        <f>VLOOKUP(B2904,'lista 1'!$A$2:$E$31000,5,0)</f>
        <v>#N/A</v>
      </c>
      <c r="D2904" s="167" t="e">
        <f>VLOOKUP(E14704,'lista obszary'!A:B,2,0)</f>
        <v>#N/A</v>
      </c>
      <c r="E2904" s="128" t="e">
        <f>VLOOKUP(B2904,'LISTA 12'!$A$2:$G$301400,5,0)</f>
        <v>#N/A</v>
      </c>
      <c r="F2904" s="121" t="e">
        <f>VLOOKUP(B2904,'LISTA 12'!$A$2:$G$30100,7,0)</f>
        <v>#N/A</v>
      </c>
      <c r="G2904" s="254" t="e">
        <f>VLOOKUP(H2904,'lista 3'!$A$1:$C$31467,3,0)</f>
        <v>#N/A</v>
      </c>
      <c r="H2904" s="134"/>
      <c r="I2904" s="136"/>
      <c r="J2904" s="135"/>
      <c r="K2904" s="22"/>
    </row>
    <row r="2905" spans="1:11">
      <c r="A2905" s="241" t="e">
        <f>VLOOKUP(B2905,'lista 1'!$A$2:$E$30100,4,0)</f>
        <v>#N/A</v>
      </c>
      <c r="B2905" s="123"/>
      <c r="C2905" s="133" t="e">
        <f>VLOOKUP(B2905,'lista 1'!$A$2:$E$31000,5,0)</f>
        <v>#N/A</v>
      </c>
      <c r="D2905" s="167" t="e">
        <f>VLOOKUP(E14705,'lista obszary'!A:B,2,0)</f>
        <v>#N/A</v>
      </c>
      <c r="E2905" s="128" t="e">
        <f>VLOOKUP(B2905,'LISTA 12'!$A$2:$G$301400,5,0)</f>
        <v>#N/A</v>
      </c>
      <c r="F2905" s="121" t="e">
        <f>VLOOKUP(B2905,'LISTA 12'!$A$2:$G$30100,7,0)</f>
        <v>#N/A</v>
      </c>
      <c r="G2905" s="254" t="e">
        <f>VLOOKUP(H2905,'lista 3'!$A$1:$C$31467,3,0)</f>
        <v>#N/A</v>
      </c>
      <c r="H2905" s="134"/>
      <c r="I2905" s="136"/>
      <c r="J2905" s="135"/>
      <c r="K2905" s="22"/>
    </row>
    <row r="2906" spans="1:11">
      <c r="A2906" s="241" t="e">
        <f>VLOOKUP(B2906,'lista 1'!$A$2:$E$30100,4,0)</f>
        <v>#N/A</v>
      </c>
      <c r="B2906" s="123"/>
      <c r="C2906" s="133" t="e">
        <f>VLOOKUP(B2906,'lista 1'!$A$2:$E$31000,5,0)</f>
        <v>#N/A</v>
      </c>
      <c r="D2906" s="167" t="e">
        <f>VLOOKUP(E14706,'lista obszary'!A:B,2,0)</f>
        <v>#N/A</v>
      </c>
      <c r="E2906" s="128" t="e">
        <f>VLOOKUP(B2906,'LISTA 12'!$A$2:$G$301400,5,0)</f>
        <v>#N/A</v>
      </c>
      <c r="F2906" s="121" t="e">
        <f>VLOOKUP(B2906,'LISTA 12'!$A$2:$G$30100,7,0)</f>
        <v>#N/A</v>
      </c>
      <c r="G2906" s="254" t="e">
        <f>VLOOKUP(H2906,'lista 3'!$A$1:$C$31467,3,0)</f>
        <v>#N/A</v>
      </c>
      <c r="H2906" s="134"/>
      <c r="I2906" s="136"/>
      <c r="J2906" s="135"/>
      <c r="K2906" s="22"/>
    </row>
    <row r="2907" spans="1:11">
      <c r="A2907" s="241" t="e">
        <f>VLOOKUP(B2907,'lista 1'!$A$2:$E$30100,4,0)</f>
        <v>#N/A</v>
      </c>
      <c r="B2907" s="123"/>
      <c r="C2907" s="133" t="e">
        <f>VLOOKUP(B2907,'lista 1'!$A$2:$E$31000,5,0)</f>
        <v>#N/A</v>
      </c>
      <c r="D2907" s="167" t="e">
        <f>VLOOKUP(E14707,'lista obszary'!A:B,2,0)</f>
        <v>#N/A</v>
      </c>
      <c r="E2907" s="128" t="e">
        <f>VLOOKUP(B2907,'LISTA 12'!$A$2:$G$301400,5,0)</f>
        <v>#N/A</v>
      </c>
      <c r="F2907" s="121" t="e">
        <f>VLOOKUP(B2907,'LISTA 12'!$A$2:$G$30100,7,0)</f>
        <v>#N/A</v>
      </c>
      <c r="G2907" s="254" t="e">
        <f>VLOOKUP(H2907,'lista 3'!$A$1:$C$31467,3,0)</f>
        <v>#N/A</v>
      </c>
      <c r="H2907" s="134"/>
      <c r="I2907" s="136"/>
      <c r="J2907" s="135"/>
      <c r="K2907" s="22"/>
    </row>
    <row r="2908" spans="1:11">
      <c r="A2908" s="241" t="e">
        <f>VLOOKUP(B2908,'lista 1'!$A$2:$E$30100,4,0)</f>
        <v>#N/A</v>
      </c>
      <c r="B2908" s="123"/>
      <c r="C2908" s="133" t="e">
        <f>VLOOKUP(B2908,'lista 1'!$A$2:$E$31000,5,0)</f>
        <v>#N/A</v>
      </c>
      <c r="D2908" s="167" t="e">
        <f>VLOOKUP(E14708,'lista obszary'!A:B,2,0)</f>
        <v>#N/A</v>
      </c>
      <c r="E2908" s="128" t="e">
        <f>VLOOKUP(B2908,'LISTA 12'!$A$2:$G$301400,5,0)</f>
        <v>#N/A</v>
      </c>
      <c r="F2908" s="121" t="e">
        <f>VLOOKUP(B2908,'LISTA 12'!$A$2:$G$30100,7,0)</f>
        <v>#N/A</v>
      </c>
      <c r="G2908" s="254" t="e">
        <f>VLOOKUP(H2908,'lista 3'!$A$1:$C$31467,3,0)</f>
        <v>#N/A</v>
      </c>
      <c r="H2908" s="134"/>
      <c r="I2908" s="136"/>
      <c r="J2908" s="135"/>
      <c r="K2908" s="22"/>
    </row>
    <row r="2909" spans="1:11">
      <c r="A2909" s="241" t="e">
        <f>VLOOKUP(B2909,'lista 1'!$A$2:$E$30100,4,0)</f>
        <v>#N/A</v>
      </c>
      <c r="B2909" s="123"/>
      <c r="C2909" s="133" t="e">
        <f>VLOOKUP(B2909,'lista 1'!$A$2:$E$31000,5,0)</f>
        <v>#N/A</v>
      </c>
      <c r="D2909" s="167" t="e">
        <f>VLOOKUP(E14709,'lista obszary'!A:B,2,0)</f>
        <v>#N/A</v>
      </c>
      <c r="E2909" s="128" t="e">
        <f>VLOOKUP(B2909,'LISTA 12'!$A$2:$G$301400,5,0)</f>
        <v>#N/A</v>
      </c>
      <c r="F2909" s="121" t="e">
        <f>VLOOKUP(B2909,'LISTA 12'!$A$2:$G$30100,7,0)</f>
        <v>#N/A</v>
      </c>
      <c r="G2909" s="254" t="e">
        <f>VLOOKUP(H2909,'lista 3'!$A$1:$C$31467,3,0)</f>
        <v>#N/A</v>
      </c>
      <c r="H2909" s="134"/>
      <c r="I2909" s="136"/>
      <c r="J2909" s="135"/>
      <c r="K2909" s="22"/>
    </row>
    <row r="2910" spans="1:11">
      <c r="A2910" s="241" t="e">
        <f>VLOOKUP(B2910,'lista 1'!$A$2:$E$30100,4,0)</f>
        <v>#N/A</v>
      </c>
      <c r="B2910" s="123"/>
      <c r="C2910" s="133" t="e">
        <f>VLOOKUP(B2910,'lista 1'!$A$2:$E$31000,5,0)</f>
        <v>#N/A</v>
      </c>
      <c r="D2910" s="167" t="e">
        <f>VLOOKUP(E14710,'lista obszary'!A:B,2,0)</f>
        <v>#N/A</v>
      </c>
      <c r="E2910" s="128" t="e">
        <f>VLOOKUP(B2910,'LISTA 12'!$A$2:$G$301400,5,0)</f>
        <v>#N/A</v>
      </c>
      <c r="F2910" s="121" t="e">
        <f>VLOOKUP(B2910,'LISTA 12'!$A$2:$G$30100,7,0)</f>
        <v>#N/A</v>
      </c>
      <c r="G2910" s="254" t="e">
        <f>VLOOKUP(H2910,'lista 3'!$A$1:$C$31467,3,0)</f>
        <v>#N/A</v>
      </c>
      <c r="H2910" s="134"/>
      <c r="I2910" s="136"/>
      <c r="J2910" s="135"/>
      <c r="K2910" s="22"/>
    </row>
    <row r="2911" spans="1:11">
      <c r="A2911" s="241" t="e">
        <f>VLOOKUP(B2911,'lista 1'!$A$2:$E$30100,4,0)</f>
        <v>#N/A</v>
      </c>
      <c r="B2911" s="123"/>
      <c r="C2911" s="133" t="e">
        <f>VLOOKUP(B2911,'lista 1'!$A$2:$E$31000,5,0)</f>
        <v>#N/A</v>
      </c>
      <c r="D2911" s="167" t="e">
        <f>VLOOKUP(E14711,'lista obszary'!A:B,2,0)</f>
        <v>#N/A</v>
      </c>
      <c r="E2911" s="128" t="e">
        <f>VLOOKUP(B2911,'LISTA 12'!$A$2:$G$301400,5,0)</f>
        <v>#N/A</v>
      </c>
      <c r="F2911" s="121" t="e">
        <f>VLOOKUP(B2911,'LISTA 12'!$A$2:$G$30100,7,0)</f>
        <v>#N/A</v>
      </c>
      <c r="G2911" s="254" t="e">
        <f>VLOOKUP(H2911,'lista 3'!$A$1:$C$31467,3,0)</f>
        <v>#N/A</v>
      </c>
      <c r="H2911" s="134"/>
      <c r="I2911" s="136"/>
      <c r="J2911" s="135"/>
      <c r="K2911" s="22"/>
    </row>
    <row r="2912" spans="1:11">
      <c r="A2912" s="241" t="e">
        <f>VLOOKUP(B2912,'lista 1'!$A$2:$E$30100,4,0)</f>
        <v>#N/A</v>
      </c>
      <c r="B2912" s="123"/>
      <c r="C2912" s="133" t="e">
        <f>VLOOKUP(B2912,'lista 1'!$A$2:$E$31000,5,0)</f>
        <v>#N/A</v>
      </c>
      <c r="D2912" s="167" t="e">
        <f>VLOOKUP(E14712,'lista obszary'!A:B,2,0)</f>
        <v>#N/A</v>
      </c>
      <c r="E2912" s="128" t="e">
        <f>VLOOKUP(B2912,'LISTA 12'!$A$2:$G$301400,5,0)</f>
        <v>#N/A</v>
      </c>
      <c r="F2912" s="121" t="e">
        <f>VLOOKUP(B2912,'LISTA 12'!$A$2:$G$30100,7,0)</f>
        <v>#N/A</v>
      </c>
      <c r="G2912" s="254" t="e">
        <f>VLOOKUP(H2912,'lista 3'!$A$1:$C$31467,3,0)</f>
        <v>#N/A</v>
      </c>
      <c r="H2912" s="134"/>
      <c r="I2912" s="136"/>
      <c r="J2912" s="135"/>
      <c r="K2912" s="22"/>
    </row>
    <row r="2913" spans="1:11">
      <c r="A2913" s="241" t="e">
        <f>VLOOKUP(B2913,'lista 1'!$A$2:$E$30100,4,0)</f>
        <v>#N/A</v>
      </c>
      <c r="B2913" s="123"/>
      <c r="C2913" s="133" t="e">
        <f>VLOOKUP(B2913,'lista 1'!$A$2:$E$31000,5,0)</f>
        <v>#N/A</v>
      </c>
      <c r="D2913" s="167" t="e">
        <f>VLOOKUP(E14713,'lista obszary'!A:B,2,0)</f>
        <v>#N/A</v>
      </c>
      <c r="E2913" s="128" t="e">
        <f>VLOOKUP(B2913,'LISTA 12'!$A$2:$G$301400,5,0)</f>
        <v>#N/A</v>
      </c>
      <c r="F2913" s="121" t="e">
        <f>VLOOKUP(B2913,'LISTA 12'!$A$2:$G$30100,7,0)</f>
        <v>#N/A</v>
      </c>
      <c r="G2913" s="254" t="e">
        <f>VLOOKUP(H2913,'lista 3'!$A$1:$C$31467,3,0)</f>
        <v>#N/A</v>
      </c>
      <c r="H2913" s="134"/>
      <c r="I2913" s="136"/>
      <c r="J2913" s="135"/>
      <c r="K2913" s="22"/>
    </row>
    <row r="2914" spans="1:11">
      <c r="A2914" s="241" t="e">
        <f>VLOOKUP(B2914,'lista 1'!$A$2:$E$30100,4,0)</f>
        <v>#N/A</v>
      </c>
      <c r="B2914" s="123"/>
      <c r="C2914" s="133" t="e">
        <f>VLOOKUP(B2914,'lista 1'!$A$2:$E$31000,5,0)</f>
        <v>#N/A</v>
      </c>
      <c r="D2914" s="167" t="e">
        <f>VLOOKUP(E14714,'lista obszary'!A:B,2,0)</f>
        <v>#N/A</v>
      </c>
      <c r="E2914" s="128" t="e">
        <f>VLOOKUP(B2914,'LISTA 12'!$A$2:$G$301400,5,0)</f>
        <v>#N/A</v>
      </c>
      <c r="F2914" s="121" t="e">
        <f>VLOOKUP(B2914,'LISTA 12'!$A$2:$G$30100,7,0)</f>
        <v>#N/A</v>
      </c>
      <c r="G2914" s="254" t="e">
        <f>VLOOKUP(H2914,'lista 3'!$A$1:$C$31467,3,0)</f>
        <v>#N/A</v>
      </c>
      <c r="H2914" s="134"/>
      <c r="I2914" s="136"/>
      <c r="J2914" s="135"/>
      <c r="K2914" s="22"/>
    </row>
    <row r="2915" spans="1:11">
      <c r="A2915" s="241" t="e">
        <f>VLOOKUP(B2915,'lista 1'!$A$2:$E$30100,4,0)</f>
        <v>#N/A</v>
      </c>
      <c r="B2915" s="123"/>
      <c r="C2915" s="133" t="e">
        <f>VLOOKUP(B2915,'lista 1'!$A$2:$E$31000,5,0)</f>
        <v>#N/A</v>
      </c>
      <c r="D2915" s="167" t="e">
        <f>VLOOKUP(E14715,'lista obszary'!A:B,2,0)</f>
        <v>#N/A</v>
      </c>
      <c r="E2915" s="128" t="e">
        <f>VLOOKUP(B2915,'LISTA 12'!$A$2:$G$301400,5,0)</f>
        <v>#N/A</v>
      </c>
      <c r="F2915" s="121" t="e">
        <f>VLOOKUP(B2915,'LISTA 12'!$A$2:$G$30100,7,0)</f>
        <v>#N/A</v>
      </c>
      <c r="G2915" s="254" t="e">
        <f>VLOOKUP(H2915,'lista 3'!$A$1:$C$31467,3,0)</f>
        <v>#N/A</v>
      </c>
      <c r="H2915" s="134"/>
      <c r="I2915" s="136"/>
      <c r="J2915" s="135"/>
      <c r="K2915" s="22"/>
    </row>
    <row r="2916" spans="1:11">
      <c r="A2916" s="241" t="e">
        <f>VLOOKUP(B2916,'lista 1'!$A$2:$E$30100,4,0)</f>
        <v>#N/A</v>
      </c>
      <c r="B2916" s="123"/>
      <c r="C2916" s="133" t="e">
        <f>VLOOKUP(B2916,'lista 1'!$A$2:$E$31000,5,0)</f>
        <v>#N/A</v>
      </c>
      <c r="D2916" s="167" t="e">
        <f>VLOOKUP(E14716,'lista obszary'!A:B,2,0)</f>
        <v>#N/A</v>
      </c>
      <c r="E2916" s="128" t="e">
        <f>VLOOKUP(B2916,'LISTA 12'!$A$2:$G$301400,5,0)</f>
        <v>#N/A</v>
      </c>
      <c r="F2916" s="121" t="e">
        <f>VLOOKUP(B2916,'LISTA 12'!$A$2:$G$30100,7,0)</f>
        <v>#N/A</v>
      </c>
      <c r="G2916" s="254" t="e">
        <f>VLOOKUP(H2916,'lista 3'!$A$1:$C$31467,3,0)</f>
        <v>#N/A</v>
      </c>
      <c r="H2916" s="134"/>
      <c r="I2916" s="136"/>
      <c r="J2916" s="135"/>
      <c r="K2916" s="22"/>
    </row>
    <row r="2917" spans="1:11">
      <c r="A2917" s="241" t="e">
        <f>VLOOKUP(B2917,'lista 1'!$A$2:$E$30100,4,0)</f>
        <v>#N/A</v>
      </c>
      <c r="B2917" s="123"/>
      <c r="C2917" s="133" t="e">
        <f>VLOOKUP(B2917,'lista 1'!$A$2:$E$31000,5,0)</f>
        <v>#N/A</v>
      </c>
      <c r="D2917" s="167" t="e">
        <f>VLOOKUP(E14717,'lista obszary'!A:B,2,0)</f>
        <v>#N/A</v>
      </c>
      <c r="E2917" s="128" t="e">
        <f>VLOOKUP(B2917,'LISTA 12'!$A$2:$G$301400,5,0)</f>
        <v>#N/A</v>
      </c>
      <c r="F2917" s="121" t="e">
        <f>VLOOKUP(B2917,'LISTA 12'!$A$2:$G$30100,7,0)</f>
        <v>#N/A</v>
      </c>
      <c r="G2917" s="254" t="e">
        <f>VLOOKUP(H2917,'lista 3'!$A$1:$C$31467,3,0)</f>
        <v>#N/A</v>
      </c>
      <c r="H2917" s="134"/>
      <c r="I2917" s="136"/>
      <c r="J2917" s="135"/>
      <c r="K2917" s="22"/>
    </row>
    <row r="2918" spans="1:11">
      <c r="A2918" s="241" t="e">
        <f>VLOOKUP(B2918,'lista 1'!$A$2:$E$30100,4,0)</f>
        <v>#N/A</v>
      </c>
      <c r="B2918" s="123"/>
      <c r="C2918" s="133" t="e">
        <f>VLOOKUP(B2918,'lista 1'!$A$2:$E$31000,5,0)</f>
        <v>#N/A</v>
      </c>
      <c r="D2918" s="167" t="e">
        <f>VLOOKUP(E14718,'lista obszary'!A:B,2,0)</f>
        <v>#N/A</v>
      </c>
      <c r="E2918" s="128" t="e">
        <f>VLOOKUP(B2918,'LISTA 12'!$A$2:$G$301400,5,0)</f>
        <v>#N/A</v>
      </c>
      <c r="F2918" s="121" t="e">
        <f>VLOOKUP(B2918,'LISTA 12'!$A$2:$G$30100,7,0)</f>
        <v>#N/A</v>
      </c>
      <c r="G2918" s="254" t="e">
        <f>VLOOKUP(H2918,'lista 3'!$A$1:$C$31467,3,0)</f>
        <v>#N/A</v>
      </c>
      <c r="H2918" s="134"/>
      <c r="I2918" s="136"/>
      <c r="J2918" s="135"/>
      <c r="K2918" s="22"/>
    </row>
    <row r="2919" spans="1:11">
      <c r="A2919" s="241" t="e">
        <f>VLOOKUP(B2919,'lista 1'!$A$2:$E$30100,4,0)</f>
        <v>#N/A</v>
      </c>
      <c r="B2919" s="123"/>
      <c r="C2919" s="133" t="e">
        <f>VLOOKUP(B2919,'lista 1'!$A$2:$E$31000,5,0)</f>
        <v>#N/A</v>
      </c>
      <c r="D2919" s="167" t="e">
        <f>VLOOKUP(E14719,'lista obszary'!A:B,2,0)</f>
        <v>#N/A</v>
      </c>
      <c r="E2919" s="128" t="e">
        <f>VLOOKUP(B2919,'LISTA 12'!$A$2:$G$301400,5,0)</f>
        <v>#N/A</v>
      </c>
      <c r="F2919" s="121" t="e">
        <f>VLOOKUP(B2919,'LISTA 12'!$A$2:$G$30100,7,0)</f>
        <v>#N/A</v>
      </c>
      <c r="G2919" s="254" t="e">
        <f>VLOOKUP(H2919,'lista 3'!$A$1:$C$31467,3,0)</f>
        <v>#N/A</v>
      </c>
      <c r="H2919" s="134"/>
      <c r="I2919" s="136"/>
      <c r="J2919" s="135"/>
      <c r="K2919" s="22"/>
    </row>
    <row r="2920" spans="1:11">
      <c r="A2920" s="241" t="e">
        <f>VLOOKUP(B2920,'lista 1'!$A$2:$E$30100,4,0)</f>
        <v>#N/A</v>
      </c>
      <c r="B2920" s="123"/>
      <c r="C2920" s="133" t="e">
        <f>VLOOKUP(B2920,'lista 1'!$A$2:$E$31000,5,0)</f>
        <v>#N/A</v>
      </c>
      <c r="D2920" s="167" t="e">
        <f>VLOOKUP(E14720,'lista obszary'!A:B,2,0)</f>
        <v>#N/A</v>
      </c>
      <c r="E2920" s="128" t="e">
        <f>VLOOKUP(B2920,'LISTA 12'!$A$2:$G$301400,5,0)</f>
        <v>#N/A</v>
      </c>
      <c r="F2920" s="121" t="e">
        <f>VLOOKUP(B2920,'LISTA 12'!$A$2:$G$30100,7,0)</f>
        <v>#N/A</v>
      </c>
      <c r="G2920" s="254" t="e">
        <f>VLOOKUP(H2920,'lista 3'!$A$1:$C$31467,3,0)</f>
        <v>#N/A</v>
      </c>
      <c r="H2920" s="134"/>
      <c r="I2920" s="136"/>
      <c r="J2920" s="135"/>
      <c r="K2920" s="22"/>
    </row>
    <row r="2921" spans="1:11">
      <c r="A2921" s="241" t="e">
        <f>VLOOKUP(B2921,'lista 1'!$A$2:$E$30100,4,0)</f>
        <v>#N/A</v>
      </c>
      <c r="B2921" s="123"/>
      <c r="C2921" s="133" t="e">
        <f>VLOOKUP(B2921,'lista 1'!$A$2:$E$31000,5,0)</f>
        <v>#N/A</v>
      </c>
      <c r="D2921" s="167" t="e">
        <f>VLOOKUP(E14721,'lista obszary'!A:B,2,0)</f>
        <v>#N/A</v>
      </c>
      <c r="E2921" s="128" t="e">
        <f>VLOOKUP(B2921,'LISTA 12'!$A$2:$G$301400,5,0)</f>
        <v>#N/A</v>
      </c>
      <c r="F2921" s="121" t="e">
        <f>VLOOKUP(B2921,'LISTA 12'!$A$2:$G$30100,7,0)</f>
        <v>#N/A</v>
      </c>
      <c r="G2921" s="254" t="e">
        <f>VLOOKUP(H2921,'lista 3'!$A$1:$C$31467,3,0)</f>
        <v>#N/A</v>
      </c>
      <c r="H2921" s="134"/>
      <c r="I2921" s="136"/>
      <c r="J2921" s="135"/>
      <c r="K2921" s="22"/>
    </row>
    <row r="2922" spans="1:11">
      <c r="A2922" s="241" t="e">
        <f>VLOOKUP(B2922,'lista 1'!$A$2:$E$30100,4,0)</f>
        <v>#N/A</v>
      </c>
      <c r="B2922" s="123"/>
      <c r="C2922" s="133" t="e">
        <f>VLOOKUP(B2922,'lista 1'!$A$2:$E$31000,5,0)</f>
        <v>#N/A</v>
      </c>
      <c r="D2922" s="167" t="e">
        <f>VLOOKUP(E14722,'lista obszary'!A:B,2,0)</f>
        <v>#N/A</v>
      </c>
      <c r="E2922" s="128" t="e">
        <f>VLOOKUP(B2922,'LISTA 12'!$A$2:$G$301400,5,0)</f>
        <v>#N/A</v>
      </c>
      <c r="F2922" s="121" t="e">
        <f>VLOOKUP(B2922,'LISTA 12'!$A$2:$G$30100,7,0)</f>
        <v>#N/A</v>
      </c>
      <c r="G2922" s="254" t="e">
        <f>VLOOKUP(H2922,'lista 3'!$A$1:$C$31467,3,0)</f>
        <v>#N/A</v>
      </c>
      <c r="H2922" s="134"/>
      <c r="I2922" s="136"/>
      <c r="J2922" s="135"/>
      <c r="K2922" s="22"/>
    </row>
    <row r="2923" spans="1:11">
      <c r="A2923" s="241" t="e">
        <f>VLOOKUP(B2923,'lista 1'!$A$2:$E$30100,4,0)</f>
        <v>#N/A</v>
      </c>
      <c r="B2923" s="123"/>
      <c r="C2923" s="133" t="e">
        <f>VLOOKUP(B2923,'lista 1'!$A$2:$E$31000,5,0)</f>
        <v>#N/A</v>
      </c>
      <c r="D2923" s="167" t="e">
        <f>VLOOKUP(E14723,'lista obszary'!A:B,2,0)</f>
        <v>#N/A</v>
      </c>
      <c r="E2923" s="128" t="e">
        <f>VLOOKUP(B2923,'LISTA 12'!$A$2:$G$301400,5,0)</f>
        <v>#N/A</v>
      </c>
      <c r="F2923" s="121" t="e">
        <f>VLOOKUP(B2923,'LISTA 12'!$A$2:$G$30100,7,0)</f>
        <v>#N/A</v>
      </c>
      <c r="G2923" s="254" t="e">
        <f>VLOOKUP(H2923,'lista 3'!$A$1:$C$31467,3,0)</f>
        <v>#N/A</v>
      </c>
      <c r="H2923" s="134"/>
      <c r="I2923" s="136"/>
      <c r="J2923" s="135"/>
      <c r="K2923" s="22"/>
    </row>
    <row r="2924" spans="1:11">
      <c r="A2924" s="241" t="e">
        <f>VLOOKUP(B2924,'lista 1'!$A$2:$E$30100,4,0)</f>
        <v>#N/A</v>
      </c>
      <c r="B2924" s="123"/>
      <c r="C2924" s="133" t="e">
        <f>VLOOKUP(B2924,'lista 1'!$A$2:$E$31000,5,0)</f>
        <v>#N/A</v>
      </c>
      <c r="D2924" s="167" t="e">
        <f>VLOOKUP(E14724,'lista obszary'!A:B,2,0)</f>
        <v>#N/A</v>
      </c>
      <c r="E2924" s="128" t="e">
        <f>VLOOKUP(B2924,'LISTA 12'!$A$2:$G$301400,5,0)</f>
        <v>#N/A</v>
      </c>
      <c r="F2924" s="121" t="e">
        <f>VLOOKUP(B2924,'LISTA 12'!$A$2:$G$30100,7,0)</f>
        <v>#N/A</v>
      </c>
      <c r="G2924" s="254" t="e">
        <f>VLOOKUP(H2924,'lista 3'!$A$1:$C$31467,3,0)</f>
        <v>#N/A</v>
      </c>
      <c r="H2924" s="134"/>
      <c r="I2924" s="136"/>
      <c r="J2924" s="135"/>
      <c r="K2924" s="22"/>
    </row>
    <row r="2925" spans="1:11">
      <c r="A2925" s="241" t="e">
        <f>VLOOKUP(B2925,'lista 1'!$A$2:$E$30100,4,0)</f>
        <v>#N/A</v>
      </c>
      <c r="B2925" s="123"/>
      <c r="C2925" s="133" t="e">
        <f>VLOOKUP(B2925,'lista 1'!$A$2:$E$31000,5,0)</f>
        <v>#N/A</v>
      </c>
      <c r="D2925" s="167" t="e">
        <f>VLOOKUP(E14725,'lista obszary'!A:B,2,0)</f>
        <v>#N/A</v>
      </c>
      <c r="E2925" s="128" t="e">
        <f>VLOOKUP(B2925,'LISTA 12'!$A$2:$G$301400,5,0)</f>
        <v>#N/A</v>
      </c>
      <c r="F2925" s="121" t="e">
        <f>VLOOKUP(B2925,'LISTA 12'!$A$2:$G$30100,7,0)</f>
        <v>#N/A</v>
      </c>
      <c r="G2925" s="254" t="e">
        <f>VLOOKUP(H2925,'lista 3'!$A$1:$C$31467,3,0)</f>
        <v>#N/A</v>
      </c>
      <c r="H2925" s="134"/>
      <c r="I2925" s="136"/>
      <c r="J2925" s="135"/>
      <c r="K2925" s="22"/>
    </row>
    <row r="2926" spans="1:11">
      <c r="A2926" s="241" t="e">
        <f>VLOOKUP(B2926,'lista 1'!$A$2:$E$30100,4,0)</f>
        <v>#N/A</v>
      </c>
      <c r="B2926" s="123"/>
      <c r="C2926" s="133" t="e">
        <f>VLOOKUP(B2926,'lista 1'!$A$2:$E$31000,5,0)</f>
        <v>#N/A</v>
      </c>
      <c r="D2926" s="167" t="e">
        <f>VLOOKUP(E14726,'lista obszary'!A:B,2,0)</f>
        <v>#N/A</v>
      </c>
      <c r="E2926" s="128" t="e">
        <f>VLOOKUP(B2926,'LISTA 12'!$A$2:$G$301400,5,0)</f>
        <v>#N/A</v>
      </c>
      <c r="F2926" s="121" t="e">
        <f>VLOOKUP(B2926,'LISTA 12'!$A$2:$G$30100,7,0)</f>
        <v>#N/A</v>
      </c>
      <c r="G2926" s="254" t="e">
        <f>VLOOKUP(H2926,'lista 3'!$A$1:$C$31467,3,0)</f>
        <v>#N/A</v>
      </c>
      <c r="H2926" s="134"/>
      <c r="I2926" s="136"/>
      <c r="J2926" s="135"/>
      <c r="K2926" s="22"/>
    </row>
    <row r="2927" spans="1:11">
      <c r="A2927" s="241" t="e">
        <f>VLOOKUP(B2927,'lista 1'!$A$2:$E$30100,4,0)</f>
        <v>#N/A</v>
      </c>
      <c r="B2927" s="123"/>
      <c r="C2927" s="133" t="e">
        <f>VLOOKUP(B2927,'lista 1'!$A$2:$E$31000,5,0)</f>
        <v>#N/A</v>
      </c>
      <c r="D2927" s="167" t="e">
        <f>VLOOKUP(E14727,'lista obszary'!A:B,2,0)</f>
        <v>#N/A</v>
      </c>
      <c r="E2927" s="128" t="e">
        <f>VLOOKUP(B2927,'LISTA 12'!$A$2:$G$301400,5,0)</f>
        <v>#N/A</v>
      </c>
      <c r="F2927" s="121" t="e">
        <f>VLOOKUP(B2927,'LISTA 12'!$A$2:$G$30100,7,0)</f>
        <v>#N/A</v>
      </c>
      <c r="G2927" s="254" t="e">
        <f>VLOOKUP(H2927,'lista 3'!$A$1:$C$31467,3,0)</f>
        <v>#N/A</v>
      </c>
      <c r="H2927" s="134"/>
      <c r="I2927" s="136"/>
      <c r="J2927" s="135"/>
      <c r="K2927" s="22"/>
    </row>
    <row r="2928" spans="1:11">
      <c r="A2928" s="241" t="e">
        <f>VLOOKUP(B2928,'lista 1'!$A$2:$E$30100,4,0)</f>
        <v>#N/A</v>
      </c>
      <c r="B2928" s="123"/>
      <c r="C2928" s="133" t="e">
        <f>VLOOKUP(B2928,'lista 1'!$A$2:$E$31000,5,0)</f>
        <v>#N/A</v>
      </c>
      <c r="D2928" s="167" t="e">
        <f>VLOOKUP(E14728,'lista obszary'!A:B,2,0)</f>
        <v>#N/A</v>
      </c>
      <c r="E2928" s="128" t="e">
        <f>VLOOKUP(B2928,'LISTA 12'!$A$2:$G$301400,5,0)</f>
        <v>#N/A</v>
      </c>
      <c r="F2928" s="121" t="e">
        <f>VLOOKUP(B2928,'LISTA 12'!$A$2:$G$30100,7,0)</f>
        <v>#N/A</v>
      </c>
      <c r="G2928" s="254" t="e">
        <f>VLOOKUP(H2928,'lista 3'!$A$1:$C$31467,3,0)</f>
        <v>#N/A</v>
      </c>
      <c r="H2928" s="134"/>
      <c r="I2928" s="136"/>
      <c r="J2928" s="135"/>
      <c r="K2928" s="22"/>
    </row>
    <row r="2929" spans="1:11">
      <c r="A2929" s="241" t="e">
        <f>VLOOKUP(B2929,'lista 1'!$A$2:$E$30100,4,0)</f>
        <v>#N/A</v>
      </c>
      <c r="B2929" s="123"/>
      <c r="C2929" s="133" t="e">
        <f>VLOOKUP(B2929,'lista 1'!$A$2:$E$31000,5,0)</f>
        <v>#N/A</v>
      </c>
      <c r="D2929" s="167" t="e">
        <f>VLOOKUP(E14729,'lista obszary'!A:B,2,0)</f>
        <v>#N/A</v>
      </c>
      <c r="E2929" s="128" t="e">
        <f>VLOOKUP(B2929,'LISTA 12'!$A$2:$G$301400,5,0)</f>
        <v>#N/A</v>
      </c>
      <c r="F2929" s="121" t="e">
        <f>VLOOKUP(B2929,'LISTA 12'!$A$2:$G$30100,7,0)</f>
        <v>#N/A</v>
      </c>
      <c r="G2929" s="254" t="e">
        <f>VLOOKUP(H2929,'lista 3'!$A$1:$C$31467,3,0)</f>
        <v>#N/A</v>
      </c>
      <c r="H2929" s="134"/>
      <c r="I2929" s="136"/>
      <c r="J2929" s="135"/>
      <c r="K2929" s="22"/>
    </row>
    <row r="2930" spans="1:11">
      <c r="A2930" s="241" t="e">
        <f>VLOOKUP(B2930,'lista 1'!$A$2:$E$30100,4,0)</f>
        <v>#N/A</v>
      </c>
      <c r="B2930" s="123"/>
      <c r="C2930" s="133" t="e">
        <f>VLOOKUP(B2930,'lista 1'!$A$2:$E$31000,5,0)</f>
        <v>#N/A</v>
      </c>
      <c r="D2930" s="167" t="e">
        <f>VLOOKUP(E14730,'lista obszary'!A:B,2,0)</f>
        <v>#N/A</v>
      </c>
      <c r="E2930" s="128" t="e">
        <f>VLOOKUP(B2930,'LISTA 12'!$A$2:$G$301400,5,0)</f>
        <v>#N/A</v>
      </c>
      <c r="F2930" s="121" t="e">
        <f>VLOOKUP(B2930,'LISTA 12'!$A$2:$G$30100,7,0)</f>
        <v>#N/A</v>
      </c>
      <c r="G2930" s="254" t="e">
        <f>VLOOKUP(H2930,'lista 3'!$A$1:$C$31467,3,0)</f>
        <v>#N/A</v>
      </c>
      <c r="H2930" s="134"/>
      <c r="I2930" s="136"/>
      <c r="J2930" s="135"/>
      <c r="K2930" s="22"/>
    </row>
    <row r="2931" spans="1:11">
      <c r="A2931" s="241" t="e">
        <f>VLOOKUP(B2931,'lista 1'!$A$2:$E$30100,4,0)</f>
        <v>#N/A</v>
      </c>
      <c r="B2931" s="123"/>
      <c r="C2931" s="133" t="e">
        <f>VLOOKUP(B2931,'lista 1'!$A$2:$E$31000,5,0)</f>
        <v>#N/A</v>
      </c>
      <c r="D2931" s="167" t="e">
        <f>VLOOKUP(E14731,'lista obszary'!A:B,2,0)</f>
        <v>#N/A</v>
      </c>
      <c r="E2931" s="128" t="e">
        <f>VLOOKUP(B2931,'LISTA 12'!$A$2:$G$301400,5,0)</f>
        <v>#N/A</v>
      </c>
      <c r="F2931" s="121" t="e">
        <f>VLOOKUP(B2931,'LISTA 12'!$A$2:$G$30100,7,0)</f>
        <v>#N/A</v>
      </c>
      <c r="G2931" s="254" t="e">
        <f>VLOOKUP(H2931,'lista 3'!$A$1:$C$31467,3,0)</f>
        <v>#N/A</v>
      </c>
      <c r="H2931" s="134"/>
      <c r="I2931" s="136"/>
      <c r="J2931" s="135"/>
      <c r="K2931" s="22"/>
    </row>
    <row r="2932" spans="1:11">
      <c r="A2932" s="241" t="e">
        <f>VLOOKUP(B2932,'lista 1'!$A$2:$E$30100,4,0)</f>
        <v>#N/A</v>
      </c>
      <c r="B2932" s="123"/>
      <c r="C2932" s="133" t="e">
        <f>VLOOKUP(B2932,'lista 1'!$A$2:$E$31000,5,0)</f>
        <v>#N/A</v>
      </c>
      <c r="D2932" s="167" t="e">
        <f>VLOOKUP(E14732,'lista obszary'!A:B,2,0)</f>
        <v>#N/A</v>
      </c>
      <c r="E2932" s="128" t="e">
        <f>VLOOKUP(B2932,'LISTA 12'!$A$2:$G$301400,5,0)</f>
        <v>#N/A</v>
      </c>
      <c r="F2932" s="121" t="e">
        <f>VLOOKUP(B2932,'LISTA 12'!$A$2:$G$30100,7,0)</f>
        <v>#N/A</v>
      </c>
      <c r="G2932" s="254" t="e">
        <f>VLOOKUP(H2932,'lista 3'!$A$1:$C$31467,3,0)</f>
        <v>#N/A</v>
      </c>
      <c r="H2932" s="134"/>
      <c r="I2932" s="136"/>
      <c r="J2932" s="135"/>
      <c r="K2932" s="22"/>
    </row>
    <row r="2933" spans="1:11">
      <c r="A2933" s="241" t="e">
        <f>VLOOKUP(B2933,'lista 1'!$A$2:$E$30100,4,0)</f>
        <v>#N/A</v>
      </c>
      <c r="B2933" s="123"/>
      <c r="C2933" s="133" t="e">
        <f>VLOOKUP(B2933,'lista 1'!$A$2:$E$31000,5,0)</f>
        <v>#N/A</v>
      </c>
      <c r="D2933" s="167" t="e">
        <f>VLOOKUP(E14733,'lista obszary'!A:B,2,0)</f>
        <v>#N/A</v>
      </c>
      <c r="E2933" s="128" t="e">
        <f>VLOOKUP(B2933,'LISTA 12'!$A$2:$G$301400,5,0)</f>
        <v>#N/A</v>
      </c>
      <c r="F2933" s="121" t="e">
        <f>VLOOKUP(B2933,'LISTA 12'!$A$2:$G$30100,7,0)</f>
        <v>#N/A</v>
      </c>
      <c r="G2933" s="254" t="e">
        <f>VLOOKUP(H2933,'lista 3'!$A$1:$C$31467,3,0)</f>
        <v>#N/A</v>
      </c>
      <c r="H2933" s="134"/>
      <c r="I2933" s="136"/>
      <c r="J2933" s="135"/>
      <c r="K2933" s="22"/>
    </row>
    <row r="2934" spans="1:11">
      <c r="A2934" s="241" t="e">
        <f>VLOOKUP(B2934,'lista 1'!$A$2:$E$30100,4,0)</f>
        <v>#N/A</v>
      </c>
      <c r="B2934" s="123"/>
      <c r="C2934" s="133" t="e">
        <f>VLOOKUP(B2934,'lista 1'!$A$2:$E$31000,5,0)</f>
        <v>#N/A</v>
      </c>
      <c r="D2934" s="167" t="e">
        <f>VLOOKUP(E14734,'lista obszary'!A:B,2,0)</f>
        <v>#N/A</v>
      </c>
      <c r="E2934" s="128" t="e">
        <f>VLOOKUP(B2934,'LISTA 12'!$A$2:$G$301400,5,0)</f>
        <v>#N/A</v>
      </c>
      <c r="F2934" s="121" t="e">
        <f>VLOOKUP(B2934,'LISTA 12'!$A$2:$G$30100,7,0)</f>
        <v>#N/A</v>
      </c>
      <c r="G2934" s="254" t="e">
        <f>VLOOKUP(H2934,'lista 3'!$A$1:$C$31467,3,0)</f>
        <v>#N/A</v>
      </c>
      <c r="H2934" s="134"/>
      <c r="I2934" s="136"/>
      <c r="J2934" s="135"/>
      <c r="K2934" s="22"/>
    </row>
    <row r="2935" spans="1:11">
      <c r="A2935" s="241" t="e">
        <f>VLOOKUP(B2935,'lista 1'!$A$2:$E$30100,4,0)</f>
        <v>#N/A</v>
      </c>
      <c r="B2935" s="123"/>
      <c r="C2935" s="133" t="e">
        <f>VLOOKUP(B2935,'lista 1'!$A$2:$E$31000,5,0)</f>
        <v>#N/A</v>
      </c>
      <c r="D2935" s="167" t="e">
        <f>VLOOKUP(E14735,'lista obszary'!A:B,2,0)</f>
        <v>#N/A</v>
      </c>
      <c r="E2935" s="128" t="e">
        <f>VLOOKUP(B2935,'LISTA 12'!$A$2:$G$301400,5,0)</f>
        <v>#N/A</v>
      </c>
      <c r="F2935" s="121" t="e">
        <f>VLOOKUP(B2935,'LISTA 12'!$A$2:$G$30100,7,0)</f>
        <v>#N/A</v>
      </c>
      <c r="G2935" s="254" t="e">
        <f>VLOOKUP(H2935,'lista 3'!$A$1:$C$31467,3,0)</f>
        <v>#N/A</v>
      </c>
      <c r="H2935" s="134"/>
      <c r="I2935" s="136"/>
      <c r="J2935" s="135"/>
      <c r="K2935" s="22"/>
    </row>
    <row r="2936" spans="1:11">
      <c r="A2936" s="241" t="e">
        <f>VLOOKUP(B2936,'lista 1'!$A$2:$E$30100,4,0)</f>
        <v>#N/A</v>
      </c>
      <c r="B2936" s="123"/>
      <c r="C2936" s="133" t="e">
        <f>VLOOKUP(B2936,'lista 1'!$A$2:$E$31000,5,0)</f>
        <v>#N/A</v>
      </c>
      <c r="D2936" s="167" t="e">
        <f>VLOOKUP(E14736,'lista obszary'!A:B,2,0)</f>
        <v>#N/A</v>
      </c>
      <c r="E2936" s="128" t="e">
        <f>VLOOKUP(B2936,'LISTA 12'!$A$2:$G$301400,5,0)</f>
        <v>#N/A</v>
      </c>
      <c r="F2936" s="121" t="e">
        <f>VLOOKUP(B2936,'LISTA 12'!$A$2:$G$30100,7,0)</f>
        <v>#N/A</v>
      </c>
      <c r="G2936" s="254" t="e">
        <f>VLOOKUP(H2936,'lista 3'!$A$1:$C$31467,3,0)</f>
        <v>#N/A</v>
      </c>
      <c r="H2936" s="134"/>
      <c r="I2936" s="136"/>
      <c r="J2936" s="135"/>
      <c r="K2936" s="22"/>
    </row>
    <row r="2937" spans="1:11">
      <c r="A2937" s="241" t="e">
        <f>VLOOKUP(B2937,'lista 1'!$A$2:$E$30100,4,0)</f>
        <v>#N/A</v>
      </c>
      <c r="B2937" s="123"/>
      <c r="C2937" s="133" t="e">
        <f>VLOOKUP(B2937,'lista 1'!$A$2:$E$31000,5,0)</f>
        <v>#N/A</v>
      </c>
      <c r="D2937" s="167" t="e">
        <f>VLOOKUP(E14737,'lista obszary'!A:B,2,0)</f>
        <v>#N/A</v>
      </c>
      <c r="E2937" s="128" t="e">
        <f>VLOOKUP(B2937,'LISTA 12'!$A$2:$G$301400,5,0)</f>
        <v>#N/A</v>
      </c>
      <c r="F2937" s="121" t="e">
        <f>VLOOKUP(B2937,'LISTA 12'!$A$2:$G$30100,7,0)</f>
        <v>#N/A</v>
      </c>
      <c r="G2937" s="254" t="e">
        <f>VLOOKUP(H2937,'lista 3'!$A$1:$C$31467,3,0)</f>
        <v>#N/A</v>
      </c>
      <c r="H2937" s="134"/>
      <c r="I2937" s="136"/>
      <c r="J2937" s="135"/>
      <c r="K2937" s="22"/>
    </row>
    <row r="2938" spans="1:11">
      <c r="A2938" s="241" t="e">
        <f>VLOOKUP(B2938,'lista 1'!$A$2:$E$30100,4,0)</f>
        <v>#N/A</v>
      </c>
      <c r="B2938" s="123"/>
      <c r="C2938" s="133" t="e">
        <f>VLOOKUP(B2938,'lista 1'!$A$2:$E$31000,5,0)</f>
        <v>#N/A</v>
      </c>
      <c r="D2938" s="167" t="e">
        <f>VLOOKUP(E14738,'lista obszary'!A:B,2,0)</f>
        <v>#N/A</v>
      </c>
      <c r="E2938" s="128" t="e">
        <f>VLOOKUP(B2938,'LISTA 12'!$A$2:$G$301400,5,0)</f>
        <v>#N/A</v>
      </c>
      <c r="F2938" s="121" t="e">
        <f>VLOOKUP(B2938,'LISTA 12'!$A$2:$G$30100,7,0)</f>
        <v>#N/A</v>
      </c>
      <c r="G2938" s="254" t="e">
        <f>VLOOKUP(H2938,'lista 3'!$A$1:$C$31467,3,0)</f>
        <v>#N/A</v>
      </c>
      <c r="H2938" s="134"/>
      <c r="I2938" s="136"/>
      <c r="J2938" s="135"/>
      <c r="K2938" s="22"/>
    </row>
    <row r="2939" spans="1:11">
      <c r="A2939" s="241" t="e">
        <f>VLOOKUP(B2939,'lista 1'!$A$2:$E$30100,4,0)</f>
        <v>#N/A</v>
      </c>
      <c r="B2939" s="123"/>
      <c r="C2939" s="133" t="e">
        <f>VLOOKUP(B2939,'lista 1'!$A$2:$E$31000,5,0)</f>
        <v>#N/A</v>
      </c>
      <c r="D2939" s="167" t="e">
        <f>VLOOKUP(E14739,'lista obszary'!A:B,2,0)</f>
        <v>#N/A</v>
      </c>
      <c r="E2939" s="128" t="e">
        <f>VLOOKUP(B2939,'LISTA 12'!$A$2:$G$301400,5,0)</f>
        <v>#N/A</v>
      </c>
      <c r="F2939" s="121" t="e">
        <f>VLOOKUP(B2939,'LISTA 12'!$A$2:$G$30100,7,0)</f>
        <v>#N/A</v>
      </c>
      <c r="G2939" s="254" t="e">
        <f>VLOOKUP(H2939,'lista 3'!$A$1:$C$31467,3,0)</f>
        <v>#N/A</v>
      </c>
      <c r="H2939" s="134"/>
      <c r="I2939" s="136"/>
      <c r="J2939" s="135"/>
      <c r="K2939" s="22"/>
    </row>
    <row r="2940" spans="1:11">
      <c r="A2940" s="241" t="e">
        <f>VLOOKUP(B2940,'lista 1'!$A$2:$E$30100,4,0)</f>
        <v>#N/A</v>
      </c>
      <c r="B2940" s="123"/>
      <c r="C2940" s="133" t="e">
        <f>VLOOKUP(B2940,'lista 1'!$A$2:$E$31000,5,0)</f>
        <v>#N/A</v>
      </c>
      <c r="D2940" s="167" t="e">
        <f>VLOOKUP(E14740,'lista obszary'!A:B,2,0)</f>
        <v>#N/A</v>
      </c>
      <c r="E2940" s="128" t="e">
        <f>VLOOKUP(B2940,'LISTA 12'!$A$2:$G$301400,5,0)</f>
        <v>#N/A</v>
      </c>
      <c r="F2940" s="121" t="e">
        <f>VLOOKUP(B2940,'LISTA 12'!$A$2:$G$30100,7,0)</f>
        <v>#N/A</v>
      </c>
      <c r="G2940" s="254" t="e">
        <f>VLOOKUP(H2940,'lista 3'!$A$1:$C$31467,3,0)</f>
        <v>#N/A</v>
      </c>
      <c r="H2940" s="134"/>
      <c r="I2940" s="136"/>
      <c r="J2940" s="135"/>
      <c r="K2940" s="22"/>
    </row>
    <row r="2941" spans="1:11">
      <c r="A2941" s="241" t="e">
        <f>VLOOKUP(B2941,'lista 1'!$A$2:$E$30100,4,0)</f>
        <v>#N/A</v>
      </c>
      <c r="B2941" s="123"/>
      <c r="C2941" s="133" t="e">
        <f>VLOOKUP(B2941,'lista 1'!$A$2:$E$31000,5,0)</f>
        <v>#N/A</v>
      </c>
      <c r="D2941" s="167" t="e">
        <f>VLOOKUP(E14741,'lista obszary'!A:B,2,0)</f>
        <v>#N/A</v>
      </c>
      <c r="E2941" s="128" t="e">
        <f>VLOOKUP(B2941,'LISTA 12'!$A$2:$G$301400,5,0)</f>
        <v>#N/A</v>
      </c>
      <c r="F2941" s="121" t="e">
        <f>VLOOKUP(B2941,'LISTA 12'!$A$2:$G$30100,7,0)</f>
        <v>#N/A</v>
      </c>
      <c r="G2941" s="254" t="e">
        <f>VLOOKUP(H2941,'lista 3'!$A$1:$C$31467,3,0)</f>
        <v>#N/A</v>
      </c>
      <c r="H2941" s="134"/>
      <c r="I2941" s="136"/>
      <c r="J2941" s="135"/>
      <c r="K2941" s="22"/>
    </row>
    <row r="2942" spans="1:11">
      <c r="A2942" s="241" t="e">
        <f>VLOOKUP(B2942,'lista 1'!$A$2:$E$30100,4,0)</f>
        <v>#N/A</v>
      </c>
      <c r="B2942" s="123"/>
      <c r="C2942" s="133" t="e">
        <f>VLOOKUP(B2942,'lista 1'!$A$2:$E$31000,5,0)</f>
        <v>#N/A</v>
      </c>
      <c r="D2942" s="167" t="e">
        <f>VLOOKUP(E14742,'lista obszary'!A:B,2,0)</f>
        <v>#N/A</v>
      </c>
      <c r="E2942" s="128" t="e">
        <f>VLOOKUP(B2942,'LISTA 12'!$A$2:$G$301400,5,0)</f>
        <v>#N/A</v>
      </c>
      <c r="F2942" s="121" t="e">
        <f>VLOOKUP(B2942,'LISTA 12'!$A$2:$G$30100,7,0)</f>
        <v>#N/A</v>
      </c>
      <c r="G2942" s="254" t="e">
        <f>VLOOKUP(H2942,'lista 3'!$A$1:$C$31467,3,0)</f>
        <v>#N/A</v>
      </c>
      <c r="H2942" s="134"/>
      <c r="I2942" s="136"/>
      <c r="J2942" s="135"/>
      <c r="K2942" s="22"/>
    </row>
    <row r="2943" spans="1:11">
      <c r="A2943" s="241" t="e">
        <f>VLOOKUP(B2943,'lista 1'!$A$2:$E$30100,4,0)</f>
        <v>#N/A</v>
      </c>
      <c r="B2943" s="123"/>
      <c r="C2943" s="133" t="e">
        <f>VLOOKUP(B2943,'lista 1'!$A$2:$E$31000,5,0)</f>
        <v>#N/A</v>
      </c>
      <c r="D2943" s="167" t="e">
        <f>VLOOKUP(E14743,'lista obszary'!A:B,2,0)</f>
        <v>#N/A</v>
      </c>
      <c r="E2943" s="128" t="e">
        <f>VLOOKUP(B2943,'LISTA 12'!$A$2:$G$301400,5,0)</f>
        <v>#N/A</v>
      </c>
      <c r="F2943" s="121" t="e">
        <f>VLOOKUP(B2943,'LISTA 12'!$A$2:$G$30100,7,0)</f>
        <v>#N/A</v>
      </c>
      <c r="G2943" s="254" t="e">
        <f>VLOOKUP(H2943,'lista 3'!$A$1:$C$31467,3,0)</f>
        <v>#N/A</v>
      </c>
      <c r="H2943" s="134"/>
      <c r="I2943" s="136"/>
      <c r="J2943" s="135"/>
      <c r="K2943" s="22"/>
    </row>
    <row r="2944" spans="1:11">
      <c r="A2944" s="241" t="e">
        <f>VLOOKUP(B2944,'lista 1'!$A$2:$E$30100,4,0)</f>
        <v>#N/A</v>
      </c>
      <c r="B2944" s="123"/>
      <c r="C2944" s="133" t="e">
        <f>VLOOKUP(B2944,'lista 1'!$A$2:$E$31000,5,0)</f>
        <v>#N/A</v>
      </c>
      <c r="D2944" s="167" t="e">
        <f>VLOOKUP(E14744,'lista obszary'!A:B,2,0)</f>
        <v>#N/A</v>
      </c>
      <c r="E2944" s="128" t="e">
        <f>VLOOKUP(B2944,'LISTA 12'!$A$2:$G$301400,5,0)</f>
        <v>#N/A</v>
      </c>
      <c r="F2944" s="121" t="e">
        <f>VLOOKUP(B2944,'LISTA 12'!$A$2:$G$30100,7,0)</f>
        <v>#N/A</v>
      </c>
      <c r="G2944" s="254" t="e">
        <f>VLOOKUP(H2944,'lista 3'!$A$1:$C$31467,3,0)</f>
        <v>#N/A</v>
      </c>
      <c r="H2944" s="134"/>
      <c r="I2944" s="136"/>
      <c r="J2944" s="135"/>
      <c r="K2944" s="22"/>
    </row>
    <row r="2945" spans="1:11">
      <c r="A2945" s="241" t="e">
        <f>VLOOKUP(B2945,'lista 1'!$A$2:$E$30100,4,0)</f>
        <v>#N/A</v>
      </c>
      <c r="B2945" s="123"/>
      <c r="C2945" s="133" t="e">
        <f>VLOOKUP(B2945,'lista 1'!$A$2:$E$31000,5,0)</f>
        <v>#N/A</v>
      </c>
      <c r="D2945" s="167" t="e">
        <f>VLOOKUP(E14745,'lista obszary'!A:B,2,0)</f>
        <v>#N/A</v>
      </c>
      <c r="E2945" s="128" t="e">
        <f>VLOOKUP(B2945,'LISTA 12'!$A$2:$G$301400,5,0)</f>
        <v>#N/A</v>
      </c>
      <c r="F2945" s="121" t="e">
        <f>VLOOKUP(B2945,'LISTA 12'!$A$2:$G$30100,7,0)</f>
        <v>#N/A</v>
      </c>
      <c r="G2945" s="254" t="e">
        <f>VLOOKUP(H2945,'lista 3'!$A$1:$C$31467,3,0)</f>
        <v>#N/A</v>
      </c>
      <c r="H2945" s="134"/>
      <c r="I2945" s="136"/>
      <c r="J2945" s="135"/>
      <c r="K2945" s="22"/>
    </row>
    <row r="2946" spans="1:11">
      <c r="A2946" s="241" t="e">
        <f>VLOOKUP(B2946,'lista 1'!$A$2:$E$30100,4,0)</f>
        <v>#N/A</v>
      </c>
      <c r="B2946" s="123"/>
      <c r="C2946" s="133" t="e">
        <f>VLOOKUP(B2946,'lista 1'!$A$2:$E$31000,5,0)</f>
        <v>#N/A</v>
      </c>
      <c r="D2946" s="167" t="e">
        <f>VLOOKUP(E14746,'lista obszary'!A:B,2,0)</f>
        <v>#N/A</v>
      </c>
      <c r="E2946" s="128" t="e">
        <f>VLOOKUP(B2946,'LISTA 12'!$A$2:$G$301400,5,0)</f>
        <v>#N/A</v>
      </c>
      <c r="F2946" s="121" t="e">
        <f>VLOOKUP(B2946,'LISTA 12'!$A$2:$G$30100,7,0)</f>
        <v>#N/A</v>
      </c>
      <c r="G2946" s="254" t="e">
        <f>VLOOKUP(H2946,'lista 3'!$A$1:$C$31467,3,0)</f>
        <v>#N/A</v>
      </c>
      <c r="H2946" s="134"/>
      <c r="I2946" s="136"/>
      <c r="J2946" s="135"/>
      <c r="K2946" s="22"/>
    </row>
    <row r="2947" spans="1:11">
      <c r="A2947" s="241" t="e">
        <f>VLOOKUP(B2947,'lista 1'!$A$2:$E$30100,4,0)</f>
        <v>#N/A</v>
      </c>
      <c r="B2947" s="123"/>
      <c r="C2947" s="133" t="e">
        <f>VLOOKUP(B2947,'lista 1'!$A$2:$E$31000,5,0)</f>
        <v>#N/A</v>
      </c>
      <c r="D2947" s="167" t="e">
        <f>VLOOKUP(E14747,'lista obszary'!A:B,2,0)</f>
        <v>#N/A</v>
      </c>
      <c r="E2947" s="128" t="e">
        <f>VLOOKUP(B2947,'LISTA 12'!$A$2:$G$301400,5,0)</f>
        <v>#N/A</v>
      </c>
      <c r="F2947" s="121" t="e">
        <f>VLOOKUP(B2947,'LISTA 12'!$A$2:$G$30100,7,0)</f>
        <v>#N/A</v>
      </c>
      <c r="G2947" s="254" t="e">
        <f>VLOOKUP(H2947,'lista 3'!$A$1:$C$31467,3,0)</f>
        <v>#N/A</v>
      </c>
      <c r="H2947" s="134"/>
      <c r="I2947" s="136"/>
      <c r="J2947" s="135"/>
      <c r="K2947" s="22"/>
    </row>
    <row r="2948" spans="1:11">
      <c r="A2948" s="241" t="e">
        <f>VLOOKUP(B2948,'lista 1'!$A$2:$E$30100,4,0)</f>
        <v>#N/A</v>
      </c>
      <c r="B2948" s="123"/>
      <c r="C2948" s="133" t="e">
        <f>VLOOKUP(B2948,'lista 1'!$A$2:$E$31000,5,0)</f>
        <v>#N/A</v>
      </c>
      <c r="D2948" s="167" t="e">
        <f>VLOOKUP(E14748,'lista obszary'!A:B,2,0)</f>
        <v>#N/A</v>
      </c>
      <c r="E2948" s="128" t="e">
        <f>VLOOKUP(B2948,'LISTA 12'!$A$2:$G$301400,5,0)</f>
        <v>#N/A</v>
      </c>
      <c r="F2948" s="121" t="e">
        <f>VLOOKUP(B2948,'LISTA 12'!$A$2:$G$30100,7,0)</f>
        <v>#N/A</v>
      </c>
      <c r="G2948" s="254" t="e">
        <f>VLOOKUP(H2948,'lista 3'!$A$1:$C$31467,3,0)</f>
        <v>#N/A</v>
      </c>
      <c r="H2948" s="134"/>
      <c r="I2948" s="136"/>
      <c r="J2948" s="135"/>
      <c r="K2948" s="22"/>
    </row>
    <row r="2949" spans="1:11">
      <c r="A2949" s="241" t="e">
        <f>VLOOKUP(B2949,'lista 1'!$A$2:$E$30100,4,0)</f>
        <v>#N/A</v>
      </c>
      <c r="B2949" s="123"/>
      <c r="C2949" s="133" t="e">
        <f>VLOOKUP(B2949,'lista 1'!$A$2:$E$31000,5,0)</f>
        <v>#N/A</v>
      </c>
      <c r="D2949" s="167" t="e">
        <f>VLOOKUP(E14749,'lista obszary'!A:B,2,0)</f>
        <v>#N/A</v>
      </c>
      <c r="E2949" s="128" t="e">
        <f>VLOOKUP(B2949,'LISTA 12'!$A$2:$G$301400,5,0)</f>
        <v>#N/A</v>
      </c>
      <c r="F2949" s="121" t="e">
        <f>VLOOKUP(B2949,'LISTA 12'!$A$2:$G$30100,7,0)</f>
        <v>#N/A</v>
      </c>
      <c r="G2949" s="254" t="e">
        <f>VLOOKUP(H2949,'lista 3'!$A$1:$C$31467,3,0)</f>
        <v>#N/A</v>
      </c>
      <c r="H2949" s="134"/>
      <c r="I2949" s="136"/>
      <c r="J2949" s="135"/>
      <c r="K2949" s="22"/>
    </row>
    <row r="2950" spans="1:11">
      <c r="A2950" s="241" t="e">
        <f>VLOOKUP(B2950,'lista 1'!$A$2:$E$30100,4,0)</f>
        <v>#N/A</v>
      </c>
      <c r="B2950" s="123"/>
      <c r="C2950" s="133" t="e">
        <f>VLOOKUP(B2950,'lista 1'!$A$2:$E$31000,5,0)</f>
        <v>#N/A</v>
      </c>
      <c r="D2950" s="167" t="e">
        <f>VLOOKUP(E14750,'lista obszary'!A:B,2,0)</f>
        <v>#N/A</v>
      </c>
      <c r="E2950" s="128" t="e">
        <f>VLOOKUP(B2950,'LISTA 12'!$A$2:$G$301400,5,0)</f>
        <v>#N/A</v>
      </c>
      <c r="F2950" s="121" t="e">
        <f>VLOOKUP(B2950,'LISTA 12'!$A$2:$G$30100,7,0)</f>
        <v>#N/A</v>
      </c>
      <c r="G2950" s="254" t="e">
        <f>VLOOKUP(H2950,'lista 3'!$A$1:$C$31467,3,0)</f>
        <v>#N/A</v>
      </c>
      <c r="H2950" s="134"/>
      <c r="I2950" s="136"/>
      <c r="J2950" s="135"/>
      <c r="K2950" s="22"/>
    </row>
    <row r="2951" spans="1:11">
      <c r="A2951" s="241" t="e">
        <f>VLOOKUP(B2951,'lista 1'!$A$2:$E$30100,4,0)</f>
        <v>#N/A</v>
      </c>
      <c r="B2951" s="123"/>
      <c r="C2951" s="133" t="e">
        <f>VLOOKUP(B2951,'lista 1'!$A$2:$E$31000,5,0)</f>
        <v>#N/A</v>
      </c>
      <c r="D2951" s="167" t="e">
        <f>VLOOKUP(E14751,'lista obszary'!A:B,2,0)</f>
        <v>#N/A</v>
      </c>
      <c r="E2951" s="128" t="e">
        <f>VLOOKUP(B2951,'LISTA 12'!$A$2:$G$301400,5,0)</f>
        <v>#N/A</v>
      </c>
      <c r="F2951" s="121" t="e">
        <f>VLOOKUP(B2951,'LISTA 12'!$A$2:$G$30100,7,0)</f>
        <v>#N/A</v>
      </c>
      <c r="G2951" s="254" t="e">
        <f>VLOOKUP(H2951,'lista 3'!$A$1:$C$31467,3,0)</f>
        <v>#N/A</v>
      </c>
      <c r="H2951" s="134"/>
      <c r="I2951" s="136"/>
      <c r="J2951" s="135"/>
      <c r="K2951" s="22"/>
    </row>
    <row r="2952" spans="1:11">
      <c r="A2952" s="241" t="e">
        <f>VLOOKUP(B2952,'lista 1'!$A$2:$E$30100,4,0)</f>
        <v>#N/A</v>
      </c>
      <c r="B2952" s="123"/>
      <c r="C2952" s="133" t="e">
        <f>VLOOKUP(B2952,'lista 1'!$A$2:$E$31000,5,0)</f>
        <v>#N/A</v>
      </c>
      <c r="D2952" s="167" t="e">
        <f>VLOOKUP(E14752,'lista obszary'!A:B,2,0)</f>
        <v>#N/A</v>
      </c>
      <c r="E2952" s="128" t="e">
        <f>VLOOKUP(B2952,'LISTA 12'!$A$2:$G$301400,5,0)</f>
        <v>#N/A</v>
      </c>
      <c r="F2952" s="121" t="e">
        <f>VLOOKUP(B2952,'LISTA 12'!$A$2:$G$30100,7,0)</f>
        <v>#N/A</v>
      </c>
      <c r="G2952" s="254" t="e">
        <f>VLOOKUP(H2952,'lista 3'!$A$1:$C$31467,3,0)</f>
        <v>#N/A</v>
      </c>
      <c r="H2952" s="134"/>
      <c r="I2952" s="136"/>
      <c r="J2952" s="135"/>
      <c r="K2952" s="22"/>
    </row>
    <row r="2953" spans="1:11">
      <c r="A2953" s="241" t="e">
        <f>VLOOKUP(B2953,'lista 1'!$A$2:$E$30100,4,0)</f>
        <v>#N/A</v>
      </c>
      <c r="B2953" s="123"/>
      <c r="C2953" s="133" t="e">
        <f>VLOOKUP(B2953,'lista 1'!$A$2:$E$31000,5,0)</f>
        <v>#N/A</v>
      </c>
      <c r="D2953" s="167" t="e">
        <f>VLOOKUP(E14753,'lista obszary'!A:B,2,0)</f>
        <v>#N/A</v>
      </c>
      <c r="E2953" s="128" t="e">
        <f>VLOOKUP(B2953,'LISTA 12'!$A$2:$G$301400,5,0)</f>
        <v>#N/A</v>
      </c>
      <c r="F2953" s="121" t="e">
        <f>VLOOKUP(B2953,'LISTA 12'!$A$2:$G$30100,7,0)</f>
        <v>#N/A</v>
      </c>
      <c r="G2953" s="254" t="e">
        <f>VLOOKUP(H2953,'lista 3'!$A$1:$C$31467,3,0)</f>
        <v>#N/A</v>
      </c>
      <c r="H2953" s="134"/>
      <c r="I2953" s="136"/>
      <c r="J2953" s="135"/>
      <c r="K2953" s="22"/>
    </row>
    <row r="2954" spans="1:11">
      <c r="A2954" s="241" t="e">
        <f>VLOOKUP(B2954,'lista 1'!$A$2:$E$30100,4,0)</f>
        <v>#N/A</v>
      </c>
      <c r="B2954" s="123"/>
      <c r="C2954" s="133" t="e">
        <f>VLOOKUP(B2954,'lista 1'!$A$2:$E$31000,5,0)</f>
        <v>#N/A</v>
      </c>
      <c r="D2954" s="167" t="e">
        <f>VLOOKUP(E14754,'lista obszary'!A:B,2,0)</f>
        <v>#N/A</v>
      </c>
      <c r="E2954" s="128" t="e">
        <f>VLOOKUP(B2954,'LISTA 12'!$A$2:$G$301400,5,0)</f>
        <v>#N/A</v>
      </c>
      <c r="F2954" s="121" t="e">
        <f>VLOOKUP(B2954,'LISTA 12'!$A$2:$G$30100,7,0)</f>
        <v>#N/A</v>
      </c>
      <c r="G2954" s="254" t="e">
        <f>VLOOKUP(H2954,'lista 3'!$A$1:$C$31467,3,0)</f>
        <v>#N/A</v>
      </c>
      <c r="H2954" s="134"/>
      <c r="I2954" s="136"/>
      <c r="J2954" s="135"/>
      <c r="K2954" s="22"/>
    </row>
    <row r="2955" spans="1:11">
      <c r="A2955" s="241" t="e">
        <f>VLOOKUP(B2955,'lista 1'!$A$2:$E$30100,4,0)</f>
        <v>#N/A</v>
      </c>
      <c r="B2955" s="123"/>
      <c r="C2955" s="133" t="e">
        <f>VLOOKUP(B2955,'lista 1'!$A$2:$E$31000,5,0)</f>
        <v>#N/A</v>
      </c>
      <c r="D2955" s="167" t="e">
        <f>VLOOKUP(E14755,'lista obszary'!A:B,2,0)</f>
        <v>#N/A</v>
      </c>
      <c r="E2955" s="128" t="e">
        <f>VLOOKUP(B2955,'LISTA 12'!$A$2:$G$301400,5,0)</f>
        <v>#N/A</v>
      </c>
      <c r="F2955" s="121" t="e">
        <f>VLOOKUP(B2955,'LISTA 12'!$A$2:$G$30100,7,0)</f>
        <v>#N/A</v>
      </c>
      <c r="G2955" s="254" t="e">
        <f>VLOOKUP(H2955,'lista 3'!$A$1:$C$31467,3,0)</f>
        <v>#N/A</v>
      </c>
      <c r="H2955" s="134"/>
      <c r="I2955" s="136"/>
      <c r="J2955" s="135"/>
      <c r="K2955" s="22"/>
    </row>
    <row r="2956" spans="1:11">
      <c r="A2956" s="241" t="e">
        <f>VLOOKUP(B2956,'lista 1'!$A$2:$E$30100,4,0)</f>
        <v>#N/A</v>
      </c>
      <c r="B2956" s="123"/>
      <c r="C2956" s="133" t="e">
        <f>VLOOKUP(B2956,'lista 1'!$A$2:$E$31000,5,0)</f>
        <v>#N/A</v>
      </c>
      <c r="D2956" s="167" t="e">
        <f>VLOOKUP(E14756,'lista obszary'!A:B,2,0)</f>
        <v>#N/A</v>
      </c>
      <c r="E2956" s="128" t="e">
        <f>VLOOKUP(B2956,'LISTA 12'!$A$2:$G$301400,5,0)</f>
        <v>#N/A</v>
      </c>
      <c r="F2956" s="121" t="e">
        <f>VLOOKUP(B2956,'LISTA 12'!$A$2:$G$30100,7,0)</f>
        <v>#N/A</v>
      </c>
      <c r="G2956" s="254" t="e">
        <f>VLOOKUP(H2956,'lista 3'!$A$1:$C$31467,3,0)</f>
        <v>#N/A</v>
      </c>
      <c r="H2956" s="134"/>
      <c r="I2956" s="136"/>
      <c r="J2956" s="135"/>
      <c r="K2956" s="22"/>
    </row>
    <row r="2957" spans="1:11">
      <c r="A2957" s="241" t="e">
        <f>VLOOKUP(B2957,'lista 1'!$A$2:$E$30100,4,0)</f>
        <v>#N/A</v>
      </c>
      <c r="B2957" s="123"/>
      <c r="C2957" s="133" t="e">
        <f>VLOOKUP(B2957,'lista 1'!$A$2:$E$31000,5,0)</f>
        <v>#N/A</v>
      </c>
      <c r="D2957" s="167" t="e">
        <f>VLOOKUP(E14757,'lista obszary'!A:B,2,0)</f>
        <v>#N/A</v>
      </c>
      <c r="E2957" s="128" t="e">
        <f>VLOOKUP(B2957,'LISTA 12'!$A$2:$G$301400,5,0)</f>
        <v>#N/A</v>
      </c>
      <c r="F2957" s="121" t="e">
        <f>VLOOKUP(B2957,'LISTA 12'!$A$2:$G$30100,7,0)</f>
        <v>#N/A</v>
      </c>
      <c r="G2957" s="254" t="e">
        <f>VLOOKUP(H2957,'lista 3'!$A$1:$C$31467,3,0)</f>
        <v>#N/A</v>
      </c>
      <c r="H2957" s="134"/>
      <c r="I2957" s="136"/>
      <c r="J2957" s="135"/>
      <c r="K2957" s="22"/>
    </row>
    <row r="2958" spans="1:11">
      <c r="A2958" s="241" t="e">
        <f>VLOOKUP(B2958,'lista 1'!$A$2:$E$30100,4,0)</f>
        <v>#N/A</v>
      </c>
      <c r="B2958" s="123"/>
      <c r="C2958" s="133" t="e">
        <f>VLOOKUP(B2958,'lista 1'!$A$2:$E$31000,5,0)</f>
        <v>#N/A</v>
      </c>
      <c r="D2958" s="167" t="e">
        <f>VLOOKUP(E14758,'lista obszary'!A:B,2,0)</f>
        <v>#N/A</v>
      </c>
      <c r="E2958" s="128" t="e">
        <f>VLOOKUP(B2958,'LISTA 12'!$A$2:$G$301400,5,0)</f>
        <v>#N/A</v>
      </c>
      <c r="F2958" s="121" t="e">
        <f>VLOOKUP(B2958,'LISTA 12'!$A$2:$G$30100,7,0)</f>
        <v>#N/A</v>
      </c>
      <c r="G2958" s="254" t="e">
        <f>VLOOKUP(H2958,'lista 3'!$A$1:$C$31467,3,0)</f>
        <v>#N/A</v>
      </c>
      <c r="H2958" s="134"/>
      <c r="I2958" s="136"/>
      <c r="J2958" s="135"/>
      <c r="K2958" s="22"/>
    </row>
    <row r="2959" spans="1:11">
      <c r="A2959" s="241" t="e">
        <f>VLOOKUP(B2959,'lista 1'!$A$2:$E$30100,4,0)</f>
        <v>#N/A</v>
      </c>
      <c r="B2959" s="123"/>
      <c r="C2959" s="133" t="e">
        <f>VLOOKUP(B2959,'lista 1'!$A$2:$E$31000,5,0)</f>
        <v>#N/A</v>
      </c>
      <c r="D2959" s="167" t="e">
        <f>VLOOKUP(E14759,'lista obszary'!A:B,2,0)</f>
        <v>#N/A</v>
      </c>
      <c r="E2959" s="128" t="e">
        <f>VLOOKUP(B2959,'LISTA 12'!$A$2:$G$301400,5,0)</f>
        <v>#N/A</v>
      </c>
      <c r="F2959" s="121" t="e">
        <f>VLOOKUP(B2959,'LISTA 12'!$A$2:$G$30100,7,0)</f>
        <v>#N/A</v>
      </c>
      <c r="G2959" s="254" t="e">
        <f>VLOOKUP(H2959,'lista 3'!$A$1:$C$31467,3,0)</f>
        <v>#N/A</v>
      </c>
      <c r="H2959" s="134"/>
      <c r="I2959" s="136"/>
      <c r="J2959" s="135"/>
      <c r="K2959" s="22"/>
    </row>
    <row r="2960" spans="1:11">
      <c r="A2960" s="241" t="e">
        <f>VLOOKUP(B2960,'lista 1'!$A$2:$E$30100,4,0)</f>
        <v>#N/A</v>
      </c>
      <c r="B2960" s="123"/>
      <c r="C2960" s="133" t="e">
        <f>VLOOKUP(B2960,'lista 1'!$A$2:$E$31000,5,0)</f>
        <v>#N/A</v>
      </c>
      <c r="D2960" s="167" t="e">
        <f>VLOOKUP(E14760,'lista obszary'!A:B,2,0)</f>
        <v>#N/A</v>
      </c>
      <c r="E2960" s="128" t="e">
        <f>VLOOKUP(B2960,'LISTA 12'!$A$2:$G$301400,5,0)</f>
        <v>#N/A</v>
      </c>
      <c r="F2960" s="121" t="e">
        <f>VLOOKUP(B2960,'LISTA 12'!$A$2:$G$30100,7,0)</f>
        <v>#N/A</v>
      </c>
      <c r="G2960" s="254" t="e">
        <f>VLOOKUP(H2960,'lista 3'!$A$1:$C$31467,3,0)</f>
        <v>#N/A</v>
      </c>
      <c r="H2960" s="134"/>
      <c r="I2960" s="136"/>
      <c r="J2960" s="135"/>
      <c r="K2960" s="22"/>
    </row>
    <row r="2961" spans="1:11">
      <c r="A2961" s="241" t="e">
        <f>VLOOKUP(B2961,'lista 1'!$A$2:$E$30100,4,0)</f>
        <v>#N/A</v>
      </c>
      <c r="B2961" s="123"/>
      <c r="C2961" s="133" t="e">
        <f>VLOOKUP(B2961,'lista 1'!$A$2:$E$31000,5,0)</f>
        <v>#N/A</v>
      </c>
      <c r="D2961" s="167" t="e">
        <f>VLOOKUP(E14761,'lista obszary'!A:B,2,0)</f>
        <v>#N/A</v>
      </c>
      <c r="E2961" s="128" t="e">
        <f>VLOOKUP(B2961,'LISTA 12'!$A$2:$G$301400,5,0)</f>
        <v>#N/A</v>
      </c>
      <c r="F2961" s="121" t="e">
        <f>VLOOKUP(B2961,'LISTA 12'!$A$2:$G$30100,7,0)</f>
        <v>#N/A</v>
      </c>
      <c r="G2961" s="254" t="e">
        <f>VLOOKUP(H2961,'lista 3'!$A$1:$C$31467,3,0)</f>
        <v>#N/A</v>
      </c>
      <c r="H2961" s="134"/>
      <c r="I2961" s="136"/>
      <c r="J2961" s="135"/>
      <c r="K2961" s="22"/>
    </row>
    <row r="2962" spans="1:11">
      <c r="A2962" s="241" t="e">
        <f>VLOOKUP(B2962,'lista 1'!$A$2:$E$30100,4,0)</f>
        <v>#N/A</v>
      </c>
      <c r="B2962" s="123"/>
      <c r="C2962" s="133" t="e">
        <f>VLOOKUP(B2962,'lista 1'!$A$2:$E$31000,5,0)</f>
        <v>#N/A</v>
      </c>
      <c r="D2962" s="167" t="e">
        <f>VLOOKUP(E14762,'lista obszary'!A:B,2,0)</f>
        <v>#N/A</v>
      </c>
      <c r="E2962" s="128" t="e">
        <f>VLOOKUP(B2962,'LISTA 12'!$A$2:$G$301400,5,0)</f>
        <v>#N/A</v>
      </c>
      <c r="F2962" s="121" t="e">
        <f>VLOOKUP(B2962,'LISTA 12'!$A$2:$G$30100,7,0)</f>
        <v>#N/A</v>
      </c>
      <c r="G2962" s="254" t="e">
        <f>VLOOKUP(H2962,'lista 3'!$A$1:$C$31467,3,0)</f>
        <v>#N/A</v>
      </c>
      <c r="H2962" s="134"/>
      <c r="I2962" s="136"/>
      <c r="J2962" s="135"/>
      <c r="K2962" s="22"/>
    </row>
    <row r="2963" spans="1:11">
      <c r="A2963" s="241" t="e">
        <f>VLOOKUP(B2963,'lista 1'!$A$2:$E$30100,4,0)</f>
        <v>#N/A</v>
      </c>
      <c r="B2963" s="123"/>
      <c r="C2963" s="133" t="e">
        <f>VLOOKUP(B2963,'lista 1'!$A$2:$E$31000,5,0)</f>
        <v>#N/A</v>
      </c>
      <c r="D2963" s="167" t="e">
        <f>VLOOKUP(E14763,'lista obszary'!A:B,2,0)</f>
        <v>#N/A</v>
      </c>
      <c r="E2963" s="128" t="e">
        <f>VLOOKUP(B2963,'LISTA 12'!$A$2:$G$301400,5,0)</f>
        <v>#N/A</v>
      </c>
      <c r="F2963" s="121" t="e">
        <f>VLOOKUP(B2963,'LISTA 12'!$A$2:$G$30100,7,0)</f>
        <v>#N/A</v>
      </c>
      <c r="G2963" s="254" t="e">
        <f>VLOOKUP(H2963,'lista 3'!$A$1:$C$31467,3,0)</f>
        <v>#N/A</v>
      </c>
      <c r="H2963" s="134"/>
      <c r="I2963" s="136"/>
      <c r="J2963" s="135"/>
      <c r="K2963" s="22"/>
    </row>
    <row r="2964" spans="1:11">
      <c r="A2964" s="241" t="e">
        <f>VLOOKUP(B2964,'lista 1'!$A$2:$E$30100,4,0)</f>
        <v>#N/A</v>
      </c>
      <c r="B2964" s="123"/>
      <c r="C2964" s="133" t="e">
        <f>VLOOKUP(B2964,'lista 1'!$A$2:$E$31000,5,0)</f>
        <v>#N/A</v>
      </c>
      <c r="D2964" s="167" t="e">
        <f>VLOOKUP(E14764,'lista obszary'!A:B,2,0)</f>
        <v>#N/A</v>
      </c>
      <c r="E2964" s="128" t="e">
        <f>VLOOKUP(B2964,'LISTA 12'!$A$2:$G$301400,5,0)</f>
        <v>#N/A</v>
      </c>
      <c r="F2964" s="121" t="e">
        <f>VLOOKUP(B2964,'LISTA 12'!$A$2:$G$30100,7,0)</f>
        <v>#N/A</v>
      </c>
      <c r="G2964" s="254" t="e">
        <f>VLOOKUP(H2964,'lista 3'!$A$1:$C$31467,3,0)</f>
        <v>#N/A</v>
      </c>
      <c r="H2964" s="134"/>
      <c r="I2964" s="136"/>
      <c r="J2964" s="135"/>
      <c r="K2964" s="22"/>
    </row>
    <row r="2965" spans="1:11">
      <c r="A2965" s="241" t="e">
        <f>VLOOKUP(B2965,'lista 1'!$A$2:$E$30100,4,0)</f>
        <v>#N/A</v>
      </c>
      <c r="B2965" s="123"/>
      <c r="C2965" s="133" t="e">
        <f>VLOOKUP(B2965,'lista 1'!$A$2:$E$31000,5,0)</f>
        <v>#N/A</v>
      </c>
      <c r="D2965" s="167" t="e">
        <f>VLOOKUP(E14765,'lista obszary'!A:B,2,0)</f>
        <v>#N/A</v>
      </c>
      <c r="E2965" s="128" t="e">
        <f>VLOOKUP(B2965,'LISTA 12'!$A$2:$G$301400,5,0)</f>
        <v>#N/A</v>
      </c>
      <c r="F2965" s="121" t="e">
        <f>VLOOKUP(B2965,'LISTA 12'!$A$2:$G$30100,7,0)</f>
        <v>#N/A</v>
      </c>
      <c r="G2965" s="254" t="e">
        <f>VLOOKUP(H2965,'lista 3'!$A$1:$C$31467,3,0)</f>
        <v>#N/A</v>
      </c>
      <c r="H2965" s="134"/>
      <c r="I2965" s="136"/>
      <c r="J2965" s="135"/>
      <c r="K2965" s="22"/>
    </row>
    <row r="2966" spans="1:11">
      <c r="A2966" s="241" t="e">
        <f>VLOOKUP(B2966,'lista 1'!$A$2:$E$30100,4,0)</f>
        <v>#N/A</v>
      </c>
      <c r="B2966" s="123"/>
      <c r="C2966" s="133" t="e">
        <f>VLOOKUP(B2966,'lista 1'!$A$2:$E$31000,5,0)</f>
        <v>#N/A</v>
      </c>
      <c r="D2966" s="167" t="e">
        <f>VLOOKUP(E14766,'lista obszary'!A:B,2,0)</f>
        <v>#N/A</v>
      </c>
      <c r="E2966" s="128" t="e">
        <f>VLOOKUP(B2966,'LISTA 12'!$A$2:$G$301400,5,0)</f>
        <v>#N/A</v>
      </c>
      <c r="F2966" s="121" t="e">
        <f>VLOOKUP(B2966,'LISTA 12'!$A$2:$G$30100,7,0)</f>
        <v>#N/A</v>
      </c>
      <c r="G2966" s="254" t="e">
        <f>VLOOKUP(H2966,'lista 3'!$A$1:$C$31467,3,0)</f>
        <v>#N/A</v>
      </c>
      <c r="H2966" s="134"/>
      <c r="I2966" s="136"/>
      <c r="J2966" s="135"/>
      <c r="K2966" s="22"/>
    </row>
    <row r="2967" spans="1:11">
      <c r="A2967" s="241" t="e">
        <f>VLOOKUP(B2967,'lista 1'!$A$2:$E$30100,4,0)</f>
        <v>#N/A</v>
      </c>
      <c r="B2967" s="123"/>
      <c r="C2967" s="133" t="e">
        <f>VLOOKUP(B2967,'lista 1'!$A$2:$E$31000,5,0)</f>
        <v>#N/A</v>
      </c>
      <c r="D2967" s="167" t="e">
        <f>VLOOKUP(E14767,'lista obszary'!A:B,2,0)</f>
        <v>#N/A</v>
      </c>
      <c r="E2967" s="128" t="e">
        <f>VLOOKUP(B2967,'LISTA 12'!$A$2:$G$301400,5,0)</f>
        <v>#N/A</v>
      </c>
      <c r="F2967" s="121" t="e">
        <f>VLOOKUP(B2967,'LISTA 12'!$A$2:$G$30100,7,0)</f>
        <v>#N/A</v>
      </c>
      <c r="G2967" s="254" t="e">
        <f>VLOOKUP(H2967,'lista 3'!$A$1:$C$31467,3,0)</f>
        <v>#N/A</v>
      </c>
      <c r="H2967" s="134"/>
      <c r="I2967" s="136"/>
      <c r="J2967" s="135"/>
      <c r="K2967" s="22"/>
    </row>
    <row r="2968" spans="1:11">
      <c r="A2968" s="241" t="e">
        <f>VLOOKUP(B2968,'lista 1'!$A$2:$E$30100,4,0)</f>
        <v>#N/A</v>
      </c>
      <c r="B2968" s="123"/>
      <c r="C2968" s="133" t="e">
        <f>VLOOKUP(B2968,'lista 1'!$A$2:$E$31000,5,0)</f>
        <v>#N/A</v>
      </c>
      <c r="D2968" s="167" t="e">
        <f>VLOOKUP(E14768,'lista obszary'!A:B,2,0)</f>
        <v>#N/A</v>
      </c>
      <c r="E2968" s="128" t="e">
        <f>VLOOKUP(B2968,'LISTA 12'!$A$2:$G$301400,5,0)</f>
        <v>#N/A</v>
      </c>
      <c r="F2968" s="121" t="e">
        <f>VLOOKUP(B2968,'LISTA 12'!$A$2:$G$30100,7,0)</f>
        <v>#N/A</v>
      </c>
      <c r="G2968" s="254" t="e">
        <f>VLOOKUP(H2968,'lista 3'!$A$1:$C$31467,3,0)</f>
        <v>#N/A</v>
      </c>
      <c r="H2968" s="134"/>
      <c r="I2968" s="136"/>
      <c r="J2968" s="135"/>
      <c r="K2968" s="22"/>
    </row>
    <row r="2969" spans="1:11">
      <c r="A2969" s="241" t="e">
        <f>VLOOKUP(B2969,'lista 1'!$A$2:$E$30100,4,0)</f>
        <v>#N/A</v>
      </c>
      <c r="B2969" s="123"/>
      <c r="C2969" s="133" t="e">
        <f>VLOOKUP(B2969,'lista 1'!$A$2:$E$31000,5,0)</f>
        <v>#N/A</v>
      </c>
      <c r="D2969" s="167" t="e">
        <f>VLOOKUP(E14769,'lista obszary'!A:B,2,0)</f>
        <v>#N/A</v>
      </c>
      <c r="E2969" s="128" t="e">
        <f>VLOOKUP(B2969,'LISTA 12'!$A$2:$G$301400,5,0)</f>
        <v>#N/A</v>
      </c>
      <c r="F2969" s="121" t="e">
        <f>VLOOKUP(B2969,'LISTA 12'!$A$2:$G$30100,7,0)</f>
        <v>#N/A</v>
      </c>
      <c r="G2969" s="254" t="e">
        <f>VLOOKUP(H2969,'lista 3'!$A$1:$C$31467,3,0)</f>
        <v>#N/A</v>
      </c>
      <c r="H2969" s="134"/>
      <c r="I2969" s="136"/>
      <c r="J2969" s="135"/>
      <c r="K2969" s="22"/>
    </row>
    <row r="2970" spans="1:11">
      <c r="A2970" s="241" t="e">
        <f>VLOOKUP(B2970,'lista 1'!$A$2:$E$30100,4,0)</f>
        <v>#N/A</v>
      </c>
      <c r="B2970" s="123"/>
      <c r="C2970" s="133" t="e">
        <f>VLOOKUP(B2970,'lista 1'!$A$2:$E$31000,5,0)</f>
        <v>#N/A</v>
      </c>
      <c r="D2970" s="167" t="e">
        <f>VLOOKUP(E14770,'lista obszary'!A:B,2,0)</f>
        <v>#N/A</v>
      </c>
      <c r="E2970" s="128" t="e">
        <f>VLOOKUP(B2970,'LISTA 12'!$A$2:$G$301400,5,0)</f>
        <v>#N/A</v>
      </c>
      <c r="F2970" s="121" t="e">
        <f>VLOOKUP(B2970,'LISTA 12'!$A$2:$G$30100,7,0)</f>
        <v>#N/A</v>
      </c>
      <c r="G2970" s="254" t="e">
        <f>VLOOKUP(H2970,'lista 3'!$A$1:$C$31467,3,0)</f>
        <v>#N/A</v>
      </c>
      <c r="H2970" s="134"/>
      <c r="I2970" s="136"/>
      <c r="J2970" s="135"/>
      <c r="K2970" s="22"/>
    </row>
    <row r="2971" spans="1:11">
      <c r="A2971" s="241" t="e">
        <f>VLOOKUP(B2971,'lista 1'!$A$2:$E$30100,4,0)</f>
        <v>#N/A</v>
      </c>
      <c r="B2971" s="123"/>
      <c r="C2971" s="133" t="e">
        <f>VLOOKUP(B2971,'lista 1'!$A$2:$E$31000,5,0)</f>
        <v>#N/A</v>
      </c>
      <c r="D2971" s="167" t="e">
        <f>VLOOKUP(E14771,'lista obszary'!A:B,2,0)</f>
        <v>#N/A</v>
      </c>
      <c r="E2971" s="128" t="e">
        <f>VLOOKUP(B2971,'LISTA 12'!$A$2:$G$301400,5,0)</f>
        <v>#N/A</v>
      </c>
      <c r="F2971" s="121" t="e">
        <f>VLOOKUP(B2971,'LISTA 12'!$A$2:$G$30100,7,0)</f>
        <v>#N/A</v>
      </c>
      <c r="G2971" s="254" t="e">
        <f>VLOOKUP(H2971,'lista 3'!$A$1:$C$31467,3,0)</f>
        <v>#N/A</v>
      </c>
      <c r="H2971" s="134"/>
      <c r="I2971" s="136"/>
      <c r="J2971" s="135"/>
      <c r="K2971" s="22"/>
    </row>
    <row r="2972" spans="1:11">
      <c r="A2972" s="241" t="e">
        <f>VLOOKUP(B2972,'lista 1'!$A$2:$E$30100,4,0)</f>
        <v>#N/A</v>
      </c>
      <c r="B2972" s="123"/>
      <c r="C2972" s="133" t="e">
        <f>VLOOKUP(B2972,'lista 1'!$A$2:$E$31000,5,0)</f>
        <v>#N/A</v>
      </c>
      <c r="D2972" s="167" t="e">
        <f>VLOOKUP(E14772,'lista obszary'!A:B,2,0)</f>
        <v>#N/A</v>
      </c>
      <c r="E2972" s="128" t="e">
        <f>VLOOKUP(B2972,'LISTA 12'!$A$2:$G$301400,5,0)</f>
        <v>#N/A</v>
      </c>
      <c r="F2972" s="121" t="e">
        <f>VLOOKUP(B2972,'LISTA 12'!$A$2:$G$30100,7,0)</f>
        <v>#N/A</v>
      </c>
      <c r="G2972" s="254" t="e">
        <f>VLOOKUP(H2972,'lista 3'!$A$1:$C$31467,3,0)</f>
        <v>#N/A</v>
      </c>
      <c r="H2972" s="134"/>
      <c r="I2972" s="136"/>
      <c r="J2972" s="135"/>
      <c r="K2972" s="22"/>
    </row>
    <row r="2973" spans="1:11">
      <c r="A2973" s="241" t="e">
        <f>VLOOKUP(B2973,'lista 1'!$A$2:$E$30100,4,0)</f>
        <v>#N/A</v>
      </c>
      <c r="B2973" s="123"/>
      <c r="C2973" s="133" t="e">
        <f>VLOOKUP(B2973,'lista 1'!$A$2:$E$31000,5,0)</f>
        <v>#N/A</v>
      </c>
      <c r="D2973" s="167" t="e">
        <f>VLOOKUP(E14773,'lista obszary'!A:B,2,0)</f>
        <v>#N/A</v>
      </c>
      <c r="E2973" s="128" t="e">
        <f>VLOOKUP(B2973,'LISTA 12'!$A$2:$G$301400,5,0)</f>
        <v>#N/A</v>
      </c>
      <c r="F2973" s="121" t="e">
        <f>VLOOKUP(B2973,'LISTA 12'!$A$2:$G$30100,7,0)</f>
        <v>#N/A</v>
      </c>
      <c r="G2973" s="254" t="e">
        <f>VLOOKUP(H2973,'lista 3'!$A$1:$C$31467,3,0)</f>
        <v>#N/A</v>
      </c>
      <c r="H2973" s="134"/>
      <c r="I2973" s="136"/>
      <c r="J2973" s="135"/>
      <c r="K2973" s="22"/>
    </row>
    <row r="2974" spans="1:11">
      <c r="A2974" s="241" t="e">
        <f>VLOOKUP(B2974,'lista 1'!$A$2:$E$30100,4,0)</f>
        <v>#N/A</v>
      </c>
      <c r="B2974" s="123"/>
      <c r="C2974" s="133" t="e">
        <f>VLOOKUP(B2974,'lista 1'!$A$2:$E$31000,5,0)</f>
        <v>#N/A</v>
      </c>
      <c r="D2974" s="167" t="e">
        <f>VLOOKUP(E14774,'lista obszary'!A:B,2,0)</f>
        <v>#N/A</v>
      </c>
      <c r="E2974" s="128" t="e">
        <f>VLOOKUP(B2974,'LISTA 12'!$A$2:$G$301400,5,0)</f>
        <v>#N/A</v>
      </c>
      <c r="F2974" s="121" t="e">
        <f>VLOOKUP(B2974,'LISTA 12'!$A$2:$G$30100,7,0)</f>
        <v>#N/A</v>
      </c>
      <c r="G2974" s="254" t="e">
        <f>VLOOKUP(H2974,'lista 3'!$A$1:$C$31467,3,0)</f>
        <v>#N/A</v>
      </c>
      <c r="H2974" s="134"/>
      <c r="I2974" s="136"/>
      <c r="J2974" s="135"/>
      <c r="K2974" s="22"/>
    </row>
    <row r="2975" spans="1:11">
      <c r="A2975" s="241" t="e">
        <f>VLOOKUP(B2975,'lista 1'!$A$2:$E$30100,4,0)</f>
        <v>#N/A</v>
      </c>
      <c r="B2975" s="123"/>
      <c r="C2975" s="133" t="e">
        <f>VLOOKUP(B2975,'lista 1'!$A$2:$E$31000,5,0)</f>
        <v>#N/A</v>
      </c>
      <c r="D2975" s="167" t="e">
        <f>VLOOKUP(E14775,'lista obszary'!A:B,2,0)</f>
        <v>#N/A</v>
      </c>
      <c r="E2975" s="128" t="e">
        <f>VLOOKUP(B2975,'LISTA 12'!$A$2:$G$301400,5,0)</f>
        <v>#N/A</v>
      </c>
      <c r="F2975" s="121" t="e">
        <f>VLOOKUP(B2975,'LISTA 12'!$A$2:$G$30100,7,0)</f>
        <v>#N/A</v>
      </c>
      <c r="G2975" s="254" t="e">
        <f>VLOOKUP(H2975,'lista 3'!$A$1:$C$31467,3,0)</f>
        <v>#N/A</v>
      </c>
      <c r="H2975" s="134"/>
      <c r="I2975" s="136"/>
      <c r="J2975" s="135"/>
      <c r="K2975" s="22"/>
    </row>
    <row r="2976" spans="1:11">
      <c r="A2976" s="241" t="e">
        <f>VLOOKUP(B2976,'lista 1'!$A$2:$E$30100,4,0)</f>
        <v>#N/A</v>
      </c>
      <c r="B2976" s="123"/>
      <c r="C2976" s="133" t="e">
        <f>VLOOKUP(B2976,'lista 1'!$A$2:$E$31000,5,0)</f>
        <v>#N/A</v>
      </c>
      <c r="D2976" s="167" t="e">
        <f>VLOOKUP(E14776,'lista obszary'!A:B,2,0)</f>
        <v>#N/A</v>
      </c>
      <c r="E2976" s="128" t="e">
        <f>VLOOKUP(B2976,'LISTA 12'!$A$2:$G$301400,5,0)</f>
        <v>#N/A</v>
      </c>
      <c r="F2976" s="121" t="e">
        <f>VLOOKUP(B2976,'LISTA 12'!$A$2:$G$30100,7,0)</f>
        <v>#N/A</v>
      </c>
      <c r="G2976" s="254" t="e">
        <f>VLOOKUP(H2976,'lista 3'!$A$1:$C$31467,3,0)</f>
        <v>#N/A</v>
      </c>
      <c r="H2976" s="134"/>
      <c r="I2976" s="136"/>
      <c r="J2976" s="135"/>
      <c r="K2976" s="22"/>
    </row>
    <row r="2977" spans="1:11">
      <c r="A2977" s="241" t="e">
        <f>VLOOKUP(B2977,'lista 1'!$A$2:$E$30100,4,0)</f>
        <v>#N/A</v>
      </c>
      <c r="B2977" s="123"/>
      <c r="C2977" s="133" t="e">
        <f>VLOOKUP(B2977,'lista 1'!$A$2:$E$31000,5,0)</f>
        <v>#N/A</v>
      </c>
      <c r="D2977" s="167" t="e">
        <f>VLOOKUP(E14777,'lista obszary'!A:B,2,0)</f>
        <v>#N/A</v>
      </c>
      <c r="E2977" s="128" t="e">
        <f>VLOOKUP(B2977,'LISTA 12'!$A$2:$G$301400,5,0)</f>
        <v>#N/A</v>
      </c>
      <c r="F2977" s="121" t="e">
        <f>VLOOKUP(B2977,'LISTA 12'!$A$2:$G$30100,7,0)</f>
        <v>#N/A</v>
      </c>
      <c r="G2977" s="254" t="e">
        <f>VLOOKUP(H2977,'lista 3'!$A$1:$C$31467,3,0)</f>
        <v>#N/A</v>
      </c>
      <c r="H2977" s="134"/>
      <c r="I2977" s="136"/>
      <c r="J2977" s="135"/>
      <c r="K2977" s="22"/>
    </row>
    <row r="2978" spans="1:11">
      <c r="A2978" s="241" t="e">
        <f>VLOOKUP(B2978,'lista 1'!$A$2:$E$30100,4,0)</f>
        <v>#N/A</v>
      </c>
      <c r="B2978" s="123"/>
      <c r="C2978" s="133" t="e">
        <f>VLOOKUP(B2978,'lista 1'!$A$2:$E$31000,5,0)</f>
        <v>#N/A</v>
      </c>
      <c r="D2978" s="167" t="e">
        <f>VLOOKUP(E14778,'lista obszary'!A:B,2,0)</f>
        <v>#N/A</v>
      </c>
      <c r="E2978" s="128" t="e">
        <f>VLOOKUP(B2978,'LISTA 12'!$A$2:$G$301400,5,0)</f>
        <v>#N/A</v>
      </c>
      <c r="F2978" s="121" t="e">
        <f>VLOOKUP(B2978,'LISTA 12'!$A$2:$G$30100,7,0)</f>
        <v>#N/A</v>
      </c>
      <c r="G2978" s="254" t="e">
        <f>VLOOKUP(H2978,'lista 3'!$A$1:$C$31467,3,0)</f>
        <v>#N/A</v>
      </c>
      <c r="H2978" s="134"/>
      <c r="I2978" s="136"/>
      <c r="J2978" s="135"/>
      <c r="K2978" s="22"/>
    </row>
    <row r="2979" spans="1:11">
      <c r="A2979" s="241" t="e">
        <f>VLOOKUP(B2979,'lista 1'!$A$2:$E$30100,4,0)</f>
        <v>#N/A</v>
      </c>
      <c r="B2979" s="123"/>
      <c r="C2979" s="133" t="e">
        <f>VLOOKUP(B2979,'lista 1'!$A$2:$E$31000,5,0)</f>
        <v>#N/A</v>
      </c>
      <c r="D2979" s="167" t="e">
        <f>VLOOKUP(E14779,'lista obszary'!A:B,2,0)</f>
        <v>#N/A</v>
      </c>
      <c r="E2979" s="128" t="e">
        <f>VLOOKUP(B2979,'LISTA 12'!$A$2:$G$301400,5,0)</f>
        <v>#N/A</v>
      </c>
      <c r="F2979" s="121" t="e">
        <f>VLOOKUP(B2979,'LISTA 12'!$A$2:$G$30100,7,0)</f>
        <v>#N/A</v>
      </c>
      <c r="G2979" s="254" t="e">
        <f>VLOOKUP(H2979,'lista 3'!$A$1:$C$31467,3,0)</f>
        <v>#N/A</v>
      </c>
      <c r="H2979" s="134"/>
      <c r="I2979" s="136"/>
      <c r="J2979" s="135"/>
      <c r="K2979" s="22"/>
    </row>
    <row r="2980" spans="1:11">
      <c r="A2980" s="241" t="e">
        <f>VLOOKUP(B2980,'lista 1'!$A$2:$E$30100,4,0)</f>
        <v>#N/A</v>
      </c>
      <c r="B2980" s="123"/>
      <c r="C2980" s="133" t="e">
        <f>VLOOKUP(B2980,'lista 1'!$A$2:$E$31000,5,0)</f>
        <v>#N/A</v>
      </c>
      <c r="D2980" s="167" t="e">
        <f>VLOOKUP(E14780,'lista obszary'!A:B,2,0)</f>
        <v>#N/A</v>
      </c>
      <c r="E2980" s="128" t="e">
        <f>VLOOKUP(B2980,'LISTA 12'!$A$2:$G$301400,5,0)</f>
        <v>#N/A</v>
      </c>
      <c r="F2980" s="121" t="e">
        <f>VLOOKUP(B2980,'LISTA 12'!$A$2:$G$30100,7,0)</f>
        <v>#N/A</v>
      </c>
      <c r="G2980" s="254" t="e">
        <f>VLOOKUP(H2980,'lista 3'!$A$1:$C$31467,3,0)</f>
        <v>#N/A</v>
      </c>
      <c r="H2980" s="134"/>
      <c r="I2980" s="136"/>
      <c r="J2980" s="135"/>
      <c r="K2980" s="22"/>
    </row>
    <row r="2981" spans="1:11">
      <c r="A2981" s="241" t="e">
        <f>VLOOKUP(B2981,'lista 1'!$A$2:$E$30100,4,0)</f>
        <v>#N/A</v>
      </c>
      <c r="B2981" s="123"/>
      <c r="C2981" s="133" t="e">
        <f>VLOOKUP(B2981,'lista 1'!$A$2:$E$31000,5,0)</f>
        <v>#N/A</v>
      </c>
      <c r="D2981" s="167" t="e">
        <f>VLOOKUP(E14781,'lista obszary'!A:B,2,0)</f>
        <v>#N/A</v>
      </c>
      <c r="E2981" s="128" t="e">
        <f>VLOOKUP(B2981,'LISTA 12'!$A$2:$G$301400,5,0)</f>
        <v>#N/A</v>
      </c>
      <c r="F2981" s="121" t="e">
        <f>VLOOKUP(B2981,'LISTA 12'!$A$2:$G$30100,7,0)</f>
        <v>#N/A</v>
      </c>
      <c r="G2981" s="254" t="e">
        <f>VLOOKUP(H2981,'lista 3'!$A$1:$C$31467,3,0)</f>
        <v>#N/A</v>
      </c>
      <c r="H2981" s="134"/>
      <c r="I2981" s="136"/>
      <c r="J2981" s="135"/>
      <c r="K2981" s="22"/>
    </row>
    <row r="2982" spans="1:11">
      <c r="A2982" s="241" t="e">
        <f>VLOOKUP(B2982,'lista 1'!$A$2:$E$30100,4,0)</f>
        <v>#N/A</v>
      </c>
      <c r="B2982" s="123"/>
      <c r="C2982" s="133" t="e">
        <f>VLOOKUP(B2982,'lista 1'!$A$2:$E$31000,5,0)</f>
        <v>#N/A</v>
      </c>
      <c r="D2982" s="167" t="e">
        <f>VLOOKUP(E14782,'lista obszary'!A:B,2,0)</f>
        <v>#N/A</v>
      </c>
      <c r="E2982" s="128" t="e">
        <f>VLOOKUP(B2982,'LISTA 12'!$A$2:$G$301400,5,0)</f>
        <v>#N/A</v>
      </c>
      <c r="F2982" s="121" t="e">
        <f>VLOOKUP(B2982,'LISTA 12'!$A$2:$G$30100,7,0)</f>
        <v>#N/A</v>
      </c>
      <c r="G2982" s="254" t="e">
        <f>VLOOKUP(H2982,'lista 3'!$A$1:$C$31467,3,0)</f>
        <v>#N/A</v>
      </c>
      <c r="H2982" s="134"/>
      <c r="I2982" s="136"/>
      <c r="J2982" s="135"/>
      <c r="K2982" s="22"/>
    </row>
    <row r="2983" spans="1:11">
      <c r="A2983" s="241" t="e">
        <f>VLOOKUP(B2983,'lista 1'!$A$2:$E$30100,4,0)</f>
        <v>#N/A</v>
      </c>
      <c r="B2983" s="123"/>
      <c r="C2983" s="133" t="e">
        <f>VLOOKUP(B2983,'lista 1'!$A$2:$E$31000,5,0)</f>
        <v>#N/A</v>
      </c>
      <c r="D2983" s="167" t="e">
        <f>VLOOKUP(E14783,'lista obszary'!A:B,2,0)</f>
        <v>#N/A</v>
      </c>
      <c r="E2983" s="128" t="e">
        <f>VLOOKUP(B2983,'LISTA 12'!$A$2:$G$301400,5,0)</f>
        <v>#N/A</v>
      </c>
      <c r="F2983" s="121" t="e">
        <f>VLOOKUP(B2983,'LISTA 12'!$A$2:$G$30100,7,0)</f>
        <v>#N/A</v>
      </c>
      <c r="G2983" s="254" t="e">
        <f>VLOOKUP(H2983,'lista 3'!$A$1:$C$31467,3,0)</f>
        <v>#N/A</v>
      </c>
      <c r="H2983" s="134"/>
      <c r="I2983" s="136"/>
      <c r="J2983" s="135"/>
      <c r="K2983" s="22"/>
    </row>
    <row r="2984" spans="1:11">
      <c r="A2984" s="241" t="e">
        <f>VLOOKUP(B2984,'lista 1'!$A$2:$E$30100,4,0)</f>
        <v>#N/A</v>
      </c>
      <c r="B2984" s="123"/>
      <c r="C2984" s="133" t="e">
        <f>VLOOKUP(B2984,'lista 1'!$A$2:$E$31000,5,0)</f>
        <v>#N/A</v>
      </c>
      <c r="D2984" s="167" t="e">
        <f>VLOOKUP(E14784,'lista obszary'!A:B,2,0)</f>
        <v>#N/A</v>
      </c>
      <c r="E2984" s="128" t="e">
        <f>VLOOKUP(B2984,'LISTA 12'!$A$2:$G$301400,5,0)</f>
        <v>#N/A</v>
      </c>
      <c r="F2984" s="121" t="e">
        <f>VLOOKUP(B2984,'LISTA 12'!$A$2:$G$30100,7,0)</f>
        <v>#N/A</v>
      </c>
      <c r="G2984" s="254" t="e">
        <f>VLOOKUP(H2984,'lista 3'!$A$1:$C$31467,3,0)</f>
        <v>#N/A</v>
      </c>
      <c r="H2984" s="134"/>
      <c r="I2984" s="136"/>
      <c r="J2984" s="135"/>
      <c r="K2984" s="22"/>
    </row>
    <row r="2985" spans="1:11">
      <c r="A2985" s="241" t="e">
        <f>VLOOKUP(B2985,'lista 1'!$A$2:$E$30100,4,0)</f>
        <v>#N/A</v>
      </c>
      <c r="B2985" s="123"/>
      <c r="C2985" s="133" t="e">
        <f>VLOOKUP(B2985,'lista 1'!$A$2:$E$31000,5,0)</f>
        <v>#N/A</v>
      </c>
      <c r="D2985" s="167" t="e">
        <f>VLOOKUP(E14785,'lista obszary'!A:B,2,0)</f>
        <v>#N/A</v>
      </c>
      <c r="E2985" s="128" t="e">
        <f>VLOOKUP(B2985,'LISTA 12'!$A$2:$G$301400,5,0)</f>
        <v>#N/A</v>
      </c>
      <c r="F2985" s="121" t="e">
        <f>VLOOKUP(B2985,'LISTA 12'!$A$2:$G$30100,7,0)</f>
        <v>#N/A</v>
      </c>
      <c r="G2985" s="254" t="e">
        <f>VLOOKUP(H2985,'lista 3'!$A$1:$C$31467,3,0)</f>
        <v>#N/A</v>
      </c>
      <c r="H2985" s="134"/>
      <c r="I2985" s="136"/>
      <c r="J2985" s="135"/>
      <c r="K2985" s="22"/>
    </row>
    <row r="2986" spans="1:11">
      <c r="A2986" s="241" t="e">
        <f>VLOOKUP(B2986,'lista 1'!$A$2:$E$30100,4,0)</f>
        <v>#N/A</v>
      </c>
      <c r="B2986" s="123"/>
      <c r="C2986" s="133" t="e">
        <f>VLOOKUP(B2986,'lista 1'!$A$2:$E$31000,5,0)</f>
        <v>#N/A</v>
      </c>
      <c r="D2986" s="167" t="e">
        <f>VLOOKUP(E14786,'lista obszary'!A:B,2,0)</f>
        <v>#N/A</v>
      </c>
      <c r="E2986" s="128" t="e">
        <f>VLOOKUP(B2986,'LISTA 12'!$A$2:$G$301400,5,0)</f>
        <v>#N/A</v>
      </c>
      <c r="F2986" s="121" t="e">
        <f>VLOOKUP(B2986,'LISTA 12'!$A$2:$G$30100,7,0)</f>
        <v>#N/A</v>
      </c>
      <c r="G2986" s="254" t="e">
        <f>VLOOKUP(H2986,'lista 3'!$A$1:$C$31467,3,0)</f>
        <v>#N/A</v>
      </c>
      <c r="H2986" s="134"/>
      <c r="I2986" s="136"/>
      <c r="J2986" s="135"/>
      <c r="K2986" s="22"/>
    </row>
    <row r="2987" spans="1:11">
      <c r="A2987" s="241" t="e">
        <f>VLOOKUP(B2987,'lista 1'!$A$2:$E$30100,4,0)</f>
        <v>#N/A</v>
      </c>
      <c r="B2987" s="123"/>
      <c r="C2987" s="133" t="e">
        <f>VLOOKUP(B2987,'lista 1'!$A$2:$E$31000,5,0)</f>
        <v>#N/A</v>
      </c>
      <c r="D2987" s="167" t="e">
        <f>VLOOKUP(E14787,'lista obszary'!A:B,2,0)</f>
        <v>#N/A</v>
      </c>
      <c r="E2987" s="128" t="e">
        <f>VLOOKUP(B2987,'LISTA 12'!$A$2:$G$301400,5,0)</f>
        <v>#N/A</v>
      </c>
      <c r="F2987" s="121" t="e">
        <f>VLOOKUP(B2987,'LISTA 12'!$A$2:$G$30100,7,0)</f>
        <v>#N/A</v>
      </c>
      <c r="G2987" s="254" t="e">
        <f>VLOOKUP(H2987,'lista 3'!$A$1:$C$31467,3,0)</f>
        <v>#N/A</v>
      </c>
      <c r="H2987" s="134"/>
      <c r="I2987" s="136"/>
      <c r="J2987" s="135"/>
      <c r="K2987" s="22"/>
    </row>
    <row r="2988" spans="1:11">
      <c r="A2988" s="241" t="e">
        <f>VLOOKUP(B2988,'lista 1'!$A$2:$E$30100,4,0)</f>
        <v>#N/A</v>
      </c>
      <c r="B2988" s="123"/>
      <c r="C2988" s="133" t="e">
        <f>VLOOKUP(B2988,'lista 1'!$A$2:$E$31000,5,0)</f>
        <v>#N/A</v>
      </c>
      <c r="D2988" s="167" t="e">
        <f>VLOOKUP(E14788,'lista obszary'!A:B,2,0)</f>
        <v>#N/A</v>
      </c>
      <c r="E2988" s="128" t="e">
        <f>VLOOKUP(B2988,'LISTA 12'!$A$2:$G$301400,5,0)</f>
        <v>#N/A</v>
      </c>
      <c r="F2988" s="121" t="e">
        <f>VLOOKUP(B2988,'LISTA 12'!$A$2:$G$30100,7,0)</f>
        <v>#N/A</v>
      </c>
      <c r="G2988" s="254" t="e">
        <f>VLOOKUP(H2988,'lista 3'!$A$1:$C$31467,3,0)</f>
        <v>#N/A</v>
      </c>
      <c r="H2988" s="134"/>
      <c r="I2988" s="136"/>
      <c r="J2988" s="135"/>
      <c r="K2988" s="22"/>
    </row>
    <row r="2989" spans="1:11">
      <c r="A2989" s="241" t="e">
        <f>VLOOKUP(B2989,'lista 1'!$A$2:$E$30100,4,0)</f>
        <v>#N/A</v>
      </c>
      <c r="B2989" s="123"/>
      <c r="C2989" s="133" t="e">
        <f>VLOOKUP(B2989,'lista 1'!$A$2:$E$31000,5,0)</f>
        <v>#N/A</v>
      </c>
      <c r="D2989" s="167" t="e">
        <f>VLOOKUP(E14789,'lista obszary'!A:B,2,0)</f>
        <v>#N/A</v>
      </c>
      <c r="E2989" s="128" t="e">
        <f>VLOOKUP(B2989,'LISTA 12'!$A$2:$G$301400,5,0)</f>
        <v>#N/A</v>
      </c>
      <c r="F2989" s="121" t="e">
        <f>VLOOKUP(B2989,'LISTA 12'!$A$2:$G$30100,7,0)</f>
        <v>#N/A</v>
      </c>
      <c r="G2989" s="254" t="e">
        <f>VLOOKUP(H2989,'lista 3'!$A$1:$C$31467,3,0)</f>
        <v>#N/A</v>
      </c>
      <c r="H2989" s="134"/>
      <c r="I2989" s="136"/>
      <c r="J2989" s="135"/>
      <c r="K2989" s="22"/>
    </row>
    <row r="2990" spans="1:11">
      <c r="A2990" s="241" t="e">
        <f>VLOOKUP(B2990,'lista 1'!$A$2:$E$30100,4,0)</f>
        <v>#N/A</v>
      </c>
      <c r="B2990" s="123"/>
      <c r="C2990" s="133" t="e">
        <f>VLOOKUP(B2990,'lista 1'!$A$2:$E$31000,5,0)</f>
        <v>#N/A</v>
      </c>
      <c r="D2990" s="167" t="e">
        <f>VLOOKUP(E14790,'lista obszary'!A:B,2,0)</f>
        <v>#N/A</v>
      </c>
      <c r="E2990" s="128" t="e">
        <f>VLOOKUP(B2990,'LISTA 12'!$A$2:$G$301400,5,0)</f>
        <v>#N/A</v>
      </c>
      <c r="F2990" s="121" t="e">
        <f>VLOOKUP(B2990,'LISTA 12'!$A$2:$G$30100,7,0)</f>
        <v>#N/A</v>
      </c>
      <c r="G2990" s="254" t="e">
        <f>VLOOKUP(H2990,'lista 3'!$A$1:$C$31467,3,0)</f>
        <v>#N/A</v>
      </c>
      <c r="H2990" s="134"/>
      <c r="I2990" s="136"/>
      <c r="J2990" s="135"/>
      <c r="K2990" s="22"/>
    </row>
    <row r="2991" spans="1:11">
      <c r="A2991" s="241" t="e">
        <f>VLOOKUP(B2991,'lista 1'!$A$2:$E$30100,4,0)</f>
        <v>#N/A</v>
      </c>
      <c r="B2991" s="123"/>
      <c r="C2991" s="133" t="e">
        <f>VLOOKUP(B2991,'lista 1'!$A$2:$E$31000,5,0)</f>
        <v>#N/A</v>
      </c>
      <c r="D2991" s="167" t="e">
        <f>VLOOKUP(E14791,'lista obszary'!A:B,2,0)</f>
        <v>#N/A</v>
      </c>
      <c r="E2991" s="128" t="e">
        <f>VLOOKUP(B2991,'LISTA 12'!$A$2:$G$301400,5,0)</f>
        <v>#N/A</v>
      </c>
      <c r="F2991" s="121" t="e">
        <f>VLOOKUP(B2991,'LISTA 12'!$A$2:$G$30100,7,0)</f>
        <v>#N/A</v>
      </c>
      <c r="G2991" s="254" t="e">
        <f>VLOOKUP(H2991,'lista 3'!$A$1:$C$31467,3,0)</f>
        <v>#N/A</v>
      </c>
      <c r="H2991" s="134"/>
      <c r="I2991" s="136"/>
      <c r="J2991" s="135"/>
      <c r="K2991" s="22"/>
    </row>
    <row r="2992" spans="1:11">
      <c r="A2992" s="241" t="e">
        <f>VLOOKUP(B2992,'lista 1'!$A$2:$E$30100,4,0)</f>
        <v>#N/A</v>
      </c>
      <c r="B2992" s="123"/>
      <c r="C2992" s="133" t="e">
        <f>VLOOKUP(B2992,'lista 1'!$A$2:$E$31000,5,0)</f>
        <v>#N/A</v>
      </c>
      <c r="D2992" s="167" t="e">
        <f>VLOOKUP(E14792,'lista obszary'!A:B,2,0)</f>
        <v>#N/A</v>
      </c>
      <c r="E2992" s="128" t="e">
        <f>VLOOKUP(B2992,'LISTA 12'!$A$2:$G$301400,5,0)</f>
        <v>#N/A</v>
      </c>
      <c r="F2992" s="121" t="e">
        <f>VLOOKUP(B2992,'LISTA 12'!$A$2:$G$30100,7,0)</f>
        <v>#N/A</v>
      </c>
      <c r="G2992" s="254" t="e">
        <f>VLOOKUP(H2992,'lista 3'!$A$1:$C$31467,3,0)</f>
        <v>#N/A</v>
      </c>
      <c r="H2992" s="134"/>
      <c r="I2992" s="136"/>
      <c r="J2992" s="135"/>
      <c r="K2992" s="22"/>
    </row>
    <row r="2993" spans="1:11">
      <c r="A2993" s="241" t="e">
        <f>VLOOKUP(B2993,'lista 1'!$A$2:$E$30100,4,0)</f>
        <v>#N/A</v>
      </c>
      <c r="B2993" s="123"/>
      <c r="C2993" s="133" t="e">
        <f>VLOOKUP(B2993,'lista 1'!$A$2:$E$31000,5,0)</f>
        <v>#N/A</v>
      </c>
      <c r="D2993" s="167" t="e">
        <f>VLOOKUP(E14793,'lista obszary'!A:B,2,0)</f>
        <v>#N/A</v>
      </c>
      <c r="E2993" s="128" t="e">
        <f>VLOOKUP(B2993,'LISTA 12'!$A$2:$G$301400,5,0)</f>
        <v>#N/A</v>
      </c>
      <c r="F2993" s="121" t="e">
        <f>VLOOKUP(B2993,'LISTA 12'!$A$2:$G$30100,7,0)</f>
        <v>#N/A</v>
      </c>
      <c r="G2993" s="254" t="e">
        <f>VLOOKUP(H2993,'lista 3'!$A$1:$C$31467,3,0)</f>
        <v>#N/A</v>
      </c>
      <c r="H2993" s="134"/>
      <c r="I2993" s="136"/>
      <c r="J2993" s="135"/>
      <c r="K2993" s="22"/>
    </row>
    <row r="2994" spans="1:11">
      <c r="A2994" s="241" t="e">
        <f>VLOOKUP(B2994,'lista 1'!$A$2:$E$30100,4,0)</f>
        <v>#N/A</v>
      </c>
      <c r="B2994" s="123"/>
      <c r="C2994" s="133" t="e">
        <f>VLOOKUP(B2994,'lista 1'!$A$2:$E$31000,5,0)</f>
        <v>#N/A</v>
      </c>
      <c r="D2994" s="167" t="e">
        <f>VLOOKUP(E14794,'lista obszary'!A:B,2,0)</f>
        <v>#N/A</v>
      </c>
      <c r="E2994" s="128" t="e">
        <f>VLOOKUP(B2994,'LISTA 12'!$A$2:$G$301400,5,0)</f>
        <v>#N/A</v>
      </c>
      <c r="F2994" s="121" t="e">
        <f>VLOOKUP(B2994,'LISTA 12'!$A$2:$G$30100,7,0)</f>
        <v>#N/A</v>
      </c>
      <c r="G2994" s="254" t="e">
        <f>VLOOKUP(H2994,'lista 3'!$A$1:$C$31467,3,0)</f>
        <v>#N/A</v>
      </c>
      <c r="H2994" s="134"/>
      <c r="I2994" s="136"/>
      <c r="J2994" s="135"/>
      <c r="K2994" s="22"/>
    </row>
    <row r="2995" spans="1:11">
      <c r="A2995" s="241" t="e">
        <f>VLOOKUP(B2995,'lista 1'!$A$2:$E$30100,4,0)</f>
        <v>#N/A</v>
      </c>
      <c r="B2995" s="123"/>
      <c r="C2995" s="133" t="e">
        <f>VLOOKUP(B2995,'lista 1'!$A$2:$E$31000,5,0)</f>
        <v>#N/A</v>
      </c>
      <c r="D2995" s="167" t="e">
        <f>VLOOKUP(E14795,'lista obszary'!A:B,2,0)</f>
        <v>#N/A</v>
      </c>
      <c r="E2995" s="128" t="e">
        <f>VLOOKUP(B2995,'LISTA 12'!$A$2:$G$301400,5,0)</f>
        <v>#N/A</v>
      </c>
      <c r="F2995" s="121" t="e">
        <f>VLOOKUP(B2995,'LISTA 12'!$A$2:$G$30100,7,0)</f>
        <v>#N/A</v>
      </c>
      <c r="G2995" s="254" t="e">
        <f>VLOOKUP(H2995,'lista 3'!$A$1:$C$31467,3,0)</f>
        <v>#N/A</v>
      </c>
      <c r="H2995" s="134"/>
      <c r="I2995" s="136"/>
      <c r="J2995" s="135"/>
      <c r="K2995" s="22"/>
    </row>
    <row r="2996" spans="1:11">
      <c r="A2996" s="241" t="e">
        <f>VLOOKUP(B2996,'lista 1'!$A$2:$E$30100,4,0)</f>
        <v>#N/A</v>
      </c>
      <c r="B2996" s="123"/>
      <c r="C2996" s="133" t="e">
        <f>VLOOKUP(B2996,'lista 1'!$A$2:$E$31000,5,0)</f>
        <v>#N/A</v>
      </c>
      <c r="D2996" s="167" t="e">
        <f>VLOOKUP(E14796,'lista obszary'!A:B,2,0)</f>
        <v>#N/A</v>
      </c>
      <c r="E2996" s="128" t="e">
        <f>VLOOKUP(B2996,'LISTA 12'!$A$2:$G$301400,5,0)</f>
        <v>#N/A</v>
      </c>
      <c r="F2996" s="121" t="e">
        <f>VLOOKUP(B2996,'LISTA 12'!$A$2:$G$30100,7,0)</f>
        <v>#N/A</v>
      </c>
      <c r="G2996" s="254" t="e">
        <f>VLOOKUP(H2996,'lista 3'!$A$1:$C$31467,3,0)</f>
        <v>#N/A</v>
      </c>
      <c r="H2996" s="134"/>
      <c r="I2996" s="136"/>
      <c r="J2996" s="135"/>
      <c r="K2996" s="22"/>
    </row>
    <row r="2997" spans="1:11">
      <c r="A2997" s="241" t="e">
        <f>VLOOKUP(B2997,'lista 1'!$A$2:$E$30100,4,0)</f>
        <v>#N/A</v>
      </c>
      <c r="B2997" s="123"/>
      <c r="C2997" s="133" t="e">
        <f>VLOOKUP(B2997,'lista 1'!$A$2:$E$31000,5,0)</f>
        <v>#N/A</v>
      </c>
      <c r="D2997" s="167" t="e">
        <f>VLOOKUP(E14797,'lista obszary'!A:B,2,0)</f>
        <v>#N/A</v>
      </c>
      <c r="E2997" s="128" t="e">
        <f>VLOOKUP(B2997,'LISTA 12'!$A$2:$G$301400,5,0)</f>
        <v>#N/A</v>
      </c>
      <c r="F2997" s="121" t="e">
        <f>VLOOKUP(B2997,'LISTA 12'!$A$2:$G$30100,7,0)</f>
        <v>#N/A</v>
      </c>
      <c r="G2997" s="254" t="e">
        <f>VLOOKUP(H2997,'lista 3'!$A$1:$C$31467,3,0)</f>
        <v>#N/A</v>
      </c>
      <c r="H2997" s="134"/>
      <c r="I2997" s="136"/>
      <c r="J2997" s="135"/>
      <c r="K2997" s="22"/>
    </row>
    <row r="2998" spans="1:11">
      <c r="A2998" s="241" t="e">
        <f>VLOOKUP(B2998,'lista 1'!$A$2:$E$30100,4,0)</f>
        <v>#N/A</v>
      </c>
      <c r="B2998" s="123"/>
      <c r="C2998" s="133" t="e">
        <f>VLOOKUP(B2998,'lista 1'!$A$2:$E$31000,5,0)</f>
        <v>#N/A</v>
      </c>
      <c r="D2998" s="167" t="e">
        <f>VLOOKUP(E14798,'lista obszary'!A:B,2,0)</f>
        <v>#N/A</v>
      </c>
      <c r="E2998" s="128" t="e">
        <f>VLOOKUP(B2998,'LISTA 12'!$A$2:$G$301400,5,0)</f>
        <v>#N/A</v>
      </c>
      <c r="F2998" s="121" t="e">
        <f>VLOOKUP(B2998,'LISTA 12'!$A$2:$G$30100,7,0)</f>
        <v>#N/A</v>
      </c>
      <c r="G2998" s="254" t="e">
        <f>VLOOKUP(H2998,'lista 3'!$A$1:$C$31467,3,0)</f>
        <v>#N/A</v>
      </c>
      <c r="H2998" s="134"/>
      <c r="I2998" s="136"/>
      <c r="J2998" s="135"/>
      <c r="K2998" s="22"/>
    </row>
    <row r="2999" spans="1:11">
      <c r="A2999" s="241" t="e">
        <f>VLOOKUP(B2999,'lista 1'!$A$2:$E$30100,4,0)</f>
        <v>#N/A</v>
      </c>
      <c r="B2999" s="123"/>
      <c r="C2999" s="133" t="e">
        <f>VLOOKUP(B2999,'lista 1'!$A$2:$E$31000,5,0)</f>
        <v>#N/A</v>
      </c>
      <c r="D2999" s="167" t="e">
        <f>VLOOKUP(E14799,'lista obszary'!A:B,2,0)</f>
        <v>#N/A</v>
      </c>
      <c r="E2999" s="128" t="e">
        <f>VLOOKUP(B2999,'LISTA 12'!$A$2:$G$301400,5,0)</f>
        <v>#N/A</v>
      </c>
      <c r="F2999" s="121" t="e">
        <f>VLOOKUP(B2999,'LISTA 12'!$A$2:$G$30100,7,0)</f>
        <v>#N/A</v>
      </c>
      <c r="G2999" s="254" t="e">
        <f>VLOOKUP(H2999,'lista 3'!$A$1:$C$31467,3,0)</f>
        <v>#N/A</v>
      </c>
      <c r="H2999" s="134"/>
      <c r="I2999" s="136"/>
      <c r="J2999" s="135"/>
      <c r="K2999" s="22"/>
    </row>
    <row r="3000" spans="1:11">
      <c r="A3000" s="241" t="e">
        <f>VLOOKUP(B3000,'lista 1'!$A$2:$E$30100,4,0)</f>
        <v>#N/A</v>
      </c>
      <c r="B3000" s="123"/>
      <c r="C3000" s="133" t="e">
        <f>VLOOKUP(B3000,'lista 1'!$A$2:$E$31000,5,0)</f>
        <v>#N/A</v>
      </c>
      <c r="D3000" s="167" t="e">
        <f>VLOOKUP(E14800,'lista obszary'!A:B,2,0)</f>
        <v>#N/A</v>
      </c>
      <c r="E3000" s="128" t="e">
        <f>VLOOKUP(B3000,'LISTA 12'!$A$2:$G$301400,5,0)</f>
        <v>#N/A</v>
      </c>
      <c r="F3000" s="121" t="e">
        <f>VLOOKUP(B3000,'LISTA 12'!$A$2:$G$30100,7,0)</f>
        <v>#N/A</v>
      </c>
      <c r="G3000" s="254" t="e">
        <f>VLOOKUP(H3000,'lista 3'!$A$1:$C$31467,3,0)</f>
        <v>#N/A</v>
      </c>
      <c r="H3000" s="134"/>
      <c r="I3000" s="136"/>
      <c r="J3000" s="135"/>
      <c r="K3000" s="22"/>
    </row>
    <row r="3001" spans="1:11">
      <c r="A3001" s="241" t="e">
        <f>VLOOKUP(B3001,'lista 1'!$A$2:$E$30100,4,0)</f>
        <v>#N/A</v>
      </c>
      <c r="B3001" s="123"/>
      <c r="C3001" s="133" t="e">
        <f>VLOOKUP(B3001,'lista 1'!$A$2:$E$31000,5,0)</f>
        <v>#N/A</v>
      </c>
      <c r="D3001" s="167" t="e">
        <f>VLOOKUP(E14801,'lista obszary'!A:B,2,0)</f>
        <v>#N/A</v>
      </c>
      <c r="E3001" s="128" t="e">
        <f>VLOOKUP(B3001,'LISTA 12'!$A$2:$G$301400,5,0)</f>
        <v>#N/A</v>
      </c>
      <c r="F3001" s="121" t="e">
        <f>VLOOKUP(B3001,'LISTA 12'!$A$2:$G$30100,7,0)</f>
        <v>#N/A</v>
      </c>
      <c r="G3001" s="254" t="e">
        <f>VLOOKUP(H3001,'lista 3'!$A$1:$C$31467,3,0)</f>
        <v>#N/A</v>
      </c>
      <c r="H3001" s="134"/>
      <c r="I3001" s="136"/>
      <c r="J3001" s="135"/>
      <c r="K3001" s="22"/>
    </row>
    <row r="3002" spans="1:11">
      <c r="A3002" s="241" t="e">
        <f>VLOOKUP(B3002,'lista 1'!$A$2:$E$30100,4,0)</f>
        <v>#N/A</v>
      </c>
      <c r="B3002" s="123"/>
      <c r="C3002" s="133" t="e">
        <f>VLOOKUP(B3002,'lista 1'!$A$2:$E$31000,5,0)</f>
        <v>#N/A</v>
      </c>
      <c r="D3002" s="167" t="e">
        <f>VLOOKUP(E14802,'lista obszary'!A:B,2,0)</f>
        <v>#N/A</v>
      </c>
      <c r="E3002" s="128" t="e">
        <f>VLOOKUP(B3002,'LISTA 12'!$A$2:$G$301400,5,0)</f>
        <v>#N/A</v>
      </c>
      <c r="F3002" s="121" t="e">
        <f>VLOOKUP(B3002,'LISTA 12'!$A$2:$G$30100,7,0)</f>
        <v>#N/A</v>
      </c>
      <c r="G3002" s="254" t="e">
        <f>VLOOKUP(H3002,'lista 3'!$A$1:$C$31467,3,0)</f>
        <v>#N/A</v>
      </c>
      <c r="H3002" s="134"/>
      <c r="I3002" s="136"/>
      <c r="J3002" s="135"/>
      <c r="K3002" s="22"/>
    </row>
    <row r="3003" spans="1:11">
      <c r="A3003" s="241" t="e">
        <f>VLOOKUP(B3003,'lista 1'!$A$2:$E$30100,4,0)</f>
        <v>#N/A</v>
      </c>
      <c r="B3003" s="123"/>
      <c r="C3003" s="133" t="e">
        <f>VLOOKUP(B3003,'lista 1'!$A$2:$E$31000,5,0)</f>
        <v>#N/A</v>
      </c>
      <c r="D3003" s="167" t="e">
        <f>VLOOKUP(E14803,'lista obszary'!A:B,2,0)</f>
        <v>#N/A</v>
      </c>
      <c r="E3003" s="128" t="e">
        <f>VLOOKUP(B3003,'LISTA 12'!$A$2:$G$301400,5,0)</f>
        <v>#N/A</v>
      </c>
      <c r="F3003" s="121" t="e">
        <f>VLOOKUP(B3003,'LISTA 12'!$A$2:$G$30100,7,0)</f>
        <v>#N/A</v>
      </c>
      <c r="G3003" s="254" t="e">
        <f>VLOOKUP(H3003,'lista 3'!$A$1:$C$31467,3,0)</f>
        <v>#N/A</v>
      </c>
      <c r="H3003" s="134"/>
      <c r="I3003" s="136"/>
      <c r="J3003" s="135"/>
      <c r="K3003" s="22"/>
    </row>
    <row r="3004" spans="1:11">
      <c r="A3004" s="241" t="e">
        <f>VLOOKUP(B3004,'lista 1'!$A$2:$E$30100,4,0)</f>
        <v>#N/A</v>
      </c>
      <c r="B3004" s="123"/>
      <c r="C3004" s="133" t="e">
        <f>VLOOKUP(B3004,'lista 1'!$A$2:$E$31000,5,0)</f>
        <v>#N/A</v>
      </c>
      <c r="D3004" s="167" t="e">
        <f>VLOOKUP(E14804,'lista obszary'!A:B,2,0)</f>
        <v>#N/A</v>
      </c>
      <c r="E3004" s="128" t="e">
        <f>VLOOKUP(B3004,'LISTA 12'!$A$2:$G$301400,5,0)</f>
        <v>#N/A</v>
      </c>
      <c r="F3004" s="121" t="e">
        <f>VLOOKUP(B3004,'LISTA 12'!$A$2:$G$30100,7,0)</f>
        <v>#N/A</v>
      </c>
      <c r="G3004" s="254" t="e">
        <f>VLOOKUP(H3004,'lista 3'!$A$1:$C$31467,3,0)</f>
        <v>#N/A</v>
      </c>
      <c r="H3004" s="134"/>
      <c r="I3004" s="136"/>
      <c r="J3004" s="135"/>
      <c r="K3004" s="22"/>
    </row>
    <row r="3005" spans="1:11">
      <c r="A3005" s="241" t="e">
        <f>VLOOKUP(B3005,'lista 1'!$A$2:$E$30100,4,0)</f>
        <v>#N/A</v>
      </c>
      <c r="B3005" s="123"/>
      <c r="C3005" s="133" t="e">
        <f>VLOOKUP(B3005,'lista 1'!$A$2:$E$31000,5,0)</f>
        <v>#N/A</v>
      </c>
      <c r="D3005" s="167" t="e">
        <f>VLOOKUP(E14805,'lista obszary'!A:B,2,0)</f>
        <v>#N/A</v>
      </c>
      <c r="E3005" s="128" t="e">
        <f>VLOOKUP(B3005,'LISTA 12'!$A$2:$G$301400,5,0)</f>
        <v>#N/A</v>
      </c>
      <c r="F3005" s="121" t="e">
        <f>VLOOKUP(B3005,'LISTA 12'!$A$2:$G$30100,7,0)</f>
        <v>#N/A</v>
      </c>
      <c r="G3005" s="254" t="e">
        <f>VLOOKUP(H3005,'lista 3'!$A$1:$C$31467,3,0)</f>
        <v>#N/A</v>
      </c>
      <c r="H3005" s="134"/>
      <c r="I3005" s="136"/>
      <c r="J3005" s="135"/>
      <c r="K3005" s="22"/>
    </row>
    <row r="3006" spans="1:11">
      <c r="A3006" s="241" t="e">
        <f>VLOOKUP(B3006,'lista 1'!$A$2:$E$30100,4,0)</f>
        <v>#N/A</v>
      </c>
      <c r="B3006" s="123"/>
      <c r="C3006" s="133" t="e">
        <f>VLOOKUP(B3006,'lista 1'!$A$2:$E$31000,5,0)</f>
        <v>#N/A</v>
      </c>
      <c r="D3006" s="167" t="e">
        <f>VLOOKUP(E14806,'lista obszary'!A:B,2,0)</f>
        <v>#N/A</v>
      </c>
      <c r="E3006" s="128" t="e">
        <f>VLOOKUP(B3006,'LISTA 12'!$A$2:$G$301400,5,0)</f>
        <v>#N/A</v>
      </c>
      <c r="F3006" s="121" t="e">
        <f>VLOOKUP(B3006,'LISTA 12'!$A$2:$G$30100,7,0)</f>
        <v>#N/A</v>
      </c>
      <c r="G3006" s="254" t="e">
        <f>VLOOKUP(H3006,'lista 3'!$A$1:$C$31467,3,0)</f>
        <v>#N/A</v>
      </c>
      <c r="H3006" s="134"/>
      <c r="I3006" s="136"/>
      <c r="J3006" s="135"/>
      <c r="K3006" s="22"/>
    </row>
    <row r="3007" spans="1:11">
      <c r="A3007" s="241" t="e">
        <f>VLOOKUP(B3007,'lista 1'!$A$2:$E$30100,4,0)</f>
        <v>#N/A</v>
      </c>
      <c r="B3007" s="123"/>
      <c r="C3007" s="133" t="e">
        <f>VLOOKUP(B3007,'lista 1'!$A$2:$E$31000,5,0)</f>
        <v>#N/A</v>
      </c>
      <c r="D3007" s="167" t="e">
        <f>VLOOKUP(E14807,'lista obszary'!A:B,2,0)</f>
        <v>#N/A</v>
      </c>
      <c r="E3007" s="128" t="e">
        <f>VLOOKUP(B3007,'LISTA 12'!$A$2:$G$301400,5,0)</f>
        <v>#N/A</v>
      </c>
      <c r="F3007" s="121" t="e">
        <f>VLOOKUP(B3007,'LISTA 12'!$A$2:$G$30100,7,0)</f>
        <v>#N/A</v>
      </c>
      <c r="G3007" s="254" t="e">
        <f>VLOOKUP(H3007,'lista 3'!$A$1:$C$31467,3,0)</f>
        <v>#N/A</v>
      </c>
      <c r="H3007" s="134"/>
      <c r="I3007" s="136"/>
      <c r="J3007" s="135"/>
      <c r="K3007" s="22"/>
    </row>
    <row r="3008" spans="1:11">
      <c r="A3008" s="241" t="e">
        <f>VLOOKUP(B3008,'lista 1'!$A$2:$E$30100,4,0)</f>
        <v>#N/A</v>
      </c>
      <c r="B3008" s="123"/>
      <c r="C3008" s="133" t="e">
        <f>VLOOKUP(B3008,'lista 1'!$A$2:$E$31000,5,0)</f>
        <v>#N/A</v>
      </c>
      <c r="D3008" s="167" t="e">
        <f>VLOOKUP(E14808,'lista obszary'!A:B,2,0)</f>
        <v>#N/A</v>
      </c>
      <c r="E3008" s="128" t="e">
        <f>VLOOKUP(B3008,'LISTA 12'!$A$2:$G$301400,5,0)</f>
        <v>#N/A</v>
      </c>
      <c r="F3008" s="121" t="e">
        <f>VLOOKUP(B3008,'LISTA 12'!$A$2:$G$30100,7,0)</f>
        <v>#N/A</v>
      </c>
      <c r="G3008" s="254" t="e">
        <f>VLOOKUP(H3008,'lista 3'!$A$1:$C$31467,3,0)</f>
        <v>#N/A</v>
      </c>
      <c r="H3008" s="134"/>
      <c r="I3008" s="136"/>
      <c r="J3008" s="135"/>
      <c r="K3008" s="22"/>
    </row>
    <row r="3009" spans="1:11">
      <c r="A3009" s="241" t="e">
        <f>VLOOKUP(B3009,'lista 1'!$A$2:$E$30100,4,0)</f>
        <v>#N/A</v>
      </c>
      <c r="B3009" s="123"/>
      <c r="C3009" s="133" t="e">
        <f>VLOOKUP(B3009,'lista 1'!$A$2:$E$31000,5,0)</f>
        <v>#N/A</v>
      </c>
      <c r="D3009" s="167" t="e">
        <f>VLOOKUP(E14809,'lista obszary'!A:B,2,0)</f>
        <v>#N/A</v>
      </c>
      <c r="E3009" s="128" t="e">
        <f>VLOOKUP(B3009,'LISTA 12'!$A$2:$G$301400,5,0)</f>
        <v>#N/A</v>
      </c>
      <c r="F3009" s="121" t="e">
        <f>VLOOKUP(B3009,'LISTA 12'!$A$2:$G$30100,7,0)</f>
        <v>#N/A</v>
      </c>
      <c r="G3009" s="254" t="e">
        <f>VLOOKUP(H3009,'lista 3'!$A$1:$C$31467,3,0)</f>
        <v>#N/A</v>
      </c>
      <c r="H3009" s="134"/>
      <c r="I3009" s="136"/>
      <c r="J3009" s="135"/>
      <c r="K3009" s="22"/>
    </row>
    <row r="3010" spans="1:11">
      <c r="A3010" s="241" t="e">
        <f>VLOOKUP(B3010,'lista 1'!$A$2:$E$30100,4,0)</f>
        <v>#N/A</v>
      </c>
      <c r="B3010" s="123"/>
      <c r="C3010" s="133" t="e">
        <f>VLOOKUP(B3010,'lista 1'!$A$2:$E$31000,5,0)</f>
        <v>#N/A</v>
      </c>
      <c r="D3010" s="167" t="e">
        <f>VLOOKUP(E14810,'lista obszary'!A:B,2,0)</f>
        <v>#N/A</v>
      </c>
      <c r="E3010" s="128" t="e">
        <f>VLOOKUP(B3010,'LISTA 12'!$A$2:$G$301400,5,0)</f>
        <v>#N/A</v>
      </c>
      <c r="F3010" s="121" t="e">
        <f>VLOOKUP(B3010,'LISTA 12'!$A$2:$G$30100,7,0)</f>
        <v>#N/A</v>
      </c>
      <c r="G3010" s="254" t="e">
        <f>VLOOKUP(H3010,'lista 3'!$A$1:$C$31467,3,0)</f>
        <v>#N/A</v>
      </c>
      <c r="H3010" s="134"/>
      <c r="I3010" s="136"/>
      <c r="J3010" s="135"/>
      <c r="K3010" s="22"/>
    </row>
    <row r="3011" spans="1:11">
      <c r="A3011" s="241" t="e">
        <f>VLOOKUP(B3011,'lista 1'!$A$2:$E$30100,4,0)</f>
        <v>#N/A</v>
      </c>
      <c r="B3011" s="123"/>
      <c r="C3011" s="133" t="e">
        <f>VLOOKUP(B3011,'lista 1'!$A$2:$E$31000,5,0)</f>
        <v>#N/A</v>
      </c>
      <c r="D3011" s="167" t="e">
        <f>VLOOKUP(E14811,'lista obszary'!A:B,2,0)</f>
        <v>#N/A</v>
      </c>
      <c r="E3011" s="128" t="e">
        <f>VLOOKUP(B3011,'LISTA 12'!$A$2:$G$301400,5,0)</f>
        <v>#N/A</v>
      </c>
      <c r="F3011" s="121" t="e">
        <f>VLOOKUP(B3011,'LISTA 12'!$A$2:$G$30100,7,0)</f>
        <v>#N/A</v>
      </c>
      <c r="G3011" s="254" t="e">
        <f>VLOOKUP(H3011,'lista 3'!$A$1:$C$31467,3,0)</f>
        <v>#N/A</v>
      </c>
      <c r="H3011" s="134"/>
      <c r="I3011" s="136"/>
      <c r="J3011" s="135"/>
      <c r="K3011" s="22"/>
    </row>
    <row r="3012" spans="1:11">
      <c r="A3012" s="241" t="e">
        <f>VLOOKUP(B3012,'lista 1'!$A$2:$E$30100,4,0)</f>
        <v>#N/A</v>
      </c>
      <c r="B3012" s="123"/>
      <c r="C3012" s="133" t="e">
        <f>VLOOKUP(B3012,'lista 1'!$A$2:$E$31000,5,0)</f>
        <v>#N/A</v>
      </c>
      <c r="D3012" s="167" t="e">
        <f>VLOOKUP(E14812,'lista obszary'!A:B,2,0)</f>
        <v>#N/A</v>
      </c>
      <c r="E3012" s="128" t="e">
        <f>VLOOKUP(B3012,'LISTA 12'!$A$2:$G$301400,5,0)</f>
        <v>#N/A</v>
      </c>
      <c r="F3012" s="121" t="e">
        <f>VLOOKUP(B3012,'LISTA 12'!$A$2:$G$30100,7,0)</f>
        <v>#N/A</v>
      </c>
      <c r="G3012" s="254" t="e">
        <f>VLOOKUP(H3012,'lista 3'!$A$1:$C$31467,3,0)</f>
        <v>#N/A</v>
      </c>
      <c r="H3012" s="134"/>
      <c r="I3012" s="136"/>
      <c r="J3012" s="135"/>
      <c r="K3012" s="22"/>
    </row>
    <row r="3013" spans="1:11">
      <c r="A3013" s="241" t="e">
        <f>VLOOKUP(B3013,'lista 1'!$A$2:$E$30100,4,0)</f>
        <v>#N/A</v>
      </c>
      <c r="B3013" s="123"/>
      <c r="C3013" s="133" t="e">
        <f>VLOOKUP(B3013,'lista 1'!$A$2:$E$31000,5,0)</f>
        <v>#N/A</v>
      </c>
      <c r="D3013" s="167" t="e">
        <f>VLOOKUP(E14813,'lista obszary'!A:B,2,0)</f>
        <v>#N/A</v>
      </c>
      <c r="E3013" s="128" t="e">
        <f>VLOOKUP(B3013,'LISTA 12'!$A$2:$G$301400,5,0)</f>
        <v>#N/A</v>
      </c>
      <c r="F3013" s="121" t="e">
        <f>VLOOKUP(B3013,'LISTA 12'!$A$2:$G$30100,7,0)</f>
        <v>#N/A</v>
      </c>
      <c r="G3013" s="254" t="e">
        <f>VLOOKUP(H3013,'lista 3'!$A$1:$C$31467,3,0)</f>
        <v>#N/A</v>
      </c>
      <c r="H3013" s="134"/>
      <c r="I3013" s="136"/>
      <c r="J3013" s="135"/>
      <c r="K3013" s="22"/>
    </row>
    <row r="3014" spans="1:11">
      <c r="A3014" s="241" t="e">
        <f>VLOOKUP(B3014,'lista 1'!$A$2:$E$30100,4,0)</f>
        <v>#N/A</v>
      </c>
      <c r="B3014" s="123"/>
      <c r="C3014" s="133" t="e">
        <f>VLOOKUP(B3014,'lista 1'!$A$2:$E$31000,5,0)</f>
        <v>#N/A</v>
      </c>
      <c r="D3014" s="167" t="e">
        <f>VLOOKUP(E14814,'lista obszary'!A:B,2,0)</f>
        <v>#N/A</v>
      </c>
      <c r="E3014" s="128" t="e">
        <f>VLOOKUP(B3014,'LISTA 12'!$A$2:$G$301400,5,0)</f>
        <v>#N/A</v>
      </c>
      <c r="F3014" s="121" t="e">
        <f>VLOOKUP(B3014,'LISTA 12'!$A$2:$G$30100,7,0)</f>
        <v>#N/A</v>
      </c>
      <c r="G3014" s="254" t="e">
        <f>VLOOKUP(H3014,'lista 3'!$A$1:$C$31467,3,0)</f>
        <v>#N/A</v>
      </c>
      <c r="H3014" s="134"/>
      <c r="I3014" s="136"/>
      <c r="J3014" s="135"/>
      <c r="K3014" s="22"/>
    </row>
    <row r="3015" spans="1:11">
      <c r="A3015" s="241" t="e">
        <f>VLOOKUP(B3015,'lista 1'!$A$2:$E$30100,4,0)</f>
        <v>#N/A</v>
      </c>
      <c r="B3015" s="123"/>
      <c r="C3015" s="133" t="e">
        <f>VLOOKUP(B3015,'lista 1'!$A$2:$E$31000,5,0)</f>
        <v>#N/A</v>
      </c>
      <c r="D3015" s="167" t="e">
        <f>VLOOKUP(E14815,'lista obszary'!A:B,2,0)</f>
        <v>#N/A</v>
      </c>
      <c r="E3015" s="128" t="e">
        <f>VLOOKUP(B3015,'LISTA 12'!$A$2:$G$301400,5,0)</f>
        <v>#N/A</v>
      </c>
      <c r="F3015" s="121" t="e">
        <f>VLOOKUP(B3015,'LISTA 12'!$A$2:$G$30100,7,0)</f>
        <v>#N/A</v>
      </c>
      <c r="G3015" s="254" t="e">
        <f>VLOOKUP(H3015,'lista 3'!$A$1:$C$31467,3,0)</f>
        <v>#N/A</v>
      </c>
      <c r="H3015" s="134"/>
      <c r="I3015" s="136"/>
      <c r="J3015" s="135"/>
      <c r="K3015" s="22"/>
    </row>
    <row r="3016" spans="1:11">
      <c r="A3016" s="241" t="e">
        <f>VLOOKUP(B3016,'lista 1'!$A$2:$E$30100,4,0)</f>
        <v>#N/A</v>
      </c>
      <c r="B3016" s="123"/>
      <c r="C3016" s="133" t="e">
        <f>VLOOKUP(B3016,'lista 1'!$A$2:$E$31000,5,0)</f>
        <v>#N/A</v>
      </c>
      <c r="D3016" s="167" t="e">
        <f>VLOOKUP(E14816,'lista obszary'!A:B,2,0)</f>
        <v>#N/A</v>
      </c>
      <c r="E3016" s="128" t="e">
        <f>VLOOKUP(B3016,'LISTA 12'!$A$2:$G$301400,5,0)</f>
        <v>#N/A</v>
      </c>
      <c r="F3016" s="121" t="e">
        <f>VLOOKUP(B3016,'LISTA 12'!$A$2:$G$30100,7,0)</f>
        <v>#N/A</v>
      </c>
      <c r="G3016" s="254" t="e">
        <f>VLOOKUP(H3016,'lista 3'!$A$1:$C$31467,3,0)</f>
        <v>#N/A</v>
      </c>
      <c r="H3016" s="134"/>
      <c r="I3016" s="136"/>
      <c r="J3016" s="135"/>
      <c r="K3016" s="22"/>
    </row>
    <row r="3017" spans="1:11">
      <c r="A3017" s="241" t="e">
        <f>VLOOKUP(B3017,'lista 1'!$A$2:$E$30100,4,0)</f>
        <v>#N/A</v>
      </c>
      <c r="B3017" s="123"/>
      <c r="C3017" s="133" t="e">
        <f>VLOOKUP(B3017,'lista 1'!$A$2:$E$31000,5,0)</f>
        <v>#N/A</v>
      </c>
      <c r="D3017" s="167" t="e">
        <f>VLOOKUP(E14817,'lista obszary'!A:B,2,0)</f>
        <v>#N/A</v>
      </c>
      <c r="E3017" s="128" t="e">
        <f>VLOOKUP(B3017,'LISTA 12'!$A$2:$G$301400,5,0)</f>
        <v>#N/A</v>
      </c>
      <c r="F3017" s="121" t="e">
        <f>VLOOKUP(B3017,'LISTA 12'!$A$2:$G$30100,7,0)</f>
        <v>#N/A</v>
      </c>
      <c r="G3017" s="254" t="e">
        <f>VLOOKUP(H3017,'lista 3'!$A$1:$C$31467,3,0)</f>
        <v>#N/A</v>
      </c>
      <c r="H3017" s="134"/>
      <c r="I3017" s="136"/>
      <c r="J3017" s="135"/>
      <c r="K3017" s="22"/>
    </row>
    <row r="3018" spans="1:11">
      <c r="A3018" s="241" t="e">
        <f>VLOOKUP(B3018,'lista 1'!$A$2:$E$30100,4,0)</f>
        <v>#N/A</v>
      </c>
      <c r="B3018" s="123"/>
      <c r="C3018" s="133" t="e">
        <f>VLOOKUP(B3018,'lista 1'!$A$2:$E$31000,5,0)</f>
        <v>#N/A</v>
      </c>
      <c r="D3018" s="167" t="e">
        <f>VLOOKUP(E14818,'lista obszary'!A:B,2,0)</f>
        <v>#N/A</v>
      </c>
      <c r="E3018" s="128" t="e">
        <f>VLOOKUP(B3018,'LISTA 12'!$A$2:$G$301400,5,0)</f>
        <v>#N/A</v>
      </c>
      <c r="F3018" s="121" t="e">
        <f>VLOOKUP(B3018,'LISTA 12'!$A$2:$G$30100,7,0)</f>
        <v>#N/A</v>
      </c>
      <c r="G3018" s="254" t="e">
        <f>VLOOKUP(H3018,'lista 3'!$A$1:$C$31467,3,0)</f>
        <v>#N/A</v>
      </c>
      <c r="H3018" s="134"/>
      <c r="I3018" s="136"/>
      <c r="J3018" s="135"/>
      <c r="K3018" s="22"/>
    </row>
    <row r="3019" spans="1:11">
      <c r="A3019" s="241" t="e">
        <f>VLOOKUP(B3019,'lista 1'!$A$2:$E$30100,4,0)</f>
        <v>#N/A</v>
      </c>
      <c r="B3019" s="123"/>
      <c r="C3019" s="133" t="e">
        <f>VLOOKUP(B3019,'lista 1'!$A$2:$E$31000,5,0)</f>
        <v>#N/A</v>
      </c>
      <c r="D3019" s="167" t="e">
        <f>VLOOKUP(E14819,'lista obszary'!A:B,2,0)</f>
        <v>#N/A</v>
      </c>
      <c r="E3019" s="128" t="e">
        <f>VLOOKUP(B3019,'LISTA 12'!$A$2:$G$301400,5,0)</f>
        <v>#N/A</v>
      </c>
      <c r="F3019" s="121" t="e">
        <f>VLOOKUP(B3019,'LISTA 12'!$A$2:$G$30100,7,0)</f>
        <v>#N/A</v>
      </c>
      <c r="G3019" s="254" t="e">
        <f>VLOOKUP(H3019,'lista 3'!$A$1:$C$31467,3,0)</f>
        <v>#N/A</v>
      </c>
      <c r="H3019" s="134"/>
      <c r="I3019" s="136"/>
      <c r="J3019" s="135"/>
      <c r="K3019" s="22"/>
    </row>
    <row r="3020" spans="1:11">
      <c r="A3020" s="241" t="e">
        <f>VLOOKUP(B3020,'lista 1'!$A$2:$E$30100,4,0)</f>
        <v>#N/A</v>
      </c>
      <c r="B3020" s="123"/>
      <c r="C3020" s="133" t="e">
        <f>VLOOKUP(B3020,'lista 1'!$A$2:$E$31000,5,0)</f>
        <v>#N/A</v>
      </c>
      <c r="D3020" s="167" t="e">
        <f>VLOOKUP(E14820,'lista obszary'!A:B,2,0)</f>
        <v>#N/A</v>
      </c>
      <c r="E3020" s="128" t="e">
        <f>VLOOKUP(B3020,'LISTA 12'!$A$2:$G$301400,5,0)</f>
        <v>#N/A</v>
      </c>
      <c r="F3020" s="121" t="e">
        <f>VLOOKUP(B3020,'LISTA 12'!$A$2:$G$30100,7,0)</f>
        <v>#N/A</v>
      </c>
      <c r="G3020" s="254" t="e">
        <f>VLOOKUP(H3020,'lista 3'!$A$1:$C$31467,3,0)</f>
        <v>#N/A</v>
      </c>
      <c r="H3020" s="134"/>
      <c r="I3020" s="136"/>
      <c r="J3020" s="135"/>
      <c r="K3020" s="22"/>
    </row>
    <row r="3021" spans="1:11">
      <c r="A3021" s="241" t="e">
        <f>VLOOKUP(B3021,'lista 1'!$A$2:$E$30100,4,0)</f>
        <v>#N/A</v>
      </c>
      <c r="B3021" s="123"/>
      <c r="C3021" s="133" t="e">
        <f>VLOOKUP(B3021,'lista 1'!$A$2:$E$31000,5,0)</f>
        <v>#N/A</v>
      </c>
      <c r="D3021" s="167" t="e">
        <f>VLOOKUP(E14821,'lista obszary'!A:B,2,0)</f>
        <v>#N/A</v>
      </c>
      <c r="E3021" s="128" t="e">
        <f>VLOOKUP(B3021,'LISTA 12'!$A$2:$G$301400,5,0)</f>
        <v>#N/A</v>
      </c>
      <c r="F3021" s="121" t="e">
        <f>VLOOKUP(B3021,'LISTA 12'!$A$2:$G$30100,7,0)</f>
        <v>#N/A</v>
      </c>
      <c r="G3021" s="254" t="e">
        <f>VLOOKUP(H3021,'lista 3'!$A$1:$C$31467,3,0)</f>
        <v>#N/A</v>
      </c>
      <c r="H3021" s="134"/>
      <c r="I3021" s="136"/>
      <c r="J3021" s="135"/>
      <c r="K3021" s="22"/>
    </row>
    <row r="3022" spans="1:11">
      <c r="A3022" s="241" t="e">
        <f>VLOOKUP(B3022,'lista 1'!$A$2:$E$30100,4,0)</f>
        <v>#N/A</v>
      </c>
      <c r="B3022" s="123"/>
      <c r="C3022" s="133" t="e">
        <f>VLOOKUP(B3022,'lista 1'!$A$2:$E$31000,5,0)</f>
        <v>#N/A</v>
      </c>
      <c r="D3022" s="167" t="e">
        <f>VLOOKUP(E14822,'lista obszary'!A:B,2,0)</f>
        <v>#N/A</v>
      </c>
      <c r="E3022" s="128" t="e">
        <f>VLOOKUP(B3022,'LISTA 12'!$A$2:$G$301400,5,0)</f>
        <v>#N/A</v>
      </c>
      <c r="F3022" s="121" t="e">
        <f>VLOOKUP(B3022,'LISTA 12'!$A$2:$G$30100,7,0)</f>
        <v>#N/A</v>
      </c>
      <c r="G3022" s="254" t="e">
        <f>VLOOKUP(H3022,'lista 3'!$A$1:$C$31467,3,0)</f>
        <v>#N/A</v>
      </c>
      <c r="H3022" s="134"/>
      <c r="I3022" s="136"/>
      <c r="J3022" s="135"/>
      <c r="K3022" s="22"/>
    </row>
    <row r="3023" spans="1:11">
      <c r="A3023" s="241" t="e">
        <f>VLOOKUP(B3023,'lista 1'!$A$2:$E$30100,4,0)</f>
        <v>#N/A</v>
      </c>
      <c r="B3023" s="123"/>
      <c r="C3023" s="133" t="e">
        <f>VLOOKUP(B3023,'lista 1'!$A$2:$E$31000,5,0)</f>
        <v>#N/A</v>
      </c>
      <c r="D3023" s="167" t="e">
        <f>VLOOKUP(E14823,'lista obszary'!A:B,2,0)</f>
        <v>#N/A</v>
      </c>
      <c r="E3023" s="128" t="e">
        <f>VLOOKUP(B3023,'LISTA 12'!$A$2:$G$301400,5,0)</f>
        <v>#N/A</v>
      </c>
      <c r="F3023" s="121" t="e">
        <f>VLOOKUP(B3023,'LISTA 12'!$A$2:$G$30100,7,0)</f>
        <v>#N/A</v>
      </c>
      <c r="G3023" s="254" t="e">
        <f>VLOOKUP(H3023,'lista 3'!$A$1:$C$31467,3,0)</f>
        <v>#N/A</v>
      </c>
      <c r="H3023" s="134"/>
      <c r="I3023" s="136"/>
      <c r="J3023" s="135"/>
      <c r="K3023" s="22"/>
    </row>
    <row r="3024" spans="1:11">
      <c r="A3024" s="241" t="e">
        <f>VLOOKUP(B3024,'lista 1'!$A$2:$E$30100,4,0)</f>
        <v>#N/A</v>
      </c>
      <c r="B3024" s="123"/>
      <c r="C3024" s="133" t="e">
        <f>VLOOKUP(B3024,'lista 1'!$A$2:$E$31000,5,0)</f>
        <v>#N/A</v>
      </c>
      <c r="D3024" s="167" t="e">
        <f>VLOOKUP(E14824,'lista obszary'!A:B,2,0)</f>
        <v>#N/A</v>
      </c>
      <c r="E3024" s="128" t="e">
        <f>VLOOKUP(B3024,'LISTA 12'!$A$2:$G$301400,5,0)</f>
        <v>#N/A</v>
      </c>
      <c r="F3024" s="121" t="e">
        <f>VLOOKUP(B3024,'LISTA 12'!$A$2:$G$30100,7,0)</f>
        <v>#N/A</v>
      </c>
      <c r="G3024" s="254" t="e">
        <f>VLOOKUP(H3024,'lista 3'!$A$1:$C$31467,3,0)</f>
        <v>#N/A</v>
      </c>
      <c r="H3024" s="134"/>
      <c r="I3024" s="136"/>
      <c r="J3024" s="135"/>
      <c r="K3024" s="22"/>
    </row>
    <row r="3025" spans="1:11">
      <c r="A3025" s="241" t="e">
        <f>VLOOKUP(B3025,'lista 1'!$A$2:$E$30100,4,0)</f>
        <v>#N/A</v>
      </c>
      <c r="B3025" s="123"/>
      <c r="C3025" s="133" t="e">
        <f>VLOOKUP(B3025,'lista 1'!$A$2:$E$31000,5,0)</f>
        <v>#N/A</v>
      </c>
      <c r="D3025" s="167" t="e">
        <f>VLOOKUP(E14825,'lista obszary'!A:B,2,0)</f>
        <v>#N/A</v>
      </c>
      <c r="E3025" s="128" t="e">
        <f>VLOOKUP(B3025,'LISTA 12'!$A$2:$G$301400,5,0)</f>
        <v>#N/A</v>
      </c>
      <c r="F3025" s="121" t="e">
        <f>VLOOKUP(B3025,'LISTA 12'!$A$2:$G$30100,7,0)</f>
        <v>#N/A</v>
      </c>
      <c r="G3025" s="254" t="e">
        <f>VLOOKUP(H3025,'lista 3'!$A$1:$C$31467,3,0)</f>
        <v>#N/A</v>
      </c>
      <c r="H3025" s="134"/>
      <c r="I3025" s="136"/>
      <c r="J3025" s="135"/>
      <c r="K3025" s="22"/>
    </row>
    <row r="3026" spans="1:11">
      <c r="A3026" s="241" t="e">
        <f>VLOOKUP(B3026,'lista 1'!$A$2:$E$30100,4,0)</f>
        <v>#N/A</v>
      </c>
      <c r="B3026" s="123"/>
      <c r="C3026" s="133" t="e">
        <f>VLOOKUP(B3026,'lista 1'!$A$2:$E$31000,5,0)</f>
        <v>#N/A</v>
      </c>
      <c r="D3026" s="167" t="e">
        <f>VLOOKUP(E14826,'lista obszary'!A:B,2,0)</f>
        <v>#N/A</v>
      </c>
      <c r="E3026" s="128" t="e">
        <f>VLOOKUP(B3026,'LISTA 12'!$A$2:$G$301400,5,0)</f>
        <v>#N/A</v>
      </c>
      <c r="F3026" s="121" t="e">
        <f>VLOOKUP(B3026,'LISTA 12'!$A$2:$G$30100,7,0)</f>
        <v>#N/A</v>
      </c>
      <c r="G3026" s="254" t="e">
        <f>VLOOKUP(H3026,'lista 3'!$A$1:$C$31467,3,0)</f>
        <v>#N/A</v>
      </c>
      <c r="H3026" s="134"/>
      <c r="I3026" s="136"/>
      <c r="J3026" s="135"/>
      <c r="K3026" s="22"/>
    </row>
    <row r="3027" spans="1:11">
      <c r="A3027" s="241" t="e">
        <f>VLOOKUP(B3027,'lista 1'!$A$2:$E$30100,4,0)</f>
        <v>#N/A</v>
      </c>
      <c r="B3027" s="123"/>
      <c r="C3027" s="133" t="e">
        <f>VLOOKUP(B3027,'lista 1'!$A$2:$E$31000,5,0)</f>
        <v>#N/A</v>
      </c>
      <c r="D3027" s="167" t="e">
        <f>VLOOKUP(E14827,'lista obszary'!A:B,2,0)</f>
        <v>#N/A</v>
      </c>
      <c r="E3027" s="128" t="e">
        <f>VLOOKUP(B3027,'LISTA 12'!$A$2:$G$301400,5,0)</f>
        <v>#N/A</v>
      </c>
      <c r="F3027" s="121" t="e">
        <f>VLOOKUP(B3027,'LISTA 12'!$A$2:$G$30100,7,0)</f>
        <v>#N/A</v>
      </c>
      <c r="G3027" s="254" t="e">
        <f>VLOOKUP(H3027,'lista 3'!$A$1:$C$31467,3,0)</f>
        <v>#N/A</v>
      </c>
      <c r="H3027" s="134"/>
      <c r="I3027" s="136"/>
      <c r="J3027" s="135"/>
      <c r="K3027" s="22"/>
    </row>
    <row r="3028" spans="1:11">
      <c r="A3028" s="241" t="e">
        <f>VLOOKUP(B3028,'lista 1'!$A$2:$E$30100,4,0)</f>
        <v>#N/A</v>
      </c>
      <c r="B3028" s="123"/>
      <c r="C3028" s="133" t="e">
        <f>VLOOKUP(B3028,'lista 1'!$A$2:$E$31000,5,0)</f>
        <v>#N/A</v>
      </c>
      <c r="D3028" s="167" t="e">
        <f>VLOOKUP(E14828,'lista obszary'!A:B,2,0)</f>
        <v>#N/A</v>
      </c>
      <c r="E3028" s="128" t="e">
        <f>VLOOKUP(B3028,'LISTA 12'!$A$2:$G$301400,5,0)</f>
        <v>#N/A</v>
      </c>
      <c r="F3028" s="121" t="e">
        <f>VLOOKUP(B3028,'LISTA 12'!$A$2:$G$30100,7,0)</f>
        <v>#N/A</v>
      </c>
      <c r="G3028" s="254" t="e">
        <f>VLOOKUP(H3028,'lista 3'!$A$1:$C$31467,3,0)</f>
        <v>#N/A</v>
      </c>
      <c r="H3028" s="134"/>
      <c r="I3028" s="136"/>
      <c r="J3028" s="135"/>
      <c r="K3028" s="22"/>
    </row>
    <row r="3029" spans="1:11">
      <c r="A3029" s="241" t="e">
        <f>VLOOKUP(B3029,'lista 1'!$A$2:$E$30100,4,0)</f>
        <v>#N/A</v>
      </c>
      <c r="B3029" s="123"/>
      <c r="C3029" s="133" t="e">
        <f>VLOOKUP(B3029,'lista 1'!$A$2:$E$31000,5,0)</f>
        <v>#N/A</v>
      </c>
      <c r="D3029" s="167" t="e">
        <f>VLOOKUP(E14829,'lista obszary'!A:B,2,0)</f>
        <v>#N/A</v>
      </c>
      <c r="E3029" s="128" t="e">
        <f>VLOOKUP(B3029,'LISTA 12'!$A$2:$G$301400,5,0)</f>
        <v>#N/A</v>
      </c>
      <c r="F3029" s="121" t="e">
        <f>VLOOKUP(B3029,'LISTA 12'!$A$2:$G$30100,7,0)</f>
        <v>#N/A</v>
      </c>
      <c r="G3029" s="254" t="e">
        <f>VLOOKUP(H3029,'lista 3'!$A$1:$C$31467,3,0)</f>
        <v>#N/A</v>
      </c>
      <c r="H3029" s="134"/>
      <c r="I3029" s="136"/>
      <c r="J3029" s="135"/>
      <c r="K3029" s="22"/>
    </row>
    <row r="3030" spans="1:11">
      <c r="A3030" s="241" t="e">
        <f>VLOOKUP(B3030,'lista 1'!$A$2:$E$30100,4,0)</f>
        <v>#N/A</v>
      </c>
      <c r="B3030" s="123"/>
      <c r="C3030" s="133" t="e">
        <f>VLOOKUP(B3030,'lista 1'!$A$2:$E$31000,5,0)</f>
        <v>#N/A</v>
      </c>
      <c r="D3030" s="167" t="e">
        <f>VLOOKUP(E14830,'lista obszary'!A:B,2,0)</f>
        <v>#N/A</v>
      </c>
      <c r="E3030" s="128" t="e">
        <f>VLOOKUP(B3030,'LISTA 12'!$A$2:$G$301400,5,0)</f>
        <v>#N/A</v>
      </c>
      <c r="F3030" s="121" t="e">
        <f>VLOOKUP(B3030,'LISTA 12'!$A$2:$G$30100,7,0)</f>
        <v>#N/A</v>
      </c>
      <c r="G3030" s="254" t="e">
        <f>VLOOKUP(H3030,'lista 3'!$A$1:$C$31467,3,0)</f>
        <v>#N/A</v>
      </c>
      <c r="H3030" s="134"/>
      <c r="I3030" s="136"/>
      <c r="J3030" s="135"/>
      <c r="K3030" s="22"/>
    </row>
    <row r="3031" spans="1:11">
      <c r="A3031" s="241" t="e">
        <f>VLOOKUP(B3031,'lista 1'!$A$2:$E$30100,4,0)</f>
        <v>#N/A</v>
      </c>
      <c r="B3031" s="123"/>
      <c r="C3031" s="133" t="e">
        <f>VLOOKUP(B3031,'lista 1'!$A$2:$E$31000,5,0)</f>
        <v>#N/A</v>
      </c>
      <c r="D3031" s="167" t="e">
        <f>VLOOKUP(E14831,'lista obszary'!A:B,2,0)</f>
        <v>#N/A</v>
      </c>
      <c r="E3031" s="128" t="e">
        <f>VLOOKUP(B3031,'LISTA 12'!$A$2:$G$301400,5,0)</f>
        <v>#N/A</v>
      </c>
      <c r="F3031" s="121" t="e">
        <f>VLOOKUP(B3031,'LISTA 12'!$A$2:$G$30100,7,0)</f>
        <v>#N/A</v>
      </c>
      <c r="G3031" s="254" t="e">
        <f>VLOOKUP(H3031,'lista 3'!$A$1:$C$31467,3,0)</f>
        <v>#N/A</v>
      </c>
      <c r="H3031" s="134"/>
      <c r="I3031" s="136"/>
      <c r="J3031" s="135"/>
      <c r="K3031" s="22"/>
    </row>
    <row r="3032" spans="1:11">
      <c r="A3032" s="241" t="e">
        <f>VLOOKUP(B3032,'lista 1'!$A$2:$E$30100,4,0)</f>
        <v>#N/A</v>
      </c>
      <c r="B3032" s="123"/>
      <c r="C3032" s="133" t="e">
        <f>VLOOKUP(B3032,'lista 1'!$A$2:$E$31000,5,0)</f>
        <v>#N/A</v>
      </c>
      <c r="D3032" s="167" t="e">
        <f>VLOOKUP(E14832,'lista obszary'!A:B,2,0)</f>
        <v>#N/A</v>
      </c>
      <c r="E3032" s="128" t="e">
        <f>VLOOKUP(B3032,'LISTA 12'!$A$2:$G$301400,5,0)</f>
        <v>#N/A</v>
      </c>
      <c r="F3032" s="121" t="e">
        <f>VLOOKUP(B3032,'LISTA 12'!$A$2:$G$30100,7,0)</f>
        <v>#N/A</v>
      </c>
      <c r="G3032" s="254" t="e">
        <f>VLOOKUP(H3032,'lista 3'!$A$1:$C$31467,3,0)</f>
        <v>#N/A</v>
      </c>
      <c r="H3032" s="134"/>
      <c r="I3032" s="136"/>
      <c r="J3032" s="135"/>
      <c r="K3032" s="22"/>
    </row>
    <row r="3033" spans="1:11">
      <c r="A3033" s="241" t="e">
        <f>VLOOKUP(B3033,'lista 1'!$A$2:$E$30100,4,0)</f>
        <v>#N/A</v>
      </c>
      <c r="B3033" s="123"/>
      <c r="C3033" s="133" t="e">
        <f>VLOOKUP(B3033,'lista 1'!$A$2:$E$31000,5,0)</f>
        <v>#N/A</v>
      </c>
      <c r="D3033" s="167" t="e">
        <f>VLOOKUP(E14833,'lista obszary'!A:B,2,0)</f>
        <v>#N/A</v>
      </c>
      <c r="E3033" s="128" t="e">
        <f>VLOOKUP(B3033,'LISTA 12'!$A$2:$G$301400,5,0)</f>
        <v>#N/A</v>
      </c>
      <c r="F3033" s="121" t="e">
        <f>VLOOKUP(B3033,'LISTA 12'!$A$2:$G$30100,7,0)</f>
        <v>#N/A</v>
      </c>
      <c r="G3033" s="254" t="e">
        <f>VLOOKUP(H3033,'lista 3'!$A$1:$C$31467,3,0)</f>
        <v>#N/A</v>
      </c>
      <c r="H3033" s="134"/>
      <c r="I3033" s="136"/>
      <c r="J3033" s="135"/>
      <c r="K3033" s="22"/>
    </row>
    <row r="3034" spans="1:11">
      <c r="A3034" s="241" t="e">
        <f>VLOOKUP(B3034,'lista 1'!$A$2:$E$30100,4,0)</f>
        <v>#N/A</v>
      </c>
      <c r="B3034" s="123"/>
      <c r="C3034" s="133" t="e">
        <f>VLOOKUP(B3034,'lista 1'!$A$2:$E$31000,5,0)</f>
        <v>#N/A</v>
      </c>
      <c r="D3034" s="167" t="e">
        <f>VLOOKUP(E14834,'lista obszary'!A:B,2,0)</f>
        <v>#N/A</v>
      </c>
      <c r="E3034" s="128" t="e">
        <f>VLOOKUP(B3034,'LISTA 12'!$A$2:$G$301400,5,0)</f>
        <v>#N/A</v>
      </c>
      <c r="F3034" s="121" t="e">
        <f>VLOOKUP(B3034,'LISTA 12'!$A$2:$G$30100,7,0)</f>
        <v>#N/A</v>
      </c>
      <c r="G3034" s="254" t="e">
        <f>VLOOKUP(H3034,'lista 3'!$A$1:$C$31467,3,0)</f>
        <v>#N/A</v>
      </c>
      <c r="H3034" s="134"/>
      <c r="I3034" s="136"/>
      <c r="J3034" s="135"/>
      <c r="K3034" s="22"/>
    </row>
    <row r="3035" spans="1:11">
      <c r="A3035" s="241" t="e">
        <f>VLOOKUP(B3035,'lista 1'!$A$2:$E$30100,4,0)</f>
        <v>#N/A</v>
      </c>
      <c r="B3035" s="123"/>
      <c r="C3035" s="133" t="e">
        <f>VLOOKUP(B3035,'lista 1'!$A$2:$E$31000,5,0)</f>
        <v>#N/A</v>
      </c>
      <c r="D3035" s="167" t="e">
        <f>VLOOKUP(E14835,'lista obszary'!A:B,2,0)</f>
        <v>#N/A</v>
      </c>
      <c r="E3035" s="128" t="e">
        <f>VLOOKUP(B3035,'LISTA 12'!$A$2:$G$301400,5,0)</f>
        <v>#N/A</v>
      </c>
      <c r="F3035" s="121" t="e">
        <f>VLOOKUP(B3035,'LISTA 12'!$A$2:$G$30100,7,0)</f>
        <v>#N/A</v>
      </c>
      <c r="G3035" s="254" t="e">
        <f>VLOOKUP(H3035,'lista 3'!$A$1:$C$31467,3,0)</f>
        <v>#N/A</v>
      </c>
      <c r="H3035" s="134"/>
      <c r="I3035" s="136"/>
      <c r="J3035" s="135"/>
      <c r="K3035" s="22"/>
    </row>
    <row r="3036" spans="1:11">
      <c r="A3036" s="241" t="e">
        <f>VLOOKUP(B3036,'lista 1'!$A$2:$E$30100,4,0)</f>
        <v>#N/A</v>
      </c>
      <c r="B3036" s="123"/>
      <c r="C3036" s="133" t="e">
        <f>VLOOKUP(B3036,'lista 1'!$A$2:$E$31000,5,0)</f>
        <v>#N/A</v>
      </c>
      <c r="D3036" s="167" t="e">
        <f>VLOOKUP(E14836,'lista obszary'!A:B,2,0)</f>
        <v>#N/A</v>
      </c>
      <c r="E3036" s="128" t="e">
        <f>VLOOKUP(B3036,'LISTA 12'!$A$2:$G$301400,5,0)</f>
        <v>#N/A</v>
      </c>
      <c r="F3036" s="121" t="e">
        <f>VLOOKUP(B3036,'LISTA 12'!$A$2:$G$30100,7,0)</f>
        <v>#N/A</v>
      </c>
      <c r="G3036" s="254" t="e">
        <f>VLOOKUP(H3036,'lista 3'!$A$1:$C$31467,3,0)</f>
        <v>#N/A</v>
      </c>
      <c r="H3036" s="134"/>
      <c r="I3036" s="136"/>
      <c r="J3036" s="135"/>
      <c r="K3036" s="22"/>
    </row>
    <row r="3037" spans="1:11">
      <c r="A3037" s="241" t="e">
        <f>VLOOKUP(B3037,'lista 1'!$A$2:$E$30100,4,0)</f>
        <v>#N/A</v>
      </c>
      <c r="B3037" s="123"/>
      <c r="C3037" s="133" t="e">
        <f>VLOOKUP(B3037,'lista 1'!$A$2:$E$31000,5,0)</f>
        <v>#N/A</v>
      </c>
      <c r="D3037" s="167" t="e">
        <f>VLOOKUP(E14837,'lista obszary'!A:B,2,0)</f>
        <v>#N/A</v>
      </c>
      <c r="E3037" s="128" t="e">
        <f>VLOOKUP(B3037,'LISTA 12'!$A$2:$G$301400,5,0)</f>
        <v>#N/A</v>
      </c>
      <c r="F3037" s="121" t="e">
        <f>VLOOKUP(B3037,'LISTA 12'!$A$2:$G$30100,7,0)</f>
        <v>#N/A</v>
      </c>
      <c r="G3037" s="254" t="e">
        <f>VLOOKUP(H3037,'lista 3'!$A$1:$C$31467,3,0)</f>
        <v>#N/A</v>
      </c>
      <c r="H3037" s="134"/>
      <c r="I3037" s="136"/>
      <c r="J3037" s="135"/>
      <c r="K3037" s="22"/>
    </row>
    <row r="3038" spans="1:11">
      <c r="A3038" s="241" t="e">
        <f>VLOOKUP(B3038,'lista 1'!$A$2:$E$30100,4,0)</f>
        <v>#N/A</v>
      </c>
      <c r="B3038" s="123"/>
      <c r="C3038" s="133" t="e">
        <f>VLOOKUP(B3038,'lista 1'!$A$2:$E$31000,5,0)</f>
        <v>#N/A</v>
      </c>
      <c r="D3038" s="167" t="e">
        <f>VLOOKUP(E14838,'lista obszary'!A:B,2,0)</f>
        <v>#N/A</v>
      </c>
      <c r="E3038" s="128" t="e">
        <f>VLOOKUP(B3038,'LISTA 12'!$A$2:$G$301400,5,0)</f>
        <v>#N/A</v>
      </c>
      <c r="F3038" s="121" t="e">
        <f>VLOOKUP(B3038,'LISTA 12'!$A$2:$G$30100,7,0)</f>
        <v>#N/A</v>
      </c>
      <c r="G3038" s="254" t="e">
        <f>VLOOKUP(H3038,'lista 3'!$A$1:$C$31467,3,0)</f>
        <v>#N/A</v>
      </c>
      <c r="H3038" s="134"/>
      <c r="I3038" s="136"/>
      <c r="J3038" s="135"/>
      <c r="K3038" s="22"/>
    </row>
    <row r="3039" spans="1:11">
      <c r="A3039" s="241" t="e">
        <f>VLOOKUP(B3039,'lista 1'!$A$2:$E$30100,4,0)</f>
        <v>#N/A</v>
      </c>
      <c r="B3039" s="123"/>
      <c r="C3039" s="133" t="e">
        <f>VLOOKUP(B3039,'lista 1'!$A$2:$E$31000,5,0)</f>
        <v>#N/A</v>
      </c>
      <c r="D3039" s="167" t="e">
        <f>VLOOKUP(E14839,'lista obszary'!A:B,2,0)</f>
        <v>#N/A</v>
      </c>
      <c r="E3039" s="128" t="e">
        <f>VLOOKUP(B3039,'LISTA 12'!$A$2:$G$301400,5,0)</f>
        <v>#N/A</v>
      </c>
      <c r="F3039" s="121" t="e">
        <f>VLOOKUP(B3039,'LISTA 12'!$A$2:$G$30100,7,0)</f>
        <v>#N/A</v>
      </c>
      <c r="G3039" s="254" t="e">
        <f>VLOOKUP(H3039,'lista 3'!$A$1:$C$31467,3,0)</f>
        <v>#N/A</v>
      </c>
      <c r="H3039" s="134"/>
      <c r="I3039" s="136"/>
      <c r="J3039" s="135"/>
      <c r="K3039" s="22"/>
    </row>
    <row r="3040" spans="1:11">
      <c r="A3040" s="241" t="e">
        <f>VLOOKUP(B3040,'lista 1'!$A$2:$E$30100,4,0)</f>
        <v>#N/A</v>
      </c>
      <c r="B3040" s="123"/>
      <c r="C3040" s="133" t="e">
        <f>VLOOKUP(B3040,'lista 1'!$A$2:$E$31000,5,0)</f>
        <v>#N/A</v>
      </c>
      <c r="D3040" s="167" t="e">
        <f>VLOOKUP(E14840,'lista obszary'!A:B,2,0)</f>
        <v>#N/A</v>
      </c>
      <c r="E3040" s="128" t="e">
        <f>VLOOKUP(B3040,'LISTA 12'!$A$2:$G$301400,5,0)</f>
        <v>#N/A</v>
      </c>
      <c r="F3040" s="121" t="e">
        <f>VLOOKUP(B3040,'LISTA 12'!$A$2:$G$30100,7,0)</f>
        <v>#N/A</v>
      </c>
      <c r="G3040" s="254" t="e">
        <f>VLOOKUP(H3040,'lista 3'!$A$1:$C$31467,3,0)</f>
        <v>#N/A</v>
      </c>
      <c r="H3040" s="134"/>
      <c r="I3040" s="136"/>
      <c r="J3040" s="135"/>
      <c r="K3040" s="22"/>
    </row>
    <row r="3041" spans="1:11">
      <c r="A3041" s="241" t="e">
        <f>VLOOKUP(B3041,'lista 1'!$A$2:$E$30100,4,0)</f>
        <v>#N/A</v>
      </c>
      <c r="B3041" s="123"/>
      <c r="C3041" s="133" t="e">
        <f>VLOOKUP(B3041,'lista 1'!$A$2:$E$31000,5,0)</f>
        <v>#N/A</v>
      </c>
      <c r="D3041" s="167" t="e">
        <f>VLOOKUP(E14841,'lista obszary'!A:B,2,0)</f>
        <v>#N/A</v>
      </c>
      <c r="E3041" s="128" t="e">
        <f>VLOOKUP(B3041,'LISTA 12'!$A$2:$G$301400,5,0)</f>
        <v>#N/A</v>
      </c>
      <c r="F3041" s="121" t="e">
        <f>VLOOKUP(B3041,'LISTA 12'!$A$2:$G$30100,7,0)</f>
        <v>#N/A</v>
      </c>
      <c r="G3041" s="254" t="e">
        <f>VLOOKUP(H3041,'lista 3'!$A$1:$C$31467,3,0)</f>
        <v>#N/A</v>
      </c>
      <c r="H3041" s="134"/>
      <c r="I3041" s="136"/>
      <c r="J3041" s="135"/>
      <c r="K3041" s="22"/>
    </row>
    <row r="3042" spans="1:11">
      <c r="A3042" s="241" t="e">
        <f>VLOOKUP(B3042,'lista 1'!$A$2:$E$30100,4,0)</f>
        <v>#N/A</v>
      </c>
      <c r="B3042" s="123"/>
      <c r="C3042" s="133" t="e">
        <f>VLOOKUP(B3042,'lista 1'!$A$2:$E$31000,5,0)</f>
        <v>#N/A</v>
      </c>
      <c r="D3042" s="167" t="e">
        <f>VLOOKUP(E14842,'lista obszary'!A:B,2,0)</f>
        <v>#N/A</v>
      </c>
      <c r="E3042" s="128" t="e">
        <f>VLOOKUP(B3042,'LISTA 12'!$A$2:$G$301400,5,0)</f>
        <v>#N/A</v>
      </c>
      <c r="F3042" s="121" t="e">
        <f>VLOOKUP(B3042,'LISTA 12'!$A$2:$G$30100,7,0)</f>
        <v>#N/A</v>
      </c>
      <c r="G3042" s="254" t="e">
        <f>VLOOKUP(H3042,'lista 3'!$A$1:$C$31467,3,0)</f>
        <v>#N/A</v>
      </c>
      <c r="H3042" s="134"/>
      <c r="I3042" s="136"/>
      <c r="J3042" s="135"/>
      <c r="K3042" s="22"/>
    </row>
    <row r="3043" spans="1:11">
      <c r="A3043" s="241" t="e">
        <f>VLOOKUP(B3043,'lista 1'!$A$2:$E$30100,4,0)</f>
        <v>#N/A</v>
      </c>
      <c r="B3043" s="123"/>
      <c r="C3043" s="133" t="e">
        <f>VLOOKUP(B3043,'lista 1'!$A$2:$E$31000,5,0)</f>
        <v>#N/A</v>
      </c>
      <c r="D3043" s="167" t="e">
        <f>VLOOKUP(E14843,'lista obszary'!A:B,2,0)</f>
        <v>#N/A</v>
      </c>
      <c r="E3043" s="128" t="e">
        <f>VLOOKUP(B3043,'LISTA 12'!$A$2:$G$301400,5,0)</f>
        <v>#N/A</v>
      </c>
      <c r="F3043" s="121" t="e">
        <f>VLOOKUP(B3043,'LISTA 12'!$A$2:$G$30100,7,0)</f>
        <v>#N/A</v>
      </c>
      <c r="G3043" s="254" t="e">
        <f>VLOOKUP(H3043,'lista 3'!$A$1:$C$31467,3,0)</f>
        <v>#N/A</v>
      </c>
      <c r="H3043" s="134"/>
      <c r="I3043" s="136"/>
      <c r="J3043" s="135"/>
      <c r="K3043" s="22"/>
    </row>
    <row r="3044" spans="1:11">
      <c r="A3044" s="241" t="e">
        <f>VLOOKUP(B3044,'lista 1'!$A$2:$E$30100,4,0)</f>
        <v>#N/A</v>
      </c>
      <c r="B3044" s="123"/>
      <c r="C3044" s="133" t="e">
        <f>VLOOKUP(B3044,'lista 1'!$A$2:$E$31000,5,0)</f>
        <v>#N/A</v>
      </c>
      <c r="D3044" s="167" t="e">
        <f>VLOOKUP(E14844,'lista obszary'!A:B,2,0)</f>
        <v>#N/A</v>
      </c>
      <c r="E3044" s="128" t="e">
        <f>VLOOKUP(B3044,'LISTA 12'!$A$2:$G$301400,5,0)</f>
        <v>#N/A</v>
      </c>
      <c r="F3044" s="121" t="e">
        <f>VLOOKUP(B3044,'LISTA 12'!$A$2:$G$30100,7,0)</f>
        <v>#N/A</v>
      </c>
      <c r="G3044" s="254" t="e">
        <f>VLOOKUP(H3044,'lista 3'!$A$1:$C$31467,3,0)</f>
        <v>#N/A</v>
      </c>
      <c r="H3044" s="134"/>
      <c r="I3044" s="136"/>
      <c r="J3044" s="135"/>
      <c r="K3044" s="22"/>
    </row>
    <row r="3045" spans="1:11">
      <c r="A3045" s="241" t="e">
        <f>VLOOKUP(B3045,'lista 1'!$A$2:$E$30100,4,0)</f>
        <v>#N/A</v>
      </c>
      <c r="B3045" s="123"/>
      <c r="C3045" s="133" t="e">
        <f>VLOOKUP(B3045,'lista 1'!$A$2:$E$31000,5,0)</f>
        <v>#N/A</v>
      </c>
      <c r="D3045" s="167" t="e">
        <f>VLOOKUP(E14845,'lista obszary'!A:B,2,0)</f>
        <v>#N/A</v>
      </c>
      <c r="E3045" s="128" t="e">
        <f>VLOOKUP(B3045,'LISTA 12'!$A$2:$G$301400,5,0)</f>
        <v>#N/A</v>
      </c>
      <c r="F3045" s="121" t="e">
        <f>VLOOKUP(B3045,'LISTA 12'!$A$2:$G$30100,7,0)</f>
        <v>#N/A</v>
      </c>
      <c r="G3045" s="254" t="e">
        <f>VLOOKUP(H3045,'lista 3'!$A$1:$C$31467,3,0)</f>
        <v>#N/A</v>
      </c>
      <c r="H3045" s="134"/>
      <c r="I3045" s="136"/>
      <c r="J3045" s="135"/>
      <c r="K3045" s="22"/>
    </row>
    <row r="3046" spans="1:11">
      <c r="A3046" s="241" t="e">
        <f>VLOOKUP(B3046,'lista 1'!$A$2:$E$30100,4,0)</f>
        <v>#N/A</v>
      </c>
      <c r="B3046" s="123"/>
      <c r="C3046" s="133" t="e">
        <f>VLOOKUP(B3046,'lista 1'!$A$2:$E$31000,5,0)</f>
        <v>#N/A</v>
      </c>
      <c r="D3046" s="167" t="e">
        <f>VLOOKUP(E14846,'lista obszary'!A:B,2,0)</f>
        <v>#N/A</v>
      </c>
      <c r="E3046" s="128" t="e">
        <f>VLOOKUP(B3046,'LISTA 12'!$A$2:$G$301400,5,0)</f>
        <v>#N/A</v>
      </c>
      <c r="F3046" s="121" t="e">
        <f>VLOOKUP(B3046,'LISTA 12'!$A$2:$G$30100,7,0)</f>
        <v>#N/A</v>
      </c>
      <c r="G3046" s="254" t="e">
        <f>VLOOKUP(H3046,'lista 3'!$A$1:$C$31467,3,0)</f>
        <v>#N/A</v>
      </c>
      <c r="H3046" s="134"/>
      <c r="I3046" s="136"/>
      <c r="J3046" s="135"/>
      <c r="K3046" s="22"/>
    </row>
    <row r="3047" spans="1:11">
      <c r="A3047" s="241" t="e">
        <f>VLOOKUP(B3047,'lista 1'!$A$2:$E$30100,4,0)</f>
        <v>#N/A</v>
      </c>
      <c r="B3047" s="123"/>
      <c r="C3047" s="133" t="e">
        <f>VLOOKUP(B3047,'lista 1'!$A$2:$E$31000,5,0)</f>
        <v>#N/A</v>
      </c>
      <c r="D3047" s="167" t="e">
        <f>VLOOKUP(E14847,'lista obszary'!A:B,2,0)</f>
        <v>#N/A</v>
      </c>
      <c r="E3047" s="128" t="e">
        <f>VLOOKUP(B3047,'LISTA 12'!$A$2:$G$301400,5,0)</f>
        <v>#N/A</v>
      </c>
      <c r="F3047" s="121" t="e">
        <f>VLOOKUP(B3047,'LISTA 12'!$A$2:$G$30100,7,0)</f>
        <v>#N/A</v>
      </c>
      <c r="G3047" s="254" t="e">
        <f>VLOOKUP(H3047,'lista 3'!$A$1:$C$31467,3,0)</f>
        <v>#N/A</v>
      </c>
      <c r="H3047" s="134"/>
      <c r="I3047" s="136"/>
      <c r="J3047" s="135"/>
      <c r="K3047" s="22"/>
    </row>
    <row r="3048" spans="1:11">
      <c r="A3048" s="241" t="e">
        <f>VLOOKUP(B3048,'lista 1'!$A$2:$E$30100,4,0)</f>
        <v>#N/A</v>
      </c>
      <c r="B3048" s="123"/>
      <c r="C3048" s="133" t="e">
        <f>VLOOKUP(B3048,'lista 1'!$A$2:$E$31000,5,0)</f>
        <v>#N/A</v>
      </c>
      <c r="D3048" s="167" t="e">
        <f>VLOOKUP(E14848,'lista obszary'!A:B,2,0)</f>
        <v>#N/A</v>
      </c>
      <c r="E3048" s="128" t="e">
        <f>VLOOKUP(B3048,'LISTA 12'!$A$2:$G$301400,5,0)</f>
        <v>#N/A</v>
      </c>
      <c r="F3048" s="121" t="e">
        <f>VLOOKUP(B3048,'LISTA 12'!$A$2:$G$30100,7,0)</f>
        <v>#N/A</v>
      </c>
      <c r="G3048" s="254" t="e">
        <f>VLOOKUP(H3048,'lista 3'!$A$1:$C$31467,3,0)</f>
        <v>#N/A</v>
      </c>
      <c r="H3048" s="134"/>
      <c r="I3048" s="136"/>
      <c r="J3048" s="135"/>
      <c r="K3048" s="22"/>
    </row>
    <row r="3049" spans="1:11">
      <c r="A3049" s="241" t="e">
        <f>VLOOKUP(B3049,'lista 1'!$A$2:$E$30100,4,0)</f>
        <v>#N/A</v>
      </c>
      <c r="B3049" s="123"/>
      <c r="C3049" s="133" t="e">
        <f>VLOOKUP(B3049,'lista 1'!$A$2:$E$31000,5,0)</f>
        <v>#N/A</v>
      </c>
      <c r="D3049" s="167" t="e">
        <f>VLOOKUP(E14849,'lista obszary'!A:B,2,0)</f>
        <v>#N/A</v>
      </c>
      <c r="E3049" s="128" t="e">
        <f>VLOOKUP(B3049,'LISTA 12'!$A$2:$G$301400,5,0)</f>
        <v>#N/A</v>
      </c>
      <c r="F3049" s="121" t="e">
        <f>VLOOKUP(B3049,'LISTA 12'!$A$2:$G$30100,7,0)</f>
        <v>#N/A</v>
      </c>
      <c r="G3049" s="254" t="e">
        <f>VLOOKUP(H3049,'lista 3'!$A$1:$C$31467,3,0)</f>
        <v>#N/A</v>
      </c>
      <c r="H3049" s="134"/>
      <c r="I3049" s="136"/>
      <c r="J3049" s="135"/>
      <c r="K3049" s="22"/>
    </row>
    <row r="3050" spans="1:11">
      <c r="A3050" s="241" t="e">
        <f>VLOOKUP(B3050,'lista 1'!$A$2:$E$30100,4,0)</f>
        <v>#N/A</v>
      </c>
      <c r="B3050" s="123"/>
      <c r="C3050" s="133" t="e">
        <f>VLOOKUP(B3050,'lista 1'!$A$2:$E$31000,5,0)</f>
        <v>#N/A</v>
      </c>
      <c r="D3050" s="167" t="e">
        <f>VLOOKUP(E14850,'lista obszary'!A:B,2,0)</f>
        <v>#N/A</v>
      </c>
      <c r="E3050" s="128" t="e">
        <f>VLOOKUP(B3050,'LISTA 12'!$A$2:$G$301400,5,0)</f>
        <v>#N/A</v>
      </c>
      <c r="F3050" s="121" t="e">
        <f>VLOOKUP(B3050,'LISTA 12'!$A$2:$G$30100,7,0)</f>
        <v>#N/A</v>
      </c>
      <c r="G3050" s="254" t="e">
        <f>VLOOKUP(H3050,'lista 3'!$A$1:$C$31467,3,0)</f>
        <v>#N/A</v>
      </c>
      <c r="H3050" s="134"/>
      <c r="I3050" s="136"/>
      <c r="J3050" s="135"/>
      <c r="K3050" s="22"/>
    </row>
    <row r="3051" spans="1:11">
      <c r="A3051" s="241" t="e">
        <f>VLOOKUP(B3051,'lista 1'!$A$2:$E$30100,4,0)</f>
        <v>#N/A</v>
      </c>
      <c r="B3051" s="123"/>
      <c r="C3051" s="133" t="e">
        <f>VLOOKUP(B3051,'lista 1'!$A$2:$E$31000,5,0)</f>
        <v>#N/A</v>
      </c>
      <c r="D3051" s="167" t="e">
        <f>VLOOKUP(E14851,'lista obszary'!A:B,2,0)</f>
        <v>#N/A</v>
      </c>
      <c r="E3051" s="128" t="e">
        <f>VLOOKUP(B3051,'LISTA 12'!$A$2:$G$301400,5,0)</f>
        <v>#N/A</v>
      </c>
      <c r="F3051" s="121" t="e">
        <f>VLOOKUP(B3051,'LISTA 12'!$A$2:$G$30100,7,0)</f>
        <v>#N/A</v>
      </c>
      <c r="G3051" s="254" t="e">
        <f>VLOOKUP(H3051,'lista 3'!$A$1:$C$31467,3,0)</f>
        <v>#N/A</v>
      </c>
      <c r="H3051" s="134"/>
      <c r="I3051" s="136"/>
      <c r="J3051" s="135"/>
      <c r="K3051" s="22"/>
    </row>
    <row r="3052" spans="1:11">
      <c r="A3052" s="241" t="e">
        <f>VLOOKUP(B3052,'lista 1'!$A$2:$E$30100,4,0)</f>
        <v>#N/A</v>
      </c>
      <c r="B3052" s="123"/>
      <c r="C3052" s="133" t="e">
        <f>VLOOKUP(B3052,'lista 1'!$A$2:$E$31000,5,0)</f>
        <v>#N/A</v>
      </c>
      <c r="D3052" s="167" t="e">
        <f>VLOOKUP(E14852,'lista obszary'!A:B,2,0)</f>
        <v>#N/A</v>
      </c>
      <c r="E3052" s="128" t="e">
        <f>VLOOKUP(B3052,'LISTA 12'!$A$2:$G$301400,5,0)</f>
        <v>#N/A</v>
      </c>
      <c r="F3052" s="121" t="e">
        <f>VLOOKUP(B3052,'LISTA 12'!$A$2:$G$30100,7,0)</f>
        <v>#N/A</v>
      </c>
      <c r="G3052" s="254" t="e">
        <f>VLOOKUP(H3052,'lista 3'!$A$1:$C$31467,3,0)</f>
        <v>#N/A</v>
      </c>
      <c r="H3052" s="134"/>
      <c r="I3052" s="136"/>
      <c r="J3052" s="135"/>
      <c r="K3052" s="22"/>
    </row>
    <row r="3053" spans="1:11">
      <c r="A3053" s="241" t="e">
        <f>VLOOKUP(B3053,'lista 1'!$A$2:$E$30100,4,0)</f>
        <v>#N/A</v>
      </c>
      <c r="B3053" s="123"/>
      <c r="C3053" s="133" t="e">
        <f>VLOOKUP(B3053,'lista 1'!$A$2:$E$31000,5,0)</f>
        <v>#N/A</v>
      </c>
      <c r="D3053" s="167" t="e">
        <f>VLOOKUP(E14853,'lista obszary'!A:B,2,0)</f>
        <v>#N/A</v>
      </c>
      <c r="E3053" s="128" t="e">
        <f>VLOOKUP(B3053,'LISTA 12'!$A$2:$G$301400,5,0)</f>
        <v>#N/A</v>
      </c>
      <c r="F3053" s="121" t="e">
        <f>VLOOKUP(B3053,'LISTA 12'!$A$2:$G$30100,7,0)</f>
        <v>#N/A</v>
      </c>
      <c r="G3053" s="254" t="e">
        <f>VLOOKUP(H3053,'lista 3'!$A$1:$C$31467,3,0)</f>
        <v>#N/A</v>
      </c>
      <c r="H3053" s="134"/>
      <c r="I3053" s="136"/>
      <c r="J3053" s="135"/>
      <c r="K3053" s="22"/>
    </row>
    <row r="3054" spans="1:11">
      <c r="A3054" s="241" t="e">
        <f>VLOOKUP(B3054,'lista 1'!$A$2:$E$30100,4,0)</f>
        <v>#N/A</v>
      </c>
      <c r="B3054" s="123"/>
      <c r="C3054" s="133" t="e">
        <f>VLOOKUP(B3054,'lista 1'!$A$2:$E$31000,5,0)</f>
        <v>#N/A</v>
      </c>
      <c r="D3054" s="167" t="e">
        <f>VLOOKUP(E14854,'lista obszary'!A:B,2,0)</f>
        <v>#N/A</v>
      </c>
      <c r="E3054" s="128" t="e">
        <f>VLOOKUP(B3054,'LISTA 12'!$A$2:$G$301400,5,0)</f>
        <v>#N/A</v>
      </c>
      <c r="F3054" s="121" t="e">
        <f>VLOOKUP(B3054,'LISTA 12'!$A$2:$G$30100,7,0)</f>
        <v>#N/A</v>
      </c>
      <c r="G3054" s="254" t="e">
        <f>VLOOKUP(H3054,'lista 3'!$A$1:$C$31467,3,0)</f>
        <v>#N/A</v>
      </c>
      <c r="H3054" s="134"/>
      <c r="I3054" s="136"/>
      <c r="J3054" s="135"/>
      <c r="K3054" s="22"/>
    </row>
    <row r="3055" spans="1:11">
      <c r="A3055" s="241" t="e">
        <f>VLOOKUP(B3055,'lista 1'!$A$2:$E$30100,4,0)</f>
        <v>#N/A</v>
      </c>
      <c r="B3055" s="123"/>
      <c r="C3055" s="133" t="e">
        <f>VLOOKUP(B3055,'lista 1'!$A$2:$E$31000,5,0)</f>
        <v>#N/A</v>
      </c>
      <c r="D3055" s="167" t="e">
        <f>VLOOKUP(E14855,'lista obszary'!A:B,2,0)</f>
        <v>#N/A</v>
      </c>
      <c r="E3055" s="128" t="e">
        <f>VLOOKUP(B3055,'LISTA 12'!$A$2:$G$301400,5,0)</f>
        <v>#N/A</v>
      </c>
      <c r="F3055" s="121" t="e">
        <f>VLOOKUP(B3055,'LISTA 12'!$A$2:$G$30100,7,0)</f>
        <v>#N/A</v>
      </c>
      <c r="G3055" s="254" t="e">
        <f>VLOOKUP(H3055,'lista 3'!$A$1:$C$31467,3,0)</f>
        <v>#N/A</v>
      </c>
      <c r="H3055" s="134"/>
      <c r="I3055" s="136"/>
      <c r="J3055" s="135"/>
      <c r="K3055" s="22"/>
    </row>
    <row r="3056" spans="1:11">
      <c r="A3056" s="241" t="e">
        <f>VLOOKUP(B3056,'lista 1'!$A$2:$E$30100,4,0)</f>
        <v>#N/A</v>
      </c>
      <c r="B3056" s="123"/>
      <c r="C3056" s="133" t="e">
        <f>VLOOKUP(B3056,'lista 1'!$A$2:$E$31000,5,0)</f>
        <v>#N/A</v>
      </c>
      <c r="D3056" s="167" t="e">
        <f>VLOOKUP(E14856,'lista obszary'!A:B,2,0)</f>
        <v>#N/A</v>
      </c>
      <c r="E3056" s="128" t="e">
        <f>VLOOKUP(B3056,'LISTA 12'!$A$2:$G$301400,5,0)</f>
        <v>#N/A</v>
      </c>
      <c r="F3056" s="121" t="e">
        <f>VLOOKUP(B3056,'LISTA 12'!$A$2:$G$30100,7,0)</f>
        <v>#N/A</v>
      </c>
      <c r="G3056" s="254" t="e">
        <f>VLOOKUP(H3056,'lista 3'!$A$1:$C$31467,3,0)</f>
        <v>#N/A</v>
      </c>
      <c r="H3056" s="134"/>
      <c r="I3056" s="136"/>
      <c r="J3056" s="135"/>
      <c r="K3056" s="22"/>
    </row>
    <row r="3057" spans="1:11">
      <c r="A3057" s="241" t="e">
        <f>VLOOKUP(B3057,'lista 1'!$A$2:$E$30100,4,0)</f>
        <v>#N/A</v>
      </c>
      <c r="B3057" s="123"/>
      <c r="C3057" s="133" t="e">
        <f>VLOOKUP(B3057,'lista 1'!$A$2:$E$31000,5,0)</f>
        <v>#N/A</v>
      </c>
      <c r="D3057" s="167" t="e">
        <f>VLOOKUP(E14857,'lista obszary'!A:B,2,0)</f>
        <v>#N/A</v>
      </c>
      <c r="E3057" s="128" t="e">
        <f>VLOOKUP(B3057,'LISTA 12'!$A$2:$G$301400,5,0)</f>
        <v>#N/A</v>
      </c>
      <c r="F3057" s="121" t="e">
        <f>VLOOKUP(B3057,'LISTA 12'!$A$2:$G$30100,7,0)</f>
        <v>#N/A</v>
      </c>
      <c r="G3057" s="254" t="e">
        <f>VLOOKUP(H3057,'lista 3'!$A$1:$C$31467,3,0)</f>
        <v>#N/A</v>
      </c>
      <c r="H3057" s="134"/>
      <c r="I3057" s="136"/>
      <c r="J3057" s="135"/>
      <c r="K3057" s="22"/>
    </row>
    <row r="3058" spans="1:11">
      <c r="A3058" s="241" t="e">
        <f>VLOOKUP(B3058,'lista 1'!$A$2:$E$30100,4,0)</f>
        <v>#N/A</v>
      </c>
      <c r="B3058" s="123"/>
      <c r="C3058" s="133" t="e">
        <f>VLOOKUP(B3058,'lista 1'!$A$2:$E$31000,5,0)</f>
        <v>#N/A</v>
      </c>
      <c r="D3058" s="167" t="e">
        <f>VLOOKUP(E14858,'lista obszary'!A:B,2,0)</f>
        <v>#N/A</v>
      </c>
      <c r="E3058" s="128" t="e">
        <f>VLOOKUP(B3058,'LISTA 12'!$A$2:$G$301400,5,0)</f>
        <v>#N/A</v>
      </c>
      <c r="F3058" s="121" t="e">
        <f>VLOOKUP(B3058,'LISTA 12'!$A$2:$G$30100,7,0)</f>
        <v>#N/A</v>
      </c>
      <c r="G3058" s="254" t="e">
        <f>VLOOKUP(H3058,'lista 3'!$A$1:$C$31467,3,0)</f>
        <v>#N/A</v>
      </c>
      <c r="H3058" s="134"/>
      <c r="I3058" s="136"/>
      <c r="J3058" s="135"/>
      <c r="K3058" s="22"/>
    </row>
    <row r="3059" spans="1:11">
      <c r="A3059" s="241" t="e">
        <f>VLOOKUP(B3059,'lista 1'!$A$2:$E$30100,4,0)</f>
        <v>#N/A</v>
      </c>
      <c r="B3059" s="123"/>
      <c r="C3059" s="133" t="e">
        <f>VLOOKUP(B3059,'lista 1'!$A$2:$E$31000,5,0)</f>
        <v>#N/A</v>
      </c>
      <c r="D3059" s="167" t="e">
        <f>VLOOKUP(E14859,'lista obszary'!A:B,2,0)</f>
        <v>#N/A</v>
      </c>
      <c r="E3059" s="128" t="e">
        <f>VLOOKUP(B3059,'LISTA 12'!$A$2:$G$301400,5,0)</f>
        <v>#N/A</v>
      </c>
      <c r="F3059" s="121" t="e">
        <f>VLOOKUP(B3059,'LISTA 12'!$A$2:$G$30100,7,0)</f>
        <v>#N/A</v>
      </c>
      <c r="G3059" s="254" t="e">
        <f>VLOOKUP(H3059,'lista 3'!$A$1:$C$31467,3,0)</f>
        <v>#N/A</v>
      </c>
      <c r="H3059" s="134"/>
      <c r="I3059" s="136"/>
      <c r="J3059" s="135"/>
      <c r="K3059" s="22"/>
    </row>
    <row r="3060" spans="1:11">
      <c r="A3060" s="241" t="e">
        <f>VLOOKUP(B3060,'lista 1'!$A$2:$E$30100,4,0)</f>
        <v>#N/A</v>
      </c>
      <c r="B3060" s="123"/>
      <c r="C3060" s="133" t="e">
        <f>VLOOKUP(B3060,'lista 1'!$A$2:$E$31000,5,0)</f>
        <v>#N/A</v>
      </c>
      <c r="D3060" s="167" t="e">
        <f>VLOOKUP(E14860,'lista obszary'!A:B,2,0)</f>
        <v>#N/A</v>
      </c>
      <c r="E3060" s="128" t="e">
        <f>VLOOKUP(B3060,'LISTA 12'!$A$2:$G$301400,5,0)</f>
        <v>#N/A</v>
      </c>
      <c r="F3060" s="121" t="e">
        <f>VLOOKUP(B3060,'LISTA 12'!$A$2:$G$30100,7,0)</f>
        <v>#N/A</v>
      </c>
      <c r="G3060" s="254" t="e">
        <f>VLOOKUP(H3060,'lista 3'!$A$1:$C$31467,3,0)</f>
        <v>#N/A</v>
      </c>
      <c r="H3060" s="134"/>
      <c r="I3060" s="136"/>
      <c r="J3060" s="135"/>
      <c r="K3060" s="22"/>
    </row>
    <row r="3061" spans="1:11">
      <c r="A3061" s="241" t="e">
        <f>VLOOKUP(B3061,'lista 1'!$A$2:$E$30100,4,0)</f>
        <v>#N/A</v>
      </c>
      <c r="B3061" s="123"/>
      <c r="C3061" s="133" t="e">
        <f>VLOOKUP(B3061,'lista 1'!$A$2:$E$31000,5,0)</f>
        <v>#N/A</v>
      </c>
      <c r="D3061" s="167" t="e">
        <f>VLOOKUP(E14861,'lista obszary'!A:B,2,0)</f>
        <v>#N/A</v>
      </c>
      <c r="E3061" s="128" t="e">
        <f>VLOOKUP(B3061,'LISTA 12'!$A$2:$G$301400,5,0)</f>
        <v>#N/A</v>
      </c>
      <c r="F3061" s="121" t="e">
        <f>VLOOKUP(B3061,'LISTA 12'!$A$2:$G$30100,7,0)</f>
        <v>#N/A</v>
      </c>
      <c r="G3061" s="254" t="e">
        <f>VLOOKUP(H3061,'lista 3'!$A$1:$C$31467,3,0)</f>
        <v>#N/A</v>
      </c>
      <c r="H3061" s="134"/>
      <c r="I3061" s="136"/>
      <c r="J3061" s="135"/>
      <c r="K3061" s="22"/>
    </row>
    <row r="3062" spans="1:11">
      <c r="A3062" s="241" t="e">
        <f>VLOOKUP(B3062,'lista 1'!$A$2:$E$30100,4,0)</f>
        <v>#N/A</v>
      </c>
      <c r="B3062" s="123"/>
      <c r="C3062" s="133" t="e">
        <f>VLOOKUP(B3062,'lista 1'!$A$2:$E$31000,5,0)</f>
        <v>#N/A</v>
      </c>
      <c r="D3062" s="167" t="e">
        <f>VLOOKUP(E14862,'lista obszary'!A:B,2,0)</f>
        <v>#N/A</v>
      </c>
      <c r="E3062" s="128" t="e">
        <f>VLOOKUP(B3062,'LISTA 12'!$A$2:$G$301400,5,0)</f>
        <v>#N/A</v>
      </c>
      <c r="F3062" s="121" t="e">
        <f>VLOOKUP(B3062,'LISTA 12'!$A$2:$G$30100,7,0)</f>
        <v>#N/A</v>
      </c>
      <c r="G3062" s="254" t="e">
        <f>VLOOKUP(H3062,'lista 3'!$A$1:$C$31467,3,0)</f>
        <v>#N/A</v>
      </c>
      <c r="H3062" s="134"/>
      <c r="I3062" s="136"/>
      <c r="J3062" s="135"/>
      <c r="K3062" s="22"/>
    </row>
    <row r="3063" spans="1:11">
      <c r="A3063" s="241" t="e">
        <f>VLOOKUP(B3063,'lista 1'!$A$2:$E$30100,4,0)</f>
        <v>#N/A</v>
      </c>
      <c r="B3063" s="123"/>
      <c r="C3063" s="133" t="e">
        <f>VLOOKUP(B3063,'lista 1'!$A$2:$E$31000,5,0)</f>
        <v>#N/A</v>
      </c>
      <c r="D3063" s="167" t="e">
        <f>VLOOKUP(E14863,'lista obszary'!A:B,2,0)</f>
        <v>#N/A</v>
      </c>
      <c r="E3063" s="128" t="e">
        <f>VLOOKUP(B3063,'LISTA 12'!$A$2:$G$301400,5,0)</f>
        <v>#N/A</v>
      </c>
      <c r="F3063" s="121" t="e">
        <f>VLOOKUP(B3063,'LISTA 12'!$A$2:$G$30100,7,0)</f>
        <v>#N/A</v>
      </c>
      <c r="G3063" s="254" t="e">
        <f>VLOOKUP(H3063,'lista 3'!$A$1:$C$31467,3,0)</f>
        <v>#N/A</v>
      </c>
      <c r="H3063" s="134"/>
      <c r="I3063" s="136"/>
      <c r="J3063" s="135"/>
      <c r="K3063" s="22"/>
    </row>
    <row r="3064" spans="1:11">
      <c r="A3064" s="241" t="e">
        <f>VLOOKUP(B3064,'lista 1'!$A$2:$E$30100,4,0)</f>
        <v>#N/A</v>
      </c>
      <c r="B3064" s="123"/>
      <c r="C3064" s="133" t="e">
        <f>VLOOKUP(B3064,'lista 1'!$A$2:$E$31000,5,0)</f>
        <v>#N/A</v>
      </c>
      <c r="D3064" s="167" t="e">
        <f>VLOOKUP(E14864,'lista obszary'!A:B,2,0)</f>
        <v>#N/A</v>
      </c>
      <c r="E3064" s="128" t="e">
        <f>VLOOKUP(B3064,'LISTA 12'!$A$2:$G$301400,5,0)</f>
        <v>#N/A</v>
      </c>
      <c r="F3064" s="121" t="e">
        <f>VLOOKUP(B3064,'LISTA 12'!$A$2:$G$30100,7,0)</f>
        <v>#N/A</v>
      </c>
      <c r="G3064" s="254" t="e">
        <f>VLOOKUP(H3064,'lista 3'!$A$1:$C$31467,3,0)</f>
        <v>#N/A</v>
      </c>
      <c r="H3064" s="134"/>
      <c r="I3064" s="136"/>
      <c r="J3064" s="135"/>
      <c r="K3064" s="22"/>
    </row>
    <row r="3065" spans="1:11">
      <c r="A3065" s="241" t="e">
        <f>VLOOKUP(B3065,'lista 1'!$A$2:$E$30100,4,0)</f>
        <v>#N/A</v>
      </c>
      <c r="B3065" s="123"/>
      <c r="C3065" s="133" t="e">
        <f>VLOOKUP(B3065,'lista 1'!$A$2:$E$31000,5,0)</f>
        <v>#N/A</v>
      </c>
      <c r="D3065" s="167" t="e">
        <f>VLOOKUP(E14865,'lista obszary'!A:B,2,0)</f>
        <v>#N/A</v>
      </c>
      <c r="E3065" s="128" t="e">
        <f>VLOOKUP(B3065,'LISTA 12'!$A$2:$G$301400,5,0)</f>
        <v>#N/A</v>
      </c>
      <c r="F3065" s="121" t="e">
        <f>VLOOKUP(B3065,'LISTA 12'!$A$2:$G$30100,7,0)</f>
        <v>#N/A</v>
      </c>
      <c r="G3065" s="254" t="e">
        <f>VLOOKUP(H3065,'lista 3'!$A$1:$C$31467,3,0)</f>
        <v>#N/A</v>
      </c>
      <c r="H3065" s="134"/>
      <c r="I3065" s="136"/>
      <c r="J3065" s="135"/>
      <c r="K3065" s="22"/>
    </row>
    <row r="3066" spans="1:11">
      <c r="A3066" s="241" t="e">
        <f>VLOOKUP(B3066,'lista 1'!$A$2:$E$30100,4,0)</f>
        <v>#N/A</v>
      </c>
      <c r="B3066" s="123"/>
      <c r="C3066" s="133" t="e">
        <f>VLOOKUP(B3066,'lista 1'!$A$2:$E$31000,5,0)</f>
        <v>#N/A</v>
      </c>
      <c r="D3066" s="167" t="e">
        <f>VLOOKUP(E14866,'lista obszary'!A:B,2,0)</f>
        <v>#N/A</v>
      </c>
      <c r="E3066" s="128" t="e">
        <f>VLOOKUP(B3066,'LISTA 12'!$A$2:$G$301400,5,0)</f>
        <v>#N/A</v>
      </c>
      <c r="F3066" s="121" t="e">
        <f>VLOOKUP(B3066,'LISTA 12'!$A$2:$G$30100,7,0)</f>
        <v>#N/A</v>
      </c>
      <c r="G3066" s="254" t="e">
        <f>VLOOKUP(H3066,'lista 3'!$A$1:$C$31467,3,0)</f>
        <v>#N/A</v>
      </c>
      <c r="H3066" s="134"/>
      <c r="I3066" s="136"/>
      <c r="J3066" s="135"/>
      <c r="K3066" s="22"/>
    </row>
    <row r="3067" spans="1:11">
      <c r="A3067" s="241" t="e">
        <f>VLOOKUP(B3067,'lista 1'!$A$2:$E$30100,4,0)</f>
        <v>#N/A</v>
      </c>
      <c r="B3067" s="123"/>
      <c r="C3067" s="133" t="e">
        <f>VLOOKUP(B3067,'lista 1'!$A$2:$E$31000,5,0)</f>
        <v>#N/A</v>
      </c>
      <c r="D3067" s="167" t="e">
        <f>VLOOKUP(E14867,'lista obszary'!A:B,2,0)</f>
        <v>#N/A</v>
      </c>
      <c r="E3067" s="128" t="e">
        <f>VLOOKUP(B3067,'LISTA 12'!$A$2:$G$301400,5,0)</f>
        <v>#N/A</v>
      </c>
      <c r="F3067" s="121" t="e">
        <f>VLOOKUP(B3067,'LISTA 12'!$A$2:$G$30100,7,0)</f>
        <v>#N/A</v>
      </c>
      <c r="G3067" s="254" t="e">
        <f>VLOOKUP(H3067,'lista 3'!$A$1:$C$31467,3,0)</f>
        <v>#N/A</v>
      </c>
      <c r="H3067" s="134"/>
      <c r="I3067" s="136"/>
      <c r="J3067" s="135"/>
      <c r="K3067" s="22"/>
    </row>
    <row r="3068" spans="1:11">
      <c r="A3068" s="241" t="e">
        <f>VLOOKUP(B3068,'lista 1'!$A$2:$E$30100,4,0)</f>
        <v>#N/A</v>
      </c>
      <c r="B3068" s="123"/>
      <c r="C3068" s="133" t="e">
        <f>VLOOKUP(B3068,'lista 1'!$A$2:$E$31000,5,0)</f>
        <v>#N/A</v>
      </c>
      <c r="D3068" s="167" t="e">
        <f>VLOOKUP(E14868,'lista obszary'!A:B,2,0)</f>
        <v>#N/A</v>
      </c>
      <c r="E3068" s="128" t="e">
        <f>VLOOKUP(B3068,'LISTA 12'!$A$2:$G$301400,5,0)</f>
        <v>#N/A</v>
      </c>
      <c r="F3068" s="121" t="e">
        <f>VLOOKUP(B3068,'LISTA 12'!$A$2:$G$30100,7,0)</f>
        <v>#N/A</v>
      </c>
      <c r="G3068" s="254" t="e">
        <f>VLOOKUP(H3068,'lista 3'!$A$1:$C$31467,3,0)</f>
        <v>#N/A</v>
      </c>
      <c r="H3068" s="134"/>
      <c r="I3068" s="136"/>
      <c r="J3068" s="135"/>
      <c r="K3068" s="22"/>
    </row>
    <row r="3069" spans="1:11">
      <c r="A3069" s="241" t="e">
        <f>VLOOKUP(B3069,'lista 1'!$A$2:$E$30100,4,0)</f>
        <v>#N/A</v>
      </c>
      <c r="B3069" s="123"/>
      <c r="C3069" s="133" t="e">
        <f>VLOOKUP(B3069,'lista 1'!$A$2:$E$31000,5,0)</f>
        <v>#N/A</v>
      </c>
      <c r="D3069" s="167" t="e">
        <f>VLOOKUP(E14869,'lista obszary'!A:B,2,0)</f>
        <v>#N/A</v>
      </c>
      <c r="E3069" s="128" t="e">
        <f>VLOOKUP(B3069,'LISTA 12'!$A$2:$G$301400,5,0)</f>
        <v>#N/A</v>
      </c>
      <c r="F3069" s="121" t="e">
        <f>VLOOKUP(B3069,'LISTA 12'!$A$2:$G$30100,7,0)</f>
        <v>#N/A</v>
      </c>
      <c r="G3069" s="254" t="e">
        <f>VLOOKUP(H3069,'lista 3'!$A$1:$C$31467,3,0)</f>
        <v>#N/A</v>
      </c>
      <c r="H3069" s="134"/>
      <c r="I3069" s="136"/>
      <c r="J3069" s="135"/>
      <c r="K3069" s="22"/>
    </row>
    <row r="3070" spans="1:11">
      <c r="A3070" s="241" t="e">
        <f>VLOOKUP(B3070,'lista 1'!$A$2:$E$30100,4,0)</f>
        <v>#N/A</v>
      </c>
      <c r="B3070" s="123"/>
      <c r="C3070" s="133" t="e">
        <f>VLOOKUP(B3070,'lista 1'!$A$2:$E$31000,5,0)</f>
        <v>#N/A</v>
      </c>
      <c r="D3070" s="167" t="e">
        <f>VLOOKUP(E14870,'lista obszary'!A:B,2,0)</f>
        <v>#N/A</v>
      </c>
      <c r="E3070" s="128" t="e">
        <f>VLOOKUP(B3070,'LISTA 12'!$A$2:$G$301400,5,0)</f>
        <v>#N/A</v>
      </c>
      <c r="F3070" s="121" t="e">
        <f>VLOOKUP(B3070,'LISTA 12'!$A$2:$G$30100,7,0)</f>
        <v>#N/A</v>
      </c>
      <c r="G3070" s="254" t="e">
        <f>VLOOKUP(H3070,'lista 3'!$A$1:$C$31467,3,0)</f>
        <v>#N/A</v>
      </c>
      <c r="H3070" s="134"/>
      <c r="I3070" s="136"/>
      <c r="J3070" s="135"/>
      <c r="K3070" s="22"/>
    </row>
    <row r="3071" spans="1:11">
      <c r="A3071" s="241" t="e">
        <f>VLOOKUP(B3071,'lista 1'!$A$2:$E$30100,4,0)</f>
        <v>#N/A</v>
      </c>
      <c r="B3071" s="123"/>
      <c r="C3071" s="133" t="e">
        <f>VLOOKUP(B3071,'lista 1'!$A$2:$E$31000,5,0)</f>
        <v>#N/A</v>
      </c>
      <c r="D3071" s="167" t="e">
        <f>VLOOKUP(E14871,'lista obszary'!A:B,2,0)</f>
        <v>#N/A</v>
      </c>
      <c r="E3071" s="128" t="e">
        <f>VLOOKUP(B3071,'LISTA 12'!$A$2:$G$301400,5,0)</f>
        <v>#N/A</v>
      </c>
      <c r="F3071" s="121" t="e">
        <f>VLOOKUP(B3071,'LISTA 12'!$A$2:$G$30100,7,0)</f>
        <v>#N/A</v>
      </c>
      <c r="G3071" s="254" t="e">
        <f>VLOOKUP(H3071,'lista 3'!$A$1:$C$31467,3,0)</f>
        <v>#N/A</v>
      </c>
      <c r="H3071" s="134"/>
      <c r="I3071" s="136"/>
      <c r="J3071" s="135"/>
      <c r="K3071" s="22"/>
    </row>
    <row r="3072" spans="1:11">
      <c r="A3072" s="241" t="e">
        <f>VLOOKUP(B3072,'lista 1'!$A$2:$E$30100,4,0)</f>
        <v>#N/A</v>
      </c>
      <c r="B3072" s="123"/>
      <c r="C3072" s="133" t="e">
        <f>VLOOKUP(B3072,'lista 1'!$A$2:$E$31000,5,0)</f>
        <v>#N/A</v>
      </c>
      <c r="D3072" s="167" t="e">
        <f>VLOOKUP(E14872,'lista obszary'!A:B,2,0)</f>
        <v>#N/A</v>
      </c>
      <c r="E3072" s="128" t="e">
        <f>VLOOKUP(B3072,'LISTA 12'!$A$2:$G$301400,5,0)</f>
        <v>#N/A</v>
      </c>
      <c r="F3072" s="121" t="e">
        <f>VLOOKUP(B3072,'LISTA 12'!$A$2:$G$30100,7,0)</f>
        <v>#N/A</v>
      </c>
      <c r="G3072" s="254" t="e">
        <f>VLOOKUP(H3072,'lista 3'!$A$1:$C$31467,3,0)</f>
        <v>#N/A</v>
      </c>
      <c r="H3072" s="134"/>
      <c r="I3072" s="136"/>
      <c r="J3072" s="135"/>
      <c r="K3072" s="22"/>
    </row>
    <row r="3073" spans="1:11">
      <c r="A3073" s="241" t="e">
        <f>VLOOKUP(B3073,'lista 1'!$A$2:$E$30100,4,0)</f>
        <v>#N/A</v>
      </c>
      <c r="B3073" s="123"/>
      <c r="C3073" s="133" t="e">
        <f>VLOOKUP(B3073,'lista 1'!$A$2:$E$31000,5,0)</f>
        <v>#N/A</v>
      </c>
      <c r="D3073" s="167" t="e">
        <f>VLOOKUP(E14873,'lista obszary'!A:B,2,0)</f>
        <v>#N/A</v>
      </c>
      <c r="E3073" s="128" t="e">
        <f>VLOOKUP(B3073,'LISTA 12'!$A$2:$G$301400,5,0)</f>
        <v>#N/A</v>
      </c>
      <c r="F3073" s="121" t="e">
        <f>VLOOKUP(B3073,'LISTA 12'!$A$2:$G$30100,7,0)</f>
        <v>#N/A</v>
      </c>
      <c r="G3073" s="254" t="e">
        <f>VLOOKUP(H3073,'lista 3'!$A$1:$C$31467,3,0)</f>
        <v>#N/A</v>
      </c>
      <c r="H3073" s="134"/>
      <c r="I3073" s="136"/>
      <c r="J3073" s="135"/>
      <c r="K3073" s="22"/>
    </row>
    <row r="3074" spans="1:11">
      <c r="A3074" s="241" t="e">
        <f>VLOOKUP(B3074,'lista 1'!$A$2:$E$30100,4,0)</f>
        <v>#N/A</v>
      </c>
      <c r="B3074" s="123"/>
      <c r="C3074" s="133" t="e">
        <f>VLOOKUP(B3074,'lista 1'!$A$2:$E$31000,5,0)</f>
        <v>#N/A</v>
      </c>
      <c r="D3074" s="167" t="e">
        <f>VLOOKUP(E14874,'lista obszary'!A:B,2,0)</f>
        <v>#N/A</v>
      </c>
      <c r="E3074" s="128" t="e">
        <f>VLOOKUP(B3074,'LISTA 12'!$A$2:$G$301400,5,0)</f>
        <v>#N/A</v>
      </c>
      <c r="F3074" s="121" t="e">
        <f>VLOOKUP(B3074,'LISTA 12'!$A$2:$G$30100,7,0)</f>
        <v>#N/A</v>
      </c>
      <c r="G3074" s="254" t="e">
        <f>VLOOKUP(H3074,'lista 3'!$A$1:$C$31467,3,0)</f>
        <v>#N/A</v>
      </c>
      <c r="H3074" s="134"/>
      <c r="I3074" s="136"/>
      <c r="J3074" s="135"/>
      <c r="K3074" s="22"/>
    </row>
    <row r="3075" spans="1:11">
      <c r="A3075" s="241" t="e">
        <f>VLOOKUP(B3075,'lista 1'!$A$2:$E$30100,4,0)</f>
        <v>#N/A</v>
      </c>
      <c r="B3075" s="123"/>
      <c r="C3075" s="133" t="e">
        <f>VLOOKUP(B3075,'lista 1'!$A$2:$E$31000,5,0)</f>
        <v>#N/A</v>
      </c>
      <c r="D3075" s="167" t="e">
        <f>VLOOKUP(E14875,'lista obszary'!A:B,2,0)</f>
        <v>#N/A</v>
      </c>
      <c r="E3075" s="128" t="e">
        <f>VLOOKUP(B3075,'LISTA 12'!$A$2:$G$301400,5,0)</f>
        <v>#N/A</v>
      </c>
      <c r="F3075" s="121" t="e">
        <f>VLOOKUP(B3075,'LISTA 12'!$A$2:$G$30100,7,0)</f>
        <v>#N/A</v>
      </c>
      <c r="G3075" s="254" t="e">
        <f>VLOOKUP(H3075,'lista 3'!$A$1:$C$31467,3,0)</f>
        <v>#N/A</v>
      </c>
      <c r="H3075" s="134"/>
      <c r="I3075" s="136"/>
      <c r="J3075" s="135"/>
      <c r="K3075" s="22"/>
    </row>
    <row r="3076" spans="1:11">
      <c r="A3076" s="241" t="e">
        <f>VLOOKUP(B3076,'lista 1'!$A$2:$E$30100,4,0)</f>
        <v>#N/A</v>
      </c>
      <c r="B3076" s="123"/>
      <c r="C3076" s="133" t="e">
        <f>VLOOKUP(B3076,'lista 1'!$A$2:$E$31000,5,0)</f>
        <v>#N/A</v>
      </c>
      <c r="D3076" s="167" t="e">
        <f>VLOOKUP(E14876,'lista obszary'!A:B,2,0)</f>
        <v>#N/A</v>
      </c>
      <c r="E3076" s="128" t="e">
        <f>VLOOKUP(B3076,'LISTA 12'!$A$2:$G$301400,5,0)</f>
        <v>#N/A</v>
      </c>
      <c r="F3076" s="121" t="e">
        <f>VLOOKUP(B3076,'LISTA 12'!$A$2:$G$30100,7,0)</f>
        <v>#N/A</v>
      </c>
      <c r="G3076" s="254" t="e">
        <f>VLOOKUP(H3076,'lista 3'!$A$1:$C$31467,3,0)</f>
        <v>#N/A</v>
      </c>
      <c r="H3076" s="134"/>
      <c r="I3076" s="136"/>
      <c r="J3076" s="135"/>
      <c r="K3076" s="22"/>
    </row>
    <row r="3077" spans="1:11">
      <c r="A3077" s="241" t="e">
        <f>VLOOKUP(B3077,'lista 1'!$A$2:$E$30100,4,0)</f>
        <v>#N/A</v>
      </c>
      <c r="B3077" s="123"/>
      <c r="C3077" s="133" t="e">
        <f>VLOOKUP(B3077,'lista 1'!$A$2:$E$31000,5,0)</f>
        <v>#N/A</v>
      </c>
      <c r="D3077" s="167" t="e">
        <f>VLOOKUP(E14877,'lista obszary'!A:B,2,0)</f>
        <v>#N/A</v>
      </c>
      <c r="E3077" s="128" t="e">
        <f>VLOOKUP(B3077,'LISTA 12'!$A$2:$G$301400,5,0)</f>
        <v>#N/A</v>
      </c>
      <c r="F3077" s="121" t="e">
        <f>VLOOKUP(B3077,'LISTA 12'!$A$2:$G$30100,7,0)</f>
        <v>#N/A</v>
      </c>
      <c r="G3077" s="254" t="e">
        <f>VLOOKUP(H3077,'lista 3'!$A$1:$C$31467,3,0)</f>
        <v>#N/A</v>
      </c>
      <c r="H3077" s="134"/>
      <c r="I3077" s="136"/>
      <c r="J3077" s="135"/>
      <c r="K3077" s="22"/>
    </row>
    <row r="3078" spans="1:11">
      <c r="A3078" s="241" t="e">
        <f>VLOOKUP(B3078,'lista 1'!$A$2:$E$30100,4,0)</f>
        <v>#N/A</v>
      </c>
      <c r="B3078" s="123"/>
      <c r="C3078" s="133" t="e">
        <f>VLOOKUP(B3078,'lista 1'!$A$2:$E$31000,5,0)</f>
        <v>#N/A</v>
      </c>
      <c r="D3078" s="167" t="e">
        <f>VLOOKUP(E14878,'lista obszary'!A:B,2,0)</f>
        <v>#N/A</v>
      </c>
      <c r="E3078" s="128" t="e">
        <f>VLOOKUP(B3078,'LISTA 12'!$A$2:$G$301400,5,0)</f>
        <v>#N/A</v>
      </c>
      <c r="F3078" s="121" t="e">
        <f>VLOOKUP(B3078,'LISTA 12'!$A$2:$G$30100,7,0)</f>
        <v>#N/A</v>
      </c>
      <c r="G3078" s="254" t="e">
        <f>VLOOKUP(H3078,'lista 3'!$A$1:$C$31467,3,0)</f>
        <v>#N/A</v>
      </c>
      <c r="H3078" s="134"/>
      <c r="I3078" s="136"/>
      <c r="J3078" s="135"/>
      <c r="K3078" s="22"/>
    </row>
    <row r="3079" spans="1:11">
      <c r="A3079" s="241" t="e">
        <f>VLOOKUP(B3079,'lista 1'!$A$2:$E$30100,4,0)</f>
        <v>#N/A</v>
      </c>
      <c r="B3079" s="123"/>
      <c r="C3079" s="133" t="e">
        <f>VLOOKUP(B3079,'lista 1'!$A$2:$E$31000,5,0)</f>
        <v>#N/A</v>
      </c>
      <c r="D3079" s="167" t="e">
        <f>VLOOKUP(E14879,'lista obszary'!A:B,2,0)</f>
        <v>#N/A</v>
      </c>
      <c r="E3079" s="128" t="e">
        <f>VLOOKUP(B3079,'LISTA 12'!$A$2:$G$301400,5,0)</f>
        <v>#N/A</v>
      </c>
      <c r="F3079" s="121" t="e">
        <f>VLOOKUP(B3079,'LISTA 12'!$A$2:$G$30100,7,0)</f>
        <v>#N/A</v>
      </c>
      <c r="G3079" s="254" t="e">
        <f>VLOOKUP(H3079,'lista 3'!$A$1:$C$31467,3,0)</f>
        <v>#N/A</v>
      </c>
      <c r="H3079" s="134"/>
      <c r="I3079" s="136"/>
      <c r="J3079" s="135"/>
      <c r="K3079" s="22"/>
    </row>
    <row r="3080" spans="1:11">
      <c r="A3080" s="241" t="e">
        <f>VLOOKUP(B3080,'lista 1'!$A$2:$E$30100,4,0)</f>
        <v>#N/A</v>
      </c>
      <c r="B3080" s="123"/>
      <c r="C3080" s="133" t="e">
        <f>VLOOKUP(B3080,'lista 1'!$A$2:$E$31000,5,0)</f>
        <v>#N/A</v>
      </c>
      <c r="D3080" s="167" t="e">
        <f>VLOOKUP(E14880,'lista obszary'!A:B,2,0)</f>
        <v>#N/A</v>
      </c>
      <c r="E3080" s="128" t="e">
        <f>VLOOKUP(B3080,'LISTA 12'!$A$2:$G$301400,5,0)</f>
        <v>#N/A</v>
      </c>
      <c r="F3080" s="121" t="e">
        <f>VLOOKUP(B3080,'LISTA 12'!$A$2:$G$30100,7,0)</f>
        <v>#N/A</v>
      </c>
      <c r="G3080" s="254" t="e">
        <f>VLOOKUP(H3080,'lista 3'!$A$1:$C$31467,3,0)</f>
        <v>#N/A</v>
      </c>
      <c r="H3080" s="134"/>
      <c r="I3080" s="136"/>
      <c r="J3080" s="135"/>
      <c r="K3080" s="22"/>
    </row>
    <row r="3081" spans="1:11">
      <c r="A3081" s="241" t="e">
        <f>VLOOKUP(B3081,'lista 1'!$A$2:$E$30100,4,0)</f>
        <v>#N/A</v>
      </c>
      <c r="B3081" s="123"/>
      <c r="C3081" s="133" t="e">
        <f>VLOOKUP(B3081,'lista 1'!$A$2:$E$31000,5,0)</f>
        <v>#N/A</v>
      </c>
      <c r="D3081" s="167" t="e">
        <f>VLOOKUP(E14881,'lista obszary'!A:B,2,0)</f>
        <v>#N/A</v>
      </c>
      <c r="E3081" s="128" t="e">
        <f>VLOOKUP(B3081,'LISTA 12'!$A$2:$G$301400,5,0)</f>
        <v>#N/A</v>
      </c>
      <c r="F3081" s="121" t="e">
        <f>VLOOKUP(B3081,'LISTA 12'!$A$2:$G$30100,7,0)</f>
        <v>#N/A</v>
      </c>
      <c r="G3081" s="254" t="e">
        <f>VLOOKUP(H3081,'lista 3'!$A$1:$C$31467,3,0)</f>
        <v>#N/A</v>
      </c>
      <c r="H3081" s="134"/>
      <c r="I3081" s="136"/>
      <c r="J3081" s="135"/>
      <c r="K3081" s="22"/>
    </row>
    <row r="3082" spans="1:11">
      <c r="A3082" s="241" t="e">
        <f>VLOOKUP(B3082,'lista 1'!$A$2:$E$30100,4,0)</f>
        <v>#N/A</v>
      </c>
      <c r="B3082" s="123"/>
      <c r="C3082" s="133" t="e">
        <f>VLOOKUP(B3082,'lista 1'!$A$2:$E$31000,5,0)</f>
        <v>#N/A</v>
      </c>
      <c r="D3082" s="167" t="e">
        <f>VLOOKUP(E14882,'lista obszary'!A:B,2,0)</f>
        <v>#N/A</v>
      </c>
      <c r="E3082" s="128" t="e">
        <f>VLOOKUP(B3082,'LISTA 12'!$A$2:$G$301400,5,0)</f>
        <v>#N/A</v>
      </c>
      <c r="F3082" s="121" t="e">
        <f>VLOOKUP(B3082,'LISTA 12'!$A$2:$G$30100,7,0)</f>
        <v>#N/A</v>
      </c>
      <c r="G3082" s="254" t="e">
        <f>VLOOKUP(H3082,'lista 3'!$A$1:$C$31467,3,0)</f>
        <v>#N/A</v>
      </c>
      <c r="H3082" s="134"/>
      <c r="I3082" s="136"/>
      <c r="J3082" s="135"/>
      <c r="K3082" s="22"/>
    </row>
    <row r="3083" spans="1:11">
      <c r="A3083" s="241" t="e">
        <f>VLOOKUP(B3083,'lista 1'!$A$2:$E$30100,4,0)</f>
        <v>#N/A</v>
      </c>
      <c r="B3083" s="123"/>
      <c r="C3083" s="133" t="e">
        <f>VLOOKUP(B3083,'lista 1'!$A$2:$E$31000,5,0)</f>
        <v>#N/A</v>
      </c>
      <c r="D3083" s="167" t="e">
        <f>VLOOKUP(E14883,'lista obszary'!A:B,2,0)</f>
        <v>#N/A</v>
      </c>
      <c r="E3083" s="128" t="e">
        <f>VLOOKUP(B3083,'LISTA 12'!$A$2:$G$301400,5,0)</f>
        <v>#N/A</v>
      </c>
      <c r="F3083" s="121" t="e">
        <f>VLOOKUP(B3083,'LISTA 12'!$A$2:$G$30100,7,0)</f>
        <v>#N/A</v>
      </c>
      <c r="G3083" s="254" t="e">
        <f>VLOOKUP(H3083,'lista 3'!$A$1:$C$31467,3,0)</f>
        <v>#N/A</v>
      </c>
      <c r="H3083" s="134"/>
      <c r="I3083" s="136"/>
      <c r="J3083" s="135"/>
      <c r="K3083" s="22"/>
    </row>
    <row r="3084" spans="1:11">
      <c r="A3084" s="241" t="e">
        <f>VLOOKUP(B3084,'lista 1'!$A$2:$E$30100,4,0)</f>
        <v>#N/A</v>
      </c>
      <c r="B3084" s="123"/>
      <c r="C3084" s="133" t="e">
        <f>VLOOKUP(B3084,'lista 1'!$A$2:$E$31000,5,0)</f>
        <v>#N/A</v>
      </c>
      <c r="D3084" s="167" t="e">
        <f>VLOOKUP(E14884,'lista obszary'!A:B,2,0)</f>
        <v>#N/A</v>
      </c>
      <c r="E3084" s="128" t="e">
        <f>VLOOKUP(B3084,'LISTA 12'!$A$2:$G$301400,5,0)</f>
        <v>#N/A</v>
      </c>
      <c r="F3084" s="121" t="e">
        <f>VLOOKUP(B3084,'LISTA 12'!$A$2:$G$30100,7,0)</f>
        <v>#N/A</v>
      </c>
      <c r="G3084" s="254" t="e">
        <f>VLOOKUP(H3084,'lista 3'!$A$1:$C$31467,3,0)</f>
        <v>#N/A</v>
      </c>
      <c r="H3084" s="134"/>
      <c r="I3084" s="136"/>
      <c r="J3084" s="135"/>
      <c r="K3084" s="22"/>
    </row>
    <row r="3085" spans="1:11">
      <c r="A3085" s="241" t="e">
        <f>VLOOKUP(B3085,'lista 1'!$A$2:$E$30100,4,0)</f>
        <v>#N/A</v>
      </c>
      <c r="B3085" s="123"/>
      <c r="C3085" s="133" t="e">
        <f>VLOOKUP(B3085,'lista 1'!$A$2:$E$31000,5,0)</f>
        <v>#N/A</v>
      </c>
      <c r="D3085" s="167" t="e">
        <f>VLOOKUP(E14885,'lista obszary'!A:B,2,0)</f>
        <v>#N/A</v>
      </c>
      <c r="E3085" s="128" t="e">
        <f>VLOOKUP(B3085,'LISTA 12'!$A$2:$G$301400,5,0)</f>
        <v>#N/A</v>
      </c>
      <c r="F3085" s="121" t="e">
        <f>VLOOKUP(B3085,'LISTA 12'!$A$2:$G$30100,7,0)</f>
        <v>#N/A</v>
      </c>
      <c r="G3085" s="254" t="e">
        <f>VLOOKUP(H3085,'lista 3'!$A$1:$C$31467,3,0)</f>
        <v>#N/A</v>
      </c>
      <c r="H3085" s="134"/>
      <c r="I3085" s="136"/>
      <c r="J3085" s="135"/>
      <c r="K3085" s="22"/>
    </row>
    <row r="3086" spans="1:11">
      <c r="A3086" s="241" t="e">
        <f>VLOOKUP(B3086,'lista 1'!$A$2:$E$30100,4,0)</f>
        <v>#N/A</v>
      </c>
      <c r="B3086" s="123"/>
      <c r="C3086" s="133" t="e">
        <f>VLOOKUP(B3086,'lista 1'!$A$2:$E$31000,5,0)</f>
        <v>#N/A</v>
      </c>
      <c r="D3086" s="167" t="e">
        <f>VLOOKUP(E14886,'lista obszary'!A:B,2,0)</f>
        <v>#N/A</v>
      </c>
      <c r="E3086" s="128" t="e">
        <f>VLOOKUP(B3086,'LISTA 12'!$A$2:$G$301400,5,0)</f>
        <v>#N/A</v>
      </c>
      <c r="F3086" s="121" t="e">
        <f>VLOOKUP(B3086,'LISTA 12'!$A$2:$G$30100,7,0)</f>
        <v>#N/A</v>
      </c>
      <c r="G3086" s="254" t="e">
        <f>VLOOKUP(H3086,'lista 3'!$A$1:$C$31467,3,0)</f>
        <v>#N/A</v>
      </c>
      <c r="H3086" s="134"/>
      <c r="I3086" s="136"/>
      <c r="J3086" s="135"/>
      <c r="K3086" s="22"/>
    </row>
    <row r="3087" spans="1:11">
      <c r="A3087" s="241" t="e">
        <f>VLOOKUP(B3087,'lista 1'!$A$2:$E$30100,4,0)</f>
        <v>#N/A</v>
      </c>
      <c r="B3087" s="123"/>
      <c r="C3087" s="133" t="e">
        <f>VLOOKUP(B3087,'lista 1'!$A$2:$E$31000,5,0)</f>
        <v>#N/A</v>
      </c>
      <c r="D3087" s="167" t="e">
        <f>VLOOKUP(E14887,'lista obszary'!A:B,2,0)</f>
        <v>#N/A</v>
      </c>
      <c r="E3087" s="128" t="e">
        <f>VLOOKUP(B3087,'LISTA 12'!$A$2:$G$301400,5,0)</f>
        <v>#N/A</v>
      </c>
      <c r="F3087" s="121" t="e">
        <f>VLOOKUP(B3087,'LISTA 12'!$A$2:$G$30100,7,0)</f>
        <v>#N/A</v>
      </c>
      <c r="G3087" s="254" t="e">
        <f>VLOOKUP(H3087,'lista 3'!$A$1:$C$31467,3,0)</f>
        <v>#N/A</v>
      </c>
      <c r="H3087" s="134"/>
      <c r="I3087" s="136"/>
      <c r="J3087" s="135"/>
      <c r="K3087" s="22"/>
    </row>
    <row r="3088" spans="1:11">
      <c r="A3088" s="241" t="e">
        <f>VLOOKUP(B3088,'lista 1'!$A$2:$E$30100,4,0)</f>
        <v>#N/A</v>
      </c>
      <c r="B3088" s="123"/>
      <c r="C3088" s="133" t="e">
        <f>VLOOKUP(B3088,'lista 1'!$A$2:$E$31000,5,0)</f>
        <v>#N/A</v>
      </c>
      <c r="D3088" s="167" t="e">
        <f>VLOOKUP(E14888,'lista obszary'!A:B,2,0)</f>
        <v>#N/A</v>
      </c>
      <c r="E3088" s="128" t="e">
        <f>VLOOKUP(B3088,'LISTA 12'!$A$2:$G$301400,5,0)</f>
        <v>#N/A</v>
      </c>
      <c r="F3088" s="121" t="e">
        <f>VLOOKUP(B3088,'LISTA 12'!$A$2:$G$30100,7,0)</f>
        <v>#N/A</v>
      </c>
      <c r="G3088" s="254" t="e">
        <f>VLOOKUP(H3088,'lista 3'!$A$1:$C$31467,3,0)</f>
        <v>#N/A</v>
      </c>
      <c r="H3088" s="134"/>
      <c r="I3088" s="136"/>
      <c r="J3088" s="135"/>
      <c r="K3088" s="22"/>
    </row>
    <row r="3089" spans="1:11">
      <c r="A3089" s="241" t="e">
        <f>VLOOKUP(B3089,'lista 1'!$A$2:$E$30100,4,0)</f>
        <v>#N/A</v>
      </c>
      <c r="B3089" s="123"/>
      <c r="C3089" s="133" t="e">
        <f>VLOOKUP(B3089,'lista 1'!$A$2:$E$31000,5,0)</f>
        <v>#N/A</v>
      </c>
      <c r="D3089" s="167" t="e">
        <f>VLOOKUP(E14889,'lista obszary'!A:B,2,0)</f>
        <v>#N/A</v>
      </c>
      <c r="E3089" s="128" t="e">
        <f>VLOOKUP(B3089,'LISTA 12'!$A$2:$G$301400,5,0)</f>
        <v>#N/A</v>
      </c>
      <c r="F3089" s="121" t="e">
        <f>VLOOKUP(B3089,'LISTA 12'!$A$2:$G$30100,7,0)</f>
        <v>#N/A</v>
      </c>
      <c r="G3089" s="254" t="e">
        <f>VLOOKUP(H3089,'lista 3'!$A$1:$C$31467,3,0)</f>
        <v>#N/A</v>
      </c>
      <c r="H3089" s="134"/>
      <c r="I3089" s="136"/>
      <c r="J3089" s="135"/>
      <c r="K3089" s="22"/>
    </row>
    <row r="3090" spans="1:11">
      <c r="A3090" s="241" t="e">
        <f>VLOOKUP(B3090,'lista 1'!$A$2:$E$30100,4,0)</f>
        <v>#N/A</v>
      </c>
      <c r="B3090" s="123"/>
      <c r="C3090" s="133" t="e">
        <f>VLOOKUP(B3090,'lista 1'!$A$2:$E$31000,5,0)</f>
        <v>#N/A</v>
      </c>
      <c r="D3090" s="167" t="e">
        <f>VLOOKUP(E14890,'lista obszary'!A:B,2,0)</f>
        <v>#N/A</v>
      </c>
      <c r="E3090" s="128" t="e">
        <f>VLOOKUP(B3090,'LISTA 12'!$A$2:$G$301400,5,0)</f>
        <v>#N/A</v>
      </c>
      <c r="F3090" s="121" t="e">
        <f>VLOOKUP(B3090,'LISTA 12'!$A$2:$G$30100,7,0)</f>
        <v>#N/A</v>
      </c>
      <c r="G3090" s="254" t="e">
        <f>VLOOKUP(H3090,'lista 3'!$A$1:$C$31467,3,0)</f>
        <v>#N/A</v>
      </c>
      <c r="H3090" s="134"/>
      <c r="I3090" s="136"/>
      <c r="J3090" s="135"/>
      <c r="K3090" s="22"/>
    </row>
    <row r="3091" spans="1:11">
      <c r="A3091" s="241" t="e">
        <f>VLOOKUP(B3091,'lista 1'!$A$2:$E$30100,4,0)</f>
        <v>#N/A</v>
      </c>
      <c r="B3091" s="123"/>
      <c r="C3091" s="133" t="e">
        <f>VLOOKUP(B3091,'lista 1'!$A$2:$E$31000,5,0)</f>
        <v>#N/A</v>
      </c>
      <c r="D3091" s="167" t="e">
        <f>VLOOKUP(E14891,'lista obszary'!A:B,2,0)</f>
        <v>#N/A</v>
      </c>
      <c r="E3091" s="128" t="e">
        <f>VLOOKUP(B3091,'LISTA 12'!$A$2:$G$301400,5,0)</f>
        <v>#N/A</v>
      </c>
      <c r="F3091" s="121" t="e">
        <f>VLOOKUP(B3091,'LISTA 12'!$A$2:$G$30100,7,0)</f>
        <v>#N/A</v>
      </c>
      <c r="G3091" s="254" t="e">
        <f>VLOOKUP(H3091,'lista 3'!$A$1:$C$31467,3,0)</f>
        <v>#N/A</v>
      </c>
      <c r="H3091" s="134"/>
      <c r="I3091" s="136"/>
      <c r="J3091" s="135"/>
      <c r="K3091" s="22"/>
    </row>
    <row r="3092" spans="1:11">
      <c r="A3092" s="241" t="e">
        <f>VLOOKUP(B3092,'lista 1'!$A$2:$E$30100,4,0)</f>
        <v>#N/A</v>
      </c>
      <c r="B3092" s="123"/>
      <c r="C3092" s="133" t="e">
        <f>VLOOKUP(B3092,'lista 1'!$A$2:$E$31000,5,0)</f>
        <v>#N/A</v>
      </c>
      <c r="D3092" s="167" t="e">
        <f>VLOOKUP(E14892,'lista obszary'!A:B,2,0)</f>
        <v>#N/A</v>
      </c>
      <c r="E3092" s="128" t="e">
        <f>VLOOKUP(B3092,'LISTA 12'!$A$2:$G$301400,5,0)</f>
        <v>#N/A</v>
      </c>
      <c r="F3092" s="121" t="e">
        <f>VLOOKUP(B3092,'LISTA 12'!$A$2:$G$30100,7,0)</f>
        <v>#N/A</v>
      </c>
      <c r="G3092" s="254" t="e">
        <f>VLOOKUP(H3092,'lista 3'!$A$1:$C$31467,3,0)</f>
        <v>#N/A</v>
      </c>
      <c r="H3092" s="134"/>
      <c r="I3092" s="136"/>
      <c r="J3092" s="135"/>
      <c r="K3092" s="22"/>
    </row>
    <row r="3093" spans="1:11">
      <c r="A3093" s="241" t="e">
        <f>VLOOKUP(B3093,'lista 1'!$A$2:$E$30100,4,0)</f>
        <v>#N/A</v>
      </c>
      <c r="B3093" s="123"/>
      <c r="C3093" s="133" t="e">
        <f>VLOOKUP(B3093,'lista 1'!$A$2:$E$31000,5,0)</f>
        <v>#N/A</v>
      </c>
      <c r="D3093" s="167" t="e">
        <f>VLOOKUP(E14893,'lista obszary'!A:B,2,0)</f>
        <v>#N/A</v>
      </c>
      <c r="E3093" s="128" t="e">
        <f>VLOOKUP(B3093,'LISTA 12'!$A$2:$G$301400,5,0)</f>
        <v>#N/A</v>
      </c>
      <c r="F3093" s="121" t="e">
        <f>VLOOKUP(B3093,'LISTA 12'!$A$2:$G$30100,7,0)</f>
        <v>#N/A</v>
      </c>
      <c r="G3093" s="254" t="e">
        <f>VLOOKUP(H3093,'lista 3'!$A$1:$C$31467,3,0)</f>
        <v>#N/A</v>
      </c>
      <c r="H3093" s="134"/>
      <c r="I3093" s="136"/>
      <c r="J3093" s="135"/>
      <c r="K3093" s="22"/>
    </row>
    <row r="3094" spans="1:11">
      <c r="A3094" s="241" t="e">
        <f>VLOOKUP(B3094,'lista 1'!$A$2:$E$30100,4,0)</f>
        <v>#N/A</v>
      </c>
      <c r="B3094" s="123"/>
      <c r="C3094" s="133" t="e">
        <f>VLOOKUP(B3094,'lista 1'!$A$2:$E$31000,5,0)</f>
        <v>#N/A</v>
      </c>
      <c r="D3094" s="167" t="e">
        <f>VLOOKUP(E14894,'lista obszary'!A:B,2,0)</f>
        <v>#N/A</v>
      </c>
      <c r="E3094" s="128" t="e">
        <f>VLOOKUP(B3094,'LISTA 12'!$A$2:$G$301400,5,0)</f>
        <v>#N/A</v>
      </c>
      <c r="F3094" s="121" t="e">
        <f>VLOOKUP(B3094,'LISTA 12'!$A$2:$G$30100,7,0)</f>
        <v>#N/A</v>
      </c>
      <c r="G3094" s="254" t="e">
        <f>VLOOKUP(H3094,'lista 3'!$A$1:$C$31467,3,0)</f>
        <v>#N/A</v>
      </c>
      <c r="H3094" s="134"/>
      <c r="I3094" s="136"/>
      <c r="J3094" s="135"/>
      <c r="K3094" s="22"/>
    </row>
    <row r="3095" spans="1:11">
      <c r="A3095" s="241" t="e">
        <f>VLOOKUP(B3095,'lista 1'!$A$2:$E$30100,4,0)</f>
        <v>#N/A</v>
      </c>
      <c r="B3095" s="123"/>
      <c r="C3095" s="133" t="e">
        <f>VLOOKUP(B3095,'lista 1'!$A$2:$E$31000,5,0)</f>
        <v>#N/A</v>
      </c>
      <c r="D3095" s="167" t="e">
        <f>VLOOKUP(E14895,'lista obszary'!A:B,2,0)</f>
        <v>#N/A</v>
      </c>
      <c r="E3095" s="128" t="e">
        <f>VLOOKUP(B3095,'LISTA 12'!$A$2:$G$301400,5,0)</f>
        <v>#N/A</v>
      </c>
      <c r="F3095" s="121" t="e">
        <f>VLOOKUP(B3095,'LISTA 12'!$A$2:$G$30100,7,0)</f>
        <v>#N/A</v>
      </c>
      <c r="G3095" s="254" t="e">
        <f>VLOOKUP(H3095,'lista 3'!$A$1:$C$31467,3,0)</f>
        <v>#N/A</v>
      </c>
      <c r="H3095" s="134"/>
      <c r="I3095" s="136"/>
      <c r="J3095" s="135"/>
      <c r="K3095" s="22"/>
    </row>
    <row r="3096" spans="1:11">
      <c r="A3096" s="241" t="e">
        <f>VLOOKUP(B3096,'lista 1'!$A$2:$E$30100,4,0)</f>
        <v>#N/A</v>
      </c>
      <c r="B3096" s="123"/>
      <c r="C3096" s="133" t="e">
        <f>VLOOKUP(B3096,'lista 1'!$A$2:$E$31000,5,0)</f>
        <v>#N/A</v>
      </c>
      <c r="D3096" s="167" t="e">
        <f>VLOOKUP(E14896,'lista obszary'!A:B,2,0)</f>
        <v>#N/A</v>
      </c>
      <c r="E3096" s="128" t="e">
        <f>VLOOKUP(B3096,'LISTA 12'!$A$2:$G$301400,5,0)</f>
        <v>#N/A</v>
      </c>
      <c r="F3096" s="121" t="e">
        <f>VLOOKUP(B3096,'LISTA 12'!$A$2:$G$30100,7,0)</f>
        <v>#N/A</v>
      </c>
      <c r="G3096" s="254" t="e">
        <f>VLOOKUP(H3096,'lista 3'!$A$1:$C$31467,3,0)</f>
        <v>#N/A</v>
      </c>
      <c r="H3096" s="134"/>
      <c r="I3096" s="136"/>
      <c r="J3096" s="135"/>
      <c r="K3096" s="22"/>
    </row>
    <row r="3097" spans="1:11">
      <c r="A3097" s="241" t="e">
        <f>VLOOKUP(B3097,'lista 1'!$A$2:$E$30100,4,0)</f>
        <v>#N/A</v>
      </c>
      <c r="B3097" s="123"/>
      <c r="C3097" s="133" t="e">
        <f>VLOOKUP(B3097,'lista 1'!$A$2:$E$31000,5,0)</f>
        <v>#N/A</v>
      </c>
      <c r="D3097" s="167" t="e">
        <f>VLOOKUP(E14897,'lista obszary'!A:B,2,0)</f>
        <v>#N/A</v>
      </c>
      <c r="E3097" s="128" t="e">
        <f>VLOOKUP(B3097,'LISTA 12'!$A$2:$G$301400,5,0)</f>
        <v>#N/A</v>
      </c>
      <c r="F3097" s="121" t="e">
        <f>VLOOKUP(B3097,'LISTA 12'!$A$2:$G$30100,7,0)</f>
        <v>#N/A</v>
      </c>
      <c r="G3097" s="254" t="e">
        <f>VLOOKUP(H3097,'lista 3'!$A$1:$C$31467,3,0)</f>
        <v>#N/A</v>
      </c>
      <c r="H3097" s="134"/>
      <c r="I3097" s="136"/>
      <c r="J3097" s="135"/>
      <c r="K3097" s="22"/>
    </row>
    <row r="3098" spans="1:11">
      <c r="A3098" s="241" t="e">
        <f>VLOOKUP(B3098,'lista 1'!$A$2:$E$30100,4,0)</f>
        <v>#N/A</v>
      </c>
      <c r="B3098" s="123"/>
      <c r="C3098" s="133" t="e">
        <f>VLOOKUP(B3098,'lista 1'!$A$2:$E$31000,5,0)</f>
        <v>#N/A</v>
      </c>
      <c r="D3098" s="167" t="e">
        <f>VLOOKUP(E14898,'lista obszary'!A:B,2,0)</f>
        <v>#N/A</v>
      </c>
      <c r="E3098" s="128" t="e">
        <f>VLOOKUP(B3098,'LISTA 12'!$A$2:$G$301400,5,0)</f>
        <v>#N/A</v>
      </c>
      <c r="F3098" s="121" t="e">
        <f>VLOOKUP(B3098,'LISTA 12'!$A$2:$G$30100,7,0)</f>
        <v>#N/A</v>
      </c>
      <c r="G3098" s="254" t="e">
        <f>VLOOKUP(H3098,'lista 3'!$A$1:$C$31467,3,0)</f>
        <v>#N/A</v>
      </c>
      <c r="H3098" s="134"/>
      <c r="I3098" s="136"/>
      <c r="J3098" s="135"/>
      <c r="K3098" s="22"/>
    </row>
    <row r="3099" spans="1:11">
      <c r="A3099" s="241" t="e">
        <f>VLOOKUP(B3099,'lista 1'!$A$2:$E$30100,4,0)</f>
        <v>#N/A</v>
      </c>
      <c r="B3099" s="123"/>
      <c r="C3099" s="133" t="e">
        <f>VLOOKUP(B3099,'lista 1'!$A$2:$E$31000,5,0)</f>
        <v>#N/A</v>
      </c>
      <c r="D3099" s="167" t="e">
        <f>VLOOKUP(E14899,'lista obszary'!A:B,2,0)</f>
        <v>#N/A</v>
      </c>
      <c r="E3099" s="128" t="e">
        <f>VLOOKUP(B3099,'LISTA 12'!$A$2:$G$301400,5,0)</f>
        <v>#N/A</v>
      </c>
      <c r="F3099" s="121" t="e">
        <f>VLOOKUP(B3099,'LISTA 12'!$A$2:$G$30100,7,0)</f>
        <v>#N/A</v>
      </c>
      <c r="G3099" s="254" t="e">
        <f>VLOOKUP(H3099,'lista 3'!$A$1:$C$31467,3,0)</f>
        <v>#N/A</v>
      </c>
      <c r="H3099" s="134"/>
      <c r="I3099" s="136"/>
      <c r="J3099" s="135"/>
      <c r="K3099" s="22"/>
    </row>
    <row r="3100" spans="1:11">
      <c r="A3100" s="241" t="e">
        <f>VLOOKUP(B3100,'lista 1'!$A$2:$E$30100,4,0)</f>
        <v>#N/A</v>
      </c>
      <c r="B3100" s="123"/>
      <c r="C3100" s="133" t="e">
        <f>VLOOKUP(B3100,'lista 1'!$A$2:$E$31000,5,0)</f>
        <v>#N/A</v>
      </c>
      <c r="D3100" s="167" t="e">
        <f>VLOOKUP(E14900,'lista obszary'!A:B,2,0)</f>
        <v>#N/A</v>
      </c>
      <c r="E3100" s="128" t="e">
        <f>VLOOKUP(B3100,'LISTA 12'!$A$2:$G$301400,5,0)</f>
        <v>#N/A</v>
      </c>
      <c r="F3100" s="121" t="e">
        <f>VLOOKUP(B3100,'LISTA 12'!$A$2:$G$30100,7,0)</f>
        <v>#N/A</v>
      </c>
      <c r="G3100" s="254" t="e">
        <f>VLOOKUP(H3100,'lista 3'!$A$1:$C$31467,3,0)</f>
        <v>#N/A</v>
      </c>
      <c r="H3100" s="134"/>
      <c r="I3100" s="136"/>
      <c r="J3100" s="135"/>
      <c r="K3100" s="22"/>
    </row>
    <row r="3101" spans="1:11">
      <c r="A3101" s="241" t="e">
        <f>VLOOKUP(B3101,'lista 1'!$A$2:$E$30100,4,0)</f>
        <v>#N/A</v>
      </c>
      <c r="B3101" s="123"/>
      <c r="C3101" s="133" t="e">
        <f>VLOOKUP(B3101,'lista 1'!$A$2:$E$31000,5,0)</f>
        <v>#N/A</v>
      </c>
      <c r="D3101" s="167" t="e">
        <f>VLOOKUP(E14901,'lista obszary'!A:B,2,0)</f>
        <v>#N/A</v>
      </c>
      <c r="E3101" s="128" t="e">
        <f>VLOOKUP(B3101,'LISTA 12'!$A$2:$G$301400,5,0)</f>
        <v>#N/A</v>
      </c>
      <c r="F3101" s="121" t="e">
        <f>VLOOKUP(B3101,'LISTA 12'!$A$2:$G$30100,7,0)</f>
        <v>#N/A</v>
      </c>
      <c r="G3101" s="254" t="e">
        <f>VLOOKUP(H3101,'lista 3'!$A$1:$C$31467,3,0)</f>
        <v>#N/A</v>
      </c>
      <c r="H3101" s="134"/>
      <c r="I3101" s="136"/>
      <c r="J3101" s="135"/>
      <c r="K3101" s="22"/>
    </row>
    <row r="3102" spans="1:11">
      <c r="A3102" s="241" t="e">
        <f>VLOOKUP(B3102,'lista 1'!$A$2:$E$30100,4,0)</f>
        <v>#N/A</v>
      </c>
      <c r="B3102" s="123"/>
      <c r="C3102" s="133" t="e">
        <f>VLOOKUP(B3102,'lista 1'!$A$2:$E$31000,5,0)</f>
        <v>#N/A</v>
      </c>
      <c r="D3102" s="167" t="e">
        <f>VLOOKUP(E14902,'lista obszary'!A:B,2,0)</f>
        <v>#N/A</v>
      </c>
      <c r="E3102" s="128" t="e">
        <f>VLOOKUP(B3102,'LISTA 12'!$A$2:$G$301400,5,0)</f>
        <v>#N/A</v>
      </c>
      <c r="F3102" s="121" t="e">
        <f>VLOOKUP(B3102,'LISTA 12'!$A$2:$G$30100,7,0)</f>
        <v>#N/A</v>
      </c>
      <c r="G3102" s="254" t="e">
        <f>VLOOKUP(H3102,'lista 3'!$A$1:$C$31467,3,0)</f>
        <v>#N/A</v>
      </c>
      <c r="H3102" s="134"/>
      <c r="I3102" s="136"/>
      <c r="J3102" s="135"/>
      <c r="K3102" s="22"/>
    </row>
    <row r="3103" spans="1:11">
      <c r="A3103" s="241" t="e">
        <f>VLOOKUP(B3103,'lista 1'!$A$2:$E$30100,4,0)</f>
        <v>#N/A</v>
      </c>
      <c r="B3103" s="123"/>
      <c r="C3103" s="133" t="e">
        <f>VLOOKUP(B3103,'lista 1'!$A$2:$E$31000,5,0)</f>
        <v>#N/A</v>
      </c>
      <c r="D3103" s="167" t="e">
        <f>VLOOKUP(E14903,'lista obszary'!A:B,2,0)</f>
        <v>#N/A</v>
      </c>
      <c r="E3103" s="128" t="e">
        <f>VLOOKUP(B3103,'LISTA 12'!$A$2:$G$301400,5,0)</f>
        <v>#N/A</v>
      </c>
      <c r="F3103" s="121" t="e">
        <f>VLOOKUP(B3103,'LISTA 12'!$A$2:$G$30100,7,0)</f>
        <v>#N/A</v>
      </c>
      <c r="G3103" s="254" t="e">
        <f>VLOOKUP(H3103,'lista 3'!$A$1:$C$31467,3,0)</f>
        <v>#N/A</v>
      </c>
      <c r="H3103" s="134"/>
      <c r="I3103" s="136"/>
      <c r="J3103" s="135"/>
      <c r="K3103" s="22"/>
    </row>
    <row r="3104" spans="1:11">
      <c r="A3104" s="241" t="e">
        <f>VLOOKUP(B3104,'lista 1'!$A$2:$E$30100,4,0)</f>
        <v>#N/A</v>
      </c>
      <c r="B3104" s="123"/>
      <c r="C3104" s="133" t="e">
        <f>VLOOKUP(B3104,'lista 1'!$A$2:$E$31000,5,0)</f>
        <v>#N/A</v>
      </c>
      <c r="D3104" s="167" t="e">
        <f>VLOOKUP(E14904,'lista obszary'!A:B,2,0)</f>
        <v>#N/A</v>
      </c>
      <c r="E3104" s="128" t="e">
        <f>VLOOKUP(B3104,'LISTA 12'!$A$2:$G$301400,5,0)</f>
        <v>#N/A</v>
      </c>
      <c r="F3104" s="121" t="e">
        <f>VLOOKUP(B3104,'LISTA 12'!$A$2:$G$30100,7,0)</f>
        <v>#N/A</v>
      </c>
      <c r="G3104" s="254" t="e">
        <f>VLOOKUP(H3104,'lista 3'!$A$1:$C$31467,3,0)</f>
        <v>#N/A</v>
      </c>
      <c r="H3104" s="134"/>
      <c r="I3104" s="136"/>
      <c r="J3104" s="135"/>
      <c r="K3104" s="22"/>
    </row>
    <row r="3105" spans="1:11">
      <c r="A3105" s="241" t="e">
        <f>VLOOKUP(B3105,'lista 1'!$A$2:$E$30100,4,0)</f>
        <v>#N/A</v>
      </c>
      <c r="B3105" s="123"/>
      <c r="C3105" s="133" t="e">
        <f>VLOOKUP(B3105,'lista 1'!$A$2:$E$31000,5,0)</f>
        <v>#N/A</v>
      </c>
      <c r="D3105" s="167" t="e">
        <f>VLOOKUP(E14905,'lista obszary'!A:B,2,0)</f>
        <v>#N/A</v>
      </c>
      <c r="E3105" s="128" t="e">
        <f>VLOOKUP(B3105,'LISTA 12'!$A$2:$G$301400,5,0)</f>
        <v>#N/A</v>
      </c>
      <c r="F3105" s="121" t="e">
        <f>VLOOKUP(B3105,'LISTA 12'!$A$2:$G$30100,7,0)</f>
        <v>#N/A</v>
      </c>
      <c r="G3105" s="254" t="e">
        <f>VLOOKUP(H3105,'lista 3'!$A$1:$C$31467,3,0)</f>
        <v>#N/A</v>
      </c>
      <c r="H3105" s="134"/>
      <c r="I3105" s="136"/>
      <c r="J3105" s="135"/>
      <c r="K3105" s="22"/>
    </row>
    <row r="3106" spans="1:11">
      <c r="A3106" s="241" t="e">
        <f>VLOOKUP(B3106,'lista 1'!$A$2:$E$30100,4,0)</f>
        <v>#N/A</v>
      </c>
      <c r="B3106" s="123"/>
      <c r="C3106" s="133" t="e">
        <f>VLOOKUP(B3106,'lista 1'!$A$2:$E$31000,5,0)</f>
        <v>#N/A</v>
      </c>
      <c r="D3106" s="167" t="e">
        <f>VLOOKUP(E14906,'lista obszary'!A:B,2,0)</f>
        <v>#N/A</v>
      </c>
      <c r="E3106" s="128" t="e">
        <f>VLOOKUP(B3106,'LISTA 12'!$A$2:$G$301400,5,0)</f>
        <v>#N/A</v>
      </c>
      <c r="F3106" s="121" t="e">
        <f>VLOOKUP(B3106,'LISTA 12'!$A$2:$G$30100,7,0)</f>
        <v>#N/A</v>
      </c>
      <c r="G3106" s="254" t="e">
        <f>VLOOKUP(H3106,'lista 3'!$A$1:$C$31467,3,0)</f>
        <v>#N/A</v>
      </c>
      <c r="H3106" s="134"/>
      <c r="I3106" s="136"/>
      <c r="J3106" s="135"/>
      <c r="K3106" s="22"/>
    </row>
    <row r="3107" spans="1:11">
      <c r="A3107" s="241" t="e">
        <f>VLOOKUP(B3107,'lista 1'!$A$2:$E$30100,4,0)</f>
        <v>#N/A</v>
      </c>
      <c r="B3107" s="123"/>
      <c r="C3107" s="133" t="e">
        <f>VLOOKUP(B3107,'lista 1'!$A$2:$E$31000,5,0)</f>
        <v>#N/A</v>
      </c>
      <c r="D3107" s="167" t="e">
        <f>VLOOKUP(E14907,'lista obszary'!A:B,2,0)</f>
        <v>#N/A</v>
      </c>
      <c r="E3107" s="128" t="e">
        <f>VLOOKUP(B3107,'LISTA 12'!$A$2:$G$301400,5,0)</f>
        <v>#N/A</v>
      </c>
      <c r="F3107" s="121" t="e">
        <f>VLOOKUP(B3107,'LISTA 12'!$A$2:$G$30100,7,0)</f>
        <v>#N/A</v>
      </c>
      <c r="G3107" s="254" t="e">
        <f>VLOOKUP(H3107,'lista 3'!$A$1:$C$31467,3,0)</f>
        <v>#N/A</v>
      </c>
      <c r="H3107" s="134"/>
      <c r="I3107" s="136"/>
      <c r="J3107" s="135"/>
      <c r="K3107" s="22"/>
    </row>
    <row r="3108" spans="1:11">
      <c r="A3108" s="241" t="e">
        <f>VLOOKUP(B3108,'lista 1'!$A$2:$E$30100,4,0)</f>
        <v>#N/A</v>
      </c>
      <c r="B3108" s="123"/>
      <c r="C3108" s="133" t="e">
        <f>VLOOKUP(B3108,'lista 1'!$A$2:$E$31000,5,0)</f>
        <v>#N/A</v>
      </c>
      <c r="D3108" s="167" t="e">
        <f>VLOOKUP(E14908,'lista obszary'!A:B,2,0)</f>
        <v>#N/A</v>
      </c>
      <c r="E3108" s="128" t="e">
        <f>VLOOKUP(B3108,'LISTA 12'!$A$2:$G$301400,5,0)</f>
        <v>#N/A</v>
      </c>
      <c r="F3108" s="121" t="e">
        <f>VLOOKUP(B3108,'LISTA 12'!$A$2:$G$30100,7,0)</f>
        <v>#N/A</v>
      </c>
      <c r="G3108" s="254" t="e">
        <f>VLOOKUP(H3108,'lista 3'!$A$1:$C$31467,3,0)</f>
        <v>#N/A</v>
      </c>
      <c r="H3108" s="134"/>
      <c r="I3108" s="136"/>
      <c r="J3108" s="135"/>
      <c r="K3108" s="22"/>
    </row>
    <row r="3109" spans="1:11">
      <c r="A3109" s="241" t="e">
        <f>VLOOKUP(B3109,'lista 1'!$A$2:$E$30100,4,0)</f>
        <v>#N/A</v>
      </c>
      <c r="B3109" s="123"/>
      <c r="C3109" s="133" t="e">
        <f>VLOOKUP(B3109,'lista 1'!$A$2:$E$31000,5,0)</f>
        <v>#N/A</v>
      </c>
      <c r="D3109" s="167" t="e">
        <f>VLOOKUP(E14909,'lista obszary'!A:B,2,0)</f>
        <v>#N/A</v>
      </c>
      <c r="E3109" s="128" t="e">
        <f>VLOOKUP(B3109,'LISTA 12'!$A$2:$G$301400,5,0)</f>
        <v>#N/A</v>
      </c>
      <c r="F3109" s="121" t="e">
        <f>VLOOKUP(B3109,'LISTA 12'!$A$2:$G$30100,7,0)</f>
        <v>#N/A</v>
      </c>
      <c r="G3109" s="254" t="e">
        <f>VLOOKUP(H3109,'lista 3'!$A$1:$C$31467,3,0)</f>
        <v>#N/A</v>
      </c>
      <c r="H3109" s="134"/>
      <c r="I3109" s="136"/>
      <c r="J3109" s="135"/>
      <c r="K3109" s="22"/>
    </row>
    <row r="3110" spans="1:11">
      <c r="A3110" s="241" t="e">
        <f>VLOOKUP(B3110,'lista 1'!$A$2:$E$30100,4,0)</f>
        <v>#N/A</v>
      </c>
      <c r="B3110" s="123"/>
      <c r="C3110" s="133" t="e">
        <f>VLOOKUP(B3110,'lista 1'!$A$2:$E$31000,5,0)</f>
        <v>#N/A</v>
      </c>
      <c r="D3110" s="167" t="e">
        <f>VLOOKUP(E14910,'lista obszary'!A:B,2,0)</f>
        <v>#N/A</v>
      </c>
      <c r="E3110" s="128" t="e">
        <f>VLOOKUP(B3110,'LISTA 12'!$A$2:$G$301400,5,0)</f>
        <v>#N/A</v>
      </c>
      <c r="F3110" s="121" t="e">
        <f>VLOOKUP(B3110,'LISTA 12'!$A$2:$G$30100,7,0)</f>
        <v>#N/A</v>
      </c>
      <c r="G3110" s="254" t="e">
        <f>VLOOKUP(H3110,'lista 3'!$A$1:$C$31467,3,0)</f>
        <v>#N/A</v>
      </c>
      <c r="H3110" s="134"/>
      <c r="I3110" s="136"/>
      <c r="J3110" s="135"/>
      <c r="K3110" s="22"/>
    </row>
    <row r="3111" spans="1:11">
      <c r="A3111" s="241" t="e">
        <f>VLOOKUP(B3111,'lista 1'!$A$2:$E$30100,4,0)</f>
        <v>#N/A</v>
      </c>
      <c r="B3111" s="123"/>
      <c r="C3111" s="133" t="e">
        <f>VLOOKUP(B3111,'lista 1'!$A$2:$E$31000,5,0)</f>
        <v>#N/A</v>
      </c>
      <c r="D3111" s="167" t="e">
        <f>VLOOKUP(E14911,'lista obszary'!A:B,2,0)</f>
        <v>#N/A</v>
      </c>
      <c r="E3111" s="128" t="e">
        <f>VLOOKUP(B3111,'LISTA 12'!$A$2:$G$301400,5,0)</f>
        <v>#N/A</v>
      </c>
      <c r="F3111" s="121" t="e">
        <f>VLOOKUP(B3111,'LISTA 12'!$A$2:$G$30100,7,0)</f>
        <v>#N/A</v>
      </c>
      <c r="G3111" s="254" t="e">
        <f>VLOOKUP(H3111,'lista 3'!$A$1:$C$31467,3,0)</f>
        <v>#N/A</v>
      </c>
      <c r="H3111" s="134"/>
      <c r="I3111" s="136"/>
      <c r="J3111" s="135"/>
      <c r="K3111" s="22"/>
    </row>
    <row r="3112" spans="1:11">
      <c r="A3112" s="241" t="e">
        <f>VLOOKUP(B3112,'lista 1'!$A$2:$E$30100,4,0)</f>
        <v>#N/A</v>
      </c>
      <c r="B3112" s="123"/>
      <c r="C3112" s="133" t="e">
        <f>VLOOKUP(B3112,'lista 1'!$A$2:$E$31000,5,0)</f>
        <v>#N/A</v>
      </c>
      <c r="D3112" s="167" t="e">
        <f>VLOOKUP(E14912,'lista obszary'!A:B,2,0)</f>
        <v>#N/A</v>
      </c>
      <c r="E3112" s="128" t="e">
        <f>VLOOKUP(B3112,'LISTA 12'!$A$2:$G$301400,5,0)</f>
        <v>#N/A</v>
      </c>
      <c r="F3112" s="121" t="e">
        <f>VLOOKUP(B3112,'LISTA 12'!$A$2:$G$30100,7,0)</f>
        <v>#N/A</v>
      </c>
      <c r="G3112" s="254" t="e">
        <f>VLOOKUP(H3112,'lista 3'!$A$1:$C$31467,3,0)</f>
        <v>#N/A</v>
      </c>
      <c r="H3112" s="134"/>
      <c r="I3112" s="136"/>
      <c r="J3112" s="135"/>
      <c r="K3112" s="22"/>
    </row>
    <row r="3113" spans="1:11">
      <c r="A3113" s="241" t="e">
        <f>VLOOKUP(B3113,'lista 1'!$A$2:$E$30100,4,0)</f>
        <v>#N/A</v>
      </c>
      <c r="B3113" s="123"/>
      <c r="C3113" s="133" t="e">
        <f>VLOOKUP(B3113,'lista 1'!$A$2:$E$31000,5,0)</f>
        <v>#N/A</v>
      </c>
      <c r="D3113" s="167" t="e">
        <f>VLOOKUP(E14913,'lista obszary'!A:B,2,0)</f>
        <v>#N/A</v>
      </c>
      <c r="E3113" s="128" t="e">
        <f>VLOOKUP(B3113,'LISTA 12'!$A$2:$G$301400,5,0)</f>
        <v>#N/A</v>
      </c>
      <c r="F3113" s="121" t="e">
        <f>VLOOKUP(B3113,'LISTA 12'!$A$2:$G$30100,7,0)</f>
        <v>#N/A</v>
      </c>
      <c r="G3113" s="254" t="e">
        <f>VLOOKUP(H3113,'lista 3'!$A$1:$C$31467,3,0)</f>
        <v>#N/A</v>
      </c>
      <c r="H3113" s="134"/>
      <c r="I3113" s="136"/>
      <c r="J3113" s="135"/>
      <c r="K3113" s="22"/>
    </row>
    <row r="3114" spans="1:11">
      <c r="A3114" s="241" t="e">
        <f>VLOOKUP(B3114,'lista 1'!$A$2:$E$30100,4,0)</f>
        <v>#N/A</v>
      </c>
      <c r="B3114" s="123"/>
      <c r="C3114" s="133" t="e">
        <f>VLOOKUP(B3114,'lista 1'!$A$2:$E$31000,5,0)</f>
        <v>#N/A</v>
      </c>
      <c r="D3114" s="167" t="e">
        <f>VLOOKUP(E14914,'lista obszary'!A:B,2,0)</f>
        <v>#N/A</v>
      </c>
      <c r="E3114" s="128" t="e">
        <f>VLOOKUP(B3114,'LISTA 12'!$A$2:$G$301400,5,0)</f>
        <v>#N/A</v>
      </c>
      <c r="F3114" s="121" t="e">
        <f>VLOOKUP(B3114,'LISTA 12'!$A$2:$G$30100,7,0)</f>
        <v>#N/A</v>
      </c>
      <c r="G3114" s="254" t="e">
        <f>VLOOKUP(H3114,'lista 3'!$A$1:$C$31467,3,0)</f>
        <v>#N/A</v>
      </c>
      <c r="H3114" s="134"/>
      <c r="I3114" s="136"/>
      <c r="J3114" s="135"/>
      <c r="K3114" s="22"/>
    </row>
    <row r="3115" spans="1:11">
      <c r="A3115" s="241" t="e">
        <f>VLOOKUP(B3115,'lista 1'!$A$2:$E$30100,4,0)</f>
        <v>#N/A</v>
      </c>
      <c r="B3115" s="123"/>
      <c r="C3115" s="133" t="e">
        <f>VLOOKUP(B3115,'lista 1'!$A$2:$E$31000,5,0)</f>
        <v>#N/A</v>
      </c>
      <c r="D3115" s="167" t="e">
        <f>VLOOKUP(E14915,'lista obszary'!A:B,2,0)</f>
        <v>#N/A</v>
      </c>
      <c r="E3115" s="128" t="e">
        <f>VLOOKUP(B3115,'LISTA 12'!$A$2:$G$301400,5,0)</f>
        <v>#N/A</v>
      </c>
      <c r="F3115" s="121" t="e">
        <f>VLOOKUP(B3115,'LISTA 12'!$A$2:$G$30100,7,0)</f>
        <v>#N/A</v>
      </c>
      <c r="G3115" s="254" t="e">
        <f>VLOOKUP(H3115,'lista 3'!$A$1:$C$31467,3,0)</f>
        <v>#N/A</v>
      </c>
      <c r="H3115" s="134"/>
      <c r="I3115" s="136"/>
      <c r="J3115" s="135"/>
      <c r="K3115" s="22"/>
    </row>
    <row r="3116" spans="1:11">
      <c r="A3116" s="241" t="e">
        <f>VLOOKUP(B3116,'lista 1'!$A$2:$E$30100,4,0)</f>
        <v>#N/A</v>
      </c>
      <c r="B3116" s="123"/>
      <c r="C3116" s="133" t="e">
        <f>VLOOKUP(B3116,'lista 1'!$A$2:$E$31000,5,0)</f>
        <v>#N/A</v>
      </c>
      <c r="D3116" s="167" t="e">
        <f>VLOOKUP(E14916,'lista obszary'!A:B,2,0)</f>
        <v>#N/A</v>
      </c>
      <c r="E3116" s="128" t="e">
        <f>VLOOKUP(B3116,'LISTA 12'!$A$2:$G$301400,5,0)</f>
        <v>#N/A</v>
      </c>
      <c r="F3116" s="121" t="e">
        <f>VLOOKUP(B3116,'LISTA 12'!$A$2:$G$30100,7,0)</f>
        <v>#N/A</v>
      </c>
      <c r="G3116" s="254" t="e">
        <f>VLOOKUP(H3116,'lista 3'!$A$1:$C$31467,3,0)</f>
        <v>#N/A</v>
      </c>
      <c r="H3116" s="134"/>
      <c r="I3116" s="136"/>
      <c r="J3116" s="135"/>
      <c r="K3116" s="22"/>
    </row>
    <row r="3117" spans="1:11">
      <c r="A3117" s="241" t="e">
        <f>VLOOKUP(B3117,'lista 1'!$A$2:$E$30100,4,0)</f>
        <v>#N/A</v>
      </c>
      <c r="B3117" s="123"/>
      <c r="C3117" s="133" t="e">
        <f>VLOOKUP(B3117,'lista 1'!$A$2:$E$31000,5,0)</f>
        <v>#N/A</v>
      </c>
      <c r="D3117" s="167" t="e">
        <f>VLOOKUP(E14917,'lista obszary'!A:B,2,0)</f>
        <v>#N/A</v>
      </c>
      <c r="E3117" s="128" t="e">
        <f>VLOOKUP(B3117,'LISTA 12'!$A$2:$G$301400,5,0)</f>
        <v>#N/A</v>
      </c>
      <c r="F3117" s="121" t="e">
        <f>VLOOKUP(B3117,'LISTA 12'!$A$2:$G$30100,7,0)</f>
        <v>#N/A</v>
      </c>
      <c r="G3117" s="254" t="e">
        <f>VLOOKUP(H3117,'lista 3'!$A$1:$C$31467,3,0)</f>
        <v>#N/A</v>
      </c>
      <c r="H3117" s="134"/>
      <c r="I3117" s="136"/>
      <c r="J3117" s="135"/>
      <c r="K3117" s="22"/>
    </row>
    <row r="3118" spans="1:11">
      <c r="A3118" s="241" t="e">
        <f>VLOOKUP(B3118,'lista 1'!$A$2:$E$30100,4,0)</f>
        <v>#N/A</v>
      </c>
      <c r="B3118" s="123"/>
      <c r="C3118" s="133" t="e">
        <f>VLOOKUP(B3118,'lista 1'!$A$2:$E$31000,5,0)</f>
        <v>#N/A</v>
      </c>
      <c r="D3118" s="167" t="e">
        <f>VLOOKUP(E14918,'lista obszary'!A:B,2,0)</f>
        <v>#N/A</v>
      </c>
      <c r="E3118" s="128" t="e">
        <f>VLOOKUP(B3118,'LISTA 12'!$A$2:$G$301400,5,0)</f>
        <v>#N/A</v>
      </c>
      <c r="F3118" s="121" t="e">
        <f>VLOOKUP(B3118,'LISTA 12'!$A$2:$G$30100,7,0)</f>
        <v>#N/A</v>
      </c>
      <c r="G3118" s="254" t="e">
        <f>VLOOKUP(H3118,'lista 3'!$A$1:$C$31467,3,0)</f>
        <v>#N/A</v>
      </c>
      <c r="H3118" s="134"/>
      <c r="I3118" s="136"/>
      <c r="J3118" s="135"/>
      <c r="K3118" s="22"/>
    </row>
    <row r="3119" spans="1:11">
      <c r="A3119" s="241" t="e">
        <f>VLOOKUP(B3119,'lista 1'!$A$2:$E$30100,4,0)</f>
        <v>#N/A</v>
      </c>
      <c r="B3119" s="123"/>
      <c r="C3119" s="133" t="e">
        <f>VLOOKUP(B3119,'lista 1'!$A$2:$E$31000,5,0)</f>
        <v>#N/A</v>
      </c>
      <c r="D3119" s="167" t="e">
        <f>VLOOKUP(E14919,'lista obszary'!A:B,2,0)</f>
        <v>#N/A</v>
      </c>
      <c r="E3119" s="128" t="e">
        <f>VLOOKUP(B3119,'LISTA 12'!$A$2:$G$301400,5,0)</f>
        <v>#N/A</v>
      </c>
      <c r="F3119" s="121" t="e">
        <f>VLOOKUP(B3119,'LISTA 12'!$A$2:$G$30100,7,0)</f>
        <v>#N/A</v>
      </c>
      <c r="G3119" s="254" t="e">
        <f>VLOOKUP(H3119,'lista 3'!$A$1:$C$31467,3,0)</f>
        <v>#N/A</v>
      </c>
      <c r="H3119" s="134"/>
      <c r="I3119" s="136"/>
      <c r="J3119" s="135"/>
      <c r="K3119" s="22"/>
    </row>
    <row r="3120" spans="1:11">
      <c r="A3120" s="241" t="e">
        <f>VLOOKUP(B3120,'lista 1'!$A$2:$E$30100,4,0)</f>
        <v>#N/A</v>
      </c>
      <c r="B3120" s="123"/>
      <c r="C3120" s="133" t="e">
        <f>VLOOKUP(B3120,'lista 1'!$A$2:$E$31000,5,0)</f>
        <v>#N/A</v>
      </c>
      <c r="D3120" s="167" t="e">
        <f>VLOOKUP(E14920,'lista obszary'!A:B,2,0)</f>
        <v>#N/A</v>
      </c>
      <c r="E3120" s="128" t="e">
        <f>VLOOKUP(B3120,'LISTA 12'!$A$2:$G$301400,5,0)</f>
        <v>#N/A</v>
      </c>
      <c r="F3120" s="121" t="e">
        <f>VLOOKUP(B3120,'LISTA 12'!$A$2:$G$30100,7,0)</f>
        <v>#N/A</v>
      </c>
      <c r="G3120" s="254" t="e">
        <f>VLOOKUP(H3120,'lista 3'!$A$1:$C$31467,3,0)</f>
        <v>#N/A</v>
      </c>
      <c r="H3120" s="134"/>
      <c r="I3120" s="136"/>
      <c r="J3120" s="135"/>
      <c r="K3120" s="22"/>
    </row>
    <row r="3121" spans="1:11">
      <c r="A3121" s="241" t="e">
        <f>VLOOKUP(B3121,'lista 1'!$A$2:$E$30100,4,0)</f>
        <v>#N/A</v>
      </c>
      <c r="B3121" s="123"/>
      <c r="C3121" s="133" t="e">
        <f>VLOOKUP(B3121,'lista 1'!$A$2:$E$31000,5,0)</f>
        <v>#N/A</v>
      </c>
      <c r="D3121" s="167" t="e">
        <f>VLOOKUP(E14921,'lista obszary'!A:B,2,0)</f>
        <v>#N/A</v>
      </c>
      <c r="E3121" s="128" t="e">
        <f>VLOOKUP(B3121,'LISTA 12'!$A$2:$G$301400,5,0)</f>
        <v>#N/A</v>
      </c>
      <c r="F3121" s="121" t="e">
        <f>VLOOKUP(B3121,'LISTA 12'!$A$2:$G$30100,7,0)</f>
        <v>#N/A</v>
      </c>
      <c r="G3121" s="254" t="e">
        <f>VLOOKUP(H3121,'lista 3'!$A$1:$C$31467,3,0)</f>
        <v>#N/A</v>
      </c>
      <c r="H3121" s="134"/>
      <c r="I3121" s="136"/>
      <c r="J3121" s="135"/>
      <c r="K3121" s="22"/>
    </row>
    <row r="3122" spans="1:11">
      <c r="A3122" s="241" t="e">
        <f>VLOOKUP(B3122,'lista 1'!$A$2:$E$30100,4,0)</f>
        <v>#N/A</v>
      </c>
      <c r="B3122" s="123"/>
      <c r="C3122" s="133" t="e">
        <f>VLOOKUP(B3122,'lista 1'!$A$2:$E$31000,5,0)</f>
        <v>#N/A</v>
      </c>
      <c r="D3122" s="167" t="e">
        <f>VLOOKUP(E14922,'lista obszary'!A:B,2,0)</f>
        <v>#N/A</v>
      </c>
      <c r="E3122" s="128" t="e">
        <f>VLOOKUP(B3122,'LISTA 12'!$A$2:$G$301400,5,0)</f>
        <v>#N/A</v>
      </c>
      <c r="F3122" s="121" t="e">
        <f>VLOOKUP(B3122,'LISTA 12'!$A$2:$G$30100,7,0)</f>
        <v>#N/A</v>
      </c>
      <c r="G3122" s="254" t="e">
        <f>VLOOKUP(H3122,'lista 3'!$A$1:$C$31467,3,0)</f>
        <v>#N/A</v>
      </c>
      <c r="H3122" s="134"/>
      <c r="I3122" s="136"/>
      <c r="J3122" s="135"/>
      <c r="K3122" s="22"/>
    </row>
    <row r="3123" spans="1:11">
      <c r="A3123" s="241" t="e">
        <f>VLOOKUP(B3123,'lista 1'!$A$2:$E$30100,4,0)</f>
        <v>#N/A</v>
      </c>
      <c r="B3123" s="123"/>
      <c r="C3123" s="133" t="e">
        <f>VLOOKUP(B3123,'lista 1'!$A$2:$E$31000,5,0)</f>
        <v>#N/A</v>
      </c>
      <c r="D3123" s="167" t="e">
        <f>VLOOKUP(E14923,'lista obszary'!A:B,2,0)</f>
        <v>#N/A</v>
      </c>
      <c r="E3123" s="128" t="e">
        <f>VLOOKUP(B3123,'LISTA 12'!$A$2:$G$301400,5,0)</f>
        <v>#N/A</v>
      </c>
      <c r="F3123" s="121" t="e">
        <f>VLOOKUP(B3123,'LISTA 12'!$A$2:$G$30100,7,0)</f>
        <v>#N/A</v>
      </c>
      <c r="G3123" s="254" t="e">
        <f>VLOOKUP(H3123,'lista 3'!$A$1:$C$31467,3,0)</f>
        <v>#N/A</v>
      </c>
      <c r="H3123" s="134"/>
      <c r="I3123" s="136"/>
      <c r="J3123" s="135"/>
      <c r="K3123" s="22"/>
    </row>
    <row r="3124" spans="1:11">
      <c r="A3124" s="241" t="e">
        <f>VLOOKUP(B3124,'lista 1'!$A$2:$E$30100,4,0)</f>
        <v>#N/A</v>
      </c>
      <c r="B3124" s="123"/>
      <c r="C3124" s="133" t="e">
        <f>VLOOKUP(B3124,'lista 1'!$A$2:$E$31000,5,0)</f>
        <v>#N/A</v>
      </c>
      <c r="D3124" s="167" t="e">
        <f>VLOOKUP(E14924,'lista obszary'!A:B,2,0)</f>
        <v>#N/A</v>
      </c>
      <c r="E3124" s="128" t="e">
        <f>VLOOKUP(B3124,'LISTA 12'!$A$2:$G$301400,5,0)</f>
        <v>#N/A</v>
      </c>
      <c r="F3124" s="121" t="e">
        <f>VLOOKUP(B3124,'LISTA 12'!$A$2:$G$30100,7,0)</f>
        <v>#N/A</v>
      </c>
      <c r="G3124" s="254" t="e">
        <f>VLOOKUP(H3124,'lista 3'!$A$1:$C$31467,3,0)</f>
        <v>#N/A</v>
      </c>
      <c r="H3124" s="134"/>
      <c r="I3124" s="136"/>
      <c r="J3124" s="135"/>
      <c r="K3124" s="22"/>
    </row>
    <row r="3125" spans="1:11">
      <c r="A3125" s="241" t="e">
        <f>VLOOKUP(B3125,'lista 1'!$A$2:$E$30100,4,0)</f>
        <v>#N/A</v>
      </c>
      <c r="B3125" s="123"/>
      <c r="C3125" s="133" t="e">
        <f>VLOOKUP(B3125,'lista 1'!$A$2:$E$31000,5,0)</f>
        <v>#N/A</v>
      </c>
      <c r="D3125" s="167" t="e">
        <f>VLOOKUP(E14925,'lista obszary'!A:B,2,0)</f>
        <v>#N/A</v>
      </c>
      <c r="E3125" s="128" t="e">
        <f>VLOOKUP(B3125,'LISTA 12'!$A$2:$G$301400,5,0)</f>
        <v>#N/A</v>
      </c>
      <c r="F3125" s="121" t="e">
        <f>VLOOKUP(B3125,'LISTA 12'!$A$2:$G$30100,7,0)</f>
        <v>#N/A</v>
      </c>
      <c r="G3125" s="254" t="e">
        <f>VLOOKUP(H3125,'lista 3'!$A$1:$C$31467,3,0)</f>
        <v>#N/A</v>
      </c>
      <c r="H3125" s="134"/>
      <c r="I3125" s="136"/>
      <c r="J3125" s="135"/>
      <c r="K3125" s="22"/>
    </row>
    <row r="3126" spans="1:11">
      <c r="A3126" s="241" t="e">
        <f>VLOOKUP(B3126,'lista 1'!$A$2:$E$30100,4,0)</f>
        <v>#N/A</v>
      </c>
      <c r="B3126" s="123"/>
      <c r="C3126" s="133" t="e">
        <f>VLOOKUP(B3126,'lista 1'!$A$2:$E$31000,5,0)</f>
        <v>#N/A</v>
      </c>
      <c r="D3126" s="167" t="e">
        <f>VLOOKUP(E14926,'lista obszary'!A:B,2,0)</f>
        <v>#N/A</v>
      </c>
      <c r="E3126" s="128" t="e">
        <f>VLOOKUP(B3126,'LISTA 12'!$A$2:$G$301400,5,0)</f>
        <v>#N/A</v>
      </c>
      <c r="F3126" s="121" t="e">
        <f>VLOOKUP(B3126,'LISTA 12'!$A$2:$G$30100,7,0)</f>
        <v>#N/A</v>
      </c>
      <c r="G3126" s="254" t="e">
        <f>VLOOKUP(H3126,'lista 3'!$A$1:$C$31467,3,0)</f>
        <v>#N/A</v>
      </c>
      <c r="H3126" s="134"/>
      <c r="I3126" s="136"/>
      <c r="J3126" s="135"/>
      <c r="K3126" s="22"/>
    </row>
    <row r="3127" spans="1:11">
      <c r="A3127" s="241" t="e">
        <f>VLOOKUP(B3127,'lista 1'!$A$2:$E$30100,4,0)</f>
        <v>#N/A</v>
      </c>
      <c r="B3127" s="123"/>
      <c r="C3127" s="133" t="e">
        <f>VLOOKUP(B3127,'lista 1'!$A$2:$E$31000,5,0)</f>
        <v>#N/A</v>
      </c>
      <c r="D3127" s="167" t="e">
        <f>VLOOKUP(E14927,'lista obszary'!A:B,2,0)</f>
        <v>#N/A</v>
      </c>
      <c r="E3127" s="128" t="e">
        <f>VLOOKUP(B3127,'LISTA 12'!$A$2:$G$301400,5,0)</f>
        <v>#N/A</v>
      </c>
      <c r="F3127" s="121" t="e">
        <f>VLOOKUP(B3127,'LISTA 12'!$A$2:$G$30100,7,0)</f>
        <v>#N/A</v>
      </c>
      <c r="G3127" s="254" t="e">
        <f>VLOOKUP(H3127,'lista 3'!$A$1:$C$31467,3,0)</f>
        <v>#N/A</v>
      </c>
      <c r="H3127" s="134"/>
      <c r="I3127" s="136"/>
      <c r="J3127" s="135"/>
      <c r="K3127" s="22"/>
    </row>
    <row r="3128" spans="1:11">
      <c r="A3128" s="241" t="e">
        <f>VLOOKUP(B3128,'lista 1'!$A$2:$E$30100,4,0)</f>
        <v>#N/A</v>
      </c>
      <c r="B3128" s="123"/>
      <c r="C3128" s="133" t="e">
        <f>VLOOKUP(B3128,'lista 1'!$A$2:$E$31000,5,0)</f>
        <v>#N/A</v>
      </c>
      <c r="D3128" s="167" t="e">
        <f>VLOOKUP(E14928,'lista obszary'!A:B,2,0)</f>
        <v>#N/A</v>
      </c>
      <c r="E3128" s="128" t="e">
        <f>VLOOKUP(B3128,'LISTA 12'!$A$2:$G$301400,5,0)</f>
        <v>#N/A</v>
      </c>
      <c r="F3128" s="121" t="e">
        <f>VLOOKUP(B3128,'LISTA 12'!$A$2:$G$30100,7,0)</f>
        <v>#N/A</v>
      </c>
      <c r="G3128" s="254" t="e">
        <f>VLOOKUP(H3128,'lista 3'!$A$1:$C$31467,3,0)</f>
        <v>#N/A</v>
      </c>
      <c r="H3128" s="134"/>
      <c r="I3128" s="136"/>
      <c r="J3128" s="135"/>
      <c r="K3128" s="22"/>
    </row>
    <row r="3129" spans="1:11">
      <c r="A3129" s="241" t="e">
        <f>VLOOKUP(B3129,'lista 1'!$A$2:$E$30100,4,0)</f>
        <v>#N/A</v>
      </c>
      <c r="B3129" s="123"/>
      <c r="C3129" s="133" t="e">
        <f>VLOOKUP(B3129,'lista 1'!$A$2:$E$31000,5,0)</f>
        <v>#N/A</v>
      </c>
      <c r="D3129" s="167" t="e">
        <f>VLOOKUP(E14929,'lista obszary'!A:B,2,0)</f>
        <v>#N/A</v>
      </c>
      <c r="E3129" s="128" t="e">
        <f>VLOOKUP(B3129,'LISTA 12'!$A$2:$G$301400,5,0)</f>
        <v>#N/A</v>
      </c>
      <c r="F3129" s="121" t="e">
        <f>VLOOKUP(B3129,'LISTA 12'!$A$2:$G$30100,7,0)</f>
        <v>#N/A</v>
      </c>
      <c r="G3129" s="254" t="e">
        <f>VLOOKUP(H3129,'lista 3'!$A$1:$C$31467,3,0)</f>
        <v>#N/A</v>
      </c>
      <c r="H3129" s="134"/>
      <c r="I3129" s="136"/>
      <c r="J3129" s="135"/>
      <c r="K3129" s="22"/>
    </row>
    <row r="3130" spans="1:11">
      <c r="A3130" s="241" t="e">
        <f>VLOOKUP(B3130,'lista 1'!$A$2:$E$30100,4,0)</f>
        <v>#N/A</v>
      </c>
      <c r="B3130" s="123"/>
      <c r="C3130" s="133" t="e">
        <f>VLOOKUP(B3130,'lista 1'!$A$2:$E$31000,5,0)</f>
        <v>#N/A</v>
      </c>
      <c r="D3130" s="167" t="e">
        <f>VLOOKUP(E14930,'lista obszary'!A:B,2,0)</f>
        <v>#N/A</v>
      </c>
      <c r="E3130" s="128" t="e">
        <f>VLOOKUP(B3130,'LISTA 12'!$A$2:$G$301400,5,0)</f>
        <v>#N/A</v>
      </c>
      <c r="F3130" s="121" t="e">
        <f>VLOOKUP(B3130,'LISTA 12'!$A$2:$G$30100,7,0)</f>
        <v>#N/A</v>
      </c>
      <c r="G3130" s="254" t="e">
        <f>VLOOKUP(H3130,'lista 3'!$A$1:$C$31467,3,0)</f>
        <v>#N/A</v>
      </c>
      <c r="H3130" s="134"/>
      <c r="I3130" s="136"/>
      <c r="J3130" s="135"/>
      <c r="K3130" s="22"/>
    </row>
    <row r="3131" spans="1:11">
      <c r="A3131" s="241" t="e">
        <f>VLOOKUP(B3131,'lista 1'!$A$2:$E$30100,4,0)</f>
        <v>#N/A</v>
      </c>
      <c r="B3131" s="123"/>
      <c r="C3131" s="133" t="e">
        <f>VLOOKUP(B3131,'lista 1'!$A$2:$E$31000,5,0)</f>
        <v>#N/A</v>
      </c>
      <c r="D3131" s="167" t="e">
        <f>VLOOKUP(E14931,'lista obszary'!A:B,2,0)</f>
        <v>#N/A</v>
      </c>
      <c r="E3131" s="128" t="e">
        <f>VLOOKUP(B3131,'LISTA 12'!$A$2:$G$301400,5,0)</f>
        <v>#N/A</v>
      </c>
      <c r="F3131" s="121" t="e">
        <f>VLOOKUP(B3131,'LISTA 12'!$A$2:$G$30100,7,0)</f>
        <v>#N/A</v>
      </c>
      <c r="G3131" s="254" t="e">
        <f>VLOOKUP(H3131,'lista 3'!$A$1:$C$31467,3,0)</f>
        <v>#N/A</v>
      </c>
      <c r="H3131" s="134"/>
      <c r="I3131" s="136"/>
      <c r="J3131" s="135"/>
      <c r="K3131" s="22"/>
    </row>
    <row r="3132" spans="1:11">
      <c r="A3132" s="241" t="e">
        <f>VLOOKUP(B3132,'lista 1'!$A$2:$E$30100,4,0)</f>
        <v>#N/A</v>
      </c>
      <c r="B3132" s="123"/>
      <c r="C3132" s="133" t="e">
        <f>VLOOKUP(B3132,'lista 1'!$A$2:$E$31000,5,0)</f>
        <v>#N/A</v>
      </c>
      <c r="D3132" s="167" t="e">
        <f>VLOOKUP(E14932,'lista obszary'!A:B,2,0)</f>
        <v>#N/A</v>
      </c>
      <c r="E3132" s="128" t="e">
        <f>VLOOKUP(B3132,'LISTA 12'!$A$2:$G$301400,5,0)</f>
        <v>#N/A</v>
      </c>
      <c r="F3132" s="121" t="e">
        <f>VLOOKUP(B3132,'LISTA 12'!$A$2:$G$30100,7,0)</f>
        <v>#N/A</v>
      </c>
      <c r="G3132" s="254" t="e">
        <f>VLOOKUP(H3132,'lista 3'!$A$1:$C$31467,3,0)</f>
        <v>#N/A</v>
      </c>
      <c r="H3132" s="134"/>
      <c r="I3132" s="136"/>
      <c r="J3132" s="135"/>
      <c r="K3132" s="22"/>
    </row>
    <row r="3133" spans="1:11">
      <c r="A3133" s="241" t="e">
        <f>VLOOKUP(B3133,'lista 1'!$A$2:$E$30100,4,0)</f>
        <v>#N/A</v>
      </c>
      <c r="B3133" s="123"/>
      <c r="C3133" s="133" t="e">
        <f>VLOOKUP(B3133,'lista 1'!$A$2:$E$31000,5,0)</f>
        <v>#N/A</v>
      </c>
      <c r="D3133" s="167" t="e">
        <f>VLOOKUP(E14933,'lista obszary'!A:B,2,0)</f>
        <v>#N/A</v>
      </c>
      <c r="E3133" s="128" t="e">
        <f>VLOOKUP(B3133,'LISTA 12'!$A$2:$G$301400,5,0)</f>
        <v>#N/A</v>
      </c>
      <c r="F3133" s="121" t="e">
        <f>VLOOKUP(B3133,'LISTA 12'!$A$2:$G$30100,7,0)</f>
        <v>#N/A</v>
      </c>
      <c r="G3133" s="254" t="e">
        <f>VLOOKUP(H3133,'lista 3'!$A$1:$C$31467,3,0)</f>
        <v>#N/A</v>
      </c>
      <c r="H3133" s="134"/>
      <c r="I3133" s="136"/>
      <c r="J3133" s="135"/>
      <c r="K3133" s="22"/>
    </row>
    <row r="3134" spans="1:11">
      <c r="A3134" s="241" t="e">
        <f>VLOOKUP(B3134,'lista 1'!$A$2:$E$30100,4,0)</f>
        <v>#N/A</v>
      </c>
      <c r="B3134" s="123"/>
      <c r="C3134" s="133" t="e">
        <f>VLOOKUP(B3134,'lista 1'!$A$2:$E$31000,5,0)</f>
        <v>#N/A</v>
      </c>
      <c r="D3134" s="167" t="e">
        <f>VLOOKUP(E14934,'lista obszary'!A:B,2,0)</f>
        <v>#N/A</v>
      </c>
      <c r="E3134" s="128" t="e">
        <f>VLOOKUP(B3134,'LISTA 12'!$A$2:$G$301400,5,0)</f>
        <v>#N/A</v>
      </c>
      <c r="F3134" s="121" t="e">
        <f>VLOOKUP(B3134,'LISTA 12'!$A$2:$G$30100,7,0)</f>
        <v>#N/A</v>
      </c>
      <c r="G3134" s="254" t="e">
        <f>VLOOKUP(H3134,'lista 3'!$A$1:$C$31467,3,0)</f>
        <v>#N/A</v>
      </c>
      <c r="H3134" s="134"/>
      <c r="I3134" s="136"/>
      <c r="J3134" s="135"/>
      <c r="K3134" s="22"/>
    </row>
    <row r="3135" spans="1:11">
      <c r="A3135" s="241" t="e">
        <f>VLOOKUP(B3135,'lista 1'!$A$2:$E$30100,4,0)</f>
        <v>#N/A</v>
      </c>
      <c r="B3135" s="123"/>
      <c r="C3135" s="133" t="e">
        <f>VLOOKUP(B3135,'lista 1'!$A$2:$E$31000,5,0)</f>
        <v>#N/A</v>
      </c>
      <c r="D3135" s="167" t="e">
        <f>VLOOKUP(E14935,'lista obszary'!A:B,2,0)</f>
        <v>#N/A</v>
      </c>
      <c r="E3135" s="128" t="e">
        <f>VLOOKUP(B3135,'LISTA 12'!$A$2:$G$301400,5,0)</f>
        <v>#N/A</v>
      </c>
      <c r="F3135" s="121" t="e">
        <f>VLOOKUP(B3135,'LISTA 12'!$A$2:$G$30100,7,0)</f>
        <v>#N/A</v>
      </c>
      <c r="G3135" s="254" t="e">
        <f>VLOOKUP(H3135,'lista 3'!$A$1:$C$31467,3,0)</f>
        <v>#N/A</v>
      </c>
      <c r="H3135" s="134"/>
      <c r="I3135" s="136"/>
      <c r="J3135" s="135"/>
      <c r="K3135" s="22"/>
    </row>
    <row r="3136" spans="1:11">
      <c r="A3136" s="241" t="e">
        <f>VLOOKUP(B3136,'lista 1'!$A$2:$E$30100,4,0)</f>
        <v>#N/A</v>
      </c>
      <c r="B3136" s="123"/>
      <c r="C3136" s="133" t="e">
        <f>VLOOKUP(B3136,'lista 1'!$A$2:$E$31000,5,0)</f>
        <v>#N/A</v>
      </c>
      <c r="D3136" s="167" t="e">
        <f>VLOOKUP(E14936,'lista obszary'!A:B,2,0)</f>
        <v>#N/A</v>
      </c>
      <c r="E3136" s="128" t="e">
        <f>VLOOKUP(B3136,'LISTA 12'!$A$2:$G$301400,5,0)</f>
        <v>#N/A</v>
      </c>
      <c r="F3136" s="121" t="e">
        <f>VLOOKUP(B3136,'LISTA 12'!$A$2:$G$30100,7,0)</f>
        <v>#N/A</v>
      </c>
      <c r="G3136" s="254" t="e">
        <f>VLOOKUP(H3136,'lista 3'!$A$1:$C$31467,3,0)</f>
        <v>#N/A</v>
      </c>
      <c r="H3136" s="134"/>
      <c r="I3136" s="136"/>
      <c r="J3136" s="135"/>
      <c r="K3136" s="22"/>
    </row>
    <row r="3137" spans="1:11">
      <c r="A3137" s="241" t="e">
        <f>VLOOKUP(B3137,'lista 1'!$A$2:$E$30100,4,0)</f>
        <v>#N/A</v>
      </c>
      <c r="B3137" s="123"/>
      <c r="C3137" s="133" t="e">
        <f>VLOOKUP(B3137,'lista 1'!$A$2:$E$31000,5,0)</f>
        <v>#N/A</v>
      </c>
      <c r="D3137" s="167" t="e">
        <f>VLOOKUP(E14937,'lista obszary'!A:B,2,0)</f>
        <v>#N/A</v>
      </c>
      <c r="E3137" s="128" t="e">
        <f>VLOOKUP(B3137,'LISTA 12'!$A$2:$G$301400,5,0)</f>
        <v>#N/A</v>
      </c>
      <c r="F3137" s="121" t="e">
        <f>VLOOKUP(B3137,'LISTA 12'!$A$2:$G$30100,7,0)</f>
        <v>#N/A</v>
      </c>
      <c r="G3137" s="254" t="e">
        <f>VLOOKUP(H3137,'lista 3'!$A$1:$C$31467,3,0)</f>
        <v>#N/A</v>
      </c>
      <c r="H3137" s="134"/>
      <c r="I3137" s="136"/>
      <c r="J3137" s="135"/>
      <c r="K3137" s="22"/>
    </row>
    <row r="3138" spans="1:11">
      <c r="A3138" s="241" t="e">
        <f>VLOOKUP(B3138,'lista 1'!$A$2:$E$30100,4,0)</f>
        <v>#N/A</v>
      </c>
      <c r="B3138" s="123"/>
      <c r="C3138" s="133" t="e">
        <f>VLOOKUP(B3138,'lista 1'!$A$2:$E$31000,5,0)</f>
        <v>#N/A</v>
      </c>
      <c r="D3138" s="167" t="e">
        <f>VLOOKUP(E14938,'lista obszary'!A:B,2,0)</f>
        <v>#N/A</v>
      </c>
      <c r="E3138" s="128" t="e">
        <f>VLOOKUP(B3138,'LISTA 12'!$A$2:$G$301400,5,0)</f>
        <v>#N/A</v>
      </c>
      <c r="F3138" s="121" t="e">
        <f>VLOOKUP(B3138,'LISTA 12'!$A$2:$G$30100,7,0)</f>
        <v>#N/A</v>
      </c>
      <c r="G3138" s="254" t="e">
        <f>VLOOKUP(H3138,'lista 3'!$A$1:$C$31467,3,0)</f>
        <v>#N/A</v>
      </c>
      <c r="H3138" s="134"/>
      <c r="I3138" s="136"/>
      <c r="J3138" s="135"/>
      <c r="K3138" s="22"/>
    </row>
    <row r="3139" spans="1:11">
      <c r="A3139" s="241" t="e">
        <f>VLOOKUP(B3139,'lista 1'!$A$2:$E$30100,4,0)</f>
        <v>#N/A</v>
      </c>
      <c r="B3139" s="123"/>
      <c r="C3139" s="133" t="e">
        <f>VLOOKUP(B3139,'lista 1'!$A$2:$E$31000,5,0)</f>
        <v>#N/A</v>
      </c>
      <c r="D3139" s="167" t="e">
        <f>VLOOKUP(E14939,'lista obszary'!A:B,2,0)</f>
        <v>#N/A</v>
      </c>
      <c r="E3139" s="128" t="e">
        <f>VLOOKUP(B3139,'LISTA 12'!$A$2:$G$301400,5,0)</f>
        <v>#N/A</v>
      </c>
      <c r="F3139" s="121" t="e">
        <f>VLOOKUP(B3139,'LISTA 12'!$A$2:$G$30100,7,0)</f>
        <v>#N/A</v>
      </c>
      <c r="G3139" s="254" t="e">
        <f>VLOOKUP(H3139,'lista 3'!$A$1:$C$31467,3,0)</f>
        <v>#N/A</v>
      </c>
      <c r="H3139" s="134"/>
      <c r="I3139" s="136"/>
      <c r="J3139" s="135"/>
      <c r="K3139" s="22"/>
    </row>
    <row r="3140" spans="1:11">
      <c r="A3140" s="241" t="e">
        <f>VLOOKUP(B3140,'lista 1'!$A$2:$E$30100,4,0)</f>
        <v>#N/A</v>
      </c>
      <c r="B3140" s="123"/>
      <c r="C3140" s="133" t="e">
        <f>VLOOKUP(B3140,'lista 1'!$A$2:$E$31000,5,0)</f>
        <v>#N/A</v>
      </c>
      <c r="D3140" s="167" t="e">
        <f>VLOOKUP(E14940,'lista obszary'!A:B,2,0)</f>
        <v>#N/A</v>
      </c>
      <c r="E3140" s="128" t="e">
        <f>VLOOKUP(B3140,'LISTA 12'!$A$2:$G$301400,5,0)</f>
        <v>#N/A</v>
      </c>
      <c r="F3140" s="121" t="e">
        <f>VLOOKUP(B3140,'LISTA 12'!$A$2:$G$30100,7,0)</f>
        <v>#N/A</v>
      </c>
      <c r="G3140" s="254" t="e">
        <f>VLOOKUP(H3140,'lista 3'!$A$1:$C$31467,3,0)</f>
        <v>#N/A</v>
      </c>
      <c r="H3140" s="134"/>
      <c r="I3140" s="136"/>
      <c r="J3140" s="135"/>
      <c r="K3140" s="22"/>
    </row>
    <row r="3141" spans="1:11">
      <c r="A3141" s="241" t="e">
        <f>VLOOKUP(B3141,'lista 1'!$A$2:$E$30100,4,0)</f>
        <v>#N/A</v>
      </c>
      <c r="B3141" s="123"/>
      <c r="C3141" s="133" t="e">
        <f>VLOOKUP(B3141,'lista 1'!$A$2:$E$31000,5,0)</f>
        <v>#N/A</v>
      </c>
      <c r="D3141" s="167" t="e">
        <f>VLOOKUP(E14941,'lista obszary'!A:B,2,0)</f>
        <v>#N/A</v>
      </c>
      <c r="E3141" s="128" t="e">
        <f>VLOOKUP(B3141,'LISTA 12'!$A$2:$G$301400,5,0)</f>
        <v>#N/A</v>
      </c>
      <c r="F3141" s="121" t="e">
        <f>VLOOKUP(B3141,'LISTA 12'!$A$2:$G$30100,7,0)</f>
        <v>#N/A</v>
      </c>
      <c r="G3141" s="254" t="e">
        <f>VLOOKUP(H3141,'lista 3'!$A$1:$C$31467,3,0)</f>
        <v>#N/A</v>
      </c>
      <c r="H3141" s="134"/>
      <c r="I3141" s="136"/>
      <c r="J3141" s="135"/>
      <c r="K3141" s="22"/>
    </row>
    <row r="3142" spans="1:11">
      <c r="A3142" s="241" t="e">
        <f>VLOOKUP(B3142,'lista 1'!$A$2:$E$30100,4,0)</f>
        <v>#N/A</v>
      </c>
      <c r="B3142" s="123"/>
      <c r="C3142" s="133" t="e">
        <f>VLOOKUP(B3142,'lista 1'!$A$2:$E$31000,5,0)</f>
        <v>#N/A</v>
      </c>
      <c r="D3142" s="167" t="e">
        <f>VLOOKUP(E14942,'lista obszary'!A:B,2,0)</f>
        <v>#N/A</v>
      </c>
      <c r="E3142" s="128" t="e">
        <f>VLOOKUP(B3142,'LISTA 12'!$A$2:$G$301400,5,0)</f>
        <v>#N/A</v>
      </c>
      <c r="F3142" s="121" t="e">
        <f>VLOOKUP(B3142,'LISTA 12'!$A$2:$G$30100,7,0)</f>
        <v>#N/A</v>
      </c>
      <c r="G3142" s="254" t="e">
        <f>VLOOKUP(H3142,'lista 3'!$A$1:$C$31467,3,0)</f>
        <v>#N/A</v>
      </c>
      <c r="H3142" s="134"/>
      <c r="I3142" s="136"/>
      <c r="J3142" s="135"/>
      <c r="K3142" s="22"/>
    </row>
    <row r="3143" spans="1:11">
      <c r="A3143" s="241" t="e">
        <f>VLOOKUP(B3143,'lista 1'!$A$2:$E$30100,4,0)</f>
        <v>#N/A</v>
      </c>
      <c r="B3143" s="123"/>
      <c r="C3143" s="133" t="e">
        <f>VLOOKUP(B3143,'lista 1'!$A$2:$E$31000,5,0)</f>
        <v>#N/A</v>
      </c>
      <c r="D3143" s="167" t="e">
        <f>VLOOKUP(E14943,'lista obszary'!A:B,2,0)</f>
        <v>#N/A</v>
      </c>
      <c r="E3143" s="128" t="e">
        <f>VLOOKUP(B3143,'LISTA 12'!$A$2:$G$301400,5,0)</f>
        <v>#N/A</v>
      </c>
      <c r="F3143" s="121" t="e">
        <f>VLOOKUP(B3143,'LISTA 12'!$A$2:$G$30100,7,0)</f>
        <v>#N/A</v>
      </c>
      <c r="G3143" s="254" t="e">
        <f>VLOOKUP(H3143,'lista 3'!$A$1:$C$31467,3,0)</f>
        <v>#N/A</v>
      </c>
      <c r="H3143" s="134"/>
      <c r="I3143" s="136"/>
      <c r="J3143" s="135"/>
      <c r="K3143" s="22"/>
    </row>
    <row r="3144" spans="1:11">
      <c r="A3144" s="241" t="e">
        <f>VLOOKUP(B3144,'lista 1'!$A$2:$E$30100,4,0)</f>
        <v>#N/A</v>
      </c>
      <c r="B3144" s="123"/>
      <c r="C3144" s="133" t="e">
        <f>VLOOKUP(B3144,'lista 1'!$A$2:$E$31000,5,0)</f>
        <v>#N/A</v>
      </c>
      <c r="D3144" s="167" t="e">
        <f>VLOOKUP(E14944,'lista obszary'!A:B,2,0)</f>
        <v>#N/A</v>
      </c>
      <c r="E3144" s="128" t="e">
        <f>VLOOKUP(B3144,'LISTA 12'!$A$2:$G$301400,5,0)</f>
        <v>#N/A</v>
      </c>
      <c r="F3144" s="121" t="e">
        <f>VLOOKUP(B3144,'LISTA 12'!$A$2:$G$30100,7,0)</f>
        <v>#N/A</v>
      </c>
      <c r="G3144" s="254" t="e">
        <f>VLOOKUP(H3144,'lista 3'!$A$1:$C$31467,3,0)</f>
        <v>#N/A</v>
      </c>
      <c r="H3144" s="134"/>
      <c r="I3144" s="136"/>
      <c r="J3144" s="135"/>
      <c r="K3144" s="22"/>
    </row>
    <row r="3145" spans="1:11">
      <c r="A3145" s="241" t="e">
        <f>VLOOKUP(B3145,'lista 1'!$A$2:$E$30100,4,0)</f>
        <v>#N/A</v>
      </c>
      <c r="B3145" s="123"/>
      <c r="C3145" s="133" t="e">
        <f>VLOOKUP(B3145,'lista 1'!$A$2:$E$31000,5,0)</f>
        <v>#N/A</v>
      </c>
      <c r="D3145" s="167" t="e">
        <f>VLOOKUP(E14945,'lista obszary'!A:B,2,0)</f>
        <v>#N/A</v>
      </c>
      <c r="E3145" s="128" t="e">
        <f>VLOOKUP(B3145,'LISTA 12'!$A$2:$G$301400,5,0)</f>
        <v>#N/A</v>
      </c>
      <c r="F3145" s="121" t="e">
        <f>VLOOKUP(B3145,'LISTA 12'!$A$2:$G$30100,7,0)</f>
        <v>#N/A</v>
      </c>
      <c r="G3145" s="254" t="e">
        <f>VLOOKUP(H3145,'lista 3'!$A$1:$C$31467,3,0)</f>
        <v>#N/A</v>
      </c>
      <c r="H3145" s="134"/>
      <c r="I3145" s="136"/>
      <c r="J3145" s="135"/>
      <c r="K3145" s="22"/>
    </row>
    <row r="3146" spans="1:11">
      <c r="A3146" s="241" t="e">
        <f>VLOOKUP(B3146,'lista 1'!$A$2:$E$30100,4,0)</f>
        <v>#N/A</v>
      </c>
      <c r="B3146" s="123"/>
      <c r="C3146" s="133" t="e">
        <f>VLOOKUP(B3146,'lista 1'!$A$2:$E$31000,5,0)</f>
        <v>#N/A</v>
      </c>
      <c r="D3146" s="167" t="e">
        <f>VLOOKUP(E14946,'lista obszary'!A:B,2,0)</f>
        <v>#N/A</v>
      </c>
      <c r="E3146" s="128" t="e">
        <f>VLOOKUP(B3146,'LISTA 12'!$A$2:$G$301400,5,0)</f>
        <v>#N/A</v>
      </c>
      <c r="F3146" s="121" t="e">
        <f>VLOOKUP(B3146,'LISTA 12'!$A$2:$G$30100,7,0)</f>
        <v>#N/A</v>
      </c>
      <c r="G3146" s="254" t="e">
        <f>VLOOKUP(H3146,'lista 3'!$A$1:$C$31467,3,0)</f>
        <v>#N/A</v>
      </c>
      <c r="H3146" s="134"/>
      <c r="I3146" s="136"/>
      <c r="J3146" s="135"/>
      <c r="K3146" s="22"/>
    </row>
    <row r="3147" spans="1:11">
      <c r="A3147" s="241" t="e">
        <f>VLOOKUP(B3147,'lista 1'!$A$2:$E$30100,4,0)</f>
        <v>#N/A</v>
      </c>
      <c r="B3147" s="123"/>
      <c r="C3147" s="133" t="e">
        <f>VLOOKUP(B3147,'lista 1'!$A$2:$E$31000,5,0)</f>
        <v>#N/A</v>
      </c>
      <c r="D3147" s="167" t="e">
        <f>VLOOKUP(E14947,'lista obszary'!A:B,2,0)</f>
        <v>#N/A</v>
      </c>
      <c r="E3147" s="128" t="e">
        <f>VLOOKUP(B3147,'LISTA 12'!$A$2:$G$301400,5,0)</f>
        <v>#N/A</v>
      </c>
      <c r="F3147" s="121" t="e">
        <f>VLOOKUP(B3147,'LISTA 12'!$A$2:$G$30100,7,0)</f>
        <v>#N/A</v>
      </c>
      <c r="G3147" s="254" t="e">
        <f>VLOOKUP(H3147,'lista 3'!$A$1:$C$31467,3,0)</f>
        <v>#N/A</v>
      </c>
      <c r="H3147" s="134"/>
      <c r="I3147" s="136"/>
      <c r="J3147" s="135"/>
      <c r="K3147" s="22"/>
    </row>
    <row r="3148" spans="1:11">
      <c r="A3148" s="241" t="e">
        <f>VLOOKUP(B3148,'lista 1'!$A$2:$E$30100,4,0)</f>
        <v>#N/A</v>
      </c>
      <c r="B3148" s="123"/>
      <c r="C3148" s="133" t="e">
        <f>VLOOKUP(B3148,'lista 1'!$A$2:$E$31000,5,0)</f>
        <v>#N/A</v>
      </c>
      <c r="D3148" s="167" t="e">
        <f>VLOOKUP(E14948,'lista obszary'!A:B,2,0)</f>
        <v>#N/A</v>
      </c>
      <c r="E3148" s="128" t="e">
        <f>VLOOKUP(B3148,'LISTA 12'!$A$2:$G$301400,5,0)</f>
        <v>#N/A</v>
      </c>
      <c r="F3148" s="121" t="e">
        <f>VLOOKUP(B3148,'LISTA 12'!$A$2:$G$30100,7,0)</f>
        <v>#N/A</v>
      </c>
      <c r="G3148" s="254" t="e">
        <f>VLOOKUP(H3148,'lista 3'!$A$1:$C$31467,3,0)</f>
        <v>#N/A</v>
      </c>
      <c r="H3148" s="134"/>
      <c r="I3148" s="136"/>
      <c r="J3148" s="135"/>
      <c r="K3148" s="22"/>
    </row>
    <row r="3149" spans="1:11">
      <c r="A3149" s="241" t="e">
        <f>VLOOKUP(B3149,'lista 1'!$A$2:$E$30100,4,0)</f>
        <v>#N/A</v>
      </c>
      <c r="B3149" s="123"/>
      <c r="C3149" s="133" t="e">
        <f>VLOOKUP(B3149,'lista 1'!$A$2:$E$31000,5,0)</f>
        <v>#N/A</v>
      </c>
      <c r="D3149" s="167" t="e">
        <f>VLOOKUP(E14949,'lista obszary'!A:B,2,0)</f>
        <v>#N/A</v>
      </c>
      <c r="E3149" s="128" t="e">
        <f>VLOOKUP(B3149,'LISTA 12'!$A$2:$G$301400,5,0)</f>
        <v>#N/A</v>
      </c>
      <c r="F3149" s="121" t="e">
        <f>VLOOKUP(B3149,'LISTA 12'!$A$2:$G$30100,7,0)</f>
        <v>#N/A</v>
      </c>
      <c r="G3149" s="254" t="e">
        <f>VLOOKUP(H3149,'lista 3'!$A$1:$C$31467,3,0)</f>
        <v>#N/A</v>
      </c>
      <c r="H3149" s="134"/>
      <c r="I3149" s="136"/>
      <c r="J3149" s="135"/>
      <c r="K3149" s="22"/>
    </row>
    <row r="3150" spans="1:11">
      <c r="A3150" s="241" t="e">
        <f>VLOOKUP(B3150,'lista 1'!$A$2:$E$30100,4,0)</f>
        <v>#N/A</v>
      </c>
      <c r="B3150" s="123"/>
      <c r="C3150" s="133" t="e">
        <f>VLOOKUP(B3150,'lista 1'!$A$2:$E$31000,5,0)</f>
        <v>#N/A</v>
      </c>
      <c r="D3150" s="167" t="e">
        <f>VLOOKUP(E14950,'lista obszary'!A:B,2,0)</f>
        <v>#N/A</v>
      </c>
      <c r="E3150" s="128" t="e">
        <f>VLOOKUP(B3150,'LISTA 12'!$A$2:$G$301400,5,0)</f>
        <v>#N/A</v>
      </c>
      <c r="F3150" s="121" t="e">
        <f>VLOOKUP(B3150,'LISTA 12'!$A$2:$G$30100,7,0)</f>
        <v>#N/A</v>
      </c>
      <c r="G3150" s="254" t="e">
        <f>VLOOKUP(H3150,'lista 3'!$A$1:$C$31467,3,0)</f>
        <v>#N/A</v>
      </c>
      <c r="H3150" s="134"/>
      <c r="I3150" s="136"/>
      <c r="J3150" s="135"/>
      <c r="K3150" s="22"/>
    </row>
    <row r="3151" spans="1:11">
      <c r="A3151" s="241" t="e">
        <f>VLOOKUP(B3151,'lista 1'!$A$2:$E$30100,4,0)</f>
        <v>#N/A</v>
      </c>
      <c r="B3151" s="123"/>
      <c r="C3151" s="133" t="e">
        <f>VLOOKUP(B3151,'lista 1'!$A$2:$E$31000,5,0)</f>
        <v>#N/A</v>
      </c>
      <c r="D3151" s="167" t="e">
        <f>VLOOKUP(E14951,'lista obszary'!A:B,2,0)</f>
        <v>#N/A</v>
      </c>
      <c r="E3151" s="128" t="e">
        <f>VLOOKUP(B3151,'LISTA 12'!$A$2:$G$301400,5,0)</f>
        <v>#N/A</v>
      </c>
      <c r="F3151" s="121" t="e">
        <f>VLOOKUP(B3151,'LISTA 12'!$A$2:$G$30100,7,0)</f>
        <v>#N/A</v>
      </c>
      <c r="G3151" s="254" t="e">
        <f>VLOOKUP(H3151,'lista 3'!$A$1:$C$31467,3,0)</f>
        <v>#N/A</v>
      </c>
      <c r="H3151" s="134"/>
      <c r="I3151" s="136"/>
      <c r="J3151" s="135"/>
      <c r="K3151" s="22"/>
    </row>
    <row r="3152" spans="1:11">
      <c r="A3152" s="241" t="e">
        <f>VLOOKUP(B3152,'lista 1'!$A$2:$E$30100,4,0)</f>
        <v>#N/A</v>
      </c>
      <c r="B3152" s="123"/>
      <c r="C3152" s="133" t="e">
        <f>VLOOKUP(B3152,'lista 1'!$A$2:$E$31000,5,0)</f>
        <v>#N/A</v>
      </c>
      <c r="D3152" s="167" t="e">
        <f>VLOOKUP(E14952,'lista obszary'!A:B,2,0)</f>
        <v>#N/A</v>
      </c>
      <c r="E3152" s="128" t="e">
        <f>VLOOKUP(B3152,'LISTA 12'!$A$2:$G$301400,5,0)</f>
        <v>#N/A</v>
      </c>
      <c r="F3152" s="121" t="e">
        <f>VLOOKUP(B3152,'LISTA 12'!$A$2:$G$30100,7,0)</f>
        <v>#N/A</v>
      </c>
      <c r="G3152" s="254" t="e">
        <f>VLOOKUP(H3152,'lista 3'!$A$1:$C$31467,3,0)</f>
        <v>#N/A</v>
      </c>
      <c r="H3152" s="134"/>
      <c r="I3152" s="136"/>
      <c r="J3152" s="135"/>
      <c r="K3152" s="22"/>
    </row>
    <row r="3153" spans="1:11">
      <c r="A3153" s="241" t="e">
        <f>VLOOKUP(B3153,'lista 1'!$A$2:$E$30100,4,0)</f>
        <v>#N/A</v>
      </c>
      <c r="B3153" s="123"/>
      <c r="C3153" s="133" t="e">
        <f>VLOOKUP(B3153,'lista 1'!$A$2:$E$31000,5,0)</f>
        <v>#N/A</v>
      </c>
      <c r="D3153" s="167" t="e">
        <f>VLOOKUP(E14953,'lista obszary'!A:B,2,0)</f>
        <v>#N/A</v>
      </c>
      <c r="E3153" s="128" t="e">
        <f>VLOOKUP(B3153,'LISTA 12'!$A$2:$G$301400,5,0)</f>
        <v>#N/A</v>
      </c>
      <c r="F3153" s="121" t="e">
        <f>VLOOKUP(B3153,'LISTA 12'!$A$2:$G$30100,7,0)</f>
        <v>#N/A</v>
      </c>
      <c r="G3153" s="254" t="e">
        <f>VLOOKUP(H3153,'lista 3'!$A$1:$C$31467,3,0)</f>
        <v>#N/A</v>
      </c>
      <c r="H3153" s="134"/>
      <c r="I3153" s="136"/>
      <c r="J3153" s="135"/>
      <c r="K3153" s="22"/>
    </row>
    <row r="3154" spans="1:11">
      <c r="A3154" s="241" t="e">
        <f>VLOOKUP(B3154,'lista 1'!$A$2:$E$30100,4,0)</f>
        <v>#N/A</v>
      </c>
      <c r="B3154" s="123"/>
      <c r="C3154" s="133" t="e">
        <f>VLOOKUP(B3154,'lista 1'!$A$2:$E$31000,5,0)</f>
        <v>#N/A</v>
      </c>
      <c r="D3154" s="167" t="e">
        <f>VLOOKUP(E14954,'lista obszary'!A:B,2,0)</f>
        <v>#N/A</v>
      </c>
      <c r="E3154" s="128" t="e">
        <f>VLOOKUP(B3154,'LISTA 12'!$A$2:$G$301400,5,0)</f>
        <v>#N/A</v>
      </c>
      <c r="F3154" s="121" t="e">
        <f>VLOOKUP(B3154,'LISTA 12'!$A$2:$G$30100,7,0)</f>
        <v>#N/A</v>
      </c>
      <c r="G3154" s="254" t="e">
        <f>VLOOKUP(H3154,'lista 3'!$A$1:$C$31467,3,0)</f>
        <v>#N/A</v>
      </c>
      <c r="H3154" s="134"/>
      <c r="I3154" s="136"/>
      <c r="J3154" s="135"/>
      <c r="K3154" s="22"/>
    </row>
    <row r="3155" spans="1:11">
      <c r="A3155" s="241" t="e">
        <f>VLOOKUP(B3155,'lista 1'!$A$2:$E$30100,4,0)</f>
        <v>#N/A</v>
      </c>
      <c r="B3155" s="123"/>
      <c r="C3155" s="133" t="e">
        <f>VLOOKUP(B3155,'lista 1'!$A$2:$E$31000,5,0)</f>
        <v>#N/A</v>
      </c>
      <c r="D3155" s="167" t="e">
        <f>VLOOKUP(E14955,'lista obszary'!A:B,2,0)</f>
        <v>#N/A</v>
      </c>
      <c r="E3155" s="128" t="e">
        <f>VLOOKUP(B3155,'LISTA 12'!$A$2:$G$301400,5,0)</f>
        <v>#N/A</v>
      </c>
      <c r="F3155" s="121" t="e">
        <f>VLOOKUP(B3155,'LISTA 12'!$A$2:$G$30100,7,0)</f>
        <v>#N/A</v>
      </c>
      <c r="G3155" s="254" t="e">
        <f>VLOOKUP(H3155,'lista 3'!$A$1:$C$31467,3,0)</f>
        <v>#N/A</v>
      </c>
      <c r="H3155" s="134"/>
      <c r="I3155" s="136"/>
      <c r="J3155" s="135"/>
      <c r="K3155" s="22"/>
    </row>
    <row r="3156" spans="1:11">
      <c r="A3156" s="241" t="e">
        <f>VLOOKUP(B3156,'lista 1'!$A$2:$E$30100,4,0)</f>
        <v>#N/A</v>
      </c>
      <c r="B3156" s="123"/>
      <c r="C3156" s="133" t="e">
        <f>VLOOKUP(B3156,'lista 1'!$A$2:$E$31000,5,0)</f>
        <v>#N/A</v>
      </c>
      <c r="D3156" s="167" t="e">
        <f>VLOOKUP(E14956,'lista obszary'!A:B,2,0)</f>
        <v>#N/A</v>
      </c>
      <c r="E3156" s="128" t="e">
        <f>VLOOKUP(B3156,'LISTA 12'!$A$2:$G$301400,5,0)</f>
        <v>#N/A</v>
      </c>
      <c r="F3156" s="121" t="e">
        <f>VLOOKUP(B3156,'LISTA 12'!$A$2:$G$30100,7,0)</f>
        <v>#N/A</v>
      </c>
      <c r="G3156" s="254" t="e">
        <f>VLOOKUP(H3156,'lista 3'!$A$1:$C$31467,3,0)</f>
        <v>#N/A</v>
      </c>
      <c r="H3156" s="134"/>
      <c r="I3156" s="136"/>
      <c r="J3156" s="135"/>
      <c r="K3156" s="22"/>
    </row>
    <row r="3157" spans="1:11">
      <c r="A3157" s="241" t="e">
        <f>VLOOKUP(B3157,'lista 1'!$A$2:$E$30100,4,0)</f>
        <v>#N/A</v>
      </c>
      <c r="B3157" s="123"/>
      <c r="C3157" s="133" t="e">
        <f>VLOOKUP(B3157,'lista 1'!$A$2:$E$31000,5,0)</f>
        <v>#N/A</v>
      </c>
      <c r="D3157" s="167" t="e">
        <f>VLOOKUP(E14957,'lista obszary'!A:B,2,0)</f>
        <v>#N/A</v>
      </c>
      <c r="E3157" s="128" t="e">
        <f>VLOOKUP(B3157,'LISTA 12'!$A$2:$G$301400,5,0)</f>
        <v>#N/A</v>
      </c>
      <c r="F3157" s="121" t="e">
        <f>VLOOKUP(B3157,'LISTA 12'!$A$2:$G$30100,7,0)</f>
        <v>#N/A</v>
      </c>
      <c r="G3157" s="254" t="e">
        <f>VLOOKUP(H3157,'lista 3'!$A$1:$C$31467,3,0)</f>
        <v>#N/A</v>
      </c>
      <c r="H3157" s="134"/>
      <c r="I3157" s="136"/>
      <c r="J3157" s="135"/>
      <c r="K3157" s="22"/>
    </row>
    <row r="3158" spans="1:11">
      <c r="A3158" s="241" t="e">
        <f>VLOOKUP(B3158,'lista 1'!$A$2:$E$30100,4,0)</f>
        <v>#N/A</v>
      </c>
      <c r="B3158" s="123"/>
      <c r="C3158" s="133" t="e">
        <f>VLOOKUP(B3158,'lista 1'!$A$2:$E$31000,5,0)</f>
        <v>#N/A</v>
      </c>
      <c r="D3158" s="167" t="e">
        <f>VLOOKUP(E14958,'lista obszary'!A:B,2,0)</f>
        <v>#N/A</v>
      </c>
      <c r="E3158" s="128" t="e">
        <f>VLOOKUP(B3158,'LISTA 12'!$A$2:$G$301400,5,0)</f>
        <v>#N/A</v>
      </c>
      <c r="F3158" s="121" t="e">
        <f>VLOOKUP(B3158,'LISTA 12'!$A$2:$G$30100,7,0)</f>
        <v>#N/A</v>
      </c>
      <c r="G3158" s="254" t="e">
        <f>VLOOKUP(H3158,'lista 3'!$A$1:$C$31467,3,0)</f>
        <v>#N/A</v>
      </c>
      <c r="H3158" s="134"/>
      <c r="I3158" s="136"/>
      <c r="J3158" s="135"/>
      <c r="K3158" s="22"/>
    </row>
    <row r="3159" spans="1:11">
      <c r="A3159" s="241" t="e">
        <f>VLOOKUP(B3159,'lista 1'!$A$2:$E$30100,4,0)</f>
        <v>#N/A</v>
      </c>
      <c r="B3159" s="123"/>
      <c r="C3159" s="133" t="e">
        <f>VLOOKUP(B3159,'lista 1'!$A$2:$E$31000,5,0)</f>
        <v>#N/A</v>
      </c>
      <c r="D3159" s="167" t="e">
        <f>VLOOKUP(E14959,'lista obszary'!A:B,2,0)</f>
        <v>#N/A</v>
      </c>
      <c r="E3159" s="128" t="e">
        <f>VLOOKUP(B3159,'LISTA 12'!$A$2:$G$301400,5,0)</f>
        <v>#N/A</v>
      </c>
      <c r="F3159" s="121" t="e">
        <f>VLOOKUP(B3159,'LISTA 12'!$A$2:$G$30100,7,0)</f>
        <v>#N/A</v>
      </c>
      <c r="G3159" s="254" t="e">
        <f>VLOOKUP(H3159,'lista 3'!$A$1:$C$31467,3,0)</f>
        <v>#N/A</v>
      </c>
      <c r="H3159" s="134"/>
      <c r="I3159" s="136"/>
      <c r="J3159" s="135"/>
      <c r="K3159" s="22"/>
    </row>
    <row r="3160" spans="1:11">
      <c r="A3160" s="241" t="e">
        <f>VLOOKUP(B3160,'lista 1'!$A$2:$E$30100,4,0)</f>
        <v>#N/A</v>
      </c>
      <c r="B3160" s="123"/>
      <c r="C3160" s="133" t="e">
        <f>VLOOKUP(B3160,'lista 1'!$A$2:$E$31000,5,0)</f>
        <v>#N/A</v>
      </c>
      <c r="D3160" s="167" t="e">
        <f>VLOOKUP(E14960,'lista obszary'!A:B,2,0)</f>
        <v>#N/A</v>
      </c>
      <c r="E3160" s="128" t="e">
        <f>VLOOKUP(B3160,'LISTA 12'!$A$2:$G$301400,5,0)</f>
        <v>#N/A</v>
      </c>
      <c r="F3160" s="121" t="e">
        <f>VLOOKUP(B3160,'LISTA 12'!$A$2:$G$30100,7,0)</f>
        <v>#N/A</v>
      </c>
      <c r="G3160" s="254" t="e">
        <f>VLOOKUP(H3160,'lista 3'!$A$1:$C$31467,3,0)</f>
        <v>#N/A</v>
      </c>
      <c r="H3160" s="134"/>
      <c r="I3160" s="136"/>
      <c r="J3160" s="135"/>
      <c r="K3160" s="22"/>
    </row>
    <row r="3161" spans="1:11">
      <c r="A3161" s="241" t="e">
        <f>VLOOKUP(B3161,'lista 1'!$A$2:$E$30100,4,0)</f>
        <v>#N/A</v>
      </c>
      <c r="B3161" s="123"/>
      <c r="C3161" s="133" t="e">
        <f>VLOOKUP(B3161,'lista 1'!$A$2:$E$31000,5,0)</f>
        <v>#N/A</v>
      </c>
      <c r="D3161" s="167" t="e">
        <f>VLOOKUP(E14961,'lista obszary'!A:B,2,0)</f>
        <v>#N/A</v>
      </c>
      <c r="E3161" s="128" t="e">
        <f>VLOOKUP(B3161,'LISTA 12'!$A$2:$G$301400,5,0)</f>
        <v>#N/A</v>
      </c>
      <c r="F3161" s="121" t="e">
        <f>VLOOKUP(B3161,'LISTA 12'!$A$2:$G$30100,7,0)</f>
        <v>#N/A</v>
      </c>
      <c r="G3161" s="254" t="e">
        <f>VLOOKUP(H3161,'lista 3'!$A$1:$C$31467,3,0)</f>
        <v>#N/A</v>
      </c>
      <c r="H3161" s="134"/>
      <c r="I3161" s="136"/>
      <c r="J3161" s="135"/>
      <c r="K3161" s="22"/>
    </row>
    <row r="3162" spans="1:11">
      <c r="A3162" s="241" t="e">
        <f>VLOOKUP(B3162,'lista 1'!$A$2:$E$30100,4,0)</f>
        <v>#N/A</v>
      </c>
      <c r="B3162" s="123"/>
      <c r="C3162" s="133" t="e">
        <f>VLOOKUP(B3162,'lista 1'!$A$2:$E$31000,5,0)</f>
        <v>#N/A</v>
      </c>
      <c r="D3162" s="167" t="e">
        <f>VLOOKUP(E14962,'lista obszary'!A:B,2,0)</f>
        <v>#N/A</v>
      </c>
      <c r="E3162" s="128" t="e">
        <f>VLOOKUP(B3162,'LISTA 12'!$A$2:$G$301400,5,0)</f>
        <v>#N/A</v>
      </c>
      <c r="F3162" s="121" t="e">
        <f>VLOOKUP(B3162,'LISTA 12'!$A$2:$G$30100,7,0)</f>
        <v>#N/A</v>
      </c>
      <c r="G3162" s="254" t="e">
        <f>VLOOKUP(H3162,'lista 3'!$A$1:$C$31467,3,0)</f>
        <v>#N/A</v>
      </c>
      <c r="H3162" s="134"/>
      <c r="I3162" s="136"/>
      <c r="J3162" s="135"/>
      <c r="K3162" s="22"/>
    </row>
    <row r="3163" spans="1:11">
      <c r="A3163" s="241" t="e">
        <f>VLOOKUP(B3163,'lista 1'!$A$2:$E$30100,4,0)</f>
        <v>#N/A</v>
      </c>
      <c r="B3163" s="123"/>
      <c r="C3163" s="133" t="e">
        <f>VLOOKUP(B3163,'lista 1'!$A$2:$E$31000,5,0)</f>
        <v>#N/A</v>
      </c>
      <c r="D3163" s="167" t="e">
        <f>VLOOKUP(E14963,'lista obszary'!A:B,2,0)</f>
        <v>#N/A</v>
      </c>
      <c r="E3163" s="128" t="e">
        <f>VLOOKUP(B3163,'LISTA 12'!$A$2:$G$301400,5,0)</f>
        <v>#N/A</v>
      </c>
      <c r="F3163" s="121" t="e">
        <f>VLOOKUP(B3163,'LISTA 12'!$A$2:$G$30100,7,0)</f>
        <v>#N/A</v>
      </c>
      <c r="G3163" s="254" t="e">
        <f>VLOOKUP(H3163,'lista 3'!$A$1:$C$31467,3,0)</f>
        <v>#N/A</v>
      </c>
      <c r="H3163" s="134"/>
      <c r="I3163" s="136"/>
      <c r="J3163" s="135"/>
      <c r="K3163" s="22"/>
    </row>
    <row r="3164" spans="1:11">
      <c r="A3164" s="241" t="e">
        <f>VLOOKUP(B3164,'lista 1'!$A$2:$E$30100,4,0)</f>
        <v>#N/A</v>
      </c>
      <c r="B3164" s="123"/>
      <c r="C3164" s="133" t="e">
        <f>VLOOKUP(B3164,'lista 1'!$A$2:$E$31000,5,0)</f>
        <v>#N/A</v>
      </c>
      <c r="D3164" s="167" t="e">
        <f>VLOOKUP(E14964,'lista obszary'!A:B,2,0)</f>
        <v>#N/A</v>
      </c>
      <c r="E3164" s="128" t="e">
        <f>VLOOKUP(B3164,'LISTA 12'!$A$2:$G$301400,5,0)</f>
        <v>#N/A</v>
      </c>
      <c r="F3164" s="121" t="e">
        <f>VLOOKUP(B3164,'LISTA 12'!$A$2:$G$30100,7,0)</f>
        <v>#N/A</v>
      </c>
      <c r="G3164" s="254" t="e">
        <f>VLOOKUP(H3164,'lista 3'!$A$1:$C$31467,3,0)</f>
        <v>#N/A</v>
      </c>
      <c r="H3164" s="134"/>
      <c r="I3164" s="136"/>
      <c r="J3164" s="135"/>
      <c r="K3164" s="22"/>
    </row>
    <row r="3165" spans="1:11">
      <c r="A3165" s="241" t="e">
        <f>VLOOKUP(B3165,'lista 1'!$A$2:$E$30100,4,0)</f>
        <v>#N/A</v>
      </c>
      <c r="B3165" s="123"/>
      <c r="C3165" s="133" t="e">
        <f>VLOOKUP(B3165,'lista 1'!$A$2:$E$31000,5,0)</f>
        <v>#N/A</v>
      </c>
      <c r="D3165" s="167" t="e">
        <f>VLOOKUP(E14965,'lista obszary'!A:B,2,0)</f>
        <v>#N/A</v>
      </c>
      <c r="E3165" s="128" t="e">
        <f>VLOOKUP(B3165,'LISTA 12'!$A$2:$G$301400,5,0)</f>
        <v>#N/A</v>
      </c>
      <c r="F3165" s="121" t="e">
        <f>VLOOKUP(B3165,'LISTA 12'!$A$2:$G$30100,7,0)</f>
        <v>#N/A</v>
      </c>
      <c r="G3165" s="254" t="e">
        <f>VLOOKUP(H3165,'lista 3'!$A$1:$C$31467,3,0)</f>
        <v>#N/A</v>
      </c>
      <c r="H3165" s="134"/>
      <c r="I3165" s="136"/>
      <c r="J3165" s="135"/>
      <c r="K3165" s="22"/>
    </row>
    <row r="3166" spans="1:11">
      <c r="A3166" s="241" t="e">
        <f>VLOOKUP(B3166,'lista 1'!$A$2:$E$30100,4,0)</f>
        <v>#N/A</v>
      </c>
      <c r="B3166" s="123"/>
      <c r="C3166" s="133" t="e">
        <f>VLOOKUP(B3166,'lista 1'!$A$2:$E$31000,5,0)</f>
        <v>#N/A</v>
      </c>
      <c r="D3166" s="167" t="e">
        <f>VLOOKUP(E14966,'lista obszary'!A:B,2,0)</f>
        <v>#N/A</v>
      </c>
      <c r="E3166" s="128" t="e">
        <f>VLOOKUP(B3166,'LISTA 12'!$A$2:$G$301400,5,0)</f>
        <v>#N/A</v>
      </c>
      <c r="F3166" s="121" t="e">
        <f>VLOOKUP(B3166,'LISTA 12'!$A$2:$G$30100,7,0)</f>
        <v>#N/A</v>
      </c>
      <c r="G3166" s="254" t="e">
        <f>VLOOKUP(H3166,'lista 3'!$A$1:$C$31467,3,0)</f>
        <v>#N/A</v>
      </c>
      <c r="H3166" s="134"/>
      <c r="I3166" s="136"/>
      <c r="J3166" s="135"/>
      <c r="K3166" s="22"/>
    </row>
    <row r="3167" spans="1:11">
      <c r="A3167" s="241" t="e">
        <f>VLOOKUP(B3167,'lista 1'!$A$2:$E$30100,4,0)</f>
        <v>#N/A</v>
      </c>
      <c r="B3167" s="123"/>
      <c r="C3167" s="133" t="e">
        <f>VLOOKUP(B3167,'lista 1'!$A$2:$E$31000,5,0)</f>
        <v>#N/A</v>
      </c>
      <c r="D3167" s="167" t="e">
        <f>VLOOKUP(E14967,'lista obszary'!A:B,2,0)</f>
        <v>#N/A</v>
      </c>
      <c r="E3167" s="128" t="e">
        <f>VLOOKUP(B3167,'LISTA 12'!$A$2:$G$301400,5,0)</f>
        <v>#N/A</v>
      </c>
      <c r="F3167" s="121" t="e">
        <f>VLOOKUP(B3167,'LISTA 12'!$A$2:$G$30100,7,0)</f>
        <v>#N/A</v>
      </c>
      <c r="G3167" s="254" t="e">
        <f>VLOOKUP(H3167,'lista 3'!$A$1:$C$31467,3,0)</f>
        <v>#N/A</v>
      </c>
      <c r="H3167" s="134"/>
      <c r="I3167" s="136"/>
      <c r="J3167" s="135"/>
      <c r="K3167" s="22"/>
    </row>
    <row r="3168" spans="1:11">
      <c r="A3168" s="241" t="e">
        <f>VLOOKUP(B3168,'lista 1'!$A$2:$E$30100,4,0)</f>
        <v>#N/A</v>
      </c>
      <c r="B3168" s="123"/>
      <c r="C3168" s="133" t="e">
        <f>VLOOKUP(B3168,'lista 1'!$A$2:$E$31000,5,0)</f>
        <v>#N/A</v>
      </c>
      <c r="D3168" s="167" t="e">
        <f>VLOOKUP(E14968,'lista obszary'!A:B,2,0)</f>
        <v>#N/A</v>
      </c>
      <c r="E3168" s="128" t="e">
        <f>VLOOKUP(B3168,'LISTA 12'!$A$2:$G$301400,5,0)</f>
        <v>#N/A</v>
      </c>
      <c r="F3168" s="121" t="e">
        <f>VLOOKUP(B3168,'LISTA 12'!$A$2:$G$30100,7,0)</f>
        <v>#N/A</v>
      </c>
      <c r="G3168" s="254" t="e">
        <f>VLOOKUP(H3168,'lista 3'!$A$1:$C$31467,3,0)</f>
        <v>#N/A</v>
      </c>
      <c r="H3168" s="134"/>
      <c r="I3168" s="136"/>
      <c r="J3168" s="135"/>
      <c r="K3168" s="22"/>
    </row>
    <row r="3169" spans="1:11">
      <c r="A3169" s="241" t="e">
        <f>VLOOKUP(B3169,'lista 1'!$A$2:$E$30100,4,0)</f>
        <v>#N/A</v>
      </c>
      <c r="B3169" s="123"/>
      <c r="C3169" s="133" t="e">
        <f>VLOOKUP(B3169,'lista 1'!$A$2:$E$31000,5,0)</f>
        <v>#N/A</v>
      </c>
      <c r="D3169" s="167" t="e">
        <f>VLOOKUP(E14969,'lista obszary'!A:B,2,0)</f>
        <v>#N/A</v>
      </c>
      <c r="E3169" s="128" t="e">
        <f>VLOOKUP(B3169,'LISTA 12'!$A$2:$G$301400,5,0)</f>
        <v>#N/A</v>
      </c>
      <c r="F3169" s="121" t="e">
        <f>VLOOKUP(B3169,'LISTA 12'!$A$2:$G$30100,7,0)</f>
        <v>#N/A</v>
      </c>
      <c r="G3169" s="254" t="e">
        <f>VLOOKUP(H3169,'lista 3'!$A$1:$C$31467,3,0)</f>
        <v>#N/A</v>
      </c>
      <c r="H3169" s="134"/>
      <c r="I3169" s="136"/>
      <c r="J3169" s="135"/>
      <c r="K3169" s="22"/>
    </row>
    <row r="3170" spans="1:11">
      <c r="A3170" s="241" t="e">
        <f>VLOOKUP(B3170,'lista 1'!$A$2:$E$30100,4,0)</f>
        <v>#N/A</v>
      </c>
      <c r="B3170" s="123"/>
      <c r="C3170" s="133" t="e">
        <f>VLOOKUP(B3170,'lista 1'!$A$2:$E$31000,5,0)</f>
        <v>#N/A</v>
      </c>
      <c r="D3170" s="167" t="e">
        <f>VLOOKUP(E14970,'lista obszary'!A:B,2,0)</f>
        <v>#N/A</v>
      </c>
      <c r="E3170" s="128" t="e">
        <f>VLOOKUP(B3170,'LISTA 12'!$A$2:$G$301400,5,0)</f>
        <v>#N/A</v>
      </c>
      <c r="F3170" s="121" t="e">
        <f>VLOOKUP(B3170,'LISTA 12'!$A$2:$G$30100,7,0)</f>
        <v>#N/A</v>
      </c>
      <c r="G3170" s="254" t="e">
        <f>VLOOKUP(H3170,'lista 3'!$A$1:$C$31467,3,0)</f>
        <v>#N/A</v>
      </c>
      <c r="H3170" s="134"/>
      <c r="I3170" s="136"/>
      <c r="J3170" s="135"/>
      <c r="K3170" s="22"/>
    </row>
    <row r="3171" spans="1:11">
      <c r="A3171" s="241" t="e">
        <f>VLOOKUP(B3171,'lista 1'!$A$2:$E$30100,4,0)</f>
        <v>#N/A</v>
      </c>
      <c r="B3171" s="123"/>
      <c r="C3171" s="133" t="e">
        <f>VLOOKUP(B3171,'lista 1'!$A$2:$E$31000,5,0)</f>
        <v>#N/A</v>
      </c>
      <c r="D3171" s="167" t="e">
        <f>VLOOKUP(E14971,'lista obszary'!A:B,2,0)</f>
        <v>#N/A</v>
      </c>
      <c r="E3171" s="128" t="e">
        <f>VLOOKUP(B3171,'LISTA 12'!$A$2:$G$301400,5,0)</f>
        <v>#N/A</v>
      </c>
      <c r="F3171" s="121" t="e">
        <f>VLOOKUP(B3171,'LISTA 12'!$A$2:$G$30100,7,0)</f>
        <v>#N/A</v>
      </c>
      <c r="G3171" s="254" t="e">
        <f>VLOOKUP(H3171,'lista 3'!$A$1:$C$31467,3,0)</f>
        <v>#N/A</v>
      </c>
      <c r="H3171" s="134"/>
      <c r="I3171" s="136"/>
      <c r="J3171" s="135"/>
      <c r="K3171" s="22"/>
    </row>
    <row r="3172" spans="1:11">
      <c r="A3172" s="241" t="e">
        <f>VLOOKUP(B3172,'lista 1'!$A$2:$E$30100,4,0)</f>
        <v>#N/A</v>
      </c>
      <c r="B3172" s="123"/>
      <c r="C3172" s="133" t="e">
        <f>VLOOKUP(B3172,'lista 1'!$A$2:$E$31000,5,0)</f>
        <v>#N/A</v>
      </c>
      <c r="D3172" s="167" t="e">
        <f>VLOOKUP(E14972,'lista obszary'!A:B,2,0)</f>
        <v>#N/A</v>
      </c>
      <c r="E3172" s="128" t="e">
        <f>VLOOKUP(B3172,'LISTA 12'!$A$2:$G$301400,5,0)</f>
        <v>#N/A</v>
      </c>
      <c r="F3172" s="121" t="e">
        <f>VLOOKUP(B3172,'LISTA 12'!$A$2:$G$30100,7,0)</f>
        <v>#N/A</v>
      </c>
      <c r="G3172" s="254" t="e">
        <f>VLOOKUP(H3172,'lista 3'!$A$1:$C$31467,3,0)</f>
        <v>#N/A</v>
      </c>
      <c r="H3172" s="134"/>
      <c r="I3172" s="136"/>
      <c r="J3172" s="135"/>
      <c r="K3172" s="22"/>
    </row>
    <row r="3173" spans="1:11">
      <c r="A3173" s="241" t="e">
        <f>VLOOKUP(B3173,'lista 1'!$A$2:$E$30100,4,0)</f>
        <v>#N/A</v>
      </c>
      <c r="B3173" s="123"/>
      <c r="C3173" s="133" t="e">
        <f>VLOOKUP(B3173,'lista 1'!$A$2:$E$31000,5,0)</f>
        <v>#N/A</v>
      </c>
      <c r="D3173" s="167" t="e">
        <f>VLOOKUP(E14973,'lista obszary'!A:B,2,0)</f>
        <v>#N/A</v>
      </c>
      <c r="E3173" s="128" t="e">
        <f>VLOOKUP(B3173,'LISTA 12'!$A$2:$G$301400,5,0)</f>
        <v>#N/A</v>
      </c>
      <c r="F3173" s="121" t="e">
        <f>VLOOKUP(B3173,'LISTA 12'!$A$2:$G$30100,7,0)</f>
        <v>#N/A</v>
      </c>
      <c r="G3173" s="254" t="e">
        <f>VLOOKUP(H3173,'lista 3'!$A$1:$C$31467,3,0)</f>
        <v>#N/A</v>
      </c>
      <c r="H3173" s="134"/>
      <c r="I3173" s="136"/>
      <c r="J3173" s="135"/>
      <c r="K3173" s="22"/>
    </row>
    <row r="3174" spans="1:11">
      <c r="A3174" s="241" t="e">
        <f>VLOOKUP(B3174,'lista 1'!$A$2:$E$30100,4,0)</f>
        <v>#N/A</v>
      </c>
      <c r="B3174" s="123"/>
      <c r="C3174" s="133" t="e">
        <f>VLOOKUP(B3174,'lista 1'!$A$2:$E$31000,5,0)</f>
        <v>#N/A</v>
      </c>
      <c r="D3174" s="167" t="e">
        <f>VLOOKUP(E14974,'lista obszary'!A:B,2,0)</f>
        <v>#N/A</v>
      </c>
      <c r="E3174" s="128" t="e">
        <f>VLOOKUP(B3174,'LISTA 12'!$A$2:$G$301400,5,0)</f>
        <v>#N/A</v>
      </c>
      <c r="F3174" s="121" t="e">
        <f>VLOOKUP(B3174,'LISTA 12'!$A$2:$G$30100,7,0)</f>
        <v>#N/A</v>
      </c>
      <c r="G3174" s="254" t="e">
        <f>VLOOKUP(H3174,'lista 3'!$A$1:$C$31467,3,0)</f>
        <v>#N/A</v>
      </c>
      <c r="H3174" s="134"/>
      <c r="I3174" s="136"/>
      <c r="J3174" s="135"/>
      <c r="K3174" s="22"/>
    </row>
    <row r="3175" spans="1:11">
      <c r="A3175" s="241" t="e">
        <f>VLOOKUP(B3175,'lista 1'!$A$2:$E$30100,4,0)</f>
        <v>#N/A</v>
      </c>
      <c r="B3175" s="123"/>
      <c r="C3175" s="133" t="e">
        <f>VLOOKUP(B3175,'lista 1'!$A$2:$E$31000,5,0)</f>
        <v>#N/A</v>
      </c>
      <c r="D3175" s="167" t="e">
        <f>VLOOKUP(E14975,'lista obszary'!A:B,2,0)</f>
        <v>#N/A</v>
      </c>
      <c r="E3175" s="128" t="e">
        <f>VLOOKUP(B3175,'LISTA 12'!$A$2:$G$301400,5,0)</f>
        <v>#N/A</v>
      </c>
      <c r="F3175" s="121" t="e">
        <f>VLOOKUP(B3175,'LISTA 12'!$A$2:$G$30100,7,0)</f>
        <v>#N/A</v>
      </c>
      <c r="G3175" s="254" t="e">
        <f>VLOOKUP(H3175,'lista 3'!$A$1:$C$31467,3,0)</f>
        <v>#N/A</v>
      </c>
      <c r="H3175" s="134"/>
      <c r="I3175" s="136"/>
      <c r="J3175" s="135"/>
      <c r="K3175" s="22"/>
    </row>
    <row r="3176" spans="1:11">
      <c r="A3176" s="241" t="e">
        <f>VLOOKUP(B3176,'lista 1'!$A$2:$E$30100,4,0)</f>
        <v>#N/A</v>
      </c>
      <c r="B3176" s="123"/>
      <c r="C3176" s="133" t="e">
        <f>VLOOKUP(B3176,'lista 1'!$A$2:$E$31000,5,0)</f>
        <v>#N/A</v>
      </c>
      <c r="D3176" s="167" t="e">
        <f>VLOOKUP(E14976,'lista obszary'!A:B,2,0)</f>
        <v>#N/A</v>
      </c>
      <c r="E3176" s="128" t="e">
        <f>VLOOKUP(B3176,'LISTA 12'!$A$2:$G$301400,5,0)</f>
        <v>#N/A</v>
      </c>
      <c r="F3176" s="121" t="e">
        <f>VLOOKUP(B3176,'LISTA 12'!$A$2:$G$30100,7,0)</f>
        <v>#N/A</v>
      </c>
      <c r="G3176" s="254" t="e">
        <f>VLOOKUP(H3176,'lista 3'!$A$1:$C$31467,3,0)</f>
        <v>#N/A</v>
      </c>
      <c r="H3176" s="134"/>
      <c r="I3176" s="136"/>
      <c r="J3176" s="135"/>
      <c r="K3176" s="22"/>
    </row>
    <row r="3177" spans="1:11">
      <c r="A3177" s="241" t="e">
        <f>VLOOKUP(B3177,'lista 1'!$A$2:$E$30100,4,0)</f>
        <v>#N/A</v>
      </c>
      <c r="B3177" s="123"/>
      <c r="C3177" s="133" t="e">
        <f>VLOOKUP(B3177,'lista 1'!$A$2:$E$31000,5,0)</f>
        <v>#N/A</v>
      </c>
      <c r="D3177" s="167" t="e">
        <f>VLOOKUP(E14977,'lista obszary'!A:B,2,0)</f>
        <v>#N/A</v>
      </c>
      <c r="E3177" s="128" t="e">
        <f>VLOOKUP(B3177,'LISTA 12'!$A$2:$G$301400,5,0)</f>
        <v>#N/A</v>
      </c>
      <c r="F3177" s="121" t="e">
        <f>VLOOKUP(B3177,'LISTA 12'!$A$2:$G$30100,7,0)</f>
        <v>#N/A</v>
      </c>
      <c r="G3177" s="254" t="e">
        <f>VLOOKUP(H3177,'lista 3'!$A$1:$C$31467,3,0)</f>
        <v>#N/A</v>
      </c>
      <c r="H3177" s="134"/>
      <c r="I3177" s="136"/>
      <c r="J3177" s="135"/>
      <c r="K3177" s="22"/>
    </row>
    <row r="3178" spans="1:11">
      <c r="A3178" s="241" t="e">
        <f>VLOOKUP(B3178,'lista 1'!$A$2:$E$30100,4,0)</f>
        <v>#N/A</v>
      </c>
      <c r="B3178" s="123"/>
      <c r="C3178" s="133" t="e">
        <f>VLOOKUP(B3178,'lista 1'!$A$2:$E$31000,5,0)</f>
        <v>#N/A</v>
      </c>
      <c r="D3178" s="167" t="e">
        <f>VLOOKUP(E14978,'lista obszary'!A:B,2,0)</f>
        <v>#N/A</v>
      </c>
      <c r="E3178" s="128" t="e">
        <f>VLOOKUP(B3178,'LISTA 12'!$A$2:$G$301400,5,0)</f>
        <v>#N/A</v>
      </c>
      <c r="F3178" s="121" t="e">
        <f>VLOOKUP(B3178,'LISTA 12'!$A$2:$G$30100,7,0)</f>
        <v>#N/A</v>
      </c>
      <c r="G3178" s="254" t="e">
        <f>VLOOKUP(H3178,'lista 3'!$A$1:$C$31467,3,0)</f>
        <v>#N/A</v>
      </c>
      <c r="H3178" s="134"/>
      <c r="I3178" s="136"/>
      <c r="J3178" s="135"/>
      <c r="K3178" s="22"/>
    </row>
    <row r="3179" spans="1:11">
      <c r="A3179" s="241" t="e">
        <f>VLOOKUP(B3179,'lista 1'!$A$2:$E$30100,4,0)</f>
        <v>#N/A</v>
      </c>
      <c r="B3179" s="123"/>
      <c r="C3179" s="133" t="e">
        <f>VLOOKUP(B3179,'lista 1'!$A$2:$E$31000,5,0)</f>
        <v>#N/A</v>
      </c>
      <c r="D3179" s="167" t="e">
        <f>VLOOKUP(E14979,'lista obszary'!A:B,2,0)</f>
        <v>#N/A</v>
      </c>
      <c r="E3179" s="128" t="e">
        <f>VLOOKUP(B3179,'LISTA 12'!$A$2:$G$301400,5,0)</f>
        <v>#N/A</v>
      </c>
      <c r="F3179" s="121" t="e">
        <f>VLOOKUP(B3179,'LISTA 12'!$A$2:$G$30100,7,0)</f>
        <v>#N/A</v>
      </c>
      <c r="G3179" s="254" t="e">
        <f>VLOOKUP(H3179,'lista 3'!$A$1:$C$31467,3,0)</f>
        <v>#N/A</v>
      </c>
      <c r="H3179" s="134"/>
      <c r="I3179" s="136"/>
      <c r="J3179" s="135"/>
      <c r="K3179" s="22"/>
    </row>
    <row r="3180" spans="1:11">
      <c r="A3180" s="241" t="e">
        <f>VLOOKUP(B3180,'lista 1'!$A$2:$E$30100,4,0)</f>
        <v>#N/A</v>
      </c>
      <c r="B3180" s="123"/>
      <c r="C3180" s="133" t="e">
        <f>VLOOKUP(B3180,'lista 1'!$A$2:$E$31000,5,0)</f>
        <v>#N/A</v>
      </c>
      <c r="D3180" s="167" t="e">
        <f>VLOOKUP(E14980,'lista obszary'!A:B,2,0)</f>
        <v>#N/A</v>
      </c>
      <c r="E3180" s="128" t="e">
        <f>VLOOKUP(B3180,'LISTA 12'!$A$2:$G$301400,5,0)</f>
        <v>#N/A</v>
      </c>
      <c r="F3180" s="121" t="e">
        <f>VLOOKUP(B3180,'LISTA 12'!$A$2:$G$30100,7,0)</f>
        <v>#N/A</v>
      </c>
      <c r="G3180" s="254" t="e">
        <f>VLOOKUP(H3180,'lista 3'!$A$1:$C$31467,3,0)</f>
        <v>#N/A</v>
      </c>
      <c r="H3180" s="134"/>
      <c r="I3180" s="136"/>
      <c r="J3180" s="135"/>
      <c r="K3180" s="22"/>
    </row>
    <row r="3181" spans="1:11">
      <c r="A3181" s="241" t="e">
        <f>VLOOKUP(B3181,'lista 1'!$A$2:$E$30100,4,0)</f>
        <v>#N/A</v>
      </c>
      <c r="B3181" s="123"/>
      <c r="C3181" s="133" t="e">
        <f>VLOOKUP(B3181,'lista 1'!$A$2:$E$31000,5,0)</f>
        <v>#N/A</v>
      </c>
      <c r="D3181" s="167" t="e">
        <f>VLOOKUP(E14981,'lista obszary'!A:B,2,0)</f>
        <v>#N/A</v>
      </c>
      <c r="E3181" s="128" t="e">
        <f>VLOOKUP(B3181,'LISTA 12'!$A$2:$G$301400,5,0)</f>
        <v>#N/A</v>
      </c>
      <c r="F3181" s="121" t="e">
        <f>VLOOKUP(B3181,'LISTA 12'!$A$2:$G$30100,7,0)</f>
        <v>#N/A</v>
      </c>
      <c r="G3181" s="254" t="e">
        <f>VLOOKUP(H3181,'lista 3'!$A$1:$C$31467,3,0)</f>
        <v>#N/A</v>
      </c>
      <c r="H3181" s="134"/>
      <c r="I3181" s="136"/>
      <c r="J3181" s="135"/>
      <c r="K3181" s="22"/>
    </row>
    <row r="3182" spans="1:11">
      <c r="A3182" s="241" t="e">
        <f>VLOOKUP(B3182,'lista 1'!$A$2:$E$30100,4,0)</f>
        <v>#N/A</v>
      </c>
      <c r="B3182" s="123"/>
      <c r="C3182" s="133" t="e">
        <f>VLOOKUP(B3182,'lista 1'!$A$2:$E$31000,5,0)</f>
        <v>#N/A</v>
      </c>
      <c r="D3182" s="167" t="e">
        <f>VLOOKUP(E14982,'lista obszary'!A:B,2,0)</f>
        <v>#N/A</v>
      </c>
      <c r="E3182" s="128" t="e">
        <f>VLOOKUP(B3182,'LISTA 12'!$A$2:$G$301400,5,0)</f>
        <v>#N/A</v>
      </c>
      <c r="F3182" s="121" t="e">
        <f>VLOOKUP(B3182,'LISTA 12'!$A$2:$G$30100,7,0)</f>
        <v>#N/A</v>
      </c>
      <c r="G3182" s="254" t="e">
        <f>VLOOKUP(H3182,'lista 3'!$A$1:$C$31467,3,0)</f>
        <v>#N/A</v>
      </c>
      <c r="H3182" s="134"/>
      <c r="I3182" s="136"/>
      <c r="J3182" s="135"/>
      <c r="K3182" s="22"/>
    </row>
    <row r="3183" spans="1:11">
      <c r="A3183" s="241" t="e">
        <f>VLOOKUP(B3183,'lista 1'!$A$2:$E$30100,4,0)</f>
        <v>#N/A</v>
      </c>
      <c r="B3183" s="123"/>
      <c r="C3183" s="133" t="e">
        <f>VLOOKUP(B3183,'lista 1'!$A$2:$E$31000,5,0)</f>
        <v>#N/A</v>
      </c>
      <c r="D3183" s="167" t="e">
        <f>VLOOKUP(E14983,'lista obszary'!A:B,2,0)</f>
        <v>#N/A</v>
      </c>
      <c r="E3183" s="128" t="e">
        <f>VLOOKUP(B3183,'LISTA 12'!$A$2:$G$301400,5,0)</f>
        <v>#N/A</v>
      </c>
      <c r="F3183" s="121" t="e">
        <f>VLOOKUP(B3183,'LISTA 12'!$A$2:$G$30100,7,0)</f>
        <v>#N/A</v>
      </c>
      <c r="G3183" s="254" t="e">
        <f>VLOOKUP(H3183,'lista 3'!$A$1:$C$31467,3,0)</f>
        <v>#N/A</v>
      </c>
      <c r="H3183" s="134"/>
      <c r="I3183" s="136"/>
      <c r="J3183" s="135"/>
      <c r="K3183" s="22"/>
    </row>
    <row r="3184" spans="1:11">
      <c r="A3184" s="241" t="e">
        <f>VLOOKUP(B3184,'lista 1'!$A$2:$E$30100,4,0)</f>
        <v>#N/A</v>
      </c>
      <c r="B3184" s="123"/>
      <c r="C3184" s="133" t="e">
        <f>VLOOKUP(B3184,'lista 1'!$A$2:$E$31000,5,0)</f>
        <v>#N/A</v>
      </c>
      <c r="D3184" s="167" t="e">
        <f>VLOOKUP(E14984,'lista obszary'!A:B,2,0)</f>
        <v>#N/A</v>
      </c>
      <c r="E3184" s="128" t="e">
        <f>VLOOKUP(B3184,'LISTA 12'!$A$2:$G$301400,5,0)</f>
        <v>#N/A</v>
      </c>
      <c r="F3184" s="121" t="e">
        <f>VLOOKUP(B3184,'LISTA 12'!$A$2:$G$30100,7,0)</f>
        <v>#N/A</v>
      </c>
      <c r="G3184" s="254" t="e">
        <f>VLOOKUP(H3184,'lista 3'!$A$1:$C$31467,3,0)</f>
        <v>#N/A</v>
      </c>
      <c r="H3184" s="134"/>
      <c r="I3184" s="136"/>
      <c r="J3184" s="135"/>
      <c r="K3184" s="22"/>
    </row>
    <row r="3185" spans="1:11">
      <c r="A3185" s="241" t="e">
        <f>VLOOKUP(B3185,'lista 1'!$A$2:$E$30100,4,0)</f>
        <v>#N/A</v>
      </c>
      <c r="B3185" s="123"/>
      <c r="C3185" s="133" t="e">
        <f>VLOOKUP(B3185,'lista 1'!$A$2:$E$31000,5,0)</f>
        <v>#N/A</v>
      </c>
      <c r="D3185" s="167" t="e">
        <f>VLOOKUP(E14985,'lista obszary'!A:B,2,0)</f>
        <v>#N/A</v>
      </c>
      <c r="E3185" s="128" t="e">
        <f>VLOOKUP(B3185,'LISTA 12'!$A$2:$G$301400,5,0)</f>
        <v>#N/A</v>
      </c>
      <c r="F3185" s="121" t="e">
        <f>VLOOKUP(B3185,'LISTA 12'!$A$2:$G$30100,7,0)</f>
        <v>#N/A</v>
      </c>
      <c r="G3185" s="254" t="e">
        <f>VLOOKUP(H3185,'lista 3'!$A$1:$C$31467,3,0)</f>
        <v>#N/A</v>
      </c>
      <c r="H3185" s="134"/>
      <c r="I3185" s="136"/>
      <c r="J3185" s="135"/>
      <c r="K3185" s="22"/>
    </row>
    <row r="3186" spans="1:11">
      <c r="A3186" s="241" t="e">
        <f>VLOOKUP(B3186,'lista 1'!$A$2:$E$30100,4,0)</f>
        <v>#N/A</v>
      </c>
      <c r="B3186" s="123"/>
      <c r="C3186" s="133" t="e">
        <f>VLOOKUP(B3186,'lista 1'!$A$2:$E$31000,5,0)</f>
        <v>#N/A</v>
      </c>
      <c r="D3186" s="167" t="e">
        <f>VLOOKUP(E14986,'lista obszary'!A:B,2,0)</f>
        <v>#N/A</v>
      </c>
      <c r="E3186" s="128" t="e">
        <f>VLOOKUP(B3186,'LISTA 12'!$A$2:$G$301400,5,0)</f>
        <v>#N/A</v>
      </c>
      <c r="F3186" s="121" t="e">
        <f>VLOOKUP(B3186,'LISTA 12'!$A$2:$G$30100,7,0)</f>
        <v>#N/A</v>
      </c>
      <c r="G3186" s="254" t="e">
        <f>VLOOKUP(H3186,'lista 3'!$A$1:$C$31467,3,0)</f>
        <v>#N/A</v>
      </c>
      <c r="H3186" s="134"/>
      <c r="I3186" s="136"/>
      <c r="J3186" s="135"/>
      <c r="K3186" s="22"/>
    </row>
    <row r="3187" spans="1:11">
      <c r="A3187" s="241" t="e">
        <f>VLOOKUP(B3187,'lista 1'!$A$2:$E$30100,4,0)</f>
        <v>#N/A</v>
      </c>
      <c r="B3187" s="123"/>
      <c r="C3187" s="133" t="e">
        <f>VLOOKUP(B3187,'lista 1'!$A$2:$E$31000,5,0)</f>
        <v>#N/A</v>
      </c>
      <c r="D3187" s="167" t="e">
        <f>VLOOKUP(E14987,'lista obszary'!A:B,2,0)</f>
        <v>#N/A</v>
      </c>
      <c r="E3187" s="128" t="e">
        <f>VLOOKUP(B3187,'LISTA 12'!$A$2:$G$301400,5,0)</f>
        <v>#N/A</v>
      </c>
      <c r="F3187" s="121" t="e">
        <f>VLOOKUP(B3187,'LISTA 12'!$A$2:$G$30100,7,0)</f>
        <v>#N/A</v>
      </c>
      <c r="G3187" s="254" t="e">
        <f>VLOOKUP(H3187,'lista 3'!$A$1:$C$31467,3,0)</f>
        <v>#N/A</v>
      </c>
      <c r="H3187" s="134"/>
      <c r="I3187" s="136"/>
      <c r="J3187" s="135"/>
      <c r="K3187" s="22"/>
    </row>
    <row r="3188" spans="1:11">
      <c r="A3188" s="241" t="e">
        <f>VLOOKUP(B3188,'lista 1'!$A$2:$E$30100,4,0)</f>
        <v>#N/A</v>
      </c>
      <c r="B3188" s="123"/>
      <c r="C3188" s="133" t="e">
        <f>VLOOKUP(B3188,'lista 1'!$A$2:$E$31000,5,0)</f>
        <v>#N/A</v>
      </c>
      <c r="D3188" s="167" t="e">
        <f>VLOOKUP(E14988,'lista obszary'!A:B,2,0)</f>
        <v>#N/A</v>
      </c>
      <c r="E3188" s="128" t="e">
        <f>VLOOKUP(B3188,'LISTA 12'!$A$2:$G$301400,5,0)</f>
        <v>#N/A</v>
      </c>
      <c r="F3188" s="121" t="e">
        <f>VLOOKUP(B3188,'LISTA 12'!$A$2:$G$30100,7,0)</f>
        <v>#N/A</v>
      </c>
      <c r="G3188" s="254" t="e">
        <f>VLOOKUP(H3188,'lista 3'!$A$1:$C$31467,3,0)</f>
        <v>#N/A</v>
      </c>
      <c r="H3188" s="134"/>
      <c r="I3188" s="136"/>
      <c r="J3188" s="135"/>
      <c r="K3188" s="22"/>
    </row>
    <row r="3189" spans="1:11">
      <c r="A3189" s="241" t="e">
        <f>VLOOKUP(B3189,'lista 1'!$A$2:$E$30100,4,0)</f>
        <v>#N/A</v>
      </c>
      <c r="B3189" s="123"/>
      <c r="C3189" s="133" t="e">
        <f>VLOOKUP(B3189,'lista 1'!$A$2:$E$31000,5,0)</f>
        <v>#N/A</v>
      </c>
      <c r="D3189" s="167" t="e">
        <f>VLOOKUP(E14989,'lista obszary'!A:B,2,0)</f>
        <v>#N/A</v>
      </c>
      <c r="E3189" s="128" t="e">
        <f>VLOOKUP(B3189,'LISTA 12'!$A$2:$G$301400,5,0)</f>
        <v>#N/A</v>
      </c>
      <c r="F3189" s="121" t="e">
        <f>VLOOKUP(B3189,'LISTA 12'!$A$2:$G$30100,7,0)</f>
        <v>#N/A</v>
      </c>
      <c r="G3189" s="254" t="e">
        <f>VLOOKUP(H3189,'lista 3'!$A$1:$C$31467,3,0)</f>
        <v>#N/A</v>
      </c>
      <c r="H3189" s="134"/>
      <c r="I3189" s="136"/>
      <c r="J3189" s="135"/>
      <c r="K3189" s="22"/>
    </row>
    <row r="3190" spans="1:11">
      <c r="A3190" s="241" t="e">
        <f>VLOOKUP(B3190,'lista 1'!$A$2:$E$30100,4,0)</f>
        <v>#N/A</v>
      </c>
      <c r="B3190" s="123"/>
      <c r="C3190" s="133" t="e">
        <f>VLOOKUP(B3190,'lista 1'!$A$2:$E$31000,5,0)</f>
        <v>#N/A</v>
      </c>
      <c r="D3190" s="167" t="e">
        <f>VLOOKUP(E14990,'lista obszary'!A:B,2,0)</f>
        <v>#N/A</v>
      </c>
      <c r="E3190" s="128" t="e">
        <f>VLOOKUP(B3190,'LISTA 12'!$A$2:$G$301400,5,0)</f>
        <v>#N/A</v>
      </c>
      <c r="F3190" s="121" t="e">
        <f>VLOOKUP(B3190,'LISTA 12'!$A$2:$G$30100,7,0)</f>
        <v>#N/A</v>
      </c>
      <c r="G3190" s="254" t="e">
        <f>VLOOKUP(H3190,'lista 3'!$A$1:$C$31467,3,0)</f>
        <v>#N/A</v>
      </c>
      <c r="H3190" s="134"/>
      <c r="I3190" s="136"/>
      <c r="J3190" s="135"/>
      <c r="K3190" s="22"/>
    </row>
    <row r="3191" spans="1:11">
      <c r="A3191" s="241" t="e">
        <f>VLOOKUP(B3191,'lista 1'!$A$2:$E$30100,4,0)</f>
        <v>#N/A</v>
      </c>
      <c r="B3191" s="123"/>
      <c r="C3191" s="133" t="e">
        <f>VLOOKUP(B3191,'lista 1'!$A$2:$E$31000,5,0)</f>
        <v>#N/A</v>
      </c>
      <c r="D3191" s="167" t="e">
        <f>VLOOKUP(E14991,'lista obszary'!A:B,2,0)</f>
        <v>#N/A</v>
      </c>
      <c r="E3191" s="128" t="e">
        <f>VLOOKUP(B3191,'LISTA 12'!$A$2:$G$301400,5,0)</f>
        <v>#N/A</v>
      </c>
      <c r="F3191" s="121" t="e">
        <f>VLOOKUP(B3191,'LISTA 12'!$A$2:$G$30100,7,0)</f>
        <v>#N/A</v>
      </c>
      <c r="G3191" s="254" t="e">
        <f>VLOOKUP(H3191,'lista 3'!$A$1:$C$31467,3,0)</f>
        <v>#N/A</v>
      </c>
      <c r="H3191" s="134"/>
      <c r="I3191" s="136"/>
      <c r="J3191" s="135"/>
      <c r="K3191" s="22"/>
    </row>
    <row r="3192" spans="1:11">
      <c r="A3192" s="241" t="e">
        <f>VLOOKUP(B3192,'lista 1'!$A$2:$E$30100,4,0)</f>
        <v>#N/A</v>
      </c>
      <c r="B3192" s="123"/>
      <c r="C3192" s="133" t="e">
        <f>VLOOKUP(B3192,'lista 1'!$A$2:$E$31000,5,0)</f>
        <v>#N/A</v>
      </c>
      <c r="D3192" s="167" t="e">
        <f>VLOOKUP(E14992,'lista obszary'!A:B,2,0)</f>
        <v>#N/A</v>
      </c>
      <c r="E3192" s="128" t="e">
        <f>VLOOKUP(B3192,'LISTA 12'!$A$2:$G$301400,5,0)</f>
        <v>#N/A</v>
      </c>
      <c r="F3192" s="121" t="e">
        <f>VLOOKUP(B3192,'LISTA 12'!$A$2:$G$30100,7,0)</f>
        <v>#N/A</v>
      </c>
      <c r="G3192" s="254" t="e">
        <f>VLOOKUP(H3192,'lista 3'!$A$1:$C$31467,3,0)</f>
        <v>#N/A</v>
      </c>
      <c r="H3192" s="134"/>
      <c r="I3192" s="136"/>
      <c r="J3192" s="135"/>
      <c r="K3192" s="22"/>
    </row>
    <row r="3193" spans="1:11">
      <c r="A3193" s="241" t="e">
        <f>VLOOKUP(B3193,'lista 1'!$A$2:$E$30100,4,0)</f>
        <v>#N/A</v>
      </c>
      <c r="B3193" s="123"/>
      <c r="C3193" s="133" t="e">
        <f>VLOOKUP(B3193,'lista 1'!$A$2:$E$31000,5,0)</f>
        <v>#N/A</v>
      </c>
      <c r="D3193" s="167" t="e">
        <f>VLOOKUP(E14993,'lista obszary'!A:B,2,0)</f>
        <v>#N/A</v>
      </c>
      <c r="E3193" s="128" t="e">
        <f>VLOOKUP(B3193,'LISTA 12'!$A$2:$G$301400,5,0)</f>
        <v>#N/A</v>
      </c>
      <c r="F3193" s="121" t="e">
        <f>VLOOKUP(B3193,'LISTA 12'!$A$2:$G$30100,7,0)</f>
        <v>#N/A</v>
      </c>
      <c r="G3193" s="254" t="e">
        <f>VLOOKUP(H3193,'lista 3'!$A$1:$C$31467,3,0)</f>
        <v>#N/A</v>
      </c>
      <c r="H3193" s="134"/>
      <c r="I3193" s="136"/>
      <c r="J3193" s="135"/>
      <c r="K3193" s="22"/>
    </row>
    <row r="3194" spans="1:11">
      <c r="A3194" s="241" t="e">
        <f>VLOOKUP(B3194,'lista 1'!$A$2:$E$30100,4,0)</f>
        <v>#N/A</v>
      </c>
      <c r="B3194" s="123"/>
      <c r="C3194" s="133" t="e">
        <f>VLOOKUP(B3194,'lista 1'!$A$2:$E$31000,5,0)</f>
        <v>#N/A</v>
      </c>
      <c r="D3194" s="167" t="e">
        <f>VLOOKUP(E14994,'lista obszary'!A:B,2,0)</f>
        <v>#N/A</v>
      </c>
      <c r="E3194" s="128" t="e">
        <f>VLOOKUP(B3194,'LISTA 12'!$A$2:$G$301400,5,0)</f>
        <v>#N/A</v>
      </c>
      <c r="F3194" s="121" t="e">
        <f>VLOOKUP(B3194,'LISTA 12'!$A$2:$G$30100,7,0)</f>
        <v>#N/A</v>
      </c>
      <c r="G3194" s="254" t="e">
        <f>VLOOKUP(H3194,'lista 3'!$A$1:$C$31467,3,0)</f>
        <v>#N/A</v>
      </c>
      <c r="H3194" s="134"/>
      <c r="I3194" s="136"/>
      <c r="J3194" s="135"/>
      <c r="K3194" s="22"/>
    </row>
    <row r="3195" spans="1:11">
      <c r="A3195" s="241" t="e">
        <f>VLOOKUP(B3195,'lista 1'!$A$2:$E$30100,4,0)</f>
        <v>#N/A</v>
      </c>
      <c r="B3195" s="123"/>
      <c r="C3195" s="133" t="e">
        <f>VLOOKUP(B3195,'lista 1'!$A$2:$E$31000,5,0)</f>
        <v>#N/A</v>
      </c>
      <c r="D3195" s="167" t="e">
        <f>VLOOKUP(E14995,'lista obszary'!A:B,2,0)</f>
        <v>#N/A</v>
      </c>
      <c r="E3195" s="128" t="e">
        <f>VLOOKUP(B3195,'LISTA 12'!$A$2:$G$301400,5,0)</f>
        <v>#N/A</v>
      </c>
      <c r="F3195" s="121" t="e">
        <f>VLOOKUP(B3195,'LISTA 12'!$A$2:$G$30100,7,0)</f>
        <v>#N/A</v>
      </c>
      <c r="G3195" s="254" t="e">
        <f>VLOOKUP(H3195,'lista 3'!$A$1:$C$31467,3,0)</f>
        <v>#N/A</v>
      </c>
      <c r="H3195" s="134"/>
      <c r="I3195" s="136"/>
      <c r="J3195" s="135"/>
      <c r="K3195" s="22"/>
    </row>
    <row r="3196" spans="1:11">
      <c r="A3196" s="241" t="e">
        <f>VLOOKUP(B3196,'lista 1'!$A$2:$E$30100,4,0)</f>
        <v>#N/A</v>
      </c>
      <c r="B3196" s="123"/>
      <c r="C3196" s="133" t="e">
        <f>VLOOKUP(B3196,'lista 1'!$A$2:$E$31000,5,0)</f>
        <v>#N/A</v>
      </c>
      <c r="D3196" s="167" t="e">
        <f>VLOOKUP(E14996,'lista obszary'!A:B,2,0)</f>
        <v>#N/A</v>
      </c>
      <c r="E3196" s="128" t="e">
        <f>VLOOKUP(B3196,'LISTA 12'!$A$2:$G$301400,5,0)</f>
        <v>#N/A</v>
      </c>
      <c r="F3196" s="121" t="e">
        <f>VLOOKUP(B3196,'LISTA 12'!$A$2:$G$30100,7,0)</f>
        <v>#N/A</v>
      </c>
      <c r="G3196" s="254" t="e">
        <f>VLOOKUP(H3196,'lista 3'!$A$1:$C$31467,3,0)</f>
        <v>#N/A</v>
      </c>
      <c r="H3196" s="134"/>
      <c r="I3196" s="136"/>
      <c r="J3196" s="135"/>
      <c r="K3196" s="22"/>
    </row>
    <row r="3197" spans="1:11">
      <c r="A3197" s="241" t="e">
        <f>VLOOKUP(B3197,'lista 1'!$A$2:$E$30100,4,0)</f>
        <v>#N/A</v>
      </c>
      <c r="B3197" s="123"/>
      <c r="C3197" s="133" t="e">
        <f>VLOOKUP(B3197,'lista 1'!$A$2:$E$31000,5,0)</f>
        <v>#N/A</v>
      </c>
      <c r="D3197" s="167" t="e">
        <f>VLOOKUP(E14997,'lista obszary'!A:B,2,0)</f>
        <v>#N/A</v>
      </c>
      <c r="E3197" s="128" t="e">
        <f>VLOOKUP(B3197,'LISTA 12'!$A$2:$G$301400,5,0)</f>
        <v>#N/A</v>
      </c>
      <c r="F3197" s="121" t="e">
        <f>VLOOKUP(B3197,'LISTA 12'!$A$2:$G$30100,7,0)</f>
        <v>#N/A</v>
      </c>
      <c r="G3197" s="254" t="e">
        <f>VLOOKUP(H3197,'lista 3'!$A$1:$C$31467,3,0)</f>
        <v>#N/A</v>
      </c>
      <c r="H3197" s="134"/>
      <c r="I3197" s="136"/>
      <c r="J3197" s="135"/>
      <c r="K3197" s="22"/>
    </row>
    <row r="3198" spans="1:11">
      <c r="A3198" s="241" t="e">
        <f>VLOOKUP(B3198,'lista 1'!$A$2:$E$30100,4,0)</f>
        <v>#N/A</v>
      </c>
      <c r="B3198" s="123"/>
      <c r="C3198" s="133" t="e">
        <f>VLOOKUP(B3198,'lista 1'!$A$2:$E$31000,5,0)</f>
        <v>#N/A</v>
      </c>
      <c r="D3198" s="167" t="e">
        <f>VLOOKUP(E14998,'lista obszary'!A:B,2,0)</f>
        <v>#N/A</v>
      </c>
      <c r="E3198" s="128" t="e">
        <f>VLOOKUP(B3198,'LISTA 12'!$A$2:$G$301400,5,0)</f>
        <v>#N/A</v>
      </c>
      <c r="F3198" s="121" t="e">
        <f>VLOOKUP(B3198,'LISTA 12'!$A$2:$G$30100,7,0)</f>
        <v>#N/A</v>
      </c>
      <c r="G3198" s="254" t="e">
        <f>VLOOKUP(H3198,'lista 3'!$A$1:$C$31467,3,0)</f>
        <v>#N/A</v>
      </c>
      <c r="H3198" s="134"/>
      <c r="I3198" s="136"/>
      <c r="J3198" s="135"/>
      <c r="K3198" s="22"/>
    </row>
    <row r="3199" spans="1:11">
      <c r="A3199" s="241" t="e">
        <f>VLOOKUP(B3199,'lista 1'!$A$2:$E$30100,4,0)</f>
        <v>#N/A</v>
      </c>
      <c r="B3199" s="123"/>
      <c r="C3199" s="133" t="e">
        <f>VLOOKUP(B3199,'lista 1'!$A$2:$E$31000,5,0)</f>
        <v>#N/A</v>
      </c>
      <c r="D3199" s="167" t="e">
        <f>VLOOKUP(E14999,'lista obszary'!A:B,2,0)</f>
        <v>#N/A</v>
      </c>
      <c r="E3199" s="128" t="e">
        <f>VLOOKUP(B3199,'LISTA 12'!$A$2:$G$301400,5,0)</f>
        <v>#N/A</v>
      </c>
      <c r="F3199" s="121" t="e">
        <f>VLOOKUP(B3199,'LISTA 12'!$A$2:$G$30100,7,0)</f>
        <v>#N/A</v>
      </c>
      <c r="G3199" s="254" t="e">
        <f>VLOOKUP(H3199,'lista 3'!$A$1:$C$31467,3,0)</f>
        <v>#N/A</v>
      </c>
      <c r="H3199" s="134"/>
      <c r="I3199" s="136"/>
      <c r="J3199" s="135"/>
      <c r="K3199" s="22"/>
    </row>
    <row r="3200" spans="1:11">
      <c r="A3200" s="241" t="e">
        <f>VLOOKUP(B3200,'lista 1'!$A$2:$E$30100,4,0)</f>
        <v>#N/A</v>
      </c>
      <c r="B3200" s="123"/>
      <c r="C3200" s="133" t="e">
        <f>VLOOKUP(B3200,'lista 1'!$A$2:$E$31000,5,0)</f>
        <v>#N/A</v>
      </c>
      <c r="D3200" s="167" t="e">
        <f>VLOOKUP(E15000,'lista obszary'!A:B,2,0)</f>
        <v>#N/A</v>
      </c>
      <c r="E3200" s="128" t="e">
        <f>VLOOKUP(B3200,'LISTA 12'!$A$2:$G$301400,5,0)</f>
        <v>#N/A</v>
      </c>
      <c r="F3200" s="121" t="e">
        <f>VLOOKUP(B3200,'LISTA 12'!$A$2:$G$30100,7,0)</f>
        <v>#N/A</v>
      </c>
      <c r="G3200" s="254" t="e">
        <f>VLOOKUP(H3200,'lista 3'!$A$1:$C$31467,3,0)</f>
        <v>#N/A</v>
      </c>
      <c r="H3200" s="134"/>
      <c r="I3200" s="136"/>
      <c r="J3200" s="135"/>
      <c r="K3200" s="22"/>
    </row>
    <row r="3201" spans="1:11">
      <c r="A3201" s="241" t="e">
        <f>VLOOKUP(B3201,'lista 1'!$A$2:$E$30100,4,0)</f>
        <v>#N/A</v>
      </c>
      <c r="B3201" s="123"/>
      <c r="C3201" s="133" t="e">
        <f>VLOOKUP(B3201,'lista 1'!$A$2:$E$31000,5,0)</f>
        <v>#N/A</v>
      </c>
      <c r="D3201" s="167" t="e">
        <f>VLOOKUP(E15001,'lista obszary'!A:B,2,0)</f>
        <v>#N/A</v>
      </c>
      <c r="E3201" s="128" t="e">
        <f>VLOOKUP(B3201,'LISTA 12'!$A$2:$G$301400,5,0)</f>
        <v>#N/A</v>
      </c>
      <c r="F3201" s="121" t="e">
        <f>VLOOKUP(B3201,'LISTA 12'!$A$2:$G$30100,7,0)</f>
        <v>#N/A</v>
      </c>
      <c r="G3201" s="254" t="e">
        <f>VLOOKUP(H3201,'lista 3'!$A$1:$C$31467,3,0)</f>
        <v>#N/A</v>
      </c>
      <c r="H3201" s="134"/>
      <c r="I3201" s="136"/>
      <c r="J3201" s="135"/>
      <c r="K3201" s="22"/>
    </row>
    <row r="3202" spans="1:11">
      <c r="A3202" s="241" t="e">
        <f>VLOOKUP(B3202,'lista 1'!$A$2:$E$30100,4,0)</f>
        <v>#N/A</v>
      </c>
      <c r="B3202" s="123"/>
      <c r="C3202" s="133" t="e">
        <f>VLOOKUP(B3202,'lista 1'!$A$2:$E$31000,5,0)</f>
        <v>#N/A</v>
      </c>
      <c r="D3202" s="167" t="e">
        <f>VLOOKUP(E15002,'lista obszary'!A:B,2,0)</f>
        <v>#N/A</v>
      </c>
      <c r="E3202" s="128" t="e">
        <f>VLOOKUP(B3202,'LISTA 12'!$A$2:$G$301400,5,0)</f>
        <v>#N/A</v>
      </c>
      <c r="F3202" s="121" t="e">
        <f>VLOOKUP(B3202,'LISTA 12'!$A$2:$G$30100,7,0)</f>
        <v>#N/A</v>
      </c>
      <c r="G3202" s="254" t="e">
        <f>VLOOKUP(H3202,'lista 3'!$A$1:$C$31467,3,0)</f>
        <v>#N/A</v>
      </c>
      <c r="H3202" s="134"/>
      <c r="I3202" s="136"/>
      <c r="J3202" s="135"/>
      <c r="K3202" s="22"/>
    </row>
    <row r="3203" spans="1:11">
      <c r="A3203" s="241" t="e">
        <f>VLOOKUP(B3203,'lista 1'!$A$2:$E$30100,4,0)</f>
        <v>#N/A</v>
      </c>
      <c r="B3203" s="123"/>
      <c r="C3203" s="133" t="e">
        <f>VLOOKUP(B3203,'lista 1'!$A$2:$E$31000,5,0)</f>
        <v>#N/A</v>
      </c>
      <c r="D3203" s="167" t="e">
        <f>VLOOKUP(E15003,'lista obszary'!A:B,2,0)</f>
        <v>#N/A</v>
      </c>
      <c r="E3203" s="128" t="e">
        <f>VLOOKUP(B3203,'LISTA 12'!$A$2:$G$301400,5,0)</f>
        <v>#N/A</v>
      </c>
      <c r="F3203" s="121" t="e">
        <f>VLOOKUP(B3203,'LISTA 12'!$A$2:$G$30100,7,0)</f>
        <v>#N/A</v>
      </c>
      <c r="G3203" s="254" t="e">
        <f>VLOOKUP(H3203,'lista 3'!$A$1:$C$31467,3,0)</f>
        <v>#N/A</v>
      </c>
      <c r="H3203" s="134"/>
      <c r="I3203" s="136"/>
      <c r="J3203" s="135"/>
      <c r="K3203" s="22"/>
    </row>
    <row r="3204" spans="1:11">
      <c r="A3204" s="241" t="e">
        <f>VLOOKUP(B3204,'lista 1'!$A$2:$E$30100,4,0)</f>
        <v>#N/A</v>
      </c>
      <c r="B3204" s="123"/>
      <c r="C3204" s="133" t="e">
        <f>VLOOKUP(B3204,'lista 1'!$A$2:$E$31000,5,0)</f>
        <v>#N/A</v>
      </c>
      <c r="D3204" s="167" t="e">
        <f>VLOOKUP(E15004,'lista obszary'!A:B,2,0)</f>
        <v>#N/A</v>
      </c>
      <c r="E3204" s="128" t="e">
        <f>VLOOKUP(B3204,'LISTA 12'!$A$2:$G$301400,5,0)</f>
        <v>#N/A</v>
      </c>
      <c r="F3204" s="121" t="e">
        <f>VLOOKUP(B3204,'LISTA 12'!$A$2:$G$30100,7,0)</f>
        <v>#N/A</v>
      </c>
      <c r="G3204" s="254" t="e">
        <f>VLOOKUP(H3204,'lista 3'!$A$1:$C$31467,3,0)</f>
        <v>#N/A</v>
      </c>
      <c r="H3204" s="134"/>
      <c r="I3204" s="136"/>
      <c r="J3204" s="135"/>
      <c r="K3204" s="22"/>
    </row>
    <row r="3205" spans="1:11">
      <c r="A3205" s="241" t="e">
        <f>VLOOKUP(B3205,'lista 1'!$A$2:$E$30100,4,0)</f>
        <v>#N/A</v>
      </c>
      <c r="B3205" s="123"/>
      <c r="C3205" s="133" t="e">
        <f>VLOOKUP(B3205,'lista 1'!$A$2:$E$31000,5,0)</f>
        <v>#N/A</v>
      </c>
      <c r="D3205" s="167" t="e">
        <f>VLOOKUP(E15005,'lista obszary'!A:B,2,0)</f>
        <v>#N/A</v>
      </c>
      <c r="E3205" s="128" t="e">
        <f>VLOOKUP(B3205,'LISTA 12'!$A$2:$G$301400,5,0)</f>
        <v>#N/A</v>
      </c>
      <c r="F3205" s="121" t="e">
        <f>VLOOKUP(B3205,'LISTA 12'!$A$2:$G$30100,7,0)</f>
        <v>#N/A</v>
      </c>
      <c r="G3205" s="254" t="e">
        <f>VLOOKUP(H3205,'lista 3'!$A$1:$C$31467,3,0)</f>
        <v>#N/A</v>
      </c>
      <c r="H3205" s="134"/>
      <c r="I3205" s="136"/>
      <c r="J3205" s="135"/>
      <c r="K3205" s="22"/>
    </row>
    <row r="3206" spans="1:11">
      <c r="A3206" s="241" t="e">
        <f>VLOOKUP(B3206,'lista 1'!$A$2:$E$30100,4,0)</f>
        <v>#N/A</v>
      </c>
      <c r="B3206" s="123"/>
      <c r="C3206" s="133" t="e">
        <f>VLOOKUP(B3206,'lista 1'!$A$2:$E$31000,5,0)</f>
        <v>#N/A</v>
      </c>
      <c r="D3206" s="167" t="e">
        <f>VLOOKUP(E15006,'lista obszary'!A:B,2,0)</f>
        <v>#N/A</v>
      </c>
      <c r="E3206" s="128" t="e">
        <f>VLOOKUP(B3206,'LISTA 12'!$A$2:$G$301400,5,0)</f>
        <v>#N/A</v>
      </c>
      <c r="F3206" s="121" t="e">
        <f>VLOOKUP(B3206,'LISTA 12'!$A$2:$G$30100,7,0)</f>
        <v>#N/A</v>
      </c>
      <c r="G3206" s="254" t="e">
        <f>VLOOKUP(H3206,'lista 3'!$A$1:$C$31467,3,0)</f>
        <v>#N/A</v>
      </c>
      <c r="H3206" s="134"/>
      <c r="I3206" s="136"/>
      <c r="J3206" s="135"/>
      <c r="K3206" s="22"/>
    </row>
    <row r="3207" spans="1:11">
      <c r="A3207" s="241" t="e">
        <f>VLOOKUP(B3207,'lista 1'!$A$2:$E$30100,4,0)</f>
        <v>#N/A</v>
      </c>
      <c r="B3207" s="123"/>
      <c r="C3207" s="133" t="e">
        <f>VLOOKUP(B3207,'lista 1'!$A$2:$E$31000,5,0)</f>
        <v>#N/A</v>
      </c>
      <c r="D3207" s="167" t="e">
        <f>VLOOKUP(E15007,'lista obszary'!A:B,2,0)</f>
        <v>#N/A</v>
      </c>
      <c r="E3207" s="128" t="e">
        <f>VLOOKUP(B3207,'LISTA 12'!$A$2:$G$301400,5,0)</f>
        <v>#N/A</v>
      </c>
      <c r="F3207" s="121" t="e">
        <f>VLOOKUP(B3207,'LISTA 12'!$A$2:$G$30100,7,0)</f>
        <v>#N/A</v>
      </c>
      <c r="G3207" s="254" t="e">
        <f>VLOOKUP(H3207,'lista 3'!$A$1:$C$31467,3,0)</f>
        <v>#N/A</v>
      </c>
      <c r="H3207" s="134"/>
      <c r="I3207" s="136"/>
      <c r="J3207" s="135"/>
      <c r="K3207" s="22"/>
    </row>
    <row r="3208" spans="1:11">
      <c r="A3208" s="241" t="e">
        <f>VLOOKUP(B3208,'lista 1'!$A$2:$E$30100,4,0)</f>
        <v>#N/A</v>
      </c>
      <c r="B3208" s="123"/>
      <c r="C3208" s="133" t="e">
        <f>VLOOKUP(B3208,'lista 1'!$A$2:$E$31000,5,0)</f>
        <v>#N/A</v>
      </c>
      <c r="D3208" s="167" t="e">
        <f>VLOOKUP(E15008,'lista obszary'!A:B,2,0)</f>
        <v>#N/A</v>
      </c>
      <c r="E3208" s="128" t="e">
        <f>VLOOKUP(B3208,'LISTA 12'!$A$2:$G$301400,5,0)</f>
        <v>#N/A</v>
      </c>
      <c r="F3208" s="121" t="e">
        <f>VLOOKUP(B3208,'LISTA 12'!$A$2:$G$30100,7,0)</f>
        <v>#N/A</v>
      </c>
      <c r="G3208" s="254" t="e">
        <f>VLOOKUP(H3208,'lista 3'!$A$1:$C$31467,3,0)</f>
        <v>#N/A</v>
      </c>
      <c r="H3208" s="134"/>
      <c r="I3208" s="136"/>
      <c r="J3208" s="135"/>
      <c r="K3208" s="22"/>
    </row>
    <row r="3209" spans="1:11">
      <c r="A3209" s="241" t="e">
        <f>VLOOKUP(B3209,'lista 1'!$A$2:$E$30100,4,0)</f>
        <v>#N/A</v>
      </c>
      <c r="B3209" s="123"/>
      <c r="C3209" s="133" t="e">
        <f>VLOOKUP(B3209,'lista 1'!$A$2:$E$31000,5,0)</f>
        <v>#N/A</v>
      </c>
      <c r="D3209" s="167" t="e">
        <f>VLOOKUP(E15009,'lista obszary'!A:B,2,0)</f>
        <v>#N/A</v>
      </c>
      <c r="E3209" s="128" t="e">
        <f>VLOOKUP(B3209,'LISTA 12'!$A$2:$G$301400,5,0)</f>
        <v>#N/A</v>
      </c>
      <c r="F3209" s="121" t="e">
        <f>VLOOKUP(B3209,'LISTA 12'!$A$2:$G$30100,7,0)</f>
        <v>#N/A</v>
      </c>
      <c r="G3209" s="254" t="e">
        <f>VLOOKUP(H3209,'lista 3'!$A$1:$C$31467,3,0)</f>
        <v>#N/A</v>
      </c>
      <c r="H3209" s="134"/>
      <c r="I3209" s="136"/>
      <c r="J3209" s="135"/>
      <c r="K3209" s="22"/>
    </row>
    <row r="3210" spans="1:11">
      <c r="A3210" s="241" t="e">
        <f>VLOOKUP(B3210,'lista 1'!$A$2:$E$30100,4,0)</f>
        <v>#N/A</v>
      </c>
      <c r="B3210" s="123"/>
      <c r="C3210" s="133" t="e">
        <f>VLOOKUP(B3210,'lista 1'!$A$2:$E$31000,5,0)</f>
        <v>#N/A</v>
      </c>
      <c r="D3210" s="167" t="e">
        <f>VLOOKUP(E15010,'lista obszary'!A:B,2,0)</f>
        <v>#N/A</v>
      </c>
      <c r="E3210" s="128" t="e">
        <f>VLOOKUP(B3210,'LISTA 12'!$A$2:$G$301400,5,0)</f>
        <v>#N/A</v>
      </c>
      <c r="F3210" s="121" t="e">
        <f>VLOOKUP(B3210,'LISTA 12'!$A$2:$G$30100,7,0)</f>
        <v>#N/A</v>
      </c>
      <c r="G3210" s="254" t="e">
        <f>VLOOKUP(H3210,'lista 3'!$A$1:$C$31467,3,0)</f>
        <v>#N/A</v>
      </c>
      <c r="H3210" s="134"/>
      <c r="I3210" s="136"/>
      <c r="J3210" s="135"/>
      <c r="K3210" s="22"/>
    </row>
    <row r="3211" spans="1:11">
      <c r="A3211" s="241" t="e">
        <f>VLOOKUP(B3211,'lista 1'!$A$2:$E$30100,4,0)</f>
        <v>#N/A</v>
      </c>
      <c r="B3211" s="123"/>
      <c r="C3211" s="133" t="e">
        <f>VLOOKUP(B3211,'lista 1'!$A$2:$E$31000,5,0)</f>
        <v>#N/A</v>
      </c>
      <c r="D3211" s="167" t="e">
        <f>VLOOKUP(E15011,'lista obszary'!A:B,2,0)</f>
        <v>#N/A</v>
      </c>
      <c r="E3211" s="128" t="e">
        <f>VLOOKUP(B3211,'LISTA 12'!$A$2:$G$301400,5,0)</f>
        <v>#N/A</v>
      </c>
      <c r="F3211" s="121" t="e">
        <f>VLOOKUP(B3211,'LISTA 12'!$A$2:$G$30100,7,0)</f>
        <v>#N/A</v>
      </c>
      <c r="G3211" s="254" t="e">
        <f>VLOOKUP(H3211,'lista 3'!$A$1:$C$31467,3,0)</f>
        <v>#N/A</v>
      </c>
      <c r="H3211" s="134"/>
      <c r="I3211" s="136"/>
      <c r="J3211" s="135"/>
      <c r="K3211" s="22"/>
    </row>
    <row r="3212" spans="1:11">
      <c r="A3212" s="241" t="e">
        <f>VLOOKUP(B3212,'lista 1'!$A$2:$E$30100,4,0)</f>
        <v>#N/A</v>
      </c>
      <c r="B3212" s="123"/>
      <c r="C3212" s="133" t="e">
        <f>VLOOKUP(B3212,'lista 1'!$A$2:$E$31000,5,0)</f>
        <v>#N/A</v>
      </c>
      <c r="D3212" s="167" t="e">
        <f>VLOOKUP(E15012,'lista obszary'!A:B,2,0)</f>
        <v>#N/A</v>
      </c>
      <c r="E3212" s="128" t="e">
        <f>VLOOKUP(B3212,'LISTA 12'!$A$2:$G$301400,5,0)</f>
        <v>#N/A</v>
      </c>
      <c r="F3212" s="121" t="e">
        <f>VLOOKUP(B3212,'LISTA 12'!$A$2:$G$30100,7,0)</f>
        <v>#N/A</v>
      </c>
      <c r="G3212" s="254" t="e">
        <f>VLOOKUP(H3212,'lista 3'!$A$1:$C$31467,3,0)</f>
        <v>#N/A</v>
      </c>
      <c r="H3212" s="134"/>
      <c r="I3212" s="136"/>
      <c r="J3212" s="135"/>
      <c r="K3212" s="22"/>
    </row>
    <row r="3213" spans="1:11">
      <c r="A3213" s="241" t="e">
        <f>VLOOKUP(B3213,'lista 1'!$A$2:$E$30100,4,0)</f>
        <v>#N/A</v>
      </c>
      <c r="B3213" s="123"/>
      <c r="C3213" s="133" t="e">
        <f>VLOOKUP(B3213,'lista 1'!$A$2:$E$31000,5,0)</f>
        <v>#N/A</v>
      </c>
      <c r="D3213" s="167" t="e">
        <f>VLOOKUP(E15013,'lista obszary'!A:B,2,0)</f>
        <v>#N/A</v>
      </c>
      <c r="E3213" s="128" t="e">
        <f>VLOOKUP(B3213,'LISTA 12'!$A$2:$G$301400,5,0)</f>
        <v>#N/A</v>
      </c>
      <c r="F3213" s="121" t="e">
        <f>VLOOKUP(B3213,'LISTA 12'!$A$2:$G$30100,7,0)</f>
        <v>#N/A</v>
      </c>
      <c r="G3213" s="254" t="e">
        <f>VLOOKUP(H3213,'lista 3'!$A$1:$C$31467,3,0)</f>
        <v>#N/A</v>
      </c>
      <c r="H3213" s="134"/>
      <c r="I3213" s="136"/>
      <c r="J3213" s="135"/>
      <c r="K3213" s="22"/>
    </row>
    <row r="3214" spans="1:11">
      <c r="A3214" s="241" t="e">
        <f>VLOOKUP(B3214,'lista 1'!$A$2:$E$30100,4,0)</f>
        <v>#N/A</v>
      </c>
      <c r="B3214" s="123"/>
      <c r="C3214" s="133" t="e">
        <f>VLOOKUP(B3214,'lista 1'!$A$2:$E$31000,5,0)</f>
        <v>#N/A</v>
      </c>
      <c r="D3214" s="167" t="e">
        <f>VLOOKUP(E15014,'lista obszary'!A:B,2,0)</f>
        <v>#N/A</v>
      </c>
      <c r="E3214" s="128" t="e">
        <f>VLOOKUP(B3214,'LISTA 12'!$A$2:$G$301400,5,0)</f>
        <v>#N/A</v>
      </c>
      <c r="F3214" s="121" t="e">
        <f>VLOOKUP(B3214,'LISTA 12'!$A$2:$G$30100,7,0)</f>
        <v>#N/A</v>
      </c>
      <c r="G3214" s="254" t="e">
        <f>VLOOKUP(H3214,'lista 3'!$A$1:$C$31467,3,0)</f>
        <v>#N/A</v>
      </c>
      <c r="H3214" s="134"/>
      <c r="I3214" s="136"/>
      <c r="J3214" s="135"/>
      <c r="K3214" s="22"/>
    </row>
    <row r="3215" spans="1:11">
      <c r="A3215" s="241" t="e">
        <f>VLOOKUP(B3215,'lista 1'!$A$2:$E$30100,4,0)</f>
        <v>#N/A</v>
      </c>
      <c r="B3215" s="123"/>
      <c r="C3215" s="133" t="e">
        <f>VLOOKUP(B3215,'lista 1'!$A$2:$E$31000,5,0)</f>
        <v>#N/A</v>
      </c>
      <c r="D3215" s="167" t="e">
        <f>VLOOKUP(E15015,'lista obszary'!A:B,2,0)</f>
        <v>#N/A</v>
      </c>
      <c r="E3215" s="128" t="e">
        <f>VLOOKUP(B3215,'LISTA 12'!$A$2:$G$301400,5,0)</f>
        <v>#N/A</v>
      </c>
      <c r="F3215" s="121" t="e">
        <f>VLOOKUP(B3215,'LISTA 12'!$A$2:$G$30100,7,0)</f>
        <v>#N/A</v>
      </c>
      <c r="G3215" s="254" t="e">
        <f>VLOOKUP(H3215,'lista 3'!$A$1:$C$31467,3,0)</f>
        <v>#N/A</v>
      </c>
      <c r="H3215" s="134"/>
      <c r="I3215" s="136"/>
      <c r="J3215" s="135"/>
      <c r="K3215" s="22"/>
    </row>
    <row r="3216" spans="1:11">
      <c r="A3216" s="241" t="e">
        <f>VLOOKUP(B3216,'lista 1'!$A$2:$E$30100,4,0)</f>
        <v>#N/A</v>
      </c>
      <c r="B3216" s="123"/>
      <c r="C3216" s="133" t="e">
        <f>VLOOKUP(B3216,'lista 1'!$A$2:$E$31000,5,0)</f>
        <v>#N/A</v>
      </c>
      <c r="D3216" s="167" t="e">
        <f>VLOOKUP(E15016,'lista obszary'!A:B,2,0)</f>
        <v>#N/A</v>
      </c>
      <c r="E3216" s="128" t="e">
        <f>VLOOKUP(B3216,'LISTA 12'!$A$2:$G$301400,5,0)</f>
        <v>#N/A</v>
      </c>
      <c r="F3216" s="121" t="e">
        <f>VLOOKUP(B3216,'LISTA 12'!$A$2:$G$30100,7,0)</f>
        <v>#N/A</v>
      </c>
      <c r="G3216" s="254" t="e">
        <f>VLOOKUP(H3216,'lista 3'!$A$1:$C$31467,3,0)</f>
        <v>#N/A</v>
      </c>
      <c r="H3216" s="134"/>
      <c r="I3216" s="136"/>
      <c r="J3216" s="135"/>
      <c r="K3216" s="22"/>
    </row>
    <row r="3217" spans="1:11">
      <c r="A3217" s="241" t="e">
        <f>VLOOKUP(B3217,'lista 1'!$A$2:$E$30100,4,0)</f>
        <v>#N/A</v>
      </c>
      <c r="B3217" s="123"/>
      <c r="C3217" s="133" t="e">
        <f>VLOOKUP(B3217,'lista 1'!$A$2:$E$31000,5,0)</f>
        <v>#N/A</v>
      </c>
      <c r="D3217" s="167" t="e">
        <f>VLOOKUP(E15017,'lista obszary'!A:B,2,0)</f>
        <v>#N/A</v>
      </c>
      <c r="E3217" s="128" t="e">
        <f>VLOOKUP(B3217,'LISTA 12'!$A$2:$G$301400,5,0)</f>
        <v>#N/A</v>
      </c>
      <c r="F3217" s="121" t="e">
        <f>VLOOKUP(B3217,'LISTA 12'!$A$2:$G$30100,7,0)</f>
        <v>#N/A</v>
      </c>
      <c r="G3217" s="254" t="e">
        <f>VLOOKUP(H3217,'lista 3'!$A$1:$C$31467,3,0)</f>
        <v>#N/A</v>
      </c>
      <c r="H3217" s="134"/>
      <c r="I3217" s="136"/>
      <c r="J3217" s="135"/>
      <c r="K3217" s="22"/>
    </row>
    <row r="3218" spans="1:11">
      <c r="A3218" s="241" t="e">
        <f>VLOOKUP(B3218,'lista 1'!$A$2:$E$30100,4,0)</f>
        <v>#N/A</v>
      </c>
      <c r="B3218" s="123"/>
      <c r="C3218" s="133" t="e">
        <f>VLOOKUP(B3218,'lista 1'!$A$2:$E$31000,5,0)</f>
        <v>#N/A</v>
      </c>
      <c r="D3218" s="167" t="e">
        <f>VLOOKUP(E15018,'lista obszary'!A:B,2,0)</f>
        <v>#N/A</v>
      </c>
      <c r="E3218" s="128" t="e">
        <f>VLOOKUP(B3218,'LISTA 12'!$A$2:$G$301400,5,0)</f>
        <v>#N/A</v>
      </c>
      <c r="F3218" s="121" t="e">
        <f>VLOOKUP(B3218,'LISTA 12'!$A$2:$G$30100,7,0)</f>
        <v>#N/A</v>
      </c>
      <c r="G3218" s="254" t="e">
        <f>VLOOKUP(H3218,'lista 3'!$A$1:$C$31467,3,0)</f>
        <v>#N/A</v>
      </c>
      <c r="H3218" s="134"/>
      <c r="I3218" s="136"/>
      <c r="J3218" s="135"/>
      <c r="K3218" s="22"/>
    </row>
    <row r="3219" spans="1:11">
      <c r="A3219" s="241" t="e">
        <f>VLOOKUP(B3219,'lista 1'!$A$2:$E$30100,4,0)</f>
        <v>#N/A</v>
      </c>
      <c r="B3219" s="123"/>
      <c r="C3219" s="133" t="e">
        <f>VLOOKUP(B3219,'lista 1'!$A$2:$E$31000,5,0)</f>
        <v>#N/A</v>
      </c>
      <c r="D3219" s="167" t="e">
        <f>VLOOKUP(E15019,'lista obszary'!A:B,2,0)</f>
        <v>#N/A</v>
      </c>
      <c r="E3219" s="128" t="e">
        <f>VLOOKUP(B3219,'LISTA 12'!$A$2:$G$301400,5,0)</f>
        <v>#N/A</v>
      </c>
      <c r="F3219" s="121" t="e">
        <f>VLOOKUP(B3219,'LISTA 12'!$A$2:$G$30100,7,0)</f>
        <v>#N/A</v>
      </c>
      <c r="G3219" s="254" t="e">
        <f>VLOOKUP(H3219,'lista 3'!$A$1:$C$31467,3,0)</f>
        <v>#N/A</v>
      </c>
      <c r="H3219" s="134"/>
      <c r="I3219" s="136"/>
      <c r="J3219" s="135"/>
      <c r="K3219" s="22"/>
    </row>
    <row r="3220" spans="1:11">
      <c r="A3220" s="241" t="e">
        <f>VLOOKUP(B3220,'lista 1'!$A$2:$E$30100,4,0)</f>
        <v>#N/A</v>
      </c>
      <c r="B3220" s="123"/>
      <c r="C3220" s="133" t="e">
        <f>VLOOKUP(B3220,'lista 1'!$A$2:$E$31000,5,0)</f>
        <v>#N/A</v>
      </c>
      <c r="D3220" s="167" t="e">
        <f>VLOOKUP(E15020,'lista obszary'!A:B,2,0)</f>
        <v>#N/A</v>
      </c>
      <c r="E3220" s="128" t="e">
        <f>VLOOKUP(B3220,'LISTA 12'!$A$2:$G$301400,5,0)</f>
        <v>#N/A</v>
      </c>
      <c r="F3220" s="121" t="e">
        <f>VLOOKUP(B3220,'LISTA 12'!$A$2:$G$30100,7,0)</f>
        <v>#N/A</v>
      </c>
      <c r="G3220" s="254" t="e">
        <f>VLOOKUP(H3220,'lista 3'!$A$1:$C$31467,3,0)</f>
        <v>#N/A</v>
      </c>
      <c r="H3220" s="134"/>
      <c r="I3220" s="136"/>
      <c r="J3220" s="135"/>
      <c r="K3220" s="22"/>
    </row>
    <row r="3221" spans="1:11">
      <c r="A3221" s="241" t="e">
        <f>VLOOKUP(B3221,'lista 1'!$A$2:$E$30100,4,0)</f>
        <v>#N/A</v>
      </c>
      <c r="B3221" s="123"/>
      <c r="C3221" s="133" t="e">
        <f>VLOOKUP(B3221,'lista 1'!$A$2:$E$31000,5,0)</f>
        <v>#N/A</v>
      </c>
      <c r="D3221" s="167" t="e">
        <f>VLOOKUP(E15021,'lista obszary'!A:B,2,0)</f>
        <v>#N/A</v>
      </c>
      <c r="E3221" s="128" t="e">
        <f>VLOOKUP(B3221,'LISTA 12'!$A$2:$G$301400,5,0)</f>
        <v>#N/A</v>
      </c>
      <c r="F3221" s="121" t="e">
        <f>VLOOKUP(B3221,'LISTA 12'!$A$2:$G$30100,7,0)</f>
        <v>#N/A</v>
      </c>
      <c r="G3221" s="254" t="e">
        <f>VLOOKUP(H3221,'lista 3'!$A$1:$C$31467,3,0)</f>
        <v>#N/A</v>
      </c>
      <c r="H3221" s="134"/>
      <c r="I3221" s="136"/>
      <c r="J3221" s="135"/>
      <c r="K3221" s="22"/>
    </row>
    <row r="3222" spans="1:11">
      <c r="A3222" s="241" t="e">
        <f>VLOOKUP(B3222,'lista 1'!$A$2:$E$30100,4,0)</f>
        <v>#N/A</v>
      </c>
      <c r="B3222" s="123"/>
      <c r="C3222" s="133" t="e">
        <f>VLOOKUP(B3222,'lista 1'!$A$2:$E$31000,5,0)</f>
        <v>#N/A</v>
      </c>
      <c r="D3222" s="167" t="e">
        <f>VLOOKUP(E15022,'lista obszary'!A:B,2,0)</f>
        <v>#N/A</v>
      </c>
      <c r="E3222" s="128" t="e">
        <f>VLOOKUP(B3222,'LISTA 12'!$A$2:$G$301400,5,0)</f>
        <v>#N/A</v>
      </c>
      <c r="F3222" s="121" t="e">
        <f>VLOOKUP(B3222,'LISTA 12'!$A$2:$G$30100,7,0)</f>
        <v>#N/A</v>
      </c>
      <c r="G3222" s="254" t="e">
        <f>VLOOKUP(H3222,'lista 3'!$A$1:$C$31467,3,0)</f>
        <v>#N/A</v>
      </c>
      <c r="H3222" s="134"/>
      <c r="I3222" s="136"/>
      <c r="J3222" s="135"/>
      <c r="K3222" s="22"/>
    </row>
    <row r="3223" spans="1:11">
      <c r="A3223" s="241" t="e">
        <f>VLOOKUP(B3223,'lista 1'!$A$2:$E$30100,4,0)</f>
        <v>#N/A</v>
      </c>
      <c r="B3223" s="123"/>
      <c r="C3223" s="133" t="e">
        <f>VLOOKUP(B3223,'lista 1'!$A$2:$E$31000,5,0)</f>
        <v>#N/A</v>
      </c>
      <c r="D3223" s="167" t="e">
        <f>VLOOKUP(E15023,'lista obszary'!A:B,2,0)</f>
        <v>#N/A</v>
      </c>
      <c r="E3223" s="128" t="e">
        <f>VLOOKUP(B3223,'LISTA 12'!$A$2:$G$301400,5,0)</f>
        <v>#N/A</v>
      </c>
      <c r="F3223" s="121" t="e">
        <f>VLOOKUP(B3223,'LISTA 12'!$A$2:$G$30100,7,0)</f>
        <v>#N/A</v>
      </c>
      <c r="G3223" s="254" t="e">
        <f>VLOOKUP(H3223,'lista 3'!$A$1:$C$31467,3,0)</f>
        <v>#N/A</v>
      </c>
      <c r="H3223" s="134"/>
      <c r="I3223" s="136"/>
      <c r="J3223" s="135"/>
      <c r="K3223" s="22"/>
    </row>
    <row r="3224" spans="1:11">
      <c r="A3224" s="241" t="e">
        <f>VLOOKUP(B3224,'lista 1'!$A$2:$E$30100,4,0)</f>
        <v>#N/A</v>
      </c>
      <c r="B3224" s="123"/>
      <c r="C3224" s="133" t="e">
        <f>VLOOKUP(B3224,'lista 1'!$A$2:$E$31000,5,0)</f>
        <v>#N/A</v>
      </c>
      <c r="D3224" s="167" t="e">
        <f>VLOOKUP(E15024,'lista obszary'!A:B,2,0)</f>
        <v>#N/A</v>
      </c>
      <c r="E3224" s="128" t="e">
        <f>VLOOKUP(B3224,'LISTA 12'!$A$2:$G$301400,5,0)</f>
        <v>#N/A</v>
      </c>
      <c r="F3224" s="121" t="e">
        <f>VLOOKUP(B3224,'LISTA 12'!$A$2:$G$30100,7,0)</f>
        <v>#N/A</v>
      </c>
      <c r="G3224" s="254" t="e">
        <f>VLOOKUP(H3224,'lista 3'!$A$1:$C$31467,3,0)</f>
        <v>#N/A</v>
      </c>
      <c r="H3224" s="134"/>
      <c r="I3224" s="136"/>
      <c r="J3224" s="135"/>
      <c r="K3224" s="22"/>
    </row>
    <row r="3225" spans="1:11">
      <c r="A3225" s="241" t="e">
        <f>VLOOKUP(B3225,'lista 1'!$A$2:$E$30100,4,0)</f>
        <v>#N/A</v>
      </c>
      <c r="B3225" s="123"/>
      <c r="C3225" s="133" t="e">
        <f>VLOOKUP(B3225,'lista 1'!$A$2:$E$31000,5,0)</f>
        <v>#N/A</v>
      </c>
      <c r="D3225" s="167" t="e">
        <f>VLOOKUP(E15025,'lista obszary'!A:B,2,0)</f>
        <v>#N/A</v>
      </c>
      <c r="E3225" s="128" t="e">
        <f>VLOOKUP(B3225,'LISTA 12'!$A$2:$G$301400,5,0)</f>
        <v>#N/A</v>
      </c>
      <c r="F3225" s="121" t="e">
        <f>VLOOKUP(B3225,'LISTA 12'!$A$2:$G$30100,7,0)</f>
        <v>#N/A</v>
      </c>
      <c r="G3225" s="254" t="e">
        <f>VLOOKUP(H3225,'lista 3'!$A$1:$C$31467,3,0)</f>
        <v>#N/A</v>
      </c>
      <c r="H3225" s="134"/>
      <c r="I3225" s="136"/>
      <c r="J3225" s="135"/>
      <c r="K3225" s="22"/>
    </row>
    <row r="3226" spans="1:11">
      <c r="A3226" s="241" t="e">
        <f>VLOOKUP(B3226,'lista 1'!$A$2:$E$30100,4,0)</f>
        <v>#N/A</v>
      </c>
      <c r="B3226" s="123"/>
      <c r="C3226" s="133" t="e">
        <f>VLOOKUP(B3226,'lista 1'!$A$2:$E$31000,5,0)</f>
        <v>#N/A</v>
      </c>
      <c r="D3226" s="167" t="e">
        <f>VLOOKUP(E15026,'lista obszary'!A:B,2,0)</f>
        <v>#N/A</v>
      </c>
      <c r="E3226" s="128" t="e">
        <f>VLOOKUP(B3226,'LISTA 12'!$A$2:$G$301400,5,0)</f>
        <v>#N/A</v>
      </c>
      <c r="F3226" s="121" t="e">
        <f>VLOOKUP(B3226,'LISTA 12'!$A$2:$G$30100,7,0)</f>
        <v>#N/A</v>
      </c>
      <c r="G3226" s="254" t="e">
        <f>VLOOKUP(H3226,'lista 3'!$A$1:$C$31467,3,0)</f>
        <v>#N/A</v>
      </c>
      <c r="H3226" s="134"/>
      <c r="I3226" s="136"/>
      <c r="J3226" s="135"/>
      <c r="K3226" s="22"/>
    </row>
    <row r="3227" spans="1:11">
      <c r="A3227" s="241" t="e">
        <f>VLOOKUP(B3227,'lista 1'!$A$2:$E$30100,4,0)</f>
        <v>#N/A</v>
      </c>
      <c r="B3227" s="123"/>
      <c r="C3227" s="133" t="e">
        <f>VLOOKUP(B3227,'lista 1'!$A$2:$E$31000,5,0)</f>
        <v>#N/A</v>
      </c>
      <c r="D3227" s="167" t="e">
        <f>VLOOKUP(E15027,'lista obszary'!A:B,2,0)</f>
        <v>#N/A</v>
      </c>
      <c r="E3227" s="128" t="e">
        <f>VLOOKUP(B3227,'LISTA 12'!$A$2:$G$301400,5,0)</f>
        <v>#N/A</v>
      </c>
      <c r="F3227" s="121" t="e">
        <f>VLOOKUP(B3227,'LISTA 12'!$A$2:$G$30100,7,0)</f>
        <v>#N/A</v>
      </c>
      <c r="G3227" s="254" t="e">
        <f>VLOOKUP(H3227,'lista 3'!$A$1:$C$31467,3,0)</f>
        <v>#N/A</v>
      </c>
      <c r="H3227" s="134"/>
      <c r="I3227" s="136"/>
      <c r="J3227" s="135"/>
      <c r="K3227" s="22"/>
    </row>
    <row r="3228" spans="1:11">
      <c r="A3228" s="241" t="e">
        <f>VLOOKUP(B3228,'lista 1'!$A$2:$E$30100,4,0)</f>
        <v>#N/A</v>
      </c>
      <c r="B3228" s="123"/>
      <c r="C3228" s="133" t="e">
        <f>VLOOKUP(B3228,'lista 1'!$A$2:$E$31000,5,0)</f>
        <v>#N/A</v>
      </c>
      <c r="D3228" s="167" t="e">
        <f>VLOOKUP(E15028,'lista obszary'!A:B,2,0)</f>
        <v>#N/A</v>
      </c>
      <c r="E3228" s="128" t="e">
        <f>VLOOKUP(B3228,'LISTA 12'!$A$2:$G$301400,5,0)</f>
        <v>#N/A</v>
      </c>
      <c r="F3228" s="121" t="e">
        <f>VLOOKUP(B3228,'LISTA 12'!$A$2:$G$30100,7,0)</f>
        <v>#N/A</v>
      </c>
      <c r="G3228" s="254" t="e">
        <f>VLOOKUP(H3228,'lista 3'!$A$1:$C$31467,3,0)</f>
        <v>#N/A</v>
      </c>
      <c r="H3228" s="134"/>
      <c r="I3228" s="136"/>
      <c r="J3228" s="135"/>
      <c r="K3228" s="22"/>
    </row>
    <row r="3229" spans="1:11">
      <c r="A3229" s="241" t="e">
        <f>VLOOKUP(B3229,'lista 1'!$A$2:$E$30100,4,0)</f>
        <v>#N/A</v>
      </c>
      <c r="B3229" s="123"/>
      <c r="C3229" s="133" t="e">
        <f>VLOOKUP(B3229,'lista 1'!$A$2:$E$31000,5,0)</f>
        <v>#N/A</v>
      </c>
      <c r="D3229" s="167" t="e">
        <f>VLOOKUP(E15029,'lista obszary'!A:B,2,0)</f>
        <v>#N/A</v>
      </c>
      <c r="E3229" s="128" t="e">
        <f>VLOOKUP(B3229,'LISTA 12'!$A$2:$G$301400,5,0)</f>
        <v>#N/A</v>
      </c>
      <c r="F3229" s="121" t="e">
        <f>VLOOKUP(B3229,'LISTA 12'!$A$2:$G$30100,7,0)</f>
        <v>#N/A</v>
      </c>
      <c r="G3229" s="254" t="e">
        <f>VLOOKUP(H3229,'lista 3'!$A$1:$C$31467,3,0)</f>
        <v>#N/A</v>
      </c>
      <c r="H3229" s="134"/>
      <c r="I3229" s="136"/>
      <c r="J3229" s="135"/>
      <c r="K3229" s="22"/>
    </row>
    <row r="3230" spans="1:11">
      <c r="A3230" s="241" t="e">
        <f>VLOOKUP(B3230,'lista 1'!$A$2:$E$30100,4,0)</f>
        <v>#N/A</v>
      </c>
      <c r="B3230" s="123"/>
      <c r="C3230" s="133" t="e">
        <f>VLOOKUP(B3230,'lista 1'!$A$2:$E$31000,5,0)</f>
        <v>#N/A</v>
      </c>
      <c r="D3230" s="167" t="e">
        <f>VLOOKUP(E15030,'lista obszary'!A:B,2,0)</f>
        <v>#N/A</v>
      </c>
      <c r="E3230" s="128" t="e">
        <f>VLOOKUP(B3230,'LISTA 12'!$A$2:$G$301400,5,0)</f>
        <v>#N/A</v>
      </c>
      <c r="F3230" s="121" t="e">
        <f>VLOOKUP(B3230,'LISTA 12'!$A$2:$G$30100,7,0)</f>
        <v>#N/A</v>
      </c>
      <c r="G3230" s="254" t="e">
        <f>VLOOKUP(H3230,'lista 3'!$A$1:$C$31467,3,0)</f>
        <v>#N/A</v>
      </c>
      <c r="H3230" s="134"/>
      <c r="I3230" s="136"/>
      <c r="J3230" s="135"/>
      <c r="K3230" s="22"/>
    </row>
    <row r="3231" spans="1:11">
      <c r="A3231" s="241" t="e">
        <f>VLOOKUP(B3231,'lista 1'!$A$2:$E$30100,4,0)</f>
        <v>#N/A</v>
      </c>
      <c r="B3231" s="123"/>
      <c r="C3231" s="133" t="e">
        <f>VLOOKUP(B3231,'lista 1'!$A$2:$E$31000,5,0)</f>
        <v>#N/A</v>
      </c>
      <c r="D3231" s="167" t="e">
        <f>VLOOKUP(E15031,'lista obszary'!A:B,2,0)</f>
        <v>#N/A</v>
      </c>
      <c r="E3231" s="128" t="e">
        <f>VLOOKUP(B3231,'LISTA 12'!$A$2:$G$301400,5,0)</f>
        <v>#N/A</v>
      </c>
      <c r="F3231" s="121" t="e">
        <f>VLOOKUP(B3231,'LISTA 12'!$A$2:$G$30100,7,0)</f>
        <v>#N/A</v>
      </c>
      <c r="G3231" s="254" t="e">
        <f>VLOOKUP(H3231,'lista 3'!$A$1:$C$31467,3,0)</f>
        <v>#N/A</v>
      </c>
      <c r="H3231" s="134"/>
      <c r="I3231" s="136"/>
      <c r="J3231" s="135"/>
      <c r="K3231" s="22"/>
    </row>
    <row r="3232" spans="1:11">
      <c r="A3232" s="241" t="e">
        <f>VLOOKUP(B3232,'lista 1'!$A$2:$E$30100,4,0)</f>
        <v>#N/A</v>
      </c>
      <c r="B3232" s="123"/>
      <c r="C3232" s="133" t="e">
        <f>VLOOKUP(B3232,'lista 1'!$A$2:$E$31000,5,0)</f>
        <v>#N/A</v>
      </c>
      <c r="D3232" s="167" t="e">
        <f>VLOOKUP(E15032,'lista obszary'!A:B,2,0)</f>
        <v>#N/A</v>
      </c>
      <c r="E3232" s="128" t="e">
        <f>VLOOKUP(B3232,'LISTA 12'!$A$2:$G$301400,5,0)</f>
        <v>#N/A</v>
      </c>
      <c r="F3232" s="121" t="e">
        <f>VLOOKUP(B3232,'LISTA 12'!$A$2:$G$30100,7,0)</f>
        <v>#N/A</v>
      </c>
      <c r="G3232" s="254" t="e">
        <f>VLOOKUP(H3232,'lista 3'!$A$1:$C$31467,3,0)</f>
        <v>#N/A</v>
      </c>
      <c r="H3232" s="134"/>
      <c r="I3232" s="136"/>
      <c r="J3232" s="135"/>
      <c r="K3232" s="22"/>
    </row>
    <row r="3233" spans="1:11">
      <c r="A3233" s="241" t="e">
        <f>VLOOKUP(B3233,'lista 1'!$A$2:$E$30100,4,0)</f>
        <v>#N/A</v>
      </c>
      <c r="B3233" s="123"/>
      <c r="C3233" s="133" t="e">
        <f>VLOOKUP(B3233,'lista 1'!$A$2:$E$31000,5,0)</f>
        <v>#N/A</v>
      </c>
      <c r="D3233" s="167" t="e">
        <f>VLOOKUP(E15033,'lista obszary'!A:B,2,0)</f>
        <v>#N/A</v>
      </c>
      <c r="E3233" s="128" t="e">
        <f>VLOOKUP(B3233,'LISTA 12'!$A$2:$G$301400,5,0)</f>
        <v>#N/A</v>
      </c>
      <c r="F3233" s="121" t="e">
        <f>VLOOKUP(B3233,'LISTA 12'!$A$2:$G$30100,7,0)</f>
        <v>#N/A</v>
      </c>
      <c r="G3233" s="254" t="e">
        <f>VLOOKUP(H3233,'lista 3'!$A$1:$C$31467,3,0)</f>
        <v>#N/A</v>
      </c>
      <c r="H3233" s="134"/>
      <c r="I3233" s="136"/>
      <c r="J3233" s="135"/>
      <c r="K3233" s="22"/>
    </row>
    <row r="3234" spans="1:11">
      <c r="A3234" s="241" t="e">
        <f>VLOOKUP(B3234,'lista 1'!$A$2:$E$30100,4,0)</f>
        <v>#N/A</v>
      </c>
      <c r="B3234" s="123"/>
      <c r="C3234" s="133" t="e">
        <f>VLOOKUP(B3234,'lista 1'!$A$2:$E$31000,5,0)</f>
        <v>#N/A</v>
      </c>
      <c r="D3234" s="167" t="e">
        <f>VLOOKUP(E15034,'lista obszary'!A:B,2,0)</f>
        <v>#N/A</v>
      </c>
      <c r="E3234" s="128" t="e">
        <f>VLOOKUP(B3234,'LISTA 12'!$A$2:$G$301400,5,0)</f>
        <v>#N/A</v>
      </c>
      <c r="F3234" s="121" t="e">
        <f>VLOOKUP(B3234,'LISTA 12'!$A$2:$G$30100,7,0)</f>
        <v>#N/A</v>
      </c>
      <c r="G3234" s="254" t="e">
        <f>VLOOKUP(H3234,'lista 3'!$A$1:$C$31467,3,0)</f>
        <v>#N/A</v>
      </c>
      <c r="H3234" s="134"/>
      <c r="I3234" s="136"/>
      <c r="J3234" s="135"/>
      <c r="K3234" s="22"/>
    </row>
    <row r="3235" spans="1:11">
      <c r="A3235" s="241" t="e">
        <f>VLOOKUP(B3235,'lista 1'!$A$2:$E$30100,4,0)</f>
        <v>#N/A</v>
      </c>
      <c r="B3235" s="123"/>
      <c r="C3235" s="133" t="e">
        <f>VLOOKUP(B3235,'lista 1'!$A$2:$E$31000,5,0)</f>
        <v>#N/A</v>
      </c>
      <c r="D3235" s="167" t="e">
        <f>VLOOKUP(E15035,'lista obszary'!A:B,2,0)</f>
        <v>#N/A</v>
      </c>
      <c r="E3235" s="128" t="e">
        <f>VLOOKUP(B3235,'LISTA 12'!$A$2:$G$301400,5,0)</f>
        <v>#N/A</v>
      </c>
      <c r="F3235" s="121" t="e">
        <f>VLOOKUP(B3235,'LISTA 12'!$A$2:$G$30100,7,0)</f>
        <v>#N/A</v>
      </c>
      <c r="G3235" s="254" t="e">
        <f>VLOOKUP(H3235,'lista 3'!$A$1:$C$31467,3,0)</f>
        <v>#N/A</v>
      </c>
      <c r="H3235" s="134"/>
      <c r="I3235" s="136"/>
      <c r="J3235" s="135"/>
      <c r="K3235" s="22"/>
    </row>
    <row r="3236" spans="1:11">
      <c r="A3236" s="241" t="e">
        <f>VLOOKUP(B3236,'lista 1'!$A$2:$E$30100,4,0)</f>
        <v>#N/A</v>
      </c>
      <c r="B3236" s="123"/>
      <c r="C3236" s="133" t="e">
        <f>VLOOKUP(B3236,'lista 1'!$A$2:$E$31000,5,0)</f>
        <v>#N/A</v>
      </c>
      <c r="D3236" s="167" t="e">
        <f>VLOOKUP(E15036,'lista obszary'!A:B,2,0)</f>
        <v>#N/A</v>
      </c>
      <c r="E3236" s="128" t="e">
        <f>VLOOKUP(B3236,'LISTA 12'!$A$2:$G$301400,5,0)</f>
        <v>#N/A</v>
      </c>
      <c r="F3236" s="121" t="e">
        <f>VLOOKUP(B3236,'LISTA 12'!$A$2:$G$30100,7,0)</f>
        <v>#N/A</v>
      </c>
      <c r="G3236" s="254" t="e">
        <f>VLOOKUP(H3236,'lista 3'!$A$1:$C$31467,3,0)</f>
        <v>#N/A</v>
      </c>
      <c r="H3236" s="134"/>
      <c r="I3236" s="136"/>
      <c r="J3236" s="135"/>
      <c r="K3236" s="22"/>
    </row>
    <row r="3237" spans="1:11">
      <c r="A3237" s="241" t="e">
        <f>VLOOKUP(B3237,'lista 1'!$A$2:$E$30100,4,0)</f>
        <v>#N/A</v>
      </c>
      <c r="B3237" s="123"/>
      <c r="C3237" s="133" t="e">
        <f>VLOOKUP(B3237,'lista 1'!$A$2:$E$31000,5,0)</f>
        <v>#N/A</v>
      </c>
      <c r="D3237" s="167" t="e">
        <f>VLOOKUP(E15037,'lista obszary'!A:B,2,0)</f>
        <v>#N/A</v>
      </c>
      <c r="E3237" s="128" t="e">
        <f>VLOOKUP(B3237,'LISTA 12'!$A$2:$G$301400,5,0)</f>
        <v>#N/A</v>
      </c>
      <c r="F3237" s="121" t="e">
        <f>VLOOKUP(B3237,'LISTA 12'!$A$2:$G$30100,7,0)</f>
        <v>#N/A</v>
      </c>
      <c r="G3237" s="254" t="e">
        <f>VLOOKUP(H3237,'lista 3'!$A$1:$C$31467,3,0)</f>
        <v>#N/A</v>
      </c>
      <c r="H3237" s="134"/>
      <c r="I3237" s="136"/>
      <c r="J3237" s="135"/>
      <c r="K3237" s="22"/>
    </row>
    <row r="3238" spans="1:11">
      <c r="A3238" s="241" t="e">
        <f>VLOOKUP(B3238,'lista 1'!$A$2:$E$30100,4,0)</f>
        <v>#N/A</v>
      </c>
      <c r="B3238" s="123"/>
      <c r="C3238" s="133" t="e">
        <f>VLOOKUP(B3238,'lista 1'!$A$2:$E$31000,5,0)</f>
        <v>#N/A</v>
      </c>
      <c r="D3238" s="167" t="e">
        <f>VLOOKUP(E15038,'lista obszary'!A:B,2,0)</f>
        <v>#N/A</v>
      </c>
      <c r="E3238" s="128" t="e">
        <f>VLOOKUP(B3238,'LISTA 12'!$A$2:$G$301400,5,0)</f>
        <v>#N/A</v>
      </c>
      <c r="F3238" s="121" t="e">
        <f>VLOOKUP(B3238,'LISTA 12'!$A$2:$G$30100,7,0)</f>
        <v>#N/A</v>
      </c>
      <c r="G3238" s="254" t="e">
        <f>VLOOKUP(H3238,'lista 3'!$A$1:$C$31467,3,0)</f>
        <v>#N/A</v>
      </c>
      <c r="H3238" s="134"/>
      <c r="I3238" s="136"/>
      <c r="J3238" s="135"/>
      <c r="K3238" s="22"/>
    </row>
    <row r="3239" spans="1:11">
      <c r="A3239" s="241" t="e">
        <f>VLOOKUP(B3239,'lista 1'!$A$2:$E$30100,4,0)</f>
        <v>#N/A</v>
      </c>
      <c r="B3239" s="123"/>
      <c r="C3239" s="133" t="e">
        <f>VLOOKUP(B3239,'lista 1'!$A$2:$E$31000,5,0)</f>
        <v>#N/A</v>
      </c>
      <c r="D3239" s="167" t="e">
        <f>VLOOKUP(E15039,'lista obszary'!A:B,2,0)</f>
        <v>#N/A</v>
      </c>
      <c r="E3239" s="128" t="e">
        <f>VLOOKUP(B3239,'LISTA 12'!$A$2:$G$301400,5,0)</f>
        <v>#N/A</v>
      </c>
      <c r="F3239" s="121" t="e">
        <f>VLOOKUP(B3239,'LISTA 12'!$A$2:$G$30100,7,0)</f>
        <v>#N/A</v>
      </c>
      <c r="G3239" s="254" t="e">
        <f>VLOOKUP(H3239,'lista 3'!$A$1:$C$31467,3,0)</f>
        <v>#N/A</v>
      </c>
      <c r="H3239" s="134"/>
      <c r="I3239" s="136"/>
      <c r="J3239" s="135"/>
      <c r="K3239" s="22"/>
    </row>
    <row r="3240" spans="1:11">
      <c r="A3240" s="241" t="e">
        <f>VLOOKUP(B3240,'lista 1'!$A$2:$E$30100,4,0)</f>
        <v>#N/A</v>
      </c>
      <c r="B3240" s="123"/>
      <c r="C3240" s="133" t="e">
        <f>VLOOKUP(B3240,'lista 1'!$A$2:$E$31000,5,0)</f>
        <v>#N/A</v>
      </c>
      <c r="D3240" s="167" t="e">
        <f>VLOOKUP(E15040,'lista obszary'!A:B,2,0)</f>
        <v>#N/A</v>
      </c>
      <c r="E3240" s="128" t="e">
        <f>VLOOKUP(B3240,'LISTA 12'!$A$2:$G$301400,5,0)</f>
        <v>#N/A</v>
      </c>
      <c r="F3240" s="121" t="e">
        <f>VLOOKUP(B3240,'LISTA 12'!$A$2:$G$30100,7,0)</f>
        <v>#N/A</v>
      </c>
      <c r="G3240" s="254" t="e">
        <f>VLOOKUP(H3240,'lista 3'!$A$1:$C$31467,3,0)</f>
        <v>#N/A</v>
      </c>
      <c r="H3240" s="134"/>
      <c r="I3240" s="136"/>
      <c r="J3240" s="135"/>
      <c r="K3240" s="22"/>
    </row>
    <row r="3241" spans="1:11">
      <c r="A3241" s="241" t="e">
        <f>VLOOKUP(B3241,'lista 1'!$A$2:$E$30100,4,0)</f>
        <v>#N/A</v>
      </c>
      <c r="B3241" s="123"/>
      <c r="C3241" s="133" t="e">
        <f>VLOOKUP(B3241,'lista 1'!$A$2:$E$31000,5,0)</f>
        <v>#N/A</v>
      </c>
      <c r="D3241" s="167" t="e">
        <f>VLOOKUP(E15041,'lista obszary'!A:B,2,0)</f>
        <v>#N/A</v>
      </c>
      <c r="E3241" s="128" t="e">
        <f>VLOOKUP(B3241,'LISTA 12'!$A$2:$G$301400,5,0)</f>
        <v>#N/A</v>
      </c>
      <c r="F3241" s="121" t="e">
        <f>VLOOKUP(B3241,'LISTA 12'!$A$2:$G$30100,7,0)</f>
        <v>#N/A</v>
      </c>
      <c r="G3241" s="254" t="e">
        <f>VLOOKUP(H3241,'lista 3'!$A$1:$C$31467,3,0)</f>
        <v>#N/A</v>
      </c>
      <c r="H3241" s="134"/>
      <c r="I3241" s="136"/>
      <c r="J3241" s="135"/>
      <c r="K3241" s="22"/>
    </row>
    <row r="3242" spans="1:11">
      <c r="A3242" s="241" t="e">
        <f>VLOOKUP(B3242,'lista 1'!$A$2:$E$30100,4,0)</f>
        <v>#N/A</v>
      </c>
      <c r="B3242" s="123"/>
      <c r="C3242" s="133" t="e">
        <f>VLOOKUP(B3242,'lista 1'!$A$2:$E$31000,5,0)</f>
        <v>#N/A</v>
      </c>
      <c r="D3242" s="167" t="e">
        <f>VLOOKUP(E15042,'lista obszary'!A:B,2,0)</f>
        <v>#N/A</v>
      </c>
      <c r="E3242" s="128" t="e">
        <f>VLOOKUP(B3242,'LISTA 12'!$A$2:$G$301400,5,0)</f>
        <v>#N/A</v>
      </c>
      <c r="F3242" s="121" t="e">
        <f>VLOOKUP(B3242,'LISTA 12'!$A$2:$G$30100,7,0)</f>
        <v>#N/A</v>
      </c>
      <c r="G3242" s="254" t="e">
        <f>VLOOKUP(H3242,'lista 3'!$A$1:$C$31467,3,0)</f>
        <v>#N/A</v>
      </c>
      <c r="H3242" s="134"/>
      <c r="I3242" s="136"/>
      <c r="J3242" s="135"/>
      <c r="K3242" s="22"/>
    </row>
    <row r="3243" spans="1:11">
      <c r="A3243" s="241" t="e">
        <f>VLOOKUP(B3243,'lista 1'!$A$2:$E$30100,4,0)</f>
        <v>#N/A</v>
      </c>
      <c r="B3243" s="123"/>
      <c r="C3243" s="133" t="e">
        <f>VLOOKUP(B3243,'lista 1'!$A$2:$E$31000,5,0)</f>
        <v>#N/A</v>
      </c>
      <c r="D3243" s="167" t="e">
        <f>VLOOKUP(E15043,'lista obszary'!A:B,2,0)</f>
        <v>#N/A</v>
      </c>
      <c r="E3243" s="128" t="e">
        <f>VLOOKUP(B3243,'LISTA 12'!$A$2:$G$301400,5,0)</f>
        <v>#N/A</v>
      </c>
      <c r="F3243" s="121" t="e">
        <f>VLOOKUP(B3243,'LISTA 12'!$A$2:$G$30100,7,0)</f>
        <v>#N/A</v>
      </c>
      <c r="G3243" s="254" t="e">
        <f>VLOOKUP(H3243,'lista 3'!$A$1:$C$31467,3,0)</f>
        <v>#N/A</v>
      </c>
      <c r="H3243" s="134"/>
      <c r="I3243" s="136"/>
      <c r="J3243" s="135"/>
      <c r="K3243" s="22"/>
    </row>
    <row r="3244" spans="1:11">
      <c r="A3244" s="241" t="e">
        <f>VLOOKUP(B3244,'lista 1'!$A$2:$E$30100,4,0)</f>
        <v>#N/A</v>
      </c>
      <c r="B3244" s="123"/>
      <c r="C3244" s="133" t="e">
        <f>VLOOKUP(B3244,'lista 1'!$A$2:$E$31000,5,0)</f>
        <v>#N/A</v>
      </c>
      <c r="D3244" s="167" t="e">
        <f>VLOOKUP(E15044,'lista obszary'!A:B,2,0)</f>
        <v>#N/A</v>
      </c>
      <c r="E3244" s="128" t="e">
        <f>VLOOKUP(B3244,'LISTA 12'!$A$2:$G$301400,5,0)</f>
        <v>#N/A</v>
      </c>
      <c r="F3244" s="121" t="e">
        <f>VLOOKUP(B3244,'LISTA 12'!$A$2:$G$30100,7,0)</f>
        <v>#N/A</v>
      </c>
      <c r="G3244" s="254" t="e">
        <f>VLOOKUP(H3244,'lista 3'!$A$1:$C$31467,3,0)</f>
        <v>#N/A</v>
      </c>
      <c r="H3244" s="134"/>
      <c r="I3244" s="136"/>
      <c r="J3244" s="135"/>
      <c r="K3244" s="22"/>
    </row>
    <row r="3245" spans="1:11">
      <c r="A3245" s="241" t="e">
        <f>VLOOKUP(B3245,'lista 1'!$A$2:$E$30100,4,0)</f>
        <v>#N/A</v>
      </c>
      <c r="B3245" s="123"/>
      <c r="C3245" s="133" t="e">
        <f>VLOOKUP(B3245,'lista 1'!$A$2:$E$31000,5,0)</f>
        <v>#N/A</v>
      </c>
      <c r="D3245" s="167" t="e">
        <f>VLOOKUP(E15045,'lista obszary'!A:B,2,0)</f>
        <v>#N/A</v>
      </c>
      <c r="E3245" s="128" t="e">
        <f>VLOOKUP(B3245,'LISTA 12'!$A$2:$G$301400,5,0)</f>
        <v>#N/A</v>
      </c>
      <c r="F3245" s="121" t="e">
        <f>VLOOKUP(B3245,'LISTA 12'!$A$2:$G$30100,7,0)</f>
        <v>#N/A</v>
      </c>
      <c r="G3245" s="254" t="e">
        <f>VLOOKUP(H3245,'lista 3'!$A$1:$C$31467,3,0)</f>
        <v>#N/A</v>
      </c>
      <c r="H3245" s="134"/>
      <c r="I3245" s="136"/>
      <c r="J3245" s="135"/>
      <c r="K3245" s="22"/>
    </row>
    <row r="3246" spans="1:11">
      <c r="A3246" s="241" t="e">
        <f>VLOOKUP(B3246,'lista 1'!$A$2:$E$30100,4,0)</f>
        <v>#N/A</v>
      </c>
      <c r="B3246" s="123"/>
      <c r="C3246" s="133" t="e">
        <f>VLOOKUP(B3246,'lista 1'!$A$2:$E$31000,5,0)</f>
        <v>#N/A</v>
      </c>
      <c r="D3246" s="167" t="e">
        <f>VLOOKUP(E15046,'lista obszary'!A:B,2,0)</f>
        <v>#N/A</v>
      </c>
      <c r="E3246" s="128" t="e">
        <f>VLOOKUP(B3246,'LISTA 12'!$A$2:$G$301400,5,0)</f>
        <v>#N/A</v>
      </c>
      <c r="F3246" s="121" t="e">
        <f>VLOOKUP(B3246,'LISTA 12'!$A$2:$G$30100,7,0)</f>
        <v>#N/A</v>
      </c>
      <c r="G3246" s="254" t="e">
        <f>VLOOKUP(H3246,'lista 3'!$A$1:$C$31467,3,0)</f>
        <v>#N/A</v>
      </c>
      <c r="H3246" s="134"/>
      <c r="I3246" s="136"/>
      <c r="J3246" s="135"/>
      <c r="K3246" s="22"/>
    </row>
    <row r="3247" spans="1:11">
      <c r="A3247" s="241" t="e">
        <f>VLOOKUP(B3247,'lista 1'!$A$2:$E$30100,4,0)</f>
        <v>#N/A</v>
      </c>
      <c r="B3247" s="123"/>
      <c r="C3247" s="133" t="e">
        <f>VLOOKUP(B3247,'lista 1'!$A$2:$E$31000,5,0)</f>
        <v>#N/A</v>
      </c>
      <c r="D3247" s="167" t="e">
        <f>VLOOKUP(E15047,'lista obszary'!A:B,2,0)</f>
        <v>#N/A</v>
      </c>
      <c r="E3247" s="128" t="e">
        <f>VLOOKUP(B3247,'LISTA 12'!$A$2:$G$301400,5,0)</f>
        <v>#N/A</v>
      </c>
      <c r="F3247" s="121" t="e">
        <f>VLOOKUP(B3247,'LISTA 12'!$A$2:$G$30100,7,0)</f>
        <v>#N/A</v>
      </c>
      <c r="G3247" s="254" t="e">
        <f>VLOOKUP(H3247,'lista 3'!$A$1:$C$31467,3,0)</f>
        <v>#N/A</v>
      </c>
      <c r="H3247" s="134"/>
      <c r="I3247" s="136"/>
      <c r="J3247" s="135"/>
      <c r="K3247" s="22"/>
    </row>
    <row r="3248" spans="1:11">
      <c r="A3248" s="241" t="e">
        <f>VLOOKUP(B3248,'lista 1'!$A$2:$E$30100,4,0)</f>
        <v>#N/A</v>
      </c>
      <c r="B3248" s="123"/>
      <c r="C3248" s="133" t="e">
        <f>VLOOKUP(B3248,'lista 1'!$A$2:$E$31000,5,0)</f>
        <v>#N/A</v>
      </c>
      <c r="D3248" s="167" t="e">
        <f>VLOOKUP(E15048,'lista obszary'!A:B,2,0)</f>
        <v>#N/A</v>
      </c>
      <c r="E3248" s="128" t="e">
        <f>VLOOKUP(B3248,'LISTA 12'!$A$2:$G$301400,5,0)</f>
        <v>#N/A</v>
      </c>
      <c r="F3248" s="121" t="e">
        <f>VLOOKUP(B3248,'LISTA 12'!$A$2:$G$30100,7,0)</f>
        <v>#N/A</v>
      </c>
      <c r="G3248" s="254" t="e">
        <f>VLOOKUP(H3248,'lista 3'!$A$1:$C$31467,3,0)</f>
        <v>#N/A</v>
      </c>
      <c r="H3248" s="134"/>
      <c r="I3248" s="136"/>
      <c r="J3248" s="135"/>
      <c r="K3248" s="22"/>
    </row>
    <row r="3249" spans="1:11">
      <c r="A3249" s="241" t="e">
        <f>VLOOKUP(B3249,'lista 1'!$A$2:$E$30100,4,0)</f>
        <v>#N/A</v>
      </c>
      <c r="B3249" s="123"/>
      <c r="C3249" s="133" t="e">
        <f>VLOOKUP(B3249,'lista 1'!$A$2:$E$31000,5,0)</f>
        <v>#N/A</v>
      </c>
      <c r="D3249" s="167" t="e">
        <f>VLOOKUP(E15049,'lista obszary'!A:B,2,0)</f>
        <v>#N/A</v>
      </c>
      <c r="E3249" s="128" t="e">
        <f>VLOOKUP(B3249,'LISTA 12'!$A$2:$G$301400,5,0)</f>
        <v>#N/A</v>
      </c>
      <c r="F3249" s="121" t="e">
        <f>VLOOKUP(B3249,'LISTA 12'!$A$2:$G$30100,7,0)</f>
        <v>#N/A</v>
      </c>
      <c r="G3249" s="254" t="e">
        <f>VLOOKUP(H3249,'lista 3'!$A$1:$C$31467,3,0)</f>
        <v>#N/A</v>
      </c>
      <c r="H3249" s="134"/>
      <c r="I3249" s="136"/>
      <c r="J3249" s="135"/>
      <c r="K3249" s="22"/>
    </row>
    <row r="3250" spans="1:11">
      <c r="A3250" s="241" t="e">
        <f>VLOOKUP(B3250,'lista 1'!$A$2:$E$30100,4,0)</f>
        <v>#N/A</v>
      </c>
      <c r="B3250" s="123"/>
      <c r="C3250" s="133" t="e">
        <f>VLOOKUP(B3250,'lista 1'!$A$2:$E$31000,5,0)</f>
        <v>#N/A</v>
      </c>
      <c r="D3250" s="167" t="e">
        <f>VLOOKUP(E15050,'lista obszary'!A:B,2,0)</f>
        <v>#N/A</v>
      </c>
      <c r="E3250" s="128" t="e">
        <f>VLOOKUP(B3250,'LISTA 12'!$A$2:$G$301400,5,0)</f>
        <v>#N/A</v>
      </c>
      <c r="F3250" s="121" t="e">
        <f>VLOOKUP(B3250,'LISTA 12'!$A$2:$G$30100,7,0)</f>
        <v>#N/A</v>
      </c>
      <c r="G3250" s="254" t="e">
        <f>VLOOKUP(H3250,'lista 3'!$A$1:$C$31467,3,0)</f>
        <v>#N/A</v>
      </c>
      <c r="H3250" s="134"/>
      <c r="I3250" s="136"/>
      <c r="J3250" s="135"/>
      <c r="K3250" s="22"/>
    </row>
    <row r="3251" spans="1:11">
      <c r="A3251" s="241" t="e">
        <f>VLOOKUP(B3251,'lista 1'!$A$2:$E$30100,4,0)</f>
        <v>#N/A</v>
      </c>
      <c r="B3251" s="123"/>
      <c r="C3251" s="133" t="e">
        <f>VLOOKUP(B3251,'lista 1'!$A$2:$E$31000,5,0)</f>
        <v>#N/A</v>
      </c>
      <c r="D3251" s="167" t="e">
        <f>VLOOKUP(E15051,'lista obszary'!A:B,2,0)</f>
        <v>#N/A</v>
      </c>
      <c r="E3251" s="128" t="e">
        <f>VLOOKUP(B3251,'LISTA 12'!$A$2:$G$301400,5,0)</f>
        <v>#N/A</v>
      </c>
      <c r="F3251" s="121" t="e">
        <f>VLOOKUP(B3251,'LISTA 12'!$A$2:$G$30100,7,0)</f>
        <v>#N/A</v>
      </c>
      <c r="G3251" s="254" t="e">
        <f>VLOOKUP(H3251,'lista 3'!$A$1:$C$31467,3,0)</f>
        <v>#N/A</v>
      </c>
      <c r="H3251" s="134"/>
      <c r="I3251" s="136"/>
      <c r="J3251" s="135"/>
      <c r="K3251" s="22"/>
    </row>
    <row r="3252" spans="1:11">
      <c r="A3252" s="241" t="e">
        <f>VLOOKUP(B3252,'lista 1'!$A$2:$E$30100,4,0)</f>
        <v>#N/A</v>
      </c>
      <c r="B3252" s="123"/>
      <c r="C3252" s="133" t="e">
        <f>VLOOKUP(B3252,'lista 1'!$A$2:$E$31000,5,0)</f>
        <v>#N/A</v>
      </c>
      <c r="D3252" s="167" t="e">
        <f>VLOOKUP(E15052,'lista obszary'!A:B,2,0)</f>
        <v>#N/A</v>
      </c>
      <c r="E3252" s="128" t="e">
        <f>VLOOKUP(B3252,'LISTA 12'!$A$2:$G$301400,5,0)</f>
        <v>#N/A</v>
      </c>
      <c r="F3252" s="121" t="e">
        <f>VLOOKUP(B3252,'LISTA 12'!$A$2:$G$30100,7,0)</f>
        <v>#N/A</v>
      </c>
      <c r="G3252" s="254" t="e">
        <f>VLOOKUP(H3252,'lista 3'!$A$1:$C$31467,3,0)</f>
        <v>#N/A</v>
      </c>
      <c r="H3252" s="134"/>
      <c r="I3252" s="136"/>
      <c r="J3252" s="135"/>
      <c r="K3252" s="22"/>
    </row>
    <row r="3253" spans="1:11">
      <c r="A3253" s="241" t="e">
        <f>VLOOKUP(B3253,'lista 1'!$A$2:$E$30100,4,0)</f>
        <v>#N/A</v>
      </c>
      <c r="B3253" s="123"/>
      <c r="C3253" s="133" t="e">
        <f>VLOOKUP(B3253,'lista 1'!$A$2:$E$31000,5,0)</f>
        <v>#N/A</v>
      </c>
      <c r="D3253" s="167" t="e">
        <f>VLOOKUP(E15053,'lista obszary'!A:B,2,0)</f>
        <v>#N/A</v>
      </c>
      <c r="E3253" s="128" t="e">
        <f>VLOOKUP(B3253,'LISTA 12'!$A$2:$G$301400,5,0)</f>
        <v>#N/A</v>
      </c>
      <c r="F3253" s="121" t="e">
        <f>VLOOKUP(B3253,'LISTA 12'!$A$2:$G$30100,7,0)</f>
        <v>#N/A</v>
      </c>
      <c r="G3253" s="254" t="e">
        <f>VLOOKUP(H3253,'lista 3'!$A$1:$C$31467,3,0)</f>
        <v>#N/A</v>
      </c>
      <c r="H3253" s="134"/>
      <c r="I3253" s="136"/>
      <c r="J3253" s="135"/>
      <c r="K3253" s="22"/>
    </row>
    <row r="3254" spans="1:11">
      <c r="A3254" s="241" t="e">
        <f>VLOOKUP(B3254,'lista 1'!$A$2:$E$30100,4,0)</f>
        <v>#N/A</v>
      </c>
      <c r="B3254" s="123"/>
      <c r="C3254" s="133" t="e">
        <f>VLOOKUP(B3254,'lista 1'!$A$2:$E$31000,5,0)</f>
        <v>#N/A</v>
      </c>
      <c r="D3254" s="167" t="e">
        <f>VLOOKUP(E15054,'lista obszary'!A:B,2,0)</f>
        <v>#N/A</v>
      </c>
      <c r="E3254" s="128" t="e">
        <f>VLOOKUP(B3254,'LISTA 12'!$A$2:$G$301400,5,0)</f>
        <v>#N/A</v>
      </c>
      <c r="F3254" s="121" t="e">
        <f>VLOOKUP(B3254,'LISTA 12'!$A$2:$G$30100,7,0)</f>
        <v>#N/A</v>
      </c>
      <c r="G3254" s="254" t="e">
        <f>VLOOKUP(H3254,'lista 3'!$A$1:$C$31467,3,0)</f>
        <v>#N/A</v>
      </c>
      <c r="H3254" s="134"/>
      <c r="I3254" s="136"/>
      <c r="J3254" s="135"/>
      <c r="K3254" s="22"/>
    </row>
    <row r="3255" spans="1:11">
      <c r="A3255" s="241" t="e">
        <f>VLOOKUP(B3255,'lista 1'!$A$2:$E$30100,4,0)</f>
        <v>#N/A</v>
      </c>
      <c r="B3255" s="123"/>
      <c r="C3255" s="133" t="e">
        <f>VLOOKUP(B3255,'lista 1'!$A$2:$E$31000,5,0)</f>
        <v>#N/A</v>
      </c>
      <c r="D3255" s="167" t="e">
        <f>VLOOKUP(E15055,'lista obszary'!A:B,2,0)</f>
        <v>#N/A</v>
      </c>
      <c r="E3255" s="128" t="e">
        <f>VLOOKUP(B3255,'LISTA 12'!$A$2:$G$301400,5,0)</f>
        <v>#N/A</v>
      </c>
      <c r="F3255" s="121" t="e">
        <f>VLOOKUP(B3255,'LISTA 12'!$A$2:$G$30100,7,0)</f>
        <v>#N/A</v>
      </c>
      <c r="G3255" s="254" t="e">
        <f>VLOOKUP(H3255,'lista 3'!$A$1:$C$31467,3,0)</f>
        <v>#N/A</v>
      </c>
      <c r="H3255" s="134"/>
      <c r="I3255" s="136"/>
      <c r="J3255" s="135"/>
      <c r="K3255" s="22"/>
    </row>
    <row r="3256" spans="1:11">
      <c r="A3256" s="241" t="e">
        <f>VLOOKUP(B3256,'lista 1'!$A$2:$E$30100,4,0)</f>
        <v>#N/A</v>
      </c>
      <c r="B3256" s="123"/>
      <c r="C3256" s="133" t="e">
        <f>VLOOKUP(B3256,'lista 1'!$A$2:$E$31000,5,0)</f>
        <v>#N/A</v>
      </c>
      <c r="D3256" s="167" t="e">
        <f>VLOOKUP(E15056,'lista obszary'!A:B,2,0)</f>
        <v>#N/A</v>
      </c>
      <c r="E3256" s="128" t="e">
        <f>VLOOKUP(B3256,'LISTA 12'!$A$2:$G$301400,5,0)</f>
        <v>#N/A</v>
      </c>
      <c r="F3256" s="121" t="e">
        <f>VLOOKUP(B3256,'LISTA 12'!$A$2:$G$30100,7,0)</f>
        <v>#N/A</v>
      </c>
      <c r="G3256" s="254" t="e">
        <f>VLOOKUP(H3256,'lista 3'!$A$1:$C$31467,3,0)</f>
        <v>#N/A</v>
      </c>
      <c r="H3256" s="134"/>
      <c r="I3256" s="136"/>
      <c r="J3256" s="135"/>
      <c r="K3256" s="22"/>
    </row>
    <row r="3257" spans="1:11">
      <c r="A3257" s="241" t="e">
        <f>VLOOKUP(B3257,'lista 1'!$A$2:$E$30100,4,0)</f>
        <v>#N/A</v>
      </c>
      <c r="B3257" s="123"/>
      <c r="C3257" s="133" t="e">
        <f>VLOOKUP(B3257,'lista 1'!$A$2:$E$31000,5,0)</f>
        <v>#N/A</v>
      </c>
      <c r="D3257" s="167" t="e">
        <f>VLOOKUP(E15057,'lista obszary'!A:B,2,0)</f>
        <v>#N/A</v>
      </c>
      <c r="E3257" s="128" t="e">
        <f>VLOOKUP(B3257,'LISTA 12'!$A$2:$G$301400,5,0)</f>
        <v>#N/A</v>
      </c>
      <c r="F3257" s="121" t="e">
        <f>VLOOKUP(B3257,'LISTA 12'!$A$2:$G$30100,7,0)</f>
        <v>#N/A</v>
      </c>
      <c r="G3257" s="254" t="e">
        <f>VLOOKUP(H3257,'lista 3'!$A$1:$C$31467,3,0)</f>
        <v>#N/A</v>
      </c>
      <c r="H3257" s="134"/>
      <c r="I3257" s="136"/>
      <c r="J3257" s="135"/>
      <c r="K3257" s="22"/>
    </row>
    <row r="3258" spans="1:11">
      <c r="A3258" s="241" t="e">
        <f>VLOOKUP(B3258,'lista 1'!$A$2:$E$30100,4,0)</f>
        <v>#N/A</v>
      </c>
      <c r="B3258" s="123"/>
      <c r="C3258" s="133" t="e">
        <f>VLOOKUP(B3258,'lista 1'!$A$2:$E$31000,5,0)</f>
        <v>#N/A</v>
      </c>
      <c r="D3258" s="167" t="e">
        <f>VLOOKUP(E15058,'lista obszary'!A:B,2,0)</f>
        <v>#N/A</v>
      </c>
      <c r="E3258" s="128" t="e">
        <f>VLOOKUP(B3258,'LISTA 12'!$A$2:$G$301400,5,0)</f>
        <v>#N/A</v>
      </c>
      <c r="F3258" s="121" t="e">
        <f>VLOOKUP(B3258,'LISTA 12'!$A$2:$G$30100,7,0)</f>
        <v>#N/A</v>
      </c>
      <c r="G3258" s="254" t="e">
        <f>VLOOKUP(H3258,'lista 3'!$A$1:$C$31467,3,0)</f>
        <v>#N/A</v>
      </c>
      <c r="H3258" s="134"/>
      <c r="I3258" s="136"/>
      <c r="J3258" s="135"/>
      <c r="K3258" s="22"/>
    </row>
    <row r="3259" spans="1:11">
      <c r="A3259" s="241" t="e">
        <f>VLOOKUP(B3259,'lista 1'!$A$2:$E$30100,4,0)</f>
        <v>#N/A</v>
      </c>
      <c r="B3259" s="123"/>
      <c r="C3259" s="133" t="e">
        <f>VLOOKUP(B3259,'lista 1'!$A$2:$E$31000,5,0)</f>
        <v>#N/A</v>
      </c>
      <c r="D3259" s="167" t="e">
        <f>VLOOKUP(E15059,'lista obszary'!A:B,2,0)</f>
        <v>#N/A</v>
      </c>
      <c r="E3259" s="128" t="e">
        <f>VLOOKUP(B3259,'LISTA 12'!$A$2:$G$301400,5,0)</f>
        <v>#N/A</v>
      </c>
      <c r="F3259" s="121" t="e">
        <f>VLOOKUP(B3259,'LISTA 12'!$A$2:$G$30100,7,0)</f>
        <v>#N/A</v>
      </c>
      <c r="G3259" s="254" t="e">
        <f>VLOOKUP(H3259,'lista 3'!$A$1:$C$31467,3,0)</f>
        <v>#N/A</v>
      </c>
      <c r="H3259" s="134"/>
      <c r="I3259" s="136"/>
      <c r="J3259" s="135"/>
      <c r="K3259" s="22"/>
    </row>
    <row r="3260" spans="1:11">
      <c r="A3260" s="241" t="e">
        <f>VLOOKUP(B3260,'lista 1'!$A$2:$E$30100,4,0)</f>
        <v>#N/A</v>
      </c>
      <c r="B3260" s="123"/>
      <c r="C3260" s="133" t="e">
        <f>VLOOKUP(B3260,'lista 1'!$A$2:$E$31000,5,0)</f>
        <v>#N/A</v>
      </c>
      <c r="D3260" s="167" t="e">
        <f>VLOOKUP(E15060,'lista obszary'!A:B,2,0)</f>
        <v>#N/A</v>
      </c>
      <c r="E3260" s="128" t="e">
        <f>VLOOKUP(B3260,'LISTA 12'!$A$2:$G$301400,5,0)</f>
        <v>#N/A</v>
      </c>
      <c r="F3260" s="121" t="e">
        <f>VLOOKUP(B3260,'LISTA 12'!$A$2:$G$30100,7,0)</f>
        <v>#N/A</v>
      </c>
      <c r="G3260" s="254" t="e">
        <f>VLOOKUP(H3260,'lista 3'!$A$1:$C$31467,3,0)</f>
        <v>#N/A</v>
      </c>
      <c r="H3260" s="134"/>
      <c r="I3260" s="136"/>
      <c r="J3260" s="135"/>
      <c r="K3260" s="22"/>
    </row>
    <row r="3261" spans="1:11">
      <c r="A3261" s="241" t="e">
        <f>VLOOKUP(B3261,'lista 1'!$A$2:$E$30100,4,0)</f>
        <v>#N/A</v>
      </c>
      <c r="B3261" s="123"/>
      <c r="C3261" s="133" t="e">
        <f>VLOOKUP(B3261,'lista 1'!$A$2:$E$31000,5,0)</f>
        <v>#N/A</v>
      </c>
      <c r="D3261" s="167" t="e">
        <f>VLOOKUP(E15061,'lista obszary'!A:B,2,0)</f>
        <v>#N/A</v>
      </c>
      <c r="E3261" s="128" t="e">
        <f>VLOOKUP(B3261,'LISTA 12'!$A$2:$G$301400,5,0)</f>
        <v>#N/A</v>
      </c>
      <c r="F3261" s="121" t="e">
        <f>VLOOKUP(B3261,'LISTA 12'!$A$2:$G$30100,7,0)</f>
        <v>#N/A</v>
      </c>
      <c r="G3261" s="254" t="e">
        <f>VLOOKUP(H3261,'lista 3'!$A$1:$C$31467,3,0)</f>
        <v>#N/A</v>
      </c>
      <c r="H3261" s="134"/>
      <c r="I3261" s="136"/>
      <c r="J3261" s="135"/>
      <c r="K3261" s="22"/>
    </row>
    <row r="3262" spans="1:11">
      <c r="A3262" s="241" t="e">
        <f>VLOOKUP(B3262,'lista 1'!$A$2:$E$30100,4,0)</f>
        <v>#N/A</v>
      </c>
      <c r="B3262" s="123"/>
      <c r="C3262" s="133" t="e">
        <f>VLOOKUP(B3262,'lista 1'!$A$2:$E$31000,5,0)</f>
        <v>#N/A</v>
      </c>
      <c r="D3262" s="167" t="e">
        <f>VLOOKUP(E15062,'lista obszary'!A:B,2,0)</f>
        <v>#N/A</v>
      </c>
      <c r="E3262" s="128" t="e">
        <f>VLOOKUP(B3262,'LISTA 12'!$A$2:$G$301400,5,0)</f>
        <v>#N/A</v>
      </c>
      <c r="F3262" s="121" t="e">
        <f>VLOOKUP(B3262,'LISTA 12'!$A$2:$G$30100,7,0)</f>
        <v>#N/A</v>
      </c>
      <c r="G3262" s="254" t="e">
        <f>VLOOKUP(H3262,'lista 3'!$A$1:$C$31467,3,0)</f>
        <v>#N/A</v>
      </c>
      <c r="H3262" s="134"/>
      <c r="I3262" s="136"/>
      <c r="J3262" s="135"/>
      <c r="K3262" s="22"/>
    </row>
    <row r="3263" spans="1:11">
      <c r="A3263" s="241" t="e">
        <f>VLOOKUP(B3263,'lista 1'!$A$2:$E$30100,4,0)</f>
        <v>#N/A</v>
      </c>
      <c r="B3263" s="123"/>
      <c r="C3263" s="133" t="e">
        <f>VLOOKUP(B3263,'lista 1'!$A$2:$E$31000,5,0)</f>
        <v>#N/A</v>
      </c>
      <c r="D3263" s="167" t="e">
        <f>VLOOKUP(E15063,'lista obszary'!A:B,2,0)</f>
        <v>#N/A</v>
      </c>
      <c r="E3263" s="128" t="e">
        <f>VLOOKUP(B3263,'LISTA 12'!$A$2:$G$301400,5,0)</f>
        <v>#N/A</v>
      </c>
      <c r="F3263" s="121" t="e">
        <f>VLOOKUP(B3263,'LISTA 12'!$A$2:$G$30100,7,0)</f>
        <v>#N/A</v>
      </c>
      <c r="G3263" s="254" t="e">
        <f>VLOOKUP(H3263,'lista 3'!$A$1:$C$31467,3,0)</f>
        <v>#N/A</v>
      </c>
      <c r="H3263" s="134"/>
      <c r="I3263" s="136"/>
      <c r="J3263" s="135"/>
      <c r="K3263" s="22"/>
    </row>
    <row r="3264" spans="1:11">
      <c r="A3264" s="241" t="e">
        <f>VLOOKUP(B3264,'lista 1'!$A$2:$E$30100,4,0)</f>
        <v>#N/A</v>
      </c>
      <c r="B3264" s="123"/>
      <c r="C3264" s="133" t="e">
        <f>VLOOKUP(B3264,'lista 1'!$A$2:$E$31000,5,0)</f>
        <v>#N/A</v>
      </c>
      <c r="D3264" s="167" t="e">
        <f>VLOOKUP(E15064,'lista obszary'!A:B,2,0)</f>
        <v>#N/A</v>
      </c>
      <c r="E3264" s="128" t="e">
        <f>VLOOKUP(B3264,'LISTA 12'!$A$2:$G$301400,5,0)</f>
        <v>#N/A</v>
      </c>
      <c r="F3264" s="121" t="e">
        <f>VLOOKUP(B3264,'LISTA 12'!$A$2:$G$30100,7,0)</f>
        <v>#N/A</v>
      </c>
      <c r="G3264" s="254" t="e">
        <f>VLOOKUP(H3264,'lista 3'!$A$1:$C$31467,3,0)</f>
        <v>#N/A</v>
      </c>
      <c r="H3264" s="134"/>
      <c r="I3264" s="136"/>
      <c r="J3264" s="135"/>
      <c r="K3264" s="22"/>
    </row>
    <row r="3265" spans="1:11">
      <c r="A3265" s="241" t="e">
        <f>VLOOKUP(B3265,'lista 1'!$A$2:$E$30100,4,0)</f>
        <v>#N/A</v>
      </c>
      <c r="B3265" s="123"/>
      <c r="C3265" s="133" t="e">
        <f>VLOOKUP(B3265,'lista 1'!$A$2:$E$31000,5,0)</f>
        <v>#N/A</v>
      </c>
      <c r="D3265" s="167" t="e">
        <f>VLOOKUP(E15065,'lista obszary'!A:B,2,0)</f>
        <v>#N/A</v>
      </c>
      <c r="E3265" s="128" t="e">
        <f>VLOOKUP(B3265,'LISTA 12'!$A$2:$G$301400,5,0)</f>
        <v>#N/A</v>
      </c>
      <c r="F3265" s="121" t="e">
        <f>VLOOKUP(B3265,'LISTA 12'!$A$2:$G$30100,7,0)</f>
        <v>#N/A</v>
      </c>
      <c r="G3265" s="254" t="e">
        <f>VLOOKUP(H3265,'lista 3'!$A$1:$C$31467,3,0)</f>
        <v>#N/A</v>
      </c>
      <c r="H3265" s="134"/>
      <c r="I3265" s="136"/>
      <c r="J3265" s="135"/>
      <c r="K3265" s="22"/>
    </row>
    <row r="3266" spans="1:11">
      <c r="A3266" s="241" t="e">
        <f>VLOOKUP(B3266,'lista 1'!$A$2:$E$30100,4,0)</f>
        <v>#N/A</v>
      </c>
      <c r="B3266" s="123"/>
      <c r="C3266" s="133" t="e">
        <f>VLOOKUP(B3266,'lista 1'!$A$2:$E$31000,5,0)</f>
        <v>#N/A</v>
      </c>
      <c r="D3266" s="167" t="e">
        <f>VLOOKUP(E15066,'lista obszary'!A:B,2,0)</f>
        <v>#N/A</v>
      </c>
      <c r="E3266" s="128" t="e">
        <f>VLOOKUP(B3266,'LISTA 12'!$A$2:$G$301400,5,0)</f>
        <v>#N/A</v>
      </c>
      <c r="F3266" s="121" t="e">
        <f>VLOOKUP(B3266,'LISTA 12'!$A$2:$G$30100,7,0)</f>
        <v>#N/A</v>
      </c>
      <c r="G3266" s="254" t="e">
        <f>VLOOKUP(H3266,'lista 3'!$A$1:$C$31467,3,0)</f>
        <v>#N/A</v>
      </c>
      <c r="H3266" s="134"/>
      <c r="I3266" s="136"/>
      <c r="J3266" s="135"/>
      <c r="K3266" s="22"/>
    </row>
    <row r="3267" spans="1:11">
      <c r="A3267" s="241" t="e">
        <f>VLOOKUP(B3267,'lista 1'!$A$2:$E$30100,4,0)</f>
        <v>#N/A</v>
      </c>
      <c r="B3267" s="123"/>
      <c r="C3267" s="133" t="e">
        <f>VLOOKUP(B3267,'lista 1'!$A$2:$E$31000,5,0)</f>
        <v>#N/A</v>
      </c>
      <c r="D3267" s="167" t="e">
        <f>VLOOKUP(E15067,'lista obszary'!A:B,2,0)</f>
        <v>#N/A</v>
      </c>
      <c r="E3267" s="128" t="e">
        <f>VLOOKUP(B3267,'LISTA 12'!$A$2:$G$301400,5,0)</f>
        <v>#N/A</v>
      </c>
      <c r="F3267" s="121" t="e">
        <f>VLOOKUP(B3267,'LISTA 12'!$A$2:$G$30100,7,0)</f>
        <v>#N/A</v>
      </c>
      <c r="G3267" s="254" t="e">
        <f>VLOOKUP(H3267,'lista 3'!$A$1:$C$31467,3,0)</f>
        <v>#N/A</v>
      </c>
      <c r="H3267" s="134"/>
      <c r="I3267" s="136"/>
      <c r="J3267" s="135"/>
      <c r="K3267" s="22"/>
    </row>
    <row r="3268" spans="1:11">
      <c r="A3268" s="241" t="e">
        <f>VLOOKUP(B3268,'lista 1'!$A$2:$E$30100,4,0)</f>
        <v>#N/A</v>
      </c>
      <c r="B3268" s="123"/>
      <c r="C3268" s="133" t="e">
        <f>VLOOKUP(B3268,'lista 1'!$A$2:$E$31000,5,0)</f>
        <v>#N/A</v>
      </c>
      <c r="D3268" s="167" t="e">
        <f>VLOOKUP(E15068,'lista obszary'!A:B,2,0)</f>
        <v>#N/A</v>
      </c>
      <c r="E3268" s="128" t="e">
        <f>VLOOKUP(B3268,'LISTA 12'!$A$2:$G$301400,5,0)</f>
        <v>#N/A</v>
      </c>
      <c r="F3268" s="121" t="e">
        <f>VLOOKUP(B3268,'LISTA 12'!$A$2:$G$30100,7,0)</f>
        <v>#N/A</v>
      </c>
      <c r="G3268" s="254" t="e">
        <f>VLOOKUP(H3268,'lista 3'!$A$1:$C$31467,3,0)</f>
        <v>#N/A</v>
      </c>
      <c r="H3268" s="134"/>
      <c r="I3268" s="136"/>
      <c r="J3268" s="135"/>
      <c r="K3268" s="22"/>
    </row>
    <row r="3269" spans="1:11">
      <c r="A3269" s="241" t="e">
        <f>VLOOKUP(B3269,'lista 1'!$A$2:$E$30100,4,0)</f>
        <v>#N/A</v>
      </c>
      <c r="B3269" s="123"/>
      <c r="C3269" s="133" t="e">
        <f>VLOOKUP(B3269,'lista 1'!$A$2:$E$31000,5,0)</f>
        <v>#N/A</v>
      </c>
      <c r="D3269" s="167" t="e">
        <f>VLOOKUP(E15069,'lista obszary'!A:B,2,0)</f>
        <v>#N/A</v>
      </c>
      <c r="E3269" s="128" t="e">
        <f>VLOOKUP(B3269,'LISTA 12'!$A$2:$G$301400,5,0)</f>
        <v>#N/A</v>
      </c>
      <c r="F3269" s="121" t="e">
        <f>VLOOKUP(B3269,'LISTA 12'!$A$2:$G$30100,7,0)</f>
        <v>#N/A</v>
      </c>
      <c r="G3269" s="254" t="e">
        <f>VLOOKUP(H3269,'lista 3'!$A$1:$C$31467,3,0)</f>
        <v>#N/A</v>
      </c>
      <c r="H3269" s="134"/>
      <c r="I3269" s="136"/>
      <c r="J3269" s="135"/>
      <c r="K3269" s="22"/>
    </row>
    <row r="3270" spans="1:11">
      <c r="A3270" s="241" t="e">
        <f>VLOOKUP(B3270,'lista 1'!$A$2:$E$30100,4,0)</f>
        <v>#N/A</v>
      </c>
      <c r="B3270" s="123"/>
      <c r="C3270" s="133" t="e">
        <f>VLOOKUP(B3270,'lista 1'!$A$2:$E$31000,5,0)</f>
        <v>#N/A</v>
      </c>
      <c r="D3270" s="167" t="e">
        <f>VLOOKUP(E15070,'lista obszary'!A:B,2,0)</f>
        <v>#N/A</v>
      </c>
      <c r="E3270" s="128" t="e">
        <f>VLOOKUP(B3270,'LISTA 12'!$A$2:$G$301400,5,0)</f>
        <v>#N/A</v>
      </c>
      <c r="F3270" s="121" t="e">
        <f>VLOOKUP(B3270,'LISTA 12'!$A$2:$G$30100,7,0)</f>
        <v>#N/A</v>
      </c>
      <c r="G3270" s="254" t="e">
        <f>VLOOKUP(H3270,'lista 3'!$A$1:$C$31467,3,0)</f>
        <v>#N/A</v>
      </c>
      <c r="H3270" s="134"/>
      <c r="I3270" s="136"/>
      <c r="J3270" s="135"/>
      <c r="K3270" s="22"/>
    </row>
    <row r="3271" spans="1:11">
      <c r="A3271" s="241" t="e">
        <f>VLOOKUP(B3271,'lista 1'!$A$2:$E$30100,4,0)</f>
        <v>#N/A</v>
      </c>
      <c r="B3271" s="123"/>
      <c r="C3271" s="133" t="e">
        <f>VLOOKUP(B3271,'lista 1'!$A$2:$E$31000,5,0)</f>
        <v>#N/A</v>
      </c>
      <c r="D3271" s="167" t="e">
        <f>VLOOKUP(E15071,'lista obszary'!A:B,2,0)</f>
        <v>#N/A</v>
      </c>
      <c r="E3271" s="128" t="e">
        <f>VLOOKUP(B3271,'LISTA 12'!$A$2:$G$301400,5,0)</f>
        <v>#N/A</v>
      </c>
      <c r="F3271" s="121" t="e">
        <f>VLOOKUP(B3271,'LISTA 12'!$A$2:$G$30100,7,0)</f>
        <v>#N/A</v>
      </c>
      <c r="G3271" s="254" t="e">
        <f>VLOOKUP(H3271,'lista 3'!$A$1:$C$31467,3,0)</f>
        <v>#N/A</v>
      </c>
      <c r="H3271" s="134"/>
      <c r="I3271" s="136"/>
      <c r="J3271" s="135"/>
      <c r="K3271" s="22"/>
    </row>
    <row r="3272" spans="1:11">
      <c r="A3272" s="241" t="e">
        <f>VLOOKUP(B3272,'lista 1'!$A$2:$E$30100,4,0)</f>
        <v>#N/A</v>
      </c>
      <c r="B3272" s="123"/>
      <c r="C3272" s="133" t="e">
        <f>VLOOKUP(B3272,'lista 1'!$A$2:$E$31000,5,0)</f>
        <v>#N/A</v>
      </c>
      <c r="D3272" s="167" t="e">
        <f>VLOOKUP(E15072,'lista obszary'!A:B,2,0)</f>
        <v>#N/A</v>
      </c>
      <c r="E3272" s="128" t="e">
        <f>VLOOKUP(B3272,'LISTA 12'!$A$2:$G$301400,5,0)</f>
        <v>#N/A</v>
      </c>
      <c r="F3272" s="121" t="e">
        <f>VLOOKUP(B3272,'LISTA 12'!$A$2:$G$30100,7,0)</f>
        <v>#N/A</v>
      </c>
      <c r="G3272" s="254" t="e">
        <f>VLOOKUP(H3272,'lista 3'!$A$1:$C$31467,3,0)</f>
        <v>#N/A</v>
      </c>
      <c r="H3272" s="134"/>
      <c r="I3272" s="136"/>
      <c r="J3272" s="135"/>
      <c r="K3272" s="22"/>
    </row>
    <row r="3273" spans="1:11">
      <c r="A3273" s="241" t="e">
        <f>VLOOKUP(B3273,'lista 1'!$A$2:$E$30100,4,0)</f>
        <v>#N/A</v>
      </c>
      <c r="B3273" s="123"/>
      <c r="C3273" s="133" t="e">
        <f>VLOOKUP(B3273,'lista 1'!$A$2:$E$31000,5,0)</f>
        <v>#N/A</v>
      </c>
      <c r="D3273" s="167" t="e">
        <f>VLOOKUP(E15073,'lista obszary'!A:B,2,0)</f>
        <v>#N/A</v>
      </c>
      <c r="E3273" s="128" t="e">
        <f>VLOOKUP(B3273,'LISTA 12'!$A$2:$G$301400,5,0)</f>
        <v>#N/A</v>
      </c>
      <c r="F3273" s="121" t="e">
        <f>VLOOKUP(B3273,'LISTA 12'!$A$2:$G$30100,7,0)</f>
        <v>#N/A</v>
      </c>
      <c r="G3273" s="254" t="e">
        <f>VLOOKUP(H3273,'lista 3'!$A$1:$C$31467,3,0)</f>
        <v>#N/A</v>
      </c>
      <c r="H3273" s="134"/>
      <c r="I3273" s="136"/>
      <c r="J3273" s="135"/>
      <c r="K3273" s="22"/>
    </row>
    <row r="3274" spans="1:11">
      <c r="A3274" s="241" t="e">
        <f>VLOOKUP(B3274,'lista 1'!$A$2:$E$30100,4,0)</f>
        <v>#N/A</v>
      </c>
      <c r="B3274" s="123"/>
      <c r="C3274" s="133" t="e">
        <f>VLOOKUP(B3274,'lista 1'!$A$2:$E$31000,5,0)</f>
        <v>#N/A</v>
      </c>
      <c r="D3274" s="167" t="e">
        <f>VLOOKUP(E15074,'lista obszary'!A:B,2,0)</f>
        <v>#N/A</v>
      </c>
      <c r="E3274" s="128" t="e">
        <f>VLOOKUP(B3274,'LISTA 12'!$A$2:$G$301400,5,0)</f>
        <v>#N/A</v>
      </c>
      <c r="F3274" s="121" t="e">
        <f>VLOOKUP(B3274,'LISTA 12'!$A$2:$G$30100,7,0)</f>
        <v>#N/A</v>
      </c>
      <c r="G3274" s="254" t="e">
        <f>VLOOKUP(H3274,'lista 3'!$A$1:$C$31467,3,0)</f>
        <v>#N/A</v>
      </c>
      <c r="H3274" s="134"/>
      <c r="I3274" s="136"/>
      <c r="J3274" s="135"/>
      <c r="K3274" s="22"/>
    </row>
    <row r="3275" spans="1:11">
      <c r="A3275" s="241" t="e">
        <f>VLOOKUP(B3275,'lista 1'!$A$2:$E$30100,4,0)</f>
        <v>#N/A</v>
      </c>
      <c r="B3275" s="123"/>
      <c r="C3275" s="133" t="e">
        <f>VLOOKUP(B3275,'lista 1'!$A$2:$E$31000,5,0)</f>
        <v>#N/A</v>
      </c>
      <c r="D3275" s="167" t="e">
        <f>VLOOKUP(E15075,'lista obszary'!A:B,2,0)</f>
        <v>#N/A</v>
      </c>
      <c r="E3275" s="128" t="e">
        <f>VLOOKUP(B3275,'LISTA 12'!$A$2:$G$301400,5,0)</f>
        <v>#N/A</v>
      </c>
      <c r="F3275" s="121" t="e">
        <f>VLOOKUP(B3275,'LISTA 12'!$A$2:$G$30100,7,0)</f>
        <v>#N/A</v>
      </c>
      <c r="G3275" s="254" t="e">
        <f>VLOOKUP(H3275,'lista 3'!$A$1:$C$31467,3,0)</f>
        <v>#N/A</v>
      </c>
      <c r="H3275" s="134"/>
      <c r="I3275" s="136"/>
      <c r="J3275" s="135"/>
      <c r="K3275" s="22"/>
    </row>
    <row r="3276" spans="1:11">
      <c r="A3276" s="241" t="e">
        <f>VLOOKUP(B3276,'lista 1'!$A$2:$E$30100,4,0)</f>
        <v>#N/A</v>
      </c>
      <c r="B3276" s="123"/>
      <c r="C3276" s="133" t="e">
        <f>VLOOKUP(B3276,'lista 1'!$A$2:$E$31000,5,0)</f>
        <v>#N/A</v>
      </c>
      <c r="D3276" s="167" t="e">
        <f>VLOOKUP(E15076,'lista obszary'!A:B,2,0)</f>
        <v>#N/A</v>
      </c>
      <c r="E3276" s="128" t="e">
        <f>VLOOKUP(B3276,'LISTA 12'!$A$2:$G$301400,5,0)</f>
        <v>#N/A</v>
      </c>
      <c r="F3276" s="121" t="e">
        <f>VLOOKUP(B3276,'LISTA 12'!$A$2:$G$30100,7,0)</f>
        <v>#N/A</v>
      </c>
      <c r="G3276" s="254" t="e">
        <f>VLOOKUP(H3276,'lista 3'!$A$1:$C$31467,3,0)</f>
        <v>#N/A</v>
      </c>
      <c r="H3276" s="134"/>
      <c r="I3276" s="136"/>
      <c r="J3276" s="135"/>
      <c r="K3276" s="22"/>
    </row>
    <row r="3277" spans="1:11">
      <c r="A3277" s="241" t="e">
        <f>VLOOKUP(B3277,'lista 1'!$A$2:$E$30100,4,0)</f>
        <v>#N/A</v>
      </c>
      <c r="B3277" s="123"/>
      <c r="C3277" s="133" t="e">
        <f>VLOOKUP(B3277,'lista 1'!$A$2:$E$31000,5,0)</f>
        <v>#N/A</v>
      </c>
      <c r="D3277" s="167" t="e">
        <f>VLOOKUP(E15077,'lista obszary'!A:B,2,0)</f>
        <v>#N/A</v>
      </c>
      <c r="E3277" s="128" t="e">
        <f>VLOOKUP(B3277,'LISTA 12'!$A$2:$G$301400,5,0)</f>
        <v>#N/A</v>
      </c>
      <c r="F3277" s="121" t="e">
        <f>VLOOKUP(B3277,'LISTA 12'!$A$2:$G$30100,7,0)</f>
        <v>#N/A</v>
      </c>
      <c r="G3277" s="254" t="e">
        <f>VLOOKUP(H3277,'lista 3'!$A$1:$C$31467,3,0)</f>
        <v>#N/A</v>
      </c>
      <c r="H3277" s="134"/>
      <c r="I3277" s="136"/>
      <c r="J3277" s="135"/>
      <c r="K3277" s="22"/>
    </row>
    <row r="3278" spans="1:11">
      <c r="A3278" s="241" t="e">
        <f>VLOOKUP(B3278,'lista 1'!$A$2:$E$30100,4,0)</f>
        <v>#N/A</v>
      </c>
      <c r="B3278" s="123"/>
      <c r="C3278" s="133" t="e">
        <f>VLOOKUP(B3278,'lista 1'!$A$2:$E$31000,5,0)</f>
        <v>#N/A</v>
      </c>
      <c r="D3278" s="167" t="e">
        <f>VLOOKUP(E15078,'lista obszary'!A:B,2,0)</f>
        <v>#N/A</v>
      </c>
      <c r="E3278" s="128" t="e">
        <f>VLOOKUP(B3278,'LISTA 12'!$A$2:$G$301400,5,0)</f>
        <v>#N/A</v>
      </c>
      <c r="F3278" s="121" t="e">
        <f>VLOOKUP(B3278,'LISTA 12'!$A$2:$G$30100,7,0)</f>
        <v>#N/A</v>
      </c>
      <c r="G3278" s="254" t="e">
        <f>VLOOKUP(H3278,'lista 3'!$A$1:$C$31467,3,0)</f>
        <v>#N/A</v>
      </c>
      <c r="H3278" s="134"/>
      <c r="I3278" s="136"/>
      <c r="J3278" s="135"/>
      <c r="K3278" s="22"/>
    </row>
    <row r="3279" spans="1:11">
      <c r="A3279" s="241" t="e">
        <f>VLOOKUP(B3279,'lista 1'!$A$2:$E$30100,4,0)</f>
        <v>#N/A</v>
      </c>
      <c r="B3279" s="123"/>
      <c r="C3279" s="133" t="e">
        <f>VLOOKUP(B3279,'lista 1'!$A$2:$E$31000,5,0)</f>
        <v>#N/A</v>
      </c>
      <c r="D3279" s="167" t="e">
        <f>VLOOKUP(E15079,'lista obszary'!A:B,2,0)</f>
        <v>#N/A</v>
      </c>
      <c r="E3279" s="128" t="e">
        <f>VLOOKUP(B3279,'LISTA 12'!$A$2:$G$301400,5,0)</f>
        <v>#N/A</v>
      </c>
      <c r="F3279" s="121" t="e">
        <f>VLOOKUP(B3279,'LISTA 12'!$A$2:$G$30100,7,0)</f>
        <v>#N/A</v>
      </c>
      <c r="G3279" s="254" t="e">
        <f>VLOOKUP(H3279,'lista 3'!$A$1:$C$31467,3,0)</f>
        <v>#N/A</v>
      </c>
      <c r="H3279" s="134"/>
      <c r="I3279" s="136"/>
      <c r="J3279" s="135"/>
      <c r="K3279" s="22"/>
    </row>
    <row r="3280" spans="1:11">
      <c r="A3280" s="241" t="e">
        <f>VLOOKUP(B3280,'lista 1'!$A$2:$E$30100,4,0)</f>
        <v>#N/A</v>
      </c>
      <c r="B3280" s="123"/>
      <c r="C3280" s="133" t="e">
        <f>VLOOKUP(B3280,'lista 1'!$A$2:$E$31000,5,0)</f>
        <v>#N/A</v>
      </c>
      <c r="D3280" s="167" t="e">
        <f>VLOOKUP(E15080,'lista obszary'!A:B,2,0)</f>
        <v>#N/A</v>
      </c>
      <c r="E3280" s="128" t="e">
        <f>VLOOKUP(B3280,'LISTA 12'!$A$2:$G$301400,5,0)</f>
        <v>#N/A</v>
      </c>
      <c r="F3280" s="121" t="e">
        <f>VLOOKUP(B3280,'LISTA 12'!$A$2:$G$30100,7,0)</f>
        <v>#N/A</v>
      </c>
      <c r="G3280" s="254" t="e">
        <f>VLOOKUP(H3280,'lista 3'!$A$1:$C$31467,3,0)</f>
        <v>#N/A</v>
      </c>
      <c r="H3280" s="134"/>
      <c r="I3280" s="136"/>
      <c r="J3280" s="135"/>
      <c r="K3280" s="22"/>
    </row>
    <row r="3281" spans="1:11">
      <c r="A3281" s="241" t="e">
        <f>VLOOKUP(B3281,'lista 1'!$A$2:$E$30100,4,0)</f>
        <v>#N/A</v>
      </c>
      <c r="B3281" s="123"/>
      <c r="C3281" s="133" t="e">
        <f>VLOOKUP(B3281,'lista 1'!$A$2:$E$31000,5,0)</f>
        <v>#N/A</v>
      </c>
      <c r="D3281" s="167" t="e">
        <f>VLOOKUP(E15081,'lista obszary'!A:B,2,0)</f>
        <v>#N/A</v>
      </c>
      <c r="E3281" s="128" t="e">
        <f>VLOOKUP(B3281,'LISTA 12'!$A$2:$G$301400,5,0)</f>
        <v>#N/A</v>
      </c>
      <c r="F3281" s="121" t="e">
        <f>VLOOKUP(B3281,'LISTA 12'!$A$2:$G$30100,7,0)</f>
        <v>#N/A</v>
      </c>
      <c r="G3281" s="254" t="e">
        <f>VLOOKUP(H3281,'lista 3'!$A$1:$C$31467,3,0)</f>
        <v>#N/A</v>
      </c>
      <c r="H3281" s="134"/>
      <c r="I3281" s="136"/>
      <c r="J3281" s="135"/>
      <c r="K3281" s="22"/>
    </row>
    <row r="3282" spans="1:11">
      <c r="A3282" s="241" t="e">
        <f>VLOOKUP(B3282,'lista 1'!$A$2:$E$30100,4,0)</f>
        <v>#N/A</v>
      </c>
      <c r="B3282" s="123"/>
      <c r="C3282" s="133" t="e">
        <f>VLOOKUP(B3282,'lista 1'!$A$2:$E$31000,5,0)</f>
        <v>#N/A</v>
      </c>
      <c r="D3282" s="167" t="e">
        <f>VLOOKUP(E15082,'lista obszary'!A:B,2,0)</f>
        <v>#N/A</v>
      </c>
      <c r="E3282" s="128" t="e">
        <f>VLOOKUP(B3282,'LISTA 12'!$A$2:$G$301400,5,0)</f>
        <v>#N/A</v>
      </c>
      <c r="F3282" s="121" t="e">
        <f>VLOOKUP(B3282,'LISTA 12'!$A$2:$G$30100,7,0)</f>
        <v>#N/A</v>
      </c>
      <c r="G3282" s="254" t="e">
        <f>VLOOKUP(H3282,'lista 3'!$A$1:$C$31467,3,0)</f>
        <v>#N/A</v>
      </c>
      <c r="H3282" s="134"/>
      <c r="I3282" s="136"/>
      <c r="J3282" s="135"/>
      <c r="K3282" s="22"/>
    </row>
    <row r="3283" spans="1:11">
      <c r="A3283" s="241" t="e">
        <f>VLOOKUP(B3283,'lista 1'!$A$2:$E$30100,4,0)</f>
        <v>#N/A</v>
      </c>
      <c r="B3283" s="123"/>
      <c r="C3283" s="133" t="e">
        <f>VLOOKUP(B3283,'lista 1'!$A$2:$E$31000,5,0)</f>
        <v>#N/A</v>
      </c>
      <c r="D3283" s="167" t="e">
        <f>VLOOKUP(E15083,'lista obszary'!A:B,2,0)</f>
        <v>#N/A</v>
      </c>
      <c r="E3283" s="128" t="e">
        <f>VLOOKUP(B3283,'LISTA 12'!$A$2:$G$301400,5,0)</f>
        <v>#N/A</v>
      </c>
      <c r="F3283" s="121" t="e">
        <f>VLOOKUP(B3283,'LISTA 12'!$A$2:$G$30100,7,0)</f>
        <v>#N/A</v>
      </c>
      <c r="G3283" s="254" t="e">
        <f>VLOOKUP(H3283,'lista 3'!$A$1:$C$31467,3,0)</f>
        <v>#N/A</v>
      </c>
      <c r="H3283" s="134"/>
      <c r="I3283" s="136"/>
      <c r="J3283" s="135"/>
      <c r="K3283" s="22"/>
    </row>
    <row r="3284" spans="1:11">
      <c r="A3284" s="241" t="e">
        <f>VLOOKUP(B3284,'lista 1'!$A$2:$E$30100,4,0)</f>
        <v>#N/A</v>
      </c>
      <c r="B3284" s="123"/>
      <c r="C3284" s="133" t="e">
        <f>VLOOKUP(B3284,'lista 1'!$A$2:$E$31000,5,0)</f>
        <v>#N/A</v>
      </c>
      <c r="D3284" s="167" t="e">
        <f>VLOOKUP(E15084,'lista obszary'!A:B,2,0)</f>
        <v>#N/A</v>
      </c>
      <c r="E3284" s="128" t="e">
        <f>VLOOKUP(B3284,'LISTA 12'!$A$2:$G$301400,5,0)</f>
        <v>#N/A</v>
      </c>
      <c r="F3284" s="121" t="e">
        <f>VLOOKUP(B3284,'LISTA 12'!$A$2:$G$30100,7,0)</f>
        <v>#N/A</v>
      </c>
      <c r="G3284" s="254" t="e">
        <f>VLOOKUP(H3284,'lista 3'!$A$1:$C$31467,3,0)</f>
        <v>#N/A</v>
      </c>
      <c r="H3284" s="134"/>
      <c r="I3284" s="136"/>
      <c r="J3284" s="135"/>
      <c r="K3284" s="22"/>
    </row>
    <row r="3285" spans="1:11">
      <c r="A3285" s="241" t="e">
        <f>VLOOKUP(B3285,'lista 1'!$A$2:$E$30100,4,0)</f>
        <v>#N/A</v>
      </c>
      <c r="B3285" s="123"/>
      <c r="C3285" s="133" t="e">
        <f>VLOOKUP(B3285,'lista 1'!$A$2:$E$31000,5,0)</f>
        <v>#N/A</v>
      </c>
      <c r="D3285" s="167" t="e">
        <f>VLOOKUP(E15085,'lista obszary'!A:B,2,0)</f>
        <v>#N/A</v>
      </c>
      <c r="E3285" s="128" t="e">
        <f>VLOOKUP(B3285,'LISTA 12'!$A$2:$G$301400,5,0)</f>
        <v>#N/A</v>
      </c>
      <c r="F3285" s="121" t="e">
        <f>VLOOKUP(B3285,'LISTA 12'!$A$2:$G$30100,7,0)</f>
        <v>#N/A</v>
      </c>
      <c r="G3285" s="254" t="e">
        <f>VLOOKUP(H3285,'lista 3'!$A$1:$C$31467,3,0)</f>
        <v>#N/A</v>
      </c>
      <c r="H3285" s="134"/>
      <c r="I3285" s="136"/>
      <c r="J3285" s="135"/>
      <c r="K3285" s="22"/>
    </row>
    <row r="3286" spans="1:11">
      <c r="A3286" s="241" t="e">
        <f>VLOOKUP(B3286,'lista 1'!$A$2:$E$30100,4,0)</f>
        <v>#N/A</v>
      </c>
      <c r="B3286" s="123"/>
      <c r="C3286" s="133" t="e">
        <f>VLOOKUP(B3286,'lista 1'!$A$2:$E$31000,5,0)</f>
        <v>#N/A</v>
      </c>
      <c r="D3286" s="167" t="e">
        <f>VLOOKUP(E15086,'lista obszary'!A:B,2,0)</f>
        <v>#N/A</v>
      </c>
      <c r="E3286" s="128" t="e">
        <f>VLOOKUP(B3286,'LISTA 12'!$A$2:$G$301400,5,0)</f>
        <v>#N/A</v>
      </c>
      <c r="F3286" s="121" t="e">
        <f>VLOOKUP(B3286,'LISTA 12'!$A$2:$G$30100,7,0)</f>
        <v>#N/A</v>
      </c>
      <c r="G3286" s="254" t="e">
        <f>VLOOKUP(H3286,'lista 3'!$A$1:$C$31467,3,0)</f>
        <v>#N/A</v>
      </c>
      <c r="H3286" s="134"/>
      <c r="I3286" s="136"/>
      <c r="J3286" s="135"/>
      <c r="K3286" s="22"/>
    </row>
    <row r="3287" spans="1:11">
      <c r="A3287" s="241" t="e">
        <f>VLOOKUP(B3287,'lista 1'!$A$2:$E$30100,4,0)</f>
        <v>#N/A</v>
      </c>
      <c r="B3287" s="123"/>
      <c r="C3287" s="133" t="e">
        <f>VLOOKUP(B3287,'lista 1'!$A$2:$E$31000,5,0)</f>
        <v>#N/A</v>
      </c>
      <c r="D3287" s="167" t="e">
        <f>VLOOKUP(E15087,'lista obszary'!A:B,2,0)</f>
        <v>#N/A</v>
      </c>
      <c r="E3287" s="128" t="e">
        <f>VLOOKUP(B3287,'LISTA 12'!$A$2:$G$301400,5,0)</f>
        <v>#N/A</v>
      </c>
      <c r="F3287" s="121" t="e">
        <f>VLOOKUP(B3287,'LISTA 12'!$A$2:$G$30100,7,0)</f>
        <v>#N/A</v>
      </c>
      <c r="G3287" s="254" t="e">
        <f>VLOOKUP(H3287,'lista 3'!$A$1:$C$31467,3,0)</f>
        <v>#N/A</v>
      </c>
      <c r="H3287" s="134"/>
      <c r="I3287" s="136"/>
      <c r="J3287" s="135"/>
      <c r="K3287" s="22"/>
    </row>
    <row r="3288" spans="1:11">
      <c r="A3288" s="241" t="e">
        <f>VLOOKUP(B3288,'lista 1'!$A$2:$E$30100,4,0)</f>
        <v>#N/A</v>
      </c>
      <c r="B3288" s="123"/>
      <c r="C3288" s="133" t="e">
        <f>VLOOKUP(B3288,'lista 1'!$A$2:$E$31000,5,0)</f>
        <v>#N/A</v>
      </c>
      <c r="D3288" s="167" t="e">
        <f>VLOOKUP(E15088,'lista obszary'!A:B,2,0)</f>
        <v>#N/A</v>
      </c>
      <c r="E3288" s="128" t="e">
        <f>VLOOKUP(B3288,'LISTA 12'!$A$2:$G$301400,5,0)</f>
        <v>#N/A</v>
      </c>
      <c r="F3288" s="121" t="e">
        <f>VLOOKUP(B3288,'LISTA 12'!$A$2:$G$30100,7,0)</f>
        <v>#N/A</v>
      </c>
      <c r="G3288" s="254" t="e">
        <f>VLOOKUP(H3288,'lista 3'!$A$1:$C$31467,3,0)</f>
        <v>#N/A</v>
      </c>
      <c r="H3288" s="134"/>
      <c r="I3288" s="136"/>
      <c r="J3288" s="135"/>
      <c r="K3288" s="22"/>
    </row>
    <row r="3289" spans="1:11">
      <c r="A3289" s="241" t="e">
        <f>VLOOKUP(B3289,'lista 1'!$A$2:$E$30100,4,0)</f>
        <v>#N/A</v>
      </c>
      <c r="B3289" s="123"/>
      <c r="C3289" s="133" t="e">
        <f>VLOOKUP(B3289,'lista 1'!$A$2:$E$31000,5,0)</f>
        <v>#N/A</v>
      </c>
      <c r="D3289" s="167" t="e">
        <f>VLOOKUP(E15089,'lista obszary'!A:B,2,0)</f>
        <v>#N/A</v>
      </c>
      <c r="E3289" s="128" t="e">
        <f>VLOOKUP(B3289,'LISTA 12'!$A$2:$G$301400,5,0)</f>
        <v>#N/A</v>
      </c>
      <c r="F3289" s="121" t="e">
        <f>VLOOKUP(B3289,'LISTA 12'!$A$2:$G$30100,7,0)</f>
        <v>#N/A</v>
      </c>
      <c r="G3289" s="254" t="e">
        <f>VLOOKUP(H3289,'lista 3'!$A$1:$C$31467,3,0)</f>
        <v>#N/A</v>
      </c>
      <c r="H3289" s="134"/>
      <c r="I3289" s="136"/>
      <c r="J3289" s="135"/>
      <c r="K3289" s="22"/>
    </row>
    <row r="3290" spans="1:11">
      <c r="A3290" s="241" t="e">
        <f>VLOOKUP(B3290,'lista 1'!$A$2:$E$30100,4,0)</f>
        <v>#N/A</v>
      </c>
      <c r="B3290" s="123"/>
      <c r="C3290" s="133" t="e">
        <f>VLOOKUP(B3290,'lista 1'!$A$2:$E$31000,5,0)</f>
        <v>#N/A</v>
      </c>
      <c r="D3290" s="167" t="e">
        <f>VLOOKUP(E15090,'lista obszary'!A:B,2,0)</f>
        <v>#N/A</v>
      </c>
      <c r="E3290" s="128" t="e">
        <f>VLOOKUP(B3290,'LISTA 12'!$A$2:$G$301400,5,0)</f>
        <v>#N/A</v>
      </c>
      <c r="F3290" s="121" t="e">
        <f>VLOOKUP(B3290,'LISTA 12'!$A$2:$G$30100,7,0)</f>
        <v>#N/A</v>
      </c>
      <c r="G3290" s="254" t="e">
        <f>VLOOKUP(H3290,'lista 3'!$A$1:$C$31467,3,0)</f>
        <v>#N/A</v>
      </c>
      <c r="H3290" s="134"/>
      <c r="I3290" s="136"/>
      <c r="J3290" s="135"/>
      <c r="K3290" s="22"/>
    </row>
    <row r="3291" spans="1:11">
      <c r="A3291" s="241" t="e">
        <f>VLOOKUP(B3291,'lista 1'!$A$2:$E$30100,4,0)</f>
        <v>#N/A</v>
      </c>
      <c r="B3291" s="123"/>
      <c r="C3291" s="133" t="e">
        <f>VLOOKUP(B3291,'lista 1'!$A$2:$E$31000,5,0)</f>
        <v>#N/A</v>
      </c>
      <c r="D3291" s="167" t="e">
        <f>VLOOKUP(E15091,'lista obszary'!A:B,2,0)</f>
        <v>#N/A</v>
      </c>
      <c r="E3291" s="128" t="e">
        <f>VLOOKUP(B3291,'LISTA 12'!$A$2:$G$301400,5,0)</f>
        <v>#N/A</v>
      </c>
      <c r="F3291" s="121" t="e">
        <f>VLOOKUP(B3291,'LISTA 12'!$A$2:$G$30100,7,0)</f>
        <v>#N/A</v>
      </c>
      <c r="G3291" s="254" t="e">
        <f>VLOOKUP(H3291,'lista 3'!$A$1:$C$31467,3,0)</f>
        <v>#N/A</v>
      </c>
      <c r="H3291" s="134"/>
      <c r="I3291" s="136"/>
      <c r="J3291" s="135"/>
      <c r="K3291" s="22"/>
    </row>
    <row r="3292" spans="1:11">
      <c r="A3292" s="241" t="e">
        <f>VLOOKUP(B3292,'lista 1'!$A$2:$E$30100,4,0)</f>
        <v>#N/A</v>
      </c>
      <c r="B3292" s="123"/>
      <c r="C3292" s="133" t="e">
        <f>VLOOKUP(B3292,'lista 1'!$A$2:$E$31000,5,0)</f>
        <v>#N/A</v>
      </c>
      <c r="D3292" s="167" t="e">
        <f>VLOOKUP(E15092,'lista obszary'!A:B,2,0)</f>
        <v>#N/A</v>
      </c>
      <c r="E3292" s="128" t="e">
        <f>VLOOKUP(B3292,'LISTA 12'!$A$2:$G$301400,5,0)</f>
        <v>#N/A</v>
      </c>
      <c r="F3292" s="121" t="e">
        <f>VLOOKUP(B3292,'LISTA 12'!$A$2:$G$30100,7,0)</f>
        <v>#N/A</v>
      </c>
      <c r="G3292" s="254" t="e">
        <f>VLOOKUP(H3292,'lista 3'!$A$1:$C$31467,3,0)</f>
        <v>#N/A</v>
      </c>
      <c r="H3292" s="134"/>
      <c r="I3292" s="136"/>
      <c r="J3292" s="135"/>
      <c r="K3292" s="22"/>
    </row>
    <row r="3293" spans="1:11">
      <c r="A3293" s="241" t="e">
        <f>VLOOKUP(B3293,'lista 1'!$A$2:$E$30100,4,0)</f>
        <v>#N/A</v>
      </c>
      <c r="B3293" s="123"/>
      <c r="C3293" s="133" t="e">
        <f>VLOOKUP(B3293,'lista 1'!$A$2:$E$31000,5,0)</f>
        <v>#N/A</v>
      </c>
      <c r="D3293" s="167" t="e">
        <f>VLOOKUP(E15093,'lista obszary'!A:B,2,0)</f>
        <v>#N/A</v>
      </c>
      <c r="E3293" s="128" t="e">
        <f>VLOOKUP(B3293,'LISTA 12'!$A$2:$G$301400,5,0)</f>
        <v>#N/A</v>
      </c>
      <c r="F3293" s="121" t="e">
        <f>VLOOKUP(B3293,'LISTA 12'!$A$2:$G$30100,7,0)</f>
        <v>#N/A</v>
      </c>
      <c r="G3293" s="254" t="e">
        <f>VLOOKUP(H3293,'lista 3'!$A$1:$C$31467,3,0)</f>
        <v>#N/A</v>
      </c>
      <c r="H3293" s="134"/>
      <c r="I3293" s="136"/>
      <c r="J3293" s="135"/>
      <c r="K3293" s="22"/>
    </row>
    <row r="3294" spans="1:11">
      <c r="A3294" s="241" t="e">
        <f>VLOOKUP(B3294,'lista 1'!$A$2:$E$30100,4,0)</f>
        <v>#N/A</v>
      </c>
      <c r="B3294" s="123"/>
      <c r="C3294" s="133" t="e">
        <f>VLOOKUP(B3294,'lista 1'!$A$2:$E$31000,5,0)</f>
        <v>#N/A</v>
      </c>
      <c r="D3294" s="167" t="e">
        <f>VLOOKUP(E15094,'lista obszary'!A:B,2,0)</f>
        <v>#N/A</v>
      </c>
      <c r="E3294" s="128" t="e">
        <f>VLOOKUP(B3294,'LISTA 12'!$A$2:$G$301400,5,0)</f>
        <v>#N/A</v>
      </c>
      <c r="F3294" s="121" t="e">
        <f>VLOOKUP(B3294,'LISTA 12'!$A$2:$G$30100,7,0)</f>
        <v>#N/A</v>
      </c>
      <c r="G3294" s="254" t="e">
        <f>VLOOKUP(H3294,'lista 3'!$A$1:$C$31467,3,0)</f>
        <v>#N/A</v>
      </c>
      <c r="H3294" s="134"/>
      <c r="I3294" s="136"/>
      <c r="J3294" s="135"/>
      <c r="K3294" s="22"/>
    </row>
    <row r="3295" spans="1:11">
      <c r="A3295" s="241" t="e">
        <f>VLOOKUP(B3295,'lista 1'!$A$2:$E$30100,4,0)</f>
        <v>#N/A</v>
      </c>
      <c r="B3295" s="123"/>
      <c r="C3295" s="133" t="e">
        <f>VLOOKUP(B3295,'lista 1'!$A$2:$E$31000,5,0)</f>
        <v>#N/A</v>
      </c>
      <c r="D3295" s="167" t="e">
        <f>VLOOKUP(E15095,'lista obszary'!A:B,2,0)</f>
        <v>#N/A</v>
      </c>
      <c r="E3295" s="128" t="e">
        <f>VLOOKUP(B3295,'LISTA 12'!$A$2:$G$301400,5,0)</f>
        <v>#N/A</v>
      </c>
      <c r="F3295" s="121" t="e">
        <f>VLOOKUP(B3295,'LISTA 12'!$A$2:$G$30100,7,0)</f>
        <v>#N/A</v>
      </c>
      <c r="G3295" s="254" t="e">
        <f>VLOOKUP(H3295,'lista 3'!$A$1:$C$31467,3,0)</f>
        <v>#N/A</v>
      </c>
      <c r="H3295" s="134"/>
      <c r="I3295" s="136"/>
      <c r="J3295" s="135"/>
      <c r="K3295" s="22"/>
    </row>
    <row r="3296" spans="1:11">
      <c r="A3296" s="241" t="e">
        <f>VLOOKUP(B3296,'lista 1'!$A$2:$E$30100,4,0)</f>
        <v>#N/A</v>
      </c>
      <c r="B3296" s="123"/>
      <c r="C3296" s="133" t="e">
        <f>VLOOKUP(B3296,'lista 1'!$A$2:$E$31000,5,0)</f>
        <v>#N/A</v>
      </c>
      <c r="D3296" s="167" t="e">
        <f>VLOOKUP(E15096,'lista obszary'!A:B,2,0)</f>
        <v>#N/A</v>
      </c>
      <c r="E3296" s="128" t="e">
        <f>VLOOKUP(B3296,'LISTA 12'!$A$2:$G$301400,5,0)</f>
        <v>#N/A</v>
      </c>
      <c r="F3296" s="121" t="e">
        <f>VLOOKUP(B3296,'LISTA 12'!$A$2:$G$30100,7,0)</f>
        <v>#N/A</v>
      </c>
      <c r="G3296" s="254" t="e">
        <f>VLOOKUP(H3296,'lista 3'!$A$1:$C$31467,3,0)</f>
        <v>#N/A</v>
      </c>
      <c r="H3296" s="134"/>
      <c r="I3296" s="136"/>
      <c r="J3296" s="135"/>
      <c r="K3296" s="22"/>
    </row>
    <row r="3297" spans="1:11">
      <c r="A3297" s="241" t="e">
        <f>VLOOKUP(B3297,'lista 1'!$A$2:$E$30100,4,0)</f>
        <v>#N/A</v>
      </c>
      <c r="B3297" s="123"/>
      <c r="C3297" s="133" t="e">
        <f>VLOOKUP(B3297,'lista 1'!$A$2:$E$31000,5,0)</f>
        <v>#N/A</v>
      </c>
      <c r="D3297" s="167" t="e">
        <f>VLOOKUP(E15097,'lista obszary'!A:B,2,0)</f>
        <v>#N/A</v>
      </c>
      <c r="E3297" s="128" t="e">
        <f>VLOOKUP(B3297,'LISTA 12'!$A$2:$G$301400,5,0)</f>
        <v>#N/A</v>
      </c>
      <c r="F3297" s="121" t="e">
        <f>VLOOKUP(B3297,'LISTA 12'!$A$2:$G$30100,7,0)</f>
        <v>#N/A</v>
      </c>
      <c r="G3297" s="254" t="e">
        <f>VLOOKUP(H3297,'lista 3'!$A$1:$C$31467,3,0)</f>
        <v>#N/A</v>
      </c>
      <c r="H3297" s="134"/>
      <c r="I3297" s="136"/>
      <c r="J3297" s="135"/>
      <c r="K3297" s="22"/>
    </row>
    <row r="3298" spans="1:11">
      <c r="A3298" s="241" t="e">
        <f>VLOOKUP(B3298,'lista 1'!$A$2:$E$30100,4,0)</f>
        <v>#N/A</v>
      </c>
      <c r="B3298" s="123"/>
      <c r="C3298" s="133" t="e">
        <f>VLOOKUP(B3298,'lista 1'!$A$2:$E$31000,5,0)</f>
        <v>#N/A</v>
      </c>
      <c r="D3298" s="167" t="e">
        <f>VLOOKUP(E15098,'lista obszary'!A:B,2,0)</f>
        <v>#N/A</v>
      </c>
      <c r="E3298" s="128" t="e">
        <f>VLOOKUP(B3298,'LISTA 12'!$A$2:$G$301400,5,0)</f>
        <v>#N/A</v>
      </c>
      <c r="F3298" s="121" t="e">
        <f>VLOOKUP(B3298,'LISTA 12'!$A$2:$G$30100,7,0)</f>
        <v>#N/A</v>
      </c>
      <c r="G3298" s="254" t="e">
        <f>VLOOKUP(H3298,'lista 3'!$A$1:$C$31467,3,0)</f>
        <v>#N/A</v>
      </c>
      <c r="H3298" s="134"/>
      <c r="I3298" s="136"/>
      <c r="J3298" s="135"/>
      <c r="K3298" s="22"/>
    </row>
    <row r="3299" spans="1:11">
      <c r="A3299" s="241" t="e">
        <f>VLOOKUP(B3299,'lista 1'!$A$2:$E$30100,4,0)</f>
        <v>#N/A</v>
      </c>
      <c r="B3299" s="123"/>
      <c r="C3299" s="133" t="e">
        <f>VLOOKUP(B3299,'lista 1'!$A$2:$E$31000,5,0)</f>
        <v>#N/A</v>
      </c>
      <c r="D3299" s="167" t="e">
        <f>VLOOKUP(E15099,'lista obszary'!A:B,2,0)</f>
        <v>#N/A</v>
      </c>
      <c r="E3299" s="128" t="e">
        <f>VLOOKUP(B3299,'LISTA 12'!$A$2:$G$301400,5,0)</f>
        <v>#N/A</v>
      </c>
      <c r="F3299" s="121" t="e">
        <f>VLOOKUP(B3299,'LISTA 12'!$A$2:$G$30100,7,0)</f>
        <v>#N/A</v>
      </c>
      <c r="G3299" s="254" t="e">
        <f>VLOOKUP(H3299,'lista 3'!$A$1:$C$31467,3,0)</f>
        <v>#N/A</v>
      </c>
      <c r="H3299" s="134"/>
      <c r="I3299" s="136"/>
      <c r="J3299" s="135"/>
      <c r="K3299" s="22"/>
    </row>
    <row r="3300" spans="1:11">
      <c r="A3300" s="241" t="e">
        <f>VLOOKUP(B3300,'lista 1'!$A$2:$E$30100,4,0)</f>
        <v>#N/A</v>
      </c>
      <c r="B3300" s="123"/>
      <c r="C3300" s="133" t="e">
        <f>VLOOKUP(B3300,'lista 1'!$A$2:$E$31000,5,0)</f>
        <v>#N/A</v>
      </c>
      <c r="D3300" s="167" t="e">
        <f>VLOOKUP(E15100,'lista obszary'!A:B,2,0)</f>
        <v>#N/A</v>
      </c>
      <c r="E3300" s="128" t="e">
        <f>VLOOKUP(B3300,'LISTA 12'!$A$2:$G$301400,5,0)</f>
        <v>#N/A</v>
      </c>
      <c r="F3300" s="121" t="e">
        <f>VLOOKUP(B3300,'LISTA 12'!$A$2:$G$30100,7,0)</f>
        <v>#N/A</v>
      </c>
      <c r="G3300" s="254" t="e">
        <f>VLOOKUP(H3300,'lista 3'!$A$1:$C$31467,3,0)</f>
        <v>#N/A</v>
      </c>
      <c r="H3300" s="134"/>
      <c r="I3300" s="136"/>
      <c r="J3300" s="135"/>
      <c r="K3300" s="22"/>
    </row>
    <row r="3301" spans="1:11">
      <c r="A3301" s="241" t="e">
        <f>VLOOKUP(B3301,'lista 1'!$A$2:$E$30100,4,0)</f>
        <v>#N/A</v>
      </c>
      <c r="B3301" s="123"/>
      <c r="C3301" s="133" t="e">
        <f>VLOOKUP(B3301,'lista 1'!$A$2:$E$31000,5,0)</f>
        <v>#N/A</v>
      </c>
      <c r="D3301" s="167" t="e">
        <f>VLOOKUP(E15101,'lista obszary'!A:B,2,0)</f>
        <v>#N/A</v>
      </c>
      <c r="E3301" s="128" t="e">
        <f>VLOOKUP(B3301,'LISTA 12'!$A$2:$G$301400,5,0)</f>
        <v>#N/A</v>
      </c>
      <c r="F3301" s="121" t="e">
        <f>VLOOKUP(B3301,'LISTA 12'!$A$2:$G$30100,7,0)</f>
        <v>#N/A</v>
      </c>
      <c r="G3301" s="254" t="e">
        <f>VLOOKUP(H3301,'lista 3'!$A$1:$C$31467,3,0)</f>
        <v>#N/A</v>
      </c>
      <c r="H3301" s="134"/>
      <c r="I3301" s="136"/>
      <c r="J3301" s="135"/>
      <c r="K3301" s="22"/>
    </row>
    <row r="3302" spans="1:11">
      <c r="A3302" s="241" t="e">
        <f>VLOOKUP(B3302,'lista 1'!$A$2:$E$30100,4,0)</f>
        <v>#N/A</v>
      </c>
      <c r="B3302" s="123"/>
      <c r="C3302" s="133" t="e">
        <f>VLOOKUP(B3302,'lista 1'!$A$2:$E$31000,5,0)</f>
        <v>#N/A</v>
      </c>
      <c r="D3302" s="167" t="e">
        <f>VLOOKUP(E15102,'lista obszary'!A:B,2,0)</f>
        <v>#N/A</v>
      </c>
      <c r="E3302" s="128" t="e">
        <f>VLOOKUP(B3302,'LISTA 12'!$A$2:$G$301400,5,0)</f>
        <v>#N/A</v>
      </c>
      <c r="F3302" s="121" t="e">
        <f>VLOOKUP(B3302,'LISTA 12'!$A$2:$G$30100,7,0)</f>
        <v>#N/A</v>
      </c>
      <c r="G3302" s="254" t="e">
        <f>VLOOKUP(H3302,'lista 3'!$A$1:$C$31467,3,0)</f>
        <v>#N/A</v>
      </c>
      <c r="H3302" s="134"/>
      <c r="I3302" s="136"/>
      <c r="J3302" s="135"/>
      <c r="K3302" s="22"/>
    </row>
    <row r="3303" spans="1:11">
      <c r="A3303" s="241" t="e">
        <f>VLOOKUP(B3303,'lista 1'!$A$2:$E$30100,4,0)</f>
        <v>#N/A</v>
      </c>
      <c r="B3303" s="123"/>
      <c r="C3303" s="133" t="e">
        <f>VLOOKUP(B3303,'lista 1'!$A$2:$E$31000,5,0)</f>
        <v>#N/A</v>
      </c>
      <c r="D3303" s="167" t="e">
        <f>VLOOKUP(E15103,'lista obszary'!A:B,2,0)</f>
        <v>#N/A</v>
      </c>
      <c r="E3303" s="128" t="e">
        <f>VLOOKUP(B3303,'LISTA 12'!$A$2:$G$301400,5,0)</f>
        <v>#N/A</v>
      </c>
      <c r="F3303" s="121" t="e">
        <f>VLOOKUP(B3303,'LISTA 12'!$A$2:$G$30100,7,0)</f>
        <v>#N/A</v>
      </c>
      <c r="G3303" s="254" t="e">
        <f>VLOOKUP(H3303,'lista 3'!$A$1:$C$31467,3,0)</f>
        <v>#N/A</v>
      </c>
      <c r="H3303" s="134"/>
      <c r="I3303" s="136"/>
      <c r="J3303" s="135"/>
      <c r="K3303" s="22"/>
    </row>
    <row r="3304" spans="1:11">
      <c r="A3304" s="241" t="e">
        <f>VLOOKUP(B3304,'lista 1'!$A$2:$E$30100,4,0)</f>
        <v>#N/A</v>
      </c>
      <c r="B3304" s="123"/>
      <c r="C3304" s="133" t="e">
        <f>VLOOKUP(B3304,'lista 1'!$A$2:$E$31000,5,0)</f>
        <v>#N/A</v>
      </c>
      <c r="D3304" s="167" t="e">
        <f>VLOOKUP(E15104,'lista obszary'!A:B,2,0)</f>
        <v>#N/A</v>
      </c>
      <c r="E3304" s="128" t="e">
        <f>VLOOKUP(B3304,'LISTA 12'!$A$2:$G$301400,5,0)</f>
        <v>#N/A</v>
      </c>
      <c r="F3304" s="121" t="e">
        <f>VLOOKUP(B3304,'LISTA 12'!$A$2:$G$30100,7,0)</f>
        <v>#N/A</v>
      </c>
      <c r="G3304" s="254" t="e">
        <f>VLOOKUP(H3304,'lista 3'!$A$1:$C$31467,3,0)</f>
        <v>#N/A</v>
      </c>
      <c r="H3304" s="134"/>
      <c r="I3304" s="136"/>
      <c r="J3304" s="135"/>
      <c r="K3304" s="22"/>
    </row>
    <row r="3305" spans="1:11">
      <c r="A3305" s="241" t="e">
        <f>VLOOKUP(B3305,'lista 1'!$A$2:$E$30100,4,0)</f>
        <v>#N/A</v>
      </c>
      <c r="B3305" s="123"/>
      <c r="C3305" s="133" t="e">
        <f>VLOOKUP(B3305,'lista 1'!$A$2:$E$31000,5,0)</f>
        <v>#N/A</v>
      </c>
      <c r="D3305" s="167" t="e">
        <f>VLOOKUP(E15105,'lista obszary'!A:B,2,0)</f>
        <v>#N/A</v>
      </c>
      <c r="E3305" s="128" t="e">
        <f>VLOOKUP(B3305,'LISTA 12'!$A$2:$G$301400,5,0)</f>
        <v>#N/A</v>
      </c>
      <c r="F3305" s="121" t="e">
        <f>VLOOKUP(B3305,'LISTA 12'!$A$2:$G$30100,7,0)</f>
        <v>#N/A</v>
      </c>
      <c r="G3305" s="254" t="e">
        <f>VLOOKUP(H3305,'lista 3'!$A$1:$C$31467,3,0)</f>
        <v>#N/A</v>
      </c>
      <c r="H3305" s="134"/>
      <c r="I3305" s="136"/>
      <c r="J3305" s="135"/>
      <c r="K3305" s="22"/>
    </row>
    <row r="3306" spans="1:11">
      <c r="A3306" s="241" t="e">
        <f>VLOOKUP(B3306,'lista 1'!$A$2:$E$30100,4,0)</f>
        <v>#N/A</v>
      </c>
      <c r="B3306" s="123"/>
      <c r="C3306" s="133" t="e">
        <f>VLOOKUP(B3306,'lista 1'!$A$2:$E$31000,5,0)</f>
        <v>#N/A</v>
      </c>
      <c r="D3306" s="167" t="e">
        <f>VLOOKUP(E15106,'lista obszary'!A:B,2,0)</f>
        <v>#N/A</v>
      </c>
      <c r="E3306" s="128" t="e">
        <f>VLOOKUP(B3306,'LISTA 12'!$A$2:$G$301400,5,0)</f>
        <v>#N/A</v>
      </c>
      <c r="F3306" s="121" t="e">
        <f>VLOOKUP(B3306,'LISTA 12'!$A$2:$G$30100,7,0)</f>
        <v>#N/A</v>
      </c>
      <c r="G3306" s="254" t="e">
        <f>VLOOKUP(H3306,'lista 3'!$A$1:$C$31467,3,0)</f>
        <v>#N/A</v>
      </c>
      <c r="H3306" s="134"/>
      <c r="I3306" s="136"/>
      <c r="J3306" s="135"/>
      <c r="K3306" s="22"/>
    </row>
    <row r="3307" spans="1:11">
      <c r="A3307" s="241" t="e">
        <f>VLOOKUP(B3307,'lista 1'!$A$2:$E$30100,4,0)</f>
        <v>#N/A</v>
      </c>
      <c r="B3307" s="123"/>
      <c r="C3307" s="133" t="e">
        <f>VLOOKUP(B3307,'lista 1'!$A$2:$E$31000,5,0)</f>
        <v>#N/A</v>
      </c>
      <c r="D3307" s="167" t="e">
        <f>VLOOKUP(E15107,'lista obszary'!A:B,2,0)</f>
        <v>#N/A</v>
      </c>
      <c r="E3307" s="128" t="e">
        <f>VLOOKUP(B3307,'LISTA 12'!$A$2:$G$301400,5,0)</f>
        <v>#N/A</v>
      </c>
      <c r="F3307" s="121" t="e">
        <f>VLOOKUP(B3307,'LISTA 12'!$A$2:$G$30100,7,0)</f>
        <v>#N/A</v>
      </c>
      <c r="G3307" s="254" t="e">
        <f>VLOOKUP(H3307,'lista 3'!$A$1:$C$31467,3,0)</f>
        <v>#N/A</v>
      </c>
      <c r="H3307" s="134"/>
      <c r="I3307" s="136"/>
      <c r="J3307" s="135"/>
      <c r="K3307" s="22"/>
    </row>
    <row r="3308" spans="1:11">
      <c r="A3308" s="241" t="e">
        <f>VLOOKUP(B3308,'lista 1'!$A$2:$E$30100,4,0)</f>
        <v>#N/A</v>
      </c>
      <c r="B3308" s="123"/>
      <c r="C3308" s="133" t="e">
        <f>VLOOKUP(B3308,'lista 1'!$A$2:$E$31000,5,0)</f>
        <v>#N/A</v>
      </c>
      <c r="D3308" s="167" t="e">
        <f>VLOOKUP(E15108,'lista obszary'!A:B,2,0)</f>
        <v>#N/A</v>
      </c>
      <c r="E3308" s="128" t="e">
        <f>VLOOKUP(B3308,'LISTA 12'!$A$2:$G$301400,5,0)</f>
        <v>#N/A</v>
      </c>
      <c r="F3308" s="121" t="e">
        <f>VLOOKUP(B3308,'LISTA 12'!$A$2:$G$30100,7,0)</f>
        <v>#N/A</v>
      </c>
      <c r="G3308" s="254" t="e">
        <f>VLOOKUP(H3308,'lista 3'!$A$1:$C$31467,3,0)</f>
        <v>#N/A</v>
      </c>
      <c r="H3308" s="134"/>
      <c r="I3308" s="136"/>
      <c r="J3308" s="135"/>
      <c r="K3308" s="22"/>
    </row>
    <row r="3309" spans="1:11">
      <c r="A3309" s="241" t="e">
        <f>VLOOKUP(B3309,'lista 1'!$A$2:$E$30100,4,0)</f>
        <v>#N/A</v>
      </c>
      <c r="B3309" s="123"/>
      <c r="C3309" s="133" t="e">
        <f>VLOOKUP(B3309,'lista 1'!$A$2:$E$31000,5,0)</f>
        <v>#N/A</v>
      </c>
      <c r="D3309" s="167" t="e">
        <f>VLOOKUP(E15109,'lista obszary'!A:B,2,0)</f>
        <v>#N/A</v>
      </c>
      <c r="E3309" s="128" t="e">
        <f>VLOOKUP(B3309,'LISTA 12'!$A$2:$G$301400,5,0)</f>
        <v>#N/A</v>
      </c>
      <c r="F3309" s="121" t="e">
        <f>VLOOKUP(B3309,'LISTA 12'!$A$2:$G$30100,7,0)</f>
        <v>#N/A</v>
      </c>
      <c r="G3309" s="254" t="e">
        <f>VLOOKUP(H3309,'lista 3'!$A$1:$C$31467,3,0)</f>
        <v>#N/A</v>
      </c>
      <c r="H3309" s="134"/>
      <c r="I3309" s="136"/>
      <c r="J3309" s="135"/>
      <c r="K3309" s="22"/>
    </row>
    <row r="3310" spans="1:11">
      <c r="A3310" s="241" t="e">
        <f>VLOOKUP(B3310,'lista 1'!$A$2:$E$30100,4,0)</f>
        <v>#N/A</v>
      </c>
      <c r="B3310" s="123"/>
      <c r="C3310" s="133" t="e">
        <f>VLOOKUP(B3310,'lista 1'!$A$2:$E$31000,5,0)</f>
        <v>#N/A</v>
      </c>
      <c r="D3310" s="167" t="e">
        <f>VLOOKUP(E15110,'lista obszary'!A:B,2,0)</f>
        <v>#N/A</v>
      </c>
      <c r="E3310" s="128" t="e">
        <f>VLOOKUP(B3310,'LISTA 12'!$A$2:$G$301400,5,0)</f>
        <v>#N/A</v>
      </c>
      <c r="F3310" s="121" t="e">
        <f>VLOOKUP(B3310,'LISTA 12'!$A$2:$G$30100,7,0)</f>
        <v>#N/A</v>
      </c>
      <c r="G3310" s="254" t="e">
        <f>VLOOKUP(H3310,'lista 3'!$A$1:$C$31467,3,0)</f>
        <v>#N/A</v>
      </c>
      <c r="H3310" s="134"/>
      <c r="I3310" s="136"/>
      <c r="J3310" s="135"/>
      <c r="K3310" s="22"/>
    </row>
    <row r="3311" spans="1:11">
      <c r="A3311" s="241" t="e">
        <f>VLOOKUP(B3311,'lista 1'!$A$2:$E$30100,4,0)</f>
        <v>#N/A</v>
      </c>
      <c r="B3311" s="123"/>
      <c r="C3311" s="133" t="e">
        <f>VLOOKUP(B3311,'lista 1'!$A$2:$E$31000,5,0)</f>
        <v>#N/A</v>
      </c>
      <c r="D3311" s="167" t="e">
        <f>VLOOKUP(E15111,'lista obszary'!A:B,2,0)</f>
        <v>#N/A</v>
      </c>
      <c r="E3311" s="128" t="e">
        <f>VLOOKUP(B3311,'LISTA 12'!$A$2:$G$301400,5,0)</f>
        <v>#N/A</v>
      </c>
      <c r="F3311" s="121" t="e">
        <f>VLOOKUP(B3311,'LISTA 12'!$A$2:$G$30100,7,0)</f>
        <v>#N/A</v>
      </c>
      <c r="G3311" s="254" t="e">
        <f>VLOOKUP(H3311,'lista 3'!$A$1:$C$31467,3,0)</f>
        <v>#N/A</v>
      </c>
      <c r="H3311" s="134"/>
      <c r="I3311" s="136"/>
      <c r="J3311" s="135"/>
      <c r="K3311" s="22"/>
    </row>
    <row r="3312" spans="1:11">
      <c r="A3312" s="241" t="e">
        <f>VLOOKUP(B3312,'lista 1'!$A$2:$E$30100,4,0)</f>
        <v>#N/A</v>
      </c>
      <c r="B3312" s="123"/>
      <c r="C3312" s="133" t="e">
        <f>VLOOKUP(B3312,'lista 1'!$A$2:$E$31000,5,0)</f>
        <v>#N/A</v>
      </c>
      <c r="D3312" s="167" t="e">
        <f>VLOOKUP(E15112,'lista obszary'!A:B,2,0)</f>
        <v>#N/A</v>
      </c>
      <c r="E3312" s="128" t="e">
        <f>VLOOKUP(B3312,'LISTA 12'!$A$2:$G$301400,5,0)</f>
        <v>#N/A</v>
      </c>
      <c r="F3312" s="121" t="e">
        <f>VLOOKUP(B3312,'LISTA 12'!$A$2:$G$30100,7,0)</f>
        <v>#N/A</v>
      </c>
      <c r="G3312" s="254" t="e">
        <f>VLOOKUP(H3312,'lista 3'!$A$1:$C$31467,3,0)</f>
        <v>#N/A</v>
      </c>
      <c r="H3312" s="134"/>
      <c r="I3312" s="136"/>
      <c r="J3312" s="135"/>
      <c r="K3312" s="22"/>
    </row>
    <row r="3313" spans="1:11">
      <c r="A3313" s="241" t="e">
        <f>VLOOKUP(B3313,'lista 1'!$A$2:$E$30100,4,0)</f>
        <v>#N/A</v>
      </c>
      <c r="B3313" s="123"/>
      <c r="C3313" s="133" t="e">
        <f>VLOOKUP(B3313,'lista 1'!$A$2:$E$31000,5,0)</f>
        <v>#N/A</v>
      </c>
      <c r="D3313" s="167" t="e">
        <f>VLOOKUP(E15113,'lista obszary'!A:B,2,0)</f>
        <v>#N/A</v>
      </c>
      <c r="E3313" s="128" t="e">
        <f>VLOOKUP(B3313,'LISTA 12'!$A$2:$G$301400,5,0)</f>
        <v>#N/A</v>
      </c>
      <c r="F3313" s="121" t="e">
        <f>VLOOKUP(B3313,'LISTA 12'!$A$2:$G$30100,7,0)</f>
        <v>#N/A</v>
      </c>
      <c r="G3313" s="254" t="e">
        <f>VLOOKUP(H3313,'lista 3'!$A$1:$C$31467,3,0)</f>
        <v>#N/A</v>
      </c>
      <c r="H3313" s="134"/>
      <c r="I3313" s="136"/>
      <c r="J3313" s="135"/>
      <c r="K3313" s="22"/>
    </row>
    <row r="3314" spans="1:11">
      <c r="A3314" s="241" t="e">
        <f>VLOOKUP(B3314,'lista 1'!$A$2:$E$30100,4,0)</f>
        <v>#N/A</v>
      </c>
      <c r="B3314" s="123"/>
      <c r="C3314" s="133" t="e">
        <f>VLOOKUP(B3314,'lista 1'!$A$2:$E$31000,5,0)</f>
        <v>#N/A</v>
      </c>
      <c r="D3314" s="167" t="e">
        <f>VLOOKUP(E15114,'lista obszary'!A:B,2,0)</f>
        <v>#N/A</v>
      </c>
      <c r="E3314" s="128" t="e">
        <f>VLOOKUP(B3314,'LISTA 12'!$A$2:$G$301400,5,0)</f>
        <v>#N/A</v>
      </c>
      <c r="F3314" s="121" t="e">
        <f>VLOOKUP(B3314,'LISTA 12'!$A$2:$G$30100,7,0)</f>
        <v>#N/A</v>
      </c>
      <c r="G3314" s="254" t="e">
        <f>VLOOKUP(H3314,'lista 3'!$A$1:$C$31467,3,0)</f>
        <v>#N/A</v>
      </c>
      <c r="H3314" s="134"/>
      <c r="I3314" s="136"/>
      <c r="J3314" s="135"/>
      <c r="K3314" s="22"/>
    </row>
    <row r="3315" spans="1:11">
      <c r="A3315" s="241" t="e">
        <f>VLOOKUP(B3315,'lista 1'!$A$2:$E$30100,4,0)</f>
        <v>#N/A</v>
      </c>
      <c r="B3315" s="123"/>
      <c r="C3315" s="133" t="e">
        <f>VLOOKUP(B3315,'lista 1'!$A$2:$E$31000,5,0)</f>
        <v>#N/A</v>
      </c>
      <c r="D3315" s="167" t="e">
        <f>VLOOKUP(E15115,'lista obszary'!A:B,2,0)</f>
        <v>#N/A</v>
      </c>
      <c r="E3315" s="128" t="e">
        <f>VLOOKUP(B3315,'LISTA 12'!$A$2:$G$301400,5,0)</f>
        <v>#N/A</v>
      </c>
      <c r="F3315" s="121" t="e">
        <f>VLOOKUP(B3315,'LISTA 12'!$A$2:$G$30100,7,0)</f>
        <v>#N/A</v>
      </c>
      <c r="G3315" s="254" t="e">
        <f>VLOOKUP(H3315,'lista 3'!$A$1:$C$31467,3,0)</f>
        <v>#N/A</v>
      </c>
      <c r="H3315" s="134"/>
      <c r="I3315" s="136"/>
      <c r="J3315" s="135"/>
      <c r="K3315" s="22"/>
    </row>
    <row r="3316" spans="1:11">
      <c r="A3316" s="241" t="e">
        <f>VLOOKUP(B3316,'lista 1'!$A$2:$E$30100,4,0)</f>
        <v>#N/A</v>
      </c>
      <c r="B3316" s="123"/>
      <c r="C3316" s="133" t="e">
        <f>VLOOKUP(B3316,'lista 1'!$A$2:$E$31000,5,0)</f>
        <v>#N/A</v>
      </c>
      <c r="D3316" s="167" t="e">
        <f>VLOOKUP(E15116,'lista obszary'!A:B,2,0)</f>
        <v>#N/A</v>
      </c>
      <c r="E3316" s="128" t="e">
        <f>VLOOKUP(B3316,'LISTA 12'!$A$2:$G$301400,5,0)</f>
        <v>#N/A</v>
      </c>
      <c r="F3316" s="121" t="e">
        <f>VLOOKUP(B3316,'LISTA 12'!$A$2:$G$30100,7,0)</f>
        <v>#N/A</v>
      </c>
      <c r="G3316" s="254" t="e">
        <f>VLOOKUP(H3316,'lista 3'!$A$1:$C$31467,3,0)</f>
        <v>#N/A</v>
      </c>
      <c r="H3316" s="134"/>
      <c r="I3316" s="136"/>
      <c r="J3316" s="135"/>
      <c r="K3316" s="22"/>
    </row>
    <row r="3317" spans="1:11">
      <c r="A3317" s="241" t="e">
        <f>VLOOKUP(B3317,'lista 1'!$A$2:$E$30100,4,0)</f>
        <v>#N/A</v>
      </c>
      <c r="B3317" s="123"/>
      <c r="C3317" s="133" t="e">
        <f>VLOOKUP(B3317,'lista 1'!$A$2:$E$31000,5,0)</f>
        <v>#N/A</v>
      </c>
      <c r="D3317" s="167" t="e">
        <f>VLOOKUP(E15117,'lista obszary'!A:B,2,0)</f>
        <v>#N/A</v>
      </c>
      <c r="E3317" s="128" t="e">
        <f>VLOOKUP(B3317,'LISTA 12'!$A$2:$G$301400,5,0)</f>
        <v>#N/A</v>
      </c>
      <c r="F3317" s="121" t="e">
        <f>VLOOKUP(B3317,'LISTA 12'!$A$2:$G$30100,7,0)</f>
        <v>#N/A</v>
      </c>
      <c r="G3317" s="254" t="e">
        <f>VLOOKUP(H3317,'lista 3'!$A$1:$C$31467,3,0)</f>
        <v>#N/A</v>
      </c>
      <c r="H3317" s="134"/>
      <c r="I3317" s="136"/>
      <c r="J3317" s="135"/>
      <c r="K3317" s="22"/>
    </row>
    <row r="3318" spans="1:11">
      <c r="A3318" s="241" t="e">
        <f>VLOOKUP(B3318,'lista 1'!$A$2:$E$30100,4,0)</f>
        <v>#N/A</v>
      </c>
      <c r="B3318" s="123"/>
      <c r="C3318" s="133" t="e">
        <f>VLOOKUP(B3318,'lista 1'!$A$2:$E$31000,5,0)</f>
        <v>#N/A</v>
      </c>
      <c r="D3318" s="167" t="e">
        <f>VLOOKUP(E15118,'lista obszary'!A:B,2,0)</f>
        <v>#N/A</v>
      </c>
      <c r="E3318" s="128" t="e">
        <f>VLOOKUP(B3318,'LISTA 12'!$A$2:$G$301400,5,0)</f>
        <v>#N/A</v>
      </c>
      <c r="F3318" s="121" t="e">
        <f>VLOOKUP(B3318,'LISTA 12'!$A$2:$G$30100,7,0)</f>
        <v>#N/A</v>
      </c>
      <c r="G3318" s="254" t="e">
        <f>VLOOKUP(H3318,'lista 3'!$A$1:$C$31467,3,0)</f>
        <v>#N/A</v>
      </c>
      <c r="H3318" s="134"/>
      <c r="I3318" s="136"/>
      <c r="J3318" s="135"/>
      <c r="K3318" s="22"/>
    </row>
    <row r="3319" spans="1:11">
      <c r="A3319" s="241" t="e">
        <f>VLOOKUP(B3319,'lista 1'!$A$2:$E$30100,4,0)</f>
        <v>#N/A</v>
      </c>
      <c r="B3319" s="123"/>
      <c r="C3319" s="133" t="e">
        <f>VLOOKUP(B3319,'lista 1'!$A$2:$E$31000,5,0)</f>
        <v>#N/A</v>
      </c>
      <c r="D3319" s="167" t="e">
        <f>VLOOKUP(E15119,'lista obszary'!A:B,2,0)</f>
        <v>#N/A</v>
      </c>
      <c r="E3319" s="128" t="e">
        <f>VLOOKUP(B3319,'LISTA 12'!$A$2:$G$301400,5,0)</f>
        <v>#N/A</v>
      </c>
      <c r="F3319" s="121" t="e">
        <f>VLOOKUP(B3319,'LISTA 12'!$A$2:$G$30100,7,0)</f>
        <v>#N/A</v>
      </c>
      <c r="G3319" s="254" t="e">
        <f>VLOOKUP(H3319,'lista 3'!$A$1:$C$31467,3,0)</f>
        <v>#N/A</v>
      </c>
      <c r="H3319" s="134"/>
      <c r="I3319" s="136"/>
      <c r="J3319" s="135"/>
      <c r="K3319" s="22"/>
    </row>
    <row r="3320" spans="1:11">
      <c r="A3320" s="241" t="e">
        <f>VLOOKUP(B3320,'lista 1'!$A$2:$E$30100,4,0)</f>
        <v>#N/A</v>
      </c>
      <c r="B3320" s="123"/>
      <c r="C3320" s="133" t="e">
        <f>VLOOKUP(B3320,'lista 1'!$A$2:$E$31000,5,0)</f>
        <v>#N/A</v>
      </c>
      <c r="D3320" s="167" t="e">
        <f>VLOOKUP(E15120,'lista obszary'!A:B,2,0)</f>
        <v>#N/A</v>
      </c>
      <c r="E3320" s="128" t="e">
        <f>VLOOKUP(B3320,'LISTA 12'!$A$2:$G$301400,5,0)</f>
        <v>#N/A</v>
      </c>
      <c r="F3320" s="121" t="e">
        <f>VLOOKUP(B3320,'LISTA 12'!$A$2:$G$30100,7,0)</f>
        <v>#N/A</v>
      </c>
      <c r="G3320" s="254" t="e">
        <f>VLOOKUP(H3320,'lista 3'!$A$1:$C$31467,3,0)</f>
        <v>#N/A</v>
      </c>
      <c r="H3320" s="134"/>
      <c r="I3320" s="136"/>
      <c r="J3320" s="135"/>
      <c r="K3320" s="22"/>
    </row>
    <row r="3321" spans="1:11">
      <c r="A3321" s="241" t="e">
        <f>VLOOKUP(B3321,'lista 1'!$A$2:$E$30100,4,0)</f>
        <v>#N/A</v>
      </c>
      <c r="B3321" s="123"/>
      <c r="C3321" s="133" t="e">
        <f>VLOOKUP(B3321,'lista 1'!$A$2:$E$31000,5,0)</f>
        <v>#N/A</v>
      </c>
      <c r="D3321" s="167" t="e">
        <f>VLOOKUP(E15121,'lista obszary'!A:B,2,0)</f>
        <v>#N/A</v>
      </c>
      <c r="E3321" s="128" t="e">
        <f>VLOOKUP(B3321,'LISTA 12'!$A$2:$G$301400,5,0)</f>
        <v>#N/A</v>
      </c>
      <c r="F3321" s="121" t="e">
        <f>VLOOKUP(B3321,'LISTA 12'!$A$2:$G$30100,7,0)</f>
        <v>#N/A</v>
      </c>
      <c r="G3321" s="254" t="e">
        <f>VLOOKUP(H3321,'lista 3'!$A$1:$C$31467,3,0)</f>
        <v>#N/A</v>
      </c>
      <c r="H3321" s="134"/>
      <c r="I3321" s="136"/>
      <c r="J3321" s="135"/>
      <c r="K3321" s="22"/>
    </row>
    <row r="3322" spans="1:11">
      <c r="A3322" s="241" t="e">
        <f>VLOOKUP(B3322,'lista 1'!$A$2:$E$30100,4,0)</f>
        <v>#N/A</v>
      </c>
      <c r="B3322" s="123"/>
      <c r="C3322" s="133" t="e">
        <f>VLOOKUP(B3322,'lista 1'!$A$2:$E$31000,5,0)</f>
        <v>#N/A</v>
      </c>
      <c r="D3322" s="167" t="e">
        <f>VLOOKUP(E15122,'lista obszary'!A:B,2,0)</f>
        <v>#N/A</v>
      </c>
      <c r="E3322" s="128" t="e">
        <f>VLOOKUP(B3322,'LISTA 12'!$A$2:$G$301400,5,0)</f>
        <v>#N/A</v>
      </c>
      <c r="F3322" s="121" t="e">
        <f>VLOOKUP(B3322,'LISTA 12'!$A$2:$G$30100,7,0)</f>
        <v>#N/A</v>
      </c>
      <c r="G3322" s="254" t="e">
        <f>VLOOKUP(H3322,'lista 3'!$A$1:$C$31467,3,0)</f>
        <v>#N/A</v>
      </c>
      <c r="H3322" s="134"/>
      <c r="I3322" s="136"/>
      <c r="J3322" s="135"/>
      <c r="K3322" s="22"/>
    </row>
    <row r="3323" spans="1:11">
      <c r="A3323" s="241" t="e">
        <f>VLOOKUP(B3323,'lista 1'!$A$2:$E$30100,4,0)</f>
        <v>#N/A</v>
      </c>
      <c r="B3323" s="123"/>
      <c r="C3323" s="133" t="e">
        <f>VLOOKUP(B3323,'lista 1'!$A$2:$E$31000,5,0)</f>
        <v>#N/A</v>
      </c>
      <c r="D3323" s="167" t="e">
        <f>VLOOKUP(E15123,'lista obszary'!A:B,2,0)</f>
        <v>#N/A</v>
      </c>
      <c r="E3323" s="128" t="e">
        <f>VLOOKUP(B3323,'LISTA 12'!$A$2:$G$301400,5,0)</f>
        <v>#N/A</v>
      </c>
      <c r="F3323" s="121" t="e">
        <f>VLOOKUP(B3323,'LISTA 12'!$A$2:$G$30100,7,0)</f>
        <v>#N/A</v>
      </c>
      <c r="G3323" s="254" t="e">
        <f>VLOOKUP(H3323,'lista 3'!$A$1:$C$31467,3,0)</f>
        <v>#N/A</v>
      </c>
      <c r="H3323" s="134"/>
      <c r="I3323" s="136"/>
      <c r="J3323" s="135"/>
      <c r="K3323" s="22"/>
    </row>
    <row r="3324" spans="1:11">
      <c r="A3324" s="241" t="e">
        <f>VLOOKUP(B3324,'lista 1'!$A$2:$E$30100,4,0)</f>
        <v>#N/A</v>
      </c>
      <c r="B3324" s="123"/>
      <c r="C3324" s="133" t="e">
        <f>VLOOKUP(B3324,'lista 1'!$A$2:$E$31000,5,0)</f>
        <v>#N/A</v>
      </c>
      <c r="D3324" s="167" t="e">
        <f>VLOOKUP(E15124,'lista obszary'!A:B,2,0)</f>
        <v>#N/A</v>
      </c>
      <c r="E3324" s="128" t="e">
        <f>VLOOKUP(B3324,'LISTA 12'!$A$2:$G$301400,5,0)</f>
        <v>#N/A</v>
      </c>
      <c r="F3324" s="121" t="e">
        <f>VLOOKUP(B3324,'LISTA 12'!$A$2:$G$30100,7,0)</f>
        <v>#N/A</v>
      </c>
      <c r="G3324" s="254" t="e">
        <f>VLOOKUP(H3324,'lista 3'!$A$1:$C$31467,3,0)</f>
        <v>#N/A</v>
      </c>
      <c r="H3324" s="134"/>
      <c r="I3324" s="136"/>
      <c r="J3324" s="135"/>
      <c r="K3324" s="22"/>
    </row>
    <row r="3325" spans="1:11">
      <c r="A3325" s="241" t="e">
        <f>VLOOKUP(B3325,'lista 1'!$A$2:$E$30100,4,0)</f>
        <v>#N/A</v>
      </c>
      <c r="B3325" s="123"/>
      <c r="C3325" s="133" t="e">
        <f>VLOOKUP(B3325,'lista 1'!$A$2:$E$31000,5,0)</f>
        <v>#N/A</v>
      </c>
      <c r="D3325" s="167" t="e">
        <f>VLOOKUP(E15125,'lista obszary'!A:B,2,0)</f>
        <v>#N/A</v>
      </c>
      <c r="E3325" s="128" t="e">
        <f>VLOOKUP(B3325,'LISTA 12'!$A$2:$G$301400,5,0)</f>
        <v>#N/A</v>
      </c>
      <c r="F3325" s="121" t="e">
        <f>VLOOKUP(B3325,'LISTA 12'!$A$2:$G$30100,7,0)</f>
        <v>#N/A</v>
      </c>
      <c r="G3325" s="254" t="e">
        <f>VLOOKUP(H3325,'lista 3'!$A$1:$C$31467,3,0)</f>
        <v>#N/A</v>
      </c>
      <c r="H3325" s="134"/>
      <c r="I3325" s="136"/>
      <c r="J3325" s="135"/>
      <c r="K3325" s="22"/>
    </row>
    <row r="3326" spans="1:11">
      <c r="A3326" s="241" t="e">
        <f>VLOOKUP(B3326,'lista 1'!$A$2:$E$30100,4,0)</f>
        <v>#N/A</v>
      </c>
      <c r="B3326" s="123"/>
      <c r="C3326" s="133" t="e">
        <f>VLOOKUP(B3326,'lista 1'!$A$2:$E$31000,5,0)</f>
        <v>#N/A</v>
      </c>
      <c r="D3326" s="167" t="e">
        <f>VLOOKUP(E15126,'lista obszary'!A:B,2,0)</f>
        <v>#N/A</v>
      </c>
      <c r="E3326" s="128" t="e">
        <f>VLOOKUP(B3326,'LISTA 12'!$A$2:$G$301400,5,0)</f>
        <v>#N/A</v>
      </c>
      <c r="F3326" s="121" t="e">
        <f>VLOOKUP(B3326,'LISTA 12'!$A$2:$G$30100,7,0)</f>
        <v>#N/A</v>
      </c>
      <c r="G3326" s="254" t="e">
        <f>VLOOKUP(H3326,'lista 3'!$A$1:$C$31467,3,0)</f>
        <v>#N/A</v>
      </c>
      <c r="H3326" s="134"/>
      <c r="I3326" s="136"/>
      <c r="J3326" s="135"/>
      <c r="K3326" s="22"/>
    </row>
    <row r="3327" spans="1:11">
      <c r="A3327" s="241" t="e">
        <f>VLOOKUP(B3327,'lista 1'!$A$2:$E$30100,4,0)</f>
        <v>#N/A</v>
      </c>
      <c r="B3327" s="123"/>
      <c r="C3327" s="133" t="e">
        <f>VLOOKUP(B3327,'lista 1'!$A$2:$E$31000,5,0)</f>
        <v>#N/A</v>
      </c>
      <c r="D3327" s="167" t="e">
        <f>VLOOKUP(E15127,'lista obszary'!A:B,2,0)</f>
        <v>#N/A</v>
      </c>
      <c r="E3327" s="128" t="e">
        <f>VLOOKUP(B3327,'LISTA 12'!$A$2:$G$301400,5,0)</f>
        <v>#N/A</v>
      </c>
      <c r="F3327" s="121" t="e">
        <f>VLOOKUP(B3327,'LISTA 12'!$A$2:$G$30100,7,0)</f>
        <v>#N/A</v>
      </c>
      <c r="G3327" s="254" t="e">
        <f>VLOOKUP(H3327,'lista 3'!$A$1:$C$31467,3,0)</f>
        <v>#N/A</v>
      </c>
      <c r="H3327" s="134"/>
      <c r="I3327" s="136"/>
      <c r="J3327" s="135"/>
      <c r="K3327" s="22"/>
    </row>
    <row r="3328" spans="1:11">
      <c r="A3328" s="241" t="e">
        <f>VLOOKUP(B3328,'lista 1'!$A$2:$E$30100,4,0)</f>
        <v>#N/A</v>
      </c>
      <c r="B3328" s="123"/>
      <c r="C3328" s="133" t="e">
        <f>VLOOKUP(B3328,'lista 1'!$A$2:$E$31000,5,0)</f>
        <v>#N/A</v>
      </c>
      <c r="D3328" s="167" t="e">
        <f>VLOOKUP(E15128,'lista obszary'!A:B,2,0)</f>
        <v>#N/A</v>
      </c>
      <c r="E3328" s="128" t="e">
        <f>VLOOKUP(B3328,'LISTA 12'!$A$2:$G$301400,5,0)</f>
        <v>#N/A</v>
      </c>
      <c r="F3328" s="121" t="e">
        <f>VLOOKUP(B3328,'LISTA 12'!$A$2:$G$30100,7,0)</f>
        <v>#N/A</v>
      </c>
      <c r="G3328" s="254" t="e">
        <f>VLOOKUP(H3328,'lista 3'!$A$1:$C$31467,3,0)</f>
        <v>#N/A</v>
      </c>
      <c r="H3328" s="134"/>
      <c r="I3328" s="136"/>
      <c r="J3328" s="135"/>
      <c r="K3328" s="22"/>
    </row>
    <row r="3329" spans="1:11">
      <c r="A3329" s="241" t="e">
        <f>VLOOKUP(B3329,'lista 1'!$A$2:$E$30100,4,0)</f>
        <v>#N/A</v>
      </c>
      <c r="B3329" s="123"/>
      <c r="C3329" s="133" t="e">
        <f>VLOOKUP(B3329,'lista 1'!$A$2:$E$31000,5,0)</f>
        <v>#N/A</v>
      </c>
      <c r="D3329" s="167" t="e">
        <f>VLOOKUP(E15129,'lista obszary'!A:B,2,0)</f>
        <v>#N/A</v>
      </c>
      <c r="E3329" s="128" t="e">
        <f>VLOOKUP(B3329,'LISTA 12'!$A$2:$G$301400,5,0)</f>
        <v>#N/A</v>
      </c>
      <c r="F3329" s="121" t="e">
        <f>VLOOKUP(B3329,'LISTA 12'!$A$2:$G$30100,7,0)</f>
        <v>#N/A</v>
      </c>
      <c r="G3329" s="254" t="e">
        <f>VLOOKUP(H3329,'lista 3'!$A$1:$C$31467,3,0)</f>
        <v>#N/A</v>
      </c>
      <c r="H3329" s="134"/>
      <c r="I3329" s="136"/>
      <c r="J3329" s="135"/>
      <c r="K3329" s="22"/>
    </row>
    <row r="3330" spans="1:11">
      <c r="A3330" s="241" t="e">
        <f>VLOOKUP(B3330,'lista 1'!$A$2:$E$30100,4,0)</f>
        <v>#N/A</v>
      </c>
      <c r="B3330" s="123"/>
      <c r="C3330" s="133" t="e">
        <f>VLOOKUP(B3330,'lista 1'!$A$2:$E$31000,5,0)</f>
        <v>#N/A</v>
      </c>
      <c r="D3330" s="167" t="e">
        <f>VLOOKUP(E15130,'lista obszary'!A:B,2,0)</f>
        <v>#N/A</v>
      </c>
      <c r="E3330" s="128" t="e">
        <f>VLOOKUP(B3330,'LISTA 12'!$A$2:$G$301400,5,0)</f>
        <v>#N/A</v>
      </c>
      <c r="F3330" s="121" t="e">
        <f>VLOOKUP(B3330,'LISTA 12'!$A$2:$G$30100,7,0)</f>
        <v>#N/A</v>
      </c>
      <c r="G3330" s="254" t="e">
        <f>VLOOKUP(H3330,'lista 3'!$A$1:$C$31467,3,0)</f>
        <v>#N/A</v>
      </c>
      <c r="H3330" s="134"/>
      <c r="I3330" s="136"/>
      <c r="J3330" s="135"/>
      <c r="K3330" s="22"/>
    </row>
    <row r="3331" spans="1:11">
      <c r="A3331" s="241" t="e">
        <f>VLOOKUP(B3331,'lista 1'!$A$2:$E$30100,4,0)</f>
        <v>#N/A</v>
      </c>
      <c r="B3331" s="123"/>
      <c r="C3331" s="133" t="e">
        <f>VLOOKUP(B3331,'lista 1'!$A$2:$E$31000,5,0)</f>
        <v>#N/A</v>
      </c>
      <c r="D3331" s="167" t="e">
        <f>VLOOKUP(E15131,'lista obszary'!A:B,2,0)</f>
        <v>#N/A</v>
      </c>
      <c r="E3331" s="128" t="e">
        <f>VLOOKUP(B3331,'LISTA 12'!$A$2:$G$301400,5,0)</f>
        <v>#N/A</v>
      </c>
      <c r="F3331" s="121" t="e">
        <f>VLOOKUP(B3331,'LISTA 12'!$A$2:$G$30100,7,0)</f>
        <v>#N/A</v>
      </c>
      <c r="G3331" s="254" t="e">
        <f>VLOOKUP(H3331,'lista 3'!$A$1:$C$31467,3,0)</f>
        <v>#N/A</v>
      </c>
      <c r="H3331" s="134"/>
      <c r="I3331" s="136"/>
      <c r="J3331" s="135"/>
      <c r="K3331" s="22"/>
    </row>
    <row r="3332" spans="1:11">
      <c r="A3332" s="241" t="e">
        <f>VLOOKUP(B3332,'lista 1'!$A$2:$E$30100,4,0)</f>
        <v>#N/A</v>
      </c>
      <c r="B3332" s="123"/>
      <c r="C3332" s="133" t="e">
        <f>VLOOKUP(B3332,'lista 1'!$A$2:$E$31000,5,0)</f>
        <v>#N/A</v>
      </c>
      <c r="D3332" s="167" t="e">
        <f>VLOOKUP(E15132,'lista obszary'!A:B,2,0)</f>
        <v>#N/A</v>
      </c>
      <c r="E3332" s="128" t="e">
        <f>VLOOKUP(B3332,'LISTA 12'!$A$2:$G$301400,5,0)</f>
        <v>#N/A</v>
      </c>
      <c r="F3332" s="121" t="e">
        <f>VLOOKUP(B3332,'LISTA 12'!$A$2:$G$30100,7,0)</f>
        <v>#N/A</v>
      </c>
      <c r="G3332" s="254" t="e">
        <f>VLOOKUP(H3332,'lista 3'!$A$1:$C$31467,3,0)</f>
        <v>#N/A</v>
      </c>
      <c r="H3332" s="134"/>
      <c r="I3332" s="136"/>
      <c r="J3332" s="135"/>
      <c r="K3332" s="22"/>
    </row>
    <row r="3333" spans="1:11">
      <c r="A3333" s="241" t="e">
        <f>VLOOKUP(B3333,'lista 1'!$A$2:$E$30100,4,0)</f>
        <v>#N/A</v>
      </c>
      <c r="B3333" s="123"/>
      <c r="C3333" s="133" t="e">
        <f>VLOOKUP(B3333,'lista 1'!$A$2:$E$31000,5,0)</f>
        <v>#N/A</v>
      </c>
      <c r="D3333" s="167" t="e">
        <f>VLOOKUP(E15133,'lista obszary'!A:B,2,0)</f>
        <v>#N/A</v>
      </c>
      <c r="E3333" s="128" t="e">
        <f>VLOOKUP(B3333,'LISTA 12'!$A$2:$G$301400,5,0)</f>
        <v>#N/A</v>
      </c>
      <c r="F3333" s="121" t="e">
        <f>VLOOKUP(B3333,'LISTA 12'!$A$2:$G$30100,7,0)</f>
        <v>#N/A</v>
      </c>
      <c r="G3333" s="254" t="e">
        <f>VLOOKUP(H3333,'lista 3'!$A$1:$C$31467,3,0)</f>
        <v>#N/A</v>
      </c>
      <c r="H3333" s="134"/>
      <c r="I3333" s="136"/>
      <c r="J3333" s="135"/>
      <c r="K3333" s="22"/>
    </row>
    <row r="3334" spans="1:11">
      <c r="A3334" s="241" t="e">
        <f>VLOOKUP(B3334,'lista 1'!$A$2:$E$30100,4,0)</f>
        <v>#N/A</v>
      </c>
      <c r="B3334" s="123"/>
      <c r="C3334" s="133" t="e">
        <f>VLOOKUP(B3334,'lista 1'!$A$2:$E$31000,5,0)</f>
        <v>#N/A</v>
      </c>
      <c r="D3334" s="167" t="e">
        <f>VLOOKUP(E15134,'lista obszary'!A:B,2,0)</f>
        <v>#N/A</v>
      </c>
      <c r="E3334" s="128" t="e">
        <f>VLOOKUP(B3334,'LISTA 12'!$A$2:$G$301400,5,0)</f>
        <v>#N/A</v>
      </c>
      <c r="F3334" s="121" t="e">
        <f>VLOOKUP(B3334,'LISTA 12'!$A$2:$G$30100,7,0)</f>
        <v>#N/A</v>
      </c>
      <c r="G3334" s="254" t="e">
        <f>VLOOKUP(H3334,'lista 3'!$A$1:$C$31467,3,0)</f>
        <v>#N/A</v>
      </c>
      <c r="H3334" s="134"/>
      <c r="I3334" s="136"/>
      <c r="J3334" s="135"/>
      <c r="K3334" s="22"/>
    </row>
    <row r="3335" spans="1:11">
      <c r="A3335" s="241" t="e">
        <f>VLOOKUP(B3335,'lista 1'!$A$2:$E$30100,4,0)</f>
        <v>#N/A</v>
      </c>
      <c r="B3335" s="123"/>
      <c r="C3335" s="133" t="e">
        <f>VLOOKUP(B3335,'lista 1'!$A$2:$E$31000,5,0)</f>
        <v>#N/A</v>
      </c>
      <c r="D3335" s="167" t="e">
        <f>VLOOKUP(E15135,'lista obszary'!A:B,2,0)</f>
        <v>#N/A</v>
      </c>
      <c r="E3335" s="128" t="e">
        <f>VLOOKUP(B3335,'LISTA 12'!$A$2:$G$301400,5,0)</f>
        <v>#N/A</v>
      </c>
      <c r="F3335" s="121" t="e">
        <f>VLOOKUP(B3335,'LISTA 12'!$A$2:$G$30100,7,0)</f>
        <v>#N/A</v>
      </c>
      <c r="G3335" s="254" t="e">
        <f>VLOOKUP(H3335,'lista 3'!$A$1:$C$31467,3,0)</f>
        <v>#N/A</v>
      </c>
      <c r="H3335" s="134"/>
      <c r="I3335" s="136"/>
      <c r="J3335" s="135"/>
      <c r="K3335" s="22"/>
    </row>
    <row r="3336" spans="1:11">
      <c r="A3336" s="241" t="e">
        <f>VLOOKUP(B3336,'lista 1'!$A$2:$E$30100,4,0)</f>
        <v>#N/A</v>
      </c>
      <c r="B3336" s="123"/>
      <c r="C3336" s="133" t="e">
        <f>VLOOKUP(B3336,'lista 1'!$A$2:$E$31000,5,0)</f>
        <v>#N/A</v>
      </c>
      <c r="D3336" s="167" t="e">
        <f>VLOOKUP(E15136,'lista obszary'!A:B,2,0)</f>
        <v>#N/A</v>
      </c>
      <c r="E3336" s="128" t="e">
        <f>VLOOKUP(B3336,'LISTA 12'!$A$2:$G$301400,5,0)</f>
        <v>#N/A</v>
      </c>
      <c r="F3336" s="121" t="e">
        <f>VLOOKUP(B3336,'LISTA 12'!$A$2:$G$30100,7,0)</f>
        <v>#N/A</v>
      </c>
      <c r="G3336" s="254" t="e">
        <f>VLOOKUP(H3336,'lista 3'!$A$1:$C$31467,3,0)</f>
        <v>#N/A</v>
      </c>
      <c r="H3336" s="134"/>
      <c r="I3336" s="136"/>
      <c r="J3336" s="135"/>
      <c r="K3336" s="22"/>
    </row>
    <row r="3337" spans="1:11">
      <c r="A3337" s="241" t="e">
        <f>VLOOKUP(B3337,'lista 1'!$A$2:$E$30100,4,0)</f>
        <v>#N/A</v>
      </c>
      <c r="B3337" s="123"/>
      <c r="C3337" s="133" t="e">
        <f>VLOOKUP(B3337,'lista 1'!$A$2:$E$31000,5,0)</f>
        <v>#N/A</v>
      </c>
      <c r="D3337" s="167" t="e">
        <f>VLOOKUP(E15137,'lista obszary'!A:B,2,0)</f>
        <v>#N/A</v>
      </c>
      <c r="E3337" s="128" t="e">
        <f>VLOOKUP(B3337,'LISTA 12'!$A$2:$G$301400,5,0)</f>
        <v>#N/A</v>
      </c>
      <c r="F3337" s="121" t="e">
        <f>VLOOKUP(B3337,'LISTA 12'!$A$2:$G$30100,7,0)</f>
        <v>#N/A</v>
      </c>
      <c r="G3337" s="254" t="e">
        <f>VLOOKUP(H3337,'lista 3'!$A$1:$C$31467,3,0)</f>
        <v>#N/A</v>
      </c>
      <c r="H3337" s="134"/>
      <c r="I3337" s="136"/>
      <c r="J3337" s="135"/>
      <c r="K3337" s="22"/>
    </row>
    <row r="3338" spans="1:11">
      <c r="A3338" s="241" t="e">
        <f>VLOOKUP(B3338,'lista 1'!$A$2:$E$30100,4,0)</f>
        <v>#N/A</v>
      </c>
      <c r="B3338" s="123"/>
      <c r="C3338" s="133" t="e">
        <f>VLOOKUP(B3338,'lista 1'!$A$2:$E$31000,5,0)</f>
        <v>#N/A</v>
      </c>
      <c r="D3338" s="167" t="e">
        <f>VLOOKUP(E15138,'lista obszary'!A:B,2,0)</f>
        <v>#N/A</v>
      </c>
      <c r="E3338" s="128" t="e">
        <f>VLOOKUP(B3338,'LISTA 12'!$A$2:$G$301400,5,0)</f>
        <v>#N/A</v>
      </c>
      <c r="F3338" s="121" t="e">
        <f>VLOOKUP(B3338,'LISTA 12'!$A$2:$G$30100,7,0)</f>
        <v>#N/A</v>
      </c>
      <c r="G3338" s="254" t="e">
        <f>VLOOKUP(H3338,'lista 3'!$A$1:$C$31467,3,0)</f>
        <v>#N/A</v>
      </c>
      <c r="H3338" s="134"/>
      <c r="I3338" s="136"/>
      <c r="J3338" s="135"/>
      <c r="K3338" s="22"/>
    </row>
    <row r="3339" spans="1:11">
      <c r="A3339" s="241" t="e">
        <f>VLOOKUP(B3339,'lista 1'!$A$2:$E$30100,4,0)</f>
        <v>#N/A</v>
      </c>
      <c r="B3339" s="123"/>
      <c r="C3339" s="133" t="e">
        <f>VLOOKUP(B3339,'lista 1'!$A$2:$E$31000,5,0)</f>
        <v>#N/A</v>
      </c>
      <c r="D3339" s="167" t="e">
        <f>VLOOKUP(E15139,'lista obszary'!A:B,2,0)</f>
        <v>#N/A</v>
      </c>
      <c r="E3339" s="128" t="e">
        <f>VLOOKUP(B3339,'LISTA 12'!$A$2:$G$301400,5,0)</f>
        <v>#N/A</v>
      </c>
      <c r="F3339" s="121" t="e">
        <f>VLOOKUP(B3339,'LISTA 12'!$A$2:$G$30100,7,0)</f>
        <v>#N/A</v>
      </c>
      <c r="G3339" s="254" t="e">
        <f>VLOOKUP(H3339,'lista 3'!$A$1:$C$31467,3,0)</f>
        <v>#N/A</v>
      </c>
      <c r="H3339" s="134"/>
      <c r="I3339" s="136"/>
      <c r="J3339" s="135"/>
      <c r="K3339" s="22"/>
    </row>
    <row r="3340" spans="1:11">
      <c r="A3340" s="241" t="e">
        <f>VLOOKUP(B3340,'lista 1'!$A$2:$E$30100,4,0)</f>
        <v>#N/A</v>
      </c>
      <c r="B3340" s="123"/>
      <c r="C3340" s="133" t="e">
        <f>VLOOKUP(B3340,'lista 1'!$A$2:$E$31000,5,0)</f>
        <v>#N/A</v>
      </c>
      <c r="D3340" s="167" t="e">
        <f>VLOOKUP(E15140,'lista obszary'!A:B,2,0)</f>
        <v>#N/A</v>
      </c>
      <c r="E3340" s="128" t="e">
        <f>VLOOKUP(B3340,'LISTA 12'!$A$2:$G$301400,5,0)</f>
        <v>#N/A</v>
      </c>
      <c r="F3340" s="121" t="e">
        <f>VLOOKUP(B3340,'LISTA 12'!$A$2:$G$30100,7,0)</f>
        <v>#N/A</v>
      </c>
      <c r="G3340" s="254" t="e">
        <f>VLOOKUP(H3340,'lista 3'!$A$1:$C$31467,3,0)</f>
        <v>#N/A</v>
      </c>
      <c r="H3340" s="134"/>
      <c r="I3340" s="136"/>
      <c r="J3340" s="135"/>
      <c r="K3340" s="22"/>
    </row>
    <row r="3341" spans="1:11">
      <c r="A3341" s="241" t="e">
        <f>VLOOKUP(B3341,'lista 1'!$A$2:$E$30100,4,0)</f>
        <v>#N/A</v>
      </c>
      <c r="B3341" s="123"/>
      <c r="C3341" s="133" t="e">
        <f>VLOOKUP(B3341,'lista 1'!$A$2:$E$31000,5,0)</f>
        <v>#N/A</v>
      </c>
      <c r="D3341" s="167" t="e">
        <f>VLOOKUP(E15141,'lista obszary'!A:B,2,0)</f>
        <v>#N/A</v>
      </c>
      <c r="E3341" s="128" t="e">
        <f>VLOOKUP(B3341,'LISTA 12'!$A$2:$G$301400,5,0)</f>
        <v>#N/A</v>
      </c>
      <c r="F3341" s="121" t="e">
        <f>VLOOKUP(B3341,'LISTA 12'!$A$2:$G$30100,7,0)</f>
        <v>#N/A</v>
      </c>
      <c r="G3341" s="254" t="e">
        <f>VLOOKUP(H3341,'lista 3'!$A$1:$C$31467,3,0)</f>
        <v>#N/A</v>
      </c>
      <c r="H3341" s="134"/>
      <c r="I3341" s="136"/>
      <c r="J3341" s="135"/>
      <c r="K3341" s="22"/>
    </row>
    <row r="3342" spans="1:11">
      <c r="A3342" s="241" t="e">
        <f>VLOOKUP(B3342,'lista 1'!$A$2:$E$30100,4,0)</f>
        <v>#N/A</v>
      </c>
      <c r="B3342" s="123"/>
      <c r="C3342" s="133" t="e">
        <f>VLOOKUP(B3342,'lista 1'!$A$2:$E$31000,5,0)</f>
        <v>#N/A</v>
      </c>
      <c r="D3342" s="167" t="e">
        <f>VLOOKUP(E15142,'lista obszary'!A:B,2,0)</f>
        <v>#N/A</v>
      </c>
      <c r="E3342" s="128" t="e">
        <f>VLOOKUP(B3342,'LISTA 12'!$A$2:$G$301400,5,0)</f>
        <v>#N/A</v>
      </c>
      <c r="F3342" s="121" t="e">
        <f>VLOOKUP(B3342,'LISTA 12'!$A$2:$G$30100,7,0)</f>
        <v>#N/A</v>
      </c>
      <c r="G3342" s="254" t="e">
        <f>VLOOKUP(H3342,'lista 3'!$A$1:$C$31467,3,0)</f>
        <v>#N/A</v>
      </c>
      <c r="H3342" s="134"/>
      <c r="I3342" s="136"/>
      <c r="J3342" s="135"/>
      <c r="K3342" s="22"/>
    </row>
    <row r="3343" spans="1:11">
      <c r="A3343" s="241" t="e">
        <f>VLOOKUP(B3343,'lista 1'!$A$2:$E$30100,4,0)</f>
        <v>#N/A</v>
      </c>
      <c r="B3343" s="123"/>
      <c r="C3343" s="133" t="e">
        <f>VLOOKUP(B3343,'lista 1'!$A$2:$E$31000,5,0)</f>
        <v>#N/A</v>
      </c>
      <c r="D3343" s="167" t="e">
        <f>VLOOKUP(E15143,'lista obszary'!A:B,2,0)</f>
        <v>#N/A</v>
      </c>
      <c r="E3343" s="128" t="e">
        <f>VLOOKUP(B3343,'LISTA 12'!$A$2:$G$301400,5,0)</f>
        <v>#N/A</v>
      </c>
      <c r="F3343" s="121" t="e">
        <f>VLOOKUP(B3343,'LISTA 12'!$A$2:$G$30100,7,0)</f>
        <v>#N/A</v>
      </c>
      <c r="G3343" s="254" t="e">
        <f>VLOOKUP(H3343,'lista 3'!$A$1:$C$31467,3,0)</f>
        <v>#N/A</v>
      </c>
      <c r="H3343" s="134"/>
      <c r="I3343" s="136"/>
      <c r="J3343" s="135"/>
      <c r="K3343" s="22"/>
    </row>
    <row r="3344" spans="1:11">
      <c r="A3344" s="241" t="e">
        <f>VLOOKUP(B3344,'lista 1'!$A$2:$E$30100,4,0)</f>
        <v>#N/A</v>
      </c>
      <c r="B3344" s="123"/>
      <c r="C3344" s="133" t="e">
        <f>VLOOKUP(B3344,'lista 1'!$A$2:$E$31000,5,0)</f>
        <v>#N/A</v>
      </c>
      <c r="D3344" s="167" t="e">
        <f>VLOOKUP(E15144,'lista obszary'!A:B,2,0)</f>
        <v>#N/A</v>
      </c>
      <c r="E3344" s="128" t="e">
        <f>VLOOKUP(B3344,'LISTA 12'!$A$2:$G$301400,5,0)</f>
        <v>#N/A</v>
      </c>
      <c r="F3344" s="121" t="e">
        <f>VLOOKUP(B3344,'LISTA 12'!$A$2:$G$30100,7,0)</f>
        <v>#N/A</v>
      </c>
      <c r="G3344" s="254" t="e">
        <f>VLOOKUP(H3344,'lista 3'!$A$1:$C$31467,3,0)</f>
        <v>#N/A</v>
      </c>
      <c r="H3344" s="134"/>
      <c r="I3344" s="136"/>
      <c r="J3344" s="135"/>
      <c r="K3344" s="22"/>
    </row>
    <row r="3345" spans="1:11">
      <c r="A3345" s="241" t="e">
        <f>VLOOKUP(B3345,'lista 1'!$A$2:$E$30100,4,0)</f>
        <v>#N/A</v>
      </c>
      <c r="B3345" s="123"/>
      <c r="C3345" s="133" t="e">
        <f>VLOOKUP(B3345,'lista 1'!$A$2:$E$31000,5,0)</f>
        <v>#N/A</v>
      </c>
      <c r="D3345" s="167" t="e">
        <f>VLOOKUP(E15145,'lista obszary'!A:B,2,0)</f>
        <v>#N/A</v>
      </c>
      <c r="E3345" s="128" t="e">
        <f>VLOOKUP(B3345,'LISTA 12'!$A$2:$G$301400,5,0)</f>
        <v>#N/A</v>
      </c>
      <c r="F3345" s="121" t="e">
        <f>VLOOKUP(B3345,'LISTA 12'!$A$2:$G$30100,7,0)</f>
        <v>#N/A</v>
      </c>
      <c r="G3345" s="254" t="e">
        <f>VLOOKUP(H3345,'lista 3'!$A$1:$C$31467,3,0)</f>
        <v>#N/A</v>
      </c>
      <c r="H3345" s="134"/>
      <c r="I3345" s="136"/>
      <c r="J3345" s="135"/>
      <c r="K3345" s="22"/>
    </row>
    <row r="3346" spans="1:11">
      <c r="A3346" s="241" t="e">
        <f>VLOOKUP(B3346,'lista 1'!$A$2:$E$30100,4,0)</f>
        <v>#N/A</v>
      </c>
      <c r="B3346" s="123"/>
      <c r="C3346" s="133" t="e">
        <f>VLOOKUP(B3346,'lista 1'!$A$2:$E$31000,5,0)</f>
        <v>#N/A</v>
      </c>
      <c r="D3346" s="167" t="e">
        <f>VLOOKUP(E15146,'lista obszary'!A:B,2,0)</f>
        <v>#N/A</v>
      </c>
      <c r="E3346" s="128" t="e">
        <f>VLOOKUP(B3346,'LISTA 12'!$A$2:$G$301400,5,0)</f>
        <v>#N/A</v>
      </c>
      <c r="F3346" s="121" t="e">
        <f>VLOOKUP(B3346,'LISTA 12'!$A$2:$G$30100,7,0)</f>
        <v>#N/A</v>
      </c>
      <c r="G3346" s="254" t="e">
        <f>VLOOKUP(H3346,'lista 3'!$A$1:$C$31467,3,0)</f>
        <v>#N/A</v>
      </c>
      <c r="H3346" s="134"/>
      <c r="I3346" s="136"/>
      <c r="J3346" s="135"/>
      <c r="K3346" s="22"/>
    </row>
    <row r="3347" spans="1:11">
      <c r="A3347" s="241" t="e">
        <f>VLOOKUP(B3347,'lista 1'!$A$2:$E$30100,4,0)</f>
        <v>#N/A</v>
      </c>
      <c r="B3347" s="123"/>
      <c r="C3347" s="133" t="e">
        <f>VLOOKUP(B3347,'lista 1'!$A$2:$E$31000,5,0)</f>
        <v>#N/A</v>
      </c>
      <c r="D3347" s="167" t="e">
        <f>VLOOKUP(E15147,'lista obszary'!A:B,2,0)</f>
        <v>#N/A</v>
      </c>
      <c r="E3347" s="128" t="e">
        <f>VLOOKUP(B3347,'LISTA 12'!$A$2:$G$301400,5,0)</f>
        <v>#N/A</v>
      </c>
      <c r="F3347" s="121" t="e">
        <f>VLOOKUP(B3347,'LISTA 12'!$A$2:$G$30100,7,0)</f>
        <v>#N/A</v>
      </c>
      <c r="G3347" s="254" t="e">
        <f>VLOOKUP(H3347,'lista 3'!$A$1:$C$31467,3,0)</f>
        <v>#N/A</v>
      </c>
      <c r="H3347" s="134"/>
      <c r="I3347" s="136"/>
      <c r="J3347" s="135"/>
      <c r="K3347" s="22"/>
    </row>
    <row r="3348" spans="1:11">
      <c r="A3348" s="241" t="e">
        <f>VLOOKUP(B3348,'lista 1'!$A$2:$E$30100,4,0)</f>
        <v>#N/A</v>
      </c>
      <c r="B3348" s="123"/>
      <c r="C3348" s="133" t="e">
        <f>VLOOKUP(B3348,'lista 1'!$A$2:$E$31000,5,0)</f>
        <v>#N/A</v>
      </c>
      <c r="D3348" s="167" t="e">
        <f>VLOOKUP(E15148,'lista obszary'!A:B,2,0)</f>
        <v>#N/A</v>
      </c>
      <c r="E3348" s="128" t="e">
        <f>VLOOKUP(B3348,'LISTA 12'!$A$2:$G$301400,5,0)</f>
        <v>#N/A</v>
      </c>
      <c r="F3348" s="121" t="e">
        <f>VLOOKUP(B3348,'LISTA 12'!$A$2:$G$30100,7,0)</f>
        <v>#N/A</v>
      </c>
      <c r="G3348" s="254" t="e">
        <f>VLOOKUP(H3348,'lista 3'!$A$1:$C$31467,3,0)</f>
        <v>#N/A</v>
      </c>
      <c r="H3348" s="134"/>
      <c r="I3348" s="136"/>
      <c r="J3348" s="135"/>
      <c r="K3348" s="22"/>
    </row>
    <row r="3349" spans="1:11">
      <c r="A3349" s="241" t="e">
        <f>VLOOKUP(B3349,'lista 1'!$A$2:$E$30100,4,0)</f>
        <v>#N/A</v>
      </c>
      <c r="B3349" s="123"/>
      <c r="C3349" s="133" t="e">
        <f>VLOOKUP(B3349,'lista 1'!$A$2:$E$31000,5,0)</f>
        <v>#N/A</v>
      </c>
      <c r="D3349" s="167" t="e">
        <f>VLOOKUP(E15149,'lista obszary'!A:B,2,0)</f>
        <v>#N/A</v>
      </c>
      <c r="E3349" s="128" t="e">
        <f>VLOOKUP(B3349,'LISTA 12'!$A$2:$G$301400,5,0)</f>
        <v>#N/A</v>
      </c>
      <c r="F3349" s="121" t="e">
        <f>VLOOKUP(B3349,'LISTA 12'!$A$2:$G$30100,7,0)</f>
        <v>#N/A</v>
      </c>
      <c r="G3349" s="254" t="e">
        <f>VLOOKUP(H3349,'lista 3'!$A$1:$C$31467,3,0)</f>
        <v>#N/A</v>
      </c>
      <c r="H3349" s="134"/>
      <c r="I3349" s="136"/>
      <c r="J3349" s="135"/>
      <c r="K3349" s="22"/>
    </row>
    <row r="3350" spans="1:11">
      <c r="A3350" s="241" t="e">
        <f>VLOOKUP(B3350,'lista 1'!$A$2:$E$30100,4,0)</f>
        <v>#N/A</v>
      </c>
      <c r="B3350" s="123"/>
      <c r="C3350" s="133" t="e">
        <f>VLOOKUP(B3350,'lista 1'!$A$2:$E$31000,5,0)</f>
        <v>#N/A</v>
      </c>
      <c r="D3350" s="167" t="e">
        <f>VLOOKUP(E15150,'lista obszary'!A:B,2,0)</f>
        <v>#N/A</v>
      </c>
      <c r="E3350" s="128" t="e">
        <f>VLOOKUP(B3350,'LISTA 12'!$A$2:$G$301400,5,0)</f>
        <v>#N/A</v>
      </c>
      <c r="F3350" s="121" t="e">
        <f>VLOOKUP(B3350,'LISTA 12'!$A$2:$G$30100,7,0)</f>
        <v>#N/A</v>
      </c>
      <c r="G3350" s="254" t="e">
        <f>VLOOKUP(H3350,'lista 3'!$A$1:$C$31467,3,0)</f>
        <v>#N/A</v>
      </c>
      <c r="H3350" s="134"/>
      <c r="I3350" s="136"/>
      <c r="J3350" s="135"/>
      <c r="K3350" s="22"/>
    </row>
    <row r="3351" spans="1:11">
      <c r="A3351" s="241" t="e">
        <f>VLOOKUP(B3351,'lista 1'!$A$2:$E$30100,4,0)</f>
        <v>#N/A</v>
      </c>
      <c r="B3351" s="123"/>
      <c r="C3351" s="133" t="e">
        <f>VLOOKUP(B3351,'lista 1'!$A$2:$E$31000,5,0)</f>
        <v>#N/A</v>
      </c>
      <c r="D3351" s="167" t="e">
        <f>VLOOKUP(E15151,'lista obszary'!A:B,2,0)</f>
        <v>#N/A</v>
      </c>
      <c r="E3351" s="128" t="e">
        <f>VLOOKUP(B3351,'LISTA 12'!$A$2:$G$301400,5,0)</f>
        <v>#N/A</v>
      </c>
      <c r="F3351" s="121" t="e">
        <f>VLOOKUP(B3351,'LISTA 12'!$A$2:$G$30100,7,0)</f>
        <v>#N/A</v>
      </c>
      <c r="G3351" s="254" t="e">
        <f>VLOOKUP(H3351,'lista 3'!$A$1:$C$31467,3,0)</f>
        <v>#N/A</v>
      </c>
      <c r="H3351" s="134"/>
      <c r="I3351" s="136"/>
      <c r="J3351" s="135"/>
      <c r="K3351" s="22"/>
    </row>
    <row r="3352" spans="1:11">
      <c r="A3352" s="241" t="e">
        <f>VLOOKUP(B3352,'lista 1'!$A$2:$E$30100,4,0)</f>
        <v>#N/A</v>
      </c>
      <c r="B3352" s="123"/>
      <c r="C3352" s="133" t="e">
        <f>VLOOKUP(B3352,'lista 1'!$A$2:$E$31000,5,0)</f>
        <v>#N/A</v>
      </c>
      <c r="D3352" s="167" t="e">
        <f>VLOOKUP(E15152,'lista obszary'!A:B,2,0)</f>
        <v>#N/A</v>
      </c>
      <c r="E3352" s="128" t="e">
        <f>VLOOKUP(B3352,'LISTA 12'!$A$2:$G$301400,5,0)</f>
        <v>#N/A</v>
      </c>
      <c r="F3352" s="121" t="e">
        <f>VLOOKUP(B3352,'LISTA 12'!$A$2:$G$30100,7,0)</f>
        <v>#N/A</v>
      </c>
      <c r="G3352" s="254" t="e">
        <f>VLOOKUP(H3352,'lista 3'!$A$1:$C$31467,3,0)</f>
        <v>#N/A</v>
      </c>
      <c r="H3352" s="134"/>
      <c r="I3352" s="136"/>
      <c r="J3352" s="135"/>
      <c r="K3352" s="22"/>
    </row>
    <row r="3353" spans="1:11">
      <c r="A3353" s="241" t="e">
        <f>VLOOKUP(B3353,'lista 1'!$A$2:$E$30100,4,0)</f>
        <v>#N/A</v>
      </c>
      <c r="B3353" s="123"/>
      <c r="C3353" s="133" t="e">
        <f>VLOOKUP(B3353,'lista 1'!$A$2:$E$31000,5,0)</f>
        <v>#N/A</v>
      </c>
      <c r="D3353" s="167" t="e">
        <f>VLOOKUP(E15153,'lista obszary'!A:B,2,0)</f>
        <v>#N/A</v>
      </c>
      <c r="E3353" s="128" t="e">
        <f>VLOOKUP(B3353,'LISTA 12'!$A$2:$G$301400,5,0)</f>
        <v>#N/A</v>
      </c>
      <c r="F3353" s="121" t="e">
        <f>VLOOKUP(B3353,'LISTA 12'!$A$2:$G$30100,7,0)</f>
        <v>#N/A</v>
      </c>
      <c r="G3353" s="254" t="e">
        <f>VLOOKUP(H3353,'lista 3'!$A$1:$C$31467,3,0)</f>
        <v>#N/A</v>
      </c>
      <c r="H3353" s="134"/>
      <c r="I3353" s="136"/>
      <c r="J3353" s="135"/>
      <c r="K3353" s="22"/>
    </row>
    <row r="3354" spans="1:11">
      <c r="A3354" s="241" t="e">
        <f>VLOOKUP(B3354,'lista 1'!$A$2:$E$30100,4,0)</f>
        <v>#N/A</v>
      </c>
      <c r="B3354" s="123"/>
      <c r="C3354" s="133" t="e">
        <f>VLOOKUP(B3354,'lista 1'!$A$2:$E$31000,5,0)</f>
        <v>#N/A</v>
      </c>
      <c r="D3354" s="167" t="e">
        <f>VLOOKUP(E15154,'lista obszary'!A:B,2,0)</f>
        <v>#N/A</v>
      </c>
      <c r="E3354" s="128" t="e">
        <f>VLOOKUP(B3354,'LISTA 12'!$A$2:$G$301400,5,0)</f>
        <v>#N/A</v>
      </c>
      <c r="F3354" s="121" t="e">
        <f>VLOOKUP(B3354,'LISTA 12'!$A$2:$G$30100,7,0)</f>
        <v>#N/A</v>
      </c>
      <c r="G3354" s="254" t="e">
        <f>VLOOKUP(H3354,'lista 3'!$A$1:$C$31467,3,0)</f>
        <v>#N/A</v>
      </c>
      <c r="H3354" s="134"/>
      <c r="I3354" s="136"/>
      <c r="J3354" s="135"/>
      <c r="K3354" s="22"/>
    </row>
    <row r="3355" spans="1:11">
      <c r="A3355" s="241" t="e">
        <f>VLOOKUP(B3355,'lista 1'!$A$2:$E$30100,4,0)</f>
        <v>#N/A</v>
      </c>
      <c r="B3355" s="123"/>
      <c r="C3355" s="133" t="e">
        <f>VLOOKUP(B3355,'lista 1'!$A$2:$E$31000,5,0)</f>
        <v>#N/A</v>
      </c>
      <c r="D3355" s="167" t="e">
        <f>VLOOKUP(E15155,'lista obszary'!A:B,2,0)</f>
        <v>#N/A</v>
      </c>
      <c r="E3355" s="128" t="e">
        <f>VLOOKUP(B3355,'LISTA 12'!$A$2:$G$301400,5,0)</f>
        <v>#N/A</v>
      </c>
      <c r="F3355" s="121" t="e">
        <f>VLOOKUP(B3355,'LISTA 12'!$A$2:$G$30100,7,0)</f>
        <v>#N/A</v>
      </c>
      <c r="G3355" s="254" t="e">
        <f>VLOOKUP(H3355,'lista 3'!$A$1:$C$31467,3,0)</f>
        <v>#N/A</v>
      </c>
      <c r="H3355" s="134"/>
      <c r="I3355" s="136"/>
      <c r="J3355" s="135"/>
      <c r="K3355" s="22"/>
    </row>
    <row r="3356" spans="1:11">
      <c r="A3356" s="241" t="e">
        <f>VLOOKUP(B3356,'lista 1'!$A$2:$E$30100,4,0)</f>
        <v>#N/A</v>
      </c>
      <c r="B3356" s="123"/>
      <c r="C3356" s="133" t="e">
        <f>VLOOKUP(B3356,'lista 1'!$A$2:$E$31000,5,0)</f>
        <v>#N/A</v>
      </c>
      <c r="D3356" s="167" t="e">
        <f>VLOOKUP(E15156,'lista obszary'!A:B,2,0)</f>
        <v>#N/A</v>
      </c>
      <c r="E3356" s="128" t="e">
        <f>VLOOKUP(B3356,'LISTA 12'!$A$2:$G$301400,5,0)</f>
        <v>#N/A</v>
      </c>
      <c r="F3356" s="121" t="e">
        <f>VLOOKUP(B3356,'LISTA 12'!$A$2:$G$30100,7,0)</f>
        <v>#N/A</v>
      </c>
      <c r="G3356" s="254" t="e">
        <f>VLOOKUP(H3356,'lista 3'!$A$1:$C$31467,3,0)</f>
        <v>#N/A</v>
      </c>
      <c r="H3356" s="134"/>
      <c r="I3356" s="136"/>
      <c r="J3356" s="135"/>
      <c r="K3356" s="22"/>
    </row>
    <row r="3357" spans="1:11">
      <c r="A3357" s="241" t="e">
        <f>VLOOKUP(B3357,'lista 1'!$A$2:$E$30100,4,0)</f>
        <v>#N/A</v>
      </c>
      <c r="B3357" s="123"/>
      <c r="C3357" s="133" t="e">
        <f>VLOOKUP(B3357,'lista 1'!$A$2:$E$31000,5,0)</f>
        <v>#N/A</v>
      </c>
      <c r="D3357" s="167" t="e">
        <f>VLOOKUP(E15157,'lista obszary'!A:B,2,0)</f>
        <v>#N/A</v>
      </c>
      <c r="E3357" s="128" t="e">
        <f>VLOOKUP(B3357,'LISTA 12'!$A$2:$G$301400,5,0)</f>
        <v>#N/A</v>
      </c>
      <c r="F3357" s="121" t="e">
        <f>VLOOKUP(B3357,'LISTA 12'!$A$2:$G$30100,7,0)</f>
        <v>#N/A</v>
      </c>
      <c r="G3357" s="254" t="e">
        <f>VLOOKUP(H3357,'lista 3'!$A$1:$C$31467,3,0)</f>
        <v>#N/A</v>
      </c>
      <c r="H3357" s="134"/>
      <c r="I3357" s="136"/>
      <c r="J3357" s="135"/>
      <c r="K3357" s="22"/>
    </row>
    <row r="3358" spans="1:11">
      <c r="A3358" s="241" t="e">
        <f>VLOOKUP(B3358,'lista 1'!$A$2:$E$30100,4,0)</f>
        <v>#N/A</v>
      </c>
      <c r="B3358" s="123"/>
      <c r="C3358" s="133" t="e">
        <f>VLOOKUP(B3358,'lista 1'!$A$2:$E$31000,5,0)</f>
        <v>#N/A</v>
      </c>
      <c r="D3358" s="167" t="e">
        <f>VLOOKUP(E15158,'lista obszary'!A:B,2,0)</f>
        <v>#N/A</v>
      </c>
      <c r="E3358" s="128" t="e">
        <f>VLOOKUP(B3358,'LISTA 12'!$A$2:$G$301400,5,0)</f>
        <v>#N/A</v>
      </c>
      <c r="F3358" s="121" t="e">
        <f>VLOOKUP(B3358,'LISTA 12'!$A$2:$G$30100,7,0)</f>
        <v>#N/A</v>
      </c>
      <c r="G3358" s="254" t="e">
        <f>VLOOKUP(H3358,'lista 3'!$A$1:$C$31467,3,0)</f>
        <v>#N/A</v>
      </c>
      <c r="H3358" s="134"/>
      <c r="I3358" s="136"/>
      <c r="J3358" s="135"/>
      <c r="K3358" s="22"/>
    </row>
    <row r="3359" spans="1:11">
      <c r="A3359" s="241" t="e">
        <f>VLOOKUP(B3359,'lista 1'!$A$2:$E$30100,4,0)</f>
        <v>#N/A</v>
      </c>
      <c r="B3359" s="123"/>
      <c r="C3359" s="133" t="e">
        <f>VLOOKUP(B3359,'lista 1'!$A$2:$E$31000,5,0)</f>
        <v>#N/A</v>
      </c>
      <c r="D3359" s="167" t="e">
        <f>VLOOKUP(E15159,'lista obszary'!A:B,2,0)</f>
        <v>#N/A</v>
      </c>
      <c r="E3359" s="128" t="e">
        <f>VLOOKUP(B3359,'LISTA 12'!$A$2:$G$301400,5,0)</f>
        <v>#N/A</v>
      </c>
      <c r="F3359" s="121" t="e">
        <f>VLOOKUP(B3359,'LISTA 12'!$A$2:$G$30100,7,0)</f>
        <v>#N/A</v>
      </c>
      <c r="G3359" s="254" t="e">
        <f>VLOOKUP(H3359,'lista 3'!$A$1:$C$31467,3,0)</f>
        <v>#N/A</v>
      </c>
      <c r="H3359" s="134"/>
      <c r="I3359" s="136"/>
      <c r="J3359" s="135"/>
      <c r="K3359" s="22"/>
    </row>
    <row r="3360" spans="1:11">
      <c r="A3360" s="241" t="e">
        <f>VLOOKUP(B3360,'lista 1'!$A$2:$E$30100,4,0)</f>
        <v>#N/A</v>
      </c>
      <c r="B3360" s="123"/>
      <c r="C3360" s="133" t="e">
        <f>VLOOKUP(B3360,'lista 1'!$A$2:$E$31000,5,0)</f>
        <v>#N/A</v>
      </c>
      <c r="D3360" s="167" t="e">
        <f>VLOOKUP(E15160,'lista obszary'!A:B,2,0)</f>
        <v>#N/A</v>
      </c>
      <c r="E3360" s="128" t="e">
        <f>VLOOKUP(B3360,'LISTA 12'!$A$2:$G$301400,5,0)</f>
        <v>#N/A</v>
      </c>
      <c r="F3360" s="121" t="e">
        <f>VLOOKUP(B3360,'LISTA 12'!$A$2:$G$30100,7,0)</f>
        <v>#N/A</v>
      </c>
      <c r="G3360" s="254" t="e">
        <f>VLOOKUP(H3360,'lista 3'!$A$1:$C$31467,3,0)</f>
        <v>#N/A</v>
      </c>
      <c r="H3360" s="134"/>
      <c r="I3360" s="136"/>
      <c r="J3360" s="135"/>
      <c r="K3360" s="22"/>
    </row>
    <row r="3361" spans="1:11">
      <c r="A3361" s="241" t="e">
        <f>VLOOKUP(B3361,'lista 1'!$A$2:$E$30100,4,0)</f>
        <v>#N/A</v>
      </c>
      <c r="B3361" s="123"/>
      <c r="C3361" s="133" t="e">
        <f>VLOOKUP(B3361,'lista 1'!$A$2:$E$31000,5,0)</f>
        <v>#N/A</v>
      </c>
      <c r="D3361" s="167" t="e">
        <f>VLOOKUP(E15161,'lista obszary'!A:B,2,0)</f>
        <v>#N/A</v>
      </c>
      <c r="E3361" s="128" t="e">
        <f>VLOOKUP(B3361,'LISTA 12'!$A$2:$G$301400,5,0)</f>
        <v>#N/A</v>
      </c>
      <c r="F3361" s="121" t="e">
        <f>VLOOKUP(B3361,'LISTA 12'!$A$2:$G$30100,7,0)</f>
        <v>#N/A</v>
      </c>
      <c r="G3361" s="254" t="e">
        <f>VLOOKUP(H3361,'lista 3'!$A$1:$C$31467,3,0)</f>
        <v>#N/A</v>
      </c>
      <c r="H3361" s="134"/>
      <c r="I3361" s="136"/>
      <c r="J3361" s="135"/>
      <c r="K3361" s="22"/>
    </row>
    <row r="3362" spans="1:11">
      <c r="A3362" s="241" t="e">
        <f>VLOOKUP(B3362,'lista 1'!$A$2:$E$30100,4,0)</f>
        <v>#N/A</v>
      </c>
      <c r="B3362" s="123"/>
      <c r="C3362" s="133" t="e">
        <f>VLOOKUP(B3362,'lista 1'!$A$2:$E$31000,5,0)</f>
        <v>#N/A</v>
      </c>
      <c r="D3362" s="167" t="e">
        <f>VLOOKUP(E15162,'lista obszary'!A:B,2,0)</f>
        <v>#N/A</v>
      </c>
      <c r="E3362" s="128" t="e">
        <f>VLOOKUP(B3362,'LISTA 12'!$A$2:$G$301400,5,0)</f>
        <v>#N/A</v>
      </c>
      <c r="F3362" s="121" t="e">
        <f>VLOOKUP(B3362,'LISTA 12'!$A$2:$G$30100,7,0)</f>
        <v>#N/A</v>
      </c>
      <c r="G3362" s="254" t="e">
        <f>VLOOKUP(H3362,'lista 3'!$A$1:$C$31467,3,0)</f>
        <v>#N/A</v>
      </c>
      <c r="H3362" s="134"/>
      <c r="I3362" s="136"/>
      <c r="J3362" s="135"/>
      <c r="K3362" s="22"/>
    </row>
    <row r="3363" spans="1:11">
      <c r="A3363" s="241" t="e">
        <f>VLOOKUP(B3363,'lista 1'!$A$2:$E$30100,4,0)</f>
        <v>#N/A</v>
      </c>
      <c r="B3363" s="123"/>
      <c r="C3363" s="133" t="e">
        <f>VLOOKUP(B3363,'lista 1'!$A$2:$E$31000,5,0)</f>
        <v>#N/A</v>
      </c>
      <c r="D3363" s="167" t="e">
        <f>VLOOKUP(E15163,'lista obszary'!A:B,2,0)</f>
        <v>#N/A</v>
      </c>
      <c r="E3363" s="128" t="e">
        <f>VLOOKUP(B3363,'LISTA 12'!$A$2:$G$301400,5,0)</f>
        <v>#N/A</v>
      </c>
      <c r="F3363" s="121" t="e">
        <f>VLOOKUP(B3363,'LISTA 12'!$A$2:$G$30100,7,0)</f>
        <v>#N/A</v>
      </c>
      <c r="G3363" s="254" t="e">
        <f>VLOOKUP(H3363,'lista 3'!$A$1:$C$31467,3,0)</f>
        <v>#N/A</v>
      </c>
      <c r="H3363" s="134"/>
      <c r="I3363" s="136"/>
      <c r="J3363" s="135"/>
      <c r="K3363" s="22"/>
    </row>
    <row r="3364" spans="1:11">
      <c r="A3364" s="241" t="e">
        <f>VLOOKUP(B3364,'lista 1'!$A$2:$E$30100,4,0)</f>
        <v>#N/A</v>
      </c>
      <c r="B3364" s="123"/>
      <c r="C3364" s="133" t="e">
        <f>VLOOKUP(B3364,'lista 1'!$A$2:$E$31000,5,0)</f>
        <v>#N/A</v>
      </c>
      <c r="D3364" s="167" t="e">
        <f>VLOOKUP(E15164,'lista obszary'!A:B,2,0)</f>
        <v>#N/A</v>
      </c>
      <c r="E3364" s="128" t="e">
        <f>VLOOKUP(B3364,'LISTA 12'!$A$2:$G$301400,5,0)</f>
        <v>#N/A</v>
      </c>
      <c r="F3364" s="121" t="e">
        <f>VLOOKUP(B3364,'LISTA 12'!$A$2:$G$30100,7,0)</f>
        <v>#N/A</v>
      </c>
      <c r="G3364" s="254" t="e">
        <f>VLOOKUP(H3364,'lista 3'!$A$1:$C$31467,3,0)</f>
        <v>#N/A</v>
      </c>
      <c r="H3364" s="134"/>
      <c r="I3364" s="136"/>
      <c r="J3364" s="135"/>
      <c r="K3364" s="22"/>
    </row>
    <row r="3365" spans="1:11">
      <c r="A3365" s="241" t="e">
        <f>VLOOKUP(B3365,'lista 1'!$A$2:$E$30100,4,0)</f>
        <v>#N/A</v>
      </c>
      <c r="B3365" s="123"/>
      <c r="C3365" s="133" t="e">
        <f>VLOOKUP(B3365,'lista 1'!$A$2:$E$31000,5,0)</f>
        <v>#N/A</v>
      </c>
      <c r="D3365" s="167" t="e">
        <f>VLOOKUP(E15165,'lista obszary'!A:B,2,0)</f>
        <v>#N/A</v>
      </c>
      <c r="E3365" s="128" t="e">
        <f>VLOOKUP(B3365,'LISTA 12'!$A$2:$G$301400,5,0)</f>
        <v>#N/A</v>
      </c>
      <c r="F3365" s="121" t="e">
        <f>VLOOKUP(B3365,'LISTA 12'!$A$2:$G$30100,7,0)</f>
        <v>#N/A</v>
      </c>
      <c r="G3365" s="254" t="e">
        <f>VLOOKUP(H3365,'lista 3'!$A$1:$C$31467,3,0)</f>
        <v>#N/A</v>
      </c>
      <c r="H3365" s="134"/>
      <c r="I3365" s="136"/>
      <c r="J3365" s="135"/>
      <c r="K3365" s="22"/>
    </row>
    <row r="3366" spans="1:11">
      <c r="A3366" s="241" t="e">
        <f>VLOOKUP(B3366,'lista 1'!$A$2:$E$30100,4,0)</f>
        <v>#N/A</v>
      </c>
      <c r="B3366" s="123"/>
      <c r="C3366" s="133" t="e">
        <f>VLOOKUP(B3366,'lista 1'!$A$2:$E$31000,5,0)</f>
        <v>#N/A</v>
      </c>
      <c r="D3366" s="167" t="e">
        <f>VLOOKUP(E15166,'lista obszary'!A:B,2,0)</f>
        <v>#N/A</v>
      </c>
      <c r="E3366" s="128" t="e">
        <f>VLOOKUP(B3366,'LISTA 12'!$A$2:$G$301400,5,0)</f>
        <v>#N/A</v>
      </c>
      <c r="F3366" s="121" t="e">
        <f>VLOOKUP(B3366,'LISTA 12'!$A$2:$G$30100,7,0)</f>
        <v>#N/A</v>
      </c>
      <c r="G3366" s="254" t="e">
        <f>VLOOKUP(H3366,'lista 3'!$A$1:$C$31467,3,0)</f>
        <v>#N/A</v>
      </c>
      <c r="H3366" s="134"/>
      <c r="I3366" s="136"/>
      <c r="J3366" s="135"/>
      <c r="K3366" s="22"/>
    </row>
    <row r="3367" spans="1:11">
      <c r="A3367" s="241" t="e">
        <f>VLOOKUP(B3367,'lista 1'!$A$2:$E$30100,4,0)</f>
        <v>#N/A</v>
      </c>
      <c r="B3367" s="123"/>
      <c r="C3367" s="133" t="e">
        <f>VLOOKUP(B3367,'lista 1'!$A$2:$E$31000,5,0)</f>
        <v>#N/A</v>
      </c>
      <c r="D3367" s="167" t="e">
        <f>VLOOKUP(E15167,'lista obszary'!A:B,2,0)</f>
        <v>#N/A</v>
      </c>
      <c r="E3367" s="128" t="e">
        <f>VLOOKUP(B3367,'LISTA 12'!$A$2:$G$301400,5,0)</f>
        <v>#N/A</v>
      </c>
      <c r="F3367" s="121" t="e">
        <f>VLOOKUP(B3367,'LISTA 12'!$A$2:$G$30100,7,0)</f>
        <v>#N/A</v>
      </c>
      <c r="G3367" s="254" t="e">
        <f>VLOOKUP(H3367,'lista 3'!$A$1:$C$31467,3,0)</f>
        <v>#N/A</v>
      </c>
      <c r="H3367" s="134"/>
      <c r="I3367" s="136"/>
      <c r="J3367" s="135"/>
      <c r="K3367" s="22"/>
    </row>
    <row r="3368" spans="1:11">
      <c r="A3368" s="241" t="e">
        <f>VLOOKUP(B3368,'lista 1'!$A$2:$E$30100,4,0)</f>
        <v>#N/A</v>
      </c>
      <c r="B3368" s="123"/>
      <c r="C3368" s="133" t="e">
        <f>VLOOKUP(B3368,'lista 1'!$A$2:$E$31000,5,0)</f>
        <v>#N/A</v>
      </c>
      <c r="D3368" s="167" t="e">
        <f>VLOOKUP(E15168,'lista obszary'!A:B,2,0)</f>
        <v>#N/A</v>
      </c>
      <c r="E3368" s="128" t="e">
        <f>VLOOKUP(B3368,'LISTA 12'!$A$2:$G$301400,5,0)</f>
        <v>#N/A</v>
      </c>
      <c r="F3368" s="121" t="e">
        <f>VLOOKUP(B3368,'LISTA 12'!$A$2:$G$30100,7,0)</f>
        <v>#N/A</v>
      </c>
      <c r="G3368" s="254" t="e">
        <f>VLOOKUP(H3368,'lista 3'!$A$1:$C$31467,3,0)</f>
        <v>#N/A</v>
      </c>
      <c r="H3368" s="134"/>
      <c r="I3368" s="136"/>
      <c r="J3368" s="135"/>
      <c r="K3368" s="22"/>
    </row>
    <row r="3369" spans="1:11">
      <c r="A3369" s="241" t="e">
        <f>VLOOKUP(B3369,'lista 1'!$A$2:$E$30100,4,0)</f>
        <v>#N/A</v>
      </c>
      <c r="B3369" s="123"/>
      <c r="C3369" s="133" t="e">
        <f>VLOOKUP(B3369,'lista 1'!$A$2:$E$31000,5,0)</f>
        <v>#N/A</v>
      </c>
      <c r="D3369" s="167" t="e">
        <f>VLOOKUP(E15169,'lista obszary'!A:B,2,0)</f>
        <v>#N/A</v>
      </c>
      <c r="E3369" s="128" t="e">
        <f>VLOOKUP(B3369,'LISTA 12'!$A$2:$G$301400,5,0)</f>
        <v>#N/A</v>
      </c>
      <c r="F3369" s="121" t="e">
        <f>VLOOKUP(B3369,'LISTA 12'!$A$2:$G$30100,7,0)</f>
        <v>#N/A</v>
      </c>
      <c r="G3369" s="254" t="e">
        <f>VLOOKUP(H3369,'lista 3'!$A$1:$C$31467,3,0)</f>
        <v>#N/A</v>
      </c>
      <c r="H3369" s="134"/>
      <c r="I3369" s="136"/>
      <c r="J3369" s="135"/>
      <c r="K3369" s="22"/>
    </row>
    <row r="3370" spans="1:11">
      <c r="A3370" s="241" t="e">
        <f>VLOOKUP(B3370,'lista 1'!$A$2:$E$30100,4,0)</f>
        <v>#N/A</v>
      </c>
      <c r="B3370" s="123"/>
      <c r="C3370" s="133" t="e">
        <f>VLOOKUP(B3370,'lista 1'!$A$2:$E$31000,5,0)</f>
        <v>#N/A</v>
      </c>
      <c r="D3370" s="167" t="e">
        <f>VLOOKUP(E15170,'lista obszary'!A:B,2,0)</f>
        <v>#N/A</v>
      </c>
      <c r="E3370" s="128" t="e">
        <f>VLOOKUP(B3370,'LISTA 12'!$A$2:$G$301400,5,0)</f>
        <v>#N/A</v>
      </c>
      <c r="F3370" s="121" t="e">
        <f>VLOOKUP(B3370,'LISTA 12'!$A$2:$G$30100,7,0)</f>
        <v>#N/A</v>
      </c>
      <c r="G3370" s="254" t="e">
        <f>VLOOKUP(H3370,'lista 3'!$A$1:$C$31467,3,0)</f>
        <v>#N/A</v>
      </c>
      <c r="H3370" s="134"/>
      <c r="I3370" s="136"/>
      <c r="J3370" s="135"/>
      <c r="K3370" s="22"/>
    </row>
    <row r="3371" spans="1:11">
      <c r="A3371" s="241" t="e">
        <f>VLOOKUP(B3371,'lista 1'!$A$2:$E$30100,4,0)</f>
        <v>#N/A</v>
      </c>
      <c r="B3371" s="123"/>
      <c r="C3371" s="133" t="e">
        <f>VLOOKUP(B3371,'lista 1'!$A$2:$E$31000,5,0)</f>
        <v>#N/A</v>
      </c>
      <c r="D3371" s="167" t="e">
        <f>VLOOKUP(E15171,'lista obszary'!A:B,2,0)</f>
        <v>#N/A</v>
      </c>
      <c r="E3371" s="128" t="e">
        <f>VLOOKUP(B3371,'LISTA 12'!$A$2:$G$301400,5,0)</f>
        <v>#N/A</v>
      </c>
      <c r="F3371" s="121" t="e">
        <f>VLOOKUP(B3371,'LISTA 12'!$A$2:$G$30100,7,0)</f>
        <v>#N/A</v>
      </c>
      <c r="G3371" s="254" t="e">
        <f>VLOOKUP(H3371,'lista 3'!$A$1:$C$31467,3,0)</f>
        <v>#N/A</v>
      </c>
      <c r="H3371" s="134"/>
      <c r="I3371" s="136"/>
      <c r="J3371" s="135"/>
      <c r="K3371" s="22"/>
    </row>
    <row r="3372" spans="1:11">
      <c r="A3372" s="241" t="e">
        <f>VLOOKUP(B3372,'lista 1'!$A$2:$E$30100,4,0)</f>
        <v>#N/A</v>
      </c>
      <c r="B3372" s="123"/>
      <c r="C3372" s="133" t="e">
        <f>VLOOKUP(B3372,'lista 1'!$A$2:$E$31000,5,0)</f>
        <v>#N/A</v>
      </c>
      <c r="D3372" s="167" t="e">
        <f>VLOOKUP(E15172,'lista obszary'!A:B,2,0)</f>
        <v>#N/A</v>
      </c>
      <c r="E3372" s="128" t="e">
        <f>VLOOKUP(B3372,'LISTA 12'!$A$2:$G$301400,5,0)</f>
        <v>#N/A</v>
      </c>
      <c r="F3372" s="121" t="e">
        <f>VLOOKUP(B3372,'LISTA 12'!$A$2:$G$30100,7,0)</f>
        <v>#N/A</v>
      </c>
      <c r="G3372" s="254" t="e">
        <f>VLOOKUP(H3372,'lista 3'!$A$1:$C$31467,3,0)</f>
        <v>#N/A</v>
      </c>
      <c r="H3372" s="134"/>
      <c r="I3372" s="136"/>
      <c r="J3372" s="135"/>
      <c r="K3372" s="22"/>
    </row>
    <row r="3373" spans="1:11">
      <c r="A3373" s="241" t="e">
        <f>VLOOKUP(B3373,'lista 1'!$A$2:$E$30100,4,0)</f>
        <v>#N/A</v>
      </c>
      <c r="B3373" s="123"/>
      <c r="C3373" s="133" t="e">
        <f>VLOOKUP(B3373,'lista 1'!$A$2:$E$31000,5,0)</f>
        <v>#N/A</v>
      </c>
      <c r="D3373" s="167" t="e">
        <f>VLOOKUP(E15173,'lista obszary'!A:B,2,0)</f>
        <v>#N/A</v>
      </c>
      <c r="E3373" s="128" t="e">
        <f>VLOOKUP(B3373,'LISTA 12'!$A$2:$G$301400,5,0)</f>
        <v>#N/A</v>
      </c>
      <c r="F3373" s="121" t="e">
        <f>VLOOKUP(B3373,'LISTA 12'!$A$2:$G$30100,7,0)</f>
        <v>#N/A</v>
      </c>
      <c r="G3373" s="254" t="e">
        <f>VLOOKUP(H3373,'lista 3'!$A$1:$C$31467,3,0)</f>
        <v>#N/A</v>
      </c>
      <c r="H3373" s="134"/>
      <c r="I3373" s="136"/>
      <c r="J3373" s="135"/>
      <c r="K3373" s="22"/>
    </row>
    <row r="3374" spans="1:11">
      <c r="A3374" s="241" t="e">
        <f>VLOOKUP(B3374,'lista 1'!$A$2:$E$30100,4,0)</f>
        <v>#N/A</v>
      </c>
      <c r="B3374" s="123"/>
      <c r="C3374" s="133" t="e">
        <f>VLOOKUP(B3374,'lista 1'!$A$2:$E$31000,5,0)</f>
        <v>#N/A</v>
      </c>
      <c r="D3374" s="167" t="e">
        <f>VLOOKUP(E15174,'lista obszary'!A:B,2,0)</f>
        <v>#N/A</v>
      </c>
      <c r="E3374" s="128" t="e">
        <f>VLOOKUP(B3374,'LISTA 12'!$A$2:$G$301400,5,0)</f>
        <v>#N/A</v>
      </c>
      <c r="F3374" s="121" t="e">
        <f>VLOOKUP(B3374,'LISTA 12'!$A$2:$G$30100,7,0)</f>
        <v>#N/A</v>
      </c>
      <c r="G3374" s="254" t="e">
        <f>VLOOKUP(H3374,'lista 3'!$A$1:$C$31467,3,0)</f>
        <v>#N/A</v>
      </c>
      <c r="H3374" s="134"/>
      <c r="I3374" s="136"/>
      <c r="J3374" s="135"/>
      <c r="K3374" s="22"/>
    </row>
    <row r="3375" spans="1:11">
      <c r="A3375" s="241" t="e">
        <f>VLOOKUP(B3375,'lista 1'!$A$2:$E$30100,4,0)</f>
        <v>#N/A</v>
      </c>
      <c r="B3375" s="123"/>
      <c r="C3375" s="133" t="e">
        <f>VLOOKUP(B3375,'lista 1'!$A$2:$E$31000,5,0)</f>
        <v>#N/A</v>
      </c>
      <c r="D3375" s="167" t="e">
        <f>VLOOKUP(E15175,'lista obszary'!A:B,2,0)</f>
        <v>#N/A</v>
      </c>
      <c r="E3375" s="128" t="e">
        <f>VLOOKUP(B3375,'LISTA 12'!$A$2:$G$301400,5,0)</f>
        <v>#N/A</v>
      </c>
      <c r="F3375" s="121" t="e">
        <f>VLOOKUP(B3375,'LISTA 12'!$A$2:$G$30100,7,0)</f>
        <v>#N/A</v>
      </c>
      <c r="G3375" s="254" t="e">
        <f>VLOOKUP(H3375,'lista 3'!$A$1:$C$31467,3,0)</f>
        <v>#N/A</v>
      </c>
      <c r="H3375" s="134"/>
      <c r="I3375" s="136"/>
      <c r="J3375" s="135"/>
      <c r="K3375" s="22"/>
    </row>
    <row r="3376" spans="1:11">
      <c r="A3376" s="241" t="e">
        <f>VLOOKUP(B3376,'lista 1'!$A$2:$E$30100,4,0)</f>
        <v>#N/A</v>
      </c>
      <c r="B3376" s="123"/>
      <c r="C3376" s="133" t="e">
        <f>VLOOKUP(B3376,'lista 1'!$A$2:$E$31000,5,0)</f>
        <v>#N/A</v>
      </c>
      <c r="D3376" s="167" t="e">
        <f>VLOOKUP(E15176,'lista obszary'!A:B,2,0)</f>
        <v>#N/A</v>
      </c>
      <c r="E3376" s="128" t="e">
        <f>VLOOKUP(B3376,'LISTA 12'!$A$2:$G$301400,5,0)</f>
        <v>#N/A</v>
      </c>
      <c r="F3376" s="121" t="e">
        <f>VLOOKUP(B3376,'LISTA 12'!$A$2:$G$30100,7,0)</f>
        <v>#N/A</v>
      </c>
      <c r="G3376" s="254" t="e">
        <f>VLOOKUP(H3376,'lista 3'!$A$1:$C$31467,3,0)</f>
        <v>#N/A</v>
      </c>
      <c r="H3376" s="134"/>
      <c r="I3376" s="136"/>
      <c r="J3376" s="135"/>
      <c r="K3376" s="22"/>
    </row>
    <row r="3377" spans="1:11">
      <c r="A3377" s="241" t="e">
        <f>VLOOKUP(B3377,'lista 1'!$A$2:$E$30100,4,0)</f>
        <v>#N/A</v>
      </c>
      <c r="B3377" s="123"/>
      <c r="C3377" s="133" t="e">
        <f>VLOOKUP(B3377,'lista 1'!$A$2:$E$31000,5,0)</f>
        <v>#N/A</v>
      </c>
      <c r="D3377" s="167" t="e">
        <f>VLOOKUP(E15177,'lista obszary'!A:B,2,0)</f>
        <v>#N/A</v>
      </c>
      <c r="E3377" s="128" t="e">
        <f>VLOOKUP(B3377,'LISTA 12'!$A$2:$G$301400,5,0)</f>
        <v>#N/A</v>
      </c>
      <c r="F3377" s="121" t="e">
        <f>VLOOKUP(B3377,'LISTA 12'!$A$2:$G$30100,7,0)</f>
        <v>#N/A</v>
      </c>
      <c r="G3377" s="254" t="e">
        <f>VLOOKUP(H3377,'lista 3'!$A$1:$C$31467,3,0)</f>
        <v>#N/A</v>
      </c>
      <c r="H3377" s="134"/>
      <c r="I3377" s="136"/>
      <c r="J3377" s="135"/>
      <c r="K3377" s="22"/>
    </row>
    <row r="3378" spans="1:11">
      <c r="A3378" s="241" t="e">
        <f>VLOOKUP(B3378,'lista 1'!$A$2:$E$30100,4,0)</f>
        <v>#N/A</v>
      </c>
      <c r="B3378" s="123"/>
      <c r="C3378" s="133" t="e">
        <f>VLOOKUP(B3378,'lista 1'!$A$2:$E$31000,5,0)</f>
        <v>#N/A</v>
      </c>
      <c r="D3378" s="167" t="e">
        <f>VLOOKUP(E15178,'lista obszary'!A:B,2,0)</f>
        <v>#N/A</v>
      </c>
      <c r="E3378" s="128" t="e">
        <f>VLOOKUP(B3378,'LISTA 12'!$A$2:$G$301400,5,0)</f>
        <v>#N/A</v>
      </c>
      <c r="F3378" s="121" t="e">
        <f>VLOOKUP(B3378,'LISTA 12'!$A$2:$G$30100,7,0)</f>
        <v>#N/A</v>
      </c>
      <c r="G3378" s="254" t="e">
        <f>VLOOKUP(H3378,'lista 3'!$A$1:$C$31467,3,0)</f>
        <v>#N/A</v>
      </c>
      <c r="H3378" s="134"/>
      <c r="I3378" s="136"/>
      <c r="J3378" s="135"/>
      <c r="K3378" s="22"/>
    </row>
    <row r="3379" spans="1:11">
      <c r="A3379" s="241" t="e">
        <f>VLOOKUP(B3379,'lista 1'!$A$2:$E$30100,4,0)</f>
        <v>#N/A</v>
      </c>
      <c r="B3379" s="123"/>
      <c r="C3379" s="133" t="e">
        <f>VLOOKUP(B3379,'lista 1'!$A$2:$E$31000,5,0)</f>
        <v>#N/A</v>
      </c>
      <c r="D3379" s="167" t="e">
        <f>VLOOKUP(E15179,'lista obszary'!A:B,2,0)</f>
        <v>#N/A</v>
      </c>
      <c r="E3379" s="128" t="e">
        <f>VLOOKUP(B3379,'LISTA 12'!$A$2:$G$301400,5,0)</f>
        <v>#N/A</v>
      </c>
      <c r="F3379" s="121" t="e">
        <f>VLOOKUP(B3379,'LISTA 12'!$A$2:$G$30100,7,0)</f>
        <v>#N/A</v>
      </c>
      <c r="G3379" s="254" t="e">
        <f>VLOOKUP(H3379,'lista 3'!$A$1:$C$31467,3,0)</f>
        <v>#N/A</v>
      </c>
      <c r="H3379" s="134"/>
      <c r="I3379" s="136"/>
      <c r="J3379" s="135"/>
      <c r="K3379" s="22"/>
    </row>
    <row r="3380" spans="1:11">
      <c r="A3380" s="241" t="e">
        <f>VLOOKUP(B3380,'lista 1'!$A$2:$E$30100,4,0)</f>
        <v>#N/A</v>
      </c>
      <c r="B3380" s="123"/>
      <c r="C3380" s="133" t="e">
        <f>VLOOKUP(B3380,'lista 1'!$A$2:$E$31000,5,0)</f>
        <v>#N/A</v>
      </c>
      <c r="D3380" s="167" t="e">
        <f>VLOOKUP(E15180,'lista obszary'!A:B,2,0)</f>
        <v>#N/A</v>
      </c>
      <c r="E3380" s="128" t="e">
        <f>VLOOKUP(B3380,'LISTA 12'!$A$2:$G$301400,5,0)</f>
        <v>#N/A</v>
      </c>
      <c r="F3380" s="121" t="e">
        <f>VLOOKUP(B3380,'LISTA 12'!$A$2:$G$30100,7,0)</f>
        <v>#N/A</v>
      </c>
      <c r="G3380" s="254" t="e">
        <f>VLOOKUP(H3380,'lista 3'!$A$1:$C$31467,3,0)</f>
        <v>#N/A</v>
      </c>
      <c r="H3380" s="134"/>
      <c r="I3380" s="136"/>
      <c r="J3380" s="135"/>
      <c r="K3380" s="22"/>
    </row>
    <row r="3381" spans="1:11">
      <c r="A3381" s="241" t="e">
        <f>VLOOKUP(B3381,'lista 1'!$A$2:$E$30100,4,0)</f>
        <v>#N/A</v>
      </c>
      <c r="B3381" s="123"/>
      <c r="C3381" s="133" t="e">
        <f>VLOOKUP(B3381,'lista 1'!$A$2:$E$31000,5,0)</f>
        <v>#N/A</v>
      </c>
      <c r="D3381" s="167" t="e">
        <f>VLOOKUP(E15181,'lista obszary'!A:B,2,0)</f>
        <v>#N/A</v>
      </c>
      <c r="E3381" s="128" t="e">
        <f>VLOOKUP(B3381,'LISTA 12'!$A$2:$G$301400,5,0)</f>
        <v>#N/A</v>
      </c>
      <c r="F3381" s="121" t="e">
        <f>VLOOKUP(B3381,'LISTA 12'!$A$2:$G$30100,7,0)</f>
        <v>#N/A</v>
      </c>
      <c r="G3381" s="254" t="e">
        <f>VLOOKUP(H3381,'lista 3'!$A$1:$C$31467,3,0)</f>
        <v>#N/A</v>
      </c>
      <c r="H3381" s="134"/>
      <c r="I3381" s="136"/>
      <c r="J3381" s="135"/>
      <c r="K3381" s="22"/>
    </row>
    <row r="3382" spans="1:11">
      <c r="A3382" s="241" t="e">
        <f>VLOOKUP(B3382,'lista 1'!$A$2:$E$30100,4,0)</f>
        <v>#N/A</v>
      </c>
      <c r="B3382" s="123"/>
      <c r="C3382" s="133" t="e">
        <f>VLOOKUP(B3382,'lista 1'!$A$2:$E$31000,5,0)</f>
        <v>#N/A</v>
      </c>
      <c r="D3382" s="167" t="e">
        <f>VLOOKUP(E15182,'lista obszary'!A:B,2,0)</f>
        <v>#N/A</v>
      </c>
      <c r="E3382" s="128" t="e">
        <f>VLOOKUP(B3382,'LISTA 12'!$A$2:$G$301400,5,0)</f>
        <v>#N/A</v>
      </c>
      <c r="F3382" s="121" t="e">
        <f>VLOOKUP(B3382,'LISTA 12'!$A$2:$G$30100,7,0)</f>
        <v>#N/A</v>
      </c>
      <c r="G3382" s="254" t="e">
        <f>VLOOKUP(H3382,'lista 3'!$A$1:$C$31467,3,0)</f>
        <v>#N/A</v>
      </c>
      <c r="H3382" s="134"/>
      <c r="I3382" s="136"/>
      <c r="J3382" s="135"/>
      <c r="K3382" s="22"/>
    </row>
    <row r="3383" spans="1:11">
      <c r="A3383" s="241" t="e">
        <f>VLOOKUP(B3383,'lista 1'!$A$2:$E$30100,4,0)</f>
        <v>#N/A</v>
      </c>
      <c r="B3383" s="123"/>
      <c r="C3383" s="133" t="e">
        <f>VLOOKUP(B3383,'lista 1'!$A$2:$E$31000,5,0)</f>
        <v>#N/A</v>
      </c>
      <c r="D3383" s="167" t="e">
        <f>VLOOKUP(E15183,'lista obszary'!A:B,2,0)</f>
        <v>#N/A</v>
      </c>
      <c r="E3383" s="128" t="e">
        <f>VLOOKUP(B3383,'LISTA 12'!$A$2:$G$301400,5,0)</f>
        <v>#N/A</v>
      </c>
      <c r="F3383" s="121" t="e">
        <f>VLOOKUP(B3383,'LISTA 12'!$A$2:$G$30100,7,0)</f>
        <v>#N/A</v>
      </c>
      <c r="G3383" s="254" t="e">
        <f>VLOOKUP(H3383,'lista 3'!$A$1:$C$31467,3,0)</f>
        <v>#N/A</v>
      </c>
      <c r="H3383" s="134"/>
      <c r="I3383" s="136"/>
      <c r="J3383" s="135"/>
      <c r="K3383" s="22"/>
    </row>
    <row r="3384" spans="1:11">
      <c r="A3384" s="241" t="e">
        <f>VLOOKUP(B3384,'lista 1'!$A$2:$E$30100,4,0)</f>
        <v>#N/A</v>
      </c>
      <c r="B3384" s="123"/>
      <c r="C3384" s="133" t="e">
        <f>VLOOKUP(B3384,'lista 1'!$A$2:$E$31000,5,0)</f>
        <v>#N/A</v>
      </c>
      <c r="D3384" s="167" t="e">
        <f>VLOOKUP(E15184,'lista obszary'!A:B,2,0)</f>
        <v>#N/A</v>
      </c>
      <c r="E3384" s="128" t="e">
        <f>VLOOKUP(B3384,'LISTA 12'!$A$2:$G$301400,5,0)</f>
        <v>#N/A</v>
      </c>
      <c r="F3384" s="121" t="e">
        <f>VLOOKUP(B3384,'LISTA 12'!$A$2:$G$30100,7,0)</f>
        <v>#N/A</v>
      </c>
      <c r="G3384" s="254" t="e">
        <f>VLOOKUP(H3384,'lista 3'!$A$1:$C$31467,3,0)</f>
        <v>#N/A</v>
      </c>
      <c r="H3384" s="134"/>
      <c r="I3384" s="136"/>
      <c r="J3384" s="135"/>
      <c r="K3384" s="22"/>
    </row>
    <row r="3385" spans="1:11">
      <c r="A3385" s="241" t="e">
        <f>VLOOKUP(B3385,'lista 1'!$A$2:$E$30100,4,0)</f>
        <v>#N/A</v>
      </c>
      <c r="B3385" s="123"/>
      <c r="C3385" s="133" t="e">
        <f>VLOOKUP(B3385,'lista 1'!$A$2:$E$31000,5,0)</f>
        <v>#N/A</v>
      </c>
      <c r="D3385" s="167" t="e">
        <f>VLOOKUP(E15185,'lista obszary'!A:B,2,0)</f>
        <v>#N/A</v>
      </c>
      <c r="E3385" s="128" t="e">
        <f>VLOOKUP(B3385,'LISTA 12'!$A$2:$G$301400,5,0)</f>
        <v>#N/A</v>
      </c>
      <c r="F3385" s="121" t="e">
        <f>VLOOKUP(B3385,'LISTA 12'!$A$2:$G$30100,7,0)</f>
        <v>#N/A</v>
      </c>
      <c r="G3385" s="254" t="e">
        <f>VLOOKUP(H3385,'lista 3'!$A$1:$C$31467,3,0)</f>
        <v>#N/A</v>
      </c>
      <c r="H3385" s="134"/>
      <c r="I3385" s="136"/>
      <c r="J3385" s="135"/>
      <c r="K3385" s="22"/>
    </row>
    <row r="3386" spans="1:11">
      <c r="A3386" s="241" t="e">
        <f>VLOOKUP(B3386,'lista 1'!$A$2:$E$30100,4,0)</f>
        <v>#N/A</v>
      </c>
      <c r="B3386" s="123"/>
      <c r="C3386" s="133" t="e">
        <f>VLOOKUP(B3386,'lista 1'!$A$2:$E$31000,5,0)</f>
        <v>#N/A</v>
      </c>
      <c r="D3386" s="167" t="e">
        <f>VLOOKUP(E15186,'lista obszary'!A:B,2,0)</f>
        <v>#N/A</v>
      </c>
      <c r="E3386" s="128" t="e">
        <f>VLOOKUP(B3386,'LISTA 12'!$A$2:$G$301400,5,0)</f>
        <v>#N/A</v>
      </c>
      <c r="F3386" s="121" t="e">
        <f>VLOOKUP(B3386,'LISTA 12'!$A$2:$G$30100,7,0)</f>
        <v>#N/A</v>
      </c>
      <c r="G3386" s="254" t="e">
        <f>VLOOKUP(H3386,'lista 3'!$A$1:$C$31467,3,0)</f>
        <v>#N/A</v>
      </c>
      <c r="H3386" s="134"/>
      <c r="I3386" s="136"/>
      <c r="J3386" s="135"/>
      <c r="K3386" s="22"/>
    </row>
    <row r="3387" spans="1:11">
      <c r="A3387" s="241" t="e">
        <f>VLOOKUP(B3387,'lista 1'!$A$2:$E$30100,4,0)</f>
        <v>#N/A</v>
      </c>
      <c r="B3387" s="123"/>
      <c r="C3387" s="133" t="e">
        <f>VLOOKUP(B3387,'lista 1'!$A$2:$E$31000,5,0)</f>
        <v>#N/A</v>
      </c>
      <c r="D3387" s="167" t="e">
        <f>VLOOKUP(E15187,'lista obszary'!A:B,2,0)</f>
        <v>#N/A</v>
      </c>
      <c r="E3387" s="128" t="e">
        <f>VLOOKUP(B3387,'LISTA 12'!$A$2:$G$301400,5,0)</f>
        <v>#N/A</v>
      </c>
      <c r="F3387" s="121" t="e">
        <f>VLOOKUP(B3387,'LISTA 12'!$A$2:$G$30100,7,0)</f>
        <v>#N/A</v>
      </c>
      <c r="G3387" s="254" t="e">
        <f>VLOOKUP(H3387,'lista 3'!$A$1:$C$31467,3,0)</f>
        <v>#N/A</v>
      </c>
      <c r="H3387" s="134"/>
      <c r="I3387" s="136"/>
      <c r="J3387" s="135"/>
      <c r="K3387" s="22"/>
    </row>
    <row r="3388" spans="1:11">
      <c r="A3388" s="241" t="e">
        <f>VLOOKUP(B3388,'lista 1'!$A$2:$E$30100,4,0)</f>
        <v>#N/A</v>
      </c>
      <c r="B3388" s="123"/>
      <c r="C3388" s="133" t="e">
        <f>VLOOKUP(B3388,'lista 1'!$A$2:$E$31000,5,0)</f>
        <v>#N/A</v>
      </c>
      <c r="D3388" s="167" t="e">
        <f>VLOOKUP(E15188,'lista obszary'!A:B,2,0)</f>
        <v>#N/A</v>
      </c>
      <c r="E3388" s="128" t="e">
        <f>VLOOKUP(B3388,'LISTA 12'!$A$2:$G$301400,5,0)</f>
        <v>#N/A</v>
      </c>
      <c r="F3388" s="121" t="e">
        <f>VLOOKUP(B3388,'LISTA 12'!$A$2:$G$30100,7,0)</f>
        <v>#N/A</v>
      </c>
      <c r="G3388" s="254" t="e">
        <f>VLOOKUP(H3388,'lista 3'!$A$1:$C$31467,3,0)</f>
        <v>#N/A</v>
      </c>
      <c r="H3388" s="134"/>
      <c r="I3388" s="136"/>
      <c r="J3388" s="135"/>
      <c r="K3388" s="22"/>
    </row>
    <row r="3389" spans="1:11">
      <c r="A3389" s="241" t="e">
        <f>VLOOKUP(B3389,'lista 1'!$A$2:$E$30100,4,0)</f>
        <v>#N/A</v>
      </c>
      <c r="B3389" s="123"/>
      <c r="C3389" s="133" t="e">
        <f>VLOOKUP(B3389,'lista 1'!$A$2:$E$31000,5,0)</f>
        <v>#N/A</v>
      </c>
      <c r="D3389" s="167" t="e">
        <f>VLOOKUP(E15189,'lista obszary'!A:B,2,0)</f>
        <v>#N/A</v>
      </c>
      <c r="E3389" s="128" t="e">
        <f>VLOOKUP(B3389,'LISTA 12'!$A$2:$G$301400,5,0)</f>
        <v>#N/A</v>
      </c>
      <c r="F3389" s="121" t="e">
        <f>VLOOKUP(B3389,'LISTA 12'!$A$2:$G$30100,7,0)</f>
        <v>#N/A</v>
      </c>
      <c r="G3389" s="254" t="e">
        <f>VLOOKUP(H3389,'lista 3'!$A$1:$C$31467,3,0)</f>
        <v>#N/A</v>
      </c>
      <c r="H3389" s="134"/>
      <c r="I3389" s="136"/>
      <c r="J3389" s="135"/>
      <c r="K3389" s="22"/>
    </row>
    <row r="3390" spans="1:11">
      <c r="A3390" s="241" t="e">
        <f>VLOOKUP(B3390,'lista 1'!$A$2:$E$30100,4,0)</f>
        <v>#N/A</v>
      </c>
      <c r="B3390" s="123"/>
      <c r="C3390" s="133" t="e">
        <f>VLOOKUP(B3390,'lista 1'!$A$2:$E$31000,5,0)</f>
        <v>#N/A</v>
      </c>
      <c r="D3390" s="167" t="e">
        <f>VLOOKUP(E15190,'lista obszary'!A:B,2,0)</f>
        <v>#N/A</v>
      </c>
      <c r="E3390" s="128" t="e">
        <f>VLOOKUP(B3390,'LISTA 12'!$A$2:$G$301400,5,0)</f>
        <v>#N/A</v>
      </c>
      <c r="F3390" s="121" t="e">
        <f>VLOOKUP(B3390,'LISTA 12'!$A$2:$G$30100,7,0)</f>
        <v>#N/A</v>
      </c>
      <c r="G3390" s="254" t="e">
        <f>VLOOKUP(H3390,'lista 3'!$A$1:$C$31467,3,0)</f>
        <v>#N/A</v>
      </c>
      <c r="H3390" s="134"/>
      <c r="I3390" s="136"/>
      <c r="J3390" s="135"/>
      <c r="K3390" s="22"/>
    </row>
    <row r="3391" spans="1:11">
      <c r="A3391" s="241" t="e">
        <f>VLOOKUP(B3391,'lista 1'!$A$2:$E$30100,4,0)</f>
        <v>#N/A</v>
      </c>
      <c r="B3391" s="123"/>
      <c r="C3391" s="133" t="e">
        <f>VLOOKUP(B3391,'lista 1'!$A$2:$E$31000,5,0)</f>
        <v>#N/A</v>
      </c>
      <c r="D3391" s="167" t="e">
        <f>VLOOKUP(E15191,'lista obszary'!A:B,2,0)</f>
        <v>#N/A</v>
      </c>
      <c r="E3391" s="128" t="e">
        <f>VLOOKUP(B3391,'LISTA 12'!$A$2:$G$301400,5,0)</f>
        <v>#N/A</v>
      </c>
      <c r="F3391" s="121" t="e">
        <f>VLOOKUP(B3391,'LISTA 12'!$A$2:$G$30100,7,0)</f>
        <v>#N/A</v>
      </c>
      <c r="G3391" s="254" t="e">
        <f>VLOOKUP(H3391,'lista 3'!$A$1:$C$31467,3,0)</f>
        <v>#N/A</v>
      </c>
      <c r="H3391" s="134"/>
      <c r="I3391" s="136"/>
      <c r="J3391" s="135"/>
      <c r="K3391" s="22"/>
    </row>
    <row r="3392" spans="1:11">
      <c r="A3392" s="241" t="e">
        <f>VLOOKUP(B3392,'lista 1'!$A$2:$E$30100,4,0)</f>
        <v>#N/A</v>
      </c>
      <c r="B3392" s="123"/>
      <c r="C3392" s="133" t="e">
        <f>VLOOKUP(B3392,'lista 1'!$A$2:$E$31000,5,0)</f>
        <v>#N/A</v>
      </c>
      <c r="D3392" s="167" t="e">
        <f>VLOOKUP(E15192,'lista obszary'!A:B,2,0)</f>
        <v>#N/A</v>
      </c>
      <c r="E3392" s="128" t="e">
        <f>VLOOKUP(B3392,'LISTA 12'!$A$2:$G$301400,5,0)</f>
        <v>#N/A</v>
      </c>
      <c r="F3392" s="121" t="e">
        <f>VLOOKUP(B3392,'LISTA 12'!$A$2:$G$30100,7,0)</f>
        <v>#N/A</v>
      </c>
      <c r="G3392" s="254" t="e">
        <f>VLOOKUP(H3392,'lista 3'!$A$1:$C$31467,3,0)</f>
        <v>#N/A</v>
      </c>
      <c r="H3392" s="134"/>
      <c r="I3392" s="136"/>
      <c r="J3392" s="135"/>
      <c r="K3392" s="22"/>
    </row>
    <row r="3393" spans="1:11">
      <c r="A3393" s="241" t="e">
        <f>VLOOKUP(B3393,'lista 1'!$A$2:$E$30100,4,0)</f>
        <v>#N/A</v>
      </c>
      <c r="B3393" s="123"/>
      <c r="C3393" s="133" t="e">
        <f>VLOOKUP(B3393,'lista 1'!$A$2:$E$31000,5,0)</f>
        <v>#N/A</v>
      </c>
      <c r="D3393" s="167" t="e">
        <f>VLOOKUP(E15193,'lista obszary'!A:B,2,0)</f>
        <v>#N/A</v>
      </c>
      <c r="E3393" s="128" t="e">
        <f>VLOOKUP(B3393,'LISTA 12'!$A$2:$G$301400,5,0)</f>
        <v>#N/A</v>
      </c>
      <c r="F3393" s="121" t="e">
        <f>VLOOKUP(B3393,'LISTA 12'!$A$2:$G$30100,7,0)</f>
        <v>#N/A</v>
      </c>
      <c r="G3393" s="254" t="e">
        <f>VLOOKUP(H3393,'lista 3'!$A$1:$C$31467,3,0)</f>
        <v>#N/A</v>
      </c>
      <c r="H3393" s="134"/>
      <c r="I3393" s="136"/>
      <c r="J3393" s="135"/>
      <c r="K3393" s="22"/>
    </row>
    <row r="3394" spans="1:11">
      <c r="A3394" s="241" t="e">
        <f>VLOOKUP(B3394,'lista 1'!$A$2:$E$30100,4,0)</f>
        <v>#N/A</v>
      </c>
      <c r="B3394" s="123"/>
      <c r="C3394" s="133" t="e">
        <f>VLOOKUP(B3394,'lista 1'!$A$2:$E$31000,5,0)</f>
        <v>#N/A</v>
      </c>
      <c r="D3394" s="167" t="e">
        <f>VLOOKUP(E15194,'lista obszary'!A:B,2,0)</f>
        <v>#N/A</v>
      </c>
      <c r="E3394" s="128" t="e">
        <f>VLOOKUP(B3394,'LISTA 12'!$A$2:$G$301400,5,0)</f>
        <v>#N/A</v>
      </c>
      <c r="F3394" s="121" t="e">
        <f>VLOOKUP(B3394,'LISTA 12'!$A$2:$G$30100,7,0)</f>
        <v>#N/A</v>
      </c>
      <c r="G3394" s="254" t="e">
        <f>VLOOKUP(H3394,'lista 3'!$A$1:$C$31467,3,0)</f>
        <v>#N/A</v>
      </c>
      <c r="H3394" s="134"/>
      <c r="I3394" s="136"/>
      <c r="J3394" s="135"/>
      <c r="K3394" s="22"/>
    </row>
    <row r="3395" spans="1:11">
      <c r="A3395" s="241" t="e">
        <f>VLOOKUP(B3395,'lista 1'!$A$2:$E$30100,4,0)</f>
        <v>#N/A</v>
      </c>
      <c r="B3395" s="123"/>
      <c r="C3395" s="133" t="e">
        <f>VLOOKUP(B3395,'lista 1'!$A$2:$E$31000,5,0)</f>
        <v>#N/A</v>
      </c>
      <c r="D3395" s="167" t="e">
        <f>VLOOKUP(E15195,'lista obszary'!A:B,2,0)</f>
        <v>#N/A</v>
      </c>
      <c r="E3395" s="128" t="e">
        <f>VLOOKUP(B3395,'LISTA 12'!$A$2:$G$301400,5,0)</f>
        <v>#N/A</v>
      </c>
      <c r="F3395" s="121" t="e">
        <f>VLOOKUP(B3395,'LISTA 12'!$A$2:$G$30100,7,0)</f>
        <v>#N/A</v>
      </c>
      <c r="G3395" s="254" t="e">
        <f>VLOOKUP(H3395,'lista 3'!$A$1:$C$31467,3,0)</f>
        <v>#N/A</v>
      </c>
      <c r="H3395" s="134"/>
      <c r="I3395" s="136"/>
      <c r="J3395" s="135"/>
      <c r="K3395" s="22"/>
    </row>
    <row r="3396" spans="1:11">
      <c r="A3396" s="241" t="e">
        <f>VLOOKUP(B3396,'lista 1'!$A$2:$E$30100,4,0)</f>
        <v>#N/A</v>
      </c>
      <c r="B3396" s="123"/>
      <c r="C3396" s="133" t="e">
        <f>VLOOKUP(B3396,'lista 1'!$A$2:$E$31000,5,0)</f>
        <v>#N/A</v>
      </c>
      <c r="D3396" s="167" t="e">
        <f>VLOOKUP(E15196,'lista obszary'!A:B,2,0)</f>
        <v>#N/A</v>
      </c>
      <c r="E3396" s="128" t="e">
        <f>VLOOKUP(B3396,'LISTA 12'!$A$2:$G$301400,5,0)</f>
        <v>#N/A</v>
      </c>
      <c r="F3396" s="121" t="e">
        <f>VLOOKUP(B3396,'LISTA 12'!$A$2:$G$30100,7,0)</f>
        <v>#N/A</v>
      </c>
      <c r="G3396" s="254" t="e">
        <f>VLOOKUP(H3396,'lista 3'!$A$1:$C$31467,3,0)</f>
        <v>#N/A</v>
      </c>
      <c r="H3396" s="134"/>
      <c r="I3396" s="136"/>
      <c r="J3396" s="135"/>
      <c r="K3396" s="22"/>
    </row>
    <row r="3397" spans="1:11">
      <c r="A3397" s="241" t="e">
        <f>VLOOKUP(B3397,'lista 1'!$A$2:$E$30100,4,0)</f>
        <v>#N/A</v>
      </c>
      <c r="B3397" s="123"/>
      <c r="C3397" s="133" t="e">
        <f>VLOOKUP(B3397,'lista 1'!$A$2:$E$31000,5,0)</f>
        <v>#N/A</v>
      </c>
      <c r="D3397" s="167" t="e">
        <f>VLOOKUP(E15197,'lista obszary'!A:B,2,0)</f>
        <v>#N/A</v>
      </c>
      <c r="E3397" s="128" t="e">
        <f>VLOOKUP(B3397,'LISTA 12'!$A$2:$G$301400,5,0)</f>
        <v>#N/A</v>
      </c>
      <c r="F3397" s="121" t="e">
        <f>VLOOKUP(B3397,'LISTA 12'!$A$2:$G$30100,7,0)</f>
        <v>#N/A</v>
      </c>
      <c r="G3397" s="254" t="e">
        <f>VLOOKUP(H3397,'lista 3'!$A$1:$C$31467,3,0)</f>
        <v>#N/A</v>
      </c>
      <c r="H3397" s="134"/>
      <c r="I3397" s="136"/>
      <c r="J3397" s="135"/>
      <c r="K3397" s="22"/>
    </row>
    <row r="3398" spans="1:11">
      <c r="A3398" s="241" t="e">
        <f>VLOOKUP(B3398,'lista 1'!$A$2:$E$30100,4,0)</f>
        <v>#N/A</v>
      </c>
      <c r="B3398" s="123"/>
      <c r="C3398" s="133" t="e">
        <f>VLOOKUP(B3398,'lista 1'!$A$2:$E$31000,5,0)</f>
        <v>#N/A</v>
      </c>
      <c r="D3398" s="167" t="e">
        <f>VLOOKUP(E15198,'lista obszary'!A:B,2,0)</f>
        <v>#N/A</v>
      </c>
      <c r="E3398" s="128" t="e">
        <f>VLOOKUP(B3398,'LISTA 12'!$A$2:$G$301400,5,0)</f>
        <v>#N/A</v>
      </c>
      <c r="F3398" s="121" t="e">
        <f>VLOOKUP(B3398,'LISTA 12'!$A$2:$G$30100,7,0)</f>
        <v>#N/A</v>
      </c>
      <c r="G3398" s="254" t="e">
        <f>VLOOKUP(H3398,'lista 3'!$A$1:$C$31467,3,0)</f>
        <v>#N/A</v>
      </c>
      <c r="H3398" s="134"/>
      <c r="I3398" s="136"/>
      <c r="J3398" s="135"/>
      <c r="K3398" s="22"/>
    </row>
    <row r="3399" spans="1:11">
      <c r="A3399" s="241" t="e">
        <f>VLOOKUP(B3399,'lista 1'!$A$2:$E$30100,4,0)</f>
        <v>#N/A</v>
      </c>
      <c r="B3399" s="123"/>
      <c r="C3399" s="133" t="e">
        <f>VLOOKUP(B3399,'lista 1'!$A$2:$E$31000,5,0)</f>
        <v>#N/A</v>
      </c>
      <c r="D3399" s="167" t="e">
        <f>VLOOKUP(E15199,'lista obszary'!A:B,2,0)</f>
        <v>#N/A</v>
      </c>
      <c r="E3399" s="128" t="e">
        <f>VLOOKUP(B3399,'LISTA 12'!$A$2:$G$301400,5,0)</f>
        <v>#N/A</v>
      </c>
      <c r="F3399" s="121" t="e">
        <f>VLOOKUP(B3399,'LISTA 12'!$A$2:$G$30100,7,0)</f>
        <v>#N/A</v>
      </c>
      <c r="G3399" s="254" t="e">
        <f>VLOOKUP(H3399,'lista 3'!$A$1:$C$31467,3,0)</f>
        <v>#N/A</v>
      </c>
      <c r="H3399" s="134"/>
      <c r="I3399" s="136"/>
      <c r="J3399" s="135"/>
      <c r="K3399" s="22"/>
    </row>
    <row r="3400" spans="1:11">
      <c r="A3400" s="241" t="e">
        <f>VLOOKUP(B3400,'lista 1'!$A$2:$E$30100,4,0)</f>
        <v>#N/A</v>
      </c>
      <c r="B3400" s="123"/>
      <c r="C3400" s="133" t="e">
        <f>VLOOKUP(B3400,'lista 1'!$A$2:$E$31000,5,0)</f>
        <v>#N/A</v>
      </c>
      <c r="D3400" s="167" t="e">
        <f>VLOOKUP(E15200,'lista obszary'!A:B,2,0)</f>
        <v>#N/A</v>
      </c>
      <c r="E3400" s="128" t="e">
        <f>VLOOKUP(B3400,'LISTA 12'!$A$2:$G$301400,5,0)</f>
        <v>#N/A</v>
      </c>
      <c r="F3400" s="121" t="e">
        <f>VLOOKUP(B3400,'LISTA 12'!$A$2:$G$30100,7,0)</f>
        <v>#N/A</v>
      </c>
      <c r="G3400" s="254" t="e">
        <f>VLOOKUP(H3400,'lista 3'!$A$1:$C$31467,3,0)</f>
        <v>#N/A</v>
      </c>
      <c r="H3400" s="134"/>
      <c r="I3400" s="136"/>
      <c r="J3400" s="135"/>
      <c r="K3400" s="22"/>
    </row>
    <row r="3401" spans="1:11">
      <c r="A3401" s="241" t="e">
        <f>VLOOKUP(B3401,'lista 1'!$A$2:$E$30100,4,0)</f>
        <v>#N/A</v>
      </c>
      <c r="B3401" s="123"/>
      <c r="C3401" s="133" t="e">
        <f>VLOOKUP(B3401,'lista 1'!$A$2:$E$31000,5,0)</f>
        <v>#N/A</v>
      </c>
      <c r="D3401" s="167" t="e">
        <f>VLOOKUP(E15201,'lista obszary'!A:B,2,0)</f>
        <v>#N/A</v>
      </c>
      <c r="E3401" s="128" t="e">
        <f>VLOOKUP(B3401,'LISTA 12'!$A$2:$G$301400,5,0)</f>
        <v>#N/A</v>
      </c>
      <c r="F3401" s="121" t="e">
        <f>VLOOKUP(B3401,'LISTA 12'!$A$2:$G$30100,7,0)</f>
        <v>#N/A</v>
      </c>
      <c r="G3401" s="254" t="e">
        <f>VLOOKUP(H3401,'lista 3'!$A$1:$C$31467,3,0)</f>
        <v>#N/A</v>
      </c>
      <c r="H3401" s="134"/>
      <c r="I3401" s="136"/>
      <c r="J3401" s="135"/>
      <c r="K3401" s="22"/>
    </row>
    <row r="3402" spans="1:11">
      <c r="A3402" s="241" t="e">
        <f>VLOOKUP(B3402,'lista 1'!$A$2:$E$30100,4,0)</f>
        <v>#N/A</v>
      </c>
      <c r="B3402" s="123"/>
      <c r="C3402" s="133" t="e">
        <f>VLOOKUP(B3402,'lista 1'!$A$2:$E$31000,5,0)</f>
        <v>#N/A</v>
      </c>
      <c r="D3402" s="167" t="e">
        <f>VLOOKUP(E15202,'lista obszary'!A:B,2,0)</f>
        <v>#N/A</v>
      </c>
      <c r="E3402" s="128" t="e">
        <f>VLOOKUP(B3402,'LISTA 12'!$A$2:$G$301400,5,0)</f>
        <v>#N/A</v>
      </c>
      <c r="F3402" s="121" t="e">
        <f>VLOOKUP(B3402,'LISTA 12'!$A$2:$G$30100,7,0)</f>
        <v>#N/A</v>
      </c>
      <c r="G3402" s="254" t="e">
        <f>VLOOKUP(H3402,'lista 3'!$A$1:$C$31467,3,0)</f>
        <v>#N/A</v>
      </c>
      <c r="H3402" s="134"/>
      <c r="I3402" s="136"/>
      <c r="J3402" s="135"/>
      <c r="K3402" s="22"/>
    </row>
    <row r="3403" spans="1:11">
      <c r="A3403" s="241" t="e">
        <f>VLOOKUP(B3403,'lista 1'!$A$2:$E$30100,4,0)</f>
        <v>#N/A</v>
      </c>
      <c r="B3403" s="123"/>
      <c r="C3403" s="133" t="e">
        <f>VLOOKUP(B3403,'lista 1'!$A$2:$E$31000,5,0)</f>
        <v>#N/A</v>
      </c>
      <c r="D3403" s="167" t="e">
        <f>VLOOKUP(E15203,'lista obszary'!A:B,2,0)</f>
        <v>#N/A</v>
      </c>
      <c r="E3403" s="128" t="e">
        <f>VLOOKUP(B3403,'LISTA 12'!$A$2:$G$301400,5,0)</f>
        <v>#N/A</v>
      </c>
      <c r="F3403" s="121" t="e">
        <f>VLOOKUP(B3403,'LISTA 12'!$A$2:$G$30100,7,0)</f>
        <v>#N/A</v>
      </c>
      <c r="G3403" s="254" t="e">
        <f>VLOOKUP(H3403,'lista 3'!$A$1:$C$31467,3,0)</f>
        <v>#N/A</v>
      </c>
      <c r="H3403" s="134"/>
      <c r="I3403" s="136"/>
      <c r="J3403" s="135"/>
      <c r="K3403" s="22"/>
    </row>
    <row r="3404" spans="1:11">
      <c r="A3404" s="241" t="e">
        <f>VLOOKUP(B3404,'lista 1'!$A$2:$E$30100,4,0)</f>
        <v>#N/A</v>
      </c>
      <c r="B3404" s="123"/>
      <c r="C3404" s="133" t="e">
        <f>VLOOKUP(B3404,'lista 1'!$A$2:$E$31000,5,0)</f>
        <v>#N/A</v>
      </c>
      <c r="D3404" s="167" t="e">
        <f>VLOOKUP(E15204,'lista obszary'!A:B,2,0)</f>
        <v>#N/A</v>
      </c>
      <c r="E3404" s="128" t="e">
        <f>VLOOKUP(B3404,'LISTA 12'!$A$2:$G$301400,5,0)</f>
        <v>#N/A</v>
      </c>
      <c r="F3404" s="121" t="e">
        <f>VLOOKUP(B3404,'LISTA 12'!$A$2:$G$30100,7,0)</f>
        <v>#N/A</v>
      </c>
      <c r="G3404" s="254" t="e">
        <f>VLOOKUP(H3404,'lista 3'!$A$1:$C$31467,3,0)</f>
        <v>#N/A</v>
      </c>
      <c r="H3404" s="134"/>
      <c r="I3404" s="136"/>
      <c r="J3404" s="135"/>
      <c r="K3404" s="22"/>
    </row>
    <row r="3405" spans="1:11">
      <c r="A3405" s="241" t="e">
        <f>VLOOKUP(B3405,'lista 1'!$A$2:$E$30100,4,0)</f>
        <v>#N/A</v>
      </c>
      <c r="B3405" s="123"/>
      <c r="C3405" s="133" t="e">
        <f>VLOOKUP(B3405,'lista 1'!$A$2:$E$31000,5,0)</f>
        <v>#N/A</v>
      </c>
      <c r="D3405" s="167" t="e">
        <f>VLOOKUP(E15205,'lista obszary'!A:B,2,0)</f>
        <v>#N/A</v>
      </c>
      <c r="E3405" s="128" t="e">
        <f>VLOOKUP(B3405,'LISTA 12'!$A$2:$G$301400,5,0)</f>
        <v>#N/A</v>
      </c>
      <c r="F3405" s="121" t="e">
        <f>VLOOKUP(B3405,'LISTA 12'!$A$2:$G$30100,7,0)</f>
        <v>#N/A</v>
      </c>
      <c r="G3405" s="254" t="e">
        <f>VLOOKUP(H3405,'lista 3'!$A$1:$C$31467,3,0)</f>
        <v>#N/A</v>
      </c>
      <c r="H3405" s="134"/>
      <c r="I3405" s="136"/>
      <c r="J3405" s="135"/>
      <c r="K3405" s="22"/>
    </row>
    <row r="3406" spans="1:11">
      <c r="A3406" s="241" t="e">
        <f>VLOOKUP(B3406,'lista 1'!$A$2:$E$30100,4,0)</f>
        <v>#N/A</v>
      </c>
      <c r="B3406" s="123"/>
      <c r="C3406" s="133" t="e">
        <f>VLOOKUP(B3406,'lista 1'!$A$2:$E$31000,5,0)</f>
        <v>#N/A</v>
      </c>
      <c r="D3406" s="167" t="e">
        <f>VLOOKUP(E15206,'lista obszary'!A:B,2,0)</f>
        <v>#N/A</v>
      </c>
      <c r="E3406" s="128" t="e">
        <f>VLOOKUP(B3406,'LISTA 12'!$A$2:$G$301400,5,0)</f>
        <v>#N/A</v>
      </c>
      <c r="F3406" s="121" t="e">
        <f>VLOOKUP(B3406,'LISTA 12'!$A$2:$G$30100,7,0)</f>
        <v>#N/A</v>
      </c>
      <c r="G3406" s="254" t="e">
        <f>VLOOKUP(H3406,'lista 3'!$A$1:$C$31467,3,0)</f>
        <v>#N/A</v>
      </c>
      <c r="H3406" s="134"/>
      <c r="I3406" s="136"/>
      <c r="J3406" s="135"/>
      <c r="K3406" s="22"/>
    </row>
    <row r="3407" spans="1:11">
      <c r="A3407" s="241" t="e">
        <f>VLOOKUP(B3407,'lista 1'!$A$2:$E$30100,4,0)</f>
        <v>#N/A</v>
      </c>
      <c r="B3407" s="123"/>
      <c r="C3407" s="133" t="e">
        <f>VLOOKUP(B3407,'lista 1'!$A$2:$E$31000,5,0)</f>
        <v>#N/A</v>
      </c>
      <c r="D3407" s="167" t="e">
        <f>VLOOKUP(E15207,'lista obszary'!A:B,2,0)</f>
        <v>#N/A</v>
      </c>
      <c r="E3407" s="128" t="e">
        <f>VLOOKUP(B3407,'LISTA 12'!$A$2:$G$301400,5,0)</f>
        <v>#N/A</v>
      </c>
      <c r="F3407" s="121" t="e">
        <f>VLOOKUP(B3407,'LISTA 12'!$A$2:$G$30100,7,0)</f>
        <v>#N/A</v>
      </c>
      <c r="G3407" s="254" t="e">
        <f>VLOOKUP(H3407,'lista 3'!$A$1:$C$31467,3,0)</f>
        <v>#N/A</v>
      </c>
      <c r="H3407" s="134"/>
      <c r="I3407" s="136"/>
      <c r="J3407" s="135"/>
      <c r="K3407" s="22"/>
    </row>
    <row r="3408" spans="1:11">
      <c r="A3408" s="241" t="e">
        <f>VLOOKUP(B3408,'lista 1'!$A$2:$E$30100,4,0)</f>
        <v>#N/A</v>
      </c>
      <c r="B3408" s="123"/>
      <c r="C3408" s="133" t="e">
        <f>VLOOKUP(B3408,'lista 1'!$A$2:$E$31000,5,0)</f>
        <v>#N/A</v>
      </c>
      <c r="D3408" s="167" t="e">
        <f>VLOOKUP(E15208,'lista obszary'!A:B,2,0)</f>
        <v>#N/A</v>
      </c>
      <c r="E3408" s="128" t="e">
        <f>VLOOKUP(B3408,'LISTA 12'!$A$2:$G$301400,5,0)</f>
        <v>#N/A</v>
      </c>
      <c r="F3408" s="121" t="e">
        <f>VLOOKUP(B3408,'LISTA 12'!$A$2:$G$30100,7,0)</f>
        <v>#N/A</v>
      </c>
      <c r="G3408" s="254" t="e">
        <f>VLOOKUP(H3408,'lista 3'!$A$1:$C$31467,3,0)</f>
        <v>#N/A</v>
      </c>
      <c r="H3408" s="134"/>
      <c r="I3408" s="136"/>
      <c r="J3408" s="135"/>
      <c r="K3408" s="22"/>
    </row>
    <row r="3409" spans="1:11">
      <c r="A3409" s="241" t="e">
        <f>VLOOKUP(B3409,'lista 1'!$A$2:$E$30100,4,0)</f>
        <v>#N/A</v>
      </c>
      <c r="B3409" s="123"/>
      <c r="C3409" s="133" t="e">
        <f>VLOOKUP(B3409,'lista 1'!$A$2:$E$31000,5,0)</f>
        <v>#N/A</v>
      </c>
      <c r="D3409" s="167" t="e">
        <f>VLOOKUP(E15209,'lista obszary'!A:B,2,0)</f>
        <v>#N/A</v>
      </c>
      <c r="E3409" s="128" t="e">
        <f>VLOOKUP(B3409,'LISTA 12'!$A$2:$G$301400,5,0)</f>
        <v>#N/A</v>
      </c>
      <c r="F3409" s="121" t="e">
        <f>VLOOKUP(B3409,'LISTA 12'!$A$2:$G$30100,7,0)</f>
        <v>#N/A</v>
      </c>
      <c r="G3409" s="254" t="e">
        <f>VLOOKUP(H3409,'lista 3'!$A$1:$C$31467,3,0)</f>
        <v>#N/A</v>
      </c>
      <c r="H3409" s="134"/>
      <c r="I3409" s="136"/>
      <c r="J3409" s="135"/>
      <c r="K3409" s="22"/>
    </row>
    <row r="3410" spans="1:11">
      <c r="A3410" s="241" t="e">
        <f>VLOOKUP(B3410,'lista 1'!$A$2:$E$30100,4,0)</f>
        <v>#N/A</v>
      </c>
      <c r="B3410" s="123"/>
      <c r="C3410" s="133" t="e">
        <f>VLOOKUP(B3410,'lista 1'!$A$2:$E$31000,5,0)</f>
        <v>#N/A</v>
      </c>
      <c r="D3410" s="167" t="e">
        <f>VLOOKUP(E15210,'lista obszary'!A:B,2,0)</f>
        <v>#N/A</v>
      </c>
      <c r="E3410" s="128" t="e">
        <f>VLOOKUP(B3410,'LISTA 12'!$A$2:$G$301400,5,0)</f>
        <v>#N/A</v>
      </c>
      <c r="F3410" s="121" t="e">
        <f>VLOOKUP(B3410,'LISTA 12'!$A$2:$G$30100,7,0)</f>
        <v>#N/A</v>
      </c>
      <c r="G3410" s="254" t="e">
        <f>VLOOKUP(H3410,'lista 3'!$A$1:$C$31467,3,0)</f>
        <v>#N/A</v>
      </c>
      <c r="H3410" s="134"/>
      <c r="I3410" s="136"/>
      <c r="J3410" s="135"/>
      <c r="K3410" s="22"/>
    </row>
    <row r="3411" spans="1:11">
      <c r="A3411" s="241" t="e">
        <f>VLOOKUP(B3411,'lista 1'!$A$2:$E$30100,4,0)</f>
        <v>#N/A</v>
      </c>
      <c r="B3411" s="123"/>
      <c r="C3411" s="133" t="e">
        <f>VLOOKUP(B3411,'lista 1'!$A$2:$E$31000,5,0)</f>
        <v>#N/A</v>
      </c>
      <c r="D3411" s="167" t="e">
        <f>VLOOKUP(E15211,'lista obszary'!A:B,2,0)</f>
        <v>#N/A</v>
      </c>
      <c r="E3411" s="128" t="e">
        <f>VLOOKUP(B3411,'LISTA 12'!$A$2:$G$301400,5,0)</f>
        <v>#N/A</v>
      </c>
      <c r="F3411" s="121" t="e">
        <f>VLOOKUP(B3411,'LISTA 12'!$A$2:$G$30100,7,0)</f>
        <v>#N/A</v>
      </c>
      <c r="G3411" s="254" t="e">
        <f>VLOOKUP(H3411,'lista 3'!$A$1:$C$31467,3,0)</f>
        <v>#N/A</v>
      </c>
      <c r="H3411" s="134"/>
      <c r="I3411" s="136"/>
      <c r="J3411" s="135"/>
      <c r="K3411" s="22"/>
    </row>
    <row r="3412" spans="1:11">
      <c r="A3412" s="241" t="e">
        <f>VLOOKUP(B3412,'lista 1'!$A$2:$E$30100,4,0)</f>
        <v>#N/A</v>
      </c>
      <c r="B3412" s="123"/>
      <c r="C3412" s="133" t="e">
        <f>VLOOKUP(B3412,'lista 1'!$A$2:$E$31000,5,0)</f>
        <v>#N/A</v>
      </c>
      <c r="D3412" s="167" t="e">
        <f>VLOOKUP(E15212,'lista obszary'!A:B,2,0)</f>
        <v>#N/A</v>
      </c>
      <c r="E3412" s="128" t="e">
        <f>VLOOKUP(B3412,'LISTA 12'!$A$2:$G$301400,5,0)</f>
        <v>#N/A</v>
      </c>
      <c r="F3412" s="121" t="e">
        <f>VLOOKUP(B3412,'LISTA 12'!$A$2:$G$30100,7,0)</f>
        <v>#N/A</v>
      </c>
      <c r="G3412" s="254" t="e">
        <f>VLOOKUP(H3412,'lista 3'!$A$1:$C$31467,3,0)</f>
        <v>#N/A</v>
      </c>
      <c r="H3412" s="134"/>
      <c r="I3412" s="136"/>
      <c r="J3412" s="135"/>
      <c r="K3412" s="22"/>
    </row>
    <row r="3413" spans="1:11">
      <c r="A3413" s="241" t="e">
        <f>VLOOKUP(B3413,'lista 1'!$A$2:$E$30100,4,0)</f>
        <v>#N/A</v>
      </c>
      <c r="B3413" s="123"/>
      <c r="C3413" s="133" t="e">
        <f>VLOOKUP(B3413,'lista 1'!$A$2:$E$31000,5,0)</f>
        <v>#N/A</v>
      </c>
      <c r="D3413" s="167" t="e">
        <f>VLOOKUP(E15213,'lista obszary'!A:B,2,0)</f>
        <v>#N/A</v>
      </c>
      <c r="E3413" s="128" t="e">
        <f>VLOOKUP(B3413,'LISTA 12'!$A$2:$G$301400,5,0)</f>
        <v>#N/A</v>
      </c>
      <c r="F3413" s="121" t="e">
        <f>VLOOKUP(B3413,'LISTA 12'!$A$2:$G$30100,7,0)</f>
        <v>#N/A</v>
      </c>
      <c r="G3413" s="254" t="e">
        <f>VLOOKUP(H3413,'lista 3'!$A$1:$C$31467,3,0)</f>
        <v>#N/A</v>
      </c>
      <c r="H3413" s="134"/>
      <c r="I3413" s="136"/>
      <c r="J3413" s="135"/>
      <c r="K3413" s="22"/>
    </row>
    <row r="3414" spans="1:11">
      <c r="A3414" s="241" t="e">
        <f>VLOOKUP(B3414,'lista 1'!$A$2:$E$30100,4,0)</f>
        <v>#N/A</v>
      </c>
      <c r="B3414" s="123"/>
      <c r="C3414" s="133" t="e">
        <f>VLOOKUP(B3414,'lista 1'!$A$2:$E$31000,5,0)</f>
        <v>#N/A</v>
      </c>
      <c r="D3414" s="167" t="e">
        <f>VLOOKUP(E15214,'lista obszary'!A:B,2,0)</f>
        <v>#N/A</v>
      </c>
      <c r="E3414" s="128" t="e">
        <f>VLOOKUP(B3414,'LISTA 12'!$A$2:$G$301400,5,0)</f>
        <v>#N/A</v>
      </c>
      <c r="F3414" s="121" t="e">
        <f>VLOOKUP(B3414,'LISTA 12'!$A$2:$G$30100,7,0)</f>
        <v>#N/A</v>
      </c>
      <c r="G3414" s="254" t="e">
        <f>VLOOKUP(H3414,'lista 3'!$A$1:$C$31467,3,0)</f>
        <v>#N/A</v>
      </c>
      <c r="H3414" s="134"/>
      <c r="I3414" s="136"/>
      <c r="J3414" s="135"/>
      <c r="K3414" s="22"/>
    </row>
    <row r="3415" spans="1:11">
      <c r="A3415" s="241" t="e">
        <f>VLOOKUP(B3415,'lista 1'!$A$2:$E$30100,4,0)</f>
        <v>#N/A</v>
      </c>
      <c r="B3415" s="123"/>
      <c r="C3415" s="133" t="e">
        <f>VLOOKUP(B3415,'lista 1'!$A$2:$E$31000,5,0)</f>
        <v>#N/A</v>
      </c>
      <c r="D3415" s="167" t="e">
        <f>VLOOKUP(E15215,'lista obszary'!A:B,2,0)</f>
        <v>#N/A</v>
      </c>
      <c r="E3415" s="128" t="e">
        <f>VLOOKUP(B3415,'LISTA 12'!$A$2:$G$301400,5,0)</f>
        <v>#N/A</v>
      </c>
      <c r="F3415" s="121" t="e">
        <f>VLOOKUP(B3415,'LISTA 12'!$A$2:$G$30100,7,0)</f>
        <v>#N/A</v>
      </c>
      <c r="G3415" s="254" t="e">
        <f>VLOOKUP(H3415,'lista 3'!$A$1:$C$31467,3,0)</f>
        <v>#N/A</v>
      </c>
      <c r="H3415" s="134"/>
      <c r="I3415" s="136"/>
      <c r="J3415" s="135"/>
      <c r="K3415" s="22"/>
    </row>
    <row r="3416" spans="1:11">
      <c r="A3416" s="241" t="e">
        <f>VLOOKUP(B3416,'lista 1'!$A$2:$E$30100,4,0)</f>
        <v>#N/A</v>
      </c>
      <c r="B3416" s="123"/>
      <c r="C3416" s="133" t="e">
        <f>VLOOKUP(B3416,'lista 1'!$A$2:$E$31000,5,0)</f>
        <v>#N/A</v>
      </c>
      <c r="D3416" s="167" t="e">
        <f>VLOOKUP(E15216,'lista obszary'!A:B,2,0)</f>
        <v>#N/A</v>
      </c>
      <c r="E3416" s="128" t="e">
        <f>VLOOKUP(B3416,'LISTA 12'!$A$2:$G$301400,5,0)</f>
        <v>#N/A</v>
      </c>
      <c r="F3416" s="121" t="e">
        <f>VLOOKUP(B3416,'LISTA 12'!$A$2:$G$30100,7,0)</f>
        <v>#N/A</v>
      </c>
      <c r="G3416" s="254" t="e">
        <f>VLOOKUP(H3416,'lista 3'!$A$1:$C$31467,3,0)</f>
        <v>#N/A</v>
      </c>
      <c r="H3416" s="134"/>
      <c r="I3416" s="136"/>
      <c r="J3416" s="135"/>
      <c r="K3416" s="22"/>
    </row>
    <row r="3417" spans="1:11">
      <c r="A3417" s="241" t="e">
        <f>VLOOKUP(B3417,'lista 1'!$A$2:$E$30100,4,0)</f>
        <v>#N/A</v>
      </c>
      <c r="B3417" s="123"/>
      <c r="C3417" s="133" t="e">
        <f>VLOOKUP(B3417,'lista 1'!$A$2:$E$31000,5,0)</f>
        <v>#N/A</v>
      </c>
      <c r="D3417" s="167" t="e">
        <f>VLOOKUP(E15217,'lista obszary'!A:B,2,0)</f>
        <v>#N/A</v>
      </c>
      <c r="E3417" s="128" t="e">
        <f>VLOOKUP(B3417,'LISTA 12'!$A$2:$G$301400,5,0)</f>
        <v>#N/A</v>
      </c>
      <c r="F3417" s="121" t="e">
        <f>VLOOKUP(B3417,'LISTA 12'!$A$2:$G$30100,7,0)</f>
        <v>#N/A</v>
      </c>
      <c r="G3417" s="254" t="e">
        <f>VLOOKUP(H3417,'lista 3'!$A$1:$C$31467,3,0)</f>
        <v>#N/A</v>
      </c>
      <c r="H3417" s="134"/>
      <c r="I3417" s="136"/>
      <c r="J3417" s="135"/>
      <c r="K3417" s="22"/>
    </row>
    <row r="3418" spans="1:11">
      <c r="A3418" s="241" t="e">
        <f>VLOOKUP(B3418,'lista 1'!$A$2:$E$30100,4,0)</f>
        <v>#N/A</v>
      </c>
      <c r="B3418" s="123"/>
      <c r="C3418" s="133" t="e">
        <f>VLOOKUP(B3418,'lista 1'!$A$2:$E$31000,5,0)</f>
        <v>#N/A</v>
      </c>
      <c r="D3418" s="167" t="e">
        <f>VLOOKUP(E15218,'lista obszary'!A:B,2,0)</f>
        <v>#N/A</v>
      </c>
      <c r="E3418" s="128" t="e">
        <f>VLOOKUP(B3418,'LISTA 12'!$A$2:$G$301400,5,0)</f>
        <v>#N/A</v>
      </c>
      <c r="F3418" s="121" t="e">
        <f>VLOOKUP(B3418,'LISTA 12'!$A$2:$G$30100,7,0)</f>
        <v>#N/A</v>
      </c>
      <c r="G3418" s="254" t="e">
        <f>VLOOKUP(H3418,'lista 3'!$A$1:$C$31467,3,0)</f>
        <v>#N/A</v>
      </c>
      <c r="H3418" s="134"/>
      <c r="I3418" s="136"/>
      <c r="J3418" s="135"/>
      <c r="K3418" s="22"/>
    </row>
    <row r="3419" spans="1:11">
      <c r="A3419" s="241" t="e">
        <f>VLOOKUP(B3419,'lista 1'!$A$2:$E$30100,4,0)</f>
        <v>#N/A</v>
      </c>
      <c r="B3419" s="123"/>
      <c r="C3419" s="133" t="e">
        <f>VLOOKUP(B3419,'lista 1'!$A$2:$E$31000,5,0)</f>
        <v>#N/A</v>
      </c>
      <c r="D3419" s="167" t="e">
        <f>VLOOKUP(E15219,'lista obszary'!A:B,2,0)</f>
        <v>#N/A</v>
      </c>
      <c r="E3419" s="128" t="e">
        <f>VLOOKUP(B3419,'LISTA 12'!$A$2:$G$301400,5,0)</f>
        <v>#N/A</v>
      </c>
      <c r="F3419" s="121" t="e">
        <f>VLOOKUP(B3419,'LISTA 12'!$A$2:$G$30100,7,0)</f>
        <v>#N/A</v>
      </c>
      <c r="G3419" s="254" t="e">
        <f>VLOOKUP(H3419,'lista 3'!$A$1:$C$31467,3,0)</f>
        <v>#N/A</v>
      </c>
      <c r="H3419" s="134"/>
      <c r="I3419" s="136"/>
      <c r="J3419" s="135"/>
      <c r="K3419" s="22"/>
    </row>
    <row r="3420" spans="1:11">
      <c r="A3420" s="241" t="e">
        <f>VLOOKUP(B3420,'lista 1'!$A$2:$E$30100,4,0)</f>
        <v>#N/A</v>
      </c>
      <c r="B3420" s="123"/>
      <c r="C3420" s="133" t="e">
        <f>VLOOKUP(B3420,'lista 1'!$A$2:$E$31000,5,0)</f>
        <v>#N/A</v>
      </c>
      <c r="D3420" s="167" t="e">
        <f>VLOOKUP(E15220,'lista obszary'!A:B,2,0)</f>
        <v>#N/A</v>
      </c>
      <c r="E3420" s="128" t="e">
        <f>VLOOKUP(B3420,'LISTA 12'!$A$2:$G$301400,5,0)</f>
        <v>#N/A</v>
      </c>
      <c r="F3420" s="121" t="e">
        <f>VLOOKUP(B3420,'LISTA 12'!$A$2:$G$30100,7,0)</f>
        <v>#N/A</v>
      </c>
      <c r="G3420" s="254" t="e">
        <f>VLOOKUP(H3420,'lista 3'!$A$1:$C$31467,3,0)</f>
        <v>#N/A</v>
      </c>
      <c r="H3420" s="134"/>
      <c r="I3420" s="136"/>
      <c r="J3420" s="135"/>
      <c r="K3420" s="22"/>
    </row>
    <row r="3421" spans="1:11">
      <c r="A3421" s="241" t="e">
        <f>VLOOKUP(B3421,'lista 1'!$A$2:$E$30100,4,0)</f>
        <v>#N/A</v>
      </c>
      <c r="B3421" s="123"/>
      <c r="C3421" s="133" t="e">
        <f>VLOOKUP(B3421,'lista 1'!$A$2:$E$31000,5,0)</f>
        <v>#N/A</v>
      </c>
      <c r="D3421" s="167" t="e">
        <f>VLOOKUP(E15221,'lista obszary'!A:B,2,0)</f>
        <v>#N/A</v>
      </c>
      <c r="E3421" s="128" t="e">
        <f>VLOOKUP(B3421,'LISTA 12'!$A$2:$G$301400,5,0)</f>
        <v>#N/A</v>
      </c>
      <c r="F3421" s="121" t="e">
        <f>VLOOKUP(B3421,'LISTA 12'!$A$2:$G$30100,7,0)</f>
        <v>#N/A</v>
      </c>
      <c r="G3421" s="254" t="e">
        <f>VLOOKUP(H3421,'lista 3'!$A$1:$C$31467,3,0)</f>
        <v>#N/A</v>
      </c>
      <c r="H3421" s="134"/>
      <c r="I3421" s="136"/>
      <c r="J3421" s="135"/>
      <c r="K3421" s="22"/>
    </row>
    <row r="3422" spans="1:11">
      <c r="A3422" s="241" t="e">
        <f>VLOOKUP(B3422,'lista 1'!$A$2:$E$30100,4,0)</f>
        <v>#N/A</v>
      </c>
      <c r="B3422" s="123"/>
      <c r="C3422" s="133" t="e">
        <f>VLOOKUP(B3422,'lista 1'!$A$2:$E$31000,5,0)</f>
        <v>#N/A</v>
      </c>
      <c r="D3422" s="167" t="e">
        <f>VLOOKUP(E15222,'lista obszary'!A:B,2,0)</f>
        <v>#N/A</v>
      </c>
      <c r="E3422" s="128" t="e">
        <f>VLOOKUP(B3422,'LISTA 12'!$A$2:$G$301400,5,0)</f>
        <v>#N/A</v>
      </c>
      <c r="F3422" s="121" t="e">
        <f>VLOOKUP(B3422,'LISTA 12'!$A$2:$G$30100,7,0)</f>
        <v>#N/A</v>
      </c>
      <c r="G3422" s="254" t="e">
        <f>VLOOKUP(H3422,'lista 3'!$A$1:$C$31467,3,0)</f>
        <v>#N/A</v>
      </c>
      <c r="H3422" s="134"/>
      <c r="I3422" s="136"/>
      <c r="J3422" s="135"/>
      <c r="K3422" s="22"/>
    </row>
    <row r="3423" spans="1:11">
      <c r="A3423" s="241" t="e">
        <f>VLOOKUP(B3423,'lista 1'!$A$2:$E$30100,4,0)</f>
        <v>#N/A</v>
      </c>
      <c r="B3423" s="123"/>
      <c r="C3423" s="133" t="e">
        <f>VLOOKUP(B3423,'lista 1'!$A$2:$E$31000,5,0)</f>
        <v>#N/A</v>
      </c>
      <c r="D3423" s="167" t="e">
        <f>VLOOKUP(E15223,'lista obszary'!A:B,2,0)</f>
        <v>#N/A</v>
      </c>
      <c r="E3423" s="128" t="e">
        <f>VLOOKUP(B3423,'LISTA 12'!$A$2:$G$301400,5,0)</f>
        <v>#N/A</v>
      </c>
      <c r="F3423" s="121" t="e">
        <f>VLOOKUP(B3423,'LISTA 12'!$A$2:$G$30100,7,0)</f>
        <v>#N/A</v>
      </c>
      <c r="G3423" s="254" t="e">
        <f>VLOOKUP(H3423,'lista 3'!$A$1:$C$31467,3,0)</f>
        <v>#N/A</v>
      </c>
      <c r="H3423" s="134"/>
      <c r="I3423" s="136"/>
      <c r="J3423" s="135"/>
      <c r="K3423" s="22"/>
    </row>
    <row r="3424" spans="1:11">
      <c r="A3424" s="241" t="e">
        <f>VLOOKUP(B3424,'lista 1'!$A$2:$E$30100,4,0)</f>
        <v>#N/A</v>
      </c>
      <c r="B3424" s="123"/>
      <c r="C3424" s="133" t="e">
        <f>VLOOKUP(B3424,'lista 1'!$A$2:$E$31000,5,0)</f>
        <v>#N/A</v>
      </c>
      <c r="D3424" s="167" t="e">
        <f>VLOOKUP(E15224,'lista obszary'!A:B,2,0)</f>
        <v>#N/A</v>
      </c>
      <c r="E3424" s="128" t="e">
        <f>VLOOKUP(B3424,'LISTA 12'!$A$2:$G$301400,5,0)</f>
        <v>#N/A</v>
      </c>
      <c r="F3424" s="121" t="e">
        <f>VLOOKUP(B3424,'LISTA 12'!$A$2:$G$30100,7,0)</f>
        <v>#N/A</v>
      </c>
      <c r="G3424" s="254" t="e">
        <f>VLOOKUP(H3424,'lista 3'!$A$1:$C$31467,3,0)</f>
        <v>#N/A</v>
      </c>
      <c r="H3424" s="134"/>
      <c r="I3424" s="136"/>
      <c r="J3424" s="135"/>
      <c r="K3424" s="22"/>
    </row>
    <row r="3425" spans="1:11">
      <c r="A3425" s="241" t="e">
        <f>VLOOKUP(B3425,'lista 1'!$A$2:$E$30100,4,0)</f>
        <v>#N/A</v>
      </c>
      <c r="B3425" s="123"/>
      <c r="C3425" s="133" t="e">
        <f>VLOOKUP(B3425,'lista 1'!$A$2:$E$31000,5,0)</f>
        <v>#N/A</v>
      </c>
      <c r="D3425" s="167" t="e">
        <f>VLOOKUP(E15225,'lista obszary'!A:B,2,0)</f>
        <v>#N/A</v>
      </c>
      <c r="E3425" s="128" t="e">
        <f>VLOOKUP(B3425,'LISTA 12'!$A$2:$G$301400,5,0)</f>
        <v>#N/A</v>
      </c>
      <c r="F3425" s="121" t="e">
        <f>VLOOKUP(B3425,'LISTA 12'!$A$2:$G$30100,7,0)</f>
        <v>#N/A</v>
      </c>
      <c r="G3425" s="254" t="e">
        <f>VLOOKUP(H3425,'lista 3'!$A$1:$C$31467,3,0)</f>
        <v>#N/A</v>
      </c>
      <c r="H3425" s="134"/>
      <c r="I3425" s="136"/>
      <c r="J3425" s="135"/>
      <c r="K3425" s="22"/>
    </row>
    <row r="3426" spans="1:11">
      <c r="A3426" s="241" t="e">
        <f>VLOOKUP(B3426,'lista 1'!$A$2:$E$30100,4,0)</f>
        <v>#N/A</v>
      </c>
      <c r="B3426" s="123"/>
      <c r="C3426" s="133" t="e">
        <f>VLOOKUP(B3426,'lista 1'!$A$2:$E$31000,5,0)</f>
        <v>#N/A</v>
      </c>
      <c r="D3426" s="167" t="e">
        <f>VLOOKUP(E15226,'lista obszary'!A:B,2,0)</f>
        <v>#N/A</v>
      </c>
      <c r="E3426" s="128" t="e">
        <f>VLOOKUP(B3426,'LISTA 12'!$A$2:$G$301400,5,0)</f>
        <v>#N/A</v>
      </c>
      <c r="F3426" s="121" t="e">
        <f>VLOOKUP(B3426,'LISTA 12'!$A$2:$G$30100,7,0)</f>
        <v>#N/A</v>
      </c>
      <c r="G3426" s="254" t="e">
        <f>VLOOKUP(H3426,'lista 3'!$A$1:$C$31467,3,0)</f>
        <v>#N/A</v>
      </c>
      <c r="H3426" s="134"/>
      <c r="I3426" s="136"/>
      <c r="J3426" s="135"/>
      <c r="K3426" s="22"/>
    </row>
    <row r="3427" spans="1:11">
      <c r="A3427" s="241" t="e">
        <f>VLOOKUP(B3427,'lista 1'!$A$2:$E$30100,4,0)</f>
        <v>#N/A</v>
      </c>
      <c r="B3427" s="123"/>
      <c r="C3427" s="133" t="e">
        <f>VLOOKUP(B3427,'lista 1'!$A$2:$E$31000,5,0)</f>
        <v>#N/A</v>
      </c>
      <c r="D3427" s="167" t="e">
        <f>VLOOKUP(E15227,'lista obszary'!A:B,2,0)</f>
        <v>#N/A</v>
      </c>
      <c r="E3427" s="128" t="e">
        <f>VLOOKUP(B3427,'LISTA 12'!$A$2:$G$301400,5,0)</f>
        <v>#N/A</v>
      </c>
      <c r="F3427" s="121" t="e">
        <f>VLOOKUP(B3427,'LISTA 12'!$A$2:$G$30100,7,0)</f>
        <v>#N/A</v>
      </c>
      <c r="G3427" s="254" t="e">
        <f>VLOOKUP(H3427,'lista 3'!$A$1:$C$31467,3,0)</f>
        <v>#N/A</v>
      </c>
      <c r="H3427" s="134"/>
      <c r="I3427" s="136"/>
      <c r="J3427" s="135"/>
      <c r="K3427" s="22"/>
    </row>
    <row r="3428" spans="1:11">
      <c r="A3428" s="241" t="e">
        <f>VLOOKUP(B3428,'lista 1'!$A$2:$E$30100,4,0)</f>
        <v>#N/A</v>
      </c>
      <c r="B3428" s="123"/>
      <c r="C3428" s="133" t="e">
        <f>VLOOKUP(B3428,'lista 1'!$A$2:$E$31000,5,0)</f>
        <v>#N/A</v>
      </c>
      <c r="D3428" s="167" t="e">
        <f>VLOOKUP(E15228,'lista obszary'!A:B,2,0)</f>
        <v>#N/A</v>
      </c>
      <c r="E3428" s="128" t="e">
        <f>VLOOKUP(B3428,'LISTA 12'!$A$2:$G$301400,5,0)</f>
        <v>#N/A</v>
      </c>
      <c r="F3428" s="121" t="e">
        <f>VLOOKUP(B3428,'LISTA 12'!$A$2:$G$30100,7,0)</f>
        <v>#N/A</v>
      </c>
      <c r="G3428" s="254" t="e">
        <f>VLOOKUP(H3428,'lista 3'!$A$1:$C$31467,3,0)</f>
        <v>#N/A</v>
      </c>
      <c r="H3428" s="134"/>
      <c r="I3428" s="136"/>
      <c r="J3428" s="135"/>
      <c r="K3428" s="22"/>
    </row>
    <row r="3429" spans="1:11">
      <c r="A3429" s="241" t="e">
        <f>VLOOKUP(B3429,'lista 1'!$A$2:$E$30100,4,0)</f>
        <v>#N/A</v>
      </c>
      <c r="B3429" s="123"/>
      <c r="C3429" s="133" t="e">
        <f>VLOOKUP(B3429,'lista 1'!$A$2:$E$31000,5,0)</f>
        <v>#N/A</v>
      </c>
      <c r="D3429" s="167" t="e">
        <f>VLOOKUP(E15229,'lista obszary'!A:B,2,0)</f>
        <v>#N/A</v>
      </c>
      <c r="E3429" s="128" t="e">
        <f>VLOOKUP(B3429,'LISTA 12'!$A$2:$G$301400,5,0)</f>
        <v>#N/A</v>
      </c>
      <c r="F3429" s="121" t="e">
        <f>VLOOKUP(B3429,'LISTA 12'!$A$2:$G$30100,7,0)</f>
        <v>#N/A</v>
      </c>
      <c r="G3429" s="254" t="e">
        <f>VLOOKUP(H3429,'lista 3'!$A$1:$C$31467,3,0)</f>
        <v>#N/A</v>
      </c>
      <c r="H3429" s="134"/>
      <c r="I3429" s="136"/>
      <c r="J3429" s="135"/>
      <c r="K3429" s="22"/>
    </row>
    <row r="3430" spans="1:11">
      <c r="A3430" s="241" t="e">
        <f>VLOOKUP(B3430,'lista 1'!$A$2:$E$30100,4,0)</f>
        <v>#N/A</v>
      </c>
      <c r="B3430" s="123"/>
      <c r="C3430" s="133" t="e">
        <f>VLOOKUP(B3430,'lista 1'!$A$2:$E$31000,5,0)</f>
        <v>#N/A</v>
      </c>
      <c r="D3430" s="167" t="e">
        <f>VLOOKUP(E15230,'lista obszary'!A:B,2,0)</f>
        <v>#N/A</v>
      </c>
      <c r="E3430" s="128" t="e">
        <f>VLOOKUP(B3430,'LISTA 12'!$A$2:$G$301400,5,0)</f>
        <v>#N/A</v>
      </c>
      <c r="F3430" s="121" t="e">
        <f>VLOOKUP(B3430,'LISTA 12'!$A$2:$G$30100,7,0)</f>
        <v>#N/A</v>
      </c>
      <c r="G3430" s="254" t="e">
        <f>VLOOKUP(H3430,'lista 3'!$A$1:$C$31467,3,0)</f>
        <v>#N/A</v>
      </c>
      <c r="H3430" s="134"/>
      <c r="I3430" s="136"/>
      <c r="J3430" s="135"/>
      <c r="K3430" s="22"/>
    </row>
    <row r="3431" spans="1:11">
      <c r="A3431" s="241" t="e">
        <f>VLOOKUP(B3431,'lista 1'!$A$2:$E$30100,4,0)</f>
        <v>#N/A</v>
      </c>
      <c r="B3431" s="123"/>
      <c r="C3431" s="133" t="e">
        <f>VLOOKUP(B3431,'lista 1'!$A$2:$E$31000,5,0)</f>
        <v>#N/A</v>
      </c>
      <c r="D3431" s="167" t="e">
        <f>VLOOKUP(E15231,'lista obszary'!A:B,2,0)</f>
        <v>#N/A</v>
      </c>
      <c r="E3431" s="128" t="e">
        <f>VLOOKUP(B3431,'LISTA 12'!$A$2:$G$301400,5,0)</f>
        <v>#N/A</v>
      </c>
      <c r="F3431" s="121" t="e">
        <f>VLOOKUP(B3431,'LISTA 12'!$A$2:$G$30100,7,0)</f>
        <v>#N/A</v>
      </c>
      <c r="G3431" s="254" t="e">
        <f>VLOOKUP(H3431,'lista 3'!$A$1:$C$31467,3,0)</f>
        <v>#N/A</v>
      </c>
      <c r="H3431" s="134"/>
      <c r="I3431" s="136"/>
      <c r="J3431" s="135"/>
      <c r="K3431" s="22"/>
    </row>
    <row r="3432" spans="1:11">
      <c r="A3432" s="241" t="e">
        <f>VLOOKUP(B3432,'lista 1'!$A$2:$E$30100,4,0)</f>
        <v>#N/A</v>
      </c>
      <c r="B3432" s="123"/>
      <c r="C3432" s="133" t="e">
        <f>VLOOKUP(B3432,'lista 1'!$A$2:$E$31000,5,0)</f>
        <v>#N/A</v>
      </c>
      <c r="D3432" s="167" t="e">
        <f>VLOOKUP(E15232,'lista obszary'!A:B,2,0)</f>
        <v>#N/A</v>
      </c>
      <c r="E3432" s="128" t="e">
        <f>VLOOKUP(B3432,'LISTA 12'!$A$2:$G$301400,5,0)</f>
        <v>#N/A</v>
      </c>
      <c r="F3432" s="121" t="e">
        <f>VLOOKUP(B3432,'LISTA 12'!$A$2:$G$30100,7,0)</f>
        <v>#N/A</v>
      </c>
      <c r="G3432" s="254" t="e">
        <f>VLOOKUP(H3432,'lista 3'!$A$1:$C$31467,3,0)</f>
        <v>#N/A</v>
      </c>
      <c r="H3432" s="134"/>
      <c r="I3432" s="136"/>
      <c r="J3432" s="135"/>
      <c r="K3432" s="22"/>
    </row>
    <row r="3433" spans="1:11">
      <c r="A3433" s="241" t="e">
        <f>VLOOKUP(B3433,'lista 1'!$A$2:$E$30100,4,0)</f>
        <v>#N/A</v>
      </c>
      <c r="B3433" s="123"/>
      <c r="C3433" s="133" t="e">
        <f>VLOOKUP(B3433,'lista 1'!$A$2:$E$31000,5,0)</f>
        <v>#N/A</v>
      </c>
      <c r="D3433" s="167" t="e">
        <f>VLOOKUP(E15233,'lista obszary'!A:B,2,0)</f>
        <v>#N/A</v>
      </c>
      <c r="E3433" s="128" t="e">
        <f>VLOOKUP(B3433,'LISTA 12'!$A$2:$G$301400,5,0)</f>
        <v>#N/A</v>
      </c>
      <c r="F3433" s="121" t="e">
        <f>VLOOKUP(B3433,'LISTA 12'!$A$2:$G$30100,7,0)</f>
        <v>#N/A</v>
      </c>
      <c r="G3433" s="254" t="e">
        <f>VLOOKUP(H3433,'lista 3'!$A$1:$C$31467,3,0)</f>
        <v>#N/A</v>
      </c>
      <c r="H3433" s="134"/>
      <c r="I3433" s="136"/>
      <c r="J3433" s="135"/>
      <c r="K3433" s="22"/>
    </row>
    <row r="3434" spans="1:11">
      <c r="A3434" s="241" t="e">
        <f>VLOOKUP(B3434,'lista 1'!$A$2:$E$30100,4,0)</f>
        <v>#N/A</v>
      </c>
      <c r="B3434" s="123"/>
      <c r="C3434" s="133" t="e">
        <f>VLOOKUP(B3434,'lista 1'!$A$2:$E$31000,5,0)</f>
        <v>#N/A</v>
      </c>
      <c r="D3434" s="167" t="e">
        <f>VLOOKUP(E15234,'lista obszary'!A:B,2,0)</f>
        <v>#N/A</v>
      </c>
      <c r="E3434" s="128" t="e">
        <f>VLOOKUP(B3434,'LISTA 12'!$A$2:$G$301400,5,0)</f>
        <v>#N/A</v>
      </c>
      <c r="F3434" s="121" t="e">
        <f>VLOOKUP(B3434,'LISTA 12'!$A$2:$G$30100,7,0)</f>
        <v>#N/A</v>
      </c>
      <c r="G3434" s="254" t="e">
        <f>VLOOKUP(H3434,'lista 3'!$A$1:$C$31467,3,0)</f>
        <v>#N/A</v>
      </c>
      <c r="H3434" s="134"/>
      <c r="I3434" s="136"/>
      <c r="J3434" s="135"/>
      <c r="K3434" s="22"/>
    </row>
    <row r="3435" spans="1:11">
      <c r="A3435" s="241" t="e">
        <f>VLOOKUP(B3435,'lista 1'!$A$2:$E$30100,4,0)</f>
        <v>#N/A</v>
      </c>
      <c r="B3435" s="123"/>
      <c r="C3435" s="133" t="e">
        <f>VLOOKUP(B3435,'lista 1'!$A$2:$E$31000,5,0)</f>
        <v>#N/A</v>
      </c>
      <c r="D3435" s="167" t="e">
        <f>VLOOKUP(E15235,'lista obszary'!A:B,2,0)</f>
        <v>#N/A</v>
      </c>
      <c r="E3435" s="128" t="e">
        <f>VLOOKUP(B3435,'LISTA 12'!$A$2:$G$301400,5,0)</f>
        <v>#N/A</v>
      </c>
      <c r="F3435" s="121" t="e">
        <f>VLOOKUP(B3435,'LISTA 12'!$A$2:$G$30100,7,0)</f>
        <v>#N/A</v>
      </c>
      <c r="G3435" s="254" t="e">
        <f>VLOOKUP(H3435,'lista 3'!$A$1:$C$31467,3,0)</f>
        <v>#N/A</v>
      </c>
      <c r="H3435" s="134"/>
      <c r="I3435" s="136"/>
      <c r="J3435" s="135"/>
      <c r="K3435" s="22"/>
    </row>
    <row r="3436" spans="1:11">
      <c r="A3436" s="241" t="e">
        <f>VLOOKUP(B3436,'lista 1'!$A$2:$E$30100,4,0)</f>
        <v>#N/A</v>
      </c>
      <c r="B3436" s="123"/>
      <c r="C3436" s="133" t="e">
        <f>VLOOKUP(B3436,'lista 1'!$A$2:$E$31000,5,0)</f>
        <v>#N/A</v>
      </c>
      <c r="D3436" s="167" t="e">
        <f>VLOOKUP(E15236,'lista obszary'!A:B,2,0)</f>
        <v>#N/A</v>
      </c>
      <c r="E3436" s="128" t="e">
        <f>VLOOKUP(B3436,'LISTA 12'!$A$2:$G$301400,5,0)</f>
        <v>#N/A</v>
      </c>
      <c r="F3436" s="121" t="e">
        <f>VLOOKUP(B3436,'LISTA 12'!$A$2:$G$30100,7,0)</f>
        <v>#N/A</v>
      </c>
      <c r="G3436" s="254" t="e">
        <f>VLOOKUP(H3436,'lista 3'!$A$1:$C$31467,3,0)</f>
        <v>#N/A</v>
      </c>
      <c r="H3436" s="134"/>
      <c r="I3436" s="136"/>
      <c r="J3436" s="135"/>
      <c r="K3436" s="22"/>
    </row>
    <row r="3437" spans="1:11">
      <c r="A3437" s="241" t="e">
        <f>VLOOKUP(B3437,'lista 1'!$A$2:$E$30100,4,0)</f>
        <v>#N/A</v>
      </c>
      <c r="B3437" s="123"/>
      <c r="C3437" s="133" t="e">
        <f>VLOOKUP(B3437,'lista 1'!$A$2:$E$31000,5,0)</f>
        <v>#N/A</v>
      </c>
      <c r="D3437" s="167" t="e">
        <f>VLOOKUP(E15237,'lista obszary'!A:B,2,0)</f>
        <v>#N/A</v>
      </c>
      <c r="E3437" s="128" t="e">
        <f>VLOOKUP(B3437,'LISTA 12'!$A$2:$G$301400,5,0)</f>
        <v>#N/A</v>
      </c>
      <c r="F3437" s="121" t="e">
        <f>VLOOKUP(B3437,'LISTA 12'!$A$2:$G$30100,7,0)</f>
        <v>#N/A</v>
      </c>
      <c r="G3437" s="254" t="e">
        <f>VLOOKUP(H3437,'lista 3'!$A$1:$C$31467,3,0)</f>
        <v>#N/A</v>
      </c>
      <c r="H3437" s="134"/>
      <c r="I3437" s="136"/>
      <c r="J3437" s="135"/>
      <c r="K3437" s="22"/>
    </row>
    <row r="3438" spans="1:11">
      <c r="A3438" s="241" t="e">
        <f>VLOOKUP(B3438,'lista 1'!$A$2:$E$30100,4,0)</f>
        <v>#N/A</v>
      </c>
      <c r="B3438" s="123"/>
      <c r="C3438" s="133" t="e">
        <f>VLOOKUP(B3438,'lista 1'!$A$2:$E$31000,5,0)</f>
        <v>#N/A</v>
      </c>
      <c r="D3438" s="167" t="e">
        <f>VLOOKUP(E15238,'lista obszary'!A:B,2,0)</f>
        <v>#N/A</v>
      </c>
      <c r="E3438" s="128" t="e">
        <f>VLOOKUP(B3438,'LISTA 12'!$A$2:$G$301400,5,0)</f>
        <v>#N/A</v>
      </c>
      <c r="F3438" s="121" t="e">
        <f>VLOOKUP(B3438,'LISTA 12'!$A$2:$G$30100,7,0)</f>
        <v>#N/A</v>
      </c>
      <c r="G3438" s="254" t="e">
        <f>VLOOKUP(H3438,'lista 3'!$A$1:$C$31467,3,0)</f>
        <v>#N/A</v>
      </c>
      <c r="H3438" s="134"/>
      <c r="I3438" s="136"/>
      <c r="J3438" s="135"/>
      <c r="K3438" s="22"/>
    </row>
    <row r="3439" spans="1:11">
      <c r="A3439" s="241" t="e">
        <f>VLOOKUP(B3439,'lista 1'!$A$2:$E$30100,4,0)</f>
        <v>#N/A</v>
      </c>
      <c r="B3439" s="123"/>
      <c r="C3439" s="133" t="e">
        <f>VLOOKUP(B3439,'lista 1'!$A$2:$E$31000,5,0)</f>
        <v>#N/A</v>
      </c>
      <c r="D3439" s="167" t="e">
        <f>VLOOKUP(E15239,'lista obszary'!A:B,2,0)</f>
        <v>#N/A</v>
      </c>
      <c r="E3439" s="128" t="e">
        <f>VLOOKUP(B3439,'LISTA 12'!$A$2:$G$301400,5,0)</f>
        <v>#N/A</v>
      </c>
      <c r="F3439" s="121" t="e">
        <f>VLOOKUP(B3439,'LISTA 12'!$A$2:$G$30100,7,0)</f>
        <v>#N/A</v>
      </c>
      <c r="G3439" s="254" t="e">
        <f>VLOOKUP(H3439,'lista 3'!$A$1:$C$31467,3,0)</f>
        <v>#N/A</v>
      </c>
      <c r="H3439" s="134"/>
      <c r="I3439" s="136"/>
      <c r="J3439" s="135"/>
      <c r="K3439" s="22"/>
    </row>
    <row r="3440" spans="1:11">
      <c r="A3440" s="241" t="e">
        <f>VLOOKUP(B3440,'lista 1'!$A$2:$E$30100,4,0)</f>
        <v>#N/A</v>
      </c>
      <c r="B3440" s="123"/>
      <c r="C3440" s="133" t="e">
        <f>VLOOKUP(B3440,'lista 1'!$A$2:$E$31000,5,0)</f>
        <v>#N/A</v>
      </c>
      <c r="D3440" s="167" t="e">
        <f>VLOOKUP(E15240,'lista obszary'!A:B,2,0)</f>
        <v>#N/A</v>
      </c>
      <c r="E3440" s="128" t="e">
        <f>VLOOKUP(B3440,'LISTA 12'!$A$2:$G$301400,5,0)</f>
        <v>#N/A</v>
      </c>
      <c r="F3440" s="121" t="e">
        <f>VLOOKUP(B3440,'LISTA 12'!$A$2:$G$30100,7,0)</f>
        <v>#N/A</v>
      </c>
      <c r="G3440" s="254" t="e">
        <f>VLOOKUP(H3440,'lista 3'!$A$1:$C$31467,3,0)</f>
        <v>#N/A</v>
      </c>
      <c r="H3440" s="134"/>
      <c r="I3440" s="136"/>
      <c r="J3440" s="135"/>
      <c r="K3440" s="22"/>
    </row>
    <row r="3441" spans="1:11">
      <c r="A3441" s="241" t="e">
        <f>VLOOKUP(B3441,'lista 1'!$A$2:$E$30100,4,0)</f>
        <v>#N/A</v>
      </c>
      <c r="B3441" s="123"/>
      <c r="C3441" s="133" t="e">
        <f>VLOOKUP(B3441,'lista 1'!$A$2:$E$31000,5,0)</f>
        <v>#N/A</v>
      </c>
      <c r="D3441" s="167" t="e">
        <f>VLOOKUP(E15241,'lista obszary'!A:B,2,0)</f>
        <v>#N/A</v>
      </c>
      <c r="E3441" s="128" t="e">
        <f>VLOOKUP(B3441,'LISTA 12'!$A$2:$G$301400,5,0)</f>
        <v>#N/A</v>
      </c>
      <c r="F3441" s="121" t="e">
        <f>VLOOKUP(B3441,'LISTA 12'!$A$2:$G$30100,7,0)</f>
        <v>#N/A</v>
      </c>
      <c r="G3441" s="254" t="e">
        <f>VLOOKUP(H3441,'lista 3'!$A$1:$C$31467,3,0)</f>
        <v>#N/A</v>
      </c>
      <c r="H3441" s="134"/>
      <c r="I3441" s="136"/>
      <c r="J3441" s="135"/>
      <c r="K3441" s="22"/>
    </row>
    <row r="3442" spans="1:11">
      <c r="A3442" s="241" t="e">
        <f>VLOOKUP(B3442,'lista 1'!$A$2:$E$30100,4,0)</f>
        <v>#N/A</v>
      </c>
      <c r="B3442" s="123"/>
      <c r="C3442" s="133" t="e">
        <f>VLOOKUP(B3442,'lista 1'!$A$2:$E$31000,5,0)</f>
        <v>#N/A</v>
      </c>
      <c r="D3442" s="167" t="e">
        <f>VLOOKUP(E15242,'lista obszary'!A:B,2,0)</f>
        <v>#N/A</v>
      </c>
      <c r="E3442" s="128" t="e">
        <f>VLOOKUP(B3442,'LISTA 12'!$A$2:$G$301400,5,0)</f>
        <v>#N/A</v>
      </c>
      <c r="F3442" s="121" t="e">
        <f>VLOOKUP(B3442,'LISTA 12'!$A$2:$G$30100,7,0)</f>
        <v>#N/A</v>
      </c>
      <c r="G3442" s="254" t="e">
        <f>VLOOKUP(H3442,'lista 3'!$A$1:$C$31467,3,0)</f>
        <v>#N/A</v>
      </c>
      <c r="H3442" s="134"/>
      <c r="I3442" s="136"/>
      <c r="J3442" s="135"/>
      <c r="K3442" s="22"/>
    </row>
    <row r="3443" spans="1:11">
      <c r="A3443" s="241" t="e">
        <f>VLOOKUP(B3443,'lista 1'!$A$2:$E$30100,4,0)</f>
        <v>#N/A</v>
      </c>
      <c r="B3443" s="123"/>
      <c r="C3443" s="133" t="e">
        <f>VLOOKUP(B3443,'lista 1'!$A$2:$E$31000,5,0)</f>
        <v>#N/A</v>
      </c>
      <c r="D3443" s="167" t="e">
        <f>VLOOKUP(E15243,'lista obszary'!A:B,2,0)</f>
        <v>#N/A</v>
      </c>
      <c r="E3443" s="128" t="e">
        <f>VLOOKUP(B3443,'LISTA 12'!$A$2:$G$301400,5,0)</f>
        <v>#N/A</v>
      </c>
      <c r="F3443" s="121" t="e">
        <f>VLOOKUP(B3443,'LISTA 12'!$A$2:$G$30100,7,0)</f>
        <v>#N/A</v>
      </c>
      <c r="G3443" s="254" t="e">
        <f>VLOOKUP(H3443,'lista 3'!$A$1:$C$31467,3,0)</f>
        <v>#N/A</v>
      </c>
      <c r="H3443" s="134"/>
      <c r="I3443" s="136"/>
      <c r="J3443" s="135"/>
      <c r="K3443" s="22"/>
    </row>
    <row r="3444" spans="1:11">
      <c r="A3444" s="241" t="e">
        <f>VLOOKUP(B3444,'lista 1'!$A$2:$E$30100,4,0)</f>
        <v>#N/A</v>
      </c>
      <c r="B3444" s="123"/>
      <c r="C3444" s="133" t="e">
        <f>VLOOKUP(B3444,'lista 1'!$A$2:$E$31000,5,0)</f>
        <v>#N/A</v>
      </c>
      <c r="D3444" s="167" t="e">
        <f>VLOOKUP(E15244,'lista obszary'!A:B,2,0)</f>
        <v>#N/A</v>
      </c>
      <c r="E3444" s="128" t="e">
        <f>VLOOKUP(B3444,'LISTA 12'!$A$2:$G$301400,5,0)</f>
        <v>#N/A</v>
      </c>
      <c r="F3444" s="121" t="e">
        <f>VLOOKUP(B3444,'LISTA 12'!$A$2:$G$30100,7,0)</f>
        <v>#N/A</v>
      </c>
      <c r="G3444" s="254" t="e">
        <f>VLOOKUP(H3444,'lista 3'!$A$1:$C$31467,3,0)</f>
        <v>#N/A</v>
      </c>
      <c r="H3444" s="134"/>
      <c r="I3444" s="136"/>
      <c r="J3444" s="135"/>
      <c r="K3444" s="22"/>
    </row>
    <row r="3445" spans="1:11">
      <c r="A3445" s="241" t="e">
        <f>VLOOKUP(B3445,'lista 1'!$A$2:$E$30100,4,0)</f>
        <v>#N/A</v>
      </c>
      <c r="B3445" s="123"/>
      <c r="C3445" s="133" t="e">
        <f>VLOOKUP(B3445,'lista 1'!$A$2:$E$31000,5,0)</f>
        <v>#N/A</v>
      </c>
      <c r="D3445" s="167" t="e">
        <f>VLOOKUP(E15245,'lista obszary'!A:B,2,0)</f>
        <v>#N/A</v>
      </c>
      <c r="E3445" s="128" t="e">
        <f>VLOOKUP(B3445,'LISTA 12'!$A$2:$G$301400,5,0)</f>
        <v>#N/A</v>
      </c>
      <c r="F3445" s="121" t="e">
        <f>VLOOKUP(B3445,'LISTA 12'!$A$2:$G$30100,7,0)</f>
        <v>#N/A</v>
      </c>
      <c r="G3445" s="254" t="e">
        <f>VLOOKUP(H3445,'lista 3'!$A$1:$C$31467,3,0)</f>
        <v>#N/A</v>
      </c>
      <c r="H3445" s="134"/>
      <c r="I3445" s="136"/>
      <c r="J3445" s="135"/>
      <c r="K3445" s="22"/>
    </row>
    <row r="3446" spans="1:11">
      <c r="A3446" s="241" t="e">
        <f>VLOOKUP(B3446,'lista 1'!$A$2:$E$30100,4,0)</f>
        <v>#N/A</v>
      </c>
      <c r="B3446" s="123"/>
      <c r="C3446" s="133" t="e">
        <f>VLOOKUP(B3446,'lista 1'!$A$2:$E$31000,5,0)</f>
        <v>#N/A</v>
      </c>
      <c r="D3446" s="167" t="e">
        <f>VLOOKUP(E15246,'lista obszary'!A:B,2,0)</f>
        <v>#N/A</v>
      </c>
      <c r="E3446" s="128" t="e">
        <f>VLOOKUP(B3446,'LISTA 12'!$A$2:$G$301400,5,0)</f>
        <v>#N/A</v>
      </c>
      <c r="F3446" s="121" t="e">
        <f>VLOOKUP(B3446,'LISTA 12'!$A$2:$G$30100,7,0)</f>
        <v>#N/A</v>
      </c>
      <c r="G3446" s="254" t="e">
        <f>VLOOKUP(H3446,'lista 3'!$A$1:$C$31467,3,0)</f>
        <v>#N/A</v>
      </c>
      <c r="H3446" s="134"/>
      <c r="I3446" s="136"/>
      <c r="J3446" s="135"/>
      <c r="K3446" s="22"/>
    </row>
    <row r="3447" spans="1:11">
      <c r="A3447" s="241" t="e">
        <f>VLOOKUP(B3447,'lista 1'!$A$2:$E$30100,4,0)</f>
        <v>#N/A</v>
      </c>
      <c r="B3447" s="123"/>
      <c r="C3447" s="133" t="e">
        <f>VLOOKUP(B3447,'lista 1'!$A$2:$E$31000,5,0)</f>
        <v>#N/A</v>
      </c>
      <c r="D3447" s="167" t="e">
        <f>VLOOKUP(E15247,'lista obszary'!A:B,2,0)</f>
        <v>#N/A</v>
      </c>
      <c r="E3447" s="128" t="e">
        <f>VLOOKUP(B3447,'LISTA 12'!$A$2:$G$301400,5,0)</f>
        <v>#N/A</v>
      </c>
      <c r="F3447" s="121" t="e">
        <f>VLOOKUP(B3447,'LISTA 12'!$A$2:$G$30100,7,0)</f>
        <v>#N/A</v>
      </c>
      <c r="G3447" s="254" t="e">
        <f>VLOOKUP(H3447,'lista 3'!$A$1:$C$31467,3,0)</f>
        <v>#N/A</v>
      </c>
      <c r="H3447" s="134"/>
      <c r="I3447" s="136"/>
      <c r="J3447" s="135"/>
      <c r="K3447" s="22"/>
    </row>
    <row r="3448" spans="1:11">
      <c r="A3448" s="241" t="e">
        <f>VLOOKUP(B3448,'lista 1'!$A$2:$E$30100,4,0)</f>
        <v>#N/A</v>
      </c>
      <c r="B3448" s="123"/>
      <c r="C3448" s="133" t="e">
        <f>VLOOKUP(B3448,'lista 1'!$A$2:$E$31000,5,0)</f>
        <v>#N/A</v>
      </c>
      <c r="D3448" s="167" t="e">
        <f>VLOOKUP(E15248,'lista obszary'!A:B,2,0)</f>
        <v>#N/A</v>
      </c>
      <c r="E3448" s="128" t="e">
        <f>VLOOKUP(B3448,'LISTA 12'!$A$2:$G$301400,5,0)</f>
        <v>#N/A</v>
      </c>
      <c r="F3448" s="121" t="e">
        <f>VLOOKUP(B3448,'LISTA 12'!$A$2:$G$30100,7,0)</f>
        <v>#N/A</v>
      </c>
      <c r="G3448" s="254" t="e">
        <f>VLOOKUP(H3448,'lista 3'!$A$1:$C$31467,3,0)</f>
        <v>#N/A</v>
      </c>
      <c r="H3448" s="134"/>
      <c r="I3448" s="136"/>
      <c r="J3448" s="135"/>
      <c r="K3448" s="22"/>
    </row>
    <row r="3449" spans="1:11">
      <c r="A3449" s="241" t="e">
        <f>VLOOKUP(B3449,'lista 1'!$A$2:$E$30100,4,0)</f>
        <v>#N/A</v>
      </c>
      <c r="B3449" s="123"/>
      <c r="C3449" s="133" t="e">
        <f>VLOOKUP(B3449,'lista 1'!$A$2:$E$31000,5,0)</f>
        <v>#N/A</v>
      </c>
      <c r="D3449" s="167" t="e">
        <f>VLOOKUP(E15249,'lista obszary'!A:B,2,0)</f>
        <v>#N/A</v>
      </c>
      <c r="E3449" s="128" t="e">
        <f>VLOOKUP(B3449,'LISTA 12'!$A$2:$G$301400,5,0)</f>
        <v>#N/A</v>
      </c>
      <c r="F3449" s="121" t="e">
        <f>VLOOKUP(B3449,'LISTA 12'!$A$2:$G$30100,7,0)</f>
        <v>#N/A</v>
      </c>
      <c r="G3449" s="254" t="e">
        <f>VLOOKUP(H3449,'lista 3'!$A$1:$C$31467,3,0)</f>
        <v>#N/A</v>
      </c>
      <c r="H3449" s="134"/>
      <c r="I3449" s="136"/>
      <c r="J3449" s="135"/>
      <c r="K3449" s="22"/>
    </row>
    <row r="3450" spans="1:11">
      <c r="A3450" s="241" t="e">
        <f>VLOOKUP(B3450,'lista 1'!$A$2:$E$30100,4,0)</f>
        <v>#N/A</v>
      </c>
      <c r="B3450" s="123"/>
      <c r="C3450" s="133" t="e">
        <f>VLOOKUP(B3450,'lista 1'!$A$2:$E$31000,5,0)</f>
        <v>#N/A</v>
      </c>
      <c r="D3450" s="167" t="e">
        <f>VLOOKUP(E15250,'lista obszary'!A:B,2,0)</f>
        <v>#N/A</v>
      </c>
      <c r="E3450" s="128" t="e">
        <f>VLOOKUP(B3450,'LISTA 12'!$A$2:$G$301400,5,0)</f>
        <v>#N/A</v>
      </c>
      <c r="F3450" s="121" t="e">
        <f>VLOOKUP(B3450,'LISTA 12'!$A$2:$G$30100,7,0)</f>
        <v>#N/A</v>
      </c>
      <c r="G3450" s="254" t="e">
        <f>VLOOKUP(H3450,'lista 3'!$A$1:$C$31467,3,0)</f>
        <v>#N/A</v>
      </c>
      <c r="H3450" s="134"/>
      <c r="I3450" s="136"/>
      <c r="J3450" s="135"/>
      <c r="K3450" s="22"/>
    </row>
    <row r="3451" spans="1:11">
      <c r="A3451" s="241" t="e">
        <f>VLOOKUP(B3451,'lista 1'!$A$2:$E$30100,4,0)</f>
        <v>#N/A</v>
      </c>
      <c r="B3451" s="123"/>
      <c r="C3451" s="133" t="e">
        <f>VLOOKUP(B3451,'lista 1'!$A$2:$E$31000,5,0)</f>
        <v>#N/A</v>
      </c>
      <c r="D3451" s="167" t="e">
        <f>VLOOKUP(E15251,'lista obszary'!A:B,2,0)</f>
        <v>#N/A</v>
      </c>
      <c r="E3451" s="128" t="e">
        <f>VLOOKUP(B3451,'LISTA 12'!$A$2:$G$301400,5,0)</f>
        <v>#N/A</v>
      </c>
      <c r="F3451" s="121" t="e">
        <f>VLOOKUP(B3451,'LISTA 12'!$A$2:$G$30100,7,0)</f>
        <v>#N/A</v>
      </c>
      <c r="G3451" s="254" t="e">
        <f>VLOOKUP(H3451,'lista 3'!$A$1:$C$31467,3,0)</f>
        <v>#N/A</v>
      </c>
      <c r="H3451" s="134"/>
      <c r="I3451" s="136"/>
      <c r="J3451" s="135"/>
      <c r="K3451" s="22"/>
    </row>
    <row r="3452" spans="1:11">
      <c r="A3452" s="241" t="e">
        <f>VLOOKUP(B3452,'lista 1'!$A$2:$E$30100,4,0)</f>
        <v>#N/A</v>
      </c>
      <c r="B3452" s="123"/>
      <c r="C3452" s="133" t="e">
        <f>VLOOKUP(B3452,'lista 1'!$A$2:$E$31000,5,0)</f>
        <v>#N/A</v>
      </c>
      <c r="D3452" s="167" t="e">
        <f>VLOOKUP(E15252,'lista obszary'!A:B,2,0)</f>
        <v>#N/A</v>
      </c>
      <c r="E3452" s="128" t="e">
        <f>VLOOKUP(B3452,'LISTA 12'!$A$2:$G$301400,5,0)</f>
        <v>#N/A</v>
      </c>
      <c r="F3452" s="121" t="e">
        <f>VLOOKUP(B3452,'LISTA 12'!$A$2:$G$30100,7,0)</f>
        <v>#N/A</v>
      </c>
      <c r="G3452" s="254" t="e">
        <f>VLOOKUP(H3452,'lista 3'!$A$1:$C$31467,3,0)</f>
        <v>#N/A</v>
      </c>
      <c r="H3452" s="134"/>
      <c r="I3452" s="136"/>
      <c r="J3452" s="135"/>
      <c r="K3452" s="22"/>
    </row>
    <row r="3453" spans="1:11">
      <c r="A3453" s="241" t="e">
        <f>VLOOKUP(B3453,'lista 1'!$A$2:$E$30100,4,0)</f>
        <v>#N/A</v>
      </c>
      <c r="B3453" s="123"/>
      <c r="C3453" s="133" t="e">
        <f>VLOOKUP(B3453,'lista 1'!$A$2:$E$31000,5,0)</f>
        <v>#N/A</v>
      </c>
      <c r="D3453" s="167" t="e">
        <f>VLOOKUP(E15253,'lista obszary'!A:B,2,0)</f>
        <v>#N/A</v>
      </c>
      <c r="E3453" s="128" t="e">
        <f>VLOOKUP(B3453,'LISTA 12'!$A$2:$G$301400,5,0)</f>
        <v>#N/A</v>
      </c>
      <c r="F3453" s="121" t="e">
        <f>VLOOKUP(B3453,'LISTA 12'!$A$2:$G$30100,7,0)</f>
        <v>#N/A</v>
      </c>
      <c r="G3453" s="254" t="e">
        <f>VLOOKUP(H3453,'lista 3'!$A$1:$C$31467,3,0)</f>
        <v>#N/A</v>
      </c>
      <c r="H3453" s="134"/>
      <c r="I3453" s="136"/>
      <c r="J3453" s="135"/>
      <c r="K3453" s="22"/>
    </row>
    <row r="3454" spans="1:11">
      <c r="A3454" s="241" t="e">
        <f>VLOOKUP(B3454,'lista 1'!$A$2:$E$30100,4,0)</f>
        <v>#N/A</v>
      </c>
      <c r="B3454" s="123"/>
      <c r="C3454" s="133" t="e">
        <f>VLOOKUP(B3454,'lista 1'!$A$2:$E$31000,5,0)</f>
        <v>#N/A</v>
      </c>
      <c r="D3454" s="167" t="e">
        <f>VLOOKUP(E15254,'lista obszary'!A:B,2,0)</f>
        <v>#N/A</v>
      </c>
      <c r="E3454" s="128" t="e">
        <f>VLOOKUP(B3454,'LISTA 12'!$A$2:$G$301400,5,0)</f>
        <v>#N/A</v>
      </c>
      <c r="F3454" s="121" t="e">
        <f>VLOOKUP(B3454,'LISTA 12'!$A$2:$G$30100,7,0)</f>
        <v>#N/A</v>
      </c>
      <c r="G3454" s="254" t="e">
        <f>VLOOKUP(H3454,'lista 3'!$A$1:$C$31467,3,0)</f>
        <v>#N/A</v>
      </c>
      <c r="H3454" s="134"/>
      <c r="I3454" s="136"/>
      <c r="J3454" s="135"/>
      <c r="K3454" s="22"/>
    </row>
    <row r="3455" spans="1:11">
      <c r="A3455" s="241" t="e">
        <f>VLOOKUP(B3455,'lista 1'!$A$2:$E$30100,4,0)</f>
        <v>#N/A</v>
      </c>
      <c r="B3455" s="123"/>
      <c r="C3455" s="133" t="e">
        <f>VLOOKUP(B3455,'lista 1'!$A$2:$E$31000,5,0)</f>
        <v>#N/A</v>
      </c>
      <c r="D3455" s="167" t="e">
        <f>VLOOKUP(E15255,'lista obszary'!A:B,2,0)</f>
        <v>#N/A</v>
      </c>
      <c r="E3455" s="128" t="e">
        <f>VLOOKUP(B3455,'LISTA 12'!$A$2:$G$301400,5,0)</f>
        <v>#N/A</v>
      </c>
      <c r="F3455" s="121" t="e">
        <f>VLOOKUP(B3455,'LISTA 12'!$A$2:$G$30100,7,0)</f>
        <v>#N/A</v>
      </c>
      <c r="G3455" s="254" t="e">
        <f>VLOOKUP(H3455,'lista 3'!$A$1:$C$31467,3,0)</f>
        <v>#N/A</v>
      </c>
      <c r="H3455" s="134"/>
      <c r="I3455" s="136"/>
      <c r="J3455" s="135"/>
      <c r="K3455" s="22"/>
    </row>
    <row r="3456" spans="1:11">
      <c r="A3456" s="241" t="e">
        <f>VLOOKUP(B3456,'lista 1'!$A$2:$E$30100,4,0)</f>
        <v>#N/A</v>
      </c>
      <c r="B3456" s="123"/>
      <c r="C3456" s="133" t="e">
        <f>VLOOKUP(B3456,'lista 1'!$A$2:$E$31000,5,0)</f>
        <v>#N/A</v>
      </c>
      <c r="D3456" s="167" t="e">
        <f>VLOOKUP(E15256,'lista obszary'!A:B,2,0)</f>
        <v>#N/A</v>
      </c>
      <c r="E3456" s="128" t="e">
        <f>VLOOKUP(B3456,'LISTA 12'!$A$2:$G$301400,5,0)</f>
        <v>#N/A</v>
      </c>
      <c r="F3456" s="121" t="e">
        <f>VLOOKUP(B3456,'LISTA 12'!$A$2:$G$30100,7,0)</f>
        <v>#N/A</v>
      </c>
      <c r="G3456" s="254" t="e">
        <f>VLOOKUP(H3456,'lista 3'!$A$1:$C$31467,3,0)</f>
        <v>#N/A</v>
      </c>
      <c r="H3456" s="134"/>
      <c r="I3456" s="136"/>
      <c r="J3456" s="135"/>
      <c r="K3456" s="22"/>
    </row>
    <row r="3457" spans="1:11">
      <c r="A3457" s="241" t="e">
        <f>VLOOKUP(B3457,'lista 1'!$A$2:$E$30100,4,0)</f>
        <v>#N/A</v>
      </c>
      <c r="B3457" s="123"/>
      <c r="C3457" s="133" t="e">
        <f>VLOOKUP(B3457,'lista 1'!$A$2:$E$31000,5,0)</f>
        <v>#N/A</v>
      </c>
      <c r="D3457" s="167" t="e">
        <f>VLOOKUP(E15257,'lista obszary'!A:B,2,0)</f>
        <v>#N/A</v>
      </c>
      <c r="E3457" s="128" t="e">
        <f>VLOOKUP(B3457,'LISTA 12'!$A$2:$G$301400,5,0)</f>
        <v>#N/A</v>
      </c>
      <c r="F3457" s="121" t="e">
        <f>VLOOKUP(B3457,'LISTA 12'!$A$2:$G$30100,7,0)</f>
        <v>#N/A</v>
      </c>
      <c r="G3457" s="254" t="e">
        <f>VLOOKUP(H3457,'lista 3'!$A$1:$C$31467,3,0)</f>
        <v>#N/A</v>
      </c>
      <c r="H3457" s="134"/>
      <c r="I3457" s="136"/>
      <c r="J3457" s="135"/>
      <c r="K3457" s="22"/>
    </row>
    <row r="3458" spans="1:11">
      <c r="A3458" s="241" t="e">
        <f>VLOOKUP(B3458,'lista 1'!$A$2:$E$30100,4,0)</f>
        <v>#N/A</v>
      </c>
      <c r="B3458" s="123"/>
      <c r="C3458" s="133" t="e">
        <f>VLOOKUP(B3458,'lista 1'!$A$2:$E$31000,5,0)</f>
        <v>#N/A</v>
      </c>
      <c r="D3458" s="167" t="e">
        <f>VLOOKUP(E15258,'lista obszary'!A:B,2,0)</f>
        <v>#N/A</v>
      </c>
      <c r="E3458" s="128" t="e">
        <f>VLOOKUP(B3458,'LISTA 12'!$A$2:$G$301400,5,0)</f>
        <v>#N/A</v>
      </c>
      <c r="F3458" s="121" t="e">
        <f>VLOOKUP(B3458,'LISTA 12'!$A$2:$G$30100,7,0)</f>
        <v>#N/A</v>
      </c>
      <c r="G3458" s="254" t="e">
        <f>VLOOKUP(H3458,'lista 3'!$A$1:$C$31467,3,0)</f>
        <v>#N/A</v>
      </c>
      <c r="H3458" s="134"/>
      <c r="I3458" s="136"/>
      <c r="J3458" s="135"/>
      <c r="K3458" s="22"/>
    </row>
    <row r="3459" spans="1:11">
      <c r="A3459" s="241" t="e">
        <f>VLOOKUP(B3459,'lista 1'!$A$2:$E$30100,4,0)</f>
        <v>#N/A</v>
      </c>
      <c r="B3459" s="123"/>
      <c r="C3459" s="133" t="e">
        <f>VLOOKUP(B3459,'lista 1'!$A$2:$E$31000,5,0)</f>
        <v>#N/A</v>
      </c>
      <c r="D3459" s="167" t="e">
        <f>VLOOKUP(E15259,'lista obszary'!A:B,2,0)</f>
        <v>#N/A</v>
      </c>
      <c r="E3459" s="128" t="e">
        <f>VLOOKUP(B3459,'LISTA 12'!$A$2:$G$301400,5,0)</f>
        <v>#N/A</v>
      </c>
      <c r="F3459" s="121" t="e">
        <f>VLOOKUP(B3459,'LISTA 12'!$A$2:$G$30100,7,0)</f>
        <v>#N/A</v>
      </c>
      <c r="G3459" s="254" t="e">
        <f>VLOOKUP(H3459,'lista 3'!$A$1:$C$31467,3,0)</f>
        <v>#N/A</v>
      </c>
      <c r="H3459" s="134"/>
      <c r="I3459" s="136"/>
      <c r="J3459" s="135"/>
      <c r="K3459" s="22"/>
    </row>
    <row r="3460" spans="1:11">
      <c r="A3460" s="241" t="e">
        <f>VLOOKUP(B3460,'lista 1'!$A$2:$E$30100,4,0)</f>
        <v>#N/A</v>
      </c>
      <c r="B3460" s="123"/>
      <c r="C3460" s="133" t="e">
        <f>VLOOKUP(B3460,'lista 1'!$A$2:$E$31000,5,0)</f>
        <v>#N/A</v>
      </c>
      <c r="D3460" s="167" t="e">
        <f>VLOOKUP(E15260,'lista obszary'!A:B,2,0)</f>
        <v>#N/A</v>
      </c>
      <c r="E3460" s="128" t="e">
        <f>VLOOKUP(B3460,'LISTA 12'!$A$2:$G$301400,5,0)</f>
        <v>#N/A</v>
      </c>
      <c r="F3460" s="121" t="e">
        <f>VLOOKUP(B3460,'LISTA 12'!$A$2:$G$30100,7,0)</f>
        <v>#N/A</v>
      </c>
      <c r="G3460" s="254" t="e">
        <f>VLOOKUP(H3460,'lista 3'!$A$1:$C$31467,3,0)</f>
        <v>#N/A</v>
      </c>
      <c r="H3460" s="134"/>
      <c r="I3460" s="136"/>
      <c r="J3460" s="135"/>
      <c r="K3460" s="22"/>
    </row>
    <row r="3461" spans="1:11">
      <c r="A3461" s="241" t="e">
        <f>VLOOKUP(B3461,'lista 1'!$A$2:$E$30100,4,0)</f>
        <v>#N/A</v>
      </c>
      <c r="B3461" s="123"/>
      <c r="C3461" s="133" t="e">
        <f>VLOOKUP(B3461,'lista 1'!$A$2:$E$31000,5,0)</f>
        <v>#N/A</v>
      </c>
      <c r="D3461" s="167" t="e">
        <f>VLOOKUP(E15261,'lista obszary'!A:B,2,0)</f>
        <v>#N/A</v>
      </c>
      <c r="E3461" s="128" t="e">
        <f>VLOOKUP(B3461,'LISTA 12'!$A$2:$G$301400,5,0)</f>
        <v>#N/A</v>
      </c>
      <c r="F3461" s="121" t="e">
        <f>VLOOKUP(B3461,'LISTA 12'!$A$2:$G$30100,7,0)</f>
        <v>#N/A</v>
      </c>
      <c r="G3461" s="254" t="e">
        <f>VLOOKUP(H3461,'lista 3'!$A$1:$C$31467,3,0)</f>
        <v>#N/A</v>
      </c>
      <c r="H3461" s="134"/>
      <c r="I3461" s="136"/>
      <c r="J3461" s="135"/>
      <c r="K3461" s="22"/>
    </row>
    <row r="3462" spans="1:11">
      <c r="A3462" s="241" t="e">
        <f>VLOOKUP(B3462,'lista 1'!$A$2:$E$30100,4,0)</f>
        <v>#N/A</v>
      </c>
      <c r="B3462" s="123"/>
      <c r="C3462" s="133" t="e">
        <f>VLOOKUP(B3462,'lista 1'!$A$2:$E$31000,5,0)</f>
        <v>#N/A</v>
      </c>
      <c r="D3462" s="167" t="e">
        <f>VLOOKUP(E15262,'lista obszary'!A:B,2,0)</f>
        <v>#N/A</v>
      </c>
      <c r="E3462" s="128" t="e">
        <f>VLOOKUP(B3462,'LISTA 12'!$A$2:$G$301400,5,0)</f>
        <v>#N/A</v>
      </c>
      <c r="F3462" s="121" t="e">
        <f>VLOOKUP(B3462,'LISTA 12'!$A$2:$G$30100,7,0)</f>
        <v>#N/A</v>
      </c>
      <c r="G3462" s="254" t="e">
        <f>VLOOKUP(H3462,'lista 3'!$A$1:$C$31467,3,0)</f>
        <v>#N/A</v>
      </c>
      <c r="H3462" s="134"/>
      <c r="I3462" s="136"/>
      <c r="J3462" s="135"/>
      <c r="K3462" s="22"/>
    </row>
    <row r="3463" spans="1:11">
      <c r="A3463" s="241" t="e">
        <f>VLOOKUP(B3463,'lista 1'!$A$2:$E$30100,4,0)</f>
        <v>#N/A</v>
      </c>
      <c r="B3463" s="123"/>
      <c r="C3463" s="133" t="e">
        <f>VLOOKUP(B3463,'lista 1'!$A$2:$E$31000,5,0)</f>
        <v>#N/A</v>
      </c>
      <c r="D3463" s="167" t="e">
        <f>VLOOKUP(E15263,'lista obszary'!A:B,2,0)</f>
        <v>#N/A</v>
      </c>
      <c r="E3463" s="128" t="e">
        <f>VLOOKUP(B3463,'LISTA 12'!$A$2:$G$301400,5,0)</f>
        <v>#N/A</v>
      </c>
      <c r="F3463" s="121" t="e">
        <f>VLOOKUP(B3463,'LISTA 12'!$A$2:$G$30100,7,0)</f>
        <v>#N/A</v>
      </c>
      <c r="G3463" s="254" t="e">
        <f>VLOOKUP(H3463,'lista 3'!$A$1:$C$31467,3,0)</f>
        <v>#N/A</v>
      </c>
      <c r="H3463" s="134"/>
      <c r="I3463" s="136"/>
      <c r="J3463" s="135"/>
      <c r="K3463" s="22"/>
    </row>
    <row r="3464" spans="1:11">
      <c r="A3464" s="241" t="e">
        <f>VLOOKUP(B3464,'lista 1'!$A$2:$E$30100,4,0)</f>
        <v>#N/A</v>
      </c>
      <c r="B3464" s="123"/>
      <c r="C3464" s="133" t="e">
        <f>VLOOKUP(B3464,'lista 1'!$A$2:$E$31000,5,0)</f>
        <v>#N/A</v>
      </c>
      <c r="D3464" s="167" t="e">
        <f>VLOOKUP(E15264,'lista obszary'!A:B,2,0)</f>
        <v>#N/A</v>
      </c>
      <c r="E3464" s="128" t="e">
        <f>VLOOKUP(B3464,'LISTA 12'!$A$2:$G$301400,5,0)</f>
        <v>#N/A</v>
      </c>
      <c r="F3464" s="121" t="e">
        <f>VLOOKUP(B3464,'LISTA 12'!$A$2:$G$30100,7,0)</f>
        <v>#N/A</v>
      </c>
      <c r="G3464" s="254" t="e">
        <f>VLOOKUP(H3464,'lista 3'!$A$1:$C$31467,3,0)</f>
        <v>#N/A</v>
      </c>
      <c r="H3464" s="134"/>
      <c r="I3464" s="136"/>
      <c r="J3464" s="135"/>
      <c r="K3464" s="22"/>
    </row>
    <row r="3465" spans="1:11">
      <c r="A3465" s="241" t="e">
        <f>VLOOKUP(B3465,'lista 1'!$A$2:$E$30100,4,0)</f>
        <v>#N/A</v>
      </c>
      <c r="B3465" s="123"/>
      <c r="C3465" s="133" t="e">
        <f>VLOOKUP(B3465,'lista 1'!$A$2:$E$31000,5,0)</f>
        <v>#N/A</v>
      </c>
      <c r="D3465" s="167" t="e">
        <f>VLOOKUP(E15265,'lista obszary'!A:B,2,0)</f>
        <v>#N/A</v>
      </c>
      <c r="E3465" s="128" t="e">
        <f>VLOOKUP(B3465,'LISTA 12'!$A$2:$G$301400,5,0)</f>
        <v>#N/A</v>
      </c>
      <c r="F3465" s="121" t="e">
        <f>VLOOKUP(B3465,'LISTA 12'!$A$2:$G$30100,7,0)</f>
        <v>#N/A</v>
      </c>
      <c r="G3465" s="254" t="e">
        <f>VLOOKUP(H3465,'lista 3'!$A$1:$C$31467,3,0)</f>
        <v>#N/A</v>
      </c>
      <c r="H3465" s="134"/>
      <c r="I3465" s="136"/>
      <c r="J3465" s="135"/>
      <c r="K3465" s="22"/>
    </row>
    <row r="3466" spans="1:11">
      <c r="A3466" s="241" t="e">
        <f>VLOOKUP(B3466,'lista 1'!$A$2:$E$30100,4,0)</f>
        <v>#N/A</v>
      </c>
      <c r="B3466" s="123"/>
      <c r="C3466" s="133" t="e">
        <f>VLOOKUP(B3466,'lista 1'!$A$2:$E$31000,5,0)</f>
        <v>#N/A</v>
      </c>
      <c r="D3466" s="167" t="e">
        <f>VLOOKUP(E15266,'lista obszary'!A:B,2,0)</f>
        <v>#N/A</v>
      </c>
      <c r="E3466" s="128" t="e">
        <f>VLOOKUP(B3466,'LISTA 12'!$A$2:$G$301400,5,0)</f>
        <v>#N/A</v>
      </c>
      <c r="F3466" s="121" t="e">
        <f>VLOOKUP(B3466,'LISTA 12'!$A$2:$G$30100,7,0)</f>
        <v>#N/A</v>
      </c>
      <c r="G3466" s="254" t="e">
        <f>VLOOKUP(H3466,'lista 3'!$A$1:$C$31467,3,0)</f>
        <v>#N/A</v>
      </c>
      <c r="H3466" s="134"/>
      <c r="I3466" s="136"/>
      <c r="J3466" s="135"/>
      <c r="K3466" s="22"/>
    </row>
    <row r="3467" spans="1:11">
      <c r="A3467" s="241" t="e">
        <f>VLOOKUP(B3467,'lista 1'!$A$2:$E$30100,4,0)</f>
        <v>#N/A</v>
      </c>
      <c r="B3467" s="123"/>
      <c r="C3467" s="133" t="e">
        <f>VLOOKUP(B3467,'lista 1'!$A$2:$E$31000,5,0)</f>
        <v>#N/A</v>
      </c>
      <c r="D3467" s="167" t="e">
        <f>VLOOKUP(E15267,'lista obszary'!A:B,2,0)</f>
        <v>#N/A</v>
      </c>
      <c r="E3467" s="128" t="e">
        <f>VLOOKUP(B3467,'LISTA 12'!$A$2:$G$301400,5,0)</f>
        <v>#N/A</v>
      </c>
      <c r="F3467" s="121" t="e">
        <f>VLOOKUP(B3467,'LISTA 12'!$A$2:$G$30100,7,0)</f>
        <v>#N/A</v>
      </c>
      <c r="G3467" s="254" t="e">
        <f>VLOOKUP(H3467,'lista 3'!$A$1:$C$31467,3,0)</f>
        <v>#N/A</v>
      </c>
      <c r="H3467" s="134"/>
      <c r="I3467" s="136"/>
      <c r="J3467" s="135"/>
      <c r="K3467" s="22"/>
    </row>
    <row r="3468" spans="1:11">
      <c r="A3468" s="241" t="e">
        <f>VLOOKUP(B3468,'lista 1'!$A$2:$E$30100,4,0)</f>
        <v>#N/A</v>
      </c>
      <c r="B3468" s="123"/>
      <c r="C3468" s="133" t="e">
        <f>VLOOKUP(B3468,'lista 1'!$A$2:$E$31000,5,0)</f>
        <v>#N/A</v>
      </c>
      <c r="D3468" s="167" t="e">
        <f>VLOOKUP(E15268,'lista obszary'!A:B,2,0)</f>
        <v>#N/A</v>
      </c>
      <c r="E3468" s="128" t="e">
        <f>VLOOKUP(B3468,'LISTA 12'!$A$2:$G$301400,5,0)</f>
        <v>#N/A</v>
      </c>
      <c r="F3468" s="121" t="e">
        <f>VLOOKUP(B3468,'LISTA 12'!$A$2:$G$30100,7,0)</f>
        <v>#N/A</v>
      </c>
      <c r="G3468" s="254" t="e">
        <f>VLOOKUP(H3468,'lista 3'!$A$1:$C$31467,3,0)</f>
        <v>#N/A</v>
      </c>
      <c r="H3468" s="134"/>
      <c r="I3468" s="136"/>
      <c r="J3468" s="135"/>
      <c r="K3468" s="22"/>
    </row>
    <row r="3469" spans="1:11">
      <c r="A3469" s="241" t="e">
        <f>VLOOKUP(B3469,'lista 1'!$A$2:$E$30100,4,0)</f>
        <v>#N/A</v>
      </c>
      <c r="B3469" s="123"/>
      <c r="C3469" s="133" t="e">
        <f>VLOOKUP(B3469,'lista 1'!$A$2:$E$31000,5,0)</f>
        <v>#N/A</v>
      </c>
      <c r="D3469" s="167" t="e">
        <f>VLOOKUP(E15269,'lista obszary'!A:B,2,0)</f>
        <v>#N/A</v>
      </c>
      <c r="E3469" s="128" t="e">
        <f>VLOOKUP(B3469,'LISTA 12'!$A$2:$G$301400,5,0)</f>
        <v>#N/A</v>
      </c>
      <c r="F3469" s="121" t="e">
        <f>VLOOKUP(B3469,'LISTA 12'!$A$2:$G$30100,7,0)</f>
        <v>#N/A</v>
      </c>
      <c r="G3469" s="254" t="e">
        <f>VLOOKUP(H3469,'lista 3'!$A$1:$C$31467,3,0)</f>
        <v>#N/A</v>
      </c>
      <c r="H3469" s="134"/>
      <c r="I3469" s="136"/>
      <c r="J3469" s="135"/>
      <c r="K3469" s="22"/>
    </row>
    <row r="3470" spans="1:11">
      <c r="A3470" s="241" t="e">
        <f>VLOOKUP(B3470,'lista 1'!$A$2:$E$30100,4,0)</f>
        <v>#N/A</v>
      </c>
      <c r="B3470" s="123"/>
      <c r="C3470" s="133" t="e">
        <f>VLOOKUP(B3470,'lista 1'!$A$2:$E$31000,5,0)</f>
        <v>#N/A</v>
      </c>
      <c r="D3470" s="167" t="e">
        <f>VLOOKUP(E15270,'lista obszary'!A:B,2,0)</f>
        <v>#N/A</v>
      </c>
      <c r="E3470" s="128" t="e">
        <f>VLOOKUP(B3470,'LISTA 12'!$A$2:$G$301400,5,0)</f>
        <v>#N/A</v>
      </c>
      <c r="F3470" s="121" t="e">
        <f>VLOOKUP(B3470,'LISTA 12'!$A$2:$G$30100,7,0)</f>
        <v>#N/A</v>
      </c>
      <c r="G3470" s="254" t="e">
        <f>VLOOKUP(H3470,'lista 3'!$A$1:$C$31467,3,0)</f>
        <v>#N/A</v>
      </c>
      <c r="H3470" s="134"/>
      <c r="I3470" s="136"/>
      <c r="J3470" s="135"/>
      <c r="K3470" s="22"/>
    </row>
    <row r="3471" spans="1:11">
      <c r="A3471" s="241" t="e">
        <f>VLOOKUP(B3471,'lista 1'!$A$2:$E$30100,4,0)</f>
        <v>#N/A</v>
      </c>
      <c r="B3471" s="123"/>
      <c r="C3471" s="133" t="e">
        <f>VLOOKUP(B3471,'lista 1'!$A$2:$E$31000,5,0)</f>
        <v>#N/A</v>
      </c>
      <c r="D3471" s="167" t="e">
        <f>VLOOKUP(E15271,'lista obszary'!A:B,2,0)</f>
        <v>#N/A</v>
      </c>
      <c r="E3471" s="128" t="e">
        <f>VLOOKUP(B3471,'LISTA 12'!$A$2:$G$301400,5,0)</f>
        <v>#N/A</v>
      </c>
      <c r="F3471" s="121" t="e">
        <f>VLOOKUP(B3471,'LISTA 12'!$A$2:$G$30100,7,0)</f>
        <v>#N/A</v>
      </c>
      <c r="G3471" s="254" t="e">
        <f>VLOOKUP(H3471,'lista 3'!$A$1:$C$31467,3,0)</f>
        <v>#N/A</v>
      </c>
      <c r="H3471" s="134"/>
      <c r="I3471" s="136"/>
      <c r="J3471" s="135"/>
      <c r="K3471" s="22"/>
    </row>
    <row r="3472" spans="1:11">
      <c r="A3472" s="241" t="e">
        <f>VLOOKUP(B3472,'lista 1'!$A$2:$E$30100,4,0)</f>
        <v>#N/A</v>
      </c>
      <c r="B3472" s="123"/>
      <c r="C3472" s="133" t="e">
        <f>VLOOKUP(B3472,'lista 1'!$A$2:$E$31000,5,0)</f>
        <v>#N/A</v>
      </c>
      <c r="D3472" s="167" t="e">
        <f>VLOOKUP(E15272,'lista obszary'!A:B,2,0)</f>
        <v>#N/A</v>
      </c>
      <c r="E3472" s="128" t="e">
        <f>VLOOKUP(B3472,'LISTA 12'!$A$2:$G$301400,5,0)</f>
        <v>#N/A</v>
      </c>
      <c r="F3472" s="121" t="e">
        <f>VLOOKUP(B3472,'LISTA 12'!$A$2:$G$30100,7,0)</f>
        <v>#N/A</v>
      </c>
      <c r="G3472" s="254" t="e">
        <f>VLOOKUP(H3472,'lista 3'!$A$1:$C$31467,3,0)</f>
        <v>#N/A</v>
      </c>
      <c r="H3472" s="134"/>
      <c r="I3472" s="136"/>
      <c r="J3472" s="135"/>
      <c r="K3472" s="22"/>
    </row>
    <row r="3473" spans="1:11">
      <c r="A3473" s="241" t="e">
        <f>VLOOKUP(B3473,'lista 1'!$A$2:$E$30100,4,0)</f>
        <v>#N/A</v>
      </c>
      <c r="B3473" s="123"/>
      <c r="C3473" s="133" t="e">
        <f>VLOOKUP(B3473,'lista 1'!$A$2:$E$31000,5,0)</f>
        <v>#N/A</v>
      </c>
      <c r="D3473" s="167" t="e">
        <f>VLOOKUP(E15273,'lista obszary'!A:B,2,0)</f>
        <v>#N/A</v>
      </c>
      <c r="E3473" s="128" t="e">
        <f>VLOOKUP(B3473,'LISTA 12'!$A$2:$G$301400,5,0)</f>
        <v>#N/A</v>
      </c>
      <c r="F3473" s="121" t="e">
        <f>VLOOKUP(B3473,'LISTA 12'!$A$2:$G$30100,7,0)</f>
        <v>#N/A</v>
      </c>
      <c r="G3473" s="254" t="e">
        <f>VLOOKUP(H3473,'lista 3'!$A$1:$C$31467,3,0)</f>
        <v>#N/A</v>
      </c>
      <c r="H3473" s="134"/>
      <c r="I3473" s="136"/>
      <c r="J3473" s="135"/>
      <c r="K3473" s="22"/>
    </row>
    <row r="3474" spans="1:11">
      <c r="A3474" s="241" t="e">
        <f>VLOOKUP(B3474,'lista 1'!$A$2:$E$30100,4,0)</f>
        <v>#N/A</v>
      </c>
      <c r="B3474" s="123"/>
      <c r="C3474" s="133" t="e">
        <f>VLOOKUP(B3474,'lista 1'!$A$2:$E$31000,5,0)</f>
        <v>#N/A</v>
      </c>
      <c r="D3474" s="167" t="e">
        <f>VLOOKUP(E15274,'lista obszary'!A:B,2,0)</f>
        <v>#N/A</v>
      </c>
      <c r="E3474" s="128" t="e">
        <f>VLOOKUP(B3474,'LISTA 12'!$A$2:$G$301400,5,0)</f>
        <v>#N/A</v>
      </c>
      <c r="F3474" s="121" t="e">
        <f>VLOOKUP(B3474,'LISTA 12'!$A$2:$G$30100,7,0)</f>
        <v>#N/A</v>
      </c>
      <c r="G3474" s="254" t="e">
        <f>VLOOKUP(H3474,'lista 3'!$A$1:$C$31467,3,0)</f>
        <v>#N/A</v>
      </c>
      <c r="H3474" s="134"/>
      <c r="I3474" s="136"/>
      <c r="J3474" s="135"/>
      <c r="K3474" s="22"/>
    </row>
    <row r="3475" spans="1:11">
      <c r="A3475" s="241" t="e">
        <f>VLOOKUP(B3475,'lista 1'!$A$2:$E$30100,4,0)</f>
        <v>#N/A</v>
      </c>
      <c r="B3475" s="123"/>
      <c r="C3475" s="133" t="e">
        <f>VLOOKUP(B3475,'lista 1'!$A$2:$E$31000,5,0)</f>
        <v>#N/A</v>
      </c>
      <c r="D3475" s="167" t="e">
        <f>VLOOKUP(E15275,'lista obszary'!A:B,2,0)</f>
        <v>#N/A</v>
      </c>
      <c r="E3475" s="128" t="e">
        <f>VLOOKUP(B3475,'LISTA 12'!$A$2:$G$301400,5,0)</f>
        <v>#N/A</v>
      </c>
      <c r="F3475" s="121" t="e">
        <f>VLOOKUP(B3475,'LISTA 12'!$A$2:$G$30100,7,0)</f>
        <v>#N/A</v>
      </c>
      <c r="G3475" s="254" t="e">
        <f>VLOOKUP(H3475,'lista 3'!$A$1:$C$31467,3,0)</f>
        <v>#N/A</v>
      </c>
      <c r="H3475" s="134"/>
      <c r="I3475" s="136"/>
      <c r="J3475" s="135"/>
      <c r="K3475" s="22"/>
    </row>
    <row r="3476" spans="1:11">
      <c r="A3476" s="241" t="e">
        <f>VLOOKUP(B3476,'lista 1'!$A$2:$E$30100,4,0)</f>
        <v>#N/A</v>
      </c>
      <c r="B3476" s="123"/>
      <c r="C3476" s="133" t="e">
        <f>VLOOKUP(B3476,'lista 1'!$A$2:$E$31000,5,0)</f>
        <v>#N/A</v>
      </c>
      <c r="D3476" s="167" t="e">
        <f>VLOOKUP(E15276,'lista obszary'!A:B,2,0)</f>
        <v>#N/A</v>
      </c>
      <c r="E3476" s="128" t="e">
        <f>VLOOKUP(B3476,'LISTA 12'!$A$2:$G$301400,5,0)</f>
        <v>#N/A</v>
      </c>
      <c r="F3476" s="121" t="e">
        <f>VLOOKUP(B3476,'LISTA 12'!$A$2:$G$30100,7,0)</f>
        <v>#N/A</v>
      </c>
      <c r="G3476" s="254" t="e">
        <f>VLOOKUP(H3476,'lista 3'!$A$1:$C$31467,3,0)</f>
        <v>#N/A</v>
      </c>
      <c r="H3476" s="134"/>
      <c r="I3476" s="136"/>
      <c r="J3476" s="135"/>
      <c r="K3476" s="22"/>
    </row>
    <row r="3477" spans="1:11">
      <c r="A3477" s="241" t="e">
        <f>VLOOKUP(B3477,'lista 1'!$A$2:$E$30100,4,0)</f>
        <v>#N/A</v>
      </c>
      <c r="B3477" s="123"/>
      <c r="C3477" s="133" t="e">
        <f>VLOOKUP(B3477,'lista 1'!$A$2:$E$31000,5,0)</f>
        <v>#N/A</v>
      </c>
      <c r="D3477" s="167" t="e">
        <f>VLOOKUP(E15277,'lista obszary'!A:B,2,0)</f>
        <v>#N/A</v>
      </c>
      <c r="E3477" s="128" t="e">
        <f>VLOOKUP(B3477,'LISTA 12'!$A$2:$G$301400,5,0)</f>
        <v>#N/A</v>
      </c>
      <c r="F3477" s="121" t="e">
        <f>VLOOKUP(B3477,'LISTA 12'!$A$2:$G$30100,7,0)</f>
        <v>#N/A</v>
      </c>
      <c r="G3477" s="254" t="e">
        <f>VLOOKUP(H3477,'lista 3'!$A$1:$C$31467,3,0)</f>
        <v>#N/A</v>
      </c>
      <c r="H3477" s="134"/>
      <c r="I3477" s="136"/>
      <c r="J3477" s="135"/>
      <c r="K3477" s="22"/>
    </row>
    <row r="3478" spans="1:11">
      <c r="A3478" s="241" t="e">
        <f>VLOOKUP(B3478,'lista 1'!$A$2:$E$30100,4,0)</f>
        <v>#N/A</v>
      </c>
      <c r="B3478" s="123"/>
      <c r="C3478" s="133" t="e">
        <f>VLOOKUP(B3478,'lista 1'!$A$2:$E$31000,5,0)</f>
        <v>#N/A</v>
      </c>
      <c r="D3478" s="167" t="e">
        <f>VLOOKUP(E15278,'lista obszary'!A:B,2,0)</f>
        <v>#N/A</v>
      </c>
      <c r="E3478" s="128" t="e">
        <f>VLOOKUP(B3478,'LISTA 12'!$A$2:$G$301400,5,0)</f>
        <v>#N/A</v>
      </c>
      <c r="F3478" s="121" t="e">
        <f>VLOOKUP(B3478,'LISTA 12'!$A$2:$G$30100,7,0)</f>
        <v>#N/A</v>
      </c>
      <c r="G3478" s="254" t="e">
        <f>VLOOKUP(H3478,'lista 3'!$A$1:$C$31467,3,0)</f>
        <v>#N/A</v>
      </c>
      <c r="H3478" s="134"/>
      <c r="I3478" s="136"/>
      <c r="J3478" s="135"/>
      <c r="K3478" s="22"/>
    </row>
    <row r="3479" spans="1:11">
      <c r="A3479" s="241" t="e">
        <f>VLOOKUP(B3479,'lista 1'!$A$2:$E$30100,4,0)</f>
        <v>#N/A</v>
      </c>
      <c r="B3479" s="123"/>
      <c r="C3479" s="133" t="e">
        <f>VLOOKUP(B3479,'lista 1'!$A$2:$E$31000,5,0)</f>
        <v>#N/A</v>
      </c>
      <c r="D3479" s="167" t="e">
        <f>VLOOKUP(E15279,'lista obszary'!A:B,2,0)</f>
        <v>#N/A</v>
      </c>
      <c r="E3479" s="128" t="e">
        <f>VLOOKUP(B3479,'LISTA 12'!$A$2:$G$301400,5,0)</f>
        <v>#N/A</v>
      </c>
      <c r="F3479" s="121" t="e">
        <f>VLOOKUP(B3479,'LISTA 12'!$A$2:$G$30100,7,0)</f>
        <v>#N/A</v>
      </c>
      <c r="G3479" s="254" t="e">
        <f>VLOOKUP(H3479,'lista 3'!$A$1:$C$31467,3,0)</f>
        <v>#N/A</v>
      </c>
      <c r="H3479" s="134"/>
      <c r="I3479" s="136"/>
      <c r="J3479" s="135"/>
      <c r="K3479" s="22"/>
    </row>
    <row r="3480" spans="1:11">
      <c r="A3480" s="241" t="e">
        <f>VLOOKUP(B3480,'lista 1'!$A$2:$E$30100,4,0)</f>
        <v>#N/A</v>
      </c>
      <c r="B3480" s="123"/>
      <c r="C3480" s="133" t="e">
        <f>VLOOKUP(B3480,'lista 1'!$A$2:$E$31000,5,0)</f>
        <v>#N/A</v>
      </c>
      <c r="D3480" s="167" t="e">
        <f>VLOOKUP(E15280,'lista obszary'!A:B,2,0)</f>
        <v>#N/A</v>
      </c>
      <c r="E3480" s="128" t="e">
        <f>VLOOKUP(B3480,'LISTA 12'!$A$2:$G$301400,5,0)</f>
        <v>#N/A</v>
      </c>
      <c r="F3480" s="121" t="e">
        <f>VLOOKUP(B3480,'LISTA 12'!$A$2:$G$30100,7,0)</f>
        <v>#N/A</v>
      </c>
      <c r="G3480" s="254" t="e">
        <f>VLOOKUP(H3480,'lista 3'!$A$1:$C$31467,3,0)</f>
        <v>#N/A</v>
      </c>
      <c r="H3480" s="134"/>
      <c r="I3480" s="136"/>
      <c r="J3480" s="135"/>
      <c r="K3480" s="22"/>
    </row>
    <row r="3481" spans="1:11">
      <c r="A3481" s="241" t="e">
        <f>VLOOKUP(B3481,'lista 1'!$A$2:$E$30100,4,0)</f>
        <v>#N/A</v>
      </c>
      <c r="B3481" s="123"/>
      <c r="C3481" s="133" t="e">
        <f>VLOOKUP(B3481,'lista 1'!$A$2:$E$31000,5,0)</f>
        <v>#N/A</v>
      </c>
      <c r="D3481" s="167" t="e">
        <f>VLOOKUP(E15281,'lista obszary'!A:B,2,0)</f>
        <v>#N/A</v>
      </c>
      <c r="E3481" s="128" t="e">
        <f>VLOOKUP(B3481,'LISTA 12'!$A$2:$G$301400,5,0)</f>
        <v>#N/A</v>
      </c>
      <c r="F3481" s="121" t="e">
        <f>VLOOKUP(B3481,'LISTA 12'!$A$2:$G$30100,7,0)</f>
        <v>#N/A</v>
      </c>
      <c r="G3481" s="254" t="e">
        <f>VLOOKUP(H3481,'lista 3'!$A$1:$C$31467,3,0)</f>
        <v>#N/A</v>
      </c>
      <c r="H3481" s="134"/>
      <c r="I3481" s="136"/>
      <c r="J3481" s="135"/>
      <c r="K3481" s="22"/>
    </row>
    <row r="3482" spans="1:11">
      <c r="A3482" s="241" t="e">
        <f>VLOOKUP(B3482,'lista 1'!$A$2:$E$30100,4,0)</f>
        <v>#N/A</v>
      </c>
      <c r="B3482" s="123"/>
      <c r="C3482" s="133" t="e">
        <f>VLOOKUP(B3482,'lista 1'!$A$2:$E$31000,5,0)</f>
        <v>#N/A</v>
      </c>
      <c r="D3482" s="167" t="e">
        <f>VLOOKUP(E15282,'lista obszary'!A:B,2,0)</f>
        <v>#N/A</v>
      </c>
      <c r="E3482" s="128" t="e">
        <f>VLOOKUP(B3482,'LISTA 12'!$A$2:$G$301400,5,0)</f>
        <v>#N/A</v>
      </c>
      <c r="F3482" s="121" t="e">
        <f>VLOOKUP(B3482,'LISTA 12'!$A$2:$G$30100,7,0)</f>
        <v>#N/A</v>
      </c>
      <c r="G3482" s="254" t="e">
        <f>VLOOKUP(H3482,'lista 3'!$A$1:$C$31467,3,0)</f>
        <v>#N/A</v>
      </c>
      <c r="H3482" s="134"/>
      <c r="I3482" s="136"/>
      <c r="J3482" s="135"/>
      <c r="K3482" s="22"/>
    </row>
    <row r="3483" spans="1:11">
      <c r="A3483" s="241" t="e">
        <f>VLOOKUP(B3483,'lista 1'!$A$2:$E$30100,4,0)</f>
        <v>#N/A</v>
      </c>
      <c r="B3483" s="123"/>
      <c r="C3483" s="133" t="e">
        <f>VLOOKUP(B3483,'lista 1'!$A$2:$E$31000,5,0)</f>
        <v>#N/A</v>
      </c>
      <c r="D3483" s="167" t="e">
        <f>VLOOKUP(E15283,'lista obszary'!A:B,2,0)</f>
        <v>#N/A</v>
      </c>
      <c r="E3483" s="128" t="e">
        <f>VLOOKUP(B3483,'LISTA 12'!$A$2:$G$301400,5,0)</f>
        <v>#N/A</v>
      </c>
      <c r="F3483" s="121" t="e">
        <f>VLOOKUP(B3483,'LISTA 12'!$A$2:$G$30100,7,0)</f>
        <v>#N/A</v>
      </c>
      <c r="G3483" s="254" t="e">
        <f>VLOOKUP(H3483,'lista 3'!$A$1:$C$31467,3,0)</f>
        <v>#N/A</v>
      </c>
      <c r="H3483" s="134"/>
      <c r="I3483" s="136"/>
      <c r="J3483" s="135"/>
      <c r="K3483" s="22"/>
    </row>
    <row r="3484" spans="1:11">
      <c r="A3484" s="241" t="e">
        <f>VLOOKUP(B3484,'lista 1'!$A$2:$E$30100,4,0)</f>
        <v>#N/A</v>
      </c>
      <c r="B3484" s="123"/>
      <c r="C3484" s="133" t="e">
        <f>VLOOKUP(B3484,'lista 1'!$A$2:$E$31000,5,0)</f>
        <v>#N/A</v>
      </c>
      <c r="D3484" s="167" t="e">
        <f>VLOOKUP(E15284,'lista obszary'!A:B,2,0)</f>
        <v>#N/A</v>
      </c>
      <c r="E3484" s="128" t="e">
        <f>VLOOKUP(B3484,'LISTA 12'!$A$2:$G$301400,5,0)</f>
        <v>#N/A</v>
      </c>
      <c r="F3484" s="121" t="e">
        <f>VLOOKUP(B3484,'LISTA 12'!$A$2:$G$30100,7,0)</f>
        <v>#N/A</v>
      </c>
      <c r="G3484" s="254" t="e">
        <f>VLOOKUP(H3484,'lista 3'!$A$1:$C$31467,3,0)</f>
        <v>#N/A</v>
      </c>
      <c r="H3484" s="134"/>
      <c r="I3484" s="136"/>
      <c r="J3484" s="135"/>
      <c r="K3484" s="22"/>
    </row>
    <row r="3485" spans="1:11">
      <c r="A3485" s="241" t="e">
        <f>VLOOKUP(B3485,'lista 1'!$A$2:$E$30100,4,0)</f>
        <v>#N/A</v>
      </c>
      <c r="B3485" s="123"/>
      <c r="C3485" s="133" t="e">
        <f>VLOOKUP(B3485,'lista 1'!$A$2:$E$31000,5,0)</f>
        <v>#N/A</v>
      </c>
      <c r="D3485" s="167" t="e">
        <f>VLOOKUP(E15285,'lista obszary'!A:B,2,0)</f>
        <v>#N/A</v>
      </c>
      <c r="E3485" s="128" t="e">
        <f>VLOOKUP(B3485,'LISTA 12'!$A$2:$G$301400,5,0)</f>
        <v>#N/A</v>
      </c>
      <c r="F3485" s="121" t="e">
        <f>VLOOKUP(B3485,'LISTA 12'!$A$2:$G$30100,7,0)</f>
        <v>#N/A</v>
      </c>
      <c r="G3485" s="254" t="e">
        <f>VLOOKUP(H3485,'lista 3'!$A$1:$C$31467,3,0)</f>
        <v>#N/A</v>
      </c>
      <c r="H3485" s="134"/>
      <c r="I3485" s="136"/>
      <c r="J3485" s="135"/>
      <c r="K3485" s="22"/>
    </row>
    <row r="3486" spans="1:11">
      <c r="A3486" s="241" t="e">
        <f>VLOOKUP(B3486,'lista 1'!$A$2:$E$30100,4,0)</f>
        <v>#N/A</v>
      </c>
      <c r="B3486" s="123"/>
      <c r="C3486" s="133" t="e">
        <f>VLOOKUP(B3486,'lista 1'!$A$2:$E$31000,5,0)</f>
        <v>#N/A</v>
      </c>
      <c r="D3486" s="167" t="e">
        <f>VLOOKUP(E15286,'lista obszary'!A:B,2,0)</f>
        <v>#N/A</v>
      </c>
      <c r="E3486" s="128" t="e">
        <f>VLOOKUP(B3486,'LISTA 12'!$A$2:$G$301400,5,0)</f>
        <v>#N/A</v>
      </c>
      <c r="F3486" s="121" t="e">
        <f>VLOOKUP(B3486,'LISTA 12'!$A$2:$G$30100,7,0)</f>
        <v>#N/A</v>
      </c>
      <c r="G3486" s="254" t="e">
        <f>VLOOKUP(H3486,'lista 3'!$A$1:$C$31467,3,0)</f>
        <v>#N/A</v>
      </c>
      <c r="H3486" s="134"/>
      <c r="I3486" s="136"/>
      <c r="J3486" s="135"/>
      <c r="K3486" s="22"/>
    </row>
    <row r="3487" spans="1:11">
      <c r="A3487" s="241" t="e">
        <f>VLOOKUP(B3487,'lista 1'!$A$2:$E$30100,4,0)</f>
        <v>#N/A</v>
      </c>
      <c r="B3487" s="123"/>
      <c r="C3487" s="133" t="e">
        <f>VLOOKUP(B3487,'lista 1'!$A$2:$E$31000,5,0)</f>
        <v>#N/A</v>
      </c>
      <c r="D3487" s="167" t="e">
        <f>VLOOKUP(E15287,'lista obszary'!A:B,2,0)</f>
        <v>#N/A</v>
      </c>
      <c r="E3487" s="128" t="e">
        <f>VLOOKUP(B3487,'LISTA 12'!$A$2:$G$301400,5,0)</f>
        <v>#N/A</v>
      </c>
      <c r="F3487" s="121" t="e">
        <f>VLOOKUP(B3487,'LISTA 12'!$A$2:$G$30100,7,0)</f>
        <v>#N/A</v>
      </c>
      <c r="G3487" s="254" t="e">
        <f>VLOOKUP(H3487,'lista 3'!$A$1:$C$31467,3,0)</f>
        <v>#N/A</v>
      </c>
      <c r="H3487" s="134"/>
      <c r="I3487" s="136"/>
      <c r="J3487" s="135"/>
      <c r="K3487" s="22"/>
    </row>
    <row r="3488" spans="1:11">
      <c r="A3488" s="241" t="e">
        <f>VLOOKUP(B3488,'lista 1'!$A$2:$E$30100,4,0)</f>
        <v>#N/A</v>
      </c>
      <c r="B3488" s="123"/>
      <c r="C3488" s="133" t="e">
        <f>VLOOKUP(B3488,'lista 1'!$A$2:$E$31000,5,0)</f>
        <v>#N/A</v>
      </c>
      <c r="D3488" s="167" t="e">
        <f>VLOOKUP(E15288,'lista obszary'!A:B,2,0)</f>
        <v>#N/A</v>
      </c>
      <c r="E3488" s="128" t="e">
        <f>VLOOKUP(B3488,'LISTA 12'!$A$2:$G$301400,5,0)</f>
        <v>#N/A</v>
      </c>
      <c r="F3488" s="121" t="e">
        <f>VLOOKUP(B3488,'LISTA 12'!$A$2:$G$30100,7,0)</f>
        <v>#N/A</v>
      </c>
      <c r="G3488" s="254" t="e">
        <f>VLOOKUP(H3488,'lista 3'!$A$1:$C$31467,3,0)</f>
        <v>#N/A</v>
      </c>
      <c r="H3488" s="134"/>
      <c r="I3488" s="136"/>
      <c r="J3488" s="135"/>
      <c r="K3488" s="22"/>
    </row>
    <row r="3489" spans="1:11">
      <c r="A3489" s="241" t="e">
        <f>VLOOKUP(B3489,'lista 1'!$A$2:$E$30100,4,0)</f>
        <v>#N/A</v>
      </c>
      <c r="B3489" s="123"/>
      <c r="C3489" s="133" t="e">
        <f>VLOOKUP(B3489,'lista 1'!$A$2:$E$31000,5,0)</f>
        <v>#N/A</v>
      </c>
      <c r="D3489" s="167" t="e">
        <f>VLOOKUP(E15289,'lista obszary'!A:B,2,0)</f>
        <v>#N/A</v>
      </c>
      <c r="E3489" s="128" t="e">
        <f>VLOOKUP(B3489,'LISTA 12'!$A$2:$G$301400,5,0)</f>
        <v>#N/A</v>
      </c>
      <c r="F3489" s="121" t="e">
        <f>VLOOKUP(B3489,'LISTA 12'!$A$2:$G$30100,7,0)</f>
        <v>#N/A</v>
      </c>
      <c r="G3489" s="254" t="e">
        <f>VLOOKUP(H3489,'lista 3'!$A$1:$C$31467,3,0)</f>
        <v>#N/A</v>
      </c>
      <c r="H3489" s="134"/>
      <c r="I3489" s="136"/>
      <c r="J3489" s="135"/>
      <c r="K3489" s="22"/>
    </row>
    <row r="3490" spans="1:11">
      <c r="A3490" s="241" t="e">
        <f>VLOOKUP(B3490,'lista 1'!$A$2:$E$30100,4,0)</f>
        <v>#N/A</v>
      </c>
      <c r="B3490" s="123"/>
      <c r="C3490" s="133" t="e">
        <f>VLOOKUP(B3490,'lista 1'!$A$2:$E$31000,5,0)</f>
        <v>#N/A</v>
      </c>
      <c r="D3490" s="167" t="e">
        <f>VLOOKUP(E15290,'lista obszary'!A:B,2,0)</f>
        <v>#N/A</v>
      </c>
      <c r="E3490" s="128" t="e">
        <f>VLOOKUP(B3490,'LISTA 12'!$A$2:$G$301400,5,0)</f>
        <v>#N/A</v>
      </c>
      <c r="F3490" s="121" t="e">
        <f>VLOOKUP(B3490,'LISTA 12'!$A$2:$G$30100,7,0)</f>
        <v>#N/A</v>
      </c>
      <c r="G3490" s="254" t="e">
        <f>VLOOKUP(H3490,'lista 3'!$A$1:$C$31467,3,0)</f>
        <v>#N/A</v>
      </c>
      <c r="H3490" s="134"/>
      <c r="I3490" s="136"/>
      <c r="J3490" s="135"/>
      <c r="K3490" s="22"/>
    </row>
    <row r="3491" spans="1:11">
      <c r="A3491" s="241" t="e">
        <f>VLOOKUP(B3491,'lista 1'!$A$2:$E$30100,4,0)</f>
        <v>#N/A</v>
      </c>
      <c r="B3491" s="123"/>
      <c r="C3491" s="133" t="e">
        <f>VLOOKUP(B3491,'lista 1'!$A$2:$E$31000,5,0)</f>
        <v>#N/A</v>
      </c>
      <c r="D3491" s="167" t="e">
        <f>VLOOKUP(E15291,'lista obszary'!A:B,2,0)</f>
        <v>#N/A</v>
      </c>
      <c r="E3491" s="128" t="e">
        <f>VLOOKUP(B3491,'LISTA 12'!$A$2:$G$301400,5,0)</f>
        <v>#N/A</v>
      </c>
      <c r="F3491" s="121" t="e">
        <f>VLOOKUP(B3491,'LISTA 12'!$A$2:$G$30100,7,0)</f>
        <v>#N/A</v>
      </c>
      <c r="G3491" s="254" t="e">
        <f>VLOOKUP(H3491,'lista 3'!$A$1:$C$31467,3,0)</f>
        <v>#N/A</v>
      </c>
      <c r="H3491" s="134"/>
      <c r="I3491" s="136"/>
      <c r="J3491" s="135"/>
      <c r="K3491" s="22"/>
    </row>
    <row r="3492" spans="1:11">
      <c r="A3492" s="241" t="e">
        <f>VLOOKUP(B3492,'lista 1'!$A$2:$E$30100,4,0)</f>
        <v>#N/A</v>
      </c>
      <c r="B3492" s="123"/>
      <c r="C3492" s="133" t="e">
        <f>VLOOKUP(B3492,'lista 1'!$A$2:$E$31000,5,0)</f>
        <v>#N/A</v>
      </c>
      <c r="D3492" s="167" t="e">
        <f>VLOOKUP(E15292,'lista obszary'!A:B,2,0)</f>
        <v>#N/A</v>
      </c>
      <c r="E3492" s="128" t="e">
        <f>VLOOKUP(B3492,'LISTA 12'!$A$2:$G$301400,5,0)</f>
        <v>#N/A</v>
      </c>
      <c r="F3492" s="121" t="e">
        <f>VLOOKUP(B3492,'LISTA 12'!$A$2:$G$30100,7,0)</f>
        <v>#N/A</v>
      </c>
      <c r="G3492" s="254" t="e">
        <f>VLOOKUP(H3492,'lista 3'!$A$1:$C$31467,3,0)</f>
        <v>#N/A</v>
      </c>
      <c r="H3492" s="134"/>
      <c r="I3492" s="136"/>
      <c r="J3492" s="135"/>
      <c r="K3492" s="22"/>
    </row>
    <row r="3493" spans="1:11">
      <c r="A3493" s="241" t="e">
        <f>VLOOKUP(B3493,'lista 1'!$A$2:$E$30100,4,0)</f>
        <v>#N/A</v>
      </c>
      <c r="B3493" s="123"/>
      <c r="C3493" s="133" t="e">
        <f>VLOOKUP(B3493,'lista 1'!$A$2:$E$31000,5,0)</f>
        <v>#N/A</v>
      </c>
      <c r="D3493" s="167" t="e">
        <f>VLOOKUP(E15293,'lista obszary'!A:B,2,0)</f>
        <v>#N/A</v>
      </c>
      <c r="E3493" s="128" t="e">
        <f>VLOOKUP(B3493,'LISTA 12'!$A$2:$G$301400,5,0)</f>
        <v>#N/A</v>
      </c>
      <c r="F3493" s="121" t="e">
        <f>VLOOKUP(B3493,'LISTA 12'!$A$2:$G$30100,7,0)</f>
        <v>#N/A</v>
      </c>
      <c r="G3493" s="254" t="e">
        <f>VLOOKUP(H3493,'lista 3'!$A$1:$C$31467,3,0)</f>
        <v>#N/A</v>
      </c>
      <c r="H3493" s="134"/>
      <c r="I3493" s="136"/>
      <c r="J3493" s="135"/>
      <c r="K3493" s="22"/>
    </row>
    <row r="3494" spans="1:11">
      <c r="A3494" s="241" t="e">
        <f>VLOOKUP(B3494,'lista 1'!$A$2:$E$30100,4,0)</f>
        <v>#N/A</v>
      </c>
      <c r="B3494" s="123"/>
      <c r="C3494" s="133" t="e">
        <f>VLOOKUP(B3494,'lista 1'!$A$2:$E$31000,5,0)</f>
        <v>#N/A</v>
      </c>
      <c r="D3494" s="167" t="e">
        <f>VLOOKUP(E15294,'lista obszary'!A:B,2,0)</f>
        <v>#N/A</v>
      </c>
      <c r="E3494" s="128" t="e">
        <f>VLOOKUP(B3494,'LISTA 12'!$A$2:$G$301400,5,0)</f>
        <v>#N/A</v>
      </c>
      <c r="F3494" s="121" t="e">
        <f>VLOOKUP(B3494,'LISTA 12'!$A$2:$G$30100,7,0)</f>
        <v>#N/A</v>
      </c>
      <c r="G3494" s="254" t="e">
        <f>VLOOKUP(H3494,'lista 3'!$A$1:$C$31467,3,0)</f>
        <v>#N/A</v>
      </c>
      <c r="H3494" s="134"/>
      <c r="I3494" s="136"/>
      <c r="J3494" s="135"/>
      <c r="K3494" s="22"/>
    </row>
    <row r="3495" spans="1:11">
      <c r="A3495" s="241" t="e">
        <f>VLOOKUP(B3495,'lista 1'!$A$2:$E$30100,4,0)</f>
        <v>#N/A</v>
      </c>
      <c r="B3495" s="123"/>
      <c r="C3495" s="133" t="e">
        <f>VLOOKUP(B3495,'lista 1'!$A$2:$E$31000,5,0)</f>
        <v>#N/A</v>
      </c>
      <c r="D3495" s="167" t="e">
        <f>VLOOKUP(E15295,'lista obszary'!A:B,2,0)</f>
        <v>#N/A</v>
      </c>
      <c r="E3495" s="128" t="e">
        <f>VLOOKUP(B3495,'LISTA 12'!$A$2:$G$301400,5,0)</f>
        <v>#N/A</v>
      </c>
      <c r="F3495" s="121" t="e">
        <f>VLOOKUP(B3495,'LISTA 12'!$A$2:$G$30100,7,0)</f>
        <v>#N/A</v>
      </c>
      <c r="G3495" s="254" t="e">
        <f>VLOOKUP(H3495,'lista 3'!$A$1:$C$31467,3,0)</f>
        <v>#N/A</v>
      </c>
      <c r="H3495" s="134"/>
      <c r="I3495" s="136"/>
      <c r="J3495" s="135"/>
      <c r="K3495" s="22"/>
    </row>
    <row r="3496" spans="1:11">
      <c r="A3496" s="241" t="e">
        <f>VLOOKUP(B3496,'lista 1'!$A$2:$E$30100,4,0)</f>
        <v>#N/A</v>
      </c>
      <c r="B3496" s="123"/>
      <c r="C3496" s="133" t="e">
        <f>VLOOKUP(B3496,'lista 1'!$A$2:$E$31000,5,0)</f>
        <v>#N/A</v>
      </c>
      <c r="D3496" s="167" t="e">
        <f>VLOOKUP(E15296,'lista obszary'!A:B,2,0)</f>
        <v>#N/A</v>
      </c>
      <c r="E3496" s="128" t="e">
        <f>VLOOKUP(B3496,'LISTA 12'!$A$2:$G$301400,5,0)</f>
        <v>#N/A</v>
      </c>
      <c r="F3496" s="121" t="e">
        <f>VLOOKUP(B3496,'LISTA 12'!$A$2:$G$30100,7,0)</f>
        <v>#N/A</v>
      </c>
      <c r="G3496" s="254" t="e">
        <f>VLOOKUP(H3496,'lista 3'!$A$1:$C$31467,3,0)</f>
        <v>#N/A</v>
      </c>
      <c r="H3496" s="134"/>
      <c r="I3496" s="136"/>
      <c r="J3496" s="135"/>
      <c r="K3496" s="22"/>
    </row>
    <row r="3497" spans="1:11">
      <c r="A3497" s="241" t="e">
        <f>VLOOKUP(B3497,'lista 1'!$A$2:$E$30100,4,0)</f>
        <v>#N/A</v>
      </c>
      <c r="B3497" s="123"/>
      <c r="C3497" s="133" t="e">
        <f>VLOOKUP(B3497,'lista 1'!$A$2:$E$31000,5,0)</f>
        <v>#N/A</v>
      </c>
      <c r="D3497" s="167" t="e">
        <f>VLOOKUP(E15297,'lista obszary'!A:B,2,0)</f>
        <v>#N/A</v>
      </c>
      <c r="E3497" s="128" t="e">
        <f>VLOOKUP(B3497,'LISTA 12'!$A$2:$G$301400,5,0)</f>
        <v>#N/A</v>
      </c>
      <c r="F3497" s="121" t="e">
        <f>VLOOKUP(B3497,'LISTA 12'!$A$2:$G$30100,7,0)</f>
        <v>#N/A</v>
      </c>
      <c r="G3497" s="254" t="e">
        <f>VLOOKUP(H3497,'lista 3'!$A$1:$C$31467,3,0)</f>
        <v>#N/A</v>
      </c>
      <c r="H3497" s="134"/>
      <c r="I3497" s="136"/>
      <c r="J3497" s="135"/>
      <c r="K3497" s="22"/>
    </row>
    <row r="3498" spans="1:11">
      <c r="A3498" s="241" t="e">
        <f>VLOOKUP(B3498,'lista 1'!$A$2:$E$30100,4,0)</f>
        <v>#N/A</v>
      </c>
      <c r="B3498" s="123"/>
      <c r="C3498" s="133" t="e">
        <f>VLOOKUP(B3498,'lista 1'!$A$2:$E$31000,5,0)</f>
        <v>#N/A</v>
      </c>
      <c r="D3498" s="167" t="e">
        <f>VLOOKUP(E15298,'lista obszary'!A:B,2,0)</f>
        <v>#N/A</v>
      </c>
      <c r="E3498" s="128" t="e">
        <f>VLOOKUP(B3498,'LISTA 12'!$A$2:$G$301400,5,0)</f>
        <v>#N/A</v>
      </c>
      <c r="F3498" s="121" t="e">
        <f>VLOOKUP(B3498,'LISTA 12'!$A$2:$G$30100,7,0)</f>
        <v>#N/A</v>
      </c>
      <c r="G3498" s="254" t="e">
        <f>VLOOKUP(H3498,'lista 3'!$A$1:$C$31467,3,0)</f>
        <v>#N/A</v>
      </c>
      <c r="H3498" s="134"/>
      <c r="I3498" s="136"/>
      <c r="J3498" s="135"/>
      <c r="K3498" s="22"/>
    </row>
    <row r="3499" spans="1:11">
      <c r="A3499" s="241" t="e">
        <f>VLOOKUP(B3499,'lista 1'!$A$2:$E$30100,4,0)</f>
        <v>#N/A</v>
      </c>
      <c r="B3499" s="123"/>
      <c r="C3499" s="133" t="e">
        <f>VLOOKUP(B3499,'lista 1'!$A$2:$E$31000,5,0)</f>
        <v>#N/A</v>
      </c>
      <c r="D3499" s="167" t="e">
        <f>VLOOKUP(E15299,'lista obszary'!A:B,2,0)</f>
        <v>#N/A</v>
      </c>
      <c r="E3499" s="128" t="e">
        <f>VLOOKUP(B3499,'LISTA 12'!$A$2:$G$301400,5,0)</f>
        <v>#N/A</v>
      </c>
      <c r="F3499" s="121" t="e">
        <f>VLOOKUP(B3499,'LISTA 12'!$A$2:$G$30100,7,0)</f>
        <v>#N/A</v>
      </c>
      <c r="G3499" s="254" t="e">
        <f>VLOOKUP(H3499,'lista 3'!$A$1:$C$31467,3,0)</f>
        <v>#N/A</v>
      </c>
      <c r="H3499" s="134"/>
      <c r="I3499" s="136"/>
      <c r="J3499" s="135"/>
      <c r="K3499" s="22"/>
    </row>
    <row r="3500" spans="1:11">
      <c r="A3500" s="241" t="e">
        <f>VLOOKUP(B3500,'lista 1'!$A$2:$E$30100,4,0)</f>
        <v>#N/A</v>
      </c>
      <c r="B3500" s="123"/>
      <c r="C3500" s="133" t="e">
        <f>VLOOKUP(B3500,'lista 1'!$A$2:$E$31000,5,0)</f>
        <v>#N/A</v>
      </c>
      <c r="D3500" s="167" t="e">
        <f>VLOOKUP(E15300,'lista obszary'!A:B,2,0)</f>
        <v>#N/A</v>
      </c>
      <c r="E3500" s="128" t="e">
        <f>VLOOKUP(B3500,'LISTA 12'!$A$2:$G$301400,5,0)</f>
        <v>#N/A</v>
      </c>
      <c r="F3500" s="121" t="e">
        <f>VLOOKUP(B3500,'LISTA 12'!$A$2:$G$30100,7,0)</f>
        <v>#N/A</v>
      </c>
      <c r="G3500" s="254" t="e">
        <f>VLOOKUP(H3500,'lista 3'!$A$1:$C$31467,3,0)</f>
        <v>#N/A</v>
      </c>
      <c r="H3500" s="134"/>
      <c r="I3500" s="136"/>
      <c r="J3500" s="135"/>
      <c r="K3500" s="22"/>
    </row>
    <row r="3501" spans="1:11">
      <c r="A3501" s="241" t="e">
        <f>VLOOKUP(B3501,'lista 1'!$A$2:$E$30100,4,0)</f>
        <v>#N/A</v>
      </c>
      <c r="B3501" s="123"/>
      <c r="C3501" s="133" t="e">
        <f>VLOOKUP(B3501,'lista 1'!$A$2:$E$31000,5,0)</f>
        <v>#N/A</v>
      </c>
      <c r="D3501" s="167" t="e">
        <f>VLOOKUP(E15301,'lista obszary'!A:B,2,0)</f>
        <v>#N/A</v>
      </c>
      <c r="E3501" s="128" t="e">
        <f>VLOOKUP(B3501,'LISTA 12'!$A$2:$G$301400,5,0)</f>
        <v>#N/A</v>
      </c>
      <c r="F3501" s="121" t="e">
        <f>VLOOKUP(B3501,'LISTA 12'!$A$2:$G$30100,7,0)</f>
        <v>#N/A</v>
      </c>
      <c r="G3501" s="254" t="e">
        <f>VLOOKUP(H3501,'lista 3'!$A$1:$C$31467,3,0)</f>
        <v>#N/A</v>
      </c>
      <c r="H3501" s="134"/>
      <c r="I3501" s="136"/>
      <c r="J3501" s="135"/>
      <c r="K3501" s="22"/>
    </row>
    <row r="3502" spans="1:11">
      <c r="A3502" s="241" t="e">
        <f>VLOOKUP(B3502,'lista 1'!$A$2:$E$30100,4,0)</f>
        <v>#N/A</v>
      </c>
      <c r="B3502" s="123"/>
      <c r="C3502" s="133" t="e">
        <f>VLOOKUP(B3502,'lista 1'!$A$2:$E$31000,5,0)</f>
        <v>#N/A</v>
      </c>
      <c r="D3502" s="167" t="e">
        <f>VLOOKUP(E15302,'lista obszary'!A:B,2,0)</f>
        <v>#N/A</v>
      </c>
      <c r="E3502" s="128" t="e">
        <f>VLOOKUP(B3502,'LISTA 12'!$A$2:$G$301400,5,0)</f>
        <v>#N/A</v>
      </c>
      <c r="F3502" s="121" t="e">
        <f>VLOOKUP(B3502,'LISTA 12'!$A$2:$G$30100,7,0)</f>
        <v>#N/A</v>
      </c>
      <c r="G3502" s="254" t="e">
        <f>VLOOKUP(H3502,'lista 3'!$A$1:$C$31467,3,0)</f>
        <v>#N/A</v>
      </c>
      <c r="H3502" s="134"/>
      <c r="I3502" s="136"/>
      <c r="J3502" s="135"/>
      <c r="K3502" s="22"/>
    </row>
    <row r="3503" spans="1:11">
      <c r="A3503" s="241" t="e">
        <f>VLOOKUP(B3503,'lista 1'!$A$2:$E$30100,4,0)</f>
        <v>#N/A</v>
      </c>
      <c r="B3503" s="123"/>
      <c r="C3503" s="133" t="e">
        <f>VLOOKUP(B3503,'lista 1'!$A$2:$E$31000,5,0)</f>
        <v>#N/A</v>
      </c>
      <c r="D3503" s="167" t="e">
        <f>VLOOKUP(E15303,'lista obszary'!A:B,2,0)</f>
        <v>#N/A</v>
      </c>
      <c r="E3503" s="128" t="e">
        <f>VLOOKUP(B3503,'LISTA 12'!$A$2:$G$301400,5,0)</f>
        <v>#N/A</v>
      </c>
      <c r="F3503" s="121" t="e">
        <f>VLOOKUP(B3503,'LISTA 12'!$A$2:$G$30100,7,0)</f>
        <v>#N/A</v>
      </c>
      <c r="G3503" s="254" t="e">
        <f>VLOOKUP(H3503,'lista 3'!$A$1:$C$31467,3,0)</f>
        <v>#N/A</v>
      </c>
      <c r="H3503" s="134"/>
      <c r="I3503" s="136"/>
      <c r="J3503" s="135"/>
      <c r="K3503" s="22"/>
    </row>
    <row r="3504" spans="1:11">
      <c r="A3504" s="241" t="e">
        <f>VLOOKUP(B3504,'lista 1'!$A$2:$E$30100,4,0)</f>
        <v>#N/A</v>
      </c>
      <c r="B3504" s="123"/>
      <c r="C3504" s="133" t="e">
        <f>VLOOKUP(B3504,'lista 1'!$A$2:$E$31000,5,0)</f>
        <v>#N/A</v>
      </c>
      <c r="D3504" s="167" t="e">
        <f>VLOOKUP(E15304,'lista obszary'!A:B,2,0)</f>
        <v>#N/A</v>
      </c>
      <c r="E3504" s="128" t="e">
        <f>VLOOKUP(B3504,'LISTA 12'!$A$2:$G$301400,5,0)</f>
        <v>#N/A</v>
      </c>
      <c r="F3504" s="121" t="e">
        <f>VLOOKUP(B3504,'LISTA 12'!$A$2:$G$30100,7,0)</f>
        <v>#N/A</v>
      </c>
      <c r="G3504" s="254" t="e">
        <f>VLOOKUP(H3504,'lista 3'!$A$1:$C$31467,3,0)</f>
        <v>#N/A</v>
      </c>
      <c r="H3504" s="134"/>
      <c r="I3504" s="136"/>
      <c r="J3504" s="135"/>
      <c r="K3504" s="22"/>
    </row>
    <row r="3505" spans="1:11">
      <c r="A3505" s="241" t="e">
        <f>VLOOKUP(B3505,'lista 1'!$A$2:$E$30100,4,0)</f>
        <v>#N/A</v>
      </c>
      <c r="B3505" s="123"/>
      <c r="C3505" s="133" t="e">
        <f>VLOOKUP(B3505,'lista 1'!$A$2:$E$31000,5,0)</f>
        <v>#N/A</v>
      </c>
      <c r="D3505" s="167" t="e">
        <f>VLOOKUP(E15305,'lista obszary'!A:B,2,0)</f>
        <v>#N/A</v>
      </c>
      <c r="E3505" s="128" t="e">
        <f>VLOOKUP(B3505,'LISTA 12'!$A$2:$G$301400,5,0)</f>
        <v>#N/A</v>
      </c>
      <c r="F3505" s="121" t="e">
        <f>VLOOKUP(B3505,'LISTA 12'!$A$2:$G$30100,7,0)</f>
        <v>#N/A</v>
      </c>
      <c r="G3505" s="254" t="e">
        <f>VLOOKUP(H3505,'lista 3'!$A$1:$C$31467,3,0)</f>
        <v>#N/A</v>
      </c>
      <c r="H3505" s="134"/>
      <c r="I3505" s="136"/>
      <c r="J3505" s="135"/>
      <c r="K3505" s="22"/>
    </row>
    <row r="3506" spans="1:11">
      <c r="A3506" s="241" t="e">
        <f>VLOOKUP(B3506,'lista 1'!$A$2:$E$30100,4,0)</f>
        <v>#N/A</v>
      </c>
      <c r="B3506" s="123"/>
      <c r="C3506" s="133" t="e">
        <f>VLOOKUP(B3506,'lista 1'!$A$2:$E$31000,5,0)</f>
        <v>#N/A</v>
      </c>
      <c r="D3506" s="167" t="e">
        <f>VLOOKUP(E15306,'lista obszary'!A:B,2,0)</f>
        <v>#N/A</v>
      </c>
      <c r="E3506" s="128" t="e">
        <f>VLOOKUP(B3506,'LISTA 12'!$A$2:$G$301400,5,0)</f>
        <v>#N/A</v>
      </c>
      <c r="F3506" s="121" t="e">
        <f>VLOOKUP(B3506,'LISTA 12'!$A$2:$G$30100,7,0)</f>
        <v>#N/A</v>
      </c>
      <c r="G3506" s="254" t="e">
        <f>VLOOKUP(H3506,'lista 3'!$A$1:$C$31467,3,0)</f>
        <v>#N/A</v>
      </c>
      <c r="H3506" s="134"/>
      <c r="I3506" s="136"/>
      <c r="J3506" s="135"/>
      <c r="K3506" s="22"/>
    </row>
    <row r="3507" spans="1:11">
      <c r="A3507" s="241" t="e">
        <f>VLOOKUP(B3507,'lista 1'!$A$2:$E$30100,4,0)</f>
        <v>#N/A</v>
      </c>
      <c r="B3507" s="123"/>
      <c r="C3507" s="133" t="e">
        <f>VLOOKUP(B3507,'lista 1'!$A$2:$E$31000,5,0)</f>
        <v>#N/A</v>
      </c>
      <c r="D3507" s="167" t="e">
        <f>VLOOKUP(E15307,'lista obszary'!A:B,2,0)</f>
        <v>#N/A</v>
      </c>
      <c r="E3507" s="128" t="e">
        <f>VLOOKUP(B3507,'LISTA 12'!$A$2:$G$301400,5,0)</f>
        <v>#N/A</v>
      </c>
      <c r="F3507" s="121" t="e">
        <f>VLOOKUP(B3507,'LISTA 12'!$A$2:$G$30100,7,0)</f>
        <v>#N/A</v>
      </c>
      <c r="G3507" s="254" t="e">
        <f>VLOOKUP(H3507,'lista 3'!$A$1:$C$31467,3,0)</f>
        <v>#N/A</v>
      </c>
      <c r="H3507" s="134"/>
      <c r="I3507" s="136"/>
      <c r="J3507" s="135"/>
      <c r="K3507" s="22"/>
    </row>
    <row r="3508" spans="1:11">
      <c r="A3508" s="241" t="e">
        <f>VLOOKUP(B3508,'lista 1'!$A$2:$E$30100,4,0)</f>
        <v>#N/A</v>
      </c>
      <c r="B3508" s="123"/>
      <c r="C3508" s="133" t="e">
        <f>VLOOKUP(B3508,'lista 1'!$A$2:$E$31000,5,0)</f>
        <v>#N/A</v>
      </c>
      <c r="D3508" s="167" t="e">
        <f>VLOOKUP(E15308,'lista obszary'!A:B,2,0)</f>
        <v>#N/A</v>
      </c>
      <c r="E3508" s="128" t="e">
        <f>VLOOKUP(B3508,'LISTA 12'!$A$2:$G$301400,5,0)</f>
        <v>#N/A</v>
      </c>
      <c r="F3508" s="121" t="e">
        <f>VLOOKUP(B3508,'LISTA 12'!$A$2:$G$30100,7,0)</f>
        <v>#N/A</v>
      </c>
      <c r="G3508" s="254" t="e">
        <f>VLOOKUP(H3508,'lista 3'!$A$1:$C$31467,3,0)</f>
        <v>#N/A</v>
      </c>
      <c r="H3508" s="134"/>
      <c r="I3508" s="136"/>
      <c r="J3508" s="135"/>
      <c r="K3508" s="22"/>
    </row>
    <row r="3509" spans="1:11">
      <c r="A3509" s="241" t="e">
        <f>VLOOKUP(B3509,'lista 1'!$A$2:$E$30100,4,0)</f>
        <v>#N/A</v>
      </c>
      <c r="B3509" s="123"/>
      <c r="C3509" s="133" t="e">
        <f>VLOOKUP(B3509,'lista 1'!$A$2:$E$31000,5,0)</f>
        <v>#N/A</v>
      </c>
      <c r="D3509" s="167" t="e">
        <f>VLOOKUP(E15309,'lista obszary'!A:B,2,0)</f>
        <v>#N/A</v>
      </c>
      <c r="E3509" s="128" t="e">
        <f>VLOOKUP(B3509,'LISTA 12'!$A$2:$G$301400,5,0)</f>
        <v>#N/A</v>
      </c>
      <c r="F3509" s="121" t="e">
        <f>VLOOKUP(B3509,'LISTA 12'!$A$2:$G$30100,7,0)</f>
        <v>#N/A</v>
      </c>
      <c r="G3509" s="254" t="e">
        <f>VLOOKUP(H3509,'lista 3'!$A$1:$C$31467,3,0)</f>
        <v>#N/A</v>
      </c>
      <c r="H3509" s="134"/>
      <c r="I3509" s="136"/>
      <c r="J3509" s="135"/>
      <c r="K3509" s="22"/>
    </row>
    <row r="3510" spans="1:11">
      <c r="A3510" s="241" t="e">
        <f>VLOOKUP(B3510,'lista 1'!$A$2:$E$30100,4,0)</f>
        <v>#N/A</v>
      </c>
      <c r="B3510" s="123"/>
      <c r="C3510" s="133" t="e">
        <f>VLOOKUP(B3510,'lista 1'!$A$2:$E$31000,5,0)</f>
        <v>#N/A</v>
      </c>
      <c r="D3510" s="167" t="e">
        <f>VLOOKUP(E15310,'lista obszary'!A:B,2,0)</f>
        <v>#N/A</v>
      </c>
      <c r="E3510" s="128" t="e">
        <f>VLOOKUP(B3510,'LISTA 12'!$A$2:$G$301400,5,0)</f>
        <v>#N/A</v>
      </c>
      <c r="F3510" s="121" t="e">
        <f>VLOOKUP(B3510,'LISTA 12'!$A$2:$G$30100,7,0)</f>
        <v>#N/A</v>
      </c>
      <c r="G3510" s="254" t="e">
        <f>VLOOKUP(H3510,'lista 3'!$A$1:$C$31467,3,0)</f>
        <v>#N/A</v>
      </c>
      <c r="H3510" s="134"/>
      <c r="I3510" s="136"/>
      <c r="J3510" s="135"/>
      <c r="K3510" s="22"/>
    </row>
    <row r="3511" spans="1:11">
      <c r="A3511" s="241" t="e">
        <f>VLOOKUP(B3511,'lista 1'!$A$2:$E$30100,4,0)</f>
        <v>#N/A</v>
      </c>
      <c r="B3511" s="123"/>
      <c r="C3511" s="133" t="e">
        <f>VLOOKUP(B3511,'lista 1'!$A$2:$E$31000,5,0)</f>
        <v>#N/A</v>
      </c>
      <c r="D3511" s="167" t="e">
        <f>VLOOKUP(E15311,'lista obszary'!A:B,2,0)</f>
        <v>#N/A</v>
      </c>
      <c r="E3511" s="128" t="e">
        <f>VLOOKUP(B3511,'LISTA 12'!$A$2:$G$301400,5,0)</f>
        <v>#N/A</v>
      </c>
      <c r="F3511" s="121" t="e">
        <f>VLOOKUP(B3511,'LISTA 12'!$A$2:$G$30100,7,0)</f>
        <v>#N/A</v>
      </c>
      <c r="G3511" s="254" t="e">
        <f>VLOOKUP(H3511,'lista 3'!$A$1:$C$31467,3,0)</f>
        <v>#N/A</v>
      </c>
      <c r="H3511" s="134"/>
      <c r="I3511" s="136"/>
      <c r="J3511" s="135"/>
      <c r="K3511" s="22"/>
    </row>
    <row r="3512" spans="1:11">
      <c r="A3512" s="241" t="e">
        <f>VLOOKUP(B3512,'lista 1'!$A$2:$E$30100,4,0)</f>
        <v>#N/A</v>
      </c>
      <c r="B3512" s="123"/>
      <c r="C3512" s="133" t="e">
        <f>VLOOKUP(B3512,'lista 1'!$A$2:$E$31000,5,0)</f>
        <v>#N/A</v>
      </c>
      <c r="D3512" s="167" t="e">
        <f>VLOOKUP(E15312,'lista obszary'!A:B,2,0)</f>
        <v>#N/A</v>
      </c>
      <c r="E3512" s="128" t="e">
        <f>VLOOKUP(B3512,'LISTA 12'!$A$2:$G$301400,5,0)</f>
        <v>#N/A</v>
      </c>
      <c r="F3512" s="121" t="e">
        <f>VLOOKUP(B3512,'LISTA 12'!$A$2:$G$30100,7,0)</f>
        <v>#N/A</v>
      </c>
      <c r="G3512" s="254" t="e">
        <f>VLOOKUP(H3512,'lista 3'!$A$1:$C$31467,3,0)</f>
        <v>#N/A</v>
      </c>
      <c r="H3512" s="134"/>
      <c r="I3512" s="136"/>
      <c r="J3512" s="135"/>
      <c r="K3512" s="22"/>
    </row>
    <row r="3513" spans="1:11">
      <c r="A3513" s="241" t="e">
        <f>VLOOKUP(B3513,'lista 1'!$A$2:$E$30100,4,0)</f>
        <v>#N/A</v>
      </c>
      <c r="B3513" s="123"/>
      <c r="C3513" s="133" t="e">
        <f>VLOOKUP(B3513,'lista 1'!$A$2:$E$31000,5,0)</f>
        <v>#N/A</v>
      </c>
      <c r="D3513" s="167" t="e">
        <f>VLOOKUP(E15313,'lista obszary'!A:B,2,0)</f>
        <v>#N/A</v>
      </c>
      <c r="E3513" s="128" t="e">
        <f>VLOOKUP(B3513,'LISTA 12'!$A$2:$G$301400,5,0)</f>
        <v>#N/A</v>
      </c>
      <c r="F3513" s="121" t="e">
        <f>VLOOKUP(B3513,'LISTA 12'!$A$2:$G$30100,7,0)</f>
        <v>#N/A</v>
      </c>
      <c r="G3513" s="254" t="e">
        <f>VLOOKUP(H3513,'lista 3'!$A$1:$C$31467,3,0)</f>
        <v>#N/A</v>
      </c>
      <c r="H3513" s="134"/>
      <c r="I3513" s="136"/>
      <c r="J3513" s="135"/>
      <c r="K3513" s="22"/>
    </row>
    <row r="3514" spans="1:11">
      <c r="A3514" s="241" t="e">
        <f>VLOOKUP(B3514,'lista 1'!$A$2:$E$30100,4,0)</f>
        <v>#N/A</v>
      </c>
      <c r="B3514" s="123"/>
      <c r="C3514" s="133" t="e">
        <f>VLOOKUP(B3514,'lista 1'!$A$2:$E$31000,5,0)</f>
        <v>#N/A</v>
      </c>
      <c r="D3514" s="167" t="e">
        <f>VLOOKUP(E15314,'lista obszary'!A:B,2,0)</f>
        <v>#N/A</v>
      </c>
      <c r="E3514" s="128" t="e">
        <f>VLOOKUP(B3514,'LISTA 12'!$A$2:$G$301400,5,0)</f>
        <v>#N/A</v>
      </c>
      <c r="F3514" s="121" t="e">
        <f>VLOOKUP(B3514,'LISTA 12'!$A$2:$G$30100,7,0)</f>
        <v>#N/A</v>
      </c>
      <c r="G3514" s="254" t="e">
        <f>VLOOKUP(H3514,'lista 3'!$A$1:$C$31467,3,0)</f>
        <v>#N/A</v>
      </c>
      <c r="H3514" s="134"/>
      <c r="I3514" s="136"/>
      <c r="J3514" s="135"/>
      <c r="K3514" s="22"/>
    </row>
    <row r="3515" spans="1:11">
      <c r="A3515" s="241" t="e">
        <f>VLOOKUP(B3515,'lista 1'!$A$2:$E$30100,4,0)</f>
        <v>#N/A</v>
      </c>
      <c r="B3515" s="123"/>
      <c r="C3515" s="133" t="e">
        <f>VLOOKUP(B3515,'lista 1'!$A$2:$E$31000,5,0)</f>
        <v>#N/A</v>
      </c>
      <c r="D3515" s="167" t="e">
        <f>VLOOKUP(E15315,'lista obszary'!A:B,2,0)</f>
        <v>#N/A</v>
      </c>
      <c r="E3515" s="128" t="e">
        <f>VLOOKUP(B3515,'LISTA 12'!$A$2:$G$301400,5,0)</f>
        <v>#N/A</v>
      </c>
      <c r="F3515" s="121" t="e">
        <f>VLOOKUP(B3515,'LISTA 12'!$A$2:$G$30100,7,0)</f>
        <v>#N/A</v>
      </c>
      <c r="G3515" s="254" t="e">
        <f>VLOOKUP(H3515,'lista 3'!$A$1:$C$31467,3,0)</f>
        <v>#N/A</v>
      </c>
      <c r="H3515" s="134"/>
      <c r="I3515" s="136"/>
      <c r="J3515" s="135"/>
      <c r="K3515" s="22"/>
    </row>
    <row r="3516" spans="1:11">
      <c r="A3516" s="241" t="e">
        <f>VLOOKUP(B3516,'lista 1'!$A$2:$E$30100,4,0)</f>
        <v>#N/A</v>
      </c>
      <c r="B3516" s="123"/>
      <c r="C3516" s="133" t="e">
        <f>VLOOKUP(B3516,'lista 1'!$A$2:$E$31000,5,0)</f>
        <v>#N/A</v>
      </c>
      <c r="D3516" s="167" t="e">
        <f>VLOOKUP(E15316,'lista obszary'!A:B,2,0)</f>
        <v>#N/A</v>
      </c>
      <c r="E3516" s="128" t="e">
        <f>VLOOKUP(B3516,'LISTA 12'!$A$2:$G$301400,5,0)</f>
        <v>#N/A</v>
      </c>
      <c r="F3516" s="121" t="e">
        <f>VLOOKUP(B3516,'LISTA 12'!$A$2:$G$30100,7,0)</f>
        <v>#N/A</v>
      </c>
      <c r="G3516" s="254" t="e">
        <f>VLOOKUP(H3516,'lista 3'!$A$1:$C$31467,3,0)</f>
        <v>#N/A</v>
      </c>
      <c r="H3516" s="134"/>
      <c r="I3516" s="136"/>
      <c r="J3516" s="135"/>
      <c r="K3516" s="22"/>
    </row>
    <row r="3517" spans="1:11">
      <c r="A3517" s="241" t="e">
        <f>VLOOKUP(B3517,'lista 1'!$A$2:$E$30100,4,0)</f>
        <v>#N/A</v>
      </c>
      <c r="B3517" s="123"/>
      <c r="C3517" s="133" t="e">
        <f>VLOOKUP(B3517,'lista 1'!$A$2:$E$31000,5,0)</f>
        <v>#N/A</v>
      </c>
      <c r="D3517" s="167" t="e">
        <f>VLOOKUP(E15317,'lista obszary'!A:B,2,0)</f>
        <v>#N/A</v>
      </c>
      <c r="E3517" s="128" t="e">
        <f>VLOOKUP(B3517,'LISTA 12'!$A$2:$G$301400,5,0)</f>
        <v>#N/A</v>
      </c>
      <c r="F3517" s="121" t="e">
        <f>VLOOKUP(B3517,'LISTA 12'!$A$2:$G$30100,7,0)</f>
        <v>#N/A</v>
      </c>
      <c r="G3517" s="254" t="e">
        <f>VLOOKUP(H3517,'lista 3'!$A$1:$C$31467,3,0)</f>
        <v>#N/A</v>
      </c>
      <c r="H3517" s="134"/>
      <c r="I3517" s="136"/>
      <c r="J3517" s="135"/>
      <c r="K3517" s="22"/>
    </row>
    <row r="3518" spans="1:11">
      <c r="A3518" s="241" t="e">
        <f>VLOOKUP(B3518,'lista 1'!$A$2:$E$30100,4,0)</f>
        <v>#N/A</v>
      </c>
      <c r="B3518" s="123"/>
      <c r="C3518" s="133" t="e">
        <f>VLOOKUP(B3518,'lista 1'!$A$2:$E$31000,5,0)</f>
        <v>#N/A</v>
      </c>
      <c r="D3518" s="167" t="e">
        <f>VLOOKUP(E15318,'lista obszary'!A:B,2,0)</f>
        <v>#N/A</v>
      </c>
      <c r="E3518" s="128" t="e">
        <f>VLOOKUP(B3518,'LISTA 12'!$A$2:$G$301400,5,0)</f>
        <v>#N/A</v>
      </c>
      <c r="F3518" s="121" t="e">
        <f>VLOOKUP(B3518,'LISTA 12'!$A$2:$G$30100,7,0)</f>
        <v>#N/A</v>
      </c>
      <c r="G3518" s="254" t="e">
        <f>VLOOKUP(H3518,'lista 3'!$A$1:$C$31467,3,0)</f>
        <v>#N/A</v>
      </c>
      <c r="H3518" s="134"/>
      <c r="I3518" s="136"/>
      <c r="J3518" s="135"/>
      <c r="K3518" s="22"/>
    </row>
    <row r="3519" spans="1:11">
      <c r="A3519" s="241" t="e">
        <f>VLOOKUP(B3519,'lista 1'!$A$2:$E$30100,4,0)</f>
        <v>#N/A</v>
      </c>
      <c r="B3519" s="123"/>
      <c r="C3519" s="133" t="e">
        <f>VLOOKUP(B3519,'lista 1'!$A$2:$E$31000,5,0)</f>
        <v>#N/A</v>
      </c>
      <c r="D3519" s="167" t="e">
        <f>VLOOKUP(E15319,'lista obszary'!A:B,2,0)</f>
        <v>#N/A</v>
      </c>
      <c r="E3519" s="128" t="e">
        <f>VLOOKUP(B3519,'LISTA 12'!$A$2:$G$301400,5,0)</f>
        <v>#N/A</v>
      </c>
      <c r="F3519" s="121" t="e">
        <f>VLOOKUP(B3519,'LISTA 12'!$A$2:$G$30100,7,0)</f>
        <v>#N/A</v>
      </c>
      <c r="G3519" s="254" t="e">
        <f>VLOOKUP(H3519,'lista 3'!$A$1:$C$31467,3,0)</f>
        <v>#N/A</v>
      </c>
      <c r="H3519" s="134"/>
      <c r="I3519" s="136"/>
      <c r="J3519" s="135"/>
      <c r="K3519" s="22"/>
    </row>
    <row r="3520" spans="1:11">
      <c r="A3520" s="241" t="e">
        <f>VLOOKUP(B3520,'lista 1'!$A$2:$E$30100,4,0)</f>
        <v>#N/A</v>
      </c>
      <c r="B3520" s="123"/>
      <c r="C3520" s="133" t="e">
        <f>VLOOKUP(B3520,'lista 1'!$A$2:$E$31000,5,0)</f>
        <v>#N/A</v>
      </c>
      <c r="D3520" s="167" t="e">
        <f>VLOOKUP(E15320,'lista obszary'!A:B,2,0)</f>
        <v>#N/A</v>
      </c>
      <c r="E3520" s="128" t="e">
        <f>VLOOKUP(B3520,'LISTA 12'!$A$2:$G$301400,5,0)</f>
        <v>#N/A</v>
      </c>
      <c r="F3520" s="121" t="e">
        <f>VLOOKUP(B3520,'LISTA 12'!$A$2:$G$30100,7,0)</f>
        <v>#N/A</v>
      </c>
      <c r="G3520" s="254" t="e">
        <f>VLOOKUP(H3520,'lista 3'!$A$1:$C$31467,3,0)</f>
        <v>#N/A</v>
      </c>
      <c r="H3520" s="134"/>
      <c r="I3520" s="136"/>
      <c r="J3520" s="135"/>
      <c r="K3520" s="22"/>
    </row>
    <row r="3521" spans="1:11">
      <c r="A3521" s="241" t="e">
        <f>VLOOKUP(B3521,'lista 1'!$A$2:$E$30100,4,0)</f>
        <v>#N/A</v>
      </c>
      <c r="B3521" s="123"/>
      <c r="C3521" s="133" t="e">
        <f>VLOOKUP(B3521,'lista 1'!$A$2:$E$31000,5,0)</f>
        <v>#N/A</v>
      </c>
      <c r="D3521" s="167" t="e">
        <f>VLOOKUP(E15321,'lista obszary'!A:B,2,0)</f>
        <v>#N/A</v>
      </c>
      <c r="E3521" s="128" t="e">
        <f>VLOOKUP(B3521,'LISTA 12'!$A$2:$G$301400,5,0)</f>
        <v>#N/A</v>
      </c>
      <c r="F3521" s="121" t="e">
        <f>VLOOKUP(B3521,'LISTA 12'!$A$2:$G$30100,7,0)</f>
        <v>#N/A</v>
      </c>
      <c r="G3521" s="254" t="e">
        <f>VLOOKUP(H3521,'lista 3'!$A$1:$C$31467,3,0)</f>
        <v>#N/A</v>
      </c>
      <c r="H3521" s="134"/>
      <c r="I3521" s="136"/>
      <c r="J3521" s="135"/>
      <c r="K3521" s="22"/>
    </row>
    <row r="3522" spans="1:11">
      <c r="A3522" s="241" t="e">
        <f>VLOOKUP(B3522,'lista 1'!$A$2:$E$30100,4,0)</f>
        <v>#N/A</v>
      </c>
      <c r="B3522" s="123"/>
      <c r="C3522" s="133" t="e">
        <f>VLOOKUP(B3522,'lista 1'!$A$2:$E$31000,5,0)</f>
        <v>#N/A</v>
      </c>
      <c r="D3522" s="167" t="e">
        <f>VLOOKUP(E15322,'lista obszary'!A:B,2,0)</f>
        <v>#N/A</v>
      </c>
      <c r="E3522" s="128" t="e">
        <f>VLOOKUP(B3522,'LISTA 12'!$A$2:$G$301400,5,0)</f>
        <v>#N/A</v>
      </c>
      <c r="F3522" s="121" t="e">
        <f>VLOOKUP(B3522,'LISTA 12'!$A$2:$G$30100,7,0)</f>
        <v>#N/A</v>
      </c>
      <c r="G3522" s="254" t="e">
        <f>VLOOKUP(H3522,'lista 3'!$A$1:$C$31467,3,0)</f>
        <v>#N/A</v>
      </c>
      <c r="H3522" s="134"/>
      <c r="I3522" s="136"/>
      <c r="J3522" s="135"/>
      <c r="K3522" s="22"/>
    </row>
    <row r="3523" spans="1:11">
      <c r="A3523" s="241" t="e">
        <f>VLOOKUP(B3523,'lista 1'!$A$2:$E$30100,4,0)</f>
        <v>#N/A</v>
      </c>
      <c r="B3523" s="123"/>
      <c r="C3523" s="133" t="e">
        <f>VLOOKUP(B3523,'lista 1'!$A$2:$E$31000,5,0)</f>
        <v>#N/A</v>
      </c>
      <c r="D3523" s="167" t="e">
        <f>VLOOKUP(E15323,'lista obszary'!A:B,2,0)</f>
        <v>#N/A</v>
      </c>
      <c r="E3523" s="128" t="e">
        <f>VLOOKUP(B3523,'LISTA 12'!$A$2:$G$301400,5,0)</f>
        <v>#N/A</v>
      </c>
      <c r="F3523" s="121" t="e">
        <f>VLOOKUP(B3523,'LISTA 12'!$A$2:$G$30100,7,0)</f>
        <v>#N/A</v>
      </c>
      <c r="G3523" s="254" t="e">
        <f>VLOOKUP(H3523,'lista 3'!$A$1:$C$31467,3,0)</f>
        <v>#N/A</v>
      </c>
      <c r="H3523" s="134"/>
      <c r="I3523" s="136"/>
      <c r="J3523" s="135"/>
      <c r="K3523" s="22"/>
    </row>
    <row r="3524" spans="1:11">
      <c r="A3524" s="241" t="e">
        <f>VLOOKUP(B3524,'lista 1'!$A$2:$E$30100,4,0)</f>
        <v>#N/A</v>
      </c>
      <c r="B3524" s="123"/>
      <c r="C3524" s="133" t="e">
        <f>VLOOKUP(B3524,'lista 1'!$A$2:$E$31000,5,0)</f>
        <v>#N/A</v>
      </c>
      <c r="D3524" s="167" t="e">
        <f>VLOOKUP(E15324,'lista obszary'!A:B,2,0)</f>
        <v>#N/A</v>
      </c>
      <c r="E3524" s="128" t="e">
        <f>VLOOKUP(B3524,'LISTA 12'!$A$2:$G$301400,5,0)</f>
        <v>#N/A</v>
      </c>
      <c r="F3524" s="121" t="e">
        <f>VLOOKUP(B3524,'LISTA 12'!$A$2:$G$30100,7,0)</f>
        <v>#N/A</v>
      </c>
      <c r="G3524" s="254" t="e">
        <f>VLOOKUP(H3524,'lista 3'!$A$1:$C$31467,3,0)</f>
        <v>#N/A</v>
      </c>
      <c r="H3524" s="134"/>
      <c r="I3524" s="136"/>
      <c r="J3524" s="135"/>
      <c r="K3524" s="22"/>
    </row>
    <row r="3525" spans="1:11">
      <c r="A3525" s="241" t="e">
        <f>VLOOKUP(B3525,'lista 1'!$A$2:$E$30100,4,0)</f>
        <v>#N/A</v>
      </c>
      <c r="B3525" s="123"/>
      <c r="C3525" s="133" t="e">
        <f>VLOOKUP(B3525,'lista 1'!$A$2:$E$31000,5,0)</f>
        <v>#N/A</v>
      </c>
      <c r="D3525" s="167" t="e">
        <f>VLOOKUP(E15325,'lista obszary'!A:B,2,0)</f>
        <v>#N/A</v>
      </c>
      <c r="E3525" s="128" t="e">
        <f>VLOOKUP(B3525,'LISTA 12'!$A$2:$G$301400,5,0)</f>
        <v>#N/A</v>
      </c>
      <c r="F3525" s="121" t="e">
        <f>VLOOKUP(B3525,'LISTA 12'!$A$2:$G$30100,7,0)</f>
        <v>#N/A</v>
      </c>
      <c r="G3525" s="254" t="e">
        <f>VLOOKUP(H3525,'lista 3'!$A$1:$C$31467,3,0)</f>
        <v>#N/A</v>
      </c>
      <c r="H3525" s="134"/>
      <c r="I3525" s="136"/>
      <c r="J3525" s="135"/>
      <c r="K3525" s="22"/>
    </row>
    <row r="3526" spans="1:11">
      <c r="A3526" s="241" t="e">
        <f>VLOOKUP(B3526,'lista 1'!$A$2:$E$30100,4,0)</f>
        <v>#N/A</v>
      </c>
      <c r="B3526" s="123"/>
      <c r="C3526" s="133" t="e">
        <f>VLOOKUP(B3526,'lista 1'!$A$2:$E$31000,5,0)</f>
        <v>#N/A</v>
      </c>
      <c r="D3526" s="167" t="e">
        <f>VLOOKUP(E15326,'lista obszary'!A:B,2,0)</f>
        <v>#N/A</v>
      </c>
      <c r="E3526" s="128" t="e">
        <f>VLOOKUP(B3526,'LISTA 12'!$A$2:$G$301400,5,0)</f>
        <v>#N/A</v>
      </c>
      <c r="F3526" s="121" t="e">
        <f>VLOOKUP(B3526,'LISTA 12'!$A$2:$G$30100,7,0)</f>
        <v>#N/A</v>
      </c>
      <c r="G3526" s="254" t="e">
        <f>VLOOKUP(H3526,'lista 3'!$A$1:$C$31467,3,0)</f>
        <v>#N/A</v>
      </c>
      <c r="H3526" s="134"/>
      <c r="I3526" s="136"/>
      <c r="J3526" s="135"/>
      <c r="K3526" s="22"/>
    </row>
    <row r="3527" spans="1:11">
      <c r="A3527" s="241" t="e">
        <f>VLOOKUP(B3527,'lista 1'!$A$2:$E$30100,4,0)</f>
        <v>#N/A</v>
      </c>
      <c r="B3527" s="123"/>
      <c r="C3527" s="133" t="e">
        <f>VLOOKUP(B3527,'lista 1'!$A$2:$E$31000,5,0)</f>
        <v>#N/A</v>
      </c>
      <c r="D3527" s="167" t="e">
        <f>VLOOKUP(E15327,'lista obszary'!A:B,2,0)</f>
        <v>#N/A</v>
      </c>
      <c r="E3527" s="128" t="e">
        <f>VLOOKUP(B3527,'LISTA 12'!$A$2:$G$301400,5,0)</f>
        <v>#N/A</v>
      </c>
      <c r="F3527" s="121" t="e">
        <f>VLOOKUP(B3527,'LISTA 12'!$A$2:$G$30100,7,0)</f>
        <v>#N/A</v>
      </c>
      <c r="G3527" s="254" t="e">
        <f>VLOOKUP(H3527,'lista 3'!$A$1:$C$31467,3,0)</f>
        <v>#N/A</v>
      </c>
      <c r="H3527" s="134"/>
      <c r="I3527" s="136"/>
      <c r="J3527" s="135"/>
      <c r="K3527" s="22"/>
    </row>
    <row r="3528" spans="1:11">
      <c r="A3528" s="241" t="e">
        <f>VLOOKUP(B3528,'lista 1'!$A$2:$E$30100,4,0)</f>
        <v>#N/A</v>
      </c>
      <c r="B3528" s="123"/>
      <c r="C3528" s="133" t="e">
        <f>VLOOKUP(B3528,'lista 1'!$A$2:$E$31000,5,0)</f>
        <v>#N/A</v>
      </c>
      <c r="D3528" s="167" t="e">
        <f>VLOOKUP(E15328,'lista obszary'!A:B,2,0)</f>
        <v>#N/A</v>
      </c>
      <c r="E3528" s="128" t="e">
        <f>VLOOKUP(B3528,'LISTA 12'!$A$2:$G$301400,5,0)</f>
        <v>#N/A</v>
      </c>
      <c r="F3528" s="121" t="e">
        <f>VLOOKUP(B3528,'LISTA 12'!$A$2:$G$30100,7,0)</f>
        <v>#N/A</v>
      </c>
      <c r="G3528" s="254" t="e">
        <f>VLOOKUP(H3528,'lista 3'!$A$1:$C$31467,3,0)</f>
        <v>#N/A</v>
      </c>
      <c r="H3528" s="134"/>
      <c r="I3528" s="136"/>
      <c r="J3528" s="135"/>
      <c r="K3528" s="22"/>
    </row>
    <row r="3529" spans="1:11">
      <c r="A3529" s="241" t="e">
        <f>VLOOKUP(B3529,'lista 1'!$A$2:$E$30100,4,0)</f>
        <v>#N/A</v>
      </c>
      <c r="B3529" s="123"/>
      <c r="C3529" s="133" t="e">
        <f>VLOOKUP(B3529,'lista 1'!$A$2:$E$31000,5,0)</f>
        <v>#N/A</v>
      </c>
      <c r="D3529" s="167" t="e">
        <f>VLOOKUP(E15329,'lista obszary'!A:B,2,0)</f>
        <v>#N/A</v>
      </c>
      <c r="E3529" s="128" t="e">
        <f>VLOOKUP(B3529,'LISTA 12'!$A$2:$G$301400,5,0)</f>
        <v>#N/A</v>
      </c>
      <c r="F3529" s="121" t="e">
        <f>VLOOKUP(B3529,'LISTA 12'!$A$2:$G$30100,7,0)</f>
        <v>#N/A</v>
      </c>
      <c r="G3529" s="254" t="e">
        <f>VLOOKUP(H3529,'lista 3'!$A$1:$C$31467,3,0)</f>
        <v>#N/A</v>
      </c>
      <c r="H3529" s="134"/>
      <c r="I3529" s="136"/>
      <c r="J3529" s="135"/>
      <c r="K3529" s="22"/>
    </row>
    <row r="3530" spans="1:11">
      <c r="A3530" s="241" t="e">
        <f>VLOOKUP(B3530,'lista 1'!$A$2:$E$30100,4,0)</f>
        <v>#N/A</v>
      </c>
      <c r="B3530" s="123"/>
      <c r="C3530" s="133" t="e">
        <f>VLOOKUP(B3530,'lista 1'!$A$2:$E$31000,5,0)</f>
        <v>#N/A</v>
      </c>
      <c r="D3530" s="167" t="e">
        <f>VLOOKUP(E15330,'lista obszary'!A:B,2,0)</f>
        <v>#N/A</v>
      </c>
      <c r="E3530" s="128" t="e">
        <f>VLOOKUP(B3530,'LISTA 12'!$A$2:$G$301400,5,0)</f>
        <v>#N/A</v>
      </c>
      <c r="F3530" s="121" t="e">
        <f>VLOOKUP(B3530,'LISTA 12'!$A$2:$G$30100,7,0)</f>
        <v>#N/A</v>
      </c>
      <c r="G3530" s="254" t="e">
        <f>VLOOKUP(H3530,'lista 3'!$A$1:$C$31467,3,0)</f>
        <v>#N/A</v>
      </c>
      <c r="H3530" s="134"/>
      <c r="I3530" s="136"/>
      <c r="J3530" s="135"/>
      <c r="K3530" s="22"/>
    </row>
    <row r="3531" spans="1:11">
      <c r="A3531" s="241" t="e">
        <f>VLOOKUP(B3531,'lista 1'!$A$2:$E$30100,4,0)</f>
        <v>#N/A</v>
      </c>
      <c r="B3531" s="123"/>
      <c r="C3531" s="133" t="e">
        <f>VLOOKUP(B3531,'lista 1'!$A$2:$E$31000,5,0)</f>
        <v>#N/A</v>
      </c>
      <c r="D3531" s="167" t="e">
        <f>VLOOKUP(E15331,'lista obszary'!A:B,2,0)</f>
        <v>#N/A</v>
      </c>
      <c r="E3531" s="128" t="e">
        <f>VLOOKUP(B3531,'LISTA 12'!$A$2:$G$301400,5,0)</f>
        <v>#N/A</v>
      </c>
      <c r="F3531" s="121" t="e">
        <f>VLOOKUP(B3531,'LISTA 12'!$A$2:$G$30100,7,0)</f>
        <v>#N/A</v>
      </c>
      <c r="G3531" s="254" t="e">
        <f>VLOOKUP(H3531,'lista 3'!$A$1:$C$31467,3,0)</f>
        <v>#N/A</v>
      </c>
      <c r="H3531" s="134"/>
      <c r="I3531" s="136"/>
      <c r="J3531" s="135"/>
      <c r="K3531" s="22"/>
    </row>
    <row r="3532" spans="1:11">
      <c r="A3532" s="241" t="e">
        <f>VLOOKUP(B3532,'lista 1'!$A$2:$E$30100,4,0)</f>
        <v>#N/A</v>
      </c>
      <c r="B3532" s="123"/>
      <c r="C3532" s="133" t="e">
        <f>VLOOKUP(B3532,'lista 1'!$A$2:$E$31000,5,0)</f>
        <v>#N/A</v>
      </c>
      <c r="D3532" s="167" t="e">
        <f>VLOOKUP(E15332,'lista obszary'!A:B,2,0)</f>
        <v>#N/A</v>
      </c>
      <c r="E3532" s="128" t="e">
        <f>VLOOKUP(B3532,'LISTA 12'!$A$2:$G$301400,5,0)</f>
        <v>#N/A</v>
      </c>
      <c r="F3532" s="121" t="e">
        <f>VLOOKUP(B3532,'LISTA 12'!$A$2:$G$30100,7,0)</f>
        <v>#N/A</v>
      </c>
      <c r="G3532" s="254" t="e">
        <f>VLOOKUP(H3532,'lista 3'!$A$1:$C$31467,3,0)</f>
        <v>#N/A</v>
      </c>
      <c r="H3532" s="134"/>
      <c r="I3532" s="136"/>
      <c r="J3532" s="135"/>
      <c r="K3532" s="22"/>
    </row>
    <row r="3533" spans="1:11">
      <c r="A3533" s="241" t="e">
        <f>VLOOKUP(B3533,'lista 1'!$A$2:$E$30100,4,0)</f>
        <v>#N/A</v>
      </c>
      <c r="B3533" s="123"/>
      <c r="C3533" s="133" t="e">
        <f>VLOOKUP(B3533,'lista 1'!$A$2:$E$31000,5,0)</f>
        <v>#N/A</v>
      </c>
      <c r="D3533" s="167" t="e">
        <f>VLOOKUP(E15333,'lista obszary'!A:B,2,0)</f>
        <v>#N/A</v>
      </c>
      <c r="E3533" s="128" t="e">
        <f>VLOOKUP(B3533,'LISTA 12'!$A$2:$G$301400,5,0)</f>
        <v>#N/A</v>
      </c>
      <c r="F3533" s="121" t="e">
        <f>VLOOKUP(B3533,'LISTA 12'!$A$2:$G$30100,7,0)</f>
        <v>#N/A</v>
      </c>
      <c r="G3533" s="254" t="e">
        <f>VLOOKUP(H3533,'lista 3'!$A$1:$C$31467,3,0)</f>
        <v>#N/A</v>
      </c>
      <c r="H3533" s="134"/>
      <c r="I3533" s="136"/>
      <c r="J3533" s="135"/>
      <c r="K3533" s="22"/>
    </row>
    <row r="3534" spans="1:11">
      <c r="A3534" s="241" t="e">
        <f>VLOOKUP(B3534,'lista 1'!$A$2:$E$30100,4,0)</f>
        <v>#N/A</v>
      </c>
      <c r="B3534" s="123"/>
      <c r="C3534" s="133" t="e">
        <f>VLOOKUP(B3534,'lista 1'!$A$2:$E$31000,5,0)</f>
        <v>#N/A</v>
      </c>
      <c r="D3534" s="167" t="e">
        <f>VLOOKUP(E15334,'lista obszary'!A:B,2,0)</f>
        <v>#N/A</v>
      </c>
      <c r="E3534" s="128" t="e">
        <f>VLOOKUP(B3534,'LISTA 12'!$A$2:$G$301400,5,0)</f>
        <v>#N/A</v>
      </c>
      <c r="F3534" s="121" t="e">
        <f>VLOOKUP(B3534,'LISTA 12'!$A$2:$G$30100,7,0)</f>
        <v>#N/A</v>
      </c>
      <c r="G3534" s="254" t="e">
        <f>VLOOKUP(H3534,'lista 3'!$A$1:$C$31467,3,0)</f>
        <v>#N/A</v>
      </c>
      <c r="H3534" s="134"/>
      <c r="I3534" s="136"/>
      <c r="J3534" s="135"/>
      <c r="K3534" s="22"/>
    </row>
    <row r="3535" spans="1:11">
      <c r="A3535" s="241" t="e">
        <f>VLOOKUP(B3535,'lista 1'!$A$2:$E$30100,4,0)</f>
        <v>#N/A</v>
      </c>
      <c r="B3535" s="123"/>
      <c r="C3535" s="133" t="e">
        <f>VLOOKUP(B3535,'lista 1'!$A$2:$E$31000,5,0)</f>
        <v>#N/A</v>
      </c>
      <c r="D3535" s="167" t="e">
        <f>VLOOKUP(E15335,'lista obszary'!A:B,2,0)</f>
        <v>#N/A</v>
      </c>
      <c r="E3535" s="128" t="e">
        <f>VLOOKUP(B3535,'LISTA 12'!$A$2:$G$301400,5,0)</f>
        <v>#N/A</v>
      </c>
      <c r="F3535" s="121" t="e">
        <f>VLOOKUP(B3535,'LISTA 12'!$A$2:$G$30100,7,0)</f>
        <v>#N/A</v>
      </c>
      <c r="G3535" s="254" t="e">
        <f>VLOOKUP(H3535,'lista 3'!$A$1:$C$31467,3,0)</f>
        <v>#N/A</v>
      </c>
      <c r="H3535" s="134"/>
      <c r="I3535" s="136"/>
      <c r="J3535" s="135"/>
      <c r="K3535" s="22"/>
    </row>
    <row r="3536" spans="1:11">
      <c r="A3536" s="241" t="e">
        <f>VLOOKUP(B3536,'lista 1'!$A$2:$E$30100,4,0)</f>
        <v>#N/A</v>
      </c>
      <c r="B3536" s="123"/>
      <c r="C3536" s="133" t="e">
        <f>VLOOKUP(B3536,'lista 1'!$A$2:$E$31000,5,0)</f>
        <v>#N/A</v>
      </c>
      <c r="D3536" s="167" t="e">
        <f>VLOOKUP(E15336,'lista obszary'!A:B,2,0)</f>
        <v>#N/A</v>
      </c>
      <c r="E3536" s="128" t="e">
        <f>VLOOKUP(B3536,'LISTA 12'!$A$2:$G$301400,5,0)</f>
        <v>#N/A</v>
      </c>
      <c r="F3536" s="121" t="e">
        <f>VLOOKUP(B3536,'LISTA 12'!$A$2:$G$30100,7,0)</f>
        <v>#N/A</v>
      </c>
      <c r="G3536" s="254" t="e">
        <f>VLOOKUP(H3536,'lista 3'!$A$1:$C$31467,3,0)</f>
        <v>#N/A</v>
      </c>
      <c r="H3536" s="134"/>
      <c r="I3536" s="136"/>
      <c r="J3536" s="135"/>
      <c r="K3536" s="22"/>
    </row>
    <row r="3537" spans="1:11">
      <c r="A3537" s="241" t="e">
        <f>VLOOKUP(B3537,'lista 1'!$A$2:$E$30100,4,0)</f>
        <v>#N/A</v>
      </c>
      <c r="B3537" s="123"/>
      <c r="C3537" s="133" t="e">
        <f>VLOOKUP(B3537,'lista 1'!$A$2:$E$31000,5,0)</f>
        <v>#N/A</v>
      </c>
      <c r="D3537" s="167" t="e">
        <f>VLOOKUP(E15337,'lista obszary'!A:B,2,0)</f>
        <v>#N/A</v>
      </c>
      <c r="E3537" s="128" t="e">
        <f>VLOOKUP(B3537,'LISTA 12'!$A$2:$G$301400,5,0)</f>
        <v>#N/A</v>
      </c>
      <c r="F3537" s="121" t="e">
        <f>VLOOKUP(B3537,'LISTA 12'!$A$2:$G$30100,7,0)</f>
        <v>#N/A</v>
      </c>
      <c r="G3537" s="254" t="e">
        <f>VLOOKUP(H3537,'lista 3'!$A$1:$C$31467,3,0)</f>
        <v>#N/A</v>
      </c>
      <c r="H3537" s="134"/>
      <c r="I3537" s="136"/>
      <c r="J3537" s="135"/>
      <c r="K3537" s="22"/>
    </row>
    <row r="3538" spans="1:11">
      <c r="A3538" s="241" t="e">
        <f>VLOOKUP(B3538,'lista 1'!$A$2:$E$30100,4,0)</f>
        <v>#N/A</v>
      </c>
      <c r="B3538" s="123"/>
      <c r="C3538" s="133" t="e">
        <f>VLOOKUP(B3538,'lista 1'!$A$2:$E$31000,5,0)</f>
        <v>#N/A</v>
      </c>
      <c r="D3538" s="167" t="e">
        <f>VLOOKUP(E15338,'lista obszary'!A:B,2,0)</f>
        <v>#N/A</v>
      </c>
      <c r="E3538" s="128" t="e">
        <f>VLOOKUP(B3538,'LISTA 12'!$A$2:$G$301400,5,0)</f>
        <v>#N/A</v>
      </c>
      <c r="F3538" s="121" t="e">
        <f>VLOOKUP(B3538,'LISTA 12'!$A$2:$G$30100,7,0)</f>
        <v>#N/A</v>
      </c>
      <c r="G3538" s="254" t="e">
        <f>VLOOKUP(H3538,'lista 3'!$A$1:$C$31467,3,0)</f>
        <v>#N/A</v>
      </c>
      <c r="H3538" s="134"/>
      <c r="I3538" s="136"/>
      <c r="J3538" s="135"/>
      <c r="K3538" s="22"/>
    </row>
    <row r="3539" spans="1:11">
      <c r="A3539" s="241" t="e">
        <f>VLOOKUP(B3539,'lista 1'!$A$2:$E$30100,4,0)</f>
        <v>#N/A</v>
      </c>
      <c r="B3539" s="123"/>
      <c r="C3539" s="133" t="e">
        <f>VLOOKUP(B3539,'lista 1'!$A$2:$E$31000,5,0)</f>
        <v>#N/A</v>
      </c>
      <c r="D3539" s="167" t="e">
        <f>VLOOKUP(E15339,'lista obszary'!A:B,2,0)</f>
        <v>#N/A</v>
      </c>
      <c r="E3539" s="128" t="e">
        <f>VLOOKUP(B3539,'LISTA 12'!$A$2:$G$301400,5,0)</f>
        <v>#N/A</v>
      </c>
      <c r="F3539" s="121" t="e">
        <f>VLOOKUP(B3539,'LISTA 12'!$A$2:$G$30100,7,0)</f>
        <v>#N/A</v>
      </c>
      <c r="G3539" s="254" t="e">
        <f>VLOOKUP(H3539,'lista 3'!$A$1:$C$31467,3,0)</f>
        <v>#N/A</v>
      </c>
      <c r="H3539" s="134"/>
      <c r="I3539" s="136"/>
      <c r="J3539" s="135"/>
      <c r="K3539" s="22"/>
    </row>
    <row r="3540" spans="1:11">
      <c r="A3540" s="241" t="e">
        <f>VLOOKUP(B3540,'lista 1'!$A$2:$E$30100,4,0)</f>
        <v>#N/A</v>
      </c>
      <c r="B3540" s="123"/>
      <c r="C3540" s="133" t="e">
        <f>VLOOKUP(B3540,'lista 1'!$A$2:$E$31000,5,0)</f>
        <v>#N/A</v>
      </c>
      <c r="D3540" s="167" t="e">
        <f>VLOOKUP(E15340,'lista obszary'!A:B,2,0)</f>
        <v>#N/A</v>
      </c>
      <c r="E3540" s="128" t="e">
        <f>VLOOKUP(B3540,'LISTA 12'!$A$2:$G$301400,5,0)</f>
        <v>#N/A</v>
      </c>
      <c r="F3540" s="121" t="e">
        <f>VLOOKUP(B3540,'LISTA 12'!$A$2:$G$30100,7,0)</f>
        <v>#N/A</v>
      </c>
      <c r="G3540" s="254" t="e">
        <f>VLOOKUP(H3540,'lista 3'!$A$1:$C$31467,3,0)</f>
        <v>#N/A</v>
      </c>
      <c r="H3540" s="134"/>
      <c r="I3540" s="136"/>
      <c r="J3540" s="135"/>
      <c r="K3540" s="22"/>
    </row>
    <row r="3541" spans="1:11">
      <c r="A3541" s="241" t="e">
        <f>VLOOKUP(B3541,'lista 1'!$A$2:$E$30100,4,0)</f>
        <v>#N/A</v>
      </c>
      <c r="B3541" s="123"/>
      <c r="C3541" s="133" t="e">
        <f>VLOOKUP(B3541,'lista 1'!$A$2:$E$31000,5,0)</f>
        <v>#N/A</v>
      </c>
      <c r="D3541" s="167" t="e">
        <f>VLOOKUP(E15341,'lista obszary'!A:B,2,0)</f>
        <v>#N/A</v>
      </c>
      <c r="E3541" s="128" t="e">
        <f>VLOOKUP(B3541,'LISTA 12'!$A$2:$G$301400,5,0)</f>
        <v>#N/A</v>
      </c>
      <c r="F3541" s="121" t="e">
        <f>VLOOKUP(B3541,'LISTA 12'!$A$2:$G$30100,7,0)</f>
        <v>#N/A</v>
      </c>
      <c r="G3541" s="254" t="e">
        <f>VLOOKUP(H3541,'lista 3'!$A$1:$C$31467,3,0)</f>
        <v>#N/A</v>
      </c>
      <c r="H3541" s="134"/>
      <c r="I3541" s="136"/>
      <c r="J3541" s="135"/>
      <c r="K3541" s="22"/>
    </row>
    <row r="3542" spans="1:11">
      <c r="A3542" s="241" t="e">
        <f>VLOOKUP(B3542,'lista 1'!$A$2:$E$30100,4,0)</f>
        <v>#N/A</v>
      </c>
      <c r="B3542" s="123"/>
      <c r="C3542" s="133" t="e">
        <f>VLOOKUP(B3542,'lista 1'!$A$2:$E$31000,5,0)</f>
        <v>#N/A</v>
      </c>
      <c r="D3542" s="167" t="e">
        <f>VLOOKUP(E15342,'lista obszary'!A:B,2,0)</f>
        <v>#N/A</v>
      </c>
      <c r="E3542" s="128" t="e">
        <f>VLOOKUP(B3542,'LISTA 12'!$A$2:$G$301400,5,0)</f>
        <v>#N/A</v>
      </c>
      <c r="F3542" s="121" t="e">
        <f>VLOOKUP(B3542,'LISTA 12'!$A$2:$G$30100,7,0)</f>
        <v>#N/A</v>
      </c>
      <c r="G3542" s="254" t="e">
        <f>VLOOKUP(H3542,'lista 3'!$A$1:$C$31467,3,0)</f>
        <v>#N/A</v>
      </c>
      <c r="H3542" s="134"/>
      <c r="I3542" s="136"/>
      <c r="J3542" s="135"/>
      <c r="K3542" s="22"/>
    </row>
    <row r="3543" spans="1:11">
      <c r="A3543" s="241" t="e">
        <f>VLOOKUP(B3543,'lista 1'!$A$2:$E$30100,4,0)</f>
        <v>#N/A</v>
      </c>
      <c r="B3543" s="123"/>
      <c r="C3543" s="133" t="e">
        <f>VLOOKUP(B3543,'lista 1'!$A$2:$E$31000,5,0)</f>
        <v>#N/A</v>
      </c>
      <c r="D3543" s="167" t="e">
        <f>VLOOKUP(E15343,'lista obszary'!A:B,2,0)</f>
        <v>#N/A</v>
      </c>
      <c r="E3543" s="128" t="e">
        <f>VLOOKUP(B3543,'LISTA 12'!$A$2:$G$301400,5,0)</f>
        <v>#N/A</v>
      </c>
      <c r="F3543" s="121" t="e">
        <f>VLOOKUP(B3543,'LISTA 12'!$A$2:$G$30100,7,0)</f>
        <v>#N/A</v>
      </c>
      <c r="G3543" s="254" t="e">
        <f>VLOOKUP(H3543,'lista 3'!$A$1:$C$31467,3,0)</f>
        <v>#N/A</v>
      </c>
      <c r="H3543" s="134"/>
      <c r="I3543" s="136"/>
      <c r="J3543" s="135"/>
      <c r="K3543" s="22"/>
    </row>
    <row r="3544" spans="1:11">
      <c r="A3544" s="241" t="e">
        <f>VLOOKUP(B3544,'lista 1'!$A$2:$E$30100,4,0)</f>
        <v>#N/A</v>
      </c>
      <c r="B3544" s="123"/>
      <c r="C3544" s="133" t="e">
        <f>VLOOKUP(B3544,'lista 1'!$A$2:$E$31000,5,0)</f>
        <v>#N/A</v>
      </c>
      <c r="D3544" s="167" t="e">
        <f>VLOOKUP(E15344,'lista obszary'!A:B,2,0)</f>
        <v>#N/A</v>
      </c>
      <c r="E3544" s="128" t="e">
        <f>VLOOKUP(B3544,'LISTA 12'!$A$2:$G$301400,5,0)</f>
        <v>#N/A</v>
      </c>
      <c r="F3544" s="121" t="e">
        <f>VLOOKUP(B3544,'LISTA 12'!$A$2:$G$30100,7,0)</f>
        <v>#N/A</v>
      </c>
      <c r="G3544" s="254" t="e">
        <f>VLOOKUP(H3544,'lista 3'!$A$1:$C$31467,3,0)</f>
        <v>#N/A</v>
      </c>
      <c r="H3544" s="134"/>
      <c r="I3544" s="136"/>
      <c r="J3544" s="135"/>
      <c r="K3544" s="22"/>
    </row>
    <row r="3545" spans="1:11">
      <c r="A3545" s="241" t="e">
        <f>VLOOKUP(B3545,'lista 1'!$A$2:$E$30100,4,0)</f>
        <v>#N/A</v>
      </c>
      <c r="B3545" s="123"/>
      <c r="C3545" s="133" t="e">
        <f>VLOOKUP(B3545,'lista 1'!$A$2:$E$31000,5,0)</f>
        <v>#N/A</v>
      </c>
      <c r="D3545" s="167" t="e">
        <f>VLOOKUP(E15345,'lista obszary'!A:B,2,0)</f>
        <v>#N/A</v>
      </c>
      <c r="E3545" s="128" t="e">
        <f>VLOOKUP(B3545,'LISTA 12'!$A$2:$G$301400,5,0)</f>
        <v>#N/A</v>
      </c>
      <c r="F3545" s="121" t="e">
        <f>VLOOKUP(B3545,'LISTA 12'!$A$2:$G$30100,7,0)</f>
        <v>#N/A</v>
      </c>
      <c r="G3545" s="254" t="e">
        <f>VLOOKUP(H3545,'lista 3'!$A$1:$C$31467,3,0)</f>
        <v>#N/A</v>
      </c>
      <c r="H3545" s="134"/>
      <c r="I3545" s="136"/>
      <c r="J3545" s="135"/>
      <c r="K3545" s="22"/>
    </row>
    <row r="3546" spans="1:11">
      <c r="A3546" s="241" t="e">
        <f>VLOOKUP(B3546,'lista 1'!$A$2:$E$30100,4,0)</f>
        <v>#N/A</v>
      </c>
      <c r="B3546" s="123"/>
      <c r="C3546" s="133" t="e">
        <f>VLOOKUP(B3546,'lista 1'!$A$2:$E$31000,5,0)</f>
        <v>#N/A</v>
      </c>
      <c r="D3546" s="167" t="e">
        <f>VLOOKUP(E15346,'lista obszary'!A:B,2,0)</f>
        <v>#N/A</v>
      </c>
      <c r="E3546" s="128" t="e">
        <f>VLOOKUP(B3546,'LISTA 12'!$A$2:$G$301400,5,0)</f>
        <v>#N/A</v>
      </c>
      <c r="F3546" s="121" t="e">
        <f>VLOOKUP(B3546,'LISTA 12'!$A$2:$G$30100,7,0)</f>
        <v>#N/A</v>
      </c>
      <c r="G3546" s="254" t="e">
        <f>VLOOKUP(H3546,'lista 3'!$A$1:$C$31467,3,0)</f>
        <v>#N/A</v>
      </c>
      <c r="H3546" s="134"/>
      <c r="I3546" s="136"/>
      <c r="J3546" s="135"/>
      <c r="K3546" s="22"/>
    </row>
    <row r="3547" spans="1:11">
      <c r="A3547" s="241" t="e">
        <f>VLOOKUP(B3547,'lista 1'!$A$2:$E$30100,4,0)</f>
        <v>#N/A</v>
      </c>
      <c r="B3547" s="123"/>
      <c r="C3547" s="133" t="e">
        <f>VLOOKUP(B3547,'lista 1'!$A$2:$E$31000,5,0)</f>
        <v>#N/A</v>
      </c>
      <c r="D3547" s="167" t="e">
        <f>VLOOKUP(E15347,'lista obszary'!A:B,2,0)</f>
        <v>#N/A</v>
      </c>
      <c r="E3547" s="128" t="e">
        <f>VLOOKUP(B3547,'LISTA 12'!$A$2:$G$301400,5,0)</f>
        <v>#N/A</v>
      </c>
      <c r="F3547" s="121" t="e">
        <f>VLOOKUP(B3547,'LISTA 12'!$A$2:$G$30100,7,0)</f>
        <v>#N/A</v>
      </c>
      <c r="G3547" s="254" t="e">
        <f>VLOOKUP(H3547,'lista 3'!$A$1:$C$31467,3,0)</f>
        <v>#N/A</v>
      </c>
      <c r="H3547" s="134"/>
      <c r="I3547" s="136"/>
      <c r="J3547" s="135"/>
      <c r="K3547" s="22"/>
    </row>
    <row r="3548" spans="1:11">
      <c r="A3548" s="241" t="e">
        <f>VLOOKUP(B3548,'lista 1'!$A$2:$E$30100,4,0)</f>
        <v>#N/A</v>
      </c>
      <c r="B3548" s="123"/>
      <c r="C3548" s="133" t="e">
        <f>VLOOKUP(B3548,'lista 1'!$A$2:$E$31000,5,0)</f>
        <v>#N/A</v>
      </c>
      <c r="D3548" s="167" t="e">
        <f>VLOOKUP(E15348,'lista obszary'!A:B,2,0)</f>
        <v>#N/A</v>
      </c>
      <c r="E3548" s="128" t="e">
        <f>VLOOKUP(B3548,'LISTA 12'!$A$2:$G$301400,5,0)</f>
        <v>#N/A</v>
      </c>
      <c r="F3548" s="121" t="e">
        <f>VLOOKUP(B3548,'LISTA 12'!$A$2:$G$30100,7,0)</f>
        <v>#N/A</v>
      </c>
      <c r="G3548" s="254" t="e">
        <f>VLOOKUP(H3548,'lista 3'!$A$1:$C$31467,3,0)</f>
        <v>#N/A</v>
      </c>
      <c r="H3548" s="134"/>
      <c r="I3548" s="136"/>
      <c r="J3548" s="135"/>
      <c r="K3548" s="22"/>
    </row>
    <row r="3549" spans="1:11">
      <c r="A3549" s="241" t="e">
        <f>VLOOKUP(B3549,'lista 1'!$A$2:$E$30100,4,0)</f>
        <v>#N/A</v>
      </c>
      <c r="B3549" s="123"/>
      <c r="C3549" s="133" t="e">
        <f>VLOOKUP(B3549,'lista 1'!$A$2:$E$31000,5,0)</f>
        <v>#N/A</v>
      </c>
      <c r="D3549" s="167" t="e">
        <f>VLOOKUP(E15349,'lista obszary'!A:B,2,0)</f>
        <v>#N/A</v>
      </c>
      <c r="E3549" s="128" t="e">
        <f>VLOOKUP(B3549,'LISTA 12'!$A$2:$G$301400,5,0)</f>
        <v>#N/A</v>
      </c>
      <c r="F3549" s="121" t="e">
        <f>VLOOKUP(B3549,'LISTA 12'!$A$2:$G$30100,7,0)</f>
        <v>#N/A</v>
      </c>
      <c r="G3549" s="254" t="e">
        <f>VLOOKUP(H3549,'lista 3'!$A$1:$C$31467,3,0)</f>
        <v>#N/A</v>
      </c>
      <c r="H3549" s="134"/>
      <c r="I3549" s="136"/>
      <c r="J3549" s="135"/>
      <c r="K3549" s="22"/>
    </row>
    <row r="3550" spans="1:11">
      <c r="A3550" s="241" t="e">
        <f>VLOOKUP(B3550,'lista 1'!$A$2:$E$30100,4,0)</f>
        <v>#N/A</v>
      </c>
      <c r="B3550" s="123"/>
      <c r="C3550" s="133" t="e">
        <f>VLOOKUP(B3550,'lista 1'!$A$2:$E$31000,5,0)</f>
        <v>#N/A</v>
      </c>
      <c r="D3550" s="167" t="e">
        <f>VLOOKUP(E15350,'lista obszary'!A:B,2,0)</f>
        <v>#N/A</v>
      </c>
      <c r="E3550" s="128" t="e">
        <f>VLOOKUP(B3550,'LISTA 12'!$A$2:$G$301400,5,0)</f>
        <v>#N/A</v>
      </c>
      <c r="F3550" s="121" t="e">
        <f>VLOOKUP(B3550,'LISTA 12'!$A$2:$G$30100,7,0)</f>
        <v>#N/A</v>
      </c>
      <c r="G3550" s="254" t="e">
        <f>VLOOKUP(H3550,'lista 3'!$A$1:$C$31467,3,0)</f>
        <v>#N/A</v>
      </c>
      <c r="H3550" s="134"/>
      <c r="I3550" s="136"/>
      <c r="J3550" s="135"/>
      <c r="K3550" s="22"/>
    </row>
    <row r="3551" spans="1:11">
      <c r="A3551" s="241" t="e">
        <f>VLOOKUP(B3551,'lista 1'!$A$2:$E$30100,4,0)</f>
        <v>#N/A</v>
      </c>
      <c r="B3551" s="123"/>
      <c r="C3551" s="133" t="e">
        <f>VLOOKUP(B3551,'lista 1'!$A$2:$E$31000,5,0)</f>
        <v>#N/A</v>
      </c>
      <c r="D3551" s="167" t="e">
        <f>VLOOKUP(E15351,'lista obszary'!A:B,2,0)</f>
        <v>#N/A</v>
      </c>
      <c r="E3551" s="128" t="e">
        <f>VLOOKUP(B3551,'LISTA 12'!$A$2:$G$301400,5,0)</f>
        <v>#N/A</v>
      </c>
      <c r="F3551" s="121" t="e">
        <f>VLOOKUP(B3551,'LISTA 12'!$A$2:$G$30100,7,0)</f>
        <v>#N/A</v>
      </c>
      <c r="G3551" s="254" t="e">
        <f>VLOOKUP(H3551,'lista 3'!$A$1:$C$31467,3,0)</f>
        <v>#N/A</v>
      </c>
      <c r="H3551" s="134"/>
      <c r="I3551" s="136"/>
      <c r="J3551" s="135"/>
      <c r="K3551" s="22"/>
    </row>
    <row r="3552" spans="1:11">
      <c r="A3552" s="241" t="e">
        <f>VLOOKUP(B3552,'lista 1'!$A$2:$E$30100,4,0)</f>
        <v>#N/A</v>
      </c>
      <c r="B3552" s="123"/>
      <c r="C3552" s="133" t="e">
        <f>VLOOKUP(B3552,'lista 1'!$A$2:$E$31000,5,0)</f>
        <v>#N/A</v>
      </c>
      <c r="D3552" s="167" t="e">
        <f>VLOOKUP(E15352,'lista obszary'!A:B,2,0)</f>
        <v>#N/A</v>
      </c>
      <c r="E3552" s="128" t="e">
        <f>VLOOKUP(B3552,'LISTA 12'!$A$2:$G$301400,5,0)</f>
        <v>#N/A</v>
      </c>
      <c r="F3552" s="121" t="e">
        <f>VLOOKUP(B3552,'LISTA 12'!$A$2:$G$30100,7,0)</f>
        <v>#N/A</v>
      </c>
      <c r="G3552" s="254" t="e">
        <f>VLOOKUP(H3552,'lista 3'!$A$1:$C$31467,3,0)</f>
        <v>#N/A</v>
      </c>
      <c r="H3552" s="134"/>
      <c r="I3552" s="136"/>
      <c r="J3552" s="135"/>
      <c r="K3552" s="22"/>
    </row>
    <row r="3553" spans="1:11">
      <c r="A3553" s="241" t="e">
        <f>VLOOKUP(B3553,'lista 1'!$A$2:$E$30100,4,0)</f>
        <v>#N/A</v>
      </c>
      <c r="B3553" s="123"/>
      <c r="C3553" s="133" t="e">
        <f>VLOOKUP(B3553,'lista 1'!$A$2:$E$31000,5,0)</f>
        <v>#N/A</v>
      </c>
      <c r="D3553" s="167" t="e">
        <f>VLOOKUP(E15353,'lista obszary'!A:B,2,0)</f>
        <v>#N/A</v>
      </c>
      <c r="E3553" s="128" t="e">
        <f>VLOOKUP(B3553,'LISTA 12'!$A$2:$G$301400,5,0)</f>
        <v>#N/A</v>
      </c>
      <c r="F3553" s="121" t="e">
        <f>VLOOKUP(B3553,'LISTA 12'!$A$2:$G$30100,7,0)</f>
        <v>#N/A</v>
      </c>
      <c r="G3553" s="254" t="e">
        <f>VLOOKUP(H3553,'lista 3'!$A$1:$C$31467,3,0)</f>
        <v>#N/A</v>
      </c>
      <c r="H3553" s="134"/>
      <c r="I3553" s="136"/>
      <c r="J3553" s="135"/>
      <c r="K3553" s="22"/>
    </row>
    <row r="3554" spans="1:11">
      <c r="A3554" s="241" t="e">
        <f>VLOOKUP(B3554,'lista 1'!$A$2:$E$30100,4,0)</f>
        <v>#N/A</v>
      </c>
      <c r="B3554" s="123"/>
      <c r="C3554" s="133" t="e">
        <f>VLOOKUP(B3554,'lista 1'!$A$2:$E$31000,5,0)</f>
        <v>#N/A</v>
      </c>
      <c r="D3554" s="167" t="e">
        <f>VLOOKUP(E15354,'lista obszary'!A:B,2,0)</f>
        <v>#N/A</v>
      </c>
      <c r="E3554" s="128" t="e">
        <f>VLOOKUP(B3554,'LISTA 12'!$A$2:$G$301400,5,0)</f>
        <v>#N/A</v>
      </c>
      <c r="F3554" s="121" t="e">
        <f>VLOOKUP(B3554,'LISTA 12'!$A$2:$G$30100,7,0)</f>
        <v>#N/A</v>
      </c>
      <c r="G3554" s="254" t="e">
        <f>VLOOKUP(H3554,'lista 3'!$A$1:$C$31467,3,0)</f>
        <v>#N/A</v>
      </c>
      <c r="H3554" s="134"/>
      <c r="I3554" s="136"/>
      <c r="J3554" s="135"/>
      <c r="K3554" s="22"/>
    </row>
    <row r="3555" spans="1:11">
      <c r="A3555" s="241" t="e">
        <f>VLOOKUP(B3555,'lista 1'!$A$2:$E$30100,4,0)</f>
        <v>#N/A</v>
      </c>
      <c r="B3555" s="123"/>
      <c r="C3555" s="133" t="e">
        <f>VLOOKUP(B3555,'lista 1'!$A$2:$E$31000,5,0)</f>
        <v>#N/A</v>
      </c>
      <c r="D3555" s="167" t="e">
        <f>VLOOKUP(E15355,'lista obszary'!A:B,2,0)</f>
        <v>#N/A</v>
      </c>
      <c r="E3555" s="128" t="e">
        <f>VLOOKUP(B3555,'LISTA 12'!$A$2:$G$301400,5,0)</f>
        <v>#N/A</v>
      </c>
      <c r="F3555" s="121" t="e">
        <f>VLOOKUP(B3555,'LISTA 12'!$A$2:$G$30100,7,0)</f>
        <v>#N/A</v>
      </c>
      <c r="G3555" s="254" t="e">
        <f>VLOOKUP(H3555,'lista 3'!$A$1:$C$31467,3,0)</f>
        <v>#N/A</v>
      </c>
      <c r="H3555" s="134"/>
      <c r="I3555" s="136"/>
      <c r="J3555" s="135"/>
      <c r="K3555" s="22"/>
    </row>
    <row r="3556" spans="1:11">
      <c r="A3556" s="241" t="e">
        <f>VLOOKUP(B3556,'lista 1'!$A$2:$E$30100,4,0)</f>
        <v>#N/A</v>
      </c>
      <c r="B3556" s="123"/>
      <c r="C3556" s="133" t="e">
        <f>VLOOKUP(B3556,'lista 1'!$A$2:$E$31000,5,0)</f>
        <v>#N/A</v>
      </c>
      <c r="D3556" s="167" t="e">
        <f>VLOOKUP(E15356,'lista obszary'!A:B,2,0)</f>
        <v>#N/A</v>
      </c>
      <c r="E3556" s="128" t="e">
        <f>VLOOKUP(B3556,'LISTA 12'!$A$2:$G$301400,5,0)</f>
        <v>#N/A</v>
      </c>
      <c r="F3556" s="121" t="e">
        <f>VLOOKUP(B3556,'LISTA 12'!$A$2:$G$30100,7,0)</f>
        <v>#N/A</v>
      </c>
      <c r="G3556" s="254" t="e">
        <f>VLOOKUP(H3556,'lista 3'!$A$1:$C$31467,3,0)</f>
        <v>#N/A</v>
      </c>
      <c r="H3556" s="134"/>
      <c r="I3556" s="136"/>
      <c r="J3556" s="135"/>
      <c r="K3556" s="22"/>
    </row>
    <row r="3557" spans="1:11">
      <c r="A3557" s="241" t="e">
        <f>VLOOKUP(B3557,'lista 1'!$A$2:$E$30100,4,0)</f>
        <v>#N/A</v>
      </c>
      <c r="B3557" s="123"/>
      <c r="C3557" s="133" t="e">
        <f>VLOOKUP(B3557,'lista 1'!$A$2:$E$31000,5,0)</f>
        <v>#N/A</v>
      </c>
      <c r="D3557" s="167" t="e">
        <f>VLOOKUP(E15357,'lista obszary'!A:B,2,0)</f>
        <v>#N/A</v>
      </c>
      <c r="E3557" s="128" t="e">
        <f>VLOOKUP(B3557,'LISTA 12'!$A$2:$G$301400,5,0)</f>
        <v>#N/A</v>
      </c>
      <c r="F3557" s="121" t="e">
        <f>VLOOKUP(B3557,'LISTA 12'!$A$2:$G$30100,7,0)</f>
        <v>#N/A</v>
      </c>
      <c r="G3557" s="254" t="e">
        <f>VLOOKUP(H3557,'lista 3'!$A$1:$C$31467,3,0)</f>
        <v>#N/A</v>
      </c>
      <c r="H3557" s="134"/>
      <c r="I3557" s="136"/>
      <c r="J3557" s="135"/>
      <c r="K3557" s="22"/>
    </row>
    <row r="3558" spans="1:11">
      <c r="A3558" s="241" t="e">
        <f>VLOOKUP(B3558,'lista 1'!$A$2:$E$30100,4,0)</f>
        <v>#N/A</v>
      </c>
      <c r="B3558" s="123"/>
      <c r="C3558" s="133" t="e">
        <f>VLOOKUP(B3558,'lista 1'!$A$2:$E$31000,5,0)</f>
        <v>#N/A</v>
      </c>
      <c r="D3558" s="167" t="e">
        <f>VLOOKUP(E15358,'lista obszary'!A:B,2,0)</f>
        <v>#N/A</v>
      </c>
      <c r="E3558" s="128" t="e">
        <f>VLOOKUP(B3558,'LISTA 12'!$A$2:$G$301400,5,0)</f>
        <v>#N/A</v>
      </c>
      <c r="F3558" s="121" t="e">
        <f>VLOOKUP(B3558,'LISTA 12'!$A$2:$G$30100,7,0)</f>
        <v>#N/A</v>
      </c>
      <c r="G3558" s="254" t="e">
        <f>VLOOKUP(H3558,'lista 3'!$A$1:$C$31467,3,0)</f>
        <v>#N/A</v>
      </c>
      <c r="H3558" s="134"/>
      <c r="I3558" s="136"/>
      <c r="J3558" s="135"/>
      <c r="K3558" s="22"/>
    </row>
    <row r="3559" spans="1:11">
      <c r="A3559" s="241" t="e">
        <f>VLOOKUP(B3559,'lista 1'!$A$2:$E$30100,4,0)</f>
        <v>#N/A</v>
      </c>
      <c r="B3559" s="123"/>
      <c r="C3559" s="133" t="e">
        <f>VLOOKUP(B3559,'lista 1'!$A$2:$E$31000,5,0)</f>
        <v>#N/A</v>
      </c>
      <c r="D3559" s="167" t="e">
        <f>VLOOKUP(E15359,'lista obszary'!A:B,2,0)</f>
        <v>#N/A</v>
      </c>
      <c r="E3559" s="128" t="e">
        <f>VLOOKUP(B3559,'LISTA 12'!$A$2:$G$301400,5,0)</f>
        <v>#N/A</v>
      </c>
      <c r="F3559" s="121" t="e">
        <f>VLOOKUP(B3559,'LISTA 12'!$A$2:$G$30100,7,0)</f>
        <v>#N/A</v>
      </c>
      <c r="G3559" s="254" t="e">
        <f>VLOOKUP(H3559,'lista 3'!$A$1:$C$31467,3,0)</f>
        <v>#N/A</v>
      </c>
      <c r="H3559" s="134"/>
      <c r="I3559" s="136"/>
      <c r="J3559" s="135"/>
      <c r="K3559" s="22"/>
    </row>
    <row r="3560" spans="1:11">
      <c r="A3560" s="241" t="e">
        <f>VLOOKUP(B3560,'lista 1'!$A$2:$E$30100,4,0)</f>
        <v>#N/A</v>
      </c>
      <c r="B3560" s="123"/>
      <c r="C3560" s="133" t="e">
        <f>VLOOKUP(B3560,'lista 1'!$A$2:$E$31000,5,0)</f>
        <v>#N/A</v>
      </c>
      <c r="D3560" s="167" t="e">
        <f>VLOOKUP(E15360,'lista obszary'!A:B,2,0)</f>
        <v>#N/A</v>
      </c>
      <c r="E3560" s="128" t="e">
        <f>VLOOKUP(B3560,'LISTA 12'!$A$2:$G$301400,5,0)</f>
        <v>#N/A</v>
      </c>
      <c r="F3560" s="121" t="e">
        <f>VLOOKUP(B3560,'LISTA 12'!$A$2:$G$30100,7,0)</f>
        <v>#N/A</v>
      </c>
      <c r="G3560" s="254" t="e">
        <f>VLOOKUP(H3560,'lista 3'!$A$1:$C$31467,3,0)</f>
        <v>#N/A</v>
      </c>
      <c r="H3560" s="134"/>
      <c r="I3560" s="136"/>
      <c r="J3560" s="135"/>
      <c r="K3560" s="22"/>
    </row>
    <row r="3561" spans="1:11">
      <c r="A3561" s="241" t="e">
        <f>VLOOKUP(B3561,'lista 1'!$A$2:$E$30100,4,0)</f>
        <v>#N/A</v>
      </c>
      <c r="B3561" s="123"/>
      <c r="C3561" s="133" t="e">
        <f>VLOOKUP(B3561,'lista 1'!$A$2:$E$31000,5,0)</f>
        <v>#N/A</v>
      </c>
      <c r="D3561" s="167" t="e">
        <f>VLOOKUP(E15361,'lista obszary'!A:B,2,0)</f>
        <v>#N/A</v>
      </c>
      <c r="E3561" s="128" t="e">
        <f>VLOOKUP(B3561,'LISTA 12'!$A$2:$G$301400,5,0)</f>
        <v>#N/A</v>
      </c>
      <c r="F3561" s="121" t="e">
        <f>VLOOKUP(B3561,'LISTA 12'!$A$2:$G$30100,7,0)</f>
        <v>#N/A</v>
      </c>
      <c r="G3561" s="254" t="e">
        <f>VLOOKUP(H3561,'lista 3'!$A$1:$C$31467,3,0)</f>
        <v>#N/A</v>
      </c>
      <c r="H3561" s="134"/>
      <c r="I3561" s="136"/>
      <c r="J3561" s="135"/>
      <c r="K3561" s="22"/>
    </row>
    <row r="3562" spans="1:11">
      <c r="A3562" s="241" t="e">
        <f>VLOOKUP(B3562,'lista 1'!$A$2:$E$30100,4,0)</f>
        <v>#N/A</v>
      </c>
      <c r="B3562" s="123"/>
      <c r="C3562" s="133" t="e">
        <f>VLOOKUP(B3562,'lista 1'!$A$2:$E$31000,5,0)</f>
        <v>#N/A</v>
      </c>
      <c r="D3562" s="167" t="e">
        <f>VLOOKUP(E15362,'lista obszary'!A:B,2,0)</f>
        <v>#N/A</v>
      </c>
      <c r="E3562" s="128" t="e">
        <f>VLOOKUP(B3562,'LISTA 12'!$A$2:$G$301400,5,0)</f>
        <v>#N/A</v>
      </c>
      <c r="F3562" s="121" t="e">
        <f>VLOOKUP(B3562,'LISTA 12'!$A$2:$G$30100,7,0)</f>
        <v>#N/A</v>
      </c>
      <c r="G3562" s="254" t="e">
        <f>VLOOKUP(H3562,'lista 3'!$A$1:$C$31467,3,0)</f>
        <v>#N/A</v>
      </c>
      <c r="H3562" s="134"/>
      <c r="I3562" s="136"/>
      <c r="J3562" s="135"/>
      <c r="K3562" s="22"/>
    </row>
    <row r="3563" spans="1:11">
      <c r="A3563" s="241" t="e">
        <f>VLOOKUP(B3563,'lista 1'!$A$2:$E$30100,4,0)</f>
        <v>#N/A</v>
      </c>
      <c r="B3563" s="123"/>
      <c r="C3563" s="133" t="e">
        <f>VLOOKUP(B3563,'lista 1'!$A$2:$E$31000,5,0)</f>
        <v>#N/A</v>
      </c>
      <c r="D3563" s="167" t="e">
        <f>VLOOKUP(E15363,'lista obszary'!A:B,2,0)</f>
        <v>#N/A</v>
      </c>
      <c r="E3563" s="128" t="e">
        <f>VLOOKUP(B3563,'LISTA 12'!$A$2:$G$301400,5,0)</f>
        <v>#N/A</v>
      </c>
      <c r="F3563" s="121" t="e">
        <f>VLOOKUP(B3563,'LISTA 12'!$A$2:$G$30100,7,0)</f>
        <v>#N/A</v>
      </c>
      <c r="G3563" s="254" t="e">
        <f>VLOOKUP(H3563,'lista 3'!$A$1:$C$31467,3,0)</f>
        <v>#N/A</v>
      </c>
      <c r="H3563" s="134"/>
      <c r="I3563" s="136"/>
      <c r="J3563" s="135"/>
      <c r="K3563" s="22"/>
    </row>
    <row r="3564" spans="1:11">
      <c r="A3564" s="241" t="e">
        <f>VLOOKUP(B3564,'lista 1'!$A$2:$E$30100,4,0)</f>
        <v>#N/A</v>
      </c>
      <c r="B3564" s="123"/>
      <c r="C3564" s="133" t="e">
        <f>VLOOKUP(B3564,'lista 1'!$A$2:$E$31000,5,0)</f>
        <v>#N/A</v>
      </c>
      <c r="D3564" s="167" t="e">
        <f>VLOOKUP(E15364,'lista obszary'!A:B,2,0)</f>
        <v>#N/A</v>
      </c>
      <c r="E3564" s="128" t="e">
        <f>VLOOKUP(B3564,'LISTA 12'!$A$2:$G$301400,5,0)</f>
        <v>#N/A</v>
      </c>
      <c r="F3564" s="121" t="e">
        <f>VLOOKUP(B3564,'LISTA 12'!$A$2:$G$30100,7,0)</f>
        <v>#N/A</v>
      </c>
      <c r="G3564" s="254" t="e">
        <f>VLOOKUP(H3564,'lista 3'!$A$1:$C$31467,3,0)</f>
        <v>#N/A</v>
      </c>
      <c r="H3564" s="134"/>
      <c r="I3564" s="136"/>
      <c r="J3564" s="135"/>
      <c r="K3564" s="22"/>
    </row>
    <row r="3565" spans="1:11">
      <c r="A3565" s="241" t="e">
        <f>VLOOKUP(B3565,'lista 1'!$A$2:$E$30100,4,0)</f>
        <v>#N/A</v>
      </c>
      <c r="B3565" s="123"/>
      <c r="C3565" s="133" t="e">
        <f>VLOOKUP(B3565,'lista 1'!$A$2:$E$31000,5,0)</f>
        <v>#N/A</v>
      </c>
      <c r="D3565" s="167" t="e">
        <f>VLOOKUP(E15365,'lista obszary'!A:B,2,0)</f>
        <v>#N/A</v>
      </c>
      <c r="E3565" s="128" t="e">
        <f>VLOOKUP(B3565,'LISTA 12'!$A$2:$G$301400,5,0)</f>
        <v>#N/A</v>
      </c>
      <c r="F3565" s="121" t="e">
        <f>VLOOKUP(B3565,'LISTA 12'!$A$2:$G$30100,7,0)</f>
        <v>#N/A</v>
      </c>
      <c r="G3565" s="254" t="e">
        <f>VLOOKUP(H3565,'lista 3'!$A$1:$C$31467,3,0)</f>
        <v>#N/A</v>
      </c>
      <c r="H3565" s="134"/>
      <c r="I3565" s="136"/>
      <c r="J3565" s="135"/>
      <c r="K3565" s="22"/>
    </row>
    <row r="3566" spans="1:11">
      <c r="A3566" s="241" t="e">
        <f>VLOOKUP(B3566,'lista 1'!$A$2:$E$30100,4,0)</f>
        <v>#N/A</v>
      </c>
      <c r="B3566" s="123"/>
      <c r="C3566" s="133" t="e">
        <f>VLOOKUP(B3566,'lista 1'!$A$2:$E$31000,5,0)</f>
        <v>#N/A</v>
      </c>
      <c r="D3566" s="167" t="e">
        <f>VLOOKUP(E15366,'lista obszary'!A:B,2,0)</f>
        <v>#N/A</v>
      </c>
      <c r="E3566" s="128" t="e">
        <f>VLOOKUP(B3566,'LISTA 12'!$A$2:$G$301400,5,0)</f>
        <v>#N/A</v>
      </c>
      <c r="F3566" s="121" t="e">
        <f>VLOOKUP(B3566,'LISTA 12'!$A$2:$G$30100,7,0)</f>
        <v>#N/A</v>
      </c>
      <c r="G3566" s="254" t="e">
        <f>VLOOKUP(H3566,'lista 3'!$A$1:$C$31467,3,0)</f>
        <v>#N/A</v>
      </c>
      <c r="H3566" s="134"/>
      <c r="I3566" s="136"/>
      <c r="J3566" s="135"/>
      <c r="K3566" s="22"/>
    </row>
    <row r="3567" spans="1:11">
      <c r="A3567" s="241" t="e">
        <f>VLOOKUP(B3567,'lista 1'!$A$2:$E$30100,4,0)</f>
        <v>#N/A</v>
      </c>
      <c r="B3567" s="123"/>
      <c r="C3567" s="133" t="e">
        <f>VLOOKUP(B3567,'lista 1'!$A$2:$E$31000,5,0)</f>
        <v>#N/A</v>
      </c>
      <c r="D3567" s="167" t="e">
        <f>VLOOKUP(E15367,'lista obszary'!A:B,2,0)</f>
        <v>#N/A</v>
      </c>
      <c r="E3567" s="128" t="e">
        <f>VLOOKUP(B3567,'LISTA 12'!$A$2:$G$301400,5,0)</f>
        <v>#N/A</v>
      </c>
      <c r="F3567" s="121" t="e">
        <f>VLOOKUP(B3567,'LISTA 12'!$A$2:$G$30100,7,0)</f>
        <v>#N/A</v>
      </c>
      <c r="G3567" s="254" t="e">
        <f>VLOOKUP(H3567,'lista 3'!$A$1:$C$31467,3,0)</f>
        <v>#N/A</v>
      </c>
      <c r="H3567" s="134"/>
      <c r="I3567" s="136"/>
      <c r="J3567" s="135"/>
      <c r="K3567" s="22"/>
    </row>
    <row r="3568" spans="1:11">
      <c r="A3568" s="241" t="e">
        <f>VLOOKUP(B3568,'lista 1'!$A$2:$E$30100,4,0)</f>
        <v>#N/A</v>
      </c>
      <c r="B3568" s="123"/>
      <c r="C3568" s="133" t="e">
        <f>VLOOKUP(B3568,'lista 1'!$A$2:$E$31000,5,0)</f>
        <v>#N/A</v>
      </c>
      <c r="D3568" s="167" t="e">
        <f>VLOOKUP(E15368,'lista obszary'!A:B,2,0)</f>
        <v>#N/A</v>
      </c>
      <c r="E3568" s="128" t="e">
        <f>VLOOKUP(B3568,'LISTA 12'!$A$2:$G$301400,5,0)</f>
        <v>#N/A</v>
      </c>
      <c r="F3568" s="121" t="e">
        <f>VLOOKUP(B3568,'LISTA 12'!$A$2:$G$30100,7,0)</f>
        <v>#N/A</v>
      </c>
      <c r="G3568" s="254" t="e">
        <f>VLOOKUP(H3568,'lista 3'!$A$1:$C$31467,3,0)</f>
        <v>#N/A</v>
      </c>
      <c r="H3568" s="134"/>
      <c r="I3568" s="136"/>
      <c r="J3568" s="135"/>
      <c r="K3568" s="22"/>
    </row>
    <row r="3569" spans="1:11">
      <c r="A3569" s="241" t="e">
        <f>VLOOKUP(B3569,'lista 1'!$A$2:$E$30100,4,0)</f>
        <v>#N/A</v>
      </c>
      <c r="B3569" s="123"/>
      <c r="C3569" s="133" t="e">
        <f>VLOOKUP(B3569,'lista 1'!$A$2:$E$31000,5,0)</f>
        <v>#N/A</v>
      </c>
      <c r="D3569" s="167" t="e">
        <f>VLOOKUP(E15369,'lista obszary'!A:B,2,0)</f>
        <v>#N/A</v>
      </c>
      <c r="E3569" s="128" t="e">
        <f>VLOOKUP(B3569,'LISTA 12'!$A$2:$G$301400,5,0)</f>
        <v>#N/A</v>
      </c>
      <c r="F3569" s="121" t="e">
        <f>VLOOKUP(B3569,'LISTA 12'!$A$2:$G$30100,7,0)</f>
        <v>#N/A</v>
      </c>
      <c r="G3569" s="254" t="e">
        <f>VLOOKUP(H3569,'lista 3'!$A$1:$C$31467,3,0)</f>
        <v>#N/A</v>
      </c>
      <c r="H3569" s="134"/>
      <c r="I3569" s="136"/>
      <c r="J3569" s="135"/>
      <c r="K3569" s="22"/>
    </row>
    <row r="3570" spans="1:11">
      <c r="A3570" s="241" t="e">
        <f>VLOOKUP(B3570,'lista 1'!$A$2:$E$30100,4,0)</f>
        <v>#N/A</v>
      </c>
      <c r="B3570" s="123"/>
      <c r="C3570" s="133" t="e">
        <f>VLOOKUP(B3570,'lista 1'!$A$2:$E$31000,5,0)</f>
        <v>#N/A</v>
      </c>
      <c r="D3570" s="167" t="e">
        <f>VLOOKUP(E15370,'lista obszary'!A:B,2,0)</f>
        <v>#N/A</v>
      </c>
      <c r="E3570" s="128" t="e">
        <f>VLOOKUP(B3570,'LISTA 12'!$A$2:$G$301400,5,0)</f>
        <v>#N/A</v>
      </c>
      <c r="F3570" s="121" t="e">
        <f>VLOOKUP(B3570,'LISTA 12'!$A$2:$G$30100,7,0)</f>
        <v>#N/A</v>
      </c>
      <c r="G3570" s="254" t="e">
        <f>VLOOKUP(H3570,'lista 3'!$A$1:$C$31467,3,0)</f>
        <v>#N/A</v>
      </c>
      <c r="H3570" s="134"/>
      <c r="I3570" s="136"/>
      <c r="J3570" s="135"/>
      <c r="K3570" s="22"/>
    </row>
    <row r="3571" spans="1:11">
      <c r="A3571" s="241" t="e">
        <f>VLOOKUP(B3571,'lista 1'!$A$2:$E$30100,4,0)</f>
        <v>#N/A</v>
      </c>
      <c r="B3571" s="123"/>
      <c r="C3571" s="133" t="e">
        <f>VLOOKUP(B3571,'lista 1'!$A$2:$E$31000,5,0)</f>
        <v>#N/A</v>
      </c>
      <c r="D3571" s="167" t="e">
        <f>VLOOKUP(E15371,'lista obszary'!A:B,2,0)</f>
        <v>#N/A</v>
      </c>
      <c r="E3571" s="128" t="e">
        <f>VLOOKUP(B3571,'LISTA 12'!$A$2:$G$301400,5,0)</f>
        <v>#N/A</v>
      </c>
      <c r="F3571" s="121" t="e">
        <f>VLOOKUP(B3571,'LISTA 12'!$A$2:$G$30100,7,0)</f>
        <v>#N/A</v>
      </c>
      <c r="G3571" s="254" t="e">
        <f>VLOOKUP(H3571,'lista 3'!$A$1:$C$31467,3,0)</f>
        <v>#N/A</v>
      </c>
      <c r="H3571" s="134"/>
      <c r="I3571" s="136"/>
      <c r="J3571" s="135"/>
      <c r="K3571" s="22"/>
    </row>
    <row r="3572" spans="1:11">
      <c r="A3572" s="241" t="e">
        <f>VLOOKUP(B3572,'lista 1'!$A$2:$E$30100,4,0)</f>
        <v>#N/A</v>
      </c>
      <c r="B3572" s="123"/>
      <c r="C3572" s="133" t="e">
        <f>VLOOKUP(B3572,'lista 1'!$A$2:$E$31000,5,0)</f>
        <v>#N/A</v>
      </c>
      <c r="D3572" s="167" t="e">
        <f>VLOOKUP(E15372,'lista obszary'!A:B,2,0)</f>
        <v>#N/A</v>
      </c>
      <c r="E3572" s="128" t="e">
        <f>VLOOKUP(B3572,'LISTA 12'!$A$2:$G$301400,5,0)</f>
        <v>#N/A</v>
      </c>
      <c r="F3572" s="121" t="e">
        <f>VLOOKUP(B3572,'LISTA 12'!$A$2:$G$30100,7,0)</f>
        <v>#N/A</v>
      </c>
      <c r="G3572" s="254" t="e">
        <f>VLOOKUP(H3572,'lista 3'!$A$1:$C$31467,3,0)</f>
        <v>#N/A</v>
      </c>
      <c r="H3572" s="134"/>
      <c r="I3572" s="136"/>
      <c r="J3572" s="135"/>
      <c r="K3572" s="22"/>
    </row>
    <row r="3573" spans="1:11">
      <c r="A3573" s="241" t="e">
        <f>VLOOKUP(B3573,'lista 1'!$A$2:$E$30100,4,0)</f>
        <v>#N/A</v>
      </c>
      <c r="B3573" s="123"/>
      <c r="C3573" s="133" t="e">
        <f>VLOOKUP(B3573,'lista 1'!$A$2:$E$31000,5,0)</f>
        <v>#N/A</v>
      </c>
      <c r="D3573" s="167" t="e">
        <f>VLOOKUP(E15373,'lista obszary'!A:B,2,0)</f>
        <v>#N/A</v>
      </c>
      <c r="E3573" s="128" t="e">
        <f>VLOOKUP(B3573,'LISTA 12'!$A$2:$G$301400,5,0)</f>
        <v>#N/A</v>
      </c>
      <c r="F3573" s="121" t="e">
        <f>VLOOKUP(B3573,'LISTA 12'!$A$2:$G$30100,7,0)</f>
        <v>#N/A</v>
      </c>
      <c r="G3573" s="254" t="e">
        <f>VLOOKUP(H3573,'lista 3'!$A$1:$C$31467,3,0)</f>
        <v>#N/A</v>
      </c>
      <c r="H3573" s="134"/>
      <c r="I3573" s="136"/>
      <c r="J3573" s="135"/>
      <c r="K3573" s="22"/>
    </row>
    <row r="3574" spans="1:11">
      <c r="A3574" s="241" t="e">
        <f>VLOOKUP(B3574,'lista 1'!$A$2:$E$30100,4,0)</f>
        <v>#N/A</v>
      </c>
      <c r="B3574" s="123"/>
      <c r="C3574" s="133" t="e">
        <f>VLOOKUP(B3574,'lista 1'!$A$2:$E$31000,5,0)</f>
        <v>#N/A</v>
      </c>
      <c r="D3574" s="167" t="e">
        <f>VLOOKUP(E15374,'lista obszary'!A:B,2,0)</f>
        <v>#N/A</v>
      </c>
      <c r="E3574" s="128" t="e">
        <f>VLOOKUP(B3574,'LISTA 12'!$A$2:$G$301400,5,0)</f>
        <v>#N/A</v>
      </c>
      <c r="F3574" s="121" t="e">
        <f>VLOOKUP(B3574,'LISTA 12'!$A$2:$G$30100,7,0)</f>
        <v>#N/A</v>
      </c>
      <c r="G3574" s="254" t="e">
        <f>VLOOKUP(H3574,'lista 3'!$A$1:$C$31467,3,0)</f>
        <v>#N/A</v>
      </c>
      <c r="H3574" s="134"/>
      <c r="I3574" s="136"/>
      <c r="J3574" s="135"/>
      <c r="K3574" s="22"/>
    </row>
    <row r="3575" spans="1:11">
      <c r="A3575" s="241" t="e">
        <f>VLOOKUP(B3575,'lista 1'!$A$2:$E$30100,4,0)</f>
        <v>#N/A</v>
      </c>
      <c r="B3575" s="123"/>
      <c r="C3575" s="133" t="e">
        <f>VLOOKUP(B3575,'lista 1'!$A$2:$E$31000,5,0)</f>
        <v>#N/A</v>
      </c>
      <c r="D3575" s="167" t="e">
        <f>VLOOKUP(E15375,'lista obszary'!A:B,2,0)</f>
        <v>#N/A</v>
      </c>
      <c r="E3575" s="128" t="e">
        <f>VLOOKUP(B3575,'LISTA 12'!$A$2:$G$301400,5,0)</f>
        <v>#N/A</v>
      </c>
      <c r="F3575" s="121" t="e">
        <f>VLOOKUP(B3575,'LISTA 12'!$A$2:$G$30100,7,0)</f>
        <v>#N/A</v>
      </c>
      <c r="G3575" s="254" t="e">
        <f>VLOOKUP(H3575,'lista 3'!$A$1:$C$31467,3,0)</f>
        <v>#N/A</v>
      </c>
      <c r="H3575" s="134"/>
      <c r="I3575" s="136"/>
      <c r="J3575" s="135"/>
      <c r="K3575" s="22"/>
    </row>
    <row r="3576" spans="1:11">
      <c r="A3576" s="241" t="e">
        <f>VLOOKUP(B3576,'lista 1'!$A$2:$E$30100,4,0)</f>
        <v>#N/A</v>
      </c>
      <c r="B3576" s="123"/>
      <c r="C3576" s="133" t="e">
        <f>VLOOKUP(B3576,'lista 1'!$A$2:$E$31000,5,0)</f>
        <v>#N/A</v>
      </c>
      <c r="D3576" s="167" t="e">
        <f>VLOOKUP(E15376,'lista obszary'!A:B,2,0)</f>
        <v>#N/A</v>
      </c>
      <c r="E3576" s="128" t="e">
        <f>VLOOKUP(B3576,'LISTA 12'!$A$2:$G$301400,5,0)</f>
        <v>#N/A</v>
      </c>
      <c r="F3576" s="121" t="e">
        <f>VLOOKUP(B3576,'LISTA 12'!$A$2:$G$30100,7,0)</f>
        <v>#N/A</v>
      </c>
      <c r="G3576" s="254" t="e">
        <f>VLOOKUP(H3576,'lista 3'!$A$1:$C$31467,3,0)</f>
        <v>#N/A</v>
      </c>
      <c r="H3576" s="134"/>
      <c r="I3576" s="136"/>
      <c r="J3576" s="135"/>
      <c r="K3576" s="22"/>
    </row>
    <row r="3577" spans="1:11">
      <c r="A3577" s="241" t="e">
        <f>VLOOKUP(B3577,'lista 1'!$A$2:$E$30100,4,0)</f>
        <v>#N/A</v>
      </c>
      <c r="B3577" s="123"/>
      <c r="C3577" s="133" t="e">
        <f>VLOOKUP(B3577,'lista 1'!$A$2:$E$31000,5,0)</f>
        <v>#N/A</v>
      </c>
      <c r="D3577" s="167" t="e">
        <f>VLOOKUP(E15377,'lista obszary'!A:B,2,0)</f>
        <v>#N/A</v>
      </c>
      <c r="E3577" s="128" t="e">
        <f>VLOOKUP(B3577,'LISTA 12'!$A$2:$G$301400,5,0)</f>
        <v>#N/A</v>
      </c>
      <c r="F3577" s="121" t="e">
        <f>VLOOKUP(B3577,'LISTA 12'!$A$2:$G$30100,7,0)</f>
        <v>#N/A</v>
      </c>
      <c r="G3577" s="254" t="e">
        <f>VLOOKUP(H3577,'lista 3'!$A$1:$C$31467,3,0)</f>
        <v>#N/A</v>
      </c>
      <c r="H3577" s="134"/>
      <c r="I3577" s="136"/>
      <c r="J3577" s="135"/>
      <c r="K3577" s="22"/>
    </row>
    <row r="3578" spans="1:11">
      <c r="A3578" s="241" t="e">
        <f>VLOOKUP(B3578,'lista 1'!$A$2:$E$30100,4,0)</f>
        <v>#N/A</v>
      </c>
      <c r="B3578" s="123"/>
      <c r="C3578" s="133" t="e">
        <f>VLOOKUP(B3578,'lista 1'!$A$2:$E$31000,5,0)</f>
        <v>#N/A</v>
      </c>
      <c r="D3578" s="167" t="e">
        <f>VLOOKUP(E15378,'lista obszary'!A:B,2,0)</f>
        <v>#N/A</v>
      </c>
      <c r="E3578" s="128" t="e">
        <f>VLOOKUP(B3578,'LISTA 12'!$A$2:$G$301400,5,0)</f>
        <v>#N/A</v>
      </c>
      <c r="F3578" s="121" t="e">
        <f>VLOOKUP(B3578,'LISTA 12'!$A$2:$G$30100,7,0)</f>
        <v>#N/A</v>
      </c>
      <c r="G3578" s="254" t="e">
        <f>VLOOKUP(H3578,'lista 3'!$A$1:$C$31467,3,0)</f>
        <v>#N/A</v>
      </c>
      <c r="H3578" s="134"/>
      <c r="I3578" s="136"/>
      <c r="J3578" s="135"/>
      <c r="K3578" s="22"/>
    </row>
    <row r="3579" spans="1:11">
      <c r="A3579" s="241" t="e">
        <f>VLOOKUP(B3579,'lista 1'!$A$2:$E$30100,4,0)</f>
        <v>#N/A</v>
      </c>
      <c r="B3579" s="123"/>
      <c r="C3579" s="133" t="e">
        <f>VLOOKUP(B3579,'lista 1'!$A$2:$E$31000,5,0)</f>
        <v>#N/A</v>
      </c>
      <c r="D3579" s="167" t="e">
        <f>VLOOKUP(E15379,'lista obszary'!A:B,2,0)</f>
        <v>#N/A</v>
      </c>
      <c r="E3579" s="128" t="e">
        <f>VLOOKUP(B3579,'LISTA 12'!$A$2:$G$301400,5,0)</f>
        <v>#N/A</v>
      </c>
      <c r="F3579" s="121" t="e">
        <f>VLOOKUP(B3579,'LISTA 12'!$A$2:$G$30100,7,0)</f>
        <v>#N/A</v>
      </c>
      <c r="G3579" s="254" t="e">
        <f>VLOOKUP(H3579,'lista 3'!$A$1:$C$31467,3,0)</f>
        <v>#N/A</v>
      </c>
      <c r="H3579" s="134"/>
      <c r="I3579" s="136"/>
      <c r="J3579" s="135"/>
      <c r="K3579" s="22"/>
    </row>
    <row r="3580" spans="1:11">
      <c r="A3580" s="241" t="e">
        <f>VLOOKUP(B3580,'lista 1'!$A$2:$E$30100,4,0)</f>
        <v>#N/A</v>
      </c>
      <c r="B3580" s="123"/>
      <c r="C3580" s="133" t="e">
        <f>VLOOKUP(B3580,'lista 1'!$A$2:$E$31000,5,0)</f>
        <v>#N/A</v>
      </c>
      <c r="D3580" s="167" t="e">
        <f>VLOOKUP(E15380,'lista obszary'!A:B,2,0)</f>
        <v>#N/A</v>
      </c>
      <c r="E3580" s="128" t="e">
        <f>VLOOKUP(B3580,'LISTA 12'!$A$2:$G$301400,5,0)</f>
        <v>#N/A</v>
      </c>
      <c r="F3580" s="121" t="e">
        <f>VLOOKUP(B3580,'LISTA 12'!$A$2:$G$30100,7,0)</f>
        <v>#N/A</v>
      </c>
      <c r="G3580" s="254" t="e">
        <f>VLOOKUP(H3580,'lista 3'!$A$1:$C$31467,3,0)</f>
        <v>#N/A</v>
      </c>
      <c r="H3580" s="134"/>
      <c r="I3580" s="136"/>
      <c r="J3580" s="135"/>
      <c r="K3580" s="22"/>
    </row>
    <row r="3581" spans="1:11">
      <c r="A3581" s="241" t="e">
        <f>VLOOKUP(B3581,'lista 1'!$A$2:$E$30100,4,0)</f>
        <v>#N/A</v>
      </c>
      <c r="B3581" s="123"/>
      <c r="C3581" s="133" t="e">
        <f>VLOOKUP(B3581,'lista 1'!$A$2:$E$31000,5,0)</f>
        <v>#N/A</v>
      </c>
      <c r="D3581" s="167" t="e">
        <f>VLOOKUP(E15381,'lista obszary'!A:B,2,0)</f>
        <v>#N/A</v>
      </c>
      <c r="E3581" s="128" t="e">
        <f>VLOOKUP(B3581,'LISTA 12'!$A$2:$G$301400,5,0)</f>
        <v>#N/A</v>
      </c>
      <c r="F3581" s="121" t="e">
        <f>VLOOKUP(B3581,'LISTA 12'!$A$2:$G$30100,7,0)</f>
        <v>#N/A</v>
      </c>
      <c r="G3581" s="254" t="e">
        <f>VLOOKUP(H3581,'lista 3'!$A$1:$C$31467,3,0)</f>
        <v>#N/A</v>
      </c>
      <c r="H3581" s="134"/>
      <c r="I3581" s="136"/>
      <c r="J3581" s="135"/>
      <c r="K3581" s="22"/>
    </row>
    <row r="3582" spans="1:11">
      <c r="A3582" s="241" t="e">
        <f>VLOOKUP(B3582,'lista 1'!$A$2:$E$30100,4,0)</f>
        <v>#N/A</v>
      </c>
      <c r="B3582" s="123"/>
      <c r="C3582" s="133" t="e">
        <f>VLOOKUP(B3582,'lista 1'!$A$2:$E$31000,5,0)</f>
        <v>#N/A</v>
      </c>
      <c r="D3582" s="167" t="e">
        <f>VLOOKUP(E15382,'lista obszary'!A:B,2,0)</f>
        <v>#N/A</v>
      </c>
      <c r="E3582" s="128" t="e">
        <f>VLOOKUP(B3582,'LISTA 12'!$A$2:$G$301400,5,0)</f>
        <v>#N/A</v>
      </c>
      <c r="F3582" s="121" t="e">
        <f>VLOOKUP(B3582,'LISTA 12'!$A$2:$G$30100,7,0)</f>
        <v>#N/A</v>
      </c>
      <c r="G3582" s="254" t="e">
        <f>VLOOKUP(H3582,'lista 3'!$A$1:$C$31467,3,0)</f>
        <v>#N/A</v>
      </c>
      <c r="H3582" s="134"/>
      <c r="I3582" s="136"/>
      <c r="J3582" s="135"/>
      <c r="K3582" s="22"/>
    </row>
    <row r="3583" spans="1:11">
      <c r="A3583" s="241" t="e">
        <f>VLOOKUP(B3583,'lista 1'!$A$2:$E$30100,4,0)</f>
        <v>#N/A</v>
      </c>
      <c r="B3583" s="123"/>
      <c r="C3583" s="133" t="e">
        <f>VLOOKUP(B3583,'lista 1'!$A$2:$E$31000,5,0)</f>
        <v>#N/A</v>
      </c>
      <c r="D3583" s="167" t="e">
        <f>VLOOKUP(E15383,'lista obszary'!A:B,2,0)</f>
        <v>#N/A</v>
      </c>
      <c r="E3583" s="128" t="e">
        <f>VLOOKUP(B3583,'LISTA 12'!$A$2:$G$301400,5,0)</f>
        <v>#N/A</v>
      </c>
      <c r="F3583" s="121" t="e">
        <f>VLOOKUP(B3583,'LISTA 12'!$A$2:$G$30100,7,0)</f>
        <v>#N/A</v>
      </c>
      <c r="G3583" s="254" t="e">
        <f>VLOOKUP(H3583,'lista 3'!$A$1:$C$31467,3,0)</f>
        <v>#N/A</v>
      </c>
      <c r="H3583" s="134"/>
      <c r="I3583" s="136"/>
      <c r="J3583" s="135"/>
      <c r="K3583" s="22"/>
    </row>
    <row r="3584" spans="1:11">
      <c r="A3584" s="241" t="e">
        <f>VLOOKUP(B3584,'lista 1'!$A$2:$E$30100,4,0)</f>
        <v>#N/A</v>
      </c>
      <c r="B3584" s="123"/>
      <c r="C3584" s="133" t="e">
        <f>VLOOKUP(B3584,'lista 1'!$A$2:$E$31000,5,0)</f>
        <v>#N/A</v>
      </c>
      <c r="D3584" s="167" t="e">
        <f>VLOOKUP(E15384,'lista obszary'!A:B,2,0)</f>
        <v>#N/A</v>
      </c>
      <c r="E3584" s="128" t="e">
        <f>VLOOKUP(B3584,'LISTA 12'!$A$2:$G$301400,5,0)</f>
        <v>#N/A</v>
      </c>
      <c r="F3584" s="121" t="e">
        <f>VLOOKUP(B3584,'LISTA 12'!$A$2:$G$30100,7,0)</f>
        <v>#N/A</v>
      </c>
      <c r="G3584" s="254" t="e">
        <f>VLOOKUP(H3584,'lista 3'!$A$1:$C$31467,3,0)</f>
        <v>#N/A</v>
      </c>
      <c r="H3584" s="134"/>
      <c r="I3584" s="136"/>
      <c r="J3584" s="135"/>
      <c r="K3584" s="22"/>
    </row>
    <row r="3585" spans="1:11">
      <c r="A3585" s="241" t="e">
        <f>VLOOKUP(B3585,'lista 1'!$A$2:$E$30100,4,0)</f>
        <v>#N/A</v>
      </c>
      <c r="B3585" s="123"/>
      <c r="C3585" s="133" t="e">
        <f>VLOOKUP(B3585,'lista 1'!$A$2:$E$31000,5,0)</f>
        <v>#N/A</v>
      </c>
      <c r="D3585" s="167" t="e">
        <f>VLOOKUP(E15385,'lista obszary'!A:B,2,0)</f>
        <v>#N/A</v>
      </c>
      <c r="E3585" s="128" t="e">
        <f>VLOOKUP(B3585,'LISTA 12'!$A$2:$G$301400,5,0)</f>
        <v>#N/A</v>
      </c>
      <c r="F3585" s="121" t="e">
        <f>VLOOKUP(B3585,'LISTA 12'!$A$2:$G$30100,7,0)</f>
        <v>#N/A</v>
      </c>
      <c r="G3585" s="254" t="e">
        <f>VLOOKUP(H3585,'lista 3'!$A$1:$C$31467,3,0)</f>
        <v>#N/A</v>
      </c>
      <c r="H3585" s="134"/>
      <c r="I3585" s="136"/>
      <c r="J3585" s="135"/>
      <c r="K3585" s="22"/>
    </row>
    <row r="3586" spans="1:11">
      <c r="A3586" s="241" t="e">
        <f>VLOOKUP(B3586,'lista 1'!$A$2:$E$30100,4,0)</f>
        <v>#N/A</v>
      </c>
      <c r="B3586" s="123"/>
      <c r="C3586" s="133" t="e">
        <f>VLOOKUP(B3586,'lista 1'!$A$2:$E$31000,5,0)</f>
        <v>#N/A</v>
      </c>
      <c r="D3586" s="167" t="e">
        <f>VLOOKUP(E15386,'lista obszary'!A:B,2,0)</f>
        <v>#N/A</v>
      </c>
      <c r="E3586" s="128" t="e">
        <f>VLOOKUP(B3586,'LISTA 12'!$A$2:$G$301400,5,0)</f>
        <v>#N/A</v>
      </c>
      <c r="F3586" s="121" t="e">
        <f>VLOOKUP(B3586,'LISTA 12'!$A$2:$G$30100,7,0)</f>
        <v>#N/A</v>
      </c>
      <c r="G3586" s="254" t="e">
        <f>VLOOKUP(H3586,'lista 3'!$A$1:$C$31467,3,0)</f>
        <v>#N/A</v>
      </c>
      <c r="H3586" s="134"/>
      <c r="I3586" s="136"/>
      <c r="J3586" s="135"/>
      <c r="K3586" s="22"/>
    </row>
    <row r="3587" spans="1:11">
      <c r="A3587" s="241" t="e">
        <f>VLOOKUP(B3587,'lista 1'!$A$2:$E$30100,4,0)</f>
        <v>#N/A</v>
      </c>
      <c r="B3587" s="123"/>
      <c r="C3587" s="133" t="e">
        <f>VLOOKUP(B3587,'lista 1'!$A$2:$E$31000,5,0)</f>
        <v>#N/A</v>
      </c>
      <c r="D3587" s="167" t="e">
        <f>VLOOKUP(E15387,'lista obszary'!A:B,2,0)</f>
        <v>#N/A</v>
      </c>
      <c r="E3587" s="128" t="e">
        <f>VLOOKUP(B3587,'LISTA 12'!$A$2:$G$301400,5,0)</f>
        <v>#N/A</v>
      </c>
      <c r="F3587" s="121" t="e">
        <f>VLOOKUP(B3587,'LISTA 12'!$A$2:$G$30100,7,0)</f>
        <v>#N/A</v>
      </c>
      <c r="G3587" s="254" t="e">
        <f>VLOOKUP(H3587,'lista 3'!$A$1:$C$31467,3,0)</f>
        <v>#N/A</v>
      </c>
      <c r="H3587" s="134"/>
      <c r="I3587" s="136"/>
      <c r="J3587" s="135"/>
      <c r="K3587" s="22"/>
    </row>
    <row r="3588" spans="1:11">
      <c r="A3588" s="241" t="e">
        <f>VLOOKUP(B3588,'lista 1'!$A$2:$E$30100,4,0)</f>
        <v>#N/A</v>
      </c>
      <c r="B3588" s="123"/>
      <c r="C3588" s="133" t="e">
        <f>VLOOKUP(B3588,'lista 1'!$A$2:$E$31000,5,0)</f>
        <v>#N/A</v>
      </c>
      <c r="D3588" s="167" t="e">
        <f>VLOOKUP(E15388,'lista obszary'!A:B,2,0)</f>
        <v>#N/A</v>
      </c>
      <c r="E3588" s="128" t="e">
        <f>VLOOKUP(B3588,'LISTA 12'!$A$2:$G$301400,5,0)</f>
        <v>#N/A</v>
      </c>
      <c r="F3588" s="121" t="e">
        <f>VLOOKUP(B3588,'LISTA 12'!$A$2:$G$30100,7,0)</f>
        <v>#N/A</v>
      </c>
      <c r="G3588" s="254" t="e">
        <f>VLOOKUP(H3588,'lista 3'!$A$1:$C$31467,3,0)</f>
        <v>#N/A</v>
      </c>
      <c r="H3588" s="134"/>
      <c r="I3588" s="136"/>
      <c r="J3588" s="135"/>
      <c r="K3588" s="22"/>
    </row>
    <row r="3589" spans="1:11">
      <c r="A3589" s="241" t="e">
        <f>VLOOKUP(B3589,'lista 1'!$A$2:$E$30100,4,0)</f>
        <v>#N/A</v>
      </c>
      <c r="B3589" s="123"/>
      <c r="C3589" s="133" t="e">
        <f>VLOOKUP(B3589,'lista 1'!$A$2:$E$31000,5,0)</f>
        <v>#N/A</v>
      </c>
      <c r="D3589" s="167" t="e">
        <f>VLOOKUP(E15389,'lista obszary'!A:B,2,0)</f>
        <v>#N/A</v>
      </c>
      <c r="E3589" s="128" t="e">
        <f>VLOOKUP(B3589,'LISTA 12'!$A$2:$G$301400,5,0)</f>
        <v>#N/A</v>
      </c>
      <c r="F3589" s="121" t="e">
        <f>VLOOKUP(B3589,'LISTA 12'!$A$2:$G$30100,7,0)</f>
        <v>#N/A</v>
      </c>
      <c r="G3589" s="254" t="e">
        <f>VLOOKUP(H3589,'lista 3'!$A$1:$C$31467,3,0)</f>
        <v>#N/A</v>
      </c>
      <c r="H3589" s="134"/>
      <c r="I3589" s="136"/>
      <c r="J3589" s="135"/>
      <c r="K3589" s="22"/>
    </row>
    <row r="3590" spans="1:11">
      <c r="A3590" s="241" t="e">
        <f>VLOOKUP(B3590,'lista 1'!$A$2:$E$30100,4,0)</f>
        <v>#N/A</v>
      </c>
      <c r="B3590" s="123"/>
      <c r="C3590" s="133" t="e">
        <f>VLOOKUP(B3590,'lista 1'!$A$2:$E$31000,5,0)</f>
        <v>#N/A</v>
      </c>
      <c r="D3590" s="167" t="e">
        <f>VLOOKUP(E15390,'lista obszary'!A:B,2,0)</f>
        <v>#N/A</v>
      </c>
      <c r="E3590" s="128" t="e">
        <f>VLOOKUP(B3590,'LISTA 12'!$A$2:$G$301400,5,0)</f>
        <v>#N/A</v>
      </c>
      <c r="F3590" s="121" t="e">
        <f>VLOOKUP(B3590,'LISTA 12'!$A$2:$G$30100,7,0)</f>
        <v>#N/A</v>
      </c>
      <c r="G3590" s="254" t="e">
        <f>VLOOKUP(H3590,'lista 3'!$A$1:$C$31467,3,0)</f>
        <v>#N/A</v>
      </c>
      <c r="H3590" s="134"/>
      <c r="I3590" s="136"/>
      <c r="J3590" s="135"/>
      <c r="K3590" s="22"/>
    </row>
    <row r="3591" spans="1:11">
      <c r="A3591" s="241" t="e">
        <f>VLOOKUP(B3591,'lista 1'!$A$2:$E$30100,4,0)</f>
        <v>#N/A</v>
      </c>
      <c r="B3591" s="123"/>
      <c r="C3591" s="133" t="e">
        <f>VLOOKUP(B3591,'lista 1'!$A$2:$E$31000,5,0)</f>
        <v>#N/A</v>
      </c>
      <c r="D3591" s="167" t="e">
        <f>VLOOKUP(E15391,'lista obszary'!A:B,2,0)</f>
        <v>#N/A</v>
      </c>
      <c r="E3591" s="128" t="e">
        <f>VLOOKUP(B3591,'LISTA 12'!$A$2:$G$301400,5,0)</f>
        <v>#N/A</v>
      </c>
      <c r="F3591" s="121" t="e">
        <f>VLOOKUP(B3591,'LISTA 12'!$A$2:$G$30100,7,0)</f>
        <v>#N/A</v>
      </c>
      <c r="G3591" s="254" t="e">
        <f>VLOOKUP(H3591,'lista 3'!$A$1:$C$31467,3,0)</f>
        <v>#N/A</v>
      </c>
      <c r="H3591" s="134"/>
      <c r="I3591" s="136"/>
      <c r="J3591" s="135"/>
      <c r="K3591" s="22"/>
    </row>
    <row r="3592" spans="1:11">
      <c r="A3592" s="241" t="e">
        <f>VLOOKUP(B3592,'lista 1'!$A$2:$E$30100,4,0)</f>
        <v>#N/A</v>
      </c>
      <c r="B3592" s="123"/>
      <c r="C3592" s="133" t="e">
        <f>VLOOKUP(B3592,'lista 1'!$A$2:$E$31000,5,0)</f>
        <v>#N/A</v>
      </c>
      <c r="D3592" s="167" t="e">
        <f>VLOOKUP(E15392,'lista obszary'!A:B,2,0)</f>
        <v>#N/A</v>
      </c>
      <c r="E3592" s="128" t="e">
        <f>VLOOKUP(B3592,'LISTA 12'!$A$2:$G$301400,5,0)</f>
        <v>#N/A</v>
      </c>
      <c r="F3592" s="121" t="e">
        <f>VLOOKUP(B3592,'LISTA 12'!$A$2:$G$30100,7,0)</f>
        <v>#N/A</v>
      </c>
      <c r="G3592" s="254" t="e">
        <f>VLOOKUP(H3592,'lista 3'!$A$1:$C$31467,3,0)</f>
        <v>#N/A</v>
      </c>
      <c r="H3592" s="134"/>
      <c r="I3592" s="136"/>
      <c r="J3592" s="135"/>
      <c r="K3592" s="22"/>
    </row>
    <row r="3593" spans="1:11">
      <c r="A3593" s="241" t="e">
        <f>VLOOKUP(B3593,'lista 1'!$A$2:$E$30100,4,0)</f>
        <v>#N/A</v>
      </c>
      <c r="B3593" s="123"/>
      <c r="C3593" s="133" t="e">
        <f>VLOOKUP(B3593,'lista 1'!$A$2:$E$31000,5,0)</f>
        <v>#N/A</v>
      </c>
      <c r="D3593" s="167" t="e">
        <f>VLOOKUP(E15393,'lista obszary'!A:B,2,0)</f>
        <v>#N/A</v>
      </c>
      <c r="E3593" s="128" t="e">
        <f>VLOOKUP(B3593,'LISTA 12'!$A$2:$G$301400,5,0)</f>
        <v>#N/A</v>
      </c>
      <c r="F3593" s="121" t="e">
        <f>VLOOKUP(B3593,'LISTA 12'!$A$2:$G$30100,7,0)</f>
        <v>#N/A</v>
      </c>
      <c r="G3593" s="254" t="e">
        <f>VLOOKUP(H3593,'lista 3'!$A$1:$C$31467,3,0)</f>
        <v>#N/A</v>
      </c>
      <c r="H3593" s="134"/>
      <c r="I3593" s="136"/>
      <c r="J3593" s="135"/>
      <c r="K3593" s="22"/>
    </row>
    <row r="3594" spans="1:11">
      <c r="A3594" s="241" t="e">
        <f>VLOOKUP(B3594,'lista 1'!$A$2:$E$30100,4,0)</f>
        <v>#N/A</v>
      </c>
      <c r="B3594" s="123"/>
      <c r="C3594" s="133" t="e">
        <f>VLOOKUP(B3594,'lista 1'!$A$2:$E$31000,5,0)</f>
        <v>#N/A</v>
      </c>
      <c r="D3594" s="167" t="e">
        <f>VLOOKUP(E15394,'lista obszary'!A:B,2,0)</f>
        <v>#N/A</v>
      </c>
      <c r="E3594" s="128" t="e">
        <f>VLOOKUP(B3594,'LISTA 12'!$A$2:$G$301400,5,0)</f>
        <v>#N/A</v>
      </c>
      <c r="F3594" s="121" t="e">
        <f>VLOOKUP(B3594,'LISTA 12'!$A$2:$G$30100,7,0)</f>
        <v>#N/A</v>
      </c>
      <c r="G3594" s="254" t="e">
        <f>VLOOKUP(H3594,'lista 3'!$A$1:$C$31467,3,0)</f>
        <v>#N/A</v>
      </c>
      <c r="H3594" s="134"/>
      <c r="I3594" s="136"/>
      <c r="J3594" s="135"/>
      <c r="K3594" s="22"/>
    </row>
    <row r="3595" spans="1:11">
      <c r="A3595" s="241" t="e">
        <f>VLOOKUP(B3595,'lista 1'!$A$2:$E$30100,4,0)</f>
        <v>#N/A</v>
      </c>
      <c r="B3595" s="123"/>
      <c r="C3595" s="133" t="e">
        <f>VLOOKUP(B3595,'lista 1'!$A$2:$E$31000,5,0)</f>
        <v>#N/A</v>
      </c>
      <c r="D3595" s="167" t="e">
        <f>VLOOKUP(E15395,'lista obszary'!A:B,2,0)</f>
        <v>#N/A</v>
      </c>
      <c r="E3595" s="128" t="e">
        <f>VLOOKUP(B3595,'LISTA 12'!$A$2:$G$301400,5,0)</f>
        <v>#N/A</v>
      </c>
      <c r="F3595" s="121" t="e">
        <f>VLOOKUP(B3595,'LISTA 12'!$A$2:$G$30100,7,0)</f>
        <v>#N/A</v>
      </c>
      <c r="G3595" s="254" t="e">
        <f>VLOOKUP(H3595,'lista 3'!$A$1:$C$31467,3,0)</f>
        <v>#N/A</v>
      </c>
      <c r="H3595" s="134"/>
      <c r="I3595" s="136"/>
      <c r="J3595" s="135"/>
      <c r="K3595" s="22"/>
    </row>
    <row r="3596" spans="1:11">
      <c r="A3596" s="241" t="e">
        <f>VLOOKUP(B3596,'lista 1'!$A$2:$E$30100,4,0)</f>
        <v>#N/A</v>
      </c>
      <c r="B3596" s="123"/>
      <c r="C3596" s="133" t="e">
        <f>VLOOKUP(B3596,'lista 1'!$A$2:$E$31000,5,0)</f>
        <v>#N/A</v>
      </c>
      <c r="D3596" s="167" t="e">
        <f>VLOOKUP(E15396,'lista obszary'!A:B,2,0)</f>
        <v>#N/A</v>
      </c>
      <c r="E3596" s="128" t="e">
        <f>VLOOKUP(B3596,'LISTA 12'!$A$2:$G$301400,5,0)</f>
        <v>#N/A</v>
      </c>
      <c r="F3596" s="121" t="e">
        <f>VLOOKUP(B3596,'LISTA 12'!$A$2:$G$30100,7,0)</f>
        <v>#N/A</v>
      </c>
      <c r="G3596" s="254" t="e">
        <f>VLOOKUP(H3596,'lista 3'!$A$1:$C$31467,3,0)</f>
        <v>#N/A</v>
      </c>
      <c r="H3596" s="134"/>
      <c r="I3596" s="136"/>
      <c r="J3596" s="135"/>
      <c r="K3596" s="22"/>
    </row>
    <row r="3597" spans="1:11">
      <c r="A3597" s="241" t="e">
        <f>VLOOKUP(B3597,'lista 1'!$A$2:$E$30100,4,0)</f>
        <v>#N/A</v>
      </c>
      <c r="B3597" s="123"/>
      <c r="C3597" s="133" t="e">
        <f>VLOOKUP(B3597,'lista 1'!$A$2:$E$31000,5,0)</f>
        <v>#N/A</v>
      </c>
      <c r="D3597" s="167" t="e">
        <f>VLOOKUP(E15397,'lista obszary'!A:B,2,0)</f>
        <v>#N/A</v>
      </c>
      <c r="E3597" s="128" t="e">
        <f>VLOOKUP(B3597,'LISTA 12'!$A$2:$G$301400,5,0)</f>
        <v>#N/A</v>
      </c>
      <c r="F3597" s="121" t="e">
        <f>VLOOKUP(B3597,'LISTA 12'!$A$2:$G$30100,7,0)</f>
        <v>#N/A</v>
      </c>
      <c r="G3597" s="254" t="e">
        <f>VLOOKUP(H3597,'lista 3'!$A$1:$C$31467,3,0)</f>
        <v>#N/A</v>
      </c>
      <c r="H3597" s="134"/>
      <c r="I3597" s="136"/>
      <c r="J3597" s="135"/>
      <c r="K3597" s="22"/>
    </row>
    <row r="3598" spans="1:11">
      <c r="A3598" s="241" t="e">
        <f>VLOOKUP(B3598,'lista 1'!$A$2:$E$30100,4,0)</f>
        <v>#N/A</v>
      </c>
      <c r="B3598" s="123"/>
      <c r="C3598" s="133" t="e">
        <f>VLOOKUP(B3598,'lista 1'!$A$2:$E$31000,5,0)</f>
        <v>#N/A</v>
      </c>
      <c r="D3598" s="167" t="e">
        <f>VLOOKUP(E15398,'lista obszary'!A:B,2,0)</f>
        <v>#N/A</v>
      </c>
      <c r="E3598" s="128" t="e">
        <f>VLOOKUP(B3598,'LISTA 12'!$A$2:$G$301400,5,0)</f>
        <v>#N/A</v>
      </c>
      <c r="F3598" s="121" t="e">
        <f>VLOOKUP(B3598,'LISTA 12'!$A$2:$G$30100,7,0)</f>
        <v>#N/A</v>
      </c>
      <c r="G3598" s="254" t="e">
        <f>VLOOKUP(H3598,'lista 3'!$A$1:$C$31467,3,0)</f>
        <v>#N/A</v>
      </c>
      <c r="H3598" s="134"/>
      <c r="I3598" s="136"/>
      <c r="J3598" s="135"/>
      <c r="K3598" s="22"/>
    </row>
    <row r="3599" spans="1:11">
      <c r="A3599" s="241" t="e">
        <f>VLOOKUP(B3599,'lista 1'!$A$2:$E$30100,4,0)</f>
        <v>#N/A</v>
      </c>
      <c r="B3599" s="123"/>
      <c r="C3599" s="133" t="e">
        <f>VLOOKUP(B3599,'lista 1'!$A$2:$E$31000,5,0)</f>
        <v>#N/A</v>
      </c>
      <c r="D3599" s="167" t="e">
        <f>VLOOKUP(E15399,'lista obszary'!A:B,2,0)</f>
        <v>#N/A</v>
      </c>
      <c r="E3599" s="128" t="e">
        <f>VLOOKUP(B3599,'LISTA 12'!$A$2:$G$301400,5,0)</f>
        <v>#N/A</v>
      </c>
      <c r="F3599" s="121" t="e">
        <f>VLOOKUP(B3599,'LISTA 12'!$A$2:$G$30100,7,0)</f>
        <v>#N/A</v>
      </c>
      <c r="G3599" s="254" t="e">
        <f>VLOOKUP(H3599,'lista 3'!$A$1:$C$31467,3,0)</f>
        <v>#N/A</v>
      </c>
      <c r="H3599" s="134"/>
      <c r="I3599" s="136"/>
      <c r="J3599" s="135"/>
      <c r="K3599" s="22"/>
    </row>
    <row r="3600" spans="1:11">
      <c r="A3600" s="241" t="e">
        <f>VLOOKUP(B3600,'lista 1'!$A$2:$E$30100,4,0)</f>
        <v>#N/A</v>
      </c>
      <c r="B3600" s="123"/>
      <c r="C3600" s="133" t="e">
        <f>VLOOKUP(B3600,'lista 1'!$A$2:$E$31000,5,0)</f>
        <v>#N/A</v>
      </c>
      <c r="D3600" s="167" t="e">
        <f>VLOOKUP(E15400,'lista obszary'!A:B,2,0)</f>
        <v>#N/A</v>
      </c>
      <c r="E3600" s="128" t="e">
        <f>VLOOKUP(B3600,'LISTA 12'!$A$2:$G$301400,5,0)</f>
        <v>#N/A</v>
      </c>
      <c r="F3600" s="121" t="e">
        <f>VLOOKUP(B3600,'LISTA 12'!$A$2:$G$30100,7,0)</f>
        <v>#N/A</v>
      </c>
      <c r="G3600" s="254" t="e">
        <f>VLOOKUP(H3600,'lista 3'!$A$1:$C$31467,3,0)</f>
        <v>#N/A</v>
      </c>
      <c r="H3600" s="134"/>
      <c r="I3600" s="136"/>
      <c r="J3600" s="135"/>
      <c r="K3600" s="22"/>
    </row>
    <row r="3601" spans="1:11">
      <c r="A3601" s="241" t="e">
        <f>VLOOKUP(B3601,'lista 1'!$A$2:$E$30100,4,0)</f>
        <v>#N/A</v>
      </c>
      <c r="B3601" s="123"/>
      <c r="C3601" s="133" t="e">
        <f>VLOOKUP(B3601,'lista 1'!$A$2:$E$31000,5,0)</f>
        <v>#N/A</v>
      </c>
      <c r="D3601" s="167" t="e">
        <f>VLOOKUP(E15401,'lista obszary'!A:B,2,0)</f>
        <v>#N/A</v>
      </c>
      <c r="E3601" s="128" t="e">
        <f>VLOOKUP(B3601,'LISTA 12'!$A$2:$G$301400,5,0)</f>
        <v>#N/A</v>
      </c>
      <c r="F3601" s="121" t="e">
        <f>VLOOKUP(B3601,'LISTA 12'!$A$2:$G$30100,7,0)</f>
        <v>#N/A</v>
      </c>
      <c r="G3601" s="254" t="e">
        <f>VLOOKUP(H3601,'lista 3'!$A$1:$C$31467,3,0)</f>
        <v>#N/A</v>
      </c>
      <c r="H3601" s="134"/>
      <c r="I3601" s="136"/>
      <c r="J3601" s="135"/>
      <c r="K3601" s="22"/>
    </row>
    <row r="3602" spans="1:11">
      <c r="A3602" s="241" t="e">
        <f>VLOOKUP(B3602,'lista 1'!$A$2:$E$30100,4,0)</f>
        <v>#N/A</v>
      </c>
      <c r="B3602" s="123"/>
      <c r="C3602" s="133" t="e">
        <f>VLOOKUP(B3602,'lista 1'!$A$2:$E$31000,5,0)</f>
        <v>#N/A</v>
      </c>
      <c r="D3602" s="167" t="e">
        <f>VLOOKUP(E15402,'lista obszary'!A:B,2,0)</f>
        <v>#N/A</v>
      </c>
      <c r="E3602" s="128" t="e">
        <f>VLOOKUP(B3602,'LISTA 12'!$A$2:$G$301400,5,0)</f>
        <v>#N/A</v>
      </c>
      <c r="F3602" s="121" t="e">
        <f>VLOOKUP(B3602,'LISTA 12'!$A$2:$G$30100,7,0)</f>
        <v>#N/A</v>
      </c>
      <c r="G3602" s="254" t="e">
        <f>VLOOKUP(H3602,'lista 3'!$A$1:$C$31467,3,0)</f>
        <v>#N/A</v>
      </c>
      <c r="H3602" s="134"/>
      <c r="I3602" s="136"/>
      <c r="J3602" s="135"/>
      <c r="K3602" s="22"/>
    </row>
    <row r="3603" spans="1:11">
      <c r="A3603" s="241" t="e">
        <f>VLOOKUP(B3603,'lista 1'!$A$2:$E$30100,4,0)</f>
        <v>#N/A</v>
      </c>
      <c r="B3603" s="123"/>
      <c r="C3603" s="133" t="e">
        <f>VLOOKUP(B3603,'lista 1'!$A$2:$E$31000,5,0)</f>
        <v>#N/A</v>
      </c>
      <c r="D3603" s="167" t="e">
        <f>VLOOKUP(E15403,'lista obszary'!A:B,2,0)</f>
        <v>#N/A</v>
      </c>
      <c r="E3603" s="128" t="e">
        <f>VLOOKUP(B3603,'LISTA 12'!$A$2:$G$301400,5,0)</f>
        <v>#N/A</v>
      </c>
      <c r="F3603" s="121" t="e">
        <f>VLOOKUP(B3603,'LISTA 12'!$A$2:$G$30100,7,0)</f>
        <v>#N/A</v>
      </c>
      <c r="G3603" s="254" t="e">
        <f>VLOOKUP(H3603,'lista 3'!$A$1:$C$31467,3,0)</f>
        <v>#N/A</v>
      </c>
      <c r="H3603" s="134"/>
      <c r="I3603" s="136"/>
      <c r="J3603" s="135"/>
      <c r="K3603" s="22"/>
    </row>
    <row r="3604" spans="1:11">
      <c r="A3604" s="241" t="e">
        <f>VLOOKUP(B3604,'lista 1'!$A$2:$E$30100,4,0)</f>
        <v>#N/A</v>
      </c>
      <c r="B3604" s="123"/>
      <c r="C3604" s="133" t="e">
        <f>VLOOKUP(B3604,'lista 1'!$A$2:$E$31000,5,0)</f>
        <v>#N/A</v>
      </c>
      <c r="D3604" s="167" t="e">
        <f>VLOOKUP(E15404,'lista obszary'!A:B,2,0)</f>
        <v>#N/A</v>
      </c>
      <c r="E3604" s="128" t="e">
        <f>VLOOKUP(B3604,'LISTA 12'!$A$2:$G$301400,5,0)</f>
        <v>#N/A</v>
      </c>
      <c r="F3604" s="121" t="e">
        <f>VLOOKUP(B3604,'LISTA 12'!$A$2:$G$30100,7,0)</f>
        <v>#N/A</v>
      </c>
      <c r="G3604" s="254" t="e">
        <f>VLOOKUP(H3604,'lista 3'!$A$1:$C$31467,3,0)</f>
        <v>#N/A</v>
      </c>
      <c r="H3604" s="134"/>
      <c r="I3604" s="136"/>
      <c r="J3604" s="135"/>
      <c r="K3604" s="22"/>
    </row>
    <row r="3605" spans="1:11">
      <c r="A3605" s="241" t="e">
        <f>VLOOKUP(B3605,'lista 1'!$A$2:$E$30100,4,0)</f>
        <v>#N/A</v>
      </c>
      <c r="B3605" s="123"/>
      <c r="C3605" s="133" t="e">
        <f>VLOOKUP(B3605,'lista 1'!$A$2:$E$31000,5,0)</f>
        <v>#N/A</v>
      </c>
      <c r="D3605" s="167" t="e">
        <f>VLOOKUP(E15405,'lista obszary'!A:B,2,0)</f>
        <v>#N/A</v>
      </c>
      <c r="E3605" s="128" t="e">
        <f>VLOOKUP(B3605,'LISTA 12'!$A$2:$G$301400,5,0)</f>
        <v>#N/A</v>
      </c>
      <c r="F3605" s="121" t="e">
        <f>VLOOKUP(B3605,'LISTA 12'!$A$2:$G$30100,7,0)</f>
        <v>#N/A</v>
      </c>
      <c r="G3605" s="254" t="e">
        <f>VLOOKUP(H3605,'lista 3'!$A$1:$C$31467,3,0)</f>
        <v>#N/A</v>
      </c>
      <c r="H3605" s="134"/>
      <c r="I3605" s="136"/>
      <c r="J3605" s="135"/>
      <c r="K3605" s="22"/>
    </row>
    <row r="3606" spans="1:11">
      <c r="A3606" s="241" t="e">
        <f>VLOOKUP(B3606,'lista 1'!$A$2:$E$30100,4,0)</f>
        <v>#N/A</v>
      </c>
      <c r="B3606" s="123"/>
      <c r="C3606" s="133" t="e">
        <f>VLOOKUP(B3606,'lista 1'!$A$2:$E$31000,5,0)</f>
        <v>#N/A</v>
      </c>
      <c r="D3606" s="167" t="e">
        <f>VLOOKUP(E15406,'lista obszary'!A:B,2,0)</f>
        <v>#N/A</v>
      </c>
      <c r="E3606" s="128" t="e">
        <f>VLOOKUP(B3606,'LISTA 12'!$A$2:$G$301400,5,0)</f>
        <v>#N/A</v>
      </c>
      <c r="F3606" s="121" t="e">
        <f>VLOOKUP(B3606,'LISTA 12'!$A$2:$G$30100,7,0)</f>
        <v>#N/A</v>
      </c>
      <c r="G3606" s="254" t="e">
        <f>VLOOKUP(H3606,'lista 3'!$A$1:$C$31467,3,0)</f>
        <v>#N/A</v>
      </c>
      <c r="H3606" s="134"/>
      <c r="I3606" s="136"/>
      <c r="J3606" s="135"/>
      <c r="K3606" s="22"/>
    </row>
    <row r="3607" spans="1:11">
      <c r="A3607" s="241" t="e">
        <f>VLOOKUP(B3607,'lista 1'!$A$2:$E$30100,4,0)</f>
        <v>#N/A</v>
      </c>
      <c r="B3607" s="123"/>
      <c r="C3607" s="133" t="e">
        <f>VLOOKUP(B3607,'lista 1'!$A$2:$E$31000,5,0)</f>
        <v>#N/A</v>
      </c>
      <c r="D3607" s="167" t="e">
        <f>VLOOKUP(E15407,'lista obszary'!A:B,2,0)</f>
        <v>#N/A</v>
      </c>
      <c r="E3607" s="128" t="e">
        <f>VLOOKUP(B3607,'LISTA 12'!$A$2:$G$301400,5,0)</f>
        <v>#N/A</v>
      </c>
      <c r="F3607" s="121" t="e">
        <f>VLOOKUP(B3607,'LISTA 12'!$A$2:$G$30100,7,0)</f>
        <v>#N/A</v>
      </c>
      <c r="G3607" s="254" t="e">
        <f>VLOOKUP(H3607,'lista 3'!$A$1:$C$31467,3,0)</f>
        <v>#N/A</v>
      </c>
      <c r="H3607" s="134"/>
      <c r="I3607" s="136"/>
      <c r="J3607" s="135"/>
      <c r="K3607" s="22"/>
    </row>
    <row r="3608" spans="1:11">
      <c r="A3608" s="241" t="e">
        <f>VLOOKUP(B3608,'lista 1'!$A$2:$E$30100,4,0)</f>
        <v>#N/A</v>
      </c>
      <c r="B3608" s="123"/>
      <c r="C3608" s="133" t="e">
        <f>VLOOKUP(B3608,'lista 1'!$A$2:$E$31000,5,0)</f>
        <v>#N/A</v>
      </c>
      <c r="D3608" s="167" t="e">
        <f>VLOOKUP(E15408,'lista obszary'!A:B,2,0)</f>
        <v>#N/A</v>
      </c>
      <c r="E3608" s="128" t="e">
        <f>VLOOKUP(B3608,'LISTA 12'!$A$2:$G$301400,5,0)</f>
        <v>#N/A</v>
      </c>
      <c r="F3608" s="121" t="e">
        <f>VLOOKUP(B3608,'LISTA 12'!$A$2:$G$30100,7,0)</f>
        <v>#N/A</v>
      </c>
      <c r="G3608" s="254" t="e">
        <f>VLOOKUP(H3608,'lista 3'!$A$1:$C$31467,3,0)</f>
        <v>#N/A</v>
      </c>
      <c r="H3608" s="134"/>
      <c r="I3608" s="136"/>
      <c r="J3608" s="135"/>
      <c r="K3608" s="22"/>
    </row>
    <row r="3609" spans="1:11">
      <c r="A3609" s="241" t="e">
        <f>VLOOKUP(B3609,'lista 1'!$A$2:$E$30100,4,0)</f>
        <v>#N/A</v>
      </c>
      <c r="B3609" s="123"/>
      <c r="C3609" s="133" t="e">
        <f>VLOOKUP(B3609,'lista 1'!$A$2:$E$31000,5,0)</f>
        <v>#N/A</v>
      </c>
      <c r="D3609" s="167" t="e">
        <f>VLOOKUP(E15409,'lista obszary'!A:B,2,0)</f>
        <v>#N/A</v>
      </c>
      <c r="E3609" s="128" t="e">
        <f>VLOOKUP(B3609,'LISTA 12'!$A$2:$G$301400,5,0)</f>
        <v>#N/A</v>
      </c>
      <c r="F3609" s="121" t="e">
        <f>VLOOKUP(B3609,'LISTA 12'!$A$2:$G$30100,7,0)</f>
        <v>#N/A</v>
      </c>
      <c r="G3609" s="254" t="e">
        <f>VLOOKUP(H3609,'lista 3'!$A$1:$C$31467,3,0)</f>
        <v>#N/A</v>
      </c>
      <c r="H3609" s="134"/>
      <c r="I3609" s="136"/>
      <c r="J3609" s="135"/>
      <c r="K3609" s="22"/>
    </row>
    <row r="3610" spans="1:11">
      <c r="A3610" s="241" t="e">
        <f>VLOOKUP(B3610,'lista 1'!$A$2:$E$30100,4,0)</f>
        <v>#N/A</v>
      </c>
      <c r="B3610" s="123"/>
      <c r="C3610" s="133" t="e">
        <f>VLOOKUP(B3610,'lista 1'!$A$2:$E$31000,5,0)</f>
        <v>#N/A</v>
      </c>
      <c r="D3610" s="167" t="e">
        <f>VLOOKUP(E15410,'lista obszary'!A:B,2,0)</f>
        <v>#N/A</v>
      </c>
      <c r="E3610" s="128" t="e">
        <f>VLOOKUP(B3610,'LISTA 12'!$A$2:$G$301400,5,0)</f>
        <v>#N/A</v>
      </c>
      <c r="F3610" s="121" t="e">
        <f>VLOOKUP(B3610,'LISTA 12'!$A$2:$G$30100,7,0)</f>
        <v>#N/A</v>
      </c>
      <c r="G3610" s="254" t="e">
        <f>VLOOKUP(H3610,'lista 3'!$A$1:$C$31467,3,0)</f>
        <v>#N/A</v>
      </c>
      <c r="H3610" s="134"/>
      <c r="I3610" s="136"/>
      <c r="J3610" s="135"/>
      <c r="K3610" s="22"/>
    </row>
    <row r="3611" spans="1:11">
      <c r="A3611" s="241" t="e">
        <f>VLOOKUP(B3611,'lista 1'!$A$2:$E$30100,4,0)</f>
        <v>#N/A</v>
      </c>
      <c r="B3611" s="123"/>
      <c r="C3611" s="133" t="e">
        <f>VLOOKUP(B3611,'lista 1'!$A$2:$E$31000,5,0)</f>
        <v>#N/A</v>
      </c>
      <c r="D3611" s="167" t="e">
        <f>VLOOKUP(E15411,'lista obszary'!A:B,2,0)</f>
        <v>#N/A</v>
      </c>
      <c r="E3611" s="128" t="e">
        <f>VLOOKUP(B3611,'LISTA 12'!$A$2:$G$301400,5,0)</f>
        <v>#N/A</v>
      </c>
      <c r="F3611" s="121" t="e">
        <f>VLOOKUP(B3611,'LISTA 12'!$A$2:$G$30100,7,0)</f>
        <v>#N/A</v>
      </c>
      <c r="G3611" s="254" t="e">
        <f>VLOOKUP(H3611,'lista 3'!$A$1:$C$31467,3,0)</f>
        <v>#N/A</v>
      </c>
      <c r="H3611" s="134"/>
      <c r="I3611" s="136"/>
      <c r="J3611" s="135"/>
      <c r="K3611" s="22"/>
    </row>
    <row r="3612" spans="1:11">
      <c r="A3612" s="241" t="e">
        <f>VLOOKUP(B3612,'lista 1'!$A$2:$E$30100,4,0)</f>
        <v>#N/A</v>
      </c>
      <c r="B3612" s="123"/>
      <c r="C3612" s="133" t="e">
        <f>VLOOKUP(B3612,'lista 1'!$A$2:$E$31000,5,0)</f>
        <v>#N/A</v>
      </c>
      <c r="D3612" s="167" t="e">
        <f>VLOOKUP(E15412,'lista obszary'!A:B,2,0)</f>
        <v>#N/A</v>
      </c>
      <c r="E3612" s="128" t="e">
        <f>VLOOKUP(B3612,'LISTA 12'!$A$2:$G$301400,5,0)</f>
        <v>#N/A</v>
      </c>
      <c r="F3612" s="121" t="e">
        <f>VLOOKUP(B3612,'LISTA 12'!$A$2:$G$30100,7,0)</f>
        <v>#N/A</v>
      </c>
      <c r="G3612" s="254" t="e">
        <f>VLOOKUP(H3612,'lista 3'!$A$1:$C$31467,3,0)</f>
        <v>#N/A</v>
      </c>
      <c r="H3612" s="134"/>
      <c r="I3612" s="136"/>
      <c r="J3612" s="135"/>
      <c r="K3612" s="22"/>
    </row>
    <row r="3613" spans="1:11">
      <c r="A3613" s="241" t="e">
        <f>VLOOKUP(B3613,'lista 1'!$A$2:$E$30100,4,0)</f>
        <v>#N/A</v>
      </c>
      <c r="B3613" s="123"/>
      <c r="C3613" s="133" t="e">
        <f>VLOOKUP(B3613,'lista 1'!$A$2:$E$31000,5,0)</f>
        <v>#N/A</v>
      </c>
      <c r="D3613" s="167" t="e">
        <f>VLOOKUP(E15413,'lista obszary'!A:B,2,0)</f>
        <v>#N/A</v>
      </c>
      <c r="E3613" s="128" t="e">
        <f>VLOOKUP(B3613,'LISTA 12'!$A$2:$G$301400,5,0)</f>
        <v>#N/A</v>
      </c>
      <c r="F3613" s="121" t="e">
        <f>VLOOKUP(B3613,'LISTA 12'!$A$2:$G$30100,7,0)</f>
        <v>#N/A</v>
      </c>
      <c r="G3613" s="254" t="e">
        <f>VLOOKUP(H3613,'lista 3'!$A$1:$C$31467,3,0)</f>
        <v>#N/A</v>
      </c>
      <c r="H3613" s="134"/>
      <c r="I3613" s="136"/>
      <c r="J3613" s="135"/>
      <c r="K3613" s="22"/>
    </row>
    <row r="3614" spans="1:11">
      <c r="A3614" s="241" t="e">
        <f>VLOOKUP(B3614,'lista 1'!$A$2:$E$30100,4,0)</f>
        <v>#N/A</v>
      </c>
      <c r="B3614" s="123"/>
      <c r="C3614" s="133" t="e">
        <f>VLOOKUP(B3614,'lista 1'!$A$2:$E$31000,5,0)</f>
        <v>#N/A</v>
      </c>
      <c r="D3614" s="167" t="e">
        <f>VLOOKUP(E15414,'lista obszary'!A:B,2,0)</f>
        <v>#N/A</v>
      </c>
      <c r="E3614" s="128" t="e">
        <f>VLOOKUP(B3614,'LISTA 12'!$A$2:$G$301400,5,0)</f>
        <v>#N/A</v>
      </c>
      <c r="F3614" s="121" t="e">
        <f>VLOOKUP(B3614,'LISTA 12'!$A$2:$G$30100,7,0)</f>
        <v>#N/A</v>
      </c>
      <c r="G3614" s="254" t="e">
        <f>VLOOKUP(H3614,'lista 3'!$A$1:$C$31467,3,0)</f>
        <v>#N/A</v>
      </c>
      <c r="H3614" s="134"/>
      <c r="I3614" s="136"/>
      <c r="J3614" s="135"/>
      <c r="K3614" s="22"/>
    </row>
    <row r="3615" spans="1:11">
      <c r="A3615" s="241" t="e">
        <f>VLOOKUP(B3615,'lista 1'!$A$2:$E$30100,4,0)</f>
        <v>#N/A</v>
      </c>
      <c r="B3615" s="123"/>
      <c r="C3615" s="133" t="e">
        <f>VLOOKUP(B3615,'lista 1'!$A$2:$E$31000,5,0)</f>
        <v>#N/A</v>
      </c>
      <c r="D3615" s="167" t="e">
        <f>VLOOKUP(E15415,'lista obszary'!A:B,2,0)</f>
        <v>#N/A</v>
      </c>
      <c r="E3615" s="128" t="e">
        <f>VLOOKUP(B3615,'LISTA 12'!$A$2:$G$301400,5,0)</f>
        <v>#N/A</v>
      </c>
      <c r="F3615" s="121" t="e">
        <f>VLOOKUP(B3615,'LISTA 12'!$A$2:$G$30100,7,0)</f>
        <v>#N/A</v>
      </c>
      <c r="G3615" s="254" t="e">
        <f>VLOOKUP(H3615,'lista 3'!$A$1:$C$31467,3,0)</f>
        <v>#N/A</v>
      </c>
      <c r="H3615" s="134"/>
      <c r="I3615" s="136"/>
      <c r="J3615" s="135"/>
      <c r="K3615" s="22"/>
    </row>
    <row r="3616" spans="1:11">
      <c r="A3616" s="241" t="e">
        <f>VLOOKUP(B3616,'lista 1'!$A$2:$E$30100,4,0)</f>
        <v>#N/A</v>
      </c>
      <c r="B3616" s="123"/>
      <c r="C3616" s="133" t="e">
        <f>VLOOKUP(B3616,'lista 1'!$A$2:$E$31000,5,0)</f>
        <v>#N/A</v>
      </c>
      <c r="D3616" s="167" t="e">
        <f>VLOOKUP(E15416,'lista obszary'!A:B,2,0)</f>
        <v>#N/A</v>
      </c>
      <c r="E3616" s="128" t="e">
        <f>VLOOKUP(B3616,'LISTA 12'!$A$2:$G$301400,5,0)</f>
        <v>#N/A</v>
      </c>
      <c r="F3616" s="121" t="e">
        <f>VLOOKUP(B3616,'LISTA 12'!$A$2:$G$30100,7,0)</f>
        <v>#N/A</v>
      </c>
      <c r="G3616" s="254" t="e">
        <f>VLOOKUP(H3616,'lista 3'!$A$1:$C$31467,3,0)</f>
        <v>#N/A</v>
      </c>
      <c r="H3616" s="134"/>
      <c r="I3616" s="136"/>
      <c r="J3616" s="135"/>
      <c r="K3616" s="22"/>
    </row>
    <row r="3617" spans="1:11">
      <c r="A3617" s="241" t="e">
        <f>VLOOKUP(B3617,'lista 1'!$A$2:$E$30100,4,0)</f>
        <v>#N/A</v>
      </c>
      <c r="B3617" s="123"/>
      <c r="C3617" s="133" t="e">
        <f>VLOOKUP(B3617,'lista 1'!$A$2:$E$31000,5,0)</f>
        <v>#N/A</v>
      </c>
      <c r="D3617" s="167" t="e">
        <f>VLOOKUP(E15417,'lista obszary'!A:B,2,0)</f>
        <v>#N/A</v>
      </c>
      <c r="E3617" s="128" t="e">
        <f>VLOOKUP(B3617,'LISTA 12'!$A$2:$G$301400,5,0)</f>
        <v>#N/A</v>
      </c>
      <c r="F3617" s="121" t="e">
        <f>VLOOKUP(B3617,'LISTA 12'!$A$2:$G$30100,7,0)</f>
        <v>#N/A</v>
      </c>
      <c r="G3617" s="254" t="e">
        <f>VLOOKUP(H3617,'lista 3'!$A$1:$C$31467,3,0)</f>
        <v>#N/A</v>
      </c>
      <c r="H3617" s="134"/>
      <c r="I3617" s="136"/>
      <c r="J3617" s="135"/>
      <c r="K3617" s="22"/>
    </row>
    <row r="3618" spans="1:11">
      <c r="A3618" s="241" t="e">
        <f>VLOOKUP(B3618,'lista 1'!$A$2:$E$30100,4,0)</f>
        <v>#N/A</v>
      </c>
      <c r="B3618" s="123"/>
      <c r="C3618" s="133" t="e">
        <f>VLOOKUP(B3618,'lista 1'!$A$2:$E$31000,5,0)</f>
        <v>#N/A</v>
      </c>
      <c r="D3618" s="167" t="e">
        <f>VLOOKUP(E15418,'lista obszary'!A:B,2,0)</f>
        <v>#N/A</v>
      </c>
      <c r="E3618" s="128" t="e">
        <f>VLOOKUP(B3618,'LISTA 12'!$A$2:$G$301400,5,0)</f>
        <v>#N/A</v>
      </c>
      <c r="F3618" s="121" t="e">
        <f>VLOOKUP(B3618,'LISTA 12'!$A$2:$G$30100,7,0)</f>
        <v>#N/A</v>
      </c>
      <c r="G3618" s="254" t="e">
        <f>VLOOKUP(H3618,'lista 3'!$A$1:$C$31467,3,0)</f>
        <v>#N/A</v>
      </c>
      <c r="H3618" s="134"/>
      <c r="I3618" s="136"/>
      <c r="J3618" s="135"/>
      <c r="K3618" s="22"/>
    </row>
    <row r="3619" spans="1:11">
      <c r="A3619" s="241" t="e">
        <f>VLOOKUP(B3619,'lista 1'!$A$2:$E$30100,4,0)</f>
        <v>#N/A</v>
      </c>
      <c r="B3619" s="123"/>
      <c r="C3619" s="133" t="e">
        <f>VLOOKUP(B3619,'lista 1'!$A$2:$E$31000,5,0)</f>
        <v>#N/A</v>
      </c>
      <c r="D3619" s="167" t="e">
        <f>VLOOKUP(E15419,'lista obszary'!A:B,2,0)</f>
        <v>#N/A</v>
      </c>
      <c r="E3619" s="128" t="e">
        <f>VLOOKUP(B3619,'LISTA 12'!$A$2:$G$301400,5,0)</f>
        <v>#N/A</v>
      </c>
      <c r="F3619" s="121" t="e">
        <f>VLOOKUP(B3619,'LISTA 12'!$A$2:$G$30100,7,0)</f>
        <v>#N/A</v>
      </c>
      <c r="G3619" s="254" t="e">
        <f>VLOOKUP(H3619,'lista 3'!$A$1:$C$31467,3,0)</f>
        <v>#N/A</v>
      </c>
      <c r="H3619" s="134"/>
      <c r="I3619" s="136"/>
      <c r="J3619" s="135"/>
      <c r="K3619" s="22"/>
    </row>
    <row r="3620" spans="1:11">
      <c r="A3620" s="241" t="e">
        <f>VLOOKUP(B3620,'lista 1'!$A$2:$E$30100,4,0)</f>
        <v>#N/A</v>
      </c>
      <c r="B3620" s="123"/>
      <c r="C3620" s="133" t="e">
        <f>VLOOKUP(B3620,'lista 1'!$A$2:$E$31000,5,0)</f>
        <v>#N/A</v>
      </c>
      <c r="D3620" s="167" t="e">
        <f>VLOOKUP(E15420,'lista obszary'!A:B,2,0)</f>
        <v>#N/A</v>
      </c>
      <c r="E3620" s="128" t="e">
        <f>VLOOKUP(B3620,'LISTA 12'!$A$2:$G$301400,5,0)</f>
        <v>#N/A</v>
      </c>
      <c r="F3620" s="121" t="e">
        <f>VLOOKUP(B3620,'LISTA 12'!$A$2:$G$30100,7,0)</f>
        <v>#N/A</v>
      </c>
      <c r="G3620" s="254" t="e">
        <f>VLOOKUP(H3620,'lista 3'!$A$1:$C$31467,3,0)</f>
        <v>#N/A</v>
      </c>
      <c r="H3620" s="134"/>
      <c r="I3620" s="136"/>
      <c r="J3620" s="135"/>
      <c r="K3620" s="22"/>
    </row>
    <row r="3621" spans="1:11">
      <c r="A3621" s="241" t="e">
        <f>VLOOKUP(B3621,'lista 1'!$A$2:$E$30100,4,0)</f>
        <v>#N/A</v>
      </c>
      <c r="B3621" s="123"/>
      <c r="C3621" s="133" t="e">
        <f>VLOOKUP(B3621,'lista 1'!$A$2:$E$31000,5,0)</f>
        <v>#N/A</v>
      </c>
      <c r="D3621" s="167" t="e">
        <f>VLOOKUP(E15421,'lista obszary'!A:B,2,0)</f>
        <v>#N/A</v>
      </c>
      <c r="E3621" s="128" t="e">
        <f>VLOOKUP(B3621,'LISTA 12'!$A$2:$G$301400,5,0)</f>
        <v>#N/A</v>
      </c>
      <c r="F3621" s="121" t="e">
        <f>VLOOKUP(B3621,'LISTA 12'!$A$2:$G$30100,7,0)</f>
        <v>#N/A</v>
      </c>
      <c r="G3621" s="254" t="e">
        <f>VLOOKUP(H3621,'lista 3'!$A$1:$C$31467,3,0)</f>
        <v>#N/A</v>
      </c>
      <c r="H3621" s="134"/>
      <c r="I3621" s="136"/>
      <c r="J3621" s="135"/>
      <c r="K3621" s="22"/>
    </row>
    <row r="3622" spans="1:11">
      <c r="A3622" s="241" t="e">
        <f>VLOOKUP(B3622,'lista 1'!$A$2:$E$30100,4,0)</f>
        <v>#N/A</v>
      </c>
      <c r="B3622" s="123"/>
      <c r="C3622" s="133" t="e">
        <f>VLOOKUP(B3622,'lista 1'!$A$2:$E$31000,5,0)</f>
        <v>#N/A</v>
      </c>
      <c r="D3622" s="167" t="e">
        <f>VLOOKUP(E15422,'lista obszary'!A:B,2,0)</f>
        <v>#N/A</v>
      </c>
      <c r="E3622" s="128" t="e">
        <f>VLOOKUP(B3622,'LISTA 12'!$A$2:$G$301400,5,0)</f>
        <v>#N/A</v>
      </c>
      <c r="F3622" s="121" t="e">
        <f>VLOOKUP(B3622,'LISTA 12'!$A$2:$G$30100,7,0)</f>
        <v>#N/A</v>
      </c>
      <c r="G3622" s="254" t="e">
        <f>VLOOKUP(H3622,'lista 3'!$A$1:$C$31467,3,0)</f>
        <v>#N/A</v>
      </c>
      <c r="H3622" s="134"/>
      <c r="I3622" s="136"/>
      <c r="J3622" s="135"/>
      <c r="K3622" s="22"/>
    </row>
    <row r="3623" spans="1:11">
      <c r="A3623" s="241" t="e">
        <f>VLOOKUP(B3623,'lista 1'!$A$2:$E$30100,4,0)</f>
        <v>#N/A</v>
      </c>
      <c r="B3623" s="123"/>
      <c r="C3623" s="133" t="e">
        <f>VLOOKUP(B3623,'lista 1'!$A$2:$E$31000,5,0)</f>
        <v>#N/A</v>
      </c>
      <c r="D3623" s="167" t="e">
        <f>VLOOKUP(E15423,'lista obszary'!A:B,2,0)</f>
        <v>#N/A</v>
      </c>
      <c r="E3623" s="128" t="e">
        <f>VLOOKUP(B3623,'LISTA 12'!$A$2:$G$301400,5,0)</f>
        <v>#N/A</v>
      </c>
      <c r="F3623" s="121" t="e">
        <f>VLOOKUP(B3623,'LISTA 12'!$A$2:$G$30100,7,0)</f>
        <v>#N/A</v>
      </c>
      <c r="G3623" s="254" t="e">
        <f>VLOOKUP(H3623,'lista 3'!$A$1:$C$31467,3,0)</f>
        <v>#N/A</v>
      </c>
      <c r="H3623" s="134"/>
      <c r="I3623" s="136"/>
      <c r="J3623" s="135"/>
      <c r="K3623" s="22"/>
    </row>
    <row r="3624" spans="1:11">
      <c r="A3624" s="241" t="e">
        <f>VLOOKUP(B3624,'lista 1'!$A$2:$E$30100,4,0)</f>
        <v>#N/A</v>
      </c>
      <c r="B3624" s="123"/>
      <c r="C3624" s="133" t="e">
        <f>VLOOKUP(B3624,'lista 1'!$A$2:$E$31000,5,0)</f>
        <v>#N/A</v>
      </c>
      <c r="D3624" s="167" t="e">
        <f>VLOOKUP(E15424,'lista obszary'!A:B,2,0)</f>
        <v>#N/A</v>
      </c>
      <c r="E3624" s="128" t="e">
        <f>VLOOKUP(B3624,'LISTA 12'!$A$2:$G$301400,5,0)</f>
        <v>#N/A</v>
      </c>
      <c r="F3624" s="121" t="e">
        <f>VLOOKUP(B3624,'LISTA 12'!$A$2:$G$30100,7,0)</f>
        <v>#N/A</v>
      </c>
      <c r="G3624" s="254" t="e">
        <f>VLOOKUP(H3624,'lista 3'!$A$1:$C$31467,3,0)</f>
        <v>#N/A</v>
      </c>
      <c r="H3624" s="134"/>
      <c r="I3624" s="136"/>
      <c r="J3624" s="135"/>
      <c r="K3624" s="22"/>
    </row>
    <row r="3625" spans="1:11">
      <c r="A3625" s="241" t="e">
        <f>VLOOKUP(B3625,'lista 1'!$A$2:$E$30100,4,0)</f>
        <v>#N/A</v>
      </c>
      <c r="B3625" s="123"/>
      <c r="C3625" s="133" t="e">
        <f>VLOOKUP(B3625,'lista 1'!$A$2:$E$31000,5,0)</f>
        <v>#N/A</v>
      </c>
      <c r="D3625" s="167" t="e">
        <f>VLOOKUP(E15425,'lista obszary'!A:B,2,0)</f>
        <v>#N/A</v>
      </c>
      <c r="E3625" s="128" t="e">
        <f>VLOOKUP(B3625,'LISTA 12'!$A$2:$G$301400,5,0)</f>
        <v>#N/A</v>
      </c>
      <c r="F3625" s="121" t="e">
        <f>VLOOKUP(B3625,'LISTA 12'!$A$2:$G$30100,7,0)</f>
        <v>#N/A</v>
      </c>
      <c r="G3625" s="254" t="e">
        <f>VLOOKUP(H3625,'lista 3'!$A$1:$C$31467,3,0)</f>
        <v>#N/A</v>
      </c>
      <c r="H3625" s="134"/>
      <c r="I3625" s="136"/>
      <c r="J3625" s="135"/>
      <c r="K3625" s="22"/>
    </row>
    <row r="3626" spans="1:11">
      <c r="A3626" s="241" t="e">
        <f>VLOOKUP(B3626,'lista 1'!$A$2:$E$30100,4,0)</f>
        <v>#N/A</v>
      </c>
      <c r="B3626" s="123"/>
      <c r="C3626" s="133" t="e">
        <f>VLOOKUP(B3626,'lista 1'!$A$2:$E$31000,5,0)</f>
        <v>#N/A</v>
      </c>
      <c r="D3626" s="167" t="e">
        <f>VLOOKUP(E15426,'lista obszary'!A:B,2,0)</f>
        <v>#N/A</v>
      </c>
      <c r="E3626" s="128" t="e">
        <f>VLOOKUP(B3626,'LISTA 12'!$A$2:$G$301400,5,0)</f>
        <v>#N/A</v>
      </c>
      <c r="F3626" s="121" t="e">
        <f>VLOOKUP(B3626,'LISTA 12'!$A$2:$G$30100,7,0)</f>
        <v>#N/A</v>
      </c>
      <c r="G3626" s="254" t="e">
        <f>VLOOKUP(H3626,'lista 3'!$A$1:$C$31467,3,0)</f>
        <v>#N/A</v>
      </c>
      <c r="H3626" s="134"/>
      <c r="I3626" s="136"/>
      <c r="J3626" s="135"/>
      <c r="K3626" s="22"/>
    </row>
    <row r="3627" spans="1:11">
      <c r="A3627" s="241" t="e">
        <f>VLOOKUP(B3627,'lista 1'!$A$2:$E$30100,4,0)</f>
        <v>#N/A</v>
      </c>
      <c r="B3627" s="123"/>
      <c r="C3627" s="133" t="e">
        <f>VLOOKUP(B3627,'lista 1'!$A$2:$E$31000,5,0)</f>
        <v>#N/A</v>
      </c>
      <c r="D3627" s="167" t="e">
        <f>VLOOKUP(E15427,'lista obszary'!A:B,2,0)</f>
        <v>#N/A</v>
      </c>
      <c r="E3627" s="128" t="e">
        <f>VLOOKUP(B3627,'LISTA 12'!$A$2:$G$301400,5,0)</f>
        <v>#N/A</v>
      </c>
      <c r="F3627" s="121" t="e">
        <f>VLOOKUP(B3627,'LISTA 12'!$A$2:$G$30100,7,0)</f>
        <v>#N/A</v>
      </c>
      <c r="G3627" s="254" t="e">
        <f>VLOOKUP(H3627,'lista 3'!$A$1:$C$31467,3,0)</f>
        <v>#N/A</v>
      </c>
      <c r="H3627" s="134"/>
      <c r="I3627" s="136"/>
      <c r="J3627" s="135"/>
      <c r="K3627" s="22"/>
    </row>
    <row r="3628" spans="1:11">
      <c r="A3628" s="241" t="e">
        <f>VLOOKUP(B3628,'lista 1'!$A$2:$E$30100,4,0)</f>
        <v>#N/A</v>
      </c>
      <c r="B3628" s="123"/>
      <c r="C3628" s="133" t="e">
        <f>VLOOKUP(B3628,'lista 1'!$A$2:$E$31000,5,0)</f>
        <v>#N/A</v>
      </c>
      <c r="D3628" s="167" t="e">
        <f>VLOOKUP(E15428,'lista obszary'!A:B,2,0)</f>
        <v>#N/A</v>
      </c>
      <c r="E3628" s="128" t="e">
        <f>VLOOKUP(B3628,'LISTA 12'!$A$2:$G$301400,5,0)</f>
        <v>#N/A</v>
      </c>
      <c r="F3628" s="121" t="e">
        <f>VLOOKUP(B3628,'LISTA 12'!$A$2:$G$30100,7,0)</f>
        <v>#N/A</v>
      </c>
      <c r="G3628" s="254" t="e">
        <f>VLOOKUP(H3628,'lista 3'!$A$1:$C$31467,3,0)</f>
        <v>#N/A</v>
      </c>
      <c r="H3628" s="134"/>
      <c r="I3628" s="136"/>
      <c r="J3628" s="135"/>
      <c r="K3628" s="22"/>
    </row>
    <row r="3629" spans="1:11">
      <c r="A3629" s="241" t="e">
        <f>VLOOKUP(B3629,'lista 1'!$A$2:$E$30100,4,0)</f>
        <v>#N/A</v>
      </c>
      <c r="B3629" s="123"/>
      <c r="C3629" s="133" t="e">
        <f>VLOOKUP(B3629,'lista 1'!$A$2:$E$31000,5,0)</f>
        <v>#N/A</v>
      </c>
      <c r="D3629" s="167" t="e">
        <f>VLOOKUP(E15429,'lista obszary'!A:B,2,0)</f>
        <v>#N/A</v>
      </c>
      <c r="E3629" s="128" t="e">
        <f>VLOOKUP(B3629,'LISTA 12'!$A$2:$G$301400,5,0)</f>
        <v>#N/A</v>
      </c>
      <c r="F3629" s="121" t="e">
        <f>VLOOKUP(B3629,'LISTA 12'!$A$2:$G$30100,7,0)</f>
        <v>#N/A</v>
      </c>
      <c r="G3629" s="254" t="e">
        <f>VLOOKUP(H3629,'lista 3'!$A$1:$C$31467,3,0)</f>
        <v>#N/A</v>
      </c>
      <c r="H3629" s="134"/>
      <c r="I3629" s="136"/>
      <c r="J3629" s="135"/>
      <c r="K3629" s="22"/>
    </row>
    <row r="3630" spans="1:11">
      <c r="A3630" s="241" t="e">
        <f>VLOOKUP(B3630,'lista 1'!$A$2:$E$30100,4,0)</f>
        <v>#N/A</v>
      </c>
      <c r="B3630" s="123"/>
      <c r="C3630" s="133" t="e">
        <f>VLOOKUP(B3630,'lista 1'!$A$2:$E$31000,5,0)</f>
        <v>#N/A</v>
      </c>
      <c r="D3630" s="167" t="e">
        <f>VLOOKUP(E15430,'lista obszary'!A:B,2,0)</f>
        <v>#N/A</v>
      </c>
      <c r="E3630" s="128" t="e">
        <f>VLOOKUP(B3630,'LISTA 12'!$A$2:$G$301400,5,0)</f>
        <v>#N/A</v>
      </c>
      <c r="F3630" s="121" t="e">
        <f>VLOOKUP(B3630,'LISTA 12'!$A$2:$G$30100,7,0)</f>
        <v>#N/A</v>
      </c>
      <c r="G3630" s="254" t="e">
        <f>VLOOKUP(H3630,'lista 3'!$A$1:$C$31467,3,0)</f>
        <v>#N/A</v>
      </c>
      <c r="H3630" s="134"/>
      <c r="I3630" s="136"/>
      <c r="J3630" s="135"/>
      <c r="K3630" s="22"/>
    </row>
    <row r="3631" spans="1:11">
      <c r="A3631" s="241" t="e">
        <f>VLOOKUP(B3631,'lista 1'!$A$2:$E$30100,4,0)</f>
        <v>#N/A</v>
      </c>
      <c r="B3631" s="123"/>
      <c r="C3631" s="133" t="e">
        <f>VLOOKUP(B3631,'lista 1'!$A$2:$E$31000,5,0)</f>
        <v>#N/A</v>
      </c>
      <c r="D3631" s="167" t="e">
        <f>VLOOKUP(E15431,'lista obszary'!A:B,2,0)</f>
        <v>#N/A</v>
      </c>
      <c r="E3631" s="128" t="e">
        <f>VLOOKUP(B3631,'LISTA 12'!$A$2:$G$301400,5,0)</f>
        <v>#N/A</v>
      </c>
      <c r="F3631" s="121" t="e">
        <f>VLOOKUP(B3631,'LISTA 12'!$A$2:$G$30100,7,0)</f>
        <v>#N/A</v>
      </c>
      <c r="G3631" s="254" t="e">
        <f>VLOOKUP(H3631,'lista 3'!$A$1:$C$31467,3,0)</f>
        <v>#N/A</v>
      </c>
      <c r="H3631" s="134"/>
      <c r="I3631" s="136"/>
      <c r="J3631" s="135"/>
      <c r="K3631" s="22"/>
    </row>
    <row r="3632" spans="1:11">
      <c r="A3632" s="241" t="e">
        <f>VLOOKUP(B3632,'lista 1'!$A$2:$E$30100,4,0)</f>
        <v>#N/A</v>
      </c>
      <c r="B3632" s="123"/>
      <c r="C3632" s="133" t="e">
        <f>VLOOKUP(B3632,'lista 1'!$A$2:$E$31000,5,0)</f>
        <v>#N/A</v>
      </c>
      <c r="D3632" s="167" t="e">
        <f>VLOOKUP(E15432,'lista obszary'!A:B,2,0)</f>
        <v>#N/A</v>
      </c>
      <c r="E3632" s="128" t="e">
        <f>VLOOKUP(B3632,'LISTA 12'!$A$2:$G$301400,5,0)</f>
        <v>#N/A</v>
      </c>
      <c r="F3632" s="121" t="e">
        <f>VLOOKUP(B3632,'LISTA 12'!$A$2:$G$30100,7,0)</f>
        <v>#N/A</v>
      </c>
      <c r="G3632" s="254" t="e">
        <f>VLOOKUP(H3632,'lista 3'!$A$1:$C$31467,3,0)</f>
        <v>#N/A</v>
      </c>
      <c r="H3632" s="134"/>
      <c r="I3632" s="136"/>
      <c r="J3632" s="135"/>
      <c r="K3632" s="22"/>
    </row>
    <row r="3633" spans="1:11">
      <c r="A3633" s="241" t="e">
        <f>VLOOKUP(B3633,'lista 1'!$A$2:$E$30100,4,0)</f>
        <v>#N/A</v>
      </c>
      <c r="B3633" s="123"/>
      <c r="C3633" s="133" t="e">
        <f>VLOOKUP(B3633,'lista 1'!$A$2:$E$31000,5,0)</f>
        <v>#N/A</v>
      </c>
      <c r="D3633" s="167" t="e">
        <f>VLOOKUP(E15433,'lista obszary'!A:B,2,0)</f>
        <v>#N/A</v>
      </c>
      <c r="E3633" s="128" t="e">
        <f>VLOOKUP(B3633,'LISTA 12'!$A$2:$G$301400,5,0)</f>
        <v>#N/A</v>
      </c>
      <c r="F3633" s="121" t="e">
        <f>VLOOKUP(B3633,'LISTA 12'!$A$2:$G$30100,7,0)</f>
        <v>#N/A</v>
      </c>
      <c r="G3633" s="254" t="e">
        <f>VLOOKUP(H3633,'lista 3'!$A$1:$C$31467,3,0)</f>
        <v>#N/A</v>
      </c>
      <c r="H3633" s="134"/>
      <c r="I3633" s="136"/>
      <c r="J3633" s="135"/>
      <c r="K3633" s="22"/>
    </row>
    <row r="3634" spans="1:11">
      <c r="A3634" s="241" t="e">
        <f>VLOOKUP(B3634,'lista 1'!$A$2:$E$30100,4,0)</f>
        <v>#N/A</v>
      </c>
      <c r="B3634" s="123"/>
      <c r="C3634" s="133" t="e">
        <f>VLOOKUP(B3634,'lista 1'!$A$2:$E$31000,5,0)</f>
        <v>#N/A</v>
      </c>
      <c r="D3634" s="167" t="e">
        <f>VLOOKUP(E15434,'lista obszary'!A:B,2,0)</f>
        <v>#N/A</v>
      </c>
      <c r="E3634" s="128" t="e">
        <f>VLOOKUP(B3634,'LISTA 12'!$A$2:$G$301400,5,0)</f>
        <v>#N/A</v>
      </c>
      <c r="F3634" s="121" t="e">
        <f>VLOOKUP(B3634,'LISTA 12'!$A$2:$G$30100,7,0)</f>
        <v>#N/A</v>
      </c>
      <c r="G3634" s="254" t="e">
        <f>VLOOKUP(H3634,'lista 3'!$A$1:$C$31467,3,0)</f>
        <v>#N/A</v>
      </c>
      <c r="H3634" s="134"/>
      <c r="I3634" s="136"/>
      <c r="J3634" s="135"/>
      <c r="K3634" s="22"/>
    </row>
    <row r="3635" spans="1:11">
      <c r="A3635" s="241" t="e">
        <f>VLOOKUP(B3635,'lista 1'!$A$2:$E$30100,4,0)</f>
        <v>#N/A</v>
      </c>
      <c r="B3635" s="123"/>
      <c r="C3635" s="133" t="e">
        <f>VLOOKUP(B3635,'lista 1'!$A$2:$E$31000,5,0)</f>
        <v>#N/A</v>
      </c>
      <c r="D3635" s="167" t="e">
        <f>VLOOKUP(E15435,'lista obszary'!A:B,2,0)</f>
        <v>#N/A</v>
      </c>
      <c r="E3635" s="128" t="e">
        <f>VLOOKUP(B3635,'LISTA 12'!$A$2:$G$301400,5,0)</f>
        <v>#N/A</v>
      </c>
      <c r="F3635" s="121" t="e">
        <f>VLOOKUP(B3635,'LISTA 12'!$A$2:$G$30100,7,0)</f>
        <v>#N/A</v>
      </c>
      <c r="G3635" s="254" t="e">
        <f>VLOOKUP(H3635,'lista 3'!$A$1:$C$31467,3,0)</f>
        <v>#N/A</v>
      </c>
      <c r="H3635" s="134"/>
      <c r="I3635" s="136"/>
      <c r="J3635" s="135"/>
      <c r="K3635" s="22"/>
    </row>
    <row r="3636" spans="1:11">
      <c r="A3636" s="241" t="e">
        <f>VLOOKUP(B3636,'lista 1'!$A$2:$E$30100,4,0)</f>
        <v>#N/A</v>
      </c>
      <c r="B3636" s="123"/>
      <c r="C3636" s="133" t="e">
        <f>VLOOKUP(B3636,'lista 1'!$A$2:$E$31000,5,0)</f>
        <v>#N/A</v>
      </c>
      <c r="D3636" s="167" t="e">
        <f>VLOOKUP(E15436,'lista obszary'!A:B,2,0)</f>
        <v>#N/A</v>
      </c>
      <c r="E3636" s="128" t="e">
        <f>VLOOKUP(B3636,'LISTA 12'!$A$2:$G$301400,5,0)</f>
        <v>#N/A</v>
      </c>
      <c r="F3636" s="121" t="e">
        <f>VLOOKUP(B3636,'LISTA 12'!$A$2:$G$30100,7,0)</f>
        <v>#N/A</v>
      </c>
      <c r="G3636" s="254" t="e">
        <f>VLOOKUP(H3636,'lista 3'!$A$1:$C$31467,3,0)</f>
        <v>#N/A</v>
      </c>
      <c r="H3636" s="134"/>
      <c r="I3636" s="136"/>
      <c r="J3636" s="135"/>
      <c r="K3636" s="22"/>
    </row>
    <row r="3637" spans="1:11">
      <c r="A3637" s="241" t="e">
        <f>VLOOKUP(B3637,'lista 1'!$A$2:$E$30100,4,0)</f>
        <v>#N/A</v>
      </c>
      <c r="B3637" s="123"/>
      <c r="C3637" s="133" t="e">
        <f>VLOOKUP(B3637,'lista 1'!$A$2:$E$31000,5,0)</f>
        <v>#N/A</v>
      </c>
      <c r="D3637" s="167" t="e">
        <f>VLOOKUP(E15437,'lista obszary'!A:B,2,0)</f>
        <v>#N/A</v>
      </c>
      <c r="E3637" s="128" t="e">
        <f>VLOOKUP(B3637,'LISTA 12'!$A$2:$G$301400,5,0)</f>
        <v>#N/A</v>
      </c>
      <c r="F3637" s="121" t="e">
        <f>VLOOKUP(B3637,'LISTA 12'!$A$2:$G$30100,7,0)</f>
        <v>#N/A</v>
      </c>
      <c r="G3637" s="254" t="e">
        <f>VLOOKUP(H3637,'lista 3'!$A$1:$C$31467,3,0)</f>
        <v>#N/A</v>
      </c>
      <c r="H3637" s="134"/>
      <c r="I3637" s="136"/>
      <c r="J3637" s="135"/>
      <c r="K3637" s="22"/>
    </row>
    <row r="3638" spans="1:11">
      <c r="A3638" s="241" t="e">
        <f>VLOOKUP(B3638,'lista 1'!$A$2:$E$30100,4,0)</f>
        <v>#N/A</v>
      </c>
      <c r="B3638" s="123"/>
      <c r="C3638" s="133" t="e">
        <f>VLOOKUP(B3638,'lista 1'!$A$2:$E$31000,5,0)</f>
        <v>#N/A</v>
      </c>
      <c r="D3638" s="167" t="e">
        <f>VLOOKUP(E15438,'lista obszary'!A:B,2,0)</f>
        <v>#N/A</v>
      </c>
      <c r="E3638" s="128" t="e">
        <f>VLOOKUP(B3638,'LISTA 12'!$A$2:$G$301400,5,0)</f>
        <v>#N/A</v>
      </c>
      <c r="F3638" s="121" t="e">
        <f>VLOOKUP(B3638,'LISTA 12'!$A$2:$G$30100,7,0)</f>
        <v>#N/A</v>
      </c>
      <c r="G3638" s="254" t="e">
        <f>VLOOKUP(H3638,'lista 3'!$A$1:$C$31467,3,0)</f>
        <v>#N/A</v>
      </c>
      <c r="H3638" s="134"/>
      <c r="I3638" s="136"/>
      <c r="J3638" s="135"/>
      <c r="K3638" s="22"/>
    </row>
    <row r="3639" spans="1:11">
      <c r="A3639" s="241" t="e">
        <f>VLOOKUP(B3639,'lista 1'!$A$2:$E$30100,4,0)</f>
        <v>#N/A</v>
      </c>
      <c r="B3639" s="123"/>
      <c r="C3639" s="133" t="e">
        <f>VLOOKUP(B3639,'lista 1'!$A$2:$E$31000,5,0)</f>
        <v>#N/A</v>
      </c>
      <c r="D3639" s="167" t="e">
        <f>VLOOKUP(E15439,'lista obszary'!A:B,2,0)</f>
        <v>#N/A</v>
      </c>
      <c r="E3639" s="128" t="e">
        <f>VLOOKUP(B3639,'LISTA 12'!$A$2:$G$301400,5,0)</f>
        <v>#N/A</v>
      </c>
      <c r="F3639" s="121" t="e">
        <f>VLOOKUP(B3639,'LISTA 12'!$A$2:$G$30100,7,0)</f>
        <v>#N/A</v>
      </c>
      <c r="G3639" s="254" t="e">
        <f>VLOOKUP(H3639,'lista 3'!$A$1:$C$31467,3,0)</f>
        <v>#N/A</v>
      </c>
      <c r="H3639" s="134"/>
      <c r="I3639" s="136"/>
      <c r="J3639" s="135"/>
      <c r="K3639" s="22"/>
    </row>
    <row r="3640" spans="1:11">
      <c r="A3640" s="241" t="e">
        <f>VLOOKUP(B3640,'lista 1'!$A$2:$E$30100,4,0)</f>
        <v>#N/A</v>
      </c>
      <c r="B3640" s="123"/>
      <c r="C3640" s="133" t="e">
        <f>VLOOKUP(B3640,'lista 1'!$A$2:$E$31000,5,0)</f>
        <v>#N/A</v>
      </c>
      <c r="D3640" s="167" t="e">
        <f>VLOOKUP(E15440,'lista obszary'!A:B,2,0)</f>
        <v>#N/A</v>
      </c>
      <c r="E3640" s="128" t="e">
        <f>VLOOKUP(B3640,'LISTA 12'!$A$2:$G$301400,5,0)</f>
        <v>#N/A</v>
      </c>
      <c r="F3640" s="121" t="e">
        <f>VLOOKUP(B3640,'LISTA 12'!$A$2:$G$30100,7,0)</f>
        <v>#N/A</v>
      </c>
      <c r="G3640" s="254" t="e">
        <f>VLOOKUP(H3640,'lista 3'!$A$1:$C$31467,3,0)</f>
        <v>#N/A</v>
      </c>
      <c r="H3640" s="134"/>
      <c r="I3640" s="136"/>
      <c r="J3640" s="135"/>
      <c r="K3640" s="22"/>
    </row>
    <row r="3641" spans="1:11">
      <c r="A3641" s="241" t="e">
        <f>VLOOKUP(B3641,'lista 1'!$A$2:$E$30100,4,0)</f>
        <v>#N/A</v>
      </c>
      <c r="B3641" s="123"/>
      <c r="C3641" s="133" t="e">
        <f>VLOOKUP(B3641,'lista 1'!$A$2:$E$31000,5,0)</f>
        <v>#N/A</v>
      </c>
      <c r="D3641" s="167" t="e">
        <f>VLOOKUP(E15441,'lista obszary'!A:B,2,0)</f>
        <v>#N/A</v>
      </c>
      <c r="E3641" s="128" t="e">
        <f>VLOOKUP(B3641,'LISTA 12'!$A$2:$G$301400,5,0)</f>
        <v>#N/A</v>
      </c>
      <c r="F3641" s="121" t="e">
        <f>VLOOKUP(B3641,'LISTA 12'!$A$2:$G$30100,7,0)</f>
        <v>#N/A</v>
      </c>
      <c r="G3641" s="254" t="e">
        <f>VLOOKUP(H3641,'lista 3'!$A$1:$C$31467,3,0)</f>
        <v>#N/A</v>
      </c>
      <c r="H3641" s="134"/>
      <c r="I3641" s="136"/>
      <c r="J3641" s="135"/>
      <c r="K3641" s="22"/>
    </row>
    <row r="3642" spans="1:11">
      <c r="A3642" s="241" t="e">
        <f>VLOOKUP(B3642,'lista 1'!$A$2:$E$30100,4,0)</f>
        <v>#N/A</v>
      </c>
      <c r="B3642" s="123"/>
      <c r="C3642" s="133" t="e">
        <f>VLOOKUP(B3642,'lista 1'!$A$2:$E$31000,5,0)</f>
        <v>#N/A</v>
      </c>
      <c r="D3642" s="167" t="e">
        <f>VLOOKUP(E15442,'lista obszary'!A:B,2,0)</f>
        <v>#N/A</v>
      </c>
      <c r="E3642" s="128" t="e">
        <f>VLOOKUP(B3642,'LISTA 12'!$A$2:$G$301400,5,0)</f>
        <v>#N/A</v>
      </c>
      <c r="F3642" s="121" t="e">
        <f>VLOOKUP(B3642,'LISTA 12'!$A$2:$G$30100,7,0)</f>
        <v>#N/A</v>
      </c>
      <c r="G3642" s="254" t="e">
        <f>VLOOKUP(H3642,'lista 3'!$A$1:$C$31467,3,0)</f>
        <v>#N/A</v>
      </c>
      <c r="H3642" s="134"/>
      <c r="I3642" s="136"/>
      <c r="J3642" s="135"/>
      <c r="K3642" s="22"/>
    </row>
    <row r="3643" spans="1:11">
      <c r="A3643" s="241" t="e">
        <f>VLOOKUP(B3643,'lista 1'!$A$2:$E$30100,4,0)</f>
        <v>#N/A</v>
      </c>
      <c r="B3643" s="123"/>
      <c r="C3643" s="133" t="e">
        <f>VLOOKUP(B3643,'lista 1'!$A$2:$E$31000,5,0)</f>
        <v>#N/A</v>
      </c>
      <c r="D3643" s="167" t="e">
        <f>VLOOKUP(E15443,'lista obszary'!A:B,2,0)</f>
        <v>#N/A</v>
      </c>
      <c r="E3643" s="128" t="e">
        <f>VLOOKUP(B3643,'LISTA 12'!$A$2:$G$301400,5,0)</f>
        <v>#N/A</v>
      </c>
      <c r="F3643" s="121" t="e">
        <f>VLOOKUP(B3643,'LISTA 12'!$A$2:$G$30100,7,0)</f>
        <v>#N/A</v>
      </c>
      <c r="G3643" s="254" t="e">
        <f>VLOOKUP(H3643,'lista 3'!$A$1:$C$31467,3,0)</f>
        <v>#N/A</v>
      </c>
      <c r="H3643" s="134"/>
      <c r="I3643" s="136"/>
      <c r="J3643" s="135"/>
      <c r="K3643" s="22"/>
    </row>
    <row r="3644" spans="1:11">
      <c r="A3644" s="241" t="e">
        <f>VLOOKUP(B3644,'lista 1'!$A$2:$E$30100,4,0)</f>
        <v>#N/A</v>
      </c>
      <c r="B3644" s="123"/>
      <c r="C3644" s="133" t="e">
        <f>VLOOKUP(B3644,'lista 1'!$A$2:$E$31000,5,0)</f>
        <v>#N/A</v>
      </c>
      <c r="D3644" s="167" t="e">
        <f>VLOOKUP(E15444,'lista obszary'!A:B,2,0)</f>
        <v>#N/A</v>
      </c>
      <c r="E3644" s="128" t="e">
        <f>VLOOKUP(B3644,'LISTA 12'!$A$2:$G$301400,5,0)</f>
        <v>#N/A</v>
      </c>
      <c r="F3644" s="121" t="e">
        <f>VLOOKUP(B3644,'LISTA 12'!$A$2:$G$30100,7,0)</f>
        <v>#N/A</v>
      </c>
      <c r="G3644" s="254" t="e">
        <f>VLOOKUP(H3644,'lista 3'!$A$1:$C$31467,3,0)</f>
        <v>#N/A</v>
      </c>
      <c r="H3644" s="134"/>
      <c r="I3644" s="136"/>
      <c r="J3644" s="135"/>
      <c r="K3644" s="22"/>
    </row>
    <row r="3645" spans="1:11">
      <c r="A3645" s="241" t="e">
        <f>VLOOKUP(B3645,'lista 1'!$A$2:$E$30100,4,0)</f>
        <v>#N/A</v>
      </c>
      <c r="B3645" s="123"/>
      <c r="C3645" s="133" t="e">
        <f>VLOOKUP(B3645,'lista 1'!$A$2:$E$31000,5,0)</f>
        <v>#N/A</v>
      </c>
      <c r="D3645" s="167" t="e">
        <f>VLOOKUP(E15445,'lista obszary'!A:B,2,0)</f>
        <v>#N/A</v>
      </c>
      <c r="E3645" s="128" t="e">
        <f>VLOOKUP(B3645,'LISTA 12'!$A$2:$G$301400,5,0)</f>
        <v>#N/A</v>
      </c>
      <c r="F3645" s="121" t="e">
        <f>VLOOKUP(B3645,'LISTA 12'!$A$2:$G$30100,7,0)</f>
        <v>#N/A</v>
      </c>
      <c r="G3645" s="254" t="e">
        <f>VLOOKUP(H3645,'lista 3'!$A$1:$C$31467,3,0)</f>
        <v>#N/A</v>
      </c>
      <c r="H3645" s="134"/>
      <c r="I3645" s="136"/>
      <c r="J3645" s="135"/>
      <c r="K3645" s="22"/>
    </row>
    <row r="3646" spans="1:11">
      <c r="A3646" s="241" t="e">
        <f>VLOOKUP(B3646,'lista 1'!$A$2:$E$30100,4,0)</f>
        <v>#N/A</v>
      </c>
      <c r="B3646" s="123"/>
      <c r="C3646" s="133" t="e">
        <f>VLOOKUP(B3646,'lista 1'!$A$2:$E$31000,5,0)</f>
        <v>#N/A</v>
      </c>
      <c r="D3646" s="167" t="e">
        <f>VLOOKUP(E15446,'lista obszary'!A:B,2,0)</f>
        <v>#N/A</v>
      </c>
      <c r="E3646" s="128" t="e">
        <f>VLOOKUP(B3646,'LISTA 12'!$A$2:$G$301400,5,0)</f>
        <v>#N/A</v>
      </c>
      <c r="F3646" s="121" t="e">
        <f>VLOOKUP(B3646,'LISTA 12'!$A$2:$G$30100,7,0)</f>
        <v>#N/A</v>
      </c>
      <c r="G3646" s="254" t="e">
        <f>VLOOKUP(H3646,'lista 3'!$A$1:$C$31467,3,0)</f>
        <v>#N/A</v>
      </c>
      <c r="H3646" s="134"/>
      <c r="I3646" s="136"/>
      <c r="J3646" s="135"/>
      <c r="K3646" s="22"/>
    </row>
    <row r="3647" spans="1:11">
      <c r="A3647" s="241" t="e">
        <f>VLOOKUP(B3647,'lista 1'!$A$2:$E$30100,4,0)</f>
        <v>#N/A</v>
      </c>
      <c r="B3647" s="123"/>
      <c r="C3647" s="133" t="e">
        <f>VLOOKUP(B3647,'lista 1'!$A$2:$E$31000,5,0)</f>
        <v>#N/A</v>
      </c>
      <c r="D3647" s="167" t="e">
        <f>VLOOKUP(E15447,'lista obszary'!A:B,2,0)</f>
        <v>#N/A</v>
      </c>
      <c r="E3647" s="128" t="e">
        <f>VLOOKUP(B3647,'LISTA 12'!$A$2:$G$301400,5,0)</f>
        <v>#N/A</v>
      </c>
      <c r="F3647" s="121" t="e">
        <f>VLOOKUP(B3647,'LISTA 12'!$A$2:$G$30100,7,0)</f>
        <v>#N/A</v>
      </c>
      <c r="G3647" s="254" t="e">
        <f>VLOOKUP(H3647,'lista 3'!$A$1:$C$31467,3,0)</f>
        <v>#N/A</v>
      </c>
      <c r="H3647" s="134"/>
      <c r="I3647" s="136"/>
      <c r="J3647" s="135"/>
      <c r="K3647" s="22"/>
    </row>
    <row r="3648" spans="1:11">
      <c r="A3648" s="241" t="e">
        <f>VLOOKUP(B3648,'lista 1'!$A$2:$E$30100,4,0)</f>
        <v>#N/A</v>
      </c>
      <c r="B3648" s="123"/>
      <c r="C3648" s="133" t="e">
        <f>VLOOKUP(B3648,'lista 1'!$A$2:$E$31000,5,0)</f>
        <v>#N/A</v>
      </c>
      <c r="D3648" s="167" t="e">
        <f>VLOOKUP(E15448,'lista obszary'!A:B,2,0)</f>
        <v>#N/A</v>
      </c>
      <c r="E3648" s="128" t="e">
        <f>VLOOKUP(B3648,'LISTA 12'!$A$2:$G$301400,5,0)</f>
        <v>#N/A</v>
      </c>
      <c r="F3648" s="121" t="e">
        <f>VLOOKUP(B3648,'LISTA 12'!$A$2:$G$30100,7,0)</f>
        <v>#N/A</v>
      </c>
      <c r="G3648" s="254" t="e">
        <f>VLOOKUP(H3648,'lista 3'!$A$1:$C$31467,3,0)</f>
        <v>#N/A</v>
      </c>
      <c r="H3648" s="134"/>
      <c r="I3648" s="136"/>
      <c r="J3648" s="135"/>
      <c r="K3648" s="22"/>
    </row>
    <row r="3649" spans="1:11">
      <c r="A3649" s="241" t="e">
        <f>VLOOKUP(B3649,'lista 1'!$A$2:$E$30100,4,0)</f>
        <v>#N/A</v>
      </c>
      <c r="B3649" s="123"/>
      <c r="C3649" s="133" t="e">
        <f>VLOOKUP(B3649,'lista 1'!$A$2:$E$31000,5,0)</f>
        <v>#N/A</v>
      </c>
      <c r="D3649" s="167" t="e">
        <f>VLOOKUP(E15449,'lista obszary'!A:B,2,0)</f>
        <v>#N/A</v>
      </c>
      <c r="E3649" s="128" t="e">
        <f>VLOOKUP(B3649,'LISTA 12'!$A$2:$G$301400,5,0)</f>
        <v>#N/A</v>
      </c>
      <c r="F3649" s="121" t="e">
        <f>VLOOKUP(B3649,'LISTA 12'!$A$2:$G$30100,7,0)</f>
        <v>#N/A</v>
      </c>
      <c r="G3649" s="254" t="e">
        <f>VLOOKUP(H3649,'lista 3'!$A$1:$C$31467,3,0)</f>
        <v>#N/A</v>
      </c>
      <c r="H3649" s="134"/>
      <c r="I3649" s="136"/>
      <c r="J3649" s="135"/>
      <c r="K3649" s="22"/>
    </row>
    <row r="3650" spans="1:11">
      <c r="A3650" s="241" t="e">
        <f>VLOOKUP(B3650,'lista 1'!$A$2:$E$30100,4,0)</f>
        <v>#N/A</v>
      </c>
      <c r="B3650" s="123"/>
      <c r="C3650" s="133" t="e">
        <f>VLOOKUP(B3650,'lista 1'!$A$2:$E$31000,5,0)</f>
        <v>#N/A</v>
      </c>
      <c r="D3650" s="167" t="e">
        <f>VLOOKUP(E15450,'lista obszary'!A:B,2,0)</f>
        <v>#N/A</v>
      </c>
      <c r="E3650" s="128" t="e">
        <f>VLOOKUP(B3650,'LISTA 12'!$A$2:$G$301400,5,0)</f>
        <v>#N/A</v>
      </c>
      <c r="F3650" s="121" t="e">
        <f>VLOOKUP(B3650,'LISTA 12'!$A$2:$G$30100,7,0)</f>
        <v>#N/A</v>
      </c>
      <c r="G3650" s="254" t="e">
        <f>VLOOKUP(H3650,'lista 3'!$A$1:$C$31467,3,0)</f>
        <v>#N/A</v>
      </c>
      <c r="H3650" s="134"/>
      <c r="I3650" s="136"/>
      <c r="J3650" s="135"/>
      <c r="K3650" s="22"/>
    </row>
    <row r="3651" spans="1:11">
      <c r="A3651" s="241" t="e">
        <f>VLOOKUP(B3651,'lista 1'!$A$2:$E$30100,4,0)</f>
        <v>#N/A</v>
      </c>
      <c r="B3651" s="123"/>
      <c r="C3651" s="133" t="e">
        <f>VLOOKUP(B3651,'lista 1'!$A$2:$E$31000,5,0)</f>
        <v>#N/A</v>
      </c>
      <c r="D3651" s="167" t="e">
        <f>VLOOKUP(E15451,'lista obszary'!A:B,2,0)</f>
        <v>#N/A</v>
      </c>
      <c r="E3651" s="128" t="e">
        <f>VLOOKUP(B3651,'LISTA 12'!$A$2:$G$301400,5,0)</f>
        <v>#N/A</v>
      </c>
      <c r="F3651" s="121" t="e">
        <f>VLOOKUP(B3651,'LISTA 12'!$A$2:$G$30100,7,0)</f>
        <v>#N/A</v>
      </c>
      <c r="G3651" s="254" t="e">
        <f>VLOOKUP(H3651,'lista 3'!$A$1:$C$31467,3,0)</f>
        <v>#N/A</v>
      </c>
      <c r="H3651" s="134"/>
      <c r="I3651" s="136"/>
      <c r="J3651" s="135"/>
      <c r="K3651" s="22"/>
    </row>
    <row r="3652" spans="1:11">
      <c r="A3652" s="241" t="e">
        <f>VLOOKUP(B3652,'lista 1'!$A$2:$E$30100,4,0)</f>
        <v>#N/A</v>
      </c>
      <c r="B3652" s="123"/>
      <c r="C3652" s="133" t="e">
        <f>VLOOKUP(B3652,'lista 1'!$A$2:$E$31000,5,0)</f>
        <v>#N/A</v>
      </c>
      <c r="D3652" s="167" t="e">
        <f>VLOOKUP(E15452,'lista obszary'!A:B,2,0)</f>
        <v>#N/A</v>
      </c>
      <c r="E3652" s="128" t="e">
        <f>VLOOKUP(B3652,'LISTA 12'!$A$2:$G$301400,5,0)</f>
        <v>#N/A</v>
      </c>
      <c r="F3652" s="121" t="e">
        <f>VLOOKUP(B3652,'LISTA 12'!$A$2:$G$30100,7,0)</f>
        <v>#N/A</v>
      </c>
      <c r="G3652" s="254" t="e">
        <f>VLOOKUP(H3652,'lista 3'!$A$1:$C$31467,3,0)</f>
        <v>#N/A</v>
      </c>
      <c r="H3652" s="134"/>
      <c r="I3652" s="136"/>
      <c r="J3652" s="135"/>
      <c r="K3652" s="22"/>
    </row>
    <row r="3653" spans="1:11">
      <c r="A3653" s="241" t="e">
        <f>VLOOKUP(B3653,'lista 1'!$A$2:$E$30100,4,0)</f>
        <v>#N/A</v>
      </c>
      <c r="B3653" s="123"/>
      <c r="C3653" s="133" t="e">
        <f>VLOOKUP(B3653,'lista 1'!$A$2:$E$31000,5,0)</f>
        <v>#N/A</v>
      </c>
      <c r="D3653" s="167" t="e">
        <f>VLOOKUP(E15453,'lista obszary'!A:B,2,0)</f>
        <v>#N/A</v>
      </c>
      <c r="E3653" s="128" t="e">
        <f>VLOOKUP(B3653,'LISTA 12'!$A$2:$G$301400,5,0)</f>
        <v>#N/A</v>
      </c>
      <c r="F3653" s="121" t="e">
        <f>VLOOKUP(B3653,'LISTA 12'!$A$2:$G$30100,7,0)</f>
        <v>#N/A</v>
      </c>
      <c r="G3653" s="254" t="e">
        <f>VLOOKUP(H3653,'lista 3'!$A$1:$C$31467,3,0)</f>
        <v>#N/A</v>
      </c>
      <c r="H3653" s="134"/>
      <c r="I3653" s="136"/>
      <c r="J3653" s="135"/>
      <c r="K3653" s="22"/>
    </row>
    <row r="3654" spans="1:11">
      <c r="A3654" s="241" t="e">
        <f>VLOOKUP(B3654,'lista 1'!$A$2:$E$30100,4,0)</f>
        <v>#N/A</v>
      </c>
      <c r="B3654" s="123"/>
      <c r="C3654" s="133" t="e">
        <f>VLOOKUP(B3654,'lista 1'!$A$2:$E$31000,5,0)</f>
        <v>#N/A</v>
      </c>
      <c r="D3654" s="167" t="e">
        <f>VLOOKUP(E15454,'lista obszary'!A:B,2,0)</f>
        <v>#N/A</v>
      </c>
      <c r="E3654" s="128" t="e">
        <f>VLOOKUP(B3654,'LISTA 12'!$A$2:$G$301400,5,0)</f>
        <v>#N/A</v>
      </c>
      <c r="F3654" s="121" t="e">
        <f>VLOOKUP(B3654,'LISTA 12'!$A$2:$G$30100,7,0)</f>
        <v>#N/A</v>
      </c>
      <c r="G3654" s="254" t="e">
        <f>VLOOKUP(H3654,'lista 3'!$A$1:$C$31467,3,0)</f>
        <v>#N/A</v>
      </c>
      <c r="H3654" s="134"/>
      <c r="I3654" s="136"/>
      <c r="J3654" s="135"/>
      <c r="K3654" s="22"/>
    </row>
    <row r="3655" spans="1:11">
      <c r="A3655" s="241" t="e">
        <f>VLOOKUP(B3655,'lista 1'!$A$2:$E$30100,4,0)</f>
        <v>#N/A</v>
      </c>
      <c r="B3655" s="123"/>
      <c r="C3655" s="133" t="e">
        <f>VLOOKUP(B3655,'lista 1'!$A$2:$E$31000,5,0)</f>
        <v>#N/A</v>
      </c>
      <c r="D3655" s="167" t="e">
        <f>VLOOKUP(E15455,'lista obszary'!A:B,2,0)</f>
        <v>#N/A</v>
      </c>
      <c r="E3655" s="128" t="e">
        <f>VLOOKUP(B3655,'LISTA 12'!$A$2:$G$301400,5,0)</f>
        <v>#N/A</v>
      </c>
      <c r="F3655" s="121" t="e">
        <f>VLOOKUP(B3655,'LISTA 12'!$A$2:$G$30100,7,0)</f>
        <v>#N/A</v>
      </c>
      <c r="G3655" s="254" t="e">
        <f>VLOOKUP(H3655,'lista 3'!$A$1:$C$31467,3,0)</f>
        <v>#N/A</v>
      </c>
      <c r="H3655" s="134"/>
      <c r="I3655" s="136"/>
      <c r="J3655" s="135"/>
      <c r="K3655" s="22"/>
    </row>
    <row r="3656" spans="1:11">
      <c r="A3656" s="241" t="e">
        <f>VLOOKUP(B3656,'lista 1'!$A$2:$E$30100,4,0)</f>
        <v>#N/A</v>
      </c>
      <c r="B3656" s="123"/>
      <c r="C3656" s="133" t="e">
        <f>VLOOKUP(B3656,'lista 1'!$A$2:$E$31000,5,0)</f>
        <v>#N/A</v>
      </c>
      <c r="D3656" s="167" t="e">
        <f>VLOOKUP(E15456,'lista obszary'!A:B,2,0)</f>
        <v>#N/A</v>
      </c>
      <c r="E3656" s="128" t="e">
        <f>VLOOKUP(B3656,'LISTA 12'!$A$2:$G$301400,5,0)</f>
        <v>#N/A</v>
      </c>
      <c r="F3656" s="121" t="e">
        <f>VLOOKUP(B3656,'LISTA 12'!$A$2:$G$30100,7,0)</f>
        <v>#N/A</v>
      </c>
      <c r="G3656" s="254" t="e">
        <f>VLOOKUP(H3656,'lista 3'!$A$1:$C$31467,3,0)</f>
        <v>#N/A</v>
      </c>
      <c r="H3656" s="134"/>
      <c r="I3656" s="136"/>
      <c r="J3656" s="135"/>
      <c r="K3656" s="22"/>
    </row>
    <row r="3657" spans="1:11">
      <c r="A3657" s="241" t="e">
        <f>VLOOKUP(B3657,'lista 1'!$A$2:$E$30100,4,0)</f>
        <v>#N/A</v>
      </c>
      <c r="B3657" s="123"/>
      <c r="C3657" s="133" t="e">
        <f>VLOOKUP(B3657,'lista 1'!$A$2:$E$31000,5,0)</f>
        <v>#N/A</v>
      </c>
      <c r="D3657" s="167" t="e">
        <f>VLOOKUP(E15457,'lista obszary'!A:B,2,0)</f>
        <v>#N/A</v>
      </c>
      <c r="E3657" s="128" t="e">
        <f>VLOOKUP(B3657,'LISTA 12'!$A$2:$G$301400,5,0)</f>
        <v>#N/A</v>
      </c>
      <c r="F3657" s="121" t="e">
        <f>VLOOKUP(B3657,'LISTA 12'!$A$2:$G$30100,7,0)</f>
        <v>#N/A</v>
      </c>
      <c r="G3657" s="254" t="e">
        <f>VLOOKUP(H3657,'lista 3'!$A$1:$C$31467,3,0)</f>
        <v>#N/A</v>
      </c>
      <c r="H3657" s="134"/>
      <c r="I3657" s="136"/>
      <c r="J3657" s="135"/>
      <c r="K3657" s="22"/>
    </row>
    <row r="3658" spans="1:11">
      <c r="A3658" s="241" t="e">
        <f>VLOOKUP(B3658,'lista 1'!$A$2:$E$30100,4,0)</f>
        <v>#N/A</v>
      </c>
      <c r="B3658" s="123"/>
      <c r="C3658" s="133" t="e">
        <f>VLOOKUP(B3658,'lista 1'!$A$2:$E$31000,5,0)</f>
        <v>#N/A</v>
      </c>
      <c r="D3658" s="167" t="e">
        <f>VLOOKUP(E15458,'lista obszary'!A:B,2,0)</f>
        <v>#N/A</v>
      </c>
      <c r="E3658" s="128" t="e">
        <f>VLOOKUP(B3658,'LISTA 12'!$A$2:$G$301400,5,0)</f>
        <v>#N/A</v>
      </c>
      <c r="F3658" s="121" t="e">
        <f>VLOOKUP(B3658,'LISTA 12'!$A$2:$G$30100,7,0)</f>
        <v>#N/A</v>
      </c>
      <c r="G3658" s="254" t="e">
        <f>VLOOKUP(H3658,'lista 3'!$A$1:$C$31467,3,0)</f>
        <v>#N/A</v>
      </c>
      <c r="H3658" s="134"/>
      <c r="I3658" s="136"/>
      <c r="J3658" s="135"/>
      <c r="K3658" s="22"/>
    </row>
    <row r="3659" spans="1:11">
      <c r="A3659" s="241" t="e">
        <f>VLOOKUP(B3659,'lista 1'!$A$2:$E$30100,4,0)</f>
        <v>#N/A</v>
      </c>
      <c r="B3659" s="123"/>
      <c r="C3659" s="133" t="e">
        <f>VLOOKUP(B3659,'lista 1'!$A$2:$E$31000,5,0)</f>
        <v>#N/A</v>
      </c>
      <c r="D3659" s="167" t="e">
        <f>VLOOKUP(E15459,'lista obszary'!A:B,2,0)</f>
        <v>#N/A</v>
      </c>
      <c r="E3659" s="128" t="e">
        <f>VLOOKUP(B3659,'LISTA 12'!$A$2:$G$301400,5,0)</f>
        <v>#N/A</v>
      </c>
      <c r="F3659" s="121" t="e">
        <f>VLOOKUP(B3659,'LISTA 12'!$A$2:$G$30100,7,0)</f>
        <v>#N/A</v>
      </c>
      <c r="G3659" s="254" t="e">
        <f>VLOOKUP(H3659,'lista 3'!$A$1:$C$31467,3,0)</f>
        <v>#N/A</v>
      </c>
      <c r="H3659" s="134"/>
      <c r="I3659" s="136"/>
      <c r="J3659" s="135"/>
      <c r="K3659" s="22"/>
    </row>
    <row r="3660" spans="1:11">
      <c r="A3660" s="241" t="e">
        <f>VLOOKUP(B3660,'lista 1'!$A$2:$E$30100,4,0)</f>
        <v>#N/A</v>
      </c>
      <c r="B3660" s="123"/>
      <c r="C3660" s="133" t="e">
        <f>VLOOKUP(B3660,'lista 1'!$A$2:$E$31000,5,0)</f>
        <v>#N/A</v>
      </c>
      <c r="D3660" s="167" t="e">
        <f>VLOOKUP(E15460,'lista obszary'!A:B,2,0)</f>
        <v>#N/A</v>
      </c>
      <c r="E3660" s="128" t="e">
        <f>VLOOKUP(B3660,'LISTA 12'!$A$2:$G$301400,5,0)</f>
        <v>#N/A</v>
      </c>
      <c r="F3660" s="121" t="e">
        <f>VLOOKUP(B3660,'LISTA 12'!$A$2:$G$30100,7,0)</f>
        <v>#N/A</v>
      </c>
      <c r="G3660" s="254" t="e">
        <f>VLOOKUP(H3660,'lista 3'!$A$1:$C$31467,3,0)</f>
        <v>#N/A</v>
      </c>
      <c r="H3660" s="134"/>
      <c r="I3660" s="136"/>
      <c r="J3660" s="135"/>
      <c r="K3660" s="22"/>
    </row>
    <row r="3661" spans="1:11">
      <c r="A3661" s="241" t="e">
        <f>VLOOKUP(B3661,'lista 1'!$A$2:$E$30100,4,0)</f>
        <v>#N/A</v>
      </c>
      <c r="B3661" s="123"/>
      <c r="C3661" s="133" t="e">
        <f>VLOOKUP(B3661,'lista 1'!$A$2:$E$31000,5,0)</f>
        <v>#N/A</v>
      </c>
      <c r="D3661" s="167" t="e">
        <f>VLOOKUP(E15461,'lista obszary'!A:B,2,0)</f>
        <v>#N/A</v>
      </c>
      <c r="E3661" s="128" t="e">
        <f>VLOOKUP(B3661,'LISTA 12'!$A$2:$G$301400,5,0)</f>
        <v>#N/A</v>
      </c>
      <c r="F3661" s="121" t="e">
        <f>VLOOKUP(B3661,'LISTA 12'!$A$2:$G$30100,7,0)</f>
        <v>#N/A</v>
      </c>
      <c r="G3661" s="254" t="e">
        <f>VLOOKUP(H3661,'lista 3'!$A$1:$C$31467,3,0)</f>
        <v>#N/A</v>
      </c>
      <c r="H3661" s="134"/>
      <c r="I3661" s="136"/>
      <c r="J3661" s="135"/>
      <c r="K3661" s="22"/>
    </row>
    <row r="3662" spans="1:11">
      <c r="A3662" s="241" t="e">
        <f>VLOOKUP(B3662,'lista 1'!$A$2:$E$30100,4,0)</f>
        <v>#N/A</v>
      </c>
      <c r="B3662" s="123"/>
      <c r="C3662" s="133" t="e">
        <f>VLOOKUP(B3662,'lista 1'!$A$2:$E$31000,5,0)</f>
        <v>#N/A</v>
      </c>
      <c r="D3662" s="167" t="e">
        <f>VLOOKUP(E15462,'lista obszary'!A:B,2,0)</f>
        <v>#N/A</v>
      </c>
      <c r="E3662" s="128" t="e">
        <f>VLOOKUP(B3662,'LISTA 12'!$A$2:$G$301400,5,0)</f>
        <v>#N/A</v>
      </c>
      <c r="F3662" s="121" t="e">
        <f>VLOOKUP(B3662,'LISTA 12'!$A$2:$G$30100,7,0)</f>
        <v>#N/A</v>
      </c>
      <c r="G3662" s="254" t="e">
        <f>VLOOKUP(H3662,'lista 3'!$A$1:$C$31467,3,0)</f>
        <v>#N/A</v>
      </c>
      <c r="H3662" s="134"/>
      <c r="I3662" s="136"/>
      <c r="J3662" s="135"/>
      <c r="K3662" s="22"/>
    </row>
    <row r="3663" spans="1:11">
      <c r="A3663" s="241" t="e">
        <f>VLOOKUP(B3663,'lista 1'!$A$2:$E$30100,4,0)</f>
        <v>#N/A</v>
      </c>
      <c r="B3663" s="123"/>
      <c r="C3663" s="133" t="e">
        <f>VLOOKUP(B3663,'lista 1'!$A$2:$E$31000,5,0)</f>
        <v>#N/A</v>
      </c>
      <c r="D3663" s="167" t="e">
        <f>VLOOKUP(E15463,'lista obszary'!A:B,2,0)</f>
        <v>#N/A</v>
      </c>
      <c r="E3663" s="128" t="e">
        <f>VLOOKUP(B3663,'LISTA 12'!$A$2:$G$301400,5,0)</f>
        <v>#N/A</v>
      </c>
      <c r="F3663" s="121" t="e">
        <f>VLOOKUP(B3663,'LISTA 12'!$A$2:$G$30100,7,0)</f>
        <v>#N/A</v>
      </c>
      <c r="G3663" s="254" t="e">
        <f>VLOOKUP(H3663,'lista 3'!$A$1:$C$31467,3,0)</f>
        <v>#N/A</v>
      </c>
      <c r="H3663" s="134"/>
      <c r="I3663" s="136"/>
      <c r="J3663" s="135"/>
      <c r="K3663" s="22"/>
    </row>
    <row r="3664" spans="1:11">
      <c r="A3664" s="241" t="e">
        <f>VLOOKUP(B3664,'lista 1'!$A$2:$E$30100,4,0)</f>
        <v>#N/A</v>
      </c>
      <c r="B3664" s="123"/>
      <c r="C3664" s="133" t="e">
        <f>VLOOKUP(B3664,'lista 1'!$A$2:$E$31000,5,0)</f>
        <v>#N/A</v>
      </c>
      <c r="D3664" s="167" t="e">
        <f>VLOOKUP(E15464,'lista obszary'!A:B,2,0)</f>
        <v>#N/A</v>
      </c>
      <c r="E3664" s="128" t="e">
        <f>VLOOKUP(B3664,'LISTA 12'!$A$2:$G$301400,5,0)</f>
        <v>#N/A</v>
      </c>
      <c r="F3664" s="121" t="e">
        <f>VLOOKUP(B3664,'LISTA 12'!$A$2:$G$30100,7,0)</f>
        <v>#N/A</v>
      </c>
      <c r="G3664" s="254" t="e">
        <f>VLOOKUP(H3664,'lista 3'!$A$1:$C$31467,3,0)</f>
        <v>#N/A</v>
      </c>
      <c r="H3664" s="134"/>
      <c r="I3664" s="136"/>
      <c r="J3664" s="135"/>
      <c r="K3664" s="22"/>
    </row>
    <row r="3665" spans="1:11">
      <c r="A3665" s="241" t="e">
        <f>VLOOKUP(B3665,'lista 1'!$A$2:$E$30100,4,0)</f>
        <v>#N/A</v>
      </c>
      <c r="B3665" s="123"/>
      <c r="C3665" s="133" t="e">
        <f>VLOOKUP(B3665,'lista 1'!$A$2:$E$31000,5,0)</f>
        <v>#N/A</v>
      </c>
      <c r="D3665" s="167" t="e">
        <f>VLOOKUP(E15465,'lista obszary'!A:B,2,0)</f>
        <v>#N/A</v>
      </c>
      <c r="E3665" s="128" t="e">
        <f>VLOOKUP(B3665,'LISTA 12'!$A$2:$G$301400,5,0)</f>
        <v>#N/A</v>
      </c>
      <c r="F3665" s="121" t="e">
        <f>VLOOKUP(B3665,'LISTA 12'!$A$2:$G$30100,7,0)</f>
        <v>#N/A</v>
      </c>
      <c r="G3665" s="254" t="e">
        <f>VLOOKUP(H3665,'lista 3'!$A$1:$C$31467,3,0)</f>
        <v>#N/A</v>
      </c>
      <c r="H3665" s="134"/>
      <c r="I3665" s="136"/>
      <c r="J3665" s="135"/>
      <c r="K3665" s="22"/>
    </row>
    <row r="3666" spans="1:11">
      <c r="A3666" s="241" t="e">
        <f>VLOOKUP(B3666,'lista 1'!$A$2:$E$30100,4,0)</f>
        <v>#N/A</v>
      </c>
      <c r="B3666" s="123"/>
      <c r="C3666" s="133" t="e">
        <f>VLOOKUP(B3666,'lista 1'!$A$2:$E$31000,5,0)</f>
        <v>#N/A</v>
      </c>
      <c r="D3666" s="167" t="e">
        <f>VLOOKUP(E15466,'lista obszary'!A:B,2,0)</f>
        <v>#N/A</v>
      </c>
      <c r="E3666" s="128" t="e">
        <f>VLOOKUP(B3666,'LISTA 12'!$A$2:$G$301400,5,0)</f>
        <v>#N/A</v>
      </c>
      <c r="F3666" s="121" t="e">
        <f>VLOOKUP(B3666,'LISTA 12'!$A$2:$G$30100,7,0)</f>
        <v>#N/A</v>
      </c>
      <c r="G3666" s="254" t="e">
        <f>VLOOKUP(H3666,'lista 3'!$A$1:$C$31467,3,0)</f>
        <v>#N/A</v>
      </c>
      <c r="H3666" s="134"/>
      <c r="I3666" s="136"/>
      <c r="J3666" s="135"/>
      <c r="K3666" s="22"/>
    </row>
    <row r="3667" spans="1:11">
      <c r="A3667" s="241" t="e">
        <f>VLOOKUP(B3667,'lista 1'!$A$2:$E$30100,4,0)</f>
        <v>#N/A</v>
      </c>
      <c r="B3667" s="123"/>
      <c r="C3667" s="133" t="e">
        <f>VLOOKUP(B3667,'lista 1'!$A$2:$E$31000,5,0)</f>
        <v>#N/A</v>
      </c>
      <c r="D3667" s="167" t="e">
        <f>VLOOKUP(E15467,'lista obszary'!A:B,2,0)</f>
        <v>#N/A</v>
      </c>
      <c r="E3667" s="128" t="e">
        <f>VLOOKUP(B3667,'LISTA 12'!$A$2:$G$301400,5,0)</f>
        <v>#N/A</v>
      </c>
      <c r="F3667" s="121" t="e">
        <f>VLOOKUP(B3667,'LISTA 12'!$A$2:$G$30100,7,0)</f>
        <v>#N/A</v>
      </c>
      <c r="G3667" s="254" t="e">
        <f>VLOOKUP(H3667,'lista 3'!$A$1:$C$31467,3,0)</f>
        <v>#N/A</v>
      </c>
      <c r="H3667" s="134"/>
      <c r="I3667" s="136"/>
      <c r="J3667" s="135"/>
      <c r="K3667" s="22"/>
    </row>
    <row r="3668" spans="1:11">
      <c r="A3668" s="241" t="e">
        <f>VLOOKUP(B3668,'lista 1'!$A$2:$E$30100,4,0)</f>
        <v>#N/A</v>
      </c>
      <c r="B3668" s="123"/>
      <c r="C3668" s="133" t="e">
        <f>VLOOKUP(B3668,'lista 1'!$A$2:$E$31000,5,0)</f>
        <v>#N/A</v>
      </c>
      <c r="D3668" s="167" t="e">
        <f>VLOOKUP(E15468,'lista obszary'!A:B,2,0)</f>
        <v>#N/A</v>
      </c>
      <c r="E3668" s="128" t="e">
        <f>VLOOKUP(B3668,'LISTA 12'!$A$2:$G$301400,5,0)</f>
        <v>#N/A</v>
      </c>
      <c r="F3668" s="121" t="e">
        <f>VLOOKUP(B3668,'LISTA 12'!$A$2:$G$30100,7,0)</f>
        <v>#N/A</v>
      </c>
      <c r="G3668" s="254" t="e">
        <f>VLOOKUP(H3668,'lista 3'!$A$1:$C$31467,3,0)</f>
        <v>#N/A</v>
      </c>
      <c r="H3668" s="134"/>
      <c r="I3668" s="136"/>
      <c r="J3668" s="135"/>
      <c r="K3668" s="22"/>
    </row>
    <row r="3669" spans="1:11">
      <c r="A3669" s="241" t="e">
        <f>VLOOKUP(B3669,'lista 1'!$A$2:$E$30100,4,0)</f>
        <v>#N/A</v>
      </c>
      <c r="B3669" s="123"/>
      <c r="C3669" s="133" t="e">
        <f>VLOOKUP(B3669,'lista 1'!$A$2:$E$31000,5,0)</f>
        <v>#N/A</v>
      </c>
      <c r="D3669" s="167" t="e">
        <f>VLOOKUP(E15469,'lista obszary'!A:B,2,0)</f>
        <v>#N/A</v>
      </c>
      <c r="E3669" s="128" t="e">
        <f>VLOOKUP(B3669,'LISTA 12'!$A$2:$G$301400,5,0)</f>
        <v>#N/A</v>
      </c>
      <c r="F3669" s="121" t="e">
        <f>VLOOKUP(B3669,'LISTA 12'!$A$2:$G$30100,7,0)</f>
        <v>#N/A</v>
      </c>
      <c r="G3669" s="254" t="e">
        <f>VLOOKUP(H3669,'lista 3'!$A$1:$C$31467,3,0)</f>
        <v>#N/A</v>
      </c>
      <c r="H3669" s="134"/>
      <c r="I3669" s="136"/>
      <c r="J3669" s="135"/>
      <c r="K3669" s="22"/>
    </row>
    <row r="3670" spans="1:11">
      <c r="A3670" s="241" t="e">
        <f>VLOOKUP(B3670,'lista 1'!$A$2:$E$30100,4,0)</f>
        <v>#N/A</v>
      </c>
      <c r="B3670" s="123"/>
      <c r="C3670" s="133" t="e">
        <f>VLOOKUP(B3670,'lista 1'!$A$2:$E$31000,5,0)</f>
        <v>#N/A</v>
      </c>
      <c r="D3670" s="167" t="e">
        <f>VLOOKUP(E15470,'lista obszary'!A:B,2,0)</f>
        <v>#N/A</v>
      </c>
      <c r="E3670" s="128" t="e">
        <f>VLOOKUP(B3670,'LISTA 12'!$A$2:$G$301400,5,0)</f>
        <v>#N/A</v>
      </c>
      <c r="F3670" s="121" t="e">
        <f>VLOOKUP(B3670,'LISTA 12'!$A$2:$G$30100,7,0)</f>
        <v>#N/A</v>
      </c>
      <c r="G3670" s="254" t="e">
        <f>VLOOKUP(H3670,'lista 3'!$A$1:$C$31467,3,0)</f>
        <v>#N/A</v>
      </c>
      <c r="H3670" s="134"/>
      <c r="I3670" s="136"/>
      <c r="J3670" s="135"/>
      <c r="K3670" s="22"/>
    </row>
    <row r="3671" spans="1:11">
      <c r="A3671" s="241" t="e">
        <f>VLOOKUP(B3671,'lista 1'!$A$2:$E$30100,4,0)</f>
        <v>#N/A</v>
      </c>
      <c r="B3671" s="123"/>
      <c r="C3671" s="133" t="e">
        <f>VLOOKUP(B3671,'lista 1'!$A$2:$E$31000,5,0)</f>
        <v>#N/A</v>
      </c>
      <c r="D3671" s="167" t="e">
        <f>VLOOKUP(E15471,'lista obszary'!A:B,2,0)</f>
        <v>#N/A</v>
      </c>
      <c r="E3671" s="128" t="e">
        <f>VLOOKUP(B3671,'LISTA 12'!$A$2:$G$301400,5,0)</f>
        <v>#N/A</v>
      </c>
      <c r="F3671" s="121" t="e">
        <f>VLOOKUP(B3671,'LISTA 12'!$A$2:$G$30100,7,0)</f>
        <v>#N/A</v>
      </c>
      <c r="G3671" s="254" t="e">
        <f>VLOOKUP(H3671,'lista 3'!$A$1:$C$31467,3,0)</f>
        <v>#N/A</v>
      </c>
      <c r="H3671" s="134"/>
      <c r="I3671" s="136"/>
      <c r="J3671" s="135"/>
      <c r="K3671" s="22"/>
    </row>
    <row r="3672" spans="1:11">
      <c r="A3672" s="241" t="e">
        <f>VLOOKUP(B3672,'lista 1'!$A$2:$E$30100,4,0)</f>
        <v>#N/A</v>
      </c>
      <c r="B3672" s="123"/>
      <c r="C3672" s="133" t="e">
        <f>VLOOKUP(B3672,'lista 1'!$A$2:$E$31000,5,0)</f>
        <v>#N/A</v>
      </c>
      <c r="D3672" s="167" t="e">
        <f>VLOOKUP(E15472,'lista obszary'!A:B,2,0)</f>
        <v>#N/A</v>
      </c>
      <c r="E3672" s="128" t="e">
        <f>VLOOKUP(B3672,'LISTA 12'!$A$2:$G$301400,5,0)</f>
        <v>#N/A</v>
      </c>
      <c r="F3672" s="121" t="e">
        <f>VLOOKUP(B3672,'LISTA 12'!$A$2:$G$30100,7,0)</f>
        <v>#N/A</v>
      </c>
      <c r="G3672" s="254" t="e">
        <f>VLOOKUP(H3672,'lista 3'!$A$1:$C$31467,3,0)</f>
        <v>#N/A</v>
      </c>
      <c r="H3672" s="134"/>
      <c r="I3672" s="136"/>
      <c r="J3672" s="135"/>
      <c r="K3672" s="22"/>
    </row>
    <row r="3673" spans="1:11">
      <c r="A3673" s="241" t="e">
        <f>VLOOKUP(B3673,'lista 1'!$A$2:$E$30100,4,0)</f>
        <v>#N/A</v>
      </c>
      <c r="B3673" s="123"/>
      <c r="C3673" s="133" t="e">
        <f>VLOOKUP(B3673,'lista 1'!$A$2:$E$31000,5,0)</f>
        <v>#N/A</v>
      </c>
      <c r="D3673" s="167" t="e">
        <f>VLOOKUP(E15473,'lista obszary'!A:B,2,0)</f>
        <v>#N/A</v>
      </c>
      <c r="E3673" s="128" t="e">
        <f>VLOOKUP(B3673,'LISTA 12'!$A$2:$G$301400,5,0)</f>
        <v>#N/A</v>
      </c>
      <c r="F3673" s="121" t="e">
        <f>VLOOKUP(B3673,'LISTA 12'!$A$2:$G$30100,7,0)</f>
        <v>#N/A</v>
      </c>
      <c r="G3673" s="254" t="e">
        <f>VLOOKUP(H3673,'lista 3'!$A$1:$C$31467,3,0)</f>
        <v>#N/A</v>
      </c>
      <c r="H3673" s="134"/>
      <c r="I3673" s="136"/>
      <c r="J3673" s="135"/>
      <c r="K3673" s="22"/>
    </row>
    <row r="3674" spans="1:11">
      <c r="A3674" s="241" t="e">
        <f>VLOOKUP(B3674,'lista 1'!$A$2:$E$30100,4,0)</f>
        <v>#N/A</v>
      </c>
      <c r="B3674" s="123"/>
      <c r="C3674" s="133" t="e">
        <f>VLOOKUP(B3674,'lista 1'!$A$2:$E$31000,5,0)</f>
        <v>#N/A</v>
      </c>
      <c r="D3674" s="167" t="e">
        <f>VLOOKUP(E15474,'lista obszary'!A:B,2,0)</f>
        <v>#N/A</v>
      </c>
      <c r="E3674" s="128" t="e">
        <f>VLOOKUP(B3674,'LISTA 12'!$A$2:$G$301400,5,0)</f>
        <v>#N/A</v>
      </c>
      <c r="F3674" s="121" t="e">
        <f>VLOOKUP(B3674,'LISTA 12'!$A$2:$G$30100,7,0)</f>
        <v>#N/A</v>
      </c>
      <c r="G3674" s="254" t="e">
        <f>VLOOKUP(H3674,'lista 3'!$A$1:$C$31467,3,0)</f>
        <v>#N/A</v>
      </c>
      <c r="H3674" s="134"/>
      <c r="I3674" s="136"/>
      <c r="J3674" s="135"/>
      <c r="K3674" s="22"/>
    </row>
    <row r="3675" spans="1:11">
      <c r="A3675" s="241" t="e">
        <f>VLOOKUP(B3675,'lista 1'!$A$2:$E$30100,4,0)</f>
        <v>#N/A</v>
      </c>
      <c r="B3675" s="123"/>
      <c r="C3675" s="133" t="e">
        <f>VLOOKUP(B3675,'lista 1'!$A$2:$E$31000,5,0)</f>
        <v>#N/A</v>
      </c>
      <c r="D3675" s="167" t="e">
        <f>VLOOKUP(E15475,'lista obszary'!A:B,2,0)</f>
        <v>#N/A</v>
      </c>
      <c r="E3675" s="128" t="e">
        <f>VLOOKUP(B3675,'LISTA 12'!$A$2:$G$301400,5,0)</f>
        <v>#N/A</v>
      </c>
      <c r="F3675" s="121" t="e">
        <f>VLOOKUP(B3675,'LISTA 12'!$A$2:$G$30100,7,0)</f>
        <v>#N/A</v>
      </c>
      <c r="G3675" s="254" t="e">
        <f>VLOOKUP(H3675,'lista 3'!$A$1:$C$31467,3,0)</f>
        <v>#N/A</v>
      </c>
      <c r="H3675" s="134"/>
      <c r="I3675" s="136"/>
      <c r="J3675" s="135"/>
      <c r="K3675" s="22"/>
    </row>
    <row r="3676" spans="1:11">
      <c r="A3676" s="241" t="e">
        <f>VLOOKUP(B3676,'lista 1'!$A$2:$E$30100,4,0)</f>
        <v>#N/A</v>
      </c>
      <c r="B3676" s="123"/>
      <c r="C3676" s="133" t="e">
        <f>VLOOKUP(B3676,'lista 1'!$A$2:$E$31000,5,0)</f>
        <v>#N/A</v>
      </c>
      <c r="D3676" s="167" t="e">
        <f>VLOOKUP(E15476,'lista obszary'!A:B,2,0)</f>
        <v>#N/A</v>
      </c>
      <c r="E3676" s="128" t="e">
        <f>VLOOKUP(B3676,'LISTA 12'!$A$2:$G$301400,5,0)</f>
        <v>#N/A</v>
      </c>
      <c r="F3676" s="121" t="e">
        <f>VLOOKUP(B3676,'LISTA 12'!$A$2:$G$30100,7,0)</f>
        <v>#N/A</v>
      </c>
      <c r="G3676" s="254" t="e">
        <f>VLOOKUP(H3676,'lista 3'!$A$1:$C$31467,3,0)</f>
        <v>#N/A</v>
      </c>
      <c r="H3676" s="134"/>
      <c r="I3676" s="136"/>
      <c r="J3676" s="135"/>
      <c r="K3676" s="22"/>
    </row>
    <row r="3677" spans="1:11">
      <c r="A3677" s="241" t="e">
        <f>VLOOKUP(B3677,'lista 1'!$A$2:$E$30100,4,0)</f>
        <v>#N/A</v>
      </c>
      <c r="B3677" s="123"/>
      <c r="C3677" s="133" t="e">
        <f>VLOOKUP(B3677,'lista 1'!$A$2:$E$31000,5,0)</f>
        <v>#N/A</v>
      </c>
      <c r="D3677" s="167" t="e">
        <f>VLOOKUP(E15477,'lista obszary'!A:B,2,0)</f>
        <v>#N/A</v>
      </c>
      <c r="E3677" s="128" t="e">
        <f>VLOOKUP(B3677,'LISTA 12'!$A$2:$G$301400,5,0)</f>
        <v>#N/A</v>
      </c>
      <c r="F3677" s="121" t="e">
        <f>VLOOKUP(B3677,'LISTA 12'!$A$2:$G$30100,7,0)</f>
        <v>#N/A</v>
      </c>
      <c r="G3677" s="254" t="e">
        <f>VLOOKUP(H3677,'lista 3'!$A$1:$C$31467,3,0)</f>
        <v>#N/A</v>
      </c>
      <c r="H3677" s="134"/>
      <c r="I3677" s="136"/>
      <c r="J3677" s="135"/>
      <c r="K3677" s="22"/>
    </row>
    <row r="3678" spans="1:11">
      <c r="A3678" s="241" t="e">
        <f>VLOOKUP(B3678,'lista 1'!$A$2:$E$30100,4,0)</f>
        <v>#N/A</v>
      </c>
      <c r="B3678" s="123"/>
      <c r="C3678" s="133" t="e">
        <f>VLOOKUP(B3678,'lista 1'!$A$2:$E$31000,5,0)</f>
        <v>#N/A</v>
      </c>
      <c r="D3678" s="167" t="e">
        <f>VLOOKUP(E15478,'lista obszary'!A:B,2,0)</f>
        <v>#N/A</v>
      </c>
      <c r="E3678" s="128" t="e">
        <f>VLOOKUP(B3678,'LISTA 12'!$A$2:$G$301400,5,0)</f>
        <v>#N/A</v>
      </c>
      <c r="F3678" s="121" t="e">
        <f>VLOOKUP(B3678,'LISTA 12'!$A$2:$G$30100,7,0)</f>
        <v>#N/A</v>
      </c>
      <c r="G3678" s="254" t="e">
        <f>VLOOKUP(H3678,'lista 3'!$A$1:$C$31467,3,0)</f>
        <v>#N/A</v>
      </c>
      <c r="H3678" s="134"/>
      <c r="I3678" s="136"/>
      <c r="J3678" s="135"/>
      <c r="K3678" s="22"/>
    </row>
    <row r="3679" spans="1:11">
      <c r="A3679" s="241" t="e">
        <f>VLOOKUP(B3679,'lista 1'!$A$2:$E$30100,4,0)</f>
        <v>#N/A</v>
      </c>
      <c r="B3679" s="123"/>
      <c r="C3679" s="133" t="e">
        <f>VLOOKUP(B3679,'lista 1'!$A$2:$E$31000,5,0)</f>
        <v>#N/A</v>
      </c>
      <c r="D3679" s="167" t="e">
        <f>VLOOKUP(E15479,'lista obszary'!A:B,2,0)</f>
        <v>#N/A</v>
      </c>
      <c r="E3679" s="128" t="e">
        <f>VLOOKUP(B3679,'LISTA 12'!$A$2:$G$301400,5,0)</f>
        <v>#N/A</v>
      </c>
      <c r="F3679" s="121" t="e">
        <f>VLOOKUP(B3679,'LISTA 12'!$A$2:$G$30100,7,0)</f>
        <v>#N/A</v>
      </c>
      <c r="G3679" s="254" t="e">
        <f>VLOOKUP(H3679,'lista 3'!$A$1:$C$31467,3,0)</f>
        <v>#N/A</v>
      </c>
      <c r="H3679" s="134"/>
      <c r="I3679" s="136"/>
      <c r="J3679" s="135"/>
      <c r="K3679" s="22"/>
    </row>
    <row r="3680" spans="1:11">
      <c r="A3680" s="241" t="e">
        <f>VLOOKUP(B3680,'lista 1'!$A$2:$E$30100,4,0)</f>
        <v>#N/A</v>
      </c>
      <c r="B3680" s="123"/>
      <c r="C3680" s="133" t="e">
        <f>VLOOKUP(B3680,'lista 1'!$A$2:$E$31000,5,0)</f>
        <v>#N/A</v>
      </c>
      <c r="D3680" s="167" t="e">
        <f>VLOOKUP(E15480,'lista obszary'!A:B,2,0)</f>
        <v>#N/A</v>
      </c>
      <c r="E3680" s="128" t="e">
        <f>VLOOKUP(B3680,'LISTA 12'!$A$2:$G$301400,5,0)</f>
        <v>#N/A</v>
      </c>
      <c r="F3680" s="121" t="e">
        <f>VLOOKUP(B3680,'LISTA 12'!$A$2:$G$30100,7,0)</f>
        <v>#N/A</v>
      </c>
      <c r="G3680" s="254" t="e">
        <f>VLOOKUP(H3680,'lista 3'!$A$1:$C$31467,3,0)</f>
        <v>#N/A</v>
      </c>
      <c r="H3680" s="134"/>
      <c r="I3680" s="136"/>
      <c r="J3680" s="135"/>
      <c r="K3680" s="22"/>
    </row>
    <row r="3681" spans="1:11">
      <c r="A3681" s="241" t="e">
        <f>VLOOKUP(B3681,'lista 1'!$A$2:$E$30100,4,0)</f>
        <v>#N/A</v>
      </c>
      <c r="B3681" s="123"/>
      <c r="C3681" s="133" t="e">
        <f>VLOOKUP(B3681,'lista 1'!$A$2:$E$31000,5,0)</f>
        <v>#N/A</v>
      </c>
      <c r="D3681" s="167" t="e">
        <f>VLOOKUP(E15481,'lista obszary'!A:B,2,0)</f>
        <v>#N/A</v>
      </c>
      <c r="E3681" s="128" t="e">
        <f>VLOOKUP(B3681,'LISTA 12'!$A$2:$G$301400,5,0)</f>
        <v>#N/A</v>
      </c>
      <c r="F3681" s="121" t="e">
        <f>VLOOKUP(B3681,'LISTA 12'!$A$2:$G$30100,7,0)</f>
        <v>#N/A</v>
      </c>
      <c r="G3681" s="254" t="e">
        <f>VLOOKUP(H3681,'lista 3'!$A$1:$C$31467,3,0)</f>
        <v>#N/A</v>
      </c>
      <c r="H3681" s="134"/>
      <c r="I3681" s="136"/>
      <c r="J3681" s="135"/>
      <c r="K3681" s="22"/>
    </row>
    <row r="3682" spans="1:11">
      <c r="A3682" s="241" t="e">
        <f>VLOOKUP(B3682,'lista 1'!$A$2:$E$30100,4,0)</f>
        <v>#N/A</v>
      </c>
      <c r="B3682" s="123"/>
      <c r="C3682" s="133" t="e">
        <f>VLOOKUP(B3682,'lista 1'!$A$2:$E$31000,5,0)</f>
        <v>#N/A</v>
      </c>
      <c r="D3682" s="167" t="e">
        <f>VLOOKUP(E15482,'lista obszary'!A:B,2,0)</f>
        <v>#N/A</v>
      </c>
      <c r="E3682" s="128" t="e">
        <f>VLOOKUP(B3682,'LISTA 12'!$A$2:$G$301400,5,0)</f>
        <v>#N/A</v>
      </c>
      <c r="F3682" s="121" t="e">
        <f>VLOOKUP(B3682,'LISTA 12'!$A$2:$G$30100,7,0)</f>
        <v>#N/A</v>
      </c>
      <c r="G3682" s="254" t="e">
        <f>VLOOKUP(H3682,'lista 3'!$A$1:$C$31467,3,0)</f>
        <v>#N/A</v>
      </c>
      <c r="H3682" s="134"/>
      <c r="I3682" s="136"/>
      <c r="J3682" s="135"/>
      <c r="K3682" s="22"/>
    </row>
    <row r="3683" spans="1:11">
      <c r="A3683" s="241" t="e">
        <f>VLOOKUP(B3683,'lista 1'!$A$2:$E$30100,4,0)</f>
        <v>#N/A</v>
      </c>
      <c r="B3683" s="123"/>
      <c r="C3683" s="133" t="e">
        <f>VLOOKUP(B3683,'lista 1'!$A$2:$E$31000,5,0)</f>
        <v>#N/A</v>
      </c>
      <c r="D3683" s="167" t="e">
        <f>VLOOKUP(E15483,'lista obszary'!A:B,2,0)</f>
        <v>#N/A</v>
      </c>
      <c r="E3683" s="128" t="e">
        <f>VLOOKUP(B3683,'LISTA 12'!$A$2:$G$301400,5,0)</f>
        <v>#N/A</v>
      </c>
      <c r="F3683" s="121" t="e">
        <f>VLOOKUP(B3683,'LISTA 12'!$A$2:$G$30100,7,0)</f>
        <v>#N/A</v>
      </c>
      <c r="G3683" s="254" t="e">
        <f>VLOOKUP(H3683,'lista 3'!$A$1:$C$31467,3,0)</f>
        <v>#N/A</v>
      </c>
      <c r="H3683" s="134"/>
      <c r="I3683" s="136"/>
      <c r="J3683" s="135"/>
      <c r="K3683" s="22"/>
    </row>
    <row r="3684" spans="1:11">
      <c r="K3684" s="22"/>
    </row>
    <row r="3685" spans="1:11">
      <c r="K3685" s="22"/>
    </row>
    <row r="3686" spans="1:11">
      <c r="K3686" s="22"/>
    </row>
    <row r="3687" spans="1:11">
      <c r="K3687" s="22"/>
    </row>
    <row r="3688" spans="1:11">
      <c r="K3688" s="22"/>
    </row>
    <row r="3689" spans="1:11">
      <c r="K3689" s="22"/>
    </row>
    <row r="3690" spans="1:11">
      <c r="K3690" s="22"/>
    </row>
    <row r="3691" spans="1:11">
      <c r="K3691" s="22"/>
    </row>
  </sheetData>
  <autoFilter ref="A1:K3691" xr:uid="{00000000-0009-0000-0000-000001000000}">
    <sortState xmlns:xlrd2="http://schemas.microsoft.com/office/spreadsheetml/2017/richdata2" ref="A2:Q1369">
      <sortCondition ref="J1:J1369"/>
    </sortState>
  </autoFilter>
  <conditionalFormatting sqref="J856:J859 H811:J854 H870:I875">
    <cfRule type="cellIs" dxfId="4" priority="6" operator="equal">
      <formula>#N/A</formula>
    </cfRule>
  </conditionalFormatting>
  <conditionalFormatting sqref="J868">
    <cfRule type="cellIs" dxfId="3" priority="5" operator="equal">
      <formula>#N/A</formula>
    </cfRule>
  </conditionalFormatting>
  <conditionalFormatting sqref="J860:J867">
    <cfRule type="cellIs" dxfId="2" priority="4" operator="equal">
      <formula>#N/A</formula>
    </cfRule>
  </conditionalFormatting>
  <conditionalFormatting sqref="H855:J855">
    <cfRule type="cellIs" dxfId="1" priority="3" operator="equal">
      <formula>#N/A</formula>
    </cfRule>
  </conditionalFormatting>
  <conditionalFormatting sqref="H856:I868">
    <cfRule type="cellIs" dxfId="0" priority="2" operator="equal">
      <formula>#N/A</formula>
    </cfRule>
  </conditionalFormatting>
  <pageMargins left="0" right="0" top="0" bottom="0" header="0" footer="0"/>
  <pageSetup paperSize="9" scale="10" orientation="landscape" cellComments="asDisplayed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5"/>
  <dimension ref="A1:M2042"/>
  <sheetViews>
    <sheetView topLeftCell="C1" zoomScale="80" zoomScaleNormal="80" workbookViewId="0">
      <selection activeCell="M26" sqref="M26:M28"/>
    </sheetView>
  </sheetViews>
  <sheetFormatPr defaultRowHeight="13.2"/>
  <cols>
    <col min="1" max="1" width="8.109375" style="100" customWidth="1"/>
    <col min="2" max="2" width="22.6640625" style="100" customWidth="1"/>
    <col min="3" max="3" width="13.88671875" style="100" customWidth="1"/>
    <col min="4" max="5" width="7.109375" style="100" customWidth="1"/>
    <col min="6" max="6" width="11.5546875" style="32" customWidth="1"/>
    <col min="7" max="7" width="33.88671875" style="32" customWidth="1"/>
    <col min="8" max="8" width="25.109375" customWidth="1"/>
  </cols>
  <sheetData>
    <row r="1" spans="1:8">
      <c r="A1" s="101" t="s">
        <v>2451</v>
      </c>
      <c r="B1" s="101" t="s">
        <v>2034</v>
      </c>
      <c r="C1" s="101" t="s">
        <v>1084</v>
      </c>
      <c r="D1" s="101" t="s">
        <v>4938</v>
      </c>
      <c r="E1" s="101" t="s">
        <v>4938</v>
      </c>
      <c r="F1" s="33" t="s">
        <v>4939</v>
      </c>
      <c r="G1" s="33" t="s">
        <v>1280</v>
      </c>
      <c r="H1" s="101" t="s">
        <v>3102</v>
      </c>
    </row>
    <row r="2" spans="1:8">
      <c r="A2" s="61">
        <v>5</v>
      </c>
      <c r="B2" s="50" t="s">
        <v>74</v>
      </c>
      <c r="C2" s="50" t="s">
        <v>75</v>
      </c>
      <c r="D2" s="50" t="s">
        <v>850</v>
      </c>
      <c r="E2" s="50" t="s">
        <v>850</v>
      </c>
      <c r="F2" s="50" t="s">
        <v>960</v>
      </c>
      <c r="G2" s="50" t="s">
        <v>2192</v>
      </c>
      <c r="H2" t="s">
        <v>1584</v>
      </c>
    </row>
    <row r="3" spans="1:8">
      <c r="A3" s="61">
        <v>7</v>
      </c>
      <c r="B3" s="50" t="s">
        <v>76</v>
      </c>
      <c r="C3" s="50" t="s">
        <v>77</v>
      </c>
      <c r="D3" s="50" t="s">
        <v>1006</v>
      </c>
      <c r="E3" s="50" t="s">
        <v>1006</v>
      </c>
      <c r="F3" s="50" t="s">
        <v>1322</v>
      </c>
      <c r="G3" s="50" t="s">
        <v>1877</v>
      </c>
      <c r="H3" t="s">
        <v>535</v>
      </c>
    </row>
    <row r="4" spans="1:8">
      <c r="A4" s="61">
        <v>8</v>
      </c>
      <c r="B4" s="50" t="s">
        <v>78</v>
      </c>
      <c r="C4" s="50" t="s">
        <v>79</v>
      </c>
      <c r="D4" s="50" t="s">
        <v>1006</v>
      </c>
      <c r="E4" s="50" t="s">
        <v>1006</v>
      </c>
      <c r="F4" s="50" t="s">
        <v>960</v>
      </c>
      <c r="G4" s="50" t="s">
        <v>1917</v>
      </c>
      <c r="H4" t="s">
        <v>1877</v>
      </c>
    </row>
    <row r="5" spans="1:8">
      <c r="A5" s="61">
        <v>11</v>
      </c>
      <c r="B5" s="50" t="s">
        <v>961</v>
      </c>
      <c r="C5" s="50" t="s">
        <v>962</v>
      </c>
      <c r="D5" s="50" t="s">
        <v>2398</v>
      </c>
      <c r="E5" s="50" t="s">
        <v>2398</v>
      </c>
      <c r="F5" s="50" t="s">
        <v>1996</v>
      </c>
      <c r="G5" s="50" t="s">
        <v>2766</v>
      </c>
      <c r="H5" t="s">
        <v>3547</v>
      </c>
    </row>
    <row r="6" spans="1:8">
      <c r="A6" s="61">
        <v>13</v>
      </c>
      <c r="B6" s="50" t="s">
        <v>963</v>
      </c>
      <c r="C6" s="50" t="s">
        <v>964</v>
      </c>
      <c r="D6" s="50" t="s">
        <v>2767</v>
      </c>
      <c r="E6" s="50" t="s">
        <v>2767</v>
      </c>
      <c r="F6" s="50" t="s">
        <v>1996</v>
      </c>
      <c r="G6" s="50" t="s">
        <v>2399</v>
      </c>
      <c r="H6" t="s">
        <v>1878</v>
      </c>
    </row>
    <row r="7" spans="1:8">
      <c r="A7" s="61">
        <v>15</v>
      </c>
      <c r="B7" s="50" t="s">
        <v>965</v>
      </c>
      <c r="C7" s="50" t="s">
        <v>966</v>
      </c>
      <c r="D7" s="50" t="s">
        <v>218</v>
      </c>
      <c r="E7" s="50" t="s">
        <v>218</v>
      </c>
      <c r="F7" s="50" t="s">
        <v>2127</v>
      </c>
      <c r="G7" s="50" t="s">
        <v>1929</v>
      </c>
      <c r="H7" t="s">
        <v>1879</v>
      </c>
    </row>
    <row r="8" spans="1:8">
      <c r="A8" s="61">
        <v>16</v>
      </c>
      <c r="B8" s="50" t="s">
        <v>967</v>
      </c>
      <c r="C8" s="50" t="s">
        <v>72</v>
      </c>
      <c r="D8" s="50" t="s">
        <v>1318</v>
      </c>
      <c r="E8" s="50" t="s">
        <v>1318</v>
      </c>
      <c r="F8" s="50" t="s">
        <v>1586</v>
      </c>
      <c r="G8" s="50" t="s">
        <v>1905</v>
      </c>
      <c r="H8" t="s">
        <v>3548</v>
      </c>
    </row>
    <row r="9" spans="1:8">
      <c r="A9" s="61">
        <v>17</v>
      </c>
      <c r="B9" s="50" t="s">
        <v>187</v>
      </c>
      <c r="C9" s="50" t="s">
        <v>188</v>
      </c>
      <c r="D9" s="50" t="s">
        <v>453</v>
      </c>
      <c r="E9" s="50" t="s">
        <v>453</v>
      </c>
      <c r="F9" s="50" t="s">
        <v>1320</v>
      </c>
      <c r="G9" s="50" t="s">
        <v>1554</v>
      </c>
      <c r="H9" t="s">
        <v>1880</v>
      </c>
    </row>
    <row r="10" spans="1:8">
      <c r="A10" s="61">
        <v>18</v>
      </c>
      <c r="B10" s="50" t="s">
        <v>189</v>
      </c>
      <c r="C10" s="50" t="s">
        <v>190</v>
      </c>
      <c r="D10" s="50" t="s">
        <v>2066</v>
      </c>
      <c r="E10" s="50" t="s">
        <v>2066</v>
      </c>
      <c r="F10" s="50" t="s">
        <v>960</v>
      </c>
      <c r="G10" s="50" t="s">
        <v>2192</v>
      </c>
      <c r="H10" t="s">
        <v>1881</v>
      </c>
    </row>
    <row r="11" spans="1:8">
      <c r="A11" s="61">
        <v>20</v>
      </c>
      <c r="B11" s="50" t="s">
        <v>634</v>
      </c>
      <c r="C11" s="50" t="s">
        <v>635</v>
      </c>
      <c r="D11" s="50" t="s">
        <v>843</v>
      </c>
      <c r="E11" s="50" t="s">
        <v>843</v>
      </c>
      <c r="F11" s="50" t="s">
        <v>960</v>
      </c>
      <c r="G11" s="50" t="s">
        <v>1917</v>
      </c>
      <c r="H11" t="s">
        <v>1882</v>
      </c>
    </row>
    <row r="12" spans="1:8">
      <c r="A12" s="61">
        <v>21</v>
      </c>
      <c r="B12" s="50" t="s">
        <v>636</v>
      </c>
      <c r="C12" s="50" t="s">
        <v>637</v>
      </c>
      <c r="D12" s="50" t="s">
        <v>455</v>
      </c>
      <c r="E12" s="50" t="s">
        <v>455</v>
      </c>
      <c r="F12" s="50" t="s">
        <v>2126</v>
      </c>
      <c r="G12" s="50" t="s">
        <v>1929</v>
      </c>
      <c r="H12" t="s">
        <v>1883</v>
      </c>
    </row>
    <row r="13" spans="1:8">
      <c r="A13" s="61">
        <v>24</v>
      </c>
      <c r="B13" s="50" t="s">
        <v>639</v>
      </c>
      <c r="C13" s="50" t="s">
        <v>640</v>
      </c>
      <c r="D13" s="50" t="s">
        <v>1006</v>
      </c>
      <c r="E13" s="50" t="s">
        <v>1006</v>
      </c>
      <c r="F13" s="50" t="s">
        <v>1322</v>
      </c>
      <c r="G13" s="50" t="s">
        <v>1877</v>
      </c>
      <c r="H13" t="s">
        <v>1884</v>
      </c>
    </row>
    <row r="14" spans="1:8">
      <c r="A14" s="61">
        <v>28</v>
      </c>
      <c r="B14" s="50" t="s">
        <v>641</v>
      </c>
      <c r="C14" s="50" t="s">
        <v>642</v>
      </c>
      <c r="D14" s="50" t="s">
        <v>890</v>
      </c>
      <c r="E14" s="50" t="s">
        <v>890</v>
      </c>
      <c r="F14" s="50" t="s">
        <v>1322</v>
      </c>
      <c r="G14" s="50" t="s">
        <v>2769</v>
      </c>
      <c r="H14" t="s">
        <v>546</v>
      </c>
    </row>
    <row r="15" spans="1:8">
      <c r="A15" s="61">
        <v>32</v>
      </c>
      <c r="B15" s="50" t="s">
        <v>262</v>
      </c>
      <c r="C15" s="50" t="s">
        <v>263</v>
      </c>
      <c r="D15" s="50" t="s">
        <v>271</v>
      </c>
      <c r="E15" s="50" t="s">
        <v>271</v>
      </c>
      <c r="F15" s="50" t="s">
        <v>2127</v>
      </c>
      <c r="G15" s="50" t="s">
        <v>2053</v>
      </c>
      <c r="H15" t="s">
        <v>2136</v>
      </c>
    </row>
    <row r="16" spans="1:8">
      <c r="A16" s="61">
        <v>33</v>
      </c>
      <c r="B16" s="50" t="s">
        <v>264</v>
      </c>
      <c r="C16" s="50" t="s">
        <v>190</v>
      </c>
      <c r="D16" s="50" t="s">
        <v>3505</v>
      </c>
      <c r="E16" s="50" t="s">
        <v>3505</v>
      </c>
      <c r="F16" s="50" t="s">
        <v>1321</v>
      </c>
      <c r="G16" s="50" t="s">
        <v>1577</v>
      </c>
      <c r="H16" t="s">
        <v>345</v>
      </c>
    </row>
    <row r="17" spans="1:13">
      <c r="A17" s="61">
        <v>34</v>
      </c>
      <c r="B17" s="50" t="s">
        <v>265</v>
      </c>
      <c r="C17" s="50" t="s">
        <v>266</v>
      </c>
      <c r="D17" s="50" t="s">
        <v>2328</v>
      </c>
      <c r="E17" s="50" t="s">
        <v>2328</v>
      </c>
      <c r="F17" s="50" t="s">
        <v>1322</v>
      </c>
      <c r="G17" s="50" t="s">
        <v>2070</v>
      </c>
      <c r="H17" t="s">
        <v>533</v>
      </c>
    </row>
    <row r="18" spans="1:13">
      <c r="A18" s="61">
        <v>35</v>
      </c>
      <c r="B18" s="50" t="s">
        <v>1268</v>
      </c>
      <c r="C18" s="50" t="s">
        <v>638</v>
      </c>
      <c r="D18" s="50" t="s">
        <v>1039</v>
      </c>
      <c r="E18" s="50" t="s">
        <v>1039</v>
      </c>
      <c r="F18" s="50" t="s">
        <v>1321</v>
      </c>
      <c r="G18" s="50" t="s">
        <v>1923</v>
      </c>
      <c r="H18" t="s">
        <v>1561</v>
      </c>
    </row>
    <row r="19" spans="1:13">
      <c r="A19" s="61">
        <v>36</v>
      </c>
      <c r="B19" s="50" t="s">
        <v>1194</v>
      </c>
      <c r="C19" s="50" t="s">
        <v>72</v>
      </c>
      <c r="D19" s="50" t="s">
        <v>2087</v>
      </c>
      <c r="E19" s="50" t="s">
        <v>2087</v>
      </c>
      <c r="F19" s="50" t="s">
        <v>1320</v>
      </c>
      <c r="G19" s="50" t="s">
        <v>1909</v>
      </c>
      <c r="H19" t="s">
        <v>2112</v>
      </c>
    </row>
    <row r="20" spans="1:13">
      <c r="A20" s="61">
        <v>37</v>
      </c>
      <c r="B20" s="50" t="s">
        <v>1195</v>
      </c>
      <c r="C20" s="50" t="s">
        <v>640</v>
      </c>
      <c r="D20" s="50" t="s">
        <v>1455</v>
      </c>
      <c r="E20" s="50" t="s">
        <v>1455</v>
      </c>
      <c r="F20" s="50" t="s">
        <v>1322</v>
      </c>
      <c r="G20" s="50" t="s">
        <v>2064</v>
      </c>
      <c r="H20" t="s">
        <v>1885</v>
      </c>
    </row>
    <row r="21" spans="1:13">
      <c r="A21" s="61">
        <v>38</v>
      </c>
      <c r="B21" s="50" t="s">
        <v>1196</v>
      </c>
      <c r="C21" s="50" t="s">
        <v>1197</v>
      </c>
      <c r="D21" s="50" t="s">
        <v>2378</v>
      </c>
      <c r="E21" s="50" t="s">
        <v>2378</v>
      </c>
      <c r="F21" s="50" t="s">
        <v>1321</v>
      </c>
      <c r="G21" s="50" t="s">
        <v>533</v>
      </c>
      <c r="H21" t="s">
        <v>544</v>
      </c>
    </row>
    <row r="22" spans="1:13">
      <c r="A22" s="61">
        <v>39</v>
      </c>
      <c r="B22" s="50" t="s">
        <v>1992</v>
      </c>
      <c r="C22" s="50" t="s">
        <v>864</v>
      </c>
      <c r="D22" s="50" t="s">
        <v>1453</v>
      </c>
      <c r="E22" s="50" t="s">
        <v>1453</v>
      </c>
      <c r="F22" s="50" t="s">
        <v>960</v>
      </c>
      <c r="G22" s="50" t="s">
        <v>1886</v>
      </c>
      <c r="H22" t="s">
        <v>2105</v>
      </c>
    </row>
    <row r="23" spans="1:13">
      <c r="A23" s="61">
        <v>43</v>
      </c>
      <c r="B23" s="50" t="s">
        <v>422</v>
      </c>
      <c r="C23" s="50" t="s">
        <v>79</v>
      </c>
      <c r="D23" s="50" t="s">
        <v>2770</v>
      </c>
      <c r="E23" s="50" t="s">
        <v>2770</v>
      </c>
      <c r="F23" s="50" t="s">
        <v>1996</v>
      </c>
      <c r="G23" s="50" t="s">
        <v>2766</v>
      </c>
      <c r="H23" t="s">
        <v>1886</v>
      </c>
    </row>
    <row r="24" spans="1:13">
      <c r="A24" s="61">
        <v>50</v>
      </c>
      <c r="B24" s="50" t="s">
        <v>424</v>
      </c>
      <c r="C24" s="50" t="s">
        <v>425</v>
      </c>
      <c r="D24" s="50" t="s">
        <v>235</v>
      </c>
      <c r="E24" s="50" t="s">
        <v>235</v>
      </c>
      <c r="F24" s="50" t="s">
        <v>2126</v>
      </c>
      <c r="G24" s="50" t="s">
        <v>2053</v>
      </c>
      <c r="H24" t="s">
        <v>1546</v>
      </c>
    </row>
    <row r="25" spans="1:13">
      <c r="A25" s="61">
        <v>51</v>
      </c>
      <c r="B25" s="50" t="s">
        <v>426</v>
      </c>
      <c r="C25" s="50" t="s">
        <v>427</v>
      </c>
      <c r="D25" s="50" t="s">
        <v>481</v>
      </c>
      <c r="E25" s="50" t="s">
        <v>481</v>
      </c>
      <c r="F25" s="50" t="s">
        <v>2126</v>
      </c>
      <c r="G25" s="50" t="s">
        <v>1938</v>
      </c>
      <c r="H25" t="s">
        <v>1381</v>
      </c>
    </row>
    <row r="26" spans="1:13" ht="28.8">
      <c r="A26" s="61">
        <v>53</v>
      </c>
      <c r="B26" s="50" t="s">
        <v>428</v>
      </c>
      <c r="C26" s="50" t="s">
        <v>964</v>
      </c>
      <c r="D26" s="50" t="s">
        <v>2758</v>
      </c>
      <c r="E26" s="50" t="s">
        <v>2758</v>
      </c>
      <c r="F26" s="50" t="s">
        <v>1322</v>
      </c>
      <c r="G26" s="50" t="s">
        <v>2070</v>
      </c>
      <c r="H26" t="s">
        <v>1887</v>
      </c>
      <c r="L26" s="288" t="s">
        <v>5068</v>
      </c>
      <c r="M26" t="str">
        <f>UPPER(L26)</f>
        <v>JÓZEFIAK ROKSANA</v>
      </c>
    </row>
    <row r="27" spans="1:13" ht="28.8">
      <c r="A27" s="61">
        <v>54</v>
      </c>
      <c r="B27" s="50" t="s">
        <v>429</v>
      </c>
      <c r="C27" s="50" t="s">
        <v>79</v>
      </c>
      <c r="D27" s="50" t="s">
        <v>178</v>
      </c>
      <c r="E27" s="50" t="s">
        <v>178</v>
      </c>
      <c r="F27" s="50" t="s">
        <v>1320</v>
      </c>
      <c r="G27" s="50" t="s">
        <v>2771</v>
      </c>
      <c r="H27" t="s">
        <v>1556</v>
      </c>
      <c r="L27" s="288" t="s">
        <v>5069</v>
      </c>
      <c r="M27" t="str">
        <f t="shared" ref="M27:M28" si="0">UPPER(L27)</f>
        <v>OLSZEWSKA MARIOLA</v>
      </c>
    </row>
    <row r="28" spans="1:13" ht="28.8">
      <c r="A28" s="61">
        <v>55</v>
      </c>
      <c r="B28" s="50" t="s">
        <v>430</v>
      </c>
      <c r="C28" s="50" t="s">
        <v>188</v>
      </c>
      <c r="D28" s="50" t="s">
        <v>1080</v>
      </c>
      <c r="E28" s="50" t="s">
        <v>1080</v>
      </c>
      <c r="F28" s="50" t="s">
        <v>1321</v>
      </c>
      <c r="G28" s="50" t="s">
        <v>1877</v>
      </c>
      <c r="H28" t="s">
        <v>531</v>
      </c>
      <c r="L28" s="288" t="s">
        <v>5070</v>
      </c>
      <c r="M28" t="str">
        <f t="shared" si="0"/>
        <v>SMOLARCZYK BEATA</v>
      </c>
    </row>
    <row r="29" spans="1:13">
      <c r="A29" s="61">
        <v>57</v>
      </c>
      <c r="B29" s="50" t="s">
        <v>860</v>
      </c>
      <c r="C29" s="50" t="s">
        <v>638</v>
      </c>
      <c r="D29" s="50" t="s">
        <v>2094</v>
      </c>
      <c r="E29" s="50" t="s">
        <v>2094</v>
      </c>
      <c r="F29" s="50" t="s">
        <v>2127</v>
      </c>
      <c r="G29" s="50" t="s">
        <v>2095</v>
      </c>
      <c r="H29" t="s">
        <v>1888</v>
      </c>
    </row>
    <row r="30" spans="1:13">
      <c r="A30" s="61">
        <v>58</v>
      </c>
      <c r="B30" s="50" t="s">
        <v>861</v>
      </c>
      <c r="C30" s="50" t="s">
        <v>964</v>
      </c>
      <c r="D30" s="50" t="s">
        <v>2759</v>
      </c>
      <c r="E30" s="50" t="s">
        <v>2759</v>
      </c>
      <c r="F30" s="50" t="s">
        <v>1586</v>
      </c>
      <c r="G30" s="50" t="s">
        <v>2544</v>
      </c>
      <c r="H30" t="s">
        <v>2928</v>
      </c>
    </row>
    <row r="31" spans="1:13">
      <c r="A31" s="61">
        <v>60</v>
      </c>
      <c r="B31" s="50" t="s">
        <v>862</v>
      </c>
      <c r="C31" s="50" t="s">
        <v>638</v>
      </c>
      <c r="D31" s="50" t="s">
        <v>2327</v>
      </c>
      <c r="E31" s="50" t="s">
        <v>2327</v>
      </c>
      <c r="F31" s="50" t="s">
        <v>633</v>
      </c>
      <c r="G31" s="50" t="s">
        <v>2399</v>
      </c>
      <c r="H31" t="s">
        <v>2070</v>
      </c>
    </row>
    <row r="32" spans="1:13">
      <c r="A32" s="61">
        <v>63</v>
      </c>
      <c r="B32" s="50" t="s">
        <v>863</v>
      </c>
      <c r="C32" s="50" t="s">
        <v>864</v>
      </c>
      <c r="D32" s="50" t="s">
        <v>1367</v>
      </c>
      <c r="E32" s="50" t="s">
        <v>1367</v>
      </c>
      <c r="F32" s="50" t="s">
        <v>1322</v>
      </c>
      <c r="G32" s="50" t="s">
        <v>1928</v>
      </c>
      <c r="H32" t="s">
        <v>2774</v>
      </c>
    </row>
    <row r="33" spans="1:8">
      <c r="A33" s="61">
        <v>65</v>
      </c>
      <c r="B33" s="50" t="s">
        <v>865</v>
      </c>
      <c r="C33" s="50" t="s">
        <v>866</v>
      </c>
      <c r="D33" s="50" t="s">
        <v>2029</v>
      </c>
      <c r="E33" s="50" t="s">
        <v>2029</v>
      </c>
      <c r="F33" s="50" t="s">
        <v>1320</v>
      </c>
      <c r="G33" s="50" t="s">
        <v>1941</v>
      </c>
      <c r="H33" t="s">
        <v>1385</v>
      </c>
    </row>
    <row r="34" spans="1:8">
      <c r="A34" s="61">
        <v>67</v>
      </c>
      <c r="B34" s="50" t="s">
        <v>868</v>
      </c>
      <c r="C34" s="50" t="s">
        <v>190</v>
      </c>
      <c r="D34" s="50" t="s">
        <v>233</v>
      </c>
      <c r="E34" s="50" t="s">
        <v>233</v>
      </c>
      <c r="F34" s="50" t="s">
        <v>1321</v>
      </c>
      <c r="G34" s="50" t="s">
        <v>2071</v>
      </c>
      <c r="H34" t="s">
        <v>3549</v>
      </c>
    </row>
    <row r="35" spans="1:8">
      <c r="A35" s="61">
        <v>68</v>
      </c>
      <c r="B35" s="50" t="s">
        <v>869</v>
      </c>
      <c r="C35" s="50" t="s">
        <v>190</v>
      </c>
      <c r="D35" s="50" t="s">
        <v>1484</v>
      </c>
      <c r="E35" s="50" t="s">
        <v>1484</v>
      </c>
      <c r="F35" s="50" t="s">
        <v>1322</v>
      </c>
      <c r="G35" s="50" t="s">
        <v>1895</v>
      </c>
      <c r="H35" t="s">
        <v>1554</v>
      </c>
    </row>
    <row r="36" spans="1:8">
      <c r="A36" s="61">
        <v>69</v>
      </c>
      <c r="B36" s="50" t="s">
        <v>773</v>
      </c>
      <c r="C36" s="50" t="s">
        <v>964</v>
      </c>
      <c r="D36" s="50" t="s">
        <v>2694</v>
      </c>
      <c r="E36" s="50" t="s">
        <v>2694</v>
      </c>
      <c r="F36" s="50" t="s">
        <v>1322</v>
      </c>
      <c r="G36" s="50" t="s">
        <v>2070</v>
      </c>
      <c r="H36" t="s">
        <v>545</v>
      </c>
    </row>
    <row r="37" spans="1:8">
      <c r="A37" s="61">
        <v>70</v>
      </c>
      <c r="B37" s="50" t="s">
        <v>774</v>
      </c>
      <c r="C37" s="50" t="s">
        <v>775</v>
      </c>
      <c r="D37" s="50" t="s">
        <v>1319</v>
      </c>
      <c r="E37" s="50" t="s">
        <v>1319</v>
      </c>
      <c r="F37" s="50" t="s">
        <v>1320</v>
      </c>
      <c r="G37" s="50" t="s">
        <v>1946</v>
      </c>
      <c r="H37" t="s">
        <v>3550</v>
      </c>
    </row>
    <row r="38" spans="1:8">
      <c r="A38" s="61">
        <v>72</v>
      </c>
      <c r="B38" s="50" t="s">
        <v>776</v>
      </c>
      <c r="C38" s="50" t="s">
        <v>777</v>
      </c>
      <c r="D38" s="50" t="s">
        <v>481</v>
      </c>
      <c r="E38" s="50" t="s">
        <v>481</v>
      </c>
      <c r="F38" s="50" t="s">
        <v>1225</v>
      </c>
      <c r="G38" s="50" t="s">
        <v>1381</v>
      </c>
      <c r="H38" t="s">
        <v>3551</v>
      </c>
    </row>
    <row r="39" spans="1:8">
      <c r="A39" s="61">
        <v>74</v>
      </c>
      <c r="B39" s="50" t="s">
        <v>779</v>
      </c>
      <c r="C39" s="50" t="s">
        <v>780</v>
      </c>
      <c r="D39" s="50" t="s">
        <v>1991</v>
      </c>
      <c r="E39" s="50" t="s">
        <v>1991</v>
      </c>
      <c r="F39" s="50" t="s">
        <v>1320</v>
      </c>
      <c r="G39" s="50" t="s">
        <v>1564</v>
      </c>
      <c r="H39" t="s">
        <v>3552</v>
      </c>
    </row>
    <row r="40" spans="1:8">
      <c r="A40" s="61">
        <v>75</v>
      </c>
      <c r="B40" s="50" t="s">
        <v>781</v>
      </c>
      <c r="C40" s="50" t="s">
        <v>782</v>
      </c>
      <c r="D40" s="50" t="s">
        <v>2738</v>
      </c>
      <c r="E40" s="50" t="s">
        <v>2738</v>
      </c>
      <c r="F40" s="50" t="s">
        <v>1585</v>
      </c>
      <c r="G40" s="50" t="s">
        <v>1567</v>
      </c>
      <c r="H40" t="s">
        <v>3553</v>
      </c>
    </row>
    <row r="41" spans="1:8">
      <c r="A41" s="61">
        <v>76</v>
      </c>
      <c r="B41" s="50" t="s">
        <v>125</v>
      </c>
      <c r="C41" s="50" t="s">
        <v>188</v>
      </c>
      <c r="D41" s="50" t="s">
        <v>142</v>
      </c>
      <c r="E41" s="50" t="s">
        <v>142</v>
      </c>
      <c r="F41" s="50" t="s">
        <v>1322</v>
      </c>
      <c r="G41" s="50" t="s">
        <v>2769</v>
      </c>
      <c r="H41" t="s">
        <v>2057</v>
      </c>
    </row>
    <row r="42" spans="1:8">
      <c r="A42" s="61">
        <v>79</v>
      </c>
      <c r="B42" s="50" t="s">
        <v>126</v>
      </c>
      <c r="C42" s="50" t="s">
        <v>127</v>
      </c>
      <c r="D42" s="50" t="s">
        <v>1619</v>
      </c>
      <c r="E42" s="50" t="s">
        <v>1619</v>
      </c>
      <c r="F42" s="50" t="s">
        <v>633</v>
      </c>
      <c r="G42" s="50" t="s">
        <v>2399</v>
      </c>
      <c r="H42" t="s">
        <v>1889</v>
      </c>
    </row>
    <row r="43" spans="1:8">
      <c r="A43" s="61">
        <v>80</v>
      </c>
      <c r="B43" s="50" t="s">
        <v>128</v>
      </c>
      <c r="C43" s="50" t="s">
        <v>427</v>
      </c>
      <c r="D43" s="50" t="s">
        <v>845</v>
      </c>
      <c r="E43" s="50" t="s">
        <v>845</v>
      </c>
      <c r="F43" s="50" t="s">
        <v>451</v>
      </c>
      <c r="G43" s="32" t="s">
        <v>3114</v>
      </c>
      <c r="H43" t="s">
        <v>3103</v>
      </c>
    </row>
    <row r="44" spans="1:8">
      <c r="A44" s="61">
        <v>81</v>
      </c>
      <c r="B44" s="50" t="s">
        <v>1863</v>
      </c>
      <c r="C44" s="50" t="s">
        <v>782</v>
      </c>
      <c r="D44" s="50" t="s">
        <v>688</v>
      </c>
      <c r="E44" s="50" t="s">
        <v>688</v>
      </c>
      <c r="F44" s="50" t="s">
        <v>960</v>
      </c>
      <c r="G44" s="50" t="s">
        <v>1878</v>
      </c>
      <c r="H44" t="s">
        <v>1890</v>
      </c>
    </row>
    <row r="45" spans="1:8">
      <c r="A45" s="61">
        <v>82</v>
      </c>
      <c r="B45" s="50" t="s">
        <v>129</v>
      </c>
      <c r="C45" s="50" t="s">
        <v>263</v>
      </c>
      <c r="D45" s="50" t="s">
        <v>2317</v>
      </c>
      <c r="E45" s="50" t="s">
        <v>2317</v>
      </c>
      <c r="F45" s="50" t="s">
        <v>2127</v>
      </c>
      <c r="G45" s="50" t="s">
        <v>1938</v>
      </c>
      <c r="H45" t="s">
        <v>1891</v>
      </c>
    </row>
    <row r="46" spans="1:8">
      <c r="A46" s="61">
        <v>83</v>
      </c>
      <c r="B46" s="50" t="s">
        <v>421</v>
      </c>
      <c r="C46" s="50" t="s">
        <v>425</v>
      </c>
      <c r="D46" s="50" t="s">
        <v>2094</v>
      </c>
      <c r="E46" s="50" t="s">
        <v>2094</v>
      </c>
      <c r="F46" s="50" t="s">
        <v>1586</v>
      </c>
      <c r="G46" s="50" t="s">
        <v>1894</v>
      </c>
      <c r="H46" t="s">
        <v>2910</v>
      </c>
    </row>
    <row r="47" spans="1:8">
      <c r="A47" s="61">
        <v>88</v>
      </c>
      <c r="B47" s="50" t="s">
        <v>1192</v>
      </c>
      <c r="C47" s="50" t="s">
        <v>642</v>
      </c>
      <c r="D47" s="50" t="s">
        <v>969</v>
      </c>
      <c r="E47" s="50" t="s">
        <v>969</v>
      </c>
      <c r="F47" s="50" t="s">
        <v>390</v>
      </c>
      <c r="G47" s="50" t="s">
        <v>2825</v>
      </c>
      <c r="H47" t="s">
        <v>3554</v>
      </c>
    </row>
    <row r="48" spans="1:8">
      <c r="A48" s="61">
        <v>89</v>
      </c>
      <c r="B48" s="50" t="s">
        <v>1193</v>
      </c>
      <c r="C48" s="50" t="s">
        <v>326</v>
      </c>
      <c r="D48" s="50" t="s">
        <v>2066</v>
      </c>
      <c r="E48" s="50" t="s">
        <v>2066</v>
      </c>
      <c r="F48" s="50" t="s">
        <v>1322</v>
      </c>
      <c r="G48" s="50" t="s">
        <v>1881</v>
      </c>
      <c r="H48" t="s">
        <v>2089</v>
      </c>
    </row>
    <row r="49" spans="1:8">
      <c r="A49" s="61">
        <v>91</v>
      </c>
      <c r="B49" s="50" t="s">
        <v>327</v>
      </c>
      <c r="C49" s="50" t="s">
        <v>638</v>
      </c>
      <c r="D49" s="50" t="s">
        <v>2765</v>
      </c>
      <c r="E49" s="50" t="s">
        <v>2765</v>
      </c>
      <c r="F49" s="50" t="s">
        <v>1320</v>
      </c>
      <c r="G49" s="50" t="s">
        <v>545</v>
      </c>
      <c r="H49" t="s">
        <v>1380</v>
      </c>
    </row>
    <row r="50" spans="1:8">
      <c r="A50" s="61">
        <v>92</v>
      </c>
      <c r="B50" s="50" t="s">
        <v>936</v>
      </c>
      <c r="C50" s="50" t="s">
        <v>75</v>
      </c>
      <c r="D50" s="50" t="s">
        <v>2377</v>
      </c>
      <c r="E50" s="50" t="s">
        <v>2377</v>
      </c>
      <c r="F50" s="50" t="s">
        <v>1321</v>
      </c>
      <c r="G50" s="50" t="s">
        <v>533</v>
      </c>
      <c r="H50" t="s">
        <v>1395</v>
      </c>
    </row>
    <row r="51" spans="1:8">
      <c r="A51" s="61">
        <v>93</v>
      </c>
      <c r="B51" s="50" t="s">
        <v>937</v>
      </c>
      <c r="C51" s="50" t="s">
        <v>780</v>
      </c>
      <c r="D51" s="50" t="s">
        <v>1991</v>
      </c>
      <c r="E51" s="50" t="s">
        <v>1991</v>
      </c>
      <c r="F51" s="50" t="s">
        <v>1320</v>
      </c>
      <c r="G51" s="50" t="s">
        <v>1564</v>
      </c>
      <c r="H51" t="s">
        <v>3555</v>
      </c>
    </row>
    <row r="52" spans="1:8">
      <c r="A52" s="61">
        <v>94</v>
      </c>
      <c r="B52" s="50" t="s">
        <v>938</v>
      </c>
      <c r="C52" s="50" t="s">
        <v>263</v>
      </c>
      <c r="D52" s="50" t="s">
        <v>2772</v>
      </c>
      <c r="E52" s="50" t="s">
        <v>2772</v>
      </c>
      <c r="F52" s="50" t="s">
        <v>1321</v>
      </c>
      <c r="G52" s="50" t="s">
        <v>545</v>
      </c>
      <c r="H52" t="s">
        <v>1390</v>
      </c>
    </row>
    <row r="53" spans="1:8">
      <c r="A53" s="61">
        <v>96</v>
      </c>
      <c r="B53" s="50" t="s">
        <v>939</v>
      </c>
      <c r="C53" s="50" t="s">
        <v>635</v>
      </c>
      <c r="D53" s="50" t="s">
        <v>2337</v>
      </c>
      <c r="E53" s="50" t="s">
        <v>2337</v>
      </c>
      <c r="F53" s="50" t="s">
        <v>1320</v>
      </c>
      <c r="G53" s="50" t="s">
        <v>533</v>
      </c>
      <c r="H53" t="s">
        <v>2157</v>
      </c>
    </row>
    <row r="54" spans="1:8">
      <c r="A54" s="61">
        <v>97</v>
      </c>
      <c r="B54" s="50" t="s">
        <v>940</v>
      </c>
      <c r="C54" s="50" t="s">
        <v>964</v>
      </c>
      <c r="D54" s="50" t="s">
        <v>2798</v>
      </c>
      <c r="E54" s="50" t="s">
        <v>2798</v>
      </c>
      <c r="F54" s="50" t="s">
        <v>1321</v>
      </c>
      <c r="G54" s="50" t="s">
        <v>533</v>
      </c>
      <c r="H54" t="s">
        <v>1892</v>
      </c>
    </row>
    <row r="55" spans="1:8">
      <c r="A55" s="61">
        <v>98</v>
      </c>
      <c r="B55" s="50" t="s">
        <v>941</v>
      </c>
      <c r="C55" s="50" t="s">
        <v>866</v>
      </c>
      <c r="D55" s="50" t="s">
        <v>233</v>
      </c>
      <c r="E55" s="50" t="s">
        <v>233</v>
      </c>
      <c r="F55" s="50" t="s">
        <v>1320</v>
      </c>
      <c r="G55" s="50" t="s">
        <v>2071</v>
      </c>
      <c r="H55" t="s">
        <v>3556</v>
      </c>
    </row>
    <row r="56" spans="1:8">
      <c r="A56" s="61">
        <v>100</v>
      </c>
      <c r="B56" s="50" t="s">
        <v>942</v>
      </c>
      <c r="C56" s="50" t="s">
        <v>1197</v>
      </c>
      <c r="D56" s="50" t="s">
        <v>2824</v>
      </c>
      <c r="E56" s="50" t="s">
        <v>2824</v>
      </c>
      <c r="F56" s="50" t="s">
        <v>1320</v>
      </c>
      <c r="G56" s="50" t="s">
        <v>545</v>
      </c>
      <c r="H56" t="s">
        <v>1893</v>
      </c>
    </row>
    <row r="57" spans="1:8">
      <c r="A57" s="61">
        <v>101</v>
      </c>
      <c r="B57" s="50" t="s">
        <v>943</v>
      </c>
      <c r="C57" s="50" t="s">
        <v>1197</v>
      </c>
      <c r="D57" s="50" t="s">
        <v>935</v>
      </c>
      <c r="E57" s="50" t="s">
        <v>935</v>
      </c>
      <c r="F57" s="50" t="s">
        <v>1321</v>
      </c>
      <c r="G57" s="50" t="s">
        <v>2071</v>
      </c>
      <c r="H57" t="s">
        <v>2782</v>
      </c>
    </row>
    <row r="58" spans="1:8">
      <c r="A58" s="61">
        <v>102</v>
      </c>
      <c r="B58" s="50" t="s">
        <v>944</v>
      </c>
      <c r="C58" s="50" t="s">
        <v>1197</v>
      </c>
      <c r="D58" s="50" t="s">
        <v>2094</v>
      </c>
      <c r="E58" s="50" t="s">
        <v>2094</v>
      </c>
      <c r="F58" s="50" t="s">
        <v>2127</v>
      </c>
      <c r="G58" s="50" t="s">
        <v>2095</v>
      </c>
      <c r="H58" t="s">
        <v>1894</v>
      </c>
    </row>
    <row r="59" spans="1:8">
      <c r="A59" s="61">
        <v>104</v>
      </c>
      <c r="B59" s="50" t="s">
        <v>1244</v>
      </c>
      <c r="C59" s="50" t="s">
        <v>1245</v>
      </c>
      <c r="D59" s="50" t="s">
        <v>809</v>
      </c>
      <c r="E59" s="50" t="s">
        <v>809</v>
      </c>
      <c r="F59" s="50" t="s">
        <v>1366</v>
      </c>
      <c r="G59" s="50" t="s">
        <v>2773</v>
      </c>
      <c r="H59" t="s">
        <v>3557</v>
      </c>
    </row>
    <row r="60" spans="1:8">
      <c r="A60" s="61">
        <v>107</v>
      </c>
      <c r="B60" s="50" t="s">
        <v>444</v>
      </c>
      <c r="C60" s="50" t="s">
        <v>425</v>
      </c>
      <c r="D60" s="50" t="s">
        <v>3000</v>
      </c>
      <c r="E60" s="50" t="s">
        <v>3000</v>
      </c>
      <c r="F60" s="50" t="s">
        <v>1320</v>
      </c>
      <c r="G60" s="50" t="s">
        <v>4954</v>
      </c>
      <c r="H60" t="s">
        <v>1396</v>
      </c>
    </row>
    <row r="61" spans="1:8">
      <c r="A61" s="61">
        <v>108</v>
      </c>
      <c r="B61" s="50" t="s">
        <v>445</v>
      </c>
      <c r="C61" s="50" t="s">
        <v>446</v>
      </c>
      <c r="D61" s="50" t="s">
        <v>2449</v>
      </c>
      <c r="E61" s="50" t="s">
        <v>2449</v>
      </c>
      <c r="F61" s="50" t="s">
        <v>1320</v>
      </c>
      <c r="G61" s="50" t="s">
        <v>2090</v>
      </c>
      <c r="H61" t="s">
        <v>340</v>
      </c>
    </row>
    <row r="62" spans="1:8">
      <c r="A62" s="61">
        <v>109</v>
      </c>
      <c r="B62" s="50" t="s">
        <v>1473</v>
      </c>
      <c r="C62" s="50" t="s">
        <v>1474</v>
      </c>
      <c r="D62" s="50" t="s">
        <v>3530</v>
      </c>
      <c r="E62" s="50" t="s">
        <v>3530</v>
      </c>
      <c r="F62" s="50" t="s">
        <v>1320</v>
      </c>
      <c r="G62" s="50" t="s">
        <v>533</v>
      </c>
      <c r="H62" t="s">
        <v>1386</v>
      </c>
    </row>
    <row r="63" spans="1:8">
      <c r="A63" s="61">
        <v>110</v>
      </c>
      <c r="B63" s="50" t="s">
        <v>1475</v>
      </c>
      <c r="C63" s="50" t="s">
        <v>866</v>
      </c>
      <c r="D63" s="50" t="s">
        <v>2787</v>
      </c>
      <c r="E63" s="50" t="s">
        <v>2787</v>
      </c>
      <c r="F63" s="50" t="s">
        <v>1321</v>
      </c>
      <c r="G63" s="50" t="s">
        <v>545</v>
      </c>
      <c r="H63" t="s">
        <v>1555</v>
      </c>
    </row>
    <row r="64" spans="1:8">
      <c r="A64" s="61">
        <v>111</v>
      </c>
      <c r="B64" s="50" t="s">
        <v>1476</v>
      </c>
      <c r="C64" s="50" t="s">
        <v>188</v>
      </c>
      <c r="D64" s="50" t="s">
        <v>809</v>
      </c>
      <c r="E64" s="50" t="s">
        <v>809</v>
      </c>
      <c r="F64" s="50" t="s">
        <v>1321</v>
      </c>
      <c r="G64" s="50" t="s">
        <v>2773</v>
      </c>
      <c r="H64" t="s">
        <v>3558</v>
      </c>
    </row>
    <row r="65" spans="1:8">
      <c r="A65" s="61">
        <v>113</v>
      </c>
      <c r="B65" s="50" t="s">
        <v>1477</v>
      </c>
      <c r="C65" s="50" t="s">
        <v>72</v>
      </c>
      <c r="D65" s="50" t="s">
        <v>1484</v>
      </c>
      <c r="E65" s="50" t="s">
        <v>1484</v>
      </c>
      <c r="F65" s="50" t="s">
        <v>960</v>
      </c>
      <c r="G65" s="50" t="s">
        <v>1889</v>
      </c>
      <c r="H65" t="s">
        <v>1895</v>
      </c>
    </row>
    <row r="66" spans="1:8">
      <c r="A66" s="61">
        <v>114</v>
      </c>
      <c r="B66" s="50" t="s">
        <v>1478</v>
      </c>
      <c r="C66" s="50" t="s">
        <v>72</v>
      </c>
      <c r="D66" s="50" t="s">
        <v>1967</v>
      </c>
      <c r="E66" s="50" t="s">
        <v>1967</v>
      </c>
      <c r="F66" s="50" t="s">
        <v>1321</v>
      </c>
      <c r="G66" s="50" t="s">
        <v>2064</v>
      </c>
      <c r="H66" t="s">
        <v>1553</v>
      </c>
    </row>
    <row r="67" spans="1:8">
      <c r="A67" s="61">
        <v>115</v>
      </c>
      <c r="B67" s="50" t="s">
        <v>1479</v>
      </c>
      <c r="C67" s="50" t="s">
        <v>79</v>
      </c>
      <c r="D67" s="50" t="s">
        <v>1608</v>
      </c>
      <c r="E67" s="50" t="s">
        <v>1608</v>
      </c>
      <c r="F67" s="50" t="s">
        <v>1321</v>
      </c>
      <c r="G67" s="50" t="s">
        <v>1927</v>
      </c>
      <c r="H67" t="s">
        <v>1560</v>
      </c>
    </row>
    <row r="68" spans="1:8">
      <c r="A68" s="61">
        <v>116</v>
      </c>
      <c r="B68" s="50" t="s">
        <v>1466</v>
      </c>
      <c r="C68" s="50" t="s">
        <v>75</v>
      </c>
      <c r="D68" s="50" t="s">
        <v>569</v>
      </c>
      <c r="E68" s="50" t="s">
        <v>569</v>
      </c>
      <c r="F68" s="50" t="s">
        <v>633</v>
      </c>
      <c r="G68" s="50" t="s">
        <v>2399</v>
      </c>
      <c r="H68" t="s">
        <v>1896</v>
      </c>
    </row>
    <row r="69" spans="1:8">
      <c r="A69" s="61">
        <v>117</v>
      </c>
      <c r="B69" s="50" t="s">
        <v>1467</v>
      </c>
      <c r="C69" s="50" t="s">
        <v>867</v>
      </c>
      <c r="D69" s="50" t="s">
        <v>269</v>
      </c>
      <c r="E69" s="50" t="s">
        <v>269</v>
      </c>
      <c r="F69" s="50" t="s">
        <v>2126</v>
      </c>
      <c r="G69" s="50" t="s">
        <v>1918</v>
      </c>
      <c r="H69" t="s">
        <v>1545</v>
      </c>
    </row>
    <row r="70" spans="1:8">
      <c r="A70" s="61">
        <v>118</v>
      </c>
      <c r="B70" s="50" t="s">
        <v>1468</v>
      </c>
      <c r="C70" s="50" t="s">
        <v>190</v>
      </c>
      <c r="D70" s="50" t="s">
        <v>968</v>
      </c>
      <c r="E70" s="50" t="s">
        <v>968</v>
      </c>
      <c r="F70" s="50" t="s">
        <v>1322</v>
      </c>
      <c r="G70" s="50" t="s">
        <v>1929</v>
      </c>
      <c r="H70" t="s">
        <v>2093</v>
      </c>
    </row>
    <row r="71" spans="1:8">
      <c r="A71" s="61">
        <v>119</v>
      </c>
      <c r="B71" s="50" t="s">
        <v>1469</v>
      </c>
      <c r="C71" s="50" t="s">
        <v>261</v>
      </c>
      <c r="D71" s="50" t="s">
        <v>186</v>
      </c>
      <c r="E71" s="50" t="s">
        <v>186</v>
      </c>
      <c r="F71" s="50" t="s">
        <v>2126</v>
      </c>
      <c r="G71" s="50" t="s">
        <v>1938</v>
      </c>
      <c r="H71" t="s">
        <v>548</v>
      </c>
    </row>
    <row r="72" spans="1:8">
      <c r="A72" s="61">
        <v>120</v>
      </c>
      <c r="B72" s="50" t="s">
        <v>1470</v>
      </c>
      <c r="C72" s="50" t="s">
        <v>261</v>
      </c>
      <c r="D72" s="50" t="s">
        <v>481</v>
      </c>
      <c r="E72" s="50" t="s">
        <v>481</v>
      </c>
      <c r="F72" s="50" t="s">
        <v>1586</v>
      </c>
      <c r="G72" s="50" t="s">
        <v>1381</v>
      </c>
      <c r="H72" t="s">
        <v>2933</v>
      </c>
    </row>
    <row r="73" spans="1:8">
      <c r="A73" s="61">
        <v>121</v>
      </c>
      <c r="B73" s="50" t="s">
        <v>1471</v>
      </c>
      <c r="C73" s="50" t="s">
        <v>1472</v>
      </c>
      <c r="D73" s="50" t="s">
        <v>2317</v>
      </c>
      <c r="E73" s="50" t="s">
        <v>2317</v>
      </c>
      <c r="F73" s="50" t="s">
        <v>1586</v>
      </c>
      <c r="G73" s="50" t="s">
        <v>1891</v>
      </c>
      <c r="H73" t="s">
        <v>3071</v>
      </c>
    </row>
    <row r="74" spans="1:8">
      <c r="A74" s="61">
        <v>122</v>
      </c>
      <c r="B74" s="50" t="s">
        <v>191</v>
      </c>
      <c r="C74" s="50" t="s">
        <v>866</v>
      </c>
      <c r="D74" s="50" t="s">
        <v>740</v>
      </c>
      <c r="E74" s="50" t="s">
        <v>740</v>
      </c>
      <c r="F74" s="50" t="s">
        <v>2126</v>
      </c>
      <c r="G74" s="50" t="s">
        <v>1938</v>
      </c>
      <c r="H74" t="s">
        <v>1897</v>
      </c>
    </row>
    <row r="75" spans="1:8">
      <c r="A75" s="61">
        <v>123</v>
      </c>
      <c r="B75" s="50" t="s">
        <v>192</v>
      </c>
      <c r="C75" s="50" t="s">
        <v>866</v>
      </c>
      <c r="D75" s="50" t="s">
        <v>2315</v>
      </c>
      <c r="E75" s="50" t="s">
        <v>2315</v>
      </c>
      <c r="F75" s="50" t="s">
        <v>2127</v>
      </c>
      <c r="G75" s="50" t="s">
        <v>1938</v>
      </c>
      <c r="H75" t="s">
        <v>1898</v>
      </c>
    </row>
    <row r="76" spans="1:8">
      <c r="A76" s="61">
        <v>124</v>
      </c>
      <c r="B76" s="50" t="s">
        <v>193</v>
      </c>
      <c r="C76" s="50" t="s">
        <v>194</v>
      </c>
      <c r="D76" s="50" t="s">
        <v>3513</v>
      </c>
      <c r="E76" s="50" t="s">
        <v>3513</v>
      </c>
      <c r="F76" s="50" t="s">
        <v>1321</v>
      </c>
      <c r="G76" s="50" t="s">
        <v>533</v>
      </c>
      <c r="H76" t="s">
        <v>347</v>
      </c>
    </row>
    <row r="77" spans="1:8">
      <c r="A77" s="61">
        <v>125</v>
      </c>
      <c r="B77" s="50" t="s">
        <v>195</v>
      </c>
      <c r="C77" s="50" t="s">
        <v>642</v>
      </c>
      <c r="D77" s="50" t="s">
        <v>220</v>
      </c>
      <c r="E77" s="50" t="s">
        <v>220</v>
      </c>
      <c r="F77" s="50" t="s">
        <v>1585</v>
      </c>
      <c r="G77" s="50" t="s">
        <v>1887</v>
      </c>
      <c r="H77" t="s">
        <v>3559</v>
      </c>
    </row>
    <row r="78" spans="1:8">
      <c r="A78" s="61">
        <v>126</v>
      </c>
      <c r="B78" s="50" t="s">
        <v>937</v>
      </c>
      <c r="C78" s="50" t="s">
        <v>1197</v>
      </c>
      <c r="D78" s="50" t="s">
        <v>511</v>
      </c>
      <c r="E78" s="50" t="s">
        <v>511</v>
      </c>
      <c r="F78" s="50" t="s">
        <v>1339</v>
      </c>
      <c r="G78" s="50" t="s">
        <v>2472</v>
      </c>
      <c r="H78" t="s">
        <v>3560</v>
      </c>
    </row>
    <row r="79" spans="1:8">
      <c r="A79" s="61">
        <v>127</v>
      </c>
      <c r="B79" s="50" t="s">
        <v>196</v>
      </c>
      <c r="C79" s="50" t="s">
        <v>197</v>
      </c>
      <c r="D79" s="50" t="s">
        <v>2086</v>
      </c>
      <c r="E79" s="50" t="s">
        <v>2086</v>
      </c>
      <c r="F79" s="50" t="s">
        <v>2127</v>
      </c>
      <c r="G79" s="50" t="s">
        <v>533</v>
      </c>
      <c r="H79" t="s">
        <v>1569</v>
      </c>
    </row>
    <row r="80" spans="1:8">
      <c r="A80" s="61">
        <v>129</v>
      </c>
      <c r="B80" s="50" t="s">
        <v>200</v>
      </c>
      <c r="C80" s="50" t="s">
        <v>201</v>
      </c>
      <c r="D80" s="50" t="s">
        <v>233</v>
      </c>
      <c r="E80" s="50" t="s">
        <v>233</v>
      </c>
      <c r="F80" s="50" t="s">
        <v>1320</v>
      </c>
      <c r="G80" s="50" t="s">
        <v>2071</v>
      </c>
      <c r="H80" t="s">
        <v>3561</v>
      </c>
    </row>
    <row r="81" spans="1:8">
      <c r="A81" s="61">
        <v>131</v>
      </c>
      <c r="B81" s="50" t="s">
        <v>202</v>
      </c>
      <c r="C81" s="50" t="s">
        <v>203</v>
      </c>
      <c r="D81" s="50" t="s">
        <v>1991</v>
      </c>
      <c r="E81" s="50" t="s">
        <v>1991</v>
      </c>
      <c r="F81" s="50" t="s">
        <v>2036</v>
      </c>
      <c r="G81" s="50" t="s">
        <v>1564</v>
      </c>
      <c r="H81" t="s">
        <v>1573</v>
      </c>
    </row>
    <row r="82" spans="1:8">
      <c r="A82" s="61">
        <v>135</v>
      </c>
      <c r="B82" s="50" t="s">
        <v>204</v>
      </c>
      <c r="C82" s="50" t="s">
        <v>261</v>
      </c>
      <c r="D82" s="50" t="s">
        <v>449</v>
      </c>
      <c r="E82" s="50" t="s">
        <v>449</v>
      </c>
      <c r="F82" s="50" t="s">
        <v>1320</v>
      </c>
      <c r="G82" s="50" t="s">
        <v>1554</v>
      </c>
      <c r="H82" t="s">
        <v>1899</v>
      </c>
    </row>
    <row r="83" spans="1:8">
      <c r="A83" s="61">
        <v>137</v>
      </c>
      <c r="B83" s="50" t="s">
        <v>205</v>
      </c>
      <c r="C83" s="50" t="s">
        <v>867</v>
      </c>
      <c r="D83" s="50" t="s">
        <v>1289</v>
      </c>
      <c r="E83" s="50" t="s">
        <v>1289</v>
      </c>
      <c r="F83" s="50" t="s">
        <v>1321</v>
      </c>
      <c r="G83" s="50" t="s">
        <v>1554</v>
      </c>
      <c r="H83" t="s">
        <v>1568</v>
      </c>
    </row>
    <row r="84" spans="1:8">
      <c r="A84" s="61">
        <v>138</v>
      </c>
      <c r="B84" s="50" t="s">
        <v>181</v>
      </c>
      <c r="C84" s="50" t="s">
        <v>182</v>
      </c>
      <c r="D84" s="50" t="s">
        <v>1201</v>
      </c>
      <c r="E84" s="50" t="s">
        <v>1201</v>
      </c>
      <c r="F84" s="50" t="s">
        <v>1585</v>
      </c>
      <c r="G84" s="50" t="s">
        <v>1568</v>
      </c>
      <c r="H84" t="s">
        <v>3562</v>
      </c>
    </row>
    <row r="85" spans="1:8">
      <c r="A85" s="61">
        <v>139</v>
      </c>
      <c r="B85" s="50" t="s">
        <v>183</v>
      </c>
      <c r="C85" s="50" t="s">
        <v>425</v>
      </c>
      <c r="D85" s="50" t="s">
        <v>632</v>
      </c>
      <c r="E85" s="50" t="s">
        <v>632</v>
      </c>
      <c r="F85" s="50" t="s">
        <v>1321</v>
      </c>
      <c r="G85" s="50" t="s">
        <v>1554</v>
      </c>
      <c r="H85" t="s">
        <v>1393</v>
      </c>
    </row>
    <row r="86" spans="1:8">
      <c r="A86" s="61">
        <v>141</v>
      </c>
      <c r="B86" s="50" t="s">
        <v>312</v>
      </c>
      <c r="C86" s="50" t="s">
        <v>866</v>
      </c>
      <c r="D86" s="50" t="s">
        <v>2331</v>
      </c>
      <c r="E86" s="50" t="s">
        <v>2331</v>
      </c>
      <c r="F86" s="50" t="s">
        <v>223</v>
      </c>
      <c r="G86" s="50" t="s">
        <v>1913</v>
      </c>
      <c r="H86" t="s">
        <v>1394</v>
      </c>
    </row>
    <row r="87" spans="1:8">
      <c r="A87" s="61">
        <v>142</v>
      </c>
      <c r="B87" s="50" t="s">
        <v>313</v>
      </c>
      <c r="C87" s="50" t="s">
        <v>188</v>
      </c>
      <c r="D87" s="50" t="s">
        <v>220</v>
      </c>
      <c r="E87" s="50" t="s">
        <v>220</v>
      </c>
      <c r="F87" s="50" t="s">
        <v>1585</v>
      </c>
      <c r="G87" s="50" t="s">
        <v>1887</v>
      </c>
      <c r="H87" t="s">
        <v>3563</v>
      </c>
    </row>
    <row r="88" spans="1:8">
      <c r="A88" s="61">
        <v>143</v>
      </c>
      <c r="B88" s="50" t="s">
        <v>314</v>
      </c>
      <c r="C88" s="50" t="s">
        <v>188</v>
      </c>
      <c r="D88" s="50" t="s">
        <v>1480</v>
      </c>
      <c r="E88" s="50" t="s">
        <v>1480</v>
      </c>
      <c r="F88" s="50" t="s">
        <v>1586</v>
      </c>
      <c r="G88" s="50" t="s">
        <v>2181</v>
      </c>
      <c r="H88" t="s">
        <v>3564</v>
      </c>
    </row>
    <row r="89" spans="1:8">
      <c r="A89" s="61">
        <v>144</v>
      </c>
      <c r="B89" s="50" t="s">
        <v>743</v>
      </c>
      <c r="C89" s="50" t="s">
        <v>127</v>
      </c>
      <c r="D89" s="50" t="s">
        <v>1991</v>
      </c>
      <c r="E89" s="50" t="s">
        <v>1991</v>
      </c>
      <c r="F89" s="50" t="s">
        <v>1586</v>
      </c>
      <c r="G89" s="50" t="s">
        <v>1572</v>
      </c>
      <c r="H89" t="s">
        <v>1382</v>
      </c>
    </row>
    <row r="90" spans="1:8">
      <c r="A90" s="61">
        <v>146</v>
      </c>
      <c r="B90" s="50" t="s">
        <v>374</v>
      </c>
      <c r="C90" s="50" t="s">
        <v>79</v>
      </c>
      <c r="D90" s="50" t="s">
        <v>2735</v>
      </c>
      <c r="E90" s="50" t="s">
        <v>2735</v>
      </c>
      <c r="F90" s="50" t="s">
        <v>223</v>
      </c>
      <c r="G90" s="50" t="s">
        <v>2488</v>
      </c>
      <c r="H90" t="s">
        <v>3535</v>
      </c>
    </row>
    <row r="91" spans="1:8">
      <c r="A91" s="61">
        <v>150</v>
      </c>
      <c r="B91" s="50" t="s">
        <v>375</v>
      </c>
      <c r="C91" s="50" t="s">
        <v>446</v>
      </c>
      <c r="D91" s="50" t="s">
        <v>2787</v>
      </c>
      <c r="E91" s="50" t="s">
        <v>2787</v>
      </c>
      <c r="F91" s="50" t="s">
        <v>1339</v>
      </c>
      <c r="G91" s="50" t="s">
        <v>1555</v>
      </c>
      <c r="H91" t="s">
        <v>3104</v>
      </c>
    </row>
    <row r="92" spans="1:8">
      <c r="A92" s="61">
        <v>151</v>
      </c>
      <c r="B92" s="50" t="s">
        <v>376</v>
      </c>
      <c r="C92" s="50" t="s">
        <v>194</v>
      </c>
      <c r="D92" s="50" t="s">
        <v>2328</v>
      </c>
      <c r="E92" s="50" t="s">
        <v>2328</v>
      </c>
      <c r="F92" s="50" t="s">
        <v>1322</v>
      </c>
      <c r="G92" s="50" t="s">
        <v>2070</v>
      </c>
      <c r="H92" t="s">
        <v>3545</v>
      </c>
    </row>
    <row r="93" spans="1:8">
      <c r="A93" s="61">
        <v>152</v>
      </c>
      <c r="B93" s="50" t="s">
        <v>377</v>
      </c>
      <c r="C93" s="50" t="s">
        <v>378</v>
      </c>
      <c r="D93" s="50" t="s">
        <v>683</v>
      </c>
      <c r="E93" s="50" t="s">
        <v>683</v>
      </c>
      <c r="F93" s="50" t="s">
        <v>1320</v>
      </c>
      <c r="G93" s="50" t="s">
        <v>1920</v>
      </c>
      <c r="H93" t="s">
        <v>1900</v>
      </c>
    </row>
    <row r="94" spans="1:8">
      <c r="A94" s="61">
        <v>153</v>
      </c>
      <c r="B94" s="50" t="s">
        <v>379</v>
      </c>
      <c r="C94" s="50" t="s">
        <v>866</v>
      </c>
      <c r="D94" s="50" t="s">
        <v>233</v>
      </c>
      <c r="E94" s="50" t="s">
        <v>233</v>
      </c>
      <c r="F94" s="50" t="s">
        <v>1321</v>
      </c>
      <c r="G94" s="50" t="s">
        <v>2071</v>
      </c>
      <c r="H94" t="s">
        <v>3565</v>
      </c>
    </row>
    <row r="95" spans="1:8">
      <c r="A95" s="61">
        <v>154</v>
      </c>
      <c r="B95" s="50" t="s">
        <v>380</v>
      </c>
      <c r="C95" s="50" t="s">
        <v>190</v>
      </c>
      <c r="D95" s="50" t="s">
        <v>328</v>
      </c>
      <c r="E95" s="50" t="s">
        <v>328</v>
      </c>
      <c r="F95" s="50" t="s">
        <v>2035</v>
      </c>
      <c r="G95" s="50" t="s">
        <v>1917</v>
      </c>
      <c r="H95" t="s">
        <v>1579</v>
      </c>
    </row>
    <row r="96" spans="1:8">
      <c r="A96" s="61">
        <v>155</v>
      </c>
      <c r="B96" s="50" t="s">
        <v>3295</v>
      </c>
      <c r="C96" s="50" t="s">
        <v>780</v>
      </c>
      <c r="D96" s="50" t="s">
        <v>683</v>
      </c>
      <c r="E96" s="50" t="s">
        <v>683</v>
      </c>
      <c r="F96" s="50" t="s">
        <v>1585</v>
      </c>
      <c r="G96" s="50" t="s">
        <v>1900</v>
      </c>
      <c r="H96" t="s">
        <v>2387</v>
      </c>
    </row>
    <row r="97" spans="1:8">
      <c r="A97" s="61">
        <v>156</v>
      </c>
      <c r="B97" s="50" t="s">
        <v>381</v>
      </c>
      <c r="C97" s="50" t="s">
        <v>75</v>
      </c>
      <c r="D97" s="50" t="s">
        <v>2337</v>
      </c>
      <c r="E97" s="50" t="s">
        <v>2337</v>
      </c>
      <c r="F97" s="50" t="s">
        <v>1321</v>
      </c>
      <c r="G97" s="50" t="s">
        <v>533</v>
      </c>
      <c r="H97" t="s">
        <v>1392</v>
      </c>
    </row>
    <row r="98" spans="1:8">
      <c r="A98" s="61">
        <v>157</v>
      </c>
      <c r="B98" s="50" t="s">
        <v>382</v>
      </c>
      <c r="C98" s="50" t="s">
        <v>72</v>
      </c>
      <c r="D98" s="50" t="s">
        <v>3532</v>
      </c>
      <c r="E98" s="50" t="s">
        <v>3532</v>
      </c>
      <c r="F98" s="50" t="s">
        <v>1320</v>
      </c>
      <c r="G98" s="50" t="s">
        <v>1887</v>
      </c>
      <c r="H98" t="s">
        <v>1578</v>
      </c>
    </row>
    <row r="99" spans="1:8">
      <c r="A99" s="61">
        <v>158</v>
      </c>
      <c r="B99" s="50" t="s">
        <v>383</v>
      </c>
      <c r="C99" s="50" t="s">
        <v>964</v>
      </c>
      <c r="D99" s="50" t="s">
        <v>2450</v>
      </c>
      <c r="E99" s="50" t="s">
        <v>2450</v>
      </c>
      <c r="F99" s="50" t="s">
        <v>1585</v>
      </c>
      <c r="G99" s="50" t="s">
        <v>1582</v>
      </c>
      <c r="H99" t="s">
        <v>3566</v>
      </c>
    </row>
    <row r="100" spans="1:8">
      <c r="A100" s="61">
        <v>159</v>
      </c>
      <c r="B100" s="50" t="s">
        <v>644</v>
      </c>
      <c r="C100" s="50" t="s">
        <v>1197</v>
      </c>
      <c r="D100" s="50" t="s">
        <v>206</v>
      </c>
      <c r="E100" s="50" t="s">
        <v>206</v>
      </c>
      <c r="F100" s="50" t="s">
        <v>1321</v>
      </c>
      <c r="G100" s="50" t="s">
        <v>1877</v>
      </c>
      <c r="H100" t="s">
        <v>532</v>
      </c>
    </row>
    <row r="101" spans="1:8">
      <c r="A101" s="61">
        <v>165</v>
      </c>
      <c r="B101" s="50" t="s">
        <v>337</v>
      </c>
      <c r="C101" s="50" t="s">
        <v>338</v>
      </c>
      <c r="D101" s="50" t="s">
        <v>2066</v>
      </c>
      <c r="E101" s="50" t="s">
        <v>2066</v>
      </c>
      <c r="F101" s="50" t="s">
        <v>1322</v>
      </c>
      <c r="G101" s="50" t="s">
        <v>1881</v>
      </c>
      <c r="H101" t="s">
        <v>1901</v>
      </c>
    </row>
    <row r="102" spans="1:8">
      <c r="A102" s="61">
        <v>166</v>
      </c>
      <c r="B102" s="50" t="s">
        <v>469</v>
      </c>
      <c r="C102" s="50" t="s">
        <v>470</v>
      </c>
      <c r="D102" s="50" t="s">
        <v>597</v>
      </c>
      <c r="E102" s="50" t="s">
        <v>597</v>
      </c>
      <c r="F102" s="50" t="s">
        <v>1321</v>
      </c>
      <c r="G102" s="50" t="s">
        <v>2771</v>
      </c>
      <c r="H102" t="s">
        <v>1902</v>
      </c>
    </row>
    <row r="103" spans="1:8">
      <c r="A103" s="61">
        <v>169</v>
      </c>
      <c r="B103" s="50" t="s">
        <v>471</v>
      </c>
      <c r="C103" s="50" t="s">
        <v>782</v>
      </c>
      <c r="D103" s="50" t="s">
        <v>1262</v>
      </c>
      <c r="E103" s="50" t="s">
        <v>1262</v>
      </c>
      <c r="F103" s="50" t="s">
        <v>1585</v>
      </c>
      <c r="G103" s="50" t="s">
        <v>1383</v>
      </c>
      <c r="H103" t="s">
        <v>3567</v>
      </c>
    </row>
    <row r="104" spans="1:8">
      <c r="A104" s="61">
        <v>170</v>
      </c>
      <c r="B104" s="50" t="s">
        <v>472</v>
      </c>
      <c r="C104" s="50" t="s">
        <v>79</v>
      </c>
      <c r="D104" s="50" t="s">
        <v>2069</v>
      </c>
      <c r="E104" s="50" t="s">
        <v>2069</v>
      </c>
      <c r="F104" s="50" t="s">
        <v>1321</v>
      </c>
      <c r="G104" s="50" t="s">
        <v>1901</v>
      </c>
      <c r="H104" t="s">
        <v>528</v>
      </c>
    </row>
    <row r="105" spans="1:8">
      <c r="A105" s="61">
        <v>172</v>
      </c>
      <c r="B105" s="50" t="s">
        <v>1097</v>
      </c>
      <c r="C105" s="50" t="s">
        <v>425</v>
      </c>
      <c r="D105" s="50" t="s">
        <v>2450</v>
      </c>
      <c r="E105" s="50" t="s">
        <v>2450</v>
      </c>
      <c r="F105" s="50" t="s">
        <v>1321</v>
      </c>
      <c r="G105" s="50" t="s">
        <v>2090</v>
      </c>
      <c r="H105" t="s">
        <v>1582</v>
      </c>
    </row>
    <row r="106" spans="1:8">
      <c r="A106" s="61">
        <v>177</v>
      </c>
      <c r="B106" s="50" t="s">
        <v>3296</v>
      </c>
      <c r="C106" s="50" t="s">
        <v>194</v>
      </c>
      <c r="D106" s="50" t="s">
        <v>1223</v>
      </c>
      <c r="E106" s="50" t="s">
        <v>1223</v>
      </c>
      <c r="F106" s="50" t="s">
        <v>1320</v>
      </c>
      <c r="G106" s="50"/>
      <c r="H106" t="s">
        <v>1369</v>
      </c>
    </row>
    <row r="107" spans="1:8">
      <c r="A107" s="61">
        <v>179</v>
      </c>
      <c r="B107" s="50" t="s">
        <v>1101</v>
      </c>
      <c r="C107" s="50" t="s">
        <v>640</v>
      </c>
      <c r="D107" s="50" t="s">
        <v>1263</v>
      </c>
      <c r="E107" s="50" t="s">
        <v>1263</v>
      </c>
      <c r="F107" s="50" t="s">
        <v>1321</v>
      </c>
      <c r="G107" s="50" t="s">
        <v>1571</v>
      </c>
      <c r="H107" t="s">
        <v>3568</v>
      </c>
    </row>
    <row r="108" spans="1:8">
      <c r="A108" s="61">
        <v>180</v>
      </c>
      <c r="B108" s="50" t="s">
        <v>1102</v>
      </c>
      <c r="C108" s="50" t="s">
        <v>635</v>
      </c>
      <c r="D108" s="50" t="s">
        <v>844</v>
      </c>
      <c r="E108" s="50" t="s">
        <v>844</v>
      </c>
      <c r="F108" s="50" t="s">
        <v>1320</v>
      </c>
      <c r="G108" s="50" t="s">
        <v>1579</v>
      </c>
      <c r="H108" t="s">
        <v>1903</v>
      </c>
    </row>
    <row r="109" spans="1:8">
      <c r="A109" s="61">
        <v>182</v>
      </c>
      <c r="B109" s="50" t="s">
        <v>1103</v>
      </c>
      <c r="C109" s="50" t="s">
        <v>79</v>
      </c>
      <c r="D109" s="50" t="s">
        <v>437</v>
      </c>
      <c r="E109" s="50" t="s">
        <v>437</v>
      </c>
      <c r="F109" s="50" t="s">
        <v>1320</v>
      </c>
      <c r="G109" s="50" t="s">
        <v>2771</v>
      </c>
      <c r="H109" t="s">
        <v>342</v>
      </c>
    </row>
    <row r="110" spans="1:8">
      <c r="A110" s="61">
        <v>185</v>
      </c>
      <c r="B110" s="50" t="s">
        <v>1104</v>
      </c>
      <c r="C110" s="50" t="s">
        <v>336</v>
      </c>
      <c r="D110" s="50" t="s">
        <v>2087</v>
      </c>
      <c r="E110" s="50" t="s">
        <v>2087</v>
      </c>
      <c r="F110" s="50" t="s">
        <v>1339</v>
      </c>
      <c r="G110" s="50" t="s">
        <v>2112</v>
      </c>
      <c r="H110" t="s">
        <v>3569</v>
      </c>
    </row>
    <row r="111" spans="1:8">
      <c r="A111" s="61">
        <v>187</v>
      </c>
      <c r="B111" s="50" t="s">
        <v>1105</v>
      </c>
      <c r="C111" s="50" t="s">
        <v>642</v>
      </c>
      <c r="D111" s="50" t="s">
        <v>2378</v>
      </c>
      <c r="E111" s="50" t="s">
        <v>2378</v>
      </c>
      <c r="F111" s="50" t="s">
        <v>1339</v>
      </c>
      <c r="G111" s="50" t="s">
        <v>544</v>
      </c>
      <c r="H111" t="s">
        <v>2110</v>
      </c>
    </row>
    <row r="112" spans="1:8">
      <c r="A112" s="61">
        <v>188</v>
      </c>
      <c r="B112" s="50" t="s">
        <v>1106</v>
      </c>
      <c r="C112" s="50" t="s">
        <v>194</v>
      </c>
      <c r="D112" s="50" t="s">
        <v>2686</v>
      </c>
      <c r="E112" s="50" t="s">
        <v>2686</v>
      </c>
      <c r="F112" s="50" t="s">
        <v>1585</v>
      </c>
      <c r="G112" s="50" t="s">
        <v>529</v>
      </c>
      <c r="H112" t="s">
        <v>3570</v>
      </c>
    </row>
    <row r="113" spans="1:8">
      <c r="A113" s="61">
        <v>189</v>
      </c>
      <c r="B113" s="50" t="s">
        <v>315</v>
      </c>
      <c r="C113" s="50" t="s">
        <v>194</v>
      </c>
      <c r="D113" s="50" t="s">
        <v>1062</v>
      </c>
      <c r="E113" s="50" t="s">
        <v>1062</v>
      </c>
      <c r="F113" s="50" t="s">
        <v>1320</v>
      </c>
      <c r="G113" s="50" t="s">
        <v>1923</v>
      </c>
      <c r="H113" t="s">
        <v>1562</v>
      </c>
    </row>
    <row r="114" spans="1:8">
      <c r="A114" s="61">
        <v>190</v>
      </c>
      <c r="B114" s="50" t="s">
        <v>316</v>
      </c>
      <c r="C114" s="50" t="s">
        <v>638</v>
      </c>
      <c r="D114" s="50" t="s">
        <v>1455</v>
      </c>
      <c r="E114" s="50" t="s">
        <v>1455</v>
      </c>
      <c r="F114" s="50" t="s">
        <v>2035</v>
      </c>
      <c r="G114" s="50" t="s">
        <v>2064</v>
      </c>
      <c r="H114" t="s">
        <v>1370</v>
      </c>
    </row>
    <row r="115" spans="1:8">
      <c r="A115" s="61">
        <v>191</v>
      </c>
      <c r="B115" s="50" t="s">
        <v>59</v>
      </c>
      <c r="C115" s="50" t="s">
        <v>79</v>
      </c>
      <c r="D115" s="50" t="s">
        <v>2449</v>
      </c>
      <c r="E115" s="50" t="s">
        <v>2449</v>
      </c>
      <c r="F115" s="50" t="s">
        <v>1339</v>
      </c>
      <c r="G115" s="50" t="s">
        <v>340</v>
      </c>
      <c r="H115" t="s">
        <v>3571</v>
      </c>
    </row>
    <row r="116" spans="1:8">
      <c r="A116" s="61">
        <v>193</v>
      </c>
      <c r="B116" s="50" t="s">
        <v>60</v>
      </c>
      <c r="C116" s="50" t="s">
        <v>640</v>
      </c>
      <c r="D116" s="50" t="s">
        <v>596</v>
      </c>
      <c r="E116" s="50" t="s">
        <v>596</v>
      </c>
      <c r="F116" s="50" t="s">
        <v>1339</v>
      </c>
      <c r="G116" s="50" t="s">
        <v>2277</v>
      </c>
      <c r="H116" t="s">
        <v>3572</v>
      </c>
    </row>
    <row r="117" spans="1:8">
      <c r="A117" s="61">
        <v>195</v>
      </c>
      <c r="B117" s="50" t="s">
        <v>61</v>
      </c>
      <c r="C117" s="50" t="s">
        <v>336</v>
      </c>
      <c r="D117" s="50" t="s">
        <v>2809</v>
      </c>
      <c r="E117" s="50" t="s">
        <v>2809</v>
      </c>
      <c r="F117" s="50" t="s">
        <v>1339</v>
      </c>
      <c r="G117" s="50" t="s">
        <v>1893</v>
      </c>
      <c r="H117" t="s">
        <v>349</v>
      </c>
    </row>
    <row r="118" spans="1:8">
      <c r="A118" s="61">
        <v>196</v>
      </c>
      <c r="B118" s="50" t="s">
        <v>62</v>
      </c>
      <c r="C118" s="50" t="s">
        <v>635</v>
      </c>
      <c r="D118" s="50" t="s">
        <v>1039</v>
      </c>
      <c r="E118" s="50" t="s">
        <v>1039</v>
      </c>
      <c r="F118" s="50" t="s">
        <v>1339</v>
      </c>
      <c r="G118" s="50" t="s">
        <v>1561</v>
      </c>
      <c r="H118" t="s">
        <v>3573</v>
      </c>
    </row>
    <row r="119" spans="1:8">
      <c r="A119" s="61">
        <v>197</v>
      </c>
      <c r="B119" s="50" t="s">
        <v>63</v>
      </c>
      <c r="C119" s="50" t="s">
        <v>964</v>
      </c>
      <c r="D119" s="50" t="s">
        <v>3505</v>
      </c>
      <c r="E119" s="50" t="s">
        <v>3505</v>
      </c>
      <c r="F119" s="50" t="s">
        <v>1585</v>
      </c>
      <c r="G119" s="50" t="s">
        <v>345</v>
      </c>
      <c r="H119" t="s">
        <v>1570</v>
      </c>
    </row>
    <row r="120" spans="1:8">
      <c r="A120" s="61">
        <v>198</v>
      </c>
      <c r="B120" s="50" t="s">
        <v>64</v>
      </c>
      <c r="C120" s="50" t="s">
        <v>65</v>
      </c>
      <c r="D120" s="50" t="s">
        <v>3505</v>
      </c>
      <c r="E120" s="50" t="s">
        <v>3505</v>
      </c>
      <c r="F120" s="50" t="s">
        <v>1585</v>
      </c>
      <c r="G120" s="50" t="s">
        <v>345</v>
      </c>
      <c r="H120" t="s">
        <v>3574</v>
      </c>
    </row>
    <row r="121" spans="1:8">
      <c r="A121" s="61">
        <v>201</v>
      </c>
      <c r="B121" s="50" t="s">
        <v>66</v>
      </c>
      <c r="C121" s="50" t="s">
        <v>1311</v>
      </c>
      <c r="D121" s="50" t="s">
        <v>1367</v>
      </c>
      <c r="E121" s="50" t="s">
        <v>1367</v>
      </c>
      <c r="F121" s="50" t="s">
        <v>390</v>
      </c>
      <c r="G121" s="50" t="s">
        <v>2774</v>
      </c>
      <c r="H121" t="s">
        <v>3575</v>
      </c>
    </row>
    <row r="122" spans="1:8">
      <c r="A122" s="61">
        <v>204</v>
      </c>
      <c r="B122" s="50" t="s">
        <v>1312</v>
      </c>
      <c r="C122" s="50" t="s">
        <v>778</v>
      </c>
      <c r="D122" s="50" t="s">
        <v>1264</v>
      </c>
      <c r="E122" s="50" t="s">
        <v>1264</v>
      </c>
      <c r="F122" s="50" t="s">
        <v>2036</v>
      </c>
      <c r="G122" s="50" t="s">
        <v>1921</v>
      </c>
      <c r="H122" t="s">
        <v>3105</v>
      </c>
    </row>
    <row r="123" spans="1:8">
      <c r="A123" s="61">
        <v>205</v>
      </c>
      <c r="B123" s="50" t="s">
        <v>381</v>
      </c>
      <c r="C123" s="50" t="s">
        <v>1313</v>
      </c>
      <c r="D123" s="50" t="s">
        <v>2735</v>
      </c>
      <c r="E123" s="50" t="s">
        <v>2735</v>
      </c>
      <c r="F123" s="50" t="s">
        <v>1339</v>
      </c>
      <c r="G123" s="50" t="s">
        <v>2488</v>
      </c>
      <c r="H123" t="s">
        <v>3366</v>
      </c>
    </row>
    <row r="124" spans="1:8">
      <c r="A124" s="61">
        <v>207</v>
      </c>
      <c r="B124" s="50" t="s">
        <v>1314</v>
      </c>
      <c r="C124" s="50" t="s">
        <v>194</v>
      </c>
      <c r="D124" s="50" t="s">
        <v>2323</v>
      </c>
      <c r="E124" s="50" t="s">
        <v>2323</v>
      </c>
      <c r="F124" s="50" t="s">
        <v>1321</v>
      </c>
      <c r="G124" s="50" t="s">
        <v>2089</v>
      </c>
      <c r="H124" t="s">
        <v>1904</v>
      </c>
    </row>
    <row r="125" spans="1:8">
      <c r="A125" s="61">
        <v>209</v>
      </c>
      <c r="B125" s="50" t="s">
        <v>1247</v>
      </c>
      <c r="C125" s="50" t="s">
        <v>263</v>
      </c>
      <c r="D125" s="50" t="s">
        <v>318</v>
      </c>
      <c r="E125" s="50" t="s">
        <v>318</v>
      </c>
      <c r="F125" s="50" t="s">
        <v>2036</v>
      </c>
      <c r="G125" s="50" t="s">
        <v>1921</v>
      </c>
      <c r="H125" t="s">
        <v>2806</v>
      </c>
    </row>
    <row r="126" spans="1:8">
      <c r="A126" s="61">
        <v>210</v>
      </c>
      <c r="B126" s="50" t="s">
        <v>1248</v>
      </c>
      <c r="C126" s="50" t="s">
        <v>1197</v>
      </c>
      <c r="D126" s="50" t="s">
        <v>2317</v>
      </c>
      <c r="E126" s="50" t="s">
        <v>2317</v>
      </c>
      <c r="F126" s="50" t="s">
        <v>1225</v>
      </c>
      <c r="G126" s="50" t="s">
        <v>1891</v>
      </c>
      <c r="H126" t="s">
        <v>1371</v>
      </c>
    </row>
    <row r="127" spans="1:8">
      <c r="A127" s="61">
        <v>211</v>
      </c>
      <c r="B127" s="50" t="s">
        <v>1249</v>
      </c>
      <c r="C127" s="50" t="s">
        <v>446</v>
      </c>
      <c r="D127" s="50" t="s">
        <v>1991</v>
      </c>
      <c r="E127" s="50" t="s">
        <v>1991</v>
      </c>
      <c r="F127" s="50" t="s">
        <v>1339</v>
      </c>
      <c r="G127" s="50" t="s">
        <v>1572</v>
      </c>
      <c r="H127" t="s">
        <v>3576</v>
      </c>
    </row>
    <row r="128" spans="1:8">
      <c r="A128" s="61">
        <v>216</v>
      </c>
      <c r="B128" s="50" t="s">
        <v>1250</v>
      </c>
      <c r="C128" s="50" t="s">
        <v>640</v>
      </c>
      <c r="D128" s="50" t="s">
        <v>935</v>
      </c>
      <c r="E128" s="50" t="s">
        <v>935</v>
      </c>
      <c r="F128" s="50" t="s">
        <v>1585</v>
      </c>
      <c r="G128" s="50" t="s">
        <v>2071</v>
      </c>
      <c r="H128" t="s">
        <v>2396</v>
      </c>
    </row>
    <row r="129" spans="1:8">
      <c r="A129" s="61">
        <v>217</v>
      </c>
      <c r="B129" s="50" t="s">
        <v>1251</v>
      </c>
      <c r="C129" s="50" t="s">
        <v>188</v>
      </c>
      <c r="D129" s="50" t="s">
        <v>3505</v>
      </c>
      <c r="E129" s="50" t="s">
        <v>3505</v>
      </c>
      <c r="F129" s="50" t="s">
        <v>1585</v>
      </c>
      <c r="G129" s="32" t="s">
        <v>1563</v>
      </c>
      <c r="H129" t="s">
        <v>3015</v>
      </c>
    </row>
    <row r="130" spans="1:8">
      <c r="A130" s="61">
        <v>221</v>
      </c>
      <c r="B130" s="50" t="s">
        <v>1252</v>
      </c>
      <c r="C130" s="50" t="s">
        <v>79</v>
      </c>
      <c r="D130" s="50" t="s">
        <v>845</v>
      </c>
      <c r="E130" s="50" t="s">
        <v>845</v>
      </c>
      <c r="F130" s="50" t="s">
        <v>223</v>
      </c>
      <c r="G130" s="50" t="s">
        <v>3114</v>
      </c>
      <c r="H130" t="s">
        <v>3577</v>
      </c>
    </row>
    <row r="131" spans="1:8">
      <c r="A131" s="61">
        <v>223</v>
      </c>
      <c r="B131" s="50" t="s">
        <v>1253</v>
      </c>
      <c r="C131" s="50" t="s">
        <v>194</v>
      </c>
      <c r="D131" s="50" t="s">
        <v>1451</v>
      </c>
      <c r="E131" s="50" t="s">
        <v>1451</v>
      </c>
      <c r="F131" s="50" t="s">
        <v>2287</v>
      </c>
      <c r="G131" s="50" t="s">
        <v>1937</v>
      </c>
      <c r="H131" t="s">
        <v>3578</v>
      </c>
    </row>
    <row r="132" spans="1:8">
      <c r="A132" s="61">
        <v>224</v>
      </c>
      <c r="B132" s="50" t="s">
        <v>1254</v>
      </c>
      <c r="C132" s="50" t="s">
        <v>263</v>
      </c>
      <c r="D132" s="50" t="s">
        <v>1063</v>
      </c>
      <c r="E132" s="50" t="s">
        <v>1063</v>
      </c>
      <c r="F132" s="50" t="s">
        <v>1320</v>
      </c>
      <c r="G132" s="50" t="s">
        <v>1923</v>
      </c>
      <c r="H132" t="s">
        <v>1551</v>
      </c>
    </row>
    <row r="133" spans="1:8">
      <c r="A133" s="61">
        <v>226</v>
      </c>
      <c r="B133" s="50" t="s">
        <v>1255</v>
      </c>
      <c r="C133" s="50" t="s">
        <v>867</v>
      </c>
      <c r="D133" s="50" t="s">
        <v>1080</v>
      </c>
      <c r="E133" s="50" t="s">
        <v>1080</v>
      </c>
      <c r="F133" s="50" t="s">
        <v>1585</v>
      </c>
      <c r="G133" s="50" t="s">
        <v>531</v>
      </c>
      <c r="H133" t="s">
        <v>3579</v>
      </c>
    </row>
    <row r="134" spans="1:8">
      <c r="A134" s="61">
        <v>227</v>
      </c>
      <c r="B134" s="50" t="s">
        <v>1256</v>
      </c>
      <c r="C134" s="50" t="s">
        <v>866</v>
      </c>
      <c r="D134" s="50" t="s">
        <v>432</v>
      </c>
      <c r="E134" s="50" t="s">
        <v>432</v>
      </c>
      <c r="F134" s="50" t="s">
        <v>2036</v>
      </c>
      <c r="G134" s="50" t="s">
        <v>1877</v>
      </c>
      <c r="H134" t="s">
        <v>3580</v>
      </c>
    </row>
    <row r="135" spans="1:8">
      <c r="A135" s="61">
        <v>228</v>
      </c>
      <c r="B135" s="50" t="s">
        <v>476</v>
      </c>
      <c r="C135" s="50" t="s">
        <v>477</v>
      </c>
      <c r="D135" s="50" t="s">
        <v>810</v>
      </c>
      <c r="E135" s="50" t="s">
        <v>810</v>
      </c>
      <c r="F135" s="50" t="s">
        <v>1366</v>
      </c>
      <c r="G135" s="50" t="s">
        <v>3582</v>
      </c>
      <c r="H135" t="s">
        <v>3581</v>
      </c>
    </row>
    <row r="136" spans="1:8">
      <c r="A136" s="61">
        <v>233</v>
      </c>
      <c r="B136" s="50" t="s">
        <v>1255</v>
      </c>
      <c r="C136" s="50" t="s">
        <v>478</v>
      </c>
      <c r="D136" s="50" t="s">
        <v>2066</v>
      </c>
      <c r="E136" s="50" t="s">
        <v>2066</v>
      </c>
      <c r="F136" s="50" t="s">
        <v>1322</v>
      </c>
      <c r="G136" s="50" t="s">
        <v>1881</v>
      </c>
      <c r="H136" t="s">
        <v>2090</v>
      </c>
    </row>
    <row r="137" spans="1:8">
      <c r="A137" s="61">
        <v>234</v>
      </c>
      <c r="B137" s="50" t="s">
        <v>479</v>
      </c>
      <c r="C137" s="50" t="s">
        <v>336</v>
      </c>
      <c r="D137" s="50" t="s">
        <v>1318</v>
      </c>
      <c r="E137" s="50" t="s">
        <v>1318</v>
      </c>
      <c r="F137" s="50" t="s">
        <v>2127</v>
      </c>
      <c r="G137" s="50" t="s">
        <v>2095</v>
      </c>
      <c r="H137" t="s">
        <v>1905</v>
      </c>
    </row>
    <row r="138" spans="1:8">
      <c r="A138" s="61">
        <v>235</v>
      </c>
      <c r="B138" s="50" t="s">
        <v>0</v>
      </c>
      <c r="C138" s="50" t="s">
        <v>263</v>
      </c>
      <c r="D138" s="50" t="s">
        <v>595</v>
      </c>
      <c r="E138" s="50" t="s">
        <v>595</v>
      </c>
      <c r="F138" s="50" t="s">
        <v>1321</v>
      </c>
      <c r="G138" s="50" t="s">
        <v>2771</v>
      </c>
      <c r="H138" t="s">
        <v>1906</v>
      </c>
    </row>
    <row r="139" spans="1:8">
      <c r="A139" s="61">
        <v>236</v>
      </c>
      <c r="B139" s="50" t="s">
        <v>1436</v>
      </c>
      <c r="C139" s="50" t="s">
        <v>640</v>
      </c>
      <c r="D139" s="50" t="s">
        <v>395</v>
      </c>
      <c r="E139" s="50" t="s">
        <v>395</v>
      </c>
      <c r="F139" s="50" t="s">
        <v>1585</v>
      </c>
      <c r="G139" s="50" t="s">
        <v>540</v>
      </c>
      <c r="H139" t="s">
        <v>1549</v>
      </c>
    </row>
    <row r="140" spans="1:8">
      <c r="A140" s="61">
        <v>237</v>
      </c>
      <c r="B140" s="50" t="s">
        <v>1105</v>
      </c>
      <c r="C140" s="50" t="s">
        <v>866</v>
      </c>
      <c r="D140" s="50" t="s">
        <v>2337</v>
      </c>
      <c r="E140" s="50" t="s">
        <v>2337</v>
      </c>
      <c r="F140" s="50" t="s">
        <v>1585</v>
      </c>
      <c r="G140" s="50" t="s">
        <v>2157</v>
      </c>
      <c r="H140" t="s">
        <v>3583</v>
      </c>
    </row>
    <row r="141" spans="1:8">
      <c r="A141" s="61">
        <v>238</v>
      </c>
      <c r="B141" s="50" t="s">
        <v>1255</v>
      </c>
      <c r="C141" s="50" t="s">
        <v>427</v>
      </c>
      <c r="D141" s="50" t="s">
        <v>2448</v>
      </c>
      <c r="E141" s="50" t="s">
        <v>2448</v>
      </c>
      <c r="F141" s="50" t="s">
        <v>1320</v>
      </c>
      <c r="G141" s="50" t="s">
        <v>2090</v>
      </c>
      <c r="H141" t="s">
        <v>1907</v>
      </c>
    </row>
    <row r="142" spans="1:8">
      <c r="A142" s="61">
        <v>239</v>
      </c>
      <c r="B142" s="50" t="s">
        <v>241</v>
      </c>
      <c r="C142" s="50" t="s">
        <v>242</v>
      </c>
      <c r="D142" s="50" t="s">
        <v>685</v>
      </c>
      <c r="E142" s="50" t="s">
        <v>685</v>
      </c>
      <c r="F142" s="50" t="s">
        <v>1320</v>
      </c>
      <c r="G142" s="50" t="s">
        <v>1920</v>
      </c>
      <c r="H142" t="s">
        <v>1559</v>
      </c>
    </row>
    <row r="143" spans="1:8">
      <c r="A143" s="61">
        <v>240</v>
      </c>
      <c r="B143" s="50" t="s">
        <v>243</v>
      </c>
      <c r="C143" s="50" t="s">
        <v>336</v>
      </c>
      <c r="D143" s="50" t="s">
        <v>1991</v>
      </c>
      <c r="E143" s="50" t="s">
        <v>1991</v>
      </c>
      <c r="F143" s="50" t="s">
        <v>1585</v>
      </c>
      <c r="G143" s="50" t="s">
        <v>1572</v>
      </c>
      <c r="H143" t="s">
        <v>3584</v>
      </c>
    </row>
    <row r="144" spans="1:8">
      <c r="A144" s="61">
        <v>244</v>
      </c>
      <c r="B144" s="50" t="s">
        <v>244</v>
      </c>
      <c r="C144" s="50" t="s">
        <v>261</v>
      </c>
      <c r="D144" s="50" t="s">
        <v>503</v>
      </c>
      <c r="E144" s="50" t="s">
        <v>503</v>
      </c>
      <c r="F144" s="50" t="s">
        <v>223</v>
      </c>
      <c r="G144" s="50" t="s">
        <v>1565</v>
      </c>
      <c r="H144" t="s">
        <v>3585</v>
      </c>
    </row>
    <row r="145" spans="1:8">
      <c r="A145" s="61">
        <v>245</v>
      </c>
      <c r="B145" s="50" t="s">
        <v>245</v>
      </c>
      <c r="C145" s="50" t="s">
        <v>246</v>
      </c>
      <c r="D145" s="50" t="s">
        <v>2448</v>
      </c>
      <c r="E145" s="50" t="s">
        <v>2448</v>
      </c>
      <c r="F145" s="50" t="s">
        <v>223</v>
      </c>
      <c r="G145" s="50" t="s">
        <v>1907</v>
      </c>
      <c r="H145" t="s">
        <v>3106</v>
      </c>
    </row>
    <row r="146" spans="1:8">
      <c r="A146" s="61">
        <v>246</v>
      </c>
      <c r="B146" s="50" t="s">
        <v>1456</v>
      </c>
      <c r="C146" s="50" t="s">
        <v>1311</v>
      </c>
      <c r="D146" s="50" t="s">
        <v>772</v>
      </c>
      <c r="E146" s="50" t="s">
        <v>772</v>
      </c>
      <c r="F146" s="50" t="s">
        <v>1585</v>
      </c>
      <c r="G146" s="50" t="s">
        <v>1389</v>
      </c>
      <c r="H146" t="s">
        <v>3586</v>
      </c>
    </row>
    <row r="147" spans="1:8">
      <c r="A147" s="61">
        <v>247</v>
      </c>
      <c r="B147" s="50" t="s">
        <v>1457</v>
      </c>
      <c r="C147" s="50" t="s">
        <v>635</v>
      </c>
      <c r="D147" s="50" t="s">
        <v>2323</v>
      </c>
      <c r="E147" s="50" t="s">
        <v>2323</v>
      </c>
      <c r="F147" s="50" t="s">
        <v>1585</v>
      </c>
      <c r="G147" s="50" t="s">
        <v>1904</v>
      </c>
      <c r="H147" t="s">
        <v>3587</v>
      </c>
    </row>
    <row r="148" spans="1:8">
      <c r="A148" s="61">
        <v>248</v>
      </c>
      <c r="B148" s="50" t="s">
        <v>1458</v>
      </c>
      <c r="C148" s="50" t="s">
        <v>780</v>
      </c>
      <c r="D148" s="50" t="s">
        <v>772</v>
      </c>
      <c r="E148" s="50" t="s">
        <v>772</v>
      </c>
      <c r="F148" s="50" t="s">
        <v>1585</v>
      </c>
      <c r="G148" s="50" t="s">
        <v>1389</v>
      </c>
      <c r="H148" t="s">
        <v>3364</v>
      </c>
    </row>
    <row r="149" spans="1:8">
      <c r="A149" s="61">
        <v>249</v>
      </c>
      <c r="B149" s="50" t="s">
        <v>1459</v>
      </c>
      <c r="C149" s="50" t="s">
        <v>640</v>
      </c>
      <c r="D149" s="50" t="s">
        <v>234</v>
      </c>
      <c r="E149" s="50" t="s">
        <v>234</v>
      </c>
      <c r="F149" s="50" t="s">
        <v>223</v>
      </c>
      <c r="G149" s="50" t="s">
        <v>1910</v>
      </c>
      <c r="H149" t="s">
        <v>2616</v>
      </c>
    </row>
    <row r="150" spans="1:8">
      <c r="A150" s="61">
        <v>251</v>
      </c>
      <c r="B150" s="50" t="s">
        <v>1460</v>
      </c>
      <c r="C150" s="50" t="s">
        <v>194</v>
      </c>
      <c r="D150" s="50" t="s">
        <v>602</v>
      </c>
      <c r="E150" s="50" t="s">
        <v>602</v>
      </c>
      <c r="F150" s="50" t="s">
        <v>2036</v>
      </c>
      <c r="G150" s="50" t="s">
        <v>1921</v>
      </c>
      <c r="H150" t="s">
        <v>3588</v>
      </c>
    </row>
    <row r="151" spans="1:8">
      <c r="A151" s="61">
        <v>252</v>
      </c>
      <c r="B151" s="50" t="s">
        <v>1461</v>
      </c>
      <c r="C151" s="50" t="s">
        <v>425</v>
      </c>
      <c r="D151" s="50" t="s">
        <v>1991</v>
      </c>
      <c r="E151" s="50" t="s">
        <v>1991</v>
      </c>
      <c r="F151" s="50" t="s">
        <v>1585</v>
      </c>
      <c r="G151" s="50" t="s">
        <v>1572</v>
      </c>
      <c r="H151" t="s">
        <v>2379</v>
      </c>
    </row>
    <row r="152" spans="1:8">
      <c r="A152" s="61">
        <v>253</v>
      </c>
      <c r="B152" s="50" t="s">
        <v>1462</v>
      </c>
      <c r="C152" s="50" t="s">
        <v>777</v>
      </c>
      <c r="D152" s="50" t="s">
        <v>2091</v>
      </c>
      <c r="E152" s="50" t="s">
        <v>2091</v>
      </c>
      <c r="F152" s="50" t="s">
        <v>1585</v>
      </c>
      <c r="G152" s="50" t="s">
        <v>1924</v>
      </c>
      <c r="H152" t="s">
        <v>3589</v>
      </c>
    </row>
    <row r="153" spans="1:8">
      <c r="A153" s="61">
        <v>255</v>
      </c>
      <c r="B153" s="50" t="s">
        <v>1463</v>
      </c>
      <c r="C153" s="50" t="s">
        <v>197</v>
      </c>
      <c r="D153" s="50" t="s">
        <v>2672</v>
      </c>
      <c r="E153" s="50" t="s">
        <v>2672</v>
      </c>
      <c r="F153" s="50" t="s">
        <v>2287</v>
      </c>
      <c r="G153" s="50" t="s">
        <v>3339</v>
      </c>
      <c r="H153" t="s">
        <v>3590</v>
      </c>
    </row>
    <row r="154" spans="1:8">
      <c r="A154" s="61">
        <v>256</v>
      </c>
      <c r="B154" s="50" t="s">
        <v>1464</v>
      </c>
      <c r="C154" s="50" t="s">
        <v>199</v>
      </c>
      <c r="D154" s="50" t="s">
        <v>569</v>
      </c>
      <c r="E154" s="50" t="s">
        <v>569</v>
      </c>
      <c r="F154" s="50" t="s">
        <v>1322</v>
      </c>
      <c r="G154" s="50" t="s">
        <v>1896</v>
      </c>
      <c r="H154" t="s">
        <v>2071</v>
      </c>
    </row>
    <row r="155" spans="1:8">
      <c r="A155" s="61">
        <v>258</v>
      </c>
      <c r="B155" s="50" t="s">
        <v>1465</v>
      </c>
      <c r="C155" s="50" t="s">
        <v>964</v>
      </c>
      <c r="D155" s="50" t="s">
        <v>1481</v>
      </c>
      <c r="E155" s="50" t="s">
        <v>1481</v>
      </c>
      <c r="F155" s="50" t="s">
        <v>1224</v>
      </c>
      <c r="G155" s="50" t="s">
        <v>2318</v>
      </c>
      <c r="H155" t="s">
        <v>3591</v>
      </c>
    </row>
    <row r="156" spans="1:8">
      <c r="A156" s="61">
        <v>261</v>
      </c>
      <c r="B156" s="50" t="s">
        <v>1121</v>
      </c>
      <c r="C156" s="50" t="s">
        <v>780</v>
      </c>
      <c r="D156" s="50" t="s">
        <v>2943</v>
      </c>
      <c r="E156" s="50" t="s">
        <v>2943</v>
      </c>
      <c r="F156" s="50" t="s">
        <v>1339</v>
      </c>
      <c r="G156" s="50" t="s">
        <v>1893</v>
      </c>
      <c r="H156" t="s">
        <v>3592</v>
      </c>
    </row>
    <row r="157" spans="1:8">
      <c r="A157" s="61">
        <v>264</v>
      </c>
      <c r="B157" s="50" t="s">
        <v>1122</v>
      </c>
      <c r="C157" s="50" t="s">
        <v>780</v>
      </c>
      <c r="D157" s="50" t="s">
        <v>438</v>
      </c>
      <c r="E157" s="50" t="s">
        <v>438</v>
      </c>
      <c r="F157" s="50" t="s">
        <v>1585</v>
      </c>
      <c r="G157" s="50" t="s">
        <v>1391</v>
      </c>
      <c r="H157" t="s">
        <v>3593</v>
      </c>
    </row>
    <row r="158" spans="1:8">
      <c r="A158" s="61">
        <v>268</v>
      </c>
      <c r="B158" s="50" t="s">
        <v>1153</v>
      </c>
      <c r="C158" s="50" t="s">
        <v>188</v>
      </c>
      <c r="D158" s="50" t="s">
        <v>1262</v>
      </c>
      <c r="E158" s="50" t="s">
        <v>1262</v>
      </c>
      <c r="F158" s="50" t="s">
        <v>1320</v>
      </c>
      <c r="G158" s="50" t="s">
        <v>535</v>
      </c>
      <c r="H158" t="s">
        <v>1383</v>
      </c>
    </row>
    <row r="159" spans="1:8">
      <c r="A159" s="61">
        <v>269</v>
      </c>
      <c r="B159" s="50" t="s">
        <v>1154</v>
      </c>
      <c r="C159" s="50" t="s">
        <v>326</v>
      </c>
      <c r="D159" s="50" t="s">
        <v>438</v>
      </c>
      <c r="E159" s="50" t="s">
        <v>438</v>
      </c>
      <c r="F159" s="50" t="s">
        <v>2036</v>
      </c>
      <c r="G159" s="50" t="s">
        <v>1921</v>
      </c>
      <c r="H159" t="s">
        <v>1391</v>
      </c>
    </row>
    <row r="160" spans="1:8">
      <c r="A160" s="61">
        <v>271</v>
      </c>
      <c r="B160" s="50" t="s">
        <v>1155</v>
      </c>
      <c r="C160" s="50" t="s">
        <v>336</v>
      </c>
      <c r="D160" s="50" t="s">
        <v>1045</v>
      </c>
      <c r="E160" s="50" t="s">
        <v>1045</v>
      </c>
      <c r="F160" s="50" t="s">
        <v>1585</v>
      </c>
      <c r="G160" s="50" t="s">
        <v>1926</v>
      </c>
      <c r="H160" t="s">
        <v>3594</v>
      </c>
    </row>
    <row r="161" spans="1:8">
      <c r="A161" s="61">
        <v>272</v>
      </c>
      <c r="B161" s="50" t="s">
        <v>1156</v>
      </c>
      <c r="C161" s="50" t="s">
        <v>1157</v>
      </c>
      <c r="D161" s="50" t="s">
        <v>2772</v>
      </c>
      <c r="E161" s="50" t="s">
        <v>2772</v>
      </c>
      <c r="F161" s="50" t="s">
        <v>1339</v>
      </c>
      <c r="G161" s="50" t="s">
        <v>1390</v>
      </c>
      <c r="H161" t="s">
        <v>2835</v>
      </c>
    </row>
    <row r="162" spans="1:8">
      <c r="A162" s="61">
        <v>274</v>
      </c>
      <c r="B162" s="50" t="s">
        <v>1158</v>
      </c>
      <c r="C162" s="50" t="s">
        <v>336</v>
      </c>
      <c r="D162" s="50" t="s">
        <v>438</v>
      </c>
      <c r="E162" s="50" t="s">
        <v>438</v>
      </c>
      <c r="F162" s="50" t="s">
        <v>223</v>
      </c>
      <c r="G162" s="50" t="s">
        <v>1391</v>
      </c>
      <c r="H162" t="s">
        <v>3595</v>
      </c>
    </row>
    <row r="163" spans="1:8">
      <c r="A163" s="61">
        <v>275</v>
      </c>
      <c r="B163" s="50" t="s">
        <v>1159</v>
      </c>
      <c r="C163" s="50" t="s">
        <v>1311</v>
      </c>
      <c r="D163" s="50" t="s">
        <v>1090</v>
      </c>
      <c r="E163" s="50" t="s">
        <v>1090</v>
      </c>
      <c r="F163" s="50" t="s">
        <v>1339</v>
      </c>
      <c r="G163" s="50" t="s">
        <v>3909</v>
      </c>
      <c r="H163" t="s">
        <v>3596</v>
      </c>
    </row>
    <row r="164" spans="1:8">
      <c r="A164" s="61">
        <v>276</v>
      </c>
      <c r="B164" s="50" t="s">
        <v>1160</v>
      </c>
      <c r="C164" s="50" t="s">
        <v>964</v>
      </c>
      <c r="D164" s="50" t="s">
        <v>3505</v>
      </c>
      <c r="E164" s="50" t="s">
        <v>3505</v>
      </c>
      <c r="F164" s="50" t="s">
        <v>1585</v>
      </c>
      <c r="G164" s="50" t="s">
        <v>345</v>
      </c>
      <c r="H164" t="s">
        <v>3597</v>
      </c>
    </row>
    <row r="165" spans="1:8">
      <c r="A165" s="61">
        <v>278</v>
      </c>
      <c r="B165" s="50" t="s">
        <v>1161</v>
      </c>
      <c r="C165" s="50" t="s">
        <v>1162</v>
      </c>
      <c r="D165" s="50" t="s">
        <v>515</v>
      </c>
      <c r="E165" s="50" t="s">
        <v>515</v>
      </c>
      <c r="F165" s="50" t="s">
        <v>451</v>
      </c>
      <c r="G165" s="50" t="s">
        <v>1574</v>
      </c>
      <c r="H165" t="s">
        <v>3598</v>
      </c>
    </row>
    <row r="166" spans="1:8">
      <c r="A166" s="61">
        <v>279</v>
      </c>
      <c r="B166" s="50" t="s">
        <v>1163</v>
      </c>
      <c r="C166" s="50" t="s">
        <v>1474</v>
      </c>
      <c r="D166" s="50" t="s">
        <v>2073</v>
      </c>
      <c r="E166" s="50" t="s">
        <v>2073</v>
      </c>
      <c r="F166" s="50" t="s">
        <v>1320</v>
      </c>
      <c r="G166" s="50" t="s">
        <v>1901</v>
      </c>
      <c r="H166" t="s">
        <v>2471</v>
      </c>
    </row>
    <row r="167" spans="1:8">
      <c r="A167" s="61">
        <v>282</v>
      </c>
      <c r="B167" s="50" t="s">
        <v>1164</v>
      </c>
      <c r="C167" s="50" t="s">
        <v>1165</v>
      </c>
      <c r="D167" s="50" t="s">
        <v>1991</v>
      </c>
      <c r="E167" s="50" t="s">
        <v>1991</v>
      </c>
      <c r="F167" s="50" t="s">
        <v>1339</v>
      </c>
      <c r="G167" s="50" t="s">
        <v>1572</v>
      </c>
      <c r="H167" t="s">
        <v>2867</v>
      </c>
    </row>
    <row r="168" spans="1:8">
      <c r="A168" s="61">
        <v>287</v>
      </c>
      <c r="B168" s="50" t="s">
        <v>1166</v>
      </c>
      <c r="C168" s="50" t="s">
        <v>642</v>
      </c>
      <c r="D168" s="50" t="s">
        <v>2675</v>
      </c>
      <c r="E168" s="50" t="s">
        <v>2675</v>
      </c>
      <c r="F168" s="50" t="s">
        <v>2036</v>
      </c>
      <c r="G168" s="50" t="s">
        <v>1887</v>
      </c>
      <c r="H168" t="s">
        <v>339</v>
      </c>
    </row>
    <row r="169" spans="1:8">
      <c r="A169" s="61">
        <v>288</v>
      </c>
      <c r="B169" s="50" t="s">
        <v>1167</v>
      </c>
      <c r="C169" s="50" t="s">
        <v>640</v>
      </c>
      <c r="D169" s="50" t="s">
        <v>603</v>
      </c>
      <c r="E169" s="50" t="s">
        <v>603</v>
      </c>
      <c r="F169" s="50" t="s">
        <v>1586</v>
      </c>
      <c r="G169" s="50" t="s">
        <v>548</v>
      </c>
      <c r="H169" t="s">
        <v>3599</v>
      </c>
    </row>
    <row r="170" spans="1:8">
      <c r="A170" s="61">
        <v>289</v>
      </c>
      <c r="B170" s="50" t="s">
        <v>1168</v>
      </c>
      <c r="C170" s="50" t="s">
        <v>194</v>
      </c>
      <c r="D170" s="50" t="s">
        <v>2377</v>
      </c>
      <c r="E170" s="50" t="s">
        <v>2377</v>
      </c>
      <c r="F170" s="50" t="s">
        <v>1339</v>
      </c>
      <c r="G170" s="50" t="s">
        <v>1395</v>
      </c>
      <c r="H170" t="s">
        <v>3056</v>
      </c>
    </row>
    <row r="171" spans="1:8">
      <c r="A171" s="61">
        <v>292</v>
      </c>
      <c r="B171" s="50" t="s">
        <v>1169</v>
      </c>
      <c r="C171" s="50" t="s">
        <v>188</v>
      </c>
      <c r="D171" s="50" t="s">
        <v>452</v>
      </c>
      <c r="E171" s="50" t="s">
        <v>452</v>
      </c>
      <c r="F171" s="50" t="s">
        <v>1320</v>
      </c>
      <c r="G171" s="50" t="s">
        <v>1884</v>
      </c>
      <c r="H171" t="s">
        <v>346</v>
      </c>
    </row>
    <row r="172" spans="1:8">
      <c r="A172" s="61">
        <v>293</v>
      </c>
      <c r="B172" s="50" t="s">
        <v>1170</v>
      </c>
      <c r="C172" s="50" t="s">
        <v>188</v>
      </c>
      <c r="D172" s="50" t="s">
        <v>2324</v>
      </c>
      <c r="E172" s="50" t="s">
        <v>2324</v>
      </c>
      <c r="F172" s="50" t="s">
        <v>1320</v>
      </c>
      <c r="G172" s="50" t="s">
        <v>2089</v>
      </c>
      <c r="H172" t="s">
        <v>2326</v>
      </c>
    </row>
    <row r="173" spans="1:8">
      <c r="A173" s="61">
        <v>297</v>
      </c>
      <c r="B173" s="50" t="s">
        <v>1171</v>
      </c>
      <c r="C173" s="50" t="s">
        <v>194</v>
      </c>
      <c r="D173" s="50" t="s">
        <v>2325</v>
      </c>
      <c r="E173" s="50" t="s">
        <v>2325</v>
      </c>
      <c r="F173" s="50" t="s">
        <v>223</v>
      </c>
      <c r="G173" s="50" t="s">
        <v>1912</v>
      </c>
      <c r="H173" t="s">
        <v>3600</v>
      </c>
    </row>
    <row r="174" spans="1:8">
      <c r="A174" s="61">
        <v>299</v>
      </c>
      <c r="B174" s="50" t="s">
        <v>1172</v>
      </c>
      <c r="C174" s="50" t="s">
        <v>79</v>
      </c>
      <c r="D174" s="50" t="s">
        <v>684</v>
      </c>
      <c r="E174" s="50" t="s">
        <v>684</v>
      </c>
      <c r="F174" s="50" t="s">
        <v>1320</v>
      </c>
      <c r="G174" s="50" t="s">
        <v>1920</v>
      </c>
      <c r="H174" t="s">
        <v>541</v>
      </c>
    </row>
    <row r="175" spans="1:8">
      <c r="A175" s="61">
        <v>300</v>
      </c>
      <c r="B175" s="50" t="s">
        <v>1173</v>
      </c>
      <c r="C175" s="50" t="s">
        <v>777</v>
      </c>
      <c r="D175" s="50" t="s">
        <v>2325</v>
      </c>
      <c r="E175" s="50" t="s">
        <v>2325</v>
      </c>
      <c r="F175" s="50" t="s">
        <v>223</v>
      </c>
      <c r="G175" s="50" t="s">
        <v>1912</v>
      </c>
      <c r="H175" t="s">
        <v>3601</v>
      </c>
    </row>
    <row r="176" spans="1:8">
      <c r="A176" s="61">
        <v>301</v>
      </c>
      <c r="B176" s="50" t="s">
        <v>1174</v>
      </c>
      <c r="C176" s="50" t="s">
        <v>1175</v>
      </c>
      <c r="D176" s="50" t="s">
        <v>691</v>
      </c>
      <c r="E176" s="50" t="s">
        <v>691</v>
      </c>
      <c r="F176" s="50" t="s">
        <v>1225</v>
      </c>
      <c r="G176" s="50" t="s">
        <v>547</v>
      </c>
      <c r="H176" t="s">
        <v>3602</v>
      </c>
    </row>
    <row r="177" spans="1:8">
      <c r="A177" s="61">
        <v>303</v>
      </c>
      <c r="B177" s="50" t="s">
        <v>861</v>
      </c>
      <c r="C177" s="50" t="s">
        <v>72</v>
      </c>
      <c r="D177" s="50" t="s">
        <v>178</v>
      </c>
      <c r="E177" s="50" t="s">
        <v>178</v>
      </c>
      <c r="F177" s="50" t="s">
        <v>1339</v>
      </c>
      <c r="G177" s="50" t="s">
        <v>1556</v>
      </c>
      <c r="H177" t="s">
        <v>3603</v>
      </c>
    </row>
    <row r="178" spans="1:8">
      <c r="A178" s="61">
        <v>304</v>
      </c>
      <c r="B178" s="50" t="s">
        <v>1176</v>
      </c>
      <c r="C178" s="50" t="s">
        <v>1177</v>
      </c>
      <c r="D178" s="50" t="s">
        <v>596</v>
      </c>
      <c r="E178" s="50" t="s">
        <v>596</v>
      </c>
      <c r="F178" s="50" t="s">
        <v>1320</v>
      </c>
      <c r="G178" s="50" t="s">
        <v>1921</v>
      </c>
      <c r="H178" t="s">
        <v>2277</v>
      </c>
    </row>
    <row r="179" spans="1:8">
      <c r="A179" s="61">
        <v>305</v>
      </c>
      <c r="B179" s="50" t="s">
        <v>1178</v>
      </c>
      <c r="C179" s="50" t="s">
        <v>75</v>
      </c>
      <c r="D179" s="50" t="s">
        <v>1604</v>
      </c>
      <c r="E179" s="50" t="s">
        <v>1604</v>
      </c>
      <c r="F179" s="50" t="s">
        <v>1225</v>
      </c>
      <c r="G179" s="50" t="s">
        <v>548</v>
      </c>
      <c r="H179" t="s">
        <v>3604</v>
      </c>
    </row>
    <row r="180" spans="1:8">
      <c r="A180" s="61">
        <v>308</v>
      </c>
      <c r="B180" s="50" t="s">
        <v>458</v>
      </c>
      <c r="C180" s="50" t="s">
        <v>336</v>
      </c>
      <c r="D180" s="50" t="s">
        <v>395</v>
      </c>
      <c r="E180" s="50" t="s">
        <v>395</v>
      </c>
      <c r="F180" s="50" t="s">
        <v>223</v>
      </c>
      <c r="G180" s="50" t="s">
        <v>540</v>
      </c>
      <c r="H180" t="s">
        <v>3605</v>
      </c>
    </row>
    <row r="181" spans="1:8">
      <c r="A181" s="61">
        <v>309</v>
      </c>
      <c r="B181" s="50" t="s">
        <v>459</v>
      </c>
      <c r="C181" s="50" t="s">
        <v>79</v>
      </c>
      <c r="D181" s="50" t="s">
        <v>3531</v>
      </c>
      <c r="E181" s="50" t="s">
        <v>3531</v>
      </c>
      <c r="F181" s="50" t="s">
        <v>1321</v>
      </c>
      <c r="G181" s="50" t="s">
        <v>1887</v>
      </c>
      <c r="H181" t="s">
        <v>1908</v>
      </c>
    </row>
    <row r="182" spans="1:8">
      <c r="A182" s="61">
        <v>311</v>
      </c>
      <c r="B182" s="50" t="s">
        <v>460</v>
      </c>
      <c r="C182" s="50" t="s">
        <v>1197</v>
      </c>
      <c r="D182" s="50" t="s">
        <v>2772</v>
      </c>
      <c r="E182" s="50" t="s">
        <v>2772</v>
      </c>
      <c r="F182" s="50" t="s">
        <v>1585</v>
      </c>
      <c r="G182" s="50" t="s">
        <v>1390</v>
      </c>
      <c r="H182" t="s">
        <v>1397</v>
      </c>
    </row>
    <row r="183" spans="1:8">
      <c r="A183" s="61">
        <v>313</v>
      </c>
      <c r="B183" s="50" t="s">
        <v>461</v>
      </c>
      <c r="C183" s="50" t="s">
        <v>77</v>
      </c>
      <c r="D183" s="50" t="s">
        <v>1062</v>
      </c>
      <c r="E183" s="50" t="s">
        <v>1062</v>
      </c>
      <c r="F183" s="50" t="s">
        <v>223</v>
      </c>
      <c r="G183" s="50" t="s">
        <v>1562</v>
      </c>
      <c r="H183" t="s">
        <v>3414</v>
      </c>
    </row>
    <row r="184" spans="1:8">
      <c r="A184" s="61">
        <v>315</v>
      </c>
      <c r="B184" s="50" t="s">
        <v>462</v>
      </c>
      <c r="C184" s="50" t="s">
        <v>261</v>
      </c>
      <c r="D184" s="50" t="s">
        <v>1063</v>
      </c>
      <c r="E184" s="50" t="s">
        <v>1063</v>
      </c>
      <c r="F184" s="50" t="s">
        <v>1585</v>
      </c>
      <c r="G184" s="50" t="s">
        <v>1551</v>
      </c>
      <c r="H184" t="s">
        <v>3606</v>
      </c>
    </row>
    <row r="185" spans="1:8">
      <c r="A185" s="61">
        <v>316</v>
      </c>
      <c r="B185" s="50" t="s">
        <v>463</v>
      </c>
      <c r="C185" s="50" t="s">
        <v>79</v>
      </c>
      <c r="D185" s="50" t="s">
        <v>1368</v>
      </c>
      <c r="E185" s="50" t="s">
        <v>1368</v>
      </c>
      <c r="F185" s="50" t="s">
        <v>1322</v>
      </c>
      <c r="G185" s="50" t="s">
        <v>1927</v>
      </c>
      <c r="H185" t="s">
        <v>1909</v>
      </c>
    </row>
    <row r="186" spans="1:8">
      <c r="A186" s="61">
        <v>318</v>
      </c>
      <c r="B186" s="50" t="s">
        <v>262</v>
      </c>
      <c r="C186" s="50" t="s">
        <v>964</v>
      </c>
      <c r="D186" s="50" t="s">
        <v>507</v>
      </c>
      <c r="E186" s="50" t="s">
        <v>507</v>
      </c>
      <c r="F186" s="50" t="s">
        <v>1321</v>
      </c>
      <c r="G186" s="50" t="s">
        <v>1923</v>
      </c>
      <c r="H186" t="s">
        <v>1910</v>
      </c>
    </row>
    <row r="187" spans="1:8">
      <c r="A187" s="61">
        <v>319</v>
      </c>
      <c r="B187" s="50" t="s">
        <v>464</v>
      </c>
      <c r="C187" s="50" t="s">
        <v>72</v>
      </c>
      <c r="D187" s="50" t="s">
        <v>515</v>
      </c>
      <c r="E187" s="50" t="s">
        <v>515</v>
      </c>
      <c r="F187" s="50" t="s">
        <v>1339</v>
      </c>
      <c r="G187" s="50" t="s">
        <v>1574</v>
      </c>
      <c r="H187" t="s">
        <v>2982</v>
      </c>
    </row>
    <row r="188" spans="1:8">
      <c r="A188" s="61">
        <v>320</v>
      </c>
      <c r="B188" s="50" t="s">
        <v>465</v>
      </c>
      <c r="C188" s="50" t="s">
        <v>79</v>
      </c>
      <c r="D188" s="50" t="s">
        <v>186</v>
      </c>
      <c r="E188" s="50" t="s">
        <v>186</v>
      </c>
      <c r="F188" s="50" t="s">
        <v>731</v>
      </c>
      <c r="G188" s="50" t="s">
        <v>548</v>
      </c>
      <c r="H188" t="s">
        <v>3607</v>
      </c>
    </row>
    <row r="189" spans="1:8">
      <c r="A189" s="61">
        <v>322</v>
      </c>
      <c r="B189" s="50" t="s">
        <v>466</v>
      </c>
      <c r="C189" s="50" t="s">
        <v>188</v>
      </c>
      <c r="D189" s="50" t="s">
        <v>1317</v>
      </c>
      <c r="E189" s="50" t="s">
        <v>1317</v>
      </c>
      <c r="F189" s="50" t="s">
        <v>2126</v>
      </c>
      <c r="G189" s="50" t="s">
        <v>2093</v>
      </c>
      <c r="H189" t="s">
        <v>2102</v>
      </c>
    </row>
    <row r="190" spans="1:8">
      <c r="A190" s="61">
        <v>325</v>
      </c>
      <c r="B190" s="50" t="s">
        <v>468</v>
      </c>
      <c r="C190" s="50" t="s">
        <v>190</v>
      </c>
      <c r="D190" s="50" t="s">
        <v>517</v>
      </c>
      <c r="E190" s="50" t="s">
        <v>517</v>
      </c>
      <c r="F190" s="50" t="s">
        <v>2036</v>
      </c>
      <c r="G190" s="50" t="s">
        <v>2793</v>
      </c>
      <c r="H190" t="s">
        <v>3086</v>
      </c>
    </row>
    <row r="191" spans="1:8">
      <c r="A191" s="61">
        <v>330</v>
      </c>
      <c r="B191" s="50" t="s">
        <v>1239</v>
      </c>
      <c r="C191" s="50" t="s">
        <v>263</v>
      </c>
      <c r="D191" s="50" t="s">
        <v>2735</v>
      </c>
      <c r="E191" s="50" t="s">
        <v>2735</v>
      </c>
      <c r="F191" s="50" t="s">
        <v>1585</v>
      </c>
      <c r="G191" s="50" t="s">
        <v>2488</v>
      </c>
      <c r="H191" t="s">
        <v>2901</v>
      </c>
    </row>
    <row r="192" spans="1:8">
      <c r="A192" s="61">
        <v>331</v>
      </c>
      <c r="B192" s="50" t="s">
        <v>357</v>
      </c>
      <c r="C192" s="50" t="s">
        <v>780</v>
      </c>
      <c r="D192" s="50" t="s">
        <v>2324</v>
      </c>
      <c r="E192" s="50" t="s">
        <v>2324</v>
      </c>
      <c r="F192" s="50" t="s">
        <v>223</v>
      </c>
      <c r="G192" s="50" t="s">
        <v>2326</v>
      </c>
      <c r="H192" t="s">
        <v>3107</v>
      </c>
    </row>
    <row r="193" spans="1:8">
      <c r="A193" s="61">
        <v>332</v>
      </c>
      <c r="B193" s="50" t="s">
        <v>358</v>
      </c>
      <c r="C193" s="50" t="s">
        <v>777</v>
      </c>
      <c r="D193" s="50" t="s">
        <v>2072</v>
      </c>
      <c r="E193" s="50" t="s">
        <v>2072</v>
      </c>
      <c r="F193" s="50" t="s">
        <v>1585</v>
      </c>
      <c r="G193" s="50" t="s">
        <v>1398</v>
      </c>
      <c r="H193" t="s">
        <v>3608</v>
      </c>
    </row>
    <row r="194" spans="1:8">
      <c r="A194" s="61">
        <v>333</v>
      </c>
      <c r="B194" s="50" t="s">
        <v>359</v>
      </c>
      <c r="C194" s="50" t="s">
        <v>1197</v>
      </c>
      <c r="D194" s="50" t="s">
        <v>318</v>
      </c>
      <c r="E194" s="50" t="s">
        <v>318</v>
      </c>
      <c r="F194" s="50" t="s">
        <v>1585</v>
      </c>
      <c r="G194" s="50" t="s">
        <v>2806</v>
      </c>
      <c r="H194" t="s">
        <v>3609</v>
      </c>
    </row>
    <row r="195" spans="1:8">
      <c r="A195" s="61">
        <v>335</v>
      </c>
      <c r="B195" s="50" t="s">
        <v>360</v>
      </c>
      <c r="C195" s="50" t="s">
        <v>777</v>
      </c>
      <c r="D195" s="50" t="s">
        <v>771</v>
      </c>
      <c r="E195" s="50" t="s">
        <v>771</v>
      </c>
      <c r="F195" s="50" t="s">
        <v>1321</v>
      </c>
      <c r="G195" s="50" t="s">
        <v>1885</v>
      </c>
      <c r="H195" t="s">
        <v>1379</v>
      </c>
    </row>
    <row r="196" spans="1:8">
      <c r="A196" s="61">
        <v>336</v>
      </c>
      <c r="B196" s="50" t="s">
        <v>1203</v>
      </c>
      <c r="C196" s="50" t="s">
        <v>635</v>
      </c>
      <c r="D196" s="50" t="s">
        <v>1223</v>
      </c>
      <c r="E196" s="50" t="s">
        <v>1223</v>
      </c>
      <c r="F196" s="50" t="s">
        <v>1320</v>
      </c>
      <c r="G196" s="50" t="s">
        <v>1370</v>
      </c>
      <c r="H196" t="s">
        <v>1575</v>
      </c>
    </row>
    <row r="197" spans="1:8">
      <c r="A197" s="61">
        <v>338</v>
      </c>
      <c r="B197" s="50" t="s">
        <v>1204</v>
      </c>
      <c r="C197" s="50" t="s">
        <v>197</v>
      </c>
      <c r="D197" s="50" t="s">
        <v>1350</v>
      </c>
      <c r="E197" s="50" t="s">
        <v>1350</v>
      </c>
      <c r="F197" s="50" t="s">
        <v>1585</v>
      </c>
      <c r="G197" s="50" t="s">
        <v>1378</v>
      </c>
      <c r="H197" t="s">
        <v>1374</v>
      </c>
    </row>
    <row r="198" spans="1:8">
      <c r="A198" s="61">
        <v>339</v>
      </c>
      <c r="B198" s="50" t="s">
        <v>1205</v>
      </c>
      <c r="C198" s="50" t="s">
        <v>190</v>
      </c>
      <c r="D198" s="50" t="s">
        <v>2402</v>
      </c>
      <c r="E198" s="50" t="s">
        <v>2402</v>
      </c>
      <c r="F198" s="50" t="s">
        <v>1321</v>
      </c>
      <c r="G198" s="50" t="s">
        <v>1909</v>
      </c>
      <c r="H198" t="s">
        <v>1911</v>
      </c>
    </row>
    <row r="199" spans="1:8">
      <c r="A199" s="61">
        <v>340</v>
      </c>
      <c r="B199" s="50" t="s">
        <v>1087</v>
      </c>
      <c r="C199" s="50" t="s">
        <v>197</v>
      </c>
      <c r="D199" s="50" t="s">
        <v>1223</v>
      </c>
      <c r="E199" s="50" t="s">
        <v>1223</v>
      </c>
      <c r="F199" s="50" t="s">
        <v>1585</v>
      </c>
      <c r="G199" s="50" t="s">
        <v>1575</v>
      </c>
      <c r="H199" t="s">
        <v>3610</v>
      </c>
    </row>
    <row r="200" spans="1:8">
      <c r="A200" s="61">
        <v>341</v>
      </c>
      <c r="B200" s="50" t="s">
        <v>1088</v>
      </c>
      <c r="C200" s="50" t="s">
        <v>777</v>
      </c>
      <c r="D200" s="50" t="s">
        <v>1223</v>
      </c>
      <c r="E200" s="50" t="s">
        <v>1223</v>
      </c>
      <c r="F200" s="50" t="s">
        <v>223</v>
      </c>
      <c r="G200" s="50" t="s">
        <v>1575</v>
      </c>
      <c r="H200" t="s">
        <v>3108</v>
      </c>
    </row>
    <row r="201" spans="1:8">
      <c r="A201" s="61">
        <v>343</v>
      </c>
      <c r="B201" s="50" t="s">
        <v>746</v>
      </c>
      <c r="C201" s="50" t="s">
        <v>1157</v>
      </c>
      <c r="D201" s="50" t="s">
        <v>2325</v>
      </c>
      <c r="E201" s="50" t="s">
        <v>2325</v>
      </c>
      <c r="F201" s="50" t="s">
        <v>1320</v>
      </c>
      <c r="G201" s="50" t="s">
        <v>2089</v>
      </c>
      <c r="H201" t="s">
        <v>1912</v>
      </c>
    </row>
    <row r="202" spans="1:8">
      <c r="A202" s="61">
        <v>344</v>
      </c>
      <c r="B202" s="50" t="s">
        <v>747</v>
      </c>
      <c r="C202" s="50" t="s">
        <v>964</v>
      </c>
      <c r="D202" s="50" t="s">
        <v>600</v>
      </c>
      <c r="E202" s="50" t="s">
        <v>600</v>
      </c>
      <c r="F202" s="50" t="s">
        <v>731</v>
      </c>
      <c r="G202" s="50" t="s">
        <v>1919</v>
      </c>
      <c r="H202" t="s">
        <v>3611</v>
      </c>
    </row>
    <row r="203" spans="1:8">
      <c r="A203" s="61">
        <v>346</v>
      </c>
      <c r="B203" s="50" t="s">
        <v>748</v>
      </c>
      <c r="C203" s="50" t="s">
        <v>966</v>
      </c>
      <c r="D203" s="50" t="s">
        <v>1452</v>
      </c>
      <c r="E203" s="50" t="s">
        <v>1452</v>
      </c>
      <c r="F203" s="50" t="s">
        <v>451</v>
      </c>
      <c r="G203" s="50" t="s">
        <v>3514</v>
      </c>
      <c r="H203" t="s">
        <v>3612</v>
      </c>
    </row>
    <row r="204" spans="1:8">
      <c r="A204" s="61">
        <v>347</v>
      </c>
      <c r="B204" s="50" t="s">
        <v>749</v>
      </c>
      <c r="C204" s="50" t="s">
        <v>1311</v>
      </c>
      <c r="D204" s="50" t="s">
        <v>517</v>
      </c>
      <c r="E204" s="50" t="s">
        <v>517</v>
      </c>
      <c r="F204" s="50" t="s">
        <v>223</v>
      </c>
      <c r="G204" s="50" t="s">
        <v>3086</v>
      </c>
      <c r="H204" t="s">
        <v>3613</v>
      </c>
    </row>
    <row r="205" spans="1:8">
      <c r="A205" s="61">
        <v>348</v>
      </c>
      <c r="B205" s="50" t="s">
        <v>750</v>
      </c>
      <c r="C205" s="50" t="s">
        <v>780</v>
      </c>
      <c r="D205" s="50" t="s">
        <v>235</v>
      </c>
      <c r="E205" s="50" t="s">
        <v>235</v>
      </c>
      <c r="F205" s="50" t="s">
        <v>1586</v>
      </c>
      <c r="G205" s="50" t="s">
        <v>1546</v>
      </c>
      <c r="H205" t="s">
        <v>3614</v>
      </c>
    </row>
    <row r="206" spans="1:8">
      <c r="A206" s="61">
        <v>349</v>
      </c>
      <c r="B206" s="50" t="s">
        <v>751</v>
      </c>
      <c r="C206" s="50" t="s">
        <v>425</v>
      </c>
      <c r="D206" s="50" t="s">
        <v>185</v>
      </c>
      <c r="E206" s="50" t="s">
        <v>185</v>
      </c>
      <c r="F206" s="50" t="s">
        <v>731</v>
      </c>
      <c r="G206" s="50" t="s">
        <v>548</v>
      </c>
      <c r="H206" t="s">
        <v>3615</v>
      </c>
    </row>
    <row r="207" spans="1:8">
      <c r="A207" s="61">
        <v>350</v>
      </c>
      <c r="B207" s="50" t="s">
        <v>469</v>
      </c>
      <c r="C207" s="50" t="s">
        <v>336</v>
      </c>
      <c r="D207" s="50" t="s">
        <v>449</v>
      </c>
      <c r="E207" s="50" t="s">
        <v>449</v>
      </c>
      <c r="F207" s="50" t="s">
        <v>223</v>
      </c>
      <c r="G207" s="50" t="s">
        <v>1899</v>
      </c>
      <c r="H207" t="s">
        <v>3616</v>
      </c>
    </row>
    <row r="208" spans="1:8">
      <c r="A208" s="61">
        <v>351</v>
      </c>
      <c r="B208" s="50" t="s">
        <v>752</v>
      </c>
      <c r="C208" s="50" t="s">
        <v>1311</v>
      </c>
      <c r="D208" s="50" t="s">
        <v>1991</v>
      </c>
      <c r="E208" s="50" t="s">
        <v>1991</v>
      </c>
      <c r="F208" s="50" t="s">
        <v>1585</v>
      </c>
      <c r="G208" s="50" t="s">
        <v>1564</v>
      </c>
      <c r="H208" t="s">
        <v>3617</v>
      </c>
    </row>
    <row r="209" spans="1:8">
      <c r="A209" s="61">
        <v>352</v>
      </c>
      <c r="B209" s="50" t="s">
        <v>753</v>
      </c>
      <c r="C209" s="50" t="s">
        <v>754</v>
      </c>
      <c r="D209" s="50" t="s">
        <v>2331</v>
      </c>
      <c r="E209" s="50" t="s">
        <v>2331</v>
      </c>
      <c r="F209" s="50" t="s">
        <v>1320</v>
      </c>
      <c r="G209" s="50" t="s">
        <v>2129</v>
      </c>
      <c r="H209" t="s">
        <v>1913</v>
      </c>
    </row>
    <row r="210" spans="1:8">
      <c r="A210" s="61">
        <v>353</v>
      </c>
      <c r="B210" s="50" t="s">
        <v>198</v>
      </c>
      <c r="C210" s="50" t="s">
        <v>336</v>
      </c>
      <c r="D210" s="50" t="s">
        <v>2331</v>
      </c>
      <c r="E210" s="50" t="s">
        <v>2331</v>
      </c>
      <c r="F210" s="50" t="s">
        <v>223</v>
      </c>
      <c r="G210" s="50" t="s">
        <v>1913</v>
      </c>
      <c r="H210" t="s">
        <v>3618</v>
      </c>
    </row>
    <row r="211" spans="1:8">
      <c r="A211" s="61">
        <v>355</v>
      </c>
      <c r="B211" s="50" t="s">
        <v>755</v>
      </c>
      <c r="C211" s="50" t="s">
        <v>867</v>
      </c>
      <c r="D211" s="50" t="s">
        <v>1062</v>
      </c>
      <c r="E211" s="50" t="s">
        <v>1062</v>
      </c>
      <c r="F211" s="50" t="s">
        <v>1339</v>
      </c>
      <c r="G211" s="50" t="s">
        <v>1562</v>
      </c>
      <c r="H211" t="s">
        <v>3619</v>
      </c>
    </row>
    <row r="212" spans="1:8">
      <c r="A212" s="61">
        <v>358</v>
      </c>
      <c r="B212" s="50" t="s">
        <v>2098</v>
      </c>
      <c r="C212" s="50" t="s">
        <v>72</v>
      </c>
      <c r="D212" s="50" t="s">
        <v>217</v>
      </c>
      <c r="E212" s="50" t="s">
        <v>217</v>
      </c>
      <c r="F212" s="50" t="s">
        <v>1224</v>
      </c>
      <c r="G212" s="50" t="s">
        <v>1915</v>
      </c>
      <c r="H212" t="s">
        <v>3620</v>
      </c>
    </row>
    <row r="213" spans="1:8">
      <c r="A213" s="61">
        <v>360</v>
      </c>
      <c r="B213" s="50" t="s">
        <v>756</v>
      </c>
      <c r="C213" s="50" t="s">
        <v>336</v>
      </c>
      <c r="D213" s="50" t="s">
        <v>2072</v>
      </c>
      <c r="E213" s="50" t="s">
        <v>2072</v>
      </c>
      <c r="F213" s="50" t="s">
        <v>1321</v>
      </c>
      <c r="G213" s="50" t="s">
        <v>1901</v>
      </c>
      <c r="H213" t="s">
        <v>1398</v>
      </c>
    </row>
    <row r="214" spans="1:8">
      <c r="A214" s="61">
        <v>361</v>
      </c>
      <c r="B214" s="50" t="s">
        <v>757</v>
      </c>
      <c r="C214" s="50" t="s">
        <v>640</v>
      </c>
      <c r="D214" s="50" t="s">
        <v>2772</v>
      </c>
      <c r="E214" s="50" t="s">
        <v>2772</v>
      </c>
      <c r="F214" s="50" t="s">
        <v>1585</v>
      </c>
      <c r="G214" s="50" t="s">
        <v>1390</v>
      </c>
      <c r="H214" t="s">
        <v>3109</v>
      </c>
    </row>
    <row r="215" spans="1:8">
      <c r="A215" s="61">
        <v>362</v>
      </c>
      <c r="B215" s="50" t="s">
        <v>758</v>
      </c>
      <c r="C215" s="50" t="s">
        <v>759</v>
      </c>
      <c r="D215" s="50" t="s">
        <v>1483</v>
      </c>
      <c r="E215" s="50" t="s">
        <v>1483</v>
      </c>
      <c r="F215" s="50" t="s">
        <v>1585</v>
      </c>
      <c r="G215" s="50" t="s">
        <v>2406</v>
      </c>
      <c r="H215" t="s">
        <v>3621</v>
      </c>
    </row>
    <row r="216" spans="1:8">
      <c r="A216" s="61">
        <v>363</v>
      </c>
      <c r="B216" s="50" t="s">
        <v>760</v>
      </c>
      <c r="C216" s="50" t="s">
        <v>1175</v>
      </c>
      <c r="D216" s="50" t="s">
        <v>2735</v>
      </c>
      <c r="E216" s="50" t="s">
        <v>2735</v>
      </c>
      <c r="F216" s="50" t="s">
        <v>223</v>
      </c>
      <c r="G216" s="50" t="s">
        <v>2488</v>
      </c>
      <c r="H216" t="s">
        <v>3340</v>
      </c>
    </row>
    <row r="217" spans="1:8">
      <c r="A217" s="61">
        <v>367</v>
      </c>
      <c r="B217" s="50" t="s">
        <v>761</v>
      </c>
      <c r="C217" s="50" t="s">
        <v>762</v>
      </c>
      <c r="D217" s="50" t="s">
        <v>1318</v>
      </c>
      <c r="E217" s="50" t="s">
        <v>1318</v>
      </c>
      <c r="F217" s="50" t="s">
        <v>2610</v>
      </c>
      <c r="G217" s="50" t="s">
        <v>1905</v>
      </c>
      <c r="H217" t="s">
        <v>1914</v>
      </c>
    </row>
    <row r="218" spans="1:8">
      <c r="A218" s="61">
        <v>368</v>
      </c>
      <c r="B218" s="50" t="s">
        <v>763</v>
      </c>
      <c r="C218" s="50" t="s">
        <v>777</v>
      </c>
      <c r="D218" s="50" t="s">
        <v>3061</v>
      </c>
      <c r="E218" s="50" t="s">
        <v>3061</v>
      </c>
      <c r="F218" s="50" t="s">
        <v>1224</v>
      </c>
      <c r="G218" s="50" t="s">
        <v>1894</v>
      </c>
      <c r="H218" t="s">
        <v>2913</v>
      </c>
    </row>
    <row r="219" spans="1:8">
      <c r="A219" s="61">
        <v>370</v>
      </c>
      <c r="B219" s="50" t="s">
        <v>764</v>
      </c>
      <c r="C219" s="50" t="s">
        <v>72</v>
      </c>
      <c r="D219" s="50" t="s">
        <v>217</v>
      </c>
      <c r="E219" s="50" t="s">
        <v>217</v>
      </c>
      <c r="F219" s="50" t="s">
        <v>2126</v>
      </c>
      <c r="G219" s="50" t="s">
        <v>1929</v>
      </c>
      <c r="H219" t="s">
        <v>1915</v>
      </c>
    </row>
    <row r="220" spans="1:8">
      <c r="A220" s="61">
        <v>372</v>
      </c>
      <c r="B220" s="50" t="s">
        <v>615</v>
      </c>
      <c r="C220" s="50" t="s">
        <v>194</v>
      </c>
      <c r="D220" s="50" t="s">
        <v>740</v>
      </c>
      <c r="E220" s="50" t="s">
        <v>740</v>
      </c>
      <c r="F220" s="50" t="s">
        <v>731</v>
      </c>
      <c r="G220" s="50" t="s">
        <v>1897</v>
      </c>
      <c r="H220" t="s">
        <v>2934</v>
      </c>
    </row>
    <row r="221" spans="1:8">
      <c r="A221" s="61">
        <v>373</v>
      </c>
      <c r="B221" s="50" t="s">
        <v>616</v>
      </c>
      <c r="C221" s="50" t="s">
        <v>617</v>
      </c>
      <c r="D221" s="50" t="s">
        <v>1316</v>
      </c>
      <c r="E221" s="50" t="s">
        <v>1316</v>
      </c>
      <c r="F221" s="50" t="s">
        <v>1225</v>
      </c>
      <c r="G221" s="50" t="s">
        <v>1916</v>
      </c>
      <c r="H221" t="s">
        <v>3622</v>
      </c>
    </row>
    <row r="222" spans="1:8">
      <c r="A222" s="61">
        <v>375</v>
      </c>
      <c r="B222" s="50" t="s">
        <v>618</v>
      </c>
      <c r="C222" s="50" t="s">
        <v>190</v>
      </c>
      <c r="D222" s="50" t="s">
        <v>1350</v>
      </c>
      <c r="E222" s="50" t="s">
        <v>1350</v>
      </c>
      <c r="F222" s="50" t="s">
        <v>1320</v>
      </c>
      <c r="G222" s="32" t="s">
        <v>1885</v>
      </c>
      <c r="H222" t="s">
        <v>1378</v>
      </c>
    </row>
    <row r="223" spans="1:8">
      <c r="A223" s="61">
        <v>376</v>
      </c>
      <c r="B223" s="50" t="s">
        <v>130</v>
      </c>
      <c r="C223" s="50" t="s">
        <v>79</v>
      </c>
      <c r="D223" s="50" t="s">
        <v>235</v>
      </c>
      <c r="E223" s="50" t="s">
        <v>235</v>
      </c>
      <c r="F223" s="50" t="s">
        <v>1586</v>
      </c>
      <c r="G223" s="50" t="s">
        <v>1546</v>
      </c>
      <c r="H223" t="s">
        <v>3623</v>
      </c>
    </row>
    <row r="224" spans="1:8">
      <c r="A224" s="61">
        <v>378</v>
      </c>
      <c r="B224" s="50" t="s">
        <v>131</v>
      </c>
      <c r="C224" s="50" t="s">
        <v>778</v>
      </c>
      <c r="D224" s="50" t="s">
        <v>845</v>
      </c>
      <c r="E224" s="50" t="s">
        <v>845</v>
      </c>
      <c r="F224" s="50" t="s">
        <v>223</v>
      </c>
      <c r="G224" s="50" t="s">
        <v>3114</v>
      </c>
      <c r="H224" t="s">
        <v>3624</v>
      </c>
    </row>
    <row r="225" spans="1:8">
      <c r="A225" s="61">
        <v>379</v>
      </c>
      <c r="B225" s="50" t="s">
        <v>460</v>
      </c>
      <c r="C225" s="50" t="s">
        <v>866</v>
      </c>
      <c r="D225" s="50" t="s">
        <v>514</v>
      </c>
      <c r="E225" s="50" t="s">
        <v>514</v>
      </c>
      <c r="F225" s="50" t="s">
        <v>223</v>
      </c>
      <c r="G225" s="50" t="s">
        <v>2472</v>
      </c>
      <c r="H225" t="s">
        <v>3625</v>
      </c>
    </row>
    <row r="226" spans="1:8">
      <c r="A226" s="61">
        <v>380</v>
      </c>
      <c r="B226" s="50" t="s">
        <v>132</v>
      </c>
      <c r="C226" s="50" t="s">
        <v>133</v>
      </c>
      <c r="D226" s="50" t="s">
        <v>890</v>
      </c>
      <c r="E226" s="50" t="s">
        <v>890</v>
      </c>
      <c r="F226" s="50" t="s">
        <v>390</v>
      </c>
      <c r="G226" s="50" t="s">
        <v>546</v>
      </c>
      <c r="H226" t="s">
        <v>3626</v>
      </c>
    </row>
    <row r="227" spans="1:8">
      <c r="A227" s="61">
        <v>383</v>
      </c>
      <c r="B227" s="50" t="s">
        <v>134</v>
      </c>
      <c r="C227" s="50" t="s">
        <v>1311</v>
      </c>
      <c r="D227" s="50" t="s">
        <v>512</v>
      </c>
      <c r="E227" s="50" t="s">
        <v>512</v>
      </c>
      <c r="F227" s="50" t="s">
        <v>1320</v>
      </c>
      <c r="G227" s="50" t="s">
        <v>2793</v>
      </c>
      <c r="H227" t="s">
        <v>1574</v>
      </c>
    </row>
    <row r="228" spans="1:8">
      <c r="A228" s="61">
        <v>386</v>
      </c>
      <c r="B228" s="50" t="s">
        <v>135</v>
      </c>
      <c r="C228" s="50" t="s">
        <v>263</v>
      </c>
      <c r="D228" s="50" t="s">
        <v>1316</v>
      </c>
      <c r="E228" s="50" t="s">
        <v>1316</v>
      </c>
      <c r="F228" s="50" t="s">
        <v>1225</v>
      </c>
      <c r="G228" s="50" t="s">
        <v>1916</v>
      </c>
      <c r="H228" t="s">
        <v>3627</v>
      </c>
    </row>
    <row r="229" spans="1:8">
      <c r="A229" s="61">
        <v>387</v>
      </c>
      <c r="B229" s="50" t="s">
        <v>136</v>
      </c>
      <c r="C229" s="50" t="s">
        <v>72</v>
      </c>
      <c r="D229" s="50" t="s">
        <v>1226</v>
      </c>
      <c r="E229" s="50" t="s">
        <v>1226</v>
      </c>
      <c r="F229" s="50" t="s">
        <v>1585</v>
      </c>
      <c r="G229" s="50" t="s">
        <v>1378</v>
      </c>
      <c r="H229" t="s">
        <v>3628</v>
      </c>
    </row>
    <row r="230" spans="1:8">
      <c r="A230" s="61">
        <v>388</v>
      </c>
      <c r="B230" s="50" t="s">
        <v>137</v>
      </c>
      <c r="C230" s="50" t="s">
        <v>640</v>
      </c>
      <c r="D230" s="50" t="s">
        <v>177</v>
      </c>
      <c r="E230" s="50" t="s">
        <v>177</v>
      </c>
      <c r="F230" s="50" t="s">
        <v>1585</v>
      </c>
      <c r="G230" s="50" t="s">
        <v>1543</v>
      </c>
      <c r="H230" t="s">
        <v>3629</v>
      </c>
    </row>
    <row r="231" spans="1:8">
      <c r="A231" s="61">
        <v>389</v>
      </c>
      <c r="B231" s="50" t="s">
        <v>744</v>
      </c>
      <c r="C231" s="50" t="s">
        <v>640</v>
      </c>
      <c r="D231" s="50" t="s">
        <v>1316</v>
      </c>
      <c r="E231" s="50" t="s">
        <v>1316</v>
      </c>
      <c r="F231" s="50" t="s">
        <v>2127</v>
      </c>
      <c r="G231" s="50" t="s">
        <v>2093</v>
      </c>
      <c r="H231" t="s">
        <v>1916</v>
      </c>
    </row>
    <row r="232" spans="1:8">
      <c r="A232" s="61">
        <v>390</v>
      </c>
      <c r="B232" s="50" t="s">
        <v>745</v>
      </c>
      <c r="C232" s="50" t="s">
        <v>263</v>
      </c>
      <c r="D232" s="50" t="s">
        <v>1483</v>
      </c>
      <c r="E232" s="50" t="s">
        <v>1483</v>
      </c>
      <c r="F232" s="50" t="s">
        <v>1320</v>
      </c>
      <c r="G232" s="50" t="s">
        <v>2771</v>
      </c>
      <c r="H232" t="s">
        <v>2406</v>
      </c>
    </row>
    <row r="233" spans="1:8">
      <c r="A233" s="61">
        <v>391</v>
      </c>
      <c r="B233" s="50" t="s">
        <v>2590</v>
      </c>
      <c r="C233" s="50" t="s">
        <v>619</v>
      </c>
      <c r="D233" s="50" t="s">
        <v>592</v>
      </c>
      <c r="E233" s="50" t="s">
        <v>592</v>
      </c>
      <c r="F233" s="50" t="s">
        <v>1585</v>
      </c>
      <c r="G233" s="50"/>
      <c r="H233" t="s">
        <v>3630</v>
      </c>
    </row>
    <row r="234" spans="1:8">
      <c r="A234" s="61">
        <v>393</v>
      </c>
      <c r="B234" s="50" t="s">
        <v>620</v>
      </c>
      <c r="C234" s="50" t="s">
        <v>638</v>
      </c>
      <c r="D234" s="50" t="s">
        <v>2449</v>
      </c>
      <c r="E234" s="50" t="s">
        <v>2449</v>
      </c>
      <c r="F234" s="50" t="s">
        <v>223</v>
      </c>
      <c r="G234" s="50" t="s">
        <v>340</v>
      </c>
      <c r="H234" t="s">
        <v>2817</v>
      </c>
    </row>
    <row r="235" spans="1:8">
      <c r="A235" s="61">
        <v>400</v>
      </c>
      <c r="B235" s="50" t="s">
        <v>260</v>
      </c>
      <c r="C235" s="50" t="s">
        <v>1474</v>
      </c>
      <c r="D235" s="50" t="s">
        <v>569</v>
      </c>
      <c r="E235" s="50" t="s">
        <v>569</v>
      </c>
      <c r="F235" s="50" t="s">
        <v>1322</v>
      </c>
      <c r="G235" s="50" t="s">
        <v>1896</v>
      </c>
      <c r="H235" t="s">
        <v>1564</v>
      </c>
    </row>
    <row r="236" spans="1:8">
      <c r="A236" s="61">
        <v>402</v>
      </c>
      <c r="B236" s="50" t="s">
        <v>621</v>
      </c>
      <c r="C236" s="50" t="s">
        <v>622</v>
      </c>
      <c r="D236" s="50" t="s">
        <v>2397</v>
      </c>
      <c r="E236" s="50" t="s">
        <v>2397</v>
      </c>
      <c r="F236" s="50" t="s">
        <v>633</v>
      </c>
      <c r="G236" s="50" t="s">
        <v>2192</v>
      </c>
      <c r="H236" t="s">
        <v>1917</v>
      </c>
    </row>
    <row r="237" spans="1:8">
      <c r="A237" s="61">
        <v>405</v>
      </c>
      <c r="B237" s="50" t="s">
        <v>623</v>
      </c>
      <c r="C237" s="50" t="s">
        <v>1175</v>
      </c>
      <c r="D237" s="50" t="s">
        <v>267</v>
      </c>
      <c r="E237" s="50" t="s">
        <v>267</v>
      </c>
      <c r="F237" s="50" t="s">
        <v>1586</v>
      </c>
      <c r="G237" s="50" t="s">
        <v>2780</v>
      </c>
      <c r="H237" t="s">
        <v>3631</v>
      </c>
    </row>
    <row r="238" spans="1:8">
      <c r="A238" s="61">
        <v>406</v>
      </c>
      <c r="B238" s="50" t="s">
        <v>624</v>
      </c>
      <c r="C238" s="50" t="s">
        <v>263</v>
      </c>
      <c r="D238" s="50" t="s">
        <v>1338</v>
      </c>
      <c r="E238" s="50" t="s">
        <v>1338</v>
      </c>
      <c r="F238" s="50" t="s">
        <v>2126</v>
      </c>
      <c r="G238" s="50" t="s">
        <v>1918</v>
      </c>
      <c r="H238" t="s">
        <v>2103</v>
      </c>
    </row>
    <row r="239" spans="1:8">
      <c r="A239" s="61">
        <v>407</v>
      </c>
      <c r="B239" s="50" t="s">
        <v>625</v>
      </c>
      <c r="C239" s="50" t="s">
        <v>638</v>
      </c>
      <c r="D239" s="50" t="s">
        <v>2776</v>
      </c>
      <c r="E239" s="50" t="s">
        <v>2776</v>
      </c>
      <c r="F239" s="50" t="s">
        <v>1322</v>
      </c>
      <c r="G239" s="50" t="s">
        <v>2097</v>
      </c>
      <c r="H239" t="s">
        <v>1918</v>
      </c>
    </row>
    <row r="240" spans="1:8">
      <c r="A240" s="61">
        <v>408</v>
      </c>
      <c r="B240" s="50" t="s">
        <v>1091</v>
      </c>
      <c r="C240" s="50" t="s">
        <v>446</v>
      </c>
      <c r="D240" s="50" t="s">
        <v>2436</v>
      </c>
      <c r="E240" s="50" t="s">
        <v>2436</v>
      </c>
      <c r="F240" s="50" t="s">
        <v>1339</v>
      </c>
      <c r="G240" s="50" t="s">
        <v>1924</v>
      </c>
      <c r="H240" t="s">
        <v>3632</v>
      </c>
    </row>
    <row r="241" spans="1:8">
      <c r="A241" s="61">
        <v>411</v>
      </c>
      <c r="B241" s="50" t="s">
        <v>1092</v>
      </c>
      <c r="C241" s="50" t="s">
        <v>642</v>
      </c>
      <c r="D241" s="50" t="s">
        <v>1615</v>
      </c>
      <c r="E241" s="50" t="s">
        <v>1615</v>
      </c>
      <c r="F241" s="50" t="s">
        <v>1322</v>
      </c>
      <c r="G241" s="50" t="s">
        <v>1948</v>
      </c>
      <c r="H241" t="s">
        <v>2785</v>
      </c>
    </row>
    <row r="242" spans="1:8">
      <c r="A242" s="61">
        <v>412</v>
      </c>
      <c r="B242" s="50" t="s">
        <v>1093</v>
      </c>
      <c r="C242" s="50" t="s">
        <v>642</v>
      </c>
      <c r="D242" s="50" t="s">
        <v>711</v>
      </c>
      <c r="E242" s="50" t="s">
        <v>711</v>
      </c>
      <c r="F242" s="50" t="s">
        <v>2127</v>
      </c>
      <c r="G242" s="50" t="s">
        <v>1955</v>
      </c>
      <c r="H242" t="s">
        <v>543</v>
      </c>
    </row>
    <row r="243" spans="1:8">
      <c r="A243" s="61">
        <v>413</v>
      </c>
      <c r="B243" s="50" t="s">
        <v>472</v>
      </c>
      <c r="C243" s="50" t="s">
        <v>199</v>
      </c>
      <c r="D243" s="50" t="s">
        <v>2069</v>
      </c>
      <c r="E243" s="50" t="s">
        <v>2069</v>
      </c>
      <c r="F243" s="50" t="s">
        <v>2037</v>
      </c>
      <c r="G243" s="50" t="s">
        <v>528</v>
      </c>
      <c r="H243" t="s">
        <v>3633</v>
      </c>
    </row>
    <row r="244" spans="1:8">
      <c r="A244" s="61">
        <v>414</v>
      </c>
      <c r="B244" s="50" t="s">
        <v>1094</v>
      </c>
      <c r="C244" s="50" t="s">
        <v>75</v>
      </c>
      <c r="D244" s="50" t="s">
        <v>600</v>
      </c>
      <c r="E244" s="50" t="s">
        <v>600</v>
      </c>
      <c r="F244" s="50" t="s">
        <v>2127</v>
      </c>
      <c r="G244" s="50" t="s">
        <v>2141</v>
      </c>
      <c r="H244" t="s">
        <v>1919</v>
      </c>
    </row>
    <row r="245" spans="1:8">
      <c r="A245" s="61">
        <v>416</v>
      </c>
      <c r="B245" s="50" t="s">
        <v>1095</v>
      </c>
      <c r="C245" s="50" t="s">
        <v>188</v>
      </c>
      <c r="D245" s="50" t="s">
        <v>395</v>
      </c>
      <c r="E245" s="50" t="s">
        <v>395</v>
      </c>
      <c r="F245" s="50" t="s">
        <v>1321</v>
      </c>
      <c r="G245" s="50" t="s">
        <v>1920</v>
      </c>
      <c r="H245" t="s">
        <v>540</v>
      </c>
    </row>
    <row r="246" spans="1:8">
      <c r="A246" s="61">
        <v>417</v>
      </c>
      <c r="B246" s="50" t="s">
        <v>1096</v>
      </c>
      <c r="C246" s="50" t="s">
        <v>263</v>
      </c>
      <c r="D246" s="50" t="s">
        <v>1455</v>
      </c>
      <c r="E246" s="50" t="s">
        <v>1455</v>
      </c>
      <c r="F246" s="50" t="s">
        <v>960</v>
      </c>
      <c r="G246" s="50" t="s">
        <v>1917</v>
      </c>
      <c r="H246" t="s">
        <v>2064</v>
      </c>
    </row>
    <row r="247" spans="1:8">
      <c r="A247" s="61">
        <v>421</v>
      </c>
      <c r="B247" s="50" t="s">
        <v>361</v>
      </c>
      <c r="C247" s="50" t="s">
        <v>362</v>
      </c>
      <c r="D247" s="50" t="s">
        <v>142</v>
      </c>
      <c r="E247" s="50" t="s">
        <v>142</v>
      </c>
      <c r="F247" s="50" t="s">
        <v>390</v>
      </c>
      <c r="G247" s="50" t="s">
        <v>2057</v>
      </c>
      <c r="H247" t="s">
        <v>3634</v>
      </c>
    </row>
    <row r="248" spans="1:8">
      <c r="A248" s="61">
        <v>422</v>
      </c>
      <c r="B248" s="50" t="s">
        <v>363</v>
      </c>
      <c r="C248" s="50" t="s">
        <v>642</v>
      </c>
      <c r="D248" s="50" t="s">
        <v>2329</v>
      </c>
      <c r="E248" s="50" t="s">
        <v>2329</v>
      </c>
      <c r="F248" s="50" t="s">
        <v>451</v>
      </c>
      <c r="G248" s="50" t="s">
        <v>2775</v>
      </c>
      <c r="H248" t="s">
        <v>3635</v>
      </c>
    </row>
    <row r="249" spans="1:8">
      <c r="A249" s="61">
        <v>423</v>
      </c>
      <c r="B249" s="50" t="s">
        <v>364</v>
      </c>
      <c r="C249" s="50" t="s">
        <v>635</v>
      </c>
      <c r="D249" s="50" t="s">
        <v>843</v>
      </c>
      <c r="E249" s="50" t="s">
        <v>843</v>
      </c>
      <c r="F249" s="50" t="s">
        <v>1322</v>
      </c>
      <c r="G249" s="50" t="s">
        <v>1882</v>
      </c>
      <c r="H249" t="s">
        <v>1920</v>
      </c>
    </row>
    <row r="250" spans="1:8">
      <c r="A250" s="61">
        <v>424</v>
      </c>
      <c r="B250" s="50" t="s">
        <v>365</v>
      </c>
      <c r="C250" s="50" t="s">
        <v>326</v>
      </c>
      <c r="D250" s="50" t="s">
        <v>2765</v>
      </c>
      <c r="E250" s="50" t="s">
        <v>2765</v>
      </c>
      <c r="F250" s="50" t="s">
        <v>1585</v>
      </c>
      <c r="G250" s="50" t="s">
        <v>1380</v>
      </c>
      <c r="H250" t="s">
        <v>3110</v>
      </c>
    </row>
    <row r="251" spans="1:8">
      <c r="A251" s="61">
        <v>425</v>
      </c>
      <c r="B251" s="50" t="s">
        <v>366</v>
      </c>
      <c r="C251" s="50" t="s">
        <v>964</v>
      </c>
      <c r="D251" s="50" t="s">
        <v>935</v>
      </c>
      <c r="E251" s="50" t="s">
        <v>935</v>
      </c>
      <c r="F251" s="50" t="s">
        <v>1321</v>
      </c>
      <c r="G251" s="50" t="s">
        <v>2071</v>
      </c>
      <c r="H251" t="s">
        <v>3636</v>
      </c>
    </row>
    <row r="252" spans="1:8">
      <c r="A252" s="61">
        <v>426</v>
      </c>
      <c r="B252" s="50" t="s">
        <v>367</v>
      </c>
      <c r="C252" s="50" t="s">
        <v>75</v>
      </c>
      <c r="D252" s="50" t="s">
        <v>2944</v>
      </c>
      <c r="E252" s="50" t="s">
        <v>2944</v>
      </c>
      <c r="F252" s="50" t="s">
        <v>1585</v>
      </c>
      <c r="G252" s="50" t="s">
        <v>1555</v>
      </c>
      <c r="H252" t="s">
        <v>2961</v>
      </c>
    </row>
    <row r="253" spans="1:8">
      <c r="A253" s="61">
        <v>428</v>
      </c>
      <c r="B253" s="50" t="s">
        <v>368</v>
      </c>
      <c r="C253" s="50" t="s">
        <v>1197</v>
      </c>
      <c r="D253" s="50" t="s">
        <v>2765</v>
      </c>
      <c r="E253" s="50" t="s">
        <v>2765</v>
      </c>
      <c r="F253" s="50" t="s">
        <v>1339</v>
      </c>
      <c r="G253" s="50" t="s">
        <v>1380</v>
      </c>
      <c r="H253" t="s">
        <v>3111</v>
      </c>
    </row>
    <row r="254" spans="1:8">
      <c r="A254" s="61">
        <v>434</v>
      </c>
      <c r="B254" s="50" t="s">
        <v>369</v>
      </c>
      <c r="C254" s="50" t="s">
        <v>75</v>
      </c>
      <c r="D254" s="50" t="s">
        <v>850</v>
      </c>
      <c r="E254" s="50" t="s">
        <v>850</v>
      </c>
      <c r="F254" s="50" t="s">
        <v>1322</v>
      </c>
      <c r="G254" s="50" t="s">
        <v>1584</v>
      </c>
      <c r="H254" t="s">
        <v>1921</v>
      </c>
    </row>
    <row r="255" spans="1:8">
      <c r="A255" s="61">
        <v>441</v>
      </c>
      <c r="B255" s="50" t="s">
        <v>371</v>
      </c>
      <c r="C255" s="50" t="s">
        <v>79</v>
      </c>
      <c r="D255" s="50" t="s">
        <v>186</v>
      </c>
      <c r="E255" s="50" t="s">
        <v>186</v>
      </c>
      <c r="F255" s="50" t="s">
        <v>1225</v>
      </c>
      <c r="G255" s="50" t="s">
        <v>548</v>
      </c>
      <c r="H255" t="s">
        <v>3637</v>
      </c>
    </row>
    <row r="256" spans="1:8">
      <c r="A256" s="61">
        <v>444</v>
      </c>
      <c r="B256" s="50" t="s">
        <v>372</v>
      </c>
      <c r="C256" s="50" t="s">
        <v>1311</v>
      </c>
      <c r="D256" s="50" t="s">
        <v>503</v>
      </c>
      <c r="E256" s="50" t="s">
        <v>503</v>
      </c>
      <c r="F256" s="50" t="s">
        <v>223</v>
      </c>
      <c r="G256" s="50" t="s">
        <v>1565</v>
      </c>
      <c r="H256" t="s">
        <v>3638</v>
      </c>
    </row>
    <row r="257" spans="1:8">
      <c r="A257" s="61">
        <v>446</v>
      </c>
      <c r="B257" s="50" t="s">
        <v>373</v>
      </c>
      <c r="C257" s="50" t="s">
        <v>1197</v>
      </c>
      <c r="D257" s="50" t="s">
        <v>5</v>
      </c>
      <c r="E257" s="50" t="s">
        <v>5</v>
      </c>
      <c r="F257" s="50" t="s">
        <v>1322</v>
      </c>
      <c r="G257" s="50" t="s">
        <v>1917</v>
      </c>
      <c r="H257" t="s">
        <v>2778</v>
      </c>
    </row>
    <row r="258" spans="1:8">
      <c r="A258" s="61">
        <v>448</v>
      </c>
      <c r="B258" s="50" t="s">
        <v>735</v>
      </c>
      <c r="C258" s="50" t="s">
        <v>1238</v>
      </c>
      <c r="D258" s="50" t="s">
        <v>434</v>
      </c>
      <c r="E258" s="50" t="s">
        <v>434</v>
      </c>
      <c r="F258" s="50" t="s">
        <v>1225</v>
      </c>
      <c r="G258" s="50" t="s">
        <v>1388</v>
      </c>
      <c r="H258" t="s">
        <v>3639</v>
      </c>
    </row>
    <row r="259" spans="1:8">
      <c r="A259" s="61">
        <v>451</v>
      </c>
      <c r="B259" s="50" t="s">
        <v>736</v>
      </c>
      <c r="C259" s="50" t="s">
        <v>642</v>
      </c>
      <c r="D259" s="50" t="s">
        <v>2703</v>
      </c>
      <c r="E259" s="50" t="s">
        <v>2703</v>
      </c>
      <c r="F259" s="50" t="s">
        <v>392</v>
      </c>
      <c r="G259" s="50" t="s">
        <v>1936</v>
      </c>
      <c r="H259" t="s">
        <v>3640</v>
      </c>
    </row>
    <row r="260" spans="1:8">
      <c r="A260" s="61">
        <v>452</v>
      </c>
      <c r="B260" s="50" t="s">
        <v>1100</v>
      </c>
      <c r="C260" s="50" t="s">
        <v>336</v>
      </c>
      <c r="D260" s="50" t="s">
        <v>271</v>
      </c>
      <c r="E260" s="50" t="s">
        <v>271</v>
      </c>
      <c r="F260" s="50" t="s">
        <v>1586</v>
      </c>
      <c r="G260" s="50" t="s">
        <v>2136</v>
      </c>
      <c r="H260" t="s">
        <v>3641</v>
      </c>
    </row>
    <row r="261" spans="1:8">
      <c r="A261" s="61">
        <v>453</v>
      </c>
      <c r="B261" s="50" t="s">
        <v>737</v>
      </c>
      <c r="C261" s="50" t="s">
        <v>617</v>
      </c>
      <c r="D261" s="50" t="s">
        <v>1318</v>
      </c>
      <c r="E261" s="50" t="s">
        <v>1318</v>
      </c>
      <c r="F261" s="50" t="s">
        <v>1225</v>
      </c>
      <c r="G261" s="50" t="s">
        <v>1905</v>
      </c>
      <c r="H261" t="s">
        <v>3642</v>
      </c>
    </row>
    <row r="262" spans="1:8">
      <c r="A262" s="61">
        <v>455</v>
      </c>
      <c r="B262" s="50" t="s">
        <v>327</v>
      </c>
      <c r="C262" s="50" t="s">
        <v>780</v>
      </c>
      <c r="D262" s="50" t="s">
        <v>185</v>
      </c>
      <c r="E262" s="50" t="s">
        <v>185</v>
      </c>
      <c r="F262" s="50" t="s">
        <v>1225</v>
      </c>
      <c r="G262" s="50" t="s">
        <v>548</v>
      </c>
      <c r="H262" t="s">
        <v>3643</v>
      </c>
    </row>
    <row r="263" spans="1:8">
      <c r="A263" s="61">
        <v>456</v>
      </c>
      <c r="B263" s="50" t="s">
        <v>1103</v>
      </c>
      <c r="C263" s="50" t="s">
        <v>738</v>
      </c>
      <c r="D263" s="50" t="s">
        <v>1481</v>
      </c>
      <c r="E263" s="50" t="s">
        <v>1481</v>
      </c>
      <c r="F263" s="50" t="s">
        <v>2126</v>
      </c>
      <c r="G263" s="50" t="s">
        <v>2141</v>
      </c>
      <c r="H263" t="s">
        <v>2318</v>
      </c>
    </row>
    <row r="264" spans="1:8">
      <c r="A264" s="61">
        <v>457</v>
      </c>
      <c r="B264" s="50" t="s">
        <v>152</v>
      </c>
      <c r="C264" s="50" t="s">
        <v>640</v>
      </c>
      <c r="D264" s="50" t="s">
        <v>601</v>
      </c>
      <c r="E264" s="50" t="s">
        <v>601</v>
      </c>
      <c r="F264" s="50" t="s">
        <v>1585</v>
      </c>
      <c r="G264" s="50" t="s">
        <v>2064</v>
      </c>
      <c r="H264" t="s">
        <v>3074</v>
      </c>
    </row>
    <row r="265" spans="1:8">
      <c r="A265" s="61">
        <v>461</v>
      </c>
      <c r="B265" s="50" t="s">
        <v>153</v>
      </c>
      <c r="C265" s="50" t="s">
        <v>1197</v>
      </c>
      <c r="D265" s="50" t="s">
        <v>2094</v>
      </c>
      <c r="E265" s="50" t="s">
        <v>2094</v>
      </c>
      <c r="F265" s="50" t="s">
        <v>2126</v>
      </c>
      <c r="G265" s="50" t="s">
        <v>2095</v>
      </c>
      <c r="H265" t="s">
        <v>2777</v>
      </c>
    </row>
    <row r="266" spans="1:8">
      <c r="A266" s="61">
        <v>464</v>
      </c>
      <c r="B266" s="50" t="s">
        <v>154</v>
      </c>
      <c r="C266" s="50" t="s">
        <v>263</v>
      </c>
      <c r="D266" s="50" t="s">
        <v>2580</v>
      </c>
      <c r="E266" s="50" t="s">
        <v>2580</v>
      </c>
      <c r="F266" s="50" t="s">
        <v>2288</v>
      </c>
      <c r="G266" s="50" t="s">
        <v>2581</v>
      </c>
      <c r="H266" t="s">
        <v>3644</v>
      </c>
    </row>
    <row r="267" spans="1:8">
      <c r="A267" s="61">
        <v>466</v>
      </c>
      <c r="B267" s="50" t="s">
        <v>155</v>
      </c>
      <c r="C267" s="50" t="s">
        <v>1197</v>
      </c>
      <c r="D267" s="50" t="s">
        <v>691</v>
      </c>
      <c r="E267" s="50" t="s">
        <v>691</v>
      </c>
      <c r="F267" s="50" t="s">
        <v>1586</v>
      </c>
      <c r="G267" s="50" t="s">
        <v>547</v>
      </c>
      <c r="H267" t="s">
        <v>3645</v>
      </c>
    </row>
    <row r="268" spans="1:8">
      <c r="A268" s="61">
        <v>469</v>
      </c>
      <c r="B268" s="50" t="s">
        <v>156</v>
      </c>
      <c r="C268" s="50" t="s">
        <v>263</v>
      </c>
      <c r="D268" s="50" t="s">
        <v>434</v>
      </c>
      <c r="E268" s="50" t="s">
        <v>434</v>
      </c>
      <c r="F268" s="50" t="s">
        <v>2126</v>
      </c>
      <c r="G268" s="50" t="s">
        <v>2093</v>
      </c>
      <c r="H268" t="s">
        <v>1388</v>
      </c>
    </row>
    <row r="269" spans="1:8">
      <c r="A269" s="61">
        <v>476</v>
      </c>
      <c r="B269" s="50" t="s">
        <v>157</v>
      </c>
      <c r="C269" s="50" t="s">
        <v>197</v>
      </c>
      <c r="D269" s="50" t="s">
        <v>219</v>
      </c>
      <c r="E269" s="50" t="s">
        <v>219</v>
      </c>
      <c r="F269" s="50" t="s">
        <v>1322</v>
      </c>
      <c r="G269" s="50" t="s">
        <v>1925</v>
      </c>
      <c r="H269" t="s">
        <v>1922</v>
      </c>
    </row>
    <row r="270" spans="1:8">
      <c r="A270" s="61">
        <v>477</v>
      </c>
      <c r="B270" s="50" t="s">
        <v>158</v>
      </c>
      <c r="C270" s="50" t="s">
        <v>866</v>
      </c>
      <c r="D270" s="50" t="s">
        <v>1</v>
      </c>
      <c r="E270" s="50" t="s">
        <v>1</v>
      </c>
      <c r="F270" s="50" t="s">
        <v>392</v>
      </c>
      <c r="G270" s="50" t="s">
        <v>2141</v>
      </c>
      <c r="H270" t="s">
        <v>3646</v>
      </c>
    </row>
    <row r="271" spans="1:8">
      <c r="A271" s="61">
        <v>478</v>
      </c>
      <c r="B271" s="50" t="s">
        <v>938</v>
      </c>
      <c r="C271" s="50" t="s">
        <v>159</v>
      </c>
      <c r="D271" s="50" t="s">
        <v>880</v>
      </c>
      <c r="E271" s="50" t="s">
        <v>880</v>
      </c>
      <c r="F271" s="50" t="s">
        <v>2288</v>
      </c>
      <c r="G271" s="50" t="s">
        <v>1922</v>
      </c>
      <c r="H271" t="s">
        <v>3647</v>
      </c>
    </row>
    <row r="272" spans="1:8">
      <c r="A272" s="61">
        <v>481</v>
      </c>
      <c r="B272" s="50" t="s">
        <v>160</v>
      </c>
      <c r="C272" s="50" t="s">
        <v>640</v>
      </c>
      <c r="D272" s="50" t="s">
        <v>632</v>
      </c>
      <c r="E272" s="50" t="s">
        <v>632</v>
      </c>
      <c r="F272" s="50" t="s">
        <v>1339</v>
      </c>
      <c r="G272" s="50" t="s">
        <v>1393</v>
      </c>
      <c r="H272" t="s">
        <v>3648</v>
      </c>
    </row>
    <row r="273" spans="1:8">
      <c r="A273" s="61">
        <v>482</v>
      </c>
      <c r="B273" s="50" t="s">
        <v>765</v>
      </c>
      <c r="C273" s="50" t="s">
        <v>75</v>
      </c>
      <c r="D273" s="50" t="s">
        <v>890</v>
      </c>
      <c r="E273" s="50" t="s">
        <v>890</v>
      </c>
      <c r="F273" s="50" t="s">
        <v>390</v>
      </c>
      <c r="G273" s="50" t="s">
        <v>546</v>
      </c>
      <c r="H273" t="s">
        <v>3649</v>
      </c>
    </row>
    <row r="274" spans="1:8">
      <c r="A274" s="61">
        <v>483</v>
      </c>
      <c r="B274" s="50" t="s">
        <v>766</v>
      </c>
      <c r="C274" s="50" t="s">
        <v>242</v>
      </c>
      <c r="D274" s="50" t="s">
        <v>434</v>
      </c>
      <c r="E274" s="50" t="s">
        <v>434</v>
      </c>
      <c r="F274" s="50" t="s">
        <v>1225</v>
      </c>
      <c r="G274" s="50" t="s">
        <v>1388</v>
      </c>
      <c r="H274" t="s">
        <v>3650</v>
      </c>
    </row>
    <row r="275" spans="1:8">
      <c r="A275" s="61">
        <v>484</v>
      </c>
      <c r="B275" s="50" t="s">
        <v>767</v>
      </c>
      <c r="C275" s="50" t="s">
        <v>336</v>
      </c>
      <c r="D275" s="50" t="s">
        <v>271</v>
      </c>
      <c r="E275" s="50" t="s">
        <v>271</v>
      </c>
      <c r="F275" s="50" t="s">
        <v>1225</v>
      </c>
      <c r="G275" s="50" t="s">
        <v>2136</v>
      </c>
      <c r="H275" t="s">
        <v>3651</v>
      </c>
    </row>
    <row r="276" spans="1:8">
      <c r="A276" s="61">
        <v>485</v>
      </c>
      <c r="B276" s="50" t="s">
        <v>768</v>
      </c>
      <c r="C276" s="50" t="s">
        <v>72</v>
      </c>
      <c r="D276" s="50" t="s">
        <v>186</v>
      </c>
      <c r="E276" s="50" t="s">
        <v>186</v>
      </c>
      <c r="F276" s="50" t="s">
        <v>1225</v>
      </c>
      <c r="G276" s="32" t="s">
        <v>548</v>
      </c>
      <c r="H276" t="s">
        <v>3652</v>
      </c>
    </row>
    <row r="277" spans="1:8">
      <c r="A277" s="61">
        <v>487</v>
      </c>
      <c r="B277" s="50" t="s">
        <v>769</v>
      </c>
      <c r="C277" s="50" t="s">
        <v>77</v>
      </c>
      <c r="D277" s="50" t="s">
        <v>2759</v>
      </c>
      <c r="E277" s="50" t="s">
        <v>2759</v>
      </c>
      <c r="F277" s="50" t="s">
        <v>731</v>
      </c>
      <c r="G277" s="50" t="s">
        <v>2777</v>
      </c>
      <c r="H277" t="s">
        <v>2919</v>
      </c>
    </row>
    <row r="278" spans="1:8">
      <c r="A278" s="61">
        <v>488</v>
      </c>
      <c r="B278" s="50" t="s">
        <v>770</v>
      </c>
      <c r="C278" s="50" t="s">
        <v>199</v>
      </c>
      <c r="D278" s="50" t="s">
        <v>2160</v>
      </c>
      <c r="E278" s="50" t="s">
        <v>2160</v>
      </c>
      <c r="F278" s="50" t="s">
        <v>1585</v>
      </c>
      <c r="G278" s="50" t="s">
        <v>1913</v>
      </c>
      <c r="H278" t="s">
        <v>3653</v>
      </c>
    </row>
    <row r="279" spans="1:8">
      <c r="A279" s="61">
        <v>489</v>
      </c>
      <c r="B279" s="50" t="s">
        <v>946</v>
      </c>
      <c r="C279" s="50" t="s">
        <v>194</v>
      </c>
      <c r="D279" s="50" t="s">
        <v>1335</v>
      </c>
      <c r="E279" s="50" t="s">
        <v>1335</v>
      </c>
      <c r="F279" s="50" t="s">
        <v>1585</v>
      </c>
      <c r="G279" s="50" t="s">
        <v>3114</v>
      </c>
      <c r="H279" t="s">
        <v>3036</v>
      </c>
    </row>
    <row r="280" spans="1:8">
      <c r="A280" s="61">
        <v>490</v>
      </c>
      <c r="B280" s="50" t="s">
        <v>947</v>
      </c>
      <c r="C280" s="50" t="s">
        <v>617</v>
      </c>
      <c r="D280" s="50" t="s">
        <v>1368</v>
      </c>
      <c r="E280" s="50" t="s">
        <v>1368</v>
      </c>
      <c r="F280" s="50" t="s">
        <v>1322</v>
      </c>
      <c r="G280" s="50" t="s">
        <v>1927</v>
      </c>
      <c r="H280" t="s">
        <v>1923</v>
      </c>
    </row>
    <row r="281" spans="1:8">
      <c r="A281" s="61">
        <v>491</v>
      </c>
      <c r="B281" s="50" t="s">
        <v>948</v>
      </c>
      <c r="C281" s="50" t="s">
        <v>79</v>
      </c>
      <c r="D281" s="50" t="s">
        <v>2091</v>
      </c>
      <c r="E281" s="50" t="s">
        <v>2091</v>
      </c>
      <c r="F281" s="50" t="s">
        <v>1320</v>
      </c>
      <c r="G281" s="50" t="s">
        <v>2129</v>
      </c>
      <c r="H281" t="s">
        <v>1924</v>
      </c>
    </row>
    <row r="282" spans="1:8">
      <c r="A282" s="61">
        <v>492</v>
      </c>
      <c r="B282" s="50" t="s">
        <v>949</v>
      </c>
      <c r="C282" s="50" t="s">
        <v>79</v>
      </c>
      <c r="D282" s="50" t="s">
        <v>691</v>
      </c>
      <c r="E282" s="50" t="s">
        <v>691</v>
      </c>
      <c r="F282" s="50" t="s">
        <v>2126</v>
      </c>
      <c r="G282" s="50" t="s">
        <v>1955</v>
      </c>
      <c r="H282" t="s">
        <v>547</v>
      </c>
    </row>
    <row r="283" spans="1:8">
      <c r="A283" s="61">
        <v>493</v>
      </c>
      <c r="B283" s="50" t="s">
        <v>136</v>
      </c>
      <c r="C283" s="50" t="s">
        <v>261</v>
      </c>
      <c r="D283" s="50" t="s">
        <v>233</v>
      </c>
      <c r="E283" s="50" t="s">
        <v>233</v>
      </c>
      <c r="F283" s="50" t="s">
        <v>1321</v>
      </c>
      <c r="G283" s="32" t="s">
        <v>2071</v>
      </c>
      <c r="H283" t="s">
        <v>3654</v>
      </c>
    </row>
    <row r="284" spans="1:8">
      <c r="A284" s="61">
        <v>494</v>
      </c>
      <c r="B284" s="50" t="s">
        <v>950</v>
      </c>
      <c r="C284" s="50" t="s">
        <v>188</v>
      </c>
      <c r="D284" s="50" t="s">
        <v>974</v>
      </c>
      <c r="E284" s="50" t="s">
        <v>974</v>
      </c>
      <c r="F284" s="50" t="s">
        <v>1339</v>
      </c>
      <c r="G284" s="50" t="s">
        <v>1899</v>
      </c>
      <c r="H284" t="s">
        <v>3655</v>
      </c>
    </row>
    <row r="285" spans="1:8">
      <c r="A285" s="61">
        <v>495</v>
      </c>
      <c r="B285" s="50" t="s">
        <v>951</v>
      </c>
      <c r="C285" s="50" t="s">
        <v>1311</v>
      </c>
      <c r="D285" s="50" t="s">
        <v>217</v>
      </c>
      <c r="E285" s="50" t="s">
        <v>217</v>
      </c>
      <c r="F285" s="50" t="s">
        <v>1586</v>
      </c>
      <c r="G285" s="32" t="s">
        <v>1915</v>
      </c>
      <c r="H285" t="s">
        <v>3656</v>
      </c>
    </row>
    <row r="286" spans="1:8">
      <c r="A286" s="61">
        <v>496</v>
      </c>
      <c r="B286" s="50" t="s">
        <v>358</v>
      </c>
      <c r="C286" s="50" t="s">
        <v>640</v>
      </c>
      <c r="D286" s="50" t="s">
        <v>1336</v>
      </c>
      <c r="E286" s="50" t="s">
        <v>1336</v>
      </c>
      <c r="F286" s="50" t="s">
        <v>1585</v>
      </c>
      <c r="G286" s="50" t="s">
        <v>3114</v>
      </c>
      <c r="H286" t="s">
        <v>3657</v>
      </c>
    </row>
    <row r="287" spans="1:8">
      <c r="A287" s="61">
        <v>498</v>
      </c>
      <c r="B287" s="50" t="s">
        <v>952</v>
      </c>
      <c r="C287" s="50" t="s">
        <v>1245</v>
      </c>
      <c r="D287" s="50" t="s">
        <v>1181</v>
      </c>
      <c r="E287" s="50" t="s">
        <v>1181</v>
      </c>
      <c r="F287" s="50" t="s">
        <v>1322</v>
      </c>
      <c r="G287" s="50" t="s">
        <v>2768</v>
      </c>
      <c r="H287" t="s">
        <v>1581</v>
      </c>
    </row>
    <row r="288" spans="1:8">
      <c r="A288" s="61">
        <v>499</v>
      </c>
      <c r="B288" s="50" t="s">
        <v>953</v>
      </c>
      <c r="C288" s="50" t="s">
        <v>336</v>
      </c>
      <c r="D288" s="50" t="s">
        <v>845</v>
      </c>
      <c r="E288" s="50" t="s">
        <v>845</v>
      </c>
      <c r="F288" s="50" t="s">
        <v>1585</v>
      </c>
      <c r="G288" s="50" t="s">
        <v>3114</v>
      </c>
      <c r="H288" t="s">
        <v>3658</v>
      </c>
    </row>
    <row r="289" spans="1:8">
      <c r="A289" s="61">
        <v>500</v>
      </c>
      <c r="B289" s="50" t="s">
        <v>954</v>
      </c>
      <c r="C289" s="50" t="s">
        <v>336</v>
      </c>
      <c r="D289" s="50" t="s">
        <v>457</v>
      </c>
      <c r="E289" s="50" t="s">
        <v>457</v>
      </c>
      <c r="F289" s="50" t="s">
        <v>1585</v>
      </c>
      <c r="G289" s="50" t="s">
        <v>1575</v>
      </c>
      <c r="H289" t="s">
        <v>2897</v>
      </c>
    </row>
    <row r="290" spans="1:8">
      <c r="A290" s="61">
        <v>501</v>
      </c>
      <c r="B290" s="50" t="s">
        <v>1249</v>
      </c>
      <c r="C290" s="50" t="s">
        <v>199</v>
      </c>
      <c r="D290" s="50" t="s">
        <v>1317</v>
      </c>
      <c r="E290" s="50" t="s">
        <v>1317</v>
      </c>
      <c r="F290" s="50" t="s">
        <v>1225</v>
      </c>
      <c r="G290" s="50" t="s">
        <v>2102</v>
      </c>
      <c r="H290" t="s">
        <v>3659</v>
      </c>
    </row>
    <row r="291" spans="1:8">
      <c r="A291" s="61">
        <v>507</v>
      </c>
      <c r="B291" s="50" t="s">
        <v>955</v>
      </c>
      <c r="C291" s="50" t="s">
        <v>1197</v>
      </c>
      <c r="D291" s="50" t="s">
        <v>2325</v>
      </c>
      <c r="E291" s="50" t="s">
        <v>2325</v>
      </c>
      <c r="F291" s="50" t="s">
        <v>223</v>
      </c>
      <c r="G291" s="50" t="s">
        <v>1912</v>
      </c>
      <c r="H291" t="s">
        <v>3660</v>
      </c>
    </row>
    <row r="292" spans="1:8">
      <c r="A292" s="61">
        <v>512</v>
      </c>
      <c r="B292" s="50" t="s">
        <v>956</v>
      </c>
      <c r="C292" s="50" t="s">
        <v>261</v>
      </c>
      <c r="D292" s="50" t="s">
        <v>1080</v>
      </c>
      <c r="E292" s="50" t="s">
        <v>1080</v>
      </c>
      <c r="F292" s="50" t="s">
        <v>223</v>
      </c>
      <c r="G292" s="50" t="s">
        <v>531</v>
      </c>
      <c r="H292" t="s">
        <v>3661</v>
      </c>
    </row>
    <row r="293" spans="1:8">
      <c r="A293" s="61">
        <v>515</v>
      </c>
      <c r="B293" s="50" t="s">
        <v>957</v>
      </c>
      <c r="C293" s="50" t="s">
        <v>79</v>
      </c>
      <c r="D293" s="50" t="s">
        <v>511</v>
      </c>
      <c r="E293" s="50" t="s">
        <v>511</v>
      </c>
      <c r="F293" s="50" t="s">
        <v>2036</v>
      </c>
      <c r="G293" s="50" t="s">
        <v>2793</v>
      </c>
      <c r="H293" t="s">
        <v>2472</v>
      </c>
    </row>
    <row r="294" spans="1:8">
      <c r="A294" s="61">
        <v>516</v>
      </c>
      <c r="B294" s="50" t="s">
        <v>958</v>
      </c>
      <c r="C294" s="50" t="s">
        <v>190</v>
      </c>
      <c r="D294" s="50" t="s">
        <v>2448</v>
      </c>
      <c r="E294" s="50" t="s">
        <v>2448</v>
      </c>
      <c r="F294" s="50" t="s">
        <v>223</v>
      </c>
      <c r="G294" s="50" t="s">
        <v>1907</v>
      </c>
      <c r="H294" t="s">
        <v>3662</v>
      </c>
    </row>
    <row r="295" spans="1:8">
      <c r="A295" s="61">
        <v>518</v>
      </c>
      <c r="B295" s="50" t="s">
        <v>959</v>
      </c>
      <c r="C295" s="50" t="s">
        <v>780</v>
      </c>
      <c r="D295" s="50" t="s">
        <v>2473</v>
      </c>
      <c r="E295" s="50" t="s">
        <v>2473</v>
      </c>
      <c r="F295" s="50" t="s">
        <v>2036</v>
      </c>
      <c r="G295" s="50" t="s">
        <v>1909</v>
      </c>
      <c r="H295" t="s">
        <v>2158</v>
      </c>
    </row>
    <row r="296" spans="1:8">
      <c r="A296" s="61">
        <v>519</v>
      </c>
      <c r="B296" s="50" t="s">
        <v>209</v>
      </c>
      <c r="C296" s="50" t="s">
        <v>964</v>
      </c>
      <c r="D296" s="50" t="s">
        <v>1062</v>
      </c>
      <c r="E296" s="50" t="s">
        <v>1062</v>
      </c>
      <c r="F296" s="50" t="s">
        <v>223</v>
      </c>
      <c r="G296" s="50" t="s">
        <v>1562</v>
      </c>
      <c r="H296" t="s">
        <v>3663</v>
      </c>
    </row>
    <row r="297" spans="1:8">
      <c r="A297" s="61">
        <v>520</v>
      </c>
      <c r="B297" s="50" t="s">
        <v>210</v>
      </c>
      <c r="C297" s="50" t="s">
        <v>75</v>
      </c>
      <c r="D297" s="50" t="s">
        <v>515</v>
      </c>
      <c r="E297" s="50" t="s">
        <v>515</v>
      </c>
      <c r="F297" s="50" t="s">
        <v>1339</v>
      </c>
      <c r="G297" s="50" t="s">
        <v>1574</v>
      </c>
      <c r="H297" t="s">
        <v>3415</v>
      </c>
    </row>
    <row r="298" spans="1:8">
      <c r="A298" s="61">
        <v>521</v>
      </c>
      <c r="B298" s="50" t="s">
        <v>1046</v>
      </c>
      <c r="C298" s="50" t="s">
        <v>188</v>
      </c>
      <c r="D298" s="50" t="s">
        <v>881</v>
      </c>
      <c r="E298" s="50" t="s">
        <v>881</v>
      </c>
      <c r="F298" s="50" t="s">
        <v>2037</v>
      </c>
      <c r="G298" s="50" t="s">
        <v>1910</v>
      </c>
      <c r="H298" t="s">
        <v>3664</v>
      </c>
    </row>
    <row r="299" spans="1:8">
      <c r="A299" s="61">
        <v>522</v>
      </c>
      <c r="B299" s="50" t="s">
        <v>1047</v>
      </c>
      <c r="C299" s="50" t="s">
        <v>964</v>
      </c>
      <c r="D299" s="50" t="s">
        <v>219</v>
      </c>
      <c r="E299" s="50" t="s">
        <v>219</v>
      </c>
      <c r="F299" s="50" t="s">
        <v>960</v>
      </c>
      <c r="G299" s="50" t="s">
        <v>1889</v>
      </c>
      <c r="H299" t="s">
        <v>1925</v>
      </c>
    </row>
    <row r="300" spans="1:8">
      <c r="A300" s="61">
        <v>525</v>
      </c>
      <c r="B300" s="50" t="s">
        <v>1048</v>
      </c>
      <c r="C300" s="50" t="s">
        <v>188</v>
      </c>
      <c r="D300" s="50" t="s">
        <v>433</v>
      </c>
      <c r="E300" s="50" t="s">
        <v>433</v>
      </c>
      <c r="F300" s="50" t="s">
        <v>1224</v>
      </c>
      <c r="G300" s="50" t="s">
        <v>2146</v>
      </c>
      <c r="H300" t="s">
        <v>3665</v>
      </c>
    </row>
    <row r="301" spans="1:8">
      <c r="A301" s="61">
        <v>526</v>
      </c>
      <c r="B301" s="50" t="s">
        <v>1049</v>
      </c>
      <c r="C301" s="50" t="s">
        <v>867</v>
      </c>
      <c r="D301" s="50" t="s">
        <v>216</v>
      </c>
      <c r="E301" s="50" t="s">
        <v>216</v>
      </c>
      <c r="F301" s="50" t="s">
        <v>731</v>
      </c>
      <c r="G301" s="50" t="s">
        <v>1935</v>
      </c>
      <c r="H301" t="s">
        <v>3666</v>
      </c>
    </row>
    <row r="302" spans="1:8">
      <c r="A302" s="61">
        <v>528</v>
      </c>
      <c r="B302" s="50" t="s">
        <v>1050</v>
      </c>
      <c r="C302" s="50" t="s">
        <v>1311</v>
      </c>
      <c r="D302" s="50" t="s">
        <v>1610</v>
      </c>
      <c r="E302" s="50" t="s">
        <v>1610</v>
      </c>
      <c r="F302" s="50" t="s">
        <v>1225</v>
      </c>
      <c r="G302" s="50" t="s">
        <v>1941</v>
      </c>
      <c r="H302" t="s">
        <v>3667</v>
      </c>
    </row>
    <row r="303" spans="1:8">
      <c r="A303" s="61">
        <v>530</v>
      </c>
      <c r="B303" s="50" t="s">
        <v>1051</v>
      </c>
      <c r="C303" s="50" t="s">
        <v>1052</v>
      </c>
      <c r="D303" s="50" t="s">
        <v>449</v>
      </c>
      <c r="E303" s="50" t="s">
        <v>449</v>
      </c>
      <c r="F303" s="50" t="s">
        <v>1585</v>
      </c>
      <c r="G303" s="50" t="s">
        <v>1899</v>
      </c>
      <c r="H303" t="s">
        <v>3668</v>
      </c>
    </row>
    <row r="304" spans="1:8">
      <c r="A304" s="61">
        <v>531</v>
      </c>
      <c r="B304" s="50" t="s">
        <v>1053</v>
      </c>
      <c r="C304" s="50" t="s">
        <v>640</v>
      </c>
      <c r="D304" s="50" t="s">
        <v>2007</v>
      </c>
      <c r="E304" s="50" t="s">
        <v>2007</v>
      </c>
      <c r="F304" s="50" t="s">
        <v>2288</v>
      </c>
      <c r="G304" s="50" t="s">
        <v>2147</v>
      </c>
      <c r="H304" t="s">
        <v>3669</v>
      </c>
    </row>
    <row r="305" spans="1:8">
      <c r="A305" s="61">
        <v>532</v>
      </c>
      <c r="B305" s="50" t="s">
        <v>1054</v>
      </c>
      <c r="C305" s="50" t="s">
        <v>79</v>
      </c>
      <c r="D305" s="50" t="s">
        <v>1039</v>
      </c>
      <c r="E305" s="50" t="s">
        <v>1039</v>
      </c>
      <c r="F305" s="50" t="s">
        <v>451</v>
      </c>
      <c r="G305" s="50" t="s">
        <v>1561</v>
      </c>
      <c r="H305" t="s">
        <v>3670</v>
      </c>
    </row>
    <row r="306" spans="1:8">
      <c r="A306" s="61">
        <v>534</v>
      </c>
      <c r="B306" s="50" t="s">
        <v>1055</v>
      </c>
      <c r="C306" s="50" t="s">
        <v>1311</v>
      </c>
      <c r="D306" s="50" t="s">
        <v>2161</v>
      </c>
      <c r="E306" s="50" t="s">
        <v>2161</v>
      </c>
      <c r="F306" s="50" t="s">
        <v>1339</v>
      </c>
      <c r="G306" s="50" t="s">
        <v>1913</v>
      </c>
      <c r="H306" t="s">
        <v>3671</v>
      </c>
    </row>
    <row r="307" spans="1:8">
      <c r="A307" s="61">
        <v>537</v>
      </c>
      <c r="B307" s="50" t="s">
        <v>1056</v>
      </c>
      <c r="C307" s="50" t="s">
        <v>188</v>
      </c>
      <c r="D307" s="50" t="s">
        <v>655</v>
      </c>
      <c r="E307" s="50" t="s">
        <v>655</v>
      </c>
      <c r="F307" s="50" t="s">
        <v>390</v>
      </c>
      <c r="G307" s="50" t="s">
        <v>1928</v>
      </c>
      <c r="H307" t="s">
        <v>3672</v>
      </c>
    </row>
    <row r="308" spans="1:8">
      <c r="A308" s="61">
        <v>543</v>
      </c>
      <c r="B308" s="50" t="s">
        <v>1057</v>
      </c>
      <c r="C308" s="50" t="s">
        <v>72</v>
      </c>
      <c r="D308" s="50" t="s">
        <v>2331</v>
      </c>
      <c r="E308" s="50" t="s">
        <v>2331</v>
      </c>
      <c r="F308" s="50" t="s">
        <v>1320</v>
      </c>
      <c r="G308" s="50" t="s">
        <v>2129</v>
      </c>
      <c r="H308" t="s">
        <v>3673</v>
      </c>
    </row>
    <row r="309" spans="1:8">
      <c r="A309" s="61">
        <v>545</v>
      </c>
      <c r="B309" s="50" t="s">
        <v>141</v>
      </c>
      <c r="C309" s="50" t="s">
        <v>640</v>
      </c>
      <c r="D309" s="50" t="s">
        <v>4</v>
      </c>
      <c r="E309" s="50" t="s">
        <v>4</v>
      </c>
      <c r="F309" s="50" t="s">
        <v>390</v>
      </c>
      <c r="G309" s="50" t="s">
        <v>2778</v>
      </c>
      <c r="H309" t="s">
        <v>3674</v>
      </c>
    </row>
    <row r="310" spans="1:8">
      <c r="A310" s="61">
        <v>546</v>
      </c>
      <c r="B310" s="50" t="s">
        <v>138</v>
      </c>
      <c r="C310" s="50" t="s">
        <v>638</v>
      </c>
      <c r="D310" s="50" t="s">
        <v>1873</v>
      </c>
      <c r="E310" s="50" t="s">
        <v>1873</v>
      </c>
      <c r="F310" s="50" t="s">
        <v>1225</v>
      </c>
      <c r="G310" s="50" t="s">
        <v>539</v>
      </c>
      <c r="H310" t="s">
        <v>3048</v>
      </c>
    </row>
    <row r="311" spans="1:8">
      <c r="A311" s="61">
        <v>547</v>
      </c>
      <c r="B311" s="50" t="s">
        <v>139</v>
      </c>
      <c r="C311" s="50" t="s">
        <v>140</v>
      </c>
      <c r="D311" s="50" t="s">
        <v>2331</v>
      </c>
      <c r="E311" s="50" t="s">
        <v>2331</v>
      </c>
      <c r="F311" s="50" t="s">
        <v>451</v>
      </c>
      <c r="G311" s="50" t="s">
        <v>1913</v>
      </c>
      <c r="H311" t="s">
        <v>538</v>
      </c>
    </row>
    <row r="312" spans="1:8">
      <c r="A312" s="61">
        <v>548</v>
      </c>
      <c r="B312" s="50" t="s">
        <v>1438</v>
      </c>
      <c r="C312" s="50" t="s">
        <v>194</v>
      </c>
      <c r="D312" s="50" t="s">
        <v>208</v>
      </c>
      <c r="E312" s="50" t="s">
        <v>208</v>
      </c>
      <c r="F312" s="50" t="s">
        <v>2037</v>
      </c>
      <c r="G312" s="50" t="s">
        <v>3514</v>
      </c>
      <c r="H312" t="s">
        <v>3675</v>
      </c>
    </row>
    <row r="313" spans="1:8">
      <c r="A313" s="61">
        <v>549</v>
      </c>
      <c r="B313" s="50" t="s">
        <v>1439</v>
      </c>
      <c r="C313" s="50" t="s">
        <v>336</v>
      </c>
      <c r="D313" s="50" t="s">
        <v>433</v>
      </c>
      <c r="E313" s="50" t="s">
        <v>433</v>
      </c>
      <c r="F313" s="50" t="s">
        <v>731</v>
      </c>
      <c r="G313" s="50" t="s">
        <v>2146</v>
      </c>
      <c r="H313" t="s">
        <v>3676</v>
      </c>
    </row>
    <row r="314" spans="1:8">
      <c r="A314" s="61">
        <v>550</v>
      </c>
      <c r="B314" s="50" t="s">
        <v>1440</v>
      </c>
      <c r="C314" s="50" t="s">
        <v>197</v>
      </c>
      <c r="D314" s="50" t="s">
        <v>2672</v>
      </c>
      <c r="E314" s="50" t="s">
        <v>2672</v>
      </c>
      <c r="F314" s="50" t="s">
        <v>2287</v>
      </c>
      <c r="G314" s="50" t="s">
        <v>3339</v>
      </c>
      <c r="H314" t="s">
        <v>3677</v>
      </c>
    </row>
    <row r="315" spans="1:8">
      <c r="A315" s="61">
        <v>551</v>
      </c>
      <c r="B315" s="50" t="s">
        <v>1441</v>
      </c>
      <c r="C315" s="50" t="s">
        <v>777</v>
      </c>
      <c r="D315" s="50" t="s">
        <v>220</v>
      </c>
      <c r="E315" s="50" t="s">
        <v>220</v>
      </c>
      <c r="F315" s="50" t="s">
        <v>223</v>
      </c>
      <c r="G315" s="50" t="s">
        <v>1887</v>
      </c>
      <c r="H315" t="s">
        <v>3678</v>
      </c>
    </row>
    <row r="316" spans="1:8">
      <c r="A316" s="61">
        <v>553</v>
      </c>
      <c r="B316" s="50" t="s">
        <v>1442</v>
      </c>
      <c r="C316" s="50" t="s">
        <v>640</v>
      </c>
      <c r="D316" s="50" t="s">
        <v>267</v>
      </c>
      <c r="E316" s="50" t="s">
        <v>267</v>
      </c>
      <c r="F316" s="50" t="s">
        <v>2126</v>
      </c>
      <c r="G316" s="50" t="s">
        <v>1918</v>
      </c>
      <c r="H316" t="s">
        <v>2780</v>
      </c>
    </row>
    <row r="317" spans="1:8">
      <c r="A317" s="61">
        <v>554</v>
      </c>
      <c r="B317" s="50" t="s">
        <v>1443</v>
      </c>
      <c r="C317" s="50" t="s">
        <v>79</v>
      </c>
      <c r="D317" s="50" t="s">
        <v>434</v>
      </c>
      <c r="E317" s="50" t="s">
        <v>434</v>
      </c>
      <c r="F317" s="50" t="s">
        <v>1224</v>
      </c>
      <c r="G317" s="50" t="s">
        <v>1388</v>
      </c>
      <c r="H317" t="s">
        <v>3679</v>
      </c>
    </row>
    <row r="318" spans="1:8">
      <c r="A318" s="61">
        <v>555</v>
      </c>
      <c r="B318" s="50" t="s">
        <v>1444</v>
      </c>
      <c r="C318" s="50" t="s">
        <v>964</v>
      </c>
      <c r="D318" s="50" t="s">
        <v>2324</v>
      </c>
      <c r="E318" s="50" t="s">
        <v>2324</v>
      </c>
      <c r="F318" s="50" t="s">
        <v>223</v>
      </c>
      <c r="G318" s="50" t="s">
        <v>2326</v>
      </c>
      <c r="H318" t="s">
        <v>3680</v>
      </c>
    </row>
    <row r="319" spans="1:8">
      <c r="A319" s="61">
        <v>558</v>
      </c>
      <c r="B319" s="50" t="s">
        <v>1445</v>
      </c>
      <c r="C319" s="50" t="s">
        <v>188</v>
      </c>
      <c r="D319" s="50" t="s">
        <v>2377</v>
      </c>
      <c r="E319" s="50" t="s">
        <v>2377</v>
      </c>
      <c r="F319" s="50" t="s">
        <v>223</v>
      </c>
      <c r="G319" s="50" t="s">
        <v>1395</v>
      </c>
      <c r="H319" t="s">
        <v>3386</v>
      </c>
    </row>
    <row r="320" spans="1:8">
      <c r="A320" s="61">
        <v>561</v>
      </c>
      <c r="B320" s="50" t="s">
        <v>1446</v>
      </c>
      <c r="C320" s="50" t="s">
        <v>1311</v>
      </c>
      <c r="D320" s="50" t="s">
        <v>1223</v>
      </c>
      <c r="E320" s="50" t="s">
        <v>1223</v>
      </c>
      <c r="F320" s="50" t="s">
        <v>223</v>
      </c>
      <c r="G320" s="32" t="s">
        <v>1575</v>
      </c>
      <c r="H320" t="s">
        <v>2869</v>
      </c>
    </row>
    <row r="321" spans="1:8">
      <c r="A321" s="61">
        <v>562</v>
      </c>
      <c r="B321" s="50" t="s">
        <v>1447</v>
      </c>
      <c r="C321" s="50" t="s">
        <v>866</v>
      </c>
      <c r="D321" s="50" t="s">
        <v>1350</v>
      </c>
      <c r="E321" s="50" t="s">
        <v>1350</v>
      </c>
      <c r="F321" s="50" t="s">
        <v>223</v>
      </c>
      <c r="G321" s="50" t="s">
        <v>1378</v>
      </c>
      <c r="H321" t="s">
        <v>2864</v>
      </c>
    </row>
    <row r="322" spans="1:8">
      <c r="A322" s="61">
        <v>564</v>
      </c>
      <c r="B322" s="50" t="s">
        <v>1448</v>
      </c>
      <c r="C322" s="50" t="s">
        <v>619</v>
      </c>
      <c r="D322" s="50" t="s">
        <v>1350</v>
      </c>
      <c r="E322" s="50" t="s">
        <v>1350</v>
      </c>
      <c r="F322" s="50" t="s">
        <v>223</v>
      </c>
      <c r="G322" s="50" t="s">
        <v>1378</v>
      </c>
      <c r="H322" t="s">
        <v>3681</v>
      </c>
    </row>
    <row r="323" spans="1:8">
      <c r="A323" s="61">
        <v>565</v>
      </c>
      <c r="B323" s="50" t="s">
        <v>1449</v>
      </c>
      <c r="C323" s="50" t="s">
        <v>782</v>
      </c>
      <c r="D323" s="50" t="s">
        <v>1336</v>
      </c>
      <c r="E323" s="50" t="s">
        <v>1336</v>
      </c>
      <c r="F323" s="50" t="s">
        <v>223</v>
      </c>
      <c r="G323" s="50" t="s">
        <v>3114</v>
      </c>
      <c r="H323" t="s">
        <v>2870</v>
      </c>
    </row>
    <row r="324" spans="1:8">
      <c r="A324" s="61">
        <v>566</v>
      </c>
      <c r="B324" s="50" t="s">
        <v>550</v>
      </c>
      <c r="C324" s="50" t="s">
        <v>864</v>
      </c>
      <c r="D324" s="50" t="s">
        <v>2073</v>
      </c>
      <c r="E324" s="50" t="s">
        <v>2073</v>
      </c>
      <c r="F324" s="50" t="s">
        <v>1339</v>
      </c>
      <c r="G324" s="50" t="s">
        <v>2471</v>
      </c>
      <c r="H324" t="s">
        <v>2991</v>
      </c>
    </row>
    <row r="325" spans="1:8">
      <c r="A325" s="61">
        <v>567</v>
      </c>
      <c r="B325" s="50" t="s">
        <v>551</v>
      </c>
      <c r="C325" s="50" t="s">
        <v>370</v>
      </c>
      <c r="D325" s="50" t="s">
        <v>2377</v>
      </c>
      <c r="E325" s="50" t="s">
        <v>2377</v>
      </c>
      <c r="F325" s="50" t="s">
        <v>1585</v>
      </c>
      <c r="G325" s="50" t="s">
        <v>1395</v>
      </c>
      <c r="H325" t="s">
        <v>3682</v>
      </c>
    </row>
    <row r="326" spans="1:8">
      <c r="A326" s="61">
        <v>568</v>
      </c>
      <c r="B326" s="50" t="s">
        <v>552</v>
      </c>
      <c r="C326" s="50" t="s">
        <v>553</v>
      </c>
      <c r="D326" s="50" t="s">
        <v>632</v>
      </c>
      <c r="E326" s="50" t="s">
        <v>632</v>
      </c>
      <c r="F326" s="50" t="s">
        <v>451</v>
      </c>
      <c r="G326" s="50" t="s">
        <v>1393</v>
      </c>
      <c r="H326" t="s">
        <v>3683</v>
      </c>
    </row>
    <row r="327" spans="1:8">
      <c r="A327" s="61">
        <v>571</v>
      </c>
      <c r="B327" s="50" t="s">
        <v>554</v>
      </c>
      <c r="C327" s="50" t="s">
        <v>336</v>
      </c>
      <c r="D327" s="50" t="s">
        <v>351</v>
      </c>
      <c r="E327" s="50" t="s">
        <v>351</v>
      </c>
      <c r="F327" s="50" t="s">
        <v>2287</v>
      </c>
      <c r="G327" s="50" t="s">
        <v>1937</v>
      </c>
      <c r="H327" t="s">
        <v>2993</v>
      </c>
    </row>
    <row r="328" spans="1:8">
      <c r="A328" s="61">
        <v>573</v>
      </c>
      <c r="B328" s="50" t="s">
        <v>555</v>
      </c>
      <c r="C328" s="50" t="s">
        <v>188</v>
      </c>
      <c r="D328" s="50" t="s">
        <v>2337</v>
      </c>
      <c r="E328" s="50" t="s">
        <v>2337</v>
      </c>
      <c r="F328" s="50" t="s">
        <v>1339</v>
      </c>
      <c r="G328" s="50" t="s">
        <v>2157</v>
      </c>
      <c r="H328" t="s">
        <v>3684</v>
      </c>
    </row>
    <row r="329" spans="1:8">
      <c r="A329" s="61">
        <v>574</v>
      </c>
      <c r="B329" s="50" t="s">
        <v>556</v>
      </c>
      <c r="C329" s="50" t="s">
        <v>79</v>
      </c>
      <c r="D329" s="50" t="s">
        <v>2449</v>
      </c>
      <c r="E329" s="50" t="s">
        <v>2449</v>
      </c>
      <c r="F329" s="50" t="s">
        <v>223</v>
      </c>
      <c r="G329" s="50" t="s">
        <v>340</v>
      </c>
      <c r="H329" t="s">
        <v>3685</v>
      </c>
    </row>
    <row r="330" spans="1:8">
      <c r="A330" s="61">
        <v>575</v>
      </c>
      <c r="B330" s="50" t="s">
        <v>557</v>
      </c>
      <c r="C330" s="50" t="s">
        <v>964</v>
      </c>
      <c r="D330" s="50" t="s">
        <v>2449</v>
      </c>
      <c r="E330" s="50" t="s">
        <v>2449</v>
      </c>
      <c r="F330" s="50" t="s">
        <v>1339</v>
      </c>
      <c r="G330" s="50" t="s">
        <v>340</v>
      </c>
      <c r="H330" t="s">
        <v>3686</v>
      </c>
    </row>
    <row r="331" spans="1:8">
      <c r="A331" s="61">
        <v>576</v>
      </c>
      <c r="B331" s="50" t="s">
        <v>558</v>
      </c>
      <c r="C331" s="50" t="s">
        <v>1197</v>
      </c>
      <c r="D331" s="50" t="s">
        <v>2337</v>
      </c>
      <c r="E331" s="50" t="s">
        <v>2337</v>
      </c>
      <c r="F331" s="50" t="s">
        <v>1585</v>
      </c>
      <c r="G331" s="50" t="s">
        <v>2157</v>
      </c>
      <c r="H331" t="s">
        <v>3112</v>
      </c>
    </row>
    <row r="332" spans="1:8">
      <c r="A332" s="61">
        <v>578</v>
      </c>
      <c r="B332" s="50" t="s">
        <v>559</v>
      </c>
      <c r="C332" s="50" t="s">
        <v>261</v>
      </c>
      <c r="D332" s="50" t="s">
        <v>2325</v>
      </c>
      <c r="E332" s="50" t="s">
        <v>2325</v>
      </c>
      <c r="F332" s="50" t="s">
        <v>2037</v>
      </c>
      <c r="G332" s="32" t="s">
        <v>1912</v>
      </c>
      <c r="H332" t="s">
        <v>3113</v>
      </c>
    </row>
    <row r="333" spans="1:8">
      <c r="A333" s="61">
        <v>580</v>
      </c>
      <c r="B333" s="50" t="s">
        <v>560</v>
      </c>
      <c r="C333" s="50" t="s">
        <v>188</v>
      </c>
      <c r="D333" s="50" t="s">
        <v>2402</v>
      </c>
      <c r="E333" s="50" t="s">
        <v>2402</v>
      </c>
      <c r="F333" s="50" t="s">
        <v>223</v>
      </c>
      <c r="G333" s="50" t="s">
        <v>1909</v>
      </c>
      <c r="H333" t="s">
        <v>2983</v>
      </c>
    </row>
    <row r="334" spans="1:8">
      <c r="A334" s="61">
        <v>581</v>
      </c>
      <c r="B334" s="50" t="s">
        <v>561</v>
      </c>
      <c r="C334" s="50" t="s">
        <v>635</v>
      </c>
      <c r="D334" s="50" t="s">
        <v>1</v>
      </c>
      <c r="E334" s="50" t="s">
        <v>1</v>
      </c>
      <c r="F334" s="50" t="s">
        <v>686</v>
      </c>
      <c r="G334" s="50" t="s">
        <v>2141</v>
      </c>
      <c r="H334" t="s">
        <v>2390</v>
      </c>
    </row>
    <row r="335" spans="1:8">
      <c r="A335" s="61">
        <v>582</v>
      </c>
      <c r="B335" s="50" t="s">
        <v>562</v>
      </c>
      <c r="C335" s="50" t="s">
        <v>563</v>
      </c>
      <c r="D335" s="50" t="s">
        <v>1214</v>
      </c>
      <c r="E335" s="50" t="s">
        <v>1214</v>
      </c>
      <c r="F335" s="50" t="s">
        <v>1339</v>
      </c>
      <c r="G335" s="50" t="s">
        <v>1379</v>
      </c>
      <c r="H335" t="s">
        <v>3687</v>
      </c>
    </row>
    <row r="336" spans="1:8">
      <c r="A336" s="61">
        <v>585</v>
      </c>
      <c r="B336" s="50" t="s">
        <v>564</v>
      </c>
      <c r="C336" s="50" t="s">
        <v>866</v>
      </c>
      <c r="D336" s="50" t="s">
        <v>179</v>
      </c>
      <c r="E336" s="50" t="s">
        <v>179</v>
      </c>
      <c r="F336" s="50" t="s">
        <v>1320</v>
      </c>
      <c r="G336" s="50" t="s">
        <v>1885</v>
      </c>
      <c r="H336" t="s">
        <v>1543</v>
      </c>
    </row>
    <row r="337" spans="1:8">
      <c r="A337" s="61">
        <v>586</v>
      </c>
      <c r="B337" s="50" t="s">
        <v>3297</v>
      </c>
      <c r="C337" s="50" t="s">
        <v>242</v>
      </c>
      <c r="D337" s="50" t="s">
        <v>845</v>
      </c>
      <c r="E337" s="50" t="s">
        <v>845</v>
      </c>
      <c r="F337" s="50" t="s">
        <v>2036</v>
      </c>
      <c r="G337" s="50" t="s">
        <v>1370</v>
      </c>
      <c r="H337" t="s">
        <v>3114</v>
      </c>
    </row>
    <row r="338" spans="1:8">
      <c r="A338" s="61">
        <v>588</v>
      </c>
      <c r="B338" s="50" t="s">
        <v>1058</v>
      </c>
      <c r="C338" s="50" t="s">
        <v>194</v>
      </c>
      <c r="D338" s="50" t="s">
        <v>144</v>
      </c>
      <c r="E338" s="50" t="s">
        <v>144</v>
      </c>
      <c r="F338" s="50" t="s">
        <v>392</v>
      </c>
      <c r="G338" s="50" t="s">
        <v>2135</v>
      </c>
      <c r="H338" t="s">
        <v>3688</v>
      </c>
    </row>
    <row r="339" spans="1:8">
      <c r="A339" s="61">
        <v>590</v>
      </c>
      <c r="B339" s="50" t="s">
        <v>1059</v>
      </c>
      <c r="C339" s="50" t="s">
        <v>638</v>
      </c>
      <c r="D339" s="50" t="s">
        <v>2552</v>
      </c>
      <c r="E339" s="50" t="s">
        <v>2552</v>
      </c>
      <c r="F339" s="50" t="s">
        <v>731</v>
      </c>
      <c r="G339" s="50" t="s">
        <v>539</v>
      </c>
      <c r="H339" t="s">
        <v>3689</v>
      </c>
    </row>
    <row r="340" spans="1:8">
      <c r="A340" s="61">
        <v>596</v>
      </c>
      <c r="B340" s="50" t="s">
        <v>1061</v>
      </c>
      <c r="C340" s="50" t="s">
        <v>199</v>
      </c>
      <c r="D340" s="50" t="s">
        <v>2378</v>
      </c>
      <c r="E340" s="50" t="s">
        <v>2378</v>
      </c>
      <c r="F340" s="50" t="s">
        <v>1339</v>
      </c>
      <c r="G340" s="50" t="s">
        <v>544</v>
      </c>
      <c r="H340" t="s">
        <v>3690</v>
      </c>
    </row>
    <row r="341" spans="1:8">
      <c r="A341" s="61">
        <v>597</v>
      </c>
      <c r="B341" s="50" t="s">
        <v>870</v>
      </c>
      <c r="C341" s="50" t="s">
        <v>1313</v>
      </c>
      <c r="D341" s="50" t="s">
        <v>2325</v>
      </c>
      <c r="E341" s="50" t="s">
        <v>2325</v>
      </c>
      <c r="F341" s="50" t="s">
        <v>1585</v>
      </c>
      <c r="G341" s="50" t="s">
        <v>1912</v>
      </c>
      <c r="H341" t="s">
        <v>3691</v>
      </c>
    </row>
    <row r="342" spans="1:8">
      <c r="A342" s="61">
        <v>598</v>
      </c>
      <c r="B342" s="50" t="s">
        <v>414</v>
      </c>
      <c r="C342" s="50" t="s">
        <v>446</v>
      </c>
      <c r="D342" s="50" t="s">
        <v>2779</v>
      </c>
      <c r="E342" s="50" t="s">
        <v>2779</v>
      </c>
      <c r="F342" s="50" t="s">
        <v>2518</v>
      </c>
      <c r="G342" s="50" t="s">
        <v>1941</v>
      </c>
      <c r="H342" t="s">
        <v>3692</v>
      </c>
    </row>
    <row r="343" spans="1:8">
      <c r="A343" s="61">
        <v>600</v>
      </c>
      <c r="B343" s="50" t="s">
        <v>1104</v>
      </c>
      <c r="C343" s="50" t="s">
        <v>336</v>
      </c>
      <c r="D343" s="50" t="s">
        <v>1325</v>
      </c>
      <c r="E343" s="50" t="s">
        <v>1325</v>
      </c>
      <c r="F343" s="50" t="s">
        <v>1585</v>
      </c>
      <c r="G343" s="50" t="s">
        <v>2159</v>
      </c>
      <c r="H343" t="s">
        <v>3569</v>
      </c>
    </row>
    <row r="344" spans="1:8">
      <c r="A344" s="61">
        <v>601</v>
      </c>
      <c r="B344" s="50" t="s">
        <v>352</v>
      </c>
      <c r="C344" s="50" t="s">
        <v>1197</v>
      </c>
      <c r="D344" s="50" t="s">
        <v>2450</v>
      </c>
      <c r="E344" s="50" t="s">
        <v>2450</v>
      </c>
      <c r="F344" s="50" t="s">
        <v>1339</v>
      </c>
      <c r="G344" s="50" t="s">
        <v>1582</v>
      </c>
      <c r="H344" t="s">
        <v>3693</v>
      </c>
    </row>
    <row r="345" spans="1:8">
      <c r="A345" s="61">
        <v>602</v>
      </c>
      <c r="B345" s="50" t="s">
        <v>353</v>
      </c>
      <c r="C345" s="50" t="s">
        <v>261</v>
      </c>
      <c r="D345" s="50" t="s">
        <v>2378</v>
      </c>
      <c r="E345" s="50" t="s">
        <v>2378</v>
      </c>
      <c r="F345" s="50" t="s">
        <v>451</v>
      </c>
      <c r="G345" s="50" t="s">
        <v>544</v>
      </c>
      <c r="H345" t="s">
        <v>3115</v>
      </c>
    </row>
    <row r="346" spans="1:8">
      <c r="A346" s="61">
        <v>604</v>
      </c>
      <c r="B346" s="50" t="s">
        <v>354</v>
      </c>
      <c r="C346" s="50" t="s">
        <v>263</v>
      </c>
      <c r="D346" s="50" t="s">
        <v>2323</v>
      </c>
      <c r="E346" s="50" t="s">
        <v>2323</v>
      </c>
      <c r="F346" s="50" t="s">
        <v>223</v>
      </c>
      <c r="G346" s="50" t="s">
        <v>1904</v>
      </c>
      <c r="H346" t="s">
        <v>2813</v>
      </c>
    </row>
    <row r="347" spans="1:8">
      <c r="A347" s="61">
        <v>606</v>
      </c>
      <c r="B347" s="50" t="s">
        <v>482</v>
      </c>
      <c r="C347" s="50" t="s">
        <v>194</v>
      </c>
      <c r="D347" s="50" t="s">
        <v>171</v>
      </c>
      <c r="E347" s="50" t="s">
        <v>171</v>
      </c>
      <c r="F347" s="50" t="s">
        <v>1225</v>
      </c>
      <c r="G347" s="50" t="s">
        <v>1548</v>
      </c>
      <c r="H347" t="s">
        <v>3694</v>
      </c>
    </row>
    <row r="348" spans="1:8">
      <c r="A348" s="61">
        <v>608</v>
      </c>
      <c r="B348" s="50" t="s">
        <v>415</v>
      </c>
      <c r="C348" s="50" t="s">
        <v>263</v>
      </c>
      <c r="D348" s="50" t="s">
        <v>3695</v>
      </c>
      <c r="E348" s="50" t="s">
        <v>3695</v>
      </c>
      <c r="F348" s="50" t="s">
        <v>1322</v>
      </c>
      <c r="G348" s="50" t="s">
        <v>1881</v>
      </c>
      <c r="H348" t="s">
        <v>1577</v>
      </c>
    </row>
    <row r="349" spans="1:8">
      <c r="A349" s="61">
        <v>612</v>
      </c>
      <c r="B349" s="50" t="s">
        <v>416</v>
      </c>
      <c r="C349" s="50" t="s">
        <v>417</v>
      </c>
      <c r="D349" s="50" t="s">
        <v>457</v>
      </c>
      <c r="E349" s="50" t="s">
        <v>457</v>
      </c>
      <c r="F349" s="50" t="s">
        <v>223</v>
      </c>
      <c r="G349" s="50" t="s">
        <v>1575</v>
      </c>
      <c r="H349" t="s">
        <v>1576</v>
      </c>
    </row>
    <row r="350" spans="1:8">
      <c r="A350" s="61">
        <v>614</v>
      </c>
      <c r="B350" s="50" t="s">
        <v>418</v>
      </c>
      <c r="C350" s="50" t="s">
        <v>261</v>
      </c>
      <c r="D350" s="50" t="s">
        <v>1201</v>
      </c>
      <c r="E350" s="50" t="s">
        <v>1201</v>
      </c>
      <c r="F350" s="50" t="s">
        <v>223</v>
      </c>
      <c r="G350" s="50" t="s">
        <v>1568</v>
      </c>
      <c r="H350" t="s">
        <v>3696</v>
      </c>
    </row>
    <row r="351" spans="1:8">
      <c r="A351" s="61">
        <v>616</v>
      </c>
      <c r="B351" s="50" t="s">
        <v>419</v>
      </c>
      <c r="C351" s="50" t="s">
        <v>1157</v>
      </c>
      <c r="D351" s="50" t="s">
        <v>206</v>
      </c>
      <c r="E351" s="50" t="s">
        <v>206</v>
      </c>
      <c r="F351" s="50" t="s">
        <v>223</v>
      </c>
      <c r="G351" s="50" t="s">
        <v>532</v>
      </c>
      <c r="H351" t="s">
        <v>3697</v>
      </c>
    </row>
    <row r="352" spans="1:8">
      <c r="A352" s="61">
        <v>618</v>
      </c>
      <c r="B352" s="50" t="s">
        <v>797</v>
      </c>
      <c r="C352" s="50" t="s">
        <v>782</v>
      </c>
      <c r="D352" s="50" t="s">
        <v>1325</v>
      </c>
      <c r="E352" s="50" t="s">
        <v>1325</v>
      </c>
      <c r="F352" s="50" t="s">
        <v>1320</v>
      </c>
      <c r="G352" s="50" t="s">
        <v>1579</v>
      </c>
      <c r="H352" t="s">
        <v>2159</v>
      </c>
    </row>
    <row r="353" spans="1:8">
      <c r="A353" s="61">
        <v>620</v>
      </c>
      <c r="B353" s="50" t="s">
        <v>798</v>
      </c>
      <c r="C353" s="50" t="s">
        <v>79</v>
      </c>
      <c r="D353" s="50" t="s">
        <v>3505</v>
      </c>
      <c r="E353" s="50" t="s">
        <v>3505</v>
      </c>
      <c r="F353" s="50" t="s">
        <v>1585</v>
      </c>
      <c r="G353" s="50" t="s">
        <v>345</v>
      </c>
      <c r="H353" t="s">
        <v>2871</v>
      </c>
    </row>
    <row r="354" spans="1:8">
      <c r="A354" s="61">
        <v>621</v>
      </c>
      <c r="B354" s="50" t="s">
        <v>2338</v>
      </c>
      <c r="C354" s="50" t="s">
        <v>866</v>
      </c>
      <c r="D354" s="50" t="s">
        <v>3317</v>
      </c>
      <c r="E354" s="50" t="s">
        <v>3317</v>
      </c>
      <c r="F354" s="50" t="s">
        <v>451</v>
      </c>
      <c r="G354" s="50" t="s">
        <v>1909</v>
      </c>
      <c r="H354" t="s">
        <v>3417</v>
      </c>
    </row>
    <row r="355" spans="1:8">
      <c r="A355" s="61">
        <v>622</v>
      </c>
      <c r="B355" s="50" t="s">
        <v>1254</v>
      </c>
      <c r="C355" s="50" t="s">
        <v>778</v>
      </c>
      <c r="D355" s="50" t="s">
        <v>1325</v>
      </c>
      <c r="E355" s="50" t="s">
        <v>1325</v>
      </c>
      <c r="F355" s="50" t="s">
        <v>223</v>
      </c>
      <c r="G355" s="50" t="s">
        <v>2159</v>
      </c>
      <c r="H355" t="s">
        <v>3698</v>
      </c>
    </row>
    <row r="356" spans="1:8">
      <c r="A356" s="61">
        <v>623</v>
      </c>
      <c r="B356" s="50" t="s">
        <v>799</v>
      </c>
      <c r="C356" s="50" t="s">
        <v>75</v>
      </c>
      <c r="D356" s="50" t="s">
        <v>2325</v>
      </c>
      <c r="E356" s="50" t="s">
        <v>2325</v>
      </c>
      <c r="F356" s="50" t="s">
        <v>223</v>
      </c>
      <c r="G356" s="50" t="s">
        <v>1912</v>
      </c>
      <c r="H356" t="s">
        <v>3116</v>
      </c>
    </row>
    <row r="357" spans="1:8">
      <c r="A357" s="61">
        <v>624</v>
      </c>
      <c r="B357" s="50" t="s">
        <v>367</v>
      </c>
      <c r="C357" s="50" t="s">
        <v>800</v>
      </c>
      <c r="D357" s="50" t="s">
        <v>2450</v>
      </c>
      <c r="E357" s="50" t="s">
        <v>2450</v>
      </c>
      <c r="F357" s="50" t="s">
        <v>223</v>
      </c>
      <c r="G357" s="50" t="s">
        <v>1582</v>
      </c>
      <c r="H357" t="s">
        <v>3699</v>
      </c>
    </row>
    <row r="358" spans="1:8">
      <c r="A358" s="61">
        <v>627</v>
      </c>
      <c r="B358" s="50" t="s">
        <v>801</v>
      </c>
      <c r="C358" s="50" t="s">
        <v>79</v>
      </c>
      <c r="D358" s="50" t="s">
        <v>1081</v>
      </c>
      <c r="E358" s="50" t="s">
        <v>1081</v>
      </c>
      <c r="F358" s="50" t="s">
        <v>451</v>
      </c>
      <c r="G358" s="50" t="s">
        <v>2547</v>
      </c>
      <c r="H358" t="s">
        <v>3700</v>
      </c>
    </row>
    <row r="359" spans="1:8">
      <c r="A359" s="61">
        <v>630</v>
      </c>
      <c r="B359" s="50" t="s">
        <v>367</v>
      </c>
      <c r="C359" s="50" t="s">
        <v>802</v>
      </c>
      <c r="D359" s="50" t="s">
        <v>224</v>
      </c>
      <c r="E359" s="50" t="s">
        <v>224</v>
      </c>
      <c r="F359" s="50" t="s">
        <v>1339</v>
      </c>
      <c r="G359" s="50" t="s">
        <v>1903</v>
      </c>
      <c r="H359" t="s">
        <v>3701</v>
      </c>
    </row>
    <row r="360" spans="1:8">
      <c r="A360" s="61">
        <v>632</v>
      </c>
      <c r="B360" s="50" t="s">
        <v>571</v>
      </c>
      <c r="C360" s="50" t="s">
        <v>640</v>
      </c>
      <c r="D360" s="50" t="s">
        <v>2824</v>
      </c>
      <c r="E360" s="50" t="s">
        <v>2824</v>
      </c>
      <c r="F360" s="50" t="s">
        <v>1585</v>
      </c>
      <c r="G360" s="50" t="s">
        <v>1893</v>
      </c>
      <c r="H360" t="s">
        <v>3503</v>
      </c>
    </row>
    <row r="361" spans="1:8">
      <c r="A361" s="61">
        <v>633</v>
      </c>
      <c r="B361" s="50" t="s">
        <v>572</v>
      </c>
      <c r="C361" s="50" t="s">
        <v>75</v>
      </c>
      <c r="D361" s="50" t="s">
        <v>1318</v>
      </c>
      <c r="E361" s="50" t="s">
        <v>1318</v>
      </c>
      <c r="F361" s="50" t="s">
        <v>1224</v>
      </c>
      <c r="G361" s="50" t="s">
        <v>1905</v>
      </c>
      <c r="H361" t="s">
        <v>3702</v>
      </c>
    </row>
    <row r="362" spans="1:8">
      <c r="A362" s="61">
        <v>634</v>
      </c>
      <c r="B362" s="50" t="s">
        <v>573</v>
      </c>
      <c r="C362" s="50" t="s">
        <v>199</v>
      </c>
      <c r="D362" s="50" t="s">
        <v>1969</v>
      </c>
      <c r="E362" s="50" t="s">
        <v>1969</v>
      </c>
      <c r="F362" s="50" t="s">
        <v>1339</v>
      </c>
      <c r="G362" s="50" t="s">
        <v>1917</v>
      </c>
      <c r="H362" t="s">
        <v>3005</v>
      </c>
    </row>
    <row r="363" spans="1:8">
      <c r="A363" s="61">
        <v>636</v>
      </c>
      <c r="B363" s="50" t="s">
        <v>574</v>
      </c>
      <c r="C363" s="50" t="s">
        <v>778</v>
      </c>
      <c r="D363" s="50" t="s">
        <v>1991</v>
      </c>
      <c r="E363" s="50" t="s">
        <v>1991</v>
      </c>
      <c r="F363" s="50" t="s">
        <v>1585</v>
      </c>
      <c r="G363" s="50" t="s">
        <v>1564</v>
      </c>
      <c r="H363" t="s">
        <v>3703</v>
      </c>
    </row>
    <row r="364" spans="1:8">
      <c r="A364" s="61">
        <v>639</v>
      </c>
      <c r="B364" s="50" t="s">
        <v>363</v>
      </c>
      <c r="C364" s="50" t="s">
        <v>964</v>
      </c>
      <c r="D364" s="50" t="s">
        <v>2686</v>
      </c>
      <c r="E364" s="50" t="s">
        <v>2686</v>
      </c>
      <c r="F364" s="50" t="s">
        <v>1339</v>
      </c>
      <c r="G364" s="50" t="s">
        <v>529</v>
      </c>
      <c r="H364" t="s">
        <v>2334</v>
      </c>
    </row>
    <row r="365" spans="1:8">
      <c r="A365" s="61">
        <v>640</v>
      </c>
      <c r="B365" s="50" t="s">
        <v>2038</v>
      </c>
      <c r="C365" s="50" t="s">
        <v>867</v>
      </c>
      <c r="D365" s="50" t="s">
        <v>2999</v>
      </c>
      <c r="E365" s="50" t="s">
        <v>2999</v>
      </c>
      <c r="F365" s="50" t="s">
        <v>2037</v>
      </c>
      <c r="G365" s="50" t="s">
        <v>1390</v>
      </c>
      <c r="H365" t="s">
        <v>3009</v>
      </c>
    </row>
    <row r="366" spans="1:8">
      <c r="A366" s="61">
        <v>642</v>
      </c>
      <c r="B366" s="50" t="s">
        <v>575</v>
      </c>
      <c r="C366" s="50" t="s">
        <v>635</v>
      </c>
      <c r="D366" s="50" t="s">
        <v>178</v>
      </c>
      <c r="E366" s="50" t="s">
        <v>178</v>
      </c>
      <c r="F366" s="50" t="s">
        <v>2037</v>
      </c>
      <c r="G366" s="50" t="s">
        <v>1556</v>
      </c>
      <c r="H366" t="s">
        <v>3704</v>
      </c>
    </row>
    <row r="367" spans="1:8">
      <c r="A367" s="61">
        <v>648</v>
      </c>
      <c r="B367" s="50" t="s">
        <v>577</v>
      </c>
      <c r="C367" s="50" t="s">
        <v>261</v>
      </c>
      <c r="D367" s="50" t="s">
        <v>1045</v>
      </c>
      <c r="E367" s="50" t="s">
        <v>1045</v>
      </c>
      <c r="F367" s="50" t="s">
        <v>1320</v>
      </c>
      <c r="G367" s="50" t="s">
        <v>1579</v>
      </c>
      <c r="H367" t="s">
        <v>1926</v>
      </c>
    </row>
    <row r="368" spans="1:8">
      <c r="A368" s="61">
        <v>650</v>
      </c>
      <c r="B368" s="50" t="s">
        <v>578</v>
      </c>
      <c r="C368" s="50" t="s">
        <v>780</v>
      </c>
      <c r="D368" s="50" t="s">
        <v>351</v>
      </c>
      <c r="E368" s="50" t="s">
        <v>351</v>
      </c>
      <c r="F368" s="50" t="s">
        <v>392</v>
      </c>
      <c r="G368" s="50" t="s">
        <v>1937</v>
      </c>
      <c r="H368" t="s">
        <v>3705</v>
      </c>
    </row>
    <row r="369" spans="1:8">
      <c r="A369" s="61">
        <v>651</v>
      </c>
      <c r="B369" s="50" t="s">
        <v>579</v>
      </c>
      <c r="C369" s="50" t="s">
        <v>65</v>
      </c>
      <c r="D369" s="50" t="s">
        <v>1450</v>
      </c>
      <c r="E369" s="50" t="s">
        <v>1450</v>
      </c>
      <c r="F369" s="50" t="s">
        <v>686</v>
      </c>
      <c r="G369" s="50" t="s">
        <v>2135</v>
      </c>
      <c r="H369" t="s">
        <v>3706</v>
      </c>
    </row>
    <row r="370" spans="1:8">
      <c r="A370" s="61">
        <v>653</v>
      </c>
      <c r="B370" s="50" t="s">
        <v>580</v>
      </c>
      <c r="C370" s="50" t="s">
        <v>780</v>
      </c>
      <c r="D370" s="50" t="s">
        <v>512</v>
      </c>
      <c r="E370" s="50" t="s">
        <v>512</v>
      </c>
      <c r="F370" s="50" t="s">
        <v>1585</v>
      </c>
      <c r="G370" s="32" t="s">
        <v>1574</v>
      </c>
      <c r="H370" t="s">
        <v>3707</v>
      </c>
    </row>
    <row r="371" spans="1:8">
      <c r="A371" s="61">
        <v>654</v>
      </c>
      <c r="B371" s="50" t="s">
        <v>581</v>
      </c>
      <c r="C371" s="50" t="s">
        <v>964</v>
      </c>
      <c r="D371" s="50" t="s">
        <v>935</v>
      </c>
      <c r="E371" s="50" t="s">
        <v>935</v>
      </c>
      <c r="F371" s="50" t="s">
        <v>1320</v>
      </c>
      <c r="G371" s="50" t="s">
        <v>2071</v>
      </c>
      <c r="H371" t="s">
        <v>3708</v>
      </c>
    </row>
    <row r="372" spans="1:8">
      <c r="A372" s="61">
        <v>655</v>
      </c>
      <c r="B372" s="50" t="s">
        <v>582</v>
      </c>
      <c r="C372" s="50" t="s">
        <v>188</v>
      </c>
      <c r="D372" s="50" t="s">
        <v>2824</v>
      </c>
      <c r="E372" s="50" t="s">
        <v>2824</v>
      </c>
      <c r="F372" s="50" t="s">
        <v>223</v>
      </c>
      <c r="G372" s="50" t="s">
        <v>1893</v>
      </c>
      <c r="H372" t="s">
        <v>2899</v>
      </c>
    </row>
    <row r="373" spans="1:8">
      <c r="A373" s="61">
        <v>656</v>
      </c>
      <c r="B373" s="50" t="s">
        <v>372</v>
      </c>
      <c r="C373" s="50" t="s">
        <v>964</v>
      </c>
      <c r="D373" s="50" t="s">
        <v>1967</v>
      </c>
      <c r="E373" s="50" t="s">
        <v>1967</v>
      </c>
      <c r="F373" s="50" t="s">
        <v>1585</v>
      </c>
      <c r="G373" s="50" t="s">
        <v>1569</v>
      </c>
      <c r="H373" t="s">
        <v>3709</v>
      </c>
    </row>
    <row r="374" spans="1:8">
      <c r="A374" s="61">
        <v>658</v>
      </c>
      <c r="B374" s="50" t="s">
        <v>228</v>
      </c>
      <c r="C374" s="50" t="s">
        <v>263</v>
      </c>
      <c r="D374" s="50" t="s">
        <v>179</v>
      </c>
      <c r="E374" s="50" t="s">
        <v>179</v>
      </c>
      <c r="F374" s="50" t="s">
        <v>1585</v>
      </c>
      <c r="G374" s="50" t="s">
        <v>1543</v>
      </c>
      <c r="H374" t="s">
        <v>3710</v>
      </c>
    </row>
    <row r="375" spans="1:8">
      <c r="A375" s="61">
        <v>659</v>
      </c>
      <c r="B375" s="50" t="s">
        <v>229</v>
      </c>
      <c r="C375" s="50" t="s">
        <v>261</v>
      </c>
      <c r="D375" s="50" t="s">
        <v>1226</v>
      </c>
      <c r="E375" s="50" t="s">
        <v>1226</v>
      </c>
      <c r="F375" s="50" t="s">
        <v>223</v>
      </c>
      <c r="G375" s="50" t="s">
        <v>1378</v>
      </c>
      <c r="H375" t="s">
        <v>3711</v>
      </c>
    </row>
    <row r="376" spans="1:8">
      <c r="A376" s="61">
        <v>662</v>
      </c>
      <c r="B376" s="50" t="s">
        <v>230</v>
      </c>
      <c r="C376" s="50" t="s">
        <v>1197</v>
      </c>
      <c r="D376" s="50" t="s">
        <v>845</v>
      </c>
      <c r="E376" s="50" t="s">
        <v>845</v>
      </c>
      <c r="F376" s="50" t="s">
        <v>223</v>
      </c>
      <c r="G376" s="50" t="s">
        <v>3114</v>
      </c>
      <c r="H376" t="s">
        <v>3712</v>
      </c>
    </row>
    <row r="377" spans="1:8">
      <c r="A377" s="61">
        <v>664</v>
      </c>
      <c r="B377" s="50" t="s">
        <v>231</v>
      </c>
      <c r="C377" s="50" t="s">
        <v>964</v>
      </c>
      <c r="D377" s="50" t="s">
        <v>2552</v>
      </c>
      <c r="E377" s="50" t="s">
        <v>2552</v>
      </c>
      <c r="F377" s="50" t="s">
        <v>1225</v>
      </c>
      <c r="G377" s="50" t="s">
        <v>539</v>
      </c>
      <c r="H377" t="s">
        <v>3713</v>
      </c>
    </row>
    <row r="378" spans="1:8">
      <c r="A378" s="61">
        <v>665</v>
      </c>
      <c r="B378" s="50" t="s">
        <v>1441</v>
      </c>
      <c r="C378" s="50" t="s">
        <v>79</v>
      </c>
      <c r="D378" s="50" t="s">
        <v>434</v>
      </c>
      <c r="E378" s="50" t="s">
        <v>434</v>
      </c>
      <c r="F378" s="50" t="s">
        <v>1225</v>
      </c>
      <c r="G378" s="50" t="s">
        <v>1388</v>
      </c>
      <c r="H378" t="s">
        <v>3714</v>
      </c>
    </row>
    <row r="379" spans="1:8">
      <c r="A379" s="61">
        <v>666</v>
      </c>
      <c r="B379" s="50" t="s">
        <v>232</v>
      </c>
      <c r="C379" s="50" t="s">
        <v>326</v>
      </c>
      <c r="D379" s="50" t="s">
        <v>1317</v>
      </c>
      <c r="E379" s="50" t="s">
        <v>1317</v>
      </c>
      <c r="F379" s="50" t="s">
        <v>1586</v>
      </c>
      <c r="G379" s="50" t="s">
        <v>2102</v>
      </c>
      <c r="H379" t="s">
        <v>3715</v>
      </c>
    </row>
    <row r="380" spans="1:8">
      <c r="A380" s="61">
        <v>668</v>
      </c>
      <c r="B380" s="50" t="s">
        <v>67</v>
      </c>
      <c r="C380" s="50" t="s">
        <v>79</v>
      </c>
      <c r="D380" s="50" t="s">
        <v>2315</v>
      </c>
      <c r="E380" s="50" t="s">
        <v>2315</v>
      </c>
      <c r="F380" s="50" t="s">
        <v>731</v>
      </c>
      <c r="G380" s="50" t="s">
        <v>1898</v>
      </c>
      <c r="H380" t="s">
        <v>3069</v>
      </c>
    </row>
    <row r="381" spans="1:8">
      <c r="A381" s="61">
        <v>669</v>
      </c>
      <c r="B381" s="50" t="s">
        <v>68</v>
      </c>
      <c r="C381" s="50" t="s">
        <v>1238</v>
      </c>
      <c r="D381" s="50" t="s">
        <v>2759</v>
      </c>
      <c r="E381" s="50" t="s">
        <v>2759</v>
      </c>
      <c r="F381" s="50" t="s">
        <v>731</v>
      </c>
      <c r="G381" s="50" t="s">
        <v>1888</v>
      </c>
      <c r="H381" t="s">
        <v>2926</v>
      </c>
    </row>
    <row r="382" spans="1:8">
      <c r="A382" s="61">
        <v>672</v>
      </c>
      <c r="B382" s="50" t="s">
        <v>620</v>
      </c>
      <c r="C382" s="50" t="s">
        <v>780</v>
      </c>
      <c r="D382" s="50" t="s">
        <v>2483</v>
      </c>
      <c r="E382" s="50" t="s">
        <v>2483</v>
      </c>
      <c r="F382" s="50" t="s">
        <v>1225</v>
      </c>
      <c r="G382" s="50" t="s">
        <v>543</v>
      </c>
      <c r="H382" t="s">
        <v>3716</v>
      </c>
    </row>
    <row r="383" spans="1:8">
      <c r="A383" s="61">
        <v>673</v>
      </c>
      <c r="B383" s="50" t="s">
        <v>70</v>
      </c>
      <c r="C383" s="50" t="s">
        <v>1197</v>
      </c>
      <c r="D383" s="50" t="s">
        <v>974</v>
      </c>
      <c r="E383" s="50" t="s">
        <v>974</v>
      </c>
      <c r="F383" s="50" t="s">
        <v>223</v>
      </c>
      <c r="G383" s="50" t="s">
        <v>1899</v>
      </c>
      <c r="H383" t="s">
        <v>3718</v>
      </c>
    </row>
    <row r="384" spans="1:8">
      <c r="A384" s="61">
        <v>674</v>
      </c>
      <c r="B384" s="50" t="s">
        <v>71</v>
      </c>
      <c r="C384" s="50" t="s">
        <v>642</v>
      </c>
      <c r="D384" s="50" t="s">
        <v>2738</v>
      </c>
      <c r="E384" s="50" t="s">
        <v>2738</v>
      </c>
      <c r="F384" s="50" t="s">
        <v>1320</v>
      </c>
      <c r="G384" s="50" t="s">
        <v>1554</v>
      </c>
      <c r="H384" t="s">
        <v>1567</v>
      </c>
    </row>
    <row r="385" spans="1:8">
      <c r="A385" s="61">
        <v>675</v>
      </c>
      <c r="B385" s="50" t="s">
        <v>519</v>
      </c>
      <c r="C385" s="50" t="s">
        <v>1099</v>
      </c>
      <c r="D385" s="50" t="s">
        <v>1960</v>
      </c>
      <c r="E385" s="50" t="s">
        <v>1960</v>
      </c>
      <c r="F385" s="50" t="s">
        <v>223</v>
      </c>
      <c r="G385" s="50" t="s">
        <v>1910</v>
      </c>
      <c r="H385" t="s">
        <v>3719</v>
      </c>
    </row>
    <row r="386" spans="1:8">
      <c r="A386" s="61">
        <v>677</v>
      </c>
      <c r="B386" s="50" t="s">
        <v>520</v>
      </c>
      <c r="C386" s="50" t="s">
        <v>1238</v>
      </c>
      <c r="D386" s="50" t="s">
        <v>234</v>
      </c>
      <c r="E386" s="50" t="s">
        <v>234</v>
      </c>
      <c r="F386" s="50" t="s">
        <v>1585</v>
      </c>
      <c r="G386" s="50" t="s">
        <v>1910</v>
      </c>
      <c r="H386" t="s">
        <v>3720</v>
      </c>
    </row>
    <row r="387" spans="1:8">
      <c r="A387" s="61">
        <v>678</v>
      </c>
      <c r="B387" s="50" t="s">
        <v>521</v>
      </c>
      <c r="C387" s="50" t="s">
        <v>77</v>
      </c>
      <c r="D387" s="50" t="s">
        <v>2094</v>
      </c>
      <c r="E387" s="50" t="s">
        <v>2094</v>
      </c>
      <c r="F387" s="50" t="s">
        <v>2126</v>
      </c>
      <c r="G387" s="50" t="s">
        <v>2095</v>
      </c>
      <c r="H387" t="s">
        <v>2544</v>
      </c>
    </row>
    <row r="388" spans="1:8">
      <c r="A388" s="61">
        <v>679</v>
      </c>
      <c r="B388" s="50" t="s">
        <v>1449</v>
      </c>
      <c r="C388" s="50" t="s">
        <v>522</v>
      </c>
      <c r="D388" s="50" t="s">
        <v>171</v>
      </c>
      <c r="E388" s="50" t="s">
        <v>171</v>
      </c>
      <c r="F388" s="50" t="s">
        <v>2126</v>
      </c>
      <c r="G388" s="50" t="s">
        <v>1918</v>
      </c>
      <c r="H388" t="s">
        <v>1548</v>
      </c>
    </row>
    <row r="389" spans="1:8">
      <c r="A389" s="61">
        <v>681</v>
      </c>
      <c r="B389" s="50" t="s">
        <v>523</v>
      </c>
      <c r="C389" s="50" t="s">
        <v>246</v>
      </c>
      <c r="D389" s="50" t="s">
        <v>2094</v>
      </c>
      <c r="E389" s="50" t="s">
        <v>2094</v>
      </c>
      <c r="F389" s="50" t="s">
        <v>731</v>
      </c>
      <c r="G389" s="50" t="s">
        <v>1888</v>
      </c>
      <c r="H389" t="s">
        <v>2914</v>
      </c>
    </row>
    <row r="390" spans="1:8">
      <c r="A390" s="61">
        <v>682</v>
      </c>
      <c r="B390" s="50" t="s">
        <v>524</v>
      </c>
      <c r="C390" s="50" t="s">
        <v>525</v>
      </c>
      <c r="D390" s="50" t="s">
        <v>269</v>
      </c>
      <c r="E390" s="50" t="s">
        <v>269</v>
      </c>
      <c r="F390" s="50" t="s">
        <v>2516</v>
      </c>
      <c r="G390" s="50" t="s">
        <v>1545</v>
      </c>
      <c r="H390" t="s">
        <v>3721</v>
      </c>
    </row>
    <row r="391" spans="1:8">
      <c r="A391" s="61">
        <v>684</v>
      </c>
      <c r="B391" s="50" t="s">
        <v>526</v>
      </c>
      <c r="C391" s="50" t="s">
        <v>72</v>
      </c>
      <c r="D391" s="50" t="s">
        <v>2317</v>
      </c>
      <c r="E391" s="50" t="s">
        <v>2317</v>
      </c>
      <c r="F391" s="50" t="s">
        <v>731</v>
      </c>
      <c r="G391" s="50" t="s">
        <v>1891</v>
      </c>
      <c r="H391" t="s">
        <v>2940</v>
      </c>
    </row>
    <row r="392" spans="1:8">
      <c r="A392" s="61">
        <v>685</v>
      </c>
      <c r="B392" s="50" t="s">
        <v>447</v>
      </c>
      <c r="C392" s="50" t="s">
        <v>527</v>
      </c>
      <c r="D392" s="50" t="s">
        <v>171</v>
      </c>
      <c r="E392" s="50" t="s">
        <v>171</v>
      </c>
      <c r="F392" s="50" t="s">
        <v>1225</v>
      </c>
      <c r="G392" s="50" t="s">
        <v>1548</v>
      </c>
      <c r="H392" t="s">
        <v>3117</v>
      </c>
    </row>
    <row r="393" spans="1:8">
      <c r="A393" s="61">
        <v>688</v>
      </c>
      <c r="B393" s="50" t="s">
        <v>565</v>
      </c>
      <c r="C393" s="50" t="s">
        <v>527</v>
      </c>
      <c r="D393" s="50" t="s">
        <v>475</v>
      </c>
      <c r="E393" s="50" t="s">
        <v>475</v>
      </c>
      <c r="F393" s="50" t="s">
        <v>1585</v>
      </c>
      <c r="G393" s="50" t="s">
        <v>1550</v>
      </c>
      <c r="H393" t="s">
        <v>3722</v>
      </c>
    </row>
    <row r="394" spans="1:8">
      <c r="A394" s="61">
        <v>689</v>
      </c>
      <c r="B394" s="50" t="s">
        <v>3298</v>
      </c>
      <c r="C394" s="50" t="s">
        <v>188</v>
      </c>
      <c r="D394" s="50" t="s">
        <v>605</v>
      </c>
      <c r="E394" s="50" t="s">
        <v>605</v>
      </c>
      <c r="F394" s="50" t="s">
        <v>1321</v>
      </c>
      <c r="G394" s="50" t="s">
        <v>1882</v>
      </c>
      <c r="H394" t="s">
        <v>536</v>
      </c>
    </row>
    <row r="395" spans="1:8">
      <c r="A395" s="61">
        <v>690</v>
      </c>
      <c r="B395" s="50" t="s">
        <v>566</v>
      </c>
      <c r="C395" s="50" t="s">
        <v>336</v>
      </c>
      <c r="D395" s="50" t="s">
        <v>685</v>
      </c>
      <c r="E395" s="50" t="s">
        <v>685</v>
      </c>
      <c r="F395" s="50" t="s">
        <v>1585</v>
      </c>
      <c r="G395" s="50" t="s">
        <v>1559</v>
      </c>
      <c r="H395" t="s">
        <v>3723</v>
      </c>
    </row>
    <row r="396" spans="1:8">
      <c r="A396" s="61">
        <v>691</v>
      </c>
      <c r="B396" s="50" t="s">
        <v>136</v>
      </c>
      <c r="C396" s="50" t="s">
        <v>1197</v>
      </c>
      <c r="D396" s="50" t="s">
        <v>968</v>
      </c>
      <c r="E396" s="50" t="s">
        <v>968</v>
      </c>
      <c r="F396" s="50" t="s">
        <v>960</v>
      </c>
      <c r="G396" s="50" t="s">
        <v>1878</v>
      </c>
      <c r="H396" t="s">
        <v>2097</v>
      </c>
    </row>
    <row r="397" spans="1:8">
      <c r="A397" s="61">
        <v>696</v>
      </c>
      <c r="B397" s="50" t="s">
        <v>567</v>
      </c>
      <c r="C397" s="50" t="s">
        <v>425</v>
      </c>
      <c r="D397" s="50" t="s">
        <v>2765</v>
      </c>
      <c r="E397" s="50" t="s">
        <v>2765</v>
      </c>
      <c r="F397" s="50" t="s">
        <v>223</v>
      </c>
      <c r="G397" s="50" t="s">
        <v>1380</v>
      </c>
      <c r="H397" t="s">
        <v>3346</v>
      </c>
    </row>
    <row r="398" spans="1:8">
      <c r="A398" s="61">
        <v>700</v>
      </c>
      <c r="B398" s="50" t="s">
        <v>568</v>
      </c>
      <c r="C398" s="50" t="s">
        <v>336</v>
      </c>
      <c r="D398" s="50" t="s">
        <v>2323</v>
      </c>
      <c r="E398" s="50" t="s">
        <v>2323</v>
      </c>
      <c r="F398" s="50" t="s">
        <v>1339</v>
      </c>
      <c r="G398" s="50" t="s">
        <v>1904</v>
      </c>
      <c r="H398" t="s">
        <v>3724</v>
      </c>
    </row>
    <row r="399" spans="1:8">
      <c r="A399" s="61">
        <v>702</v>
      </c>
      <c r="B399" s="50" t="s">
        <v>355</v>
      </c>
      <c r="C399" s="50" t="s">
        <v>75</v>
      </c>
      <c r="D399" s="50" t="s">
        <v>2675</v>
      </c>
      <c r="E399" s="50" t="s">
        <v>2675</v>
      </c>
      <c r="F399" s="50" t="s">
        <v>223</v>
      </c>
      <c r="G399" s="50" t="s">
        <v>339</v>
      </c>
      <c r="H399" t="s">
        <v>3375</v>
      </c>
    </row>
    <row r="400" spans="1:8">
      <c r="A400" s="61">
        <v>706</v>
      </c>
      <c r="B400" s="50" t="s">
        <v>1137</v>
      </c>
      <c r="C400" s="50" t="s">
        <v>964</v>
      </c>
      <c r="D400" s="50" t="s">
        <v>1063</v>
      </c>
      <c r="E400" s="50" t="s">
        <v>1063</v>
      </c>
      <c r="F400" s="50" t="s">
        <v>223</v>
      </c>
      <c r="G400" s="50" t="s">
        <v>1551</v>
      </c>
      <c r="H400" t="s">
        <v>2394</v>
      </c>
    </row>
    <row r="401" spans="1:8">
      <c r="A401" s="61">
        <v>709</v>
      </c>
      <c r="B401" s="50" t="s">
        <v>1138</v>
      </c>
      <c r="C401" s="50" t="s">
        <v>188</v>
      </c>
      <c r="D401" s="50" t="s">
        <v>2325</v>
      </c>
      <c r="E401" s="50" t="s">
        <v>2325</v>
      </c>
      <c r="F401" s="50" t="s">
        <v>223</v>
      </c>
      <c r="G401" s="50" t="s">
        <v>1912</v>
      </c>
      <c r="H401" t="s">
        <v>3725</v>
      </c>
    </row>
    <row r="402" spans="1:8">
      <c r="A402" s="61">
        <v>710</v>
      </c>
      <c r="B402" s="50" t="s">
        <v>1139</v>
      </c>
      <c r="C402" s="50" t="s">
        <v>72</v>
      </c>
      <c r="D402" s="50" t="s">
        <v>503</v>
      </c>
      <c r="E402" s="50" t="s">
        <v>503</v>
      </c>
      <c r="F402" s="50" t="s">
        <v>2037</v>
      </c>
      <c r="G402" s="50" t="s">
        <v>1565</v>
      </c>
      <c r="H402" t="s">
        <v>3047</v>
      </c>
    </row>
    <row r="403" spans="1:8">
      <c r="A403" s="61">
        <v>711</v>
      </c>
      <c r="B403" s="50" t="s">
        <v>1140</v>
      </c>
      <c r="C403" s="50" t="s">
        <v>864</v>
      </c>
      <c r="D403" s="50" t="s">
        <v>974</v>
      </c>
      <c r="E403" s="50" t="s">
        <v>974</v>
      </c>
      <c r="F403" s="50" t="s">
        <v>223</v>
      </c>
      <c r="G403" s="50" t="s">
        <v>1899</v>
      </c>
      <c r="H403" t="s">
        <v>3726</v>
      </c>
    </row>
    <row r="404" spans="1:8">
      <c r="A404" s="61">
        <v>712</v>
      </c>
      <c r="B404" s="50" t="s">
        <v>1141</v>
      </c>
      <c r="C404" s="50" t="s">
        <v>638</v>
      </c>
      <c r="D404" s="50" t="s">
        <v>602</v>
      </c>
      <c r="E404" s="50" t="s">
        <v>602</v>
      </c>
      <c r="F404" s="50" t="s">
        <v>223</v>
      </c>
      <c r="G404" s="50" t="s">
        <v>3588</v>
      </c>
      <c r="H404" t="s">
        <v>3727</v>
      </c>
    </row>
    <row r="405" spans="1:8">
      <c r="A405" s="61">
        <v>717</v>
      </c>
      <c r="B405" s="50" t="s">
        <v>1142</v>
      </c>
      <c r="C405" s="50" t="s">
        <v>635</v>
      </c>
      <c r="D405" s="50" t="s">
        <v>512</v>
      </c>
      <c r="E405" s="50" t="s">
        <v>512</v>
      </c>
      <c r="F405" s="50" t="s">
        <v>451</v>
      </c>
      <c r="G405" s="50" t="s">
        <v>1574</v>
      </c>
      <c r="H405" t="s">
        <v>3728</v>
      </c>
    </row>
    <row r="406" spans="1:8">
      <c r="A406" s="61">
        <v>718</v>
      </c>
      <c r="B406" s="50" t="s">
        <v>1471</v>
      </c>
      <c r="C406" s="50" t="s">
        <v>261</v>
      </c>
      <c r="D406" s="50" t="s">
        <v>2337</v>
      </c>
      <c r="E406" s="50" t="s">
        <v>2337</v>
      </c>
      <c r="F406" s="50" t="s">
        <v>1339</v>
      </c>
      <c r="G406" s="50" t="s">
        <v>2157</v>
      </c>
      <c r="H406" t="s">
        <v>3729</v>
      </c>
    </row>
    <row r="407" spans="1:8">
      <c r="A407" s="61">
        <v>720</v>
      </c>
      <c r="B407" s="50" t="s">
        <v>1143</v>
      </c>
      <c r="C407" s="50" t="s">
        <v>867</v>
      </c>
      <c r="D407" s="50" t="s">
        <v>1080</v>
      </c>
      <c r="E407" s="50" t="s">
        <v>1080</v>
      </c>
      <c r="F407" s="50" t="s">
        <v>223</v>
      </c>
      <c r="G407" s="50" t="s">
        <v>531</v>
      </c>
      <c r="H407" t="s">
        <v>3730</v>
      </c>
    </row>
    <row r="408" spans="1:8">
      <c r="A408" s="61">
        <v>723</v>
      </c>
      <c r="B408" s="50" t="s">
        <v>1144</v>
      </c>
      <c r="C408" s="50" t="s">
        <v>1145</v>
      </c>
      <c r="D408" s="50" t="s">
        <v>2735</v>
      </c>
      <c r="E408" s="50" t="s">
        <v>2735</v>
      </c>
      <c r="F408" s="50" t="s">
        <v>1585</v>
      </c>
      <c r="G408" s="50" t="s">
        <v>2488</v>
      </c>
      <c r="H408" t="s">
        <v>2760</v>
      </c>
    </row>
    <row r="409" spans="1:8">
      <c r="A409" s="61">
        <v>724</v>
      </c>
      <c r="B409" s="50" t="s">
        <v>1146</v>
      </c>
      <c r="C409" s="50" t="s">
        <v>188</v>
      </c>
      <c r="D409" s="50" t="s">
        <v>2735</v>
      </c>
      <c r="E409" s="50" t="s">
        <v>2735</v>
      </c>
      <c r="F409" s="50" t="s">
        <v>1320</v>
      </c>
      <c r="G409" s="50" t="s">
        <v>1887</v>
      </c>
      <c r="H409" t="s">
        <v>2488</v>
      </c>
    </row>
    <row r="410" spans="1:8">
      <c r="A410" s="61">
        <v>728</v>
      </c>
      <c r="B410" s="50" t="s">
        <v>1148</v>
      </c>
      <c r="C410" s="50" t="s">
        <v>263</v>
      </c>
      <c r="D410" s="50" t="s">
        <v>2378</v>
      </c>
      <c r="E410" s="50" t="s">
        <v>2378</v>
      </c>
      <c r="F410" s="50" t="s">
        <v>1585</v>
      </c>
      <c r="G410" s="50" t="s">
        <v>544</v>
      </c>
      <c r="H410" t="s">
        <v>3731</v>
      </c>
    </row>
    <row r="411" spans="1:8">
      <c r="A411" s="61">
        <v>729</v>
      </c>
      <c r="B411" s="50" t="s">
        <v>1149</v>
      </c>
      <c r="C411" s="50" t="s">
        <v>336</v>
      </c>
      <c r="D411" s="50" t="s">
        <v>2450</v>
      </c>
      <c r="E411" s="50" t="s">
        <v>2450</v>
      </c>
      <c r="F411" s="50" t="s">
        <v>1339</v>
      </c>
      <c r="G411" s="50" t="s">
        <v>1582</v>
      </c>
      <c r="H411" t="s">
        <v>3732</v>
      </c>
    </row>
    <row r="412" spans="1:8">
      <c r="A412" s="61">
        <v>730</v>
      </c>
      <c r="B412" s="50" t="s">
        <v>1150</v>
      </c>
      <c r="C412" s="50" t="s">
        <v>188</v>
      </c>
      <c r="D412" s="50" t="s">
        <v>224</v>
      </c>
      <c r="E412" s="50" t="s">
        <v>224</v>
      </c>
      <c r="F412" s="50" t="s">
        <v>223</v>
      </c>
      <c r="G412" s="50" t="s">
        <v>1903</v>
      </c>
      <c r="H412" t="s">
        <v>3733</v>
      </c>
    </row>
    <row r="413" spans="1:8">
      <c r="A413" s="61">
        <v>731</v>
      </c>
      <c r="B413" s="50" t="s">
        <v>1151</v>
      </c>
      <c r="C413" s="50" t="s">
        <v>640</v>
      </c>
      <c r="D413" s="50" t="s">
        <v>2686</v>
      </c>
      <c r="E413" s="50" t="s">
        <v>2686</v>
      </c>
      <c r="F413" s="50" t="s">
        <v>2036</v>
      </c>
      <c r="G413" s="50" t="s">
        <v>1887</v>
      </c>
      <c r="H413" t="s">
        <v>529</v>
      </c>
    </row>
    <row r="414" spans="1:8">
      <c r="A414" s="61">
        <v>732</v>
      </c>
      <c r="B414" s="50" t="s">
        <v>2452</v>
      </c>
      <c r="C414" s="50" t="s">
        <v>188</v>
      </c>
      <c r="D414" s="50" t="s">
        <v>2735</v>
      </c>
      <c r="E414" s="50" t="s">
        <v>2735</v>
      </c>
      <c r="F414" s="50" t="s">
        <v>223</v>
      </c>
      <c r="G414" s="50" t="s">
        <v>2488</v>
      </c>
      <c r="H414" t="s">
        <v>2144</v>
      </c>
    </row>
    <row r="415" spans="1:8">
      <c r="A415" s="61">
        <v>734</v>
      </c>
      <c r="B415" s="50" t="s">
        <v>1152</v>
      </c>
      <c r="C415" s="50" t="s">
        <v>640</v>
      </c>
      <c r="D415" s="50" t="s">
        <v>434</v>
      </c>
      <c r="E415" s="50" t="s">
        <v>434</v>
      </c>
      <c r="F415" s="50" t="s">
        <v>1225</v>
      </c>
      <c r="G415" s="50" t="s">
        <v>1388</v>
      </c>
      <c r="H415" t="s">
        <v>3734</v>
      </c>
    </row>
    <row r="416" spans="1:8">
      <c r="A416" s="61">
        <v>735</v>
      </c>
      <c r="B416" s="50" t="s">
        <v>1265</v>
      </c>
      <c r="C416" s="50" t="s">
        <v>635</v>
      </c>
      <c r="D416" s="50" t="s">
        <v>179</v>
      </c>
      <c r="E416" s="50" t="s">
        <v>179</v>
      </c>
      <c r="F416" s="50" t="s">
        <v>223</v>
      </c>
      <c r="G416" s="50" t="s">
        <v>1543</v>
      </c>
      <c r="H416" t="s">
        <v>3735</v>
      </c>
    </row>
    <row r="417" spans="1:8">
      <c r="A417" s="61">
        <v>739</v>
      </c>
      <c r="B417" s="50" t="s">
        <v>1266</v>
      </c>
      <c r="C417" s="50" t="s">
        <v>780</v>
      </c>
      <c r="D417" s="50" t="s">
        <v>185</v>
      </c>
      <c r="E417" s="50" t="s">
        <v>185</v>
      </c>
      <c r="F417" s="50" t="s">
        <v>1225</v>
      </c>
      <c r="G417" s="50" t="s">
        <v>548</v>
      </c>
      <c r="H417" t="s">
        <v>3736</v>
      </c>
    </row>
    <row r="418" spans="1:8">
      <c r="A418" s="61">
        <v>741</v>
      </c>
      <c r="B418" s="50" t="s">
        <v>1267</v>
      </c>
      <c r="C418" s="50" t="s">
        <v>1177</v>
      </c>
      <c r="D418" s="50" t="s">
        <v>1264</v>
      </c>
      <c r="E418" s="50" t="s">
        <v>1264</v>
      </c>
      <c r="F418" s="50" t="s">
        <v>223</v>
      </c>
      <c r="G418" s="50" t="s">
        <v>3105</v>
      </c>
      <c r="H418" t="s">
        <v>3737</v>
      </c>
    </row>
    <row r="419" spans="1:8">
      <c r="A419" s="61">
        <v>743</v>
      </c>
      <c r="B419" s="50" t="s">
        <v>1125</v>
      </c>
      <c r="C419" s="50" t="s">
        <v>72</v>
      </c>
      <c r="D419" s="50" t="s">
        <v>220</v>
      </c>
      <c r="E419" s="50" t="s">
        <v>220</v>
      </c>
      <c r="F419" s="50" t="s">
        <v>1339</v>
      </c>
      <c r="G419" s="50" t="s">
        <v>1887</v>
      </c>
      <c r="H419" t="s">
        <v>3738</v>
      </c>
    </row>
    <row r="420" spans="1:8">
      <c r="A420" s="61">
        <v>745</v>
      </c>
      <c r="B420" s="50" t="s">
        <v>1126</v>
      </c>
      <c r="C420" s="50" t="s">
        <v>1197</v>
      </c>
      <c r="D420" s="50" t="s">
        <v>844</v>
      </c>
      <c r="E420" s="50" t="s">
        <v>844</v>
      </c>
      <c r="F420" s="50" t="s">
        <v>1339</v>
      </c>
      <c r="G420" s="50" t="s">
        <v>1903</v>
      </c>
      <c r="H420" t="s">
        <v>3739</v>
      </c>
    </row>
    <row r="421" spans="1:8">
      <c r="A421" s="61">
        <v>747</v>
      </c>
      <c r="B421" s="50" t="s">
        <v>1469</v>
      </c>
      <c r="C421" s="50" t="s">
        <v>866</v>
      </c>
      <c r="D421" s="50" t="s">
        <v>208</v>
      </c>
      <c r="E421" s="50" t="s">
        <v>208</v>
      </c>
      <c r="F421" s="50" t="s">
        <v>223</v>
      </c>
      <c r="G421" s="50" t="s">
        <v>3514</v>
      </c>
      <c r="H421" t="s">
        <v>3740</v>
      </c>
    </row>
    <row r="422" spans="1:8">
      <c r="A422" s="61">
        <v>748</v>
      </c>
      <c r="B422" s="50" t="s">
        <v>1127</v>
      </c>
      <c r="C422" s="50" t="s">
        <v>79</v>
      </c>
      <c r="D422" s="50" t="s">
        <v>171</v>
      </c>
      <c r="E422" s="50" t="s">
        <v>171</v>
      </c>
      <c r="F422" s="50" t="s">
        <v>731</v>
      </c>
      <c r="G422" s="50" t="s">
        <v>1548</v>
      </c>
      <c r="H422" t="s">
        <v>3741</v>
      </c>
    </row>
    <row r="423" spans="1:8">
      <c r="A423" s="61">
        <v>750</v>
      </c>
      <c r="B423" s="50" t="s">
        <v>1128</v>
      </c>
      <c r="C423" s="50" t="s">
        <v>79</v>
      </c>
      <c r="D423" s="50" t="s">
        <v>3505</v>
      </c>
      <c r="E423" s="50" t="s">
        <v>3505</v>
      </c>
      <c r="F423" s="50" t="s">
        <v>1320</v>
      </c>
      <c r="G423" s="50" t="s">
        <v>1577</v>
      </c>
      <c r="H423" t="s">
        <v>1563</v>
      </c>
    </row>
    <row r="424" spans="1:8">
      <c r="A424" s="61">
        <v>751</v>
      </c>
      <c r="B424" s="50" t="s">
        <v>1129</v>
      </c>
      <c r="C424" s="50" t="s">
        <v>642</v>
      </c>
      <c r="D424" s="50" t="s">
        <v>2378</v>
      </c>
      <c r="E424" s="50" t="s">
        <v>2378</v>
      </c>
      <c r="F424" s="50" t="s">
        <v>223</v>
      </c>
      <c r="G424" s="50" t="s">
        <v>544</v>
      </c>
      <c r="H424" t="s">
        <v>2819</v>
      </c>
    </row>
    <row r="425" spans="1:8">
      <c r="A425" s="61">
        <v>752</v>
      </c>
      <c r="B425" s="50" t="s">
        <v>1130</v>
      </c>
      <c r="C425" s="50" t="s">
        <v>79</v>
      </c>
      <c r="D425" s="50" t="s">
        <v>2069</v>
      </c>
      <c r="E425" s="50" t="s">
        <v>2069</v>
      </c>
      <c r="F425" s="50" t="s">
        <v>223</v>
      </c>
      <c r="G425" s="50" t="s">
        <v>528</v>
      </c>
      <c r="H425" t="s">
        <v>3118</v>
      </c>
    </row>
    <row r="426" spans="1:8">
      <c r="A426" s="61">
        <v>756</v>
      </c>
      <c r="B426" s="50" t="s">
        <v>1203</v>
      </c>
      <c r="C426" s="50" t="s">
        <v>188</v>
      </c>
      <c r="D426" s="50" t="s">
        <v>1452</v>
      </c>
      <c r="E426" s="50" t="s">
        <v>1452</v>
      </c>
      <c r="F426" s="50" t="s">
        <v>223</v>
      </c>
      <c r="G426" s="50" t="s">
        <v>3514</v>
      </c>
      <c r="H426" t="s">
        <v>3742</v>
      </c>
    </row>
    <row r="427" spans="1:8">
      <c r="A427" s="61">
        <v>759</v>
      </c>
      <c r="B427" s="50" t="s">
        <v>1399</v>
      </c>
      <c r="C427" s="50" t="s">
        <v>966</v>
      </c>
      <c r="D427" s="50" t="s">
        <v>455</v>
      </c>
      <c r="E427" s="50" t="s">
        <v>455</v>
      </c>
      <c r="F427" s="50" t="s">
        <v>1225</v>
      </c>
      <c r="G427" s="50" t="s">
        <v>1883</v>
      </c>
      <c r="H427" t="s">
        <v>3743</v>
      </c>
    </row>
    <row r="428" spans="1:8">
      <c r="A428" s="61">
        <v>760</v>
      </c>
      <c r="B428" s="50" t="s">
        <v>1400</v>
      </c>
      <c r="C428" s="50" t="s">
        <v>1197</v>
      </c>
      <c r="D428" s="50" t="s">
        <v>452</v>
      </c>
      <c r="E428" s="50" t="s">
        <v>452</v>
      </c>
      <c r="F428" s="50" t="s">
        <v>1339</v>
      </c>
      <c r="G428" s="50" t="s">
        <v>346</v>
      </c>
      <c r="H428" t="s">
        <v>3744</v>
      </c>
    </row>
    <row r="429" spans="1:8">
      <c r="A429" s="61">
        <v>765</v>
      </c>
      <c r="B429" s="50" t="s">
        <v>1401</v>
      </c>
      <c r="C429" s="50" t="s">
        <v>640</v>
      </c>
      <c r="D429" s="50" t="s">
        <v>2402</v>
      </c>
      <c r="E429" s="50" t="s">
        <v>2402</v>
      </c>
      <c r="F429" s="50" t="s">
        <v>1339</v>
      </c>
      <c r="G429" s="50" t="s">
        <v>1927</v>
      </c>
      <c r="H429" t="s">
        <v>3745</v>
      </c>
    </row>
    <row r="430" spans="1:8">
      <c r="A430" s="61">
        <v>772</v>
      </c>
      <c r="B430" s="50" t="s">
        <v>1402</v>
      </c>
      <c r="C430" s="50" t="s">
        <v>79</v>
      </c>
      <c r="D430" s="50" t="s">
        <v>2130</v>
      </c>
      <c r="E430" s="50" t="s">
        <v>2130</v>
      </c>
      <c r="F430" s="50" t="s">
        <v>686</v>
      </c>
      <c r="G430" s="50" t="s">
        <v>1922</v>
      </c>
      <c r="H430" t="s">
        <v>3746</v>
      </c>
    </row>
    <row r="431" spans="1:8">
      <c r="A431" s="61">
        <v>773</v>
      </c>
      <c r="B431" s="50" t="s">
        <v>136</v>
      </c>
      <c r="C431" s="50" t="s">
        <v>79</v>
      </c>
      <c r="D431" s="50" t="s">
        <v>2091</v>
      </c>
      <c r="E431" s="50" t="s">
        <v>2091</v>
      </c>
      <c r="F431" s="50" t="s">
        <v>223</v>
      </c>
      <c r="G431" s="50" t="s">
        <v>1924</v>
      </c>
      <c r="H431" t="s">
        <v>3747</v>
      </c>
    </row>
    <row r="432" spans="1:8">
      <c r="A432" s="61">
        <v>778</v>
      </c>
      <c r="B432" s="50" t="s">
        <v>191</v>
      </c>
      <c r="C432" s="50" t="s">
        <v>199</v>
      </c>
      <c r="D432" s="50" t="s">
        <v>142</v>
      </c>
      <c r="E432" s="50" t="s">
        <v>142</v>
      </c>
      <c r="F432" s="50" t="s">
        <v>389</v>
      </c>
      <c r="G432" s="50" t="s">
        <v>2057</v>
      </c>
      <c r="H432" t="s">
        <v>3748</v>
      </c>
    </row>
    <row r="433" spans="1:8">
      <c r="A433" s="61">
        <v>781</v>
      </c>
      <c r="B433" s="50" t="s">
        <v>1403</v>
      </c>
      <c r="C433" s="50" t="s">
        <v>446</v>
      </c>
      <c r="D433" s="50" t="s">
        <v>2329</v>
      </c>
      <c r="E433" s="50" t="s">
        <v>2329</v>
      </c>
      <c r="F433" s="50" t="s">
        <v>1339</v>
      </c>
      <c r="G433" s="50" t="s">
        <v>2775</v>
      </c>
      <c r="H433" t="s">
        <v>3749</v>
      </c>
    </row>
    <row r="434" spans="1:8">
      <c r="A434" s="61">
        <v>783</v>
      </c>
      <c r="B434" s="50" t="s">
        <v>1404</v>
      </c>
      <c r="C434" s="50" t="s">
        <v>79</v>
      </c>
      <c r="D434" s="50" t="s">
        <v>2668</v>
      </c>
      <c r="E434" s="50" t="s">
        <v>2668</v>
      </c>
      <c r="F434" s="50" t="s">
        <v>1586</v>
      </c>
      <c r="G434" s="50" t="s">
        <v>1918</v>
      </c>
      <c r="H434" t="s">
        <v>3408</v>
      </c>
    </row>
    <row r="435" spans="1:8">
      <c r="A435" s="61">
        <v>784</v>
      </c>
      <c r="B435" s="50" t="s">
        <v>1405</v>
      </c>
      <c r="C435" s="50" t="s">
        <v>197</v>
      </c>
      <c r="D435" s="50" t="s">
        <v>2668</v>
      </c>
      <c r="E435" s="50" t="s">
        <v>2668</v>
      </c>
      <c r="F435" s="50" t="s">
        <v>1586</v>
      </c>
      <c r="G435" s="50" t="s">
        <v>1918</v>
      </c>
      <c r="H435" t="s">
        <v>3409</v>
      </c>
    </row>
    <row r="436" spans="1:8">
      <c r="A436" s="61">
        <v>785</v>
      </c>
      <c r="B436" s="50" t="s">
        <v>1406</v>
      </c>
      <c r="C436" s="50" t="s">
        <v>188</v>
      </c>
      <c r="D436" s="50" t="s">
        <v>475</v>
      </c>
      <c r="E436" s="50" t="s">
        <v>475</v>
      </c>
      <c r="F436" s="50" t="s">
        <v>223</v>
      </c>
      <c r="G436" s="50" t="s">
        <v>1550</v>
      </c>
      <c r="H436" t="s">
        <v>1558</v>
      </c>
    </row>
    <row r="437" spans="1:8">
      <c r="A437" s="61">
        <v>787</v>
      </c>
      <c r="B437" s="50" t="s">
        <v>1407</v>
      </c>
      <c r="C437" s="50" t="s">
        <v>446</v>
      </c>
      <c r="D437" s="50" t="s">
        <v>2675</v>
      </c>
      <c r="E437" s="50" t="s">
        <v>2675</v>
      </c>
      <c r="F437" s="50" t="s">
        <v>451</v>
      </c>
      <c r="G437" s="50" t="s">
        <v>339</v>
      </c>
      <c r="H437" t="s">
        <v>3119</v>
      </c>
    </row>
    <row r="438" spans="1:8">
      <c r="A438" s="61">
        <v>788</v>
      </c>
      <c r="B438" s="50" t="s">
        <v>1408</v>
      </c>
      <c r="C438" s="50" t="s">
        <v>1474</v>
      </c>
      <c r="D438" s="50" t="s">
        <v>2686</v>
      </c>
      <c r="E438" s="50" t="s">
        <v>2686</v>
      </c>
      <c r="F438" s="50" t="s">
        <v>223</v>
      </c>
      <c r="G438" s="50" t="s">
        <v>529</v>
      </c>
      <c r="H438" t="s">
        <v>3120</v>
      </c>
    </row>
    <row r="439" spans="1:8">
      <c r="A439" s="61">
        <v>789</v>
      </c>
      <c r="B439" s="50" t="s">
        <v>1409</v>
      </c>
      <c r="C439" s="50" t="s">
        <v>966</v>
      </c>
      <c r="D439" s="50" t="s">
        <v>2675</v>
      </c>
      <c r="E439" s="50" t="s">
        <v>2675</v>
      </c>
      <c r="F439" s="50" t="s">
        <v>1585</v>
      </c>
      <c r="G439" s="50" t="s">
        <v>339</v>
      </c>
      <c r="H439" t="s">
        <v>2904</v>
      </c>
    </row>
    <row r="440" spans="1:8">
      <c r="A440" s="61">
        <v>791</v>
      </c>
      <c r="B440" s="50" t="s">
        <v>1411</v>
      </c>
      <c r="C440" s="50" t="s">
        <v>638</v>
      </c>
      <c r="D440" s="50" t="s">
        <v>224</v>
      </c>
      <c r="E440" s="50" t="s">
        <v>224</v>
      </c>
      <c r="F440" s="50" t="s">
        <v>223</v>
      </c>
      <c r="G440" s="50" t="s">
        <v>1903</v>
      </c>
      <c r="H440" t="s">
        <v>2964</v>
      </c>
    </row>
    <row r="441" spans="1:8">
      <c r="A441" s="61">
        <v>795</v>
      </c>
      <c r="B441" s="50" t="s">
        <v>581</v>
      </c>
      <c r="C441" s="50" t="s">
        <v>336</v>
      </c>
      <c r="D441" s="50" t="s">
        <v>503</v>
      </c>
      <c r="E441" s="50" t="s">
        <v>503</v>
      </c>
      <c r="F441" s="50" t="s">
        <v>1320</v>
      </c>
      <c r="G441" s="50" t="s">
        <v>535</v>
      </c>
      <c r="H441" t="s">
        <v>1565</v>
      </c>
    </row>
    <row r="442" spans="1:8">
      <c r="A442" s="61">
        <v>803</v>
      </c>
      <c r="B442" s="50" t="s">
        <v>1415</v>
      </c>
      <c r="C442" s="50" t="s">
        <v>780</v>
      </c>
      <c r="D442" s="50" t="s">
        <v>2094</v>
      </c>
      <c r="E442" s="50" t="s">
        <v>2094</v>
      </c>
      <c r="F442" s="50" t="s">
        <v>731</v>
      </c>
      <c r="G442" s="50" t="s">
        <v>2544</v>
      </c>
      <c r="H442" t="s">
        <v>2916</v>
      </c>
    </row>
    <row r="443" spans="1:8">
      <c r="A443" s="61">
        <v>804</v>
      </c>
      <c r="B443" s="50" t="s">
        <v>1416</v>
      </c>
      <c r="C443" s="50" t="s">
        <v>642</v>
      </c>
      <c r="D443" s="50" t="s">
        <v>772</v>
      </c>
      <c r="E443" s="50" t="s">
        <v>772</v>
      </c>
      <c r="F443" s="50" t="s">
        <v>2037</v>
      </c>
      <c r="G443" s="50" t="s">
        <v>1389</v>
      </c>
      <c r="H443" t="s">
        <v>3750</v>
      </c>
    </row>
    <row r="444" spans="1:8">
      <c r="A444" s="61">
        <v>808</v>
      </c>
      <c r="B444" s="50" t="s">
        <v>359</v>
      </c>
      <c r="C444" s="50" t="s">
        <v>79</v>
      </c>
      <c r="D444" s="50" t="s">
        <v>3062</v>
      </c>
      <c r="E444" s="50" t="s">
        <v>3062</v>
      </c>
      <c r="F444" s="50" t="s">
        <v>1225</v>
      </c>
      <c r="G444" s="50" t="s">
        <v>1888</v>
      </c>
      <c r="H444" t="s">
        <v>2184</v>
      </c>
    </row>
    <row r="445" spans="1:8">
      <c r="A445" s="61">
        <v>810</v>
      </c>
      <c r="B445" s="50" t="s">
        <v>313</v>
      </c>
      <c r="C445" s="50" t="s">
        <v>79</v>
      </c>
      <c r="D445" s="50" t="s">
        <v>2450</v>
      </c>
      <c r="E445" s="50" t="s">
        <v>2450</v>
      </c>
      <c r="F445" s="50" t="s">
        <v>223</v>
      </c>
      <c r="G445" s="50" t="s">
        <v>1582</v>
      </c>
      <c r="H445" t="s">
        <v>3751</v>
      </c>
    </row>
    <row r="446" spans="1:8">
      <c r="A446" s="61">
        <v>811</v>
      </c>
      <c r="B446" s="50" t="s">
        <v>1418</v>
      </c>
      <c r="C446" s="50" t="s">
        <v>966</v>
      </c>
      <c r="D446" s="50" t="s">
        <v>271</v>
      </c>
      <c r="E446" s="50" t="s">
        <v>271</v>
      </c>
      <c r="F446" s="50" t="s">
        <v>1586</v>
      </c>
      <c r="G446" s="50" t="s">
        <v>2136</v>
      </c>
      <c r="H446" t="s">
        <v>3752</v>
      </c>
    </row>
    <row r="447" spans="1:8">
      <c r="A447" s="61">
        <v>813</v>
      </c>
      <c r="B447" s="50" t="s">
        <v>1419</v>
      </c>
      <c r="C447" s="50" t="s">
        <v>336</v>
      </c>
      <c r="D447" s="50" t="s">
        <v>2809</v>
      </c>
      <c r="E447" s="50" t="s">
        <v>2809</v>
      </c>
      <c r="F447" s="50" t="s">
        <v>2037</v>
      </c>
      <c r="G447" s="50" t="s">
        <v>1893</v>
      </c>
      <c r="H447" t="s">
        <v>3011</v>
      </c>
    </row>
    <row r="448" spans="1:8">
      <c r="A448" s="61">
        <v>815</v>
      </c>
      <c r="B448" s="50" t="s">
        <v>1420</v>
      </c>
      <c r="C448" s="50" t="s">
        <v>261</v>
      </c>
      <c r="D448" s="50" t="s">
        <v>596</v>
      </c>
      <c r="E448" s="50" t="s">
        <v>596</v>
      </c>
      <c r="F448" s="50" t="s">
        <v>223</v>
      </c>
      <c r="G448" s="50" t="s">
        <v>2277</v>
      </c>
      <c r="H448" t="s">
        <v>2808</v>
      </c>
    </row>
    <row r="449" spans="1:8">
      <c r="A449" s="61">
        <v>817</v>
      </c>
      <c r="B449" s="50" t="s">
        <v>1421</v>
      </c>
      <c r="C449" s="50" t="s">
        <v>79</v>
      </c>
      <c r="D449" s="50" t="s">
        <v>235</v>
      </c>
      <c r="E449" s="50" t="s">
        <v>235</v>
      </c>
      <c r="F449" s="50" t="s">
        <v>1225</v>
      </c>
      <c r="G449" s="50" t="s">
        <v>1546</v>
      </c>
      <c r="H449" t="s">
        <v>3753</v>
      </c>
    </row>
    <row r="450" spans="1:8">
      <c r="A450" s="61">
        <v>821</v>
      </c>
      <c r="B450" s="50" t="s">
        <v>1268</v>
      </c>
      <c r="C450" s="50" t="s">
        <v>777</v>
      </c>
      <c r="D450" s="50" t="s">
        <v>1368</v>
      </c>
      <c r="E450" s="50" t="s">
        <v>1368</v>
      </c>
      <c r="F450" s="50" t="s">
        <v>960</v>
      </c>
      <c r="G450" s="50" t="s">
        <v>2781</v>
      </c>
      <c r="H450" t="s">
        <v>1927</v>
      </c>
    </row>
    <row r="451" spans="1:8">
      <c r="A451" s="61">
        <v>823</v>
      </c>
      <c r="B451" s="50" t="s">
        <v>1422</v>
      </c>
      <c r="C451" s="50" t="s">
        <v>1157</v>
      </c>
      <c r="D451" s="50" t="s">
        <v>2675</v>
      </c>
      <c r="E451" s="50" t="s">
        <v>2675</v>
      </c>
      <c r="F451" s="50" t="s">
        <v>1585</v>
      </c>
      <c r="G451" s="50" t="s">
        <v>339</v>
      </c>
      <c r="H451" t="s">
        <v>3754</v>
      </c>
    </row>
    <row r="452" spans="1:8">
      <c r="A452" s="61">
        <v>824</v>
      </c>
      <c r="B452" s="50" t="s">
        <v>1423</v>
      </c>
      <c r="C452" s="50" t="s">
        <v>638</v>
      </c>
      <c r="D452" s="50" t="s">
        <v>1610</v>
      </c>
      <c r="E452" s="50" t="s">
        <v>1610</v>
      </c>
      <c r="F452" s="50" t="s">
        <v>1225</v>
      </c>
      <c r="G452" s="50" t="s">
        <v>1941</v>
      </c>
      <c r="H452" t="s">
        <v>3755</v>
      </c>
    </row>
    <row r="453" spans="1:8">
      <c r="A453" s="61">
        <v>825</v>
      </c>
      <c r="B453" s="50" t="s">
        <v>1424</v>
      </c>
      <c r="C453" s="50" t="s">
        <v>635</v>
      </c>
      <c r="D453" s="50" t="s">
        <v>935</v>
      </c>
      <c r="E453" s="50" t="s">
        <v>935</v>
      </c>
      <c r="F453" s="50" t="s">
        <v>1585</v>
      </c>
      <c r="G453" s="50" t="s">
        <v>2782</v>
      </c>
      <c r="H453" t="s">
        <v>3756</v>
      </c>
    </row>
    <row r="454" spans="1:8">
      <c r="A454" s="61">
        <v>827</v>
      </c>
      <c r="B454" s="50" t="s">
        <v>1425</v>
      </c>
      <c r="C454" s="50" t="s">
        <v>188</v>
      </c>
      <c r="D454" s="50" t="s">
        <v>1452</v>
      </c>
      <c r="E454" s="50" t="s">
        <v>1452</v>
      </c>
      <c r="F454" s="50" t="s">
        <v>2036</v>
      </c>
      <c r="G454" s="50" t="s">
        <v>1884</v>
      </c>
      <c r="H454" t="s">
        <v>3514</v>
      </c>
    </row>
    <row r="455" spans="1:8">
      <c r="A455" s="61">
        <v>828</v>
      </c>
      <c r="B455" s="50" t="s">
        <v>1426</v>
      </c>
      <c r="C455" s="50" t="s">
        <v>77</v>
      </c>
      <c r="D455" s="50" t="s">
        <v>2069</v>
      </c>
      <c r="E455" s="50" t="s">
        <v>2069</v>
      </c>
      <c r="F455" s="50" t="s">
        <v>1585</v>
      </c>
      <c r="G455" s="50" t="s">
        <v>528</v>
      </c>
      <c r="H455" t="s">
        <v>3757</v>
      </c>
    </row>
    <row r="456" spans="1:8">
      <c r="A456" s="61">
        <v>830</v>
      </c>
      <c r="B456" s="50" t="s">
        <v>1427</v>
      </c>
      <c r="C456" s="50" t="s">
        <v>778</v>
      </c>
      <c r="D456" s="50" t="s">
        <v>1368</v>
      </c>
      <c r="E456" s="50" t="s">
        <v>1368</v>
      </c>
      <c r="F456" s="50" t="s">
        <v>960</v>
      </c>
      <c r="G456" s="50" t="s">
        <v>2781</v>
      </c>
      <c r="H456" t="s">
        <v>3758</v>
      </c>
    </row>
    <row r="457" spans="1:8">
      <c r="A457" s="61">
        <v>832</v>
      </c>
      <c r="B457" s="50" t="s">
        <v>1428</v>
      </c>
      <c r="C457" s="50" t="s">
        <v>1429</v>
      </c>
      <c r="D457" s="50" t="s">
        <v>269</v>
      </c>
      <c r="E457" s="50" t="s">
        <v>269</v>
      </c>
      <c r="F457" s="50" t="s">
        <v>1225</v>
      </c>
      <c r="G457" s="50" t="s">
        <v>1545</v>
      </c>
      <c r="H457" t="s">
        <v>3759</v>
      </c>
    </row>
    <row r="458" spans="1:8">
      <c r="A458" s="61">
        <v>833</v>
      </c>
      <c r="B458" s="50" t="s">
        <v>1430</v>
      </c>
      <c r="C458" s="50" t="s">
        <v>79</v>
      </c>
      <c r="D458" s="50" t="s">
        <v>1604</v>
      </c>
      <c r="E458" s="50" t="s">
        <v>1604</v>
      </c>
      <c r="F458" s="50" t="s">
        <v>1586</v>
      </c>
      <c r="G458" s="50" t="s">
        <v>548</v>
      </c>
      <c r="H458" t="s">
        <v>3760</v>
      </c>
    </row>
    <row r="459" spans="1:8">
      <c r="A459" s="61">
        <v>834</v>
      </c>
      <c r="B459" s="50" t="s">
        <v>1431</v>
      </c>
      <c r="C459" s="50" t="s">
        <v>246</v>
      </c>
      <c r="D459" s="50" t="s">
        <v>596</v>
      </c>
      <c r="E459" s="50" t="s">
        <v>596</v>
      </c>
      <c r="F459" s="50" t="s">
        <v>223</v>
      </c>
      <c r="G459" s="50" t="s">
        <v>2277</v>
      </c>
      <c r="H459" t="s">
        <v>3761</v>
      </c>
    </row>
    <row r="460" spans="1:8">
      <c r="A460" s="61">
        <v>835</v>
      </c>
      <c r="B460" s="50" t="s">
        <v>1432</v>
      </c>
      <c r="C460" s="50" t="s">
        <v>1099</v>
      </c>
      <c r="D460" s="50" t="s">
        <v>1263</v>
      </c>
      <c r="E460" s="50" t="s">
        <v>1263</v>
      </c>
      <c r="F460" s="50" t="s">
        <v>390</v>
      </c>
      <c r="G460" s="50" t="s">
        <v>1571</v>
      </c>
      <c r="H460" t="s">
        <v>3762</v>
      </c>
    </row>
    <row r="461" spans="1:8">
      <c r="A461" s="61">
        <v>836</v>
      </c>
      <c r="B461" s="50" t="s">
        <v>80</v>
      </c>
      <c r="C461" s="50" t="s">
        <v>75</v>
      </c>
      <c r="D461" s="50" t="s">
        <v>1317</v>
      </c>
      <c r="E461" s="50" t="s">
        <v>1317</v>
      </c>
      <c r="F461" s="50" t="s">
        <v>1225</v>
      </c>
      <c r="G461" s="50" t="s">
        <v>2102</v>
      </c>
      <c r="H461" t="s">
        <v>3763</v>
      </c>
    </row>
    <row r="462" spans="1:8">
      <c r="A462" s="61">
        <v>839</v>
      </c>
      <c r="B462" s="50" t="s">
        <v>81</v>
      </c>
      <c r="C462" s="50" t="s">
        <v>640</v>
      </c>
      <c r="D462" s="50" t="s">
        <v>2378</v>
      </c>
      <c r="E462" s="50" t="s">
        <v>2378</v>
      </c>
      <c r="F462" s="50" t="s">
        <v>1585</v>
      </c>
      <c r="G462" s="50" t="s">
        <v>544</v>
      </c>
      <c r="H462" t="s">
        <v>3764</v>
      </c>
    </row>
    <row r="463" spans="1:8">
      <c r="A463" s="61">
        <v>841</v>
      </c>
      <c r="B463" s="50" t="s">
        <v>83</v>
      </c>
      <c r="C463" s="50" t="s">
        <v>261</v>
      </c>
      <c r="D463" s="50" t="s">
        <v>481</v>
      </c>
      <c r="E463" s="50" t="s">
        <v>481</v>
      </c>
      <c r="F463" s="50" t="s">
        <v>1225</v>
      </c>
      <c r="G463" s="50" t="s">
        <v>1381</v>
      </c>
      <c r="H463" t="s">
        <v>3765</v>
      </c>
    </row>
    <row r="464" spans="1:8">
      <c r="A464" s="61">
        <v>843</v>
      </c>
      <c r="B464" s="50" t="s">
        <v>84</v>
      </c>
      <c r="C464" s="50" t="s">
        <v>425</v>
      </c>
      <c r="D464" s="50" t="s">
        <v>206</v>
      </c>
      <c r="E464" s="50" t="s">
        <v>206</v>
      </c>
      <c r="F464" s="50" t="s">
        <v>1339</v>
      </c>
      <c r="G464" s="50" t="s">
        <v>532</v>
      </c>
      <c r="H464" t="s">
        <v>3766</v>
      </c>
    </row>
    <row r="465" spans="1:8">
      <c r="A465" s="61">
        <v>846</v>
      </c>
      <c r="B465" s="50" t="s">
        <v>85</v>
      </c>
      <c r="C465" s="50" t="s">
        <v>338</v>
      </c>
      <c r="D465" s="50" t="s">
        <v>1289</v>
      </c>
      <c r="E465" s="50" t="s">
        <v>1289</v>
      </c>
      <c r="F465" s="50" t="s">
        <v>1339</v>
      </c>
      <c r="G465" s="50" t="s">
        <v>1568</v>
      </c>
      <c r="H465" t="s">
        <v>3767</v>
      </c>
    </row>
    <row r="466" spans="1:8">
      <c r="A466" s="61">
        <v>848</v>
      </c>
      <c r="B466" s="50" t="s">
        <v>86</v>
      </c>
      <c r="C466" s="50" t="s">
        <v>962</v>
      </c>
      <c r="D466" s="50" t="s">
        <v>2149</v>
      </c>
      <c r="E466" s="50" t="s">
        <v>2149</v>
      </c>
      <c r="F466" s="50" t="s">
        <v>2126</v>
      </c>
      <c r="G466" s="50" t="s">
        <v>2147</v>
      </c>
      <c r="H466" t="s">
        <v>539</v>
      </c>
    </row>
    <row r="467" spans="1:8">
      <c r="A467" s="61">
        <v>849</v>
      </c>
      <c r="B467" s="50" t="s">
        <v>87</v>
      </c>
      <c r="C467" s="50" t="s">
        <v>1162</v>
      </c>
      <c r="D467" s="50" t="s">
        <v>711</v>
      </c>
      <c r="E467" s="50" t="s">
        <v>711</v>
      </c>
      <c r="F467" s="50" t="s">
        <v>1586</v>
      </c>
      <c r="G467" s="50" t="s">
        <v>543</v>
      </c>
      <c r="H467" t="s">
        <v>3717</v>
      </c>
    </row>
    <row r="468" spans="1:8">
      <c r="A468" s="61">
        <v>850</v>
      </c>
      <c r="B468" s="50" t="s">
        <v>88</v>
      </c>
      <c r="C468" s="50" t="s">
        <v>261</v>
      </c>
      <c r="D468" s="50" t="s">
        <v>2469</v>
      </c>
      <c r="E468" s="50" t="s">
        <v>2469</v>
      </c>
      <c r="F468" s="50" t="s">
        <v>1225</v>
      </c>
      <c r="G468" s="50" t="s">
        <v>547</v>
      </c>
      <c r="H468" t="s">
        <v>3768</v>
      </c>
    </row>
    <row r="469" spans="1:8">
      <c r="A469" s="61">
        <v>852</v>
      </c>
      <c r="B469" s="50" t="s">
        <v>89</v>
      </c>
      <c r="C469" s="50" t="s">
        <v>199</v>
      </c>
      <c r="D469" s="50" t="s">
        <v>2979</v>
      </c>
      <c r="E469" s="50" t="s">
        <v>2979</v>
      </c>
      <c r="F469" s="50" t="s">
        <v>1320</v>
      </c>
      <c r="G469" s="50" t="s">
        <v>2793</v>
      </c>
      <c r="H469" t="s">
        <v>2474</v>
      </c>
    </row>
    <row r="470" spans="1:8">
      <c r="A470" s="61">
        <v>853</v>
      </c>
      <c r="B470" s="50" t="s">
        <v>90</v>
      </c>
      <c r="C470" s="50" t="s">
        <v>75</v>
      </c>
      <c r="D470" s="50" t="s">
        <v>2029</v>
      </c>
      <c r="E470" s="50" t="s">
        <v>2029</v>
      </c>
      <c r="F470" s="50" t="s">
        <v>1339</v>
      </c>
      <c r="G470" s="50" t="s">
        <v>1385</v>
      </c>
      <c r="H470" t="s">
        <v>3769</v>
      </c>
    </row>
    <row r="471" spans="1:8">
      <c r="A471" s="61">
        <v>854</v>
      </c>
      <c r="B471" s="50" t="s">
        <v>91</v>
      </c>
      <c r="C471" s="50" t="s">
        <v>964</v>
      </c>
      <c r="D471" s="50" t="s">
        <v>690</v>
      </c>
      <c r="E471" s="50" t="s">
        <v>690</v>
      </c>
      <c r="F471" s="50" t="s">
        <v>1224</v>
      </c>
      <c r="G471" s="50" t="s">
        <v>1583</v>
      </c>
      <c r="H471" t="s">
        <v>3770</v>
      </c>
    </row>
    <row r="472" spans="1:8">
      <c r="A472" s="61">
        <v>857</v>
      </c>
      <c r="B472" s="50" t="s">
        <v>92</v>
      </c>
      <c r="C472" s="50" t="s">
        <v>188</v>
      </c>
      <c r="D472" s="50" t="s">
        <v>2086</v>
      </c>
      <c r="E472" s="50" t="s">
        <v>2086</v>
      </c>
      <c r="F472" s="50" t="s">
        <v>223</v>
      </c>
      <c r="G472" s="50" t="s">
        <v>1569</v>
      </c>
      <c r="H472" t="s">
        <v>2489</v>
      </c>
    </row>
    <row r="473" spans="1:8">
      <c r="A473" s="61">
        <v>858</v>
      </c>
      <c r="B473" s="50" t="s">
        <v>93</v>
      </c>
      <c r="C473" s="50" t="s">
        <v>640</v>
      </c>
      <c r="D473" s="50" t="s">
        <v>684</v>
      </c>
      <c r="E473" s="50" t="s">
        <v>684</v>
      </c>
      <c r="F473" s="50" t="s">
        <v>1339</v>
      </c>
      <c r="G473" s="50" t="s">
        <v>541</v>
      </c>
      <c r="H473" t="s">
        <v>3771</v>
      </c>
    </row>
    <row r="474" spans="1:8">
      <c r="A474" s="61">
        <v>859</v>
      </c>
      <c r="B474" s="50" t="s">
        <v>94</v>
      </c>
      <c r="C474" s="50" t="s">
        <v>966</v>
      </c>
      <c r="D474" s="50" t="s">
        <v>475</v>
      </c>
      <c r="E474" s="50" t="s">
        <v>475</v>
      </c>
      <c r="F474" s="50" t="s">
        <v>1320</v>
      </c>
      <c r="G474" s="50" t="s">
        <v>1920</v>
      </c>
      <c r="H474" t="s">
        <v>1550</v>
      </c>
    </row>
    <row r="475" spans="1:8">
      <c r="A475" s="61">
        <v>864</v>
      </c>
      <c r="B475" s="50" t="s">
        <v>95</v>
      </c>
      <c r="C475" s="50" t="s">
        <v>1197</v>
      </c>
      <c r="D475" s="50" t="s">
        <v>691</v>
      </c>
      <c r="E475" s="50" t="s">
        <v>691</v>
      </c>
      <c r="F475" s="50" t="s">
        <v>1225</v>
      </c>
      <c r="G475" s="50" t="s">
        <v>547</v>
      </c>
      <c r="H475" t="s">
        <v>3772</v>
      </c>
    </row>
    <row r="476" spans="1:8">
      <c r="A476" s="61">
        <v>866</v>
      </c>
      <c r="B476" s="50" t="s">
        <v>96</v>
      </c>
      <c r="C476" s="50" t="s">
        <v>246</v>
      </c>
      <c r="D476" s="50" t="s">
        <v>690</v>
      </c>
      <c r="E476" s="50" t="s">
        <v>690</v>
      </c>
      <c r="F476" s="50" t="s">
        <v>2609</v>
      </c>
      <c r="G476" s="50" t="s">
        <v>1955</v>
      </c>
      <c r="H476" t="s">
        <v>1583</v>
      </c>
    </row>
    <row r="477" spans="1:8">
      <c r="A477" s="61">
        <v>867</v>
      </c>
      <c r="B477" s="50" t="s">
        <v>97</v>
      </c>
      <c r="C477" s="50" t="s">
        <v>263</v>
      </c>
      <c r="D477" s="50" t="s">
        <v>2377</v>
      </c>
      <c r="E477" s="50" t="s">
        <v>2377</v>
      </c>
      <c r="F477" s="50" t="s">
        <v>1585</v>
      </c>
      <c r="G477" s="50" t="s">
        <v>1395</v>
      </c>
      <c r="H477" t="s">
        <v>3773</v>
      </c>
    </row>
    <row r="478" spans="1:8">
      <c r="A478" s="61">
        <v>868</v>
      </c>
      <c r="B478" s="50" t="s">
        <v>98</v>
      </c>
      <c r="C478" s="50" t="s">
        <v>964</v>
      </c>
      <c r="D478" s="50" t="s">
        <v>2152</v>
      </c>
      <c r="E478" s="50" t="s">
        <v>2152</v>
      </c>
      <c r="F478" s="50" t="s">
        <v>223</v>
      </c>
      <c r="G478" s="32" t="s">
        <v>1924</v>
      </c>
      <c r="H478" t="s">
        <v>1876</v>
      </c>
    </row>
    <row r="479" spans="1:8">
      <c r="A479" s="61">
        <v>869</v>
      </c>
      <c r="B479" s="50" t="s">
        <v>99</v>
      </c>
      <c r="C479" s="50" t="s">
        <v>79</v>
      </c>
      <c r="D479" s="50" t="s">
        <v>2675</v>
      </c>
      <c r="E479" s="50" t="s">
        <v>2675</v>
      </c>
      <c r="F479" s="50" t="s">
        <v>223</v>
      </c>
      <c r="G479" s="50" t="s">
        <v>339</v>
      </c>
      <c r="H479" t="s">
        <v>3374</v>
      </c>
    </row>
    <row r="480" spans="1:8">
      <c r="A480" s="61">
        <v>870</v>
      </c>
      <c r="B480" s="50" t="s">
        <v>100</v>
      </c>
      <c r="C480" s="50" t="s">
        <v>246</v>
      </c>
      <c r="D480" s="50" t="s">
        <v>2787</v>
      </c>
      <c r="E480" s="50" t="s">
        <v>2787</v>
      </c>
      <c r="F480" s="50" t="s">
        <v>2037</v>
      </c>
      <c r="G480" s="50" t="s">
        <v>1555</v>
      </c>
      <c r="H480" t="s">
        <v>3540</v>
      </c>
    </row>
    <row r="481" spans="1:8">
      <c r="A481" s="61">
        <v>871</v>
      </c>
      <c r="B481" s="50" t="s">
        <v>101</v>
      </c>
      <c r="C481" s="50" t="s">
        <v>242</v>
      </c>
      <c r="D481" s="50" t="s">
        <v>1325</v>
      </c>
      <c r="E481" s="50" t="s">
        <v>1325</v>
      </c>
      <c r="F481" s="50" t="s">
        <v>223</v>
      </c>
      <c r="G481" s="50" t="s">
        <v>2159</v>
      </c>
      <c r="H481" t="s">
        <v>3774</v>
      </c>
    </row>
    <row r="482" spans="1:8">
      <c r="A482" s="61">
        <v>873</v>
      </c>
      <c r="B482" s="50" t="s">
        <v>102</v>
      </c>
      <c r="C482" s="50" t="s">
        <v>336</v>
      </c>
      <c r="D482" s="50" t="s">
        <v>3531</v>
      </c>
      <c r="E482" s="50" t="s">
        <v>3531</v>
      </c>
      <c r="F482" s="50" t="s">
        <v>2037</v>
      </c>
      <c r="G482" s="50" t="s">
        <v>339</v>
      </c>
      <c r="H482" t="s">
        <v>3536</v>
      </c>
    </row>
    <row r="483" spans="1:8">
      <c r="A483" s="61">
        <v>874</v>
      </c>
      <c r="B483" s="50" t="s">
        <v>103</v>
      </c>
      <c r="C483" s="50" t="s">
        <v>780</v>
      </c>
      <c r="D483" s="50" t="s">
        <v>2073</v>
      </c>
      <c r="E483" s="50" t="s">
        <v>2073</v>
      </c>
      <c r="F483" s="50" t="s">
        <v>1585</v>
      </c>
      <c r="G483" s="50" t="s">
        <v>2471</v>
      </c>
      <c r="H483" t="s">
        <v>3775</v>
      </c>
    </row>
    <row r="484" spans="1:8">
      <c r="A484" s="61">
        <v>875</v>
      </c>
      <c r="B484" s="50" t="s">
        <v>104</v>
      </c>
      <c r="C484" s="50" t="s">
        <v>1311</v>
      </c>
      <c r="D484" s="50" t="s">
        <v>3000</v>
      </c>
      <c r="E484" s="50" t="s">
        <v>3000</v>
      </c>
      <c r="F484" s="50" t="s">
        <v>223</v>
      </c>
      <c r="G484" s="50" t="s">
        <v>1390</v>
      </c>
      <c r="H484" t="s">
        <v>3524</v>
      </c>
    </row>
    <row r="485" spans="1:8">
      <c r="A485" s="61">
        <v>878</v>
      </c>
      <c r="B485" s="50" t="s">
        <v>105</v>
      </c>
      <c r="C485" s="50" t="s">
        <v>964</v>
      </c>
      <c r="D485" s="50" t="s">
        <v>2003</v>
      </c>
      <c r="E485" s="50" t="s">
        <v>2003</v>
      </c>
      <c r="F485" s="50" t="s">
        <v>960</v>
      </c>
      <c r="G485" s="50" t="s">
        <v>1886</v>
      </c>
      <c r="H485" t="s">
        <v>1928</v>
      </c>
    </row>
    <row r="486" spans="1:8">
      <c r="A486" s="61">
        <v>881</v>
      </c>
      <c r="B486" s="50" t="s">
        <v>106</v>
      </c>
      <c r="C486" s="50" t="s">
        <v>425</v>
      </c>
      <c r="D486" s="50" t="s">
        <v>740</v>
      </c>
      <c r="E486" s="50" t="s">
        <v>740</v>
      </c>
      <c r="F486" s="50" t="s">
        <v>1225</v>
      </c>
      <c r="G486" s="50" t="s">
        <v>1897</v>
      </c>
      <c r="H486" t="s">
        <v>3776</v>
      </c>
    </row>
    <row r="487" spans="1:8">
      <c r="A487" s="61">
        <v>883</v>
      </c>
      <c r="B487" s="50" t="s">
        <v>3299</v>
      </c>
      <c r="C487" s="50" t="s">
        <v>72</v>
      </c>
      <c r="D487" s="50" t="s">
        <v>1971</v>
      </c>
      <c r="E487" s="50" t="s">
        <v>1971</v>
      </c>
      <c r="F487" s="50" t="s">
        <v>1225</v>
      </c>
      <c r="G487" s="50" t="s">
        <v>2181</v>
      </c>
      <c r="H487" t="s">
        <v>3777</v>
      </c>
    </row>
    <row r="488" spans="1:8">
      <c r="A488" s="61">
        <v>884</v>
      </c>
      <c r="B488" s="50" t="s">
        <v>107</v>
      </c>
      <c r="C488" s="50" t="s">
        <v>638</v>
      </c>
      <c r="D488" s="50" t="s">
        <v>2315</v>
      </c>
      <c r="E488" s="50" t="s">
        <v>2315</v>
      </c>
      <c r="F488" s="50" t="s">
        <v>1225</v>
      </c>
      <c r="G488" s="50" t="s">
        <v>1898</v>
      </c>
      <c r="H488" t="s">
        <v>3426</v>
      </c>
    </row>
    <row r="489" spans="1:8">
      <c r="A489" s="61">
        <v>885</v>
      </c>
      <c r="B489" s="50" t="s">
        <v>136</v>
      </c>
      <c r="C489" s="50" t="s">
        <v>108</v>
      </c>
      <c r="D489" s="50" t="s">
        <v>3062</v>
      </c>
      <c r="E489" s="50" t="s">
        <v>3062</v>
      </c>
      <c r="F489" s="50" t="s">
        <v>1225</v>
      </c>
      <c r="G489" s="50" t="s">
        <v>1888</v>
      </c>
      <c r="H489" t="s">
        <v>2915</v>
      </c>
    </row>
    <row r="490" spans="1:8">
      <c r="A490" s="61">
        <v>886</v>
      </c>
      <c r="B490" s="50" t="s">
        <v>109</v>
      </c>
      <c r="C490" s="50" t="s">
        <v>1311</v>
      </c>
      <c r="D490" s="50" t="s">
        <v>481</v>
      </c>
      <c r="E490" s="50" t="s">
        <v>481</v>
      </c>
      <c r="F490" s="50" t="s">
        <v>1225</v>
      </c>
      <c r="G490" s="50" t="s">
        <v>1381</v>
      </c>
      <c r="H490" t="s">
        <v>3778</v>
      </c>
    </row>
    <row r="491" spans="1:8">
      <c r="A491" s="61">
        <v>887</v>
      </c>
      <c r="B491" s="50" t="s">
        <v>420</v>
      </c>
      <c r="C491" s="50" t="s">
        <v>1197</v>
      </c>
      <c r="D491" s="50" t="s">
        <v>1318</v>
      </c>
      <c r="E491" s="50" t="s">
        <v>1318</v>
      </c>
      <c r="F491" s="50" t="s">
        <v>2727</v>
      </c>
      <c r="G491" s="50" t="s">
        <v>1905</v>
      </c>
      <c r="H491" t="s">
        <v>212</v>
      </c>
    </row>
    <row r="492" spans="1:8">
      <c r="A492" s="61">
        <v>888</v>
      </c>
      <c r="B492" s="50" t="s">
        <v>110</v>
      </c>
      <c r="C492" s="50" t="s">
        <v>638</v>
      </c>
      <c r="D492" s="50" t="s">
        <v>2317</v>
      </c>
      <c r="E492" s="50" t="s">
        <v>2317</v>
      </c>
      <c r="F492" s="50" t="s">
        <v>1225</v>
      </c>
      <c r="G492" s="50" t="s">
        <v>1891</v>
      </c>
      <c r="H492" t="s">
        <v>3072</v>
      </c>
    </row>
    <row r="493" spans="1:8">
      <c r="A493" s="61">
        <v>889</v>
      </c>
      <c r="B493" s="50" t="s">
        <v>111</v>
      </c>
      <c r="C493" s="50" t="s">
        <v>263</v>
      </c>
      <c r="D493" s="50" t="s">
        <v>455</v>
      </c>
      <c r="E493" s="50" t="s">
        <v>455</v>
      </c>
      <c r="F493" s="50" t="s">
        <v>731</v>
      </c>
      <c r="G493" s="50" t="s">
        <v>1883</v>
      </c>
      <c r="H493" t="s">
        <v>3779</v>
      </c>
    </row>
    <row r="494" spans="1:8">
      <c r="A494" s="61">
        <v>890</v>
      </c>
      <c r="B494" s="50" t="s">
        <v>112</v>
      </c>
      <c r="C494" s="50" t="s">
        <v>964</v>
      </c>
      <c r="D494" s="50" t="s">
        <v>2979</v>
      </c>
      <c r="E494" s="50" t="s">
        <v>2979</v>
      </c>
      <c r="F494" s="50" t="s">
        <v>1320</v>
      </c>
      <c r="G494" s="50" t="s">
        <v>2793</v>
      </c>
      <c r="H494" t="s">
        <v>2520</v>
      </c>
    </row>
    <row r="495" spans="1:8">
      <c r="A495" s="61">
        <v>893</v>
      </c>
      <c r="B495" s="50" t="s">
        <v>577</v>
      </c>
      <c r="C495" s="50" t="s">
        <v>866</v>
      </c>
      <c r="D495" s="50" t="s">
        <v>1063</v>
      </c>
      <c r="E495" s="50" t="s">
        <v>1063</v>
      </c>
      <c r="F495" s="50" t="s">
        <v>223</v>
      </c>
      <c r="G495" s="50" t="s">
        <v>1551</v>
      </c>
      <c r="H495" t="s">
        <v>3780</v>
      </c>
    </row>
    <row r="496" spans="1:8">
      <c r="A496" s="61">
        <v>896</v>
      </c>
      <c r="B496" s="50" t="s">
        <v>113</v>
      </c>
      <c r="C496" s="50" t="s">
        <v>638</v>
      </c>
      <c r="D496" s="50" t="s">
        <v>1991</v>
      </c>
      <c r="E496" s="50" t="s">
        <v>1991</v>
      </c>
      <c r="F496" s="50" t="s">
        <v>1586</v>
      </c>
      <c r="G496" s="50" t="s">
        <v>1572</v>
      </c>
      <c r="H496" t="s">
        <v>3781</v>
      </c>
    </row>
    <row r="497" spans="1:8">
      <c r="A497" s="61">
        <v>897</v>
      </c>
      <c r="B497" s="50" t="s">
        <v>114</v>
      </c>
      <c r="C497" s="50" t="s">
        <v>79</v>
      </c>
      <c r="D497" s="50" t="s">
        <v>1482</v>
      </c>
      <c r="E497" s="50" t="s">
        <v>1482</v>
      </c>
      <c r="F497" s="50" t="s">
        <v>1586</v>
      </c>
      <c r="G497" s="50" t="s">
        <v>2099</v>
      </c>
      <c r="H497" t="s">
        <v>3782</v>
      </c>
    </row>
    <row r="498" spans="1:8">
      <c r="A498" s="61">
        <v>898</v>
      </c>
      <c r="B498" s="50" t="s">
        <v>952</v>
      </c>
      <c r="C498" s="50" t="s">
        <v>246</v>
      </c>
      <c r="D498" s="50" t="s">
        <v>1482</v>
      </c>
      <c r="E498" s="50" t="s">
        <v>1482</v>
      </c>
      <c r="F498" s="50" t="s">
        <v>2126</v>
      </c>
      <c r="G498" s="50" t="s">
        <v>2141</v>
      </c>
      <c r="H498" t="s">
        <v>2099</v>
      </c>
    </row>
    <row r="499" spans="1:8">
      <c r="A499" s="61">
        <v>899</v>
      </c>
      <c r="B499" s="50" t="s">
        <v>115</v>
      </c>
      <c r="C499" s="50" t="s">
        <v>197</v>
      </c>
      <c r="D499" s="50" t="s">
        <v>1971</v>
      </c>
      <c r="E499" s="50" t="s">
        <v>1971</v>
      </c>
      <c r="F499" s="50" t="s">
        <v>2610</v>
      </c>
      <c r="G499" s="50" t="s">
        <v>2181</v>
      </c>
      <c r="H499" t="s">
        <v>3783</v>
      </c>
    </row>
    <row r="500" spans="1:8">
      <c r="A500" s="61">
        <v>902</v>
      </c>
      <c r="B500" s="50" t="s">
        <v>116</v>
      </c>
      <c r="C500" s="50" t="s">
        <v>117</v>
      </c>
      <c r="D500" s="50" t="s">
        <v>351</v>
      </c>
      <c r="E500" s="50" t="s">
        <v>351</v>
      </c>
      <c r="F500" s="50" t="s">
        <v>2288</v>
      </c>
      <c r="G500" s="50" t="s">
        <v>1937</v>
      </c>
      <c r="H500" t="s">
        <v>3784</v>
      </c>
    </row>
    <row r="501" spans="1:8">
      <c r="A501" s="61">
        <v>903</v>
      </c>
      <c r="B501" s="50" t="s">
        <v>118</v>
      </c>
      <c r="C501" s="50" t="s">
        <v>1197</v>
      </c>
      <c r="D501" s="50" t="s">
        <v>2324</v>
      </c>
      <c r="E501" s="50" t="s">
        <v>2324</v>
      </c>
      <c r="F501" s="50" t="s">
        <v>1585</v>
      </c>
      <c r="G501" s="50" t="s">
        <v>2326</v>
      </c>
      <c r="H501" t="s">
        <v>2826</v>
      </c>
    </row>
    <row r="502" spans="1:8">
      <c r="A502" s="61">
        <v>905</v>
      </c>
      <c r="B502" s="50" t="s">
        <v>358</v>
      </c>
      <c r="C502" s="50" t="s">
        <v>263</v>
      </c>
      <c r="D502" s="50" t="s">
        <v>2378</v>
      </c>
      <c r="E502" s="50" t="s">
        <v>2378</v>
      </c>
      <c r="F502" s="50" t="s">
        <v>1339</v>
      </c>
      <c r="G502" s="50" t="s">
        <v>544</v>
      </c>
      <c r="H502" t="s">
        <v>3427</v>
      </c>
    </row>
    <row r="503" spans="1:8">
      <c r="A503" s="61">
        <v>906</v>
      </c>
      <c r="B503" s="50" t="s">
        <v>119</v>
      </c>
      <c r="C503" s="50" t="s">
        <v>778</v>
      </c>
      <c r="D503" s="50" t="s">
        <v>809</v>
      </c>
      <c r="E503" s="50" t="s">
        <v>809</v>
      </c>
      <c r="F503" s="50" t="s">
        <v>390</v>
      </c>
      <c r="G503" s="50" t="s">
        <v>2773</v>
      </c>
      <c r="H503" t="s">
        <v>3785</v>
      </c>
    </row>
    <row r="504" spans="1:8">
      <c r="A504" s="61">
        <v>909</v>
      </c>
      <c r="B504" s="50" t="s">
        <v>120</v>
      </c>
      <c r="C504" s="50" t="s">
        <v>72</v>
      </c>
      <c r="D504" s="50" t="s">
        <v>504</v>
      </c>
      <c r="E504" s="50" t="s">
        <v>504</v>
      </c>
      <c r="F504" s="50" t="s">
        <v>223</v>
      </c>
      <c r="G504" s="50" t="s">
        <v>4171</v>
      </c>
      <c r="H504" t="s">
        <v>3786</v>
      </c>
    </row>
    <row r="505" spans="1:8">
      <c r="A505" s="61">
        <v>911</v>
      </c>
      <c r="B505" s="50" t="s">
        <v>121</v>
      </c>
      <c r="C505" s="50" t="s">
        <v>336</v>
      </c>
      <c r="D505" s="50" t="s">
        <v>504</v>
      </c>
      <c r="E505" s="50" t="s">
        <v>504</v>
      </c>
      <c r="F505" s="50" t="s">
        <v>223</v>
      </c>
      <c r="G505" s="50" t="s">
        <v>4171</v>
      </c>
      <c r="H505" t="s">
        <v>3787</v>
      </c>
    </row>
    <row r="506" spans="1:8">
      <c r="A506" s="61">
        <v>915</v>
      </c>
      <c r="B506" s="50" t="s">
        <v>505</v>
      </c>
      <c r="C506" s="50" t="s">
        <v>75</v>
      </c>
      <c r="D506" s="50" t="s">
        <v>1452</v>
      </c>
      <c r="E506" s="50" t="s">
        <v>1452</v>
      </c>
      <c r="F506" s="50" t="s">
        <v>2037</v>
      </c>
      <c r="G506" s="50" t="s">
        <v>3514</v>
      </c>
      <c r="H506" t="s">
        <v>3121</v>
      </c>
    </row>
    <row r="507" spans="1:8">
      <c r="A507" s="61">
        <v>917</v>
      </c>
      <c r="B507" s="50" t="s">
        <v>506</v>
      </c>
      <c r="C507" s="50" t="s">
        <v>1197</v>
      </c>
      <c r="D507" s="50" t="s">
        <v>3317</v>
      </c>
      <c r="E507" s="50" t="s">
        <v>3317</v>
      </c>
      <c r="F507" s="50" t="s">
        <v>2037</v>
      </c>
      <c r="G507" s="50" t="s">
        <v>1909</v>
      </c>
      <c r="H507" t="s">
        <v>3489</v>
      </c>
    </row>
    <row r="508" spans="1:8">
      <c r="A508" s="61">
        <v>921</v>
      </c>
      <c r="B508" s="50" t="s">
        <v>245</v>
      </c>
      <c r="C508" s="50" t="s">
        <v>188</v>
      </c>
      <c r="D508" s="50" t="s">
        <v>2377</v>
      </c>
      <c r="E508" s="50" t="s">
        <v>2377</v>
      </c>
      <c r="F508" s="50" t="s">
        <v>1585</v>
      </c>
      <c r="G508" s="50" t="s">
        <v>1395</v>
      </c>
      <c r="H508" t="s">
        <v>2389</v>
      </c>
    </row>
    <row r="509" spans="1:8">
      <c r="A509" s="61">
        <v>927</v>
      </c>
      <c r="B509" s="50" t="s">
        <v>329</v>
      </c>
      <c r="C509" s="50" t="s">
        <v>778</v>
      </c>
      <c r="D509" s="50" t="s">
        <v>2483</v>
      </c>
      <c r="E509" s="50" t="s">
        <v>2483</v>
      </c>
      <c r="F509" s="50" t="s">
        <v>1225</v>
      </c>
      <c r="G509" s="50" t="s">
        <v>543</v>
      </c>
      <c r="H509" t="s">
        <v>3788</v>
      </c>
    </row>
    <row r="510" spans="1:8">
      <c r="A510" s="61">
        <v>928</v>
      </c>
      <c r="B510" s="50" t="s">
        <v>330</v>
      </c>
      <c r="C510" s="50" t="s">
        <v>777</v>
      </c>
      <c r="D510" s="50" t="s">
        <v>691</v>
      </c>
      <c r="E510" s="50" t="s">
        <v>691</v>
      </c>
      <c r="F510" s="50" t="s">
        <v>1225</v>
      </c>
      <c r="G510" s="50" t="s">
        <v>547</v>
      </c>
      <c r="H510" t="s">
        <v>3789</v>
      </c>
    </row>
    <row r="511" spans="1:8">
      <c r="A511" s="61">
        <v>931</v>
      </c>
      <c r="B511" s="50" t="s">
        <v>331</v>
      </c>
      <c r="C511" s="50" t="s">
        <v>79</v>
      </c>
      <c r="D511" s="50" t="s">
        <v>2552</v>
      </c>
      <c r="E511" s="50" t="s">
        <v>2552</v>
      </c>
      <c r="F511" s="50" t="s">
        <v>1225</v>
      </c>
      <c r="G511" s="50" t="s">
        <v>539</v>
      </c>
      <c r="H511" t="s">
        <v>3790</v>
      </c>
    </row>
    <row r="512" spans="1:8">
      <c r="A512" s="61">
        <v>932</v>
      </c>
      <c r="B512" s="50" t="s">
        <v>332</v>
      </c>
      <c r="C512" s="50" t="s">
        <v>338</v>
      </c>
      <c r="D512" s="50" t="s">
        <v>3064</v>
      </c>
      <c r="E512" s="50" t="s">
        <v>3064</v>
      </c>
      <c r="F512" s="50" t="s">
        <v>1225</v>
      </c>
      <c r="G512" s="50" t="s">
        <v>2777</v>
      </c>
      <c r="H512" t="s">
        <v>2920</v>
      </c>
    </row>
    <row r="513" spans="1:8">
      <c r="A513" s="61">
        <v>933</v>
      </c>
      <c r="B513" s="50" t="s">
        <v>333</v>
      </c>
      <c r="C513" s="50" t="s">
        <v>79</v>
      </c>
      <c r="D513" s="50" t="s">
        <v>218</v>
      </c>
      <c r="E513" s="50" t="s">
        <v>218</v>
      </c>
      <c r="F513" s="50" t="s">
        <v>1225</v>
      </c>
      <c r="G513" s="50" t="s">
        <v>1879</v>
      </c>
      <c r="H513" t="s">
        <v>3791</v>
      </c>
    </row>
    <row r="514" spans="1:8">
      <c r="A514" s="61">
        <v>935</v>
      </c>
      <c r="B514" s="50" t="s">
        <v>381</v>
      </c>
      <c r="C514" s="50" t="s">
        <v>263</v>
      </c>
      <c r="D514" s="50" t="s">
        <v>2405</v>
      </c>
      <c r="E514" s="50" t="s">
        <v>2405</v>
      </c>
      <c r="F514" s="50" t="s">
        <v>392</v>
      </c>
      <c r="G514" s="50" t="s">
        <v>1922</v>
      </c>
      <c r="H514" t="s">
        <v>3792</v>
      </c>
    </row>
    <row r="515" spans="1:8">
      <c r="A515" s="61">
        <v>936</v>
      </c>
      <c r="B515" s="50" t="s">
        <v>121</v>
      </c>
      <c r="C515" s="50" t="s">
        <v>263</v>
      </c>
      <c r="D515" s="50" t="s">
        <v>2061</v>
      </c>
      <c r="E515" s="50" t="s">
        <v>2061</v>
      </c>
      <c r="F515" s="50" t="s">
        <v>392</v>
      </c>
      <c r="G515" s="50" t="s">
        <v>1936</v>
      </c>
      <c r="H515" t="s">
        <v>3793</v>
      </c>
    </row>
    <row r="516" spans="1:8">
      <c r="A516" s="61">
        <v>937</v>
      </c>
      <c r="B516" s="50" t="s">
        <v>334</v>
      </c>
      <c r="C516" s="50" t="s">
        <v>190</v>
      </c>
      <c r="D516" s="50" t="s">
        <v>2738</v>
      </c>
      <c r="E516" s="50" t="s">
        <v>2738</v>
      </c>
      <c r="F516" s="50" t="s">
        <v>1585</v>
      </c>
      <c r="G516" s="50" t="s">
        <v>1567</v>
      </c>
      <c r="H516" t="s">
        <v>3122</v>
      </c>
    </row>
    <row r="517" spans="1:8">
      <c r="A517" s="61">
        <v>941</v>
      </c>
      <c r="B517" s="50" t="s">
        <v>335</v>
      </c>
      <c r="C517" s="50" t="s">
        <v>261</v>
      </c>
      <c r="D517" s="50" t="s">
        <v>2765</v>
      </c>
      <c r="E517" s="50" t="s">
        <v>2765</v>
      </c>
      <c r="F517" s="50" t="s">
        <v>1585</v>
      </c>
      <c r="G517" s="50" t="s">
        <v>1380</v>
      </c>
      <c r="H517" t="s">
        <v>3794</v>
      </c>
    </row>
    <row r="518" spans="1:8">
      <c r="A518" s="61">
        <v>943</v>
      </c>
      <c r="B518" s="50" t="s">
        <v>191</v>
      </c>
      <c r="C518" s="50" t="s">
        <v>867</v>
      </c>
      <c r="D518" s="50" t="s">
        <v>772</v>
      </c>
      <c r="E518" s="50" t="s">
        <v>772</v>
      </c>
      <c r="F518" s="50" t="s">
        <v>223</v>
      </c>
      <c r="G518" s="50" t="s">
        <v>1389</v>
      </c>
      <c r="H518" t="s">
        <v>3795</v>
      </c>
    </row>
    <row r="519" spans="1:8">
      <c r="A519" s="61">
        <v>945</v>
      </c>
      <c r="B519" s="50" t="s">
        <v>1112</v>
      </c>
      <c r="C519" s="50" t="s">
        <v>640</v>
      </c>
      <c r="D519" s="50" t="s">
        <v>2161</v>
      </c>
      <c r="E519" s="50" t="s">
        <v>2161</v>
      </c>
      <c r="F519" s="50" t="s">
        <v>223</v>
      </c>
      <c r="G519" s="50" t="s">
        <v>1913</v>
      </c>
      <c r="H519" t="s">
        <v>3796</v>
      </c>
    </row>
    <row r="520" spans="1:8">
      <c r="A520" s="61">
        <v>947</v>
      </c>
      <c r="B520" s="50" t="s">
        <v>1113</v>
      </c>
      <c r="C520" s="50" t="s">
        <v>197</v>
      </c>
      <c r="D520" s="50" t="s">
        <v>2765</v>
      </c>
      <c r="E520" s="50" t="s">
        <v>2765</v>
      </c>
      <c r="F520" s="50" t="s">
        <v>1339</v>
      </c>
      <c r="G520" s="50" t="s">
        <v>1380</v>
      </c>
      <c r="H520" t="s">
        <v>2617</v>
      </c>
    </row>
    <row r="521" spans="1:8">
      <c r="A521" s="61">
        <v>948</v>
      </c>
      <c r="B521" s="50" t="s">
        <v>1114</v>
      </c>
      <c r="C521" s="50" t="s">
        <v>336</v>
      </c>
      <c r="D521" s="50" t="s">
        <v>435</v>
      </c>
      <c r="E521" s="50" t="s">
        <v>435</v>
      </c>
      <c r="F521" s="50" t="s">
        <v>2037</v>
      </c>
      <c r="G521" s="50" t="s">
        <v>4171</v>
      </c>
      <c r="H521" t="s">
        <v>3797</v>
      </c>
    </row>
    <row r="522" spans="1:8">
      <c r="A522" s="61">
        <v>950</v>
      </c>
      <c r="B522" s="50" t="s">
        <v>1115</v>
      </c>
      <c r="C522" s="50" t="s">
        <v>1116</v>
      </c>
      <c r="D522" s="50" t="s">
        <v>1610</v>
      </c>
      <c r="E522" s="50" t="s">
        <v>1610</v>
      </c>
      <c r="F522" s="50" t="s">
        <v>2727</v>
      </c>
      <c r="G522" s="50" t="s">
        <v>1941</v>
      </c>
      <c r="H522" t="s">
        <v>3798</v>
      </c>
    </row>
    <row r="523" spans="1:8">
      <c r="A523" s="61">
        <v>953</v>
      </c>
      <c r="B523" s="50" t="s">
        <v>1117</v>
      </c>
      <c r="C523" s="50" t="s">
        <v>775</v>
      </c>
      <c r="D523" s="50" t="s">
        <v>1991</v>
      </c>
      <c r="E523" s="50" t="s">
        <v>1991</v>
      </c>
      <c r="F523" s="50" t="s">
        <v>1585</v>
      </c>
      <c r="G523" s="50" t="s">
        <v>1572</v>
      </c>
      <c r="H523" t="s">
        <v>3799</v>
      </c>
    </row>
    <row r="524" spans="1:8">
      <c r="A524" s="61">
        <v>956</v>
      </c>
      <c r="B524" s="50" t="s">
        <v>1118</v>
      </c>
      <c r="C524" s="50" t="s">
        <v>778</v>
      </c>
      <c r="D524" s="50" t="s">
        <v>2377</v>
      </c>
      <c r="E524" s="50" t="s">
        <v>2377</v>
      </c>
      <c r="F524" s="50" t="s">
        <v>2036</v>
      </c>
      <c r="G524" s="50" t="s">
        <v>533</v>
      </c>
      <c r="H524" t="s">
        <v>3800</v>
      </c>
    </row>
    <row r="525" spans="1:8">
      <c r="A525" s="61">
        <v>957</v>
      </c>
      <c r="B525" s="50" t="s">
        <v>1255</v>
      </c>
      <c r="C525" s="50" t="s">
        <v>1119</v>
      </c>
      <c r="D525" s="50" t="s">
        <v>890</v>
      </c>
      <c r="E525" s="50" t="s">
        <v>890</v>
      </c>
      <c r="F525" s="50" t="s">
        <v>390</v>
      </c>
      <c r="G525" s="50" t="s">
        <v>546</v>
      </c>
      <c r="H525" t="s">
        <v>3801</v>
      </c>
    </row>
    <row r="526" spans="1:8">
      <c r="A526" s="61">
        <v>960</v>
      </c>
      <c r="B526" s="50" t="s">
        <v>1120</v>
      </c>
      <c r="C526" s="50" t="s">
        <v>79</v>
      </c>
      <c r="D526" s="50" t="s">
        <v>968</v>
      </c>
      <c r="E526" s="50" t="s">
        <v>968</v>
      </c>
      <c r="F526" s="50" t="s">
        <v>960</v>
      </c>
      <c r="G526" s="50" t="s">
        <v>1878</v>
      </c>
      <c r="H526" t="s">
        <v>1929</v>
      </c>
    </row>
    <row r="527" spans="1:8">
      <c r="A527" s="61">
        <v>964</v>
      </c>
      <c r="B527" s="50" t="s">
        <v>376</v>
      </c>
      <c r="C527" s="50" t="s">
        <v>638</v>
      </c>
      <c r="D527" s="50" t="s">
        <v>2787</v>
      </c>
      <c r="E527" s="50" t="s">
        <v>2787</v>
      </c>
      <c r="F527" s="50" t="s">
        <v>1339</v>
      </c>
      <c r="G527" s="50" t="s">
        <v>1555</v>
      </c>
      <c r="H527" t="s">
        <v>3420</v>
      </c>
    </row>
    <row r="528" spans="1:8">
      <c r="A528" s="61">
        <v>965</v>
      </c>
      <c r="B528" s="50" t="s">
        <v>1363</v>
      </c>
      <c r="C528" s="50" t="s">
        <v>642</v>
      </c>
      <c r="D528" s="50" t="s">
        <v>3505</v>
      </c>
      <c r="E528" s="50" t="s">
        <v>3505</v>
      </c>
      <c r="F528" s="50" t="s">
        <v>1585</v>
      </c>
      <c r="G528" s="50" t="s">
        <v>345</v>
      </c>
      <c r="H528" t="s">
        <v>3067</v>
      </c>
    </row>
    <row r="529" spans="1:8">
      <c r="A529" s="61">
        <v>968</v>
      </c>
      <c r="B529" s="50" t="s">
        <v>69</v>
      </c>
      <c r="C529" s="50" t="s">
        <v>1364</v>
      </c>
      <c r="D529" s="50" t="s">
        <v>2337</v>
      </c>
      <c r="E529" s="50" t="s">
        <v>2337</v>
      </c>
      <c r="F529" s="50" t="s">
        <v>223</v>
      </c>
      <c r="G529" s="50" t="s">
        <v>2157</v>
      </c>
      <c r="H529" t="s">
        <v>3802</v>
      </c>
    </row>
    <row r="530" spans="1:8">
      <c r="A530" s="61">
        <v>969</v>
      </c>
      <c r="B530" s="50" t="s">
        <v>1365</v>
      </c>
      <c r="C530" s="50" t="s">
        <v>800</v>
      </c>
      <c r="D530" s="50" t="s">
        <v>597</v>
      </c>
      <c r="E530" s="50" t="s">
        <v>597</v>
      </c>
      <c r="F530" s="50" t="s">
        <v>223</v>
      </c>
      <c r="G530" s="50" t="s">
        <v>1902</v>
      </c>
      <c r="H530" t="s">
        <v>3803</v>
      </c>
    </row>
    <row r="531" spans="1:8">
      <c r="A531" s="61">
        <v>970</v>
      </c>
      <c r="B531" s="50" t="s">
        <v>2153</v>
      </c>
      <c r="C531" s="50" t="s">
        <v>1410</v>
      </c>
      <c r="D531" s="50" t="s">
        <v>1090</v>
      </c>
      <c r="E531" s="50" t="s">
        <v>1090</v>
      </c>
      <c r="F531" s="50" t="s">
        <v>1339</v>
      </c>
      <c r="G531" s="50" t="s">
        <v>3909</v>
      </c>
      <c r="H531" t="s">
        <v>3804</v>
      </c>
    </row>
    <row r="532" spans="1:8">
      <c r="A532" s="61">
        <v>971</v>
      </c>
      <c r="B532" s="50" t="s">
        <v>1107</v>
      </c>
      <c r="C532" s="50" t="s">
        <v>425</v>
      </c>
      <c r="D532" s="50" t="s">
        <v>1991</v>
      </c>
      <c r="E532" s="50" t="s">
        <v>1991</v>
      </c>
      <c r="F532" s="50" t="s">
        <v>1320</v>
      </c>
      <c r="G532" s="50" t="s">
        <v>1564</v>
      </c>
      <c r="H532" t="s">
        <v>1572</v>
      </c>
    </row>
    <row r="533" spans="1:8">
      <c r="A533" s="61">
        <v>972</v>
      </c>
      <c r="B533" s="50" t="s">
        <v>3300</v>
      </c>
      <c r="C533" s="50" t="s">
        <v>1197</v>
      </c>
      <c r="D533" s="50" t="s">
        <v>238</v>
      </c>
      <c r="E533" s="50" t="s">
        <v>238</v>
      </c>
      <c r="F533" s="50" t="s">
        <v>1585</v>
      </c>
      <c r="G533" s="50" t="s">
        <v>1584</v>
      </c>
      <c r="H533" t="s">
        <v>3805</v>
      </c>
    </row>
    <row r="534" spans="1:8">
      <c r="A534" s="61">
        <v>974</v>
      </c>
      <c r="B534" s="50" t="s">
        <v>1108</v>
      </c>
      <c r="C534" s="50" t="s">
        <v>194</v>
      </c>
      <c r="D534" s="50" t="s">
        <v>1999</v>
      </c>
      <c r="E534" s="50" t="s">
        <v>1999</v>
      </c>
      <c r="F534" s="50" t="s">
        <v>223</v>
      </c>
      <c r="G534" s="50" t="s">
        <v>1584</v>
      </c>
      <c r="H534" t="s">
        <v>2881</v>
      </c>
    </row>
    <row r="535" spans="1:8">
      <c r="A535" s="61">
        <v>977</v>
      </c>
      <c r="B535" s="50" t="s">
        <v>1109</v>
      </c>
      <c r="C535" s="50" t="s">
        <v>964</v>
      </c>
      <c r="D535" s="50" t="s">
        <v>2772</v>
      </c>
      <c r="E535" s="50" t="s">
        <v>2772</v>
      </c>
      <c r="F535" s="50" t="s">
        <v>1339</v>
      </c>
      <c r="G535" s="50" t="s">
        <v>1390</v>
      </c>
      <c r="H535" t="s">
        <v>2879</v>
      </c>
    </row>
    <row r="536" spans="1:8">
      <c r="A536" s="61">
        <v>978</v>
      </c>
      <c r="B536" s="50" t="s">
        <v>1110</v>
      </c>
      <c r="C536" s="50" t="s">
        <v>188</v>
      </c>
      <c r="D536" s="50" t="s">
        <v>2378</v>
      </c>
      <c r="E536" s="50" t="s">
        <v>2378</v>
      </c>
      <c r="F536" s="50" t="s">
        <v>1339</v>
      </c>
      <c r="G536" s="50" t="s">
        <v>544</v>
      </c>
      <c r="H536" t="s">
        <v>3123</v>
      </c>
    </row>
    <row r="537" spans="1:8">
      <c r="A537" s="61">
        <v>980</v>
      </c>
      <c r="B537" s="50" t="s">
        <v>1111</v>
      </c>
      <c r="C537" s="50" t="s">
        <v>79</v>
      </c>
      <c r="D537" s="50" t="s">
        <v>1081</v>
      </c>
      <c r="E537" s="50" t="s">
        <v>1081</v>
      </c>
      <c r="F537" s="50" t="s">
        <v>1339</v>
      </c>
      <c r="G537" s="50" t="s">
        <v>2547</v>
      </c>
      <c r="H537" t="s">
        <v>3806</v>
      </c>
    </row>
    <row r="538" spans="1:8">
      <c r="A538" s="61">
        <v>981</v>
      </c>
      <c r="B538" s="50" t="s">
        <v>645</v>
      </c>
      <c r="C538" s="50" t="s">
        <v>266</v>
      </c>
      <c r="D538" s="50" t="s">
        <v>271</v>
      </c>
      <c r="E538" s="50" t="s">
        <v>271</v>
      </c>
      <c r="F538" s="50" t="s">
        <v>1225</v>
      </c>
      <c r="G538" s="50" t="s">
        <v>2136</v>
      </c>
      <c r="H538" t="s">
        <v>3807</v>
      </c>
    </row>
    <row r="539" spans="1:8">
      <c r="A539" s="61">
        <v>983</v>
      </c>
      <c r="B539" s="50" t="s">
        <v>646</v>
      </c>
      <c r="C539" s="50" t="s">
        <v>777</v>
      </c>
      <c r="D539" s="50" t="s">
        <v>437</v>
      </c>
      <c r="E539" s="50" t="s">
        <v>437</v>
      </c>
      <c r="F539" s="50" t="s">
        <v>1339</v>
      </c>
      <c r="G539" s="50" t="s">
        <v>342</v>
      </c>
      <c r="H539" t="s">
        <v>3808</v>
      </c>
    </row>
    <row r="540" spans="1:8">
      <c r="A540" s="61">
        <v>984</v>
      </c>
      <c r="B540" s="50" t="s">
        <v>647</v>
      </c>
      <c r="C540" s="50" t="s">
        <v>640</v>
      </c>
      <c r="D540" s="50" t="s">
        <v>570</v>
      </c>
      <c r="E540" s="50" t="s">
        <v>570</v>
      </c>
      <c r="F540" s="50" t="s">
        <v>223</v>
      </c>
      <c r="G540" s="50" t="s">
        <v>1926</v>
      </c>
      <c r="H540" t="s">
        <v>2969</v>
      </c>
    </row>
    <row r="541" spans="1:8">
      <c r="A541" s="61">
        <v>986</v>
      </c>
      <c r="B541" s="50" t="s">
        <v>648</v>
      </c>
      <c r="C541" s="50" t="s">
        <v>261</v>
      </c>
      <c r="D541" s="50" t="s">
        <v>143</v>
      </c>
      <c r="E541" s="50" t="s">
        <v>143</v>
      </c>
      <c r="F541" s="50" t="s">
        <v>686</v>
      </c>
      <c r="G541" s="50" t="s">
        <v>2053</v>
      </c>
      <c r="H541" t="s">
        <v>3809</v>
      </c>
    </row>
    <row r="542" spans="1:8">
      <c r="A542" s="61">
        <v>987</v>
      </c>
      <c r="B542" s="50" t="s">
        <v>649</v>
      </c>
      <c r="C542" s="50" t="s">
        <v>638</v>
      </c>
      <c r="D542" s="50" t="s">
        <v>1081</v>
      </c>
      <c r="E542" s="50" t="s">
        <v>1081</v>
      </c>
      <c r="F542" s="50" t="s">
        <v>1320</v>
      </c>
      <c r="G542" s="50" t="s">
        <v>1921</v>
      </c>
      <c r="H542" t="s">
        <v>2547</v>
      </c>
    </row>
    <row r="543" spans="1:8">
      <c r="A543" s="61">
        <v>991</v>
      </c>
      <c r="B543" s="50" t="s">
        <v>650</v>
      </c>
      <c r="C543" s="50" t="s">
        <v>188</v>
      </c>
      <c r="D543" s="50" t="s">
        <v>1039</v>
      </c>
      <c r="E543" s="50" t="s">
        <v>1039</v>
      </c>
      <c r="F543" s="50" t="s">
        <v>223</v>
      </c>
      <c r="G543" s="50" t="s">
        <v>1561</v>
      </c>
      <c r="H543" t="s">
        <v>3810</v>
      </c>
    </row>
    <row r="544" spans="1:8">
      <c r="A544" s="61">
        <v>992</v>
      </c>
      <c r="B544" s="50" t="s">
        <v>651</v>
      </c>
      <c r="C544" s="50" t="s">
        <v>261</v>
      </c>
      <c r="D544" s="50" t="s">
        <v>2329</v>
      </c>
      <c r="E544" s="50" t="s">
        <v>2329</v>
      </c>
      <c r="F544" s="50" t="s">
        <v>2036</v>
      </c>
      <c r="G544" s="50" t="s">
        <v>1909</v>
      </c>
      <c r="H544" t="s">
        <v>2775</v>
      </c>
    </row>
    <row r="545" spans="1:8">
      <c r="A545" s="61">
        <v>993</v>
      </c>
      <c r="B545" s="50" t="s">
        <v>652</v>
      </c>
      <c r="C545" s="50" t="s">
        <v>1311</v>
      </c>
      <c r="D545" s="50" t="s">
        <v>511</v>
      </c>
      <c r="E545" s="50" t="s">
        <v>511</v>
      </c>
      <c r="F545" s="50" t="s">
        <v>1339</v>
      </c>
      <c r="G545" s="50" t="s">
        <v>2472</v>
      </c>
      <c r="H545" t="s">
        <v>3811</v>
      </c>
    </row>
    <row r="546" spans="1:8">
      <c r="A546" s="61">
        <v>1004</v>
      </c>
      <c r="B546" s="50" t="s">
        <v>316</v>
      </c>
      <c r="C546" s="50" t="s">
        <v>800</v>
      </c>
      <c r="D546" s="50" t="s">
        <v>2728</v>
      </c>
      <c r="E546" s="50" t="s">
        <v>2728</v>
      </c>
      <c r="F546" s="50" t="s">
        <v>223</v>
      </c>
      <c r="G546" s="50" t="s">
        <v>1913</v>
      </c>
      <c r="H546" t="s">
        <v>2907</v>
      </c>
    </row>
    <row r="547" spans="1:8">
      <c r="A547" s="61">
        <v>1005</v>
      </c>
      <c r="B547" s="50" t="s">
        <v>1026</v>
      </c>
      <c r="C547" s="50" t="s">
        <v>738</v>
      </c>
      <c r="D547" s="50" t="s">
        <v>396</v>
      </c>
      <c r="E547" s="50" t="s">
        <v>396</v>
      </c>
      <c r="F547" s="50" t="s">
        <v>960</v>
      </c>
      <c r="G547" s="50" t="s">
        <v>1878</v>
      </c>
      <c r="H547" t="s">
        <v>1930</v>
      </c>
    </row>
    <row r="548" spans="1:8">
      <c r="A548" s="61">
        <v>1007</v>
      </c>
      <c r="B548" s="50" t="s">
        <v>1027</v>
      </c>
      <c r="C548" s="50" t="s">
        <v>640</v>
      </c>
      <c r="D548" s="50" t="s">
        <v>1039</v>
      </c>
      <c r="E548" s="50" t="s">
        <v>1039</v>
      </c>
      <c r="F548" s="50" t="s">
        <v>223</v>
      </c>
      <c r="G548" s="50" t="s">
        <v>1561</v>
      </c>
      <c r="H548" t="s">
        <v>3812</v>
      </c>
    </row>
    <row r="549" spans="1:8">
      <c r="A549" s="61">
        <v>1009</v>
      </c>
      <c r="B549" s="50" t="s">
        <v>567</v>
      </c>
      <c r="C549" s="50" t="s">
        <v>1197</v>
      </c>
      <c r="D549" s="50" t="s">
        <v>2069</v>
      </c>
      <c r="E549" s="50" t="s">
        <v>2069</v>
      </c>
      <c r="F549" s="50" t="s">
        <v>223</v>
      </c>
      <c r="G549" s="50" t="s">
        <v>528</v>
      </c>
      <c r="H549" t="s">
        <v>3813</v>
      </c>
    </row>
    <row r="550" spans="1:8">
      <c r="A550" s="61">
        <v>1012</v>
      </c>
      <c r="B550" s="50" t="s">
        <v>1092</v>
      </c>
      <c r="C550" s="50" t="s">
        <v>635</v>
      </c>
      <c r="D550" s="50" t="s">
        <v>683</v>
      </c>
      <c r="E550" s="50" t="s">
        <v>683</v>
      </c>
      <c r="F550" s="50" t="s">
        <v>223</v>
      </c>
      <c r="G550" s="50" t="s">
        <v>1900</v>
      </c>
      <c r="H550" t="s">
        <v>2142</v>
      </c>
    </row>
    <row r="551" spans="1:8">
      <c r="A551" s="61">
        <v>1014</v>
      </c>
      <c r="B551" s="50" t="s">
        <v>1029</v>
      </c>
      <c r="C551" s="50" t="s">
        <v>75</v>
      </c>
      <c r="D551" s="50" t="s">
        <v>1223</v>
      </c>
      <c r="E551" s="50" t="s">
        <v>1223</v>
      </c>
      <c r="F551" s="50" t="s">
        <v>223</v>
      </c>
      <c r="G551" s="32" t="s">
        <v>1575</v>
      </c>
      <c r="H551" t="s">
        <v>3814</v>
      </c>
    </row>
    <row r="552" spans="1:8">
      <c r="A552" s="61">
        <v>1016</v>
      </c>
      <c r="B552" s="50" t="s">
        <v>1030</v>
      </c>
      <c r="C552" s="50" t="s">
        <v>1031</v>
      </c>
      <c r="D552" s="50" t="s">
        <v>217</v>
      </c>
      <c r="E552" s="50" t="s">
        <v>217</v>
      </c>
      <c r="F552" s="50" t="s">
        <v>1225</v>
      </c>
      <c r="G552" s="50" t="s">
        <v>1915</v>
      </c>
      <c r="H552" t="s">
        <v>3815</v>
      </c>
    </row>
    <row r="553" spans="1:8">
      <c r="A553" s="61">
        <v>1017</v>
      </c>
      <c r="B553" s="50" t="s">
        <v>1032</v>
      </c>
      <c r="C553" s="50" t="s">
        <v>263</v>
      </c>
      <c r="D553" s="50" t="s">
        <v>2073</v>
      </c>
      <c r="E553" s="50" t="s">
        <v>2073</v>
      </c>
      <c r="F553" s="50" t="s">
        <v>1339</v>
      </c>
      <c r="G553" s="50" t="s">
        <v>2471</v>
      </c>
      <c r="H553" t="s">
        <v>3816</v>
      </c>
    </row>
    <row r="554" spans="1:8">
      <c r="A554" s="61">
        <v>1019</v>
      </c>
      <c r="B554" s="50" t="s">
        <v>1255</v>
      </c>
      <c r="C554" s="50" t="s">
        <v>1033</v>
      </c>
      <c r="D554" s="50" t="s">
        <v>1338</v>
      </c>
      <c r="E554" s="50" t="s">
        <v>1338</v>
      </c>
      <c r="F554" s="50" t="s">
        <v>1225</v>
      </c>
      <c r="G554" s="50" t="s">
        <v>2103</v>
      </c>
      <c r="H554" t="s">
        <v>3817</v>
      </c>
    </row>
    <row r="555" spans="1:8">
      <c r="A555" s="61">
        <v>1020</v>
      </c>
      <c r="B555" s="50" t="s">
        <v>69</v>
      </c>
      <c r="C555" s="50" t="s">
        <v>336</v>
      </c>
      <c r="D555" s="50" t="s">
        <v>1350</v>
      </c>
      <c r="E555" s="50" t="s">
        <v>1350</v>
      </c>
      <c r="F555" s="50" t="s">
        <v>223</v>
      </c>
      <c r="G555" s="50" t="s">
        <v>1378</v>
      </c>
      <c r="H555" t="s">
        <v>3818</v>
      </c>
    </row>
    <row r="556" spans="1:8">
      <c r="A556" s="61">
        <v>1025</v>
      </c>
      <c r="B556" s="50" t="s">
        <v>1035</v>
      </c>
      <c r="C556" s="50" t="s">
        <v>336</v>
      </c>
      <c r="D556" s="50" t="s">
        <v>1451</v>
      </c>
      <c r="E556" s="50" t="s">
        <v>1451</v>
      </c>
      <c r="F556" s="50" t="s">
        <v>686</v>
      </c>
      <c r="G556" s="50" t="s">
        <v>1937</v>
      </c>
      <c r="H556" t="s">
        <v>3819</v>
      </c>
    </row>
    <row r="557" spans="1:8">
      <c r="A557" s="61">
        <v>1028</v>
      </c>
      <c r="B557" s="50" t="s">
        <v>1036</v>
      </c>
      <c r="C557" s="50" t="s">
        <v>127</v>
      </c>
      <c r="D557" s="50" t="s">
        <v>234</v>
      </c>
      <c r="E557" s="50" t="s">
        <v>234</v>
      </c>
      <c r="F557" s="50" t="s">
        <v>451</v>
      </c>
      <c r="G557" s="50" t="s">
        <v>1910</v>
      </c>
      <c r="H557" t="s">
        <v>3820</v>
      </c>
    </row>
    <row r="558" spans="1:8">
      <c r="A558" s="61">
        <v>1029</v>
      </c>
      <c r="B558" s="50" t="s">
        <v>147</v>
      </c>
      <c r="C558" s="50" t="s">
        <v>640</v>
      </c>
      <c r="D558" s="50" t="s">
        <v>2377</v>
      </c>
      <c r="E558" s="50" t="s">
        <v>2377</v>
      </c>
      <c r="F558" s="50" t="s">
        <v>223</v>
      </c>
      <c r="G558" s="50" t="s">
        <v>1395</v>
      </c>
      <c r="H558" t="s">
        <v>3521</v>
      </c>
    </row>
    <row r="559" spans="1:8">
      <c r="A559" s="61">
        <v>1030</v>
      </c>
      <c r="B559" s="50" t="s">
        <v>148</v>
      </c>
      <c r="C559" s="50" t="s">
        <v>338</v>
      </c>
      <c r="D559" s="50" t="s">
        <v>2094</v>
      </c>
      <c r="E559" s="50" t="s">
        <v>2094</v>
      </c>
      <c r="F559" s="50" t="s">
        <v>731</v>
      </c>
      <c r="G559" s="50" t="s">
        <v>2777</v>
      </c>
      <c r="H559" t="s">
        <v>2929</v>
      </c>
    </row>
    <row r="560" spans="1:8">
      <c r="A560" s="61">
        <v>1031</v>
      </c>
      <c r="B560" s="50" t="s">
        <v>954</v>
      </c>
      <c r="C560" s="50" t="s">
        <v>197</v>
      </c>
      <c r="D560" s="50" t="s">
        <v>2668</v>
      </c>
      <c r="E560" s="50" t="s">
        <v>2668</v>
      </c>
      <c r="F560" s="50" t="s">
        <v>731</v>
      </c>
      <c r="G560" s="50" t="s">
        <v>1918</v>
      </c>
      <c r="H560" t="s">
        <v>3821</v>
      </c>
    </row>
    <row r="561" spans="1:8">
      <c r="A561" s="61">
        <v>1033</v>
      </c>
      <c r="B561" s="50" t="s">
        <v>149</v>
      </c>
      <c r="C561" s="50" t="s">
        <v>263</v>
      </c>
      <c r="D561" s="50" t="s">
        <v>171</v>
      </c>
      <c r="E561" s="50" t="s">
        <v>171</v>
      </c>
      <c r="F561" s="50" t="s">
        <v>2727</v>
      </c>
      <c r="G561" s="50" t="s">
        <v>1548</v>
      </c>
      <c r="H561" t="s">
        <v>3822</v>
      </c>
    </row>
    <row r="562" spans="1:8">
      <c r="A562" s="61">
        <v>1034</v>
      </c>
      <c r="B562" s="50" t="s">
        <v>150</v>
      </c>
      <c r="C562" s="50" t="s">
        <v>777</v>
      </c>
      <c r="D562" s="50" t="s">
        <v>171</v>
      </c>
      <c r="E562" s="50" t="s">
        <v>171</v>
      </c>
      <c r="F562" s="50" t="s">
        <v>1225</v>
      </c>
      <c r="G562" s="50" t="s">
        <v>1548</v>
      </c>
      <c r="H562" t="s">
        <v>3823</v>
      </c>
    </row>
    <row r="563" spans="1:8">
      <c r="A563" s="61">
        <v>1036</v>
      </c>
      <c r="B563" s="50" t="s">
        <v>151</v>
      </c>
      <c r="C563" s="50" t="s">
        <v>777</v>
      </c>
      <c r="D563" s="50" t="s">
        <v>1181</v>
      </c>
      <c r="E563" s="50" t="s">
        <v>1181</v>
      </c>
      <c r="F563" s="50" t="s">
        <v>390</v>
      </c>
      <c r="G563" s="50" t="s">
        <v>1581</v>
      </c>
      <c r="H563" t="s">
        <v>3824</v>
      </c>
    </row>
    <row r="564" spans="1:8">
      <c r="A564" s="61">
        <v>1037</v>
      </c>
      <c r="B564" s="50" t="s">
        <v>574</v>
      </c>
      <c r="C564" s="50" t="s">
        <v>1534</v>
      </c>
      <c r="D564" s="50" t="s">
        <v>1263</v>
      </c>
      <c r="E564" s="50" t="s">
        <v>1263</v>
      </c>
      <c r="F564" s="50" t="s">
        <v>390</v>
      </c>
      <c r="G564" s="50" t="s">
        <v>1571</v>
      </c>
      <c r="H564" t="s">
        <v>3825</v>
      </c>
    </row>
    <row r="565" spans="1:8">
      <c r="A565" s="61">
        <v>1038</v>
      </c>
      <c r="B565" s="50" t="s">
        <v>1535</v>
      </c>
      <c r="C565" s="50" t="s">
        <v>1536</v>
      </c>
      <c r="D565" s="50" t="s">
        <v>810</v>
      </c>
      <c r="E565" s="50" t="s">
        <v>810</v>
      </c>
      <c r="F565" s="50" t="s">
        <v>390</v>
      </c>
      <c r="G565" s="50" t="s">
        <v>3582</v>
      </c>
      <c r="H565" t="s">
        <v>3826</v>
      </c>
    </row>
    <row r="566" spans="1:8">
      <c r="A566" s="61">
        <v>1040</v>
      </c>
      <c r="B566" s="50" t="s">
        <v>1537</v>
      </c>
      <c r="C566" s="50" t="s">
        <v>780</v>
      </c>
      <c r="D566" s="50" t="s">
        <v>2007</v>
      </c>
      <c r="E566" s="50" t="s">
        <v>2007</v>
      </c>
      <c r="F566" s="50" t="s">
        <v>2288</v>
      </c>
      <c r="G566" s="50" t="s">
        <v>2147</v>
      </c>
      <c r="H566" t="s">
        <v>3827</v>
      </c>
    </row>
    <row r="567" spans="1:8">
      <c r="A567" s="61">
        <v>1041</v>
      </c>
      <c r="B567" s="50" t="s">
        <v>1538</v>
      </c>
      <c r="C567" s="50" t="s">
        <v>866</v>
      </c>
      <c r="D567" s="50" t="s">
        <v>691</v>
      </c>
      <c r="E567" s="50" t="s">
        <v>691</v>
      </c>
      <c r="F567" s="50" t="s">
        <v>1225</v>
      </c>
      <c r="G567" s="50" t="s">
        <v>547</v>
      </c>
      <c r="H567" t="s">
        <v>3828</v>
      </c>
    </row>
    <row r="568" spans="1:8">
      <c r="A568" s="61">
        <v>1042</v>
      </c>
      <c r="B568" s="50" t="s">
        <v>1539</v>
      </c>
      <c r="C568" s="50" t="s">
        <v>1311</v>
      </c>
      <c r="D568" s="50" t="s">
        <v>1450</v>
      </c>
      <c r="E568" s="50" t="s">
        <v>1450</v>
      </c>
      <c r="F568" s="50" t="s">
        <v>686</v>
      </c>
      <c r="G568" s="50" t="s">
        <v>2135</v>
      </c>
      <c r="H568" t="s">
        <v>3829</v>
      </c>
    </row>
    <row r="569" spans="1:8">
      <c r="A569" s="61">
        <v>1045</v>
      </c>
      <c r="B569" s="50" t="s">
        <v>1540</v>
      </c>
      <c r="C569" s="50" t="s">
        <v>188</v>
      </c>
      <c r="D569" s="50" t="s">
        <v>881</v>
      </c>
      <c r="E569" s="50" t="s">
        <v>881</v>
      </c>
      <c r="F569" s="50" t="s">
        <v>223</v>
      </c>
      <c r="G569" s="50" t="s">
        <v>1910</v>
      </c>
      <c r="H569" t="s">
        <v>3830</v>
      </c>
    </row>
    <row r="570" spans="1:8">
      <c r="A570" s="61">
        <v>1046</v>
      </c>
      <c r="B570" s="50" t="s">
        <v>1541</v>
      </c>
      <c r="C570" s="50" t="s">
        <v>75</v>
      </c>
      <c r="D570" s="50" t="s">
        <v>433</v>
      </c>
      <c r="E570" s="50" t="s">
        <v>433</v>
      </c>
      <c r="F570" s="50" t="s">
        <v>1225</v>
      </c>
      <c r="G570" s="50" t="s">
        <v>2146</v>
      </c>
      <c r="H570" t="s">
        <v>3831</v>
      </c>
    </row>
    <row r="571" spans="1:8">
      <c r="A571" s="61">
        <v>1047</v>
      </c>
      <c r="B571" s="50" t="s">
        <v>1485</v>
      </c>
      <c r="C571" s="50" t="s">
        <v>336</v>
      </c>
      <c r="D571" s="50" t="s">
        <v>235</v>
      </c>
      <c r="E571" s="50" t="s">
        <v>235</v>
      </c>
      <c r="F571" s="50" t="s">
        <v>1225</v>
      </c>
      <c r="G571" s="50" t="s">
        <v>1546</v>
      </c>
      <c r="H571" t="s">
        <v>3832</v>
      </c>
    </row>
    <row r="572" spans="1:8">
      <c r="A572" s="61">
        <v>1049</v>
      </c>
      <c r="B572" s="50" t="s">
        <v>1486</v>
      </c>
      <c r="C572" s="50" t="s">
        <v>190</v>
      </c>
      <c r="D572" s="50" t="s">
        <v>434</v>
      </c>
      <c r="E572" s="50" t="s">
        <v>434</v>
      </c>
      <c r="F572" s="50" t="s">
        <v>731</v>
      </c>
      <c r="G572" s="50" t="s">
        <v>1388</v>
      </c>
      <c r="H572" t="s">
        <v>3833</v>
      </c>
    </row>
    <row r="573" spans="1:8">
      <c r="A573" s="61">
        <v>1050</v>
      </c>
      <c r="B573" s="50" t="s">
        <v>1487</v>
      </c>
      <c r="C573" s="50" t="s">
        <v>1157</v>
      </c>
      <c r="D573" s="50" t="s">
        <v>514</v>
      </c>
      <c r="E573" s="50" t="s">
        <v>514</v>
      </c>
      <c r="F573" s="50" t="s">
        <v>2037</v>
      </c>
      <c r="G573" s="50" t="s">
        <v>2472</v>
      </c>
      <c r="H573" t="s">
        <v>1931</v>
      </c>
    </row>
    <row r="574" spans="1:8">
      <c r="A574" s="61">
        <v>1052</v>
      </c>
      <c r="B574" s="50" t="s">
        <v>1147</v>
      </c>
      <c r="C574" s="50" t="s">
        <v>336</v>
      </c>
      <c r="D574" s="50" t="s">
        <v>1039</v>
      </c>
      <c r="E574" s="50" t="s">
        <v>1039</v>
      </c>
      <c r="F574" s="50" t="s">
        <v>1585</v>
      </c>
      <c r="G574" s="50" t="s">
        <v>1561</v>
      </c>
      <c r="H574" t="s">
        <v>3834</v>
      </c>
    </row>
    <row r="575" spans="1:8">
      <c r="A575" s="61">
        <v>1054</v>
      </c>
      <c r="B575" s="50" t="s">
        <v>1488</v>
      </c>
      <c r="C575" s="50" t="s">
        <v>261</v>
      </c>
      <c r="D575" s="50" t="s">
        <v>512</v>
      </c>
      <c r="E575" s="50" t="s">
        <v>512</v>
      </c>
      <c r="F575" s="50" t="s">
        <v>1339</v>
      </c>
      <c r="G575" s="50" t="s">
        <v>1574</v>
      </c>
      <c r="H575" t="s">
        <v>3835</v>
      </c>
    </row>
    <row r="576" spans="1:8">
      <c r="A576" s="61">
        <v>1055</v>
      </c>
      <c r="B576" s="50" t="s">
        <v>312</v>
      </c>
      <c r="C576" s="50" t="s">
        <v>336</v>
      </c>
      <c r="D576" s="50" t="s">
        <v>1039</v>
      </c>
      <c r="E576" s="50" t="s">
        <v>1039</v>
      </c>
      <c r="F576" s="50" t="s">
        <v>451</v>
      </c>
      <c r="G576" s="32" t="s">
        <v>1561</v>
      </c>
      <c r="H576" t="s">
        <v>3836</v>
      </c>
    </row>
    <row r="577" spans="1:8">
      <c r="A577" s="61">
        <v>1056</v>
      </c>
      <c r="B577" s="50" t="s">
        <v>1489</v>
      </c>
      <c r="C577" s="50" t="s">
        <v>194</v>
      </c>
      <c r="D577" s="50" t="s">
        <v>1063</v>
      </c>
      <c r="E577" s="50" t="s">
        <v>1063</v>
      </c>
      <c r="F577" s="50" t="s">
        <v>223</v>
      </c>
      <c r="G577" s="50" t="s">
        <v>1551</v>
      </c>
      <c r="H577" t="s">
        <v>2615</v>
      </c>
    </row>
    <row r="578" spans="1:8">
      <c r="A578" s="61">
        <v>1059</v>
      </c>
      <c r="B578" s="50" t="s">
        <v>1243</v>
      </c>
      <c r="C578" s="50" t="s">
        <v>1311</v>
      </c>
      <c r="D578" s="50" t="s">
        <v>601</v>
      </c>
      <c r="E578" s="50" t="s">
        <v>601</v>
      </c>
      <c r="F578" s="50" t="s">
        <v>451</v>
      </c>
      <c r="G578" s="50" t="s">
        <v>2064</v>
      </c>
      <c r="H578" t="s">
        <v>3124</v>
      </c>
    </row>
    <row r="579" spans="1:8">
      <c r="A579" s="61">
        <v>1060</v>
      </c>
      <c r="B579" s="50" t="s">
        <v>562</v>
      </c>
      <c r="C579" s="50" t="s">
        <v>1490</v>
      </c>
      <c r="D579" s="50" t="s">
        <v>808</v>
      </c>
      <c r="E579" s="50" t="s">
        <v>808</v>
      </c>
      <c r="F579" s="50" t="s">
        <v>1322</v>
      </c>
      <c r="G579" s="50" t="s">
        <v>1946</v>
      </c>
      <c r="H579" t="s">
        <v>1580</v>
      </c>
    </row>
    <row r="580" spans="1:8">
      <c r="A580" s="61">
        <v>1063</v>
      </c>
      <c r="B580" s="50" t="s">
        <v>1491</v>
      </c>
      <c r="C580" s="50" t="s">
        <v>79</v>
      </c>
      <c r="D580" s="50" t="s">
        <v>179</v>
      </c>
      <c r="E580" s="50" t="s">
        <v>179</v>
      </c>
      <c r="F580" s="50" t="s">
        <v>223</v>
      </c>
      <c r="G580" s="50" t="s">
        <v>1543</v>
      </c>
      <c r="H580" t="s">
        <v>3837</v>
      </c>
    </row>
    <row r="581" spans="1:8">
      <c r="A581" s="61">
        <v>1064</v>
      </c>
      <c r="B581" s="50" t="s">
        <v>1492</v>
      </c>
      <c r="C581" s="50" t="s">
        <v>197</v>
      </c>
      <c r="D581" s="50" t="s">
        <v>2161</v>
      </c>
      <c r="E581" s="50" t="s">
        <v>2161</v>
      </c>
      <c r="F581" s="50" t="s">
        <v>451</v>
      </c>
      <c r="G581" s="50" t="s">
        <v>1913</v>
      </c>
      <c r="H581" t="s">
        <v>2271</v>
      </c>
    </row>
    <row r="582" spans="1:8">
      <c r="A582" s="61">
        <v>1065</v>
      </c>
      <c r="B582" s="50" t="s">
        <v>1493</v>
      </c>
      <c r="C582" s="50" t="s">
        <v>1494</v>
      </c>
      <c r="D582" s="50" t="s">
        <v>1223</v>
      </c>
      <c r="E582" s="50" t="s">
        <v>1223</v>
      </c>
      <c r="F582" s="50" t="s">
        <v>223</v>
      </c>
      <c r="G582" s="50" t="s">
        <v>1575</v>
      </c>
      <c r="H582" t="s">
        <v>3495</v>
      </c>
    </row>
    <row r="583" spans="1:8">
      <c r="A583" s="61">
        <v>1066</v>
      </c>
      <c r="B583" s="50" t="s">
        <v>2453</v>
      </c>
      <c r="C583" s="50" t="s">
        <v>194</v>
      </c>
      <c r="D583" s="50" t="s">
        <v>771</v>
      </c>
      <c r="E583" s="50" t="s">
        <v>771</v>
      </c>
      <c r="F583" s="50" t="s">
        <v>223</v>
      </c>
      <c r="G583" s="50" t="s">
        <v>1379</v>
      </c>
      <c r="H583" t="s">
        <v>2995</v>
      </c>
    </row>
    <row r="584" spans="1:8">
      <c r="A584" s="61">
        <v>1067</v>
      </c>
      <c r="B584" s="50" t="s">
        <v>1495</v>
      </c>
      <c r="C584" s="50" t="s">
        <v>778</v>
      </c>
      <c r="D584" s="50" t="s">
        <v>845</v>
      </c>
      <c r="E584" s="50" t="s">
        <v>845</v>
      </c>
      <c r="F584" s="50" t="s">
        <v>223</v>
      </c>
      <c r="G584" s="50" t="s">
        <v>3114</v>
      </c>
      <c r="H584" t="s">
        <v>3838</v>
      </c>
    </row>
    <row r="585" spans="1:8">
      <c r="A585" s="61">
        <v>1068</v>
      </c>
      <c r="B585" s="50" t="s">
        <v>1496</v>
      </c>
      <c r="C585" s="50" t="s">
        <v>425</v>
      </c>
      <c r="D585" s="50" t="s">
        <v>269</v>
      </c>
      <c r="E585" s="50" t="s">
        <v>269</v>
      </c>
      <c r="F585" s="50" t="s">
        <v>1225</v>
      </c>
      <c r="G585" s="50" t="s">
        <v>1545</v>
      </c>
      <c r="H585" t="s">
        <v>3839</v>
      </c>
    </row>
    <row r="586" spans="1:8">
      <c r="A586" s="61">
        <v>1071</v>
      </c>
      <c r="B586" s="50" t="s">
        <v>1497</v>
      </c>
      <c r="C586" s="50" t="s">
        <v>640</v>
      </c>
      <c r="D586" s="50" t="s">
        <v>1482</v>
      </c>
      <c r="E586" s="50" t="s">
        <v>1482</v>
      </c>
      <c r="F586" s="50" t="s">
        <v>1225</v>
      </c>
      <c r="G586" s="50" t="s">
        <v>2099</v>
      </c>
      <c r="H586" t="s">
        <v>3840</v>
      </c>
    </row>
    <row r="587" spans="1:8">
      <c r="A587" s="61">
        <v>1072</v>
      </c>
      <c r="B587" s="50" t="s">
        <v>1498</v>
      </c>
      <c r="C587" s="50" t="s">
        <v>336</v>
      </c>
      <c r="D587" s="50" t="s">
        <v>1481</v>
      </c>
      <c r="E587" s="50" t="s">
        <v>1481</v>
      </c>
      <c r="F587" s="50" t="s">
        <v>1586</v>
      </c>
      <c r="G587" s="50" t="s">
        <v>2318</v>
      </c>
      <c r="H587" t="s">
        <v>3841</v>
      </c>
    </row>
    <row r="588" spans="1:8">
      <c r="A588" s="61">
        <v>1073</v>
      </c>
      <c r="B588" s="50" t="s">
        <v>1499</v>
      </c>
      <c r="C588" s="50" t="s">
        <v>642</v>
      </c>
      <c r="D588" s="50" t="s">
        <v>600</v>
      </c>
      <c r="E588" s="50" t="s">
        <v>600</v>
      </c>
      <c r="F588" s="50" t="s">
        <v>1225</v>
      </c>
      <c r="G588" s="50" t="s">
        <v>1919</v>
      </c>
      <c r="H588" t="s">
        <v>3842</v>
      </c>
    </row>
    <row r="589" spans="1:8">
      <c r="A589" s="61">
        <v>1074</v>
      </c>
      <c r="B589" s="50" t="s">
        <v>1500</v>
      </c>
      <c r="C589" s="50" t="s">
        <v>1474</v>
      </c>
      <c r="D589" s="50" t="s">
        <v>600</v>
      </c>
      <c r="E589" s="50" t="s">
        <v>600</v>
      </c>
      <c r="F589" s="50" t="s">
        <v>1225</v>
      </c>
      <c r="G589" s="50" t="s">
        <v>1919</v>
      </c>
      <c r="H589" t="s">
        <v>3843</v>
      </c>
    </row>
    <row r="590" spans="1:8">
      <c r="A590" s="61">
        <v>1076</v>
      </c>
      <c r="B590" s="50" t="s">
        <v>1501</v>
      </c>
      <c r="C590" s="50" t="s">
        <v>964</v>
      </c>
      <c r="D590" s="50" t="s">
        <v>688</v>
      </c>
      <c r="E590" s="50" t="s">
        <v>688</v>
      </c>
      <c r="F590" s="50" t="s">
        <v>2035</v>
      </c>
      <c r="G590" s="32" t="s">
        <v>1890</v>
      </c>
      <c r="H590" t="s">
        <v>3339</v>
      </c>
    </row>
    <row r="591" spans="1:8">
      <c r="A591" s="61">
        <v>1077</v>
      </c>
      <c r="B591" s="50" t="s">
        <v>1502</v>
      </c>
      <c r="C591" s="50" t="s">
        <v>75</v>
      </c>
      <c r="D591" s="50" t="s">
        <v>1338</v>
      </c>
      <c r="E591" s="50" t="s">
        <v>1338</v>
      </c>
      <c r="F591" s="50" t="s">
        <v>1224</v>
      </c>
      <c r="G591" s="50" t="s">
        <v>2103</v>
      </c>
      <c r="H591" t="s">
        <v>3844</v>
      </c>
    </row>
    <row r="592" spans="1:8">
      <c r="A592" s="61">
        <v>1080</v>
      </c>
      <c r="B592" s="50" t="s">
        <v>1503</v>
      </c>
      <c r="C592" s="50" t="s">
        <v>425</v>
      </c>
      <c r="D592" s="50" t="s">
        <v>1325</v>
      </c>
      <c r="E592" s="50" t="s">
        <v>1325</v>
      </c>
      <c r="F592" s="50" t="s">
        <v>223</v>
      </c>
      <c r="G592" s="50" t="s">
        <v>2159</v>
      </c>
      <c r="H592" t="s">
        <v>3845</v>
      </c>
    </row>
    <row r="593" spans="1:8">
      <c r="A593" s="61">
        <v>1083</v>
      </c>
      <c r="B593" s="50" t="s">
        <v>1504</v>
      </c>
      <c r="C593" s="50" t="s">
        <v>866</v>
      </c>
      <c r="D593" s="50" t="s">
        <v>2378</v>
      </c>
      <c r="E593" s="50" t="s">
        <v>2378</v>
      </c>
      <c r="F593" s="50" t="s">
        <v>223</v>
      </c>
      <c r="G593" s="50" t="s">
        <v>544</v>
      </c>
      <c r="H593" t="s">
        <v>3384</v>
      </c>
    </row>
    <row r="594" spans="1:8">
      <c r="A594" s="61">
        <v>1084</v>
      </c>
      <c r="B594" s="50" t="s">
        <v>1505</v>
      </c>
      <c r="C594" s="50" t="s">
        <v>635</v>
      </c>
      <c r="D594" s="50" t="s">
        <v>771</v>
      </c>
      <c r="E594" s="50" t="s">
        <v>771</v>
      </c>
      <c r="F594" s="50" t="s">
        <v>223</v>
      </c>
      <c r="G594" s="50" t="s">
        <v>1379</v>
      </c>
      <c r="H594" t="s">
        <v>1377</v>
      </c>
    </row>
    <row r="595" spans="1:8">
      <c r="A595" s="61">
        <v>1085</v>
      </c>
      <c r="B595" s="50" t="s">
        <v>1506</v>
      </c>
      <c r="C595" s="50" t="s">
        <v>246</v>
      </c>
      <c r="D595" s="50" t="s">
        <v>1484</v>
      </c>
      <c r="E595" s="50" t="s">
        <v>1484</v>
      </c>
      <c r="F595" s="50" t="s">
        <v>1322</v>
      </c>
      <c r="G595" s="50" t="s">
        <v>1895</v>
      </c>
      <c r="H595" t="s">
        <v>2129</v>
      </c>
    </row>
    <row r="596" spans="1:8">
      <c r="A596" s="61">
        <v>1086</v>
      </c>
      <c r="B596" s="50" t="s">
        <v>1507</v>
      </c>
      <c r="C596" s="50" t="s">
        <v>246</v>
      </c>
      <c r="D596" s="50" t="s">
        <v>688</v>
      </c>
      <c r="E596" s="50" t="s">
        <v>688</v>
      </c>
      <c r="F596" s="50" t="s">
        <v>1322</v>
      </c>
      <c r="G596" s="50" t="s">
        <v>1890</v>
      </c>
      <c r="H596" t="s">
        <v>1932</v>
      </c>
    </row>
    <row r="597" spans="1:8">
      <c r="A597" s="61">
        <v>1087</v>
      </c>
      <c r="B597" s="50" t="s">
        <v>1508</v>
      </c>
      <c r="C597" s="50" t="s">
        <v>246</v>
      </c>
      <c r="D597" s="50" t="s">
        <v>433</v>
      </c>
      <c r="E597" s="50" t="s">
        <v>433</v>
      </c>
      <c r="F597" s="50" t="s">
        <v>2126</v>
      </c>
      <c r="G597" s="50" t="s">
        <v>2093</v>
      </c>
      <c r="H597" t="s">
        <v>2146</v>
      </c>
    </row>
    <row r="598" spans="1:8">
      <c r="A598" s="61">
        <v>1089</v>
      </c>
      <c r="B598" s="50" t="s">
        <v>1509</v>
      </c>
      <c r="C598" s="50" t="s">
        <v>190</v>
      </c>
      <c r="D598" s="50" t="s">
        <v>1335</v>
      </c>
      <c r="E598" s="50" t="s">
        <v>1335</v>
      </c>
      <c r="F598" s="50" t="s">
        <v>223</v>
      </c>
      <c r="G598" s="50" t="s">
        <v>3114</v>
      </c>
      <c r="H598" t="s">
        <v>1375</v>
      </c>
    </row>
    <row r="599" spans="1:8">
      <c r="A599" s="61">
        <v>1092</v>
      </c>
      <c r="B599" s="50" t="s">
        <v>1412</v>
      </c>
      <c r="C599" s="50" t="s">
        <v>1197</v>
      </c>
      <c r="D599" s="50" t="s">
        <v>2331</v>
      </c>
      <c r="E599" s="50" t="s">
        <v>2331</v>
      </c>
      <c r="F599" s="50" t="s">
        <v>223</v>
      </c>
      <c r="G599" s="50" t="s">
        <v>1913</v>
      </c>
      <c r="H599" t="s">
        <v>2481</v>
      </c>
    </row>
    <row r="600" spans="1:8">
      <c r="A600" s="61">
        <v>1094</v>
      </c>
      <c r="B600" s="50" t="s">
        <v>1510</v>
      </c>
      <c r="C600" s="50" t="s">
        <v>1311</v>
      </c>
      <c r="D600" s="50" t="s">
        <v>771</v>
      </c>
      <c r="E600" s="50" t="s">
        <v>771</v>
      </c>
      <c r="F600" s="50" t="s">
        <v>223</v>
      </c>
      <c r="G600" s="50" t="s">
        <v>1379</v>
      </c>
      <c r="H600" t="s">
        <v>3125</v>
      </c>
    </row>
    <row r="601" spans="1:8">
      <c r="A601" s="61">
        <v>1097</v>
      </c>
      <c r="B601" s="50" t="s">
        <v>1511</v>
      </c>
      <c r="C601" s="50" t="s">
        <v>1512</v>
      </c>
      <c r="D601" s="50" t="s">
        <v>235</v>
      </c>
      <c r="E601" s="50" t="s">
        <v>235</v>
      </c>
      <c r="F601" s="50" t="s">
        <v>1224</v>
      </c>
      <c r="G601" s="50" t="s">
        <v>1546</v>
      </c>
      <c r="H601" t="s">
        <v>3846</v>
      </c>
    </row>
    <row r="602" spans="1:8">
      <c r="A602" s="61">
        <v>1102</v>
      </c>
      <c r="B602" s="50" t="s">
        <v>1513</v>
      </c>
      <c r="C602" s="50" t="s">
        <v>326</v>
      </c>
      <c r="D602" s="50" t="s">
        <v>595</v>
      </c>
      <c r="E602" s="50" t="s">
        <v>595</v>
      </c>
      <c r="F602" s="50" t="s">
        <v>2037</v>
      </c>
      <c r="G602" s="50" t="s">
        <v>1906</v>
      </c>
      <c r="H602" t="s">
        <v>3847</v>
      </c>
    </row>
    <row r="603" spans="1:8">
      <c r="A603" s="61">
        <v>1104</v>
      </c>
      <c r="B603" s="50" t="s">
        <v>1514</v>
      </c>
      <c r="C603" s="50" t="s">
        <v>1197</v>
      </c>
      <c r="D603" s="50" t="s">
        <v>1264</v>
      </c>
      <c r="E603" s="50" t="s">
        <v>1264</v>
      </c>
      <c r="F603" s="50" t="s">
        <v>1339</v>
      </c>
      <c r="G603" s="50" t="s">
        <v>3105</v>
      </c>
      <c r="H603" t="s">
        <v>3848</v>
      </c>
    </row>
    <row r="604" spans="1:8">
      <c r="A604" s="61">
        <v>1105</v>
      </c>
      <c r="B604" s="50" t="s">
        <v>1515</v>
      </c>
      <c r="C604" s="50" t="s">
        <v>263</v>
      </c>
      <c r="D604" s="50" t="s">
        <v>1316</v>
      </c>
      <c r="E604" s="50" t="s">
        <v>1316</v>
      </c>
      <c r="F604" s="50" t="s">
        <v>731</v>
      </c>
      <c r="G604" s="50" t="s">
        <v>1916</v>
      </c>
      <c r="H604" t="s">
        <v>3849</v>
      </c>
    </row>
    <row r="605" spans="1:8">
      <c r="A605" s="61">
        <v>1106</v>
      </c>
      <c r="B605" s="50" t="s">
        <v>1516</v>
      </c>
      <c r="C605" s="50" t="s">
        <v>640</v>
      </c>
      <c r="D605" s="50" t="s">
        <v>432</v>
      </c>
      <c r="E605" s="50" t="s">
        <v>432</v>
      </c>
      <c r="F605" s="50" t="s">
        <v>223</v>
      </c>
      <c r="G605" s="50" t="s">
        <v>3580</v>
      </c>
      <c r="H605" t="s">
        <v>3850</v>
      </c>
    </row>
    <row r="606" spans="1:8">
      <c r="A606" s="61">
        <v>1107</v>
      </c>
      <c r="B606" s="50" t="s">
        <v>1517</v>
      </c>
      <c r="C606" s="50" t="s">
        <v>194</v>
      </c>
      <c r="D606" s="50" t="s">
        <v>2765</v>
      </c>
      <c r="E606" s="50" t="s">
        <v>2765</v>
      </c>
      <c r="F606" s="50" t="s">
        <v>1585</v>
      </c>
      <c r="G606" s="50" t="s">
        <v>1380</v>
      </c>
      <c r="H606" t="s">
        <v>2959</v>
      </c>
    </row>
    <row r="607" spans="1:8">
      <c r="A607" s="61">
        <v>1108</v>
      </c>
      <c r="B607" s="50" t="s">
        <v>1518</v>
      </c>
      <c r="C607" s="50" t="s">
        <v>188</v>
      </c>
      <c r="D607" s="50" t="s">
        <v>2436</v>
      </c>
      <c r="E607" s="50" t="s">
        <v>2436</v>
      </c>
      <c r="F607" s="50" t="s">
        <v>223</v>
      </c>
      <c r="G607" s="50" t="s">
        <v>1924</v>
      </c>
      <c r="H607" t="s">
        <v>3851</v>
      </c>
    </row>
    <row r="608" spans="1:8">
      <c r="A608" s="61">
        <v>1110</v>
      </c>
      <c r="B608" s="50" t="s">
        <v>1519</v>
      </c>
      <c r="C608" s="50" t="s">
        <v>1520</v>
      </c>
      <c r="D608" s="50" t="s">
        <v>1991</v>
      </c>
      <c r="E608" s="50" t="s">
        <v>1991</v>
      </c>
      <c r="F608" s="50" t="s">
        <v>223</v>
      </c>
      <c r="G608" s="50" t="s">
        <v>1572</v>
      </c>
      <c r="H608" t="s">
        <v>2868</v>
      </c>
    </row>
    <row r="609" spans="1:8">
      <c r="A609" s="61">
        <v>1111</v>
      </c>
      <c r="B609" s="50" t="s">
        <v>1521</v>
      </c>
      <c r="C609" s="50" t="s">
        <v>1522</v>
      </c>
      <c r="D609" s="50" t="s">
        <v>608</v>
      </c>
      <c r="E609" s="50" t="s">
        <v>608</v>
      </c>
      <c r="F609" s="50" t="s">
        <v>451</v>
      </c>
      <c r="G609" s="50" t="s">
        <v>1584</v>
      </c>
      <c r="H609" t="s">
        <v>3852</v>
      </c>
    </row>
    <row r="610" spans="1:8">
      <c r="A610" s="61">
        <v>1112</v>
      </c>
      <c r="B610" s="50" t="s">
        <v>1523</v>
      </c>
      <c r="C610" s="50" t="s">
        <v>775</v>
      </c>
      <c r="D610" s="50" t="s">
        <v>2337</v>
      </c>
      <c r="E610" s="50" t="s">
        <v>2337</v>
      </c>
      <c r="F610" s="50" t="s">
        <v>223</v>
      </c>
      <c r="G610" s="50" t="s">
        <v>2157</v>
      </c>
      <c r="H610" t="s">
        <v>3853</v>
      </c>
    </row>
    <row r="611" spans="1:8">
      <c r="A611" s="61">
        <v>1113</v>
      </c>
      <c r="B611" s="50" t="s">
        <v>1524</v>
      </c>
      <c r="C611" s="50" t="s">
        <v>336</v>
      </c>
      <c r="D611" s="50" t="s">
        <v>457</v>
      </c>
      <c r="E611" s="50" t="s">
        <v>457</v>
      </c>
      <c r="F611" s="50" t="s">
        <v>223</v>
      </c>
      <c r="G611" s="50" t="s">
        <v>1575</v>
      </c>
      <c r="H611" t="s">
        <v>2898</v>
      </c>
    </row>
    <row r="612" spans="1:8">
      <c r="A612" s="61">
        <v>1115</v>
      </c>
      <c r="B612" s="50" t="s">
        <v>1525</v>
      </c>
      <c r="C612" s="50" t="s">
        <v>866</v>
      </c>
      <c r="D612" s="50" t="s">
        <v>1039</v>
      </c>
      <c r="E612" s="50" t="s">
        <v>1039</v>
      </c>
      <c r="F612" s="50" t="s">
        <v>223</v>
      </c>
      <c r="G612" s="50" t="s">
        <v>1561</v>
      </c>
      <c r="H612" t="s">
        <v>2992</v>
      </c>
    </row>
    <row r="613" spans="1:8">
      <c r="A613" s="61">
        <v>1116</v>
      </c>
      <c r="B613" s="50" t="s">
        <v>1526</v>
      </c>
      <c r="C613" s="50" t="s">
        <v>1527</v>
      </c>
      <c r="D613" s="50" t="s">
        <v>772</v>
      </c>
      <c r="E613" s="50" t="s">
        <v>772</v>
      </c>
      <c r="F613" s="50" t="s">
        <v>451</v>
      </c>
      <c r="G613" s="50" t="s">
        <v>1389</v>
      </c>
      <c r="H613" t="s">
        <v>3091</v>
      </c>
    </row>
    <row r="614" spans="1:8">
      <c r="A614" s="61">
        <v>1117</v>
      </c>
      <c r="B614" s="50" t="s">
        <v>1098</v>
      </c>
      <c r="C614" s="50" t="s">
        <v>777</v>
      </c>
      <c r="D614" s="50" t="s">
        <v>2149</v>
      </c>
      <c r="E614" s="50" t="s">
        <v>2149</v>
      </c>
      <c r="F614" s="50" t="s">
        <v>1224</v>
      </c>
      <c r="G614" s="50" t="s">
        <v>539</v>
      </c>
      <c r="H614" t="s">
        <v>3854</v>
      </c>
    </row>
    <row r="615" spans="1:8">
      <c r="A615" s="61">
        <v>1120</v>
      </c>
      <c r="B615" s="50" t="s">
        <v>1528</v>
      </c>
      <c r="C615" s="50" t="s">
        <v>261</v>
      </c>
      <c r="D615" s="50" t="s">
        <v>1226</v>
      </c>
      <c r="E615" s="50" t="s">
        <v>1226</v>
      </c>
      <c r="F615" s="50" t="s">
        <v>451</v>
      </c>
      <c r="G615" s="50" t="s">
        <v>1378</v>
      </c>
      <c r="H615" t="s">
        <v>3855</v>
      </c>
    </row>
    <row r="616" spans="1:8">
      <c r="A616" s="61">
        <v>1121</v>
      </c>
      <c r="B616" s="50" t="s">
        <v>1026</v>
      </c>
      <c r="C616" s="50" t="s">
        <v>75</v>
      </c>
      <c r="D616" s="50" t="s">
        <v>206</v>
      </c>
      <c r="E616" s="50" t="s">
        <v>206</v>
      </c>
      <c r="F616" s="50" t="s">
        <v>223</v>
      </c>
      <c r="G616" s="50" t="s">
        <v>532</v>
      </c>
      <c r="H616" t="s">
        <v>3856</v>
      </c>
    </row>
    <row r="617" spans="1:8">
      <c r="A617" s="61">
        <v>1123</v>
      </c>
      <c r="B617" s="50" t="s">
        <v>1529</v>
      </c>
      <c r="C617" s="50" t="s">
        <v>199</v>
      </c>
      <c r="D617" s="50" t="s">
        <v>1081</v>
      </c>
      <c r="E617" s="50" t="s">
        <v>1081</v>
      </c>
      <c r="F617" s="50" t="s">
        <v>2037</v>
      </c>
      <c r="G617" s="50" t="s">
        <v>2547</v>
      </c>
      <c r="H617" t="s">
        <v>3857</v>
      </c>
    </row>
    <row r="618" spans="1:8">
      <c r="A618" s="61">
        <v>1128</v>
      </c>
      <c r="B618" s="50" t="s">
        <v>1530</v>
      </c>
      <c r="C618" s="50" t="s">
        <v>966</v>
      </c>
      <c r="D618" s="50" t="s">
        <v>685</v>
      </c>
      <c r="E618" s="50" t="s">
        <v>685</v>
      </c>
      <c r="F618" s="50" t="s">
        <v>223</v>
      </c>
      <c r="G618" s="50" t="s">
        <v>1559</v>
      </c>
      <c r="H618" t="s">
        <v>542</v>
      </c>
    </row>
    <row r="619" spans="1:8">
      <c r="A619" s="61">
        <v>1129</v>
      </c>
      <c r="B619" s="50" t="s">
        <v>1531</v>
      </c>
      <c r="C619" s="50" t="s">
        <v>79</v>
      </c>
      <c r="D619" s="50" t="s">
        <v>690</v>
      </c>
      <c r="E619" s="50" t="s">
        <v>690</v>
      </c>
      <c r="F619" s="50" t="s">
        <v>1225</v>
      </c>
      <c r="G619" s="50" t="s">
        <v>1583</v>
      </c>
      <c r="H619" t="s">
        <v>3858</v>
      </c>
    </row>
    <row r="620" spans="1:8">
      <c r="A620" s="61">
        <v>1134</v>
      </c>
      <c r="B620" s="50" t="s">
        <v>1532</v>
      </c>
      <c r="C620" s="50" t="s">
        <v>1533</v>
      </c>
      <c r="D620" s="50" t="s">
        <v>1367</v>
      </c>
      <c r="E620" s="50" t="s">
        <v>1367</v>
      </c>
      <c r="F620" s="50" t="s">
        <v>1366</v>
      </c>
      <c r="G620" s="50" t="s">
        <v>2774</v>
      </c>
      <c r="H620" t="s">
        <v>3859</v>
      </c>
    </row>
    <row r="621" spans="1:8">
      <c r="A621" s="61">
        <v>1137</v>
      </c>
      <c r="B621" s="50" t="s">
        <v>226</v>
      </c>
      <c r="C621" s="50" t="s">
        <v>79</v>
      </c>
      <c r="D621" s="50" t="s">
        <v>597</v>
      </c>
      <c r="E621" s="50" t="s">
        <v>597</v>
      </c>
      <c r="F621" s="50" t="s">
        <v>223</v>
      </c>
      <c r="G621" s="50" t="s">
        <v>1902</v>
      </c>
      <c r="H621" t="s">
        <v>3860</v>
      </c>
    </row>
    <row r="622" spans="1:8">
      <c r="A622" s="61">
        <v>1140</v>
      </c>
      <c r="B622" s="50" t="s">
        <v>227</v>
      </c>
      <c r="C622" s="50" t="s">
        <v>640</v>
      </c>
      <c r="D622" s="50" t="s">
        <v>1452</v>
      </c>
      <c r="E622" s="50" t="s">
        <v>1452</v>
      </c>
      <c r="F622" s="50" t="s">
        <v>223</v>
      </c>
      <c r="G622" s="50" t="s">
        <v>3514</v>
      </c>
      <c r="H622" t="s">
        <v>3861</v>
      </c>
    </row>
    <row r="623" spans="1:8">
      <c r="A623" s="61">
        <v>1142</v>
      </c>
      <c r="B623" s="50" t="s">
        <v>1281</v>
      </c>
      <c r="C623" s="50" t="s">
        <v>246</v>
      </c>
      <c r="D623" s="50" t="s">
        <v>1063</v>
      </c>
      <c r="E623" s="50" t="s">
        <v>1063</v>
      </c>
      <c r="F623" s="50" t="s">
        <v>451</v>
      </c>
      <c r="G623" s="50" t="s">
        <v>1551</v>
      </c>
      <c r="H623" t="s">
        <v>3412</v>
      </c>
    </row>
    <row r="624" spans="1:8">
      <c r="A624" s="61">
        <v>1147</v>
      </c>
      <c r="B624" s="50" t="s">
        <v>1282</v>
      </c>
      <c r="C624" s="50" t="s">
        <v>263</v>
      </c>
      <c r="D624" s="50" t="s">
        <v>511</v>
      </c>
      <c r="E624" s="50" t="s">
        <v>511</v>
      </c>
      <c r="F624" s="50" t="s">
        <v>223</v>
      </c>
      <c r="G624" s="50" t="s">
        <v>2472</v>
      </c>
      <c r="H624" t="s">
        <v>2138</v>
      </c>
    </row>
    <row r="625" spans="1:8">
      <c r="A625" s="61">
        <v>1150</v>
      </c>
      <c r="B625" s="50" t="s">
        <v>1283</v>
      </c>
      <c r="C625" s="50" t="s">
        <v>640</v>
      </c>
      <c r="D625" s="50" t="s">
        <v>1226</v>
      </c>
      <c r="E625" s="50" t="s">
        <v>1226</v>
      </c>
      <c r="F625" s="50" t="s">
        <v>223</v>
      </c>
      <c r="G625" s="50" t="s">
        <v>1378</v>
      </c>
      <c r="H625" t="s">
        <v>3862</v>
      </c>
    </row>
    <row r="626" spans="1:8">
      <c r="A626" s="61">
        <v>1151</v>
      </c>
      <c r="B626" s="50" t="s">
        <v>1284</v>
      </c>
      <c r="C626" s="50" t="s">
        <v>242</v>
      </c>
      <c r="D626" s="50" t="s">
        <v>235</v>
      </c>
      <c r="E626" s="50" t="s">
        <v>235</v>
      </c>
      <c r="F626" s="50" t="s">
        <v>1225</v>
      </c>
      <c r="G626" s="50" t="s">
        <v>1546</v>
      </c>
      <c r="H626" t="s">
        <v>3863</v>
      </c>
    </row>
    <row r="627" spans="1:8">
      <c r="A627" s="61">
        <v>1156</v>
      </c>
      <c r="B627" s="50" t="s">
        <v>1285</v>
      </c>
      <c r="C627" s="50" t="s">
        <v>640</v>
      </c>
      <c r="D627" s="50" t="s">
        <v>1316</v>
      </c>
      <c r="E627" s="50" t="s">
        <v>1316</v>
      </c>
      <c r="F627" s="50" t="s">
        <v>1224</v>
      </c>
      <c r="G627" s="50" t="s">
        <v>1916</v>
      </c>
      <c r="H627" t="s">
        <v>3864</v>
      </c>
    </row>
    <row r="628" spans="1:8">
      <c r="A628" s="61">
        <v>1157</v>
      </c>
      <c r="B628" s="50" t="s">
        <v>1286</v>
      </c>
      <c r="C628" s="50" t="s">
        <v>638</v>
      </c>
      <c r="D628" s="50" t="s">
        <v>475</v>
      </c>
      <c r="E628" s="50" t="s">
        <v>475</v>
      </c>
      <c r="F628" s="50" t="s">
        <v>223</v>
      </c>
      <c r="G628" s="32" t="s">
        <v>1550</v>
      </c>
      <c r="H628" t="s">
        <v>3865</v>
      </c>
    </row>
    <row r="629" spans="1:8">
      <c r="A629" s="61">
        <v>1159</v>
      </c>
      <c r="B629" s="50" t="s">
        <v>1287</v>
      </c>
      <c r="C629" s="50" t="s">
        <v>190</v>
      </c>
      <c r="D629" s="50" t="s">
        <v>2979</v>
      </c>
      <c r="E629" s="50" t="s">
        <v>2979</v>
      </c>
      <c r="F629" s="50" t="s">
        <v>223</v>
      </c>
      <c r="G629" s="50" t="s">
        <v>2793</v>
      </c>
      <c r="H629" t="s">
        <v>3866</v>
      </c>
    </row>
    <row r="630" spans="1:8">
      <c r="A630" s="61">
        <v>1160</v>
      </c>
      <c r="B630" s="50" t="s">
        <v>161</v>
      </c>
      <c r="C630" s="50" t="s">
        <v>72</v>
      </c>
      <c r="D630" s="50" t="s">
        <v>1971</v>
      </c>
      <c r="E630" s="50" t="s">
        <v>1971</v>
      </c>
      <c r="F630" s="50" t="s">
        <v>2126</v>
      </c>
      <c r="G630" s="50" t="s">
        <v>2141</v>
      </c>
      <c r="H630" t="s">
        <v>2181</v>
      </c>
    </row>
    <row r="631" spans="1:8">
      <c r="A631" s="61">
        <v>1162</v>
      </c>
      <c r="B631" s="50" t="s">
        <v>162</v>
      </c>
      <c r="C631" s="50" t="s">
        <v>163</v>
      </c>
      <c r="D631" s="50" t="s">
        <v>2435</v>
      </c>
      <c r="E631" s="50" t="s">
        <v>2435</v>
      </c>
      <c r="F631" s="50" t="s">
        <v>2516</v>
      </c>
      <c r="G631" s="50" t="s">
        <v>1583</v>
      </c>
      <c r="H631" t="s">
        <v>3867</v>
      </c>
    </row>
    <row r="632" spans="1:8">
      <c r="A632" s="61">
        <v>1163</v>
      </c>
      <c r="B632" s="50" t="s">
        <v>164</v>
      </c>
      <c r="C632" s="50" t="s">
        <v>780</v>
      </c>
      <c r="D632" s="50" t="s">
        <v>2552</v>
      </c>
      <c r="E632" s="50" t="s">
        <v>2552</v>
      </c>
      <c r="F632" s="50" t="s">
        <v>1225</v>
      </c>
      <c r="G632" s="50" t="s">
        <v>539</v>
      </c>
      <c r="H632" t="s">
        <v>3868</v>
      </c>
    </row>
    <row r="633" spans="1:8">
      <c r="A633" s="61">
        <v>1164</v>
      </c>
      <c r="B633" s="50" t="s">
        <v>165</v>
      </c>
      <c r="C633" s="50" t="s">
        <v>777</v>
      </c>
      <c r="D633" s="50" t="s">
        <v>2469</v>
      </c>
      <c r="E633" s="50" t="s">
        <v>2469</v>
      </c>
      <c r="F633" s="50" t="s">
        <v>1225</v>
      </c>
      <c r="G633" s="50" t="s">
        <v>547</v>
      </c>
      <c r="H633" t="s">
        <v>3869</v>
      </c>
    </row>
    <row r="634" spans="1:8">
      <c r="A634" s="61">
        <v>1165</v>
      </c>
      <c r="B634" s="50" t="s">
        <v>166</v>
      </c>
      <c r="C634" s="50" t="s">
        <v>1311</v>
      </c>
      <c r="D634" s="50" t="s">
        <v>2435</v>
      </c>
      <c r="E634" s="50" t="s">
        <v>2435</v>
      </c>
      <c r="F634" s="50" t="s">
        <v>1225</v>
      </c>
      <c r="G634" s="50" t="s">
        <v>1583</v>
      </c>
      <c r="H634" t="s">
        <v>3870</v>
      </c>
    </row>
    <row r="635" spans="1:8">
      <c r="A635" s="61">
        <v>1166</v>
      </c>
      <c r="B635" s="50" t="s">
        <v>167</v>
      </c>
      <c r="C635" s="50" t="s">
        <v>642</v>
      </c>
      <c r="D635" s="50" t="s">
        <v>271</v>
      </c>
      <c r="E635" s="50" t="s">
        <v>271</v>
      </c>
      <c r="F635" s="50" t="s">
        <v>1225</v>
      </c>
      <c r="G635" s="50" t="s">
        <v>2136</v>
      </c>
      <c r="H635" t="s">
        <v>3871</v>
      </c>
    </row>
    <row r="636" spans="1:8">
      <c r="A636" s="61">
        <v>1167</v>
      </c>
      <c r="B636" s="50" t="s">
        <v>414</v>
      </c>
      <c r="C636" s="50" t="s">
        <v>188</v>
      </c>
      <c r="D636" s="50" t="s">
        <v>2317</v>
      </c>
      <c r="E636" s="50" t="s">
        <v>2317</v>
      </c>
      <c r="F636" s="50" t="s">
        <v>1225</v>
      </c>
      <c r="G636" s="50" t="s">
        <v>1891</v>
      </c>
      <c r="H636" t="s">
        <v>2941</v>
      </c>
    </row>
    <row r="637" spans="1:8">
      <c r="A637" s="61">
        <v>1168</v>
      </c>
      <c r="B637" s="50" t="s">
        <v>168</v>
      </c>
      <c r="C637" s="50" t="s">
        <v>72</v>
      </c>
      <c r="D637" s="50" t="s">
        <v>271</v>
      </c>
      <c r="E637" s="50" t="s">
        <v>271</v>
      </c>
      <c r="F637" s="50" t="s">
        <v>1225</v>
      </c>
      <c r="G637" s="50" t="s">
        <v>2136</v>
      </c>
      <c r="H637" t="s">
        <v>3872</v>
      </c>
    </row>
    <row r="638" spans="1:8">
      <c r="A638" s="61">
        <v>1170</v>
      </c>
      <c r="B638" s="50" t="s">
        <v>169</v>
      </c>
      <c r="C638" s="50" t="s">
        <v>1197</v>
      </c>
      <c r="D638" s="50" t="s">
        <v>235</v>
      </c>
      <c r="E638" s="50" t="s">
        <v>235</v>
      </c>
      <c r="F638" s="50" t="s">
        <v>1225</v>
      </c>
      <c r="G638" s="50" t="s">
        <v>1546</v>
      </c>
      <c r="H638" t="s">
        <v>3873</v>
      </c>
    </row>
    <row r="639" spans="1:8">
      <c r="A639" s="61">
        <v>1171</v>
      </c>
      <c r="B639" s="50" t="s">
        <v>170</v>
      </c>
      <c r="C639" s="50" t="s">
        <v>188</v>
      </c>
      <c r="D639" s="50" t="s">
        <v>597</v>
      </c>
      <c r="E639" s="50" t="s">
        <v>597</v>
      </c>
      <c r="F639" s="50" t="s">
        <v>223</v>
      </c>
      <c r="G639" s="50" t="s">
        <v>1902</v>
      </c>
      <c r="H639" t="s">
        <v>3874</v>
      </c>
    </row>
    <row r="640" spans="1:8">
      <c r="A640" s="61">
        <v>1172</v>
      </c>
      <c r="B640" s="50" t="s">
        <v>0</v>
      </c>
      <c r="C640" s="50" t="s">
        <v>754</v>
      </c>
      <c r="D640" s="50" t="s">
        <v>597</v>
      </c>
      <c r="E640" s="50" t="s">
        <v>597</v>
      </c>
      <c r="F640" s="50" t="s">
        <v>223</v>
      </c>
      <c r="G640" s="50" t="s">
        <v>1902</v>
      </c>
      <c r="H640" t="s">
        <v>3875</v>
      </c>
    </row>
    <row r="641" spans="1:8">
      <c r="A641" s="61">
        <v>1174</v>
      </c>
      <c r="B641" s="50" t="s">
        <v>184</v>
      </c>
      <c r="C641" s="50" t="s">
        <v>190</v>
      </c>
      <c r="D641" s="50" t="s">
        <v>595</v>
      </c>
      <c r="E641" s="50" t="s">
        <v>595</v>
      </c>
      <c r="F641" s="50" t="s">
        <v>451</v>
      </c>
      <c r="G641" s="50" t="s">
        <v>1906</v>
      </c>
      <c r="H641" t="s">
        <v>2893</v>
      </c>
    </row>
    <row r="642" spans="1:8">
      <c r="A642" s="61">
        <v>1177</v>
      </c>
      <c r="B642" s="50" t="s">
        <v>653</v>
      </c>
      <c r="C642" s="50" t="s">
        <v>1246</v>
      </c>
      <c r="D642" s="50" t="s">
        <v>2448</v>
      </c>
      <c r="E642" s="50" t="s">
        <v>2448</v>
      </c>
      <c r="F642" s="50" t="s">
        <v>451</v>
      </c>
      <c r="G642" s="50" t="s">
        <v>1907</v>
      </c>
      <c r="H642" t="s">
        <v>3876</v>
      </c>
    </row>
    <row r="643" spans="1:8">
      <c r="A643" s="61">
        <v>1187</v>
      </c>
      <c r="B643" s="50" t="s">
        <v>654</v>
      </c>
      <c r="C643" s="50" t="s">
        <v>777</v>
      </c>
      <c r="D643" s="50" t="s">
        <v>1483</v>
      </c>
      <c r="E643" s="50" t="s">
        <v>1483</v>
      </c>
      <c r="F643" s="50" t="s">
        <v>223</v>
      </c>
      <c r="G643" s="50" t="s">
        <v>2406</v>
      </c>
      <c r="H643" t="s">
        <v>3877</v>
      </c>
    </row>
    <row r="644" spans="1:8">
      <c r="A644" s="61">
        <v>1190</v>
      </c>
      <c r="B644" s="50" t="s">
        <v>487</v>
      </c>
      <c r="C644" s="50" t="s">
        <v>642</v>
      </c>
      <c r="D644" s="50" t="s">
        <v>2943</v>
      </c>
      <c r="E644" s="50" t="s">
        <v>2943</v>
      </c>
      <c r="F644" s="50" t="s">
        <v>223</v>
      </c>
      <c r="G644" s="50" t="s">
        <v>1893</v>
      </c>
      <c r="H644" t="s">
        <v>3341</v>
      </c>
    </row>
    <row r="645" spans="1:8">
      <c r="A645" s="61">
        <v>1191</v>
      </c>
      <c r="B645" s="50" t="s">
        <v>488</v>
      </c>
      <c r="C645" s="50" t="s">
        <v>1157</v>
      </c>
      <c r="D645" s="50" t="s">
        <v>740</v>
      </c>
      <c r="E645" s="50" t="s">
        <v>740</v>
      </c>
      <c r="F645" s="50" t="s">
        <v>1225</v>
      </c>
      <c r="G645" s="50" t="s">
        <v>1897</v>
      </c>
      <c r="H645" t="s">
        <v>1373</v>
      </c>
    </row>
    <row r="646" spans="1:8">
      <c r="A646" s="61">
        <v>1195</v>
      </c>
      <c r="B646" s="50" t="s">
        <v>489</v>
      </c>
      <c r="C646" s="50" t="s">
        <v>266</v>
      </c>
      <c r="D646" s="50" t="s">
        <v>433</v>
      </c>
      <c r="E646" s="50" t="s">
        <v>433</v>
      </c>
      <c r="F646" s="50" t="s">
        <v>1224</v>
      </c>
      <c r="G646" s="50" t="s">
        <v>2146</v>
      </c>
      <c r="H646" t="s">
        <v>3878</v>
      </c>
    </row>
    <row r="647" spans="1:8">
      <c r="A647" s="61">
        <v>1196</v>
      </c>
      <c r="B647" s="50" t="s">
        <v>490</v>
      </c>
      <c r="C647" s="50" t="s">
        <v>640</v>
      </c>
      <c r="D647" s="50" t="s">
        <v>438</v>
      </c>
      <c r="E647" s="50" t="s">
        <v>438</v>
      </c>
      <c r="F647" s="50" t="s">
        <v>223</v>
      </c>
      <c r="G647" s="50" t="s">
        <v>1391</v>
      </c>
      <c r="H647" t="s">
        <v>3879</v>
      </c>
    </row>
    <row r="648" spans="1:8">
      <c r="A648" s="61">
        <v>1198</v>
      </c>
      <c r="B648" s="50" t="s">
        <v>491</v>
      </c>
      <c r="C648" s="50" t="s">
        <v>72</v>
      </c>
      <c r="D648" s="50" t="s">
        <v>596</v>
      </c>
      <c r="E648" s="50" t="s">
        <v>596</v>
      </c>
      <c r="F648" s="50" t="s">
        <v>223</v>
      </c>
      <c r="G648" s="50" t="s">
        <v>2277</v>
      </c>
      <c r="H648" t="s">
        <v>3880</v>
      </c>
    </row>
    <row r="649" spans="1:8">
      <c r="A649" s="61">
        <v>1201</v>
      </c>
      <c r="B649" s="50" t="s">
        <v>492</v>
      </c>
      <c r="C649" s="50" t="s">
        <v>72</v>
      </c>
      <c r="D649" s="50" t="s">
        <v>2337</v>
      </c>
      <c r="E649" s="50" t="s">
        <v>2337</v>
      </c>
      <c r="F649" s="50" t="s">
        <v>223</v>
      </c>
      <c r="G649" s="50" t="s">
        <v>2157</v>
      </c>
      <c r="H649" t="s">
        <v>3881</v>
      </c>
    </row>
    <row r="650" spans="1:8">
      <c r="A650" s="61">
        <v>1203</v>
      </c>
      <c r="B650" s="50" t="s">
        <v>493</v>
      </c>
      <c r="C650" s="50" t="s">
        <v>1246</v>
      </c>
      <c r="D650" s="50" t="s">
        <v>2091</v>
      </c>
      <c r="E650" s="50" t="s">
        <v>2091</v>
      </c>
      <c r="F650" s="50" t="s">
        <v>223</v>
      </c>
      <c r="G650" s="50" t="s">
        <v>1924</v>
      </c>
      <c r="H650" t="s">
        <v>3882</v>
      </c>
    </row>
    <row r="651" spans="1:8">
      <c r="A651" s="61">
        <v>1204</v>
      </c>
      <c r="B651" s="50" t="s">
        <v>567</v>
      </c>
      <c r="C651" s="50" t="s">
        <v>197</v>
      </c>
      <c r="D651" s="50" t="s">
        <v>2405</v>
      </c>
      <c r="E651" s="50" t="s">
        <v>2405</v>
      </c>
      <c r="F651" s="50" t="s">
        <v>686</v>
      </c>
      <c r="G651" s="50" t="s">
        <v>1922</v>
      </c>
      <c r="H651" t="s">
        <v>3126</v>
      </c>
    </row>
    <row r="652" spans="1:8">
      <c r="A652" s="61">
        <v>1205</v>
      </c>
      <c r="B652" s="50" t="s">
        <v>494</v>
      </c>
      <c r="C652" s="50" t="s">
        <v>754</v>
      </c>
      <c r="D652" s="50" t="s">
        <v>2377</v>
      </c>
      <c r="E652" s="50" t="s">
        <v>2377</v>
      </c>
      <c r="F652" s="50" t="s">
        <v>2037</v>
      </c>
      <c r="G652" s="50" t="s">
        <v>1395</v>
      </c>
      <c r="H652" t="s">
        <v>3883</v>
      </c>
    </row>
    <row r="653" spans="1:8">
      <c r="A653" s="61">
        <v>1208</v>
      </c>
      <c r="B653" s="50" t="s">
        <v>496</v>
      </c>
      <c r="C653" s="50" t="s">
        <v>964</v>
      </c>
      <c r="D653" s="50" t="s">
        <v>2378</v>
      </c>
      <c r="E653" s="50" t="s">
        <v>2378</v>
      </c>
      <c r="F653" s="50" t="s">
        <v>223</v>
      </c>
      <c r="G653" s="50" t="s">
        <v>544</v>
      </c>
      <c r="H653" t="s">
        <v>3884</v>
      </c>
    </row>
    <row r="654" spans="1:8">
      <c r="A654" s="61">
        <v>1210</v>
      </c>
      <c r="B654" s="50" t="s">
        <v>497</v>
      </c>
      <c r="C654" s="50" t="s">
        <v>780</v>
      </c>
      <c r="D654" s="50" t="s">
        <v>503</v>
      </c>
      <c r="E654" s="50" t="s">
        <v>503</v>
      </c>
      <c r="F654" s="50" t="s">
        <v>1339</v>
      </c>
      <c r="G654" s="50" t="s">
        <v>1565</v>
      </c>
      <c r="H654" t="s">
        <v>3885</v>
      </c>
    </row>
    <row r="655" spans="1:8">
      <c r="A655" s="61">
        <v>1212</v>
      </c>
      <c r="B655" s="50" t="s">
        <v>498</v>
      </c>
      <c r="C655" s="50" t="s">
        <v>246</v>
      </c>
      <c r="D655" s="50" t="s">
        <v>2448</v>
      </c>
      <c r="E655" s="50" t="s">
        <v>2448</v>
      </c>
      <c r="F655" s="50" t="s">
        <v>1585</v>
      </c>
      <c r="G655" s="50" t="s">
        <v>1907</v>
      </c>
      <c r="H655" t="s">
        <v>3886</v>
      </c>
    </row>
    <row r="656" spans="1:8">
      <c r="A656" s="61">
        <v>1214</v>
      </c>
      <c r="B656" s="50" t="s">
        <v>414</v>
      </c>
      <c r="C656" s="50" t="s">
        <v>261</v>
      </c>
      <c r="D656" s="50" t="s">
        <v>2378</v>
      </c>
      <c r="E656" s="50" t="s">
        <v>2378</v>
      </c>
      <c r="F656" s="50" t="s">
        <v>1585</v>
      </c>
      <c r="G656" s="50" t="s">
        <v>544</v>
      </c>
      <c r="H656" t="s">
        <v>3887</v>
      </c>
    </row>
    <row r="657" spans="1:8">
      <c r="A657" s="61">
        <v>1216</v>
      </c>
      <c r="B657" s="50" t="s">
        <v>499</v>
      </c>
      <c r="C657" s="50" t="s">
        <v>527</v>
      </c>
      <c r="D657" s="50" t="s">
        <v>1875</v>
      </c>
      <c r="E657" s="50" t="s">
        <v>1875</v>
      </c>
      <c r="F657" s="50" t="s">
        <v>1225</v>
      </c>
      <c r="G657" s="50" t="s">
        <v>539</v>
      </c>
      <c r="H657" t="s">
        <v>3888</v>
      </c>
    </row>
    <row r="658" spans="1:8">
      <c r="A658" s="61">
        <v>1217</v>
      </c>
      <c r="B658" s="50" t="s">
        <v>500</v>
      </c>
      <c r="C658" s="50" t="s">
        <v>1175</v>
      </c>
      <c r="D658" s="50" t="s">
        <v>2686</v>
      </c>
      <c r="E658" s="50" t="s">
        <v>2686</v>
      </c>
      <c r="F658" s="50" t="s">
        <v>1339</v>
      </c>
      <c r="G658" s="50" t="s">
        <v>529</v>
      </c>
      <c r="H658" t="s">
        <v>2905</v>
      </c>
    </row>
    <row r="659" spans="1:8">
      <c r="A659" s="61">
        <v>1221</v>
      </c>
      <c r="B659" s="50" t="s">
        <v>626</v>
      </c>
      <c r="C659" s="50" t="s">
        <v>640</v>
      </c>
      <c r="D659" s="50" t="s">
        <v>2735</v>
      </c>
      <c r="E659" s="50" t="s">
        <v>2735</v>
      </c>
      <c r="F659" s="50" t="s">
        <v>223</v>
      </c>
      <c r="G659" s="50" t="s">
        <v>2488</v>
      </c>
      <c r="H659" t="s">
        <v>3127</v>
      </c>
    </row>
    <row r="660" spans="1:8">
      <c r="A660" s="61">
        <v>1227</v>
      </c>
      <c r="B660" s="50" t="s">
        <v>105</v>
      </c>
      <c r="C660" s="50" t="s">
        <v>964</v>
      </c>
      <c r="D660" s="50" t="s">
        <v>514</v>
      </c>
      <c r="E660" s="50" t="s">
        <v>514</v>
      </c>
      <c r="F660" s="50" t="s">
        <v>223</v>
      </c>
      <c r="G660" s="50" t="s">
        <v>2472</v>
      </c>
      <c r="H660" t="s">
        <v>1928</v>
      </c>
    </row>
    <row r="661" spans="1:8">
      <c r="A661" s="61">
        <v>1228</v>
      </c>
      <c r="B661" s="50" t="s">
        <v>627</v>
      </c>
      <c r="C661" s="50" t="s">
        <v>642</v>
      </c>
      <c r="D661" s="50" t="s">
        <v>1062</v>
      </c>
      <c r="E661" s="50" t="s">
        <v>1062</v>
      </c>
      <c r="F661" s="50" t="s">
        <v>223</v>
      </c>
      <c r="G661" s="50" t="s">
        <v>1562</v>
      </c>
      <c r="H661" t="s">
        <v>2981</v>
      </c>
    </row>
    <row r="662" spans="1:8">
      <c r="A662" s="61">
        <v>1229</v>
      </c>
      <c r="B662" s="50" t="s">
        <v>628</v>
      </c>
      <c r="C662" s="50" t="s">
        <v>629</v>
      </c>
      <c r="D662" s="50" t="s">
        <v>507</v>
      </c>
      <c r="E662" s="50" t="s">
        <v>507</v>
      </c>
      <c r="F662" s="50" t="s">
        <v>223</v>
      </c>
      <c r="G662" s="50" t="s">
        <v>1910</v>
      </c>
      <c r="H662" t="s">
        <v>3889</v>
      </c>
    </row>
    <row r="663" spans="1:8">
      <c r="A663" s="61">
        <v>1232</v>
      </c>
      <c r="B663" s="50" t="s">
        <v>630</v>
      </c>
      <c r="C663" s="50" t="s">
        <v>72</v>
      </c>
      <c r="D663" s="50" t="s">
        <v>1039</v>
      </c>
      <c r="E663" s="50" t="s">
        <v>1039</v>
      </c>
      <c r="F663" s="50" t="s">
        <v>223</v>
      </c>
      <c r="G663" s="50" t="s">
        <v>1561</v>
      </c>
      <c r="H663" t="s">
        <v>3890</v>
      </c>
    </row>
    <row r="664" spans="1:8">
      <c r="A664" s="61">
        <v>1233</v>
      </c>
      <c r="B664" s="50" t="s">
        <v>631</v>
      </c>
      <c r="C664" s="50" t="s">
        <v>642</v>
      </c>
      <c r="D664" s="50" t="s">
        <v>1063</v>
      </c>
      <c r="E664" s="50" t="s">
        <v>1063</v>
      </c>
      <c r="F664" s="50" t="s">
        <v>1339</v>
      </c>
      <c r="G664" s="50" t="s">
        <v>1551</v>
      </c>
      <c r="H664" t="s">
        <v>3891</v>
      </c>
    </row>
    <row r="665" spans="1:8">
      <c r="A665" s="61">
        <v>1236</v>
      </c>
      <c r="B665" s="50" t="s">
        <v>712</v>
      </c>
      <c r="C665" s="50" t="s">
        <v>1311</v>
      </c>
      <c r="D665" s="50" t="s">
        <v>318</v>
      </c>
      <c r="E665" s="50" t="s">
        <v>318</v>
      </c>
      <c r="F665" s="50" t="s">
        <v>1339</v>
      </c>
      <c r="G665" s="50" t="s">
        <v>2806</v>
      </c>
      <c r="H665" t="s">
        <v>3892</v>
      </c>
    </row>
    <row r="666" spans="1:8">
      <c r="A666" s="61">
        <v>1238</v>
      </c>
      <c r="B666" s="50" t="s">
        <v>713</v>
      </c>
      <c r="C666" s="50" t="s">
        <v>777</v>
      </c>
      <c r="D666" s="50" t="s">
        <v>2686</v>
      </c>
      <c r="E666" s="50" t="s">
        <v>2686</v>
      </c>
      <c r="F666" s="50" t="s">
        <v>223</v>
      </c>
      <c r="G666" s="50" t="s">
        <v>529</v>
      </c>
      <c r="H666" t="s">
        <v>341</v>
      </c>
    </row>
    <row r="667" spans="1:8">
      <c r="A667" s="61">
        <v>1240</v>
      </c>
      <c r="B667" s="50" t="s">
        <v>523</v>
      </c>
      <c r="C667" s="50" t="s">
        <v>263</v>
      </c>
      <c r="D667" s="50" t="s">
        <v>1999</v>
      </c>
      <c r="E667" s="50" t="s">
        <v>1999</v>
      </c>
      <c r="F667" s="50" t="s">
        <v>1339</v>
      </c>
      <c r="G667" s="50" t="s">
        <v>1584</v>
      </c>
      <c r="H667" t="s">
        <v>3053</v>
      </c>
    </row>
    <row r="668" spans="1:8">
      <c r="A668" s="61">
        <v>1242</v>
      </c>
      <c r="B668" s="50" t="s">
        <v>714</v>
      </c>
      <c r="C668" s="50" t="s">
        <v>802</v>
      </c>
      <c r="D668" s="50" t="s">
        <v>772</v>
      </c>
      <c r="E668" s="50" t="s">
        <v>772</v>
      </c>
      <c r="F668" s="50" t="s">
        <v>1321</v>
      </c>
      <c r="G668" s="50" t="s">
        <v>1921</v>
      </c>
      <c r="H668" t="s">
        <v>1389</v>
      </c>
    </row>
    <row r="669" spans="1:8">
      <c r="A669" s="61">
        <v>1243</v>
      </c>
      <c r="B669" s="50" t="s">
        <v>715</v>
      </c>
      <c r="C669" s="50" t="s">
        <v>716</v>
      </c>
      <c r="D669" s="50" t="s">
        <v>2765</v>
      </c>
      <c r="E669" s="50" t="s">
        <v>2765</v>
      </c>
      <c r="F669" s="50" t="s">
        <v>2037</v>
      </c>
      <c r="G669" s="50" t="s">
        <v>1380</v>
      </c>
      <c r="H669" t="s">
        <v>3893</v>
      </c>
    </row>
    <row r="670" spans="1:8">
      <c r="A670" s="61">
        <v>1244</v>
      </c>
      <c r="B670" s="50" t="s">
        <v>717</v>
      </c>
      <c r="C670" s="50" t="s">
        <v>640</v>
      </c>
      <c r="D670" s="50" t="s">
        <v>2448</v>
      </c>
      <c r="E670" s="50" t="s">
        <v>2448</v>
      </c>
      <c r="F670" s="50" t="s">
        <v>2037</v>
      </c>
      <c r="G670" s="50" t="s">
        <v>1907</v>
      </c>
      <c r="H670" t="s">
        <v>3894</v>
      </c>
    </row>
    <row r="671" spans="1:8">
      <c r="A671" s="61">
        <v>1246</v>
      </c>
      <c r="B671" s="50" t="s">
        <v>567</v>
      </c>
      <c r="C671" s="50" t="s">
        <v>718</v>
      </c>
      <c r="D671" s="50" t="s">
        <v>2377</v>
      </c>
      <c r="E671" s="50" t="s">
        <v>2377</v>
      </c>
      <c r="F671" s="50" t="s">
        <v>1585</v>
      </c>
      <c r="G671" s="50" t="s">
        <v>1395</v>
      </c>
      <c r="H671" t="s">
        <v>3895</v>
      </c>
    </row>
    <row r="672" spans="1:8">
      <c r="A672" s="61">
        <v>1247</v>
      </c>
      <c r="B672" s="50" t="s">
        <v>719</v>
      </c>
      <c r="C672" s="50" t="s">
        <v>263</v>
      </c>
      <c r="D672" s="50" t="s">
        <v>1062</v>
      </c>
      <c r="E672" s="50" t="s">
        <v>1062</v>
      </c>
      <c r="F672" s="50" t="s">
        <v>223</v>
      </c>
      <c r="G672" s="50" t="s">
        <v>1562</v>
      </c>
      <c r="H672" t="s">
        <v>3014</v>
      </c>
    </row>
    <row r="673" spans="1:8">
      <c r="A673" s="61">
        <v>1249</v>
      </c>
      <c r="B673" s="50" t="s">
        <v>720</v>
      </c>
      <c r="C673" s="50" t="s">
        <v>79</v>
      </c>
      <c r="D673" s="50" t="s">
        <v>1483</v>
      </c>
      <c r="E673" s="50" t="s">
        <v>1483</v>
      </c>
      <c r="F673" s="50" t="s">
        <v>223</v>
      </c>
      <c r="G673" s="50" t="s">
        <v>2406</v>
      </c>
      <c r="H673" t="s">
        <v>3896</v>
      </c>
    </row>
    <row r="674" spans="1:8">
      <c r="A674" s="61">
        <v>1250</v>
      </c>
      <c r="B674" s="50" t="s">
        <v>721</v>
      </c>
      <c r="C674" s="50" t="s">
        <v>642</v>
      </c>
      <c r="D674" s="50" t="s">
        <v>2378</v>
      </c>
      <c r="E674" s="50" t="s">
        <v>2378</v>
      </c>
      <c r="F674" s="50" t="s">
        <v>223</v>
      </c>
      <c r="G674" s="50" t="s">
        <v>544</v>
      </c>
      <c r="H674" t="s">
        <v>3897</v>
      </c>
    </row>
    <row r="675" spans="1:8">
      <c r="A675" s="61">
        <v>1252</v>
      </c>
      <c r="B675" s="50" t="s">
        <v>722</v>
      </c>
      <c r="C675" s="50" t="s">
        <v>425</v>
      </c>
      <c r="D675" s="50" t="s">
        <v>267</v>
      </c>
      <c r="E675" s="50" t="s">
        <v>267</v>
      </c>
      <c r="F675" s="50" t="s">
        <v>1224</v>
      </c>
      <c r="G675" s="50" t="s">
        <v>2780</v>
      </c>
      <c r="H675" t="s">
        <v>3898</v>
      </c>
    </row>
    <row r="676" spans="1:8">
      <c r="A676" s="61">
        <v>1254</v>
      </c>
      <c r="B676" s="50" t="s">
        <v>723</v>
      </c>
      <c r="C676" s="50" t="s">
        <v>775</v>
      </c>
      <c r="D676" s="50" t="s">
        <v>1325</v>
      </c>
      <c r="E676" s="50" t="s">
        <v>1325</v>
      </c>
      <c r="F676" s="50" t="s">
        <v>223</v>
      </c>
      <c r="G676" s="50" t="s">
        <v>2159</v>
      </c>
      <c r="H676" t="s">
        <v>2968</v>
      </c>
    </row>
    <row r="677" spans="1:8">
      <c r="A677" s="61">
        <v>1256</v>
      </c>
      <c r="B677" s="50" t="s">
        <v>724</v>
      </c>
      <c r="C677" s="50" t="s">
        <v>638</v>
      </c>
      <c r="D677" s="50" t="s">
        <v>1264</v>
      </c>
      <c r="E677" s="50" t="s">
        <v>1264</v>
      </c>
      <c r="F677" s="50" t="s">
        <v>2037</v>
      </c>
      <c r="G677" s="50" t="s">
        <v>3105</v>
      </c>
      <c r="H677" t="s">
        <v>2862</v>
      </c>
    </row>
    <row r="678" spans="1:8">
      <c r="A678" s="61">
        <v>1257</v>
      </c>
      <c r="B678" s="50" t="s">
        <v>725</v>
      </c>
      <c r="C678" s="50" t="s">
        <v>1052</v>
      </c>
      <c r="D678" s="50" t="s">
        <v>235</v>
      </c>
      <c r="E678" s="50" t="s">
        <v>235</v>
      </c>
      <c r="F678" s="50" t="s">
        <v>1224</v>
      </c>
      <c r="G678" s="50" t="s">
        <v>1546</v>
      </c>
      <c r="H678" t="s">
        <v>2764</v>
      </c>
    </row>
    <row r="679" spans="1:8">
      <c r="A679" s="61">
        <v>1259</v>
      </c>
      <c r="B679" s="50" t="s">
        <v>726</v>
      </c>
      <c r="C679" s="50" t="s">
        <v>867</v>
      </c>
      <c r="D679" s="50" t="s">
        <v>690</v>
      </c>
      <c r="E679" s="50" t="s">
        <v>690</v>
      </c>
      <c r="F679" s="50" t="s">
        <v>1225</v>
      </c>
      <c r="G679" s="50" t="s">
        <v>1583</v>
      </c>
      <c r="H679" t="s">
        <v>3899</v>
      </c>
    </row>
    <row r="680" spans="1:8">
      <c r="A680" s="61">
        <v>1260</v>
      </c>
      <c r="B680" s="50" t="s">
        <v>1420</v>
      </c>
      <c r="C680" s="50" t="s">
        <v>642</v>
      </c>
      <c r="D680" s="50" t="s">
        <v>1483</v>
      </c>
      <c r="E680" s="50" t="s">
        <v>1483</v>
      </c>
      <c r="F680" s="50" t="s">
        <v>223</v>
      </c>
      <c r="G680" s="50" t="s">
        <v>2406</v>
      </c>
      <c r="H680" t="s">
        <v>3900</v>
      </c>
    </row>
    <row r="681" spans="1:8">
      <c r="A681" s="61">
        <v>1263</v>
      </c>
      <c r="B681" s="50" t="s">
        <v>1117</v>
      </c>
      <c r="C681" s="50" t="s">
        <v>263</v>
      </c>
      <c r="D681" s="50" t="s">
        <v>596</v>
      </c>
      <c r="E681" s="50" t="s">
        <v>596</v>
      </c>
      <c r="F681" s="50" t="s">
        <v>223</v>
      </c>
      <c r="G681" s="50" t="s">
        <v>2277</v>
      </c>
      <c r="H681" t="s">
        <v>3901</v>
      </c>
    </row>
    <row r="682" spans="1:8">
      <c r="A682" s="61">
        <v>1266</v>
      </c>
      <c r="B682" s="50" t="s">
        <v>727</v>
      </c>
      <c r="C682" s="50" t="s">
        <v>261</v>
      </c>
      <c r="D682" s="50" t="s">
        <v>1604</v>
      </c>
      <c r="E682" s="50" t="s">
        <v>1604</v>
      </c>
      <c r="F682" s="50" t="s">
        <v>1225</v>
      </c>
      <c r="G682" s="50" t="s">
        <v>548</v>
      </c>
      <c r="H682" t="s">
        <v>3902</v>
      </c>
    </row>
    <row r="683" spans="1:8">
      <c r="A683" s="61">
        <v>1267</v>
      </c>
      <c r="B683" s="50" t="s">
        <v>728</v>
      </c>
      <c r="C683" s="50" t="s">
        <v>637</v>
      </c>
      <c r="D683" s="50" t="s">
        <v>235</v>
      </c>
      <c r="E683" s="50" t="s">
        <v>235</v>
      </c>
      <c r="F683" s="50" t="s">
        <v>1225</v>
      </c>
      <c r="G683" s="50" t="s">
        <v>1546</v>
      </c>
      <c r="H683" t="s">
        <v>3903</v>
      </c>
    </row>
    <row r="684" spans="1:8">
      <c r="A684" s="61">
        <v>1273</v>
      </c>
      <c r="B684" s="50" t="s">
        <v>730</v>
      </c>
      <c r="C684" s="50" t="s">
        <v>127</v>
      </c>
      <c r="D684" s="50" t="s">
        <v>684</v>
      </c>
      <c r="E684" s="50" t="s">
        <v>684</v>
      </c>
      <c r="F684" s="50" t="s">
        <v>223</v>
      </c>
      <c r="G684" s="50" t="s">
        <v>541</v>
      </c>
      <c r="H684" t="s">
        <v>3904</v>
      </c>
    </row>
    <row r="685" spans="1:8">
      <c r="A685" s="61">
        <v>1274</v>
      </c>
      <c r="B685" s="50" t="s">
        <v>356</v>
      </c>
      <c r="C685" s="50" t="s">
        <v>261</v>
      </c>
      <c r="D685" s="50" t="s">
        <v>1318</v>
      </c>
      <c r="E685" s="50" t="s">
        <v>1318</v>
      </c>
      <c r="F685" s="50" t="s">
        <v>1225</v>
      </c>
      <c r="G685" s="50" t="s">
        <v>1905</v>
      </c>
      <c r="H685" t="s">
        <v>3905</v>
      </c>
    </row>
    <row r="686" spans="1:8">
      <c r="A686" s="61">
        <v>1276</v>
      </c>
      <c r="B686" s="50" t="s">
        <v>1290</v>
      </c>
      <c r="C686" s="50" t="s">
        <v>263</v>
      </c>
      <c r="D686" s="50" t="s">
        <v>2979</v>
      </c>
      <c r="E686" s="50" t="s">
        <v>2979</v>
      </c>
      <c r="F686" s="50" t="s">
        <v>1339</v>
      </c>
      <c r="G686" s="50" t="s">
        <v>2793</v>
      </c>
      <c r="H686" t="s">
        <v>2279</v>
      </c>
    </row>
    <row r="687" spans="1:8">
      <c r="A687" s="61">
        <v>1277</v>
      </c>
      <c r="B687" s="50" t="s">
        <v>1291</v>
      </c>
      <c r="C687" s="50" t="s">
        <v>246</v>
      </c>
      <c r="D687" s="50" t="s">
        <v>218</v>
      </c>
      <c r="E687" s="50" t="s">
        <v>218</v>
      </c>
      <c r="F687" s="50" t="s">
        <v>1225</v>
      </c>
      <c r="G687" s="32" t="s">
        <v>1879</v>
      </c>
      <c r="H687" t="s">
        <v>3906</v>
      </c>
    </row>
    <row r="688" spans="1:8">
      <c r="A688" s="61">
        <v>1278</v>
      </c>
      <c r="B688" s="50" t="s">
        <v>1292</v>
      </c>
      <c r="C688" s="50" t="s">
        <v>75</v>
      </c>
      <c r="D688" s="50" t="s">
        <v>512</v>
      </c>
      <c r="E688" s="50" t="s">
        <v>512</v>
      </c>
      <c r="F688" s="50" t="s">
        <v>223</v>
      </c>
      <c r="G688" s="50" t="s">
        <v>1574</v>
      </c>
      <c r="H688" t="s">
        <v>3907</v>
      </c>
    </row>
    <row r="689" spans="1:8">
      <c r="A689" s="61">
        <v>1279</v>
      </c>
      <c r="B689" s="50" t="s">
        <v>1293</v>
      </c>
      <c r="C689" s="50" t="s">
        <v>336</v>
      </c>
      <c r="D689" s="50" t="s">
        <v>224</v>
      </c>
      <c r="E689" s="50" t="s">
        <v>224</v>
      </c>
      <c r="F689" s="50" t="s">
        <v>223</v>
      </c>
      <c r="G689" s="50" t="s">
        <v>1903</v>
      </c>
      <c r="H689" t="s">
        <v>2949</v>
      </c>
    </row>
    <row r="690" spans="1:8">
      <c r="A690" s="61">
        <v>1280</v>
      </c>
      <c r="B690" s="50" t="s">
        <v>1294</v>
      </c>
      <c r="C690" s="50" t="s">
        <v>802</v>
      </c>
      <c r="D690" s="50" t="s">
        <v>2160</v>
      </c>
      <c r="E690" s="50" t="s">
        <v>2160</v>
      </c>
      <c r="F690" s="50" t="s">
        <v>223</v>
      </c>
      <c r="G690" s="50" t="s">
        <v>1913</v>
      </c>
      <c r="H690" t="s">
        <v>3908</v>
      </c>
    </row>
    <row r="691" spans="1:8">
      <c r="A691" s="61">
        <v>1282</v>
      </c>
      <c r="B691" s="50" t="s">
        <v>1295</v>
      </c>
      <c r="C691" s="50" t="s">
        <v>780</v>
      </c>
      <c r="D691" s="50" t="s">
        <v>1090</v>
      </c>
      <c r="E691" s="50" t="s">
        <v>1090</v>
      </c>
      <c r="F691" s="50" t="s">
        <v>2036</v>
      </c>
      <c r="G691" s="50" t="s">
        <v>1884</v>
      </c>
      <c r="H691" t="s">
        <v>3909</v>
      </c>
    </row>
    <row r="692" spans="1:8">
      <c r="A692" s="61">
        <v>1283</v>
      </c>
      <c r="B692" s="50" t="s">
        <v>936</v>
      </c>
      <c r="C692" s="50" t="s">
        <v>780</v>
      </c>
      <c r="D692" s="50" t="s">
        <v>395</v>
      </c>
      <c r="E692" s="50" t="s">
        <v>395</v>
      </c>
      <c r="F692" s="50" t="s">
        <v>223</v>
      </c>
      <c r="G692" s="50" t="s">
        <v>540</v>
      </c>
      <c r="H692" t="s">
        <v>3910</v>
      </c>
    </row>
    <row r="693" spans="1:8">
      <c r="A693" s="61">
        <v>1284</v>
      </c>
      <c r="B693" s="50" t="s">
        <v>1296</v>
      </c>
      <c r="C693" s="50" t="s">
        <v>75</v>
      </c>
      <c r="D693" s="50" t="s">
        <v>3531</v>
      </c>
      <c r="E693" s="50" t="s">
        <v>3531</v>
      </c>
      <c r="F693" s="50" t="s">
        <v>1339</v>
      </c>
      <c r="G693" s="50" t="s">
        <v>339</v>
      </c>
      <c r="H693" t="s">
        <v>3537</v>
      </c>
    </row>
    <row r="694" spans="1:8">
      <c r="A694" s="61">
        <v>1286</v>
      </c>
      <c r="B694" s="50" t="s">
        <v>209</v>
      </c>
      <c r="C694" s="50" t="s">
        <v>79</v>
      </c>
      <c r="D694" s="50" t="s">
        <v>433</v>
      </c>
      <c r="E694" s="50" t="s">
        <v>433</v>
      </c>
      <c r="F694" s="50" t="s">
        <v>1224</v>
      </c>
      <c r="G694" s="50" t="s">
        <v>2146</v>
      </c>
      <c r="H694" t="s">
        <v>3911</v>
      </c>
    </row>
    <row r="695" spans="1:8">
      <c r="A695" s="61">
        <v>1287</v>
      </c>
      <c r="B695" s="50" t="s">
        <v>1297</v>
      </c>
      <c r="C695" s="50" t="s">
        <v>1311</v>
      </c>
      <c r="D695" s="50" t="s">
        <v>845</v>
      </c>
      <c r="E695" s="50" t="s">
        <v>845</v>
      </c>
      <c r="F695" s="50" t="s">
        <v>223</v>
      </c>
      <c r="G695" s="50" t="s">
        <v>3114</v>
      </c>
      <c r="H695" t="s">
        <v>3912</v>
      </c>
    </row>
    <row r="696" spans="1:8">
      <c r="A696" s="61">
        <v>1288</v>
      </c>
      <c r="B696" s="50" t="s">
        <v>381</v>
      </c>
      <c r="C696" s="50" t="s">
        <v>1311</v>
      </c>
      <c r="D696" s="50" t="s">
        <v>1264</v>
      </c>
      <c r="E696" s="50" t="s">
        <v>1264</v>
      </c>
      <c r="F696" s="50" t="s">
        <v>223</v>
      </c>
      <c r="G696" s="50" t="s">
        <v>3105</v>
      </c>
      <c r="H696" t="s">
        <v>2619</v>
      </c>
    </row>
    <row r="697" spans="1:8">
      <c r="A697" s="61">
        <v>1301</v>
      </c>
      <c r="B697" s="50" t="s">
        <v>1298</v>
      </c>
      <c r="C697" s="50" t="s">
        <v>1311</v>
      </c>
      <c r="D697" s="50" t="s">
        <v>1081</v>
      </c>
      <c r="E697" s="50" t="s">
        <v>1081</v>
      </c>
      <c r="F697" s="50" t="s">
        <v>223</v>
      </c>
      <c r="G697" s="50" t="s">
        <v>2547</v>
      </c>
      <c r="H697" t="s">
        <v>3367</v>
      </c>
    </row>
    <row r="698" spans="1:8">
      <c r="A698" s="61">
        <v>1302</v>
      </c>
      <c r="B698" s="50" t="s">
        <v>1299</v>
      </c>
      <c r="C698" s="50" t="s">
        <v>188</v>
      </c>
      <c r="D698" s="50" t="s">
        <v>684</v>
      </c>
      <c r="E698" s="50" t="s">
        <v>684</v>
      </c>
      <c r="F698" s="50" t="s">
        <v>223</v>
      </c>
      <c r="G698" s="50" t="s">
        <v>541</v>
      </c>
      <c r="H698" t="s">
        <v>3913</v>
      </c>
    </row>
    <row r="699" spans="1:8">
      <c r="A699" s="61">
        <v>1303</v>
      </c>
      <c r="B699" s="50" t="s">
        <v>2591</v>
      </c>
      <c r="C699" s="50" t="s">
        <v>637</v>
      </c>
      <c r="D699" s="50" t="s">
        <v>632</v>
      </c>
      <c r="E699" s="50" t="s">
        <v>632</v>
      </c>
      <c r="F699" s="50" t="s">
        <v>451</v>
      </c>
      <c r="G699" s="50" t="s">
        <v>1393</v>
      </c>
      <c r="H699" t="s">
        <v>2849</v>
      </c>
    </row>
    <row r="700" spans="1:8">
      <c r="A700" s="61">
        <v>1304</v>
      </c>
      <c r="B700" s="50" t="s">
        <v>1300</v>
      </c>
      <c r="C700" s="50" t="s">
        <v>336</v>
      </c>
      <c r="D700" s="50" t="s">
        <v>453</v>
      </c>
      <c r="E700" s="50" t="s">
        <v>453</v>
      </c>
      <c r="F700" s="50" t="s">
        <v>223</v>
      </c>
      <c r="G700" s="50" t="s">
        <v>1880</v>
      </c>
      <c r="H700" t="s">
        <v>2282</v>
      </c>
    </row>
    <row r="701" spans="1:8">
      <c r="A701" s="61">
        <v>1305</v>
      </c>
      <c r="B701" s="50" t="s">
        <v>1301</v>
      </c>
      <c r="C701" s="50" t="s">
        <v>777</v>
      </c>
      <c r="D701" s="50" t="s">
        <v>711</v>
      </c>
      <c r="E701" s="50" t="s">
        <v>711</v>
      </c>
      <c r="F701" s="50" t="s">
        <v>1225</v>
      </c>
      <c r="G701" s="50" t="s">
        <v>543</v>
      </c>
      <c r="H701" t="s">
        <v>3914</v>
      </c>
    </row>
    <row r="702" spans="1:8">
      <c r="A702" s="61">
        <v>1308</v>
      </c>
      <c r="B702" s="50" t="s">
        <v>1303</v>
      </c>
      <c r="C702" s="50" t="s">
        <v>1246</v>
      </c>
      <c r="D702" s="50" t="s">
        <v>449</v>
      </c>
      <c r="E702" s="50" t="s">
        <v>449</v>
      </c>
      <c r="F702" s="50" t="s">
        <v>223</v>
      </c>
      <c r="G702" s="50" t="s">
        <v>1899</v>
      </c>
      <c r="H702" t="s">
        <v>3915</v>
      </c>
    </row>
    <row r="703" spans="1:8">
      <c r="A703" s="61">
        <v>1309</v>
      </c>
      <c r="B703" s="50" t="s">
        <v>2339</v>
      </c>
      <c r="C703" s="50" t="s">
        <v>866</v>
      </c>
      <c r="D703" s="50" t="s">
        <v>2329</v>
      </c>
      <c r="E703" s="50" t="s">
        <v>2329</v>
      </c>
      <c r="F703" s="50" t="s">
        <v>223</v>
      </c>
      <c r="G703" s="50" t="s">
        <v>2775</v>
      </c>
      <c r="H703" t="s">
        <v>3916</v>
      </c>
    </row>
    <row r="704" spans="1:8">
      <c r="A704" s="61">
        <v>1310</v>
      </c>
      <c r="B704" s="50" t="s">
        <v>1304</v>
      </c>
      <c r="C704" s="50" t="s">
        <v>79</v>
      </c>
      <c r="D704" s="50" t="s">
        <v>235</v>
      </c>
      <c r="E704" s="50" t="s">
        <v>235</v>
      </c>
      <c r="F704" s="50" t="s">
        <v>1224</v>
      </c>
      <c r="G704" s="50" t="s">
        <v>1546</v>
      </c>
      <c r="H704" t="s">
        <v>3013</v>
      </c>
    </row>
    <row r="705" spans="1:8">
      <c r="A705" s="61">
        <v>1312</v>
      </c>
      <c r="B705" s="50" t="s">
        <v>1305</v>
      </c>
      <c r="C705" s="50" t="s">
        <v>79</v>
      </c>
      <c r="D705" s="50" t="s">
        <v>1062</v>
      </c>
      <c r="E705" s="50" t="s">
        <v>1062</v>
      </c>
      <c r="F705" s="50" t="s">
        <v>451</v>
      </c>
      <c r="G705" s="50" t="s">
        <v>1562</v>
      </c>
      <c r="H705" t="s">
        <v>3917</v>
      </c>
    </row>
    <row r="706" spans="1:8">
      <c r="A706" s="61">
        <v>1313</v>
      </c>
      <c r="B706" s="50" t="s">
        <v>1306</v>
      </c>
      <c r="C706" s="50" t="s">
        <v>242</v>
      </c>
      <c r="D706" s="50" t="s">
        <v>438</v>
      </c>
      <c r="E706" s="50" t="s">
        <v>438</v>
      </c>
      <c r="F706" s="50" t="s">
        <v>223</v>
      </c>
      <c r="G706" s="50" t="s">
        <v>1391</v>
      </c>
      <c r="H706" t="s">
        <v>3918</v>
      </c>
    </row>
    <row r="707" spans="1:8">
      <c r="A707" s="61">
        <v>1314</v>
      </c>
      <c r="B707" s="50" t="s">
        <v>1307</v>
      </c>
      <c r="C707" s="50" t="s">
        <v>1494</v>
      </c>
      <c r="D707" s="50" t="s">
        <v>2160</v>
      </c>
      <c r="E707" s="50" t="s">
        <v>2160</v>
      </c>
      <c r="F707" s="50" t="s">
        <v>223</v>
      </c>
      <c r="G707" s="50" t="s">
        <v>1913</v>
      </c>
      <c r="H707" t="s">
        <v>2480</v>
      </c>
    </row>
    <row r="708" spans="1:8">
      <c r="A708" s="61">
        <v>1315</v>
      </c>
      <c r="B708" s="50" t="s">
        <v>752</v>
      </c>
      <c r="C708" s="50" t="s">
        <v>246</v>
      </c>
      <c r="D708" s="50" t="s">
        <v>1226</v>
      </c>
      <c r="E708" s="50" t="s">
        <v>1226</v>
      </c>
      <c r="F708" s="50" t="s">
        <v>223</v>
      </c>
      <c r="G708" s="50" t="s">
        <v>1378</v>
      </c>
      <c r="H708" t="s">
        <v>3919</v>
      </c>
    </row>
    <row r="709" spans="1:8">
      <c r="A709" s="61">
        <v>1316</v>
      </c>
      <c r="B709" s="50" t="s">
        <v>1308</v>
      </c>
      <c r="C709" s="50" t="s">
        <v>242</v>
      </c>
      <c r="D709" s="50" t="s">
        <v>2072</v>
      </c>
      <c r="E709" s="50" t="s">
        <v>2072</v>
      </c>
      <c r="F709" s="50" t="s">
        <v>2037</v>
      </c>
      <c r="G709" s="50" t="s">
        <v>1398</v>
      </c>
      <c r="H709" t="s">
        <v>3920</v>
      </c>
    </row>
    <row r="710" spans="1:8">
      <c r="A710" s="61">
        <v>1317</v>
      </c>
      <c r="B710" s="50" t="s">
        <v>1309</v>
      </c>
      <c r="C710" s="50" t="s">
        <v>642</v>
      </c>
      <c r="D710" s="50" t="s">
        <v>683</v>
      </c>
      <c r="E710" s="50" t="s">
        <v>683</v>
      </c>
      <c r="F710" s="50" t="s">
        <v>2037</v>
      </c>
      <c r="G710" s="50" t="s">
        <v>1900</v>
      </c>
      <c r="H710" t="s">
        <v>2382</v>
      </c>
    </row>
    <row r="711" spans="1:8">
      <c r="A711" s="61">
        <v>1319</v>
      </c>
      <c r="B711" s="50" t="s">
        <v>1310</v>
      </c>
      <c r="C711" s="50" t="s">
        <v>140</v>
      </c>
      <c r="D711" s="50" t="s">
        <v>2675</v>
      </c>
      <c r="E711" s="50" t="s">
        <v>2675</v>
      </c>
      <c r="F711" s="50" t="s">
        <v>2037</v>
      </c>
      <c r="G711" s="50" t="s">
        <v>339</v>
      </c>
      <c r="H711" t="s">
        <v>3543</v>
      </c>
    </row>
    <row r="712" spans="1:8">
      <c r="A712" s="61">
        <v>1323</v>
      </c>
      <c r="B712" s="50" t="s">
        <v>729</v>
      </c>
      <c r="C712" s="50" t="s">
        <v>242</v>
      </c>
      <c r="D712" s="50" t="s">
        <v>3317</v>
      </c>
      <c r="E712" s="50" t="s">
        <v>3317</v>
      </c>
      <c r="F712" s="50" t="s">
        <v>1339</v>
      </c>
      <c r="G712" s="50" t="s">
        <v>1909</v>
      </c>
      <c r="H712" t="s">
        <v>3487</v>
      </c>
    </row>
    <row r="713" spans="1:8">
      <c r="A713" s="61">
        <v>1327</v>
      </c>
      <c r="B713" s="50" t="s">
        <v>1040</v>
      </c>
      <c r="C713" s="50" t="s">
        <v>1175</v>
      </c>
      <c r="D713" s="50" t="s">
        <v>683</v>
      </c>
      <c r="E713" s="50" t="s">
        <v>683</v>
      </c>
      <c r="F713" s="50" t="s">
        <v>223</v>
      </c>
      <c r="G713" s="50" t="s">
        <v>1900</v>
      </c>
      <c r="H713" t="s">
        <v>3921</v>
      </c>
    </row>
    <row r="714" spans="1:8">
      <c r="A714" s="61">
        <v>1328</v>
      </c>
      <c r="B714" s="50" t="s">
        <v>1041</v>
      </c>
      <c r="C714" s="50" t="s">
        <v>336</v>
      </c>
      <c r="D714" s="50" t="s">
        <v>772</v>
      </c>
      <c r="E714" s="50" t="s">
        <v>772</v>
      </c>
      <c r="F714" s="50" t="s">
        <v>1339</v>
      </c>
      <c r="G714" s="32" t="s">
        <v>1389</v>
      </c>
      <c r="H714" t="s">
        <v>3922</v>
      </c>
    </row>
    <row r="715" spans="1:8">
      <c r="A715" s="61">
        <v>1330</v>
      </c>
      <c r="B715" s="50" t="s">
        <v>1042</v>
      </c>
      <c r="C715" s="50" t="s">
        <v>1157</v>
      </c>
      <c r="D715" s="50" t="s">
        <v>600</v>
      </c>
      <c r="E715" s="50" t="s">
        <v>600</v>
      </c>
      <c r="F715" s="50" t="s">
        <v>1225</v>
      </c>
      <c r="G715" s="50" t="s">
        <v>1919</v>
      </c>
      <c r="H715" t="s">
        <v>3923</v>
      </c>
    </row>
    <row r="716" spans="1:8">
      <c r="A716" s="61">
        <v>1331</v>
      </c>
      <c r="B716" s="50" t="s">
        <v>1043</v>
      </c>
      <c r="C716" s="50" t="s">
        <v>1494</v>
      </c>
      <c r="D716" s="50" t="s">
        <v>2377</v>
      </c>
      <c r="E716" s="50" t="s">
        <v>2377</v>
      </c>
      <c r="F716" s="50" t="s">
        <v>223</v>
      </c>
      <c r="G716" s="50" t="s">
        <v>1395</v>
      </c>
      <c r="H716" t="s">
        <v>2846</v>
      </c>
    </row>
    <row r="717" spans="1:8">
      <c r="A717" s="61">
        <v>1333</v>
      </c>
      <c r="B717" s="50" t="s">
        <v>319</v>
      </c>
      <c r="C717" s="50" t="s">
        <v>1197</v>
      </c>
      <c r="D717" s="50" t="s">
        <v>514</v>
      </c>
      <c r="E717" s="50" t="s">
        <v>514</v>
      </c>
      <c r="F717" s="50" t="s">
        <v>223</v>
      </c>
      <c r="G717" s="50" t="s">
        <v>2472</v>
      </c>
      <c r="H717" t="s">
        <v>3924</v>
      </c>
    </row>
    <row r="718" spans="1:8">
      <c r="A718" s="61">
        <v>1334</v>
      </c>
      <c r="B718" s="50" t="s">
        <v>320</v>
      </c>
      <c r="C718" s="50" t="s">
        <v>638</v>
      </c>
      <c r="D718" s="50" t="s">
        <v>1264</v>
      </c>
      <c r="E718" s="50" t="s">
        <v>1264</v>
      </c>
      <c r="F718" s="50" t="s">
        <v>223</v>
      </c>
      <c r="G718" s="50" t="s">
        <v>3105</v>
      </c>
      <c r="H718" t="s">
        <v>3925</v>
      </c>
    </row>
    <row r="719" spans="1:8">
      <c r="A719" s="61">
        <v>1336</v>
      </c>
      <c r="B719" s="50" t="s">
        <v>1443</v>
      </c>
      <c r="C719" s="50" t="s">
        <v>638</v>
      </c>
      <c r="D719" s="50" t="s">
        <v>1289</v>
      </c>
      <c r="E719" s="50" t="s">
        <v>1289</v>
      </c>
      <c r="F719" s="50" t="s">
        <v>223</v>
      </c>
      <c r="G719" s="50" t="s">
        <v>1568</v>
      </c>
      <c r="H719" t="s">
        <v>3926</v>
      </c>
    </row>
    <row r="720" spans="1:8">
      <c r="A720" s="61">
        <v>1338</v>
      </c>
      <c r="B720" s="50" t="s">
        <v>1131</v>
      </c>
      <c r="C720" s="50" t="s">
        <v>190</v>
      </c>
      <c r="D720" s="50" t="s">
        <v>448</v>
      </c>
      <c r="E720" s="50" t="s">
        <v>448</v>
      </c>
      <c r="F720" s="50" t="s">
        <v>1339</v>
      </c>
      <c r="G720" s="50" t="s">
        <v>1393</v>
      </c>
      <c r="H720" t="s">
        <v>3927</v>
      </c>
    </row>
    <row r="721" spans="1:8">
      <c r="A721" s="61">
        <v>1339</v>
      </c>
      <c r="B721" s="50" t="s">
        <v>1132</v>
      </c>
      <c r="C721" s="50" t="s">
        <v>1133</v>
      </c>
      <c r="D721" s="50" t="s">
        <v>2315</v>
      </c>
      <c r="E721" s="50" t="s">
        <v>2315</v>
      </c>
      <c r="F721" s="50" t="s">
        <v>1225</v>
      </c>
      <c r="G721" s="50" t="s">
        <v>1898</v>
      </c>
      <c r="H721" t="s">
        <v>2939</v>
      </c>
    </row>
    <row r="722" spans="1:8">
      <c r="A722" s="61">
        <v>1342</v>
      </c>
      <c r="B722" s="50" t="s">
        <v>1134</v>
      </c>
      <c r="C722" s="50" t="s">
        <v>1135</v>
      </c>
      <c r="D722" s="50" t="s">
        <v>597</v>
      </c>
      <c r="E722" s="50" t="s">
        <v>597</v>
      </c>
      <c r="F722" s="50" t="s">
        <v>223</v>
      </c>
      <c r="G722" s="50" t="s">
        <v>1902</v>
      </c>
      <c r="H722" t="s">
        <v>3928</v>
      </c>
    </row>
    <row r="723" spans="1:8">
      <c r="A723" s="61">
        <v>1344</v>
      </c>
      <c r="B723" s="50" t="s">
        <v>1136</v>
      </c>
      <c r="C723" s="50" t="s">
        <v>261</v>
      </c>
      <c r="D723" s="50" t="s">
        <v>517</v>
      </c>
      <c r="E723" s="50" t="s">
        <v>517</v>
      </c>
      <c r="F723" s="50" t="s">
        <v>451</v>
      </c>
      <c r="G723" s="50" t="s">
        <v>3086</v>
      </c>
      <c r="H723" t="s">
        <v>3093</v>
      </c>
    </row>
    <row r="724" spans="1:8">
      <c r="A724" s="61">
        <v>1346</v>
      </c>
      <c r="B724" s="50" t="s">
        <v>1340</v>
      </c>
      <c r="C724" s="50" t="s">
        <v>188</v>
      </c>
      <c r="D724" s="50" t="s">
        <v>177</v>
      </c>
      <c r="E724" s="50" t="s">
        <v>177</v>
      </c>
      <c r="F724" s="50" t="s">
        <v>223</v>
      </c>
      <c r="G724" s="50" t="s">
        <v>1543</v>
      </c>
      <c r="H724" t="s">
        <v>3929</v>
      </c>
    </row>
    <row r="725" spans="1:8">
      <c r="A725" s="61">
        <v>1355</v>
      </c>
      <c r="B725" s="50" t="s">
        <v>1341</v>
      </c>
      <c r="C725" s="50" t="s">
        <v>1311</v>
      </c>
      <c r="D725" s="50" t="s">
        <v>1316</v>
      </c>
      <c r="E725" s="50" t="s">
        <v>1316</v>
      </c>
      <c r="F725" s="50" t="s">
        <v>1225</v>
      </c>
      <c r="G725" s="50" t="s">
        <v>1916</v>
      </c>
      <c r="H725" t="s">
        <v>3930</v>
      </c>
    </row>
    <row r="726" spans="1:8">
      <c r="A726" s="61">
        <v>1357</v>
      </c>
      <c r="B726" s="50" t="s">
        <v>1342</v>
      </c>
      <c r="C726" s="50" t="s">
        <v>1033</v>
      </c>
      <c r="D726" s="50" t="s">
        <v>1201</v>
      </c>
      <c r="E726" s="50" t="s">
        <v>1201</v>
      </c>
      <c r="F726" s="50" t="s">
        <v>223</v>
      </c>
      <c r="G726" s="50" t="s">
        <v>1568</v>
      </c>
      <c r="H726" t="s">
        <v>3931</v>
      </c>
    </row>
    <row r="727" spans="1:8">
      <c r="A727" s="61">
        <v>1359</v>
      </c>
      <c r="B727" s="50" t="s">
        <v>1343</v>
      </c>
      <c r="C727" s="50" t="s">
        <v>866</v>
      </c>
      <c r="D727" s="50" t="s">
        <v>1039</v>
      </c>
      <c r="E727" s="50" t="s">
        <v>1039</v>
      </c>
      <c r="F727" s="50" t="s">
        <v>223</v>
      </c>
      <c r="G727" s="50" t="s">
        <v>1561</v>
      </c>
      <c r="H727" t="s">
        <v>2380</v>
      </c>
    </row>
    <row r="728" spans="1:8">
      <c r="A728" s="61">
        <v>1360</v>
      </c>
      <c r="B728" s="50" t="s">
        <v>1344</v>
      </c>
      <c r="C728" s="50" t="s">
        <v>79</v>
      </c>
      <c r="D728" s="50" t="s">
        <v>2765</v>
      </c>
      <c r="E728" s="50" t="s">
        <v>2765</v>
      </c>
      <c r="F728" s="50" t="s">
        <v>1339</v>
      </c>
      <c r="G728" s="50" t="s">
        <v>1380</v>
      </c>
      <c r="H728" t="s">
        <v>3402</v>
      </c>
    </row>
    <row r="729" spans="1:8">
      <c r="A729" s="61">
        <v>1361</v>
      </c>
      <c r="B729" s="50" t="s">
        <v>1302</v>
      </c>
      <c r="C729" s="50" t="s">
        <v>1345</v>
      </c>
      <c r="D729" s="50" t="s">
        <v>142</v>
      </c>
      <c r="E729" s="50" t="s">
        <v>142</v>
      </c>
      <c r="F729" s="50" t="s">
        <v>1366</v>
      </c>
      <c r="G729" s="50" t="s">
        <v>2057</v>
      </c>
      <c r="H729" t="s">
        <v>3932</v>
      </c>
    </row>
    <row r="730" spans="1:8">
      <c r="A730" s="61">
        <v>1362</v>
      </c>
      <c r="B730" s="50" t="s">
        <v>1346</v>
      </c>
      <c r="C730" s="50" t="s">
        <v>188</v>
      </c>
      <c r="D730" s="50" t="s">
        <v>1223</v>
      </c>
      <c r="E730" s="50" t="s">
        <v>1223</v>
      </c>
      <c r="F730" s="50" t="s">
        <v>223</v>
      </c>
      <c r="G730" s="50" t="s">
        <v>1575</v>
      </c>
      <c r="H730" t="s">
        <v>3035</v>
      </c>
    </row>
    <row r="731" spans="1:8">
      <c r="A731" s="61">
        <v>1363</v>
      </c>
      <c r="B731" s="50" t="s">
        <v>1347</v>
      </c>
      <c r="C731" s="50" t="s">
        <v>718</v>
      </c>
      <c r="D731" s="50" t="s">
        <v>2086</v>
      </c>
      <c r="E731" s="50" t="s">
        <v>2086</v>
      </c>
      <c r="F731" s="50" t="s">
        <v>223</v>
      </c>
      <c r="G731" s="50" t="s">
        <v>1569</v>
      </c>
      <c r="H731" t="s">
        <v>3933</v>
      </c>
    </row>
    <row r="732" spans="1:8">
      <c r="A732" s="61">
        <v>1365</v>
      </c>
      <c r="B732" s="50" t="s">
        <v>2454</v>
      </c>
      <c r="C732" s="50" t="s">
        <v>640</v>
      </c>
      <c r="D732" s="50" t="s">
        <v>850</v>
      </c>
      <c r="E732" s="50" t="s">
        <v>850</v>
      </c>
      <c r="F732" s="50" t="s">
        <v>1322</v>
      </c>
      <c r="G732" s="50" t="s">
        <v>1584</v>
      </c>
      <c r="H732" t="s">
        <v>2771</v>
      </c>
    </row>
    <row r="733" spans="1:8">
      <c r="A733" s="61">
        <v>1366</v>
      </c>
      <c r="B733" s="50" t="s">
        <v>273</v>
      </c>
      <c r="C733" s="50" t="s">
        <v>263</v>
      </c>
      <c r="D733" s="50" t="s">
        <v>2735</v>
      </c>
      <c r="E733" s="50" t="s">
        <v>2735</v>
      </c>
      <c r="F733" s="50" t="s">
        <v>223</v>
      </c>
      <c r="G733" s="50" t="s">
        <v>2488</v>
      </c>
      <c r="H733" t="s">
        <v>3077</v>
      </c>
    </row>
    <row r="734" spans="1:8">
      <c r="A734" s="61">
        <v>1367</v>
      </c>
      <c r="B734" s="50" t="s">
        <v>274</v>
      </c>
      <c r="C734" s="50" t="s">
        <v>640</v>
      </c>
      <c r="D734" s="50" t="s">
        <v>2160</v>
      </c>
      <c r="E734" s="50" t="s">
        <v>2160</v>
      </c>
      <c r="F734" s="50" t="s">
        <v>223</v>
      </c>
      <c r="G734" s="50" t="s">
        <v>1913</v>
      </c>
      <c r="H734" t="s">
        <v>3934</v>
      </c>
    </row>
    <row r="735" spans="1:8">
      <c r="A735" s="61">
        <v>1372</v>
      </c>
      <c r="B735" s="50" t="s">
        <v>312</v>
      </c>
      <c r="C735" s="50" t="s">
        <v>266</v>
      </c>
      <c r="D735" s="50" t="s">
        <v>453</v>
      </c>
      <c r="E735" s="50" t="s">
        <v>453</v>
      </c>
      <c r="F735" s="50" t="s">
        <v>223</v>
      </c>
      <c r="G735" s="50" t="s">
        <v>1880</v>
      </c>
      <c r="H735" t="s">
        <v>3935</v>
      </c>
    </row>
    <row r="736" spans="1:8">
      <c r="A736" s="61">
        <v>1374</v>
      </c>
      <c r="B736" s="50" t="s">
        <v>275</v>
      </c>
      <c r="C736" s="50" t="s">
        <v>635</v>
      </c>
      <c r="D736" s="50" t="s">
        <v>1350</v>
      </c>
      <c r="E736" s="50" t="s">
        <v>1350</v>
      </c>
      <c r="F736" s="50" t="s">
        <v>223</v>
      </c>
      <c r="G736" s="50" t="s">
        <v>1378</v>
      </c>
      <c r="H736" t="s">
        <v>3936</v>
      </c>
    </row>
    <row r="737" spans="1:8">
      <c r="A737" s="61">
        <v>1375</v>
      </c>
      <c r="B737" s="50" t="s">
        <v>276</v>
      </c>
      <c r="C737" s="50" t="s">
        <v>964</v>
      </c>
      <c r="D737" s="50" t="s">
        <v>1317</v>
      </c>
      <c r="E737" s="50" t="s">
        <v>1317</v>
      </c>
      <c r="F737" s="50" t="s">
        <v>1225</v>
      </c>
      <c r="G737" s="50" t="s">
        <v>2102</v>
      </c>
      <c r="H737" t="s">
        <v>3937</v>
      </c>
    </row>
    <row r="738" spans="1:8">
      <c r="A738" s="61">
        <v>1379</v>
      </c>
      <c r="B738" s="50" t="s">
        <v>565</v>
      </c>
      <c r="C738" s="50" t="s">
        <v>642</v>
      </c>
      <c r="D738" s="50" t="s">
        <v>2086</v>
      </c>
      <c r="E738" s="50" t="s">
        <v>2086</v>
      </c>
      <c r="F738" s="50" t="s">
        <v>1585</v>
      </c>
      <c r="G738" s="50" t="s">
        <v>1569</v>
      </c>
      <c r="H738" t="s">
        <v>3938</v>
      </c>
    </row>
    <row r="739" spans="1:8">
      <c r="A739" s="61">
        <v>1381</v>
      </c>
      <c r="B739" s="50" t="s">
        <v>277</v>
      </c>
      <c r="C739" s="50" t="s">
        <v>188</v>
      </c>
      <c r="D739" s="50" t="s">
        <v>683</v>
      </c>
      <c r="E739" s="50" t="s">
        <v>683</v>
      </c>
      <c r="F739" s="50" t="s">
        <v>451</v>
      </c>
      <c r="G739" s="50" t="s">
        <v>1900</v>
      </c>
      <c r="H739" t="s">
        <v>3939</v>
      </c>
    </row>
    <row r="740" spans="1:8">
      <c r="A740" s="61">
        <v>1382</v>
      </c>
      <c r="B740" s="50" t="s">
        <v>278</v>
      </c>
      <c r="C740" s="50" t="s">
        <v>1345</v>
      </c>
      <c r="D740" s="50" t="s">
        <v>1090</v>
      </c>
      <c r="E740" s="50" t="s">
        <v>1090</v>
      </c>
      <c r="F740" s="50" t="s">
        <v>223</v>
      </c>
      <c r="G740" s="50" t="s">
        <v>3909</v>
      </c>
      <c r="H740" t="s">
        <v>3940</v>
      </c>
    </row>
    <row r="741" spans="1:8">
      <c r="A741" s="61">
        <v>1389</v>
      </c>
      <c r="B741" s="50" t="s">
        <v>313</v>
      </c>
      <c r="C741" s="50" t="s">
        <v>1197</v>
      </c>
      <c r="D741" s="50" t="s">
        <v>1482</v>
      </c>
      <c r="E741" s="50" t="s">
        <v>1482</v>
      </c>
      <c r="F741" s="50" t="s">
        <v>1224</v>
      </c>
      <c r="G741" s="50" t="s">
        <v>2099</v>
      </c>
      <c r="H741" t="s">
        <v>3941</v>
      </c>
    </row>
    <row r="742" spans="1:8">
      <c r="A742" s="61">
        <v>1391</v>
      </c>
      <c r="B742" s="50" t="s">
        <v>279</v>
      </c>
      <c r="C742" s="50" t="s">
        <v>246</v>
      </c>
      <c r="D742" s="50" t="s">
        <v>433</v>
      </c>
      <c r="E742" s="50" t="s">
        <v>433</v>
      </c>
      <c r="F742" s="50" t="s">
        <v>1225</v>
      </c>
      <c r="G742" s="50" t="s">
        <v>2146</v>
      </c>
      <c r="H742" t="s">
        <v>3942</v>
      </c>
    </row>
    <row r="743" spans="1:8">
      <c r="A743" s="61">
        <v>1397</v>
      </c>
      <c r="B743" s="50" t="s">
        <v>332</v>
      </c>
      <c r="C743" s="50" t="s">
        <v>640</v>
      </c>
      <c r="D743" s="50" t="s">
        <v>454</v>
      </c>
      <c r="E743" s="50" t="s">
        <v>454</v>
      </c>
      <c r="F743" s="50" t="s">
        <v>223</v>
      </c>
      <c r="G743" s="50" t="s">
        <v>1383</v>
      </c>
      <c r="H743" t="s">
        <v>3943</v>
      </c>
    </row>
    <row r="744" spans="1:8">
      <c r="A744" s="61">
        <v>1398</v>
      </c>
      <c r="B744" s="50" t="s">
        <v>1516</v>
      </c>
      <c r="C744" s="50" t="s">
        <v>446</v>
      </c>
      <c r="D744" s="50" t="s">
        <v>602</v>
      </c>
      <c r="E744" s="50" t="s">
        <v>602</v>
      </c>
      <c r="F744" s="50" t="s">
        <v>2037</v>
      </c>
      <c r="G744" s="50" t="s">
        <v>3588</v>
      </c>
      <c r="H744" t="s">
        <v>3944</v>
      </c>
    </row>
    <row r="745" spans="1:8">
      <c r="A745" s="61">
        <v>1399</v>
      </c>
      <c r="B745" s="50" t="s">
        <v>280</v>
      </c>
      <c r="C745" s="50" t="s">
        <v>336</v>
      </c>
      <c r="D745" s="50" t="s">
        <v>2323</v>
      </c>
      <c r="E745" s="50" t="s">
        <v>2323</v>
      </c>
      <c r="F745" s="50" t="s">
        <v>223</v>
      </c>
      <c r="G745" s="50" t="s">
        <v>1904</v>
      </c>
      <c r="H745" t="s">
        <v>2815</v>
      </c>
    </row>
    <row r="746" spans="1:8">
      <c r="A746" s="61">
        <v>1401</v>
      </c>
      <c r="B746" s="50" t="s">
        <v>752</v>
      </c>
      <c r="C746" s="50" t="s">
        <v>1197</v>
      </c>
      <c r="D746" s="50" t="s">
        <v>685</v>
      </c>
      <c r="E746" s="50" t="s">
        <v>685</v>
      </c>
      <c r="F746" s="50" t="s">
        <v>223</v>
      </c>
      <c r="G746" s="50" t="s">
        <v>1559</v>
      </c>
      <c r="H746" t="s">
        <v>2383</v>
      </c>
    </row>
    <row r="747" spans="1:8">
      <c r="A747" s="61">
        <v>1402</v>
      </c>
      <c r="B747" s="50" t="s">
        <v>281</v>
      </c>
      <c r="C747" s="50" t="s">
        <v>966</v>
      </c>
      <c r="D747" s="50" t="s">
        <v>1481</v>
      </c>
      <c r="E747" s="50" t="s">
        <v>1481</v>
      </c>
      <c r="F747" s="50" t="s">
        <v>1224</v>
      </c>
      <c r="G747" s="50" t="s">
        <v>2318</v>
      </c>
      <c r="H747" t="s">
        <v>3945</v>
      </c>
    </row>
    <row r="748" spans="1:8">
      <c r="A748" s="61">
        <v>1404</v>
      </c>
      <c r="B748" s="50" t="s">
        <v>282</v>
      </c>
      <c r="C748" s="50" t="s">
        <v>197</v>
      </c>
      <c r="D748" s="50" t="s">
        <v>179</v>
      </c>
      <c r="E748" s="50" t="s">
        <v>179</v>
      </c>
      <c r="F748" s="50" t="s">
        <v>223</v>
      </c>
      <c r="G748" s="50" t="s">
        <v>1543</v>
      </c>
      <c r="H748" t="s">
        <v>3946</v>
      </c>
    </row>
    <row r="749" spans="1:8">
      <c r="A749" s="61">
        <v>1407</v>
      </c>
      <c r="B749" s="50" t="s">
        <v>283</v>
      </c>
      <c r="C749" s="50" t="s">
        <v>188</v>
      </c>
      <c r="D749" s="50" t="s">
        <v>179</v>
      </c>
      <c r="E749" s="50" t="s">
        <v>179</v>
      </c>
      <c r="F749" s="50" t="s">
        <v>223</v>
      </c>
      <c r="G749" s="50" t="s">
        <v>1543</v>
      </c>
      <c r="H749" t="s">
        <v>3947</v>
      </c>
    </row>
    <row r="750" spans="1:8">
      <c r="A750" s="61">
        <v>1410</v>
      </c>
      <c r="B750" s="50" t="s">
        <v>284</v>
      </c>
      <c r="C750" s="50" t="s">
        <v>478</v>
      </c>
      <c r="D750" s="50" t="s">
        <v>1875</v>
      </c>
      <c r="E750" s="50" t="s">
        <v>1875</v>
      </c>
      <c r="F750" s="50" t="s">
        <v>1225</v>
      </c>
      <c r="G750" s="50" t="s">
        <v>539</v>
      </c>
      <c r="H750" t="s">
        <v>3948</v>
      </c>
    </row>
    <row r="751" spans="1:8">
      <c r="A751" s="61">
        <v>1411</v>
      </c>
      <c r="B751" s="50" t="s">
        <v>467</v>
      </c>
      <c r="C751" s="50" t="s">
        <v>242</v>
      </c>
      <c r="D751" s="50" t="s">
        <v>655</v>
      </c>
      <c r="E751" s="50" t="s">
        <v>655</v>
      </c>
      <c r="F751" s="50" t="s">
        <v>1366</v>
      </c>
      <c r="G751" s="50" t="s">
        <v>1928</v>
      </c>
      <c r="H751" t="s">
        <v>3949</v>
      </c>
    </row>
    <row r="752" spans="1:8">
      <c r="A752" s="61">
        <v>1412</v>
      </c>
      <c r="B752" s="50" t="s">
        <v>285</v>
      </c>
      <c r="C752" s="50" t="s">
        <v>286</v>
      </c>
      <c r="D752" s="50" t="s">
        <v>504</v>
      </c>
      <c r="E752" s="50" t="s">
        <v>504</v>
      </c>
      <c r="F752" s="50" t="s">
        <v>223</v>
      </c>
      <c r="G752" s="50" t="s">
        <v>4171</v>
      </c>
      <c r="H752" t="s">
        <v>3950</v>
      </c>
    </row>
    <row r="753" spans="1:8">
      <c r="A753" s="61">
        <v>1413</v>
      </c>
      <c r="B753" s="50" t="s">
        <v>287</v>
      </c>
      <c r="C753" s="50" t="s">
        <v>140</v>
      </c>
      <c r="D753" s="50" t="s">
        <v>2378</v>
      </c>
      <c r="E753" s="50" t="s">
        <v>2378</v>
      </c>
      <c r="F753" s="50" t="s">
        <v>223</v>
      </c>
      <c r="G753" s="50" t="s">
        <v>544</v>
      </c>
      <c r="H753" t="s">
        <v>1933</v>
      </c>
    </row>
    <row r="754" spans="1:8">
      <c r="A754" s="61">
        <v>1416</v>
      </c>
      <c r="B754" s="50" t="s">
        <v>288</v>
      </c>
      <c r="C754" s="50" t="s">
        <v>1246</v>
      </c>
      <c r="D754" s="50" t="s">
        <v>1090</v>
      </c>
      <c r="E754" s="50" t="s">
        <v>1090</v>
      </c>
      <c r="F754" s="50" t="s">
        <v>2037</v>
      </c>
      <c r="G754" s="50" t="s">
        <v>3909</v>
      </c>
      <c r="H754" t="s">
        <v>2843</v>
      </c>
    </row>
    <row r="755" spans="1:8">
      <c r="A755" s="61">
        <v>1418</v>
      </c>
      <c r="B755" s="50" t="s">
        <v>289</v>
      </c>
      <c r="C755" s="50" t="s">
        <v>477</v>
      </c>
      <c r="D755" s="50" t="s">
        <v>2377</v>
      </c>
      <c r="E755" s="50" t="s">
        <v>2377</v>
      </c>
      <c r="F755" s="50" t="s">
        <v>451</v>
      </c>
      <c r="G755" s="50" t="s">
        <v>1395</v>
      </c>
      <c r="H755" t="s">
        <v>3373</v>
      </c>
    </row>
    <row r="756" spans="1:8">
      <c r="A756" s="61">
        <v>1419</v>
      </c>
      <c r="B756" s="50" t="s">
        <v>1511</v>
      </c>
      <c r="C756" s="50" t="s">
        <v>370</v>
      </c>
      <c r="D756" s="50" t="s">
        <v>2073</v>
      </c>
      <c r="E756" s="50" t="s">
        <v>2073</v>
      </c>
      <c r="F756" s="50" t="s">
        <v>451</v>
      </c>
      <c r="G756" s="50" t="s">
        <v>2471</v>
      </c>
      <c r="H756" t="s">
        <v>3951</v>
      </c>
    </row>
    <row r="757" spans="1:8">
      <c r="A757" s="61">
        <v>1426</v>
      </c>
      <c r="B757" s="50" t="s">
        <v>290</v>
      </c>
      <c r="C757" s="50" t="s">
        <v>79</v>
      </c>
      <c r="D757" s="50" t="s">
        <v>435</v>
      </c>
      <c r="E757" s="50" t="s">
        <v>435</v>
      </c>
      <c r="F757" s="50" t="s">
        <v>223</v>
      </c>
      <c r="G757" s="50" t="s">
        <v>4171</v>
      </c>
      <c r="H757" t="s">
        <v>2836</v>
      </c>
    </row>
    <row r="758" spans="1:8">
      <c r="A758" s="61">
        <v>1427</v>
      </c>
      <c r="B758" s="50" t="s">
        <v>291</v>
      </c>
      <c r="C758" s="50" t="s">
        <v>1197</v>
      </c>
      <c r="D758" s="50" t="s">
        <v>435</v>
      </c>
      <c r="E758" s="50" t="s">
        <v>435</v>
      </c>
      <c r="F758" s="50" t="s">
        <v>223</v>
      </c>
      <c r="G758" s="50" t="s">
        <v>4171</v>
      </c>
      <c r="H758" t="s">
        <v>2962</v>
      </c>
    </row>
    <row r="759" spans="1:8">
      <c r="A759" s="61">
        <v>1428</v>
      </c>
      <c r="B759" s="50" t="s">
        <v>292</v>
      </c>
      <c r="C759" s="50" t="s">
        <v>718</v>
      </c>
      <c r="D759" s="50" t="s">
        <v>452</v>
      </c>
      <c r="E759" s="50" t="s">
        <v>452</v>
      </c>
      <c r="F759" s="50" t="s">
        <v>223</v>
      </c>
      <c r="G759" s="50" t="s">
        <v>346</v>
      </c>
      <c r="H759" t="s">
        <v>3952</v>
      </c>
    </row>
    <row r="760" spans="1:8">
      <c r="A760" s="61">
        <v>1429</v>
      </c>
      <c r="B760" s="50" t="s">
        <v>293</v>
      </c>
      <c r="C760" s="50" t="s">
        <v>642</v>
      </c>
      <c r="D760" s="50" t="s">
        <v>1262</v>
      </c>
      <c r="E760" s="50" t="s">
        <v>1262</v>
      </c>
      <c r="F760" s="50" t="s">
        <v>2037</v>
      </c>
      <c r="G760" s="50" t="s">
        <v>1383</v>
      </c>
      <c r="H760" t="s">
        <v>3953</v>
      </c>
    </row>
    <row r="761" spans="1:8">
      <c r="A761" s="61">
        <v>1431</v>
      </c>
      <c r="B761" s="50" t="s">
        <v>294</v>
      </c>
      <c r="C761" s="50" t="s">
        <v>336</v>
      </c>
      <c r="D761" s="50" t="s">
        <v>2378</v>
      </c>
      <c r="E761" s="50" t="s">
        <v>2378</v>
      </c>
      <c r="F761" s="50" t="s">
        <v>223</v>
      </c>
      <c r="G761" s="50" t="s">
        <v>544</v>
      </c>
      <c r="H761" t="s">
        <v>3954</v>
      </c>
    </row>
    <row r="762" spans="1:8">
      <c r="A762" s="61">
        <v>1436</v>
      </c>
      <c r="B762" s="50" t="s">
        <v>295</v>
      </c>
      <c r="C762" s="50" t="s">
        <v>782</v>
      </c>
      <c r="D762" s="50" t="s">
        <v>432</v>
      </c>
      <c r="E762" s="50" t="s">
        <v>432</v>
      </c>
      <c r="F762" s="50" t="s">
        <v>223</v>
      </c>
      <c r="G762" s="50" t="s">
        <v>3580</v>
      </c>
      <c r="H762" t="s">
        <v>3955</v>
      </c>
    </row>
    <row r="763" spans="1:8">
      <c r="A763" s="61">
        <v>1438</v>
      </c>
      <c r="B763" s="50" t="s">
        <v>1153</v>
      </c>
      <c r="C763" s="50" t="s">
        <v>1099</v>
      </c>
      <c r="D763" s="50" t="s">
        <v>2738</v>
      </c>
      <c r="E763" s="50" t="s">
        <v>2738</v>
      </c>
      <c r="F763" s="50" t="s">
        <v>223</v>
      </c>
      <c r="G763" s="50" t="s">
        <v>1567</v>
      </c>
      <c r="H763" t="s">
        <v>3956</v>
      </c>
    </row>
    <row r="764" spans="1:8">
      <c r="A764" s="61">
        <v>1439</v>
      </c>
      <c r="B764" s="50" t="s">
        <v>1018</v>
      </c>
      <c r="C764" s="50" t="s">
        <v>140</v>
      </c>
      <c r="D764" s="50" t="s">
        <v>449</v>
      </c>
      <c r="E764" s="50" t="s">
        <v>449</v>
      </c>
      <c r="F764" s="50" t="s">
        <v>451</v>
      </c>
      <c r="G764" s="50" t="s">
        <v>1899</v>
      </c>
      <c r="H764" t="s">
        <v>3128</v>
      </c>
    </row>
    <row r="765" spans="1:8">
      <c r="A765" s="61">
        <v>1441</v>
      </c>
      <c r="B765" s="50" t="s">
        <v>2455</v>
      </c>
      <c r="C765" s="50" t="s">
        <v>79</v>
      </c>
      <c r="D765" s="50" t="s">
        <v>570</v>
      </c>
      <c r="E765" s="50" t="s">
        <v>570</v>
      </c>
      <c r="F765" s="50" t="s">
        <v>223</v>
      </c>
      <c r="G765" s="50" t="s">
        <v>1926</v>
      </c>
      <c r="H765" t="s">
        <v>3957</v>
      </c>
    </row>
    <row r="766" spans="1:8">
      <c r="A766" s="61">
        <v>1442</v>
      </c>
      <c r="B766" s="50" t="s">
        <v>1019</v>
      </c>
      <c r="C766" s="50" t="s">
        <v>1020</v>
      </c>
      <c r="D766" s="50" t="s">
        <v>2378</v>
      </c>
      <c r="E766" s="50" t="s">
        <v>2378</v>
      </c>
      <c r="F766" s="50" t="s">
        <v>2037</v>
      </c>
      <c r="G766" s="50" t="s">
        <v>544</v>
      </c>
      <c r="H766" t="s">
        <v>3958</v>
      </c>
    </row>
    <row r="767" spans="1:8">
      <c r="A767" s="61">
        <v>1449</v>
      </c>
      <c r="B767" s="50" t="s">
        <v>1021</v>
      </c>
      <c r="C767" s="50" t="s">
        <v>72</v>
      </c>
      <c r="D767" s="50" t="s">
        <v>218</v>
      </c>
      <c r="E767" s="50" t="s">
        <v>218</v>
      </c>
      <c r="F767" s="50" t="s">
        <v>1586</v>
      </c>
      <c r="G767" s="50" t="s">
        <v>1879</v>
      </c>
      <c r="H767" t="s">
        <v>3959</v>
      </c>
    </row>
    <row r="768" spans="1:8">
      <c r="A768" s="61">
        <v>1450</v>
      </c>
      <c r="B768" s="50" t="s">
        <v>1022</v>
      </c>
      <c r="C768" s="50" t="s">
        <v>188</v>
      </c>
      <c r="D768" s="50" t="s">
        <v>216</v>
      </c>
      <c r="E768" s="50" t="s">
        <v>216</v>
      </c>
      <c r="F768" s="50" t="s">
        <v>1225</v>
      </c>
      <c r="G768" s="50" t="s">
        <v>1935</v>
      </c>
      <c r="H768" t="s">
        <v>3960</v>
      </c>
    </row>
    <row r="769" spans="1:8">
      <c r="A769" s="61">
        <v>1451</v>
      </c>
      <c r="B769" s="50" t="s">
        <v>1023</v>
      </c>
      <c r="C769" s="50" t="s">
        <v>640</v>
      </c>
      <c r="D769" s="50" t="s">
        <v>2405</v>
      </c>
      <c r="E769" s="50" t="s">
        <v>2405</v>
      </c>
      <c r="F769" s="50" t="s">
        <v>686</v>
      </c>
      <c r="G769" s="50" t="s">
        <v>1922</v>
      </c>
      <c r="H769" t="s">
        <v>3961</v>
      </c>
    </row>
    <row r="770" spans="1:8">
      <c r="A770" s="61">
        <v>1452</v>
      </c>
      <c r="B770" s="50" t="s">
        <v>1024</v>
      </c>
      <c r="C770" s="50" t="s">
        <v>72</v>
      </c>
      <c r="D770" s="50" t="s">
        <v>632</v>
      </c>
      <c r="E770" s="50" t="s">
        <v>632</v>
      </c>
      <c r="F770" s="50" t="s">
        <v>223</v>
      </c>
      <c r="G770" s="50" t="s">
        <v>1393</v>
      </c>
      <c r="H770" t="s">
        <v>3962</v>
      </c>
    </row>
    <row r="771" spans="1:8">
      <c r="A771" s="61">
        <v>1453</v>
      </c>
      <c r="B771" s="50" t="s">
        <v>1531</v>
      </c>
      <c r="C771" s="50" t="s">
        <v>194</v>
      </c>
      <c r="D771" s="50" t="s">
        <v>514</v>
      </c>
      <c r="E771" s="50" t="s">
        <v>514</v>
      </c>
      <c r="F771" s="50" t="s">
        <v>1339</v>
      </c>
      <c r="G771" s="50" t="s">
        <v>2472</v>
      </c>
      <c r="H771" t="s">
        <v>2984</v>
      </c>
    </row>
    <row r="772" spans="1:8">
      <c r="A772" s="61">
        <v>1454</v>
      </c>
      <c r="B772" s="50" t="s">
        <v>1025</v>
      </c>
      <c r="C772" s="50" t="s">
        <v>964</v>
      </c>
      <c r="D772" s="50" t="s">
        <v>772</v>
      </c>
      <c r="E772" s="50" t="s">
        <v>772</v>
      </c>
      <c r="F772" s="50" t="s">
        <v>2037</v>
      </c>
      <c r="G772" s="50" t="s">
        <v>1389</v>
      </c>
      <c r="H772" t="s">
        <v>2872</v>
      </c>
    </row>
    <row r="773" spans="1:8">
      <c r="A773" s="61">
        <v>1458</v>
      </c>
      <c r="B773" s="50" t="s">
        <v>970</v>
      </c>
      <c r="C773" s="50" t="s">
        <v>777</v>
      </c>
      <c r="D773" s="50" t="s">
        <v>2094</v>
      </c>
      <c r="E773" s="50" t="s">
        <v>2094</v>
      </c>
      <c r="F773" s="50" t="s">
        <v>1224</v>
      </c>
      <c r="G773" s="50" t="s">
        <v>2777</v>
      </c>
      <c r="H773" t="s">
        <v>2186</v>
      </c>
    </row>
    <row r="774" spans="1:8">
      <c r="A774" s="61">
        <v>1464</v>
      </c>
      <c r="B774" s="50" t="s">
        <v>971</v>
      </c>
      <c r="C774" s="50" t="s">
        <v>263</v>
      </c>
      <c r="D774" s="50" t="s">
        <v>595</v>
      </c>
      <c r="E774" s="50" t="s">
        <v>595</v>
      </c>
      <c r="F774" s="50" t="s">
        <v>223</v>
      </c>
      <c r="G774" s="50" t="s">
        <v>1906</v>
      </c>
      <c r="H774" t="s">
        <v>2621</v>
      </c>
    </row>
    <row r="775" spans="1:8">
      <c r="A775" s="61">
        <v>1465</v>
      </c>
      <c r="B775" s="50" t="s">
        <v>972</v>
      </c>
      <c r="C775" s="50" t="s">
        <v>866</v>
      </c>
      <c r="D775" s="50" t="s">
        <v>595</v>
      </c>
      <c r="E775" s="50" t="s">
        <v>595</v>
      </c>
      <c r="F775" s="50" t="s">
        <v>223</v>
      </c>
      <c r="G775" s="50" t="s">
        <v>1906</v>
      </c>
      <c r="H775" t="s">
        <v>3963</v>
      </c>
    </row>
    <row r="776" spans="1:8">
      <c r="A776" s="61">
        <v>1466</v>
      </c>
      <c r="B776" s="50" t="s">
        <v>973</v>
      </c>
      <c r="C776" s="50" t="s">
        <v>1238</v>
      </c>
      <c r="D776" s="50" t="s">
        <v>1081</v>
      </c>
      <c r="E776" s="50" t="s">
        <v>1081</v>
      </c>
      <c r="F776" s="50" t="s">
        <v>223</v>
      </c>
      <c r="G776" s="50" t="s">
        <v>2547</v>
      </c>
      <c r="H776" t="s">
        <v>3964</v>
      </c>
    </row>
    <row r="777" spans="1:8">
      <c r="A777" s="61">
        <v>1474</v>
      </c>
      <c r="B777" s="50" t="s">
        <v>1993</v>
      </c>
      <c r="C777" s="50" t="s">
        <v>1245</v>
      </c>
      <c r="D777" s="50" t="s">
        <v>595</v>
      </c>
      <c r="E777" s="50" t="s">
        <v>595</v>
      </c>
      <c r="F777" s="50" t="s">
        <v>451</v>
      </c>
      <c r="G777" s="50" t="s">
        <v>1906</v>
      </c>
      <c r="H777" t="s">
        <v>3965</v>
      </c>
    </row>
    <row r="778" spans="1:8">
      <c r="A778" s="61">
        <v>1477</v>
      </c>
      <c r="B778" s="50" t="s">
        <v>1007</v>
      </c>
      <c r="C778" s="50" t="s">
        <v>1311</v>
      </c>
      <c r="D778" s="50" t="s">
        <v>3063</v>
      </c>
      <c r="E778" s="50" t="s">
        <v>3063</v>
      </c>
      <c r="F778" s="50" t="s">
        <v>1225</v>
      </c>
      <c r="G778" s="50" t="s">
        <v>2544</v>
      </c>
      <c r="H778" t="s">
        <v>1934</v>
      </c>
    </row>
    <row r="779" spans="1:8">
      <c r="A779" s="61">
        <v>1478</v>
      </c>
      <c r="B779" s="50" t="s">
        <v>1008</v>
      </c>
      <c r="C779" s="50" t="s">
        <v>637</v>
      </c>
      <c r="D779" s="50" t="s">
        <v>178</v>
      </c>
      <c r="E779" s="50" t="s">
        <v>178</v>
      </c>
      <c r="F779" s="50" t="s">
        <v>223</v>
      </c>
      <c r="G779" s="50" t="s">
        <v>1556</v>
      </c>
      <c r="H779" t="s">
        <v>3966</v>
      </c>
    </row>
    <row r="780" spans="1:8">
      <c r="A780" s="61">
        <v>1479</v>
      </c>
      <c r="B780" s="50" t="s">
        <v>1009</v>
      </c>
      <c r="C780" s="50" t="s">
        <v>864</v>
      </c>
      <c r="D780" s="50" t="s">
        <v>2686</v>
      </c>
      <c r="E780" s="50" t="s">
        <v>2686</v>
      </c>
      <c r="F780" s="50" t="s">
        <v>223</v>
      </c>
      <c r="G780" s="50" t="s">
        <v>529</v>
      </c>
      <c r="H780" t="s">
        <v>3342</v>
      </c>
    </row>
    <row r="781" spans="1:8">
      <c r="A781" s="61">
        <v>1483</v>
      </c>
      <c r="B781" s="50" t="s">
        <v>1010</v>
      </c>
      <c r="C781" s="50" t="s">
        <v>1311</v>
      </c>
      <c r="D781" s="50" t="s">
        <v>2377</v>
      </c>
      <c r="E781" s="50" t="s">
        <v>2377</v>
      </c>
      <c r="F781" s="50" t="s">
        <v>223</v>
      </c>
      <c r="G781" s="50" t="s">
        <v>1395</v>
      </c>
      <c r="H781" t="s">
        <v>2874</v>
      </c>
    </row>
    <row r="782" spans="1:8">
      <c r="A782" s="61">
        <v>1484</v>
      </c>
      <c r="B782" s="50" t="s">
        <v>1011</v>
      </c>
      <c r="C782" s="50" t="s">
        <v>864</v>
      </c>
      <c r="D782" s="50" t="s">
        <v>632</v>
      </c>
      <c r="E782" s="50" t="s">
        <v>632</v>
      </c>
      <c r="F782" s="50" t="s">
        <v>223</v>
      </c>
      <c r="G782" s="50" t="s">
        <v>1393</v>
      </c>
      <c r="H782" t="s">
        <v>2272</v>
      </c>
    </row>
    <row r="783" spans="1:8">
      <c r="A783" s="61">
        <v>1487</v>
      </c>
      <c r="B783" s="50" t="s">
        <v>1012</v>
      </c>
      <c r="C783" s="50" t="s">
        <v>1013</v>
      </c>
      <c r="D783" s="50" t="s">
        <v>2450</v>
      </c>
      <c r="E783" s="50" t="s">
        <v>2450</v>
      </c>
      <c r="F783" s="50" t="s">
        <v>223</v>
      </c>
      <c r="G783" s="50" t="s">
        <v>1582</v>
      </c>
      <c r="H783" t="s">
        <v>3967</v>
      </c>
    </row>
    <row r="784" spans="1:8">
      <c r="A784" s="61">
        <v>1492</v>
      </c>
      <c r="B784" s="50" t="s">
        <v>1014</v>
      </c>
      <c r="C784" s="50" t="s">
        <v>1311</v>
      </c>
      <c r="D784" s="50" t="s">
        <v>844</v>
      </c>
      <c r="E784" s="50" t="s">
        <v>844</v>
      </c>
      <c r="F784" s="50" t="s">
        <v>223</v>
      </c>
      <c r="G784" s="50" t="s">
        <v>1903</v>
      </c>
      <c r="H784" t="s">
        <v>3968</v>
      </c>
    </row>
    <row r="785" spans="1:8">
      <c r="A785" s="61">
        <v>1494</v>
      </c>
      <c r="B785" s="50" t="s">
        <v>1015</v>
      </c>
      <c r="C785" s="50" t="s">
        <v>638</v>
      </c>
      <c r="D785" s="50" t="s">
        <v>475</v>
      </c>
      <c r="E785" s="50" t="s">
        <v>475</v>
      </c>
      <c r="F785" s="50" t="s">
        <v>223</v>
      </c>
      <c r="G785" s="50" t="s">
        <v>1550</v>
      </c>
      <c r="H785" t="s">
        <v>3969</v>
      </c>
    </row>
    <row r="786" spans="1:8">
      <c r="A786" s="61">
        <v>1496</v>
      </c>
      <c r="B786" s="50" t="s">
        <v>1016</v>
      </c>
      <c r="C786" s="50" t="s">
        <v>964</v>
      </c>
      <c r="D786" s="50" t="s">
        <v>685</v>
      </c>
      <c r="E786" s="50" t="s">
        <v>685</v>
      </c>
      <c r="F786" s="50" t="s">
        <v>223</v>
      </c>
      <c r="G786" s="50" t="s">
        <v>1559</v>
      </c>
      <c r="H786" t="s">
        <v>3970</v>
      </c>
    </row>
    <row r="787" spans="1:8">
      <c r="A787" s="61">
        <v>1498</v>
      </c>
      <c r="B787" s="50" t="s">
        <v>1017</v>
      </c>
      <c r="C787" s="50" t="s">
        <v>782</v>
      </c>
      <c r="D787" s="50" t="s">
        <v>711</v>
      </c>
      <c r="E787" s="50" t="s">
        <v>711</v>
      </c>
      <c r="F787" s="50" t="s">
        <v>1225</v>
      </c>
      <c r="G787" s="50" t="s">
        <v>543</v>
      </c>
      <c r="H787" t="s">
        <v>3971</v>
      </c>
    </row>
    <row r="788" spans="1:8">
      <c r="A788" s="61">
        <v>1503</v>
      </c>
      <c r="B788" s="50" t="s">
        <v>239</v>
      </c>
      <c r="C788" s="50" t="s">
        <v>640</v>
      </c>
      <c r="D788" s="50" t="s">
        <v>1062</v>
      </c>
      <c r="E788" s="50" t="s">
        <v>1062</v>
      </c>
      <c r="F788" s="50" t="s">
        <v>2037</v>
      </c>
      <c r="G788" s="50" t="s">
        <v>1562</v>
      </c>
      <c r="H788" t="s">
        <v>3972</v>
      </c>
    </row>
    <row r="789" spans="1:8">
      <c r="A789" s="61">
        <v>1505</v>
      </c>
      <c r="B789" s="50" t="s">
        <v>656</v>
      </c>
      <c r="C789" s="50" t="s">
        <v>866</v>
      </c>
      <c r="D789" s="50" t="s">
        <v>2377</v>
      </c>
      <c r="E789" s="50" t="s">
        <v>2377</v>
      </c>
      <c r="F789" s="50" t="s">
        <v>2037</v>
      </c>
      <c r="G789" s="50" t="s">
        <v>1395</v>
      </c>
      <c r="H789" t="s">
        <v>3973</v>
      </c>
    </row>
    <row r="790" spans="1:8">
      <c r="A790" s="61">
        <v>1510</v>
      </c>
      <c r="B790" s="50" t="s">
        <v>657</v>
      </c>
      <c r="C790" s="50" t="s">
        <v>867</v>
      </c>
      <c r="D790" s="50" t="s">
        <v>771</v>
      </c>
      <c r="E790" s="50" t="s">
        <v>771</v>
      </c>
      <c r="F790" s="50" t="s">
        <v>223</v>
      </c>
      <c r="G790" s="50" t="s">
        <v>1379</v>
      </c>
      <c r="H790" t="s">
        <v>2997</v>
      </c>
    </row>
    <row r="791" spans="1:8">
      <c r="A791" s="61">
        <v>1514</v>
      </c>
      <c r="B791" s="50" t="s">
        <v>658</v>
      </c>
      <c r="C791" s="50" t="s">
        <v>966</v>
      </c>
      <c r="D791" s="50" t="s">
        <v>2436</v>
      </c>
      <c r="E791" s="50" t="s">
        <v>2436</v>
      </c>
      <c r="F791" s="50" t="s">
        <v>223</v>
      </c>
      <c r="G791" s="50" t="s">
        <v>1924</v>
      </c>
      <c r="H791" t="s">
        <v>2477</v>
      </c>
    </row>
    <row r="792" spans="1:8">
      <c r="A792" s="61">
        <v>1517</v>
      </c>
      <c r="B792" s="50" t="s">
        <v>659</v>
      </c>
      <c r="C792" s="50" t="s">
        <v>188</v>
      </c>
      <c r="D792" s="50" t="s">
        <v>602</v>
      </c>
      <c r="E792" s="50" t="s">
        <v>602</v>
      </c>
      <c r="F792" s="50" t="s">
        <v>1339</v>
      </c>
      <c r="G792" s="50" t="s">
        <v>3588</v>
      </c>
      <c r="H792" t="s">
        <v>3974</v>
      </c>
    </row>
    <row r="793" spans="1:8">
      <c r="A793" s="61">
        <v>1520</v>
      </c>
      <c r="B793" s="50" t="s">
        <v>660</v>
      </c>
      <c r="C793" s="50" t="s">
        <v>336</v>
      </c>
      <c r="D793" s="50" t="s">
        <v>511</v>
      </c>
      <c r="E793" s="50" t="s">
        <v>511</v>
      </c>
      <c r="F793" s="50" t="s">
        <v>223</v>
      </c>
      <c r="G793" s="50" t="s">
        <v>2472</v>
      </c>
      <c r="H793" t="s">
        <v>2985</v>
      </c>
    </row>
    <row r="794" spans="1:8">
      <c r="A794" s="61">
        <v>1521</v>
      </c>
      <c r="B794" s="50" t="s">
        <v>1271</v>
      </c>
      <c r="C794" s="50" t="s">
        <v>640</v>
      </c>
      <c r="D794" s="50" t="s">
        <v>2765</v>
      </c>
      <c r="E794" s="50" t="s">
        <v>2765</v>
      </c>
      <c r="F794" s="50" t="s">
        <v>2037</v>
      </c>
      <c r="G794" s="50" t="s">
        <v>1380</v>
      </c>
      <c r="H794" t="s">
        <v>3520</v>
      </c>
    </row>
    <row r="795" spans="1:8">
      <c r="A795" s="61">
        <v>1522</v>
      </c>
      <c r="B795" s="50" t="s">
        <v>1272</v>
      </c>
      <c r="C795" s="50" t="s">
        <v>640</v>
      </c>
      <c r="D795" s="50" t="s">
        <v>2377</v>
      </c>
      <c r="E795" s="50" t="s">
        <v>2377</v>
      </c>
      <c r="F795" s="50" t="s">
        <v>223</v>
      </c>
      <c r="G795" s="50" t="s">
        <v>1395</v>
      </c>
      <c r="H795" t="s">
        <v>3975</v>
      </c>
    </row>
    <row r="796" spans="1:8">
      <c r="A796" s="61">
        <v>1524</v>
      </c>
      <c r="B796" s="50" t="s">
        <v>1273</v>
      </c>
      <c r="C796" s="50" t="s">
        <v>617</v>
      </c>
      <c r="D796" s="50" t="s">
        <v>597</v>
      </c>
      <c r="E796" s="50" t="s">
        <v>597</v>
      </c>
      <c r="F796" s="50" t="s">
        <v>1339</v>
      </c>
      <c r="G796" s="50" t="s">
        <v>1902</v>
      </c>
      <c r="H796" t="s">
        <v>3429</v>
      </c>
    </row>
    <row r="797" spans="1:8">
      <c r="A797" s="61">
        <v>1525</v>
      </c>
      <c r="B797" s="50" t="s">
        <v>1274</v>
      </c>
      <c r="C797" s="50" t="s">
        <v>79</v>
      </c>
      <c r="D797" s="50" t="s">
        <v>597</v>
      </c>
      <c r="E797" s="50" t="s">
        <v>597</v>
      </c>
      <c r="F797" s="50" t="s">
        <v>1339</v>
      </c>
      <c r="G797" s="50" t="s">
        <v>1902</v>
      </c>
      <c r="H797" t="s">
        <v>3976</v>
      </c>
    </row>
    <row r="798" spans="1:8">
      <c r="A798" s="61">
        <v>1526</v>
      </c>
      <c r="B798" s="50" t="s">
        <v>1275</v>
      </c>
      <c r="C798" s="50" t="s">
        <v>188</v>
      </c>
      <c r="D798" s="50" t="s">
        <v>2325</v>
      </c>
      <c r="E798" s="50" t="s">
        <v>2325</v>
      </c>
      <c r="F798" s="50" t="s">
        <v>223</v>
      </c>
      <c r="G798" s="50" t="s">
        <v>1912</v>
      </c>
      <c r="H798" t="s">
        <v>3977</v>
      </c>
    </row>
    <row r="799" spans="1:8">
      <c r="A799" s="61">
        <v>1527</v>
      </c>
      <c r="B799" s="50" t="s">
        <v>1276</v>
      </c>
      <c r="C799" s="50" t="s">
        <v>263</v>
      </c>
      <c r="D799" s="50" t="s">
        <v>2323</v>
      </c>
      <c r="E799" s="50" t="s">
        <v>2323</v>
      </c>
      <c r="F799" s="50" t="s">
        <v>223</v>
      </c>
      <c r="G799" s="50" t="s">
        <v>1904</v>
      </c>
      <c r="H799" t="s">
        <v>3978</v>
      </c>
    </row>
    <row r="800" spans="1:8">
      <c r="A800" s="61">
        <v>1528</v>
      </c>
      <c r="B800" s="50" t="s">
        <v>1277</v>
      </c>
      <c r="C800" s="50" t="s">
        <v>263</v>
      </c>
      <c r="D800" s="50" t="s">
        <v>2449</v>
      </c>
      <c r="E800" s="50" t="s">
        <v>2449</v>
      </c>
      <c r="F800" s="50" t="s">
        <v>223</v>
      </c>
      <c r="G800" s="50" t="s">
        <v>340</v>
      </c>
      <c r="H800" t="s">
        <v>3979</v>
      </c>
    </row>
    <row r="801" spans="1:8">
      <c r="A801" s="61">
        <v>1531</v>
      </c>
      <c r="B801" s="50" t="s">
        <v>1278</v>
      </c>
      <c r="C801" s="50" t="s">
        <v>1311</v>
      </c>
      <c r="D801" s="50" t="s">
        <v>437</v>
      </c>
      <c r="E801" s="50" t="s">
        <v>437</v>
      </c>
      <c r="F801" s="50" t="s">
        <v>223</v>
      </c>
      <c r="G801" s="50" t="s">
        <v>342</v>
      </c>
      <c r="H801" t="s">
        <v>3980</v>
      </c>
    </row>
    <row r="802" spans="1:8">
      <c r="A802" s="61">
        <v>1533</v>
      </c>
      <c r="B802" s="50" t="s">
        <v>1279</v>
      </c>
      <c r="C802" s="50" t="s">
        <v>197</v>
      </c>
      <c r="D802" s="50" t="s">
        <v>178</v>
      </c>
      <c r="E802" s="50" t="s">
        <v>178</v>
      </c>
      <c r="F802" s="50" t="s">
        <v>223</v>
      </c>
      <c r="G802" s="50" t="s">
        <v>1556</v>
      </c>
      <c r="H802" t="s">
        <v>3129</v>
      </c>
    </row>
    <row r="803" spans="1:8">
      <c r="A803" s="61">
        <v>1538</v>
      </c>
      <c r="B803" s="50" t="s">
        <v>937</v>
      </c>
      <c r="C803" s="50" t="s">
        <v>638</v>
      </c>
      <c r="D803" s="50" t="s">
        <v>1608</v>
      </c>
      <c r="E803" s="50" t="s">
        <v>1608</v>
      </c>
      <c r="F803" s="50" t="s">
        <v>1339</v>
      </c>
      <c r="G803" s="50" t="s">
        <v>1560</v>
      </c>
      <c r="H803" t="s">
        <v>3981</v>
      </c>
    </row>
    <row r="804" spans="1:8">
      <c r="A804" s="61">
        <v>1544</v>
      </c>
      <c r="B804" s="50" t="s">
        <v>745</v>
      </c>
      <c r="C804" s="50" t="s">
        <v>802</v>
      </c>
      <c r="D804" s="50" t="s">
        <v>514</v>
      </c>
      <c r="E804" s="50" t="s">
        <v>514</v>
      </c>
      <c r="F804" s="50" t="s">
        <v>223</v>
      </c>
      <c r="G804" s="50" t="s">
        <v>2472</v>
      </c>
      <c r="H804" t="s">
        <v>3094</v>
      </c>
    </row>
    <row r="805" spans="1:8">
      <c r="A805" s="61">
        <v>1558</v>
      </c>
      <c r="B805" s="50" t="s">
        <v>578</v>
      </c>
      <c r="C805" s="50" t="s">
        <v>1157</v>
      </c>
      <c r="D805" s="50" t="s">
        <v>271</v>
      </c>
      <c r="E805" s="50" t="s">
        <v>271</v>
      </c>
      <c r="F805" s="50" t="s">
        <v>1224</v>
      </c>
      <c r="G805" s="50" t="s">
        <v>2136</v>
      </c>
      <c r="H805" t="s">
        <v>2763</v>
      </c>
    </row>
    <row r="806" spans="1:8">
      <c r="A806" s="61">
        <v>1561</v>
      </c>
      <c r="B806" s="50" t="s">
        <v>999</v>
      </c>
      <c r="C806" s="50" t="s">
        <v>79</v>
      </c>
      <c r="D806" s="50" t="s">
        <v>208</v>
      </c>
      <c r="E806" s="50" t="s">
        <v>208</v>
      </c>
      <c r="F806" s="50" t="s">
        <v>451</v>
      </c>
      <c r="G806" s="50" t="s">
        <v>3514</v>
      </c>
      <c r="H806" t="s">
        <v>3982</v>
      </c>
    </row>
    <row r="807" spans="1:8">
      <c r="A807" s="61">
        <v>1562</v>
      </c>
      <c r="B807" s="50" t="s">
        <v>1000</v>
      </c>
      <c r="C807" s="50" t="s">
        <v>617</v>
      </c>
      <c r="D807" s="50" t="s">
        <v>2378</v>
      </c>
      <c r="E807" s="50" t="s">
        <v>2378</v>
      </c>
      <c r="F807" s="50" t="s">
        <v>2036</v>
      </c>
      <c r="G807" s="50" t="s">
        <v>533</v>
      </c>
      <c r="H807" t="s">
        <v>3983</v>
      </c>
    </row>
    <row r="808" spans="1:8">
      <c r="A808" s="61">
        <v>1563</v>
      </c>
      <c r="B808" s="50" t="s">
        <v>1001</v>
      </c>
      <c r="C808" s="50" t="s">
        <v>336</v>
      </c>
      <c r="D808" s="50" t="s">
        <v>2317</v>
      </c>
      <c r="E808" s="50" t="s">
        <v>2317</v>
      </c>
      <c r="F808" s="50" t="s">
        <v>2610</v>
      </c>
      <c r="G808" s="50" t="s">
        <v>1891</v>
      </c>
      <c r="H808" t="s">
        <v>3073</v>
      </c>
    </row>
    <row r="809" spans="1:8">
      <c r="A809" s="61">
        <v>1571</v>
      </c>
      <c r="B809" s="50" t="s">
        <v>1028</v>
      </c>
      <c r="C809" s="50" t="s">
        <v>866</v>
      </c>
      <c r="D809" s="50" t="s">
        <v>1319</v>
      </c>
      <c r="E809" s="50" t="s">
        <v>1319</v>
      </c>
      <c r="F809" s="50" t="s">
        <v>223</v>
      </c>
      <c r="G809" s="50" t="s">
        <v>1946</v>
      </c>
      <c r="H809" t="s">
        <v>3984</v>
      </c>
    </row>
    <row r="810" spans="1:8">
      <c r="A810" s="61">
        <v>1576</v>
      </c>
      <c r="B810" s="50" t="s">
        <v>1002</v>
      </c>
      <c r="C810" s="50" t="s">
        <v>199</v>
      </c>
      <c r="D810" s="50" t="s">
        <v>690</v>
      </c>
      <c r="E810" s="50" t="s">
        <v>690</v>
      </c>
      <c r="F810" s="50" t="s">
        <v>1225</v>
      </c>
      <c r="G810" s="50" t="s">
        <v>1583</v>
      </c>
      <c r="H810" t="s">
        <v>3985</v>
      </c>
    </row>
    <row r="811" spans="1:8">
      <c r="A811" s="61">
        <v>1577</v>
      </c>
      <c r="B811" s="50" t="s">
        <v>567</v>
      </c>
      <c r="C811" s="50" t="s">
        <v>263</v>
      </c>
      <c r="D811" s="50" t="s">
        <v>711</v>
      </c>
      <c r="E811" s="50" t="s">
        <v>711</v>
      </c>
      <c r="F811" s="50" t="s">
        <v>2610</v>
      </c>
      <c r="G811" s="50" t="s">
        <v>543</v>
      </c>
      <c r="H811" t="s">
        <v>3986</v>
      </c>
    </row>
    <row r="812" spans="1:8">
      <c r="A812" s="61">
        <v>1578</v>
      </c>
      <c r="B812" s="50" t="s">
        <v>92</v>
      </c>
      <c r="C812" s="50" t="s">
        <v>261</v>
      </c>
      <c r="D812" s="50" t="s">
        <v>2469</v>
      </c>
      <c r="E812" s="50" t="s">
        <v>2469</v>
      </c>
      <c r="F812" s="50" t="s">
        <v>1225</v>
      </c>
      <c r="G812" s="50" t="s">
        <v>547</v>
      </c>
      <c r="H812" t="s">
        <v>3987</v>
      </c>
    </row>
    <row r="813" spans="1:8">
      <c r="A813" s="61">
        <v>1579</v>
      </c>
      <c r="B813" s="50" t="s">
        <v>1003</v>
      </c>
      <c r="C813" s="50" t="s">
        <v>246</v>
      </c>
      <c r="D813" s="50" t="s">
        <v>690</v>
      </c>
      <c r="E813" s="50" t="s">
        <v>690</v>
      </c>
      <c r="F813" s="50" t="s">
        <v>731</v>
      </c>
      <c r="G813" s="50" t="s">
        <v>1583</v>
      </c>
      <c r="H813" t="s">
        <v>3988</v>
      </c>
    </row>
    <row r="814" spans="1:8">
      <c r="A814" s="61">
        <v>1585</v>
      </c>
      <c r="B814" s="50" t="s">
        <v>1004</v>
      </c>
      <c r="C814" s="50" t="s">
        <v>1197</v>
      </c>
      <c r="D814" s="50" t="s">
        <v>2435</v>
      </c>
      <c r="E814" s="50" t="s">
        <v>2435</v>
      </c>
      <c r="F814" s="50" t="s">
        <v>1225</v>
      </c>
      <c r="G814" s="50" t="s">
        <v>1583</v>
      </c>
      <c r="H814" t="s">
        <v>3989</v>
      </c>
    </row>
    <row r="815" spans="1:8">
      <c r="A815" s="61">
        <v>1592</v>
      </c>
      <c r="B815" s="50" t="s">
        <v>1005</v>
      </c>
      <c r="C815" s="50" t="s">
        <v>718</v>
      </c>
      <c r="D815" s="50" t="s">
        <v>690</v>
      </c>
      <c r="E815" s="50" t="s">
        <v>690</v>
      </c>
      <c r="F815" s="50" t="s">
        <v>2516</v>
      </c>
      <c r="G815" s="50" t="s">
        <v>1583</v>
      </c>
      <c r="H815" t="s">
        <v>3990</v>
      </c>
    </row>
    <row r="816" spans="1:8">
      <c r="A816" s="61">
        <v>1596</v>
      </c>
      <c r="B816" s="50" t="s">
        <v>1353</v>
      </c>
      <c r="C816" s="50" t="s">
        <v>1527</v>
      </c>
      <c r="D816" s="50" t="s">
        <v>503</v>
      </c>
      <c r="E816" s="50" t="s">
        <v>503</v>
      </c>
      <c r="F816" s="50" t="s">
        <v>2037</v>
      </c>
      <c r="G816" s="50" t="s">
        <v>1565</v>
      </c>
      <c r="H816" t="s">
        <v>3991</v>
      </c>
    </row>
    <row r="817" spans="1:8">
      <c r="A817" s="61">
        <v>1598</v>
      </c>
      <c r="B817" s="50" t="s">
        <v>1354</v>
      </c>
      <c r="C817" s="50" t="s">
        <v>1246</v>
      </c>
      <c r="D817" s="50" t="s">
        <v>503</v>
      </c>
      <c r="E817" s="50" t="s">
        <v>503</v>
      </c>
      <c r="F817" s="50" t="s">
        <v>223</v>
      </c>
      <c r="G817" s="50" t="s">
        <v>1565</v>
      </c>
      <c r="H817" t="s">
        <v>3405</v>
      </c>
    </row>
    <row r="818" spans="1:8">
      <c r="A818" s="61">
        <v>1599</v>
      </c>
      <c r="B818" s="50" t="s">
        <v>1355</v>
      </c>
      <c r="C818" s="50" t="s">
        <v>470</v>
      </c>
      <c r="D818" s="50" t="s">
        <v>4</v>
      </c>
      <c r="E818" s="50" t="s">
        <v>4</v>
      </c>
      <c r="F818" s="50" t="s">
        <v>1366</v>
      </c>
      <c r="G818" s="50" t="s">
        <v>2778</v>
      </c>
      <c r="H818" t="s">
        <v>3992</v>
      </c>
    </row>
    <row r="819" spans="1:8">
      <c r="A819" s="61">
        <v>1601</v>
      </c>
      <c r="B819" s="50" t="s">
        <v>1356</v>
      </c>
      <c r="C819" s="50" t="s">
        <v>75</v>
      </c>
      <c r="D819" s="50" t="s">
        <v>504</v>
      </c>
      <c r="E819" s="50" t="s">
        <v>504</v>
      </c>
      <c r="F819" s="50" t="s">
        <v>1339</v>
      </c>
      <c r="G819" s="50" t="s">
        <v>4171</v>
      </c>
      <c r="H819" t="s">
        <v>3993</v>
      </c>
    </row>
    <row r="820" spans="1:8">
      <c r="A820" s="61">
        <v>1602</v>
      </c>
      <c r="B820" s="50" t="s">
        <v>3301</v>
      </c>
      <c r="C820" s="50" t="s">
        <v>1240</v>
      </c>
      <c r="D820" s="50" t="s">
        <v>607</v>
      </c>
      <c r="E820" s="50" t="s">
        <v>607</v>
      </c>
      <c r="F820" s="50" t="s">
        <v>451</v>
      </c>
      <c r="G820" s="50" t="s">
        <v>1877</v>
      </c>
      <c r="H820" t="s">
        <v>3994</v>
      </c>
    </row>
    <row r="821" spans="1:8">
      <c r="A821" s="61">
        <v>1603</v>
      </c>
      <c r="B821" s="50" t="s">
        <v>799</v>
      </c>
      <c r="C821" s="50" t="s">
        <v>246</v>
      </c>
      <c r="D821" s="50" t="s">
        <v>1090</v>
      </c>
      <c r="E821" s="50" t="s">
        <v>1090</v>
      </c>
      <c r="F821" s="50" t="s">
        <v>1339</v>
      </c>
      <c r="G821" s="50" t="s">
        <v>3909</v>
      </c>
      <c r="H821" t="s">
        <v>3541</v>
      </c>
    </row>
    <row r="822" spans="1:8">
      <c r="A822" s="61">
        <v>1605</v>
      </c>
      <c r="B822" s="50" t="s">
        <v>1241</v>
      </c>
      <c r="C822" s="50" t="s">
        <v>140</v>
      </c>
      <c r="D822" s="50" t="s">
        <v>234</v>
      </c>
      <c r="E822" s="50" t="s">
        <v>234</v>
      </c>
      <c r="F822" s="50" t="s">
        <v>223</v>
      </c>
      <c r="G822" s="50" t="s">
        <v>1910</v>
      </c>
      <c r="H822" t="s">
        <v>3995</v>
      </c>
    </row>
    <row r="823" spans="1:8">
      <c r="A823" s="61">
        <v>1606</v>
      </c>
      <c r="B823" s="50" t="s">
        <v>296</v>
      </c>
      <c r="C823" s="50" t="s">
        <v>1246</v>
      </c>
      <c r="D823" s="50" t="s">
        <v>1081</v>
      </c>
      <c r="E823" s="50" t="s">
        <v>1081</v>
      </c>
      <c r="F823" s="50" t="s">
        <v>223</v>
      </c>
      <c r="G823" s="50" t="s">
        <v>2547</v>
      </c>
      <c r="H823" t="s">
        <v>3996</v>
      </c>
    </row>
    <row r="824" spans="1:8">
      <c r="A824" s="61">
        <v>1608</v>
      </c>
      <c r="B824" s="50" t="s">
        <v>231</v>
      </c>
      <c r="C824" s="50" t="s">
        <v>1245</v>
      </c>
      <c r="D824" s="50" t="s">
        <v>1289</v>
      </c>
      <c r="E824" s="50" t="s">
        <v>1289</v>
      </c>
      <c r="F824" s="50" t="s">
        <v>223</v>
      </c>
      <c r="G824" s="50" t="s">
        <v>1568</v>
      </c>
      <c r="H824" t="s">
        <v>3997</v>
      </c>
    </row>
    <row r="825" spans="1:8">
      <c r="A825" s="61">
        <v>1610</v>
      </c>
      <c r="B825" s="50" t="s">
        <v>297</v>
      </c>
      <c r="C825" s="50" t="s">
        <v>336</v>
      </c>
      <c r="D825" s="50" t="s">
        <v>1045</v>
      </c>
      <c r="E825" s="50" t="s">
        <v>1045</v>
      </c>
      <c r="F825" s="50" t="s">
        <v>223</v>
      </c>
      <c r="G825" s="50" t="s">
        <v>1926</v>
      </c>
      <c r="H825" t="s">
        <v>3998</v>
      </c>
    </row>
    <row r="826" spans="1:8">
      <c r="A826" s="61">
        <v>1612</v>
      </c>
      <c r="B826" s="50" t="s">
        <v>298</v>
      </c>
      <c r="C826" s="50" t="s">
        <v>79</v>
      </c>
      <c r="D826" s="50" t="s">
        <v>2735</v>
      </c>
      <c r="E826" s="50" t="s">
        <v>2735</v>
      </c>
      <c r="F826" s="50" t="s">
        <v>2037</v>
      </c>
      <c r="G826" s="50" t="s">
        <v>2488</v>
      </c>
      <c r="H826" t="s">
        <v>3528</v>
      </c>
    </row>
    <row r="827" spans="1:8">
      <c r="A827" s="61">
        <v>1615</v>
      </c>
      <c r="B827" s="50" t="s">
        <v>353</v>
      </c>
      <c r="C827" s="50" t="s">
        <v>299</v>
      </c>
      <c r="D827" s="50" t="s">
        <v>1090</v>
      </c>
      <c r="E827" s="50" t="s">
        <v>1090</v>
      </c>
      <c r="F827" s="50" t="s">
        <v>451</v>
      </c>
      <c r="G827" s="50" t="s">
        <v>3909</v>
      </c>
      <c r="H827" t="s">
        <v>3999</v>
      </c>
    </row>
    <row r="828" spans="1:8">
      <c r="A828" s="61">
        <v>1616</v>
      </c>
      <c r="B828" s="50" t="s">
        <v>300</v>
      </c>
      <c r="C828" s="50" t="s">
        <v>1246</v>
      </c>
      <c r="D828" s="50" t="s">
        <v>2735</v>
      </c>
      <c r="E828" s="50" t="s">
        <v>2735</v>
      </c>
      <c r="F828" s="50" t="s">
        <v>223</v>
      </c>
      <c r="G828" s="50" t="s">
        <v>2488</v>
      </c>
      <c r="H828" t="s">
        <v>3382</v>
      </c>
    </row>
    <row r="829" spans="1:8">
      <c r="A829" s="61">
        <v>1618</v>
      </c>
      <c r="B829" s="50" t="s">
        <v>301</v>
      </c>
      <c r="C829" s="50" t="s">
        <v>525</v>
      </c>
      <c r="D829" s="50" t="s">
        <v>269</v>
      </c>
      <c r="E829" s="50" t="s">
        <v>269</v>
      </c>
      <c r="F829" s="50" t="s">
        <v>1225</v>
      </c>
      <c r="G829" s="50" t="s">
        <v>1545</v>
      </c>
      <c r="H829" t="s">
        <v>4000</v>
      </c>
    </row>
    <row r="830" spans="1:8">
      <c r="A830" s="61">
        <v>1620</v>
      </c>
      <c r="B830" s="50" t="s">
        <v>241</v>
      </c>
      <c r="C830" s="50" t="s">
        <v>75</v>
      </c>
      <c r="D830" s="50" t="s">
        <v>216</v>
      </c>
      <c r="E830" s="50" t="s">
        <v>216</v>
      </c>
      <c r="F830" s="50" t="s">
        <v>2126</v>
      </c>
      <c r="G830" s="50" t="s">
        <v>1929</v>
      </c>
      <c r="H830" t="s">
        <v>1935</v>
      </c>
    </row>
    <row r="831" spans="1:8">
      <c r="A831" s="61">
        <v>1624</v>
      </c>
      <c r="B831" s="50" t="s">
        <v>303</v>
      </c>
      <c r="C831" s="50" t="s">
        <v>194</v>
      </c>
      <c r="D831" s="50" t="s">
        <v>1316</v>
      </c>
      <c r="E831" s="50" t="s">
        <v>1316</v>
      </c>
      <c r="F831" s="50" t="s">
        <v>1225</v>
      </c>
      <c r="G831" s="50" t="s">
        <v>1916</v>
      </c>
      <c r="H831" t="s">
        <v>4001</v>
      </c>
    </row>
    <row r="832" spans="1:8">
      <c r="A832" s="61">
        <v>1626</v>
      </c>
      <c r="B832" s="50" t="s">
        <v>424</v>
      </c>
      <c r="C832" s="50" t="s">
        <v>427</v>
      </c>
      <c r="D832" s="50" t="s">
        <v>2772</v>
      </c>
      <c r="E832" s="50" t="s">
        <v>2772</v>
      </c>
      <c r="F832" s="50" t="s">
        <v>2037</v>
      </c>
      <c r="G832" s="50" t="s">
        <v>1390</v>
      </c>
      <c r="H832" t="s">
        <v>3007</v>
      </c>
    </row>
    <row r="833" spans="1:8">
      <c r="A833" s="61">
        <v>1631</v>
      </c>
      <c r="B833" s="50" t="s">
        <v>304</v>
      </c>
      <c r="C833" s="50" t="s">
        <v>75</v>
      </c>
      <c r="D833" s="50" t="s">
        <v>206</v>
      </c>
      <c r="E833" s="50" t="s">
        <v>206</v>
      </c>
      <c r="F833" s="50" t="s">
        <v>223</v>
      </c>
      <c r="G833" s="50" t="s">
        <v>532</v>
      </c>
      <c r="H833" t="s">
        <v>4002</v>
      </c>
    </row>
    <row r="834" spans="1:8">
      <c r="A834" s="61">
        <v>1632</v>
      </c>
      <c r="B834" s="50" t="s">
        <v>305</v>
      </c>
      <c r="C834" s="50" t="s">
        <v>306</v>
      </c>
      <c r="D834" s="50" t="s">
        <v>974</v>
      </c>
      <c r="E834" s="50" t="s">
        <v>974</v>
      </c>
      <c r="F834" s="50" t="s">
        <v>223</v>
      </c>
      <c r="G834" s="50" t="s">
        <v>1899</v>
      </c>
      <c r="H834" t="s">
        <v>4003</v>
      </c>
    </row>
    <row r="835" spans="1:8">
      <c r="A835" s="61">
        <v>1633</v>
      </c>
      <c r="B835" s="50" t="s">
        <v>307</v>
      </c>
      <c r="C835" s="50" t="s">
        <v>246</v>
      </c>
      <c r="D835" s="50" t="s">
        <v>2738</v>
      </c>
      <c r="E835" s="50" t="s">
        <v>2738</v>
      </c>
      <c r="F835" s="50" t="s">
        <v>223</v>
      </c>
      <c r="G835" s="50" t="s">
        <v>1567</v>
      </c>
      <c r="H835" t="s">
        <v>537</v>
      </c>
    </row>
    <row r="836" spans="1:8">
      <c r="A836" s="61">
        <v>1634</v>
      </c>
      <c r="B836" s="50" t="s">
        <v>952</v>
      </c>
      <c r="C836" s="50" t="s">
        <v>1197</v>
      </c>
      <c r="D836" s="50" t="s">
        <v>1872</v>
      </c>
      <c r="E836" s="50" t="s">
        <v>1872</v>
      </c>
      <c r="F836" s="50" t="s">
        <v>1322</v>
      </c>
      <c r="G836" s="50" t="s">
        <v>1882</v>
      </c>
      <c r="H836" t="s">
        <v>2147</v>
      </c>
    </row>
    <row r="837" spans="1:8">
      <c r="A837" s="61">
        <v>1637</v>
      </c>
      <c r="B837" s="50" t="s">
        <v>976</v>
      </c>
      <c r="C837" s="50" t="s">
        <v>79</v>
      </c>
      <c r="D837" s="50" t="s">
        <v>1223</v>
      </c>
      <c r="E837" s="50" t="s">
        <v>1223</v>
      </c>
      <c r="F837" s="50" t="s">
        <v>223</v>
      </c>
      <c r="G837" s="50" t="s">
        <v>1575</v>
      </c>
      <c r="H837" t="s">
        <v>3052</v>
      </c>
    </row>
    <row r="838" spans="1:8">
      <c r="A838" s="61">
        <v>1638</v>
      </c>
      <c r="B838" s="50" t="s">
        <v>977</v>
      </c>
      <c r="C838" s="50" t="s">
        <v>1311</v>
      </c>
      <c r="D838" s="50" t="s">
        <v>1080</v>
      </c>
      <c r="E838" s="50" t="s">
        <v>1080</v>
      </c>
      <c r="F838" s="50" t="s">
        <v>223</v>
      </c>
      <c r="G838" s="50" t="s">
        <v>531</v>
      </c>
      <c r="H838" t="s">
        <v>4004</v>
      </c>
    </row>
    <row r="839" spans="1:8">
      <c r="A839" s="61">
        <v>1643</v>
      </c>
      <c r="B839" s="50" t="s">
        <v>978</v>
      </c>
      <c r="C839" s="50" t="s">
        <v>964</v>
      </c>
      <c r="D839" s="50" t="s">
        <v>602</v>
      </c>
      <c r="E839" s="50" t="s">
        <v>602</v>
      </c>
      <c r="F839" s="50" t="s">
        <v>223</v>
      </c>
      <c r="G839" s="50" t="s">
        <v>3588</v>
      </c>
      <c r="H839" t="s">
        <v>4005</v>
      </c>
    </row>
    <row r="840" spans="1:8">
      <c r="A840" s="61">
        <v>1644</v>
      </c>
      <c r="B840" s="50" t="s">
        <v>376</v>
      </c>
      <c r="C840" s="50" t="s">
        <v>754</v>
      </c>
      <c r="D840" s="50" t="s">
        <v>238</v>
      </c>
      <c r="E840" s="50" t="s">
        <v>238</v>
      </c>
      <c r="F840" s="50" t="s">
        <v>2037</v>
      </c>
      <c r="G840" s="50" t="s">
        <v>1584</v>
      </c>
      <c r="H840" t="s">
        <v>3403</v>
      </c>
    </row>
    <row r="841" spans="1:8">
      <c r="A841" s="61">
        <v>1647</v>
      </c>
      <c r="B841" s="50" t="s">
        <v>979</v>
      </c>
      <c r="C841" s="50" t="s">
        <v>777</v>
      </c>
      <c r="D841" s="50" t="s">
        <v>2448</v>
      </c>
      <c r="E841" s="50" t="s">
        <v>2448</v>
      </c>
      <c r="F841" s="50" t="s">
        <v>2037</v>
      </c>
      <c r="G841" s="50" t="s">
        <v>1907</v>
      </c>
      <c r="H841" t="s">
        <v>4006</v>
      </c>
    </row>
    <row r="842" spans="1:8">
      <c r="A842" s="61">
        <v>1649</v>
      </c>
      <c r="B842" s="50" t="s">
        <v>980</v>
      </c>
      <c r="C842" s="50" t="s">
        <v>75</v>
      </c>
      <c r="D842" s="50" t="s">
        <v>455</v>
      </c>
      <c r="E842" s="50" t="s">
        <v>455</v>
      </c>
      <c r="F842" s="50" t="s">
        <v>1224</v>
      </c>
      <c r="G842" s="50" t="s">
        <v>1883</v>
      </c>
      <c r="H842" t="s">
        <v>4007</v>
      </c>
    </row>
    <row r="843" spans="1:8">
      <c r="A843" s="61">
        <v>1650</v>
      </c>
      <c r="B843" s="50" t="s">
        <v>981</v>
      </c>
      <c r="C843" s="50" t="s">
        <v>261</v>
      </c>
      <c r="D843" s="50" t="s">
        <v>597</v>
      </c>
      <c r="E843" s="50" t="s">
        <v>597</v>
      </c>
      <c r="F843" s="50" t="s">
        <v>223</v>
      </c>
      <c r="G843" s="50" t="s">
        <v>1902</v>
      </c>
      <c r="H843" t="s">
        <v>4008</v>
      </c>
    </row>
    <row r="844" spans="1:8">
      <c r="A844" s="61">
        <v>1651</v>
      </c>
      <c r="B844" s="50" t="s">
        <v>982</v>
      </c>
      <c r="C844" s="50" t="s">
        <v>640</v>
      </c>
      <c r="D844" s="50" t="s">
        <v>2094</v>
      </c>
      <c r="E844" s="50" t="s">
        <v>2094</v>
      </c>
      <c r="F844" s="50" t="s">
        <v>1224</v>
      </c>
      <c r="G844" s="50" t="s">
        <v>1888</v>
      </c>
      <c r="H844" t="s">
        <v>2188</v>
      </c>
    </row>
    <row r="845" spans="1:8">
      <c r="A845" s="61">
        <v>1652</v>
      </c>
      <c r="B845" s="50" t="s">
        <v>983</v>
      </c>
      <c r="C845" s="50" t="s">
        <v>964</v>
      </c>
      <c r="D845" s="50" t="s">
        <v>2331</v>
      </c>
      <c r="E845" s="50" t="s">
        <v>2331</v>
      </c>
      <c r="F845" s="50" t="s">
        <v>223</v>
      </c>
      <c r="G845" s="50" t="s">
        <v>1913</v>
      </c>
      <c r="H845" t="s">
        <v>4009</v>
      </c>
    </row>
    <row r="846" spans="1:8">
      <c r="A846" s="61">
        <v>1656</v>
      </c>
      <c r="B846" s="50" t="s">
        <v>984</v>
      </c>
      <c r="C846" s="50" t="s">
        <v>1246</v>
      </c>
      <c r="D846" s="50" t="s">
        <v>2337</v>
      </c>
      <c r="E846" s="50" t="s">
        <v>2337</v>
      </c>
      <c r="F846" s="50" t="s">
        <v>2037</v>
      </c>
      <c r="G846" s="50" t="s">
        <v>2157</v>
      </c>
      <c r="H846" t="s">
        <v>4010</v>
      </c>
    </row>
    <row r="847" spans="1:8">
      <c r="A847" s="61">
        <v>1657</v>
      </c>
      <c r="B847" s="50" t="s">
        <v>985</v>
      </c>
      <c r="C847" s="50" t="s">
        <v>780</v>
      </c>
      <c r="D847" s="50" t="s">
        <v>235</v>
      </c>
      <c r="E847" s="50" t="s">
        <v>235</v>
      </c>
      <c r="F847" s="50" t="s">
        <v>1225</v>
      </c>
      <c r="G847" s="50" t="s">
        <v>1546</v>
      </c>
      <c r="H847" t="s">
        <v>4011</v>
      </c>
    </row>
    <row r="848" spans="1:8">
      <c r="A848" s="61">
        <v>1659</v>
      </c>
      <c r="B848" s="50" t="s">
        <v>986</v>
      </c>
      <c r="C848" s="50" t="s">
        <v>477</v>
      </c>
      <c r="D848" s="50" t="s">
        <v>1081</v>
      </c>
      <c r="E848" s="50" t="s">
        <v>1081</v>
      </c>
      <c r="F848" s="50" t="s">
        <v>223</v>
      </c>
      <c r="G848" s="50" t="s">
        <v>2547</v>
      </c>
      <c r="H848" t="s">
        <v>1372</v>
      </c>
    </row>
    <row r="849" spans="1:8">
      <c r="A849" s="61">
        <v>1662</v>
      </c>
      <c r="B849" s="50" t="s">
        <v>577</v>
      </c>
      <c r="C849" s="50" t="s">
        <v>553</v>
      </c>
      <c r="D849" s="50" t="s">
        <v>597</v>
      </c>
      <c r="E849" s="50" t="s">
        <v>597</v>
      </c>
      <c r="F849" s="50" t="s">
        <v>451</v>
      </c>
      <c r="G849" s="50" t="s">
        <v>1902</v>
      </c>
      <c r="H849" t="s">
        <v>2887</v>
      </c>
    </row>
    <row r="850" spans="1:8">
      <c r="A850" s="61">
        <v>1665</v>
      </c>
      <c r="B850" s="50" t="s">
        <v>987</v>
      </c>
      <c r="C850" s="50" t="s">
        <v>194</v>
      </c>
      <c r="D850" s="50" t="s">
        <v>438</v>
      </c>
      <c r="E850" s="50" t="s">
        <v>438</v>
      </c>
      <c r="F850" s="50" t="s">
        <v>451</v>
      </c>
      <c r="G850" s="50" t="s">
        <v>1391</v>
      </c>
      <c r="H850" t="s">
        <v>4012</v>
      </c>
    </row>
    <row r="851" spans="1:8">
      <c r="A851" s="61">
        <v>1666</v>
      </c>
      <c r="B851" s="50" t="s">
        <v>988</v>
      </c>
      <c r="C851" s="50" t="s">
        <v>261</v>
      </c>
      <c r="D851" s="50" t="s">
        <v>1608</v>
      </c>
      <c r="E851" s="50" t="s">
        <v>1608</v>
      </c>
      <c r="F851" s="50" t="s">
        <v>1339</v>
      </c>
      <c r="G851" s="50" t="s">
        <v>1560</v>
      </c>
      <c r="H851" t="s">
        <v>4013</v>
      </c>
    </row>
    <row r="852" spans="1:8">
      <c r="A852" s="61">
        <v>1667</v>
      </c>
      <c r="B852" s="50" t="s">
        <v>2162</v>
      </c>
      <c r="C852" s="50" t="s">
        <v>1246</v>
      </c>
      <c r="D852" s="50" t="s">
        <v>2377</v>
      </c>
      <c r="E852" s="50" t="s">
        <v>2377</v>
      </c>
      <c r="F852" s="50" t="s">
        <v>451</v>
      </c>
      <c r="G852" s="50" t="s">
        <v>1395</v>
      </c>
      <c r="H852" t="s">
        <v>3381</v>
      </c>
    </row>
    <row r="853" spans="1:8">
      <c r="A853" s="61">
        <v>1669</v>
      </c>
      <c r="B853" s="50" t="s">
        <v>1110</v>
      </c>
      <c r="C853" s="50" t="s">
        <v>989</v>
      </c>
      <c r="D853" s="50" t="s">
        <v>503</v>
      </c>
      <c r="E853" s="50" t="s">
        <v>503</v>
      </c>
      <c r="F853" s="50" t="s">
        <v>451</v>
      </c>
      <c r="G853" s="50" t="s">
        <v>1565</v>
      </c>
      <c r="H853" t="s">
        <v>4014</v>
      </c>
    </row>
    <row r="854" spans="1:8">
      <c r="A854" s="61">
        <v>1670</v>
      </c>
      <c r="B854" s="50" t="s">
        <v>990</v>
      </c>
      <c r="C854" s="50" t="s">
        <v>1175</v>
      </c>
      <c r="D854" s="50" t="s">
        <v>2728</v>
      </c>
      <c r="E854" s="50" t="s">
        <v>2728</v>
      </c>
      <c r="F854" s="50" t="s">
        <v>1339</v>
      </c>
      <c r="G854" s="50" t="s">
        <v>1913</v>
      </c>
      <c r="H854" t="s">
        <v>3130</v>
      </c>
    </row>
    <row r="855" spans="1:8">
      <c r="A855" s="61">
        <v>1671</v>
      </c>
      <c r="B855" s="50" t="s">
        <v>1248</v>
      </c>
      <c r="C855" s="50" t="s">
        <v>3302</v>
      </c>
      <c r="D855" s="50" t="s">
        <v>1351</v>
      </c>
      <c r="E855" s="50" t="s">
        <v>1351</v>
      </c>
      <c r="F855" s="50" t="s">
        <v>451</v>
      </c>
      <c r="G855" s="50" t="s">
        <v>1917</v>
      </c>
      <c r="H855" t="s">
        <v>4015</v>
      </c>
    </row>
    <row r="856" spans="1:8">
      <c r="A856" s="61">
        <v>1673</v>
      </c>
      <c r="B856" s="50" t="s">
        <v>991</v>
      </c>
      <c r="C856" s="50" t="s">
        <v>263</v>
      </c>
      <c r="D856" s="50" t="s">
        <v>1316</v>
      </c>
      <c r="E856" s="50" t="s">
        <v>1316</v>
      </c>
      <c r="F856" s="50" t="s">
        <v>1225</v>
      </c>
      <c r="G856" s="50" t="s">
        <v>1916</v>
      </c>
      <c r="H856" t="s">
        <v>4016</v>
      </c>
    </row>
    <row r="857" spans="1:8">
      <c r="A857" s="61">
        <v>1675</v>
      </c>
      <c r="B857" s="50" t="s">
        <v>992</v>
      </c>
      <c r="C857" s="50" t="s">
        <v>866</v>
      </c>
      <c r="D857" s="50" t="s">
        <v>2160</v>
      </c>
      <c r="E857" s="50" t="s">
        <v>2160</v>
      </c>
      <c r="F857" s="50" t="s">
        <v>223</v>
      </c>
      <c r="G857" s="50" t="s">
        <v>1913</v>
      </c>
      <c r="H857" t="s">
        <v>4017</v>
      </c>
    </row>
    <row r="858" spans="1:8">
      <c r="A858" s="61">
        <v>1677</v>
      </c>
      <c r="B858" s="50" t="s">
        <v>993</v>
      </c>
      <c r="C858" s="50" t="s">
        <v>263</v>
      </c>
      <c r="D858" s="50" t="s">
        <v>935</v>
      </c>
      <c r="E858" s="50" t="s">
        <v>935</v>
      </c>
      <c r="F858" s="50" t="s">
        <v>1339</v>
      </c>
      <c r="G858" s="50" t="s">
        <v>2071</v>
      </c>
      <c r="H858" t="s">
        <v>3131</v>
      </c>
    </row>
    <row r="859" spans="1:8">
      <c r="A859" s="61">
        <v>1684</v>
      </c>
      <c r="B859" s="50" t="s">
        <v>2039</v>
      </c>
      <c r="C859" s="50" t="s">
        <v>553</v>
      </c>
      <c r="D859" s="50" t="s">
        <v>2331</v>
      </c>
      <c r="E859" s="50" t="s">
        <v>2331</v>
      </c>
      <c r="F859" s="50" t="s">
        <v>223</v>
      </c>
      <c r="G859" s="50" t="s">
        <v>1913</v>
      </c>
      <c r="H859" t="s">
        <v>2096</v>
      </c>
    </row>
    <row r="860" spans="1:8">
      <c r="A860" s="61">
        <v>1685</v>
      </c>
      <c r="B860" s="50" t="s">
        <v>1156</v>
      </c>
      <c r="C860" s="50" t="s">
        <v>994</v>
      </c>
      <c r="D860" s="50" t="s">
        <v>178</v>
      </c>
      <c r="E860" s="50" t="s">
        <v>178</v>
      </c>
      <c r="F860" s="50" t="s">
        <v>223</v>
      </c>
      <c r="G860" s="50" t="s">
        <v>1556</v>
      </c>
      <c r="H860" t="s">
        <v>2612</v>
      </c>
    </row>
    <row r="861" spans="1:8">
      <c r="A861" s="61">
        <v>1686</v>
      </c>
      <c r="B861" s="50" t="s">
        <v>995</v>
      </c>
      <c r="C861" s="50" t="s">
        <v>1240</v>
      </c>
      <c r="D861" s="50" t="s">
        <v>2069</v>
      </c>
      <c r="E861" s="50" t="s">
        <v>2069</v>
      </c>
      <c r="F861" s="50" t="s">
        <v>223</v>
      </c>
      <c r="G861" s="50" t="s">
        <v>528</v>
      </c>
      <c r="H861" t="s">
        <v>4018</v>
      </c>
    </row>
    <row r="862" spans="1:8">
      <c r="A862" s="61">
        <v>1688</v>
      </c>
      <c r="B862" s="50" t="s">
        <v>996</v>
      </c>
      <c r="C862" s="50" t="s">
        <v>446</v>
      </c>
      <c r="D862" s="50" t="s">
        <v>2378</v>
      </c>
      <c r="E862" s="50" t="s">
        <v>2378</v>
      </c>
      <c r="F862" s="50" t="s">
        <v>2037</v>
      </c>
      <c r="G862" s="50" t="s">
        <v>544</v>
      </c>
      <c r="H862" t="s">
        <v>4019</v>
      </c>
    </row>
    <row r="863" spans="1:8">
      <c r="A863" s="61">
        <v>1689</v>
      </c>
      <c r="B863" s="50" t="s">
        <v>997</v>
      </c>
      <c r="C863" s="50" t="s">
        <v>263</v>
      </c>
      <c r="D863" s="50" t="s">
        <v>448</v>
      </c>
      <c r="E863" s="50" t="s">
        <v>448</v>
      </c>
      <c r="F863" s="50" t="s">
        <v>223</v>
      </c>
      <c r="G863" s="50" t="s">
        <v>1393</v>
      </c>
      <c r="H863" t="s">
        <v>4020</v>
      </c>
    </row>
    <row r="864" spans="1:8">
      <c r="A864" s="61">
        <v>1690</v>
      </c>
      <c r="B864" s="50" t="s">
        <v>998</v>
      </c>
      <c r="C864" s="50" t="s">
        <v>336</v>
      </c>
      <c r="D864" s="50" t="s">
        <v>449</v>
      </c>
      <c r="E864" s="50" t="s">
        <v>449</v>
      </c>
      <c r="F864" s="50" t="s">
        <v>223</v>
      </c>
      <c r="G864" s="50" t="s">
        <v>1899</v>
      </c>
      <c r="H864" t="s">
        <v>4021</v>
      </c>
    </row>
    <row r="865" spans="1:8">
      <c r="A865" s="61">
        <v>1693</v>
      </c>
      <c r="B865" s="50" t="s">
        <v>399</v>
      </c>
      <c r="C865" s="50" t="s">
        <v>525</v>
      </c>
      <c r="D865" s="50" t="s">
        <v>448</v>
      </c>
      <c r="E865" s="50" t="s">
        <v>448</v>
      </c>
      <c r="F865" s="50" t="s">
        <v>223</v>
      </c>
      <c r="G865" s="50" t="s">
        <v>1393</v>
      </c>
      <c r="H865" t="s">
        <v>2281</v>
      </c>
    </row>
    <row r="866" spans="1:8">
      <c r="A866" s="61">
        <v>1695</v>
      </c>
      <c r="B866" s="50" t="s">
        <v>400</v>
      </c>
      <c r="C866" s="50" t="s">
        <v>964</v>
      </c>
      <c r="D866" s="50" t="s">
        <v>1180</v>
      </c>
      <c r="E866" s="50" t="s">
        <v>1180</v>
      </c>
      <c r="F866" s="50" t="s">
        <v>390</v>
      </c>
      <c r="G866" s="50" t="s">
        <v>1947</v>
      </c>
      <c r="H866" t="s">
        <v>4022</v>
      </c>
    </row>
    <row r="867" spans="1:8">
      <c r="A867" s="61">
        <v>1703</v>
      </c>
      <c r="B867" s="50" t="s">
        <v>401</v>
      </c>
      <c r="C867" s="50" t="s">
        <v>402</v>
      </c>
      <c r="D867" s="50" t="s">
        <v>974</v>
      </c>
      <c r="E867" s="50" t="s">
        <v>974</v>
      </c>
      <c r="F867" s="50" t="s">
        <v>451</v>
      </c>
      <c r="G867" s="50" t="s">
        <v>1899</v>
      </c>
      <c r="H867" t="s">
        <v>1566</v>
      </c>
    </row>
    <row r="868" spans="1:8">
      <c r="A868" s="61">
        <v>1704</v>
      </c>
      <c r="B868" s="50" t="s">
        <v>403</v>
      </c>
      <c r="C868" s="50" t="s">
        <v>1246</v>
      </c>
      <c r="D868" s="50" t="s">
        <v>453</v>
      </c>
      <c r="E868" s="50" t="s">
        <v>453</v>
      </c>
      <c r="F868" s="50" t="s">
        <v>223</v>
      </c>
      <c r="G868" s="50" t="s">
        <v>1880</v>
      </c>
      <c r="H868" t="s">
        <v>4023</v>
      </c>
    </row>
    <row r="869" spans="1:8">
      <c r="A869" s="61">
        <v>1707</v>
      </c>
      <c r="B869" s="50" t="s">
        <v>1516</v>
      </c>
      <c r="C869" s="50" t="s">
        <v>640</v>
      </c>
      <c r="D869" s="50" t="s">
        <v>2552</v>
      </c>
      <c r="E869" s="50" t="s">
        <v>2552</v>
      </c>
      <c r="F869" s="50" t="s">
        <v>1225</v>
      </c>
      <c r="G869" s="50" t="s">
        <v>539</v>
      </c>
      <c r="H869" t="s">
        <v>3850</v>
      </c>
    </row>
    <row r="870" spans="1:8">
      <c r="A870" s="61">
        <v>1712</v>
      </c>
      <c r="B870" s="50" t="s">
        <v>987</v>
      </c>
      <c r="C870" s="50" t="s">
        <v>1197</v>
      </c>
      <c r="D870" s="50" t="s">
        <v>772</v>
      </c>
      <c r="E870" s="50" t="s">
        <v>772</v>
      </c>
      <c r="F870" s="50" t="s">
        <v>223</v>
      </c>
      <c r="G870" s="50" t="s">
        <v>1389</v>
      </c>
      <c r="H870" t="s">
        <v>4024</v>
      </c>
    </row>
    <row r="871" spans="1:8">
      <c r="A871" s="61">
        <v>1713</v>
      </c>
      <c r="B871" s="50" t="s">
        <v>478</v>
      </c>
      <c r="C871" s="50" t="s">
        <v>446</v>
      </c>
      <c r="D871" s="50" t="s">
        <v>1971</v>
      </c>
      <c r="E871" s="50" t="s">
        <v>1971</v>
      </c>
      <c r="F871" s="50" t="s">
        <v>1225</v>
      </c>
      <c r="G871" s="50" t="s">
        <v>2181</v>
      </c>
      <c r="H871" t="s">
        <v>4025</v>
      </c>
    </row>
    <row r="872" spans="1:8">
      <c r="A872" s="61">
        <v>1715</v>
      </c>
      <c r="B872" s="50" t="s">
        <v>1025</v>
      </c>
      <c r="C872" s="50" t="s">
        <v>782</v>
      </c>
      <c r="D872" s="50" t="s">
        <v>318</v>
      </c>
      <c r="E872" s="50" t="s">
        <v>318</v>
      </c>
      <c r="F872" s="50" t="s">
        <v>223</v>
      </c>
      <c r="G872" s="50" t="s">
        <v>2806</v>
      </c>
      <c r="H872" t="s">
        <v>4026</v>
      </c>
    </row>
    <row r="873" spans="1:8">
      <c r="A873" s="61">
        <v>1716</v>
      </c>
      <c r="B873" s="50" t="s">
        <v>405</v>
      </c>
      <c r="C873" s="50" t="s">
        <v>336</v>
      </c>
      <c r="D873" s="50" t="s">
        <v>2094</v>
      </c>
      <c r="E873" s="50" t="s">
        <v>2094</v>
      </c>
      <c r="F873" s="50" t="s">
        <v>1224</v>
      </c>
      <c r="G873" s="50" t="s">
        <v>1894</v>
      </c>
      <c r="H873" t="s">
        <v>2189</v>
      </c>
    </row>
    <row r="874" spans="1:8">
      <c r="A874" s="61">
        <v>1718</v>
      </c>
      <c r="B874" s="50" t="s">
        <v>406</v>
      </c>
      <c r="C874" s="50" t="s">
        <v>800</v>
      </c>
      <c r="D874" s="50" t="s">
        <v>2448</v>
      </c>
      <c r="E874" s="50" t="s">
        <v>2448</v>
      </c>
      <c r="F874" s="50" t="s">
        <v>451</v>
      </c>
      <c r="G874" s="50" t="s">
        <v>1907</v>
      </c>
      <c r="H874" t="s">
        <v>4027</v>
      </c>
    </row>
    <row r="875" spans="1:8">
      <c r="A875" s="61">
        <v>1720</v>
      </c>
      <c r="B875" s="50" t="s">
        <v>407</v>
      </c>
      <c r="C875" s="50" t="s">
        <v>261</v>
      </c>
      <c r="D875" s="50" t="s">
        <v>603</v>
      </c>
      <c r="E875" s="50" t="s">
        <v>603</v>
      </c>
      <c r="F875" s="50" t="s">
        <v>1225</v>
      </c>
      <c r="G875" s="50" t="s">
        <v>548</v>
      </c>
      <c r="H875" t="s">
        <v>4028</v>
      </c>
    </row>
    <row r="876" spans="1:8">
      <c r="A876" s="61">
        <v>1727</v>
      </c>
      <c r="B876" s="50" t="s">
        <v>408</v>
      </c>
      <c r="C876" s="50" t="s">
        <v>336</v>
      </c>
      <c r="D876" s="50" t="s">
        <v>772</v>
      </c>
      <c r="E876" s="50" t="s">
        <v>772</v>
      </c>
      <c r="F876" s="50" t="s">
        <v>223</v>
      </c>
      <c r="G876" s="50" t="s">
        <v>1389</v>
      </c>
      <c r="H876" t="s">
        <v>4029</v>
      </c>
    </row>
    <row r="877" spans="1:8">
      <c r="A877" s="61">
        <v>1728</v>
      </c>
      <c r="B877" s="50" t="s">
        <v>3303</v>
      </c>
      <c r="C877" s="50" t="s">
        <v>1246</v>
      </c>
      <c r="D877" s="50" t="s">
        <v>607</v>
      </c>
      <c r="E877" s="50" t="s">
        <v>607</v>
      </c>
      <c r="F877" s="50" t="s">
        <v>451</v>
      </c>
      <c r="G877" s="50" t="s">
        <v>1877</v>
      </c>
      <c r="H877" t="s">
        <v>4030</v>
      </c>
    </row>
    <row r="878" spans="1:8">
      <c r="A878" s="61">
        <v>1729</v>
      </c>
      <c r="B878" s="50" t="s">
        <v>409</v>
      </c>
      <c r="C878" s="50" t="s">
        <v>1527</v>
      </c>
      <c r="D878" s="50" t="s">
        <v>772</v>
      </c>
      <c r="E878" s="50" t="s">
        <v>772</v>
      </c>
      <c r="F878" s="50" t="s">
        <v>223</v>
      </c>
      <c r="G878" s="50" t="s">
        <v>1389</v>
      </c>
      <c r="H878" t="s">
        <v>3365</v>
      </c>
    </row>
    <row r="879" spans="1:8">
      <c r="A879" s="61">
        <v>1736</v>
      </c>
      <c r="B879" s="50" t="s">
        <v>410</v>
      </c>
      <c r="C879" s="50" t="s">
        <v>1197</v>
      </c>
      <c r="D879" s="50" t="s">
        <v>514</v>
      </c>
      <c r="E879" s="50" t="s">
        <v>514</v>
      </c>
      <c r="F879" s="50" t="s">
        <v>223</v>
      </c>
      <c r="G879" s="50" t="s">
        <v>2472</v>
      </c>
      <c r="H879" t="s">
        <v>4031</v>
      </c>
    </row>
    <row r="880" spans="1:8">
      <c r="A880" s="61">
        <v>1737</v>
      </c>
      <c r="B880" s="50" t="s">
        <v>376</v>
      </c>
      <c r="C880" s="50" t="s">
        <v>425</v>
      </c>
      <c r="D880" s="50" t="s">
        <v>1062</v>
      </c>
      <c r="E880" s="50" t="s">
        <v>1062</v>
      </c>
      <c r="F880" s="50" t="s">
        <v>223</v>
      </c>
      <c r="G880" s="50" t="s">
        <v>1562</v>
      </c>
      <c r="H880" t="s">
        <v>4032</v>
      </c>
    </row>
    <row r="881" spans="1:8">
      <c r="A881" s="61">
        <v>1741</v>
      </c>
      <c r="B881" s="50" t="s">
        <v>411</v>
      </c>
      <c r="C881" s="50" t="s">
        <v>1197</v>
      </c>
      <c r="D881" s="50" t="s">
        <v>517</v>
      </c>
      <c r="E881" s="50" t="s">
        <v>517</v>
      </c>
      <c r="F881" s="50" t="s">
        <v>451</v>
      </c>
      <c r="G881" s="50" t="s">
        <v>3086</v>
      </c>
      <c r="H881" t="s">
        <v>4033</v>
      </c>
    </row>
    <row r="882" spans="1:8">
      <c r="A882" s="61">
        <v>1743</v>
      </c>
      <c r="B882" s="50" t="s">
        <v>783</v>
      </c>
      <c r="C882" s="50" t="s">
        <v>1311</v>
      </c>
      <c r="D882" s="50" t="s">
        <v>1063</v>
      </c>
      <c r="E882" s="50" t="s">
        <v>1063</v>
      </c>
      <c r="F882" s="50" t="s">
        <v>223</v>
      </c>
      <c r="G882" s="50" t="s">
        <v>1551</v>
      </c>
      <c r="H882" t="s">
        <v>4034</v>
      </c>
    </row>
    <row r="883" spans="1:8">
      <c r="A883" s="61">
        <v>1748</v>
      </c>
      <c r="B883" s="50" t="s">
        <v>784</v>
      </c>
      <c r="C883" s="50" t="s">
        <v>638</v>
      </c>
      <c r="D883" s="50" t="s">
        <v>396</v>
      </c>
      <c r="E883" s="50" t="s">
        <v>396</v>
      </c>
      <c r="F883" s="50" t="s">
        <v>1322</v>
      </c>
      <c r="G883" s="50" t="s">
        <v>1930</v>
      </c>
      <c r="H883" t="s">
        <v>2095</v>
      </c>
    </row>
    <row r="884" spans="1:8">
      <c r="A884" s="61">
        <v>1751</v>
      </c>
      <c r="B884" s="50" t="s">
        <v>785</v>
      </c>
      <c r="C884" s="50" t="s">
        <v>188</v>
      </c>
      <c r="D884" s="50" t="s">
        <v>219</v>
      </c>
      <c r="E884" s="50" t="s">
        <v>219</v>
      </c>
      <c r="F884" s="50" t="s">
        <v>1322</v>
      </c>
      <c r="G884" s="50" t="s">
        <v>1925</v>
      </c>
      <c r="H884" t="s">
        <v>1936</v>
      </c>
    </row>
    <row r="885" spans="1:8">
      <c r="A885" s="61">
        <v>1752</v>
      </c>
      <c r="B885" s="50" t="s">
        <v>786</v>
      </c>
      <c r="C885" s="50" t="s">
        <v>1246</v>
      </c>
      <c r="D885" s="50" t="s">
        <v>2152</v>
      </c>
      <c r="E885" s="50" t="s">
        <v>2152</v>
      </c>
      <c r="F885" s="50" t="s">
        <v>223</v>
      </c>
      <c r="G885" s="50" t="s">
        <v>1924</v>
      </c>
      <c r="H885" t="s">
        <v>4035</v>
      </c>
    </row>
    <row r="886" spans="1:8">
      <c r="A886" s="61">
        <v>1753</v>
      </c>
      <c r="B886" s="50" t="s">
        <v>787</v>
      </c>
      <c r="C886" s="50" t="s">
        <v>1534</v>
      </c>
      <c r="D886" s="50" t="s">
        <v>2436</v>
      </c>
      <c r="E886" s="50" t="s">
        <v>2436</v>
      </c>
      <c r="F886" s="50" t="s">
        <v>223</v>
      </c>
      <c r="G886" s="50" t="s">
        <v>1924</v>
      </c>
      <c r="H886" t="s">
        <v>4036</v>
      </c>
    </row>
    <row r="887" spans="1:8">
      <c r="A887" s="61">
        <v>1758</v>
      </c>
      <c r="B887" s="50" t="s">
        <v>789</v>
      </c>
      <c r="C887" s="50" t="s">
        <v>777</v>
      </c>
      <c r="D887" s="50" t="s">
        <v>1201</v>
      </c>
      <c r="E887" s="50" t="s">
        <v>1201</v>
      </c>
      <c r="F887" s="50" t="s">
        <v>223</v>
      </c>
      <c r="G887" s="50" t="s">
        <v>1568</v>
      </c>
      <c r="H887" t="s">
        <v>4037</v>
      </c>
    </row>
    <row r="888" spans="1:8">
      <c r="A888" s="61">
        <v>1761</v>
      </c>
      <c r="B888" s="50" t="s">
        <v>790</v>
      </c>
      <c r="C888" s="50" t="s">
        <v>1116</v>
      </c>
      <c r="D888" s="50" t="s">
        <v>267</v>
      </c>
      <c r="E888" s="50" t="s">
        <v>267</v>
      </c>
      <c r="F888" s="50" t="s">
        <v>1225</v>
      </c>
      <c r="G888" s="50" t="s">
        <v>2780</v>
      </c>
      <c r="H888" t="s">
        <v>4038</v>
      </c>
    </row>
    <row r="889" spans="1:8">
      <c r="A889" s="61">
        <v>1763</v>
      </c>
      <c r="B889" s="50" t="s">
        <v>791</v>
      </c>
      <c r="C889" s="50" t="s">
        <v>964</v>
      </c>
      <c r="D889" s="50" t="s">
        <v>2152</v>
      </c>
      <c r="E889" s="50" t="s">
        <v>2152</v>
      </c>
      <c r="F889" s="50" t="s">
        <v>1339</v>
      </c>
      <c r="G889" s="50" t="s">
        <v>1924</v>
      </c>
      <c r="H889" t="s">
        <v>4039</v>
      </c>
    </row>
    <row r="890" spans="1:8">
      <c r="A890" s="61">
        <v>1767</v>
      </c>
      <c r="B890" s="50" t="s">
        <v>1255</v>
      </c>
      <c r="C890" s="50" t="s">
        <v>1177</v>
      </c>
      <c r="D890" s="50" t="s">
        <v>448</v>
      </c>
      <c r="E890" s="50" t="s">
        <v>448</v>
      </c>
      <c r="F890" s="50" t="s">
        <v>223</v>
      </c>
      <c r="G890" s="50" t="s">
        <v>1393</v>
      </c>
      <c r="H890" t="s">
        <v>4040</v>
      </c>
    </row>
    <row r="891" spans="1:8">
      <c r="A891" s="61">
        <v>1770</v>
      </c>
      <c r="B891" s="50" t="s">
        <v>2113</v>
      </c>
      <c r="C891" s="50" t="s">
        <v>286</v>
      </c>
      <c r="D891" s="50" t="s">
        <v>597</v>
      </c>
      <c r="E891" s="50" t="s">
        <v>597</v>
      </c>
      <c r="F891" s="50" t="s">
        <v>223</v>
      </c>
      <c r="G891" s="50" t="s">
        <v>1902</v>
      </c>
      <c r="H891" t="s">
        <v>3092</v>
      </c>
    </row>
    <row r="892" spans="1:8">
      <c r="A892" s="61">
        <v>1771</v>
      </c>
      <c r="B892" s="50" t="s">
        <v>792</v>
      </c>
      <c r="C892" s="50" t="s">
        <v>793</v>
      </c>
      <c r="D892" s="50" t="s">
        <v>595</v>
      </c>
      <c r="E892" s="50" t="s">
        <v>595</v>
      </c>
      <c r="F892" s="50" t="s">
        <v>223</v>
      </c>
      <c r="G892" s="50" t="s">
        <v>1906</v>
      </c>
      <c r="H892" t="s">
        <v>3400</v>
      </c>
    </row>
    <row r="893" spans="1:8">
      <c r="A893" s="61">
        <v>1772</v>
      </c>
      <c r="B893" s="50" t="s">
        <v>1154</v>
      </c>
      <c r="C893" s="50" t="s">
        <v>1240</v>
      </c>
      <c r="D893" s="50" t="s">
        <v>1264</v>
      </c>
      <c r="E893" s="50" t="s">
        <v>1264</v>
      </c>
      <c r="F893" s="50" t="s">
        <v>223</v>
      </c>
      <c r="G893" s="50" t="s">
        <v>3105</v>
      </c>
      <c r="H893" t="s">
        <v>4041</v>
      </c>
    </row>
    <row r="894" spans="1:8">
      <c r="A894" s="61">
        <v>1773</v>
      </c>
      <c r="B894" s="50" t="s">
        <v>794</v>
      </c>
      <c r="C894" s="50" t="s">
        <v>1099</v>
      </c>
      <c r="D894" s="50" t="s">
        <v>597</v>
      </c>
      <c r="E894" s="50" t="s">
        <v>597</v>
      </c>
      <c r="F894" s="50" t="s">
        <v>223</v>
      </c>
      <c r="G894" s="50" t="s">
        <v>1902</v>
      </c>
      <c r="H894" t="s">
        <v>4042</v>
      </c>
    </row>
    <row r="895" spans="1:8">
      <c r="A895" s="61">
        <v>1775</v>
      </c>
      <c r="B895" s="50" t="s">
        <v>1356</v>
      </c>
      <c r="C895" s="50" t="s">
        <v>864</v>
      </c>
      <c r="D895" s="50" t="s">
        <v>178</v>
      </c>
      <c r="E895" s="50" t="s">
        <v>178</v>
      </c>
      <c r="F895" s="50" t="s">
        <v>223</v>
      </c>
      <c r="G895" s="50" t="s">
        <v>1556</v>
      </c>
      <c r="H895" t="s">
        <v>4043</v>
      </c>
    </row>
    <row r="896" spans="1:8">
      <c r="A896" s="61">
        <v>1776</v>
      </c>
      <c r="B896" s="50" t="s">
        <v>795</v>
      </c>
      <c r="C896" s="50" t="s">
        <v>75</v>
      </c>
      <c r="D896" s="50" t="s">
        <v>2668</v>
      </c>
      <c r="E896" s="50" t="s">
        <v>2668</v>
      </c>
      <c r="F896" s="50" t="s">
        <v>2610</v>
      </c>
      <c r="G896" s="50" t="s">
        <v>1918</v>
      </c>
      <c r="H896" t="s">
        <v>3003</v>
      </c>
    </row>
    <row r="897" spans="1:8">
      <c r="A897" s="61">
        <v>1777</v>
      </c>
      <c r="B897" s="50" t="s">
        <v>796</v>
      </c>
      <c r="C897" s="50" t="s">
        <v>866</v>
      </c>
      <c r="D897" s="50" t="s">
        <v>1062</v>
      </c>
      <c r="E897" s="50" t="s">
        <v>1062</v>
      </c>
      <c r="F897" s="50" t="s">
        <v>223</v>
      </c>
      <c r="G897" s="50" t="s">
        <v>1562</v>
      </c>
      <c r="H897" t="s">
        <v>4044</v>
      </c>
    </row>
    <row r="898" spans="1:8">
      <c r="A898" s="61">
        <v>1778</v>
      </c>
      <c r="B898" s="50" t="s">
        <v>1086</v>
      </c>
      <c r="C898" s="50" t="s">
        <v>75</v>
      </c>
      <c r="D898" s="50" t="s">
        <v>1062</v>
      </c>
      <c r="E898" s="50" t="s">
        <v>1062</v>
      </c>
      <c r="F898" s="50" t="s">
        <v>223</v>
      </c>
      <c r="G898" s="50" t="s">
        <v>1562</v>
      </c>
      <c r="H898" t="s">
        <v>4045</v>
      </c>
    </row>
    <row r="899" spans="1:8">
      <c r="A899" s="61">
        <v>1779</v>
      </c>
      <c r="B899" s="50" t="s">
        <v>145</v>
      </c>
      <c r="C899" s="50" t="s">
        <v>242</v>
      </c>
      <c r="D899" s="50" t="s">
        <v>881</v>
      </c>
      <c r="E899" s="50" t="s">
        <v>881</v>
      </c>
      <c r="F899" s="50" t="s">
        <v>223</v>
      </c>
      <c r="G899" s="50" t="s">
        <v>1910</v>
      </c>
      <c r="H899" t="s">
        <v>4046</v>
      </c>
    </row>
    <row r="900" spans="1:8">
      <c r="A900" s="61">
        <v>1780</v>
      </c>
      <c r="B900" s="50" t="s">
        <v>412</v>
      </c>
      <c r="C900" s="50" t="s">
        <v>188</v>
      </c>
      <c r="D900" s="50" t="s">
        <v>2402</v>
      </c>
      <c r="E900" s="50" t="s">
        <v>2402</v>
      </c>
      <c r="F900" s="50" t="s">
        <v>2036</v>
      </c>
      <c r="G900" s="50" t="s">
        <v>1909</v>
      </c>
      <c r="H900" t="s">
        <v>4047</v>
      </c>
    </row>
    <row r="901" spans="1:8">
      <c r="A901" s="61">
        <v>1783</v>
      </c>
      <c r="B901" s="50" t="s">
        <v>308</v>
      </c>
      <c r="C901" s="50" t="s">
        <v>635</v>
      </c>
      <c r="D901" s="50" t="s">
        <v>2580</v>
      </c>
      <c r="E901" s="50" t="s">
        <v>2580</v>
      </c>
      <c r="F901" s="50" t="s">
        <v>686</v>
      </c>
      <c r="G901" s="50" t="s">
        <v>2581</v>
      </c>
      <c r="H901" t="s">
        <v>4048</v>
      </c>
    </row>
    <row r="902" spans="1:8">
      <c r="A902" s="61">
        <v>1786</v>
      </c>
      <c r="B902" s="50" t="s">
        <v>1587</v>
      </c>
      <c r="C902" s="50" t="s">
        <v>1527</v>
      </c>
      <c r="D902" s="50" t="s">
        <v>682</v>
      </c>
      <c r="E902" s="50" t="s">
        <v>682</v>
      </c>
      <c r="F902" s="50" t="s">
        <v>392</v>
      </c>
      <c r="G902" s="50" t="s">
        <v>1922</v>
      </c>
      <c r="H902" t="s">
        <v>4049</v>
      </c>
    </row>
    <row r="903" spans="1:8">
      <c r="A903" s="61">
        <v>1787</v>
      </c>
      <c r="B903" s="50" t="s">
        <v>309</v>
      </c>
      <c r="C903" s="50" t="s">
        <v>1490</v>
      </c>
      <c r="D903" s="50" t="s">
        <v>688</v>
      </c>
      <c r="E903" s="50" t="s">
        <v>688</v>
      </c>
      <c r="F903" s="50" t="s">
        <v>1322</v>
      </c>
      <c r="G903" s="50" t="s">
        <v>1890</v>
      </c>
      <c r="H903" t="s">
        <v>1937</v>
      </c>
    </row>
    <row r="904" spans="1:8">
      <c r="A904" s="61">
        <v>1788</v>
      </c>
      <c r="B904" s="50" t="s">
        <v>310</v>
      </c>
      <c r="C904" s="50" t="s">
        <v>72</v>
      </c>
      <c r="D904" s="50" t="s">
        <v>1481</v>
      </c>
      <c r="E904" s="50" t="s">
        <v>1481</v>
      </c>
      <c r="F904" s="50" t="s">
        <v>1225</v>
      </c>
      <c r="G904" s="50" t="s">
        <v>2318</v>
      </c>
      <c r="H904" t="s">
        <v>4050</v>
      </c>
    </row>
    <row r="905" spans="1:8">
      <c r="A905" s="61">
        <v>1789</v>
      </c>
      <c r="B905" s="50" t="s">
        <v>311</v>
      </c>
      <c r="C905" s="50" t="s">
        <v>242</v>
      </c>
      <c r="D905" s="50" t="s">
        <v>968</v>
      </c>
      <c r="E905" s="50" t="s">
        <v>968</v>
      </c>
      <c r="F905" s="50" t="s">
        <v>1322</v>
      </c>
      <c r="G905" s="50" t="s">
        <v>2097</v>
      </c>
      <c r="H905" t="s">
        <v>2141</v>
      </c>
    </row>
    <row r="906" spans="1:8">
      <c r="A906" s="61">
        <v>1790</v>
      </c>
      <c r="B906" s="50" t="s">
        <v>851</v>
      </c>
      <c r="C906" s="50" t="s">
        <v>188</v>
      </c>
      <c r="D906" s="50" t="s">
        <v>598</v>
      </c>
      <c r="E906" s="50" t="s">
        <v>598</v>
      </c>
      <c r="F906" s="50" t="s">
        <v>392</v>
      </c>
      <c r="G906" s="50" t="s">
        <v>2093</v>
      </c>
      <c r="H906" t="s">
        <v>4051</v>
      </c>
    </row>
    <row r="907" spans="1:8">
      <c r="A907" s="61">
        <v>1791</v>
      </c>
      <c r="B907" s="50" t="s">
        <v>367</v>
      </c>
      <c r="C907" s="50" t="s">
        <v>1311</v>
      </c>
      <c r="D907" s="50" t="s">
        <v>2315</v>
      </c>
      <c r="E907" s="50" t="s">
        <v>2315</v>
      </c>
      <c r="F907" s="50" t="s">
        <v>1225</v>
      </c>
      <c r="G907" s="50" t="s">
        <v>1898</v>
      </c>
      <c r="H907" t="s">
        <v>3070</v>
      </c>
    </row>
    <row r="908" spans="1:8">
      <c r="A908" s="61">
        <v>1792</v>
      </c>
      <c r="B908" s="50" t="s">
        <v>1521</v>
      </c>
      <c r="C908" s="50" t="s">
        <v>477</v>
      </c>
      <c r="D908" s="50" t="s">
        <v>1180</v>
      </c>
      <c r="E908" s="50" t="s">
        <v>1180</v>
      </c>
      <c r="F908" s="50" t="s">
        <v>390</v>
      </c>
      <c r="G908" s="50" t="s">
        <v>1947</v>
      </c>
      <c r="H908" t="s">
        <v>4052</v>
      </c>
    </row>
    <row r="909" spans="1:8">
      <c r="A909" s="61">
        <v>1794</v>
      </c>
      <c r="B909" s="50" t="s">
        <v>852</v>
      </c>
      <c r="C909" s="50" t="s">
        <v>477</v>
      </c>
      <c r="D909" s="50" t="s">
        <v>809</v>
      </c>
      <c r="E909" s="50" t="s">
        <v>809</v>
      </c>
      <c r="F909" s="50" t="s">
        <v>1366</v>
      </c>
      <c r="G909" s="50" t="s">
        <v>2773</v>
      </c>
      <c r="H909" t="s">
        <v>4053</v>
      </c>
    </row>
    <row r="910" spans="1:8">
      <c r="A910" s="61">
        <v>1800</v>
      </c>
      <c r="B910" s="50" t="s">
        <v>853</v>
      </c>
      <c r="C910" s="50" t="s">
        <v>263</v>
      </c>
      <c r="D910" s="50" t="s">
        <v>271</v>
      </c>
      <c r="E910" s="50" t="s">
        <v>271</v>
      </c>
      <c r="F910" s="50" t="s">
        <v>1225</v>
      </c>
      <c r="G910" s="50" t="s">
        <v>2136</v>
      </c>
      <c r="H910" t="s">
        <v>4054</v>
      </c>
    </row>
    <row r="911" spans="1:8">
      <c r="A911" s="61">
        <v>1802</v>
      </c>
      <c r="B911" s="50" t="s">
        <v>854</v>
      </c>
      <c r="C911" s="50" t="s">
        <v>336</v>
      </c>
      <c r="D911" s="50" t="s">
        <v>1317</v>
      </c>
      <c r="E911" s="50" t="s">
        <v>1317</v>
      </c>
      <c r="F911" s="50" t="s">
        <v>1225</v>
      </c>
      <c r="G911" s="50" t="s">
        <v>2102</v>
      </c>
      <c r="H911" t="s">
        <v>4055</v>
      </c>
    </row>
    <row r="912" spans="1:8">
      <c r="A912" s="61">
        <v>1807</v>
      </c>
      <c r="B912" s="50" t="s">
        <v>855</v>
      </c>
      <c r="C912" s="50" t="s">
        <v>778</v>
      </c>
      <c r="D912" s="50" t="s">
        <v>481</v>
      </c>
      <c r="E912" s="50" t="s">
        <v>481</v>
      </c>
      <c r="F912" s="50" t="s">
        <v>731</v>
      </c>
      <c r="G912" s="50" t="s">
        <v>1381</v>
      </c>
      <c r="H912" t="s">
        <v>1547</v>
      </c>
    </row>
    <row r="913" spans="1:8">
      <c r="A913" s="61">
        <v>1809</v>
      </c>
      <c r="B913" s="50" t="s">
        <v>856</v>
      </c>
      <c r="C913" s="50" t="s">
        <v>857</v>
      </c>
      <c r="D913" s="50" t="s">
        <v>217</v>
      </c>
      <c r="E913" s="50" t="s">
        <v>217</v>
      </c>
      <c r="F913" s="50" t="s">
        <v>1225</v>
      </c>
      <c r="G913" s="50" t="s">
        <v>1915</v>
      </c>
      <c r="H913" t="s">
        <v>4056</v>
      </c>
    </row>
    <row r="914" spans="1:8">
      <c r="A914" s="61">
        <v>1811</v>
      </c>
      <c r="B914" s="50" t="s">
        <v>858</v>
      </c>
      <c r="C914" s="50" t="s">
        <v>718</v>
      </c>
      <c r="D914" s="50" t="s">
        <v>2759</v>
      </c>
      <c r="E914" s="50" t="s">
        <v>2759</v>
      </c>
      <c r="F914" s="50" t="s">
        <v>1225</v>
      </c>
      <c r="G914" s="50" t="s">
        <v>1894</v>
      </c>
      <c r="H914" t="s">
        <v>2924</v>
      </c>
    </row>
    <row r="915" spans="1:8">
      <c r="A915" s="61">
        <v>1812</v>
      </c>
      <c r="B915" s="50" t="s">
        <v>859</v>
      </c>
      <c r="C915" s="50" t="s">
        <v>263</v>
      </c>
      <c r="D915" s="50" t="s">
        <v>507</v>
      </c>
      <c r="E915" s="50" t="s">
        <v>507</v>
      </c>
      <c r="F915" s="50" t="s">
        <v>223</v>
      </c>
      <c r="G915" s="32" t="s">
        <v>1910</v>
      </c>
      <c r="H915" t="s">
        <v>4057</v>
      </c>
    </row>
    <row r="916" spans="1:8">
      <c r="A916" s="61">
        <v>1816</v>
      </c>
      <c r="B916" s="50" t="s">
        <v>122</v>
      </c>
      <c r="C916" s="50" t="s">
        <v>964</v>
      </c>
      <c r="D916" s="50" t="s">
        <v>271</v>
      </c>
      <c r="E916" s="50" t="s">
        <v>271</v>
      </c>
      <c r="F916" s="50" t="s">
        <v>1224</v>
      </c>
      <c r="G916" s="50" t="s">
        <v>2136</v>
      </c>
      <c r="H916" t="s">
        <v>2956</v>
      </c>
    </row>
    <row r="917" spans="1:8">
      <c r="A917" s="61">
        <v>1817</v>
      </c>
      <c r="B917" s="50" t="s">
        <v>2040</v>
      </c>
      <c r="C917" s="50" t="s">
        <v>263</v>
      </c>
      <c r="D917" s="50" t="s">
        <v>143</v>
      </c>
      <c r="E917" s="50" t="s">
        <v>143</v>
      </c>
      <c r="F917" s="50" t="s">
        <v>392</v>
      </c>
      <c r="G917" s="50" t="s">
        <v>2053</v>
      </c>
      <c r="H917" t="s">
        <v>4058</v>
      </c>
    </row>
    <row r="918" spans="1:8">
      <c r="A918" s="61">
        <v>1818</v>
      </c>
      <c r="B918" s="50" t="s">
        <v>123</v>
      </c>
      <c r="C918" s="50" t="s">
        <v>1197</v>
      </c>
      <c r="D918" s="50" t="s">
        <v>2580</v>
      </c>
      <c r="E918" s="50" t="s">
        <v>2580</v>
      </c>
      <c r="F918" s="50" t="s">
        <v>390</v>
      </c>
      <c r="G918" s="32" t="s">
        <v>2581</v>
      </c>
      <c r="H918" t="s">
        <v>4059</v>
      </c>
    </row>
    <row r="919" spans="1:8">
      <c r="A919" s="61">
        <v>1822</v>
      </c>
      <c r="B919" s="50" t="s">
        <v>124</v>
      </c>
      <c r="C919" s="50" t="s">
        <v>188</v>
      </c>
      <c r="D919" s="50" t="s">
        <v>688</v>
      </c>
      <c r="E919" s="50" t="s">
        <v>688</v>
      </c>
      <c r="F919" s="50" t="s">
        <v>1322</v>
      </c>
      <c r="G919" s="32" t="s">
        <v>1890</v>
      </c>
      <c r="H919" t="s">
        <v>2135</v>
      </c>
    </row>
    <row r="920" spans="1:8">
      <c r="A920" s="61">
        <v>1824</v>
      </c>
      <c r="B920" s="50" t="s">
        <v>611</v>
      </c>
      <c r="C920" s="50" t="s">
        <v>778</v>
      </c>
      <c r="D920" s="50" t="s">
        <v>2149</v>
      </c>
      <c r="E920" s="50" t="s">
        <v>2149</v>
      </c>
      <c r="F920" s="50" t="s">
        <v>731</v>
      </c>
      <c r="G920" s="50" t="s">
        <v>539</v>
      </c>
      <c r="H920" t="s">
        <v>4060</v>
      </c>
    </row>
    <row r="921" spans="1:8">
      <c r="A921" s="61">
        <v>1825</v>
      </c>
      <c r="B921" s="50" t="s">
        <v>865</v>
      </c>
      <c r="C921" s="50" t="s">
        <v>612</v>
      </c>
      <c r="D921" s="50" t="s">
        <v>1317</v>
      </c>
      <c r="E921" s="50" t="s">
        <v>1317</v>
      </c>
      <c r="F921" s="50" t="s">
        <v>1225</v>
      </c>
      <c r="G921" s="50" t="s">
        <v>2102</v>
      </c>
      <c r="H921" t="s">
        <v>4061</v>
      </c>
    </row>
    <row r="922" spans="1:8">
      <c r="A922" s="61">
        <v>1832</v>
      </c>
      <c r="B922" s="50" t="s">
        <v>613</v>
      </c>
      <c r="C922" s="50" t="s">
        <v>640</v>
      </c>
      <c r="D922" s="50" t="s">
        <v>690</v>
      </c>
      <c r="E922" s="50" t="s">
        <v>690</v>
      </c>
      <c r="F922" s="50" t="s">
        <v>1225</v>
      </c>
      <c r="G922" s="50" t="s">
        <v>1583</v>
      </c>
      <c r="H922" t="s">
        <v>4062</v>
      </c>
    </row>
    <row r="923" spans="1:8">
      <c r="A923" s="61">
        <v>1835</v>
      </c>
      <c r="B923" s="50" t="s">
        <v>614</v>
      </c>
      <c r="C923" s="50" t="s">
        <v>261</v>
      </c>
      <c r="D923" s="50" t="s">
        <v>396</v>
      </c>
      <c r="E923" s="50" t="s">
        <v>396</v>
      </c>
      <c r="F923" s="50" t="s">
        <v>1322</v>
      </c>
      <c r="G923" s="50" t="s">
        <v>1930</v>
      </c>
      <c r="H923" t="s">
        <v>1938</v>
      </c>
    </row>
    <row r="924" spans="1:8">
      <c r="A924" s="61">
        <v>1836</v>
      </c>
      <c r="B924" s="50" t="s">
        <v>491</v>
      </c>
      <c r="C924" s="50" t="s">
        <v>1197</v>
      </c>
      <c r="D924" s="50" t="s">
        <v>2483</v>
      </c>
      <c r="E924" s="50" t="s">
        <v>2483</v>
      </c>
      <c r="F924" s="50" t="s">
        <v>1225</v>
      </c>
      <c r="G924" s="50" t="s">
        <v>543</v>
      </c>
      <c r="H924" t="s">
        <v>4063</v>
      </c>
    </row>
    <row r="925" spans="1:8">
      <c r="A925" s="61">
        <v>1838</v>
      </c>
      <c r="B925" s="50" t="s">
        <v>2041</v>
      </c>
      <c r="C925" s="50" t="s">
        <v>242</v>
      </c>
      <c r="D925" s="50" t="s">
        <v>688</v>
      </c>
      <c r="E925" s="50" t="s">
        <v>688</v>
      </c>
      <c r="F925" s="50" t="s">
        <v>1322</v>
      </c>
      <c r="G925" s="50" t="s">
        <v>1890</v>
      </c>
      <c r="H925" t="s">
        <v>2053</v>
      </c>
    </row>
    <row r="926" spans="1:8">
      <c r="A926" s="61">
        <v>1840</v>
      </c>
      <c r="B926" s="50" t="s">
        <v>241</v>
      </c>
      <c r="C926" s="50" t="s">
        <v>638</v>
      </c>
      <c r="D926" s="50" t="s">
        <v>1214</v>
      </c>
      <c r="E926" s="50" t="s">
        <v>1214</v>
      </c>
      <c r="F926" s="50" t="s">
        <v>223</v>
      </c>
      <c r="G926" s="50" t="s">
        <v>1379</v>
      </c>
      <c r="H926" t="s">
        <v>4064</v>
      </c>
    </row>
    <row r="927" spans="1:8">
      <c r="A927" s="61">
        <v>1841</v>
      </c>
      <c r="B927" s="50" t="s">
        <v>628</v>
      </c>
      <c r="C927" s="50" t="s">
        <v>263</v>
      </c>
      <c r="D927" s="50" t="s">
        <v>771</v>
      </c>
      <c r="E927" s="50" t="s">
        <v>771</v>
      </c>
      <c r="F927" s="50" t="s">
        <v>223</v>
      </c>
      <c r="G927" s="50" t="s">
        <v>1379</v>
      </c>
      <c r="H927" t="s">
        <v>3494</v>
      </c>
    </row>
    <row r="928" spans="1:8">
      <c r="A928" s="61">
        <v>1842</v>
      </c>
      <c r="B928" s="50" t="s">
        <v>38</v>
      </c>
      <c r="C928" s="50" t="s">
        <v>79</v>
      </c>
      <c r="D928" s="50" t="s">
        <v>144</v>
      </c>
      <c r="E928" s="50" t="s">
        <v>144</v>
      </c>
      <c r="F928" s="50" t="s">
        <v>686</v>
      </c>
      <c r="G928" s="50" t="s">
        <v>2135</v>
      </c>
      <c r="H928" t="s">
        <v>4065</v>
      </c>
    </row>
    <row r="929" spans="1:8">
      <c r="A929" s="61">
        <v>1844</v>
      </c>
      <c r="B929" s="50" t="s">
        <v>39</v>
      </c>
      <c r="C929" s="50" t="s">
        <v>777</v>
      </c>
      <c r="D929" s="50" t="s">
        <v>1336</v>
      </c>
      <c r="E929" s="50" t="s">
        <v>1336</v>
      </c>
      <c r="F929" s="50" t="s">
        <v>223</v>
      </c>
      <c r="G929" s="50" t="s">
        <v>3114</v>
      </c>
      <c r="H929" t="s">
        <v>4066</v>
      </c>
    </row>
    <row r="930" spans="1:8">
      <c r="A930" s="61">
        <v>1845</v>
      </c>
      <c r="B930" s="50" t="s">
        <v>40</v>
      </c>
      <c r="C930" s="50" t="s">
        <v>336</v>
      </c>
      <c r="D930" s="50" t="s">
        <v>1214</v>
      </c>
      <c r="E930" s="50" t="s">
        <v>1214</v>
      </c>
      <c r="F930" s="50" t="s">
        <v>223</v>
      </c>
      <c r="G930" s="50" t="s">
        <v>1379</v>
      </c>
      <c r="H930" t="s">
        <v>4067</v>
      </c>
    </row>
    <row r="931" spans="1:8">
      <c r="A931" s="61">
        <v>1847</v>
      </c>
      <c r="B931" s="50" t="s">
        <v>41</v>
      </c>
      <c r="C931" s="50" t="s">
        <v>640</v>
      </c>
      <c r="D931" s="50" t="s">
        <v>434</v>
      </c>
      <c r="E931" s="50" t="s">
        <v>434</v>
      </c>
      <c r="F931" s="50" t="s">
        <v>1225</v>
      </c>
      <c r="G931" s="50" t="s">
        <v>1388</v>
      </c>
      <c r="H931" t="s">
        <v>4068</v>
      </c>
    </row>
    <row r="932" spans="1:8">
      <c r="A932" s="61">
        <v>1848</v>
      </c>
      <c r="B932" s="50" t="s">
        <v>42</v>
      </c>
      <c r="C932" s="50" t="s">
        <v>1414</v>
      </c>
      <c r="D932" s="50" t="s">
        <v>1263</v>
      </c>
      <c r="E932" s="50" t="s">
        <v>1263</v>
      </c>
      <c r="F932" s="50" t="s">
        <v>1322</v>
      </c>
      <c r="G932" s="50" t="s">
        <v>1946</v>
      </c>
      <c r="H932" t="s">
        <v>1571</v>
      </c>
    </row>
    <row r="933" spans="1:8">
      <c r="A933" s="61">
        <v>1850</v>
      </c>
      <c r="B933" s="50" t="s">
        <v>43</v>
      </c>
      <c r="C933" s="50" t="s">
        <v>1172</v>
      </c>
      <c r="D933" s="50" t="s">
        <v>2029</v>
      </c>
      <c r="E933" s="50" t="s">
        <v>2029</v>
      </c>
      <c r="F933" s="50" t="s">
        <v>223</v>
      </c>
      <c r="G933" s="50" t="s">
        <v>1385</v>
      </c>
      <c r="H933" t="s">
        <v>4069</v>
      </c>
    </row>
    <row r="934" spans="1:8">
      <c r="A934" s="61">
        <v>1852</v>
      </c>
      <c r="B934" s="50" t="s">
        <v>414</v>
      </c>
      <c r="C934" s="50" t="s">
        <v>246</v>
      </c>
      <c r="D934" s="50" t="s">
        <v>448</v>
      </c>
      <c r="E934" s="50" t="s">
        <v>448</v>
      </c>
      <c r="F934" s="50" t="s">
        <v>451</v>
      </c>
      <c r="G934" s="50" t="s">
        <v>1393</v>
      </c>
      <c r="H934" t="s">
        <v>4070</v>
      </c>
    </row>
    <row r="935" spans="1:8">
      <c r="A935" s="61">
        <v>1853</v>
      </c>
      <c r="B935" s="50" t="s">
        <v>44</v>
      </c>
      <c r="C935" s="50" t="s">
        <v>263</v>
      </c>
      <c r="D935" s="50" t="s">
        <v>596</v>
      </c>
      <c r="E935" s="50" t="s">
        <v>596</v>
      </c>
      <c r="F935" s="50" t="s">
        <v>223</v>
      </c>
      <c r="G935" s="50" t="s">
        <v>2277</v>
      </c>
      <c r="H935" t="s">
        <v>4071</v>
      </c>
    </row>
    <row r="936" spans="1:8">
      <c r="A936" s="61">
        <v>1855</v>
      </c>
      <c r="B936" s="50" t="s">
        <v>45</v>
      </c>
      <c r="C936" s="50" t="s">
        <v>638</v>
      </c>
      <c r="D936" s="50" t="s">
        <v>3061</v>
      </c>
      <c r="E936" s="50" t="s">
        <v>3061</v>
      </c>
      <c r="F936" s="50" t="s">
        <v>1225</v>
      </c>
      <c r="G936" s="50" t="s">
        <v>1894</v>
      </c>
      <c r="H936" t="s">
        <v>2912</v>
      </c>
    </row>
    <row r="937" spans="1:8">
      <c r="A937" s="61">
        <v>1856</v>
      </c>
      <c r="B937" s="50" t="s">
        <v>46</v>
      </c>
      <c r="C937" s="50" t="s">
        <v>638</v>
      </c>
      <c r="D937" s="50" t="s">
        <v>2765</v>
      </c>
      <c r="E937" s="50" t="s">
        <v>2765</v>
      </c>
      <c r="F937" s="50" t="s">
        <v>451</v>
      </c>
      <c r="G937" s="50" t="s">
        <v>1380</v>
      </c>
      <c r="H937" t="s">
        <v>4072</v>
      </c>
    </row>
    <row r="938" spans="1:8">
      <c r="A938" s="61">
        <v>1857</v>
      </c>
      <c r="B938" s="50" t="s">
        <v>47</v>
      </c>
      <c r="C938" s="50" t="s">
        <v>65</v>
      </c>
      <c r="D938" s="50" t="s">
        <v>2448</v>
      </c>
      <c r="E938" s="50" t="s">
        <v>2448</v>
      </c>
      <c r="F938" s="50" t="s">
        <v>451</v>
      </c>
      <c r="G938" s="50" t="s">
        <v>1907</v>
      </c>
      <c r="H938" t="s">
        <v>2873</v>
      </c>
    </row>
    <row r="939" spans="1:8">
      <c r="A939" s="61">
        <v>1858</v>
      </c>
      <c r="B939" s="50" t="s">
        <v>48</v>
      </c>
      <c r="C939" s="50" t="s">
        <v>79</v>
      </c>
      <c r="D939" s="50" t="s">
        <v>596</v>
      </c>
      <c r="E939" s="50" t="s">
        <v>596</v>
      </c>
      <c r="F939" s="50" t="s">
        <v>223</v>
      </c>
      <c r="G939" s="50" t="s">
        <v>2277</v>
      </c>
      <c r="H939" t="s">
        <v>2863</v>
      </c>
    </row>
    <row r="940" spans="1:8">
      <c r="A940" s="61">
        <v>1862</v>
      </c>
      <c r="B940" s="50" t="s">
        <v>49</v>
      </c>
      <c r="C940" s="50" t="s">
        <v>964</v>
      </c>
      <c r="D940" s="50" t="s">
        <v>1081</v>
      </c>
      <c r="E940" s="50" t="s">
        <v>1081</v>
      </c>
      <c r="F940" s="50" t="s">
        <v>223</v>
      </c>
      <c r="G940" s="50" t="s">
        <v>2547</v>
      </c>
      <c r="H940" t="s">
        <v>4073</v>
      </c>
    </row>
    <row r="941" spans="1:8">
      <c r="A941" s="61">
        <v>1863</v>
      </c>
      <c r="B941" s="50" t="s">
        <v>50</v>
      </c>
      <c r="C941" s="50" t="s">
        <v>778</v>
      </c>
      <c r="D941" s="50" t="s">
        <v>2323</v>
      </c>
      <c r="E941" s="50" t="s">
        <v>2323</v>
      </c>
      <c r="F941" s="50" t="s">
        <v>223</v>
      </c>
      <c r="G941" s="50" t="s">
        <v>1904</v>
      </c>
      <c r="H941" t="s">
        <v>4074</v>
      </c>
    </row>
    <row r="942" spans="1:8">
      <c r="A942" s="61">
        <v>1866</v>
      </c>
      <c r="B942" s="50" t="s">
        <v>358</v>
      </c>
      <c r="C942" s="50" t="s">
        <v>778</v>
      </c>
      <c r="D942" s="50" t="s">
        <v>771</v>
      </c>
      <c r="E942" s="50" t="s">
        <v>771</v>
      </c>
      <c r="F942" s="50" t="s">
        <v>451</v>
      </c>
      <c r="G942" s="50" t="s">
        <v>1379</v>
      </c>
      <c r="H942" t="s">
        <v>4075</v>
      </c>
    </row>
    <row r="943" spans="1:8">
      <c r="A943" s="61">
        <v>1868</v>
      </c>
      <c r="B943" s="50" t="s">
        <v>51</v>
      </c>
      <c r="C943" s="50" t="s">
        <v>261</v>
      </c>
      <c r="D943" s="50" t="s">
        <v>234</v>
      </c>
      <c r="E943" s="50" t="s">
        <v>234</v>
      </c>
      <c r="F943" s="50" t="s">
        <v>223</v>
      </c>
      <c r="G943" s="50" t="s">
        <v>1910</v>
      </c>
      <c r="H943" t="s">
        <v>4076</v>
      </c>
    </row>
    <row r="944" spans="1:8">
      <c r="A944" s="61">
        <v>1869</v>
      </c>
      <c r="B944" s="50" t="s">
        <v>52</v>
      </c>
      <c r="C944" s="50" t="s">
        <v>1313</v>
      </c>
      <c r="D944" s="50" t="s">
        <v>475</v>
      </c>
      <c r="E944" s="50" t="s">
        <v>475</v>
      </c>
      <c r="F944" s="50" t="s">
        <v>223</v>
      </c>
      <c r="G944" s="50" t="s">
        <v>1550</v>
      </c>
      <c r="H944" t="s">
        <v>4077</v>
      </c>
    </row>
    <row r="945" spans="1:8">
      <c r="A945" s="61">
        <v>1870</v>
      </c>
      <c r="B945" s="50" t="s">
        <v>53</v>
      </c>
      <c r="C945" s="50" t="s">
        <v>79</v>
      </c>
      <c r="D945" s="50" t="s">
        <v>1604</v>
      </c>
      <c r="E945" s="50" t="s">
        <v>1604</v>
      </c>
      <c r="F945" s="50" t="s">
        <v>1225</v>
      </c>
      <c r="G945" s="50" t="s">
        <v>548</v>
      </c>
      <c r="H945" t="s">
        <v>4078</v>
      </c>
    </row>
    <row r="946" spans="1:8">
      <c r="A946" s="61">
        <v>1871</v>
      </c>
      <c r="B946" s="50" t="s">
        <v>54</v>
      </c>
      <c r="C946" s="50" t="s">
        <v>777</v>
      </c>
      <c r="D946" s="50" t="s">
        <v>1317</v>
      </c>
      <c r="E946" s="50" t="s">
        <v>1317</v>
      </c>
      <c r="F946" s="50" t="s">
        <v>1225</v>
      </c>
      <c r="G946" s="50" t="s">
        <v>2102</v>
      </c>
      <c r="H946" t="s">
        <v>4079</v>
      </c>
    </row>
    <row r="947" spans="1:8">
      <c r="A947" s="61">
        <v>1872</v>
      </c>
      <c r="B947" s="50" t="s">
        <v>412</v>
      </c>
      <c r="C947" s="50" t="s">
        <v>79</v>
      </c>
      <c r="D947" s="50" t="s">
        <v>2325</v>
      </c>
      <c r="E947" s="50" t="s">
        <v>2325</v>
      </c>
      <c r="F947" s="50" t="s">
        <v>223</v>
      </c>
      <c r="G947" s="50" t="s">
        <v>1912</v>
      </c>
      <c r="H947" t="s">
        <v>3132</v>
      </c>
    </row>
    <row r="948" spans="1:8">
      <c r="A948" s="61">
        <v>1874</v>
      </c>
      <c r="B948" s="50" t="s">
        <v>55</v>
      </c>
      <c r="C948" s="50" t="s">
        <v>188</v>
      </c>
      <c r="D948" s="50" t="s">
        <v>1969</v>
      </c>
      <c r="E948" s="50" t="s">
        <v>1969</v>
      </c>
      <c r="F948" s="50" t="s">
        <v>223</v>
      </c>
      <c r="G948" s="50" t="s">
        <v>1917</v>
      </c>
      <c r="H948" t="s">
        <v>3133</v>
      </c>
    </row>
    <row r="949" spans="1:8">
      <c r="A949" s="61">
        <v>1876</v>
      </c>
      <c r="B949" s="50" t="s">
        <v>575</v>
      </c>
      <c r="C949" s="50" t="s">
        <v>72</v>
      </c>
      <c r="D949" s="50" t="s">
        <v>395</v>
      </c>
      <c r="E949" s="50" t="s">
        <v>395</v>
      </c>
      <c r="F949" s="50" t="s">
        <v>223</v>
      </c>
      <c r="G949" s="50" t="s">
        <v>540</v>
      </c>
      <c r="H949" t="s">
        <v>4080</v>
      </c>
    </row>
    <row r="950" spans="1:8">
      <c r="A950" s="61">
        <v>1879</v>
      </c>
      <c r="B950" s="50" t="s">
        <v>228</v>
      </c>
      <c r="C950" s="50" t="s">
        <v>246</v>
      </c>
      <c r="D950" s="50" t="s">
        <v>395</v>
      </c>
      <c r="E950" s="50" t="s">
        <v>395</v>
      </c>
      <c r="F950" s="50" t="s">
        <v>223</v>
      </c>
      <c r="G950" s="50" t="s">
        <v>540</v>
      </c>
      <c r="H950" t="s">
        <v>2140</v>
      </c>
    </row>
    <row r="951" spans="1:8">
      <c r="A951" s="61">
        <v>1881</v>
      </c>
      <c r="B951" s="50" t="s">
        <v>1293</v>
      </c>
      <c r="C951" s="50" t="s">
        <v>638</v>
      </c>
      <c r="D951" s="50" t="s">
        <v>2787</v>
      </c>
      <c r="E951" s="50" t="s">
        <v>2787</v>
      </c>
      <c r="F951" s="50" t="s">
        <v>223</v>
      </c>
      <c r="G951" s="50" t="s">
        <v>1555</v>
      </c>
      <c r="H951" t="s">
        <v>3345</v>
      </c>
    </row>
    <row r="952" spans="1:8">
      <c r="A952" s="61">
        <v>1882</v>
      </c>
      <c r="B952" s="50" t="s">
        <v>56</v>
      </c>
      <c r="C952" s="50" t="s">
        <v>261</v>
      </c>
      <c r="D952" s="50" t="s">
        <v>452</v>
      </c>
      <c r="E952" s="50" t="s">
        <v>452</v>
      </c>
      <c r="F952" s="50" t="s">
        <v>223</v>
      </c>
      <c r="G952" s="50" t="s">
        <v>346</v>
      </c>
      <c r="H952" t="s">
        <v>4081</v>
      </c>
    </row>
    <row r="953" spans="1:8">
      <c r="A953" s="61">
        <v>1883</v>
      </c>
      <c r="B953" s="50" t="s">
        <v>57</v>
      </c>
      <c r="C953" s="50" t="s">
        <v>782</v>
      </c>
      <c r="D953" s="50" t="s">
        <v>2069</v>
      </c>
      <c r="E953" s="50" t="s">
        <v>2069</v>
      </c>
      <c r="F953" s="50" t="s">
        <v>223</v>
      </c>
      <c r="G953" s="50" t="s">
        <v>528</v>
      </c>
      <c r="H953" t="s">
        <v>4082</v>
      </c>
    </row>
    <row r="954" spans="1:8">
      <c r="A954" s="61">
        <v>1884</v>
      </c>
      <c r="B954" s="50" t="s">
        <v>58</v>
      </c>
      <c r="C954" s="50" t="s">
        <v>1197</v>
      </c>
      <c r="D954" s="50" t="s">
        <v>178</v>
      </c>
      <c r="E954" s="50" t="s">
        <v>178</v>
      </c>
      <c r="F954" s="50" t="s">
        <v>223</v>
      </c>
      <c r="G954" s="50" t="s">
        <v>1556</v>
      </c>
      <c r="H954" t="s">
        <v>4083</v>
      </c>
    </row>
    <row r="955" spans="1:8">
      <c r="A955" s="61">
        <v>1885</v>
      </c>
      <c r="B955" s="50" t="s">
        <v>148</v>
      </c>
      <c r="C955" s="50" t="s">
        <v>738</v>
      </c>
      <c r="D955" s="50" t="s">
        <v>1262</v>
      </c>
      <c r="E955" s="50" t="s">
        <v>1262</v>
      </c>
      <c r="F955" s="50" t="s">
        <v>223</v>
      </c>
      <c r="G955" s="50" t="s">
        <v>1383</v>
      </c>
      <c r="H955" t="s">
        <v>4084</v>
      </c>
    </row>
    <row r="956" spans="1:8">
      <c r="A956" s="61">
        <v>1890</v>
      </c>
      <c r="B956" s="50" t="s">
        <v>842</v>
      </c>
      <c r="C956" s="50" t="s">
        <v>966</v>
      </c>
      <c r="D956" s="50" t="s">
        <v>1971</v>
      </c>
      <c r="E956" s="50" t="s">
        <v>1971</v>
      </c>
      <c r="F956" s="50" t="s">
        <v>1225</v>
      </c>
      <c r="G956" s="50" t="s">
        <v>2181</v>
      </c>
      <c r="H956" t="s">
        <v>4085</v>
      </c>
    </row>
    <row r="957" spans="1:8">
      <c r="A957" s="61">
        <v>1893</v>
      </c>
      <c r="B957" s="50" t="s">
        <v>891</v>
      </c>
      <c r="C957" s="50" t="s">
        <v>637</v>
      </c>
      <c r="D957" s="50" t="s">
        <v>512</v>
      </c>
      <c r="E957" s="50" t="s">
        <v>512</v>
      </c>
      <c r="F957" s="50" t="s">
        <v>223</v>
      </c>
      <c r="G957" s="50" t="s">
        <v>1574</v>
      </c>
      <c r="H957" t="s">
        <v>4086</v>
      </c>
    </row>
    <row r="958" spans="1:8">
      <c r="A958" s="61">
        <v>1898</v>
      </c>
      <c r="B958" s="50" t="s">
        <v>892</v>
      </c>
      <c r="C958" s="50" t="s">
        <v>261</v>
      </c>
      <c r="D958" s="50" t="s">
        <v>2087</v>
      </c>
      <c r="E958" s="50" t="s">
        <v>2087</v>
      </c>
      <c r="F958" s="50" t="s">
        <v>223</v>
      </c>
      <c r="G958" s="50" t="s">
        <v>2112</v>
      </c>
      <c r="H958" t="s">
        <v>4087</v>
      </c>
    </row>
    <row r="959" spans="1:8">
      <c r="A959" s="61">
        <v>1899</v>
      </c>
      <c r="B959" s="50" t="s">
        <v>136</v>
      </c>
      <c r="C959" s="50" t="s">
        <v>1197</v>
      </c>
      <c r="D959" s="50" t="s">
        <v>1262</v>
      </c>
      <c r="E959" s="50" t="s">
        <v>1262</v>
      </c>
      <c r="F959" s="50" t="s">
        <v>223</v>
      </c>
      <c r="G959" s="50" t="s">
        <v>1383</v>
      </c>
      <c r="H959" t="s">
        <v>2097</v>
      </c>
    </row>
    <row r="960" spans="1:8">
      <c r="A960" s="61">
        <v>1900</v>
      </c>
      <c r="B960" s="50" t="s">
        <v>893</v>
      </c>
      <c r="C960" s="50" t="s">
        <v>336</v>
      </c>
      <c r="D960" s="50" t="s">
        <v>1480</v>
      </c>
      <c r="E960" s="50" t="s">
        <v>1480</v>
      </c>
      <c r="F960" s="50" t="s">
        <v>1224</v>
      </c>
      <c r="G960" s="50" t="s">
        <v>2181</v>
      </c>
      <c r="H960" t="s">
        <v>4088</v>
      </c>
    </row>
    <row r="961" spans="1:8">
      <c r="A961" s="61">
        <v>1901</v>
      </c>
      <c r="B961" s="50" t="s">
        <v>894</v>
      </c>
      <c r="C961" s="50" t="s">
        <v>962</v>
      </c>
      <c r="D961" s="50" t="s">
        <v>1325</v>
      </c>
      <c r="E961" s="50" t="s">
        <v>1325</v>
      </c>
      <c r="F961" s="50" t="s">
        <v>223</v>
      </c>
      <c r="G961" s="50" t="s">
        <v>2159</v>
      </c>
      <c r="H961" t="s">
        <v>4089</v>
      </c>
    </row>
    <row r="962" spans="1:8">
      <c r="A962" s="61">
        <v>1902</v>
      </c>
      <c r="B962" s="50" t="s">
        <v>895</v>
      </c>
      <c r="C962" s="50" t="s">
        <v>780</v>
      </c>
      <c r="D962" s="50" t="s">
        <v>220</v>
      </c>
      <c r="E962" s="50" t="s">
        <v>220</v>
      </c>
      <c r="F962" s="50" t="s">
        <v>223</v>
      </c>
      <c r="G962" s="50" t="s">
        <v>1887</v>
      </c>
      <c r="H962" t="s">
        <v>4090</v>
      </c>
    </row>
    <row r="963" spans="1:8">
      <c r="A963" s="61">
        <v>1904</v>
      </c>
      <c r="B963" s="50" t="s">
        <v>896</v>
      </c>
      <c r="C963" s="50" t="s">
        <v>964</v>
      </c>
      <c r="D963" s="50" t="s">
        <v>2703</v>
      </c>
      <c r="E963" s="50" t="s">
        <v>2703</v>
      </c>
      <c r="F963" s="50" t="s">
        <v>2287</v>
      </c>
      <c r="G963" s="50" t="s">
        <v>1936</v>
      </c>
      <c r="H963" t="s">
        <v>3134</v>
      </c>
    </row>
    <row r="964" spans="1:8">
      <c r="A964" s="61">
        <v>1907</v>
      </c>
      <c r="B964" s="50" t="s">
        <v>897</v>
      </c>
      <c r="C964" s="50" t="s">
        <v>1311</v>
      </c>
      <c r="D964" s="50" t="s">
        <v>2738</v>
      </c>
      <c r="E964" s="50" t="s">
        <v>2738</v>
      </c>
      <c r="F964" s="50" t="s">
        <v>223</v>
      </c>
      <c r="G964" s="50" t="s">
        <v>1567</v>
      </c>
      <c r="H964" t="s">
        <v>1387</v>
      </c>
    </row>
    <row r="965" spans="1:8">
      <c r="A965" s="61">
        <v>1909</v>
      </c>
      <c r="B965" s="50" t="s">
        <v>898</v>
      </c>
      <c r="C965" s="50" t="s">
        <v>1311</v>
      </c>
      <c r="D965" s="50" t="s">
        <v>3063</v>
      </c>
      <c r="E965" s="50" t="s">
        <v>3063</v>
      </c>
      <c r="F965" s="50" t="s">
        <v>1225</v>
      </c>
      <c r="G965" s="50" t="s">
        <v>2544</v>
      </c>
      <c r="H965" t="s">
        <v>343</v>
      </c>
    </row>
    <row r="966" spans="1:8">
      <c r="A966" s="61">
        <v>1910</v>
      </c>
      <c r="B966" s="50" t="s">
        <v>73</v>
      </c>
      <c r="C966" s="50" t="s">
        <v>1157</v>
      </c>
      <c r="D966" s="50" t="s">
        <v>1289</v>
      </c>
      <c r="E966" s="50" t="s">
        <v>1289</v>
      </c>
      <c r="F966" s="50" t="s">
        <v>223</v>
      </c>
      <c r="G966" s="50" t="s">
        <v>1568</v>
      </c>
      <c r="H966" t="s">
        <v>4091</v>
      </c>
    </row>
    <row r="967" spans="1:8">
      <c r="A967" s="61">
        <v>1915</v>
      </c>
      <c r="B967" s="50" t="s">
        <v>2194</v>
      </c>
      <c r="C967" s="50" t="s">
        <v>642</v>
      </c>
      <c r="D967" s="50" t="s">
        <v>2324</v>
      </c>
      <c r="E967" s="50" t="s">
        <v>2324</v>
      </c>
      <c r="F967" s="50" t="s">
        <v>223</v>
      </c>
      <c r="G967" s="50" t="s">
        <v>2326</v>
      </c>
      <c r="H967" t="s">
        <v>4092</v>
      </c>
    </row>
    <row r="968" spans="1:8">
      <c r="A968" s="61">
        <v>1917</v>
      </c>
      <c r="B968" s="50" t="s">
        <v>899</v>
      </c>
      <c r="C968" s="50" t="s">
        <v>964</v>
      </c>
      <c r="D968" s="50" t="s">
        <v>597</v>
      </c>
      <c r="E968" s="50" t="s">
        <v>597</v>
      </c>
      <c r="F968" s="50" t="s">
        <v>223</v>
      </c>
      <c r="G968" s="50" t="s">
        <v>1902</v>
      </c>
      <c r="H968" t="s">
        <v>4093</v>
      </c>
    </row>
    <row r="969" spans="1:8">
      <c r="A969" s="61">
        <v>1918</v>
      </c>
      <c r="B969" s="50" t="s">
        <v>900</v>
      </c>
      <c r="C969" s="50" t="s">
        <v>79</v>
      </c>
      <c r="D969" s="50" t="s">
        <v>2072</v>
      </c>
      <c r="E969" s="50" t="s">
        <v>2072</v>
      </c>
      <c r="F969" s="50" t="s">
        <v>223</v>
      </c>
      <c r="G969" s="50" t="s">
        <v>1398</v>
      </c>
      <c r="H969" t="s">
        <v>4094</v>
      </c>
    </row>
    <row r="970" spans="1:8">
      <c r="A970" s="61">
        <v>1921</v>
      </c>
      <c r="B970" s="50" t="s">
        <v>901</v>
      </c>
      <c r="C970" s="50" t="s">
        <v>446</v>
      </c>
      <c r="D970" s="50" t="s">
        <v>435</v>
      </c>
      <c r="E970" s="50" t="s">
        <v>435</v>
      </c>
      <c r="F970" s="50" t="s">
        <v>451</v>
      </c>
      <c r="G970" s="50" t="s">
        <v>4171</v>
      </c>
      <c r="H970" t="s">
        <v>4095</v>
      </c>
    </row>
    <row r="971" spans="1:8">
      <c r="A971" s="61">
        <v>1923</v>
      </c>
      <c r="B971" s="50" t="s">
        <v>902</v>
      </c>
      <c r="C971" s="50" t="s">
        <v>640</v>
      </c>
      <c r="D971" s="50" t="s">
        <v>2450</v>
      </c>
      <c r="E971" s="50" t="s">
        <v>2450</v>
      </c>
      <c r="F971" s="50" t="s">
        <v>223</v>
      </c>
      <c r="G971" s="50" t="s">
        <v>1582</v>
      </c>
      <c r="H971" t="s">
        <v>4096</v>
      </c>
    </row>
    <row r="972" spans="1:8">
      <c r="A972" s="61">
        <v>1925</v>
      </c>
      <c r="B972" s="50" t="s">
        <v>903</v>
      </c>
      <c r="C972" s="50" t="s">
        <v>638</v>
      </c>
      <c r="D972" s="50" t="s">
        <v>2130</v>
      </c>
      <c r="E972" s="50" t="s">
        <v>2130</v>
      </c>
      <c r="F972" s="50" t="s">
        <v>2287</v>
      </c>
      <c r="G972" s="50" t="s">
        <v>1922</v>
      </c>
      <c r="H972" t="s">
        <v>3135</v>
      </c>
    </row>
    <row r="973" spans="1:8">
      <c r="A973" s="61">
        <v>1927</v>
      </c>
      <c r="B973" s="50" t="s">
        <v>1939</v>
      </c>
      <c r="C973" s="50" t="s">
        <v>378</v>
      </c>
      <c r="D973" s="50" t="s">
        <v>595</v>
      </c>
      <c r="E973" s="50" t="s">
        <v>595</v>
      </c>
      <c r="F973" s="50" t="s">
        <v>1339</v>
      </c>
      <c r="G973" s="50" t="s">
        <v>1906</v>
      </c>
      <c r="H973" t="s">
        <v>4097</v>
      </c>
    </row>
    <row r="974" spans="1:8">
      <c r="A974" s="61">
        <v>1929</v>
      </c>
      <c r="B974" s="50" t="s">
        <v>904</v>
      </c>
      <c r="C974" s="50" t="s">
        <v>638</v>
      </c>
      <c r="D974" s="50" t="s">
        <v>1350</v>
      </c>
      <c r="E974" s="50" t="s">
        <v>1350</v>
      </c>
      <c r="F974" s="50" t="s">
        <v>451</v>
      </c>
      <c r="G974" s="50" t="s">
        <v>1378</v>
      </c>
      <c r="H974" t="s">
        <v>1865</v>
      </c>
    </row>
    <row r="975" spans="1:8">
      <c r="A975" s="61">
        <v>1931</v>
      </c>
      <c r="B975" s="50" t="s">
        <v>495</v>
      </c>
      <c r="C975" s="50" t="s">
        <v>199</v>
      </c>
      <c r="D975" s="50" t="s">
        <v>452</v>
      </c>
      <c r="E975" s="50" t="s">
        <v>452</v>
      </c>
      <c r="F975" s="50" t="s">
        <v>223</v>
      </c>
      <c r="G975" s="50" t="s">
        <v>346</v>
      </c>
      <c r="H975" t="s">
        <v>2330</v>
      </c>
    </row>
    <row r="976" spans="1:8">
      <c r="A976" s="61">
        <v>1939</v>
      </c>
      <c r="B976" s="50" t="s">
        <v>905</v>
      </c>
      <c r="C976" s="50" t="s">
        <v>79</v>
      </c>
      <c r="D976" s="50" t="s">
        <v>1452</v>
      </c>
      <c r="E976" s="50" t="s">
        <v>1452</v>
      </c>
      <c r="F976" s="50" t="s">
        <v>1339</v>
      </c>
      <c r="G976" s="50" t="s">
        <v>3514</v>
      </c>
      <c r="H976" t="s">
        <v>4098</v>
      </c>
    </row>
    <row r="977" spans="1:8">
      <c r="A977" s="61">
        <v>1940</v>
      </c>
      <c r="B977" s="50" t="s">
        <v>906</v>
      </c>
      <c r="C977" s="50" t="s">
        <v>79</v>
      </c>
      <c r="D977" s="50" t="s">
        <v>1962</v>
      </c>
      <c r="E977" s="50" t="s">
        <v>1962</v>
      </c>
      <c r="F977" s="50" t="s">
        <v>2037</v>
      </c>
      <c r="G977" s="50" t="s">
        <v>1560</v>
      </c>
      <c r="H977" t="s">
        <v>4099</v>
      </c>
    </row>
    <row r="978" spans="1:8">
      <c r="A978" s="61">
        <v>1943</v>
      </c>
      <c r="B978" s="50" t="s">
        <v>150</v>
      </c>
      <c r="C978" s="50" t="s">
        <v>638</v>
      </c>
      <c r="D978" s="50" t="s">
        <v>809</v>
      </c>
      <c r="E978" s="50" t="s">
        <v>809</v>
      </c>
      <c r="F978" s="50" t="s">
        <v>390</v>
      </c>
      <c r="G978" s="50" t="s">
        <v>2773</v>
      </c>
      <c r="H978" t="s">
        <v>4100</v>
      </c>
    </row>
    <row r="979" spans="1:8">
      <c r="A979" s="61">
        <v>1944</v>
      </c>
      <c r="B979" s="50" t="s">
        <v>1104</v>
      </c>
      <c r="C979" s="50" t="s">
        <v>188</v>
      </c>
      <c r="D979" s="50" t="s">
        <v>685</v>
      </c>
      <c r="E979" s="50" t="s">
        <v>685</v>
      </c>
      <c r="F979" s="50" t="s">
        <v>223</v>
      </c>
      <c r="G979" s="50" t="s">
        <v>1559</v>
      </c>
      <c r="H979" t="s">
        <v>2111</v>
      </c>
    </row>
    <row r="980" spans="1:8">
      <c r="A980" s="61">
        <v>1947</v>
      </c>
      <c r="B980" s="50" t="s">
        <v>907</v>
      </c>
      <c r="C980" s="50" t="s">
        <v>1172</v>
      </c>
      <c r="D980" s="50" t="s">
        <v>2772</v>
      </c>
      <c r="E980" s="50" t="s">
        <v>2772</v>
      </c>
      <c r="F980" s="50" t="s">
        <v>223</v>
      </c>
      <c r="G980" s="50" t="s">
        <v>1390</v>
      </c>
      <c r="H980" t="s">
        <v>3348</v>
      </c>
    </row>
    <row r="981" spans="1:8">
      <c r="A981" s="61">
        <v>1948</v>
      </c>
      <c r="B981" s="50" t="s">
        <v>908</v>
      </c>
      <c r="C981" s="50" t="s">
        <v>638</v>
      </c>
      <c r="D981" s="50" t="s">
        <v>1039</v>
      </c>
      <c r="E981" s="50" t="s">
        <v>1039</v>
      </c>
      <c r="F981" s="50" t="s">
        <v>223</v>
      </c>
      <c r="G981" s="50" t="s">
        <v>1561</v>
      </c>
      <c r="H981" t="s">
        <v>4101</v>
      </c>
    </row>
    <row r="982" spans="1:8">
      <c r="A982" s="61">
        <v>1950</v>
      </c>
      <c r="B982" s="50" t="s">
        <v>909</v>
      </c>
      <c r="C982" s="50" t="s">
        <v>197</v>
      </c>
      <c r="D982" s="50" t="s">
        <v>1090</v>
      </c>
      <c r="E982" s="50" t="s">
        <v>1090</v>
      </c>
      <c r="F982" s="50" t="s">
        <v>223</v>
      </c>
      <c r="G982" s="50" t="s">
        <v>3909</v>
      </c>
      <c r="H982" t="s">
        <v>3136</v>
      </c>
    </row>
    <row r="983" spans="1:8">
      <c r="A983" s="61">
        <v>1952</v>
      </c>
      <c r="B983" s="50" t="s">
        <v>910</v>
      </c>
      <c r="C983" s="50" t="s">
        <v>775</v>
      </c>
      <c r="D983" s="50" t="s">
        <v>1039</v>
      </c>
      <c r="E983" s="50" t="s">
        <v>1039</v>
      </c>
      <c r="F983" s="50" t="s">
        <v>2037</v>
      </c>
      <c r="G983" s="50" t="s">
        <v>1561</v>
      </c>
      <c r="H983" t="s">
        <v>4102</v>
      </c>
    </row>
    <row r="984" spans="1:8">
      <c r="A984" s="61">
        <v>1953</v>
      </c>
      <c r="B984" s="50" t="s">
        <v>911</v>
      </c>
      <c r="C984" s="50" t="s">
        <v>188</v>
      </c>
      <c r="D984" s="50" t="s">
        <v>2324</v>
      </c>
      <c r="E984" s="50" t="s">
        <v>2324</v>
      </c>
      <c r="F984" s="50" t="s">
        <v>1339</v>
      </c>
      <c r="G984" s="32" t="s">
        <v>2326</v>
      </c>
      <c r="H984" t="s">
        <v>4103</v>
      </c>
    </row>
    <row r="985" spans="1:8">
      <c r="A985" s="61">
        <v>1955</v>
      </c>
      <c r="B985" s="50" t="s">
        <v>912</v>
      </c>
      <c r="C985" s="50" t="s">
        <v>336</v>
      </c>
      <c r="D985" s="50" t="s">
        <v>711</v>
      </c>
      <c r="E985" s="50" t="s">
        <v>711</v>
      </c>
      <c r="F985" s="50" t="s">
        <v>1225</v>
      </c>
      <c r="G985" s="50" t="s">
        <v>543</v>
      </c>
      <c r="H985" t="s">
        <v>4104</v>
      </c>
    </row>
    <row r="986" spans="1:8">
      <c r="A986" s="61">
        <v>1961</v>
      </c>
      <c r="B986" s="50" t="s">
        <v>913</v>
      </c>
      <c r="C986" s="50" t="s">
        <v>199</v>
      </c>
      <c r="D986" s="50" t="s">
        <v>1270</v>
      </c>
      <c r="E986" s="50" t="s">
        <v>1270</v>
      </c>
      <c r="F986" s="50" t="s">
        <v>223</v>
      </c>
      <c r="G986" s="50" t="s">
        <v>346</v>
      </c>
      <c r="H986" t="s">
        <v>3404</v>
      </c>
    </row>
    <row r="987" spans="1:8">
      <c r="A987" s="61">
        <v>1962</v>
      </c>
      <c r="B987" s="50" t="s">
        <v>914</v>
      </c>
      <c r="C987" s="50" t="s">
        <v>261</v>
      </c>
      <c r="D987" s="50" t="s">
        <v>595</v>
      </c>
      <c r="E987" s="50" t="s">
        <v>595</v>
      </c>
      <c r="F987" s="50" t="s">
        <v>223</v>
      </c>
      <c r="G987" s="50" t="s">
        <v>1906</v>
      </c>
      <c r="H987" t="s">
        <v>4105</v>
      </c>
    </row>
    <row r="988" spans="1:8">
      <c r="A988" s="61">
        <v>1963</v>
      </c>
      <c r="B988" s="50" t="s">
        <v>871</v>
      </c>
      <c r="C988" s="50" t="s">
        <v>246</v>
      </c>
      <c r="D988" s="50" t="s">
        <v>2073</v>
      </c>
      <c r="E988" s="50" t="s">
        <v>2073</v>
      </c>
      <c r="F988" s="50" t="s">
        <v>223</v>
      </c>
      <c r="G988" s="50" t="s">
        <v>2471</v>
      </c>
      <c r="H988" t="s">
        <v>4106</v>
      </c>
    </row>
    <row r="989" spans="1:8">
      <c r="A989" s="61">
        <v>1968</v>
      </c>
      <c r="B989" s="50" t="s">
        <v>872</v>
      </c>
      <c r="C989" s="50" t="s">
        <v>640</v>
      </c>
      <c r="D989" s="50" t="s">
        <v>1262</v>
      </c>
      <c r="E989" s="50" t="s">
        <v>1262</v>
      </c>
      <c r="F989" s="50" t="s">
        <v>451</v>
      </c>
      <c r="G989" s="50" t="s">
        <v>1383</v>
      </c>
      <c r="H989" t="s">
        <v>4107</v>
      </c>
    </row>
    <row r="990" spans="1:8">
      <c r="A990" s="61">
        <v>1969</v>
      </c>
      <c r="B990" s="50" t="s">
        <v>873</v>
      </c>
      <c r="C990" s="50" t="s">
        <v>1313</v>
      </c>
      <c r="D990" s="50" t="s">
        <v>809</v>
      </c>
      <c r="E990" s="50" t="s">
        <v>809</v>
      </c>
      <c r="F990" s="50" t="s">
        <v>390</v>
      </c>
      <c r="G990" s="50" t="s">
        <v>2773</v>
      </c>
      <c r="H990" t="s">
        <v>4108</v>
      </c>
    </row>
    <row r="991" spans="1:8">
      <c r="A991" s="61">
        <v>1970</v>
      </c>
      <c r="B991" s="50" t="s">
        <v>874</v>
      </c>
      <c r="C991" s="50" t="s">
        <v>199</v>
      </c>
      <c r="D991" s="50" t="s">
        <v>2317</v>
      </c>
      <c r="E991" s="50" t="s">
        <v>2317</v>
      </c>
      <c r="F991" s="50" t="s">
        <v>1225</v>
      </c>
      <c r="G991" s="50" t="s">
        <v>1891</v>
      </c>
      <c r="H991" t="s">
        <v>2187</v>
      </c>
    </row>
    <row r="992" spans="1:8">
      <c r="A992" s="61">
        <v>1972</v>
      </c>
      <c r="B992" s="50" t="s">
        <v>137</v>
      </c>
      <c r="C992" s="50" t="s">
        <v>866</v>
      </c>
      <c r="D992" s="50" t="s">
        <v>2449</v>
      </c>
      <c r="E992" s="50" t="s">
        <v>2449</v>
      </c>
      <c r="F992" s="50" t="s">
        <v>451</v>
      </c>
      <c r="G992" s="50" t="s">
        <v>340</v>
      </c>
      <c r="H992" t="s">
        <v>4109</v>
      </c>
    </row>
    <row r="993" spans="1:8">
      <c r="A993" s="61">
        <v>1973</v>
      </c>
      <c r="B993" s="50" t="s">
        <v>875</v>
      </c>
      <c r="C993" s="50" t="s">
        <v>778</v>
      </c>
      <c r="D993" s="50" t="s">
        <v>517</v>
      </c>
      <c r="E993" s="50" t="s">
        <v>517</v>
      </c>
      <c r="F993" s="50" t="s">
        <v>223</v>
      </c>
      <c r="G993" s="50" t="s">
        <v>3086</v>
      </c>
      <c r="H993" t="s">
        <v>4110</v>
      </c>
    </row>
    <row r="994" spans="1:8">
      <c r="A994" s="61">
        <v>1979</v>
      </c>
      <c r="B994" s="50" t="s">
        <v>876</v>
      </c>
      <c r="C994" s="50" t="s">
        <v>802</v>
      </c>
      <c r="D994" s="50" t="s">
        <v>395</v>
      </c>
      <c r="E994" s="50" t="s">
        <v>395</v>
      </c>
      <c r="F994" s="50" t="s">
        <v>451</v>
      </c>
      <c r="G994" s="50" t="s">
        <v>540</v>
      </c>
      <c r="H994" t="s">
        <v>4111</v>
      </c>
    </row>
    <row r="995" spans="1:8">
      <c r="A995" s="61">
        <v>1980</v>
      </c>
      <c r="B995" s="50" t="s">
        <v>877</v>
      </c>
      <c r="C995" s="50" t="s">
        <v>72</v>
      </c>
      <c r="D995" s="50" t="s">
        <v>1335</v>
      </c>
      <c r="E995" s="50" t="s">
        <v>1335</v>
      </c>
      <c r="F995" s="50" t="s">
        <v>223</v>
      </c>
      <c r="G995" s="50" t="s">
        <v>3114</v>
      </c>
      <c r="H995" t="s">
        <v>4112</v>
      </c>
    </row>
    <row r="996" spans="1:8">
      <c r="A996" s="61">
        <v>1982</v>
      </c>
      <c r="B996" s="50" t="s">
        <v>878</v>
      </c>
      <c r="C996" s="50" t="s">
        <v>635</v>
      </c>
      <c r="D996" s="50" t="s">
        <v>2094</v>
      </c>
      <c r="E996" s="50" t="s">
        <v>2094</v>
      </c>
      <c r="F996" s="50" t="s">
        <v>1224</v>
      </c>
      <c r="G996" s="50" t="s">
        <v>2544</v>
      </c>
      <c r="H996" t="s">
        <v>2183</v>
      </c>
    </row>
    <row r="997" spans="1:8">
      <c r="A997" s="61">
        <v>1984</v>
      </c>
      <c r="B997" s="50" t="s">
        <v>1034</v>
      </c>
      <c r="C997" s="50" t="s">
        <v>1133</v>
      </c>
      <c r="D997" s="50" t="s">
        <v>1223</v>
      </c>
      <c r="E997" s="50" t="s">
        <v>1223</v>
      </c>
      <c r="F997" s="50" t="s">
        <v>223</v>
      </c>
      <c r="G997" s="50" t="s">
        <v>1575</v>
      </c>
      <c r="H997" t="s">
        <v>4113</v>
      </c>
    </row>
    <row r="998" spans="1:8">
      <c r="A998" s="61">
        <v>1986</v>
      </c>
      <c r="B998" s="50" t="s">
        <v>1082</v>
      </c>
      <c r="C998" s="50" t="s">
        <v>778</v>
      </c>
      <c r="D998" s="50" t="s">
        <v>452</v>
      </c>
      <c r="E998" s="50" t="s">
        <v>452</v>
      </c>
      <c r="F998" s="50" t="s">
        <v>223</v>
      </c>
      <c r="G998" s="50" t="s">
        <v>346</v>
      </c>
      <c r="H998" t="s">
        <v>4114</v>
      </c>
    </row>
    <row r="999" spans="1:8">
      <c r="A999" s="61">
        <v>1988</v>
      </c>
      <c r="B999" s="50" t="s">
        <v>1083</v>
      </c>
      <c r="C999" s="50" t="s">
        <v>1313</v>
      </c>
      <c r="D999" s="50" t="s">
        <v>1969</v>
      </c>
      <c r="E999" s="50" t="s">
        <v>1969</v>
      </c>
      <c r="F999" s="50" t="s">
        <v>223</v>
      </c>
      <c r="G999" s="50" t="s">
        <v>1917</v>
      </c>
      <c r="H999" t="s">
        <v>2965</v>
      </c>
    </row>
    <row r="1000" spans="1:8">
      <c r="A1000" s="61">
        <v>1990</v>
      </c>
      <c r="B1000" s="50" t="s">
        <v>1130</v>
      </c>
      <c r="C1000" s="50" t="s">
        <v>1197</v>
      </c>
      <c r="D1000" s="50" t="s">
        <v>177</v>
      </c>
      <c r="E1000" s="50" t="s">
        <v>177</v>
      </c>
      <c r="F1000" s="50" t="s">
        <v>223</v>
      </c>
      <c r="G1000" s="50" t="s">
        <v>1543</v>
      </c>
      <c r="H1000" t="s">
        <v>4115</v>
      </c>
    </row>
    <row r="1001" spans="1:8">
      <c r="A1001" s="61">
        <v>1991</v>
      </c>
      <c r="B1001" s="50" t="s">
        <v>221</v>
      </c>
      <c r="C1001" s="50" t="s">
        <v>1311</v>
      </c>
      <c r="D1001" s="50" t="s">
        <v>1483</v>
      </c>
      <c r="E1001" s="50" t="s">
        <v>1483</v>
      </c>
      <c r="F1001" s="50" t="s">
        <v>1339</v>
      </c>
      <c r="G1001" s="50" t="s">
        <v>2406</v>
      </c>
      <c r="H1001" t="s">
        <v>4116</v>
      </c>
    </row>
    <row r="1002" spans="1:8">
      <c r="A1002" s="61">
        <v>1993</v>
      </c>
      <c r="B1002" s="50" t="s">
        <v>1417</v>
      </c>
      <c r="C1002" s="50" t="s">
        <v>638</v>
      </c>
      <c r="D1002" s="50" t="s">
        <v>2675</v>
      </c>
      <c r="E1002" s="50" t="s">
        <v>2675</v>
      </c>
      <c r="F1002" s="50" t="s">
        <v>1339</v>
      </c>
      <c r="G1002" s="50" t="s">
        <v>339</v>
      </c>
      <c r="H1002" t="s">
        <v>2845</v>
      </c>
    </row>
    <row r="1003" spans="1:8">
      <c r="A1003" s="61">
        <v>1994</v>
      </c>
      <c r="B1003" s="50" t="s">
        <v>46</v>
      </c>
      <c r="C1003" s="50" t="s">
        <v>72</v>
      </c>
      <c r="D1003" s="50" t="s">
        <v>2483</v>
      </c>
      <c r="E1003" s="50" t="s">
        <v>2483</v>
      </c>
      <c r="F1003" s="50" t="s">
        <v>1224</v>
      </c>
      <c r="G1003" s="50" t="s">
        <v>543</v>
      </c>
      <c r="H1003" t="s">
        <v>4117</v>
      </c>
    </row>
    <row r="1004" spans="1:8">
      <c r="A1004" s="61">
        <v>1996</v>
      </c>
      <c r="B1004" s="50" t="s">
        <v>222</v>
      </c>
      <c r="C1004" s="50" t="s">
        <v>1311</v>
      </c>
      <c r="D1004" s="50" t="s">
        <v>2450</v>
      </c>
      <c r="E1004" s="50" t="s">
        <v>2450</v>
      </c>
      <c r="F1004" s="50" t="s">
        <v>223</v>
      </c>
      <c r="G1004" s="50" t="s">
        <v>1582</v>
      </c>
      <c r="H1004" t="s">
        <v>4118</v>
      </c>
    </row>
    <row r="1005" spans="1:8">
      <c r="A1005" s="61">
        <v>1998</v>
      </c>
      <c r="B1005" s="50" t="s">
        <v>804</v>
      </c>
      <c r="C1005" s="50" t="s">
        <v>246</v>
      </c>
      <c r="D1005" s="50" t="s">
        <v>1264</v>
      </c>
      <c r="E1005" s="50" t="s">
        <v>1264</v>
      </c>
      <c r="F1005" s="50" t="s">
        <v>223</v>
      </c>
      <c r="G1005" s="50" t="s">
        <v>3105</v>
      </c>
      <c r="H1005" t="s">
        <v>3368</v>
      </c>
    </row>
    <row r="1006" spans="1:8">
      <c r="A1006" s="61">
        <v>1999</v>
      </c>
      <c r="B1006" s="50" t="s">
        <v>805</v>
      </c>
      <c r="C1006" s="50" t="s">
        <v>640</v>
      </c>
      <c r="D1006" s="50" t="s">
        <v>684</v>
      </c>
      <c r="E1006" s="50" t="s">
        <v>684</v>
      </c>
      <c r="F1006" s="50" t="s">
        <v>223</v>
      </c>
      <c r="G1006" s="50" t="s">
        <v>541</v>
      </c>
      <c r="H1006" t="s">
        <v>2827</v>
      </c>
    </row>
    <row r="1007" spans="1:8">
      <c r="A1007" s="61">
        <v>2001</v>
      </c>
      <c r="B1007" s="50" t="s">
        <v>806</v>
      </c>
      <c r="C1007" s="50" t="s">
        <v>635</v>
      </c>
      <c r="D1007" s="50" t="s">
        <v>2450</v>
      </c>
      <c r="E1007" s="50" t="s">
        <v>2450</v>
      </c>
      <c r="F1007" s="50" t="s">
        <v>223</v>
      </c>
      <c r="G1007" s="50" t="s">
        <v>1582</v>
      </c>
      <c r="H1007" t="s">
        <v>4119</v>
      </c>
    </row>
    <row r="1008" spans="1:8">
      <c r="A1008" s="61">
        <v>2004</v>
      </c>
      <c r="B1008" s="50" t="s">
        <v>2114</v>
      </c>
      <c r="C1008" s="50" t="s">
        <v>807</v>
      </c>
      <c r="D1008" s="50" t="s">
        <v>595</v>
      </c>
      <c r="E1008" s="50" t="s">
        <v>595</v>
      </c>
      <c r="F1008" s="50" t="s">
        <v>223</v>
      </c>
      <c r="G1008" s="50" t="s">
        <v>1906</v>
      </c>
      <c r="H1008" t="s">
        <v>4120</v>
      </c>
    </row>
    <row r="1009" spans="1:8">
      <c r="A1009" s="61">
        <v>2007</v>
      </c>
      <c r="B1009" s="50" t="s">
        <v>137</v>
      </c>
      <c r="C1009" s="50" t="s">
        <v>201</v>
      </c>
      <c r="D1009" s="50" t="s">
        <v>2675</v>
      </c>
      <c r="E1009" s="50" t="s">
        <v>2675</v>
      </c>
      <c r="F1009" s="50" t="s">
        <v>223</v>
      </c>
      <c r="G1009" s="50" t="s">
        <v>339</v>
      </c>
      <c r="H1009" t="s">
        <v>3137</v>
      </c>
    </row>
    <row r="1010" spans="1:8">
      <c r="A1010" s="61">
        <v>2009</v>
      </c>
      <c r="B1010" s="50" t="s">
        <v>692</v>
      </c>
      <c r="C1010" s="50" t="s">
        <v>194</v>
      </c>
      <c r="D1010" s="50" t="s">
        <v>219</v>
      </c>
      <c r="E1010" s="50" t="s">
        <v>219</v>
      </c>
      <c r="F1010" s="50" t="s">
        <v>1322</v>
      </c>
      <c r="G1010" s="50" t="s">
        <v>1889</v>
      </c>
      <c r="H1010" t="s">
        <v>2581</v>
      </c>
    </row>
    <row r="1011" spans="1:8">
      <c r="A1011" s="61">
        <v>2014</v>
      </c>
      <c r="B1011" s="50" t="s">
        <v>693</v>
      </c>
      <c r="C1011" s="50" t="s">
        <v>802</v>
      </c>
      <c r="D1011" s="50" t="s">
        <v>2378</v>
      </c>
      <c r="E1011" s="50" t="s">
        <v>2378</v>
      </c>
      <c r="F1011" s="50" t="s">
        <v>223</v>
      </c>
      <c r="G1011" s="32" t="s">
        <v>544</v>
      </c>
      <c r="H1011" t="s">
        <v>2875</v>
      </c>
    </row>
    <row r="1012" spans="1:8">
      <c r="A1012" s="61">
        <v>2016</v>
      </c>
      <c r="B1012" s="50" t="s">
        <v>694</v>
      </c>
      <c r="C1012" s="50" t="s">
        <v>1197</v>
      </c>
      <c r="D1012" s="50" t="s">
        <v>2449</v>
      </c>
      <c r="E1012" s="50" t="s">
        <v>2449</v>
      </c>
      <c r="F1012" s="50" t="s">
        <v>223</v>
      </c>
      <c r="G1012" s="50" t="s">
        <v>340</v>
      </c>
      <c r="H1012" t="s">
        <v>4121</v>
      </c>
    </row>
    <row r="1013" spans="1:8">
      <c r="A1013" s="61">
        <v>2019</v>
      </c>
      <c r="B1013" s="50" t="s">
        <v>695</v>
      </c>
      <c r="C1013" s="50" t="s">
        <v>642</v>
      </c>
      <c r="D1013" s="50" t="s">
        <v>844</v>
      </c>
      <c r="E1013" s="50" t="s">
        <v>844</v>
      </c>
      <c r="F1013" s="50" t="s">
        <v>223</v>
      </c>
      <c r="G1013" s="50" t="s">
        <v>1903</v>
      </c>
      <c r="H1013" t="s">
        <v>2952</v>
      </c>
    </row>
    <row r="1014" spans="1:8">
      <c r="A1014" s="61">
        <v>2020</v>
      </c>
      <c r="B1014" s="50" t="s">
        <v>696</v>
      </c>
      <c r="C1014" s="50" t="s">
        <v>640</v>
      </c>
      <c r="D1014" s="50" t="s">
        <v>432</v>
      </c>
      <c r="E1014" s="50" t="s">
        <v>432</v>
      </c>
      <c r="F1014" s="50" t="s">
        <v>2037</v>
      </c>
      <c r="G1014" s="50" t="s">
        <v>3580</v>
      </c>
      <c r="H1014" t="s">
        <v>4122</v>
      </c>
    </row>
    <row r="1015" spans="1:8">
      <c r="A1015" s="61">
        <v>2021</v>
      </c>
      <c r="B1015" s="50" t="s">
        <v>1060</v>
      </c>
      <c r="C1015" s="50" t="s">
        <v>638</v>
      </c>
      <c r="D1015" s="50" t="s">
        <v>2161</v>
      </c>
      <c r="E1015" s="50" t="s">
        <v>2161</v>
      </c>
      <c r="F1015" s="50" t="s">
        <v>451</v>
      </c>
      <c r="G1015" s="50" t="s">
        <v>1913</v>
      </c>
      <c r="H1015" t="s">
        <v>2479</v>
      </c>
    </row>
    <row r="1016" spans="1:8">
      <c r="A1016" s="61">
        <v>2023</v>
      </c>
      <c r="B1016" s="50" t="s">
        <v>697</v>
      </c>
      <c r="C1016" s="50" t="s">
        <v>79</v>
      </c>
      <c r="D1016" s="50" t="s">
        <v>515</v>
      </c>
      <c r="E1016" s="50" t="s">
        <v>515</v>
      </c>
      <c r="F1016" s="50" t="s">
        <v>223</v>
      </c>
      <c r="G1016" s="50" t="s">
        <v>1574</v>
      </c>
      <c r="H1016" t="s">
        <v>4123</v>
      </c>
    </row>
    <row r="1017" spans="1:8">
      <c r="A1017" s="61">
        <v>2027</v>
      </c>
      <c r="B1017" s="50" t="s">
        <v>698</v>
      </c>
      <c r="C1017" s="50" t="s">
        <v>261</v>
      </c>
      <c r="D1017" s="50" t="s">
        <v>2073</v>
      </c>
      <c r="E1017" s="50" t="s">
        <v>2073</v>
      </c>
      <c r="F1017" s="50" t="s">
        <v>451</v>
      </c>
      <c r="G1017" s="50" t="s">
        <v>2471</v>
      </c>
      <c r="H1017" t="s">
        <v>4124</v>
      </c>
    </row>
    <row r="1018" spans="1:8">
      <c r="A1018" s="61">
        <v>2029</v>
      </c>
      <c r="B1018" s="50" t="s">
        <v>1298</v>
      </c>
      <c r="C1018" s="50" t="s">
        <v>699</v>
      </c>
      <c r="D1018" s="50" t="s">
        <v>2377</v>
      </c>
      <c r="E1018" s="50" t="s">
        <v>2377</v>
      </c>
      <c r="F1018" s="50" t="s">
        <v>223</v>
      </c>
      <c r="G1018" s="50" t="s">
        <v>1395</v>
      </c>
      <c r="H1018" t="s">
        <v>3138</v>
      </c>
    </row>
    <row r="1019" spans="1:8">
      <c r="A1019" s="61">
        <v>2030</v>
      </c>
      <c r="B1019" s="50" t="s">
        <v>335</v>
      </c>
      <c r="C1019" s="50" t="s">
        <v>79</v>
      </c>
      <c r="D1019" s="50" t="s">
        <v>318</v>
      </c>
      <c r="E1019" s="50" t="s">
        <v>318</v>
      </c>
      <c r="F1019" s="50" t="s">
        <v>223</v>
      </c>
      <c r="G1019" s="50" t="s">
        <v>2806</v>
      </c>
      <c r="H1019" t="s">
        <v>4125</v>
      </c>
    </row>
    <row r="1020" spans="1:8">
      <c r="A1020" s="61">
        <v>2032</v>
      </c>
      <c r="B1020" s="50" t="s">
        <v>700</v>
      </c>
      <c r="C1020" s="50" t="s">
        <v>778</v>
      </c>
      <c r="D1020" s="50" t="s">
        <v>2686</v>
      </c>
      <c r="E1020" s="50" t="s">
        <v>2686</v>
      </c>
      <c r="F1020" s="50" t="s">
        <v>223</v>
      </c>
      <c r="G1020" s="50" t="s">
        <v>529</v>
      </c>
      <c r="H1020" t="s">
        <v>3039</v>
      </c>
    </row>
    <row r="1021" spans="1:8">
      <c r="A1021" s="61">
        <v>2034</v>
      </c>
      <c r="B1021" s="50" t="s">
        <v>701</v>
      </c>
      <c r="C1021" s="50" t="s">
        <v>778</v>
      </c>
      <c r="D1021" s="50" t="s">
        <v>452</v>
      </c>
      <c r="E1021" s="50" t="s">
        <v>452</v>
      </c>
      <c r="F1021" s="50" t="s">
        <v>223</v>
      </c>
      <c r="G1021" s="50" t="s">
        <v>346</v>
      </c>
      <c r="H1021" t="s">
        <v>3370</v>
      </c>
    </row>
    <row r="1022" spans="1:8">
      <c r="A1022" s="61">
        <v>2036</v>
      </c>
      <c r="B1022" s="50" t="s">
        <v>702</v>
      </c>
      <c r="C1022" s="50" t="s">
        <v>640</v>
      </c>
      <c r="D1022" s="50" t="s">
        <v>845</v>
      </c>
      <c r="E1022" s="50" t="s">
        <v>845</v>
      </c>
      <c r="F1022" s="50" t="s">
        <v>223</v>
      </c>
      <c r="G1022" s="50" t="s">
        <v>3114</v>
      </c>
      <c r="H1022" t="s">
        <v>4126</v>
      </c>
    </row>
    <row r="1023" spans="1:8">
      <c r="A1023" s="61">
        <v>2038</v>
      </c>
      <c r="B1023" s="50" t="s">
        <v>703</v>
      </c>
      <c r="C1023" s="50" t="s">
        <v>246</v>
      </c>
      <c r="D1023" s="50" t="s">
        <v>771</v>
      </c>
      <c r="E1023" s="50" t="s">
        <v>771</v>
      </c>
      <c r="F1023" s="50" t="s">
        <v>1339</v>
      </c>
      <c r="G1023" s="50" t="s">
        <v>1379</v>
      </c>
      <c r="H1023" t="s">
        <v>4127</v>
      </c>
    </row>
    <row r="1024" spans="1:8">
      <c r="A1024" s="61">
        <v>2039</v>
      </c>
      <c r="B1024" s="50" t="s">
        <v>704</v>
      </c>
      <c r="C1024" s="50" t="s">
        <v>1133</v>
      </c>
      <c r="D1024" s="50" t="s">
        <v>1264</v>
      </c>
      <c r="E1024" s="50" t="s">
        <v>1264</v>
      </c>
      <c r="F1024" s="50" t="s">
        <v>223</v>
      </c>
      <c r="G1024" s="50" t="s">
        <v>3105</v>
      </c>
      <c r="H1024" t="s">
        <v>4128</v>
      </c>
    </row>
    <row r="1025" spans="1:8">
      <c r="A1025" s="61">
        <v>2042</v>
      </c>
      <c r="B1025" s="50" t="s">
        <v>705</v>
      </c>
      <c r="C1025" s="50" t="s">
        <v>190</v>
      </c>
      <c r="D1025" s="50" t="s">
        <v>2473</v>
      </c>
      <c r="E1025" s="50" t="s">
        <v>2473</v>
      </c>
      <c r="F1025" s="50" t="s">
        <v>223</v>
      </c>
      <c r="G1025" s="50" t="s">
        <v>2158</v>
      </c>
      <c r="H1025" t="s">
        <v>4129</v>
      </c>
    </row>
    <row r="1026" spans="1:8">
      <c r="A1026" s="61">
        <v>2043</v>
      </c>
      <c r="B1026" s="50" t="s">
        <v>576</v>
      </c>
      <c r="C1026" s="50" t="s">
        <v>261</v>
      </c>
      <c r="D1026" s="50" t="s">
        <v>2473</v>
      </c>
      <c r="E1026" s="50" t="s">
        <v>2473</v>
      </c>
      <c r="F1026" s="50" t="s">
        <v>223</v>
      </c>
      <c r="G1026" s="50" t="s">
        <v>2158</v>
      </c>
      <c r="H1026" t="s">
        <v>4130</v>
      </c>
    </row>
    <row r="1027" spans="1:8">
      <c r="A1027" s="61">
        <v>2045</v>
      </c>
      <c r="B1027" s="50" t="s">
        <v>1940</v>
      </c>
      <c r="C1027" s="50" t="s">
        <v>1197</v>
      </c>
      <c r="D1027" s="50" t="s">
        <v>2779</v>
      </c>
      <c r="E1027" s="50" t="s">
        <v>2779</v>
      </c>
      <c r="F1027" s="50" t="s">
        <v>392</v>
      </c>
      <c r="G1027" s="50" t="s">
        <v>1941</v>
      </c>
      <c r="H1027" t="s">
        <v>4131</v>
      </c>
    </row>
    <row r="1028" spans="1:8">
      <c r="A1028" s="61">
        <v>2047</v>
      </c>
      <c r="B1028" s="50" t="s">
        <v>781</v>
      </c>
      <c r="C1028" s="50" t="s">
        <v>640</v>
      </c>
      <c r="D1028" s="50" t="s">
        <v>507</v>
      </c>
      <c r="E1028" s="50" t="s">
        <v>507</v>
      </c>
      <c r="F1028" s="50" t="s">
        <v>1339</v>
      </c>
      <c r="G1028" s="50" t="s">
        <v>1910</v>
      </c>
      <c r="H1028" t="s">
        <v>4132</v>
      </c>
    </row>
    <row r="1029" spans="1:8">
      <c r="A1029" s="61">
        <v>2049</v>
      </c>
      <c r="B1029" s="50" t="s">
        <v>706</v>
      </c>
      <c r="C1029" s="50" t="s">
        <v>246</v>
      </c>
      <c r="D1029" s="50" t="s">
        <v>2378</v>
      </c>
      <c r="E1029" s="50" t="s">
        <v>2378</v>
      </c>
      <c r="F1029" s="50" t="s">
        <v>223</v>
      </c>
      <c r="G1029" s="50" t="s">
        <v>544</v>
      </c>
      <c r="H1029" t="s">
        <v>4133</v>
      </c>
    </row>
    <row r="1030" spans="1:8">
      <c r="A1030" s="61">
        <v>2050</v>
      </c>
      <c r="B1030" s="50" t="s">
        <v>707</v>
      </c>
      <c r="C1030" s="50" t="s">
        <v>635</v>
      </c>
      <c r="D1030" s="50" t="s">
        <v>1971</v>
      </c>
      <c r="E1030" s="50" t="s">
        <v>1971</v>
      </c>
      <c r="F1030" s="50" t="s">
        <v>1224</v>
      </c>
      <c r="G1030" s="50" t="s">
        <v>2181</v>
      </c>
      <c r="H1030" t="s">
        <v>4134</v>
      </c>
    </row>
    <row r="1031" spans="1:8">
      <c r="A1031" s="61">
        <v>2052</v>
      </c>
      <c r="B1031" s="50" t="s">
        <v>556</v>
      </c>
      <c r="C1031" s="50" t="s">
        <v>708</v>
      </c>
      <c r="D1031" s="50" t="s">
        <v>2331</v>
      </c>
      <c r="E1031" s="50" t="s">
        <v>2331</v>
      </c>
      <c r="F1031" s="50" t="s">
        <v>223</v>
      </c>
      <c r="G1031" s="50" t="s">
        <v>1913</v>
      </c>
      <c r="H1031" t="s">
        <v>4135</v>
      </c>
    </row>
    <row r="1032" spans="1:8">
      <c r="A1032" s="61">
        <v>2053</v>
      </c>
      <c r="B1032" s="50" t="s">
        <v>709</v>
      </c>
      <c r="C1032" s="50" t="s">
        <v>793</v>
      </c>
      <c r="D1032" s="50" t="s">
        <v>2448</v>
      </c>
      <c r="E1032" s="50" t="s">
        <v>2448</v>
      </c>
      <c r="F1032" s="50" t="s">
        <v>223</v>
      </c>
      <c r="G1032" s="50" t="s">
        <v>1907</v>
      </c>
      <c r="H1032" t="s">
        <v>2811</v>
      </c>
    </row>
    <row r="1033" spans="1:8">
      <c r="A1033" s="61">
        <v>2055</v>
      </c>
      <c r="B1033" s="50" t="s">
        <v>710</v>
      </c>
      <c r="C1033" s="50" t="s">
        <v>553</v>
      </c>
      <c r="D1033" s="50" t="s">
        <v>2069</v>
      </c>
      <c r="E1033" s="50" t="s">
        <v>2069</v>
      </c>
      <c r="F1033" s="50" t="s">
        <v>223</v>
      </c>
      <c r="G1033" s="50" t="s">
        <v>528</v>
      </c>
      <c r="H1033" t="s">
        <v>2280</v>
      </c>
    </row>
    <row r="1034" spans="1:8">
      <c r="A1034" s="61">
        <v>2057</v>
      </c>
      <c r="B1034" s="50" t="s">
        <v>471</v>
      </c>
      <c r="C1034" s="50" t="s">
        <v>79</v>
      </c>
      <c r="D1034" s="50" t="s">
        <v>2378</v>
      </c>
      <c r="E1034" s="50" t="s">
        <v>2378</v>
      </c>
      <c r="F1034" s="50" t="s">
        <v>223</v>
      </c>
      <c r="G1034" s="50" t="s">
        <v>544</v>
      </c>
      <c r="H1034" t="s">
        <v>4136</v>
      </c>
    </row>
    <row r="1035" spans="1:8">
      <c r="A1035" s="61">
        <v>2060</v>
      </c>
      <c r="B1035" s="50" t="s">
        <v>841</v>
      </c>
      <c r="C1035" s="50" t="s">
        <v>246</v>
      </c>
      <c r="D1035" s="50" t="s">
        <v>1063</v>
      </c>
      <c r="E1035" s="50" t="s">
        <v>1063</v>
      </c>
      <c r="F1035" s="50" t="s">
        <v>223</v>
      </c>
      <c r="G1035" s="50" t="s">
        <v>1551</v>
      </c>
      <c r="H1035" t="s">
        <v>4137</v>
      </c>
    </row>
    <row r="1036" spans="1:8">
      <c r="A1036" s="61">
        <v>2061</v>
      </c>
      <c r="B1036" s="50" t="s">
        <v>1029</v>
      </c>
      <c r="C1036" s="50" t="s">
        <v>326</v>
      </c>
      <c r="D1036" s="50" t="s">
        <v>178</v>
      </c>
      <c r="E1036" s="50" t="s">
        <v>178</v>
      </c>
      <c r="F1036" s="50" t="s">
        <v>451</v>
      </c>
      <c r="G1036" s="50" t="s">
        <v>1556</v>
      </c>
      <c r="H1036" t="s">
        <v>4138</v>
      </c>
    </row>
    <row r="1037" spans="1:8">
      <c r="A1037" s="61">
        <v>2063</v>
      </c>
      <c r="B1037" s="50" t="s">
        <v>1206</v>
      </c>
      <c r="C1037" s="50" t="s">
        <v>1345</v>
      </c>
      <c r="D1037" s="50" t="s">
        <v>2944</v>
      </c>
      <c r="E1037" s="50" t="s">
        <v>2944</v>
      </c>
      <c r="F1037" s="50" t="s">
        <v>223</v>
      </c>
      <c r="G1037" s="50" t="s">
        <v>1555</v>
      </c>
      <c r="H1037" t="s">
        <v>3344</v>
      </c>
    </row>
    <row r="1038" spans="1:8">
      <c r="A1038" s="61">
        <v>2064</v>
      </c>
      <c r="B1038" s="50" t="s">
        <v>567</v>
      </c>
      <c r="C1038" s="50" t="s">
        <v>1534</v>
      </c>
      <c r="D1038" s="50" t="s">
        <v>2448</v>
      </c>
      <c r="E1038" s="50" t="s">
        <v>2448</v>
      </c>
      <c r="F1038" s="50" t="s">
        <v>451</v>
      </c>
      <c r="G1038" s="50" t="s">
        <v>1907</v>
      </c>
      <c r="H1038" t="s">
        <v>4139</v>
      </c>
    </row>
    <row r="1039" spans="1:8">
      <c r="A1039" s="61">
        <v>2065</v>
      </c>
      <c r="B1039" s="50" t="s">
        <v>1207</v>
      </c>
      <c r="C1039" s="50" t="s">
        <v>1208</v>
      </c>
      <c r="D1039" s="50" t="s">
        <v>2686</v>
      </c>
      <c r="E1039" s="50" t="s">
        <v>2686</v>
      </c>
      <c r="F1039" s="50" t="s">
        <v>223</v>
      </c>
      <c r="G1039" s="50" t="s">
        <v>529</v>
      </c>
      <c r="H1039" t="s">
        <v>3343</v>
      </c>
    </row>
    <row r="1040" spans="1:8">
      <c r="A1040" s="61">
        <v>2066</v>
      </c>
      <c r="B1040" s="50" t="s">
        <v>1209</v>
      </c>
      <c r="C1040" s="50" t="s">
        <v>266</v>
      </c>
      <c r="D1040" s="50" t="s">
        <v>179</v>
      </c>
      <c r="E1040" s="50" t="s">
        <v>179</v>
      </c>
      <c r="F1040" s="50" t="s">
        <v>223</v>
      </c>
      <c r="G1040" s="50" t="s">
        <v>1543</v>
      </c>
      <c r="H1040" t="s">
        <v>4140</v>
      </c>
    </row>
    <row r="1041" spans="1:8">
      <c r="A1041" s="61">
        <v>2067</v>
      </c>
      <c r="B1041" s="50" t="s">
        <v>1210</v>
      </c>
      <c r="C1041" s="50" t="s">
        <v>1211</v>
      </c>
      <c r="D1041" s="50" t="s">
        <v>2979</v>
      </c>
      <c r="E1041" s="50" t="s">
        <v>2979</v>
      </c>
      <c r="F1041" s="50" t="s">
        <v>223</v>
      </c>
      <c r="G1041" s="50" t="s">
        <v>2793</v>
      </c>
      <c r="H1041" t="s">
        <v>3099</v>
      </c>
    </row>
    <row r="1042" spans="1:8">
      <c r="A1042" s="61">
        <v>2068</v>
      </c>
      <c r="B1042" s="50" t="s">
        <v>1212</v>
      </c>
      <c r="C1042" s="50" t="s">
        <v>1534</v>
      </c>
      <c r="D1042" s="50" t="s">
        <v>1991</v>
      </c>
      <c r="E1042" s="50" t="s">
        <v>1991</v>
      </c>
      <c r="F1042" s="50" t="s">
        <v>223</v>
      </c>
      <c r="G1042" s="50" t="s">
        <v>1572</v>
      </c>
      <c r="H1042" t="s">
        <v>2254</v>
      </c>
    </row>
    <row r="1043" spans="1:8">
      <c r="A1043" s="61">
        <v>2069</v>
      </c>
      <c r="B1043" s="50" t="s">
        <v>441</v>
      </c>
      <c r="C1043" s="50" t="s">
        <v>246</v>
      </c>
      <c r="D1043" s="50" t="s">
        <v>2735</v>
      </c>
      <c r="E1043" s="50" t="s">
        <v>2735</v>
      </c>
      <c r="F1043" s="50" t="s">
        <v>223</v>
      </c>
      <c r="G1043" s="50" t="s">
        <v>2488</v>
      </c>
      <c r="H1043" t="s">
        <v>3378</v>
      </c>
    </row>
    <row r="1044" spans="1:8">
      <c r="A1044" s="61">
        <v>2075</v>
      </c>
      <c r="B1044" s="50" t="s">
        <v>1588</v>
      </c>
      <c r="C1044" s="50" t="s">
        <v>477</v>
      </c>
      <c r="D1044" s="50" t="s">
        <v>810</v>
      </c>
      <c r="E1044" s="50" t="s">
        <v>810</v>
      </c>
      <c r="F1044" s="50" t="s">
        <v>1366</v>
      </c>
      <c r="G1044" s="50" t="s">
        <v>3582</v>
      </c>
      <c r="H1044" t="s">
        <v>4141</v>
      </c>
    </row>
    <row r="1045" spans="1:8">
      <c r="A1045" s="61">
        <v>2076</v>
      </c>
      <c r="B1045" s="50" t="s">
        <v>442</v>
      </c>
      <c r="C1045" s="50" t="s">
        <v>246</v>
      </c>
      <c r="D1045" s="50" t="s">
        <v>177</v>
      </c>
      <c r="E1045" s="50" t="s">
        <v>177</v>
      </c>
      <c r="F1045" s="50" t="s">
        <v>223</v>
      </c>
      <c r="G1045" s="50" t="s">
        <v>1543</v>
      </c>
      <c r="H1045" t="s">
        <v>3371</v>
      </c>
    </row>
    <row r="1046" spans="1:8">
      <c r="A1046" s="61">
        <v>2077</v>
      </c>
      <c r="B1046" s="50" t="s">
        <v>443</v>
      </c>
      <c r="C1046" s="50" t="s">
        <v>370</v>
      </c>
      <c r="D1046" s="50" t="s">
        <v>844</v>
      </c>
      <c r="E1046" s="50" t="s">
        <v>844</v>
      </c>
      <c r="F1046" s="50" t="s">
        <v>223</v>
      </c>
      <c r="G1046" s="50" t="s">
        <v>1903</v>
      </c>
      <c r="H1046" t="s">
        <v>2859</v>
      </c>
    </row>
    <row r="1047" spans="1:8">
      <c r="A1047" s="61">
        <v>2078</v>
      </c>
      <c r="B1047" s="50" t="s">
        <v>148</v>
      </c>
      <c r="C1047" s="50" t="s">
        <v>638</v>
      </c>
      <c r="D1047" s="50" t="s">
        <v>515</v>
      </c>
      <c r="E1047" s="50" t="s">
        <v>515</v>
      </c>
      <c r="F1047" s="50" t="s">
        <v>223</v>
      </c>
      <c r="G1047" s="50" t="s">
        <v>1574</v>
      </c>
      <c r="H1047" t="s">
        <v>4142</v>
      </c>
    </row>
    <row r="1048" spans="1:8">
      <c r="A1048" s="61">
        <v>2080</v>
      </c>
      <c r="B1048" s="50" t="s">
        <v>583</v>
      </c>
      <c r="C1048" s="50" t="s">
        <v>584</v>
      </c>
      <c r="D1048" s="50" t="s">
        <v>808</v>
      </c>
      <c r="E1048" s="50" t="s">
        <v>808</v>
      </c>
      <c r="F1048" s="50" t="s">
        <v>389</v>
      </c>
      <c r="G1048" s="50" t="s">
        <v>1580</v>
      </c>
      <c r="H1048" t="s">
        <v>4143</v>
      </c>
    </row>
    <row r="1049" spans="1:8">
      <c r="A1049" s="61">
        <v>2082</v>
      </c>
      <c r="B1049" s="50" t="s">
        <v>585</v>
      </c>
      <c r="C1049" s="50" t="s">
        <v>642</v>
      </c>
      <c r="D1049" s="50" t="s">
        <v>772</v>
      </c>
      <c r="E1049" s="50" t="s">
        <v>772</v>
      </c>
      <c r="F1049" s="50" t="s">
        <v>223</v>
      </c>
      <c r="G1049" s="50" t="s">
        <v>1389</v>
      </c>
      <c r="H1049" t="s">
        <v>3139</v>
      </c>
    </row>
    <row r="1050" spans="1:8">
      <c r="A1050" s="61">
        <v>2083</v>
      </c>
      <c r="B1050" s="50" t="s">
        <v>586</v>
      </c>
      <c r="C1050" s="50" t="s">
        <v>194</v>
      </c>
      <c r="D1050" s="50" t="s">
        <v>690</v>
      </c>
      <c r="E1050" s="50" t="s">
        <v>690</v>
      </c>
      <c r="F1050" s="50" t="s">
        <v>1225</v>
      </c>
      <c r="G1050" s="50" t="s">
        <v>1583</v>
      </c>
      <c r="H1050" t="s">
        <v>4144</v>
      </c>
    </row>
    <row r="1051" spans="1:8">
      <c r="A1051" s="61">
        <v>2084</v>
      </c>
      <c r="B1051" s="50" t="s">
        <v>587</v>
      </c>
      <c r="C1051" s="50" t="s">
        <v>261</v>
      </c>
      <c r="D1051" s="50" t="s">
        <v>597</v>
      </c>
      <c r="E1051" s="50" t="s">
        <v>597</v>
      </c>
      <c r="F1051" s="50" t="s">
        <v>223</v>
      </c>
      <c r="G1051" s="50" t="s">
        <v>1902</v>
      </c>
      <c r="H1051" t="s">
        <v>3483</v>
      </c>
    </row>
    <row r="1052" spans="1:8">
      <c r="A1052" s="61">
        <v>2085</v>
      </c>
      <c r="B1052" s="50" t="s">
        <v>588</v>
      </c>
      <c r="C1052" s="50" t="s">
        <v>754</v>
      </c>
      <c r="D1052" s="50" t="s">
        <v>3292</v>
      </c>
      <c r="E1052" s="50" t="s">
        <v>3292</v>
      </c>
      <c r="F1052" s="50" t="s">
        <v>223</v>
      </c>
      <c r="G1052" s="50" t="s">
        <v>1380</v>
      </c>
      <c r="H1052" t="s">
        <v>3350</v>
      </c>
    </row>
    <row r="1053" spans="1:8">
      <c r="A1053" s="61">
        <v>2087</v>
      </c>
      <c r="B1053" s="50" t="s">
        <v>1026</v>
      </c>
      <c r="C1053" s="50" t="s">
        <v>640</v>
      </c>
      <c r="D1053" s="50" t="s">
        <v>437</v>
      </c>
      <c r="E1053" s="50" t="s">
        <v>437</v>
      </c>
      <c r="F1053" s="50" t="s">
        <v>223</v>
      </c>
      <c r="G1053" s="50" t="s">
        <v>342</v>
      </c>
      <c r="H1053" t="s">
        <v>4145</v>
      </c>
    </row>
    <row r="1054" spans="1:8">
      <c r="A1054" s="61">
        <v>2088</v>
      </c>
      <c r="B1054" s="50" t="s">
        <v>589</v>
      </c>
      <c r="C1054" s="50" t="s">
        <v>754</v>
      </c>
      <c r="D1054" s="50" t="s">
        <v>318</v>
      </c>
      <c r="E1054" s="50" t="s">
        <v>318</v>
      </c>
      <c r="F1054" s="50" t="s">
        <v>223</v>
      </c>
      <c r="G1054" s="50" t="s">
        <v>2806</v>
      </c>
      <c r="H1054" t="s">
        <v>4146</v>
      </c>
    </row>
    <row r="1055" spans="1:8">
      <c r="A1055" s="61">
        <v>2090</v>
      </c>
      <c r="B1055" s="50" t="s">
        <v>231</v>
      </c>
      <c r="C1055" s="50" t="s">
        <v>1246</v>
      </c>
      <c r="D1055" s="50" t="s">
        <v>2337</v>
      </c>
      <c r="E1055" s="50" t="s">
        <v>2337</v>
      </c>
      <c r="F1055" s="50" t="s">
        <v>451</v>
      </c>
      <c r="G1055" s="50" t="s">
        <v>2157</v>
      </c>
      <c r="H1055" t="s">
        <v>3390</v>
      </c>
    </row>
    <row r="1056" spans="1:8">
      <c r="A1056" s="61">
        <v>2092</v>
      </c>
      <c r="B1056" s="50" t="s">
        <v>590</v>
      </c>
      <c r="C1056" s="50" t="s">
        <v>79</v>
      </c>
      <c r="D1056" s="50" t="s">
        <v>685</v>
      </c>
      <c r="E1056" s="50" t="s">
        <v>685</v>
      </c>
      <c r="F1056" s="50" t="s">
        <v>223</v>
      </c>
      <c r="G1056" s="50" t="s">
        <v>1559</v>
      </c>
      <c r="H1056" t="s">
        <v>4147</v>
      </c>
    </row>
    <row r="1057" spans="1:8">
      <c r="A1057" s="61">
        <v>2093</v>
      </c>
      <c r="B1057" s="50" t="s">
        <v>591</v>
      </c>
      <c r="C1057" s="50" t="s">
        <v>336</v>
      </c>
      <c r="D1057" s="50" t="s">
        <v>218</v>
      </c>
      <c r="E1057" s="50" t="s">
        <v>218</v>
      </c>
      <c r="F1057" s="50" t="s">
        <v>1224</v>
      </c>
      <c r="G1057" s="50" t="s">
        <v>1879</v>
      </c>
      <c r="H1057" t="s">
        <v>4148</v>
      </c>
    </row>
    <row r="1058" spans="1:8">
      <c r="A1058" s="61">
        <v>2095</v>
      </c>
      <c r="B1058" s="50" t="s">
        <v>1228</v>
      </c>
      <c r="C1058" s="50" t="s">
        <v>263</v>
      </c>
      <c r="D1058" s="50" t="s">
        <v>2686</v>
      </c>
      <c r="E1058" s="50" t="s">
        <v>2686</v>
      </c>
      <c r="F1058" s="50" t="s">
        <v>223</v>
      </c>
      <c r="G1058" s="50" t="s">
        <v>529</v>
      </c>
      <c r="H1058" t="s">
        <v>2820</v>
      </c>
    </row>
    <row r="1059" spans="1:8">
      <c r="A1059" s="61">
        <v>2096</v>
      </c>
      <c r="B1059" s="50" t="s">
        <v>46</v>
      </c>
      <c r="C1059" s="50" t="s">
        <v>778</v>
      </c>
      <c r="D1059" s="50" t="s">
        <v>684</v>
      </c>
      <c r="E1059" s="50" t="s">
        <v>684</v>
      </c>
      <c r="F1059" s="50" t="s">
        <v>1339</v>
      </c>
      <c r="G1059" s="50" t="s">
        <v>541</v>
      </c>
      <c r="H1059" t="s">
        <v>4149</v>
      </c>
    </row>
    <row r="1060" spans="1:8">
      <c r="A1060" s="61">
        <v>2101</v>
      </c>
      <c r="B1060" s="50" t="s">
        <v>1229</v>
      </c>
      <c r="C1060" s="50" t="s">
        <v>553</v>
      </c>
      <c r="D1060" s="50" t="s">
        <v>602</v>
      </c>
      <c r="E1060" s="50" t="s">
        <v>602</v>
      </c>
      <c r="F1060" s="50" t="s">
        <v>451</v>
      </c>
      <c r="G1060" s="50" t="s">
        <v>3588</v>
      </c>
      <c r="H1060" t="s">
        <v>2882</v>
      </c>
    </row>
    <row r="1061" spans="1:8">
      <c r="A1061" s="61">
        <v>2102</v>
      </c>
      <c r="B1061" s="50" t="s">
        <v>1230</v>
      </c>
      <c r="C1061" s="50" t="s">
        <v>635</v>
      </c>
      <c r="D1061" s="50" t="s">
        <v>2086</v>
      </c>
      <c r="E1061" s="50" t="s">
        <v>2086</v>
      </c>
      <c r="F1061" s="50" t="s">
        <v>223</v>
      </c>
      <c r="G1061" s="50" t="s">
        <v>1569</v>
      </c>
      <c r="H1061" t="s">
        <v>4150</v>
      </c>
    </row>
    <row r="1062" spans="1:8">
      <c r="A1062" s="61">
        <v>2104</v>
      </c>
      <c r="B1062" s="50" t="s">
        <v>1231</v>
      </c>
      <c r="C1062" s="50" t="s">
        <v>638</v>
      </c>
      <c r="D1062" s="50" t="s">
        <v>515</v>
      </c>
      <c r="E1062" s="50" t="s">
        <v>515</v>
      </c>
      <c r="F1062" s="50" t="s">
        <v>223</v>
      </c>
      <c r="G1062" s="50" t="s">
        <v>1574</v>
      </c>
      <c r="H1062" t="s">
        <v>4151</v>
      </c>
    </row>
    <row r="1063" spans="1:8">
      <c r="A1063" s="61">
        <v>2105</v>
      </c>
      <c r="B1063" s="50" t="s">
        <v>1232</v>
      </c>
      <c r="C1063" s="50" t="s">
        <v>1233</v>
      </c>
      <c r="D1063" s="50" t="s">
        <v>1264</v>
      </c>
      <c r="E1063" s="50" t="s">
        <v>1264</v>
      </c>
      <c r="F1063" s="50" t="s">
        <v>223</v>
      </c>
      <c r="G1063" s="50" t="s">
        <v>3105</v>
      </c>
      <c r="H1063" t="s">
        <v>4152</v>
      </c>
    </row>
    <row r="1064" spans="1:8">
      <c r="A1064" s="61">
        <v>2107</v>
      </c>
      <c r="B1064" s="50" t="s">
        <v>1419</v>
      </c>
      <c r="C1064" s="50" t="s">
        <v>777</v>
      </c>
      <c r="D1064" s="50" t="s">
        <v>684</v>
      </c>
      <c r="E1064" s="50" t="s">
        <v>684</v>
      </c>
      <c r="F1064" s="50" t="s">
        <v>223</v>
      </c>
      <c r="G1064" s="50" t="s">
        <v>541</v>
      </c>
      <c r="H1064" t="s">
        <v>4153</v>
      </c>
    </row>
    <row r="1065" spans="1:8">
      <c r="A1065" s="61">
        <v>2110</v>
      </c>
      <c r="B1065" s="50" t="s">
        <v>1235</v>
      </c>
      <c r="C1065" s="50" t="s">
        <v>246</v>
      </c>
      <c r="D1065" s="50" t="s">
        <v>603</v>
      </c>
      <c r="E1065" s="50" t="s">
        <v>603</v>
      </c>
      <c r="F1065" s="50" t="s">
        <v>1225</v>
      </c>
      <c r="G1065" s="50" t="s">
        <v>548</v>
      </c>
      <c r="H1065" t="s">
        <v>4154</v>
      </c>
    </row>
    <row r="1066" spans="1:8">
      <c r="A1066" s="61">
        <v>2111</v>
      </c>
      <c r="B1066" s="50" t="s">
        <v>469</v>
      </c>
      <c r="C1066" s="50" t="s">
        <v>864</v>
      </c>
      <c r="D1066" s="50" t="s">
        <v>2378</v>
      </c>
      <c r="E1066" s="50" t="s">
        <v>2378</v>
      </c>
      <c r="F1066" s="50" t="s">
        <v>451</v>
      </c>
      <c r="G1066" s="50" t="s">
        <v>544</v>
      </c>
      <c r="H1066" t="s">
        <v>3037</v>
      </c>
    </row>
    <row r="1067" spans="1:8">
      <c r="A1067" s="61">
        <v>2114</v>
      </c>
      <c r="B1067" s="50" t="s">
        <v>1236</v>
      </c>
      <c r="C1067" s="50" t="s">
        <v>1246</v>
      </c>
      <c r="D1067" s="50" t="s">
        <v>602</v>
      </c>
      <c r="E1067" s="50" t="s">
        <v>602</v>
      </c>
      <c r="F1067" s="50" t="s">
        <v>223</v>
      </c>
      <c r="G1067" s="50" t="s">
        <v>3588</v>
      </c>
      <c r="H1067" t="s">
        <v>4155</v>
      </c>
    </row>
    <row r="1068" spans="1:8">
      <c r="A1068" s="61">
        <v>2115</v>
      </c>
      <c r="B1068" s="50" t="s">
        <v>1237</v>
      </c>
      <c r="C1068" s="50" t="s">
        <v>800</v>
      </c>
      <c r="D1068" s="50" t="s">
        <v>596</v>
      </c>
      <c r="E1068" s="50" t="s">
        <v>596</v>
      </c>
      <c r="F1068" s="50" t="s">
        <v>223</v>
      </c>
      <c r="G1068" s="50" t="s">
        <v>2277</v>
      </c>
      <c r="H1068" t="s">
        <v>4156</v>
      </c>
    </row>
    <row r="1069" spans="1:8">
      <c r="A1069" s="61">
        <v>2116</v>
      </c>
      <c r="B1069" s="50" t="s">
        <v>1511</v>
      </c>
      <c r="C1069" s="50" t="s">
        <v>1534</v>
      </c>
      <c r="D1069" s="50" t="s">
        <v>844</v>
      </c>
      <c r="E1069" s="50" t="s">
        <v>844</v>
      </c>
      <c r="F1069" s="50" t="s">
        <v>223</v>
      </c>
      <c r="G1069" s="50" t="s">
        <v>1903</v>
      </c>
      <c r="H1069" t="s">
        <v>4157</v>
      </c>
    </row>
    <row r="1070" spans="1:8">
      <c r="A1070" s="61">
        <v>2118</v>
      </c>
      <c r="B1070" s="50" t="s">
        <v>858</v>
      </c>
      <c r="C1070" s="50" t="s">
        <v>1197</v>
      </c>
      <c r="D1070" s="50" t="s">
        <v>2329</v>
      </c>
      <c r="E1070" s="50" t="s">
        <v>2329</v>
      </c>
      <c r="F1070" s="50" t="s">
        <v>451</v>
      </c>
      <c r="G1070" s="32" t="s">
        <v>2775</v>
      </c>
      <c r="H1070" t="s">
        <v>2986</v>
      </c>
    </row>
    <row r="1071" spans="1:8">
      <c r="A1071" s="61">
        <v>2119</v>
      </c>
      <c r="B1071" s="50" t="s">
        <v>2592</v>
      </c>
      <c r="C1071" s="50" t="s">
        <v>864</v>
      </c>
      <c r="D1071" s="50" t="s">
        <v>3002</v>
      </c>
      <c r="E1071" s="50" t="s">
        <v>3002</v>
      </c>
      <c r="F1071" s="50" t="s">
        <v>451</v>
      </c>
      <c r="G1071" s="50" t="s">
        <v>1881</v>
      </c>
      <c r="H1071" t="s">
        <v>3006</v>
      </c>
    </row>
    <row r="1072" spans="1:8">
      <c r="A1072" s="61">
        <v>2122</v>
      </c>
      <c r="B1072" s="50" t="s">
        <v>2116</v>
      </c>
      <c r="C1072" s="50" t="s">
        <v>370</v>
      </c>
      <c r="D1072" s="50" t="s">
        <v>2069</v>
      </c>
      <c r="E1072" s="50" t="s">
        <v>2069</v>
      </c>
      <c r="F1072" s="50" t="s">
        <v>451</v>
      </c>
      <c r="G1072" s="50" t="s">
        <v>528</v>
      </c>
      <c r="H1072" t="s">
        <v>2853</v>
      </c>
    </row>
    <row r="1073" spans="1:8">
      <c r="A1073" s="61">
        <v>2123</v>
      </c>
      <c r="B1073" s="50" t="s">
        <v>916</v>
      </c>
      <c r="C1073" s="50" t="s">
        <v>242</v>
      </c>
      <c r="D1073" s="50" t="s">
        <v>216</v>
      </c>
      <c r="E1073" s="50" t="s">
        <v>216</v>
      </c>
      <c r="F1073" s="50" t="s">
        <v>1225</v>
      </c>
      <c r="G1073" s="50" t="s">
        <v>1935</v>
      </c>
      <c r="H1073" t="s">
        <v>4158</v>
      </c>
    </row>
    <row r="1074" spans="1:8">
      <c r="A1074" s="61">
        <v>2124</v>
      </c>
      <c r="B1074" s="50" t="s">
        <v>917</v>
      </c>
      <c r="C1074" s="50" t="s">
        <v>72</v>
      </c>
      <c r="D1074" s="50" t="s">
        <v>1338</v>
      </c>
      <c r="E1074" s="50" t="s">
        <v>1338</v>
      </c>
      <c r="F1074" s="50" t="s">
        <v>2516</v>
      </c>
      <c r="G1074" s="50" t="s">
        <v>2103</v>
      </c>
      <c r="H1074" t="s">
        <v>4159</v>
      </c>
    </row>
    <row r="1075" spans="1:8">
      <c r="A1075" s="61">
        <v>2126</v>
      </c>
      <c r="B1075" s="50" t="s">
        <v>2042</v>
      </c>
      <c r="C1075" s="50" t="s">
        <v>446</v>
      </c>
      <c r="D1075" s="50" t="s">
        <v>2783</v>
      </c>
      <c r="E1075" s="50" t="s">
        <v>2783</v>
      </c>
      <c r="F1075" s="50" t="s">
        <v>392</v>
      </c>
      <c r="G1075" s="50" t="s">
        <v>2095</v>
      </c>
      <c r="H1075" t="s">
        <v>4160</v>
      </c>
    </row>
    <row r="1076" spans="1:8">
      <c r="A1076" s="61">
        <v>2128</v>
      </c>
      <c r="B1076" s="50" t="s">
        <v>918</v>
      </c>
      <c r="C1076" s="50" t="s">
        <v>802</v>
      </c>
      <c r="D1076" s="50" t="s">
        <v>1063</v>
      </c>
      <c r="E1076" s="50" t="s">
        <v>1063</v>
      </c>
      <c r="F1076" s="50" t="s">
        <v>223</v>
      </c>
      <c r="G1076" s="50" t="s">
        <v>1551</v>
      </c>
      <c r="H1076" t="s">
        <v>4161</v>
      </c>
    </row>
    <row r="1077" spans="1:8">
      <c r="A1077" s="61">
        <v>2129</v>
      </c>
      <c r="B1077" s="50" t="s">
        <v>2536</v>
      </c>
      <c r="C1077" s="50" t="s">
        <v>1246</v>
      </c>
      <c r="D1077" s="50" t="s">
        <v>608</v>
      </c>
      <c r="E1077" s="50" t="s">
        <v>608</v>
      </c>
      <c r="F1077" s="50" t="s">
        <v>451</v>
      </c>
      <c r="G1077" s="50" t="s">
        <v>1584</v>
      </c>
      <c r="H1077" t="s">
        <v>4162</v>
      </c>
    </row>
    <row r="1078" spans="1:8">
      <c r="A1078" s="61">
        <v>2130</v>
      </c>
      <c r="B1078" s="50" t="s">
        <v>919</v>
      </c>
      <c r="C1078" s="50" t="s">
        <v>1534</v>
      </c>
      <c r="D1078" s="50" t="s">
        <v>597</v>
      </c>
      <c r="E1078" s="50" t="s">
        <v>597</v>
      </c>
      <c r="F1078" s="50" t="s">
        <v>223</v>
      </c>
      <c r="G1078" s="50" t="s">
        <v>1902</v>
      </c>
      <c r="H1078" t="s">
        <v>4163</v>
      </c>
    </row>
    <row r="1079" spans="1:8">
      <c r="A1079" s="61">
        <v>2132</v>
      </c>
      <c r="B1079" s="50" t="s">
        <v>288</v>
      </c>
      <c r="C1079" s="50" t="s">
        <v>642</v>
      </c>
      <c r="D1079" s="50" t="s">
        <v>2325</v>
      </c>
      <c r="E1079" s="50" t="s">
        <v>2325</v>
      </c>
      <c r="F1079" s="50" t="s">
        <v>1339</v>
      </c>
      <c r="G1079" s="32" t="s">
        <v>1912</v>
      </c>
      <c r="H1079" t="s">
        <v>4164</v>
      </c>
    </row>
    <row r="1080" spans="1:8">
      <c r="A1080" s="61">
        <v>2133</v>
      </c>
      <c r="B1080" s="50" t="s">
        <v>920</v>
      </c>
      <c r="C1080" s="50" t="s">
        <v>79</v>
      </c>
      <c r="D1080" s="50" t="s">
        <v>179</v>
      </c>
      <c r="E1080" s="50" t="s">
        <v>179</v>
      </c>
      <c r="F1080" s="50" t="s">
        <v>223</v>
      </c>
      <c r="G1080" s="50" t="s">
        <v>1543</v>
      </c>
      <c r="H1080" t="s">
        <v>4165</v>
      </c>
    </row>
    <row r="1081" spans="1:8">
      <c r="A1081" s="61">
        <v>2135</v>
      </c>
      <c r="B1081" s="50" t="s">
        <v>921</v>
      </c>
      <c r="C1081" s="50" t="s">
        <v>79</v>
      </c>
      <c r="D1081" s="50" t="s">
        <v>1214</v>
      </c>
      <c r="E1081" s="50" t="s">
        <v>1214</v>
      </c>
      <c r="F1081" s="50" t="s">
        <v>223</v>
      </c>
      <c r="G1081" s="50" t="s">
        <v>1379</v>
      </c>
      <c r="H1081" t="s">
        <v>4166</v>
      </c>
    </row>
    <row r="1082" spans="1:8">
      <c r="A1082" s="61">
        <v>2136</v>
      </c>
      <c r="B1082" s="50" t="s">
        <v>922</v>
      </c>
      <c r="C1082" s="50" t="s">
        <v>1414</v>
      </c>
      <c r="D1082" s="50" t="s">
        <v>969</v>
      </c>
      <c r="E1082" s="50" t="s">
        <v>969</v>
      </c>
      <c r="F1082" s="50" t="s">
        <v>1366</v>
      </c>
      <c r="G1082" s="50" t="s">
        <v>2825</v>
      </c>
      <c r="H1082" t="s">
        <v>4167</v>
      </c>
    </row>
    <row r="1083" spans="1:8">
      <c r="A1083" s="61">
        <v>2138</v>
      </c>
      <c r="B1083" s="50" t="s">
        <v>923</v>
      </c>
      <c r="C1083" s="50" t="s">
        <v>802</v>
      </c>
      <c r="D1083" s="50" t="s">
        <v>683</v>
      </c>
      <c r="E1083" s="50" t="s">
        <v>683</v>
      </c>
      <c r="F1083" s="50" t="s">
        <v>1339</v>
      </c>
      <c r="G1083" s="50" t="s">
        <v>1900</v>
      </c>
      <c r="H1083" t="s">
        <v>4168</v>
      </c>
    </row>
    <row r="1084" spans="1:8">
      <c r="A1084" s="61">
        <v>2140</v>
      </c>
      <c r="B1084" s="50" t="s">
        <v>363</v>
      </c>
      <c r="C1084" s="50" t="s">
        <v>778</v>
      </c>
      <c r="D1084" s="50" t="s">
        <v>2086</v>
      </c>
      <c r="E1084" s="50" t="s">
        <v>2086</v>
      </c>
      <c r="F1084" s="50" t="s">
        <v>223</v>
      </c>
      <c r="G1084" s="50" t="s">
        <v>1569</v>
      </c>
      <c r="H1084" t="s">
        <v>4169</v>
      </c>
    </row>
    <row r="1085" spans="1:8">
      <c r="A1085" s="61">
        <v>2141</v>
      </c>
      <c r="B1085" s="50" t="s">
        <v>230</v>
      </c>
      <c r="C1085" s="50" t="s">
        <v>964</v>
      </c>
      <c r="D1085" s="50" t="s">
        <v>2323</v>
      </c>
      <c r="E1085" s="50" t="s">
        <v>2323</v>
      </c>
      <c r="F1085" s="50" t="s">
        <v>2037</v>
      </c>
      <c r="G1085" s="50" t="s">
        <v>1904</v>
      </c>
      <c r="H1085" t="s">
        <v>2395</v>
      </c>
    </row>
    <row r="1086" spans="1:8">
      <c r="A1086" s="61">
        <v>2146</v>
      </c>
      <c r="B1086" s="50" t="s">
        <v>916</v>
      </c>
      <c r="C1086" s="50" t="s">
        <v>864</v>
      </c>
      <c r="D1086" s="50" t="s">
        <v>2448</v>
      </c>
      <c r="E1086" s="50" t="s">
        <v>2448</v>
      </c>
      <c r="F1086" s="50" t="s">
        <v>223</v>
      </c>
      <c r="G1086" s="50" t="s">
        <v>1907</v>
      </c>
      <c r="H1086" t="s">
        <v>4170</v>
      </c>
    </row>
    <row r="1087" spans="1:8">
      <c r="A1087" s="61">
        <v>2150</v>
      </c>
      <c r="B1087" s="50" t="s">
        <v>924</v>
      </c>
      <c r="C1087" s="50" t="s">
        <v>782</v>
      </c>
      <c r="D1087" s="50" t="s">
        <v>685</v>
      </c>
      <c r="E1087" s="50" t="s">
        <v>685</v>
      </c>
      <c r="F1087" s="50" t="s">
        <v>1339</v>
      </c>
      <c r="G1087" s="50" t="s">
        <v>1559</v>
      </c>
      <c r="H1087" t="s">
        <v>2381</v>
      </c>
    </row>
    <row r="1088" spans="1:8">
      <c r="A1088" s="61">
        <v>2152</v>
      </c>
      <c r="B1088" s="50" t="s">
        <v>925</v>
      </c>
      <c r="C1088" s="50" t="s">
        <v>159</v>
      </c>
      <c r="D1088" s="50" t="s">
        <v>435</v>
      </c>
      <c r="E1088" s="50" t="s">
        <v>435</v>
      </c>
      <c r="F1088" s="50" t="s">
        <v>2036</v>
      </c>
      <c r="G1088" s="50" t="s">
        <v>535</v>
      </c>
      <c r="H1088" t="s">
        <v>4171</v>
      </c>
    </row>
    <row r="1089" spans="1:8">
      <c r="A1089" s="61">
        <v>2153</v>
      </c>
      <c r="B1089" s="50" t="s">
        <v>300</v>
      </c>
      <c r="C1089" s="50" t="s">
        <v>1414</v>
      </c>
      <c r="D1089" s="50" t="s">
        <v>2323</v>
      </c>
      <c r="E1089" s="50" t="s">
        <v>2323</v>
      </c>
      <c r="F1089" s="50" t="s">
        <v>223</v>
      </c>
      <c r="G1089" s="50" t="s">
        <v>1904</v>
      </c>
      <c r="H1089" t="s">
        <v>4172</v>
      </c>
    </row>
    <row r="1090" spans="1:8">
      <c r="A1090" s="61">
        <v>2154</v>
      </c>
      <c r="B1090" s="50" t="s">
        <v>926</v>
      </c>
      <c r="C1090" s="50" t="s">
        <v>263</v>
      </c>
      <c r="D1090" s="50" t="s">
        <v>845</v>
      </c>
      <c r="E1090" s="50" t="s">
        <v>845</v>
      </c>
      <c r="F1090" s="50" t="s">
        <v>223</v>
      </c>
      <c r="G1090" s="50" t="s">
        <v>3114</v>
      </c>
      <c r="H1090" t="s">
        <v>4173</v>
      </c>
    </row>
    <row r="1091" spans="1:8">
      <c r="A1091" s="61">
        <v>2156</v>
      </c>
      <c r="B1091" s="50" t="s">
        <v>2195</v>
      </c>
      <c r="C1091" s="50" t="s">
        <v>775</v>
      </c>
      <c r="D1091" s="50" t="s">
        <v>1452</v>
      </c>
      <c r="E1091" s="50" t="s">
        <v>1452</v>
      </c>
      <c r="F1091" s="50" t="s">
        <v>223</v>
      </c>
      <c r="G1091" s="50" t="s">
        <v>3514</v>
      </c>
      <c r="H1091" t="s">
        <v>3140</v>
      </c>
    </row>
    <row r="1092" spans="1:8">
      <c r="A1092" s="61">
        <v>2157</v>
      </c>
      <c r="B1092" s="50" t="s">
        <v>404</v>
      </c>
      <c r="C1092" s="50" t="s">
        <v>640</v>
      </c>
      <c r="D1092" s="50" t="s">
        <v>2824</v>
      </c>
      <c r="E1092" s="50" t="s">
        <v>2824</v>
      </c>
      <c r="F1092" s="50" t="s">
        <v>1339</v>
      </c>
      <c r="G1092" s="50" t="s">
        <v>1893</v>
      </c>
      <c r="H1092" t="s">
        <v>4174</v>
      </c>
    </row>
    <row r="1093" spans="1:8">
      <c r="A1093" s="61">
        <v>2158</v>
      </c>
      <c r="B1093" s="50" t="s">
        <v>730</v>
      </c>
      <c r="C1093" s="50" t="s">
        <v>1099</v>
      </c>
      <c r="D1093" s="50" t="s">
        <v>2091</v>
      </c>
      <c r="E1093" s="50" t="s">
        <v>2091</v>
      </c>
      <c r="F1093" s="50" t="s">
        <v>223</v>
      </c>
      <c r="G1093" s="50" t="s">
        <v>1924</v>
      </c>
      <c r="H1093" t="s">
        <v>4175</v>
      </c>
    </row>
    <row r="1094" spans="1:8">
      <c r="A1094" s="61">
        <v>2161</v>
      </c>
      <c r="B1094" s="50" t="s">
        <v>1994</v>
      </c>
      <c r="C1094" s="50" t="s">
        <v>928</v>
      </c>
      <c r="D1094" s="50" t="s">
        <v>2405</v>
      </c>
      <c r="E1094" s="50" t="s">
        <v>2405</v>
      </c>
      <c r="F1094" s="50" t="s">
        <v>392</v>
      </c>
      <c r="G1094" s="50" t="s">
        <v>1922</v>
      </c>
      <c r="H1094" t="s">
        <v>4176</v>
      </c>
    </row>
    <row r="1095" spans="1:8">
      <c r="A1095" s="61">
        <v>2162</v>
      </c>
      <c r="B1095" s="50" t="s">
        <v>768</v>
      </c>
      <c r="C1095" s="50" t="s">
        <v>302</v>
      </c>
      <c r="D1095" s="50" t="s">
        <v>2377</v>
      </c>
      <c r="E1095" s="50" t="s">
        <v>2377</v>
      </c>
      <c r="F1095" s="50" t="s">
        <v>451</v>
      </c>
      <c r="G1095" s="50" t="s">
        <v>1395</v>
      </c>
      <c r="H1095" t="s">
        <v>2838</v>
      </c>
    </row>
    <row r="1096" spans="1:8">
      <c r="A1096" s="61">
        <v>2165</v>
      </c>
      <c r="B1096" s="50" t="s">
        <v>1183</v>
      </c>
      <c r="C1096" s="50" t="s">
        <v>263</v>
      </c>
      <c r="D1096" s="50" t="s">
        <v>318</v>
      </c>
      <c r="E1096" s="50" t="s">
        <v>318</v>
      </c>
      <c r="F1096" s="50" t="s">
        <v>2037</v>
      </c>
      <c r="G1096" s="50" t="s">
        <v>2806</v>
      </c>
      <c r="H1096" t="s">
        <v>4177</v>
      </c>
    </row>
    <row r="1097" spans="1:8">
      <c r="A1097" s="61">
        <v>2166</v>
      </c>
      <c r="B1097" s="50" t="s">
        <v>468</v>
      </c>
      <c r="C1097" s="50" t="s">
        <v>1246</v>
      </c>
      <c r="D1097" s="50" t="s">
        <v>1289</v>
      </c>
      <c r="E1097" s="50" t="s">
        <v>1289</v>
      </c>
      <c r="F1097" s="50" t="s">
        <v>223</v>
      </c>
      <c r="G1097" s="50" t="s">
        <v>1568</v>
      </c>
      <c r="H1097" t="s">
        <v>2476</v>
      </c>
    </row>
    <row r="1098" spans="1:8">
      <c r="A1098" s="61">
        <v>2168</v>
      </c>
      <c r="B1098" s="50" t="s">
        <v>1184</v>
      </c>
      <c r="C1098" s="50" t="s">
        <v>263</v>
      </c>
      <c r="D1098" s="50" t="s">
        <v>503</v>
      </c>
      <c r="E1098" s="50" t="s">
        <v>503</v>
      </c>
      <c r="F1098" s="50" t="s">
        <v>451</v>
      </c>
      <c r="G1098" s="50" t="s">
        <v>1565</v>
      </c>
      <c r="H1098" t="s">
        <v>4178</v>
      </c>
    </row>
    <row r="1099" spans="1:8">
      <c r="A1099" s="61">
        <v>2171</v>
      </c>
      <c r="B1099" s="50" t="s">
        <v>2289</v>
      </c>
      <c r="C1099" s="50" t="s">
        <v>864</v>
      </c>
      <c r="D1099" s="50" t="s">
        <v>5</v>
      </c>
      <c r="E1099" s="50" t="s">
        <v>5</v>
      </c>
      <c r="F1099" s="50" t="s">
        <v>1366</v>
      </c>
      <c r="G1099" s="50" t="s">
        <v>2778</v>
      </c>
      <c r="H1099" t="s">
        <v>4179</v>
      </c>
    </row>
    <row r="1100" spans="1:8">
      <c r="A1100" s="61">
        <v>2174</v>
      </c>
      <c r="B1100" s="50" t="s">
        <v>1185</v>
      </c>
      <c r="C1100" s="50" t="s">
        <v>778</v>
      </c>
      <c r="D1100" s="50" t="s">
        <v>2776</v>
      </c>
      <c r="E1100" s="50" t="s">
        <v>2776</v>
      </c>
      <c r="F1100" s="50" t="s">
        <v>960</v>
      </c>
      <c r="G1100" s="50" t="s">
        <v>1878</v>
      </c>
      <c r="H1100" t="s">
        <v>1941</v>
      </c>
    </row>
    <row r="1101" spans="1:8">
      <c r="A1101" s="61">
        <v>2177</v>
      </c>
      <c r="B1101" s="50" t="s">
        <v>1186</v>
      </c>
      <c r="C1101" s="50" t="s">
        <v>1116</v>
      </c>
      <c r="D1101" s="50" t="s">
        <v>2108</v>
      </c>
      <c r="E1101" s="50" t="s">
        <v>2108</v>
      </c>
      <c r="F1101" s="50" t="s">
        <v>686</v>
      </c>
      <c r="G1101" s="50" t="s">
        <v>1932</v>
      </c>
      <c r="H1101" t="s">
        <v>3141</v>
      </c>
    </row>
    <row r="1102" spans="1:8">
      <c r="A1102" s="61">
        <v>2179</v>
      </c>
      <c r="B1102" s="50" t="s">
        <v>2290</v>
      </c>
      <c r="C1102" s="50" t="s">
        <v>1234</v>
      </c>
      <c r="D1102" s="50" t="s">
        <v>2323</v>
      </c>
      <c r="E1102" s="50" t="s">
        <v>2323</v>
      </c>
      <c r="F1102" s="50" t="s">
        <v>223</v>
      </c>
      <c r="G1102" s="50" t="s">
        <v>1904</v>
      </c>
      <c r="H1102" t="s">
        <v>2829</v>
      </c>
    </row>
    <row r="1103" spans="1:8">
      <c r="A1103" s="61">
        <v>2180</v>
      </c>
      <c r="B1103" s="50" t="s">
        <v>1187</v>
      </c>
      <c r="C1103" s="50" t="s">
        <v>1099</v>
      </c>
      <c r="D1103" s="50" t="s">
        <v>3000</v>
      </c>
      <c r="E1103" s="50" t="s">
        <v>3000</v>
      </c>
      <c r="F1103" s="50" t="s">
        <v>2037</v>
      </c>
      <c r="G1103" s="50" t="s">
        <v>1390</v>
      </c>
      <c r="H1103" t="s">
        <v>3509</v>
      </c>
    </row>
    <row r="1104" spans="1:8">
      <c r="A1104" s="61">
        <v>2183</v>
      </c>
      <c r="B1104" s="50" t="s">
        <v>1188</v>
      </c>
      <c r="C1104" s="50" t="s">
        <v>321</v>
      </c>
      <c r="D1104" s="50" t="s">
        <v>2337</v>
      </c>
      <c r="E1104" s="50" t="s">
        <v>2337</v>
      </c>
      <c r="F1104" s="50" t="s">
        <v>451</v>
      </c>
      <c r="G1104" s="50" t="s">
        <v>2157</v>
      </c>
      <c r="H1104" t="s">
        <v>3142</v>
      </c>
    </row>
    <row r="1105" spans="1:8">
      <c r="A1105" s="61">
        <v>2184</v>
      </c>
      <c r="B1105" s="50" t="s">
        <v>322</v>
      </c>
      <c r="C1105" s="50" t="s">
        <v>1172</v>
      </c>
      <c r="D1105" s="50" t="s">
        <v>2668</v>
      </c>
      <c r="E1105" s="50" t="s">
        <v>2668</v>
      </c>
      <c r="F1105" s="50" t="s">
        <v>1225</v>
      </c>
      <c r="G1105" s="50" t="s">
        <v>1918</v>
      </c>
      <c r="H1105" t="s">
        <v>350</v>
      </c>
    </row>
    <row r="1106" spans="1:8">
      <c r="A1106" s="61">
        <v>2185</v>
      </c>
      <c r="B1106" s="50" t="s">
        <v>323</v>
      </c>
      <c r="C1106" s="50" t="s">
        <v>617</v>
      </c>
      <c r="D1106" s="50" t="s">
        <v>1270</v>
      </c>
      <c r="E1106" s="50" t="s">
        <v>1270</v>
      </c>
      <c r="F1106" s="50" t="s">
        <v>2037</v>
      </c>
      <c r="G1106" s="50" t="s">
        <v>346</v>
      </c>
      <c r="H1106" t="s">
        <v>4180</v>
      </c>
    </row>
    <row r="1107" spans="1:8">
      <c r="A1107" s="61">
        <v>2189</v>
      </c>
      <c r="B1107" s="50" t="s">
        <v>324</v>
      </c>
      <c r="C1107" s="50" t="s">
        <v>194</v>
      </c>
      <c r="D1107" s="50" t="s">
        <v>504</v>
      </c>
      <c r="E1107" s="50" t="s">
        <v>504</v>
      </c>
      <c r="F1107" s="50" t="s">
        <v>223</v>
      </c>
      <c r="G1107" s="50" t="s">
        <v>4171</v>
      </c>
      <c r="H1107" t="s">
        <v>4181</v>
      </c>
    </row>
    <row r="1108" spans="1:8">
      <c r="A1108" s="61">
        <v>2190</v>
      </c>
      <c r="B1108" s="50" t="s">
        <v>325</v>
      </c>
      <c r="C1108" s="50" t="s">
        <v>190</v>
      </c>
      <c r="D1108" s="50" t="s">
        <v>1223</v>
      </c>
      <c r="E1108" s="50" t="s">
        <v>1223</v>
      </c>
      <c r="F1108" s="50" t="s">
        <v>223</v>
      </c>
      <c r="G1108" s="50" t="s">
        <v>1575</v>
      </c>
      <c r="H1108" t="s">
        <v>3050</v>
      </c>
    </row>
    <row r="1109" spans="1:8">
      <c r="A1109" s="61">
        <v>2193</v>
      </c>
      <c r="B1109" s="50" t="s">
        <v>384</v>
      </c>
      <c r="C1109" s="50" t="s">
        <v>864</v>
      </c>
      <c r="D1109" s="50" t="s">
        <v>2073</v>
      </c>
      <c r="E1109" s="50" t="s">
        <v>2073</v>
      </c>
      <c r="F1109" s="50" t="s">
        <v>223</v>
      </c>
      <c r="G1109" s="50" t="s">
        <v>2471</v>
      </c>
      <c r="H1109" t="s">
        <v>4182</v>
      </c>
    </row>
    <row r="1110" spans="1:8">
      <c r="A1110" s="61">
        <v>2196</v>
      </c>
      <c r="B1110" s="50" t="s">
        <v>385</v>
      </c>
      <c r="C1110" s="50" t="s">
        <v>336</v>
      </c>
      <c r="D1110" s="50" t="s">
        <v>2686</v>
      </c>
      <c r="E1110" s="50" t="s">
        <v>2686</v>
      </c>
      <c r="F1110" s="50" t="s">
        <v>223</v>
      </c>
      <c r="G1110" s="50" t="s">
        <v>529</v>
      </c>
      <c r="H1110" t="s">
        <v>2384</v>
      </c>
    </row>
    <row r="1111" spans="1:8">
      <c r="A1111" s="61">
        <v>2199</v>
      </c>
      <c r="B1111" s="50" t="s">
        <v>630</v>
      </c>
      <c r="C1111" s="50" t="s">
        <v>1240</v>
      </c>
      <c r="D1111" s="50" t="s">
        <v>2999</v>
      </c>
      <c r="E1111" s="50" t="s">
        <v>2999</v>
      </c>
      <c r="F1111" s="50" t="s">
        <v>451</v>
      </c>
      <c r="G1111" s="50" t="s">
        <v>1390</v>
      </c>
      <c r="H1111" t="s">
        <v>3356</v>
      </c>
    </row>
    <row r="1112" spans="1:8">
      <c r="A1112" s="61">
        <v>2200</v>
      </c>
      <c r="B1112" s="50" t="s">
        <v>386</v>
      </c>
      <c r="C1112" s="50" t="s">
        <v>286</v>
      </c>
      <c r="D1112" s="50" t="s">
        <v>2337</v>
      </c>
      <c r="E1112" s="50" t="s">
        <v>2337</v>
      </c>
      <c r="F1112" s="50" t="s">
        <v>451</v>
      </c>
      <c r="G1112" s="50" t="s">
        <v>2157</v>
      </c>
      <c r="H1112" t="s">
        <v>3358</v>
      </c>
    </row>
    <row r="1113" spans="1:8">
      <c r="A1113" s="61">
        <v>2202</v>
      </c>
      <c r="B1113" s="50" t="s">
        <v>387</v>
      </c>
      <c r="C1113" s="50" t="s">
        <v>553</v>
      </c>
      <c r="D1113" s="50" t="s">
        <v>2686</v>
      </c>
      <c r="E1113" s="50" t="s">
        <v>2686</v>
      </c>
      <c r="F1113" s="50" t="s">
        <v>451</v>
      </c>
      <c r="G1113" s="50" t="s">
        <v>529</v>
      </c>
      <c r="H1113" t="s">
        <v>1942</v>
      </c>
    </row>
    <row r="1114" spans="1:8">
      <c r="A1114" s="61">
        <v>2207</v>
      </c>
      <c r="B1114" s="50" t="s">
        <v>3304</v>
      </c>
      <c r="C1114" s="50" t="s">
        <v>864</v>
      </c>
      <c r="D1114" s="50" t="s">
        <v>2797</v>
      </c>
      <c r="E1114" s="50" t="s">
        <v>2797</v>
      </c>
      <c r="F1114" s="50" t="s">
        <v>223</v>
      </c>
      <c r="G1114" s="50" t="s">
        <v>1881</v>
      </c>
      <c r="H1114" t="s">
        <v>4183</v>
      </c>
    </row>
    <row r="1115" spans="1:8">
      <c r="A1115" s="61">
        <v>2211</v>
      </c>
      <c r="B1115" s="50" t="s">
        <v>388</v>
      </c>
      <c r="C1115" s="50" t="s">
        <v>1233</v>
      </c>
      <c r="D1115" s="50" t="s">
        <v>2323</v>
      </c>
      <c r="E1115" s="50" t="s">
        <v>2323</v>
      </c>
      <c r="F1115" s="50" t="s">
        <v>223</v>
      </c>
      <c r="G1115" s="50" t="s">
        <v>1904</v>
      </c>
      <c r="H1115" t="s">
        <v>4184</v>
      </c>
    </row>
    <row r="1116" spans="1:8">
      <c r="A1116" s="61">
        <v>2212</v>
      </c>
      <c r="B1116" s="50" t="s">
        <v>986</v>
      </c>
      <c r="C1116" s="50" t="s">
        <v>477</v>
      </c>
      <c r="D1116" s="50" t="s">
        <v>449</v>
      </c>
      <c r="E1116" s="50" t="s">
        <v>449</v>
      </c>
      <c r="F1116" s="50" t="s">
        <v>223</v>
      </c>
      <c r="G1116" s="50" t="s">
        <v>1899</v>
      </c>
      <c r="H1116" t="s">
        <v>1372</v>
      </c>
    </row>
    <row r="1117" spans="1:8">
      <c r="A1117" s="61">
        <v>2213</v>
      </c>
      <c r="B1117" s="50" t="s">
        <v>76</v>
      </c>
      <c r="C1117" s="50" t="s">
        <v>425</v>
      </c>
      <c r="D1117" s="50" t="s">
        <v>1201</v>
      </c>
      <c r="E1117" s="50" t="s">
        <v>1201</v>
      </c>
      <c r="F1117" s="50" t="s">
        <v>223</v>
      </c>
      <c r="G1117" s="50" t="s">
        <v>1568</v>
      </c>
      <c r="H1117" t="s">
        <v>2273</v>
      </c>
    </row>
    <row r="1118" spans="1:8">
      <c r="A1118" s="61">
        <v>2219</v>
      </c>
      <c r="B1118" s="50" t="s">
        <v>1217</v>
      </c>
      <c r="C1118" s="50" t="s">
        <v>640</v>
      </c>
      <c r="D1118" s="50" t="s">
        <v>475</v>
      </c>
      <c r="E1118" s="50" t="s">
        <v>475</v>
      </c>
      <c r="F1118" s="50" t="s">
        <v>223</v>
      </c>
      <c r="G1118" s="50" t="s">
        <v>1550</v>
      </c>
      <c r="H1118" t="s">
        <v>4185</v>
      </c>
    </row>
    <row r="1119" spans="1:8">
      <c r="A1119" s="61">
        <v>2223</v>
      </c>
      <c r="B1119" s="50" t="s">
        <v>1218</v>
      </c>
      <c r="C1119" s="50" t="s">
        <v>79</v>
      </c>
      <c r="D1119" s="50" t="s">
        <v>2377</v>
      </c>
      <c r="E1119" s="50" t="s">
        <v>2377</v>
      </c>
      <c r="F1119" s="50" t="s">
        <v>2037</v>
      </c>
      <c r="G1119" s="50" t="s">
        <v>1395</v>
      </c>
      <c r="H1119" t="s">
        <v>3143</v>
      </c>
    </row>
    <row r="1120" spans="1:8">
      <c r="A1120" s="61">
        <v>2224</v>
      </c>
      <c r="B1120" s="50" t="s">
        <v>1219</v>
      </c>
      <c r="C1120" s="50" t="s">
        <v>370</v>
      </c>
      <c r="D1120" s="50" t="s">
        <v>2378</v>
      </c>
      <c r="E1120" s="50" t="s">
        <v>2378</v>
      </c>
      <c r="F1120" s="50" t="s">
        <v>451</v>
      </c>
      <c r="G1120" s="50" t="s">
        <v>544</v>
      </c>
      <c r="H1120" t="s">
        <v>3385</v>
      </c>
    </row>
    <row r="1121" spans="1:8">
      <c r="A1121" s="61">
        <v>2226</v>
      </c>
      <c r="B1121" s="50" t="s">
        <v>1220</v>
      </c>
      <c r="C1121" s="50" t="s">
        <v>964</v>
      </c>
      <c r="D1121" s="50" t="s">
        <v>844</v>
      </c>
      <c r="E1121" s="50" t="s">
        <v>844</v>
      </c>
      <c r="F1121" s="50" t="s">
        <v>223</v>
      </c>
      <c r="G1121" s="50" t="s">
        <v>1903</v>
      </c>
      <c r="H1121" t="s">
        <v>2954</v>
      </c>
    </row>
    <row r="1122" spans="1:8">
      <c r="A1122" s="61">
        <v>2230</v>
      </c>
      <c r="B1122" s="50" t="s">
        <v>105</v>
      </c>
      <c r="C1122" s="50" t="s">
        <v>79</v>
      </c>
      <c r="D1122" s="50" t="s">
        <v>2944</v>
      </c>
      <c r="E1122" s="50" t="s">
        <v>2944</v>
      </c>
      <c r="F1122" s="50" t="s">
        <v>223</v>
      </c>
      <c r="G1122" s="50" t="s">
        <v>1555</v>
      </c>
      <c r="H1122" t="s">
        <v>3352</v>
      </c>
    </row>
    <row r="1123" spans="1:8">
      <c r="A1123" s="61">
        <v>2232</v>
      </c>
      <c r="B1123" s="50" t="s">
        <v>1471</v>
      </c>
      <c r="C1123" s="50" t="s">
        <v>336</v>
      </c>
      <c r="D1123" s="50" t="s">
        <v>1325</v>
      </c>
      <c r="E1123" s="50" t="s">
        <v>1325</v>
      </c>
      <c r="F1123" s="50" t="s">
        <v>2037</v>
      </c>
      <c r="G1123" s="50" t="s">
        <v>2159</v>
      </c>
      <c r="H1123" t="s">
        <v>4186</v>
      </c>
    </row>
    <row r="1124" spans="1:8">
      <c r="A1124" s="61">
        <v>2235</v>
      </c>
      <c r="B1124" s="50" t="s">
        <v>1221</v>
      </c>
      <c r="C1124" s="50" t="s">
        <v>336</v>
      </c>
      <c r="D1124" s="50" t="s">
        <v>1063</v>
      </c>
      <c r="E1124" s="50" t="s">
        <v>1063</v>
      </c>
      <c r="F1124" s="50" t="s">
        <v>1339</v>
      </c>
      <c r="G1124" s="50" t="s">
        <v>1551</v>
      </c>
      <c r="H1124" t="s">
        <v>3031</v>
      </c>
    </row>
    <row r="1125" spans="1:8">
      <c r="A1125" s="61">
        <v>2238</v>
      </c>
      <c r="B1125" s="50" t="s">
        <v>1995</v>
      </c>
      <c r="C1125" s="50" t="s">
        <v>1013</v>
      </c>
      <c r="D1125" s="50" t="s">
        <v>438</v>
      </c>
      <c r="E1125" s="50" t="s">
        <v>438</v>
      </c>
      <c r="F1125" s="50" t="s">
        <v>451</v>
      </c>
      <c r="G1125" s="50" t="s">
        <v>1391</v>
      </c>
      <c r="H1125" t="s">
        <v>4187</v>
      </c>
    </row>
    <row r="1126" spans="1:8">
      <c r="A1126" s="61">
        <v>2239</v>
      </c>
      <c r="B1126" s="50" t="s">
        <v>883</v>
      </c>
      <c r="C1126" s="50" t="s">
        <v>72</v>
      </c>
      <c r="D1126" s="50" t="s">
        <v>1062</v>
      </c>
      <c r="E1126" s="50" t="s">
        <v>1062</v>
      </c>
      <c r="F1126" s="50" t="s">
        <v>223</v>
      </c>
      <c r="G1126" s="50" t="s">
        <v>1562</v>
      </c>
      <c r="H1126" t="s">
        <v>4188</v>
      </c>
    </row>
    <row r="1127" spans="1:8">
      <c r="A1127" s="61">
        <v>2241</v>
      </c>
      <c r="B1127" s="50" t="s">
        <v>1248</v>
      </c>
      <c r="C1127" s="50" t="s">
        <v>1522</v>
      </c>
      <c r="D1127" s="50" t="s">
        <v>2337</v>
      </c>
      <c r="E1127" s="50" t="s">
        <v>2337</v>
      </c>
      <c r="F1127" s="50" t="s">
        <v>451</v>
      </c>
      <c r="G1127" s="50" t="s">
        <v>2157</v>
      </c>
      <c r="H1127" t="s">
        <v>3359</v>
      </c>
    </row>
    <row r="1128" spans="1:8">
      <c r="A1128" s="61">
        <v>2243</v>
      </c>
      <c r="B1128" s="50" t="s">
        <v>550</v>
      </c>
      <c r="C1128" s="50" t="s">
        <v>1534</v>
      </c>
      <c r="D1128" s="50" t="s">
        <v>602</v>
      </c>
      <c r="E1128" s="50" t="s">
        <v>602</v>
      </c>
      <c r="F1128" s="50" t="s">
        <v>223</v>
      </c>
      <c r="G1128" s="32" t="s">
        <v>3588</v>
      </c>
      <c r="H1128" t="s">
        <v>4189</v>
      </c>
    </row>
    <row r="1129" spans="1:8">
      <c r="A1129" s="61">
        <v>2245</v>
      </c>
      <c r="B1129" s="50" t="s">
        <v>884</v>
      </c>
      <c r="C1129" s="50" t="s">
        <v>635</v>
      </c>
      <c r="D1129" s="50" t="s">
        <v>2686</v>
      </c>
      <c r="E1129" s="50" t="s">
        <v>2686</v>
      </c>
      <c r="F1129" s="50" t="s">
        <v>223</v>
      </c>
      <c r="G1129" s="50" t="s">
        <v>529</v>
      </c>
      <c r="H1129" t="s">
        <v>2761</v>
      </c>
    </row>
    <row r="1130" spans="1:8">
      <c r="A1130" s="61">
        <v>2247</v>
      </c>
      <c r="B1130" s="50" t="s">
        <v>1303</v>
      </c>
      <c r="C1130" s="50" t="s">
        <v>800</v>
      </c>
      <c r="D1130" s="50" t="s">
        <v>595</v>
      </c>
      <c r="E1130" s="50" t="s">
        <v>595</v>
      </c>
      <c r="F1130" s="50" t="s">
        <v>223</v>
      </c>
      <c r="G1130" s="50" t="s">
        <v>1906</v>
      </c>
      <c r="H1130" t="s">
        <v>1544</v>
      </c>
    </row>
    <row r="1131" spans="1:8">
      <c r="A1131" s="61">
        <v>2248</v>
      </c>
      <c r="B1131" s="50" t="s">
        <v>295</v>
      </c>
      <c r="C1131" s="50" t="s">
        <v>1345</v>
      </c>
      <c r="D1131" s="50" t="s">
        <v>2325</v>
      </c>
      <c r="E1131" s="50" t="s">
        <v>2325</v>
      </c>
      <c r="F1131" s="50" t="s">
        <v>223</v>
      </c>
      <c r="G1131" s="50" t="s">
        <v>1912</v>
      </c>
      <c r="H1131" t="s">
        <v>530</v>
      </c>
    </row>
    <row r="1132" spans="1:8">
      <c r="A1132" s="61">
        <v>2250</v>
      </c>
      <c r="B1132" s="50" t="s">
        <v>2115</v>
      </c>
      <c r="C1132" s="50" t="s">
        <v>1099</v>
      </c>
      <c r="D1132" s="50" t="s">
        <v>437</v>
      </c>
      <c r="E1132" s="50" t="s">
        <v>437</v>
      </c>
      <c r="F1132" s="50" t="s">
        <v>223</v>
      </c>
      <c r="G1132" s="50" t="s">
        <v>342</v>
      </c>
      <c r="H1132" t="s">
        <v>4190</v>
      </c>
    </row>
    <row r="1133" spans="1:8">
      <c r="A1133" s="61">
        <v>2254</v>
      </c>
      <c r="B1133" s="50" t="s">
        <v>885</v>
      </c>
      <c r="C1133" s="50" t="s">
        <v>1527</v>
      </c>
      <c r="D1133" s="50" t="s">
        <v>3292</v>
      </c>
      <c r="E1133" s="50" t="s">
        <v>3292</v>
      </c>
      <c r="F1133" s="50" t="s">
        <v>223</v>
      </c>
      <c r="G1133" s="50" t="s">
        <v>1380</v>
      </c>
      <c r="H1133" t="s">
        <v>3354</v>
      </c>
    </row>
    <row r="1134" spans="1:8">
      <c r="A1134" s="61">
        <v>2255</v>
      </c>
      <c r="B1134" s="50" t="s">
        <v>886</v>
      </c>
      <c r="C1134" s="50" t="s">
        <v>619</v>
      </c>
      <c r="D1134" s="50" t="s">
        <v>481</v>
      </c>
      <c r="E1134" s="50" t="s">
        <v>481</v>
      </c>
      <c r="F1134" s="50" t="s">
        <v>1225</v>
      </c>
      <c r="G1134" s="50" t="s">
        <v>1381</v>
      </c>
      <c r="H1134" t="s">
        <v>2185</v>
      </c>
    </row>
    <row r="1135" spans="1:8">
      <c r="A1135" s="61">
        <v>2263</v>
      </c>
      <c r="B1135" s="50" t="s">
        <v>2043</v>
      </c>
      <c r="C1135" s="50" t="s">
        <v>778</v>
      </c>
      <c r="D1135" s="50" t="s">
        <v>1039</v>
      </c>
      <c r="E1135" s="50" t="s">
        <v>1039</v>
      </c>
      <c r="F1135" s="50" t="s">
        <v>223</v>
      </c>
      <c r="G1135" s="50" t="s">
        <v>1561</v>
      </c>
      <c r="H1135" t="s">
        <v>4191</v>
      </c>
    </row>
    <row r="1136" spans="1:8">
      <c r="A1136" s="61">
        <v>2265</v>
      </c>
      <c r="B1136" s="50" t="s">
        <v>887</v>
      </c>
      <c r="C1136" s="50" t="s">
        <v>777</v>
      </c>
      <c r="D1136" s="50" t="s">
        <v>512</v>
      </c>
      <c r="E1136" s="50" t="s">
        <v>512</v>
      </c>
      <c r="F1136" s="50" t="s">
        <v>451</v>
      </c>
      <c r="G1136" s="50" t="s">
        <v>1574</v>
      </c>
      <c r="H1136" t="s">
        <v>2139</v>
      </c>
    </row>
    <row r="1137" spans="1:8">
      <c r="A1137" s="61">
        <v>2266</v>
      </c>
      <c r="B1137" s="50" t="s">
        <v>888</v>
      </c>
      <c r="C1137" s="50" t="s">
        <v>242</v>
      </c>
      <c r="D1137" s="50" t="s">
        <v>142</v>
      </c>
      <c r="E1137" s="50" t="s">
        <v>142</v>
      </c>
      <c r="F1137" s="50" t="s">
        <v>1366</v>
      </c>
      <c r="G1137" s="50" t="s">
        <v>2057</v>
      </c>
      <c r="H1137" t="s">
        <v>4192</v>
      </c>
    </row>
    <row r="1138" spans="1:8">
      <c r="A1138" s="61">
        <v>2269</v>
      </c>
      <c r="B1138" s="50" t="s">
        <v>889</v>
      </c>
      <c r="C1138" s="50" t="s">
        <v>1240</v>
      </c>
      <c r="D1138" s="50" t="s">
        <v>602</v>
      </c>
      <c r="E1138" s="50" t="s">
        <v>602</v>
      </c>
      <c r="F1138" s="50" t="s">
        <v>223</v>
      </c>
      <c r="G1138" s="50" t="s">
        <v>3588</v>
      </c>
      <c r="H1138" t="s">
        <v>2613</v>
      </c>
    </row>
    <row r="1139" spans="1:8">
      <c r="A1139" s="61">
        <v>2273</v>
      </c>
      <c r="B1139" s="50" t="s">
        <v>358</v>
      </c>
      <c r="C1139" s="50" t="s">
        <v>642</v>
      </c>
      <c r="D1139" s="50" t="s">
        <v>570</v>
      </c>
      <c r="E1139" s="50" t="s">
        <v>570</v>
      </c>
      <c r="F1139" s="50" t="s">
        <v>223</v>
      </c>
      <c r="G1139" s="50" t="s">
        <v>1926</v>
      </c>
      <c r="H1139" t="s">
        <v>4193</v>
      </c>
    </row>
    <row r="1140" spans="1:8">
      <c r="A1140" s="61">
        <v>2275</v>
      </c>
      <c r="B1140" s="50" t="s">
        <v>661</v>
      </c>
      <c r="C1140" s="50" t="s">
        <v>246</v>
      </c>
      <c r="D1140" s="50" t="s">
        <v>2772</v>
      </c>
      <c r="E1140" s="50" t="s">
        <v>2772</v>
      </c>
      <c r="F1140" s="50" t="s">
        <v>223</v>
      </c>
      <c r="G1140" s="50" t="s">
        <v>1390</v>
      </c>
      <c r="H1140" t="s">
        <v>1943</v>
      </c>
    </row>
    <row r="1141" spans="1:8">
      <c r="A1141" s="61">
        <v>2278</v>
      </c>
      <c r="B1141" s="50" t="s">
        <v>662</v>
      </c>
      <c r="C1141" s="50" t="s">
        <v>663</v>
      </c>
      <c r="D1141" s="50" t="s">
        <v>772</v>
      </c>
      <c r="E1141" s="50" t="s">
        <v>772</v>
      </c>
      <c r="F1141" s="50" t="s">
        <v>451</v>
      </c>
      <c r="G1141" s="50" t="s">
        <v>1389</v>
      </c>
      <c r="H1141" t="s">
        <v>4194</v>
      </c>
    </row>
    <row r="1142" spans="1:8">
      <c r="A1142" s="61">
        <v>2283</v>
      </c>
      <c r="B1142" s="50" t="s">
        <v>664</v>
      </c>
      <c r="C1142" s="50" t="s">
        <v>263</v>
      </c>
      <c r="D1142" s="50" t="s">
        <v>597</v>
      </c>
      <c r="E1142" s="50" t="s">
        <v>597</v>
      </c>
      <c r="F1142" s="50" t="s">
        <v>2037</v>
      </c>
      <c r="G1142" s="50" t="s">
        <v>1902</v>
      </c>
      <c r="H1142" t="s">
        <v>4195</v>
      </c>
    </row>
    <row r="1143" spans="1:8">
      <c r="A1143" s="61">
        <v>2285</v>
      </c>
      <c r="B1143" s="50" t="s">
        <v>665</v>
      </c>
      <c r="C1143" s="50" t="s">
        <v>326</v>
      </c>
      <c r="D1143" s="50" t="s">
        <v>1608</v>
      </c>
      <c r="E1143" s="50" t="s">
        <v>1608</v>
      </c>
      <c r="F1143" s="50" t="s">
        <v>223</v>
      </c>
      <c r="G1143" s="50" t="s">
        <v>1560</v>
      </c>
      <c r="H1143" t="s">
        <v>4196</v>
      </c>
    </row>
    <row r="1144" spans="1:8">
      <c r="A1144" s="61">
        <v>2286</v>
      </c>
      <c r="B1144" s="50" t="s">
        <v>245</v>
      </c>
      <c r="C1144" s="50" t="s">
        <v>242</v>
      </c>
      <c r="D1144" s="50" t="s">
        <v>1062</v>
      </c>
      <c r="E1144" s="50" t="s">
        <v>1062</v>
      </c>
      <c r="F1144" s="50" t="s">
        <v>2037</v>
      </c>
      <c r="G1144" s="50" t="s">
        <v>1562</v>
      </c>
      <c r="H1144" t="s">
        <v>4197</v>
      </c>
    </row>
    <row r="1145" spans="1:8">
      <c r="A1145" s="61">
        <v>2288</v>
      </c>
      <c r="B1145" s="50" t="s">
        <v>1468</v>
      </c>
      <c r="C1145" s="50" t="s">
        <v>326</v>
      </c>
      <c r="D1145" s="50" t="s">
        <v>2377</v>
      </c>
      <c r="E1145" s="50" t="s">
        <v>2377</v>
      </c>
      <c r="F1145" s="50" t="s">
        <v>451</v>
      </c>
      <c r="G1145" s="50" t="s">
        <v>1395</v>
      </c>
      <c r="H1145" t="s">
        <v>344</v>
      </c>
    </row>
    <row r="1146" spans="1:8">
      <c r="A1146" s="61">
        <v>2291</v>
      </c>
      <c r="B1146" s="50" t="s">
        <v>666</v>
      </c>
      <c r="C1146" s="50" t="s">
        <v>246</v>
      </c>
      <c r="D1146" s="50" t="s">
        <v>597</v>
      </c>
      <c r="E1146" s="50" t="s">
        <v>597</v>
      </c>
      <c r="F1146" s="50" t="s">
        <v>223</v>
      </c>
      <c r="G1146" s="50" t="s">
        <v>1902</v>
      </c>
      <c r="H1146" t="s">
        <v>4198</v>
      </c>
    </row>
    <row r="1147" spans="1:8">
      <c r="A1147" s="61">
        <v>2292</v>
      </c>
      <c r="B1147" s="50" t="s">
        <v>521</v>
      </c>
      <c r="C1147" s="50" t="s">
        <v>336</v>
      </c>
      <c r="D1147" s="50" t="s">
        <v>1223</v>
      </c>
      <c r="E1147" s="50" t="s">
        <v>1223</v>
      </c>
      <c r="F1147" s="50" t="s">
        <v>223</v>
      </c>
      <c r="G1147" s="50" t="s">
        <v>1575</v>
      </c>
      <c r="H1147" t="s">
        <v>3144</v>
      </c>
    </row>
    <row r="1148" spans="1:8">
      <c r="A1148" s="61">
        <v>2293</v>
      </c>
      <c r="B1148" s="50" t="s">
        <v>667</v>
      </c>
      <c r="C1148" s="50" t="s">
        <v>1234</v>
      </c>
      <c r="D1148" s="50" t="s">
        <v>2449</v>
      </c>
      <c r="E1148" s="50" t="s">
        <v>2449</v>
      </c>
      <c r="F1148" s="50" t="s">
        <v>223</v>
      </c>
      <c r="G1148" s="50" t="s">
        <v>340</v>
      </c>
      <c r="H1148" t="s">
        <v>4199</v>
      </c>
    </row>
    <row r="1149" spans="1:8">
      <c r="A1149" s="61">
        <v>2295</v>
      </c>
      <c r="B1149" s="50" t="s">
        <v>773</v>
      </c>
      <c r="C1149" s="50" t="s">
        <v>778</v>
      </c>
      <c r="D1149" s="50" t="s">
        <v>2378</v>
      </c>
      <c r="E1149" s="50" t="s">
        <v>2378</v>
      </c>
      <c r="F1149" s="50" t="s">
        <v>223</v>
      </c>
      <c r="G1149" s="50" t="s">
        <v>544</v>
      </c>
      <c r="H1149" t="s">
        <v>3145</v>
      </c>
    </row>
    <row r="1150" spans="1:8">
      <c r="A1150" s="61">
        <v>2296</v>
      </c>
      <c r="B1150" s="50" t="s">
        <v>668</v>
      </c>
      <c r="C1150" s="50" t="s">
        <v>1246</v>
      </c>
      <c r="D1150" s="50" t="s">
        <v>2824</v>
      </c>
      <c r="E1150" s="50" t="s">
        <v>2824</v>
      </c>
      <c r="F1150" s="50" t="s">
        <v>223</v>
      </c>
      <c r="G1150" s="50" t="s">
        <v>1893</v>
      </c>
      <c r="H1150" t="s">
        <v>3502</v>
      </c>
    </row>
    <row r="1151" spans="1:8">
      <c r="A1151" s="61">
        <v>2297</v>
      </c>
      <c r="B1151" s="50" t="s">
        <v>669</v>
      </c>
      <c r="C1151" s="50" t="s">
        <v>1414</v>
      </c>
      <c r="D1151" s="50" t="s">
        <v>2325</v>
      </c>
      <c r="E1151" s="50" t="s">
        <v>2325</v>
      </c>
      <c r="F1151" s="50" t="s">
        <v>223</v>
      </c>
      <c r="G1151" s="50" t="s">
        <v>1912</v>
      </c>
      <c r="H1151" t="s">
        <v>4200</v>
      </c>
    </row>
    <row r="1152" spans="1:8">
      <c r="A1152" s="61">
        <v>2300</v>
      </c>
      <c r="B1152" s="50" t="s">
        <v>1255</v>
      </c>
      <c r="C1152" s="50" t="s">
        <v>989</v>
      </c>
      <c r="D1152" s="50" t="s">
        <v>318</v>
      </c>
      <c r="E1152" s="50" t="s">
        <v>318</v>
      </c>
      <c r="F1152" s="50" t="s">
        <v>223</v>
      </c>
      <c r="G1152" s="50" t="s">
        <v>2806</v>
      </c>
      <c r="H1152" t="s">
        <v>4201</v>
      </c>
    </row>
    <row r="1153" spans="1:8">
      <c r="A1153" s="61">
        <v>2301</v>
      </c>
      <c r="B1153" s="50" t="s">
        <v>670</v>
      </c>
      <c r="C1153" s="50" t="s">
        <v>1534</v>
      </c>
      <c r="D1153" s="50" t="s">
        <v>2378</v>
      </c>
      <c r="E1153" s="50" t="s">
        <v>2378</v>
      </c>
      <c r="F1153" s="50" t="s">
        <v>451</v>
      </c>
      <c r="G1153" s="50" t="s">
        <v>544</v>
      </c>
      <c r="H1153" t="s">
        <v>3355</v>
      </c>
    </row>
    <row r="1154" spans="1:8">
      <c r="A1154" s="61">
        <v>2306</v>
      </c>
      <c r="B1154" s="50" t="s">
        <v>671</v>
      </c>
      <c r="C1154" s="50" t="s">
        <v>1197</v>
      </c>
      <c r="D1154" s="50" t="s">
        <v>3317</v>
      </c>
      <c r="E1154" s="50" t="s">
        <v>3317</v>
      </c>
      <c r="F1154" s="50" t="s">
        <v>2037</v>
      </c>
      <c r="G1154" s="50" t="s">
        <v>1909</v>
      </c>
      <c r="H1154" t="s">
        <v>3488</v>
      </c>
    </row>
    <row r="1155" spans="1:8">
      <c r="A1155" s="61">
        <v>2308</v>
      </c>
      <c r="B1155" s="50" t="s">
        <v>2116</v>
      </c>
      <c r="C1155" s="50" t="s">
        <v>1534</v>
      </c>
      <c r="D1155" s="50" t="s">
        <v>2337</v>
      </c>
      <c r="E1155" s="50" t="s">
        <v>2337</v>
      </c>
      <c r="F1155" s="50" t="s">
        <v>451</v>
      </c>
      <c r="G1155" s="50" t="s">
        <v>2157</v>
      </c>
      <c r="H1155" t="s">
        <v>1542</v>
      </c>
    </row>
    <row r="1156" spans="1:8">
      <c r="A1156" s="61">
        <v>2310</v>
      </c>
      <c r="B1156" s="50" t="s">
        <v>52</v>
      </c>
      <c r="C1156" s="50" t="s">
        <v>642</v>
      </c>
      <c r="D1156" s="50" t="s">
        <v>2686</v>
      </c>
      <c r="E1156" s="50" t="s">
        <v>2686</v>
      </c>
      <c r="F1156" s="50" t="s">
        <v>223</v>
      </c>
      <c r="G1156" s="50" t="s">
        <v>529</v>
      </c>
      <c r="H1156" t="s">
        <v>4202</v>
      </c>
    </row>
    <row r="1157" spans="1:8">
      <c r="A1157" s="61">
        <v>2312</v>
      </c>
      <c r="B1157" s="50" t="s">
        <v>1498</v>
      </c>
      <c r="C1157" s="50" t="s">
        <v>1197</v>
      </c>
      <c r="D1157" s="50" t="s">
        <v>208</v>
      </c>
      <c r="E1157" s="50" t="s">
        <v>208</v>
      </c>
      <c r="F1157" s="50" t="s">
        <v>223</v>
      </c>
      <c r="G1157" s="50" t="s">
        <v>3514</v>
      </c>
      <c r="H1157" t="s">
        <v>4203</v>
      </c>
    </row>
    <row r="1158" spans="1:8">
      <c r="A1158" s="61">
        <v>2313</v>
      </c>
      <c r="B1158" s="50" t="s">
        <v>672</v>
      </c>
      <c r="C1158" s="50" t="s">
        <v>989</v>
      </c>
      <c r="D1158" s="50" t="s">
        <v>2809</v>
      </c>
      <c r="E1158" s="50" t="s">
        <v>2809</v>
      </c>
      <c r="F1158" s="50" t="s">
        <v>451</v>
      </c>
      <c r="G1158" s="50" t="s">
        <v>1893</v>
      </c>
      <c r="H1158" t="s">
        <v>3357</v>
      </c>
    </row>
    <row r="1159" spans="1:8">
      <c r="A1159" s="61">
        <v>2314</v>
      </c>
      <c r="B1159" s="50" t="s">
        <v>506</v>
      </c>
      <c r="C1159" s="50" t="s">
        <v>1414</v>
      </c>
      <c r="D1159" s="50" t="s">
        <v>503</v>
      </c>
      <c r="E1159" s="50" t="s">
        <v>503</v>
      </c>
      <c r="F1159" s="50" t="s">
        <v>2037</v>
      </c>
      <c r="G1159" s="50" t="s">
        <v>1565</v>
      </c>
      <c r="H1159" t="s">
        <v>3406</v>
      </c>
    </row>
    <row r="1160" spans="1:8">
      <c r="A1160" s="61">
        <v>2315</v>
      </c>
      <c r="B1160" s="50" t="s">
        <v>673</v>
      </c>
      <c r="C1160" s="50" t="s">
        <v>190</v>
      </c>
      <c r="D1160" s="50" t="s">
        <v>711</v>
      </c>
      <c r="E1160" s="50" t="s">
        <v>711</v>
      </c>
      <c r="F1160" s="50" t="s">
        <v>1225</v>
      </c>
      <c r="G1160" s="50" t="s">
        <v>543</v>
      </c>
      <c r="H1160" t="s">
        <v>2622</v>
      </c>
    </row>
    <row r="1161" spans="1:8">
      <c r="A1161" s="61">
        <v>2316</v>
      </c>
      <c r="B1161" s="50" t="s">
        <v>674</v>
      </c>
      <c r="C1161" s="50" t="s">
        <v>242</v>
      </c>
      <c r="D1161" s="50" t="s">
        <v>1608</v>
      </c>
      <c r="E1161" s="50" t="s">
        <v>1608</v>
      </c>
      <c r="F1161" s="50" t="s">
        <v>223</v>
      </c>
      <c r="G1161" s="50" t="s">
        <v>1560</v>
      </c>
      <c r="H1161" t="s">
        <v>4204</v>
      </c>
    </row>
    <row r="1162" spans="1:8">
      <c r="A1162" s="61">
        <v>2317</v>
      </c>
      <c r="B1162" s="50" t="s">
        <v>675</v>
      </c>
      <c r="C1162" s="50" t="s">
        <v>1522</v>
      </c>
      <c r="D1162" s="50" t="s">
        <v>318</v>
      </c>
      <c r="E1162" s="50" t="s">
        <v>318</v>
      </c>
      <c r="F1162" s="50" t="s">
        <v>451</v>
      </c>
      <c r="G1162" s="50" t="s">
        <v>2806</v>
      </c>
      <c r="H1162" t="s">
        <v>4205</v>
      </c>
    </row>
    <row r="1163" spans="1:8">
      <c r="A1163" s="61">
        <v>2318</v>
      </c>
      <c r="B1163" s="50" t="s">
        <v>471</v>
      </c>
      <c r="C1163" s="50" t="s">
        <v>1534</v>
      </c>
      <c r="D1163" s="50" t="s">
        <v>607</v>
      </c>
      <c r="E1163" s="50" t="s">
        <v>607</v>
      </c>
      <c r="F1163" s="50" t="s">
        <v>223</v>
      </c>
      <c r="G1163" s="50" t="s">
        <v>1877</v>
      </c>
      <c r="H1163" t="s">
        <v>4206</v>
      </c>
    </row>
    <row r="1164" spans="1:8">
      <c r="A1164" s="61">
        <v>2319</v>
      </c>
      <c r="B1164" s="50" t="s">
        <v>676</v>
      </c>
      <c r="C1164" s="50" t="s">
        <v>188</v>
      </c>
      <c r="D1164" s="50" t="s">
        <v>570</v>
      </c>
      <c r="E1164" s="50" t="s">
        <v>570</v>
      </c>
      <c r="F1164" s="50" t="s">
        <v>223</v>
      </c>
      <c r="G1164" s="50" t="s">
        <v>1926</v>
      </c>
      <c r="H1164" t="s">
        <v>2966</v>
      </c>
    </row>
    <row r="1165" spans="1:8">
      <c r="A1165" s="61">
        <v>2320</v>
      </c>
      <c r="B1165" s="50" t="s">
        <v>927</v>
      </c>
      <c r="C1165" s="50" t="s">
        <v>140</v>
      </c>
      <c r="D1165" s="50" t="s">
        <v>1351</v>
      </c>
      <c r="E1165" s="50" t="s">
        <v>1351</v>
      </c>
      <c r="F1165" s="50" t="s">
        <v>223</v>
      </c>
      <c r="G1165" s="50" t="s">
        <v>1917</v>
      </c>
      <c r="H1165" t="s">
        <v>4207</v>
      </c>
    </row>
    <row r="1166" spans="1:8">
      <c r="A1166" s="61">
        <v>2325</v>
      </c>
      <c r="B1166" s="50" t="s">
        <v>874</v>
      </c>
      <c r="C1166" s="50" t="s">
        <v>140</v>
      </c>
      <c r="D1166" s="50" t="s">
        <v>1045</v>
      </c>
      <c r="E1166" s="50" t="s">
        <v>1045</v>
      </c>
      <c r="F1166" s="50" t="s">
        <v>223</v>
      </c>
      <c r="G1166" s="50" t="s">
        <v>1926</v>
      </c>
      <c r="H1166" t="s">
        <v>4208</v>
      </c>
    </row>
    <row r="1167" spans="1:8">
      <c r="A1167" s="61">
        <v>2328</v>
      </c>
      <c r="B1167" s="50" t="s">
        <v>62</v>
      </c>
      <c r="C1167" s="50" t="s">
        <v>640</v>
      </c>
      <c r="D1167" s="50" t="s">
        <v>1226</v>
      </c>
      <c r="E1167" s="50" t="s">
        <v>1226</v>
      </c>
      <c r="F1167" s="50" t="s">
        <v>451</v>
      </c>
      <c r="G1167" s="50" t="s">
        <v>1378</v>
      </c>
      <c r="H1167" t="s">
        <v>2137</v>
      </c>
    </row>
    <row r="1168" spans="1:8">
      <c r="A1168" s="61">
        <v>2331</v>
      </c>
      <c r="B1168" s="50" t="s">
        <v>677</v>
      </c>
      <c r="C1168" s="50" t="s">
        <v>79</v>
      </c>
      <c r="D1168" s="50" t="s">
        <v>507</v>
      </c>
      <c r="E1168" s="50" t="s">
        <v>507</v>
      </c>
      <c r="F1168" s="50" t="s">
        <v>223</v>
      </c>
      <c r="G1168" s="50" t="s">
        <v>1910</v>
      </c>
      <c r="H1168" t="s">
        <v>4209</v>
      </c>
    </row>
    <row r="1169" spans="1:8">
      <c r="A1169" s="61">
        <v>2332</v>
      </c>
      <c r="B1169" s="50" t="s">
        <v>678</v>
      </c>
      <c r="C1169" s="50" t="s">
        <v>966</v>
      </c>
      <c r="D1169" s="50" t="s">
        <v>2449</v>
      </c>
      <c r="E1169" s="50" t="s">
        <v>2449</v>
      </c>
      <c r="F1169" s="50" t="s">
        <v>451</v>
      </c>
      <c r="G1169" s="50" t="s">
        <v>340</v>
      </c>
      <c r="H1169" t="s">
        <v>2885</v>
      </c>
    </row>
    <row r="1170" spans="1:8">
      <c r="A1170" s="61">
        <v>2337</v>
      </c>
      <c r="B1170" s="50" t="s">
        <v>679</v>
      </c>
      <c r="C1170" s="50" t="s">
        <v>1345</v>
      </c>
      <c r="D1170" s="50" t="s">
        <v>602</v>
      </c>
      <c r="E1170" s="50" t="s">
        <v>602</v>
      </c>
      <c r="F1170" s="50" t="s">
        <v>223</v>
      </c>
      <c r="G1170" s="50" t="s">
        <v>3588</v>
      </c>
      <c r="H1170" t="s">
        <v>4210</v>
      </c>
    </row>
    <row r="1171" spans="1:8">
      <c r="A1171" s="61">
        <v>2340</v>
      </c>
      <c r="B1171" s="50" t="s">
        <v>680</v>
      </c>
      <c r="C1171" s="50" t="s">
        <v>370</v>
      </c>
      <c r="D1171" s="50" t="s">
        <v>2787</v>
      </c>
      <c r="E1171" s="50" t="s">
        <v>2787</v>
      </c>
      <c r="F1171" s="50" t="s">
        <v>223</v>
      </c>
      <c r="G1171" s="50" t="s">
        <v>1555</v>
      </c>
      <c r="H1171" t="s">
        <v>3351</v>
      </c>
    </row>
    <row r="1172" spans="1:8">
      <c r="A1172" s="61">
        <v>2342</v>
      </c>
      <c r="B1172" s="50" t="s">
        <v>811</v>
      </c>
      <c r="C1172" s="50" t="s">
        <v>640</v>
      </c>
      <c r="D1172" s="50" t="s">
        <v>455</v>
      </c>
      <c r="E1172" s="50" t="s">
        <v>455</v>
      </c>
      <c r="F1172" s="50" t="s">
        <v>2610</v>
      </c>
      <c r="G1172" s="50" t="s">
        <v>1883</v>
      </c>
      <c r="H1172" t="s">
        <v>4211</v>
      </c>
    </row>
    <row r="1173" spans="1:8">
      <c r="A1173" s="61">
        <v>2343</v>
      </c>
      <c r="B1173" s="50" t="s">
        <v>812</v>
      </c>
      <c r="C1173" s="50" t="s">
        <v>1246</v>
      </c>
      <c r="D1173" s="50" t="s">
        <v>596</v>
      </c>
      <c r="E1173" s="50" t="s">
        <v>596</v>
      </c>
      <c r="F1173" s="50" t="s">
        <v>223</v>
      </c>
      <c r="G1173" s="50" t="s">
        <v>2277</v>
      </c>
      <c r="H1173" t="s">
        <v>4212</v>
      </c>
    </row>
    <row r="1174" spans="1:8">
      <c r="A1174" s="61">
        <v>2344</v>
      </c>
      <c r="B1174" s="50" t="s">
        <v>813</v>
      </c>
      <c r="C1174" s="50" t="s">
        <v>1208</v>
      </c>
      <c r="D1174" s="50" t="s">
        <v>2377</v>
      </c>
      <c r="E1174" s="50" t="s">
        <v>2377</v>
      </c>
      <c r="F1174" s="50" t="s">
        <v>223</v>
      </c>
      <c r="G1174" s="50" t="s">
        <v>1395</v>
      </c>
      <c r="H1174" t="s">
        <v>3544</v>
      </c>
    </row>
    <row r="1175" spans="1:8">
      <c r="A1175" s="61">
        <v>2348</v>
      </c>
      <c r="B1175" s="50" t="s">
        <v>1507</v>
      </c>
      <c r="C1175" s="50" t="s">
        <v>777</v>
      </c>
      <c r="D1175" s="50" t="s">
        <v>2069</v>
      </c>
      <c r="E1175" s="50" t="s">
        <v>2069</v>
      </c>
      <c r="F1175" s="50" t="s">
        <v>223</v>
      </c>
      <c r="G1175" s="50" t="s">
        <v>528</v>
      </c>
      <c r="H1175" t="s">
        <v>4213</v>
      </c>
    </row>
    <row r="1176" spans="1:8">
      <c r="A1176" s="61">
        <v>2349</v>
      </c>
      <c r="B1176" s="50" t="s">
        <v>1461</v>
      </c>
      <c r="C1176" s="50" t="s">
        <v>188</v>
      </c>
      <c r="D1176" s="50" t="s">
        <v>1608</v>
      </c>
      <c r="E1176" s="50" t="s">
        <v>1608</v>
      </c>
      <c r="F1176" s="50" t="s">
        <v>223</v>
      </c>
      <c r="G1176" s="50" t="s">
        <v>1560</v>
      </c>
      <c r="H1176" t="s">
        <v>4214</v>
      </c>
    </row>
    <row r="1177" spans="1:8">
      <c r="A1177" s="61">
        <v>2354</v>
      </c>
      <c r="B1177" s="50" t="s">
        <v>814</v>
      </c>
      <c r="C1177" s="50" t="s">
        <v>246</v>
      </c>
      <c r="D1177" s="50" t="s">
        <v>1325</v>
      </c>
      <c r="E1177" s="50" t="s">
        <v>1325</v>
      </c>
      <c r="F1177" s="50" t="s">
        <v>223</v>
      </c>
      <c r="G1177" s="50" t="s">
        <v>2159</v>
      </c>
      <c r="H1177" t="s">
        <v>4215</v>
      </c>
    </row>
    <row r="1178" spans="1:8">
      <c r="A1178" s="61">
        <v>2357</v>
      </c>
      <c r="B1178" s="50" t="s">
        <v>815</v>
      </c>
      <c r="C1178" s="50" t="s">
        <v>188</v>
      </c>
      <c r="D1178" s="50" t="s">
        <v>2072</v>
      </c>
      <c r="E1178" s="50" t="s">
        <v>2072</v>
      </c>
      <c r="F1178" s="50" t="s">
        <v>223</v>
      </c>
      <c r="G1178" s="50" t="s">
        <v>1398</v>
      </c>
      <c r="H1178" t="s">
        <v>4216</v>
      </c>
    </row>
    <row r="1179" spans="1:8">
      <c r="A1179" s="61">
        <v>2358</v>
      </c>
      <c r="B1179" s="50" t="s">
        <v>816</v>
      </c>
      <c r="C1179" s="50" t="s">
        <v>197</v>
      </c>
      <c r="D1179" s="50" t="s">
        <v>1223</v>
      </c>
      <c r="E1179" s="50" t="s">
        <v>1223</v>
      </c>
      <c r="F1179" s="50" t="s">
        <v>2037</v>
      </c>
      <c r="G1179" s="50" t="s">
        <v>1575</v>
      </c>
      <c r="H1179" t="s">
        <v>3146</v>
      </c>
    </row>
    <row r="1180" spans="1:8">
      <c r="A1180" s="61">
        <v>2359</v>
      </c>
      <c r="B1180" s="50" t="s">
        <v>817</v>
      </c>
      <c r="C1180" s="50" t="s">
        <v>1197</v>
      </c>
      <c r="D1180" s="50" t="s">
        <v>772</v>
      </c>
      <c r="E1180" s="50" t="s">
        <v>772</v>
      </c>
      <c r="F1180" s="50" t="s">
        <v>223</v>
      </c>
      <c r="G1180" s="50" t="s">
        <v>1389</v>
      </c>
      <c r="H1180" t="s">
        <v>4217</v>
      </c>
    </row>
    <row r="1181" spans="1:8">
      <c r="A1181" s="61">
        <v>2361</v>
      </c>
      <c r="B1181" s="50" t="s">
        <v>818</v>
      </c>
      <c r="C1181" s="50" t="s">
        <v>1345</v>
      </c>
      <c r="D1181" s="50" t="s">
        <v>504</v>
      </c>
      <c r="E1181" s="50" t="s">
        <v>504</v>
      </c>
      <c r="F1181" s="50" t="s">
        <v>223</v>
      </c>
      <c r="G1181" s="50" t="s">
        <v>4171</v>
      </c>
      <c r="H1181" t="s">
        <v>3012</v>
      </c>
    </row>
    <row r="1182" spans="1:8">
      <c r="A1182" s="61">
        <v>2364</v>
      </c>
      <c r="B1182" s="50" t="s">
        <v>819</v>
      </c>
      <c r="C1182" s="50" t="s">
        <v>261</v>
      </c>
      <c r="D1182" s="50" t="s">
        <v>2675</v>
      </c>
      <c r="E1182" s="50" t="s">
        <v>2675</v>
      </c>
      <c r="F1182" s="50" t="s">
        <v>223</v>
      </c>
      <c r="G1182" s="50" t="s">
        <v>339</v>
      </c>
      <c r="H1182" t="s">
        <v>1944</v>
      </c>
    </row>
    <row r="1183" spans="1:8">
      <c r="A1183" s="61">
        <v>2365</v>
      </c>
      <c r="B1183" s="50" t="s">
        <v>1159</v>
      </c>
      <c r="C1183" s="50" t="s">
        <v>1414</v>
      </c>
      <c r="D1183" s="50" t="s">
        <v>178</v>
      </c>
      <c r="E1183" s="50" t="s">
        <v>178</v>
      </c>
      <c r="F1183" s="50" t="s">
        <v>223</v>
      </c>
      <c r="G1183" s="50" t="s">
        <v>1556</v>
      </c>
      <c r="H1183" t="s">
        <v>4218</v>
      </c>
    </row>
    <row r="1184" spans="1:8">
      <c r="A1184" s="61">
        <v>2370</v>
      </c>
      <c r="B1184" s="50" t="s">
        <v>2537</v>
      </c>
      <c r="C1184" s="50" t="s">
        <v>1534</v>
      </c>
      <c r="D1184" s="50" t="s">
        <v>2337</v>
      </c>
      <c r="E1184" s="50" t="s">
        <v>2337</v>
      </c>
      <c r="F1184" s="50" t="s">
        <v>451</v>
      </c>
      <c r="G1184" s="50" t="s">
        <v>2157</v>
      </c>
      <c r="H1184" t="s">
        <v>2908</v>
      </c>
    </row>
    <row r="1185" spans="1:8">
      <c r="A1185" s="61">
        <v>2373</v>
      </c>
      <c r="B1185" s="50" t="s">
        <v>1486</v>
      </c>
      <c r="C1185" s="50" t="s">
        <v>246</v>
      </c>
      <c r="D1185" s="50" t="s">
        <v>2378</v>
      </c>
      <c r="E1185" s="50" t="s">
        <v>2378</v>
      </c>
      <c r="F1185" s="50" t="s">
        <v>223</v>
      </c>
      <c r="G1185" s="50" t="s">
        <v>544</v>
      </c>
      <c r="H1185" t="s">
        <v>2821</v>
      </c>
    </row>
    <row r="1186" spans="1:8">
      <c r="A1186" s="61">
        <v>2377</v>
      </c>
      <c r="B1186" s="50" t="s">
        <v>820</v>
      </c>
      <c r="C1186" s="50" t="s">
        <v>663</v>
      </c>
      <c r="D1186" s="50" t="s">
        <v>318</v>
      </c>
      <c r="E1186" s="50" t="s">
        <v>318</v>
      </c>
      <c r="F1186" s="50" t="s">
        <v>223</v>
      </c>
      <c r="G1186" s="50" t="s">
        <v>2806</v>
      </c>
      <c r="H1186" t="s">
        <v>4219</v>
      </c>
    </row>
    <row r="1187" spans="1:8">
      <c r="A1187" s="61">
        <v>2378</v>
      </c>
      <c r="B1187" s="50" t="s">
        <v>821</v>
      </c>
      <c r="C1187" s="50" t="s">
        <v>1240</v>
      </c>
      <c r="D1187" s="50" t="s">
        <v>602</v>
      </c>
      <c r="E1187" s="50" t="s">
        <v>602</v>
      </c>
      <c r="F1187" s="50" t="s">
        <v>223</v>
      </c>
      <c r="G1187" s="50" t="s">
        <v>3588</v>
      </c>
      <c r="H1187" t="s">
        <v>4220</v>
      </c>
    </row>
    <row r="1188" spans="1:8">
      <c r="A1188" s="61">
        <v>2381</v>
      </c>
      <c r="B1188" s="50" t="s">
        <v>576</v>
      </c>
      <c r="C1188" s="50" t="s">
        <v>642</v>
      </c>
      <c r="D1188" s="50" t="s">
        <v>2329</v>
      </c>
      <c r="E1188" s="50" t="s">
        <v>2329</v>
      </c>
      <c r="F1188" s="50" t="s">
        <v>223</v>
      </c>
      <c r="G1188" s="50" t="s">
        <v>2775</v>
      </c>
      <c r="H1188" t="s">
        <v>4221</v>
      </c>
    </row>
    <row r="1189" spans="1:8">
      <c r="A1189" s="61">
        <v>2388</v>
      </c>
      <c r="B1189" s="50" t="s">
        <v>822</v>
      </c>
      <c r="C1189" s="50" t="s">
        <v>716</v>
      </c>
      <c r="D1189" s="50" t="s">
        <v>2378</v>
      </c>
      <c r="E1189" s="50" t="s">
        <v>2378</v>
      </c>
      <c r="F1189" s="50" t="s">
        <v>451</v>
      </c>
      <c r="G1189" s="50" t="s">
        <v>544</v>
      </c>
      <c r="H1189" t="s">
        <v>3377</v>
      </c>
    </row>
    <row r="1190" spans="1:8">
      <c r="A1190" s="61">
        <v>2391</v>
      </c>
      <c r="B1190" s="50" t="s">
        <v>1589</v>
      </c>
      <c r="C1190" s="50" t="s">
        <v>823</v>
      </c>
      <c r="D1190" s="50" t="s">
        <v>2378</v>
      </c>
      <c r="E1190" s="50" t="s">
        <v>2378</v>
      </c>
      <c r="F1190" s="50" t="s">
        <v>223</v>
      </c>
      <c r="G1190" s="32" t="s">
        <v>544</v>
      </c>
      <c r="H1190" t="s">
        <v>3504</v>
      </c>
    </row>
    <row r="1191" spans="1:8">
      <c r="A1191" s="61">
        <v>2394</v>
      </c>
      <c r="B1191" s="50" t="s">
        <v>824</v>
      </c>
      <c r="C1191" s="50" t="s">
        <v>1197</v>
      </c>
      <c r="D1191" s="50" t="s">
        <v>1045</v>
      </c>
      <c r="E1191" s="50" t="s">
        <v>1045</v>
      </c>
      <c r="F1191" s="50" t="s">
        <v>223</v>
      </c>
      <c r="G1191" s="50" t="s">
        <v>1926</v>
      </c>
      <c r="H1191" t="s">
        <v>4222</v>
      </c>
    </row>
    <row r="1192" spans="1:8">
      <c r="A1192" s="61">
        <v>2396</v>
      </c>
      <c r="B1192" s="50" t="s">
        <v>825</v>
      </c>
      <c r="C1192" s="50" t="s">
        <v>199</v>
      </c>
      <c r="D1192" s="50" t="s">
        <v>271</v>
      </c>
      <c r="E1192" s="50" t="s">
        <v>271</v>
      </c>
      <c r="F1192" s="50" t="s">
        <v>1224</v>
      </c>
      <c r="G1192" s="50" t="s">
        <v>2136</v>
      </c>
      <c r="H1192" t="s">
        <v>2902</v>
      </c>
    </row>
    <row r="1193" spans="1:8">
      <c r="A1193" s="61">
        <v>2399</v>
      </c>
      <c r="B1193" s="50" t="s">
        <v>826</v>
      </c>
      <c r="C1193" s="50" t="s">
        <v>553</v>
      </c>
      <c r="D1193" s="50" t="s">
        <v>2152</v>
      </c>
      <c r="E1193" s="50" t="s">
        <v>2152</v>
      </c>
      <c r="F1193" s="50" t="s">
        <v>223</v>
      </c>
      <c r="G1193" s="50" t="s">
        <v>1924</v>
      </c>
      <c r="H1193" t="s">
        <v>2475</v>
      </c>
    </row>
    <row r="1194" spans="1:8">
      <c r="A1194" s="61">
        <v>2400</v>
      </c>
      <c r="B1194" s="50" t="s">
        <v>827</v>
      </c>
      <c r="C1194" s="50" t="s">
        <v>336</v>
      </c>
      <c r="D1194" s="50" t="s">
        <v>602</v>
      </c>
      <c r="E1194" s="50" t="s">
        <v>602</v>
      </c>
      <c r="F1194" s="50" t="s">
        <v>1339</v>
      </c>
      <c r="G1194" s="50" t="s">
        <v>3588</v>
      </c>
      <c r="H1194" t="s">
        <v>4223</v>
      </c>
    </row>
    <row r="1195" spans="1:8">
      <c r="A1195" s="61">
        <v>2401</v>
      </c>
      <c r="B1195" s="50" t="s">
        <v>828</v>
      </c>
      <c r="C1195" s="50" t="s">
        <v>637</v>
      </c>
      <c r="D1195" s="50" t="s">
        <v>683</v>
      </c>
      <c r="E1195" s="50" t="s">
        <v>683</v>
      </c>
      <c r="F1195" s="50" t="s">
        <v>223</v>
      </c>
      <c r="G1195" s="50" t="s">
        <v>1900</v>
      </c>
      <c r="H1195" t="s">
        <v>4224</v>
      </c>
    </row>
    <row r="1196" spans="1:8">
      <c r="A1196" s="61">
        <v>2402</v>
      </c>
      <c r="B1196" s="50" t="s">
        <v>829</v>
      </c>
      <c r="C1196" s="50" t="s">
        <v>640</v>
      </c>
      <c r="D1196" s="50" t="s">
        <v>1368</v>
      </c>
      <c r="E1196" s="50" t="s">
        <v>1368</v>
      </c>
      <c r="F1196" s="50" t="s">
        <v>2035</v>
      </c>
      <c r="G1196" s="50" t="s">
        <v>1927</v>
      </c>
      <c r="H1196" t="s">
        <v>2793</v>
      </c>
    </row>
    <row r="1197" spans="1:8">
      <c r="A1197" s="61">
        <v>2404</v>
      </c>
      <c r="B1197" s="50" t="s">
        <v>830</v>
      </c>
      <c r="C1197" s="50" t="s">
        <v>964</v>
      </c>
      <c r="D1197" s="50" t="s">
        <v>1262</v>
      </c>
      <c r="E1197" s="50" t="s">
        <v>1262</v>
      </c>
      <c r="F1197" s="50" t="s">
        <v>223</v>
      </c>
      <c r="G1197" s="50" t="s">
        <v>1383</v>
      </c>
      <c r="H1197" t="s">
        <v>4225</v>
      </c>
    </row>
    <row r="1198" spans="1:8">
      <c r="A1198" s="61">
        <v>2405</v>
      </c>
      <c r="B1198" s="50" t="s">
        <v>831</v>
      </c>
      <c r="C1198" s="50" t="s">
        <v>1246</v>
      </c>
      <c r="D1198" s="50" t="s">
        <v>596</v>
      </c>
      <c r="E1198" s="50" t="s">
        <v>596</v>
      </c>
      <c r="F1198" s="50" t="s">
        <v>451</v>
      </c>
      <c r="G1198" s="50" t="s">
        <v>2277</v>
      </c>
      <c r="H1198" t="s">
        <v>4226</v>
      </c>
    </row>
    <row r="1199" spans="1:8">
      <c r="A1199" s="61">
        <v>2408</v>
      </c>
      <c r="B1199" s="50" t="s">
        <v>832</v>
      </c>
      <c r="C1199" s="50" t="s">
        <v>1162</v>
      </c>
      <c r="D1199" s="50" t="s">
        <v>570</v>
      </c>
      <c r="E1199" s="50" t="s">
        <v>570</v>
      </c>
      <c r="F1199" s="50" t="s">
        <v>2037</v>
      </c>
      <c r="G1199" s="50" t="s">
        <v>1926</v>
      </c>
      <c r="H1199" t="s">
        <v>4227</v>
      </c>
    </row>
    <row r="1200" spans="1:8">
      <c r="A1200" s="61">
        <v>2415</v>
      </c>
      <c r="B1200" s="50" t="s">
        <v>833</v>
      </c>
      <c r="C1200" s="50" t="s">
        <v>782</v>
      </c>
      <c r="D1200" s="50" t="s">
        <v>185</v>
      </c>
      <c r="E1200" s="50" t="s">
        <v>185</v>
      </c>
      <c r="F1200" s="50" t="s">
        <v>1225</v>
      </c>
      <c r="G1200" s="50" t="s">
        <v>548</v>
      </c>
      <c r="H1200" t="s">
        <v>4228</v>
      </c>
    </row>
    <row r="1201" spans="1:8">
      <c r="A1201" s="61">
        <v>2416</v>
      </c>
      <c r="B1201" s="50" t="s">
        <v>834</v>
      </c>
      <c r="C1201" s="50" t="s">
        <v>1364</v>
      </c>
      <c r="D1201" s="50" t="s">
        <v>2675</v>
      </c>
      <c r="E1201" s="50" t="s">
        <v>2675</v>
      </c>
      <c r="F1201" s="50" t="s">
        <v>223</v>
      </c>
      <c r="G1201" s="50" t="s">
        <v>339</v>
      </c>
      <c r="H1201" t="s">
        <v>3499</v>
      </c>
    </row>
    <row r="1202" spans="1:8">
      <c r="A1202" s="61">
        <v>2420</v>
      </c>
      <c r="B1202" s="50" t="s">
        <v>411</v>
      </c>
      <c r="C1202" s="50" t="s">
        <v>640</v>
      </c>
      <c r="D1202" s="50" t="s">
        <v>457</v>
      </c>
      <c r="E1202" s="50" t="s">
        <v>457</v>
      </c>
      <c r="F1202" s="50" t="s">
        <v>223</v>
      </c>
      <c r="G1202" s="50" t="s">
        <v>1575</v>
      </c>
      <c r="H1202" t="s">
        <v>348</v>
      </c>
    </row>
    <row r="1203" spans="1:8">
      <c r="A1203" s="61">
        <v>2423</v>
      </c>
      <c r="B1203" s="50" t="s">
        <v>835</v>
      </c>
      <c r="C1203" s="50" t="s">
        <v>263</v>
      </c>
      <c r="D1203" s="50" t="s">
        <v>570</v>
      </c>
      <c r="E1203" s="50" t="s">
        <v>570</v>
      </c>
      <c r="F1203" s="50" t="s">
        <v>223</v>
      </c>
      <c r="G1203" s="50" t="s">
        <v>1926</v>
      </c>
      <c r="H1203" t="s">
        <v>4229</v>
      </c>
    </row>
    <row r="1204" spans="1:8">
      <c r="A1204" s="61">
        <v>2424</v>
      </c>
      <c r="B1204" s="50" t="s">
        <v>836</v>
      </c>
      <c r="C1204" s="50" t="s">
        <v>1534</v>
      </c>
      <c r="D1204" s="50" t="s">
        <v>607</v>
      </c>
      <c r="E1204" s="50" t="s">
        <v>607</v>
      </c>
      <c r="F1204" s="50" t="s">
        <v>223</v>
      </c>
      <c r="G1204" s="50" t="s">
        <v>1877</v>
      </c>
      <c r="H1204" t="s">
        <v>4230</v>
      </c>
    </row>
    <row r="1205" spans="1:8">
      <c r="A1205" s="61">
        <v>2426</v>
      </c>
      <c r="B1205" s="50" t="s">
        <v>922</v>
      </c>
      <c r="C1205" s="50" t="s">
        <v>778</v>
      </c>
      <c r="D1205" s="50" t="s">
        <v>1080</v>
      </c>
      <c r="E1205" s="50" t="s">
        <v>1080</v>
      </c>
      <c r="F1205" s="50" t="s">
        <v>223</v>
      </c>
      <c r="G1205" s="50" t="s">
        <v>531</v>
      </c>
      <c r="H1205" t="s">
        <v>4231</v>
      </c>
    </row>
    <row r="1206" spans="1:8">
      <c r="A1206" s="61">
        <v>2431</v>
      </c>
      <c r="B1206" s="50" t="s">
        <v>837</v>
      </c>
      <c r="C1206" s="50" t="s">
        <v>194</v>
      </c>
      <c r="D1206" s="50" t="s">
        <v>2824</v>
      </c>
      <c r="E1206" s="50" t="s">
        <v>2824</v>
      </c>
      <c r="F1206" s="50" t="s">
        <v>2037</v>
      </c>
      <c r="G1206" s="50" t="s">
        <v>1893</v>
      </c>
      <c r="H1206" t="s">
        <v>3010</v>
      </c>
    </row>
    <row r="1207" spans="1:8">
      <c r="A1207" s="61">
        <v>2432</v>
      </c>
      <c r="B1207" s="50" t="s">
        <v>838</v>
      </c>
      <c r="C1207" s="50" t="s">
        <v>864</v>
      </c>
      <c r="D1207" s="50" t="s">
        <v>3292</v>
      </c>
      <c r="E1207" s="50" t="s">
        <v>3292</v>
      </c>
      <c r="F1207" s="50" t="s">
        <v>223</v>
      </c>
      <c r="G1207" s="50" t="s">
        <v>1380</v>
      </c>
      <c r="H1207" t="s">
        <v>3353</v>
      </c>
    </row>
    <row r="1208" spans="1:8">
      <c r="A1208" s="61">
        <v>2433</v>
      </c>
      <c r="B1208" s="50" t="s">
        <v>839</v>
      </c>
      <c r="C1208" s="50" t="s">
        <v>778</v>
      </c>
      <c r="D1208" s="50" t="s">
        <v>711</v>
      </c>
      <c r="E1208" s="50" t="s">
        <v>711</v>
      </c>
      <c r="F1208" s="50" t="s">
        <v>1225</v>
      </c>
      <c r="G1208" s="50" t="s">
        <v>543</v>
      </c>
      <c r="H1208" t="s">
        <v>4232</v>
      </c>
    </row>
    <row r="1209" spans="1:8">
      <c r="A1209" s="61">
        <v>2434</v>
      </c>
      <c r="B1209" s="50" t="s">
        <v>925</v>
      </c>
      <c r="C1209" s="50" t="s">
        <v>775</v>
      </c>
      <c r="D1209" s="50" t="s">
        <v>2337</v>
      </c>
      <c r="E1209" s="50" t="s">
        <v>2337</v>
      </c>
      <c r="F1209" s="50" t="s">
        <v>2037</v>
      </c>
      <c r="G1209" s="50" t="s">
        <v>2157</v>
      </c>
      <c r="H1209" t="s">
        <v>2762</v>
      </c>
    </row>
    <row r="1210" spans="1:8">
      <c r="A1210" s="61">
        <v>2438</v>
      </c>
      <c r="B1210" s="50" t="s">
        <v>840</v>
      </c>
      <c r="C1210" s="50" t="s">
        <v>263</v>
      </c>
      <c r="D1210" s="50" t="s">
        <v>220</v>
      </c>
      <c r="E1210" s="50" t="s">
        <v>220</v>
      </c>
      <c r="F1210" s="50" t="s">
        <v>223</v>
      </c>
      <c r="G1210" s="50" t="s">
        <v>1887</v>
      </c>
      <c r="H1210" t="s">
        <v>2143</v>
      </c>
    </row>
    <row r="1211" spans="1:8">
      <c r="A1211" s="61">
        <v>2439</v>
      </c>
      <c r="B1211" s="50" t="s">
        <v>2044</v>
      </c>
      <c r="C1211" s="50" t="s">
        <v>477</v>
      </c>
      <c r="D1211" s="50" t="s">
        <v>503</v>
      </c>
      <c r="E1211" s="50" t="s">
        <v>503</v>
      </c>
      <c r="F1211" s="50" t="s">
        <v>223</v>
      </c>
      <c r="G1211" s="50" t="s">
        <v>1565</v>
      </c>
      <c r="H1211" t="s">
        <v>2841</v>
      </c>
    </row>
    <row r="1212" spans="1:8">
      <c r="A1212" s="61">
        <v>2441</v>
      </c>
      <c r="B1212" s="50" t="s">
        <v>248</v>
      </c>
      <c r="C1212" s="50" t="s">
        <v>263</v>
      </c>
      <c r="D1212" s="50" t="s">
        <v>452</v>
      </c>
      <c r="E1212" s="50" t="s">
        <v>452</v>
      </c>
      <c r="F1212" s="50" t="s">
        <v>223</v>
      </c>
      <c r="G1212" s="50" t="s">
        <v>346</v>
      </c>
      <c r="H1212" t="s">
        <v>4233</v>
      </c>
    </row>
    <row r="1213" spans="1:8">
      <c r="A1213" s="61">
        <v>2442</v>
      </c>
      <c r="B1213" s="50" t="s">
        <v>249</v>
      </c>
      <c r="C1213" s="50" t="s">
        <v>1135</v>
      </c>
      <c r="D1213" s="50" t="s">
        <v>437</v>
      </c>
      <c r="E1213" s="50" t="s">
        <v>437</v>
      </c>
      <c r="F1213" s="50" t="s">
        <v>223</v>
      </c>
      <c r="G1213" s="50" t="s">
        <v>342</v>
      </c>
      <c r="H1213" t="s">
        <v>4234</v>
      </c>
    </row>
    <row r="1214" spans="1:8">
      <c r="A1214" s="61">
        <v>2443</v>
      </c>
      <c r="B1214" s="50" t="s">
        <v>295</v>
      </c>
      <c r="C1214" s="50" t="s">
        <v>72</v>
      </c>
      <c r="D1214" s="50" t="s">
        <v>1090</v>
      </c>
      <c r="E1214" s="50" t="s">
        <v>1090</v>
      </c>
      <c r="F1214" s="50" t="s">
        <v>2037</v>
      </c>
      <c r="G1214" s="32" t="s">
        <v>3909</v>
      </c>
      <c r="H1214" t="s">
        <v>3046</v>
      </c>
    </row>
    <row r="1215" spans="1:8">
      <c r="A1215" s="61">
        <v>2446</v>
      </c>
      <c r="B1215" s="50" t="s">
        <v>500</v>
      </c>
      <c r="C1215" s="50" t="s">
        <v>1246</v>
      </c>
      <c r="D1215" s="50" t="s">
        <v>1262</v>
      </c>
      <c r="E1215" s="50" t="s">
        <v>1262</v>
      </c>
      <c r="F1215" s="50" t="s">
        <v>223</v>
      </c>
      <c r="G1215" s="50" t="s">
        <v>1383</v>
      </c>
      <c r="H1215" t="s">
        <v>4235</v>
      </c>
    </row>
    <row r="1216" spans="1:8">
      <c r="A1216" s="61">
        <v>2447</v>
      </c>
      <c r="B1216" s="50" t="s">
        <v>250</v>
      </c>
      <c r="C1216" s="50" t="s">
        <v>478</v>
      </c>
      <c r="D1216" s="50" t="s">
        <v>2473</v>
      </c>
      <c r="E1216" s="50" t="s">
        <v>2473</v>
      </c>
      <c r="F1216" s="50" t="s">
        <v>2037</v>
      </c>
      <c r="G1216" s="50" t="s">
        <v>2158</v>
      </c>
      <c r="H1216" t="s">
        <v>3485</v>
      </c>
    </row>
    <row r="1217" spans="1:8">
      <c r="A1217" s="61">
        <v>2453</v>
      </c>
      <c r="B1217" s="50" t="s">
        <v>2715</v>
      </c>
      <c r="C1217" s="50" t="s">
        <v>1099</v>
      </c>
      <c r="D1217" s="50" t="s">
        <v>1351</v>
      </c>
      <c r="E1217" s="50" t="s">
        <v>1351</v>
      </c>
      <c r="F1217" s="50" t="s">
        <v>451</v>
      </c>
      <c r="G1217" s="50" t="s">
        <v>1917</v>
      </c>
      <c r="H1217" t="s">
        <v>4236</v>
      </c>
    </row>
    <row r="1218" spans="1:8">
      <c r="A1218" s="61">
        <v>2461</v>
      </c>
      <c r="B1218" s="50" t="s">
        <v>288</v>
      </c>
      <c r="C1218" s="50" t="s">
        <v>964</v>
      </c>
      <c r="D1218" s="50" t="s">
        <v>432</v>
      </c>
      <c r="E1218" s="50" t="s">
        <v>432</v>
      </c>
      <c r="F1218" s="50" t="s">
        <v>223</v>
      </c>
      <c r="G1218" s="50" t="s">
        <v>3580</v>
      </c>
      <c r="H1218" t="s">
        <v>4237</v>
      </c>
    </row>
    <row r="1219" spans="1:8">
      <c r="A1219" s="61">
        <v>2462</v>
      </c>
      <c r="B1219" s="50" t="s">
        <v>1487</v>
      </c>
      <c r="C1219" s="50" t="s">
        <v>716</v>
      </c>
      <c r="D1219" s="50" t="s">
        <v>2378</v>
      </c>
      <c r="E1219" s="50" t="s">
        <v>2378</v>
      </c>
      <c r="F1219" s="50" t="s">
        <v>223</v>
      </c>
      <c r="G1219" s="50" t="s">
        <v>544</v>
      </c>
      <c r="H1219" t="s">
        <v>4238</v>
      </c>
    </row>
    <row r="1220" spans="1:8">
      <c r="A1220" s="61">
        <v>2464</v>
      </c>
      <c r="B1220" s="50" t="s">
        <v>251</v>
      </c>
      <c r="C1220" s="50" t="s">
        <v>72</v>
      </c>
      <c r="D1220" s="50" t="s">
        <v>224</v>
      </c>
      <c r="E1220" s="50" t="s">
        <v>224</v>
      </c>
      <c r="F1220" s="50" t="s">
        <v>451</v>
      </c>
      <c r="G1220" s="50" t="s">
        <v>1903</v>
      </c>
      <c r="H1220" t="s">
        <v>2967</v>
      </c>
    </row>
    <row r="1221" spans="1:8">
      <c r="A1221" s="61">
        <v>2468</v>
      </c>
      <c r="B1221" s="50" t="s">
        <v>252</v>
      </c>
      <c r="C1221" s="50" t="s">
        <v>1197</v>
      </c>
      <c r="D1221" s="50" t="s">
        <v>1063</v>
      </c>
      <c r="E1221" s="50" t="s">
        <v>1063</v>
      </c>
      <c r="F1221" s="50" t="s">
        <v>2037</v>
      </c>
      <c r="G1221" s="50" t="s">
        <v>1551</v>
      </c>
      <c r="H1221" t="s">
        <v>4239</v>
      </c>
    </row>
    <row r="1222" spans="1:8">
      <c r="A1222" s="61">
        <v>2469</v>
      </c>
      <c r="B1222" s="50" t="s">
        <v>279</v>
      </c>
      <c r="C1222" s="50" t="s">
        <v>336</v>
      </c>
      <c r="D1222" s="50" t="s">
        <v>2337</v>
      </c>
      <c r="E1222" s="50" t="s">
        <v>2337</v>
      </c>
      <c r="F1222" s="50" t="s">
        <v>223</v>
      </c>
      <c r="G1222" s="50" t="s">
        <v>2157</v>
      </c>
      <c r="H1222" t="s">
        <v>2822</v>
      </c>
    </row>
    <row r="1223" spans="1:8">
      <c r="A1223" s="61">
        <v>2470</v>
      </c>
      <c r="B1223" s="50" t="s">
        <v>253</v>
      </c>
      <c r="C1223" s="50" t="s">
        <v>336</v>
      </c>
      <c r="D1223" s="50" t="s">
        <v>596</v>
      </c>
      <c r="E1223" s="50" t="s">
        <v>596</v>
      </c>
      <c r="F1223" s="50" t="s">
        <v>451</v>
      </c>
      <c r="G1223" s="50" t="s">
        <v>2277</v>
      </c>
      <c r="H1223" t="s">
        <v>3369</v>
      </c>
    </row>
    <row r="1224" spans="1:8">
      <c r="A1224" s="61">
        <v>2472</v>
      </c>
      <c r="B1224" s="50" t="s">
        <v>254</v>
      </c>
      <c r="C1224" s="50" t="s">
        <v>197</v>
      </c>
      <c r="D1224" s="50" t="s">
        <v>2809</v>
      </c>
      <c r="E1224" s="50" t="s">
        <v>2809</v>
      </c>
      <c r="F1224" s="50" t="s">
        <v>2037</v>
      </c>
      <c r="G1224" s="50" t="s">
        <v>1893</v>
      </c>
      <c r="H1224" t="s">
        <v>3008</v>
      </c>
    </row>
    <row r="1225" spans="1:8">
      <c r="A1225" s="61">
        <v>2482</v>
      </c>
      <c r="B1225" s="50" t="s">
        <v>826</v>
      </c>
      <c r="C1225" s="50" t="s">
        <v>203</v>
      </c>
      <c r="D1225" s="50" t="s">
        <v>881</v>
      </c>
      <c r="E1225" s="50" t="s">
        <v>881</v>
      </c>
      <c r="F1225" s="50" t="s">
        <v>223</v>
      </c>
      <c r="G1225" s="32" t="s">
        <v>1910</v>
      </c>
      <c r="H1225" t="s">
        <v>4240</v>
      </c>
    </row>
    <row r="1226" spans="1:8">
      <c r="A1226" s="61">
        <v>2483</v>
      </c>
      <c r="B1226" s="50" t="s">
        <v>255</v>
      </c>
      <c r="C1226" s="50" t="s">
        <v>246</v>
      </c>
      <c r="D1226" s="50" t="s">
        <v>1335</v>
      </c>
      <c r="E1226" s="50" t="s">
        <v>1335</v>
      </c>
      <c r="F1226" s="50" t="s">
        <v>223</v>
      </c>
      <c r="G1226" s="50" t="s">
        <v>3114</v>
      </c>
      <c r="H1226" t="s">
        <v>4241</v>
      </c>
    </row>
    <row r="1227" spans="1:8">
      <c r="A1227" s="61">
        <v>2487</v>
      </c>
      <c r="B1227" s="50" t="s">
        <v>256</v>
      </c>
      <c r="C1227" s="50" t="s">
        <v>261</v>
      </c>
      <c r="D1227" s="50" t="s">
        <v>2315</v>
      </c>
      <c r="E1227" s="50" t="s">
        <v>2315</v>
      </c>
      <c r="F1227" s="50" t="s">
        <v>2610</v>
      </c>
      <c r="G1227" s="50" t="s">
        <v>1898</v>
      </c>
      <c r="H1227" t="s">
        <v>1945</v>
      </c>
    </row>
    <row r="1228" spans="1:8">
      <c r="A1228" s="61">
        <v>2488</v>
      </c>
      <c r="B1228" s="50" t="s">
        <v>257</v>
      </c>
      <c r="C1228" s="50" t="s">
        <v>780</v>
      </c>
      <c r="D1228" s="50" t="s">
        <v>318</v>
      </c>
      <c r="E1228" s="50" t="s">
        <v>318</v>
      </c>
      <c r="F1228" s="50" t="s">
        <v>223</v>
      </c>
      <c r="G1228" s="50" t="s">
        <v>2806</v>
      </c>
      <c r="H1228" t="s">
        <v>4242</v>
      </c>
    </row>
    <row r="1229" spans="1:8">
      <c r="A1229" s="61">
        <v>2490</v>
      </c>
      <c r="B1229" s="50" t="s">
        <v>258</v>
      </c>
      <c r="C1229" s="50" t="s">
        <v>194</v>
      </c>
      <c r="D1229" s="50" t="s">
        <v>3505</v>
      </c>
      <c r="E1229" s="50" t="s">
        <v>3505</v>
      </c>
      <c r="F1229" s="50" t="s">
        <v>1339</v>
      </c>
      <c r="G1229" s="50" t="s">
        <v>345</v>
      </c>
      <c r="H1229" t="s">
        <v>2844</v>
      </c>
    </row>
    <row r="1230" spans="1:8">
      <c r="A1230" s="61">
        <v>2491</v>
      </c>
      <c r="B1230" s="50" t="s">
        <v>259</v>
      </c>
      <c r="C1230" s="50" t="s">
        <v>788</v>
      </c>
      <c r="D1230" s="50" t="s">
        <v>1483</v>
      </c>
      <c r="E1230" s="50" t="s">
        <v>1483</v>
      </c>
      <c r="F1230" s="50" t="s">
        <v>223</v>
      </c>
      <c r="G1230" s="50" t="s">
        <v>2406</v>
      </c>
      <c r="H1230" t="s">
        <v>4243</v>
      </c>
    </row>
    <row r="1231" spans="1:8">
      <c r="A1231" s="61">
        <v>2494</v>
      </c>
      <c r="B1231" s="50" t="s">
        <v>1064</v>
      </c>
      <c r="C1231" s="50" t="s">
        <v>79</v>
      </c>
      <c r="D1231" s="50" t="s">
        <v>2337</v>
      </c>
      <c r="E1231" s="50" t="s">
        <v>2337</v>
      </c>
      <c r="F1231" s="50" t="s">
        <v>223</v>
      </c>
      <c r="G1231" s="50" t="s">
        <v>2157</v>
      </c>
      <c r="H1231" t="s">
        <v>4244</v>
      </c>
    </row>
    <row r="1232" spans="1:8">
      <c r="A1232" s="61">
        <v>2495</v>
      </c>
      <c r="B1232" s="50" t="s">
        <v>1065</v>
      </c>
      <c r="C1232" s="50" t="s">
        <v>446</v>
      </c>
      <c r="D1232" s="50" t="s">
        <v>2091</v>
      </c>
      <c r="E1232" s="50" t="s">
        <v>2091</v>
      </c>
      <c r="F1232" s="50" t="s">
        <v>223</v>
      </c>
      <c r="G1232" s="50" t="s">
        <v>1924</v>
      </c>
      <c r="H1232" t="s">
        <v>4245</v>
      </c>
    </row>
    <row r="1233" spans="1:8">
      <c r="A1233" s="61">
        <v>2496</v>
      </c>
      <c r="B1233" s="50" t="s">
        <v>505</v>
      </c>
      <c r="C1233" s="50" t="s">
        <v>77</v>
      </c>
      <c r="D1233" s="50" t="s">
        <v>602</v>
      </c>
      <c r="E1233" s="50" t="s">
        <v>602</v>
      </c>
      <c r="F1233" s="50" t="s">
        <v>451</v>
      </c>
      <c r="G1233" s="50" t="s">
        <v>3588</v>
      </c>
      <c r="H1233" t="s">
        <v>4246</v>
      </c>
    </row>
    <row r="1234" spans="1:8">
      <c r="A1234" s="61">
        <v>2498</v>
      </c>
      <c r="B1234" s="50" t="s">
        <v>1066</v>
      </c>
      <c r="C1234" s="50" t="s">
        <v>263</v>
      </c>
      <c r="D1234" s="50" t="s">
        <v>1437</v>
      </c>
      <c r="E1234" s="50" t="s">
        <v>1437</v>
      </c>
      <c r="F1234" s="50" t="s">
        <v>960</v>
      </c>
      <c r="G1234" s="50" t="s">
        <v>1886</v>
      </c>
      <c r="H1234" t="s">
        <v>1946</v>
      </c>
    </row>
    <row r="1235" spans="1:8">
      <c r="A1235" s="61">
        <v>2499</v>
      </c>
      <c r="B1235" s="50" t="s">
        <v>1067</v>
      </c>
      <c r="C1235" s="50" t="s">
        <v>777</v>
      </c>
      <c r="D1235" s="50" t="s">
        <v>514</v>
      </c>
      <c r="E1235" s="50" t="s">
        <v>514</v>
      </c>
      <c r="F1235" s="50" t="s">
        <v>223</v>
      </c>
      <c r="G1235" s="50" t="s">
        <v>2472</v>
      </c>
      <c r="H1235" t="s">
        <v>4247</v>
      </c>
    </row>
    <row r="1236" spans="1:8">
      <c r="A1236" s="61">
        <v>2501</v>
      </c>
      <c r="B1236" s="50" t="s">
        <v>1068</v>
      </c>
      <c r="C1236" s="50" t="s">
        <v>197</v>
      </c>
      <c r="D1236" s="50" t="s">
        <v>2094</v>
      </c>
      <c r="E1236" s="50" t="s">
        <v>2094</v>
      </c>
      <c r="F1236" s="50" t="s">
        <v>1225</v>
      </c>
      <c r="G1236" s="50" t="s">
        <v>1888</v>
      </c>
      <c r="H1236" t="s">
        <v>1384</v>
      </c>
    </row>
    <row r="1237" spans="1:8">
      <c r="A1237" s="61">
        <v>2503</v>
      </c>
      <c r="B1237" s="50" t="s">
        <v>1069</v>
      </c>
      <c r="C1237" s="50" t="s">
        <v>640</v>
      </c>
      <c r="D1237" s="50" t="s">
        <v>1335</v>
      </c>
      <c r="E1237" s="50" t="s">
        <v>1335</v>
      </c>
      <c r="F1237" s="50" t="s">
        <v>223</v>
      </c>
      <c r="G1237" s="50" t="s">
        <v>3114</v>
      </c>
      <c r="H1237" t="s">
        <v>4248</v>
      </c>
    </row>
    <row r="1238" spans="1:8">
      <c r="A1238" s="61">
        <v>2504</v>
      </c>
      <c r="B1238" s="50" t="s">
        <v>1070</v>
      </c>
      <c r="C1238" s="50" t="s">
        <v>788</v>
      </c>
      <c r="D1238" s="50" t="s">
        <v>454</v>
      </c>
      <c r="E1238" s="50" t="s">
        <v>454</v>
      </c>
      <c r="F1238" s="50" t="s">
        <v>451</v>
      </c>
      <c r="G1238" s="50" t="s">
        <v>1383</v>
      </c>
      <c r="H1238" t="s">
        <v>4249</v>
      </c>
    </row>
    <row r="1239" spans="1:8">
      <c r="A1239" s="61">
        <v>2505</v>
      </c>
      <c r="B1239" s="50" t="s">
        <v>1114</v>
      </c>
      <c r="C1239" s="50" t="s">
        <v>72</v>
      </c>
      <c r="D1239" s="50" t="s">
        <v>691</v>
      </c>
      <c r="E1239" s="50" t="s">
        <v>691</v>
      </c>
      <c r="F1239" s="50" t="s">
        <v>1225</v>
      </c>
      <c r="G1239" s="50" t="s">
        <v>547</v>
      </c>
      <c r="H1239" t="s">
        <v>4250</v>
      </c>
    </row>
    <row r="1240" spans="1:8">
      <c r="A1240" s="61">
        <v>2506</v>
      </c>
      <c r="B1240" s="50" t="s">
        <v>1071</v>
      </c>
      <c r="C1240" s="50" t="s">
        <v>266</v>
      </c>
      <c r="D1240" s="50" t="s">
        <v>1483</v>
      </c>
      <c r="E1240" s="50" t="s">
        <v>1483</v>
      </c>
      <c r="F1240" s="50" t="s">
        <v>2037</v>
      </c>
      <c r="G1240" s="50" t="s">
        <v>2406</v>
      </c>
      <c r="H1240" t="s">
        <v>4251</v>
      </c>
    </row>
    <row r="1241" spans="1:8">
      <c r="A1241" s="61">
        <v>2509</v>
      </c>
      <c r="B1241" s="50" t="s">
        <v>136</v>
      </c>
      <c r="C1241" s="50" t="s">
        <v>188</v>
      </c>
      <c r="D1241" s="50" t="s">
        <v>3064</v>
      </c>
      <c r="E1241" s="50" t="s">
        <v>3064</v>
      </c>
      <c r="F1241" s="50" t="s">
        <v>2610</v>
      </c>
      <c r="G1241" s="50" t="s">
        <v>2777</v>
      </c>
      <c r="H1241" t="s">
        <v>2921</v>
      </c>
    </row>
    <row r="1242" spans="1:8">
      <c r="A1242" s="61">
        <v>2510</v>
      </c>
      <c r="B1242" s="50" t="s">
        <v>1072</v>
      </c>
      <c r="C1242" s="50" t="s">
        <v>75</v>
      </c>
      <c r="D1242" s="50" t="s">
        <v>2729</v>
      </c>
      <c r="E1242" s="50" t="s">
        <v>2729</v>
      </c>
      <c r="F1242" s="50" t="s">
        <v>223</v>
      </c>
      <c r="G1242" s="50" t="s">
        <v>1913</v>
      </c>
      <c r="H1242" t="s">
        <v>4252</v>
      </c>
    </row>
    <row r="1243" spans="1:8">
      <c r="A1243" s="61">
        <v>2515</v>
      </c>
      <c r="B1243" s="50" t="s">
        <v>1073</v>
      </c>
      <c r="C1243" s="50" t="s">
        <v>336</v>
      </c>
      <c r="D1243" s="50" t="s">
        <v>2944</v>
      </c>
      <c r="E1243" s="50" t="s">
        <v>2944</v>
      </c>
      <c r="F1243" s="50" t="s">
        <v>223</v>
      </c>
      <c r="G1243" s="50" t="s">
        <v>1555</v>
      </c>
      <c r="H1243" t="s">
        <v>4253</v>
      </c>
    </row>
    <row r="1244" spans="1:8">
      <c r="A1244" s="61">
        <v>2519</v>
      </c>
      <c r="B1244" s="50" t="s">
        <v>1074</v>
      </c>
      <c r="C1244" s="50" t="s">
        <v>642</v>
      </c>
      <c r="D1244" s="50" t="s">
        <v>1480</v>
      </c>
      <c r="E1244" s="50" t="s">
        <v>1480</v>
      </c>
      <c r="F1244" s="50" t="s">
        <v>1225</v>
      </c>
      <c r="G1244" s="50" t="s">
        <v>2181</v>
      </c>
      <c r="H1244" t="s">
        <v>4254</v>
      </c>
    </row>
    <row r="1245" spans="1:8">
      <c r="A1245" s="61">
        <v>2520</v>
      </c>
      <c r="B1245" s="50" t="s">
        <v>307</v>
      </c>
      <c r="C1245" s="50" t="s">
        <v>866</v>
      </c>
      <c r="D1245" s="50" t="s">
        <v>1262</v>
      </c>
      <c r="E1245" s="50" t="s">
        <v>1262</v>
      </c>
      <c r="F1245" s="50" t="s">
        <v>223</v>
      </c>
      <c r="G1245" s="50" t="s">
        <v>1383</v>
      </c>
      <c r="H1245" t="s">
        <v>3491</v>
      </c>
    </row>
    <row r="1246" spans="1:8">
      <c r="A1246" s="61">
        <v>2526</v>
      </c>
      <c r="B1246" s="50" t="s">
        <v>1075</v>
      </c>
      <c r="C1246" s="50" t="s">
        <v>782</v>
      </c>
      <c r="D1246" s="50" t="s">
        <v>1226</v>
      </c>
      <c r="E1246" s="50" t="s">
        <v>1226</v>
      </c>
      <c r="F1246" s="50" t="s">
        <v>451</v>
      </c>
      <c r="G1246" s="50" t="s">
        <v>1378</v>
      </c>
      <c r="H1246" t="s">
        <v>1557</v>
      </c>
    </row>
    <row r="1247" spans="1:8">
      <c r="A1247" s="61">
        <v>2531</v>
      </c>
      <c r="B1247" s="50" t="s">
        <v>1076</v>
      </c>
      <c r="C1247" s="50" t="s">
        <v>640</v>
      </c>
      <c r="D1247" s="50" t="s">
        <v>475</v>
      </c>
      <c r="E1247" s="50" t="s">
        <v>475</v>
      </c>
      <c r="F1247" s="50" t="s">
        <v>223</v>
      </c>
      <c r="G1247" s="50" t="s">
        <v>1550</v>
      </c>
      <c r="H1247" t="s">
        <v>4255</v>
      </c>
    </row>
    <row r="1248" spans="1:8">
      <c r="A1248" s="61">
        <v>2534</v>
      </c>
      <c r="B1248" s="50" t="s">
        <v>1077</v>
      </c>
      <c r="C1248" s="50" t="s">
        <v>864</v>
      </c>
      <c r="D1248" s="50" t="s">
        <v>2675</v>
      </c>
      <c r="E1248" s="50" t="s">
        <v>2675</v>
      </c>
      <c r="F1248" s="50" t="s">
        <v>451</v>
      </c>
      <c r="G1248" s="50" t="s">
        <v>339</v>
      </c>
      <c r="H1248" t="s">
        <v>3379</v>
      </c>
    </row>
    <row r="1249" spans="1:8">
      <c r="A1249" s="61">
        <v>2535</v>
      </c>
      <c r="B1249" s="50" t="s">
        <v>1078</v>
      </c>
      <c r="C1249" s="50" t="s">
        <v>1311</v>
      </c>
      <c r="D1249" s="50" t="s">
        <v>1062</v>
      </c>
      <c r="E1249" s="50" t="s">
        <v>1062</v>
      </c>
      <c r="F1249" s="50" t="s">
        <v>223</v>
      </c>
      <c r="G1249" s="50" t="s">
        <v>1562</v>
      </c>
      <c r="H1249" t="s">
        <v>4256</v>
      </c>
    </row>
    <row r="1250" spans="1:8">
      <c r="A1250" s="61">
        <v>2541</v>
      </c>
      <c r="B1250" s="50" t="s">
        <v>1079</v>
      </c>
      <c r="C1250" s="50" t="s">
        <v>1240</v>
      </c>
      <c r="D1250" s="50" t="s">
        <v>1090</v>
      </c>
      <c r="E1250" s="50" t="s">
        <v>1090</v>
      </c>
      <c r="F1250" s="50" t="s">
        <v>451</v>
      </c>
      <c r="G1250" s="50" t="s">
        <v>3909</v>
      </c>
      <c r="H1250" t="s">
        <v>4257</v>
      </c>
    </row>
    <row r="1251" spans="1:8">
      <c r="A1251" s="61">
        <v>2543</v>
      </c>
      <c r="B1251" s="50" t="s">
        <v>7</v>
      </c>
      <c r="C1251" s="50" t="s">
        <v>642</v>
      </c>
      <c r="D1251" s="50" t="s">
        <v>1063</v>
      </c>
      <c r="E1251" s="50" t="s">
        <v>1063</v>
      </c>
      <c r="F1251" s="50" t="s">
        <v>223</v>
      </c>
      <c r="G1251" s="50" t="s">
        <v>1551</v>
      </c>
      <c r="H1251" t="s">
        <v>4258</v>
      </c>
    </row>
    <row r="1252" spans="1:8">
      <c r="A1252" s="61">
        <v>2545</v>
      </c>
      <c r="B1252" s="50" t="s">
        <v>8</v>
      </c>
      <c r="C1252" s="50" t="s">
        <v>75</v>
      </c>
      <c r="D1252" s="50" t="s">
        <v>395</v>
      </c>
      <c r="E1252" s="50" t="s">
        <v>395</v>
      </c>
      <c r="F1252" s="50" t="s">
        <v>223</v>
      </c>
      <c r="G1252" s="50" t="s">
        <v>540</v>
      </c>
      <c r="H1252" t="s">
        <v>4259</v>
      </c>
    </row>
    <row r="1253" spans="1:8">
      <c r="A1253" s="61">
        <v>2549</v>
      </c>
      <c r="B1253" s="50" t="s">
        <v>9</v>
      </c>
      <c r="C1253" s="50" t="s">
        <v>1033</v>
      </c>
      <c r="D1253" s="50" t="s">
        <v>681</v>
      </c>
      <c r="E1253" s="50" t="s">
        <v>681</v>
      </c>
      <c r="F1253" s="50" t="s">
        <v>391</v>
      </c>
      <c r="G1253" s="50" t="s">
        <v>1936</v>
      </c>
      <c r="H1253" t="s">
        <v>3148</v>
      </c>
    </row>
    <row r="1254" spans="1:8">
      <c r="A1254" s="61">
        <v>2550</v>
      </c>
      <c r="B1254" s="50" t="s">
        <v>10</v>
      </c>
      <c r="C1254" s="50" t="s">
        <v>197</v>
      </c>
      <c r="D1254" s="50" t="s">
        <v>2069</v>
      </c>
      <c r="E1254" s="50" t="s">
        <v>2069</v>
      </c>
      <c r="F1254" s="50" t="s">
        <v>1339</v>
      </c>
      <c r="G1254" s="50" t="s">
        <v>528</v>
      </c>
      <c r="H1254" t="s">
        <v>4260</v>
      </c>
    </row>
    <row r="1255" spans="1:8">
      <c r="A1255" s="61">
        <v>2552</v>
      </c>
      <c r="B1255" s="50" t="s">
        <v>10</v>
      </c>
      <c r="C1255" s="50" t="s">
        <v>1246</v>
      </c>
      <c r="D1255" s="50" t="s">
        <v>2738</v>
      </c>
      <c r="E1255" s="50" t="s">
        <v>2738</v>
      </c>
      <c r="F1255" s="50" t="s">
        <v>223</v>
      </c>
      <c r="G1255" s="50" t="s">
        <v>1567</v>
      </c>
      <c r="H1255" t="s">
        <v>2478</v>
      </c>
    </row>
    <row r="1256" spans="1:8">
      <c r="A1256" s="61">
        <v>2560</v>
      </c>
      <c r="B1256" s="50" t="s">
        <v>11</v>
      </c>
      <c r="C1256" s="50" t="s">
        <v>1311</v>
      </c>
      <c r="D1256" s="50" t="s">
        <v>178</v>
      </c>
      <c r="E1256" s="50" t="s">
        <v>178</v>
      </c>
      <c r="F1256" s="50" t="s">
        <v>223</v>
      </c>
      <c r="G1256" s="50" t="s">
        <v>1556</v>
      </c>
      <c r="H1256" t="s">
        <v>2894</v>
      </c>
    </row>
    <row r="1257" spans="1:8">
      <c r="A1257" s="61">
        <v>2561</v>
      </c>
      <c r="B1257" s="50" t="s">
        <v>12</v>
      </c>
      <c r="C1257" s="50" t="s">
        <v>1240</v>
      </c>
      <c r="D1257" s="50" t="s">
        <v>2448</v>
      </c>
      <c r="E1257" s="50" t="s">
        <v>2448</v>
      </c>
      <c r="F1257" s="50" t="s">
        <v>223</v>
      </c>
      <c r="G1257" s="50" t="s">
        <v>1907</v>
      </c>
      <c r="H1257" t="s">
        <v>4261</v>
      </c>
    </row>
    <row r="1258" spans="1:8">
      <c r="A1258" s="61">
        <v>2566</v>
      </c>
      <c r="B1258" s="50" t="s">
        <v>358</v>
      </c>
      <c r="C1258" s="50" t="s">
        <v>199</v>
      </c>
      <c r="D1258" s="50" t="s">
        <v>208</v>
      </c>
      <c r="E1258" s="50" t="s">
        <v>208</v>
      </c>
      <c r="F1258" s="50" t="s">
        <v>1339</v>
      </c>
      <c r="G1258" s="50" t="s">
        <v>3514</v>
      </c>
      <c r="H1258" t="s">
        <v>3533</v>
      </c>
    </row>
    <row r="1259" spans="1:8">
      <c r="A1259" s="61">
        <v>2570</v>
      </c>
      <c r="B1259" s="50" t="s">
        <v>13</v>
      </c>
      <c r="C1259" s="50" t="s">
        <v>864</v>
      </c>
      <c r="D1259" s="50" t="s">
        <v>2377</v>
      </c>
      <c r="E1259" s="50" t="s">
        <v>2377</v>
      </c>
      <c r="F1259" s="50" t="s">
        <v>223</v>
      </c>
      <c r="G1259" s="50" t="s">
        <v>1395</v>
      </c>
      <c r="H1259" t="s">
        <v>2818</v>
      </c>
    </row>
    <row r="1260" spans="1:8">
      <c r="A1260" s="61">
        <v>2571</v>
      </c>
      <c r="B1260" s="50" t="s">
        <v>14</v>
      </c>
      <c r="C1260" s="50" t="s">
        <v>637</v>
      </c>
      <c r="D1260" s="50" t="s">
        <v>2686</v>
      </c>
      <c r="E1260" s="50" t="s">
        <v>2686</v>
      </c>
      <c r="F1260" s="50" t="s">
        <v>223</v>
      </c>
      <c r="G1260" s="50" t="s">
        <v>529</v>
      </c>
      <c r="H1260" t="s">
        <v>1552</v>
      </c>
    </row>
    <row r="1261" spans="1:8">
      <c r="A1261" s="61">
        <v>2575</v>
      </c>
      <c r="B1261" s="50" t="s">
        <v>15</v>
      </c>
      <c r="C1261" s="50" t="s">
        <v>197</v>
      </c>
      <c r="D1261" s="50" t="s">
        <v>1969</v>
      </c>
      <c r="E1261" s="50" t="s">
        <v>1969</v>
      </c>
      <c r="F1261" s="50" t="s">
        <v>1339</v>
      </c>
      <c r="G1261" s="50" t="s">
        <v>1917</v>
      </c>
      <c r="H1261" t="s">
        <v>3004</v>
      </c>
    </row>
    <row r="1262" spans="1:8">
      <c r="A1262" s="61">
        <v>2579</v>
      </c>
      <c r="B1262" s="50" t="s">
        <v>16</v>
      </c>
      <c r="C1262" s="50" t="s">
        <v>640</v>
      </c>
      <c r="D1262" s="50" t="s">
        <v>457</v>
      </c>
      <c r="E1262" s="50" t="s">
        <v>457</v>
      </c>
      <c r="F1262" s="50" t="s">
        <v>223</v>
      </c>
      <c r="G1262" s="50" t="s">
        <v>1575</v>
      </c>
      <c r="H1262" t="s">
        <v>1376</v>
      </c>
    </row>
    <row r="1263" spans="1:8">
      <c r="A1263" s="61">
        <v>2580</v>
      </c>
      <c r="B1263" s="50" t="s">
        <v>17</v>
      </c>
      <c r="C1263" s="50" t="s">
        <v>263</v>
      </c>
      <c r="D1263" s="50" t="s">
        <v>2473</v>
      </c>
      <c r="E1263" s="50" t="s">
        <v>2473</v>
      </c>
      <c r="F1263" s="50" t="s">
        <v>451</v>
      </c>
      <c r="G1263" s="50" t="s">
        <v>2158</v>
      </c>
      <c r="H1263" t="s">
        <v>2906</v>
      </c>
    </row>
    <row r="1264" spans="1:8">
      <c r="A1264" s="61">
        <v>2581</v>
      </c>
      <c r="B1264" s="50" t="s">
        <v>18</v>
      </c>
      <c r="C1264" s="50" t="s">
        <v>336</v>
      </c>
      <c r="D1264" s="50" t="s">
        <v>683</v>
      </c>
      <c r="E1264" s="50" t="s">
        <v>683</v>
      </c>
      <c r="F1264" s="50" t="s">
        <v>223</v>
      </c>
      <c r="G1264" s="50" t="s">
        <v>1900</v>
      </c>
      <c r="H1264" t="s">
        <v>4262</v>
      </c>
    </row>
    <row r="1265" spans="1:8">
      <c r="A1265" s="61">
        <v>2582</v>
      </c>
      <c r="B1265" s="50" t="s">
        <v>493</v>
      </c>
      <c r="C1265" s="50" t="s">
        <v>19</v>
      </c>
      <c r="D1265" s="50" t="s">
        <v>1338</v>
      </c>
      <c r="E1265" s="50" t="s">
        <v>1338</v>
      </c>
      <c r="F1265" s="50" t="s">
        <v>1225</v>
      </c>
      <c r="G1265" s="50" t="s">
        <v>2103</v>
      </c>
      <c r="H1265" t="s">
        <v>4263</v>
      </c>
    </row>
    <row r="1266" spans="1:8">
      <c r="A1266" s="61">
        <v>2583</v>
      </c>
      <c r="B1266" s="50" t="s">
        <v>2410</v>
      </c>
      <c r="C1266" s="50" t="s">
        <v>2311</v>
      </c>
      <c r="D1266" s="50" t="s">
        <v>607</v>
      </c>
      <c r="E1266" s="50" t="s">
        <v>607</v>
      </c>
      <c r="F1266" s="50" t="s">
        <v>451</v>
      </c>
      <c r="G1266" s="50" t="s">
        <v>1877</v>
      </c>
      <c r="H1266" t="s">
        <v>2408</v>
      </c>
    </row>
    <row r="1267" spans="1:8">
      <c r="A1267" s="61">
        <v>2593</v>
      </c>
      <c r="B1267" s="50" t="s">
        <v>1217</v>
      </c>
      <c r="C1267" s="50" t="s">
        <v>964</v>
      </c>
      <c r="D1267" s="50" t="s">
        <v>2772</v>
      </c>
      <c r="E1267" s="50" t="s">
        <v>2772</v>
      </c>
      <c r="F1267" s="50" t="s">
        <v>2037</v>
      </c>
      <c r="G1267" s="50" t="s">
        <v>1390</v>
      </c>
      <c r="H1267" t="s">
        <v>2960</v>
      </c>
    </row>
    <row r="1268" spans="1:8">
      <c r="A1268" s="61">
        <v>2594</v>
      </c>
      <c r="B1268" s="50" t="s">
        <v>20</v>
      </c>
      <c r="C1268" s="50" t="s">
        <v>194</v>
      </c>
      <c r="D1268" s="50" t="s">
        <v>596</v>
      </c>
      <c r="E1268" s="50" t="s">
        <v>596</v>
      </c>
      <c r="F1268" s="50" t="s">
        <v>1339</v>
      </c>
      <c r="G1268" s="50" t="s">
        <v>2277</v>
      </c>
      <c r="H1268" t="s">
        <v>4264</v>
      </c>
    </row>
    <row r="1269" spans="1:8">
      <c r="A1269" s="61">
        <v>2595</v>
      </c>
      <c r="B1269" s="50" t="s">
        <v>21</v>
      </c>
      <c r="C1269" s="50" t="s">
        <v>263</v>
      </c>
      <c r="D1269" s="50" t="s">
        <v>597</v>
      </c>
      <c r="E1269" s="50" t="s">
        <v>597</v>
      </c>
      <c r="F1269" s="50" t="s">
        <v>2037</v>
      </c>
      <c r="G1269" s="50" t="s">
        <v>1902</v>
      </c>
      <c r="H1269" t="s">
        <v>2830</v>
      </c>
    </row>
    <row r="1270" spans="1:8">
      <c r="A1270" s="61">
        <v>2598</v>
      </c>
      <c r="B1270" s="50" t="s">
        <v>22</v>
      </c>
      <c r="C1270" s="50" t="s">
        <v>1197</v>
      </c>
      <c r="D1270" s="50" t="s">
        <v>2675</v>
      </c>
      <c r="E1270" s="50" t="s">
        <v>2675</v>
      </c>
      <c r="F1270" s="50" t="s">
        <v>223</v>
      </c>
      <c r="G1270" s="50" t="s">
        <v>339</v>
      </c>
      <c r="H1270" t="s">
        <v>3075</v>
      </c>
    </row>
    <row r="1271" spans="1:8">
      <c r="A1271" s="61">
        <v>2600</v>
      </c>
      <c r="B1271" s="50" t="s">
        <v>23</v>
      </c>
      <c r="C1271" s="50" t="s">
        <v>800</v>
      </c>
      <c r="D1271" s="50" t="s">
        <v>2324</v>
      </c>
      <c r="E1271" s="50" t="s">
        <v>2324</v>
      </c>
      <c r="F1271" s="50" t="s">
        <v>223</v>
      </c>
      <c r="G1271" s="50" t="s">
        <v>2326</v>
      </c>
      <c r="H1271" t="s">
        <v>4265</v>
      </c>
    </row>
    <row r="1272" spans="1:8">
      <c r="A1272" s="61">
        <v>2603</v>
      </c>
      <c r="B1272" s="50" t="s">
        <v>986</v>
      </c>
      <c r="C1272" s="50" t="s">
        <v>778</v>
      </c>
      <c r="D1272" s="50" t="s">
        <v>2377</v>
      </c>
      <c r="E1272" s="50" t="s">
        <v>2377</v>
      </c>
      <c r="F1272" s="50" t="s">
        <v>1339</v>
      </c>
      <c r="G1272" s="50" t="s">
        <v>1395</v>
      </c>
      <c r="H1272" t="s">
        <v>3149</v>
      </c>
    </row>
    <row r="1273" spans="1:8">
      <c r="A1273" s="61">
        <v>2605</v>
      </c>
      <c r="B1273" s="50" t="s">
        <v>24</v>
      </c>
      <c r="C1273" s="50" t="s">
        <v>79</v>
      </c>
      <c r="D1273" s="50" t="s">
        <v>2675</v>
      </c>
      <c r="E1273" s="50" t="s">
        <v>2675</v>
      </c>
      <c r="F1273" s="50" t="s">
        <v>223</v>
      </c>
      <c r="G1273" s="50" t="s">
        <v>339</v>
      </c>
      <c r="H1273" t="s">
        <v>3500</v>
      </c>
    </row>
    <row r="1274" spans="1:8">
      <c r="A1274" s="61">
        <v>2608</v>
      </c>
      <c r="B1274" s="50" t="s">
        <v>25</v>
      </c>
      <c r="C1274" s="50" t="s">
        <v>263</v>
      </c>
      <c r="D1274" s="50" t="s">
        <v>2378</v>
      </c>
      <c r="E1274" s="50" t="s">
        <v>2378</v>
      </c>
      <c r="F1274" s="50" t="s">
        <v>223</v>
      </c>
      <c r="G1274" s="50" t="s">
        <v>544</v>
      </c>
      <c r="H1274" t="s">
        <v>3038</v>
      </c>
    </row>
    <row r="1275" spans="1:8">
      <c r="A1275" s="61">
        <v>2617</v>
      </c>
      <c r="B1275" s="50" t="s">
        <v>26</v>
      </c>
      <c r="C1275" s="50" t="s">
        <v>1311</v>
      </c>
      <c r="D1275" s="50" t="s">
        <v>2377</v>
      </c>
      <c r="E1275" s="50" t="s">
        <v>2377</v>
      </c>
      <c r="F1275" s="50" t="s">
        <v>223</v>
      </c>
      <c r="G1275" s="50" t="s">
        <v>1395</v>
      </c>
      <c r="H1275" t="s">
        <v>4266</v>
      </c>
    </row>
    <row r="1276" spans="1:8">
      <c r="A1276" s="61">
        <v>2618</v>
      </c>
      <c r="B1276" s="50" t="s">
        <v>27</v>
      </c>
      <c r="C1276" s="50" t="s">
        <v>261</v>
      </c>
      <c r="D1276" s="50" t="s">
        <v>2324</v>
      </c>
      <c r="E1276" s="50" t="s">
        <v>2324</v>
      </c>
      <c r="F1276" s="50" t="s">
        <v>451</v>
      </c>
      <c r="G1276" s="50" t="s">
        <v>2326</v>
      </c>
      <c r="H1276" t="s">
        <v>4267</v>
      </c>
    </row>
    <row r="1277" spans="1:8">
      <c r="A1277" s="61">
        <v>2620</v>
      </c>
      <c r="B1277" s="50" t="s">
        <v>28</v>
      </c>
      <c r="C1277" s="50" t="s">
        <v>864</v>
      </c>
      <c r="D1277" s="50" t="s">
        <v>772</v>
      </c>
      <c r="E1277" s="50" t="s">
        <v>772</v>
      </c>
      <c r="F1277" s="50" t="s">
        <v>223</v>
      </c>
      <c r="G1277" s="50" t="s">
        <v>1389</v>
      </c>
      <c r="H1277" t="s">
        <v>4268</v>
      </c>
    </row>
    <row r="1278" spans="1:8">
      <c r="A1278" s="61">
        <v>2621</v>
      </c>
      <c r="B1278" s="50" t="s">
        <v>29</v>
      </c>
      <c r="C1278" s="50" t="s">
        <v>642</v>
      </c>
      <c r="D1278" s="50" t="s">
        <v>454</v>
      </c>
      <c r="E1278" s="50" t="s">
        <v>454</v>
      </c>
      <c r="F1278" s="50" t="s">
        <v>2037</v>
      </c>
      <c r="G1278" s="50" t="s">
        <v>1383</v>
      </c>
      <c r="H1278" t="s">
        <v>4269</v>
      </c>
    </row>
    <row r="1279" spans="1:8">
      <c r="A1279" s="61">
        <v>2623</v>
      </c>
      <c r="B1279" s="50" t="s">
        <v>30</v>
      </c>
      <c r="C1279" s="50" t="s">
        <v>188</v>
      </c>
      <c r="D1279" s="50" t="s">
        <v>503</v>
      </c>
      <c r="E1279" s="50" t="s">
        <v>503</v>
      </c>
      <c r="F1279" s="50" t="s">
        <v>451</v>
      </c>
      <c r="G1279" s="50" t="s">
        <v>1565</v>
      </c>
      <c r="H1279" t="s">
        <v>4270</v>
      </c>
    </row>
    <row r="1280" spans="1:8">
      <c r="A1280" s="61">
        <v>2624</v>
      </c>
      <c r="B1280" s="50" t="s">
        <v>31</v>
      </c>
      <c r="C1280" s="50" t="s">
        <v>989</v>
      </c>
      <c r="D1280" s="50" t="s">
        <v>503</v>
      </c>
      <c r="E1280" s="50" t="s">
        <v>503</v>
      </c>
      <c r="F1280" s="50" t="s">
        <v>223</v>
      </c>
      <c r="G1280" s="50" t="s">
        <v>1565</v>
      </c>
      <c r="H1280" t="s">
        <v>3407</v>
      </c>
    </row>
    <row r="1281" spans="1:8">
      <c r="A1281" s="61">
        <v>2647</v>
      </c>
      <c r="B1281" s="50" t="s">
        <v>1590</v>
      </c>
      <c r="C1281" s="50" t="s">
        <v>1410</v>
      </c>
      <c r="D1281" s="50" t="s">
        <v>655</v>
      </c>
      <c r="E1281" s="50" t="s">
        <v>655</v>
      </c>
      <c r="F1281" s="50" t="s">
        <v>1366</v>
      </c>
      <c r="G1281" s="50" t="s">
        <v>1928</v>
      </c>
      <c r="H1281" t="s">
        <v>4271</v>
      </c>
    </row>
    <row r="1282" spans="1:8">
      <c r="A1282" s="61">
        <v>2675</v>
      </c>
      <c r="B1282" s="50" t="s">
        <v>32</v>
      </c>
      <c r="C1282" s="50" t="s">
        <v>246</v>
      </c>
      <c r="D1282" s="50" t="s">
        <v>3</v>
      </c>
      <c r="E1282" s="50" t="s">
        <v>3</v>
      </c>
      <c r="F1282" s="50" t="s">
        <v>392</v>
      </c>
      <c r="G1282" s="50" t="s">
        <v>1929</v>
      </c>
      <c r="H1282" t="s">
        <v>4272</v>
      </c>
    </row>
    <row r="1283" spans="1:8">
      <c r="A1283" s="61">
        <v>2677</v>
      </c>
      <c r="B1283" s="50" t="s">
        <v>1443</v>
      </c>
      <c r="C1283" s="50" t="s">
        <v>190</v>
      </c>
      <c r="D1283" s="50" t="s">
        <v>1482</v>
      </c>
      <c r="E1283" s="50" t="s">
        <v>1482</v>
      </c>
      <c r="F1283" s="50" t="s">
        <v>1224</v>
      </c>
      <c r="G1283" s="50" t="s">
        <v>2099</v>
      </c>
      <c r="H1283" t="s">
        <v>4273</v>
      </c>
    </row>
    <row r="1284" spans="1:8">
      <c r="A1284" s="61">
        <v>2679</v>
      </c>
      <c r="B1284" s="50" t="s">
        <v>33</v>
      </c>
      <c r="C1284" s="50" t="s">
        <v>964</v>
      </c>
      <c r="D1284" s="50" t="s">
        <v>433</v>
      </c>
      <c r="E1284" s="50" t="s">
        <v>433</v>
      </c>
      <c r="F1284" s="50" t="s">
        <v>1225</v>
      </c>
      <c r="G1284" s="50" t="s">
        <v>2146</v>
      </c>
      <c r="H1284" t="s">
        <v>4274</v>
      </c>
    </row>
    <row r="1285" spans="1:8">
      <c r="A1285" s="61">
        <v>2693</v>
      </c>
      <c r="B1285" s="50" t="s">
        <v>387</v>
      </c>
      <c r="C1285" s="50" t="s">
        <v>1099</v>
      </c>
      <c r="D1285" s="50" t="s">
        <v>2945</v>
      </c>
      <c r="E1285" s="50" t="s">
        <v>2945</v>
      </c>
      <c r="F1285" s="50" t="s">
        <v>390</v>
      </c>
      <c r="G1285" s="50" t="s">
        <v>2534</v>
      </c>
      <c r="H1285" t="s">
        <v>4275</v>
      </c>
    </row>
    <row r="1286" spans="1:8">
      <c r="A1286" s="61">
        <v>2702</v>
      </c>
      <c r="B1286" s="50" t="s">
        <v>329</v>
      </c>
      <c r="C1286" s="50" t="s">
        <v>336</v>
      </c>
      <c r="D1286" s="50" t="s">
        <v>1480</v>
      </c>
      <c r="E1286" s="50" t="s">
        <v>1480</v>
      </c>
      <c r="F1286" s="50" t="s">
        <v>1225</v>
      </c>
      <c r="G1286" s="50" t="s">
        <v>2181</v>
      </c>
      <c r="H1286" t="s">
        <v>4276</v>
      </c>
    </row>
    <row r="1287" spans="1:8">
      <c r="A1287" s="61">
        <v>2703</v>
      </c>
      <c r="B1287" s="50" t="s">
        <v>34</v>
      </c>
      <c r="C1287" s="50" t="s">
        <v>1311</v>
      </c>
      <c r="D1287" s="50" t="s">
        <v>1318</v>
      </c>
      <c r="E1287" s="50" t="s">
        <v>1318</v>
      </c>
      <c r="F1287" s="50" t="s">
        <v>1225</v>
      </c>
      <c r="G1287" s="50" t="s">
        <v>1905</v>
      </c>
      <c r="H1287" t="s">
        <v>4277</v>
      </c>
    </row>
    <row r="1288" spans="1:8">
      <c r="A1288" s="61">
        <v>2745</v>
      </c>
      <c r="B1288" s="50" t="s">
        <v>35</v>
      </c>
      <c r="C1288" s="50" t="s">
        <v>1197</v>
      </c>
      <c r="D1288" s="50" t="s">
        <v>438</v>
      </c>
      <c r="E1288" s="50" t="s">
        <v>438</v>
      </c>
      <c r="F1288" s="50" t="s">
        <v>223</v>
      </c>
      <c r="G1288" s="50" t="s">
        <v>1391</v>
      </c>
      <c r="H1288" t="s">
        <v>2618</v>
      </c>
    </row>
    <row r="1289" spans="1:8">
      <c r="A1289" s="61">
        <v>2753</v>
      </c>
      <c r="B1289" s="50" t="s">
        <v>36</v>
      </c>
      <c r="C1289" s="50" t="s">
        <v>79</v>
      </c>
      <c r="D1289" s="50" t="s">
        <v>1180</v>
      </c>
      <c r="E1289" s="50" t="s">
        <v>1180</v>
      </c>
      <c r="F1289" s="50" t="s">
        <v>1322</v>
      </c>
      <c r="G1289" s="50" t="s">
        <v>2768</v>
      </c>
      <c r="H1289" t="s">
        <v>1947</v>
      </c>
    </row>
    <row r="1290" spans="1:8">
      <c r="A1290" s="61">
        <v>2755</v>
      </c>
      <c r="B1290" s="50" t="s">
        <v>37</v>
      </c>
      <c r="C1290" s="50" t="s">
        <v>286</v>
      </c>
      <c r="D1290" s="50" t="s">
        <v>655</v>
      </c>
      <c r="E1290" s="50" t="s">
        <v>655</v>
      </c>
      <c r="F1290" s="50" t="s">
        <v>1366</v>
      </c>
      <c r="G1290" s="50" t="s">
        <v>1928</v>
      </c>
      <c r="H1290" t="s">
        <v>4278</v>
      </c>
    </row>
    <row r="1291" spans="1:8">
      <c r="A1291" s="61">
        <v>2756</v>
      </c>
      <c r="B1291" s="50" t="s">
        <v>2739</v>
      </c>
      <c r="C1291" s="50" t="s">
        <v>1099</v>
      </c>
      <c r="D1291" s="50" t="s">
        <v>1263</v>
      </c>
      <c r="E1291" s="50" t="s">
        <v>1263</v>
      </c>
      <c r="F1291" s="50" t="s">
        <v>1366</v>
      </c>
      <c r="G1291" s="50" t="s">
        <v>1571</v>
      </c>
      <c r="H1291" t="s">
        <v>4279</v>
      </c>
    </row>
    <row r="1292" spans="1:8">
      <c r="A1292" s="61">
        <v>2759</v>
      </c>
      <c r="B1292" s="50" t="s">
        <v>381</v>
      </c>
      <c r="C1292" s="50" t="s">
        <v>194</v>
      </c>
      <c r="D1292" s="50" t="s">
        <v>808</v>
      </c>
      <c r="E1292" s="50" t="s">
        <v>808</v>
      </c>
      <c r="F1292" s="50" t="s">
        <v>390</v>
      </c>
      <c r="G1292" s="50" t="s">
        <v>1580</v>
      </c>
      <c r="H1292" t="s">
        <v>4280</v>
      </c>
    </row>
    <row r="1293" spans="1:8">
      <c r="A1293" s="61">
        <v>2760</v>
      </c>
      <c r="B1293" s="50" t="s">
        <v>3305</v>
      </c>
      <c r="C1293" s="50" t="s">
        <v>1197</v>
      </c>
      <c r="D1293" s="50" t="s">
        <v>569</v>
      </c>
      <c r="E1293" s="50" t="s">
        <v>569</v>
      </c>
      <c r="F1293" s="50" t="s">
        <v>1322</v>
      </c>
      <c r="G1293" s="50" t="s">
        <v>1896</v>
      </c>
      <c r="H1293" t="s">
        <v>4281</v>
      </c>
    </row>
    <row r="1294" spans="1:8">
      <c r="A1294" s="61">
        <v>2762</v>
      </c>
      <c r="B1294" s="50" t="s">
        <v>2593</v>
      </c>
      <c r="C1294" s="50" t="s">
        <v>188</v>
      </c>
      <c r="D1294" s="50" t="s">
        <v>2784</v>
      </c>
      <c r="E1294" s="50" t="s">
        <v>2784</v>
      </c>
      <c r="F1294" s="50" t="s">
        <v>1996</v>
      </c>
      <c r="G1294" s="50" t="s">
        <v>2766</v>
      </c>
      <c r="H1294" t="s">
        <v>1948</v>
      </c>
    </row>
    <row r="1295" spans="1:8">
      <c r="A1295" s="61">
        <v>2763</v>
      </c>
      <c r="B1295" s="50" t="s">
        <v>1591</v>
      </c>
      <c r="C1295" s="50" t="s">
        <v>1197</v>
      </c>
      <c r="D1295" s="50" t="s">
        <v>2672</v>
      </c>
      <c r="E1295" s="50" t="s">
        <v>2672</v>
      </c>
      <c r="F1295" s="50" t="s">
        <v>392</v>
      </c>
      <c r="G1295" s="32" t="s">
        <v>3339</v>
      </c>
      <c r="H1295" t="s">
        <v>4282</v>
      </c>
    </row>
    <row r="1296" spans="1:8">
      <c r="A1296" s="61">
        <v>2765</v>
      </c>
      <c r="B1296" s="50" t="s">
        <v>1255</v>
      </c>
      <c r="C1296" s="50" t="s">
        <v>775</v>
      </c>
      <c r="D1296" s="50" t="s">
        <v>455</v>
      </c>
      <c r="E1296" s="50" t="s">
        <v>455</v>
      </c>
      <c r="F1296" s="50" t="s">
        <v>1224</v>
      </c>
      <c r="G1296" s="50" t="s">
        <v>1883</v>
      </c>
      <c r="H1296" t="s">
        <v>4283</v>
      </c>
    </row>
    <row r="1297" spans="1:8">
      <c r="A1297" s="61">
        <v>2776</v>
      </c>
      <c r="B1297" s="50" t="s">
        <v>1357</v>
      </c>
      <c r="C1297" s="50" t="s">
        <v>1534</v>
      </c>
      <c r="D1297" s="50" t="s">
        <v>1367</v>
      </c>
      <c r="E1297" s="50" t="s">
        <v>1367</v>
      </c>
      <c r="F1297" s="50" t="s">
        <v>1366</v>
      </c>
      <c r="G1297" s="50" t="s">
        <v>2774</v>
      </c>
      <c r="H1297" t="s">
        <v>4284</v>
      </c>
    </row>
    <row r="1298" spans="1:8">
      <c r="A1298" s="61">
        <v>2777</v>
      </c>
      <c r="B1298" s="50" t="s">
        <v>639</v>
      </c>
      <c r="C1298" s="50" t="s">
        <v>716</v>
      </c>
      <c r="D1298" s="50" t="s">
        <v>142</v>
      </c>
      <c r="E1298" s="50" t="s">
        <v>142</v>
      </c>
      <c r="F1298" s="50" t="s">
        <v>1366</v>
      </c>
      <c r="G1298" s="50" t="s">
        <v>2057</v>
      </c>
      <c r="H1298" t="s">
        <v>4285</v>
      </c>
    </row>
    <row r="1299" spans="1:8">
      <c r="A1299" s="61">
        <v>2783</v>
      </c>
      <c r="B1299" s="50" t="s">
        <v>1358</v>
      </c>
      <c r="C1299" s="50" t="s">
        <v>1490</v>
      </c>
      <c r="D1299" s="50" t="s">
        <v>1181</v>
      </c>
      <c r="E1299" s="50" t="s">
        <v>1181</v>
      </c>
      <c r="F1299" s="50" t="s">
        <v>390</v>
      </c>
      <c r="G1299" s="50" t="s">
        <v>1581</v>
      </c>
      <c r="H1299" t="s">
        <v>4286</v>
      </c>
    </row>
    <row r="1300" spans="1:8">
      <c r="A1300" s="61">
        <v>2787</v>
      </c>
      <c r="B1300" s="50" t="s">
        <v>1359</v>
      </c>
      <c r="C1300" s="50" t="s">
        <v>1345</v>
      </c>
      <c r="D1300" s="50" t="s">
        <v>808</v>
      </c>
      <c r="E1300" s="50" t="s">
        <v>808</v>
      </c>
      <c r="F1300" s="50" t="s">
        <v>1366</v>
      </c>
      <c r="G1300" s="50" t="s">
        <v>1580</v>
      </c>
      <c r="H1300" t="s">
        <v>4287</v>
      </c>
    </row>
    <row r="1301" spans="1:8">
      <c r="A1301" s="61">
        <v>2788</v>
      </c>
      <c r="B1301" s="50" t="s">
        <v>1360</v>
      </c>
      <c r="C1301" s="50" t="s">
        <v>1246</v>
      </c>
      <c r="D1301" s="50" t="s">
        <v>808</v>
      </c>
      <c r="E1301" s="50" t="s">
        <v>808</v>
      </c>
      <c r="F1301" s="50" t="s">
        <v>1366</v>
      </c>
      <c r="G1301" s="50" t="s">
        <v>1580</v>
      </c>
      <c r="H1301" t="s">
        <v>4288</v>
      </c>
    </row>
    <row r="1302" spans="1:8">
      <c r="A1302" s="61">
        <v>2795</v>
      </c>
      <c r="B1302" s="50" t="s">
        <v>1361</v>
      </c>
      <c r="C1302" s="50" t="s">
        <v>1362</v>
      </c>
      <c r="D1302" s="50" t="s">
        <v>808</v>
      </c>
      <c r="E1302" s="50" t="s">
        <v>808</v>
      </c>
      <c r="F1302" s="50" t="s">
        <v>390</v>
      </c>
      <c r="G1302" s="50" t="s">
        <v>1580</v>
      </c>
      <c r="H1302" t="s">
        <v>4289</v>
      </c>
    </row>
    <row r="1303" spans="1:8">
      <c r="A1303" s="61">
        <v>2796</v>
      </c>
      <c r="B1303" s="50" t="s">
        <v>1215</v>
      </c>
      <c r="C1303" s="50" t="s">
        <v>553</v>
      </c>
      <c r="D1303" s="50" t="s">
        <v>1613</v>
      </c>
      <c r="E1303" s="50" t="s">
        <v>1613</v>
      </c>
      <c r="F1303" s="50" t="s">
        <v>960</v>
      </c>
      <c r="G1303" s="50" t="s">
        <v>1948</v>
      </c>
      <c r="H1303" t="s">
        <v>2768</v>
      </c>
    </row>
    <row r="1304" spans="1:8">
      <c r="A1304" s="61">
        <v>2797</v>
      </c>
      <c r="B1304" s="50" t="s">
        <v>1216</v>
      </c>
      <c r="C1304" s="50" t="s">
        <v>553</v>
      </c>
      <c r="D1304" s="50" t="s">
        <v>810</v>
      </c>
      <c r="E1304" s="50" t="s">
        <v>810</v>
      </c>
      <c r="F1304" s="50" t="s">
        <v>1322</v>
      </c>
      <c r="G1304" s="50" t="s">
        <v>2105</v>
      </c>
      <c r="H1304" t="s">
        <v>3582</v>
      </c>
    </row>
    <row r="1305" spans="1:8">
      <c r="A1305" s="61">
        <v>2810</v>
      </c>
      <c r="B1305" s="50" t="s">
        <v>661</v>
      </c>
      <c r="C1305" s="50" t="s">
        <v>640</v>
      </c>
      <c r="D1305" s="50" t="s">
        <v>206</v>
      </c>
      <c r="E1305" s="50" t="s">
        <v>206</v>
      </c>
      <c r="F1305" s="50" t="s">
        <v>223</v>
      </c>
      <c r="G1305" s="50" t="s">
        <v>532</v>
      </c>
      <c r="H1305" t="s">
        <v>4290</v>
      </c>
    </row>
    <row r="1306" spans="1:8">
      <c r="A1306" s="61">
        <v>2811</v>
      </c>
      <c r="B1306" s="50" t="s">
        <v>20</v>
      </c>
      <c r="C1306" s="50" t="s">
        <v>640</v>
      </c>
      <c r="D1306" s="50" t="s">
        <v>2999</v>
      </c>
      <c r="E1306" s="50" t="s">
        <v>2999</v>
      </c>
      <c r="F1306" s="50" t="s">
        <v>223</v>
      </c>
      <c r="G1306" s="50" t="s">
        <v>1390</v>
      </c>
      <c r="H1306" t="s">
        <v>3526</v>
      </c>
    </row>
    <row r="1307" spans="1:8">
      <c r="A1307" s="61">
        <v>2812</v>
      </c>
      <c r="B1307" s="50" t="s">
        <v>1326</v>
      </c>
      <c r="C1307" s="50" t="s">
        <v>637</v>
      </c>
      <c r="D1307" s="50" t="s">
        <v>601</v>
      </c>
      <c r="E1307" s="50" t="s">
        <v>601</v>
      </c>
      <c r="F1307" s="50" t="s">
        <v>223</v>
      </c>
      <c r="G1307" s="50" t="s">
        <v>2064</v>
      </c>
      <c r="H1307" t="s">
        <v>3493</v>
      </c>
    </row>
    <row r="1308" spans="1:8">
      <c r="A1308" s="61">
        <v>2814</v>
      </c>
      <c r="B1308" s="50" t="s">
        <v>162</v>
      </c>
      <c r="C1308" s="50" t="s">
        <v>1527</v>
      </c>
      <c r="D1308" s="50" t="s">
        <v>2686</v>
      </c>
      <c r="E1308" s="50" t="s">
        <v>2686</v>
      </c>
      <c r="F1308" s="50" t="s">
        <v>223</v>
      </c>
      <c r="G1308" s="50" t="s">
        <v>529</v>
      </c>
      <c r="H1308" t="s">
        <v>3150</v>
      </c>
    </row>
    <row r="1309" spans="1:8">
      <c r="A1309" s="61">
        <v>2816</v>
      </c>
      <c r="B1309" s="50" t="s">
        <v>1327</v>
      </c>
      <c r="C1309" s="50" t="s">
        <v>261</v>
      </c>
      <c r="D1309" s="50" t="s">
        <v>2787</v>
      </c>
      <c r="E1309" s="50" t="s">
        <v>2787</v>
      </c>
      <c r="F1309" s="50" t="s">
        <v>2037</v>
      </c>
      <c r="G1309" s="50" t="s">
        <v>1555</v>
      </c>
      <c r="H1309" t="s">
        <v>2958</v>
      </c>
    </row>
    <row r="1310" spans="1:8">
      <c r="A1310" s="61">
        <v>2818</v>
      </c>
      <c r="B1310" s="50" t="s">
        <v>1328</v>
      </c>
      <c r="C1310" s="50" t="s">
        <v>1313</v>
      </c>
      <c r="D1310" s="50" t="s">
        <v>224</v>
      </c>
      <c r="E1310" s="50" t="s">
        <v>224</v>
      </c>
      <c r="F1310" s="50" t="s">
        <v>223</v>
      </c>
      <c r="G1310" s="50" t="s">
        <v>1903</v>
      </c>
      <c r="H1310" t="s">
        <v>3498</v>
      </c>
    </row>
    <row r="1311" spans="1:8">
      <c r="A1311" s="61">
        <v>2819</v>
      </c>
      <c r="B1311" s="50" t="s">
        <v>1203</v>
      </c>
      <c r="C1311" s="50" t="s">
        <v>638</v>
      </c>
      <c r="D1311" s="50" t="s">
        <v>514</v>
      </c>
      <c r="E1311" s="50" t="s">
        <v>514</v>
      </c>
      <c r="F1311" s="50" t="s">
        <v>451</v>
      </c>
      <c r="G1311" s="50" t="s">
        <v>2472</v>
      </c>
      <c r="H1311" t="s">
        <v>3098</v>
      </c>
    </row>
    <row r="1312" spans="1:8">
      <c r="A1312" s="61">
        <v>2820</v>
      </c>
      <c r="B1312" s="50" t="s">
        <v>1329</v>
      </c>
      <c r="C1312" s="50" t="s">
        <v>1536</v>
      </c>
      <c r="D1312" s="50" t="s">
        <v>2325</v>
      </c>
      <c r="E1312" s="50" t="s">
        <v>2325</v>
      </c>
      <c r="F1312" s="50" t="s">
        <v>223</v>
      </c>
      <c r="G1312" s="50" t="s">
        <v>1912</v>
      </c>
      <c r="H1312" t="s">
        <v>4291</v>
      </c>
    </row>
    <row r="1313" spans="1:8">
      <c r="A1313" s="61">
        <v>2821</v>
      </c>
      <c r="B1313" s="50" t="s">
        <v>1330</v>
      </c>
      <c r="C1313" s="50" t="s">
        <v>778</v>
      </c>
      <c r="D1313" s="50" t="s">
        <v>2402</v>
      </c>
      <c r="E1313" s="50" t="s">
        <v>2402</v>
      </c>
      <c r="F1313" s="50" t="s">
        <v>223</v>
      </c>
      <c r="G1313" s="50" t="s">
        <v>1909</v>
      </c>
      <c r="H1313" t="s">
        <v>2980</v>
      </c>
    </row>
    <row r="1314" spans="1:8">
      <c r="A1314" s="61">
        <v>2823</v>
      </c>
      <c r="B1314" s="50" t="s">
        <v>1105</v>
      </c>
      <c r="C1314" s="50" t="s">
        <v>642</v>
      </c>
      <c r="D1314" s="50" t="s">
        <v>507</v>
      </c>
      <c r="E1314" s="50" t="s">
        <v>507</v>
      </c>
      <c r="F1314" s="50" t="s">
        <v>451</v>
      </c>
      <c r="G1314" s="50" t="s">
        <v>1910</v>
      </c>
      <c r="H1314" t="s">
        <v>2110</v>
      </c>
    </row>
    <row r="1315" spans="1:8">
      <c r="A1315" s="61">
        <v>2824</v>
      </c>
      <c r="B1315" s="50" t="s">
        <v>1255</v>
      </c>
      <c r="C1315" s="50" t="s">
        <v>964</v>
      </c>
      <c r="D1315" s="50" t="s">
        <v>691</v>
      </c>
      <c r="E1315" s="50" t="s">
        <v>691</v>
      </c>
      <c r="F1315" s="50" t="s">
        <v>1225</v>
      </c>
      <c r="G1315" s="50" t="s">
        <v>547</v>
      </c>
      <c r="H1315" t="s">
        <v>4292</v>
      </c>
    </row>
    <row r="1316" spans="1:8">
      <c r="A1316" s="61">
        <v>2826</v>
      </c>
      <c r="B1316" s="50" t="s">
        <v>915</v>
      </c>
      <c r="C1316" s="50" t="s">
        <v>1208</v>
      </c>
      <c r="D1316" s="50" t="s">
        <v>844</v>
      </c>
      <c r="E1316" s="50" t="s">
        <v>844</v>
      </c>
      <c r="F1316" s="50" t="s">
        <v>223</v>
      </c>
      <c r="G1316" s="50" t="s">
        <v>1903</v>
      </c>
      <c r="H1316" t="s">
        <v>2951</v>
      </c>
    </row>
    <row r="1317" spans="1:8">
      <c r="A1317" s="61">
        <v>2827</v>
      </c>
      <c r="B1317" s="50" t="s">
        <v>1331</v>
      </c>
      <c r="C1317" s="50" t="s">
        <v>246</v>
      </c>
      <c r="D1317" s="50" t="s">
        <v>2337</v>
      </c>
      <c r="E1317" s="50" t="s">
        <v>2337</v>
      </c>
      <c r="F1317" s="50" t="s">
        <v>223</v>
      </c>
      <c r="G1317" s="50" t="s">
        <v>2157</v>
      </c>
      <c r="H1317" t="s">
        <v>2823</v>
      </c>
    </row>
    <row r="1318" spans="1:8">
      <c r="A1318" s="61">
        <v>2840</v>
      </c>
      <c r="B1318" s="50" t="s">
        <v>2163</v>
      </c>
      <c r="C1318" s="50" t="s">
        <v>79</v>
      </c>
      <c r="D1318" s="50" t="s">
        <v>2108</v>
      </c>
      <c r="E1318" s="50" t="s">
        <v>2108</v>
      </c>
      <c r="F1318" s="50" t="s">
        <v>686</v>
      </c>
      <c r="G1318" s="50" t="s">
        <v>1932</v>
      </c>
      <c r="H1318" t="s">
        <v>4293</v>
      </c>
    </row>
    <row r="1319" spans="1:8">
      <c r="A1319" s="61">
        <v>2841</v>
      </c>
      <c r="B1319" s="50" t="s">
        <v>2291</v>
      </c>
      <c r="C1319" s="50" t="s">
        <v>423</v>
      </c>
      <c r="D1319" s="50" t="s">
        <v>144</v>
      </c>
      <c r="E1319" s="50" t="s">
        <v>144</v>
      </c>
      <c r="F1319" s="50" t="s">
        <v>392</v>
      </c>
      <c r="G1319" s="50" t="s">
        <v>2135</v>
      </c>
      <c r="H1319" t="s">
        <v>4294</v>
      </c>
    </row>
    <row r="1320" spans="1:8">
      <c r="A1320" s="61">
        <v>2844</v>
      </c>
      <c r="B1320" s="50" t="s">
        <v>1332</v>
      </c>
      <c r="C1320" s="50" t="s">
        <v>188</v>
      </c>
      <c r="D1320" s="50" t="s">
        <v>2580</v>
      </c>
      <c r="E1320" s="50" t="s">
        <v>2580</v>
      </c>
      <c r="F1320" s="50" t="s">
        <v>392</v>
      </c>
      <c r="G1320" s="50" t="s">
        <v>2581</v>
      </c>
      <c r="H1320" t="s">
        <v>4295</v>
      </c>
    </row>
    <row r="1321" spans="1:8">
      <c r="A1321" s="61">
        <v>2845</v>
      </c>
      <c r="B1321" s="50" t="s">
        <v>669</v>
      </c>
      <c r="C1321" s="50" t="s">
        <v>553</v>
      </c>
      <c r="D1321" s="50" t="s">
        <v>681</v>
      </c>
      <c r="E1321" s="50" t="s">
        <v>681</v>
      </c>
      <c r="F1321" s="50" t="s">
        <v>686</v>
      </c>
      <c r="G1321" s="50" t="s">
        <v>1936</v>
      </c>
      <c r="H1321" t="s">
        <v>4296</v>
      </c>
    </row>
    <row r="1322" spans="1:8">
      <c r="A1322" s="61">
        <v>2847</v>
      </c>
      <c r="B1322" s="50" t="s">
        <v>1333</v>
      </c>
      <c r="C1322" s="50" t="s">
        <v>1334</v>
      </c>
      <c r="D1322" s="50" t="s">
        <v>598</v>
      </c>
      <c r="E1322" s="50" t="s">
        <v>598</v>
      </c>
      <c r="F1322" s="50" t="s">
        <v>392</v>
      </c>
      <c r="G1322" s="50" t="s">
        <v>2093</v>
      </c>
      <c r="H1322" t="s">
        <v>4297</v>
      </c>
    </row>
    <row r="1323" spans="1:8">
      <c r="A1323" s="61">
        <v>2856</v>
      </c>
      <c r="B1323" s="50" t="s">
        <v>1592</v>
      </c>
      <c r="C1323" s="50" t="s">
        <v>246</v>
      </c>
      <c r="D1323" s="50" t="s">
        <v>1124</v>
      </c>
      <c r="E1323" s="50" t="s">
        <v>1124</v>
      </c>
      <c r="F1323" s="50" t="s">
        <v>392</v>
      </c>
      <c r="G1323" s="50" t="s">
        <v>1938</v>
      </c>
      <c r="H1323" t="s">
        <v>2391</v>
      </c>
    </row>
    <row r="1324" spans="1:8">
      <c r="A1324" s="61">
        <v>2857</v>
      </c>
      <c r="B1324" s="50" t="s">
        <v>1864</v>
      </c>
      <c r="C1324" s="50" t="s">
        <v>1197</v>
      </c>
      <c r="D1324" s="50" t="s">
        <v>2</v>
      </c>
      <c r="E1324" s="50" t="s">
        <v>2</v>
      </c>
      <c r="F1324" s="50" t="s">
        <v>392</v>
      </c>
      <c r="G1324" s="50" t="s">
        <v>1918</v>
      </c>
      <c r="H1324" t="s">
        <v>2392</v>
      </c>
    </row>
    <row r="1325" spans="1:8">
      <c r="A1325" s="61">
        <v>2860</v>
      </c>
      <c r="B1325" s="50" t="s">
        <v>1949</v>
      </c>
      <c r="C1325" s="50" t="s">
        <v>780</v>
      </c>
      <c r="D1325" s="50" t="s">
        <v>1874</v>
      </c>
      <c r="E1325" s="50" t="s">
        <v>1874</v>
      </c>
      <c r="F1325" s="50" t="s">
        <v>731</v>
      </c>
      <c r="G1325" s="50" t="s">
        <v>539</v>
      </c>
      <c r="H1325" t="s">
        <v>4298</v>
      </c>
    </row>
    <row r="1326" spans="1:8">
      <c r="A1326" s="61">
        <v>2861</v>
      </c>
      <c r="B1326" s="50" t="s">
        <v>1950</v>
      </c>
      <c r="C1326" s="50" t="s">
        <v>246</v>
      </c>
      <c r="D1326" s="50" t="s">
        <v>681</v>
      </c>
      <c r="E1326" s="50" t="s">
        <v>681</v>
      </c>
      <c r="F1326" s="50" t="s">
        <v>686</v>
      </c>
      <c r="G1326" s="50" t="s">
        <v>1936</v>
      </c>
      <c r="H1326" t="s">
        <v>3151</v>
      </c>
    </row>
    <row r="1327" spans="1:8">
      <c r="A1327" s="61">
        <v>2865</v>
      </c>
      <c r="B1327" s="50" t="s">
        <v>942</v>
      </c>
      <c r="C1327" s="50" t="s">
        <v>75</v>
      </c>
      <c r="D1327" s="50" t="s">
        <v>2435</v>
      </c>
      <c r="E1327" s="50" t="s">
        <v>2435</v>
      </c>
      <c r="F1327" s="50" t="s">
        <v>1225</v>
      </c>
      <c r="G1327" s="50" t="s">
        <v>1583</v>
      </c>
      <c r="H1327" t="s">
        <v>4299</v>
      </c>
    </row>
    <row r="1328" spans="1:8">
      <c r="A1328" s="61">
        <v>2871</v>
      </c>
      <c r="B1328" s="50" t="s">
        <v>1951</v>
      </c>
      <c r="C1328" s="50" t="s">
        <v>1952</v>
      </c>
      <c r="D1328" s="50" t="s">
        <v>691</v>
      </c>
      <c r="E1328" s="50" t="s">
        <v>691</v>
      </c>
      <c r="F1328" s="50" t="s">
        <v>731</v>
      </c>
      <c r="G1328" s="50" t="s">
        <v>547</v>
      </c>
      <c r="H1328" t="s">
        <v>4300</v>
      </c>
    </row>
    <row r="1329" spans="1:8">
      <c r="A1329" s="61">
        <v>2873</v>
      </c>
      <c r="B1329" s="50" t="s">
        <v>1953</v>
      </c>
      <c r="C1329" s="50" t="s">
        <v>553</v>
      </c>
      <c r="D1329" s="50" t="s">
        <v>1180</v>
      </c>
      <c r="E1329" s="50" t="s">
        <v>1180</v>
      </c>
      <c r="F1329" s="50" t="s">
        <v>389</v>
      </c>
      <c r="G1329" s="50" t="s">
        <v>1947</v>
      </c>
      <c r="H1329" t="s">
        <v>4301</v>
      </c>
    </row>
    <row r="1330" spans="1:8">
      <c r="A1330" s="61">
        <v>2875</v>
      </c>
      <c r="B1330" s="50" t="s">
        <v>1954</v>
      </c>
      <c r="C1330" s="50" t="s">
        <v>242</v>
      </c>
      <c r="D1330" s="50" t="s">
        <v>843</v>
      </c>
      <c r="E1330" s="50" t="s">
        <v>843</v>
      </c>
      <c r="F1330" s="50" t="s">
        <v>1322</v>
      </c>
      <c r="G1330" s="50" t="s">
        <v>1882</v>
      </c>
      <c r="H1330" t="s">
        <v>1955</v>
      </c>
    </row>
    <row r="1331" spans="1:8">
      <c r="A1331" s="61">
        <v>2876</v>
      </c>
      <c r="B1331" s="50" t="s">
        <v>1956</v>
      </c>
      <c r="C1331" s="50" t="s">
        <v>263</v>
      </c>
      <c r="D1331" s="50" t="s">
        <v>711</v>
      </c>
      <c r="E1331" s="50" t="s">
        <v>711</v>
      </c>
      <c r="F1331" s="50" t="s">
        <v>731</v>
      </c>
      <c r="G1331" s="50" t="s">
        <v>543</v>
      </c>
      <c r="H1331" t="s">
        <v>4302</v>
      </c>
    </row>
    <row r="1332" spans="1:8">
      <c r="A1332" s="61">
        <v>2877</v>
      </c>
      <c r="B1332" s="50" t="s">
        <v>1957</v>
      </c>
      <c r="C1332" s="50" t="s">
        <v>261</v>
      </c>
      <c r="D1332" s="50" t="s">
        <v>881</v>
      </c>
      <c r="E1332" s="50" t="s">
        <v>881</v>
      </c>
      <c r="F1332" s="50" t="s">
        <v>223</v>
      </c>
      <c r="G1332" s="50" t="s">
        <v>1910</v>
      </c>
      <c r="H1332" t="s">
        <v>4303</v>
      </c>
    </row>
    <row r="1333" spans="1:8">
      <c r="A1333" s="61">
        <v>2878</v>
      </c>
      <c r="B1333" s="50" t="s">
        <v>1958</v>
      </c>
      <c r="C1333" s="50" t="s">
        <v>75</v>
      </c>
      <c r="D1333" s="50" t="s">
        <v>1873</v>
      </c>
      <c r="E1333" s="50" t="s">
        <v>1873</v>
      </c>
      <c r="F1333" s="50" t="s">
        <v>2610</v>
      </c>
      <c r="G1333" s="50" t="s">
        <v>539</v>
      </c>
      <c r="H1333" t="s">
        <v>4304</v>
      </c>
    </row>
    <row r="1334" spans="1:8">
      <c r="A1334" s="61">
        <v>2883</v>
      </c>
      <c r="B1334" s="50" t="s">
        <v>1964</v>
      </c>
      <c r="C1334" s="50" t="s">
        <v>1172</v>
      </c>
      <c r="D1334" s="50" t="s">
        <v>1615</v>
      </c>
      <c r="E1334" s="50" t="s">
        <v>1615</v>
      </c>
      <c r="F1334" s="50" t="s">
        <v>1366</v>
      </c>
      <c r="G1334" s="50" t="s">
        <v>2785</v>
      </c>
      <c r="H1334" t="s">
        <v>4305</v>
      </c>
    </row>
    <row r="1335" spans="1:8">
      <c r="A1335" s="61">
        <v>2893</v>
      </c>
      <c r="B1335" s="50" t="s">
        <v>1864</v>
      </c>
      <c r="C1335" s="50" t="s">
        <v>2045</v>
      </c>
      <c r="D1335" s="50" t="s">
        <v>1180</v>
      </c>
      <c r="E1335" s="50" t="s">
        <v>1180</v>
      </c>
      <c r="F1335" s="50" t="s">
        <v>390</v>
      </c>
      <c r="G1335" s="32" t="s">
        <v>1947</v>
      </c>
      <c r="H1335" t="s">
        <v>4306</v>
      </c>
    </row>
    <row r="1336" spans="1:8">
      <c r="A1336" s="61">
        <v>2894</v>
      </c>
      <c r="B1336" s="50" t="s">
        <v>2046</v>
      </c>
      <c r="C1336" s="50" t="s">
        <v>1414</v>
      </c>
      <c r="D1336" s="50" t="s">
        <v>808</v>
      </c>
      <c r="E1336" s="50" t="s">
        <v>808</v>
      </c>
      <c r="F1336" s="50" t="s">
        <v>390</v>
      </c>
      <c r="G1336" s="50" t="s">
        <v>1580</v>
      </c>
      <c r="H1336" t="s">
        <v>4307</v>
      </c>
    </row>
    <row r="1337" spans="1:8">
      <c r="A1337" s="61">
        <v>2895</v>
      </c>
      <c r="B1337" s="50" t="s">
        <v>492</v>
      </c>
      <c r="C1337" s="50" t="s">
        <v>326</v>
      </c>
      <c r="D1337" s="50" t="s">
        <v>809</v>
      </c>
      <c r="E1337" s="50" t="s">
        <v>809</v>
      </c>
      <c r="F1337" s="50" t="s">
        <v>1322</v>
      </c>
      <c r="G1337" s="50" t="s">
        <v>1886</v>
      </c>
      <c r="H1337" t="s">
        <v>2773</v>
      </c>
    </row>
    <row r="1338" spans="1:8">
      <c r="A1338" s="61">
        <v>2901</v>
      </c>
      <c r="B1338" s="50" t="s">
        <v>2047</v>
      </c>
      <c r="C1338" s="50" t="s">
        <v>2048</v>
      </c>
      <c r="D1338" s="50" t="s">
        <v>2824</v>
      </c>
      <c r="E1338" s="50" t="s">
        <v>2824</v>
      </c>
      <c r="F1338" s="50" t="s">
        <v>451</v>
      </c>
      <c r="G1338" s="50" t="s">
        <v>1893</v>
      </c>
      <c r="H1338" t="s">
        <v>3392</v>
      </c>
    </row>
    <row r="1339" spans="1:8">
      <c r="A1339" s="61">
        <v>2902</v>
      </c>
      <c r="B1339" s="50" t="s">
        <v>471</v>
      </c>
      <c r="C1339" s="50" t="s">
        <v>1593</v>
      </c>
      <c r="D1339" s="50" t="s">
        <v>772</v>
      </c>
      <c r="E1339" s="50" t="s">
        <v>772</v>
      </c>
      <c r="F1339" s="50" t="s">
        <v>451</v>
      </c>
      <c r="G1339" s="50" t="s">
        <v>1389</v>
      </c>
      <c r="H1339" t="s">
        <v>4308</v>
      </c>
    </row>
    <row r="1340" spans="1:8">
      <c r="A1340" s="61">
        <v>2903</v>
      </c>
      <c r="B1340" s="50" t="s">
        <v>1186</v>
      </c>
      <c r="C1340" s="50" t="s">
        <v>1099</v>
      </c>
      <c r="D1340" s="50" t="s">
        <v>890</v>
      </c>
      <c r="E1340" s="50" t="s">
        <v>890</v>
      </c>
      <c r="F1340" s="50" t="s">
        <v>1366</v>
      </c>
      <c r="G1340" s="50" t="s">
        <v>546</v>
      </c>
      <c r="H1340" t="s">
        <v>4309</v>
      </c>
    </row>
    <row r="1341" spans="1:8">
      <c r="A1341" s="61">
        <v>2904</v>
      </c>
      <c r="B1341" s="50" t="s">
        <v>2117</v>
      </c>
      <c r="C1341" s="50" t="s">
        <v>1474</v>
      </c>
      <c r="D1341" s="50" t="s">
        <v>2007</v>
      </c>
      <c r="E1341" s="50" t="s">
        <v>2007</v>
      </c>
      <c r="F1341" s="50" t="s">
        <v>392</v>
      </c>
      <c r="G1341" s="50" t="s">
        <v>2147</v>
      </c>
      <c r="H1341" t="s">
        <v>4310</v>
      </c>
    </row>
    <row r="1342" spans="1:8">
      <c r="A1342" s="61">
        <v>2905</v>
      </c>
      <c r="B1342" s="50" t="s">
        <v>1115</v>
      </c>
      <c r="C1342" s="50" t="s">
        <v>640</v>
      </c>
      <c r="D1342" s="50" t="s">
        <v>2786</v>
      </c>
      <c r="E1342" s="50" t="s">
        <v>2786</v>
      </c>
      <c r="F1342" s="50" t="s">
        <v>686</v>
      </c>
      <c r="G1342" s="50" t="s">
        <v>2095</v>
      </c>
      <c r="H1342" t="s">
        <v>4311</v>
      </c>
    </row>
    <row r="1343" spans="1:8">
      <c r="A1343" s="61">
        <v>2906</v>
      </c>
      <c r="B1343" s="50" t="s">
        <v>2132</v>
      </c>
      <c r="C1343" s="50" t="s">
        <v>718</v>
      </c>
      <c r="D1343" s="50" t="s">
        <v>2007</v>
      </c>
      <c r="E1343" s="50" t="s">
        <v>2007</v>
      </c>
      <c r="F1343" s="50" t="s">
        <v>686</v>
      </c>
      <c r="G1343" s="50" t="s">
        <v>2147</v>
      </c>
      <c r="H1343" t="s">
        <v>4312</v>
      </c>
    </row>
    <row r="1344" spans="1:8">
      <c r="A1344" s="61">
        <v>2907</v>
      </c>
      <c r="B1344" s="50" t="s">
        <v>2154</v>
      </c>
      <c r="C1344" s="50" t="s">
        <v>79</v>
      </c>
      <c r="D1344" s="50" t="s">
        <v>1615</v>
      </c>
      <c r="E1344" s="50" t="s">
        <v>1615</v>
      </c>
      <c r="F1344" s="50" t="s">
        <v>1366</v>
      </c>
      <c r="G1344" s="50" t="s">
        <v>2785</v>
      </c>
      <c r="H1344" t="s">
        <v>4313</v>
      </c>
    </row>
    <row r="1345" spans="1:8">
      <c r="A1345" s="61">
        <v>2908</v>
      </c>
      <c r="B1345" s="50" t="s">
        <v>2049</v>
      </c>
      <c r="C1345" s="50" t="s">
        <v>1522</v>
      </c>
      <c r="D1345" s="50" t="s">
        <v>2377</v>
      </c>
      <c r="E1345" s="50" t="s">
        <v>2377</v>
      </c>
      <c r="F1345" s="50" t="s">
        <v>2128</v>
      </c>
      <c r="G1345" s="50" t="s">
        <v>1395</v>
      </c>
      <c r="H1345" t="s">
        <v>4314</v>
      </c>
    </row>
    <row r="1346" spans="1:8">
      <c r="A1346" s="61">
        <v>2910</v>
      </c>
      <c r="B1346" s="50" t="s">
        <v>1965</v>
      </c>
      <c r="C1346" s="50" t="s">
        <v>1246</v>
      </c>
      <c r="D1346" s="50" t="s">
        <v>2450</v>
      </c>
      <c r="E1346" s="50" t="s">
        <v>2450</v>
      </c>
      <c r="F1346" s="50" t="s">
        <v>2128</v>
      </c>
      <c r="G1346" s="50" t="s">
        <v>1582</v>
      </c>
      <c r="H1346" t="s">
        <v>1966</v>
      </c>
    </row>
    <row r="1347" spans="1:8">
      <c r="A1347" s="61">
        <v>2911</v>
      </c>
      <c r="B1347" s="50" t="s">
        <v>2065</v>
      </c>
      <c r="C1347" s="50" t="s">
        <v>190</v>
      </c>
      <c r="D1347" s="50" t="s">
        <v>845</v>
      </c>
      <c r="E1347" s="50" t="s">
        <v>845</v>
      </c>
      <c r="F1347" s="50" t="s">
        <v>451</v>
      </c>
      <c r="G1347" s="50" t="s">
        <v>3114</v>
      </c>
      <c r="H1347" t="s">
        <v>4315</v>
      </c>
    </row>
    <row r="1348" spans="1:8">
      <c r="A1348" s="61">
        <v>2912</v>
      </c>
      <c r="B1348" s="50" t="s">
        <v>2595</v>
      </c>
      <c r="C1348" s="50" t="s">
        <v>2155</v>
      </c>
      <c r="D1348" s="50" t="s">
        <v>890</v>
      </c>
      <c r="E1348" s="50" t="s">
        <v>890</v>
      </c>
      <c r="F1348" s="50" t="s">
        <v>1366</v>
      </c>
      <c r="G1348" s="50" t="s">
        <v>546</v>
      </c>
      <c r="H1348" t="s">
        <v>4316</v>
      </c>
    </row>
    <row r="1349" spans="1:8">
      <c r="A1349" s="61">
        <v>2913</v>
      </c>
      <c r="B1349" s="50" t="s">
        <v>2156</v>
      </c>
      <c r="C1349" s="50" t="s">
        <v>1197</v>
      </c>
      <c r="D1349" s="50" t="s">
        <v>216</v>
      </c>
      <c r="E1349" s="50" t="s">
        <v>216</v>
      </c>
      <c r="F1349" s="50" t="s">
        <v>1224</v>
      </c>
      <c r="G1349" s="50" t="s">
        <v>1935</v>
      </c>
      <c r="H1349" t="s">
        <v>4317</v>
      </c>
    </row>
    <row r="1350" spans="1:8">
      <c r="A1350" s="61">
        <v>2915</v>
      </c>
      <c r="B1350" s="50" t="s">
        <v>2946</v>
      </c>
      <c r="C1350" s="50" t="s">
        <v>477</v>
      </c>
      <c r="D1350" s="50" t="s">
        <v>1180</v>
      </c>
      <c r="E1350" s="50" t="s">
        <v>1180</v>
      </c>
      <c r="F1350" s="50" t="s">
        <v>1366</v>
      </c>
      <c r="G1350" s="50" t="s">
        <v>1947</v>
      </c>
      <c r="H1350" t="s">
        <v>4318</v>
      </c>
    </row>
    <row r="1351" spans="1:8">
      <c r="A1351" s="61">
        <v>2916</v>
      </c>
      <c r="B1351" s="50" t="s">
        <v>2119</v>
      </c>
      <c r="C1351" s="50" t="s">
        <v>553</v>
      </c>
      <c r="D1351" s="50" t="s">
        <v>2377</v>
      </c>
      <c r="E1351" s="50" t="s">
        <v>2377</v>
      </c>
      <c r="F1351" s="50" t="s">
        <v>451</v>
      </c>
      <c r="G1351" s="50" t="s">
        <v>1395</v>
      </c>
      <c r="H1351" t="s">
        <v>3387</v>
      </c>
    </row>
    <row r="1352" spans="1:8">
      <c r="A1352" s="61">
        <v>2918</v>
      </c>
      <c r="B1352" s="50" t="s">
        <v>2120</v>
      </c>
      <c r="C1352" s="50" t="s">
        <v>2121</v>
      </c>
      <c r="D1352" s="50" t="s">
        <v>504</v>
      </c>
      <c r="E1352" s="50" t="s">
        <v>504</v>
      </c>
      <c r="F1352" s="50" t="s">
        <v>451</v>
      </c>
      <c r="G1352" s="50" t="s">
        <v>4171</v>
      </c>
      <c r="H1352" t="s">
        <v>2837</v>
      </c>
    </row>
    <row r="1353" spans="1:8">
      <c r="A1353" s="61">
        <v>2919</v>
      </c>
      <c r="B1353" s="50" t="s">
        <v>46</v>
      </c>
      <c r="C1353" s="50" t="s">
        <v>1162</v>
      </c>
      <c r="D1353" s="50" t="s">
        <v>2072</v>
      </c>
      <c r="E1353" s="50" t="s">
        <v>2072</v>
      </c>
      <c r="F1353" s="50" t="s">
        <v>451</v>
      </c>
      <c r="G1353" s="50" t="s">
        <v>1398</v>
      </c>
      <c r="H1353" t="s">
        <v>4319</v>
      </c>
    </row>
    <row r="1354" spans="1:8">
      <c r="A1354" s="61">
        <v>2920</v>
      </c>
      <c r="B1354" s="50" t="s">
        <v>2050</v>
      </c>
      <c r="C1354" s="50" t="s">
        <v>1413</v>
      </c>
      <c r="D1354" s="50" t="s">
        <v>1967</v>
      </c>
      <c r="E1354" s="50" t="s">
        <v>1967</v>
      </c>
      <c r="F1354" s="50" t="s">
        <v>451</v>
      </c>
      <c r="G1354" s="50" t="s">
        <v>2064</v>
      </c>
      <c r="H1354" t="s">
        <v>3492</v>
      </c>
    </row>
    <row r="1355" spans="1:8">
      <c r="A1355" s="61">
        <v>2921</v>
      </c>
      <c r="B1355" s="50" t="s">
        <v>2125</v>
      </c>
      <c r="C1355" s="50" t="s">
        <v>964</v>
      </c>
      <c r="D1355" s="50" t="s">
        <v>771</v>
      </c>
      <c r="E1355" s="50" t="s">
        <v>771</v>
      </c>
      <c r="F1355" s="50" t="s">
        <v>451</v>
      </c>
      <c r="G1355" s="50" t="s">
        <v>1379</v>
      </c>
      <c r="H1355" t="s">
        <v>2109</v>
      </c>
    </row>
    <row r="1356" spans="1:8">
      <c r="A1356" s="61">
        <v>2922</v>
      </c>
      <c r="B1356" s="50" t="s">
        <v>2118</v>
      </c>
      <c r="C1356" s="50" t="s">
        <v>1099</v>
      </c>
      <c r="D1356" s="50" t="s">
        <v>2377</v>
      </c>
      <c r="E1356" s="50" t="s">
        <v>2377</v>
      </c>
      <c r="F1356" s="50" t="s">
        <v>451</v>
      </c>
      <c r="G1356" s="50" t="s">
        <v>1395</v>
      </c>
      <c r="H1356" t="s">
        <v>2955</v>
      </c>
    </row>
    <row r="1357" spans="1:8">
      <c r="A1357" s="61">
        <v>2923</v>
      </c>
      <c r="B1357" s="50" t="s">
        <v>986</v>
      </c>
      <c r="C1357" s="50" t="s">
        <v>553</v>
      </c>
      <c r="D1357" s="50" t="s">
        <v>2377</v>
      </c>
      <c r="E1357" s="50" t="s">
        <v>2377</v>
      </c>
      <c r="F1357" s="50" t="s">
        <v>451</v>
      </c>
      <c r="G1357" s="50" t="s">
        <v>1395</v>
      </c>
      <c r="H1357" t="s">
        <v>4320</v>
      </c>
    </row>
    <row r="1358" spans="1:8">
      <c r="A1358" s="61">
        <v>2924</v>
      </c>
      <c r="B1358" s="50" t="s">
        <v>1940</v>
      </c>
      <c r="C1358" s="50" t="s">
        <v>188</v>
      </c>
      <c r="D1358" s="50" t="s">
        <v>2377</v>
      </c>
      <c r="E1358" s="50" t="s">
        <v>2377</v>
      </c>
      <c r="F1358" s="50" t="s">
        <v>451</v>
      </c>
      <c r="G1358" s="50" t="s">
        <v>1395</v>
      </c>
      <c r="H1358" t="s">
        <v>1959</v>
      </c>
    </row>
    <row r="1359" spans="1:8">
      <c r="A1359" s="61">
        <v>2925</v>
      </c>
      <c r="B1359" s="50" t="s">
        <v>91</v>
      </c>
      <c r="C1359" s="50" t="s">
        <v>72</v>
      </c>
      <c r="D1359" s="50" t="s">
        <v>1039</v>
      </c>
      <c r="E1359" s="50" t="s">
        <v>1039</v>
      </c>
      <c r="F1359" s="50" t="s">
        <v>451</v>
      </c>
      <c r="G1359" s="50" t="s">
        <v>1561</v>
      </c>
      <c r="H1359" t="s">
        <v>4321</v>
      </c>
    </row>
    <row r="1360" spans="1:8">
      <c r="A1360" s="61">
        <v>2926</v>
      </c>
      <c r="B1360" s="50" t="s">
        <v>2051</v>
      </c>
      <c r="C1360" s="50" t="s">
        <v>2052</v>
      </c>
      <c r="D1360" s="50" t="s">
        <v>2999</v>
      </c>
      <c r="E1360" s="50" t="s">
        <v>2999</v>
      </c>
      <c r="F1360" s="50" t="s">
        <v>451</v>
      </c>
      <c r="G1360" s="50" t="s">
        <v>1390</v>
      </c>
      <c r="H1360" t="s">
        <v>2953</v>
      </c>
    </row>
    <row r="1361" spans="1:8">
      <c r="A1361" s="61">
        <v>2928</v>
      </c>
      <c r="B1361" s="50" t="s">
        <v>2122</v>
      </c>
      <c r="C1361" s="50" t="s">
        <v>188</v>
      </c>
      <c r="D1361" s="50" t="s">
        <v>1969</v>
      </c>
      <c r="E1361" s="50" t="s">
        <v>1969</v>
      </c>
      <c r="F1361" s="50" t="s">
        <v>451</v>
      </c>
      <c r="G1361" s="50" t="s">
        <v>1917</v>
      </c>
      <c r="H1361" t="s">
        <v>2107</v>
      </c>
    </row>
    <row r="1362" spans="1:8">
      <c r="A1362" s="61">
        <v>2930</v>
      </c>
      <c r="B1362" s="50" t="s">
        <v>2196</v>
      </c>
      <c r="C1362" s="50" t="s">
        <v>2197</v>
      </c>
      <c r="D1362" s="50" t="s">
        <v>809</v>
      </c>
      <c r="E1362" s="50" t="s">
        <v>809</v>
      </c>
      <c r="F1362" s="50" t="s">
        <v>1366</v>
      </c>
      <c r="G1362" s="50" t="s">
        <v>2773</v>
      </c>
      <c r="H1362" t="s">
        <v>4322</v>
      </c>
    </row>
    <row r="1363" spans="1:8">
      <c r="A1363" s="61">
        <v>2931</v>
      </c>
      <c r="B1363" s="50" t="s">
        <v>1236</v>
      </c>
      <c r="C1363" s="50" t="s">
        <v>79</v>
      </c>
      <c r="D1363" s="50" t="s">
        <v>2449</v>
      </c>
      <c r="E1363" s="50" t="s">
        <v>2449</v>
      </c>
      <c r="F1363" s="50" t="s">
        <v>451</v>
      </c>
      <c r="G1363" s="50" t="s">
        <v>340</v>
      </c>
      <c r="H1363" t="s">
        <v>4323</v>
      </c>
    </row>
    <row r="1364" spans="1:8">
      <c r="A1364" s="61">
        <v>2932</v>
      </c>
      <c r="B1364" s="50" t="s">
        <v>2164</v>
      </c>
      <c r="C1364" s="50" t="s">
        <v>778</v>
      </c>
      <c r="D1364" s="50" t="s">
        <v>2779</v>
      </c>
      <c r="E1364" s="50" t="s">
        <v>2779</v>
      </c>
      <c r="F1364" s="50" t="s">
        <v>392</v>
      </c>
      <c r="G1364" s="50" t="s">
        <v>1941</v>
      </c>
      <c r="H1364" t="s">
        <v>4324</v>
      </c>
    </row>
    <row r="1365" spans="1:8">
      <c r="A1365" s="61">
        <v>2934</v>
      </c>
      <c r="B1365" s="50" t="s">
        <v>2124</v>
      </c>
      <c r="C1365" s="50" t="s">
        <v>266</v>
      </c>
      <c r="D1365" s="50" t="s">
        <v>684</v>
      </c>
      <c r="E1365" s="50" t="s">
        <v>684</v>
      </c>
      <c r="F1365" s="50" t="s">
        <v>451</v>
      </c>
      <c r="G1365" s="32" t="s">
        <v>541</v>
      </c>
      <c r="H1365" t="s">
        <v>4325</v>
      </c>
    </row>
    <row r="1366" spans="1:8">
      <c r="A1366" s="61">
        <v>2935</v>
      </c>
      <c r="B1366" s="50" t="s">
        <v>2165</v>
      </c>
      <c r="C1366" s="50" t="s">
        <v>778</v>
      </c>
      <c r="D1366" s="50" t="s">
        <v>3421</v>
      </c>
      <c r="E1366" s="50" t="s">
        <v>3421</v>
      </c>
      <c r="F1366" s="50" t="s">
        <v>686</v>
      </c>
      <c r="G1366" s="50" t="s">
        <v>1922</v>
      </c>
      <c r="H1366" t="s">
        <v>3422</v>
      </c>
    </row>
    <row r="1367" spans="1:8">
      <c r="A1367" s="61">
        <v>2936</v>
      </c>
      <c r="B1367" s="50" t="s">
        <v>766</v>
      </c>
      <c r="C1367" s="50" t="s">
        <v>188</v>
      </c>
      <c r="D1367" s="50" t="s">
        <v>809</v>
      </c>
      <c r="E1367" s="50" t="s">
        <v>809</v>
      </c>
      <c r="F1367" s="50" t="s">
        <v>1366</v>
      </c>
      <c r="G1367" s="50" t="s">
        <v>2773</v>
      </c>
      <c r="H1367" t="s">
        <v>4326</v>
      </c>
    </row>
    <row r="1368" spans="1:8">
      <c r="A1368" s="61">
        <v>2937</v>
      </c>
      <c r="B1368" s="50" t="s">
        <v>2166</v>
      </c>
      <c r="C1368" s="50" t="s">
        <v>1119</v>
      </c>
      <c r="D1368" s="50" t="s">
        <v>809</v>
      </c>
      <c r="E1368" s="50" t="s">
        <v>809</v>
      </c>
      <c r="F1368" s="50" t="s">
        <v>1366</v>
      </c>
      <c r="G1368" s="50" t="s">
        <v>2773</v>
      </c>
      <c r="H1368" t="s">
        <v>4327</v>
      </c>
    </row>
    <row r="1369" spans="1:8">
      <c r="A1369" s="61">
        <v>2938</v>
      </c>
      <c r="B1369" s="50" t="s">
        <v>2167</v>
      </c>
      <c r="C1369" s="50" t="s">
        <v>370</v>
      </c>
      <c r="D1369" s="50" t="s">
        <v>808</v>
      </c>
      <c r="E1369" s="50" t="s">
        <v>808</v>
      </c>
      <c r="F1369" s="50" t="s">
        <v>1366</v>
      </c>
      <c r="G1369" s="50" t="s">
        <v>1580</v>
      </c>
      <c r="H1369" t="s">
        <v>4328</v>
      </c>
    </row>
    <row r="1370" spans="1:8">
      <c r="A1370" s="61">
        <v>2939</v>
      </c>
      <c r="B1370" s="50" t="s">
        <v>2198</v>
      </c>
      <c r="C1370" s="50" t="s">
        <v>866</v>
      </c>
      <c r="D1370" s="50" t="s">
        <v>2787</v>
      </c>
      <c r="E1370" s="50" t="s">
        <v>2787</v>
      </c>
      <c r="F1370" s="50" t="s">
        <v>223</v>
      </c>
      <c r="G1370" s="50" t="s">
        <v>1555</v>
      </c>
      <c r="H1370" t="s">
        <v>3347</v>
      </c>
    </row>
    <row r="1371" spans="1:8">
      <c r="A1371" s="61">
        <v>2940</v>
      </c>
      <c r="B1371" s="50" t="s">
        <v>2199</v>
      </c>
      <c r="C1371" s="50" t="s">
        <v>1197</v>
      </c>
      <c r="D1371" s="50" t="s">
        <v>603</v>
      </c>
      <c r="E1371" s="50" t="s">
        <v>603</v>
      </c>
      <c r="F1371" s="50" t="s">
        <v>1224</v>
      </c>
      <c r="G1371" s="50" t="s">
        <v>548</v>
      </c>
      <c r="H1371" t="s">
        <v>4329</v>
      </c>
    </row>
    <row r="1372" spans="1:8">
      <c r="A1372" s="61">
        <v>2941</v>
      </c>
      <c r="B1372" s="50" t="s">
        <v>984</v>
      </c>
      <c r="C1372" s="50" t="s">
        <v>163</v>
      </c>
      <c r="D1372" s="50" t="s">
        <v>481</v>
      </c>
      <c r="E1372" s="50" t="s">
        <v>481</v>
      </c>
      <c r="F1372" s="50" t="s">
        <v>1224</v>
      </c>
      <c r="G1372" s="50" t="s">
        <v>1381</v>
      </c>
      <c r="H1372" t="s">
        <v>2932</v>
      </c>
    </row>
    <row r="1373" spans="1:8">
      <c r="A1373" s="61">
        <v>2943</v>
      </c>
      <c r="B1373" s="50" t="s">
        <v>2200</v>
      </c>
      <c r="C1373" s="50" t="s">
        <v>778</v>
      </c>
      <c r="D1373" s="50" t="s">
        <v>2094</v>
      </c>
      <c r="E1373" s="50" t="s">
        <v>2094</v>
      </c>
      <c r="F1373" s="50" t="s">
        <v>2610</v>
      </c>
      <c r="G1373" s="50" t="s">
        <v>2544</v>
      </c>
      <c r="H1373" t="s">
        <v>2917</v>
      </c>
    </row>
    <row r="1374" spans="1:8">
      <c r="A1374" s="61">
        <v>2944</v>
      </c>
      <c r="B1374" s="50" t="s">
        <v>2201</v>
      </c>
      <c r="C1374" s="50" t="s">
        <v>199</v>
      </c>
      <c r="D1374" s="50" t="s">
        <v>433</v>
      </c>
      <c r="E1374" s="50" t="s">
        <v>433</v>
      </c>
      <c r="F1374" s="50" t="s">
        <v>1224</v>
      </c>
      <c r="G1374" s="50" t="s">
        <v>2146</v>
      </c>
      <c r="H1374" t="s">
        <v>4330</v>
      </c>
    </row>
    <row r="1375" spans="1:8">
      <c r="A1375" s="61">
        <v>2945</v>
      </c>
      <c r="B1375" s="50" t="s">
        <v>2202</v>
      </c>
      <c r="C1375" s="50" t="s">
        <v>188</v>
      </c>
      <c r="D1375" s="50" t="s">
        <v>267</v>
      </c>
      <c r="E1375" s="50" t="s">
        <v>267</v>
      </c>
      <c r="F1375" s="50" t="s">
        <v>1224</v>
      </c>
      <c r="G1375" s="50" t="s">
        <v>2780</v>
      </c>
      <c r="H1375" t="s">
        <v>4331</v>
      </c>
    </row>
    <row r="1376" spans="1:8">
      <c r="A1376" s="61">
        <v>2946</v>
      </c>
      <c r="B1376" s="50" t="s">
        <v>2203</v>
      </c>
      <c r="C1376" s="50" t="s">
        <v>2204</v>
      </c>
      <c r="D1376" s="50" t="s">
        <v>2094</v>
      </c>
      <c r="E1376" s="50" t="s">
        <v>2094</v>
      </c>
      <c r="F1376" s="50" t="s">
        <v>2610</v>
      </c>
      <c r="G1376" s="50" t="s">
        <v>1888</v>
      </c>
      <c r="H1376" t="s">
        <v>2925</v>
      </c>
    </row>
    <row r="1377" spans="1:8">
      <c r="A1377" s="61">
        <v>2948</v>
      </c>
      <c r="B1377" s="50" t="s">
        <v>2123</v>
      </c>
      <c r="C1377" s="50" t="s">
        <v>263</v>
      </c>
      <c r="D1377" s="50" t="s">
        <v>1090</v>
      </c>
      <c r="E1377" s="50" t="s">
        <v>1090</v>
      </c>
      <c r="F1377" s="50" t="s">
        <v>2128</v>
      </c>
      <c r="G1377" s="50" t="s">
        <v>3909</v>
      </c>
      <c r="H1377" t="s">
        <v>4332</v>
      </c>
    </row>
    <row r="1378" spans="1:8">
      <c r="A1378" s="61">
        <v>2949</v>
      </c>
      <c r="B1378" s="50" t="s">
        <v>361</v>
      </c>
      <c r="C1378" s="50" t="s">
        <v>370</v>
      </c>
      <c r="D1378" s="50" t="s">
        <v>2377</v>
      </c>
      <c r="E1378" s="50" t="s">
        <v>2377</v>
      </c>
      <c r="F1378" s="50" t="s">
        <v>451</v>
      </c>
      <c r="G1378" s="50" t="s">
        <v>1395</v>
      </c>
      <c r="H1378" t="s">
        <v>2054</v>
      </c>
    </row>
    <row r="1379" spans="1:8">
      <c r="A1379" s="61">
        <v>2950</v>
      </c>
      <c r="B1379" s="50" t="s">
        <v>2292</v>
      </c>
      <c r="C1379" s="50" t="s">
        <v>163</v>
      </c>
      <c r="D1379" s="50" t="s">
        <v>217</v>
      </c>
      <c r="E1379" s="50" t="s">
        <v>217</v>
      </c>
      <c r="F1379" s="50" t="s">
        <v>1224</v>
      </c>
      <c r="G1379" s="50" t="s">
        <v>1915</v>
      </c>
      <c r="H1379" t="s">
        <v>4333</v>
      </c>
    </row>
    <row r="1380" spans="1:8">
      <c r="A1380" s="61">
        <v>2951</v>
      </c>
      <c r="B1380" s="50" t="s">
        <v>2293</v>
      </c>
      <c r="C1380" s="50" t="s">
        <v>190</v>
      </c>
      <c r="D1380" s="50" t="s">
        <v>740</v>
      </c>
      <c r="E1380" s="50" t="s">
        <v>740</v>
      </c>
      <c r="F1380" s="50" t="s">
        <v>1224</v>
      </c>
      <c r="G1380" s="50" t="s">
        <v>1897</v>
      </c>
      <c r="H1380" t="s">
        <v>2936</v>
      </c>
    </row>
    <row r="1381" spans="1:8">
      <c r="A1381" s="61">
        <v>2952</v>
      </c>
      <c r="B1381" s="50" t="s">
        <v>2294</v>
      </c>
      <c r="C1381" s="50" t="s">
        <v>2266</v>
      </c>
      <c r="D1381" s="50" t="s">
        <v>1367</v>
      </c>
      <c r="E1381" s="50" t="s">
        <v>1367</v>
      </c>
      <c r="F1381" s="50" t="s">
        <v>1366</v>
      </c>
      <c r="G1381" s="50" t="s">
        <v>2774</v>
      </c>
      <c r="H1381" t="s">
        <v>4334</v>
      </c>
    </row>
    <row r="1382" spans="1:8">
      <c r="A1382" s="61">
        <v>2953</v>
      </c>
      <c r="B1382" s="50" t="s">
        <v>2295</v>
      </c>
      <c r="C1382" s="50" t="s">
        <v>638</v>
      </c>
      <c r="D1382" s="50" t="s">
        <v>218</v>
      </c>
      <c r="E1382" s="50" t="s">
        <v>218</v>
      </c>
      <c r="F1382" s="50" t="s">
        <v>1224</v>
      </c>
      <c r="G1382" s="50" t="s">
        <v>1879</v>
      </c>
      <c r="H1382" t="s">
        <v>4335</v>
      </c>
    </row>
    <row r="1383" spans="1:8">
      <c r="A1383" s="61">
        <v>2954</v>
      </c>
      <c r="B1383" s="50" t="s">
        <v>2296</v>
      </c>
      <c r="C1383" s="50" t="s">
        <v>864</v>
      </c>
      <c r="D1383" s="50" t="s">
        <v>1263</v>
      </c>
      <c r="E1383" s="50" t="s">
        <v>1263</v>
      </c>
      <c r="F1383" s="50" t="s">
        <v>1366</v>
      </c>
      <c r="G1383" s="50" t="s">
        <v>1571</v>
      </c>
      <c r="H1383" t="s">
        <v>4336</v>
      </c>
    </row>
    <row r="1384" spans="1:8">
      <c r="A1384" s="61">
        <v>2955</v>
      </c>
      <c r="B1384" s="50" t="s">
        <v>1176</v>
      </c>
      <c r="C1384" s="50" t="s">
        <v>188</v>
      </c>
      <c r="D1384" s="50" t="s">
        <v>740</v>
      </c>
      <c r="E1384" s="50" t="s">
        <v>740</v>
      </c>
      <c r="F1384" s="50" t="s">
        <v>2610</v>
      </c>
      <c r="G1384" s="50" t="s">
        <v>1897</v>
      </c>
      <c r="H1384" t="s">
        <v>2935</v>
      </c>
    </row>
    <row r="1385" spans="1:8">
      <c r="A1385" s="61">
        <v>2956</v>
      </c>
      <c r="B1385" s="50" t="s">
        <v>2297</v>
      </c>
      <c r="C1385" s="50" t="s">
        <v>2298</v>
      </c>
      <c r="D1385" s="50" t="s">
        <v>691</v>
      </c>
      <c r="E1385" s="50" t="s">
        <v>691</v>
      </c>
      <c r="F1385" s="50" t="s">
        <v>1224</v>
      </c>
      <c r="G1385" s="50" t="s">
        <v>547</v>
      </c>
      <c r="H1385" t="s">
        <v>4337</v>
      </c>
    </row>
    <row r="1386" spans="1:8">
      <c r="A1386" s="61">
        <v>2958</v>
      </c>
      <c r="B1386" s="50" t="s">
        <v>2299</v>
      </c>
      <c r="C1386" s="50" t="s">
        <v>263</v>
      </c>
      <c r="D1386" s="50" t="s">
        <v>711</v>
      </c>
      <c r="E1386" s="50" t="s">
        <v>711</v>
      </c>
      <c r="F1386" s="50" t="s">
        <v>1224</v>
      </c>
      <c r="G1386" s="50" t="s">
        <v>543</v>
      </c>
      <c r="H1386" t="s">
        <v>4338</v>
      </c>
    </row>
    <row r="1387" spans="1:8">
      <c r="A1387" s="61">
        <v>2959</v>
      </c>
      <c r="B1387" s="50" t="s">
        <v>2172</v>
      </c>
      <c r="C1387" s="50" t="s">
        <v>1197</v>
      </c>
      <c r="D1387" s="50" t="s">
        <v>2086</v>
      </c>
      <c r="E1387" s="50" t="s">
        <v>2086</v>
      </c>
      <c r="F1387" s="50" t="s">
        <v>451</v>
      </c>
      <c r="G1387" s="50" t="s">
        <v>1569</v>
      </c>
      <c r="H1387" t="s">
        <v>4339</v>
      </c>
    </row>
    <row r="1388" spans="1:8">
      <c r="A1388" s="61">
        <v>2960</v>
      </c>
      <c r="B1388" s="50" t="s">
        <v>2179</v>
      </c>
      <c r="C1388" s="50" t="s">
        <v>79</v>
      </c>
      <c r="D1388" s="50" t="s">
        <v>475</v>
      </c>
      <c r="E1388" s="50" t="s">
        <v>475</v>
      </c>
      <c r="F1388" s="50" t="s">
        <v>451</v>
      </c>
      <c r="G1388" s="50" t="s">
        <v>1550</v>
      </c>
      <c r="H1388" t="s">
        <v>4340</v>
      </c>
    </row>
    <row r="1389" spans="1:8">
      <c r="A1389" s="61">
        <v>2961</v>
      </c>
      <c r="B1389" s="50" t="s">
        <v>1463</v>
      </c>
      <c r="C1389" s="50" t="s">
        <v>1234</v>
      </c>
      <c r="D1389" s="50" t="s">
        <v>597</v>
      </c>
      <c r="E1389" s="50" t="s">
        <v>597</v>
      </c>
      <c r="F1389" s="50" t="s">
        <v>451</v>
      </c>
      <c r="G1389" s="50" t="s">
        <v>1902</v>
      </c>
      <c r="H1389" t="s">
        <v>4341</v>
      </c>
    </row>
    <row r="1390" spans="1:8">
      <c r="A1390" s="61">
        <v>2962</v>
      </c>
      <c r="B1390" s="50" t="s">
        <v>2206</v>
      </c>
      <c r="C1390" s="50" t="s">
        <v>1345</v>
      </c>
      <c r="D1390" s="50" t="s">
        <v>597</v>
      </c>
      <c r="E1390" s="50" t="s">
        <v>597</v>
      </c>
      <c r="F1390" s="50" t="s">
        <v>451</v>
      </c>
      <c r="G1390" s="50" t="s">
        <v>1902</v>
      </c>
      <c r="H1390" t="s">
        <v>4342</v>
      </c>
    </row>
    <row r="1391" spans="1:8">
      <c r="A1391" s="61">
        <v>2963</v>
      </c>
      <c r="B1391" s="50" t="s">
        <v>1326</v>
      </c>
      <c r="C1391" s="50" t="s">
        <v>188</v>
      </c>
      <c r="D1391" s="50" t="s">
        <v>1483</v>
      </c>
      <c r="E1391" s="50" t="s">
        <v>1483</v>
      </c>
      <c r="F1391" s="50" t="s">
        <v>451</v>
      </c>
      <c r="G1391" s="50" t="s">
        <v>2406</v>
      </c>
      <c r="H1391" t="s">
        <v>2892</v>
      </c>
    </row>
    <row r="1392" spans="1:8">
      <c r="A1392" s="61">
        <v>2965</v>
      </c>
      <c r="B1392" s="50" t="s">
        <v>2168</v>
      </c>
      <c r="C1392" s="50" t="s">
        <v>1162</v>
      </c>
      <c r="D1392" s="50" t="s">
        <v>596</v>
      </c>
      <c r="E1392" s="50" t="s">
        <v>596</v>
      </c>
      <c r="F1392" s="50" t="s">
        <v>451</v>
      </c>
      <c r="G1392" s="50" t="s">
        <v>2277</v>
      </c>
      <c r="H1392" t="s">
        <v>2878</v>
      </c>
    </row>
    <row r="1393" spans="1:8">
      <c r="A1393" s="61">
        <v>2966</v>
      </c>
      <c r="B1393" s="50" t="s">
        <v>651</v>
      </c>
      <c r="C1393" s="50" t="s">
        <v>79</v>
      </c>
      <c r="D1393" s="50" t="s">
        <v>1090</v>
      </c>
      <c r="E1393" s="50" t="s">
        <v>1090</v>
      </c>
      <c r="F1393" s="50" t="s">
        <v>451</v>
      </c>
      <c r="G1393" s="50" t="s">
        <v>3909</v>
      </c>
      <c r="H1393" t="s">
        <v>4343</v>
      </c>
    </row>
    <row r="1394" spans="1:8">
      <c r="A1394" s="61">
        <v>2967</v>
      </c>
      <c r="B1394" s="50" t="s">
        <v>999</v>
      </c>
      <c r="C1394" s="50" t="s">
        <v>2177</v>
      </c>
      <c r="D1394" s="50" t="s">
        <v>2073</v>
      </c>
      <c r="E1394" s="50" t="s">
        <v>2073</v>
      </c>
      <c r="F1394" s="50" t="s">
        <v>2128</v>
      </c>
      <c r="G1394" s="50" t="s">
        <v>2471</v>
      </c>
      <c r="H1394" t="s">
        <v>2957</v>
      </c>
    </row>
    <row r="1395" spans="1:8">
      <c r="A1395" s="61">
        <v>2968</v>
      </c>
      <c r="B1395" s="50" t="s">
        <v>2178</v>
      </c>
      <c r="C1395" s="50" t="s">
        <v>242</v>
      </c>
      <c r="D1395" s="50" t="s">
        <v>1452</v>
      </c>
      <c r="E1395" s="50" t="s">
        <v>1452</v>
      </c>
      <c r="F1395" s="50" t="s">
        <v>451</v>
      </c>
      <c r="G1395" s="50" t="s">
        <v>3514</v>
      </c>
      <c r="H1395" t="s">
        <v>2840</v>
      </c>
    </row>
    <row r="1396" spans="1:8">
      <c r="A1396" s="61">
        <v>2970</v>
      </c>
      <c r="B1396" s="50" t="s">
        <v>2175</v>
      </c>
      <c r="C1396" s="50" t="s">
        <v>246</v>
      </c>
      <c r="D1396" s="50" t="s">
        <v>511</v>
      </c>
      <c r="E1396" s="50" t="s">
        <v>511</v>
      </c>
      <c r="F1396" s="50" t="s">
        <v>451</v>
      </c>
      <c r="G1396" s="50" t="s">
        <v>2472</v>
      </c>
      <c r="H1396" t="s">
        <v>4344</v>
      </c>
    </row>
    <row r="1397" spans="1:8">
      <c r="A1397" s="61">
        <v>2971</v>
      </c>
      <c r="B1397" s="50" t="s">
        <v>2176</v>
      </c>
      <c r="C1397" s="50" t="s">
        <v>79</v>
      </c>
      <c r="D1397" s="50" t="s">
        <v>515</v>
      </c>
      <c r="E1397" s="50" t="s">
        <v>515</v>
      </c>
      <c r="F1397" s="50" t="s">
        <v>451</v>
      </c>
      <c r="G1397" s="50" t="s">
        <v>1574</v>
      </c>
      <c r="H1397" t="s">
        <v>4345</v>
      </c>
    </row>
    <row r="1398" spans="1:8">
      <c r="A1398" s="61">
        <v>2972</v>
      </c>
      <c r="B1398" s="50" t="s">
        <v>1420</v>
      </c>
      <c r="C1398" s="50" t="s">
        <v>800</v>
      </c>
      <c r="D1398" s="50" t="s">
        <v>5</v>
      </c>
      <c r="E1398" s="50" t="s">
        <v>5</v>
      </c>
      <c r="F1398" s="50" t="s">
        <v>1366</v>
      </c>
      <c r="G1398" s="50" t="s">
        <v>2778</v>
      </c>
      <c r="H1398" t="s">
        <v>4346</v>
      </c>
    </row>
    <row r="1399" spans="1:8">
      <c r="A1399" s="61">
        <v>2973</v>
      </c>
      <c r="B1399" s="50" t="s">
        <v>2300</v>
      </c>
      <c r="C1399" s="50" t="s">
        <v>1246</v>
      </c>
      <c r="D1399" s="50" t="s">
        <v>2108</v>
      </c>
      <c r="E1399" s="50" t="s">
        <v>2108</v>
      </c>
      <c r="F1399" s="50" t="s">
        <v>686</v>
      </c>
      <c r="G1399" s="50" t="s">
        <v>1932</v>
      </c>
      <c r="H1399" t="s">
        <v>4347</v>
      </c>
    </row>
    <row r="1400" spans="1:8">
      <c r="A1400" s="61">
        <v>2974</v>
      </c>
      <c r="B1400" s="50" t="s">
        <v>2340</v>
      </c>
      <c r="C1400" s="50" t="s">
        <v>1474</v>
      </c>
      <c r="D1400" s="50" t="s">
        <v>1123</v>
      </c>
      <c r="E1400" s="50" t="s">
        <v>1123</v>
      </c>
      <c r="F1400" s="50" t="s">
        <v>686</v>
      </c>
      <c r="G1400" s="50" t="s">
        <v>1937</v>
      </c>
      <c r="H1400" t="s">
        <v>4348</v>
      </c>
    </row>
    <row r="1401" spans="1:8">
      <c r="A1401" s="61">
        <v>2975</v>
      </c>
      <c r="B1401" s="50" t="s">
        <v>2341</v>
      </c>
      <c r="C1401" s="50" t="s">
        <v>336</v>
      </c>
      <c r="D1401" s="50" t="s">
        <v>2672</v>
      </c>
      <c r="E1401" s="50" t="s">
        <v>2672</v>
      </c>
      <c r="F1401" s="50" t="s">
        <v>686</v>
      </c>
      <c r="G1401" s="50" t="s">
        <v>3339</v>
      </c>
      <c r="H1401" t="s">
        <v>4349</v>
      </c>
    </row>
    <row r="1402" spans="1:8">
      <c r="A1402" s="61">
        <v>2976</v>
      </c>
      <c r="B1402" s="50" t="s">
        <v>2342</v>
      </c>
      <c r="C1402" s="50" t="s">
        <v>140</v>
      </c>
      <c r="D1402" s="50" t="s">
        <v>1181</v>
      </c>
      <c r="E1402" s="50" t="s">
        <v>1181</v>
      </c>
      <c r="F1402" s="50" t="s">
        <v>1366</v>
      </c>
      <c r="G1402" s="50" t="s">
        <v>1581</v>
      </c>
      <c r="H1402" t="s">
        <v>4350</v>
      </c>
    </row>
    <row r="1403" spans="1:8">
      <c r="A1403" s="61">
        <v>2977</v>
      </c>
      <c r="B1403" s="50" t="s">
        <v>2343</v>
      </c>
      <c r="C1403" s="50" t="s">
        <v>1494</v>
      </c>
      <c r="D1403" s="50" t="s">
        <v>144</v>
      </c>
      <c r="E1403" s="50" t="s">
        <v>144</v>
      </c>
      <c r="F1403" s="50" t="s">
        <v>686</v>
      </c>
      <c r="G1403" s="50" t="s">
        <v>2135</v>
      </c>
      <c r="H1403" t="s">
        <v>4351</v>
      </c>
    </row>
    <row r="1404" spans="1:8">
      <c r="A1404" s="61">
        <v>2982</v>
      </c>
      <c r="B1404" s="50" t="s">
        <v>2344</v>
      </c>
      <c r="C1404" s="50" t="s">
        <v>336</v>
      </c>
      <c r="D1404" s="50" t="s">
        <v>3028</v>
      </c>
      <c r="E1404" s="50" t="s">
        <v>3028</v>
      </c>
      <c r="F1404" s="50" t="s">
        <v>3029</v>
      </c>
      <c r="G1404" s="50" t="s">
        <v>1918</v>
      </c>
      <c r="H1404" t="s">
        <v>4352</v>
      </c>
    </row>
    <row r="1405" spans="1:8">
      <c r="A1405" s="61">
        <v>2984</v>
      </c>
      <c r="B1405" s="50" t="s">
        <v>2209</v>
      </c>
      <c r="C1405" s="50" t="s">
        <v>242</v>
      </c>
      <c r="D1405" s="50" t="s">
        <v>683</v>
      </c>
      <c r="E1405" s="50" t="s">
        <v>683</v>
      </c>
      <c r="F1405" s="50" t="s">
        <v>451</v>
      </c>
      <c r="G1405" s="50" t="s">
        <v>1900</v>
      </c>
      <c r="H1405" t="s">
        <v>4353</v>
      </c>
    </row>
    <row r="1406" spans="1:8">
      <c r="A1406" s="61">
        <v>2986</v>
      </c>
      <c r="B1406" s="50" t="s">
        <v>1237</v>
      </c>
      <c r="C1406" s="50" t="s">
        <v>788</v>
      </c>
      <c r="D1406" s="50" t="s">
        <v>1262</v>
      </c>
      <c r="E1406" s="50" t="s">
        <v>1262</v>
      </c>
      <c r="F1406" s="50" t="s">
        <v>451</v>
      </c>
      <c r="G1406" s="50" t="s">
        <v>1383</v>
      </c>
      <c r="H1406" t="s">
        <v>4354</v>
      </c>
    </row>
    <row r="1407" spans="1:8">
      <c r="A1407" s="61">
        <v>2988</v>
      </c>
      <c r="B1407" s="50" t="s">
        <v>2205</v>
      </c>
      <c r="C1407" s="50" t="s">
        <v>638</v>
      </c>
      <c r="D1407" s="50" t="s">
        <v>452</v>
      </c>
      <c r="E1407" s="50" t="s">
        <v>452</v>
      </c>
      <c r="F1407" s="50" t="s">
        <v>2128</v>
      </c>
      <c r="G1407" s="50" t="s">
        <v>346</v>
      </c>
      <c r="H1407" t="s">
        <v>2191</v>
      </c>
    </row>
    <row r="1408" spans="1:8">
      <c r="A1408" s="61">
        <v>2989</v>
      </c>
      <c r="B1408" s="50" t="s">
        <v>2208</v>
      </c>
      <c r="C1408" s="50" t="s">
        <v>1527</v>
      </c>
      <c r="D1408" s="50" t="s">
        <v>597</v>
      </c>
      <c r="E1408" s="50" t="s">
        <v>597</v>
      </c>
      <c r="F1408" s="50" t="s">
        <v>451</v>
      </c>
      <c r="G1408" s="50" t="s">
        <v>1902</v>
      </c>
      <c r="H1408" t="s">
        <v>4355</v>
      </c>
    </row>
    <row r="1409" spans="1:8">
      <c r="A1409" s="61">
        <v>2990</v>
      </c>
      <c r="B1409" s="50" t="s">
        <v>2221</v>
      </c>
      <c r="C1409" s="50" t="s">
        <v>788</v>
      </c>
      <c r="D1409" s="50" t="s">
        <v>1262</v>
      </c>
      <c r="E1409" s="50" t="s">
        <v>1262</v>
      </c>
      <c r="F1409" s="50" t="s">
        <v>451</v>
      </c>
      <c r="G1409" s="50" t="s">
        <v>1383</v>
      </c>
      <c r="H1409" t="s">
        <v>4356</v>
      </c>
    </row>
    <row r="1410" spans="1:8">
      <c r="A1410" s="61">
        <v>2991</v>
      </c>
      <c r="B1410" s="50" t="s">
        <v>2213</v>
      </c>
      <c r="C1410" s="50" t="s">
        <v>79</v>
      </c>
      <c r="D1410" s="50" t="s">
        <v>2943</v>
      </c>
      <c r="E1410" s="50" t="s">
        <v>2943</v>
      </c>
      <c r="F1410" s="50" t="s">
        <v>451</v>
      </c>
      <c r="G1410" s="50" t="s">
        <v>1893</v>
      </c>
      <c r="H1410" t="s">
        <v>3152</v>
      </c>
    </row>
    <row r="1411" spans="1:8">
      <c r="A1411" s="61">
        <v>2992</v>
      </c>
      <c r="B1411" s="50" t="s">
        <v>2174</v>
      </c>
      <c r="C1411" s="50" t="s">
        <v>989</v>
      </c>
      <c r="D1411" s="50" t="s">
        <v>772</v>
      </c>
      <c r="E1411" s="50" t="s">
        <v>772</v>
      </c>
      <c r="F1411" s="50" t="s">
        <v>451</v>
      </c>
      <c r="G1411" s="50" t="s">
        <v>1389</v>
      </c>
      <c r="H1411" t="s">
        <v>4357</v>
      </c>
    </row>
    <row r="1412" spans="1:8">
      <c r="A1412" s="61">
        <v>2993</v>
      </c>
      <c r="B1412" s="50" t="s">
        <v>2223</v>
      </c>
      <c r="C1412" s="50" t="s">
        <v>864</v>
      </c>
      <c r="D1412" s="50" t="s">
        <v>2378</v>
      </c>
      <c r="E1412" s="50" t="s">
        <v>2378</v>
      </c>
      <c r="F1412" s="50" t="s">
        <v>451</v>
      </c>
      <c r="G1412" s="50" t="s">
        <v>544</v>
      </c>
      <c r="H1412" t="s">
        <v>3497</v>
      </c>
    </row>
    <row r="1413" spans="1:8">
      <c r="A1413" s="61">
        <v>2994</v>
      </c>
      <c r="B1413" s="50" t="s">
        <v>2173</v>
      </c>
      <c r="C1413" s="50" t="s">
        <v>188</v>
      </c>
      <c r="D1413" s="50" t="s">
        <v>3292</v>
      </c>
      <c r="E1413" s="50" t="s">
        <v>3292</v>
      </c>
      <c r="F1413" s="50" t="s">
        <v>451</v>
      </c>
      <c r="G1413" s="50" t="s">
        <v>1380</v>
      </c>
      <c r="H1413" t="s">
        <v>2891</v>
      </c>
    </row>
    <row r="1414" spans="1:8">
      <c r="A1414" s="61">
        <v>2995</v>
      </c>
      <c r="B1414" s="50" t="s">
        <v>2207</v>
      </c>
      <c r="C1414" s="50" t="s">
        <v>1246</v>
      </c>
      <c r="D1414" s="50" t="s">
        <v>2686</v>
      </c>
      <c r="E1414" s="50" t="s">
        <v>2686</v>
      </c>
      <c r="F1414" s="50" t="s">
        <v>451</v>
      </c>
      <c r="G1414" s="50" t="s">
        <v>529</v>
      </c>
      <c r="H1414" t="s">
        <v>2816</v>
      </c>
    </row>
    <row r="1415" spans="1:8">
      <c r="A1415" s="61">
        <v>2996</v>
      </c>
      <c r="B1415" s="50" t="s">
        <v>2218</v>
      </c>
      <c r="C1415" s="50" t="s">
        <v>867</v>
      </c>
      <c r="D1415" s="50" t="s">
        <v>1063</v>
      </c>
      <c r="E1415" s="50" t="s">
        <v>1063</v>
      </c>
      <c r="F1415" s="50" t="s">
        <v>451</v>
      </c>
      <c r="G1415" s="50" t="s">
        <v>1551</v>
      </c>
      <c r="H1415" t="s">
        <v>2614</v>
      </c>
    </row>
    <row r="1416" spans="1:8">
      <c r="A1416" s="61">
        <v>2998</v>
      </c>
      <c r="B1416" s="50" t="s">
        <v>2212</v>
      </c>
      <c r="C1416" s="50" t="s">
        <v>79</v>
      </c>
      <c r="D1416" s="50" t="s">
        <v>683</v>
      </c>
      <c r="E1416" s="50" t="s">
        <v>683</v>
      </c>
      <c r="F1416" s="50" t="s">
        <v>451</v>
      </c>
      <c r="G1416" s="50" t="s">
        <v>1900</v>
      </c>
      <c r="H1416" t="s">
        <v>2828</v>
      </c>
    </row>
    <row r="1417" spans="1:8">
      <c r="A1417" s="61">
        <v>2999</v>
      </c>
      <c r="B1417" s="50" t="s">
        <v>139</v>
      </c>
      <c r="C1417" s="50" t="s">
        <v>1240</v>
      </c>
      <c r="D1417" s="50" t="s">
        <v>2069</v>
      </c>
      <c r="E1417" s="50" t="s">
        <v>2069</v>
      </c>
      <c r="F1417" s="50" t="s">
        <v>2128</v>
      </c>
      <c r="G1417" s="50" t="s">
        <v>528</v>
      </c>
      <c r="H1417" t="s">
        <v>4358</v>
      </c>
    </row>
    <row r="1418" spans="1:8">
      <c r="A1418" s="61">
        <v>3000</v>
      </c>
      <c r="B1418" s="50" t="s">
        <v>2217</v>
      </c>
      <c r="C1418" s="50" t="s">
        <v>79</v>
      </c>
      <c r="D1418" s="50" t="s">
        <v>685</v>
      </c>
      <c r="E1418" s="50" t="s">
        <v>685</v>
      </c>
      <c r="F1418" s="50" t="s">
        <v>451</v>
      </c>
      <c r="G1418" s="50" t="s">
        <v>1559</v>
      </c>
      <c r="H1418" t="s">
        <v>4359</v>
      </c>
    </row>
    <row r="1419" spans="1:8">
      <c r="A1419" s="61">
        <v>3001</v>
      </c>
      <c r="B1419" s="50" t="s">
        <v>2226</v>
      </c>
      <c r="C1419" s="50" t="s">
        <v>1345</v>
      </c>
      <c r="D1419" s="50" t="s">
        <v>597</v>
      </c>
      <c r="E1419" s="50" t="s">
        <v>597</v>
      </c>
      <c r="F1419" s="50" t="s">
        <v>451</v>
      </c>
      <c r="G1419" s="50" t="s">
        <v>1902</v>
      </c>
      <c r="H1419" t="s">
        <v>4360</v>
      </c>
    </row>
    <row r="1420" spans="1:8">
      <c r="A1420" s="61">
        <v>3002</v>
      </c>
      <c r="B1420" s="50" t="s">
        <v>827</v>
      </c>
      <c r="C1420" s="50" t="s">
        <v>553</v>
      </c>
      <c r="D1420" s="50" t="s">
        <v>602</v>
      </c>
      <c r="E1420" s="50" t="s">
        <v>602</v>
      </c>
      <c r="F1420" s="50" t="s">
        <v>451</v>
      </c>
      <c r="G1420" s="50" t="s">
        <v>3588</v>
      </c>
      <c r="H1420" t="s">
        <v>4361</v>
      </c>
    </row>
    <row r="1421" spans="1:8">
      <c r="A1421" s="61">
        <v>3003</v>
      </c>
      <c r="B1421" s="50" t="s">
        <v>2201</v>
      </c>
      <c r="C1421" s="50" t="s">
        <v>1172</v>
      </c>
      <c r="D1421" s="50" t="s">
        <v>1039</v>
      </c>
      <c r="E1421" s="50" t="s">
        <v>1039</v>
      </c>
      <c r="F1421" s="50" t="s">
        <v>451</v>
      </c>
      <c r="G1421" s="50" t="s">
        <v>1561</v>
      </c>
      <c r="H1421" t="s">
        <v>4362</v>
      </c>
    </row>
    <row r="1422" spans="1:8">
      <c r="A1422" s="61">
        <v>3004</v>
      </c>
      <c r="B1422" s="50" t="s">
        <v>2171</v>
      </c>
      <c r="C1422" s="50" t="s">
        <v>263</v>
      </c>
      <c r="D1422" s="50" t="s">
        <v>772</v>
      </c>
      <c r="E1422" s="50" t="s">
        <v>772</v>
      </c>
      <c r="F1422" s="50" t="s">
        <v>451</v>
      </c>
      <c r="G1422" s="50" t="s">
        <v>1389</v>
      </c>
      <c r="H1422" t="s">
        <v>4363</v>
      </c>
    </row>
    <row r="1423" spans="1:8">
      <c r="A1423" s="61">
        <v>3005</v>
      </c>
      <c r="B1423" s="50" t="s">
        <v>2224</v>
      </c>
      <c r="C1423" s="50" t="s">
        <v>1414</v>
      </c>
      <c r="D1423" s="50" t="s">
        <v>596</v>
      </c>
      <c r="E1423" s="50" t="s">
        <v>596</v>
      </c>
      <c r="F1423" s="50" t="s">
        <v>451</v>
      </c>
      <c r="G1423" s="50" t="s">
        <v>2277</v>
      </c>
      <c r="H1423" t="s">
        <v>4364</v>
      </c>
    </row>
    <row r="1424" spans="1:8">
      <c r="A1424" s="61">
        <v>3006</v>
      </c>
      <c r="B1424" s="50" t="s">
        <v>495</v>
      </c>
      <c r="C1424" s="50" t="s">
        <v>778</v>
      </c>
      <c r="D1424" s="50" t="s">
        <v>512</v>
      </c>
      <c r="E1424" s="50" t="s">
        <v>512</v>
      </c>
      <c r="F1424" s="50" t="s">
        <v>451</v>
      </c>
      <c r="G1424" s="50" t="s">
        <v>1574</v>
      </c>
      <c r="H1424" t="s">
        <v>4365</v>
      </c>
    </row>
    <row r="1425" spans="1:8">
      <c r="A1425" s="61">
        <v>3007</v>
      </c>
      <c r="B1425" s="50" t="s">
        <v>2222</v>
      </c>
      <c r="C1425" s="50" t="s">
        <v>188</v>
      </c>
      <c r="D1425" s="50" t="s">
        <v>514</v>
      </c>
      <c r="E1425" s="50" t="s">
        <v>514</v>
      </c>
      <c r="F1425" s="50" t="s">
        <v>451</v>
      </c>
      <c r="G1425" s="50" t="s">
        <v>2472</v>
      </c>
      <c r="H1425" t="s">
        <v>4366</v>
      </c>
    </row>
    <row r="1426" spans="1:8">
      <c r="A1426" s="61">
        <v>3008</v>
      </c>
      <c r="B1426" s="50" t="s">
        <v>2225</v>
      </c>
      <c r="C1426" s="50" t="s">
        <v>1534</v>
      </c>
      <c r="D1426" s="50" t="s">
        <v>2765</v>
      </c>
      <c r="E1426" s="50" t="s">
        <v>2765</v>
      </c>
      <c r="F1426" s="50" t="s">
        <v>451</v>
      </c>
      <c r="G1426" s="50" t="s">
        <v>1380</v>
      </c>
      <c r="H1426" t="s">
        <v>4367</v>
      </c>
    </row>
    <row r="1427" spans="1:8">
      <c r="A1427" s="61">
        <v>3009</v>
      </c>
      <c r="B1427" s="50" t="s">
        <v>878</v>
      </c>
      <c r="C1427" s="50" t="s">
        <v>2219</v>
      </c>
      <c r="D1427" s="50" t="s">
        <v>2317</v>
      </c>
      <c r="E1427" s="50" t="s">
        <v>2317</v>
      </c>
      <c r="F1427" s="50" t="s">
        <v>1224</v>
      </c>
      <c r="G1427" s="50" t="s">
        <v>1891</v>
      </c>
      <c r="H1427" t="s">
        <v>2376</v>
      </c>
    </row>
    <row r="1428" spans="1:8">
      <c r="A1428" s="61">
        <v>3010</v>
      </c>
      <c r="B1428" s="50" t="s">
        <v>2411</v>
      </c>
      <c r="C1428" s="50" t="s">
        <v>127</v>
      </c>
      <c r="D1428" s="50" t="s">
        <v>216</v>
      </c>
      <c r="E1428" s="50" t="s">
        <v>216</v>
      </c>
      <c r="F1428" s="50" t="s">
        <v>1224</v>
      </c>
      <c r="G1428" s="50" t="s">
        <v>1935</v>
      </c>
      <c r="H1428" t="s">
        <v>4368</v>
      </c>
    </row>
    <row r="1429" spans="1:8">
      <c r="A1429" s="61">
        <v>3011</v>
      </c>
      <c r="B1429" s="50" t="s">
        <v>2412</v>
      </c>
      <c r="C1429" s="50" t="s">
        <v>159</v>
      </c>
      <c r="D1429" s="50" t="s">
        <v>1615</v>
      </c>
      <c r="E1429" s="50" t="s">
        <v>1615</v>
      </c>
      <c r="F1429" s="50" t="s">
        <v>1366</v>
      </c>
      <c r="G1429" s="50" t="s">
        <v>2785</v>
      </c>
      <c r="H1429" t="s">
        <v>4369</v>
      </c>
    </row>
    <row r="1430" spans="1:8">
      <c r="A1430" s="61">
        <v>3012</v>
      </c>
      <c r="B1430" s="50" t="s">
        <v>2413</v>
      </c>
      <c r="C1430" s="50" t="s">
        <v>326</v>
      </c>
      <c r="D1430" s="50" t="s">
        <v>186</v>
      </c>
      <c r="E1430" s="50" t="s">
        <v>186</v>
      </c>
      <c r="F1430" s="50" t="s">
        <v>1224</v>
      </c>
      <c r="G1430" s="50" t="s">
        <v>548</v>
      </c>
      <c r="H1430" t="s">
        <v>4370</v>
      </c>
    </row>
    <row r="1431" spans="1:8">
      <c r="A1431" s="61">
        <v>3013</v>
      </c>
      <c r="B1431" s="50" t="s">
        <v>2343</v>
      </c>
      <c r="C1431" s="50" t="s">
        <v>159</v>
      </c>
      <c r="D1431" s="50" t="s">
        <v>1873</v>
      </c>
      <c r="E1431" s="50" t="s">
        <v>1873</v>
      </c>
      <c r="F1431" s="50" t="s">
        <v>1224</v>
      </c>
      <c r="G1431" s="50" t="s">
        <v>539</v>
      </c>
      <c r="H1431" t="s">
        <v>2446</v>
      </c>
    </row>
    <row r="1432" spans="1:8">
      <c r="A1432" s="61">
        <v>3015</v>
      </c>
      <c r="B1432" s="50" t="s">
        <v>365</v>
      </c>
      <c r="C1432" s="50" t="s">
        <v>478</v>
      </c>
      <c r="D1432" s="50" t="s">
        <v>234</v>
      </c>
      <c r="E1432" s="50" t="s">
        <v>234</v>
      </c>
      <c r="F1432" s="50" t="s">
        <v>451</v>
      </c>
      <c r="G1432" s="50" t="s">
        <v>1910</v>
      </c>
      <c r="H1432" t="s">
        <v>4371</v>
      </c>
    </row>
    <row r="1433" spans="1:8">
      <c r="A1433" s="61">
        <v>3018</v>
      </c>
      <c r="B1433" s="50" t="s">
        <v>2220</v>
      </c>
      <c r="C1433" s="50" t="s">
        <v>2240</v>
      </c>
      <c r="D1433" s="50" t="s">
        <v>2087</v>
      </c>
      <c r="E1433" s="50" t="s">
        <v>2087</v>
      </c>
      <c r="F1433" s="50" t="s">
        <v>451</v>
      </c>
      <c r="G1433" s="50" t="s">
        <v>2112</v>
      </c>
      <c r="H1433" t="s">
        <v>4372</v>
      </c>
    </row>
    <row r="1434" spans="1:8">
      <c r="A1434" s="61">
        <v>3019</v>
      </c>
      <c r="B1434" s="50" t="s">
        <v>2261</v>
      </c>
      <c r="C1434" s="50" t="s">
        <v>782</v>
      </c>
      <c r="D1434" s="50" t="s">
        <v>1223</v>
      </c>
      <c r="E1434" s="50" t="s">
        <v>1223</v>
      </c>
      <c r="F1434" s="50" t="s">
        <v>451</v>
      </c>
      <c r="G1434" s="50" t="s">
        <v>1575</v>
      </c>
      <c r="H1434" t="s">
        <v>4373</v>
      </c>
    </row>
    <row r="1435" spans="1:8">
      <c r="A1435" s="61">
        <v>3020</v>
      </c>
      <c r="B1435" s="50" t="s">
        <v>2215</v>
      </c>
      <c r="C1435" s="50" t="s">
        <v>1534</v>
      </c>
      <c r="D1435" s="50" t="s">
        <v>1090</v>
      </c>
      <c r="E1435" s="50" t="s">
        <v>1090</v>
      </c>
      <c r="F1435" s="50" t="s">
        <v>451</v>
      </c>
      <c r="G1435" s="50" t="s">
        <v>3909</v>
      </c>
      <c r="H1435" t="s">
        <v>4374</v>
      </c>
    </row>
    <row r="1436" spans="1:8">
      <c r="A1436" s="61">
        <v>3021</v>
      </c>
      <c r="B1436" s="50" t="s">
        <v>623</v>
      </c>
      <c r="C1436" s="50" t="s">
        <v>1414</v>
      </c>
      <c r="D1436" s="50" t="s">
        <v>503</v>
      </c>
      <c r="E1436" s="50" t="s">
        <v>503</v>
      </c>
      <c r="F1436" s="50" t="s">
        <v>2128</v>
      </c>
      <c r="G1436" s="50" t="s">
        <v>1565</v>
      </c>
      <c r="H1436" t="s">
        <v>4375</v>
      </c>
    </row>
    <row r="1437" spans="1:8">
      <c r="A1437" s="61">
        <v>3022</v>
      </c>
      <c r="B1437" s="50" t="s">
        <v>2268</v>
      </c>
      <c r="C1437" s="50" t="s">
        <v>778</v>
      </c>
      <c r="D1437" s="50" t="s">
        <v>503</v>
      </c>
      <c r="E1437" s="50" t="s">
        <v>503</v>
      </c>
      <c r="F1437" s="50" t="s">
        <v>451</v>
      </c>
      <c r="G1437" s="50" t="s">
        <v>1565</v>
      </c>
      <c r="H1437" t="s">
        <v>4376</v>
      </c>
    </row>
    <row r="1438" spans="1:8">
      <c r="A1438" s="61">
        <v>3023</v>
      </c>
      <c r="B1438" s="50" t="s">
        <v>2238</v>
      </c>
      <c r="C1438" s="50" t="s">
        <v>1133</v>
      </c>
      <c r="D1438" s="50" t="s">
        <v>1270</v>
      </c>
      <c r="E1438" s="50" t="s">
        <v>1270</v>
      </c>
      <c r="F1438" s="50" t="s">
        <v>451</v>
      </c>
      <c r="G1438" s="50" t="s">
        <v>346</v>
      </c>
      <c r="H1438" t="s">
        <v>4377</v>
      </c>
    </row>
    <row r="1439" spans="1:8">
      <c r="A1439" s="61">
        <v>3024</v>
      </c>
      <c r="B1439" s="50" t="s">
        <v>2252</v>
      </c>
      <c r="C1439" s="50" t="s">
        <v>1172</v>
      </c>
      <c r="D1439" s="50" t="s">
        <v>2337</v>
      </c>
      <c r="E1439" s="50" t="s">
        <v>2337</v>
      </c>
      <c r="F1439" s="50" t="s">
        <v>2128</v>
      </c>
      <c r="G1439" s="50" t="s">
        <v>2157</v>
      </c>
      <c r="H1439" t="s">
        <v>3372</v>
      </c>
    </row>
    <row r="1440" spans="1:8">
      <c r="A1440" s="61">
        <v>3025</v>
      </c>
      <c r="B1440" s="50" t="s">
        <v>2301</v>
      </c>
      <c r="C1440" s="50" t="s">
        <v>1410</v>
      </c>
      <c r="D1440" s="50" t="s">
        <v>454</v>
      </c>
      <c r="E1440" s="50" t="s">
        <v>454</v>
      </c>
      <c r="F1440" s="50" t="s">
        <v>451</v>
      </c>
      <c r="G1440" s="50" t="s">
        <v>1383</v>
      </c>
      <c r="H1440" t="s">
        <v>4378</v>
      </c>
    </row>
    <row r="1441" spans="1:8">
      <c r="A1441" s="61">
        <v>3026</v>
      </c>
      <c r="B1441" s="50" t="s">
        <v>2211</v>
      </c>
      <c r="C1441" s="50" t="s">
        <v>266</v>
      </c>
      <c r="D1441" s="50" t="s">
        <v>684</v>
      </c>
      <c r="E1441" s="50" t="s">
        <v>684</v>
      </c>
      <c r="F1441" s="50" t="s">
        <v>451</v>
      </c>
      <c r="G1441" s="50" t="s">
        <v>541</v>
      </c>
      <c r="H1441" t="s">
        <v>4379</v>
      </c>
    </row>
    <row r="1442" spans="1:8">
      <c r="A1442" s="61">
        <v>3028</v>
      </c>
      <c r="B1442" s="50" t="s">
        <v>2236</v>
      </c>
      <c r="C1442" s="50" t="s">
        <v>1345</v>
      </c>
      <c r="D1442" s="50" t="s">
        <v>318</v>
      </c>
      <c r="E1442" s="50" t="s">
        <v>318</v>
      </c>
      <c r="F1442" s="50" t="s">
        <v>451</v>
      </c>
      <c r="G1442" s="50" t="s">
        <v>2806</v>
      </c>
      <c r="H1442" t="s">
        <v>4380</v>
      </c>
    </row>
    <row r="1443" spans="1:8">
      <c r="A1443" s="61">
        <v>3029</v>
      </c>
      <c r="B1443" s="50" t="s">
        <v>2226</v>
      </c>
      <c r="C1443" s="50" t="s">
        <v>65</v>
      </c>
      <c r="D1443" s="50" t="s">
        <v>602</v>
      </c>
      <c r="E1443" s="50" t="s">
        <v>602</v>
      </c>
      <c r="F1443" s="50" t="s">
        <v>2128</v>
      </c>
      <c r="G1443" s="50" t="s">
        <v>3588</v>
      </c>
      <c r="H1443" t="s">
        <v>4381</v>
      </c>
    </row>
    <row r="1444" spans="1:8">
      <c r="A1444" s="61">
        <v>3030</v>
      </c>
      <c r="B1444" s="50" t="s">
        <v>358</v>
      </c>
      <c r="C1444" s="50" t="s">
        <v>1172</v>
      </c>
      <c r="D1444" s="50" t="s">
        <v>772</v>
      </c>
      <c r="E1444" s="50" t="s">
        <v>772</v>
      </c>
      <c r="F1444" s="50" t="s">
        <v>451</v>
      </c>
      <c r="G1444" s="50" t="s">
        <v>1389</v>
      </c>
      <c r="H1444" t="s">
        <v>2190</v>
      </c>
    </row>
    <row r="1445" spans="1:8">
      <c r="A1445" s="61">
        <v>3031</v>
      </c>
      <c r="B1445" s="50" t="s">
        <v>2265</v>
      </c>
      <c r="C1445" s="50" t="s">
        <v>2266</v>
      </c>
      <c r="D1445" s="50" t="s">
        <v>772</v>
      </c>
      <c r="E1445" s="50" t="s">
        <v>772</v>
      </c>
      <c r="F1445" s="50" t="s">
        <v>451</v>
      </c>
      <c r="G1445" s="50" t="s">
        <v>1389</v>
      </c>
      <c r="H1445" t="s">
        <v>4382</v>
      </c>
    </row>
    <row r="1446" spans="1:8">
      <c r="A1446" s="61">
        <v>3032</v>
      </c>
      <c r="B1446" s="50" t="s">
        <v>2214</v>
      </c>
      <c r="C1446" s="50" t="s">
        <v>2048</v>
      </c>
      <c r="D1446" s="50" t="s">
        <v>2765</v>
      </c>
      <c r="E1446" s="50" t="s">
        <v>2765</v>
      </c>
      <c r="F1446" s="50" t="s">
        <v>2128</v>
      </c>
      <c r="G1446" s="50" t="s">
        <v>1380</v>
      </c>
      <c r="H1446" t="s">
        <v>2193</v>
      </c>
    </row>
    <row r="1447" spans="1:8">
      <c r="A1447" s="61">
        <v>3033</v>
      </c>
      <c r="B1447" s="50" t="s">
        <v>550</v>
      </c>
      <c r="C1447" s="50" t="s">
        <v>864</v>
      </c>
      <c r="D1447" s="50" t="s">
        <v>2765</v>
      </c>
      <c r="E1447" s="50" t="s">
        <v>2765</v>
      </c>
      <c r="F1447" s="50" t="s">
        <v>451</v>
      </c>
      <c r="G1447" s="50" t="s">
        <v>1380</v>
      </c>
      <c r="H1447" t="s">
        <v>2991</v>
      </c>
    </row>
    <row r="1448" spans="1:8">
      <c r="A1448" s="61">
        <v>3034</v>
      </c>
      <c r="B1448" s="50" t="s">
        <v>998</v>
      </c>
      <c r="C1448" s="50" t="s">
        <v>788</v>
      </c>
      <c r="D1448" s="50" t="s">
        <v>2735</v>
      </c>
      <c r="E1448" s="50" t="s">
        <v>2735</v>
      </c>
      <c r="F1448" s="50" t="s">
        <v>2128</v>
      </c>
      <c r="G1448" s="50" t="s">
        <v>2488</v>
      </c>
      <c r="H1448" t="s">
        <v>3076</v>
      </c>
    </row>
    <row r="1449" spans="1:8">
      <c r="A1449" s="61">
        <v>3035</v>
      </c>
      <c r="B1449" s="50" t="s">
        <v>319</v>
      </c>
      <c r="C1449" s="50" t="s">
        <v>2266</v>
      </c>
      <c r="D1449" s="50" t="s">
        <v>595</v>
      </c>
      <c r="E1449" s="50" t="s">
        <v>595</v>
      </c>
      <c r="F1449" s="50" t="s">
        <v>451</v>
      </c>
      <c r="G1449" s="50" t="s">
        <v>1906</v>
      </c>
      <c r="H1449" t="s">
        <v>4383</v>
      </c>
    </row>
    <row r="1450" spans="1:8">
      <c r="A1450" s="61">
        <v>3036</v>
      </c>
      <c r="B1450" s="50" t="s">
        <v>2307</v>
      </c>
      <c r="C1450" s="50" t="s">
        <v>1240</v>
      </c>
      <c r="D1450" s="50" t="s">
        <v>596</v>
      </c>
      <c r="E1450" s="50" t="s">
        <v>596</v>
      </c>
      <c r="F1450" s="50" t="s">
        <v>451</v>
      </c>
      <c r="G1450" s="50" t="s">
        <v>2277</v>
      </c>
      <c r="H1450" t="s">
        <v>4384</v>
      </c>
    </row>
    <row r="1451" spans="1:8">
      <c r="A1451" s="61">
        <v>3037</v>
      </c>
      <c r="B1451" s="50" t="s">
        <v>2174</v>
      </c>
      <c r="C1451" s="50" t="s">
        <v>864</v>
      </c>
      <c r="D1451" s="50" t="s">
        <v>178</v>
      </c>
      <c r="E1451" s="50" t="s">
        <v>178</v>
      </c>
      <c r="F1451" s="50" t="s">
        <v>451</v>
      </c>
      <c r="G1451" s="50" t="s">
        <v>1556</v>
      </c>
      <c r="H1451" t="s">
        <v>4385</v>
      </c>
    </row>
    <row r="1452" spans="1:8">
      <c r="A1452" s="61">
        <v>3040</v>
      </c>
      <c r="B1452" s="50" t="s">
        <v>2230</v>
      </c>
      <c r="C1452" s="50" t="s">
        <v>637</v>
      </c>
      <c r="D1452" s="50" t="s">
        <v>1045</v>
      </c>
      <c r="E1452" s="50" t="s">
        <v>1045</v>
      </c>
      <c r="F1452" s="50" t="s">
        <v>451</v>
      </c>
      <c r="G1452" s="50" t="s">
        <v>1926</v>
      </c>
      <c r="H1452" t="s">
        <v>2948</v>
      </c>
    </row>
    <row r="1453" spans="1:8">
      <c r="A1453" s="61">
        <v>3041</v>
      </c>
      <c r="B1453" s="50" t="s">
        <v>2232</v>
      </c>
      <c r="C1453" s="50" t="s">
        <v>1099</v>
      </c>
      <c r="D1453" s="50" t="s">
        <v>2450</v>
      </c>
      <c r="E1453" s="50" t="s">
        <v>2450</v>
      </c>
      <c r="F1453" s="50" t="s">
        <v>451</v>
      </c>
      <c r="G1453" s="50" t="s">
        <v>1582</v>
      </c>
      <c r="H1453" t="s">
        <v>2812</v>
      </c>
    </row>
    <row r="1454" spans="1:8">
      <c r="A1454" s="61">
        <v>3042</v>
      </c>
      <c r="B1454" s="50" t="s">
        <v>2248</v>
      </c>
      <c r="C1454" s="50" t="s">
        <v>802</v>
      </c>
      <c r="D1454" s="50" t="s">
        <v>2378</v>
      </c>
      <c r="E1454" s="50" t="s">
        <v>2378</v>
      </c>
      <c r="F1454" s="50" t="s">
        <v>451</v>
      </c>
      <c r="G1454" s="50" t="s">
        <v>544</v>
      </c>
      <c r="H1454" t="s">
        <v>4386</v>
      </c>
    </row>
    <row r="1455" spans="1:8">
      <c r="A1455" s="61">
        <v>3043</v>
      </c>
      <c r="B1455" s="50" t="s">
        <v>2241</v>
      </c>
      <c r="C1455" s="50" t="s">
        <v>864</v>
      </c>
      <c r="D1455" s="50" t="s">
        <v>2073</v>
      </c>
      <c r="E1455" s="50" t="s">
        <v>2073</v>
      </c>
      <c r="F1455" s="50" t="s">
        <v>451</v>
      </c>
      <c r="G1455" s="50" t="s">
        <v>2471</v>
      </c>
      <c r="H1455" t="s">
        <v>4387</v>
      </c>
    </row>
    <row r="1456" spans="1:8">
      <c r="A1456" s="61">
        <v>3044</v>
      </c>
      <c r="B1456" s="50" t="s">
        <v>2267</v>
      </c>
      <c r="C1456" s="50" t="s">
        <v>864</v>
      </c>
      <c r="D1456" s="50" t="s">
        <v>2073</v>
      </c>
      <c r="E1456" s="50" t="s">
        <v>2073</v>
      </c>
      <c r="F1456" s="50" t="s">
        <v>451</v>
      </c>
      <c r="G1456" s="50" t="s">
        <v>2471</v>
      </c>
      <c r="H1456" t="s">
        <v>4388</v>
      </c>
    </row>
    <row r="1457" spans="1:8">
      <c r="A1457" s="61">
        <v>3045</v>
      </c>
      <c r="B1457" s="50" t="s">
        <v>2233</v>
      </c>
      <c r="C1457" s="50" t="s">
        <v>1534</v>
      </c>
      <c r="D1457" s="50" t="s">
        <v>2323</v>
      </c>
      <c r="E1457" s="50" t="s">
        <v>2323</v>
      </c>
      <c r="F1457" s="50" t="s">
        <v>451</v>
      </c>
      <c r="G1457" s="50" t="s">
        <v>1904</v>
      </c>
      <c r="H1457" t="s">
        <v>4389</v>
      </c>
    </row>
    <row r="1458" spans="1:8">
      <c r="A1458" s="61">
        <v>3046</v>
      </c>
      <c r="B1458" s="50" t="s">
        <v>2243</v>
      </c>
      <c r="C1458" s="50" t="s">
        <v>2244</v>
      </c>
      <c r="D1458" s="50" t="s">
        <v>2377</v>
      </c>
      <c r="E1458" s="50" t="s">
        <v>2377</v>
      </c>
      <c r="F1458" s="50" t="s">
        <v>451</v>
      </c>
      <c r="G1458" s="50" t="s">
        <v>1395</v>
      </c>
      <c r="H1458" t="s">
        <v>4390</v>
      </c>
    </row>
    <row r="1459" spans="1:8">
      <c r="A1459" s="61">
        <v>3047</v>
      </c>
      <c r="B1459" s="50" t="s">
        <v>2249</v>
      </c>
      <c r="C1459" s="50" t="s">
        <v>1099</v>
      </c>
      <c r="D1459" s="50" t="s">
        <v>2448</v>
      </c>
      <c r="E1459" s="50" t="s">
        <v>2448</v>
      </c>
      <c r="F1459" s="50" t="s">
        <v>451</v>
      </c>
      <c r="G1459" s="50" t="s">
        <v>1907</v>
      </c>
      <c r="H1459" t="s">
        <v>4391</v>
      </c>
    </row>
    <row r="1460" spans="1:8">
      <c r="A1460" s="61">
        <v>3049</v>
      </c>
      <c r="B1460" s="50" t="s">
        <v>2257</v>
      </c>
      <c r="C1460" s="50" t="s">
        <v>2239</v>
      </c>
      <c r="D1460" s="50" t="s">
        <v>2324</v>
      </c>
      <c r="E1460" s="50" t="s">
        <v>2324</v>
      </c>
      <c r="F1460" s="50" t="s">
        <v>451</v>
      </c>
      <c r="G1460" s="50" t="s">
        <v>2326</v>
      </c>
      <c r="H1460" t="s">
        <v>4392</v>
      </c>
    </row>
    <row r="1461" spans="1:8">
      <c r="A1461" s="61">
        <v>3050</v>
      </c>
      <c r="B1461" s="50" t="s">
        <v>184</v>
      </c>
      <c r="C1461" s="50" t="s">
        <v>1172</v>
      </c>
      <c r="D1461" s="50" t="s">
        <v>2325</v>
      </c>
      <c r="E1461" s="50" t="s">
        <v>2325</v>
      </c>
      <c r="F1461" s="50" t="s">
        <v>451</v>
      </c>
      <c r="G1461" s="50" t="s">
        <v>1912</v>
      </c>
      <c r="H1461" t="s">
        <v>4393</v>
      </c>
    </row>
    <row r="1462" spans="1:8">
      <c r="A1462" s="61">
        <v>3051</v>
      </c>
      <c r="B1462" s="50" t="s">
        <v>2246</v>
      </c>
      <c r="C1462" s="50" t="s">
        <v>2239</v>
      </c>
      <c r="D1462" s="50" t="s">
        <v>2450</v>
      </c>
      <c r="E1462" s="50" t="s">
        <v>2450</v>
      </c>
      <c r="F1462" s="50" t="s">
        <v>451</v>
      </c>
      <c r="G1462" s="50" t="s">
        <v>1582</v>
      </c>
      <c r="H1462" t="s">
        <v>4394</v>
      </c>
    </row>
    <row r="1463" spans="1:8">
      <c r="A1463" s="61">
        <v>3052</v>
      </c>
      <c r="B1463" s="50" t="s">
        <v>2255</v>
      </c>
      <c r="C1463" s="50" t="s">
        <v>1157</v>
      </c>
      <c r="D1463" s="50" t="s">
        <v>2378</v>
      </c>
      <c r="E1463" s="50" t="s">
        <v>2378</v>
      </c>
      <c r="F1463" s="50" t="s">
        <v>451</v>
      </c>
      <c r="G1463" s="32" t="s">
        <v>544</v>
      </c>
      <c r="H1463" t="s">
        <v>3100</v>
      </c>
    </row>
    <row r="1464" spans="1:8">
      <c r="A1464" s="61">
        <v>3053</v>
      </c>
      <c r="B1464" s="50" t="s">
        <v>2596</v>
      </c>
      <c r="C1464" s="50" t="s">
        <v>864</v>
      </c>
      <c r="D1464" s="50" t="s">
        <v>2007</v>
      </c>
      <c r="E1464" s="50" t="s">
        <v>2007</v>
      </c>
      <c r="F1464" s="50" t="s">
        <v>686</v>
      </c>
      <c r="G1464" s="50" t="s">
        <v>2147</v>
      </c>
      <c r="H1464" t="s">
        <v>4395</v>
      </c>
    </row>
    <row r="1465" spans="1:8">
      <c r="A1465" s="61">
        <v>3055</v>
      </c>
      <c r="B1465" s="50" t="s">
        <v>2506</v>
      </c>
      <c r="C1465" s="50" t="s">
        <v>866</v>
      </c>
      <c r="D1465" s="50" t="s">
        <v>2149</v>
      </c>
      <c r="E1465" s="50" t="s">
        <v>2149</v>
      </c>
      <c r="F1465" s="50" t="s">
        <v>1224</v>
      </c>
      <c r="G1465" s="50" t="s">
        <v>539</v>
      </c>
      <c r="H1465" t="s">
        <v>4396</v>
      </c>
    </row>
    <row r="1466" spans="1:8">
      <c r="A1466" s="61">
        <v>3056</v>
      </c>
      <c r="B1466" s="50" t="s">
        <v>2302</v>
      </c>
      <c r="C1466" s="50" t="s">
        <v>336</v>
      </c>
      <c r="D1466" s="50" t="s">
        <v>517</v>
      </c>
      <c r="E1466" s="50" t="s">
        <v>517</v>
      </c>
      <c r="F1466" s="50" t="s">
        <v>451</v>
      </c>
      <c r="G1466" s="50" t="s">
        <v>3086</v>
      </c>
      <c r="H1466" t="s">
        <v>4397</v>
      </c>
    </row>
    <row r="1467" spans="1:8">
      <c r="A1467" s="61">
        <v>3057</v>
      </c>
      <c r="B1467" s="50" t="s">
        <v>2507</v>
      </c>
      <c r="C1467" s="50" t="s">
        <v>2419</v>
      </c>
      <c r="D1467" s="50" t="s">
        <v>1263</v>
      </c>
      <c r="E1467" s="50" t="s">
        <v>1263</v>
      </c>
      <c r="F1467" s="50" t="s">
        <v>1366</v>
      </c>
      <c r="G1467" s="50" t="s">
        <v>1571</v>
      </c>
      <c r="H1467" t="s">
        <v>4398</v>
      </c>
    </row>
    <row r="1468" spans="1:8">
      <c r="A1468" s="61">
        <v>3058</v>
      </c>
      <c r="B1468" s="50" t="s">
        <v>2508</v>
      </c>
      <c r="C1468" s="50" t="s">
        <v>336</v>
      </c>
      <c r="D1468" s="50" t="s">
        <v>2759</v>
      </c>
      <c r="E1468" s="50" t="s">
        <v>2759</v>
      </c>
      <c r="F1468" s="50" t="s">
        <v>1224</v>
      </c>
      <c r="G1468" s="50" t="s">
        <v>1888</v>
      </c>
      <c r="H1468" t="s">
        <v>2922</v>
      </c>
    </row>
    <row r="1469" spans="1:8">
      <c r="A1469" s="61">
        <v>3059</v>
      </c>
      <c r="B1469" s="50" t="s">
        <v>136</v>
      </c>
      <c r="C1469" s="50" t="s">
        <v>782</v>
      </c>
      <c r="D1469" s="50" t="s">
        <v>740</v>
      </c>
      <c r="E1469" s="50" t="s">
        <v>740</v>
      </c>
      <c r="F1469" s="50" t="s">
        <v>1224</v>
      </c>
      <c r="G1469" s="32" t="s">
        <v>1897</v>
      </c>
      <c r="H1469" t="s">
        <v>2937</v>
      </c>
    </row>
    <row r="1470" spans="1:8">
      <c r="A1470" s="61">
        <v>3060</v>
      </c>
      <c r="B1470" s="50" t="s">
        <v>2509</v>
      </c>
      <c r="C1470" s="50" t="s">
        <v>640</v>
      </c>
      <c r="D1470" s="50" t="s">
        <v>2435</v>
      </c>
      <c r="E1470" s="50" t="s">
        <v>2435</v>
      </c>
      <c r="F1470" s="50" t="s">
        <v>1224</v>
      </c>
      <c r="G1470" s="50" t="s">
        <v>1583</v>
      </c>
      <c r="H1470" t="s">
        <v>4399</v>
      </c>
    </row>
    <row r="1471" spans="1:8">
      <c r="A1471" s="61">
        <v>3063</v>
      </c>
      <c r="B1471" s="50" t="s">
        <v>2510</v>
      </c>
      <c r="C1471" s="50" t="s">
        <v>867</v>
      </c>
      <c r="D1471" s="50" t="s">
        <v>2315</v>
      </c>
      <c r="E1471" s="50" t="s">
        <v>2315</v>
      </c>
      <c r="F1471" s="50" t="s">
        <v>1224</v>
      </c>
      <c r="G1471" s="50" t="s">
        <v>1898</v>
      </c>
      <c r="H1471" t="s">
        <v>2942</v>
      </c>
    </row>
    <row r="1472" spans="1:8">
      <c r="A1472" s="61">
        <v>3064</v>
      </c>
      <c r="B1472" s="50" t="s">
        <v>2511</v>
      </c>
      <c r="C1472" s="50" t="s">
        <v>1133</v>
      </c>
      <c r="D1472" s="50" t="s">
        <v>2094</v>
      </c>
      <c r="E1472" s="50" t="s">
        <v>2094</v>
      </c>
      <c r="F1472" s="50" t="s">
        <v>2610</v>
      </c>
      <c r="G1472" s="50" t="s">
        <v>1894</v>
      </c>
      <c r="H1472" t="s">
        <v>2923</v>
      </c>
    </row>
    <row r="1473" spans="1:8">
      <c r="A1473" s="61">
        <v>3065</v>
      </c>
      <c r="B1473" s="50" t="s">
        <v>2538</v>
      </c>
      <c r="C1473" s="50" t="s">
        <v>1413</v>
      </c>
      <c r="D1473" s="50" t="s">
        <v>2108</v>
      </c>
      <c r="E1473" s="50" t="s">
        <v>2108</v>
      </c>
      <c r="F1473" s="50" t="s">
        <v>392</v>
      </c>
      <c r="G1473" s="50" t="s">
        <v>1932</v>
      </c>
      <c r="H1473" t="s">
        <v>4400</v>
      </c>
    </row>
    <row r="1474" spans="1:8">
      <c r="A1474" s="61">
        <v>3066</v>
      </c>
      <c r="B1474" s="50" t="s">
        <v>1443</v>
      </c>
      <c r="C1474" s="50" t="s">
        <v>1311</v>
      </c>
      <c r="D1474" s="50" t="s">
        <v>2094</v>
      </c>
      <c r="E1474" s="50" t="s">
        <v>2094</v>
      </c>
      <c r="F1474" s="50" t="s">
        <v>2180</v>
      </c>
      <c r="G1474" s="50" t="s">
        <v>1894</v>
      </c>
      <c r="H1474" t="s">
        <v>2911</v>
      </c>
    </row>
    <row r="1475" spans="1:8">
      <c r="A1475" s="61">
        <v>3067</v>
      </c>
      <c r="B1475" s="50" t="s">
        <v>2371</v>
      </c>
      <c r="C1475" s="50" t="s">
        <v>163</v>
      </c>
      <c r="D1475" s="50" t="s">
        <v>1063</v>
      </c>
      <c r="E1475" s="50" t="s">
        <v>1063</v>
      </c>
      <c r="F1475" s="50" t="s">
        <v>2128</v>
      </c>
      <c r="G1475" s="50" t="s">
        <v>1551</v>
      </c>
      <c r="H1475" t="s">
        <v>4401</v>
      </c>
    </row>
    <row r="1476" spans="1:8">
      <c r="A1476" s="61">
        <v>3069</v>
      </c>
      <c r="B1476" s="50" t="s">
        <v>2350</v>
      </c>
      <c r="C1476" s="50" t="s">
        <v>777</v>
      </c>
      <c r="D1476" s="50" t="s">
        <v>2473</v>
      </c>
      <c r="E1476" s="50" t="s">
        <v>2473</v>
      </c>
      <c r="F1476" s="50" t="s">
        <v>451</v>
      </c>
      <c r="G1476" s="50" t="s">
        <v>2158</v>
      </c>
      <c r="H1476" t="s">
        <v>4402</v>
      </c>
    </row>
    <row r="1477" spans="1:8">
      <c r="A1477" s="61">
        <v>3070</v>
      </c>
      <c r="B1477" s="50" t="s">
        <v>210</v>
      </c>
      <c r="C1477" s="50" t="s">
        <v>79</v>
      </c>
      <c r="D1477" s="50" t="s">
        <v>2473</v>
      </c>
      <c r="E1477" s="50" t="s">
        <v>2473</v>
      </c>
      <c r="F1477" s="50" t="s">
        <v>451</v>
      </c>
      <c r="G1477" s="50" t="s">
        <v>2158</v>
      </c>
      <c r="H1477" t="s">
        <v>4403</v>
      </c>
    </row>
    <row r="1478" spans="1:8">
      <c r="A1478" s="61">
        <v>3071</v>
      </c>
      <c r="B1478" s="50" t="s">
        <v>2176</v>
      </c>
      <c r="C1478" s="50" t="s">
        <v>2306</v>
      </c>
      <c r="D1478" s="50" t="s">
        <v>1336</v>
      </c>
      <c r="E1478" s="50" t="s">
        <v>1336</v>
      </c>
      <c r="F1478" s="50" t="s">
        <v>451</v>
      </c>
      <c r="G1478" s="50" t="s">
        <v>3114</v>
      </c>
      <c r="H1478" t="s">
        <v>2884</v>
      </c>
    </row>
    <row r="1479" spans="1:8">
      <c r="A1479" s="61">
        <v>3072</v>
      </c>
      <c r="B1479" s="50" t="s">
        <v>2347</v>
      </c>
      <c r="C1479" s="50" t="s">
        <v>777</v>
      </c>
      <c r="D1479" s="50" t="s">
        <v>1226</v>
      </c>
      <c r="E1479" s="50" t="s">
        <v>1226</v>
      </c>
      <c r="F1479" s="50" t="s">
        <v>451</v>
      </c>
      <c r="G1479" s="50" t="s">
        <v>1378</v>
      </c>
      <c r="H1479" t="s">
        <v>4404</v>
      </c>
    </row>
    <row r="1480" spans="1:8">
      <c r="A1480" s="61">
        <v>3073</v>
      </c>
      <c r="B1480" s="50" t="s">
        <v>1471</v>
      </c>
      <c r="C1480" s="50" t="s">
        <v>197</v>
      </c>
      <c r="D1480" s="50" t="s">
        <v>1090</v>
      </c>
      <c r="E1480" s="50" t="s">
        <v>1090</v>
      </c>
      <c r="F1480" s="50" t="s">
        <v>451</v>
      </c>
      <c r="G1480" s="50" t="s">
        <v>3909</v>
      </c>
      <c r="H1480" t="s">
        <v>4405</v>
      </c>
    </row>
    <row r="1481" spans="1:8">
      <c r="A1481" s="61">
        <v>3074</v>
      </c>
      <c r="B1481" s="50" t="s">
        <v>2247</v>
      </c>
      <c r="C1481" s="50" t="s">
        <v>638</v>
      </c>
      <c r="D1481" s="50" t="s">
        <v>2675</v>
      </c>
      <c r="E1481" s="50" t="s">
        <v>2675</v>
      </c>
      <c r="F1481" s="50" t="s">
        <v>451</v>
      </c>
      <c r="G1481" s="50" t="s">
        <v>339</v>
      </c>
      <c r="H1481" t="s">
        <v>3388</v>
      </c>
    </row>
    <row r="1482" spans="1:8">
      <c r="A1482" s="61">
        <v>3075</v>
      </c>
      <c r="B1482" s="50" t="s">
        <v>2264</v>
      </c>
      <c r="C1482" s="50" t="s">
        <v>864</v>
      </c>
      <c r="D1482" s="50" t="s">
        <v>503</v>
      </c>
      <c r="E1482" s="50" t="s">
        <v>503</v>
      </c>
      <c r="F1482" s="50" t="s">
        <v>451</v>
      </c>
      <c r="G1482" s="50" t="s">
        <v>1565</v>
      </c>
      <c r="H1482" t="s">
        <v>4406</v>
      </c>
    </row>
    <row r="1483" spans="1:8">
      <c r="A1483" s="61">
        <v>3076</v>
      </c>
      <c r="B1483" s="50" t="s">
        <v>2346</v>
      </c>
      <c r="C1483" s="50" t="s">
        <v>1119</v>
      </c>
      <c r="D1483" s="50" t="s">
        <v>503</v>
      </c>
      <c r="E1483" s="50" t="s">
        <v>503</v>
      </c>
      <c r="F1483" s="50" t="s">
        <v>2128</v>
      </c>
      <c r="G1483" s="50" t="s">
        <v>1565</v>
      </c>
      <c r="H1483" t="s">
        <v>4407</v>
      </c>
    </row>
    <row r="1484" spans="1:8">
      <c r="A1484" s="61">
        <v>3077</v>
      </c>
      <c r="B1484" s="50" t="s">
        <v>2216</v>
      </c>
      <c r="C1484" s="50" t="s">
        <v>964</v>
      </c>
      <c r="D1484" s="50" t="s">
        <v>503</v>
      </c>
      <c r="E1484" s="50" t="s">
        <v>503</v>
      </c>
      <c r="F1484" s="50" t="s">
        <v>451</v>
      </c>
      <c r="G1484" s="50" t="s">
        <v>1565</v>
      </c>
      <c r="H1484" t="s">
        <v>4408</v>
      </c>
    </row>
    <row r="1485" spans="1:8">
      <c r="A1485" s="61">
        <v>3078</v>
      </c>
      <c r="B1485" s="50" t="s">
        <v>1406</v>
      </c>
      <c r="C1485" s="50" t="s">
        <v>1246</v>
      </c>
      <c r="D1485" s="50" t="s">
        <v>452</v>
      </c>
      <c r="E1485" s="50" t="s">
        <v>452</v>
      </c>
      <c r="F1485" s="50" t="s">
        <v>451</v>
      </c>
      <c r="G1485" s="50" t="s">
        <v>346</v>
      </c>
      <c r="H1485" t="s">
        <v>4409</v>
      </c>
    </row>
    <row r="1486" spans="1:8">
      <c r="A1486" s="61">
        <v>3079</v>
      </c>
      <c r="B1486" s="50" t="s">
        <v>82</v>
      </c>
      <c r="C1486" s="50" t="s">
        <v>246</v>
      </c>
      <c r="D1486" s="50" t="s">
        <v>452</v>
      </c>
      <c r="E1486" s="50" t="s">
        <v>452</v>
      </c>
      <c r="F1486" s="50" t="s">
        <v>451</v>
      </c>
      <c r="G1486" s="50" t="s">
        <v>346</v>
      </c>
      <c r="H1486" t="s">
        <v>4410</v>
      </c>
    </row>
    <row r="1487" spans="1:8">
      <c r="A1487" s="61">
        <v>3080</v>
      </c>
      <c r="B1487" s="50" t="s">
        <v>2313</v>
      </c>
      <c r="C1487" s="50" t="s">
        <v>477</v>
      </c>
      <c r="D1487" s="50" t="s">
        <v>504</v>
      </c>
      <c r="E1487" s="50" t="s">
        <v>504</v>
      </c>
      <c r="F1487" s="50" t="s">
        <v>451</v>
      </c>
      <c r="G1487" s="50" t="s">
        <v>4171</v>
      </c>
      <c r="H1487" t="s">
        <v>4411</v>
      </c>
    </row>
    <row r="1488" spans="1:8">
      <c r="A1488" s="61">
        <v>3081</v>
      </c>
      <c r="B1488" s="50" t="s">
        <v>550</v>
      </c>
      <c r="C1488" s="50" t="s">
        <v>140</v>
      </c>
      <c r="D1488" s="50" t="s">
        <v>1452</v>
      </c>
      <c r="E1488" s="50" t="s">
        <v>1452</v>
      </c>
      <c r="F1488" s="50" t="s">
        <v>451</v>
      </c>
      <c r="G1488" s="50" t="s">
        <v>3514</v>
      </c>
      <c r="H1488" t="s">
        <v>4412</v>
      </c>
    </row>
    <row r="1489" spans="1:8">
      <c r="A1489" s="61">
        <v>3083</v>
      </c>
      <c r="B1489" s="50" t="s">
        <v>2368</v>
      </c>
      <c r="C1489" s="50" t="s">
        <v>336</v>
      </c>
      <c r="D1489" s="50" t="s">
        <v>2086</v>
      </c>
      <c r="E1489" s="50" t="s">
        <v>2086</v>
      </c>
      <c r="F1489" s="50" t="s">
        <v>451</v>
      </c>
      <c r="G1489" s="50" t="s">
        <v>1569</v>
      </c>
      <c r="H1489" t="s">
        <v>2386</v>
      </c>
    </row>
    <row r="1490" spans="1:8">
      <c r="A1490" s="61">
        <v>3084</v>
      </c>
      <c r="B1490" s="50" t="s">
        <v>2372</v>
      </c>
      <c r="C1490" s="50" t="s">
        <v>197</v>
      </c>
      <c r="D1490" s="50" t="s">
        <v>395</v>
      </c>
      <c r="E1490" s="50" t="s">
        <v>395</v>
      </c>
      <c r="F1490" s="50" t="s">
        <v>451</v>
      </c>
      <c r="G1490" s="50" t="s">
        <v>540</v>
      </c>
      <c r="H1490" t="s">
        <v>4413</v>
      </c>
    </row>
    <row r="1491" spans="1:8">
      <c r="A1491" s="61">
        <v>3085</v>
      </c>
      <c r="B1491" s="50" t="s">
        <v>2258</v>
      </c>
      <c r="C1491" s="50" t="s">
        <v>1534</v>
      </c>
      <c r="D1491" s="50" t="s">
        <v>318</v>
      </c>
      <c r="E1491" s="50" t="s">
        <v>318</v>
      </c>
      <c r="F1491" s="50" t="s">
        <v>451</v>
      </c>
      <c r="G1491" s="50" t="s">
        <v>2806</v>
      </c>
      <c r="H1491" t="s">
        <v>3360</v>
      </c>
    </row>
    <row r="1492" spans="1:8">
      <c r="A1492" s="61">
        <v>3087</v>
      </c>
      <c r="B1492" s="50" t="s">
        <v>2251</v>
      </c>
      <c r="C1492" s="50" t="s">
        <v>1534</v>
      </c>
      <c r="D1492" s="50" t="s">
        <v>602</v>
      </c>
      <c r="E1492" s="50" t="s">
        <v>602</v>
      </c>
      <c r="F1492" s="50" t="s">
        <v>451</v>
      </c>
      <c r="G1492" s="50" t="s">
        <v>3588</v>
      </c>
      <c r="H1492" t="s">
        <v>2895</v>
      </c>
    </row>
    <row r="1493" spans="1:8">
      <c r="A1493" s="61">
        <v>3088</v>
      </c>
      <c r="B1493" s="50" t="s">
        <v>2269</v>
      </c>
      <c r="C1493" s="50" t="s">
        <v>2270</v>
      </c>
      <c r="D1493" s="50" t="s">
        <v>602</v>
      </c>
      <c r="E1493" s="50" t="s">
        <v>602</v>
      </c>
      <c r="F1493" s="50" t="s">
        <v>451</v>
      </c>
      <c r="G1493" s="50" t="s">
        <v>3588</v>
      </c>
      <c r="H1493" t="s">
        <v>4414</v>
      </c>
    </row>
    <row r="1494" spans="1:8">
      <c r="A1494" s="61">
        <v>3089</v>
      </c>
      <c r="B1494" s="50" t="s">
        <v>2169</v>
      </c>
      <c r="C1494" s="50" t="s">
        <v>2170</v>
      </c>
      <c r="D1494" s="50" t="s">
        <v>772</v>
      </c>
      <c r="E1494" s="50" t="s">
        <v>772</v>
      </c>
      <c r="F1494" s="50" t="s">
        <v>451</v>
      </c>
      <c r="G1494" s="50" t="s">
        <v>1389</v>
      </c>
      <c r="H1494" t="s">
        <v>4415</v>
      </c>
    </row>
    <row r="1495" spans="1:8">
      <c r="A1495" s="61">
        <v>3090</v>
      </c>
      <c r="B1495" s="50" t="s">
        <v>2259</v>
      </c>
      <c r="C1495" s="50" t="s">
        <v>2260</v>
      </c>
      <c r="D1495" s="50" t="s">
        <v>772</v>
      </c>
      <c r="E1495" s="50" t="s">
        <v>772</v>
      </c>
      <c r="F1495" s="50" t="s">
        <v>451</v>
      </c>
      <c r="G1495" s="50" t="s">
        <v>1389</v>
      </c>
      <c r="H1495" t="s">
        <v>2854</v>
      </c>
    </row>
    <row r="1496" spans="1:8">
      <c r="A1496" s="61">
        <v>3092</v>
      </c>
      <c r="B1496" s="50" t="s">
        <v>2250</v>
      </c>
      <c r="C1496" s="50" t="s">
        <v>1527</v>
      </c>
      <c r="D1496" s="50" t="s">
        <v>178</v>
      </c>
      <c r="E1496" s="50" t="s">
        <v>178</v>
      </c>
      <c r="F1496" s="50" t="s">
        <v>451</v>
      </c>
      <c r="G1496" s="50" t="s">
        <v>1556</v>
      </c>
      <c r="H1496" t="s">
        <v>4416</v>
      </c>
    </row>
    <row r="1497" spans="1:8">
      <c r="A1497" s="61">
        <v>3093</v>
      </c>
      <c r="B1497" s="50" t="s">
        <v>2237</v>
      </c>
      <c r="C1497" s="50" t="s">
        <v>163</v>
      </c>
      <c r="D1497" s="50" t="s">
        <v>437</v>
      </c>
      <c r="E1497" s="50" t="s">
        <v>437</v>
      </c>
      <c r="F1497" s="50" t="s">
        <v>451</v>
      </c>
      <c r="G1497" s="50" t="s">
        <v>342</v>
      </c>
      <c r="H1497" t="s">
        <v>2794</v>
      </c>
    </row>
    <row r="1498" spans="1:8">
      <c r="A1498" s="61">
        <v>3094</v>
      </c>
      <c r="B1498" s="50" t="s">
        <v>2227</v>
      </c>
      <c r="C1498" s="50" t="s">
        <v>2228</v>
      </c>
      <c r="D1498" s="50" t="s">
        <v>2377</v>
      </c>
      <c r="E1498" s="50" t="s">
        <v>2377</v>
      </c>
      <c r="F1498" s="50" t="s">
        <v>451</v>
      </c>
      <c r="G1498" s="50" t="s">
        <v>1395</v>
      </c>
      <c r="H1498" t="s">
        <v>2839</v>
      </c>
    </row>
    <row r="1499" spans="1:8">
      <c r="A1499" s="61">
        <v>3095</v>
      </c>
      <c r="B1499" s="50" t="s">
        <v>2245</v>
      </c>
      <c r="C1499" s="50" t="s">
        <v>640</v>
      </c>
      <c r="D1499" s="50" t="s">
        <v>1180</v>
      </c>
      <c r="E1499" s="50" t="s">
        <v>1180</v>
      </c>
      <c r="F1499" s="50" t="s">
        <v>3259</v>
      </c>
      <c r="G1499" s="50" t="s">
        <v>1947</v>
      </c>
      <c r="H1499" t="s">
        <v>3153</v>
      </c>
    </row>
    <row r="1500" spans="1:8">
      <c r="A1500" s="61">
        <v>3096</v>
      </c>
      <c r="B1500" s="50" t="s">
        <v>2262</v>
      </c>
      <c r="C1500" s="50" t="s">
        <v>1246</v>
      </c>
      <c r="D1500" s="50" t="s">
        <v>2378</v>
      </c>
      <c r="E1500" s="50" t="s">
        <v>2378</v>
      </c>
      <c r="F1500" s="50" t="s">
        <v>451</v>
      </c>
      <c r="G1500" s="50" t="s">
        <v>544</v>
      </c>
      <c r="H1500" t="s">
        <v>3383</v>
      </c>
    </row>
    <row r="1501" spans="1:8">
      <c r="A1501" s="61">
        <v>3097</v>
      </c>
      <c r="B1501" s="50" t="s">
        <v>2235</v>
      </c>
      <c r="C1501" s="50" t="s">
        <v>1490</v>
      </c>
      <c r="D1501" s="50" t="s">
        <v>2378</v>
      </c>
      <c r="E1501" s="50" t="s">
        <v>2378</v>
      </c>
      <c r="F1501" s="50" t="s">
        <v>451</v>
      </c>
      <c r="G1501" s="50" t="s">
        <v>544</v>
      </c>
      <c r="H1501" t="s">
        <v>4417</v>
      </c>
    </row>
    <row r="1502" spans="1:8">
      <c r="A1502" s="61">
        <v>3098</v>
      </c>
      <c r="B1502" s="50" t="s">
        <v>2310</v>
      </c>
      <c r="C1502" s="50" t="s">
        <v>1414</v>
      </c>
      <c r="D1502" s="50" t="s">
        <v>2073</v>
      </c>
      <c r="E1502" s="50" t="s">
        <v>2073</v>
      </c>
      <c r="F1502" s="50" t="s">
        <v>451</v>
      </c>
      <c r="G1502" s="50" t="s">
        <v>2471</v>
      </c>
      <c r="H1502" t="s">
        <v>4418</v>
      </c>
    </row>
    <row r="1503" spans="1:8">
      <c r="A1503" s="61">
        <v>3099</v>
      </c>
      <c r="B1503" s="50" t="s">
        <v>2414</v>
      </c>
      <c r="C1503" s="50" t="s">
        <v>427</v>
      </c>
      <c r="D1503" s="50" t="s">
        <v>2448</v>
      </c>
      <c r="E1503" s="50" t="s">
        <v>2448</v>
      </c>
      <c r="F1503" s="50" t="s">
        <v>451</v>
      </c>
      <c r="G1503" s="50" t="s">
        <v>1907</v>
      </c>
      <c r="H1503" t="s">
        <v>3154</v>
      </c>
    </row>
    <row r="1504" spans="1:8">
      <c r="A1504" s="61">
        <v>3100</v>
      </c>
      <c r="B1504" s="50" t="s">
        <v>2304</v>
      </c>
      <c r="C1504" s="50" t="s">
        <v>266</v>
      </c>
      <c r="D1504" s="50" t="s">
        <v>2324</v>
      </c>
      <c r="E1504" s="50" t="s">
        <v>2324</v>
      </c>
      <c r="F1504" s="50" t="s">
        <v>451</v>
      </c>
      <c r="G1504" s="50" t="s">
        <v>2326</v>
      </c>
      <c r="H1504" t="s">
        <v>4419</v>
      </c>
    </row>
    <row r="1505" spans="1:8">
      <c r="A1505" s="61">
        <v>3101</v>
      </c>
      <c r="B1505" s="50" t="s">
        <v>2359</v>
      </c>
      <c r="C1505" s="50" t="s">
        <v>1413</v>
      </c>
      <c r="D1505" s="50" t="s">
        <v>2449</v>
      </c>
      <c r="E1505" s="50" t="s">
        <v>2449</v>
      </c>
      <c r="F1505" s="50" t="s">
        <v>451</v>
      </c>
      <c r="G1505" s="50" t="s">
        <v>340</v>
      </c>
      <c r="H1505" t="s">
        <v>4420</v>
      </c>
    </row>
    <row r="1506" spans="1:8">
      <c r="A1506" s="61">
        <v>3102</v>
      </c>
      <c r="B1506" s="50" t="s">
        <v>1117</v>
      </c>
      <c r="C1506" s="50" t="s">
        <v>286</v>
      </c>
      <c r="D1506" s="50" t="s">
        <v>2069</v>
      </c>
      <c r="E1506" s="50" t="s">
        <v>2069</v>
      </c>
      <c r="F1506" s="50" t="s">
        <v>2128</v>
      </c>
      <c r="G1506" s="50" t="s">
        <v>528</v>
      </c>
      <c r="H1506" t="s">
        <v>4421</v>
      </c>
    </row>
    <row r="1507" spans="1:8">
      <c r="A1507" s="61">
        <v>3103</v>
      </c>
      <c r="B1507" s="50" t="s">
        <v>2367</v>
      </c>
      <c r="C1507" s="50" t="s">
        <v>1197</v>
      </c>
      <c r="D1507" s="50" t="s">
        <v>2325</v>
      </c>
      <c r="E1507" s="50" t="s">
        <v>2325</v>
      </c>
      <c r="F1507" s="50" t="s">
        <v>451</v>
      </c>
      <c r="G1507" s="50" t="s">
        <v>1912</v>
      </c>
      <c r="H1507" t="s">
        <v>4422</v>
      </c>
    </row>
    <row r="1508" spans="1:8">
      <c r="A1508" s="61">
        <v>3104</v>
      </c>
      <c r="B1508" s="50" t="s">
        <v>2305</v>
      </c>
      <c r="C1508" s="50" t="s">
        <v>928</v>
      </c>
      <c r="D1508" s="50" t="s">
        <v>2450</v>
      </c>
      <c r="E1508" s="50" t="s">
        <v>2450</v>
      </c>
      <c r="F1508" s="50" t="s">
        <v>451</v>
      </c>
      <c r="G1508" s="50" t="s">
        <v>1582</v>
      </c>
      <c r="H1508" t="s">
        <v>4423</v>
      </c>
    </row>
    <row r="1509" spans="1:8">
      <c r="A1509" s="61">
        <v>3105</v>
      </c>
      <c r="B1509" s="50" t="s">
        <v>2539</v>
      </c>
      <c r="C1509" s="50" t="s">
        <v>1334</v>
      </c>
      <c r="D1509" s="50" t="s">
        <v>691</v>
      </c>
      <c r="E1509" s="50" t="s">
        <v>691</v>
      </c>
      <c r="F1509" s="50" t="s">
        <v>1224</v>
      </c>
      <c r="G1509" s="50" t="s">
        <v>547</v>
      </c>
      <c r="H1509" t="s">
        <v>4424</v>
      </c>
    </row>
    <row r="1510" spans="1:8">
      <c r="A1510" s="61">
        <v>3106</v>
      </c>
      <c r="B1510" s="50" t="s">
        <v>2540</v>
      </c>
      <c r="C1510" s="50" t="s">
        <v>640</v>
      </c>
      <c r="D1510" s="50" t="s">
        <v>1451</v>
      </c>
      <c r="E1510" s="50" t="s">
        <v>1451</v>
      </c>
      <c r="F1510" s="50" t="s">
        <v>392</v>
      </c>
      <c r="G1510" s="50" t="s">
        <v>1937</v>
      </c>
      <c r="H1510" t="s">
        <v>4425</v>
      </c>
    </row>
    <row r="1511" spans="1:8">
      <c r="A1511" s="61">
        <v>3107</v>
      </c>
      <c r="B1511" s="50" t="s">
        <v>2541</v>
      </c>
      <c r="C1511" s="50" t="s">
        <v>188</v>
      </c>
      <c r="D1511" s="50" t="s">
        <v>481</v>
      </c>
      <c r="E1511" s="50" t="s">
        <v>481</v>
      </c>
      <c r="F1511" s="50" t="s">
        <v>1224</v>
      </c>
      <c r="G1511" s="32" t="s">
        <v>1381</v>
      </c>
      <c r="H1511" t="s">
        <v>2931</v>
      </c>
    </row>
    <row r="1512" spans="1:8">
      <c r="A1512" s="61">
        <v>3108</v>
      </c>
      <c r="B1512" s="50" t="s">
        <v>2542</v>
      </c>
      <c r="C1512" s="50" t="s">
        <v>867</v>
      </c>
      <c r="D1512" s="50" t="s">
        <v>1481</v>
      </c>
      <c r="E1512" s="50" t="s">
        <v>1481</v>
      </c>
      <c r="F1512" s="50" t="s">
        <v>1224</v>
      </c>
      <c r="G1512" s="50" t="s">
        <v>2318</v>
      </c>
      <c r="H1512" t="s">
        <v>4426</v>
      </c>
    </row>
    <row r="1513" spans="1:8">
      <c r="A1513" s="61">
        <v>3109</v>
      </c>
      <c r="B1513" s="50" t="s">
        <v>2597</v>
      </c>
      <c r="C1513" s="50" t="s">
        <v>263</v>
      </c>
      <c r="D1513" s="50" t="s">
        <v>1480</v>
      </c>
      <c r="E1513" s="50" t="s">
        <v>1480</v>
      </c>
      <c r="F1513" s="50" t="s">
        <v>1224</v>
      </c>
      <c r="G1513" s="50" t="s">
        <v>2181</v>
      </c>
      <c r="H1513" t="s">
        <v>4427</v>
      </c>
    </row>
    <row r="1514" spans="1:8">
      <c r="A1514" s="61">
        <v>3111</v>
      </c>
      <c r="B1514" s="50" t="s">
        <v>937</v>
      </c>
      <c r="C1514" s="50" t="s">
        <v>163</v>
      </c>
      <c r="D1514" s="50" t="s">
        <v>880</v>
      </c>
      <c r="E1514" s="50" t="s">
        <v>880</v>
      </c>
      <c r="F1514" s="50" t="s">
        <v>2611</v>
      </c>
      <c r="G1514" s="50" t="s">
        <v>1922</v>
      </c>
      <c r="H1514" t="s">
        <v>4428</v>
      </c>
    </row>
    <row r="1515" spans="1:8">
      <c r="A1515" s="61">
        <v>3112</v>
      </c>
      <c r="B1515" s="50" t="s">
        <v>2599</v>
      </c>
      <c r="C1515" s="50" t="s">
        <v>2598</v>
      </c>
      <c r="D1515" s="50" t="s">
        <v>5</v>
      </c>
      <c r="E1515" s="50" t="s">
        <v>5</v>
      </c>
      <c r="F1515" s="50" t="s">
        <v>389</v>
      </c>
      <c r="G1515" s="50" t="s">
        <v>2778</v>
      </c>
      <c r="H1515" t="s">
        <v>4429</v>
      </c>
    </row>
    <row r="1516" spans="1:8">
      <c r="A1516" s="61">
        <v>3113</v>
      </c>
      <c r="B1516" s="50" t="s">
        <v>495</v>
      </c>
      <c r="C1516" s="50" t="s">
        <v>199</v>
      </c>
      <c r="D1516" s="50" t="s">
        <v>234</v>
      </c>
      <c r="E1516" s="50" t="s">
        <v>234</v>
      </c>
      <c r="F1516" s="50" t="s">
        <v>2128</v>
      </c>
      <c r="G1516" s="50" t="s">
        <v>1910</v>
      </c>
      <c r="H1516" t="s">
        <v>2330</v>
      </c>
    </row>
    <row r="1517" spans="1:8">
      <c r="A1517" s="61">
        <v>3114</v>
      </c>
      <c r="B1517" s="50" t="s">
        <v>2373</v>
      </c>
      <c r="C1517" s="50" t="s">
        <v>188</v>
      </c>
      <c r="D1517" s="50" t="s">
        <v>2087</v>
      </c>
      <c r="E1517" s="50" t="s">
        <v>2087</v>
      </c>
      <c r="F1517" s="50" t="s">
        <v>2128</v>
      </c>
      <c r="G1517" s="50" t="s">
        <v>2112</v>
      </c>
      <c r="H1517" t="s">
        <v>4430</v>
      </c>
    </row>
    <row r="1518" spans="1:8">
      <c r="A1518" s="61">
        <v>3116</v>
      </c>
      <c r="B1518" s="50" t="s">
        <v>2360</v>
      </c>
      <c r="C1518" s="50" t="s">
        <v>263</v>
      </c>
      <c r="D1518" s="50" t="s">
        <v>2473</v>
      </c>
      <c r="E1518" s="50" t="s">
        <v>2473</v>
      </c>
      <c r="F1518" s="50" t="s">
        <v>451</v>
      </c>
      <c r="G1518" s="50" t="s">
        <v>2158</v>
      </c>
      <c r="H1518" t="s">
        <v>4431</v>
      </c>
    </row>
    <row r="1519" spans="1:8">
      <c r="A1519" s="61">
        <v>3117</v>
      </c>
      <c r="B1519" s="50" t="s">
        <v>921</v>
      </c>
      <c r="C1519" s="50" t="s">
        <v>1162</v>
      </c>
      <c r="D1519" s="50" t="s">
        <v>1223</v>
      </c>
      <c r="E1519" s="50" t="s">
        <v>1223</v>
      </c>
      <c r="F1519" s="50" t="s">
        <v>451</v>
      </c>
      <c r="G1519" s="50" t="s">
        <v>1575</v>
      </c>
      <c r="H1519" t="s">
        <v>2996</v>
      </c>
    </row>
    <row r="1520" spans="1:8">
      <c r="A1520" s="61">
        <v>3119</v>
      </c>
      <c r="B1520" s="50" t="s">
        <v>2421</v>
      </c>
      <c r="C1520" s="50" t="s">
        <v>1474</v>
      </c>
      <c r="D1520" s="50" t="s">
        <v>845</v>
      </c>
      <c r="E1520" s="50" t="s">
        <v>845</v>
      </c>
      <c r="F1520" s="50" t="s">
        <v>451</v>
      </c>
      <c r="G1520" s="50" t="s">
        <v>3114</v>
      </c>
      <c r="H1520" t="s">
        <v>4432</v>
      </c>
    </row>
    <row r="1521" spans="1:8">
      <c r="A1521" s="61">
        <v>3120</v>
      </c>
      <c r="B1521" s="50" t="s">
        <v>1331</v>
      </c>
      <c r="C1521" s="50" t="s">
        <v>423</v>
      </c>
      <c r="D1521" s="50" t="s">
        <v>1090</v>
      </c>
      <c r="E1521" s="50" t="s">
        <v>1090</v>
      </c>
      <c r="F1521" s="50" t="s">
        <v>451</v>
      </c>
      <c r="G1521" s="50" t="s">
        <v>3909</v>
      </c>
      <c r="H1521" t="s">
        <v>4433</v>
      </c>
    </row>
    <row r="1522" spans="1:8">
      <c r="A1522" s="61">
        <v>3121</v>
      </c>
      <c r="B1522" s="50" t="s">
        <v>2308</v>
      </c>
      <c r="C1522" s="50" t="s">
        <v>1246</v>
      </c>
      <c r="D1522" s="50" t="s">
        <v>2073</v>
      </c>
      <c r="E1522" s="50" t="s">
        <v>2073</v>
      </c>
      <c r="F1522" s="50" t="s">
        <v>2128</v>
      </c>
      <c r="G1522" s="50" t="s">
        <v>2471</v>
      </c>
      <c r="H1522" t="s">
        <v>2851</v>
      </c>
    </row>
    <row r="1523" spans="1:8">
      <c r="A1523" s="61">
        <v>3122</v>
      </c>
      <c r="B1523" s="50" t="s">
        <v>575</v>
      </c>
      <c r="C1523" s="50" t="s">
        <v>782</v>
      </c>
      <c r="D1523" s="50" t="s">
        <v>1270</v>
      </c>
      <c r="E1523" s="50" t="s">
        <v>1270</v>
      </c>
      <c r="F1523" s="50" t="s">
        <v>451</v>
      </c>
      <c r="G1523" s="50" t="s">
        <v>346</v>
      </c>
      <c r="H1523" t="s">
        <v>4434</v>
      </c>
    </row>
    <row r="1524" spans="1:8">
      <c r="A1524" s="61">
        <v>3123</v>
      </c>
      <c r="B1524" s="50" t="s">
        <v>950</v>
      </c>
      <c r="C1524" s="50" t="s">
        <v>1133</v>
      </c>
      <c r="D1524" s="50" t="s">
        <v>435</v>
      </c>
      <c r="E1524" s="50" t="s">
        <v>435</v>
      </c>
      <c r="F1524" s="50" t="s">
        <v>2128</v>
      </c>
      <c r="G1524" s="50" t="s">
        <v>4171</v>
      </c>
      <c r="H1524" t="s">
        <v>4435</v>
      </c>
    </row>
    <row r="1525" spans="1:8">
      <c r="A1525" s="61">
        <v>3124</v>
      </c>
      <c r="B1525" s="50" t="s">
        <v>2374</v>
      </c>
      <c r="C1525" s="50" t="s">
        <v>2375</v>
      </c>
      <c r="D1525" s="50" t="s">
        <v>1452</v>
      </c>
      <c r="E1525" s="50" t="s">
        <v>1452</v>
      </c>
      <c r="F1525" s="50" t="s">
        <v>451</v>
      </c>
      <c r="G1525" s="50" t="s">
        <v>3514</v>
      </c>
      <c r="H1525" t="s">
        <v>4436</v>
      </c>
    </row>
    <row r="1526" spans="1:8">
      <c r="A1526" s="61">
        <v>3125</v>
      </c>
      <c r="B1526" s="50" t="s">
        <v>2362</v>
      </c>
      <c r="C1526" s="50" t="s">
        <v>1020</v>
      </c>
      <c r="D1526" s="50" t="s">
        <v>1452</v>
      </c>
      <c r="E1526" s="50" t="s">
        <v>1452</v>
      </c>
      <c r="F1526" s="50" t="s">
        <v>451</v>
      </c>
      <c r="G1526" s="50" t="s">
        <v>3514</v>
      </c>
      <c r="H1526" t="s">
        <v>4437</v>
      </c>
    </row>
    <row r="1527" spans="1:8">
      <c r="A1527" s="61">
        <v>3126</v>
      </c>
      <c r="B1527" s="50" t="s">
        <v>2422</v>
      </c>
      <c r="C1527" s="50" t="s">
        <v>2423</v>
      </c>
      <c r="D1527" s="50" t="s">
        <v>1262</v>
      </c>
      <c r="E1527" s="50" t="s">
        <v>1262</v>
      </c>
      <c r="F1527" s="50" t="s">
        <v>451</v>
      </c>
      <c r="G1527" s="50" t="s">
        <v>1383</v>
      </c>
      <c r="H1527" t="s">
        <v>4438</v>
      </c>
    </row>
    <row r="1528" spans="1:8">
      <c r="A1528" s="61">
        <v>3127</v>
      </c>
      <c r="B1528" s="50" t="s">
        <v>404</v>
      </c>
      <c r="C1528" s="50" t="s">
        <v>642</v>
      </c>
      <c r="D1528" s="50" t="s">
        <v>683</v>
      </c>
      <c r="E1528" s="50" t="s">
        <v>683</v>
      </c>
      <c r="F1528" s="50" t="s">
        <v>451</v>
      </c>
      <c r="G1528" s="50" t="s">
        <v>1900</v>
      </c>
      <c r="H1528" t="s">
        <v>3490</v>
      </c>
    </row>
    <row r="1529" spans="1:8">
      <c r="A1529" s="61">
        <v>3128</v>
      </c>
      <c r="B1529" s="50" t="s">
        <v>2456</v>
      </c>
      <c r="C1529" s="50" t="s">
        <v>640</v>
      </c>
      <c r="D1529" s="50" t="s">
        <v>685</v>
      </c>
      <c r="E1529" s="50" t="s">
        <v>685</v>
      </c>
      <c r="F1529" s="50" t="s">
        <v>451</v>
      </c>
      <c r="G1529" s="50" t="s">
        <v>1559</v>
      </c>
      <c r="H1529" t="s">
        <v>4439</v>
      </c>
    </row>
    <row r="1530" spans="1:8">
      <c r="A1530" s="61">
        <v>3129</v>
      </c>
      <c r="B1530" s="50" t="s">
        <v>2229</v>
      </c>
      <c r="C1530" s="50" t="s">
        <v>802</v>
      </c>
      <c r="D1530" s="50" t="s">
        <v>318</v>
      </c>
      <c r="E1530" s="50" t="s">
        <v>318</v>
      </c>
      <c r="F1530" s="50" t="s">
        <v>2128</v>
      </c>
      <c r="G1530" s="50" t="s">
        <v>2806</v>
      </c>
      <c r="H1530" t="s">
        <v>2857</v>
      </c>
    </row>
    <row r="1531" spans="1:8">
      <c r="A1531" s="61">
        <v>3130</v>
      </c>
      <c r="B1531" s="50" t="s">
        <v>826</v>
      </c>
      <c r="C1531" s="50" t="s">
        <v>2177</v>
      </c>
      <c r="D1531" s="50" t="s">
        <v>602</v>
      </c>
      <c r="E1531" s="50" t="s">
        <v>602</v>
      </c>
      <c r="F1531" s="50" t="s">
        <v>451</v>
      </c>
      <c r="G1531" s="50" t="s">
        <v>3588</v>
      </c>
      <c r="H1531" t="s">
        <v>2890</v>
      </c>
    </row>
    <row r="1532" spans="1:8">
      <c r="A1532" s="61">
        <v>3131</v>
      </c>
      <c r="B1532" s="50" t="s">
        <v>2242</v>
      </c>
      <c r="C1532" s="50" t="s">
        <v>1413</v>
      </c>
      <c r="D1532" s="50" t="s">
        <v>772</v>
      </c>
      <c r="E1532" s="50" t="s">
        <v>772</v>
      </c>
      <c r="F1532" s="50" t="s">
        <v>451</v>
      </c>
      <c r="G1532" s="50" t="s">
        <v>1389</v>
      </c>
      <c r="H1532" t="s">
        <v>4440</v>
      </c>
    </row>
    <row r="1533" spans="1:8">
      <c r="A1533" s="61">
        <v>3132</v>
      </c>
      <c r="B1533" s="50" t="s">
        <v>2351</v>
      </c>
      <c r="C1533" s="50" t="s">
        <v>1234</v>
      </c>
      <c r="D1533" s="50" t="s">
        <v>1081</v>
      </c>
      <c r="E1533" s="50" t="s">
        <v>1081</v>
      </c>
      <c r="F1533" s="50" t="s">
        <v>451</v>
      </c>
      <c r="G1533" s="50" t="s">
        <v>2547</v>
      </c>
      <c r="H1533" t="s">
        <v>4441</v>
      </c>
    </row>
    <row r="1534" spans="1:8">
      <c r="A1534" s="61">
        <v>3133</v>
      </c>
      <c r="B1534" s="50" t="s">
        <v>2231</v>
      </c>
      <c r="C1534" s="50" t="s">
        <v>1593</v>
      </c>
      <c r="D1534" s="50" t="s">
        <v>1264</v>
      </c>
      <c r="E1534" s="50" t="s">
        <v>1264</v>
      </c>
      <c r="F1534" s="50" t="s">
        <v>2128</v>
      </c>
      <c r="G1534" s="50" t="s">
        <v>3105</v>
      </c>
      <c r="H1534" t="s">
        <v>4442</v>
      </c>
    </row>
    <row r="1535" spans="1:8">
      <c r="A1535" s="61">
        <v>3134</v>
      </c>
      <c r="B1535" s="50" t="s">
        <v>2491</v>
      </c>
      <c r="C1535" s="50" t="s">
        <v>619</v>
      </c>
      <c r="D1535" s="50" t="s">
        <v>595</v>
      </c>
      <c r="E1535" s="50" t="s">
        <v>595</v>
      </c>
      <c r="F1535" s="50" t="s">
        <v>451</v>
      </c>
      <c r="G1535" s="50" t="s">
        <v>1906</v>
      </c>
      <c r="H1535" t="s">
        <v>4443</v>
      </c>
    </row>
    <row r="1536" spans="1:8">
      <c r="A1536" s="61">
        <v>3135</v>
      </c>
      <c r="B1536" s="50" t="s">
        <v>2227</v>
      </c>
      <c r="C1536" s="50" t="s">
        <v>2177</v>
      </c>
      <c r="D1536" s="50" t="s">
        <v>608</v>
      </c>
      <c r="E1536" s="50" t="s">
        <v>608</v>
      </c>
      <c r="F1536" s="50" t="s">
        <v>2128</v>
      </c>
      <c r="G1536" s="50" t="s">
        <v>1584</v>
      </c>
      <c r="H1536" t="s">
        <v>4444</v>
      </c>
    </row>
    <row r="1537" spans="1:8">
      <c r="A1537" s="61">
        <v>3136</v>
      </c>
      <c r="B1537" s="50" t="s">
        <v>979</v>
      </c>
      <c r="C1537" s="50" t="s">
        <v>864</v>
      </c>
      <c r="D1537" s="50" t="s">
        <v>438</v>
      </c>
      <c r="E1537" s="50" t="s">
        <v>438</v>
      </c>
      <c r="F1537" s="50" t="s">
        <v>451</v>
      </c>
      <c r="G1537" s="50" t="s">
        <v>1391</v>
      </c>
      <c r="H1537" t="s">
        <v>2856</v>
      </c>
    </row>
    <row r="1538" spans="1:8">
      <c r="A1538" s="61">
        <v>3137</v>
      </c>
      <c r="B1538" s="50" t="s">
        <v>1303</v>
      </c>
      <c r="C1538" s="50" t="s">
        <v>778</v>
      </c>
      <c r="D1538" s="50" t="s">
        <v>2337</v>
      </c>
      <c r="E1538" s="50" t="s">
        <v>2337</v>
      </c>
      <c r="F1538" s="50" t="s">
        <v>451</v>
      </c>
      <c r="G1538" s="50" t="s">
        <v>2157</v>
      </c>
      <c r="H1538" t="s">
        <v>4445</v>
      </c>
    </row>
    <row r="1539" spans="1:8">
      <c r="A1539" s="61">
        <v>3138</v>
      </c>
      <c r="B1539" s="50" t="s">
        <v>2309</v>
      </c>
      <c r="C1539" s="50" t="s">
        <v>199</v>
      </c>
      <c r="D1539" s="50" t="s">
        <v>2337</v>
      </c>
      <c r="E1539" s="50" t="s">
        <v>2337</v>
      </c>
      <c r="F1539" s="50" t="s">
        <v>451</v>
      </c>
      <c r="G1539" s="50" t="s">
        <v>2157</v>
      </c>
      <c r="H1539" t="s">
        <v>4446</v>
      </c>
    </row>
    <row r="1540" spans="1:8">
      <c r="A1540" s="61">
        <v>3139</v>
      </c>
      <c r="B1540" s="50" t="s">
        <v>2468</v>
      </c>
      <c r="C1540" s="50" t="s">
        <v>778</v>
      </c>
      <c r="D1540" s="50" t="s">
        <v>2686</v>
      </c>
      <c r="E1540" s="50" t="s">
        <v>2686</v>
      </c>
      <c r="F1540" s="50" t="s">
        <v>451</v>
      </c>
      <c r="G1540" s="50" t="s">
        <v>529</v>
      </c>
      <c r="H1540" t="s">
        <v>4447</v>
      </c>
    </row>
    <row r="1541" spans="1:8">
      <c r="A1541" s="61">
        <v>3140</v>
      </c>
      <c r="B1541" s="50" t="s">
        <v>2303</v>
      </c>
      <c r="C1541" s="50" t="s">
        <v>754</v>
      </c>
      <c r="D1541" s="50" t="s">
        <v>2448</v>
      </c>
      <c r="E1541" s="50" t="s">
        <v>2448</v>
      </c>
      <c r="F1541" s="50" t="s">
        <v>2128</v>
      </c>
      <c r="G1541" s="50" t="s">
        <v>1907</v>
      </c>
      <c r="H1541" t="s">
        <v>3425</v>
      </c>
    </row>
    <row r="1542" spans="1:8">
      <c r="A1542" s="61">
        <v>3141</v>
      </c>
      <c r="B1542" s="50" t="s">
        <v>1276</v>
      </c>
      <c r="C1542" s="50" t="s">
        <v>140</v>
      </c>
      <c r="D1542" s="50" t="s">
        <v>2323</v>
      </c>
      <c r="E1542" s="50" t="s">
        <v>2323</v>
      </c>
      <c r="F1542" s="50" t="s">
        <v>451</v>
      </c>
      <c r="G1542" s="50" t="s">
        <v>1904</v>
      </c>
      <c r="H1542" t="s">
        <v>4448</v>
      </c>
    </row>
    <row r="1543" spans="1:8">
      <c r="A1543" s="61">
        <v>3142</v>
      </c>
      <c r="B1543" s="50" t="s">
        <v>2210</v>
      </c>
      <c r="C1543" s="50" t="s">
        <v>778</v>
      </c>
      <c r="D1543" s="50" t="s">
        <v>2323</v>
      </c>
      <c r="E1543" s="50" t="s">
        <v>2323</v>
      </c>
      <c r="F1543" s="50" t="s">
        <v>451</v>
      </c>
      <c r="G1543" s="50" t="s">
        <v>1904</v>
      </c>
      <c r="H1543" t="s">
        <v>4449</v>
      </c>
    </row>
    <row r="1544" spans="1:8">
      <c r="A1544" s="61">
        <v>3143</v>
      </c>
      <c r="B1544" s="50" t="s">
        <v>2464</v>
      </c>
      <c r="C1544" s="50" t="s">
        <v>1246</v>
      </c>
      <c r="D1544" s="50" t="s">
        <v>2073</v>
      </c>
      <c r="E1544" s="50" t="s">
        <v>2073</v>
      </c>
      <c r="F1544" s="50" t="s">
        <v>451</v>
      </c>
      <c r="G1544" s="50" t="s">
        <v>2471</v>
      </c>
      <c r="H1544" t="s">
        <v>3155</v>
      </c>
    </row>
    <row r="1545" spans="1:8">
      <c r="A1545" s="61">
        <v>3144</v>
      </c>
      <c r="B1545" s="50" t="s">
        <v>2460</v>
      </c>
      <c r="C1545" s="50" t="s">
        <v>964</v>
      </c>
      <c r="D1545" s="50" t="s">
        <v>2448</v>
      </c>
      <c r="E1545" s="50" t="s">
        <v>2448</v>
      </c>
      <c r="F1545" s="50" t="s">
        <v>451</v>
      </c>
      <c r="G1545" s="50" t="s">
        <v>1907</v>
      </c>
      <c r="H1545" t="s">
        <v>4450</v>
      </c>
    </row>
    <row r="1546" spans="1:8">
      <c r="A1546" s="61">
        <v>3145</v>
      </c>
      <c r="B1546" s="50" t="s">
        <v>2467</v>
      </c>
      <c r="C1546" s="50" t="s">
        <v>263</v>
      </c>
      <c r="D1546" s="50" t="s">
        <v>2072</v>
      </c>
      <c r="E1546" s="50" t="s">
        <v>2072</v>
      </c>
      <c r="F1546" s="50" t="s">
        <v>2128</v>
      </c>
      <c r="G1546" s="50" t="s">
        <v>1398</v>
      </c>
      <c r="H1546" t="s">
        <v>4451</v>
      </c>
    </row>
    <row r="1547" spans="1:8">
      <c r="A1547" s="61">
        <v>3146</v>
      </c>
      <c r="B1547" s="50" t="s">
        <v>905</v>
      </c>
      <c r="C1547" s="50" t="s">
        <v>1534</v>
      </c>
      <c r="D1547" s="50" t="s">
        <v>2072</v>
      </c>
      <c r="E1547" s="50" t="s">
        <v>2072</v>
      </c>
      <c r="F1547" s="50" t="s">
        <v>451</v>
      </c>
      <c r="G1547" s="50" t="s">
        <v>1398</v>
      </c>
      <c r="H1547" t="s">
        <v>4452</v>
      </c>
    </row>
    <row r="1548" spans="1:8">
      <c r="A1548" s="61">
        <v>3147</v>
      </c>
      <c r="B1548" s="50" t="s">
        <v>2348</v>
      </c>
      <c r="C1548" s="50" t="s">
        <v>1345</v>
      </c>
      <c r="D1548" s="50" t="s">
        <v>2324</v>
      </c>
      <c r="E1548" s="50" t="s">
        <v>2324</v>
      </c>
      <c r="F1548" s="50" t="s">
        <v>451</v>
      </c>
      <c r="G1548" s="50" t="s">
        <v>2326</v>
      </c>
      <c r="H1548" t="s">
        <v>4453</v>
      </c>
    </row>
    <row r="1549" spans="1:8">
      <c r="A1549" s="61">
        <v>3148</v>
      </c>
      <c r="B1549" s="50" t="s">
        <v>2349</v>
      </c>
      <c r="C1549" s="50" t="s">
        <v>263</v>
      </c>
      <c r="D1549" s="50" t="s">
        <v>2337</v>
      </c>
      <c r="E1549" s="50" t="s">
        <v>2337</v>
      </c>
      <c r="F1549" s="50" t="s">
        <v>451</v>
      </c>
      <c r="G1549" s="50" t="s">
        <v>2157</v>
      </c>
      <c r="H1549" t="s">
        <v>4454</v>
      </c>
    </row>
    <row r="1550" spans="1:8">
      <c r="A1550" s="61">
        <v>3149</v>
      </c>
      <c r="B1550" s="50" t="s">
        <v>25</v>
      </c>
      <c r="C1550" s="50" t="s">
        <v>864</v>
      </c>
      <c r="D1550" s="50" t="s">
        <v>2069</v>
      </c>
      <c r="E1550" s="50" t="s">
        <v>2069</v>
      </c>
      <c r="F1550" s="50" t="s">
        <v>451</v>
      </c>
      <c r="G1550" s="50" t="s">
        <v>528</v>
      </c>
      <c r="H1550" t="s">
        <v>4455</v>
      </c>
    </row>
    <row r="1551" spans="1:8">
      <c r="A1551" s="61">
        <v>3150</v>
      </c>
      <c r="B1551" s="50" t="s">
        <v>2256</v>
      </c>
      <c r="C1551" s="50" t="s">
        <v>1527</v>
      </c>
      <c r="D1551" s="50" t="s">
        <v>2325</v>
      </c>
      <c r="E1551" s="50" t="s">
        <v>2325</v>
      </c>
      <c r="F1551" s="50" t="s">
        <v>451</v>
      </c>
      <c r="G1551" s="50" t="s">
        <v>1912</v>
      </c>
      <c r="H1551" t="s">
        <v>4456</v>
      </c>
    </row>
    <row r="1552" spans="1:8">
      <c r="A1552" s="61">
        <v>3151</v>
      </c>
      <c r="B1552" s="50" t="s">
        <v>2358</v>
      </c>
      <c r="C1552" s="50" t="s">
        <v>1534</v>
      </c>
      <c r="D1552" s="50" t="s">
        <v>2450</v>
      </c>
      <c r="E1552" s="50" t="s">
        <v>2450</v>
      </c>
      <c r="F1552" s="50" t="s">
        <v>451</v>
      </c>
      <c r="G1552" s="50" t="s">
        <v>1582</v>
      </c>
      <c r="H1552" t="s">
        <v>4457</v>
      </c>
    </row>
    <row r="1553" spans="1:8">
      <c r="A1553" s="61">
        <v>3152</v>
      </c>
      <c r="B1553" s="50" t="s">
        <v>797</v>
      </c>
      <c r="C1553" s="50" t="s">
        <v>1246</v>
      </c>
      <c r="D1553" s="50" t="s">
        <v>2450</v>
      </c>
      <c r="E1553" s="50" t="s">
        <v>2450</v>
      </c>
      <c r="F1553" s="50" t="s">
        <v>451</v>
      </c>
      <c r="G1553" s="50" t="s">
        <v>1582</v>
      </c>
      <c r="H1553" t="s">
        <v>4458</v>
      </c>
    </row>
    <row r="1554" spans="1:8">
      <c r="A1554" s="61">
        <v>3153</v>
      </c>
      <c r="B1554" s="50" t="s">
        <v>2600</v>
      </c>
      <c r="C1554" s="50" t="s">
        <v>72</v>
      </c>
      <c r="D1554" s="50" t="s">
        <v>2315</v>
      </c>
      <c r="E1554" s="50" t="s">
        <v>2315</v>
      </c>
      <c r="F1554" s="50" t="s">
        <v>2180</v>
      </c>
      <c r="G1554" s="50" t="s">
        <v>1898</v>
      </c>
      <c r="H1554" t="s">
        <v>2938</v>
      </c>
    </row>
    <row r="1555" spans="1:8">
      <c r="A1555" s="61">
        <v>3154</v>
      </c>
      <c r="B1555" s="50" t="s">
        <v>2601</v>
      </c>
      <c r="C1555" s="50" t="s">
        <v>964</v>
      </c>
      <c r="D1555" s="50" t="s">
        <v>600</v>
      </c>
      <c r="E1555" s="50" t="s">
        <v>600</v>
      </c>
      <c r="F1555" s="50" t="s">
        <v>1224</v>
      </c>
      <c r="G1555" s="50" t="s">
        <v>1919</v>
      </c>
      <c r="H1555" t="s">
        <v>4459</v>
      </c>
    </row>
    <row r="1556" spans="1:8">
      <c r="A1556" s="61">
        <v>3155</v>
      </c>
      <c r="B1556" s="50" t="s">
        <v>2420</v>
      </c>
      <c r="C1556" s="50" t="s">
        <v>642</v>
      </c>
      <c r="D1556" s="50" t="s">
        <v>2329</v>
      </c>
      <c r="E1556" s="50" t="s">
        <v>2329</v>
      </c>
      <c r="F1556" s="50" t="s">
        <v>451</v>
      </c>
      <c r="G1556" s="50" t="s">
        <v>2775</v>
      </c>
      <c r="H1556" t="s">
        <v>4460</v>
      </c>
    </row>
    <row r="1557" spans="1:8">
      <c r="A1557" s="61">
        <v>3156</v>
      </c>
      <c r="B1557" s="50" t="s">
        <v>1176</v>
      </c>
      <c r="C1557" s="50" t="s">
        <v>2710</v>
      </c>
      <c r="D1557" s="50" t="s">
        <v>1367</v>
      </c>
      <c r="E1557" s="50" t="s">
        <v>1367</v>
      </c>
      <c r="F1557" s="50" t="s">
        <v>389</v>
      </c>
      <c r="G1557" s="50" t="s">
        <v>2774</v>
      </c>
      <c r="H1557" t="s">
        <v>4461</v>
      </c>
    </row>
    <row r="1558" spans="1:8">
      <c r="A1558" s="61">
        <v>3157</v>
      </c>
      <c r="B1558" s="50" t="s">
        <v>2711</v>
      </c>
      <c r="C1558" s="50" t="s">
        <v>1162</v>
      </c>
      <c r="D1558" s="50" t="s">
        <v>1482</v>
      </c>
      <c r="E1558" s="50" t="s">
        <v>1482</v>
      </c>
      <c r="F1558" s="50" t="s">
        <v>2180</v>
      </c>
      <c r="G1558" s="50" t="s">
        <v>2099</v>
      </c>
      <c r="H1558" t="s">
        <v>4462</v>
      </c>
    </row>
    <row r="1559" spans="1:8">
      <c r="A1559" s="61">
        <v>3158</v>
      </c>
      <c r="B1559" s="50" t="s">
        <v>2605</v>
      </c>
      <c r="C1559" s="50" t="s">
        <v>263</v>
      </c>
      <c r="D1559" s="50" t="s">
        <v>711</v>
      </c>
      <c r="E1559" s="50" t="s">
        <v>711</v>
      </c>
      <c r="F1559" s="50" t="s">
        <v>1224</v>
      </c>
      <c r="G1559" s="50" t="s">
        <v>543</v>
      </c>
      <c r="H1559" t="s">
        <v>4463</v>
      </c>
    </row>
    <row r="1560" spans="1:8">
      <c r="A1560" s="61">
        <v>3159</v>
      </c>
      <c r="B1560" s="50" t="s">
        <v>1311</v>
      </c>
      <c r="C1560" s="50" t="s">
        <v>261</v>
      </c>
      <c r="D1560" s="50" t="s">
        <v>2072</v>
      </c>
      <c r="E1560" s="50" t="s">
        <v>2072</v>
      </c>
      <c r="F1560" s="50" t="s">
        <v>2128</v>
      </c>
      <c r="G1560" s="50" t="s">
        <v>1398</v>
      </c>
      <c r="H1560" t="s">
        <v>2814</v>
      </c>
    </row>
    <row r="1561" spans="1:8">
      <c r="A1561" s="61">
        <v>3164</v>
      </c>
      <c r="B1561" s="50" t="s">
        <v>2415</v>
      </c>
      <c r="C1561" s="50" t="s">
        <v>867</v>
      </c>
      <c r="D1561" s="50" t="s">
        <v>683</v>
      </c>
      <c r="E1561" s="50" t="s">
        <v>683</v>
      </c>
      <c r="F1561" s="50" t="s">
        <v>451</v>
      </c>
      <c r="G1561" s="50" t="s">
        <v>1900</v>
      </c>
      <c r="H1561" t="s">
        <v>4464</v>
      </c>
    </row>
    <row r="1562" spans="1:8">
      <c r="A1562" s="61">
        <v>3165</v>
      </c>
      <c r="B1562" s="50" t="s">
        <v>2364</v>
      </c>
      <c r="C1562" s="50" t="s">
        <v>802</v>
      </c>
      <c r="D1562" s="50" t="s">
        <v>2086</v>
      </c>
      <c r="E1562" s="50" t="s">
        <v>2086</v>
      </c>
      <c r="F1562" s="50" t="s">
        <v>451</v>
      </c>
      <c r="G1562" s="50" t="s">
        <v>1569</v>
      </c>
      <c r="H1562" t="s">
        <v>2388</v>
      </c>
    </row>
    <row r="1563" spans="1:8">
      <c r="A1563" s="61">
        <v>3166</v>
      </c>
      <c r="B1563" s="50" t="s">
        <v>2462</v>
      </c>
      <c r="C1563" s="50" t="s">
        <v>362</v>
      </c>
      <c r="D1563" s="50" t="s">
        <v>2337</v>
      </c>
      <c r="E1563" s="50" t="s">
        <v>2337</v>
      </c>
      <c r="F1563" s="50" t="s">
        <v>451</v>
      </c>
      <c r="G1563" s="50" t="s">
        <v>2157</v>
      </c>
      <c r="H1563" t="s">
        <v>3501</v>
      </c>
    </row>
    <row r="1564" spans="1:8">
      <c r="A1564" s="61">
        <v>3167</v>
      </c>
      <c r="B1564" s="50" t="s">
        <v>2366</v>
      </c>
      <c r="C1564" s="50" t="s">
        <v>1414</v>
      </c>
      <c r="D1564" s="50" t="s">
        <v>318</v>
      </c>
      <c r="E1564" s="50" t="s">
        <v>318</v>
      </c>
      <c r="F1564" s="50" t="s">
        <v>451</v>
      </c>
      <c r="G1564" s="50" t="s">
        <v>2806</v>
      </c>
      <c r="H1564" t="s">
        <v>4465</v>
      </c>
    </row>
    <row r="1565" spans="1:8">
      <c r="A1565" s="61">
        <v>3168</v>
      </c>
      <c r="B1565" s="50" t="s">
        <v>2416</v>
      </c>
      <c r="C1565" s="50" t="s">
        <v>2417</v>
      </c>
      <c r="D1565" s="50" t="s">
        <v>1081</v>
      </c>
      <c r="E1565" s="50" t="s">
        <v>1081</v>
      </c>
      <c r="F1565" s="50" t="s">
        <v>451</v>
      </c>
      <c r="G1565" s="50" t="s">
        <v>2547</v>
      </c>
      <c r="H1565" t="s">
        <v>2855</v>
      </c>
    </row>
    <row r="1566" spans="1:8">
      <c r="A1566" s="61">
        <v>3169</v>
      </c>
      <c r="B1566" s="50" t="s">
        <v>2461</v>
      </c>
      <c r="C1566" s="50" t="s">
        <v>163</v>
      </c>
      <c r="D1566" s="50" t="s">
        <v>602</v>
      </c>
      <c r="E1566" s="50" t="s">
        <v>602</v>
      </c>
      <c r="F1566" s="50" t="s">
        <v>2128</v>
      </c>
      <c r="G1566" s="50" t="s">
        <v>3588</v>
      </c>
      <c r="H1566" t="s">
        <v>2886</v>
      </c>
    </row>
    <row r="1567" spans="1:8">
      <c r="A1567" s="61">
        <v>3170</v>
      </c>
      <c r="B1567" s="50" t="s">
        <v>2466</v>
      </c>
      <c r="C1567" s="50" t="s">
        <v>864</v>
      </c>
      <c r="D1567" s="50" t="s">
        <v>595</v>
      </c>
      <c r="E1567" s="50" t="s">
        <v>595</v>
      </c>
      <c r="F1567" s="50" t="s">
        <v>451</v>
      </c>
      <c r="G1567" s="50" t="s">
        <v>1906</v>
      </c>
      <c r="H1567" t="s">
        <v>4466</v>
      </c>
    </row>
    <row r="1568" spans="1:8">
      <c r="A1568" s="61">
        <v>3171</v>
      </c>
      <c r="B1568" s="50" t="s">
        <v>1011</v>
      </c>
      <c r="C1568" s="50" t="s">
        <v>2204</v>
      </c>
      <c r="D1568" s="50" t="s">
        <v>179</v>
      </c>
      <c r="E1568" s="50" t="s">
        <v>179</v>
      </c>
      <c r="F1568" s="50" t="s">
        <v>451</v>
      </c>
      <c r="G1568" s="50" t="s">
        <v>1543</v>
      </c>
      <c r="H1568" t="s">
        <v>4467</v>
      </c>
    </row>
    <row r="1569" spans="1:8">
      <c r="A1569" s="61">
        <v>3172</v>
      </c>
      <c r="B1569" s="50" t="s">
        <v>2543</v>
      </c>
      <c r="C1569" s="50" t="s">
        <v>640</v>
      </c>
      <c r="D1569" s="50" t="s">
        <v>1039</v>
      </c>
      <c r="E1569" s="50" t="s">
        <v>1039</v>
      </c>
      <c r="F1569" s="50" t="s">
        <v>451</v>
      </c>
      <c r="G1569" s="50" t="s">
        <v>1561</v>
      </c>
      <c r="H1569" t="s">
        <v>4468</v>
      </c>
    </row>
    <row r="1570" spans="1:8">
      <c r="A1570" s="61">
        <v>3173</v>
      </c>
      <c r="B1570" s="50" t="s">
        <v>2514</v>
      </c>
      <c r="C1570" s="50" t="s">
        <v>266</v>
      </c>
      <c r="D1570" s="50" t="s">
        <v>1039</v>
      </c>
      <c r="E1570" s="50" t="s">
        <v>1039</v>
      </c>
      <c r="F1570" s="50" t="s">
        <v>451</v>
      </c>
      <c r="G1570" s="50" t="s">
        <v>1561</v>
      </c>
      <c r="H1570" t="s">
        <v>3413</v>
      </c>
    </row>
    <row r="1571" spans="1:8">
      <c r="A1571" s="61">
        <v>3174</v>
      </c>
      <c r="B1571" s="50" t="s">
        <v>2268</v>
      </c>
      <c r="C1571" s="50" t="s">
        <v>866</v>
      </c>
      <c r="D1571" s="50" t="s">
        <v>515</v>
      </c>
      <c r="E1571" s="50" t="s">
        <v>515</v>
      </c>
      <c r="F1571" s="50" t="s">
        <v>451</v>
      </c>
      <c r="G1571" s="50" t="s">
        <v>1574</v>
      </c>
      <c r="H1571" t="s">
        <v>4469</v>
      </c>
    </row>
    <row r="1572" spans="1:8">
      <c r="A1572" s="61">
        <v>3176</v>
      </c>
      <c r="B1572" s="50" t="s">
        <v>2458</v>
      </c>
      <c r="C1572" s="50" t="s">
        <v>2459</v>
      </c>
      <c r="D1572" s="50" t="s">
        <v>1090</v>
      </c>
      <c r="E1572" s="50" t="s">
        <v>1090</v>
      </c>
      <c r="F1572" s="50" t="s">
        <v>2128</v>
      </c>
      <c r="G1572" s="50" t="s">
        <v>3909</v>
      </c>
      <c r="H1572" t="s">
        <v>4470</v>
      </c>
    </row>
    <row r="1573" spans="1:8">
      <c r="A1573" s="61">
        <v>3177</v>
      </c>
      <c r="B1573" s="50" t="s">
        <v>467</v>
      </c>
      <c r="C1573" s="50" t="s">
        <v>1099</v>
      </c>
      <c r="D1573" s="50" t="s">
        <v>2377</v>
      </c>
      <c r="E1573" s="50" t="s">
        <v>2377</v>
      </c>
      <c r="F1573" s="50" t="s">
        <v>451</v>
      </c>
      <c r="G1573" s="50" t="s">
        <v>1395</v>
      </c>
      <c r="H1573" t="s">
        <v>3389</v>
      </c>
    </row>
    <row r="1574" spans="1:8">
      <c r="A1574" s="61">
        <v>3179</v>
      </c>
      <c r="B1574" s="50" t="s">
        <v>1444</v>
      </c>
      <c r="C1574" s="50" t="s">
        <v>2052</v>
      </c>
      <c r="D1574" s="50" t="s">
        <v>2069</v>
      </c>
      <c r="E1574" s="50" t="s">
        <v>2069</v>
      </c>
      <c r="F1574" s="50" t="s">
        <v>451</v>
      </c>
      <c r="G1574" s="50" t="s">
        <v>528</v>
      </c>
      <c r="H1574" t="s">
        <v>4471</v>
      </c>
    </row>
    <row r="1575" spans="1:8">
      <c r="A1575" s="61">
        <v>3180</v>
      </c>
      <c r="B1575" s="50" t="s">
        <v>2424</v>
      </c>
      <c r="C1575" s="50" t="s">
        <v>2052</v>
      </c>
      <c r="D1575" s="50" t="s">
        <v>2337</v>
      </c>
      <c r="E1575" s="50" t="s">
        <v>2337</v>
      </c>
      <c r="F1575" s="50" t="s">
        <v>451</v>
      </c>
      <c r="G1575" s="50" t="s">
        <v>2157</v>
      </c>
      <c r="H1575" t="s">
        <v>4472</v>
      </c>
    </row>
    <row r="1576" spans="1:8">
      <c r="A1576" s="61">
        <v>3181</v>
      </c>
      <c r="B1576" s="50" t="s">
        <v>2356</v>
      </c>
      <c r="C1576" s="50" t="s">
        <v>642</v>
      </c>
      <c r="D1576" s="50" t="s">
        <v>2378</v>
      </c>
      <c r="E1576" s="50" t="s">
        <v>2378</v>
      </c>
      <c r="F1576" s="50" t="s">
        <v>451</v>
      </c>
      <c r="G1576" s="50" t="s">
        <v>544</v>
      </c>
      <c r="H1576" t="s">
        <v>3156</v>
      </c>
    </row>
    <row r="1577" spans="1:8">
      <c r="A1577" s="61">
        <v>3182</v>
      </c>
      <c r="B1577" s="50" t="s">
        <v>312</v>
      </c>
      <c r="C1577" s="50" t="s">
        <v>2263</v>
      </c>
      <c r="D1577" s="50" t="s">
        <v>2323</v>
      </c>
      <c r="E1577" s="50" t="s">
        <v>2323</v>
      </c>
      <c r="F1577" s="50" t="s">
        <v>451</v>
      </c>
      <c r="G1577" s="50" t="s">
        <v>1904</v>
      </c>
      <c r="H1577" t="s">
        <v>4473</v>
      </c>
    </row>
    <row r="1578" spans="1:8">
      <c r="A1578" s="61">
        <v>3183</v>
      </c>
      <c r="B1578" s="50" t="s">
        <v>1163</v>
      </c>
      <c r="C1578" s="50" t="s">
        <v>775</v>
      </c>
      <c r="D1578" s="50" t="s">
        <v>2448</v>
      </c>
      <c r="E1578" s="50" t="s">
        <v>2448</v>
      </c>
      <c r="F1578" s="50" t="s">
        <v>451</v>
      </c>
      <c r="G1578" s="50" t="s">
        <v>1907</v>
      </c>
      <c r="H1578" t="s">
        <v>4474</v>
      </c>
    </row>
    <row r="1579" spans="1:8">
      <c r="A1579" s="61">
        <v>3184</v>
      </c>
      <c r="B1579" s="50" t="s">
        <v>2712</v>
      </c>
      <c r="C1579" s="50" t="s">
        <v>619</v>
      </c>
      <c r="D1579" s="50" t="s">
        <v>2779</v>
      </c>
      <c r="E1579" s="50" t="s">
        <v>2779</v>
      </c>
      <c r="F1579" s="50" t="s">
        <v>686</v>
      </c>
      <c r="G1579" s="50" t="s">
        <v>1941</v>
      </c>
      <c r="H1579" t="s">
        <v>4475</v>
      </c>
    </row>
    <row r="1580" spans="1:8">
      <c r="A1580" s="61">
        <v>3187</v>
      </c>
      <c r="B1580" s="50" t="s">
        <v>2234</v>
      </c>
      <c r="C1580" s="50" t="s">
        <v>140</v>
      </c>
      <c r="D1580" s="50" t="s">
        <v>2686</v>
      </c>
      <c r="E1580" s="50" t="s">
        <v>2686</v>
      </c>
      <c r="F1580" s="50" t="s">
        <v>2128</v>
      </c>
      <c r="G1580" s="50" t="s">
        <v>529</v>
      </c>
      <c r="H1580" t="s">
        <v>3349</v>
      </c>
    </row>
    <row r="1581" spans="1:8">
      <c r="A1581" s="61">
        <v>3188</v>
      </c>
      <c r="B1581" s="50" t="s">
        <v>2253</v>
      </c>
      <c r="C1581" s="50" t="s">
        <v>584</v>
      </c>
      <c r="D1581" s="50" t="s">
        <v>1351</v>
      </c>
      <c r="E1581" s="50" t="s">
        <v>1351</v>
      </c>
      <c r="F1581" s="50" t="s">
        <v>2128</v>
      </c>
      <c r="G1581" s="50" t="s">
        <v>1917</v>
      </c>
      <c r="H1581" t="s">
        <v>3157</v>
      </c>
    </row>
    <row r="1582" spans="1:8">
      <c r="A1582" s="61">
        <v>3189</v>
      </c>
      <c r="B1582" s="50" t="s">
        <v>2740</v>
      </c>
      <c r="C1582" s="50" t="s">
        <v>188</v>
      </c>
      <c r="D1582" s="50" t="s">
        <v>2759</v>
      </c>
      <c r="E1582" s="50" t="s">
        <v>2759</v>
      </c>
      <c r="F1582" s="50" t="s">
        <v>1224</v>
      </c>
      <c r="G1582" s="50" t="s">
        <v>1888</v>
      </c>
      <c r="H1582" t="s">
        <v>2927</v>
      </c>
    </row>
    <row r="1583" spans="1:8">
      <c r="A1583" s="61">
        <v>3190</v>
      </c>
      <c r="B1583" s="50" t="s">
        <v>2203</v>
      </c>
      <c r="C1583" s="50" t="s">
        <v>867</v>
      </c>
      <c r="D1583" s="50" t="s">
        <v>740</v>
      </c>
      <c r="E1583" s="50" t="s">
        <v>740</v>
      </c>
      <c r="F1583" s="50" t="s">
        <v>2610</v>
      </c>
      <c r="G1583" s="50" t="s">
        <v>1897</v>
      </c>
      <c r="H1583" t="s">
        <v>4476</v>
      </c>
    </row>
    <row r="1584" spans="1:8">
      <c r="A1584" s="61">
        <v>3191</v>
      </c>
      <c r="B1584" s="50" t="s">
        <v>2741</v>
      </c>
      <c r="C1584" s="50" t="s">
        <v>640</v>
      </c>
      <c r="D1584" s="50" t="s">
        <v>603</v>
      </c>
      <c r="E1584" s="50" t="s">
        <v>603</v>
      </c>
      <c r="F1584" s="50" t="s">
        <v>2180</v>
      </c>
      <c r="G1584" s="50" t="s">
        <v>548</v>
      </c>
      <c r="H1584" t="s">
        <v>4477</v>
      </c>
    </row>
    <row r="1585" spans="1:8">
      <c r="A1585" s="61">
        <v>3192</v>
      </c>
      <c r="B1585" s="50" t="s">
        <v>161</v>
      </c>
      <c r="C1585" s="50" t="s">
        <v>263</v>
      </c>
      <c r="D1585" s="50" t="s">
        <v>2668</v>
      </c>
      <c r="E1585" s="50" t="s">
        <v>2668</v>
      </c>
      <c r="F1585" s="50" t="s">
        <v>2180</v>
      </c>
      <c r="G1585" s="50" t="s">
        <v>1918</v>
      </c>
      <c r="H1585" t="s">
        <v>2994</v>
      </c>
    </row>
    <row r="1586" spans="1:8">
      <c r="A1586" s="61">
        <v>3193</v>
      </c>
      <c r="B1586" s="50" t="s">
        <v>2742</v>
      </c>
      <c r="C1586" s="50" t="s">
        <v>866</v>
      </c>
      <c r="D1586" s="50" t="s">
        <v>3</v>
      </c>
      <c r="E1586" s="50" t="s">
        <v>3</v>
      </c>
      <c r="F1586" s="50" t="s">
        <v>686</v>
      </c>
      <c r="G1586" s="50" t="s">
        <v>1929</v>
      </c>
      <c r="H1586" t="s">
        <v>4478</v>
      </c>
    </row>
    <row r="1587" spans="1:8">
      <c r="A1587" s="61">
        <v>3194</v>
      </c>
      <c r="B1587" s="50" t="s">
        <v>2743</v>
      </c>
      <c r="C1587" s="50" t="s">
        <v>263</v>
      </c>
      <c r="D1587" s="50" t="s">
        <v>2779</v>
      </c>
      <c r="E1587" s="50" t="s">
        <v>2779</v>
      </c>
      <c r="F1587" s="50" t="s">
        <v>686</v>
      </c>
      <c r="G1587" s="50" t="s">
        <v>1941</v>
      </c>
      <c r="H1587" t="s">
        <v>4479</v>
      </c>
    </row>
    <row r="1588" spans="1:8">
      <c r="A1588" s="61">
        <v>3195</v>
      </c>
      <c r="B1588" s="50" t="s">
        <v>2744</v>
      </c>
      <c r="C1588" s="50" t="s">
        <v>642</v>
      </c>
      <c r="D1588" s="50" t="s">
        <v>2094</v>
      </c>
      <c r="E1588" s="50" t="s">
        <v>2094</v>
      </c>
      <c r="F1588" s="50" t="s">
        <v>1224</v>
      </c>
      <c r="G1588" s="50" t="s">
        <v>2544</v>
      </c>
      <c r="H1588" t="s">
        <v>3068</v>
      </c>
    </row>
    <row r="1589" spans="1:8">
      <c r="A1589" s="61">
        <v>3196</v>
      </c>
      <c r="B1589" s="50" t="s">
        <v>2289</v>
      </c>
      <c r="C1589" s="50" t="s">
        <v>989</v>
      </c>
      <c r="D1589" s="50" t="s">
        <v>772</v>
      </c>
      <c r="E1589" s="50" t="s">
        <v>772</v>
      </c>
      <c r="F1589" s="50" t="s">
        <v>451</v>
      </c>
      <c r="G1589" s="50" t="s">
        <v>1389</v>
      </c>
      <c r="H1589" t="s">
        <v>2858</v>
      </c>
    </row>
    <row r="1590" spans="1:8">
      <c r="A1590" s="61">
        <v>3197</v>
      </c>
      <c r="B1590" s="50" t="s">
        <v>334</v>
      </c>
      <c r="C1590" s="50" t="s">
        <v>1527</v>
      </c>
      <c r="D1590" s="50" t="s">
        <v>437</v>
      </c>
      <c r="E1590" s="50" t="s">
        <v>437</v>
      </c>
      <c r="F1590" s="50" t="s">
        <v>451</v>
      </c>
      <c r="G1590" s="50" t="s">
        <v>342</v>
      </c>
      <c r="H1590" t="s">
        <v>4480</v>
      </c>
    </row>
    <row r="1591" spans="1:8">
      <c r="A1591" s="61">
        <v>3198</v>
      </c>
      <c r="B1591" s="50" t="s">
        <v>2418</v>
      </c>
      <c r="C1591" s="50" t="s">
        <v>2419</v>
      </c>
      <c r="D1591" s="50" t="s">
        <v>1264</v>
      </c>
      <c r="E1591" s="50" t="s">
        <v>1264</v>
      </c>
      <c r="F1591" s="50" t="s">
        <v>2128</v>
      </c>
      <c r="G1591" s="50" t="s">
        <v>3105</v>
      </c>
      <c r="H1591" t="s">
        <v>2877</v>
      </c>
    </row>
    <row r="1592" spans="1:8">
      <c r="A1592" s="61">
        <v>3199</v>
      </c>
      <c r="B1592" s="50" t="s">
        <v>2461</v>
      </c>
      <c r="C1592" s="50" t="s">
        <v>1311</v>
      </c>
      <c r="D1592" s="50" t="s">
        <v>2450</v>
      </c>
      <c r="E1592" s="50" t="s">
        <v>2450</v>
      </c>
      <c r="F1592" s="50" t="s">
        <v>2128</v>
      </c>
      <c r="G1592" s="50" t="s">
        <v>1582</v>
      </c>
      <c r="H1592" t="s">
        <v>4481</v>
      </c>
    </row>
    <row r="1593" spans="1:8">
      <c r="A1593" s="61">
        <v>3200</v>
      </c>
      <c r="B1593" s="50" t="s">
        <v>2490</v>
      </c>
      <c r="C1593" s="50" t="s">
        <v>1197</v>
      </c>
      <c r="D1593" s="50" t="s">
        <v>2448</v>
      </c>
      <c r="E1593" s="50" t="s">
        <v>2448</v>
      </c>
      <c r="F1593" s="50" t="s">
        <v>2128</v>
      </c>
      <c r="G1593" s="50" t="s">
        <v>1907</v>
      </c>
      <c r="H1593" t="s">
        <v>4482</v>
      </c>
    </row>
    <row r="1594" spans="1:8">
      <c r="A1594" s="61">
        <v>3201</v>
      </c>
      <c r="B1594" s="50" t="s">
        <v>2513</v>
      </c>
      <c r="C1594" s="50" t="s">
        <v>72</v>
      </c>
      <c r="D1594" s="50" t="s">
        <v>2087</v>
      </c>
      <c r="E1594" s="50" t="s">
        <v>2087</v>
      </c>
      <c r="F1594" s="50" t="s">
        <v>451</v>
      </c>
      <c r="G1594" s="50" t="s">
        <v>2112</v>
      </c>
      <c r="H1594" t="s">
        <v>4483</v>
      </c>
    </row>
    <row r="1595" spans="1:8">
      <c r="A1595" s="61">
        <v>3202</v>
      </c>
      <c r="B1595" s="50" t="s">
        <v>2515</v>
      </c>
      <c r="C1595" s="50" t="s">
        <v>1413</v>
      </c>
      <c r="D1595" s="50" t="s">
        <v>881</v>
      </c>
      <c r="E1595" s="50" t="s">
        <v>881</v>
      </c>
      <c r="F1595" s="50" t="s">
        <v>451</v>
      </c>
      <c r="G1595" s="50" t="s">
        <v>1910</v>
      </c>
      <c r="H1595" t="s">
        <v>4484</v>
      </c>
    </row>
    <row r="1596" spans="1:8">
      <c r="A1596" s="61">
        <v>3203</v>
      </c>
      <c r="B1596" s="50" t="s">
        <v>1093</v>
      </c>
      <c r="C1596" s="50" t="s">
        <v>2052</v>
      </c>
      <c r="D1596" s="50" t="s">
        <v>504</v>
      </c>
      <c r="E1596" s="50" t="s">
        <v>504</v>
      </c>
      <c r="F1596" s="50" t="s">
        <v>2128</v>
      </c>
      <c r="G1596" s="32" t="s">
        <v>4171</v>
      </c>
      <c r="H1596" t="s">
        <v>4485</v>
      </c>
    </row>
    <row r="1597" spans="1:8">
      <c r="A1597" s="61">
        <v>3204</v>
      </c>
      <c r="B1597" s="50" t="s">
        <v>2463</v>
      </c>
      <c r="C1597" s="50" t="s">
        <v>188</v>
      </c>
      <c r="D1597" s="50" t="s">
        <v>1967</v>
      </c>
      <c r="E1597" s="50" t="s">
        <v>1967</v>
      </c>
      <c r="F1597" s="50" t="s">
        <v>2128</v>
      </c>
      <c r="G1597" s="50" t="s">
        <v>2064</v>
      </c>
      <c r="H1597" t="s">
        <v>3158</v>
      </c>
    </row>
    <row r="1598" spans="1:8">
      <c r="A1598" s="61">
        <v>3205</v>
      </c>
      <c r="B1598" s="50" t="s">
        <v>2457</v>
      </c>
      <c r="C1598" s="50" t="s">
        <v>1197</v>
      </c>
      <c r="D1598" s="50" t="s">
        <v>685</v>
      </c>
      <c r="E1598" s="50" t="s">
        <v>685</v>
      </c>
      <c r="F1598" s="50" t="s">
        <v>451</v>
      </c>
      <c r="G1598" s="50" t="s">
        <v>1559</v>
      </c>
      <c r="H1598" t="s">
        <v>4486</v>
      </c>
    </row>
    <row r="1599" spans="1:8">
      <c r="A1599" s="61">
        <v>3206</v>
      </c>
      <c r="B1599" s="50" t="s">
        <v>2312</v>
      </c>
      <c r="C1599" s="50" t="s">
        <v>777</v>
      </c>
      <c r="D1599" s="50" t="s">
        <v>2087</v>
      </c>
      <c r="E1599" s="50" t="s">
        <v>2087</v>
      </c>
      <c r="F1599" s="50" t="s">
        <v>451</v>
      </c>
      <c r="G1599" s="50" t="s">
        <v>2112</v>
      </c>
      <c r="H1599" t="s">
        <v>4487</v>
      </c>
    </row>
    <row r="1600" spans="1:8">
      <c r="A1600" s="61">
        <v>3207</v>
      </c>
      <c r="B1600" s="50" t="s">
        <v>2345</v>
      </c>
      <c r="C1600" s="50" t="s">
        <v>640</v>
      </c>
      <c r="D1600" s="50" t="s">
        <v>2087</v>
      </c>
      <c r="E1600" s="50" t="s">
        <v>2087</v>
      </c>
      <c r="F1600" s="50" t="s">
        <v>451</v>
      </c>
      <c r="G1600" s="50" t="s">
        <v>2112</v>
      </c>
      <c r="H1600" t="s">
        <v>4488</v>
      </c>
    </row>
    <row r="1601" spans="1:8">
      <c r="A1601" s="61">
        <v>3208</v>
      </c>
      <c r="B1601" s="50" t="s">
        <v>781</v>
      </c>
      <c r="C1601" s="50" t="s">
        <v>336</v>
      </c>
      <c r="D1601" s="50" t="s">
        <v>2448</v>
      </c>
      <c r="E1601" s="50" t="s">
        <v>2448</v>
      </c>
      <c r="F1601" s="50" t="s">
        <v>2128</v>
      </c>
      <c r="G1601" s="50" t="s">
        <v>1907</v>
      </c>
      <c r="H1601" t="s">
        <v>4489</v>
      </c>
    </row>
    <row r="1602" spans="1:8">
      <c r="A1602" s="61">
        <v>3209</v>
      </c>
      <c r="B1602" s="50" t="s">
        <v>280</v>
      </c>
      <c r="C1602" s="50" t="s">
        <v>242</v>
      </c>
      <c r="D1602" s="50" t="s">
        <v>771</v>
      </c>
      <c r="E1602" s="50" t="s">
        <v>771</v>
      </c>
      <c r="F1602" s="50" t="s">
        <v>451</v>
      </c>
      <c r="G1602" s="50" t="s">
        <v>2064</v>
      </c>
      <c r="H1602" t="s">
        <v>3159</v>
      </c>
    </row>
    <row r="1603" spans="1:8">
      <c r="A1603" s="61">
        <v>3210</v>
      </c>
      <c r="B1603" s="50" t="s">
        <v>2745</v>
      </c>
      <c r="C1603" s="50" t="s">
        <v>199</v>
      </c>
      <c r="D1603" s="50" t="s">
        <v>2783</v>
      </c>
      <c r="E1603" s="50" t="s">
        <v>2783</v>
      </c>
      <c r="F1603" s="50" t="s">
        <v>3029</v>
      </c>
      <c r="G1603" s="50" t="s">
        <v>1938</v>
      </c>
      <c r="H1603" t="s">
        <v>3338</v>
      </c>
    </row>
    <row r="1604" spans="1:8">
      <c r="A1604" s="61">
        <v>3212</v>
      </c>
      <c r="B1604" s="50" t="s">
        <v>2607</v>
      </c>
      <c r="C1604" s="50" t="s">
        <v>75</v>
      </c>
      <c r="D1604" s="50" t="s">
        <v>2094</v>
      </c>
      <c r="E1604" s="50" t="s">
        <v>2094</v>
      </c>
      <c r="F1604" s="50" t="s">
        <v>1224</v>
      </c>
      <c r="G1604" s="50" t="s">
        <v>2777</v>
      </c>
      <c r="H1604" t="s">
        <v>2930</v>
      </c>
    </row>
    <row r="1605" spans="1:8">
      <c r="A1605" s="61">
        <v>3213</v>
      </c>
      <c r="B1605" s="50" t="s">
        <v>2746</v>
      </c>
      <c r="C1605" s="50" t="s">
        <v>642</v>
      </c>
      <c r="D1605" s="50" t="s">
        <v>2668</v>
      </c>
      <c r="E1605" s="50" t="s">
        <v>2668</v>
      </c>
      <c r="F1605" s="50" t="s">
        <v>2180</v>
      </c>
      <c r="G1605" s="50" t="s">
        <v>1918</v>
      </c>
      <c r="H1605" t="s">
        <v>4490</v>
      </c>
    </row>
    <row r="1606" spans="1:8">
      <c r="A1606" s="61">
        <v>3214</v>
      </c>
      <c r="B1606" s="50" t="s">
        <v>2369</v>
      </c>
      <c r="C1606" s="50" t="s">
        <v>197</v>
      </c>
      <c r="D1606" s="50" t="s">
        <v>2473</v>
      </c>
      <c r="E1606" s="50" t="s">
        <v>2473</v>
      </c>
      <c r="F1606" s="50" t="s">
        <v>451</v>
      </c>
      <c r="G1606" s="50" t="s">
        <v>2158</v>
      </c>
      <c r="H1606" t="s">
        <v>4491</v>
      </c>
    </row>
    <row r="1607" spans="1:8">
      <c r="A1607" s="61">
        <v>3215</v>
      </c>
      <c r="B1607" s="50" t="s">
        <v>1406</v>
      </c>
      <c r="C1607" s="50" t="s">
        <v>197</v>
      </c>
      <c r="D1607" s="50" t="s">
        <v>2324</v>
      </c>
      <c r="E1607" s="50" t="s">
        <v>2324</v>
      </c>
      <c r="F1607" s="50" t="s">
        <v>2128</v>
      </c>
      <c r="G1607" s="50" t="s">
        <v>2326</v>
      </c>
      <c r="H1607" t="s">
        <v>4492</v>
      </c>
    </row>
    <row r="1608" spans="1:8">
      <c r="A1608" s="61">
        <v>3216</v>
      </c>
      <c r="B1608" s="50" t="s">
        <v>467</v>
      </c>
      <c r="C1608" s="50" t="s">
        <v>775</v>
      </c>
      <c r="D1608" s="50" t="s">
        <v>2735</v>
      </c>
      <c r="E1608" s="50" t="s">
        <v>2735</v>
      </c>
      <c r="F1608" s="50" t="s">
        <v>2128</v>
      </c>
      <c r="G1608" s="50" t="s">
        <v>2488</v>
      </c>
      <c r="H1608" t="s">
        <v>2950</v>
      </c>
    </row>
    <row r="1609" spans="1:8">
      <c r="A1609" s="61">
        <v>3217</v>
      </c>
      <c r="B1609" s="50" t="s">
        <v>2370</v>
      </c>
      <c r="C1609" s="50" t="s">
        <v>263</v>
      </c>
      <c r="D1609" s="50" t="s">
        <v>2329</v>
      </c>
      <c r="E1609" s="50" t="s">
        <v>2329</v>
      </c>
      <c r="F1609" s="50" t="s">
        <v>451</v>
      </c>
      <c r="G1609" s="50" t="s">
        <v>2775</v>
      </c>
      <c r="H1609" t="s">
        <v>4493</v>
      </c>
    </row>
    <row r="1610" spans="1:8">
      <c r="A1610" s="61">
        <v>3218</v>
      </c>
      <c r="B1610" s="50" t="s">
        <v>2354</v>
      </c>
      <c r="C1610" s="50" t="s">
        <v>2355</v>
      </c>
      <c r="D1610" s="50" t="s">
        <v>1483</v>
      </c>
      <c r="E1610" s="50" t="s">
        <v>1483</v>
      </c>
      <c r="F1610" s="50" t="s">
        <v>2128</v>
      </c>
      <c r="G1610" s="50" t="s">
        <v>2406</v>
      </c>
      <c r="H1610" t="s">
        <v>4494</v>
      </c>
    </row>
    <row r="1611" spans="1:8">
      <c r="A1611" s="61">
        <v>3219</v>
      </c>
      <c r="B1611" s="50" t="s">
        <v>1495</v>
      </c>
      <c r="C1611" s="50" t="s">
        <v>1527</v>
      </c>
      <c r="D1611" s="50" t="s">
        <v>2675</v>
      </c>
      <c r="E1611" s="50" t="s">
        <v>2675</v>
      </c>
      <c r="F1611" s="50" t="s">
        <v>451</v>
      </c>
      <c r="G1611" s="50" t="s">
        <v>339</v>
      </c>
      <c r="H1611" t="s">
        <v>3380</v>
      </c>
    </row>
    <row r="1612" spans="1:8">
      <c r="A1612" s="61">
        <v>3220</v>
      </c>
      <c r="B1612" s="50" t="s">
        <v>2357</v>
      </c>
      <c r="C1612" s="50" t="s">
        <v>1527</v>
      </c>
      <c r="D1612" s="50" t="s">
        <v>1090</v>
      </c>
      <c r="E1612" s="50" t="s">
        <v>1090</v>
      </c>
      <c r="F1612" s="50" t="s">
        <v>451</v>
      </c>
      <c r="G1612" s="50" t="s">
        <v>3909</v>
      </c>
      <c r="H1612" t="s">
        <v>4495</v>
      </c>
    </row>
    <row r="1613" spans="1:8">
      <c r="A1613" s="61">
        <v>3221</v>
      </c>
      <c r="B1613" s="50" t="s">
        <v>2352</v>
      </c>
      <c r="C1613" s="50" t="s">
        <v>2353</v>
      </c>
      <c r="D1613" s="50" t="s">
        <v>2073</v>
      </c>
      <c r="E1613" s="50" t="s">
        <v>2073</v>
      </c>
      <c r="F1613" s="50" t="s">
        <v>2128</v>
      </c>
      <c r="G1613" s="50" t="s">
        <v>2471</v>
      </c>
      <c r="H1613" t="s">
        <v>2861</v>
      </c>
    </row>
    <row r="1614" spans="1:8">
      <c r="A1614" s="61">
        <v>3223</v>
      </c>
      <c r="B1614" s="50" t="s">
        <v>2361</v>
      </c>
      <c r="C1614" s="50" t="s">
        <v>1593</v>
      </c>
      <c r="D1614" s="50" t="s">
        <v>597</v>
      </c>
      <c r="E1614" s="50" t="s">
        <v>597</v>
      </c>
      <c r="F1614" s="50" t="s">
        <v>451</v>
      </c>
      <c r="G1614" s="32" t="s">
        <v>1902</v>
      </c>
      <c r="H1614" t="s">
        <v>4496</v>
      </c>
    </row>
    <row r="1615" spans="1:8">
      <c r="A1615" s="61">
        <v>3224</v>
      </c>
      <c r="B1615" s="50" t="s">
        <v>713</v>
      </c>
      <c r="C1615" s="50" t="s">
        <v>477</v>
      </c>
      <c r="D1615" s="50" t="s">
        <v>1090</v>
      </c>
      <c r="E1615" s="50" t="s">
        <v>1090</v>
      </c>
      <c r="F1615" s="50" t="s">
        <v>451</v>
      </c>
      <c r="G1615" s="50" t="s">
        <v>3909</v>
      </c>
      <c r="H1615" t="s">
        <v>4497</v>
      </c>
    </row>
    <row r="1616" spans="1:8">
      <c r="A1616" s="61">
        <v>3225</v>
      </c>
      <c r="B1616" s="50" t="s">
        <v>2365</v>
      </c>
      <c r="C1616" s="50" t="s">
        <v>802</v>
      </c>
      <c r="D1616" s="50" t="s">
        <v>2809</v>
      </c>
      <c r="E1616" s="50" t="s">
        <v>2809</v>
      </c>
      <c r="F1616" s="50" t="s">
        <v>2128</v>
      </c>
      <c r="G1616" s="50" t="s">
        <v>1893</v>
      </c>
      <c r="H1616" t="s">
        <v>2801</v>
      </c>
    </row>
    <row r="1617" spans="1:8">
      <c r="A1617" s="61">
        <v>3226</v>
      </c>
      <c r="B1617" s="50" t="s">
        <v>2363</v>
      </c>
      <c r="C1617" s="50" t="s">
        <v>1246</v>
      </c>
      <c r="D1617" s="50" t="s">
        <v>2069</v>
      </c>
      <c r="E1617" s="50" t="s">
        <v>2069</v>
      </c>
      <c r="F1617" s="50" t="s">
        <v>2128</v>
      </c>
      <c r="G1617" s="50" t="s">
        <v>528</v>
      </c>
      <c r="H1617" t="s">
        <v>2791</v>
      </c>
    </row>
    <row r="1618" spans="1:8">
      <c r="A1618" s="61">
        <v>3227</v>
      </c>
      <c r="B1618" s="50" t="s">
        <v>2512</v>
      </c>
      <c r="C1618" s="50" t="s">
        <v>79</v>
      </c>
      <c r="D1618" s="50" t="s">
        <v>2069</v>
      </c>
      <c r="E1618" s="50" t="s">
        <v>2069</v>
      </c>
      <c r="F1618" s="50" t="s">
        <v>451</v>
      </c>
      <c r="G1618" s="50" t="s">
        <v>528</v>
      </c>
      <c r="H1618" t="s">
        <v>4498</v>
      </c>
    </row>
    <row r="1619" spans="1:8">
      <c r="A1619" s="61">
        <v>3228</v>
      </c>
      <c r="B1619" s="50" t="s">
        <v>2297</v>
      </c>
      <c r="C1619" s="50" t="s">
        <v>263</v>
      </c>
      <c r="D1619" s="50" t="s">
        <v>2073</v>
      </c>
      <c r="E1619" s="50" t="s">
        <v>2073</v>
      </c>
      <c r="F1619" s="50" t="s">
        <v>451</v>
      </c>
      <c r="G1619" s="50" t="s">
        <v>2471</v>
      </c>
      <c r="H1619" t="s">
        <v>4499</v>
      </c>
    </row>
    <row r="1620" spans="1:8">
      <c r="A1620" s="61">
        <v>3229</v>
      </c>
      <c r="B1620" s="50" t="s">
        <v>1117</v>
      </c>
      <c r="C1620" s="50" t="s">
        <v>1197</v>
      </c>
      <c r="D1620" s="50" t="s">
        <v>2073</v>
      </c>
      <c r="E1620" s="50" t="s">
        <v>2073</v>
      </c>
      <c r="F1620" s="50" t="s">
        <v>451</v>
      </c>
      <c r="G1620" s="50" t="s">
        <v>2471</v>
      </c>
      <c r="H1620" t="s">
        <v>4500</v>
      </c>
    </row>
    <row r="1621" spans="1:8">
      <c r="A1621" s="61">
        <v>3230</v>
      </c>
      <c r="B1621" s="50" t="s">
        <v>1443</v>
      </c>
      <c r="C1621" s="50" t="s">
        <v>1311</v>
      </c>
      <c r="D1621" s="50" t="s">
        <v>2759</v>
      </c>
      <c r="E1621" s="50" t="s">
        <v>2759</v>
      </c>
      <c r="F1621" s="50" t="s">
        <v>1224</v>
      </c>
      <c r="G1621" s="50" t="s">
        <v>1894</v>
      </c>
      <c r="H1621" t="s">
        <v>2911</v>
      </c>
    </row>
    <row r="1622" spans="1:8">
      <c r="A1622" s="61">
        <v>3231</v>
      </c>
      <c r="B1622" s="50" t="s">
        <v>2803</v>
      </c>
      <c r="C1622" s="50" t="s">
        <v>2804</v>
      </c>
      <c r="D1622" s="50" t="s">
        <v>2668</v>
      </c>
      <c r="E1622" s="50" t="s">
        <v>2668</v>
      </c>
      <c r="F1622" s="50" t="s">
        <v>2180</v>
      </c>
      <c r="G1622" s="50" t="s">
        <v>1918</v>
      </c>
      <c r="H1622" t="s">
        <v>4501</v>
      </c>
    </row>
    <row r="1623" spans="1:8">
      <c r="A1623" s="61">
        <v>3232</v>
      </c>
      <c r="B1623" s="50" t="s">
        <v>1105</v>
      </c>
      <c r="C1623" s="50" t="s">
        <v>75</v>
      </c>
      <c r="D1623" s="50" t="s">
        <v>2668</v>
      </c>
      <c r="E1623" s="50" t="s">
        <v>2668</v>
      </c>
      <c r="F1623" s="50" t="s">
        <v>2180</v>
      </c>
      <c r="G1623" s="50" t="s">
        <v>1918</v>
      </c>
      <c r="H1623" t="s">
        <v>4502</v>
      </c>
    </row>
    <row r="1624" spans="1:8">
      <c r="A1624" s="61">
        <v>3233</v>
      </c>
      <c r="B1624" s="50" t="s">
        <v>2805</v>
      </c>
      <c r="C1624" s="50" t="s">
        <v>1413</v>
      </c>
      <c r="D1624" s="50" t="s">
        <v>2668</v>
      </c>
      <c r="E1624" s="50" t="s">
        <v>2668</v>
      </c>
      <c r="F1624" s="50" t="s">
        <v>1224</v>
      </c>
      <c r="G1624" s="50" t="s">
        <v>1918</v>
      </c>
      <c r="H1624" t="s">
        <v>4503</v>
      </c>
    </row>
    <row r="1625" spans="1:8">
      <c r="A1625" s="61">
        <v>3234</v>
      </c>
      <c r="B1625" s="50" t="s">
        <v>2198</v>
      </c>
      <c r="C1625" s="50" t="s">
        <v>1494</v>
      </c>
      <c r="D1625" s="50" t="s">
        <v>1316</v>
      </c>
      <c r="E1625" s="50" t="s">
        <v>1316</v>
      </c>
      <c r="F1625" s="50" t="s">
        <v>2180</v>
      </c>
      <c r="G1625" s="50" t="s">
        <v>1916</v>
      </c>
      <c r="H1625" t="s">
        <v>4504</v>
      </c>
    </row>
    <row r="1626" spans="1:8">
      <c r="A1626" s="61">
        <v>3235</v>
      </c>
      <c r="B1626" s="50" t="s">
        <v>493</v>
      </c>
      <c r="C1626" s="50" t="s">
        <v>362</v>
      </c>
      <c r="D1626" s="50" t="s">
        <v>772</v>
      </c>
      <c r="E1626" s="50" t="s">
        <v>772</v>
      </c>
      <c r="F1626" s="50" t="s">
        <v>2128</v>
      </c>
      <c r="G1626" s="50" t="s">
        <v>1389</v>
      </c>
      <c r="H1626" t="s">
        <v>4505</v>
      </c>
    </row>
    <row r="1627" spans="1:8">
      <c r="A1627" s="61">
        <v>3236</v>
      </c>
      <c r="B1627" s="50" t="s">
        <v>2831</v>
      </c>
      <c r="C1627" s="50" t="s">
        <v>2832</v>
      </c>
      <c r="D1627" s="50" t="s">
        <v>1450</v>
      </c>
      <c r="E1627" s="50" t="s">
        <v>1450</v>
      </c>
      <c r="F1627" s="50" t="s">
        <v>686</v>
      </c>
      <c r="G1627" s="50" t="s">
        <v>2135</v>
      </c>
      <c r="H1627" t="s">
        <v>4506</v>
      </c>
    </row>
    <row r="1628" spans="1:8">
      <c r="A1628" s="61">
        <v>3237</v>
      </c>
      <c r="B1628" s="50" t="s">
        <v>2590</v>
      </c>
      <c r="C1628" s="50" t="s">
        <v>1494</v>
      </c>
      <c r="D1628" s="50" t="s">
        <v>2672</v>
      </c>
      <c r="E1628" s="50" t="s">
        <v>2672</v>
      </c>
      <c r="F1628" s="50" t="s">
        <v>686</v>
      </c>
      <c r="G1628" s="50" t="s">
        <v>3339</v>
      </c>
      <c r="H1628" t="s">
        <v>4507</v>
      </c>
    </row>
    <row r="1629" spans="1:8">
      <c r="A1629" s="61">
        <v>3238</v>
      </c>
      <c r="B1629" s="50" t="s">
        <v>865</v>
      </c>
      <c r="C1629" s="50" t="s">
        <v>261</v>
      </c>
      <c r="D1629" s="50" t="s">
        <v>2552</v>
      </c>
      <c r="E1629" s="50" t="s">
        <v>2552</v>
      </c>
      <c r="F1629" s="50" t="s">
        <v>2180</v>
      </c>
      <c r="G1629" s="50" t="s">
        <v>539</v>
      </c>
      <c r="H1629" t="s">
        <v>4508</v>
      </c>
    </row>
    <row r="1630" spans="1:8">
      <c r="A1630" s="61">
        <v>3239</v>
      </c>
      <c r="B1630" s="50" t="s">
        <v>2947</v>
      </c>
      <c r="C1630" s="50" t="s">
        <v>266</v>
      </c>
      <c r="D1630" s="50" t="s">
        <v>2668</v>
      </c>
      <c r="E1630" s="50" t="s">
        <v>2668</v>
      </c>
      <c r="F1630" s="50" t="s">
        <v>2180</v>
      </c>
      <c r="G1630" s="50" t="s">
        <v>1918</v>
      </c>
      <c r="H1630" t="s">
        <v>4509</v>
      </c>
    </row>
    <row r="1631" spans="1:8">
      <c r="A1631" s="61">
        <v>3240</v>
      </c>
      <c r="B1631" s="50" t="s">
        <v>2294</v>
      </c>
      <c r="C1631" s="50" t="s">
        <v>65</v>
      </c>
      <c r="D1631" s="50" t="s">
        <v>2668</v>
      </c>
      <c r="E1631" s="50" t="s">
        <v>2668</v>
      </c>
      <c r="F1631" s="50" t="s">
        <v>1224</v>
      </c>
      <c r="G1631" s="50" t="s">
        <v>1918</v>
      </c>
      <c r="H1631" t="s">
        <v>4510</v>
      </c>
    </row>
    <row r="1632" spans="1:8">
      <c r="A1632" s="61">
        <v>3241</v>
      </c>
      <c r="B1632" s="50" t="s">
        <v>2970</v>
      </c>
      <c r="C1632" s="50" t="s">
        <v>1414</v>
      </c>
      <c r="D1632" s="50" t="s">
        <v>1263</v>
      </c>
      <c r="E1632" s="50" t="s">
        <v>1263</v>
      </c>
      <c r="F1632" s="50" t="s">
        <v>389</v>
      </c>
      <c r="G1632" s="32" t="s">
        <v>1571</v>
      </c>
      <c r="H1632" t="s">
        <v>4511</v>
      </c>
    </row>
    <row r="1633" spans="1:8">
      <c r="A1633" s="61">
        <v>3243</v>
      </c>
      <c r="B1633" s="50" t="s">
        <v>3164</v>
      </c>
      <c r="C1633" s="50" t="s">
        <v>65</v>
      </c>
      <c r="D1633" s="50" t="s">
        <v>2668</v>
      </c>
      <c r="E1633" s="50" t="s">
        <v>2668</v>
      </c>
      <c r="F1633" s="50" t="s">
        <v>2180</v>
      </c>
      <c r="G1633" s="50" t="s">
        <v>1918</v>
      </c>
      <c r="H1633" t="s">
        <v>4512</v>
      </c>
    </row>
    <row r="1634" spans="1:8">
      <c r="A1634" s="61">
        <v>3244</v>
      </c>
      <c r="B1634" s="50" t="s">
        <v>3165</v>
      </c>
      <c r="C1634" s="50" t="s">
        <v>866</v>
      </c>
      <c r="D1634" s="50" t="s">
        <v>2094</v>
      </c>
      <c r="E1634" s="50" t="s">
        <v>2094</v>
      </c>
      <c r="F1634" s="50" t="s">
        <v>1224</v>
      </c>
      <c r="G1634" s="50" t="s">
        <v>2777</v>
      </c>
      <c r="H1634" t="s">
        <v>3065</v>
      </c>
    </row>
    <row r="1635" spans="1:8">
      <c r="A1635" s="61">
        <v>3245</v>
      </c>
      <c r="B1635" s="50" t="s">
        <v>3166</v>
      </c>
      <c r="C1635" s="50" t="s">
        <v>1534</v>
      </c>
      <c r="D1635" s="50" t="s">
        <v>809</v>
      </c>
      <c r="E1635" s="50" t="s">
        <v>809</v>
      </c>
      <c r="F1635" s="50" t="s">
        <v>1366</v>
      </c>
      <c r="G1635" s="32" t="s">
        <v>2773</v>
      </c>
      <c r="H1635" t="s">
        <v>4513</v>
      </c>
    </row>
    <row r="1636" spans="1:8">
      <c r="A1636" s="61">
        <v>3246</v>
      </c>
      <c r="B1636" s="50" t="s">
        <v>1460</v>
      </c>
      <c r="C1636" s="50" t="s">
        <v>1197</v>
      </c>
      <c r="D1636" s="50" t="s">
        <v>2783</v>
      </c>
      <c r="E1636" s="50" t="s">
        <v>2783</v>
      </c>
      <c r="F1636" s="50" t="s">
        <v>391</v>
      </c>
      <c r="G1636" s="50" t="s">
        <v>2095</v>
      </c>
      <c r="H1636" t="s">
        <v>4514</v>
      </c>
    </row>
    <row r="1637" spans="1:8">
      <c r="A1637" s="61">
        <v>3247</v>
      </c>
      <c r="B1637" s="50" t="s">
        <v>3167</v>
      </c>
      <c r="C1637" s="50" t="s">
        <v>190</v>
      </c>
      <c r="D1637" s="50" t="s">
        <v>691</v>
      </c>
      <c r="E1637" s="50" t="s">
        <v>691</v>
      </c>
      <c r="F1637" s="50" t="s">
        <v>2180</v>
      </c>
      <c r="G1637" s="50" t="s">
        <v>547</v>
      </c>
      <c r="H1637" t="s">
        <v>4515</v>
      </c>
    </row>
    <row r="1638" spans="1:8">
      <c r="A1638" s="61">
        <v>3248</v>
      </c>
      <c r="B1638" s="50" t="s">
        <v>3168</v>
      </c>
      <c r="C1638" s="50" t="s">
        <v>163</v>
      </c>
      <c r="D1638" s="50" t="s">
        <v>2759</v>
      </c>
      <c r="E1638" s="50" t="s">
        <v>2759</v>
      </c>
      <c r="F1638" s="50" t="s">
        <v>2180</v>
      </c>
      <c r="G1638" s="50" t="s">
        <v>2777</v>
      </c>
      <c r="H1638" t="s">
        <v>4516</v>
      </c>
    </row>
    <row r="1639" spans="1:8">
      <c r="A1639" s="61">
        <v>3249</v>
      </c>
      <c r="B1639" s="50" t="s">
        <v>412</v>
      </c>
      <c r="C1639" s="50" t="s">
        <v>3201</v>
      </c>
      <c r="D1639" s="50" t="s">
        <v>434</v>
      </c>
      <c r="E1639" s="50" t="s">
        <v>434</v>
      </c>
      <c r="F1639" s="50" t="s">
        <v>2180</v>
      </c>
      <c r="G1639" s="50" t="s">
        <v>1388</v>
      </c>
      <c r="H1639" t="s">
        <v>4517</v>
      </c>
    </row>
    <row r="1640" spans="1:8">
      <c r="A1640" s="61">
        <v>3250</v>
      </c>
      <c r="B1640" s="50" t="s">
        <v>58</v>
      </c>
      <c r="C1640" s="50" t="s">
        <v>72</v>
      </c>
      <c r="D1640" s="50" t="s">
        <v>711</v>
      </c>
      <c r="E1640" s="50" t="s">
        <v>711</v>
      </c>
      <c r="F1640" s="50" t="s">
        <v>1224</v>
      </c>
      <c r="G1640" s="50" t="s">
        <v>543</v>
      </c>
      <c r="H1640" t="s">
        <v>4518</v>
      </c>
    </row>
    <row r="1641" spans="1:8">
      <c r="A1641" s="61">
        <v>3253</v>
      </c>
      <c r="B1641" s="50" t="s">
        <v>3306</v>
      </c>
      <c r="C1641" s="50" t="s">
        <v>194</v>
      </c>
      <c r="D1641" s="50" t="s">
        <v>600</v>
      </c>
      <c r="E1641" s="50" t="s">
        <v>600</v>
      </c>
      <c r="F1641" s="50" t="s">
        <v>1224</v>
      </c>
      <c r="G1641" s="50" t="s">
        <v>1919</v>
      </c>
      <c r="H1641" t="s">
        <v>4519</v>
      </c>
    </row>
    <row r="1642" spans="1:8">
      <c r="A1642" s="61">
        <v>3254</v>
      </c>
      <c r="B1642" s="50" t="s">
        <v>3307</v>
      </c>
      <c r="C1642" s="50" t="s">
        <v>640</v>
      </c>
      <c r="D1642" s="50" t="s">
        <v>185</v>
      </c>
      <c r="E1642" s="50" t="s">
        <v>185</v>
      </c>
      <c r="F1642" s="50" t="s">
        <v>1224</v>
      </c>
      <c r="G1642" s="50" t="s">
        <v>548</v>
      </c>
      <c r="H1642" t="s">
        <v>4520</v>
      </c>
    </row>
    <row r="1643" spans="1:8">
      <c r="A1643" s="61">
        <v>3255</v>
      </c>
      <c r="B1643" s="50" t="s">
        <v>4521</v>
      </c>
      <c r="C1643" s="50" t="s">
        <v>2219</v>
      </c>
      <c r="D1643" s="50" t="s">
        <v>1062</v>
      </c>
      <c r="E1643" s="50" t="s">
        <v>1062</v>
      </c>
      <c r="F1643" s="50" t="s">
        <v>451</v>
      </c>
      <c r="G1643" s="50" t="s">
        <v>1562</v>
      </c>
      <c r="H1643" t="s">
        <v>4522</v>
      </c>
    </row>
    <row r="1644" spans="1:8">
      <c r="A1644" s="61">
        <v>3256</v>
      </c>
      <c r="B1644" s="50" t="s">
        <v>4523</v>
      </c>
      <c r="C1644" s="50" t="s">
        <v>640</v>
      </c>
      <c r="D1644" s="50" t="s">
        <v>1063</v>
      </c>
      <c r="E1644" s="50" t="s">
        <v>1063</v>
      </c>
      <c r="F1644" s="50" t="s">
        <v>451</v>
      </c>
      <c r="G1644" s="50" t="s">
        <v>1551</v>
      </c>
      <c r="H1644" t="s">
        <v>4524</v>
      </c>
    </row>
    <row r="1645" spans="1:8">
      <c r="A1645" s="61">
        <v>3257</v>
      </c>
      <c r="B1645" s="50" t="s">
        <v>181</v>
      </c>
      <c r="C1645" s="50" t="s">
        <v>1410</v>
      </c>
      <c r="D1645" s="50" t="s">
        <v>2072</v>
      </c>
      <c r="E1645" s="50" t="s">
        <v>2072</v>
      </c>
      <c r="F1645" s="50" t="s">
        <v>451</v>
      </c>
      <c r="G1645" s="50" t="s">
        <v>1398</v>
      </c>
      <c r="H1645" t="s">
        <v>4525</v>
      </c>
    </row>
    <row r="1646" spans="1:8">
      <c r="A1646" s="61">
        <v>3258</v>
      </c>
      <c r="B1646" s="50" t="s">
        <v>2462</v>
      </c>
      <c r="C1646" s="50" t="s">
        <v>584</v>
      </c>
      <c r="D1646" s="50" t="s">
        <v>2377</v>
      </c>
      <c r="E1646" s="50" t="s">
        <v>2377</v>
      </c>
      <c r="F1646" s="50" t="s">
        <v>451</v>
      </c>
      <c r="G1646" s="50" t="s">
        <v>1395</v>
      </c>
      <c r="H1646" t="s">
        <v>3484</v>
      </c>
    </row>
    <row r="1647" spans="1:8">
      <c r="A1647" s="61">
        <v>3259</v>
      </c>
      <c r="B1647" s="50" t="s">
        <v>3308</v>
      </c>
      <c r="C1647" s="50" t="s">
        <v>1197</v>
      </c>
      <c r="D1647" s="50" t="s">
        <v>2759</v>
      </c>
      <c r="E1647" s="50" t="s">
        <v>2759</v>
      </c>
      <c r="F1647" s="50" t="s">
        <v>2180</v>
      </c>
      <c r="G1647" s="50" t="s">
        <v>2544</v>
      </c>
      <c r="H1647" t="s">
        <v>4526</v>
      </c>
    </row>
    <row r="1648" spans="1:8">
      <c r="A1648" s="61">
        <v>3260</v>
      </c>
      <c r="B1648" s="50" t="s">
        <v>1017</v>
      </c>
      <c r="C1648" s="50" t="s">
        <v>263</v>
      </c>
      <c r="D1648" s="50" t="s">
        <v>690</v>
      </c>
      <c r="E1648" s="50" t="s">
        <v>690</v>
      </c>
      <c r="F1648" s="50" t="s">
        <v>1224</v>
      </c>
      <c r="G1648" s="50" t="s">
        <v>1583</v>
      </c>
      <c r="H1648" t="s">
        <v>4527</v>
      </c>
    </row>
    <row r="1649" spans="1:8">
      <c r="A1649" s="61">
        <v>3261</v>
      </c>
      <c r="B1649" s="50" t="s">
        <v>492</v>
      </c>
      <c r="C1649" s="50" t="s">
        <v>718</v>
      </c>
      <c r="D1649" s="50" t="s">
        <v>2668</v>
      </c>
      <c r="E1649" s="50" t="s">
        <v>2668</v>
      </c>
      <c r="F1649" s="50" t="s">
        <v>1224</v>
      </c>
      <c r="G1649" s="50" t="s">
        <v>1918</v>
      </c>
      <c r="H1649" t="s">
        <v>4528</v>
      </c>
    </row>
    <row r="1650" spans="1:8">
      <c r="A1650" s="61">
        <v>3262</v>
      </c>
      <c r="B1650" s="50" t="s">
        <v>4529</v>
      </c>
      <c r="C1650" s="50" t="s">
        <v>246</v>
      </c>
      <c r="D1650" s="50" t="s">
        <v>1317</v>
      </c>
      <c r="E1650" s="50" t="s">
        <v>1317</v>
      </c>
      <c r="F1650" s="50" t="s">
        <v>1224</v>
      </c>
      <c r="G1650" s="50" t="s">
        <v>2102</v>
      </c>
      <c r="H1650" t="s">
        <v>4530</v>
      </c>
    </row>
    <row r="1651" spans="1:8">
      <c r="A1651" s="61">
        <v>3263</v>
      </c>
      <c r="B1651" s="50" t="s">
        <v>4531</v>
      </c>
      <c r="C1651" s="50" t="s">
        <v>246</v>
      </c>
      <c r="D1651" s="50" t="s">
        <v>1875</v>
      </c>
      <c r="E1651" s="50" t="s">
        <v>1875</v>
      </c>
      <c r="F1651" s="50" t="s">
        <v>1224</v>
      </c>
      <c r="G1651" s="50" t="s">
        <v>539</v>
      </c>
      <c r="H1651" t="s">
        <v>4532</v>
      </c>
    </row>
    <row r="1652" spans="1:8">
      <c r="A1652" s="61">
        <v>3264</v>
      </c>
      <c r="B1652" s="50" t="s">
        <v>4533</v>
      </c>
      <c r="C1652" s="50" t="s">
        <v>1172</v>
      </c>
      <c r="D1652" s="50" t="s">
        <v>351</v>
      </c>
      <c r="E1652" s="50" t="s">
        <v>351</v>
      </c>
      <c r="F1652" s="50" t="s">
        <v>391</v>
      </c>
      <c r="G1652" s="50" t="s">
        <v>1937</v>
      </c>
      <c r="H1652" t="s">
        <v>4534</v>
      </c>
    </row>
    <row r="1653" spans="1:8">
      <c r="A1653" s="61">
        <v>3265</v>
      </c>
      <c r="B1653" s="50" t="s">
        <v>4535</v>
      </c>
      <c r="C1653" s="50" t="s">
        <v>266</v>
      </c>
      <c r="D1653" s="50" t="s">
        <v>217</v>
      </c>
      <c r="E1653" s="50" t="s">
        <v>217</v>
      </c>
      <c r="F1653" s="50" t="s">
        <v>2180</v>
      </c>
      <c r="G1653" s="50" t="s">
        <v>1915</v>
      </c>
      <c r="H1653" t="s">
        <v>4536</v>
      </c>
    </row>
    <row r="1654" spans="1:8">
      <c r="A1654" s="61">
        <v>3266</v>
      </c>
      <c r="B1654" s="50" t="s">
        <v>4537</v>
      </c>
      <c r="C1654" s="50" t="s">
        <v>1133</v>
      </c>
      <c r="D1654" s="50" t="s">
        <v>2759</v>
      </c>
      <c r="E1654" s="50" t="s">
        <v>2759</v>
      </c>
      <c r="F1654" s="50" t="s">
        <v>1224</v>
      </c>
      <c r="G1654" s="50" t="s">
        <v>2777</v>
      </c>
      <c r="H1654" t="s">
        <v>4538</v>
      </c>
    </row>
    <row r="1655" spans="1:8">
      <c r="A1655" s="61">
        <v>3267</v>
      </c>
      <c r="B1655" s="50" t="s">
        <v>4955</v>
      </c>
      <c r="C1655" s="50" t="s">
        <v>263</v>
      </c>
      <c r="D1655" s="50" t="s">
        <v>2759</v>
      </c>
      <c r="E1655" s="50" t="s">
        <v>2759</v>
      </c>
      <c r="F1655" s="50" t="s">
        <v>2180</v>
      </c>
      <c r="G1655" s="50" t="s">
        <v>1894</v>
      </c>
      <c r="H1655" t="s">
        <v>5008</v>
      </c>
    </row>
    <row r="1656" spans="1:8">
      <c r="A1656" s="61">
        <v>3268</v>
      </c>
      <c r="B1656" s="50" t="s">
        <v>4539</v>
      </c>
      <c r="C1656" s="50" t="s">
        <v>640</v>
      </c>
      <c r="D1656" s="50" t="s">
        <v>4540</v>
      </c>
      <c r="E1656" s="50" t="s">
        <v>4540</v>
      </c>
      <c r="F1656" s="50" t="s">
        <v>2180</v>
      </c>
      <c r="G1656" s="50" t="s">
        <v>1897</v>
      </c>
      <c r="H1656" t="s">
        <v>4541</v>
      </c>
    </row>
    <row r="1657" spans="1:8">
      <c r="A1657" s="61">
        <v>3270</v>
      </c>
      <c r="B1657" s="50" t="s">
        <v>1292</v>
      </c>
      <c r="C1657" s="50" t="s">
        <v>266</v>
      </c>
      <c r="D1657" s="50" t="s">
        <v>741</v>
      </c>
      <c r="E1657" s="50" t="s">
        <v>741</v>
      </c>
      <c r="F1657" s="50" t="s">
        <v>2180</v>
      </c>
      <c r="G1657" s="50" t="s">
        <v>1898</v>
      </c>
      <c r="H1657" t="s">
        <v>5009</v>
      </c>
    </row>
    <row r="1658" spans="1:8">
      <c r="A1658" s="61">
        <v>50231</v>
      </c>
      <c r="B1658" s="50" t="s">
        <v>73</v>
      </c>
      <c r="C1658" s="50" t="s">
        <v>72</v>
      </c>
      <c r="D1658" s="50" t="s">
        <v>4936</v>
      </c>
      <c r="E1658" s="50" t="s">
        <v>4936</v>
      </c>
      <c r="F1658" s="50" t="s">
        <v>4937</v>
      </c>
      <c r="G1658" s="50"/>
      <c r="H1658" t="s">
        <v>4940</v>
      </c>
    </row>
    <row r="1659" spans="1:8">
      <c r="A1659" s="61">
        <v>64454</v>
      </c>
      <c r="B1659" s="50" t="s">
        <v>565</v>
      </c>
      <c r="C1659" s="50" t="s">
        <v>446</v>
      </c>
      <c r="D1659" s="50" t="s">
        <v>514</v>
      </c>
      <c r="E1659" s="50" t="s">
        <v>514</v>
      </c>
      <c r="F1659" s="50" t="s">
        <v>643</v>
      </c>
      <c r="G1659" s="50" t="s">
        <v>2472</v>
      </c>
      <c r="H1659" t="s">
        <v>4542</v>
      </c>
    </row>
    <row r="1660" spans="1:8">
      <c r="A1660" s="61">
        <v>64456</v>
      </c>
      <c r="B1660" s="50" t="s">
        <v>2606</v>
      </c>
      <c r="C1660" s="50" t="s">
        <v>266</v>
      </c>
      <c r="D1660" s="50" t="s">
        <v>597</v>
      </c>
      <c r="E1660" s="50" t="s">
        <v>597</v>
      </c>
      <c r="F1660" s="50" t="s">
        <v>643</v>
      </c>
      <c r="G1660" s="32" t="s">
        <v>1902</v>
      </c>
      <c r="H1660" t="s">
        <v>4543</v>
      </c>
    </row>
    <row r="1661" spans="1:8">
      <c r="A1661" s="61">
        <v>64458</v>
      </c>
      <c r="B1661" s="50" t="s">
        <v>2171</v>
      </c>
      <c r="C1661" s="50" t="s">
        <v>584</v>
      </c>
      <c r="D1661" s="50" t="s">
        <v>597</v>
      </c>
      <c r="E1661" s="50" t="s">
        <v>597</v>
      </c>
      <c r="F1661" s="50" t="s">
        <v>643</v>
      </c>
      <c r="G1661" s="50" t="s">
        <v>1902</v>
      </c>
      <c r="H1661" t="s">
        <v>2880</v>
      </c>
    </row>
    <row r="1662" spans="1:8">
      <c r="A1662" s="61">
        <v>64460</v>
      </c>
      <c r="B1662" s="50" t="s">
        <v>2653</v>
      </c>
      <c r="C1662" s="50" t="s">
        <v>286</v>
      </c>
      <c r="D1662" s="50" t="s">
        <v>772</v>
      </c>
      <c r="E1662" s="50" t="s">
        <v>772</v>
      </c>
      <c r="F1662" s="50" t="s">
        <v>643</v>
      </c>
      <c r="G1662" s="50" t="s">
        <v>1389</v>
      </c>
      <c r="H1662" t="s">
        <v>4544</v>
      </c>
    </row>
    <row r="1663" spans="1:8">
      <c r="A1663" s="61">
        <v>64461</v>
      </c>
      <c r="B1663" s="50" t="s">
        <v>2492</v>
      </c>
      <c r="C1663" s="50" t="s">
        <v>964</v>
      </c>
      <c r="D1663" s="50" t="s">
        <v>1270</v>
      </c>
      <c r="E1663" s="50" t="s">
        <v>1270</v>
      </c>
      <c r="F1663" s="50" t="s">
        <v>643</v>
      </c>
      <c r="G1663" s="50" t="s">
        <v>346</v>
      </c>
      <c r="H1663" t="s">
        <v>3095</v>
      </c>
    </row>
    <row r="1664" spans="1:8">
      <c r="A1664" s="61">
        <v>64463</v>
      </c>
      <c r="B1664" s="50" t="s">
        <v>2654</v>
      </c>
      <c r="C1664" s="50" t="s">
        <v>263</v>
      </c>
      <c r="D1664" s="50" t="s">
        <v>208</v>
      </c>
      <c r="E1664" s="50" t="s">
        <v>208</v>
      </c>
      <c r="F1664" s="50" t="s">
        <v>643</v>
      </c>
      <c r="G1664" s="50" t="s">
        <v>3514</v>
      </c>
      <c r="H1664" t="s">
        <v>4545</v>
      </c>
    </row>
    <row r="1665" spans="1:8">
      <c r="A1665" s="61">
        <v>64464</v>
      </c>
      <c r="B1665" s="50" t="s">
        <v>2655</v>
      </c>
      <c r="C1665" s="50" t="s">
        <v>261</v>
      </c>
      <c r="D1665" s="50" t="s">
        <v>511</v>
      </c>
      <c r="E1665" s="50" t="s">
        <v>511</v>
      </c>
      <c r="F1665" s="50" t="s">
        <v>643</v>
      </c>
      <c r="G1665" s="50" t="s">
        <v>2472</v>
      </c>
      <c r="H1665" t="s">
        <v>4546</v>
      </c>
    </row>
    <row r="1666" spans="1:8">
      <c r="A1666" s="61">
        <v>64466</v>
      </c>
      <c r="B1666" s="50" t="s">
        <v>2656</v>
      </c>
      <c r="C1666" s="50" t="s">
        <v>1413</v>
      </c>
      <c r="D1666" s="50" t="s">
        <v>1090</v>
      </c>
      <c r="E1666" s="50" t="s">
        <v>1090</v>
      </c>
      <c r="F1666" s="50" t="s">
        <v>643</v>
      </c>
      <c r="G1666" s="50" t="s">
        <v>3909</v>
      </c>
      <c r="H1666" t="s">
        <v>4547</v>
      </c>
    </row>
    <row r="1667" spans="1:8">
      <c r="A1667" s="61">
        <v>64467</v>
      </c>
      <c r="B1667" s="50" t="s">
        <v>625</v>
      </c>
      <c r="C1667" s="50" t="s">
        <v>1413</v>
      </c>
      <c r="D1667" s="50" t="s">
        <v>1090</v>
      </c>
      <c r="E1667" s="50" t="s">
        <v>1090</v>
      </c>
      <c r="F1667" s="50" t="s">
        <v>643</v>
      </c>
      <c r="G1667" s="50" t="s">
        <v>3909</v>
      </c>
      <c r="H1667" t="s">
        <v>4548</v>
      </c>
    </row>
    <row r="1668" spans="1:8">
      <c r="A1668" s="61">
        <v>64468</v>
      </c>
      <c r="B1668" s="50" t="s">
        <v>2657</v>
      </c>
      <c r="C1668" s="50" t="s">
        <v>1414</v>
      </c>
      <c r="D1668" s="50" t="s">
        <v>2675</v>
      </c>
      <c r="E1668" s="50" t="s">
        <v>2675</v>
      </c>
      <c r="F1668" s="50" t="s">
        <v>643</v>
      </c>
      <c r="G1668" s="50" t="s">
        <v>339</v>
      </c>
      <c r="H1668" t="s">
        <v>3376</v>
      </c>
    </row>
    <row r="1669" spans="1:8">
      <c r="A1669" s="61">
        <v>64469</v>
      </c>
      <c r="B1669" s="50" t="s">
        <v>966</v>
      </c>
      <c r="C1669" s="50" t="s">
        <v>864</v>
      </c>
      <c r="D1669" s="50" t="s">
        <v>2073</v>
      </c>
      <c r="E1669" s="50" t="s">
        <v>2073</v>
      </c>
      <c r="F1669" s="50" t="s">
        <v>643</v>
      </c>
      <c r="G1669" s="50" t="s">
        <v>2471</v>
      </c>
      <c r="H1669" t="s">
        <v>4549</v>
      </c>
    </row>
    <row r="1670" spans="1:8">
      <c r="A1670" s="61">
        <v>64472</v>
      </c>
      <c r="B1670" s="50" t="s">
        <v>1196</v>
      </c>
      <c r="C1670" s="50" t="s">
        <v>989</v>
      </c>
      <c r="D1670" s="50" t="s">
        <v>2377</v>
      </c>
      <c r="E1670" s="50" t="s">
        <v>2377</v>
      </c>
      <c r="F1670" s="50" t="s">
        <v>643</v>
      </c>
      <c r="G1670" s="50" t="s">
        <v>1395</v>
      </c>
      <c r="H1670" t="s">
        <v>3160</v>
      </c>
    </row>
    <row r="1671" spans="1:8">
      <c r="A1671" s="61">
        <v>64473</v>
      </c>
      <c r="B1671" s="50" t="s">
        <v>2602</v>
      </c>
      <c r="C1671" s="50" t="s">
        <v>370</v>
      </c>
      <c r="D1671" s="50" t="s">
        <v>452</v>
      </c>
      <c r="E1671" s="50" t="s">
        <v>452</v>
      </c>
      <c r="F1671" s="50" t="s">
        <v>643</v>
      </c>
      <c r="G1671" s="50" t="s">
        <v>346</v>
      </c>
      <c r="H1671" t="s">
        <v>3161</v>
      </c>
    </row>
    <row r="1672" spans="1:8">
      <c r="A1672" s="61">
        <v>64474</v>
      </c>
      <c r="B1672" s="50" t="s">
        <v>2658</v>
      </c>
      <c r="C1672" s="50" t="s">
        <v>640</v>
      </c>
      <c r="D1672" s="50" t="s">
        <v>179</v>
      </c>
      <c r="E1672" s="50" t="s">
        <v>179</v>
      </c>
      <c r="F1672" s="50" t="s">
        <v>643</v>
      </c>
      <c r="G1672" s="50" t="s">
        <v>1543</v>
      </c>
      <c r="H1672" t="s">
        <v>4550</v>
      </c>
    </row>
    <row r="1673" spans="1:8">
      <c r="A1673" s="61">
        <v>64484</v>
      </c>
      <c r="B1673" s="50" t="s">
        <v>574</v>
      </c>
      <c r="C1673" s="50" t="s">
        <v>1413</v>
      </c>
      <c r="D1673" s="50" t="s">
        <v>2086</v>
      </c>
      <c r="E1673" s="50" t="s">
        <v>2086</v>
      </c>
      <c r="F1673" s="50" t="s">
        <v>643</v>
      </c>
      <c r="G1673" s="50" t="s">
        <v>1569</v>
      </c>
      <c r="H1673" t="s">
        <v>2963</v>
      </c>
    </row>
    <row r="1674" spans="1:8">
      <c r="A1674" s="61">
        <v>64485</v>
      </c>
      <c r="B1674" s="50" t="s">
        <v>2713</v>
      </c>
      <c r="C1674" s="50" t="s">
        <v>775</v>
      </c>
      <c r="D1674" s="50" t="s">
        <v>684</v>
      </c>
      <c r="E1674" s="50" t="s">
        <v>684</v>
      </c>
      <c r="F1674" s="50" t="s">
        <v>643</v>
      </c>
      <c r="G1674" s="50" t="s">
        <v>541</v>
      </c>
      <c r="H1674" t="s">
        <v>4551</v>
      </c>
    </row>
    <row r="1675" spans="1:8">
      <c r="A1675" s="61">
        <v>64486</v>
      </c>
      <c r="B1675" s="50" t="s">
        <v>2714</v>
      </c>
      <c r="C1675" s="50" t="s">
        <v>1240</v>
      </c>
      <c r="D1675" s="50" t="s">
        <v>1325</v>
      </c>
      <c r="E1675" s="50" t="s">
        <v>1325</v>
      </c>
      <c r="F1675" s="50" t="s">
        <v>643</v>
      </c>
      <c r="G1675" s="50" t="s">
        <v>2159</v>
      </c>
      <c r="H1675" t="s">
        <v>3055</v>
      </c>
    </row>
    <row r="1676" spans="1:8">
      <c r="A1676" s="61">
        <v>64487</v>
      </c>
      <c r="B1676" s="50" t="s">
        <v>2715</v>
      </c>
      <c r="C1676" s="50" t="s">
        <v>1534</v>
      </c>
      <c r="D1676" s="50" t="s">
        <v>844</v>
      </c>
      <c r="E1676" s="50" t="s">
        <v>844</v>
      </c>
      <c r="F1676" s="50" t="s">
        <v>643</v>
      </c>
      <c r="G1676" s="50" t="s">
        <v>1903</v>
      </c>
      <c r="H1676" t="s">
        <v>2860</v>
      </c>
    </row>
    <row r="1677" spans="1:8">
      <c r="A1677" s="61">
        <v>64488</v>
      </c>
      <c r="B1677" s="50" t="s">
        <v>2716</v>
      </c>
      <c r="C1677" s="50" t="s">
        <v>864</v>
      </c>
      <c r="D1677" s="50" t="s">
        <v>2325</v>
      </c>
      <c r="E1677" s="50" t="s">
        <v>2325</v>
      </c>
      <c r="F1677" s="50" t="s">
        <v>643</v>
      </c>
      <c r="G1677" s="50" t="s">
        <v>1912</v>
      </c>
      <c r="H1677" t="s">
        <v>4552</v>
      </c>
    </row>
    <row r="1678" spans="1:8">
      <c r="A1678" s="61">
        <v>64489</v>
      </c>
      <c r="B1678" s="50" t="s">
        <v>2717</v>
      </c>
      <c r="C1678" s="50" t="s">
        <v>1311</v>
      </c>
      <c r="D1678" s="50" t="s">
        <v>684</v>
      </c>
      <c r="E1678" s="50" t="s">
        <v>684</v>
      </c>
      <c r="F1678" s="50" t="s">
        <v>643</v>
      </c>
      <c r="G1678" s="50" t="s">
        <v>541</v>
      </c>
      <c r="H1678" t="s">
        <v>4553</v>
      </c>
    </row>
    <row r="1679" spans="1:8">
      <c r="A1679" s="61">
        <v>64491</v>
      </c>
      <c r="B1679" s="50" t="s">
        <v>1163</v>
      </c>
      <c r="C1679" s="50" t="s">
        <v>2598</v>
      </c>
      <c r="D1679" s="50" t="s">
        <v>2325</v>
      </c>
      <c r="E1679" s="50" t="s">
        <v>2325</v>
      </c>
      <c r="F1679" s="50" t="s">
        <v>643</v>
      </c>
      <c r="G1679" s="50" t="s">
        <v>1912</v>
      </c>
      <c r="H1679" t="s">
        <v>4554</v>
      </c>
    </row>
    <row r="1680" spans="1:8">
      <c r="A1680" s="61">
        <v>64492</v>
      </c>
      <c r="B1680" s="50" t="s">
        <v>2718</v>
      </c>
      <c r="C1680" s="50" t="s">
        <v>640</v>
      </c>
      <c r="D1680" s="50" t="s">
        <v>511</v>
      </c>
      <c r="E1680" s="50" t="s">
        <v>511</v>
      </c>
      <c r="F1680" s="50" t="s">
        <v>643</v>
      </c>
      <c r="G1680" s="50" t="s">
        <v>2472</v>
      </c>
      <c r="H1680" t="s">
        <v>4555</v>
      </c>
    </row>
    <row r="1681" spans="1:8">
      <c r="A1681" s="61">
        <v>64494</v>
      </c>
      <c r="B1681" s="50" t="s">
        <v>1526</v>
      </c>
      <c r="C1681" s="50" t="s">
        <v>2419</v>
      </c>
      <c r="D1681" s="50" t="s">
        <v>1452</v>
      </c>
      <c r="E1681" s="50" t="s">
        <v>1452</v>
      </c>
      <c r="F1681" s="50" t="s">
        <v>643</v>
      </c>
      <c r="G1681" s="50" t="s">
        <v>3514</v>
      </c>
      <c r="H1681" t="s">
        <v>4556</v>
      </c>
    </row>
    <row r="1682" spans="1:8">
      <c r="A1682" s="61">
        <v>64497</v>
      </c>
      <c r="B1682" s="50" t="s">
        <v>2719</v>
      </c>
      <c r="C1682" s="50" t="s">
        <v>72</v>
      </c>
      <c r="D1682" s="50" t="s">
        <v>2072</v>
      </c>
      <c r="E1682" s="50" t="s">
        <v>2072</v>
      </c>
      <c r="F1682" s="50" t="s">
        <v>643</v>
      </c>
      <c r="G1682" s="50" t="s">
        <v>1398</v>
      </c>
      <c r="H1682" t="s">
        <v>2852</v>
      </c>
    </row>
    <row r="1683" spans="1:8">
      <c r="A1683" s="61">
        <v>64500</v>
      </c>
      <c r="B1683" s="50" t="s">
        <v>2720</v>
      </c>
      <c r="C1683" s="50" t="s">
        <v>477</v>
      </c>
      <c r="D1683" s="50" t="s">
        <v>1452</v>
      </c>
      <c r="E1683" s="50" t="s">
        <v>1452</v>
      </c>
      <c r="F1683" s="50" t="s">
        <v>643</v>
      </c>
      <c r="G1683" s="50" t="s">
        <v>3514</v>
      </c>
      <c r="H1683" t="s">
        <v>4557</v>
      </c>
    </row>
    <row r="1684" spans="1:8">
      <c r="A1684" s="61">
        <v>64502</v>
      </c>
      <c r="B1684" s="50" t="s">
        <v>752</v>
      </c>
      <c r="C1684" s="50" t="s">
        <v>266</v>
      </c>
      <c r="D1684" s="50" t="s">
        <v>2323</v>
      </c>
      <c r="E1684" s="50" t="s">
        <v>2323</v>
      </c>
      <c r="F1684" s="50" t="s">
        <v>643</v>
      </c>
      <c r="G1684" s="50" t="s">
        <v>1904</v>
      </c>
      <c r="H1684" t="s">
        <v>2842</v>
      </c>
    </row>
    <row r="1685" spans="1:8">
      <c r="A1685" s="61">
        <v>64505</v>
      </c>
      <c r="B1685" s="50" t="s">
        <v>2747</v>
      </c>
      <c r="C1685" s="50" t="s">
        <v>2219</v>
      </c>
      <c r="D1685" s="50" t="s">
        <v>475</v>
      </c>
      <c r="E1685" s="50" t="s">
        <v>475</v>
      </c>
      <c r="F1685" s="50" t="s">
        <v>643</v>
      </c>
      <c r="G1685" s="50" t="s">
        <v>1550</v>
      </c>
      <c r="H1685" t="s">
        <v>3418</v>
      </c>
    </row>
    <row r="1686" spans="1:8">
      <c r="A1686" s="61">
        <v>64506</v>
      </c>
      <c r="B1686" s="50" t="s">
        <v>2748</v>
      </c>
      <c r="C1686" s="50" t="s">
        <v>640</v>
      </c>
      <c r="D1686" s="50" t="s">
        <v>2449</v>
      </c>
      <c r="E1686" s="50" t="s">
        <v>2449</v>
      </c>
      <c r="F1686" s="50" t="s">
        <v>643</v>
      </c>
      <c r="G1686" s="50" t="s">
        <v>340</v>
      </c>
      <c r="H1686" t="s">
        <v>4558</v>
      </c>
    </row>
    <row r="1687" spans="1:8">
      <c r="A1687" s="61">
        <v>64507</v>
      </c>
      <c r="B1687" s="50" t="s">
        <v>1303</v>
      </c>
      <c r="C1687" s="50" t="s">
        <v>802</v>
      </c>
      <c r="D1687" s="50" t="s">
        <v>2072</v>
      </c>
      <c r="E1687" s="50" t="s">
        <v>2072</v>
      </c>
      <c r="F1687" s="50" t="s">
        <v>643</v>
      </c>
      <c r="G1687" s="50" t="s">
        <v>1398</v>
      </c>
      <c r="H1687" t="s">
        <v>4559</v>
      </c>
    </row>
    <row r="1688" spans="1:8">
      <c r="A1688" s="61">
        <v>64508</v>
      </c>
      <c r="B1688" s="50" t="s">
        <v>996</v>
      </c>
      <c r="C1688" s="50" t="s">
        <v>864</v>
      </c>
      <c r="D1688" s="50" t="s">
        <v>2377</v>
      </c>
      <c r="E1688" s="50" t="s">
        <v>2377</v>
      </c>
      <c r="F1688" s="50" t="s">
        <v>643</v>
      </c>
      <c r="G1688" s="50" t="s">
        <v>1395</v>
      </c>
      <c r="H1688" t="s">
        <v>2833</v>
      </c>
    </row>
    <row r="1689" spans="1:8">
      <c r="A1689" s="61">
        <v>64511</v>
      </c>
      <c r="B1689" s="50" t="s">
        <v>967</v>
      </c>
      <c r="C1689" s="50" t="s">
        <v>1246</v>
      </c>
      <c r="D1689" s="50" t="s">
        <v>1262</v>
      </c>
      <c r="E1689" s="50" t="s">
        <v>1262</v>
      </c>
      <c r="F1689" s="50" t="s">
        <v>643</v>
      </c>
      <c r="G1689" s="50" t="s">
        <v>1383</v>
      </c>
      <c r="H1689" t="s">
        <v>4560</v>
      </c>
    </row>
    <row r="1690" spans="1:8">
      <c r="A1690" s="61">
        <v>64512</v>
      </c>
      <c r="B1690" s="50" t="s">
        <v>2749</v>
      </c>
      <c r="C1690" s="50" t="s">
        <v>477</v>
      </c>
      <c r="D1690" s="50" t="s">
        <v>1483</v>
      </c>
      <c r="E1690" s="50" t="s">
        <v>1483</v>
      </c>
      <c r="F1690" s="50" t="s">
        <v>643</v>
      </c>
      <c r="G1690" s="50" t="s">
        <v>2406</v>
      </c>
      <c r="H1690" t="s">
        <v>2889</v>
      </c>
    </row>
    <row r="1691" spans="1:8">
      <c r="A1691" s="61">
        <v>64513</v>
      </c>
      <c r="B1691" s="50" t="s">
        <v>2750</v>
      </c>
      <c r="C1691" s="50" t="s">
        <v>989</v>
      </c>
      <c r="D1691" s="50" t="s">
        <v>597</v>
      </c>
      <c r="E1691" s="50" t="s">
        <v>597</v>
      </c>
      <c r="F1691" s="50" t="s">
        <v>643</v>
      </c>
      <c r="G1691" s="50" t="s">
        <v>1902</v>
      </c>
      <c r="H1691" t="s">
        <v>2888</v>
      </c>
    </row>
    <row r="1692" spans="1:8">
      <c r="A1692" s="61">
        <v>64515</v>
      </c>
      <c r="B1692" s="50" t="s">
        <v>2751</v>
      </c>
      <c r="C1692" s="50" t="s">
        <v>1013</v>
      </c>
      <c r="D1692" s="50" t="s">
        <v>1483</v>
      </c>
      <c r="E1692" s="50" t="s">
        <v>1483</v>
      </c>
      <c r="F1692" s="50" t="s">
        <v>643</v>
      </c>
      <c r="G1692" s="50" t="s">
        <v>2406</v>
      </c>
      <c r="H1692" t="s">
        <v>4561</v>
      </c>
    </row>
    <row r="1693" spans="1:8">
      <c r="A1693" s="61">
        <v>64516</v>
      </c>
      <c r="B1693" s="50" t="s">
        <v>312</v>
      </c>
      <c r="C1693" s="50" t="s">
        <v>263</v>
      </c>
      <c r="D1693" s="50" t="s">
        <v>601</v>
      </c>
      <c r="E1693" s="50" t="s">
        <v>601</v>
      </c>
      <c r="F1693" s="50" t="s">
        <v>643</v>
      </c>
      <c r="G1693" s="50" t="s">
        <v>2064</v>
      </c>
      <c r="H1693" t="s">
        <v>2998</v>
      </c>
    </row>
    <row r="1694" spans="1:8">
      <c r="A1694" s="61">
        <v>64517</v>
      </c>
      <c r="B1694" s="50" t="s">
        <v>2752</v>
      </c>
      <c r="C1694" s="50" t="s">
        <v>427</v>
      </c>
      <c r="D1694" s="50" t="s">
        <v>1262</v>
      </c>
      <c r="E1694" s="50" t="s">
        <v>1262</v>
      </c>
      <c r="F1694" s="50" t="s">
        <v>643</v>
      </c>
      <c r="G1694" s="32" t="s">
        <v>1383</v>
      </c>
      <c r="H1694" t="s">
        <v>4562</v>
      </c>
    </row>
    <row r="1695" spans="1:8">
      <c r="A1695" s="61">
        <v>64519</v>
      </c>
      <c r="B1695" s="50" t="s">
        <v>1445</v>
      </c>
      <c r="C1695" s="50" t="s">
        <v>663</v>
      </c>
      <c r="D1695" s="50" t="s">
        <v>2377</v>
      </c>
      <c r="E1695" s="50" t="s">
        <v>2377</v>
      </c>
      <c r="F1695" s="50" t="s">
        <v>643</v>
      </c>
      <c r="G1695" s="50" t="s">
        <v>1395</v>
      </c>
      <c r="H1695" t="s">
        <v>2834</v>
      </c>
    </row>
    <row r="1696" spans="1:8">
      <c r="A1696" s="61">
        <v>64522</v>
      </c>
      <c r="B1696" s="50" t="s">
        <v>692</v>
      </c>
      <c r="C1696" s="50" t="s">
        <v>263</v>
      </c>
      <c r="D1696" s="50" t="s">
        <v>1262</v>
      </c>
      <c r="E1696" s="50" t="s">
        <v>1262</v>
      </c>
      <c r="F1696" s="50" t="s">
        <v>643</v>
      </c>
      <c r="G1696" s="50" t="s">
        <v>1383</v>
      </c>
      <c r="H1696" t="s">
        <v>2850</v>
      </c>
    </row>
    <row r="1697" spans="1:8">
      <c r="A1697" s="61">
        <v>64523</v>
      </c>
      <c r="B1697" s="50" t="s">
        <v>465</v>
      </c>
      <c r="C1697" s="50" t="s">
        <v>446</v>
      </c>
      <c r="D1697" s="50" t="s">
        <v>504</v>
      </c>
      <c r="E1697" s="50" t="s">
        <v>504</v>
      </c>
      <c r="F1697" s="50" t="s">
        <v>643</v>
      </c>
      <c r="G1697" s="50" t="s">
        <v>4171</v>
      </c>
      <c r="H1697" t="s">
        <v>3097</v>
      </c>
    </row>
    <row r="1698" spans="1:8">
      <c r="A1698" s="61">
        <v>64524</v>
      </c>
      <c r="B1698" s="50" t="s">
        <v>2753</v>
      </c>
      <c r="C1698" s="50" t="s">
        <v>1197</v>
      </c>
      <c r="D1698" s="50" t="s">
        <v>2323</v>
      </c>
      <c r="E1698" s="50" t="s">
        <v>2323</v>
      </c>
      <c r="F1698" s="50" t="s">
        <v>643</v>
      </c>
      <c r="G1698" s="50" t="s">
        <v>1904</v>
      </c>
      <c r="H1698" t="s">
        <v>4563</v>
      </c>
    </row>
    <row r="1699" spans="1:8">
      <c r="A1699" s="61">
        <v>64525</v>
      </c>
      <c r="B1699" s="50" t="s">
        <v>2754</v>
      </c>
      <c r="C1699" s="50" t="s">
        <v>263</v>
      </c>
      <c r="D1699" s="50" t="s">
        <v>234</v>
      </c>
      <c r="E1699" s="50" t="s">
        <v>234</v>
      </c>
      <c r="F1699" s="50" t="s">
        <v>643</v>
      </c>
      <c r="G1699" s="50" t="s">
        <v>1910</v>
      </c>
      <c r="H1699" t="s">
        <v>4564</v>
      </c>
    </row>
    <row r="1700" spans="1:8">
      <c r="A1700" s="61">
        <v>64526</v>
      </c>
      <c r="B1700" s="50" t="s">
        <v>89</v>
      </c>
      <c r="C1700" s="50" t="s">
        <v>778</v>
      </c>
      <c r="D1700" s="50" t="s">
        <v>515</v>
      </c>
      <c r="E1700" s="50" t="s">
        <v>515</v>
      </c>
      <c r="F1700" s="50" t="s">
        <v>643</v>
      </c>
      <c r="G1700" s="50" t="s">
        <v>1574</v>
      </c>
      <c r="H1700" t="s">
        <v>2903</v>
      </c>
    </row>
    <row r="1701" spans="1:8">
      <c r="A1701" s="61">
        <v>64527</v>
      </c>
      <c r="B1701" s="50" t="s">
        <v>2755</v>
      </c>
      <c r="C1701" s="50" t="s">
        <v>866</v>
      </c>
      <c r="D1701" s="50" t="s">
        <v>179</v>
      </c>
      <c r="E1701" s="50" t="s">
        <v>179</v>
      </c>
      <c r="F1701" s="50" t="s">
        <v>643</v>
      </c>
      <c r="G1701" s="50" t="s">
        <v>1543</v>
      </c>
      <c r="H1701" t="s">
        <v>4565</v>
      </c>
    </row>
    <row r="1702" spans="1:8">
      <c r="A1702" s="61">
        <v>64528</v>
      </c>
      <c r="B1702" s="50" t="s">
        <v>262</v>
      </c>
      <c r="C1702" s="50" t="s">
        <v>1534</v>
      </c>
      <c r="D1702" s="50" t="s">
        <v>2069</v>
      </c>
      <c r="E1702" s="50" t="s">
        <v>2069</v>
      </c>
      <c r="F1702" s="50" t="s">
        <v>643</v>
      </c>
      <c r="G1702" s="50" t="s">
        <v>528</v>
      </c>
      <c r="H1702" t="s">
        <v>4566</v>
      </c>
    </row>
    <row r="1703" spans="1:8">
      <c r="A1703" s="61">
        <v>64530</v>
      </c>
      <c r="B1703" s="50" t="s">
        <v>148</v>
      </c>
      <c r="C1703" s="50" t="s">
        <v>1410</v>
      </c>
      <c r="D1703" s="50" t="s">
        <v>2323</v>
      </c>
      <c r="E1703" s="50" t="s">
        <v>2323</v>
      </c>
      <c r="F1703" s="50" t="s">
        <v>643</v>
      </c>
      <c r="G1703" s="50" t="s">
        <v>1904</v>
      </c>
      <c r="H1703" t="s">
        <v>4567</v>
      </c>
    </row>
    <row r="1704" spans="1:8">
      <c r="A1704" s="61">
        <v>64533</v>
      </c>
      <c r="B1704" s="50" t="s">
        <v>2972</v>
      </c>
      <c r="C1704" s="50" t="s">
        <v>2973</v>
      </c>
      <c r="D1704" s="50" t="s">
        <v>772</v>
      </c>
      <c r="E1704" s="50" t="s">
        <v>772</v>
      </c>
      <c r="F1704" s="50" t="s">
        <v>643</v>
      </c>
      <c r="G1704" s="50" t="s">
        <v>1389</v>
      </c>
      <c r="H1704" t="s">
        <v>4568</v>
      </c>
    </row>
    <row r="1705" spans="1:8">
      <c r="A1705" s="61">
        <v>64534</v>
      </c>
      <c r="B1705" s="50" t="s">
        <v>2974</v>
      </c>
      <c r="C1705" s="50" t="s">
        <v>197</v>
      </c>
      <c r="D1705" s="50" t="s">
        <v>2377</v>
      </c>
      <c r="E1705" s="50" t="s">
        <v>2377</v>
      </c>
      <c r="F1705" s="50" t="s">
        <v>643</v>
      </c>
      <c r="G1705" s="50" t="s">
        <v>1395</v>
      </c>
      <c r="H1705" t="s">
        <v>4569</v>
      </c>
    </row>
    <row r="1706" spans="1:8">
      <c r="A1706" s="61">
        <v>64535</v>
      </c>
      <c r="B1706" s="50" t="s">
        <v>2971</v>
      </c>
      <c r="C1706" s="50" t="s">
        <v>640</v>
      </c>
      <c r="D1706" s="50" t="s">
        <v>2377</v>
      </c>
      <c r="E1706" s="50" t="s">
        <v>2377</v>
      </c>
      <c r="F1706" s="50" t="s">
        <v>643</v>
      </c>
      <c r="G1706" s="50" t="s">
        <v>1395</v>
      </c>
      <c r="H1706" t="s">
        <v>4570</v>
      </c>
    </row>
    <row r="1707" spans="1:8">
      <c r="A1707" s="61">
        <v>64536</v>
      </c>
      <c r="B1707" s="50" t="s">
        <v>1326</v>
      </c>
      <c r="C1707" s="50" t="s">
        <v>964</v>
      </c>
      <c r="D1707" s="50" t="s">
        <v>179</v>
      </c>
      <c r="E1707" s="50" t="s">
        <v>179</v>
      </c>
      <c r="F1707" s="50" t="s">
        <v>643</v>
      </c>
      <c r="G1707" s="50" t="s">
        <v>1543</v>
      </c>
      <c r="H1707" t="s">
        <v>2988</v>
      </c>
    </row>
    <row r="1708" spans="1:8">
      <c r="A1708" s="61">
        <v>64537</v>
      </c>
      <c r="B1708" s="50" t="s">
        <v>168</v>
      </c>
      <c r="C1708" s="50" t="s">
        <v>2975</v>
      </c>
      <c r="D1708" s="50" t="s">
        <v>2377</v>
      </c>
      <c r="E1708" s="50" t="s">
        <v>2377</v>
      </c>
      <c r="F1708" s="50" t="s">
        <v>643</v>
      </c>
      <c r="G1708" s="50" t="s">
        <v>1395</v>
      </c>
      <c r="H1708" t="s">
        <v>4571</v>
      </c>
    </row>
    <row r="1709" spans="1:8">
      <c r="A1709" s="61">
        <v>64538</v>
      </c>
      <c r="B1709" s="50" t="s">
        <v>3018</v>
      </c>
      <c r="C1709" s="50" t="s">
        <v>190</v>
      </c>
      <c r="D1709" s="50" t="s">
        <v>1214</v>
      </c>
      <c r="E1709" s="50" t="s">
        <v>1214</v>
      </c>
      <c r="F1709" s="50" t="s">
        <v>643</v>
      </c>
      <c r="G1709" s="50" t="s">
        <v>1379</v>
      </c>
      <c r="H1709" t="s">
        <v>3034</v>
      </c>
    </row>
    <row r="1710" spans="1:8">
      <c r="A1710" s="61">
        <v>64539</v>
      </c>
      <c r="B1710" s="50" t="s">
        <v>628</v>
      </c>
      <c r="C1710" s="50" t="s">
        <v>423</v>
      </c>
      <c r="D1710" s="50" t="s">
        <v>2378</v>
      </c>
      <c r="E1710" s="50" t="s">
        <v>2378</v>
      </c>
      <c r="F1710" s="50" t="s">
        <v>643</v>
      </c>
      <c r="G1710" s="50" t="s">
        <v>544</v>
      </c>
      <c r="H1710" t="s">
        <v>4572</v>
      </c>
    </row>
    <row r="1711" spans="1:8">
      <c r="A1711" s="61">
        <v>64540</v>
      </c>
      <c r="B1711" s="50" t="s">
        <v>3019</v>
      </c>
      <c r="C1711" s="50" t="s">
        <v>263</v>
      </c>
      <c r="D1711" s="50" t="s">
        <v>1335</v>
      </c>
      <c r="E1711" s="50" t="s">
        <v>1335</v>
      </c>
      <c r="F1711" s="50" t="s">
        <v>643</v>
      </c>
      <c r="G1711" s="50" t="s">
        <v>3114</v>
      </c>
      <c r="H1711" t="s">
        <v>3001</v>
      </c>
    </row>
    <row r="1712" spans="1:8">
      <c r="A1712" s="61">
        <v>64541</v>
      </c>
      <c r="B1712" s="50" t="s">
        <v>1255</v>
      </c>
      <c r="C1712" s="50" t="s">
        <v>3020</v>
      </c>
      <c r="D1712" s="50" t="s">
        <v>2377</v>
      </c>
      <c r="E1712" s="50" t="s">
        <v>2377</v>
      </c>
      <c r="F1712" s="50" t="s">
        <v>643</v>
      </c>
      <c r="G1712" s="50" t="s">
        <v>1395</v>
      </c>
      <c r="H1712" t="s">
        <v>4573</v>
      </c>
    </row>
    <row r="1713" spans="1:8">
      <c r="A1713" s="61">
        <v>64542</v>
      </c>
      <c r="B1713" s="50" t="s">
        <v>3021</v>
      </c>
      <c r="C1713" s="50" t="s">
        <v>477</v>
      </c>
      <c r="D1713" s="50" t="s">
        <v>2377</v>
      </c>
      <c r="E1713" s="50" t="s">
        <v>2377</v>
      </c>
      <c r="F1713" s="50" t="s">
        <v>643</v>
      </c>
      <c r="G1713" s="50" t="s">
        <v>1395</v>
      </c>
      <c r="H1713" t="s">
        <v>4574</v>
      </c>
    </row>
    <row r="1714" spans="1:8">
      <c r="A1714" s="61">
        <v>64543</v>
      </c>
      <c r="B1714" s="50" t="s">
        <v>3022</v>
      </c>
      <c r="C1714" s="50" t="s">
        <v>1197</v>
      </c>
      <c r="D1714" s="50" t="s">
        <v>2087</v>
      </c>
      <c r="E1714" s="50" t="s">
        <v>2087</v>
      </c>
      <c r="F1714" s="50" t="s">
        <v>643</v>
      </c>
      <c r="G1714" s="50" t="s">
        <v>2112</v>
      </c>
      <c r="H1714" t="s">
        <v>3032</v>
      </c>
    </row>
    <row r="1715" spans="1:8">
      <c r="A1715" s="61">
        <v>64544</v>
      </c>
      <c r="B1715" s="50" t="s">
        <v>3023</v>
      </c>
      <c r="C1715" s="50" t="s">
        <v>188</v>
      </c>
      <c r="D1715" s="50" t="s">
        <v>1223</v>
      </c>
      <c r="E1715" s="50" t="s">
        <v>1223</v>
      </c>
      <c r="F1715" s="50" t="s">
        <v>643</v>
      </c>
      <c r="G1715" s="50" t="s">
        <v>1575</v>
      </c>
      <c r="H1715" t="s">
        <v>3049</v>
      </c>
    </row>
    <row r="1716" spans="1:8">
      <c r="A1716" s="61">
        <v>64545</v>
      </c>
      <c r="B1716" s="50" t="s">
        <v>3024</v>
      </c>
      <c r="C1716" s="50" t="s">
        <v>638</v>
      </c>
      <c r="D1716" s="50" t="s">
        <v>1090</v>
      </c>
      <c r="E1716" s="50" t="s">
        <v>1090</v>
      </c>
      <c r="F1716" s="50" t="s">
        <v>643</v>
      </c>
      <c r="G1716" s="50" t="s">
        <v>3909</v>
      </c>
      <c r="H1716" t="s">
        <v>4575</v>
      </c>
    </row>
    <row r="1717" spans="1:8">
      <c r="A1717" s="61">
        <v>64548</v>
      </c>
      <c r="B1717" s="50" t="s">
        <v>3232</v>
      </c>
      <c r="C1717" s="50" t="s">
        <v>3233</v>
      </c>
      <c r="D1717" s="50" t="s">
        <v>2337</v>
      </c>
      <c r="E1717" s="50" t="s">
        <v>2337</v>
      </c>
      <c r="F1717" s="50" t="s">
        <v>643</v>
      </c>
      <c r="G1717" s="50" t="s">
        <v>2157</v>
      </c>
      <c r="H1717" t="s">
        <v>4576</v>
      </c>
    </row>
    <row r="1718" spans="1:8">
      <c r="A1718" s="61">
        <v>64549</v>
      </c>
      <c r="B1718" s="50" t="s">
        <v>992</v>
      </c>
      <c r="C1718" s="50" t="s">
        <v>1413</v>
      </c>
      <c r="D1718" s="50" t="s">
        <v>2337</v>
      </c>
      <c r="E1718" s="50" t="s">
        <v>2337</v>
      </c>
      <c r="F1718" s="50" t="s">
        <v>643</v>
      </c>
      <c r="G1718" s="50" t="s">
        <v>2157</v>
      </c>
      <c r="H1718" t="s">
        <v>4577</v>
      </c>
    </row>
    <row r="1719" spans="1:8">
      <c r="A1719" s="61">
        <v>64550</v>
      </c>
      <c r="B1719" s="50" t="s">
        <v>3189</v>
      </c>
      <c r="C1719" s="50" t="s">
        <v>782</v>
      </c>
      <c r="D1719" s="50" t="s">
        <v>685</v>
      </c>
      <c r="E1719" s="50" t="s">
        <v>685</v>
      </c>
      <c r="F1719" s="50" t="s">
        <v>643</v>
      </c>
      <c r="G1719" s="50" t="s">
        <v>1559</v>
      </c>
      <c r="H1719" t="s">
        <v>4578</v>
      </c>
    </row>
    <row r="1720" spans="1:8">
      <c r="A1720" s="61">
        <v>64553</v>
      </c>
      <c r="B1720" s="50" t="s">
        <v>3183</v>
      </c>
      <c r="C1720" s="50" t="s">
        <v>1246</v>
      </c>
      <c r="D1720" s="50" t="s">
        <v>1090</v>
      </c>
      <c r="E1720" s="50" t="s">
        <v>1090</v>
      </c>
      <c r="F1720" s="50" t="s">
        <v>643</v>
      </c>
      <c r="G1720" s="50" t="s">
        <v>3909</v>
      </c>
      <c r="H1720" t="s">
        <v>3542</v>
      </c>
    </row>
    <row r="1721" spans="1:8">
      <c r="A1721" s="61">
        <v>64554</v>
      </c>
      <c r="B1721" s="50" t="s">
        <v>312</v>
      </c>
      <c r="C1721" s="50" t="s">
        <v>188</v>
      </c>
      <c r="D1721" s="50" t="s">
        <v>684</v>
      </c>
      <c r="E1721" s="50" t="s">
        <v>684</v>
      </c>
      <c r="F1721" s="50" t="s">
        <v>643</v>
      </c>
      <c r="G1721" s="50" t="s">
        <v>541</v>
      </c>
      <c r="H1721" t="s">
        <v>4579</v>
      </c>
    </row>
    <row r="1722" spans="1:8">
      <c r="A1722" s="61">
        <v>64555</v>
      </c>
      <c r="B1722" s="50" t="s">
        <v>3170</v>
      </c>
      <c r="C1722" s="50" t="s">
        <v>638</v>
      </c>
      <c r="D1722" s="50" t="s">
        <v>2377</v>
      </c>
      <c r="E1722" s="50" t="s">
        <v>2377</v>
      </c>
      <c r="F1722" s="50" t="s">
        <v>643</v>
      </c>
      <c r="G1722" s="50" t="s">
        <v>1395</v>
      </c>
      <c r="H1722" t="s">
        <v>4580</v>
      </c>
    </row>
    <row r="1723" spans="1:8">
      <c r="A1723" s="61">
        <v>64556</v>
      </c>
      <c r="B1723" s="50" t="s">
        <v>3190</v>
      </c>
      <c r="C1723" s="50" t="s">
        <v>190</v>
      </c>
      <c r="D1723" s="50" t="s">
        <v>684</v>
      </c>
      <c r="E1723" s="50" t="s">
        <v>684</v>
      </c>
      <c r="F1723" s="50" t="s">
        <v>643</v>
      </c>
      <c r="G1723" s="50" t="s">
        <v>541</v>
      </c>
      <c r="H1723" t="s">
        <v>4581</v>
      </c>
    </row>
    <row r="1724" spans="1:8">
      <c r="A1724" s="61">
        <v>64557</v>
      </c>
      <c r="B1724" s="50" t="s">
        <v>3220</v>
      </c>
      <c r="C1724" s="50" t="s">
        <v>1414</v>
      </c>
      <c r="D1724" s="50" t="s">
        <v>2073</v>
      </c>
      <c r="E1724" s="50" t="s">
        <v>2073</v>
      </c>
      <c r="F1724" s="50" t="s">
        <v>643</v>
      </c>
      <c r="G1724" s="50" t="s">
        <v>2471</v>
      </c>
      <c r="H1724" t="s">
        <v>4582</v>
      </c>
    </row>
    <row r="1725" spans="1:8">
      <c r="A1725" s="61">
        <v>64558</v>
      </c>
      <c r="B1725" s="50" t="s">
        <v>1255</v>
      </c>
      <c r="C1725" s="50" t="s">
        <v>188</v>
      </c>
      <c r="D1725" s="50" t="s">
        <v>2323</v>
      </c>
      <c r="E1725" s="50" t="s">
        <v>2323</v>
      </c>
      <c r="F1725" s="50" t="s">
        <v>643</v>
      </c>
      <c r="G1725" s="50" t="s">
        <v>1904</v>
      </c>
      <c r="H1725" t="s">
        <v>4583</v>
      </c>
    </row>
    <row r="1726" spans="1:8">
      <c r="A1726" s="61">
        <v>64559</v>
      </c>
      <c r="B1726" s="50" t="s">
        <v>3174</v>
      </c>
      <c r="C1726" s="50" t="s">
        <v>1133</v>
      </c>
      <c r="D1726" s="50" t="s">
        <v>845</v>
      </c>
      <c r="E1726" s="50" t="s">
        <v>845</v>
      </c>
      <c r="F1726" s="50" t="s">
        <v>643</v>
      </c>
      <c r="G1726" s="50" t="s">
        <v>3114</v>
      </c>
      <c r="H1726" t="s">
        <v>3040</v>
      </c>
    </row>
    <row r="1727" spans="1:8">
      <c r="A1727" s="61">
        <v>64560</v>
      </c>
      <c r="B1727" s="50" t="s">
        <v>3172</v>
      </c>
      <c r="C1727" s="50" t="s">
        <v>246</v>
      </c>
      <c r="D1727" s="50" t="s">
        <v>601</v>
      </c>
      <c r="E1727" s="50" t="s">
        <v>601</v>
      </c>
      <c r="F1727" s="50" t="s">
        <v>643</v>
      </c>
      <c r="G1727" s="50" t="s">
        <v>2064</v>
      </c>
      <c r="H1727" t="s">
        <v>3043</v>
      </c>
    </row>
    <row r="1728" spans="1:8">
      <c r="A1728" s="61">
        <v>64561</v>
      </c>
      <c r="B1728" s="50" t="s">
        <v>3176</v>
      </c>
      <c r="C1728" s="50" t="s">
        <v>3177</v>
      </c>
      <c r="D1728" s="50" t="s">
        <v>1090</v>
      </c>
      <c r="E1728" s="50" t="s">
        <v>1090</v>
      </c>
      <c r="F1728" s="50" t="s">
        <v>643</v>
      </c>
      <c r="G1728" s="50" t="s">
        <v>3909</v>
      </c>
      <c r="H1728" t="s">
        <v>4584</v>
      </c>
    </row>
    <row r="1729" spans="1:8">
      <c r="A1729" s="61">
        <v>64562</v>
      </c>
      <c r="B1729" s="50" t="s">
        <v>3187</v>
      </c>
      <c r="C1729" s="50" t="s">
        <v>2465</v>
      </c>
      <c r="D1729" s="50" t="s">
        <v>607</v>
      </c>
      <c r="E1729" s="50" t="s">
        <v>607</v>
      </c>
      <c r="F1729" s="50" t="s">
        <v>643</v>
      </c>
      <c r="G1729" s="50" t="s">
        <v>1877</v>
      </c>
      <c r="H1729" t="s">
        <v>4585</v>
      </c>
    </row>
    <row r="1730" spans="1:8">
      <c r="A1730" s="61">
        <v>64563</v>
      </c>
      <c r="B1730" s="50" t="s">
        <v>1012</v>
      </c>
      <c r="C1730" s="50" t="s">
        <v>1364</v>
      </c>
      <c r="D1730" s="50" t="s">
        <v>1452</v>
      </c>
      <c r="E1730" s="50" t="s">
        <v>1452</v>
      </c>
      <c r="F1730" s="50" t="s">
        <v>643</v>
      </c>
      <c r="G1730" s="50" t="s">
        <v>3514</v>
      </c>
      <c r="H1730" t="s">
        <v>4586</v>
      </c>
    </row>
    <row r="1731" spans="1:8">
      <c r="A1731" s="61">
        <v>64564</v>
      </c>
      <c r="B1731" s="50" t="s">
        <v>3186</v>
      </c>
      <c r="C1731" s="50" t="s">
        <v>867</v>
      </c>
      <c r="D1731" s="50" t="s">
        <v>1262</v>
      </c>
      <c r="E1731" s="50" t="s">
        <v>1262</v>
      </c>
      <c r="F1731" s="50" t="s">
        <v>643</v>
      </c>
      <c r="G1731" s="50" t="s">
        <v>1383</v>
      </c>
      <c r="H1731" t="s">
        <v>4587</v>
      </c>
    </row>
    <row r="1732" spans="1:8">
      <c r="A1732" s="61">
        <v>64565</v>
      </c>
      <c r="B1732" s="50" t="s">
        <v>3195</v>
      </c>
      <c r="C1732" s="50" t="s">
        <v>788</v>
      </c>
      <c r="D1732" s="50" t="s">
        <v>602</v>
      </c>
      <c r="E1732" s="50" t="s">
        <v>602</v>
      </c>
      <c r="F1732" s="50" t="s">
        <v>643</v>
      </c>
      <c r="G1732" s="50" t="s">
        <v>3588</v>
      </c>
      <c r="H1732" t="s">
        <v>4588</v>
      </c>
    </row>
    <row r="1733" spans="1:8">
      <c r="A1733" s="61">
        <v>64567</v>
      </c>
      <c r="B1733" s="50" t="s">
        <v>3204</v>
      </c>
      <c r="C1733" s="50" t="s">
        <v>2419</v>
      </c>
      <c r="D1733" s="50" t="s">
        <v>597</v>
      </c>
      <c r="E1733" s="50" t="s">
        <v>597</v>
      </c>
      <c r="F1733" s="50" t="s">
        <v>643</v>
      </c>
      <c r="G1733" s="50" t="s">
        <v>1902</v>
      </c>
      <c r="H1733" t="s">
        <v>4589</v>
      </c>
    </row>
    <row r="1734" spans="1:8">
      <c r="A1734" s="61">
        <v>64568</v>
      </c>
      <c r="B1734" s="50" t="s">
        <v>760</v>
      </c>
      <c r="C1734" s="50" t="s">
        <v>2975</v>
      </c>
      <c r="D1734" s="50" t="s">
        <v>597</v>
      </c>
      <c r="E1734" s="50" t="s">
        <v>597</v>
      </c>
      <c r="F1734" s="50" t="s">
        <v>643</v>
      </c>
      <c r="G1734" s="50" t="s">
        <v>1902</v>
      </c>
      <c r="H1734" t="s">
        <v>3397</v>
      </c>
    </row>
    <row r="1735" spans="1:8">
      <c r="A1735" s="61">
        <v>64569</v>
      </c>
      <c r="B1735" s="50" t="s">
        <v>136</v>
      </c>
      <c r="C1735" s="50" t="s">
        <v>780</v>
      </c>
      <c r="D1735" s="50" t="s">
        <v>178</v>
      </c>
      <c r="E1735" s="50" t="s">
        <v>178</v>
      </c>
      <c r="F1735" s="50" t="s">
        <v>643</v>
      </c>
      <c r="G1735" s="50" t="s">
        <v>1556</v>
      </c>
      <c r="H1735" t="s">
        <v>4590</v>
      </c>
    </row>
    <row r="1736" spans="1:8">
      <c r="A1736" s="61">
        <v>64571</v>
      </c>
      <c r="B1736" s="50" t="s">
        <v>3171</v>
      </c>
      <c r="C1736" s="50" t="s">
        <v>1052</v>
      </c>
      <c r="D1736" s="50" t="s">
        <v>515</v>
      </c>
      <c r="E1736" s="50" t="s">
        <v>515</v>
      </c>
      <c r="F1736" s="50" t="s">
        <v>643</v>
      </c>
      <c r="G1736" s="50" t="s">
        <v>1574</v>
      </c>
      <c r="H1736" t="s">
        <v>3058</v>
      </c>
    </row>
    <row r="1737" spans="1:8">
      <c r="A1737" s="61">
        <v>64572</v>
      </c>
      <c r="B1737" s="50" t="s">
        <v>3225</v>
      </c>
      <c r="C1737" s="50" t="s">
        <v>470</v>
      </c>
      <c r="D1737" s="50" t="s">
        <v>2450</v>
      </c>
      <c r="E1737" s="50" t="s">
        <v>2450</v>
      </c>
      <c r="F1737" s="50" t="s">
        <v>643</v>
      </c>
      <c r="G1737" s="50" t="s">
        <v>1582</v>
      </c>
      <c r="H1737" t="s">
        <v>3066</v>
      </c>
    </row>
    <row r="1738" spans="1:8">
      <c r="A1738" s="61">
        <v>64575</v>
      </c>
      <c r="B1738" s="50" t="s">
        <v>3179</v>
      </c>
      <c r="C1738" s="50" t="s">
        <v>823</v>
      </c>
      <c r="D1738" s="50" t="s">
        <v>503</v>
      </c>
      <c r="E1738" s="50" t="s">
        <v>503</v>
      </c>
      <c r="F1738" s="50" t="s">
        <v>643</v>
      </c>
      <c r="G1738" s="50" t="s">
        <v>1565</v>
      </c>
      <c r="H1738" t="s">
        <v>4591</v>
      </c>
    </row>
    <row r="1739" spans="1:8">
      <c r="A1739" s="61">
        <v>64576</v>
      </c>
      <c r="B1739" s="50" t="s">
        <v>3229</v>
      </c>
      <c r="C1739" s="50" t="s">
        <v>1593</v>
      </c>
      <c r="D1739" s="50" t="s">
        <v>2377</v>
      </c>
      <c r="E1739" s="50" t="s">
        <v>2377</v>
      </c>
      <c r="F1739" s="50" t="s">
        <v>643</v>
      </c>
      <c r="G1739" s="50" t="s">
        <v>1395</v>
      </c>
      <c r="H1739" t="s">
        <v>4592</v>
      </c>
    </row>
    <row r="1740" spans="1:8">
      <c r="A1740" s="61">
        <v>64578</v>
      </c>
      <c r="B1740" s="50" t="s">
        <v>3196</v>
      </c>
      <c r="C1740" s="50" t="s">
        <v>553</v>
      </c>
      <c r="D1740" s="50" t="s">
        <v>772</v>
      </c>
      <c r="E1740" s="50" t="s">
        <v>772</v>
      </c>
      <c r="F1740" s="50" t="s">
        <v>643</v>
      </c>
      <c r="G1740" s="50" t="s">
        <v>1389</v>
      </c>
      <c r="H1740" t="s">
        <v>4593</v>
      </c>
    </row>
    <row r="1741" spans="1:8">
      <c r="A1741" s="61">
        <v>64579</v>
      </c>
      <c r="B1741" s="50" t="s">
        <v>3192</v>
      </c>
      <c r="C1741" s="50" t="s">
        <v>2052</v>
      </c>
      <c r="D1741" s="50" t="s">
        <v>318</v>
      </c>
      <c r="E1741" s="50" t="s">
        <v>318</v>
      </c>
      <c r="F1741" s="50" t="s">
        <v>643</v>
      </c>
      <c r="G1741" s="50" t="s">
        <v>2806</v>
      </c>
      <c r="H1741" t="s">
        <v>4594</v>
      </c>
    </row>
    <row r="1742" spans="1:8">
      <c r="A1742" s="61">
        <v>64580</v>
      </c>
      <c r="B1742" s="50" t="s">
        <v>3202</v>
      </c>
      <c r="C1742" s="50" t="s">
        <v>1099</v>
      </c>
      <c r="D1742" s="50" t="s">
        <v>2675</v>
      </c>
      <c r="E1742" s="50" t="s">
        <v>2675</v>
      </c>
      <c r="F1742" s="50" t="s">
        <v>643</v>
      </c>
      <c r="G1742" s="50" t="s">
        <v>339</v>
      </c>
      <c r="H1742" t="s">
        <v>3238</v>
      </c>
    </row>
    <row r="1743" spans="1:8">
      <c r="A1743" s="61">
        <v>64581</v>
      </c>
      <c r="B1743" s="50" t="s">
        <v>358</v>
      </c>
      <c r="C1743" s="50" t="s">
        <v>527</v>
      </c>
      <c r="D1743" s="50" t="s">
        <v>437</v>
      </c>
      <c r="E1743" s="50" t="s">
        <v>437</v>
      </c>
      <c r="F1743" s="50" t="s">
        <v>643</v>
      </c>
      <c r="G1743" s="50" t="s">
        <v>342</v>
      </c>
      <c r="H1743" t="s">
        <v>4595</v>
      </c>
    </row>
    <row r="1744" spans="1:8">
      <c r="A1744" s="61">
        <v>64582</v>
      </c>
      <c r="B1744" s="50" t="s">
        <v>3207</v>
      </c>
      <c r="C1744" s="50" t="s">
        <v>370</v>
      </c>
      <c r="D1744" s="50" t="s">
        <v>1081</v>
      </c>
      <c r="E1744" s="50" t="s">
        <v>1081</v>
      </c>
      <c r="F1744" s="50" t="s">
        <v>643</v>
      </c>
      <c r="G1744" s="50" t="s">
        <v>2547</v>
      </c>
      <c r="H1744" t="s">
        <v>3057</v>
      </c>
    </row>
    <row r="1745" spans="1:8">
      <c r="A1745" s="61">
        <v>64583</v>
      </c>
      <c r="B1745" s="50" t="s">
        <v>3193</v>
      </c>
      <c r="C1745" s="50" t="s">
        <v>1246</v>
      </c>
      <c r="D1745" s="50" t="s">
        <v>318</v>
      </c>
      <c r="E1745" s="50" t="s">
        <v>318</v>
      </c>
      <c r="F1745" s="50" t="s">
        <v>643</v>
      </c>
      <c r="G1745" s="50" t="s">
        <v>2806</v>
      </c>
      <c r="H1745" t="s">
        <v>3361</v>
      </c>
    </row>
    <row r="1746" spans="1:8">
      <c r="A1746" s="61">
        <v>64584</v>
      </c>
      <c r="B1746" s="50" t="s">
        <v>914</v>
      </c>
      <c r="C1746" s="50" t="s">
        <v>266</v>
      </c>
      <c r="D1746" s="50" t="s">
        <v>597</v>
      </c>
      <c r="E1746" s="50" t="s">
        <v>597</v>
      </c>
      <c r="F1746" s="50" t="s">
        <v>643</v>
      </c>
      <c r="G1746" s="50" t="s">
        <v>1902</v>
      </c>
      <c r="H1746" t="s">
        <v>4596</v>
      </c>
    </row>
    <row r="1747" spans="1:8">
      <c r="A1747" s="61">
        <v>64587</v>
      </c>
      <c r="B1747" s="50" t="s">
        <v>1255</v>
      </c>
      <c r="C1747" s="50" t="s">
        <v>79</v>
      </c>
      <c r="D1747" s="50" t="s">
        <v>1452</v>
      </c>
      <c r="E1747" s="50" t="s">
        <v>1452</v>
      </c>
      <c r="F1747" s="50" t="s">
        <v>643</v>
      </c>
      <c r="G1747" s="50" t="s">
        <v>3514</v>
      </c>
      <c r="H1747" t="s">
        <v>4597</v>
      </c>
    </row>
    <row r="1748" spans="1:8">
      <c r="A1748" s="61">
        <v>64589</v>
      </c>
      <c r="B1748" s="50" t="s">
        <v>3185</v>
      </c>
      <c r="C1748" s="50" t="s">
        <v>1246</v>
      </c>
      <c r="D1748" s="50" t="s">
        <v>1262</v>
      </c>
      <c r="E1748" s="50" t="s">
        <v>1262</v>
      </c>
      <c r="F1748" s="50" t="s">
        <v>643</v>
      </c>
      <c r="G1748" s="50" t="s">
        <v>1383</v>
      </c>
      <c r="H1748" t="s">
        <v>4598</v>
      </c>
    </row>
    <row r="1749" spans="1:8">
      <c r="A1749" s="61">
        <v>64590</v>
      </c>
      <c r="B1749" s="50" t="s">
        <v>3191</v>
      </c>
      <c r="C1749" s="50" t="s">
        <v>788</v>
      </c>
      <c r="D1749" s="50" t="s">
        <v>596</v>
      </c>
      <c r="E1749" s="50" t="s">
        <v>596</v>
      </c>
      <c r="F1749" s="50" t="s">
        <v>643</v>
      </c>
      <c r="G1749" s="50" t="s">
        <v>2277</v>
      </c>
      <c r="H1749" t="s">
        <v>4599</v>
      </c>
    </row>
    <row r="1750" spans="1:8">
      <c r="A1750" s="61">
        <v>64591</v>
      </c>
      <c r="B1750" s="50" t="s">
        <v>3210</v>
      </c>
      <c r="C1750" s="50" t="s">
        <v>864</v>
      </c>
      <c r="D1750" s="50" t="s">
        <v>597</v>
      </c>
      <c r="E1750" s="50" t="s">
        <v>597</v>
      </c>
      <c r="F1750" s="50" t="s">
        <v>643</v>
      </c>
      <c r="G1750" s="50" t="s">
        <v>1902</v>
      </c>
      <c r="H1750" t="s">
        <v>3394</v>
      </c>
    </row>
    <row r="1751" spans="1:8">
      <c r="A1751" s="61">
        <v>64592</v>
      </c>
      <c r="B1751" s="50" t="s">
        <v>3208</v>
      </c>
      <c r="C1751" s="50" t="s">
        <v>800</v>
      </c>
      <c r="D1751" s="50" t="s">
        <v>1081</v>
      </c>
      <c r="E1751" s="50" t="s">
        <v>1081</v>
      </c>
      <c r="F1751" s="50" t="s">
        <v>643</v>
      </c>
      <c r="G1751" s="50" t="s">
        <v>2547</v>
      </c>
      <c r="H1751" t="s">
        <v>4600</v>
      </c>
    </row>
    <row r="1752" spans="1:8">
      <c r="A1752" s="61">
        <v>64593</v>
      </c>
      <c r="B1752" s="50" t="s">
        <v>651</v>
      </c>
      <c r="C1752" s="50" t="s">
        <v>246</v>
      </c>
      <c r="D1752" s="50" t="s">
        <v>395</v>
      </c>
      <c r="E1752" s="50" t="s">
        <v>395</v>
      </c>
      <c r="F1752" s="50" t="s">
        <v>643</v>
      </c>
      <c r="G1752" s="50" t="s">
        <v>540</v>
      </c>
      <c r="H1752" t="s">
        <v>4601</v>
      </c>
    </row>
    <row r="1753" spans="1:8">
      <c r="A1753" s="61">
        <v>64595</v>
      </c>
      <c r="B1753" s="50" t="s">
        <v>942</v>
      </c>
      <c r="C1753" s="50" t="s">
        <v>1197</v>
      </c>
      <c r="D1753" s="50" t="s">
        <v>772</v>
      </c>
      <c r="E1753" s="50" t="s">
        <v>772</v>
      </c>
      <c r="F1753" s="50" t="s">
        <v>643</v>
      </c>
      <c r="G1753" s="50" t="s">
        <v>1389</v>
      </c>
      <c r="H1753" t="s">
        <v>1893</v>
      </c>
    </row>
    <row r="1754" spans="1:8">
      <c r="A1754" s="61">
        <v>64596</v>
      </c>
      <c r="B1754" s="50" t="s">
        <v>3203</v>
      </c>
      <c r="C1754" s="50" t="s">
        <v>1534</v>
      </c>
      <c r="D1754" s="50" t="s">
        <v>597</v>
      </c>
      <c r="E1754" s="50" t="s">
        <v>597</v>
      </c>
      <c r="F1754" s="50" t="s">
        <v>643</v>
      </c>
      <c r="G1754" s="50" t="s">
        <v>1902</v>
      </c>
      <c r="H1754" t="s">
        <v>4602</v>
      </c>
    </row>
    <row r="1755" spans="1:8">
      <c r="A1755" s="61">
        <v>64598</v>
      </c>
      <c r="B1755" s="50" t="s">
        <v>3181</v>
      </c>
      <c r="C1755" s="50" t="s">
        <v>1246</v>
      </c>
      <c r="D1755" s="50" t="s">
        <v>503</v>
      </c>
      <c r="E1755" s="50" t="s">
        <v>503</v>
      </c>
      <c r="F1755" s="50" t="s">
        <v>643</v>
      </c>
      <c r="G1755" s="50" t="s">
        <v>1565</v>
      </c>
      <c r="H1755" t="s">
        <v>4603</v>
      </c>
    </row>
    <row r="1756" spans="1:8">
      <c r="A1756" s="61">
        <v>64599</v>
      </c>
      <c r="B1756" s="50" t="s">
        <v>3180</v>
      </c>
      <c r="C1756" s="50" t="s">
        <v>793</v>
      </c>
      <c r="D1756" s="50" t="s">
        <v>503</v>
      </c>
      <c r="E1756" s="50" t="s">
        <v>503</v>
      </c>
      <c r="F1756" s="50" t="s">
        <v>643</v>
      </c>
      <c r="G1756" s="50" t="s">
        <v>1565</v>
      </c>
      <c r="H1756" t="s">
        <v>4604</v>
      </c>
    </row>
    <row r="1757" spans="1:8">
      <c r="A1757" s="61">
        <v>64602</v>
      </c>
      <c r="B1757" s="50" t="s">
        <v>3223</v>
      </c>
      <c r="C1757" s="50" t="s">
        <v>423</v>
      </c>
      <c r="D1757" s="50" t="s">
        <v>2072</v>
      </c>
      <c r="E1757" s="50" t="s">
        <v>2072</v>
      </c>
      <c r="F1757" s="50" t="s">
        <v>643</v>
      </c>
      <c r="G1757" s="50" t="s">
        <v>1398</v>
      </c>
      <c r="H1757" t="s">
        <v>4605</v>
      </c>
    </row>
    <row r="1758" spans="1:8">
      <c r="A1758" s="61">
        <v>64603</v>
      </c>
      <c r="B1758" s="50" t="s">
        <v>1004</v>
      </c>
      <c r="C1758" s="50" t="s">
        <v>3213</v>
      </c>
      <c r="D1758" s="50" t="s">
        <v>2325</v>
      </c>
      <c r="E1758" s="50" t="s">
        <v>2325</v>
      </c>
      <c r="F1758" s="50" t="s">
        <v>643</v>
      </c>
      <c r="G1758" s="50" t="s">
        <v>1912</v>
      </c>
      <c r="H1758" t="s">
        <v>4606</v>
      </c>
    </row>
    <row r="1759" spans="1:8">
      <c r="A1759" s="61">
        <v>64604</v>
      </c>
      <c r="B1759" s="50" t="s">
        <v>3209</v>
      </c>
      <c r="C1759" s="50" t="s">
        <v>2311</v>
      </c>
      <c r="D1759" s="50" t="s">
        <v>1483</v>
      </c>
      <c r="E1759" s="50" t="s">
        <v>1483</v>
      </c>
      <c r="F1759" s="50" t="s">
        <v>643</v>
      </c>
      <c r="G1759" s="50" t="s">
        <v>2406</v>
      </c>
      <c r="H1759" t="s">
        <v>4607</v>
      </c>
    </row>
    <row r="1760" spans="1:8">
      <c r="A1760" s="61">
        <v>64606</v>
      </c>
      <c r="B1760" s="50" t="s">
        <v>46</v>
      </c>
      <c r="C1760" s="50" t="s">
        <v>1246</v>
      </c>
      <c r="D1760" s="50" t="s">
        <v>2449</v>
      </c>
      <c r="E1760" s="50" t="s">
        <v>2449</v>
      </c>
      <c r="F1760" s="50" t="s">
        <v>643</v>
      </c>
      <c r="G1760" s="50" t="s">
        <v>340</v>
      </c>
      <c r="H1760" t="s">
        <v>4608</v>
      </c>
    </row>
    <row r="1761" spans="1:8">
      <c r="A1761" s="61">
        <v>64608</v>
      </c>
      <c r="B1761" s="50" t="s">
        <v>3224</v>
      </c>
      <c r="C1761" s="50" t="s">
        <v>2973</v>
      </c>
      <c r="D1761" s="50" t="s">
        <v>2324</v>
      </c>
      <c r="E1761" s="50" t="s">
        <v>2324</v>
      </c>
      <c r="F1761" s="50" t="s">
        <v>643</v>
      </c>
      <c r="G1761" s="50" t="s">
        <v>2326</v>
      </c>
      <c r="H1761" t="s">
        <v>4609</v>
      </c>
    </row>
    <row r="1762" spans="1:8">
      <c r="A1762" s="61">
        <v>64609</v>
      </c>
      <c r="B1762" s="50" t="s">
        <v>1518</v>
      </c>
      <c r="C1762" s="50" t="s">
        <v>246</v>
      </c>
      <c r="D1762" s="50" t="s">
        <v>2402</v>
      </c>
      <c r="E1762" s="50" t="s">
        <v>2402</v>
      </c>
      <c r="F1762" s="50" t="s">
        <v>643</v>
      </c>
      <c r="G1762" s="50" t="s">
        <v>1909</v>
      </c>
      <c r="H1762" t="s">
        <v>4610</v>
      </c>
    </row>
    <row r="1763" spans="1:8">
      <c r="A1763" s="61">
        <v>64610</v>
      </c>
      <c r="B1763" s="50" t="s">
        <v>3205</v>
      </c>
      <c r="C1763" s="50" t="s">
        <v>3206</v>
      </c>
      <c r="D1763" s="50" t="s">
        <v>595</v>
      </c>
      <c r="E1763" s="50" t="s">
        <v>595</v>
      </c>
      <c r="F1763" s="50" t="s">
        <v>643</v>
      </c>
      <c r="G1763" s="50" t="s">
        <v>1906</v>
      </c>
      <c r="H1763" t="s">
        <v>3239</v>
      </c>
    </row>
    <row r="1764" spans="1:8">
      <c r="A1764" s="61">
        <v>64613</v>
      </c>
      <c r="B1764" s="50" t="s">
        <v>615</v>
      </c>
      <c r="C1764" s="50" t="s">
        <v>266</v>
      </c>
      <c r="D1764" s="50" t="s">
        <v>1259</v>
      </c>
      <c r="E1764" s="50" t="s">
        <v>1259</v>
      </c>
      <c r="F1764" s="50" t="s">
        <v>643</v>
      </c>
      <c r="G1764" s="50"/>
      <c r="H1764" t="s">
        <v>3241</v>
      </c>
    </row>
    <row r="1765" spans="1:8">
      <c r="A1765" s="61">
        <v>64614</v>
      </c>
      <c r="B1765" s="50" t="s">
        <v>3215</v>
      </c>
      <c r="C1765" s="50" t="s">
        <v>3216</v>
      </c>
      <c r="D1765" s="50" t="s">
        <v>1259</v>
      </c>
      <c r="E1765" s="50" t="s">
        <v>1259</v>
      </c>
      <c r="F1765" s="50" t="s">
        <v>643</v>
      </c>
      <c r="G1765" s="50" t="s">
        <v>2471</v>
      </c>
      <c r="H1765" t="s">
        <v>4611</v>
      </c>
    </row>
    <row r="1766" spans="1:8">
      <c r="A1766" s="61">
        <v>64615</v>
      </c>
      <c r="B1766" s="50" t="s">
        <v>1076</v>
      </c>
      <c r="C1766" s="50" t="s">
        <v>79</v>
      </c>
      <c r="D1766" s="50" t="s">
        <v>178</v>
      </c>
      <c r="E1766" s="50" t="s">
        <v>178</v>
      </c>
      <c r="F1766" s="50" t="s">
        <v>643</v>
      </c>
      <c r="G1766" s="50" t="s">
        <v>1556</v>
      </c>
      <c r="H1766" t="s">
        <v>4612</v>
      </c>
    </row>
    <row r="1767" spans="1:8">
      <c r="A1767" s="61">
        <v>64616</v>
      </c>
      <c r="B1767" s="50" t="s">
        <v>3260</v>
      </c>
      <c r="C1767" s="50" t="s">
        <v>1527</v>
      </c>
      <c r="D1767" s="50" t="s">
        <v>597</v>
      </c>
      <c r="E1767" s="50" t="s">
        <v>597</v>
      </c>
      <c r="F1767" s="50" t="s">
        <v>643</v>
      </c>
      <c r="G1767" s="50" t="s">
        <v>1902</v>
      </c>
      <c r="H1767" t="s">
        <v>3399</v>
      </c>
    </row>
    <row r="1768" spans="1:8">
      <c r="A1768" s="61">
        <v>64617</v>
      </c>
      <c r="B1768" s="50" t="s">
        <v>3261</v>
      </c>
      <c r="C1768" s="50" t="s">
        <v>553</v>
      </c>
      <c r="D1768" s="50" t="s">
        <v>178</v>
      </c>
      <c r="E1768" s="50" t="s">
        <v>178</v>
      </c>
      <c r="F1768" s="50" t="s">
        <v>643</v>
      </c>
      <c r="G1768" s="50" t="s">
        <v>1556</v>
      </c>
      <c r="H1768" t="s">
        <v>4613</v>
      </c>
    </row>
    <row r="1769" spans="1:8">
      <c r="A1769" s="61">
        <v>64619</v>
      </c>
      <c r="B1769" s="50" t="s">
        <v>3262</v>
      </c>
      <c r="C1769" s="50" t="s">
        <v>663</v>
      </c>
      <c r="D1769" s="50" t="s">
        <v>2069</v>
      </c>
      <c r="E1769" s="50" t="s">
        <v>2069</v>
      </c>
      <c r="F1769" s="50" t="s">
        <v>643</v>
      </c>
      <c r="G1769" s="50" t="s">
        <v>528</v>
      </c>
      <c r="H1769" t="s">
        <v>4614</v>
      </c>
    </row>
    <row r="1770" spans="1:8">
      <c r="A1770" s="61">
        <v>64620</v>
      </c>
      <c r="B1770" s="50" t="s">
        <v>3263</v>
      </c>
      <c r="C1770" s="50" t="s">
        <v>2266</v>
      </c>
      <c r="D1770" s="50" t="s">
        <v>2450</v>
      </c>
      <c r="E1770" s="50" t="s">
        <v>2450</v>
      </c>
      <c r="F1770" s="50" t="s">
        <v>643</v>
      </c>
      <c r="G1770" s="50" t="s">
        <v>1582</v>
      </c>
      <c r="H1770" t="s">
        <v>3337</v>
      </c>
    </row>
    <row r="1771" spans="1:8">
      <c r="A1771" s="61">
        <v>64621</v>
      </c>
      <c r="B1771" s="50" t="s">
        <v>3264</v>
      </c>
      <c r="C1771" s="50" t="s">
        <v>2266</v>
      </c>
      <c r="D1771" s="50" t="s">
        <v>2377</v>
      </c>
      <c r="E1771" s="50" t="s">
        <v>2377</v>
      </c>
      <c r="F1771" s="50" t="s">
        <v>643</v>
      </c>
      <c r="G1771" s="50" t="s">
        <v>1395</v>
      </c>
      <c r="H1771" t="s">
        <v>4615</v>
      </c>
    </row>
    <row r="1772" spans="1:8">
      <c r="A1772" s="61">
        <v>64622</v>
      </c>
      <c r="B1772" s="50" t="s">
        <v>3265</v>
      </c>
      <c r="C1772" s="50" t="s">
        <v>1099</v>
      </c>
      <c r="D1772" s="50" t="s">
        <v>2337</v>
      </c>
      <c r="E1772" s="50" t="s">
        <v>2337</v>
      </c>
      <c r="F1772" s="50" t="s">
        <v>643</v>
      </c>
      <c r="G1772" s="50" t="s">
        <v>2157</v>
      </c>
      <c r="H1772" t="s">
        <v>4616</v>
      </c>
    </row>
    <row r="1773" spans="1:8">
      <c r="A1773" s="61">
        <v>64623</v>
      </c>
      <c r="B1773" s="50" t="s">
        <v>3266</v>
      </c>
      <c r="C1773" s="50" t="s">
        <v>1116</v>
      </c>
      <c r="D1773" s="50" t="s">
        <v>2378</v>
      </c>
      <c r="E1773" s="50" t="s">
        <v>2378</v>
      </c>
      <c r="F1773" s="50" t="s">
        <v>643</v>
      </c>
      <c r="G1773" s="50" t="s">
        <v>544</v>
      </c>
      <c r="H1773" t="s">
        <v>4617</v>
      </c>
    </row>
    <row r="1774" spans="1:8">
      <c r="A1774" s="61">
        <v>64624</v>
      </c>
      <c r="B1774" s="50" t="s">
        <v>1255</v>
      </c>
      <c r="C1774" s="50" t="s">
        <v>800</v>
      </c>
      <c r="D1774" s="50" t="s">
        <v>602</v>
      </c>
      <c r="E1774" s="50" t="s">
        <v>602</v>
      </c>
      <c r="F1774" s="50" t="s">
        <v>643</v>
      </c>
      <c r="G1774" s="50" t="s">
        <v>3588</v>
      </c>
      <c r="H1774" t="s">
        <v>3396</v>
      </c>
    </row>
    <row r="1775" spans="1:8">
      <c r="A1775" s="61">
        <v>64625</v>
      </c>
      <c r="B1775" s="50" t="s">
        <v>2118</v>
      </c>
      <c r="C1775" s="50" t="s">
        <v>1410</v>
      </c>
      <c r="D1775" s="50" t="s">
        <v>318</v>
      </c>
      <c r="E1775" s="50" t="s">
        <v>318</v>
      </c>
      <c r="F1775" s="50" t="s">
        <v>643</v>
      </c>
      <c r="G1775" s="50" t="s">
        <v>2806</v>
      </c>
      <c r="H1775" t="s">
        <v>3248</v>
      </c>
    </row>
    <row r="1776" spans="1:8">
      <c r="A1776" s="61">
        <v>64626</v>
      </c>
      <c r="B1776" s="50" t="s">
        <v>3267</v>
      </c>
      <c r="C1776" s="50" t="s">
        <v>788</v>
      </c>
      <c r="D1776" s="50" t="s">
        <v>2377</v>
      </c>
      <c r="E1776" s="50" t="s">
        <v>2377</v>
      </c>
      <c r="F1776" s="50" t="s">
        <v>643</v>
      </c>
      <c r="G1776" s="50" t="s">
        <v>1395</v>
      </c>
      <c r="H1776" t="s">
        <v>4618</v>
      </c>
    </row>
    <row r="1777" spans="1:8">
      <c r="A1777" s="61">
        <v>64627</v>
      </c>
      <c r="B1777" s="50" t="s">
        <v>3268</v>
      </c>
      <c r="C1777" s="50" t="s">
        <v>3269</v>
      </c>
      <c r="D1777" s="50" t="s">
        <v>2378</v>
      </c>
      <c r="E1777" s="50" t="s">
        <v>2378</v>
      </c>
      <c r="F1777" s="50" t="s">
        <v>643</v>
      </c>
      <c r="G1777" s="50" t="s">
        <v>544</v>
      </c>
      <c r="H1777" t="s">
        <v>4619</v>
      </c>
    </row>
    <row r="1778" spans="1:8">
      <c r="A1778" s="61">
        <v>64628</v>
      </c>
      <c r="B1778" s="50" t="s">
        <v>3270</v>
      </c>
      <c r="C1778" s="50" t="s">
        <v>1246</v>
      </c>
      <c r="D1778" s="50" t="s">
        <v>454</v>
      </c>
      <c r="E1778" s="50" t="s">
        <v>454</v>
      </c>
      <c r="F1778" s="50" t="s">
        <v>643</v>
      </c>
      <c r="G1778" s="50" t="s">
        <v>1383</v>
      </c>
      <c r="H1778" t="s">
        <v>4620</v>
      </c>
    </row>
    <row r="1779" spans="1:8">
      <c r="A1779" s="61">
        <v>64629</v>
      </c>
      <c r="B1779" s="50" t="s">
        <v>3271</v>
      </c>
      <c r="C1779" s="50" t="s">
        <v>1593</v>
      </c>
      <c r="D1779" s="50" t="s">
        <v>503</v>
      </c>
      <c r="E1779" s="50" t="s">
        <v>503</v>
      </c>
      <c r="F1779" s="50" t="s">
        <v>643</v>
      </c>
      <c r="G1779" s="50" t="s">
        <v>1565</v>
      </c>
      <c r="H1779" t="s">
        <v>3410</v>
      </c>
    </row>
    <row r="1780" spans="1:8">
      <c r="A1780" s="61">
        <v>64633</v>
      </c>
      <c r="B1780" s="50" t="s">
        <v>231</v>
      </c>
      <c r="C1780" s="50" t="s">
        <v>2375</v>
      </c>
      <c r="D1780" s="50" t="s">
        <v>2323</v>
      </c>
      <c r="E1780" s="50" t="s">
        <v>2323</v>
      </c>
      <c r="F1780" s="50" t="s">
        <v>643</v>
      </c>
      <c r="G1780" s="50" t="s">
        <v>1904</v>
      </c>
      <c r="H1780" t="s">
        <v>4621</v>
      </c>
    </row>
    <row r="1781" spans="1:8">
      <c r="A1781" s="61">
        <v>64634</v>
      </c>
      <c r="B1781" s="50" t="s">
        <v>3309</v>
      </c>
      <c r="C1781" s="50" t="s">
        <v>640</v>
      </c>
      <c r="D1781" s="50" t="s">
        <v>2086</v>
      </c>
      <c r="E1781" s="50" t="s">
        <v>2086</v>
      </c>
      <c r="F1781" s="50" t="s">
        <v>643</v>
      </c>
      <c r="G1781" s="50" t="s">
        <v>1569</v>
      </c>
      <c r="H1781" t="s">
        <v>4622</v>
      </c>
    </row>
    <row r="1782" spans="1:8">
      <c r="A1782" s="61">
        <v>64635</v>
      </c>
      <c r="B1782" s="50" t="s">
        <v>3310</v>
      </c>
      <c r="C1782" s="50" t="s">
        <v>635</v>
      </c>
      <c r="D1782" s="50" t="s">
        <v>2086</v>
      </c>
      <c r="E1782" s="50" t="s">
        <v>2086</v>
      </c>
      <c r="F1782" s="50" t="s">
        <v>643</v>
      </c>
      <c r="G1782" s="50" t="s">
        <v>1569</v>
      </c>
      <c r="H1782" t="s">
        <v>4623</v>
      </c>
    </row>
    <row r="1783" spans="1:8">
      <c r="A1783" s="61">
        <v>64636</v>
      </c>
      <c r="B1783" s="50" t="s">
        <v>3311</v>
      </c>
      <c r="C1783" s="50" t="s">
        <v>1177</v>
      </c>
      <c r="D1783" s="50" t="s">
        <v>512</v>
      </c>
      <c r="E1783" s="50" t="s">
        <v>512</v>
      </c>
      <c r="F1783" s="50" t="s">
        <v>643</v>
      </c>
      <c r="G1783" s="50" t="s">
        <v>1574</v>
      </c>
      <c r="H1783" t="s">
        <v>4624</v>
      </c>
    </row>
    <row r="1784" spans="1:8">
      <c r="A1784" s="61">
        <v>64637</v>
      </c>
      <c r="B1784" s="50" t="s">
        <v>3312</v>
      </c>
      <c r="C1784" s="50" t="s">
        <v>1414</v>
      </c>
      <c r="D1784" s="50" t="s">
        <v>2337</v>
      </c>
      <c r="E1784" s="50" t="s">
        <v>2337</v>
      </c>
      <c r="F1784" s="50" t="s">
        <v>643</v>
      </c>
      <c r="G1784" s="50" t="s">
        <v>2157</v>
      </c>
      <c r="H1784" t="s">
        <v>4625</v>
      </c>
    </row>
    <row r="1785" spans="1:8">
      <c r="A1785" s="61">
        <v>64638</v>
      </c>
      <c r="B1785" s="50" t="s">
        <v>567</v>
      </c>
      <c r="C1785" s="50" t="s">
        <v>1494</v>
      </c>
      <c r="D1785" s="50" t="s">
        <v>1262</v>
      </c>
      <c r="E1785" s="50" t="s">
        <v>1262</v>
      </c>
      <c r="F1785" s="50" t="s">
        <v>643</v>
      </c>
      <c r="G1785" s="50" t="s">
        <v>1383</v>
      </c>
      <c r="H1785" t="s">
        <v>4626</v>
      </c>
    </row>
    <row r="1786" spans="1:8">
      <c r="A1786" s="61">
        <v>64639</v>
      </c>
      <c r="B1786" s="50" t="s">
        <v>559</v>
      </c>
      <c r="C1786" s="50" t="s">
        <v>477</v>
      </c>
      <c r="D1786" s="50" t="s">
        <v>2378</v>
      </c>
      <c r="E1786" s="50" t="s">
        <v>2378</v>
      </c>
      <c r="F1786" s="50" t="s">
        <v>643</v>
      </c>
      <c r="G1786" s="50" t="s">
        <v>544</v>
      </c>
      <c r="H1786" t="s">
        <v>4627</v>
      </c>
    </row>
    <row r="1787" spans="1:8">
      <c r="A1787" s="61">
        <v>64640</v>
      </c>
      <c r="B1787" s="50" t="s">
        <v>3313</v>
      </c>
      <c r="C1787" s="50" t="s">
        <v>777</v>
      </c>
      <c r="D1787" s="50" t="s">
        <v>512</v>
      </c>
      <c r="E1787" s="50" t="s">
        <v>512</v>
      </c>
      <c r="F1787" s="50" t="s">
        <v>643</v>
      </c>
      <c r="G1787" s="50" t="s">
        <v>1574</v>
      </c>
      <c r="H1787" t="s">
        <v>3416</v>
      </c>
    </row>
    <row r="1788" spans="1:8">
      <c r="A1788" s="61">
        <v>64641</v>
      </c>
      <c r="B1788" s="50" t="s">
        <v>3314</v>
      </c>
      <c r="C1788" s="50" t="s">
        <v>1099</v>
      </c>
      <c r="D1788" s="50" t="s">
        <v>2337</v>
      </c>
      <c r="E1788" s="50" t="s">
        <v>2337</v>
      </c>
      <c r="F1788" s="50" t="s">
        <v>643</v>
      </c>
      <c r="G1788" s="50" t="s">
        <v>2157</v>
      </c>
      <c r="H1788" t="s">
        <v>4628</v>
      </c>
    </row>
    <row r="1789" spans="1:8">
      <c r="A1789" s="61">
        <v>64642</v>
      </c>
      <c r="B1789" s="50" t="s">
        <v>1412</v>
      </c>
      <c r="C1789" s="50" t="s">
        <v>1311</v>
      </c>
      <c r="D1789" s="50" t="s">
        <v>2337</v>
      </c>
      <c r="E1789" s="50" t="s">
        <v>2337</v>
      </c>
      <c r="F1789" s="50" t="s">
        <v>643</v>
      </c>
      <c r="G1789" s="50" t="s">
        <v>2157</v>
      </c>
      <c r="H1789" t="s">
        <v>4629</v>
      </c>
    </row>
    <row r="1790" spans="1:8">
      <c r="A1790" s="61">
        <v>64643</v>
      </c>
      <c r="B1790" s="50" t="s">
        <v>3315</v>
      </c>
      <c r="C1790" s="50" t="s">
        <v>1197</v>
      </c>
      <c r="D1790" s="50" t="s">
        <v>1452</v>
      </c>
      <c r="E1790" s="50" t="s">
        <v>1452</v>
      </c>
      <c r="F1790" s="50" t="s">
        <v>643</v>
      </c>
      <c r="G1790" s="50" t="s">
        <v>3514</v>
      </c>
      <c r="H1790" t="s">
        <v>4630</v>
      </c>
    </row>
    <row r="1791" spans="1:8">
      <c r="A1791" s="61">
        <v>64645</v>
      </c>
      <c r="B1791" s="50" t="s">
        <v>3316</v>
      </c>
      <c r="C1791" s="50" t="s">
        <v>263</v>
      </c>
      <c r="D1791" s="50" t="s">
        <v>597</v>
      </c>
      <c r="E1791" s="50" t="s">
        <v>597</v>
      </c>
      <c r="F1791" s="50" t="s">
        <v>643</v>
      </c>
      <c r="G1791" s="50" t="s">
        <v>1902</v>
      </c>
      <c r="H1791" t="s">
        <v>4631</v>
      </c>
    </row>
    <row r="1792" spans="1:8">
      <c r="A1792" s="61">
        <v>64647</v>
      </c>
      <c r="B1792" s="50" t="s">
        <v>1255</v>
      </c>
      <c r="C1792" s="50" t="s">
        <v>642</v>
      </c>
      <c r="D1792" s="50" t="s">
        <v>3317</v>
      </c>
      <c r="E1792" s="50" t="s">
        <v>3317</v>
      </c>
      <c r="F1792" s="50" t="s">
        <v>643</v>
      </c>
      <c r="G1792" s="50" t="s">
        <v>1909</v>
      </c>
      <c r="H1792" t="s">
        <v>4632</v>
      </c>
    </row>
    <row r="1793" spans="1:8">
      <c r="A1793" s="61">
        <v>64648</v>
      </c>
      <c r="B1793" s="50" t="s">
        <v>312</v>
      </c>
      <c r="C1793" s="50" t="s">
        <v>802</v>
      </c>
      <c r="D1793" s="50" t="s">
        <v>2329</v>
      </c>
      <c r="E1793" s="50" t="s">
        <v>2329</v>
      </c>
      <c r="F1793" s="50" t="s">
        <v>643</v>
      </c>
      <c r="G1793" s="50" t="s">
        <v>2775</v>
      </c>
      <c r="H1793" t="s">
        <v>3486</v>
      </c>
    </row>
    <row r="1794" spans="1:8">
      <c r="A1794" s="61">
        <v>64649</v>
      </c>
      <c r="B1794" s="50" t="s">
        <v>746</v>
      </c>
      <c r="C1794" s="50" t="s">
        <v>777</v>
      </c>
      <c r="D1794" s="50" t="s">
        <v>3317</v>
      </c>
      <c r="E1794" s="50" t="s">
        <v>3317</v>
      </c>
      <c r="F1794" s="50" t="s">
        <v>643</v>
      </c>
      <c r="G1794" s="50" t="s">
        <v>1909</v>
      </c>
      <c r="H1794" t="s">
        <v>4633</v>
      </c>
    </row>
    <row r="1795" spans="1:8">
      <c r="A1795" s="61">
        <v>64650</v>
      </c>
      <c r="B1795" s="50" t="s">
        <v>3318</v>
      </c>
      <c r="C1795" s="50" t="s">
        <v>1162</v>
      </c>
      <c r="D1795" s="50" t="s">
        <v>3317</v>
      </c>
      <c r="E1795" s="50" t="s">
        <v>3317</v>
      </c>
      <c r="F1795" s="50" t="s">
        <v>643</v>
      </c>
      <c r="G1795" s="50" t="s">
        <v>1909</v>
      </c>
      <c r="H1795" t="s">
        <v>4634</v>
      </c>
    </row>
    <row r="1796" spans="1:8">
      <c r="A1796" s="61">
        <v>64651</v>
      </c>
      <c r="B1796" s="50" t="s">
        <v>3319</v>
      </c>
      <c r="C1796" s="50" t="s">
        <v>642</v>
      </c>
      <c r="D1796" s="50" t="s">
        <v>2086</v>
      </c>
      <c r="E1796" s="50" t="s">
        <v>2086</v>
      </c>
      <c r="F1796" s="50" t="s">
        <v>643</v>
      </c>
      <c r="G1796" s="50" t="s">
        <v>1569</v>
      </c>
      <c r="H1796" t="s">
        <v>4635</v>
      </c>
    </row>
    <row r="1797" spans="1:8">
      <c r="A1797" s="61">
        <v>64652</v>
      </c>
      <c r="B1797" s="50" t="s">
        <v>1194</v>
      </c>
      <c r="C1797" s="50" t="s">
        <v>3233</v>
      </c>
      <c r="D1797" s="50" t="s">
        <v>881</v>
      </c>
      <c r="E1797" s="50" t="s">
        <v>881</v>
      </c>
      <c r="F1797" s="50" t="s">
        <v>643</v>
      </c>
      <c r="G1797" s="50" t="s">
        <v>1910</v>
      </c>
      <c r="H1797" t="s">
        <v>4636</v>
      </c>
    </row>
    <row r="1798" spans="1:8">
      <c r="A1798" s="61">
        <v>64653</v>
      </c>
      <c r="B1798" s="50" t="s">
        <v>4637</v>
      </c>
      <c r="C1798" s="50" t="s">
        <v>635</v>
      </c>
      <c r="D1798" s="50" t="s">
        <v>3317</v>
      </c>
      <c r="E1798" s="50" t="s">
        <v>3317</v>
      </c>
      <c r="F1798" s="50" t="s">
        <v>643</v>
      </c>
      <c r="G1798" s="50" t="s">
        <v>1909</v>
      </c>
      <c r="H1798" t="s">
        <v>4638</v>
      </c>
    </row>
    <row r="1799" spans="1:8">
      <c r="A1799" s="61">
        <v>64654</v>
      </c>
      <c r="B1799" s="50" t="s">
        <v>4639</v>
      </c>
      <c r="C1799" s="50" t="s">
        <v>663</v>
      </c>
      <c r="D1799" s="50" t="s">
        <v>507</v>
      </c>
      <c r="E1799" s="50" t="s">
        <v>507</v>
      </c>
      <c r="F1799" s="50" t="s">
        <v>643</v>
      </c>
      <c r="G1799" s="50" t="s">
        <v>1910</v>
      </c>
      <c r="H1799" t="s">
        <v>4640</v>
      </c>
    </row>
    <row r="1800" spans="1:8">
      <c r="A1800" s="61">
        <v>64659</v>
      </c>
      <c r="B1800" s="50" t="s">
        <v>4641</v>
      </c>
      <c r="C1800" s="50" t="s">
        <v>79</v>
      </c>
      <c r="D1800" s="50" t="s">
        <v>1090</v>
      </c>
      <c r="E1800" s="50" t="s">
        <v>1090</v>
      </c>
      <c r="F1800" s="50" t="s">
        <v>643</v>
      </c>
      <c r="G1800" s="50" t="s">
        <v>3909</v>
      </c>
      <c r="H1800" t="s">
        <v>4642</v>
      </c>
    </row>
    <row r="1801" spans="1:8">
      <c r="A1801" s="61">
        <v>64660</v>
      </c>
      <c r="B1801" s="50" t="s">
        <v>4643</v>
      </c>
      <c r="C1801" s="50" t="s">
        <v>782</v>
      </c>
      <c r="D1801" s="50" t="s">
        <v>1090</v>
      </c>
      <c r="E1801" s="50" t="s">
        <v>1090</v>
      </c>
      <c r="F1801" s="50" t="s">
        <v>643</v>
      </c>
      <c r="G1801" s="50" t="s">
        <v>3909</v>
      </c>
      <c r="H1801" t="s">
        <v>4644</v>
      </c>
    </row>
    <row r="1802" spans="1:8">
      <c r="A1802" s="61">
        <v>64661</v>
      </c>
      <c r="B1802" s="50" t="s">
        <v>4645</v>
      </c>
      <c r="C1802" s="50" t="s">
        <v>286</v>
      </c>
      <c r="D1802" s="50" t="s">
        <v>1090</v>
      </c>
      <c r="E1802" s="50" t="s">
        <v>1090</v>
      </c>
      <c r="F1802" s="50" t="s">
        <v>643</v>
      </c>
      <c r="G1802" s="50" t="s">
        <v>3909</v>
      </c>
      <c r="H1802" t="s">
        <v>4646</v>
      </c>
    </row>
    <row r="1803" spans="1:8">
      <c r="A1803" s="61">
        <v>64662</v>
      </c>
      <c r="B1803" s="50" t="s">
        <v>757</v>
      </c>
      <c r="C1803" s="50" t="s">
        <v>79</v>
      </c>
      <c r="D1803" s="50" t="s">
        <v>503</v>
      </c>
      <c r="E1803" s="50" t="s">
        <v>503</v>
      </c>
      <c r="F1803" s="50" t="s">
        <v>643</v>
      </c>
      <c r="G1803" s="50" t="s">
        <v>1565</v>
      </c>
      <c r="H1803" t="s">
        <v>4647</v>
      </c>
    </row>
    <row r="1804" spans="1:8">
      <c r="A1804" s="61">
        <v>64663</v>
      </c>
      <c r="B1804" s="50" t="s">
        <v>1126</v>
      </c>
      <c r="C1804" s="50" t="s">
        <v>4648</v>
      </c>
      <c r="D1804" s="50" t="s">
        <v>3317</v>
      </c>
      <c r="E1804" s="50" t="s">
        <v>3317</v>
      </c>
      <c r="F1804" s="50" t="s">
        <v>643</v>
      </c>
      <c r="G1804" s="50" t="s">
        <v>1909</v>
      </c>
      <c r="H1804" t="s">
        <v>4649</v>
      </c>
    </row>
    <row r="1805" spans="1:8">
      <c r="A1805" s="61">
        <v>64664</v>
      </c>
      <c r="B1805" s="50" t="s">
        <v>970</v>
      </c>
      <c r="C1805" s="50" t="s">
        <v>1197</v>
      </c>
      <c r="D1805" s="50" t="s">
        <v>3317</v>
      </c>
      <c r="E1805" s="50" t="s">
        <v>3317</v>
      </c>
      <c r="F1805" s="50" t="s">
        <v>643</v>
      </c>
      <c r="G1805" s="50" t="s">
        <v>1909</v>
      </c>
      <c r="H1805" t="s">
        <v>4650</v>
      </c>
    </row>
    <row r="1806" spans="1:8">
      <c r="A1806" s="61">
        <v>64666</v>
      </c>
      <c r="B1806" s="50" t="s">
        <v>4651</v>
      </c>
      <c r="C1806" s="50" t="s">
        <v>964</v>
      </c>
      <c r="D1806" s="50" t="s">
        <v>1452</v>
      </c>
      <c r="E1806" s="50" t="s">
        <v>1452</v>
      </c>
      <c r="F1806" s="50" t="s">
        <v>643</v>
      </c>
      <c r="G1806" s="50" t="s">
        <v>3514</v>
      </c>
      <c r="H1806" t="s">
        <v>4652</v>
      </c>
    </row>
    <row r="1807" spans="1:8">
      <c r="A1807" s="61">
        <v>64667</v>
      </c>
      <c r="B1807" s="50" t="s">
        <v>4653</v>
      </c>
      <c r="C1807" s="50" t="s">
        <v>788</v>
      </c>
      <c r="D1807" s="50" t="s">
        <v>504</v>
      </c>
      <c r="E1807" s="50" t="s">
        <v>504</v>
      </c>
      <c r="F1807" s="50" t="s">
        <v>643</v>
      </c>
      <c r="G1807" s="50" t="s">
        <v>4171</v>
      </c>
      <c r="H1807" t="s">
        <v>4654</v>
      </c>
    </row>
    <row r="1808" spans="1:8">
      <c r="A1808" s="61">
        <v>64668</v>
      </c>
      <c r="B1808" s="50" t="s">
        <v>4655</v>
      </c>
      <c r="C1808" s="50" t="s">
        <v>964</v>
      </c>
      <c r="D1808" s="50" t="s">
        <v>685</v>
      </c>
      <c r="E1808" s="50" t="s">
        <v>685</v>
      </c>
      <c r="F1808" s="50" t="s">
        <v>643</v>
      </c>
      <c r="G1808" s="50" t="s">
        <v>1559</v>
      </c>
      <c r="H1808" t="s">
        <v>3507</v>
      </c>
    </row>
    <row r="1809" spans="1:8">
      <c r="A1809" s="61">
        <v>64669</v>
      </c>
      <c r="B1809" s="50" t="s">
        <v>4656</v>
      </c>
      <c r="C1809" s="50" t="s">
        <v>1494</v>
      </c>
      <c r="D1809" s="50" t="s">
        <v>3317</v>
      </c>
      <c r="E1809" s="50" t="s">
        <v>3317</v>
      </c>
      <c r="F1809" s="50" t="s">
        <v>643</v>
      </c>
      <c r="G1809" s="50" t="s">
        <v>1909</v>
      </c>
      <c r="H1809" t="s">
        <v>4657</v>
      </c>
    </row>
    <row r="1810" spans="1:8">
      <c r="A1810" s="61">
        <v>64670</v>
      </c>
      <c r="B1810" s="50" t="s">
        <v>376</v>
      </c>
      <c r="C1810" s="50" t="s">
        <v>3276</v>
      </c>
      <c r="D1810" s="50" t="s">
        <v>2073</v>
      </c>
      <c r="E1810" s="50" t="s">
        <v>2073</v>
      </c>
      <c r="F1810" s="50" t="s">
        <v>643</v>
      </c>
      <c r="G1810" s="50" t="s">
        <v>2471</v>
      </c>
      <c r="H1810" t="s">
        <v>4658</v>
      </c>
    </row>
    <row r="1811" spans="1:8">
      <c r="A1811" s="61">
        <v>64671</v>
      </c>
      <c r="B1811" s="50" t="s">
        <v>4659</v>
      </c>
      <c r="C1811" s="50" t="s">
        <v>1246</v>
      </c>
      <c r="D1811" s="50" t="s">
        <v>2323</v>
      </c>
      <c r="E1811" s="50" t="s">
        <v>2323</v>
      </c>
      <c r="F1811" s="50" t="s">
        <v>643</v>
      </c>
      <c r="G1811" s="50" t="s">
        <v>1904</v>
      </c>
      <c r="H1811" t="s">
        <v>4660</v>
      </c>
    </row>
    <row r="1812" spans="1:8">
      <c r="A1812" s="61">
        <v>64673</v>
      </c>
      <c r="B1812" s="50" t="s">
        <v>4661</v>
      </c>
      <c r="C1812" s="50" t="s">
        <v>194</v>
      </c>
      <c r="D1812" s="50" t="s">
        <v>2324</v>
      </c>
      <c r="E1812" s="50" t="s">
        <v>2324</v>
      </c>
      <c r="F1812" s="50" t="s">
        <v>643</v>
      </c>
      <c r="G1812" s="50" t="s">
        <v>2326</v>
      </c>
      <c r="H1812" t="s">
        <v>4662</v>
      </c>
    </row>
    <row r="1813" spans="1:8">
      <c r="A1813" s="61">
        <v>64674</v>
      </c>
      <c r="B1813" s="50" t="s">
        <v>4663</v>
      </c>
      <c r="C1813" s="50" t="s">
        <v>780</v>
      </c>
      <c r="D1813" s="50" t="s">
        <v>2325</v>
      </c>
      <c r="E1813" s="50" t="s">
        <v>2325</v>
      </c>
      <c r="F1813" s="50" t="s">
        <v>643</v>
      </c>
      <c r="G1813" s="50" t="s">
        <v>1912</v>
      </c>
      <c r="H1813" t="s">
        <v>4664</v>
      </c>
    </row>
    <row r="1814" spans="1:8">
      <c r="A1814" s="61">
        <v>64675</v>
      </c>
      <c r="B1814" s="50" t="s">
        <v>1255</v>
      </c>
      <c r="C1814" s="50" t="s">
        <v>1020</v>
      </c>
      <c r="D1814" s="50" t="s">
        <v>2450</v>
      </c>
      <c r="E1814" s="50" t="s">
        <v>2450</v>
      </c>
      <c r="F1814" s="50" t="s">
        <v>643</v>
      </c>
      <c r="G1814" s="50" t="s">
        <v>1582</v>
      </c>
      <c r="H1814" t="s">
        <v>4665</v>
      </c>
    </row>
    <row r="1815" spans="1:8">
      <c r="A1815" s="61">
        <v>64676</v>
      </c>
      <c r="B1815" s="50" t="s">
        <v>4666</v>
      </c>
      <c r="C1815" s="50" t="s">
        <v>2723</v>
      </c>
      <c r="D1815" s="50" t="s">
        <v>2377</v>
      </c>
      <c r="E1815" s="50" t="s">
        <v>2377</v>
      </c>
      <c r="F1815" s="50" t="s">
        <v>643</v>
      </c>
      <c r="G1815" s="50" t="s">
        <v>1395</v>
      </c>
      <c r="H1815" t="s">
        <v>4667</v>
      </c>
    </row>
    <row r="1816" spans="1:8">
      <c r="A1816" s="61">
        <v>64677</v>
      </c>
      <c r="B1816" s="50" t="s">
        <v>137</v>
      </c>
      <c r="C1816" s="50" t="s">
        <v>525</v>
      </c>
      <c r="D1816" s="50" t="s">
        <v>2337</v>
      </c>
      <c r="E1816" s="50" t="s">
        <v>2337</v>
      </c>
      <c r="F1816" s="50" t="s">
        <v>643</v>
      </c>
      <c r="G1816" s="50" t="s">
        <v>2157</v>
      </c>
      <c r="H1816" t="s">
        <v>4668</v>
      </c>
    </row>
    <row r="1817" spans="1:8">
      <c r="A1817" s="61">
        <v>64678</v>
      </c>
      <c r="B1817" s="50" t="s">
        <v>704</v>
      </c>
      <c r="C1817" s="50" t="s">
        <v>1240</v>
      </c>
      <c r="D1817" s="50" t="s">
        <v>2378</v>
      </c>
      <c r="E1817" s="50" t="s">
        <v>2378</v>
      </c>
      <c r="F1817" s="50" t="s">
        <v>643</v>
      </c>
      <c r="G1817" s="50" t="s">
        <v>544</v>
      </c>
      <c r="H1817" t="s">
        <v>4669</v>
      </c>
    </row>
    <row r="1818" spans="1:8">
      <c r="A1818" s="61">
        <v>64679</v>
      </c>
      <c r="B1818" s="50" t="s">
        <v>4670</v>
      </c>
      <c r="C1818" s="50" t="s">
        <v>640</v>
      </c>
      <c r="D1818" s="50" t="s">
        <v>683</v>
      </c>
      <c r="E1818" s="50" t="s">
        <v>683</v>
      </c>
      <c r="F1818" s="50" t="s">
        <v>643</v>
      </c>
      <c r="G1818" s="50" t="s">
        <v>1900</v>
      </c>
      <c r="H1818" t="s">
        <v>4671</v>
      </c>
    </row>
    <row r="1819" spans="1:8">
      <c r="A1819" s="61">
        <v>64680</v>
      </c>
      <c r="B1819" s="50" t="s">
        <v>4672</v>
      </c>
      <c r="C1819" s="50" t="s">
        <v>79</v>
      </c>
      <c r="D1819" s="50" t="s">
        <v>772</v>
      </c>
      <c r="E1819" s="50" t="s">
        <v>772</v>
      </c>
      <c r="F1819" s="50" t="s">
        <v>643</v>
      </c>
      <c r="G1819" s="50" t="s">
        <v>1389</v>
      </c>
      <c r="H1819" t="s">
        <v>4673</v>
      </c>
    </row>
    <row r="1820" spans="1:8">
      <c r="A1820" s="61">
        <v>64681</v>
      </c>
      <c r="B1820" s="50" t="s">
        <v>4674</v>
      </c>
      <c r="C1820" s="50" t="s">
        <v>65</v>
      </c>
      <c r="D1820" s="50" t="s">
        <v>437</v>
      </c>
      <c r="E1820" s="50" t="s">
        <v>437</v>
      </c>
      <c r="F1820" s="50" t="s">
        <v>643</v>
      </c>
      <c r="G1820" s="50" t="s">
        <v>342</v>
      </c>
      <c r="H1820" t="s">
        <v>4675</v>
      </c>
    </row>
    <row r="1821" spans="1:8">
      <c r="A1821" s="61">
        <v>64682</v>
      </c>
      <c r="B1821" s="50" t="s">
        <v>4676</v>
      </c>
      <c r="C1821" s="50" t="s">
        <v>1099</v>
      </c>
      <c r="D1821" s="50" t="s">
        <v>602</v>
      </c>
      <c r="E1821" s="50" t="s">
        <v>602</v>
      </c>
      <c r="F1821" s="50" t="s">
        <v>643</v>
      </c>
      <c r="G1821" s="50" t="s">
        <v>3588</v>
      </c>
      <c r="H1821" t="s">
        <v>4677</v>
      </c>
    </row>
    <row r="1822" spans="1:8">
      <c r="A1822" s="61">
        <v>64684</v>
      </c>
      <c r="B1822" s="50" t="s">
        <v>4679</v>
      </c>
      <c r="C1822" s="50" t="s">
        <v>3276</v>
      </c>
      <c r="D1822" s="50" t="s">
        <v>844</v>
      </c>
      <c r="E1822" s="50" t="s">
        <v>844</v>
      </c>
      <c r="F1822" s="50" t="s">
        <v>643</v>
      </c>
      <c r="G1822" s="50" t="s">
        <v>1903</v>
      </c>
      <c r="H1822" t="s">
        <v>4680</v>
      </c>
    </row>
    <row r="1823" spans="1:8">
      <c r="A1823" s="61">
        <v>64685</v>
      </c>
      <c r="B1823" s="50" t="s">
        <v>239</v>
      </c>
      <c r="C1823" s="50" t="s">
        <v>1197</v>
      </c>
      <c r="D1823" s="50" t="s">
        <v>178</v>
      </c>
      <c r="E1823" s="50" t="s">
        <v>178</v>
      </c>
      <c r="F1823" s="50" t="s">
        <v>643</v>
      </c>
      <c r="G1823" s="50" t="s">
        <v>1556</v>
      </c>
      <c r="H1823" t="s">
        <v>4681</v>
      </c>
    </row>
    <row r="1824" spans="1:8">
      <c r="A1824" s="61">
        <v>64687</v>
      </c>
      <c r="B1824" s="50" t="s">
        <v>4682</v>
      </c>
      <c r="C1824" s="50" t="s">
        <v>1133</v>
      </c>
      <c r="D1824" s="50" t="s">
        <v>2072</v>
      </c>
      <c r="E1824" s="50" t="s">
        <v>2072</v>
      </c>
      <c r="F1824" s="50" t="s">
        <v>643</v>
      </c>
      <c r="G1824" s="50" t="s">
        <v>1398</v>
      </c>
      <c r="H1824" t="s">
        <v>4683</v>
      </c>
    </row>
    <row r="1825" spans="1:8">
      <c r="A1825" s="61">
        <v>64688</v>
      </c>
      <c r="B1825" s="50" t="s">
        <v>4684</v>
      </c>
      <c r="C1825" s="50" t="s">
        <v>584</v>
      </c>
      <c r="D1825" s="50" t="s">
        <v>2450</v>
      </c>
      <c r="E1825" s="50" t="s">
        <v>2450</v>
      </c>
      <c r="F1825" s="50" t="s">
        <v>643</v>
      </c>
      <c r="G1825" s="50" t="s">
        <v>1582</v>
      </c>
      <c r="H1825" t="s">
        <v>4685</v>
      </c>
    </row>
    <row r="1826" spans="1:8">
      <c r="A1826" s="61">
        <v>64689</v>
      </c>
      <c r="B1826" s="50" t="s">
        <v>4686</v>
      </c>
      <c r="C1826" s="50" t="s">
        <v>777</v>
      </c>
      <c r="D1826" s="50" t="s">
        <v>685</v>
      </c>
      <c r="E1826" s="50" t="s">
        <v>685</v>
      </c>
      <c r="F1826" s="50" t="s">
        <v>643</v>
      </c>
      <c r="G1826" s="50" t="s">
        <v>1559</v>
      </c>
      <c r="H1826" t="s">
        <v>4687</v>
      </c>
    </row>
    <row r="1827" spans="1:8">
      <c r="A1827" s="61">
        <v>64690</v>
      </c>
      <c r="B1827" s="50" t="s">
        <v>4688</v>
      </c>
      <c r="C1827" s="50" t="s">
        <v>635</v>
      </c>
      <c r="D1827" s="50" t="s">
        <v>2377</v>
      </c>
      <c r="E1827" s="50" t="s">
        <v>2377</v>
      </c>
      <c r="F1827" s="50" t="s">
        <v>643</v>
      </c>
      <c r="G1827" s="50" t="s">
        <v>1395</v>
      </c>
      <c r="H1827" t="s">
        <v>4689</v>
      </c>
    </row>
    <row r="1828" spans="1:8">
      <c r="A1828" s="61">
        <v>64691</v>
      </c>
      <c r="B1828" s="50" t="s">
        <v>4690</v>
      </c>
      <c r="C1828" s="50" t="s">
        <v>2459</v>
      </c>
      <c r="D1828" s="50" t="s">
        <v>2377</v>
      </c>
      <c r="E1828" s="50" t="s">
        <v>2377</v>
      </c>
      <c r="F1828" s="50" t="s">
        <v>643</v>
      </c>
      <c r="G1828" s="50" t="s">
        <v>1395</v>
      </c>
      <c r="H1828" t="s">
        <v>4691</v>
      </c>
    </row>
    <row r="1829" spans="1:8">
      <c r="A1829" s="61">
        <v>64693</v>
      </c>
      <c r="B1829" s="50" t="s">
        <v>4692</v>
      </c>
      <c r="C1829" s="50" t="s">
        <v>72</v>
      </c>
      <c r="D1829" s="50" t="s">
        <v>2787</v>
      </c>
      <c r="E1829" s="50" t="s">
        <v>2787</v>
      </c>
      <c r="F1829" s="50" t="s">
        <v>643</v>
      </c>
      <c r="G1829" s="50" t="s">
        <v>1555</v>
      </c>
      <c r="H1829" t="s">
        <v>4693</v>
      </c>
    </row>
    <row r="1830" spans="1:8">
      <c r="A1830" s="61">
        <v>64694</v>
      </c>
      <c r="B1830" s="50" t="s">
        <v>4694</v>
      </c>
      <c r="C1830" s="50" t="s">
        <v>754</v>
      </c>
      <c r="D1830" s="50" t="s">
        <v>2944</v>
      </c>
      <c r="E1830" s="50" t="s">
        <v>2944</v>
      </c>
      <c r="F1830" s="50" t="s">
        <v>643</v>
      </c>
      <c r="G1830" s="50" t="s">
        <v>1555</v>
      </c>
      <c r="H1830" t="s">
        <v>4695</v>
      </c>
    </row>
    <row r="1831" spans="1:8">
      <c r="A1831" s="61">
        <v>64695</v>
      </c>
      <c r="B1831" s="50" t="s">
        <v>367</v>
      </c>
      <c r="C1831" s="50" t="s">
        <v>793</v>
      </c>
      <c r="D1831" s="50" t="s">
        <v>1325</v>
      </c>
      <c r="E1831" s="50" t="s">
        <v>1325</v>
      </c>
      <c r="F1831" s="50" t="s">
        <v>643</v>
      </c>
      <c r="G1831" s="50" t="s">
        <v>2159</v>
      </c>
      <c r="H1831" t="s">
        <v>4696</v>
      </c>
    </row>
    <row r="1832" spans="1:8">
      <c r="A1832" s="61">
        <v>64696</v>
      </c>
      <c r="B1832" s="50" t="s">
        <v>4697</v>
      </c>
      <c r="C1832" s="50" t="s">
        <v>163</v>
      </c>
      <c r="D1832" s="50" t="s">
        <v>318</v>
      </c>
      <c r="E1832" s="50" t="s">
        <v>318</v>
      </c>
      <c r="F1832" s="50" t="s">
        <v>643</v>
      </c>
      <c r="G1832" s="50" t="s">
        <v>2806</v>
      </c>
      <c r="H1832" t="s">
        <v>4698</v>
      </c>
    </row>
    <row r="1833" spans="1:8">
      <c r="A1833" s="61">
        <v>64697</v>
      </c>
      <c r="B1833" s="50" t="s">
        <v>4699</v>
      </c>
      <c r="C1833" s="50" t="s">
        <v>1246</v>
      </c>
      <c r="D1833" s="50" t="s">
        <v>2072</v>
      </c>
      <c r="E1833" s="50" t="s">
        <v>2072</v>
      </c>
      <c r="F1833" s="50" t="s">
        <v>643</v>
      </c>
      <c r="G1833" s="50" t="s">
        <v>1398</v>
      </c>
      <c r="H1833" t="s">
        <v>4700</v>
      </c>
    </row>
    <row r="1834" spans="1:8">
      <c r="A1834" s="61">
        <v>64698</v>
      </c>
      <c r="B1834" s="50" t="s">
        <v>4701</v>
      </c>
      <c r="C1834" s="50" t="s">
        <v>640</v>
      </c>
      <c r="D1834" s="50" t="s">
        <v>2324</v>
      </c>
      <c r="E1834" s="50" t="s">
        <v>2324</v>
      </c>
      <c r="F1834" s="50" t="s">
        <v>643</v>
      </c>
      <c r="G1834" s="50" t="s">
        <v>2326</v>
      </c>
      <c r="H1834" t="s">
        <v>4702</v>
      </c>
    </row>
    <row r="1835" spans="1:8">
      <c r="A1835" s="61">
        <v>64699</v>
      </c>
      <c r="B1835" s="50" t="s">
        <v>4703</v>
      </c>
      <c r="C1835" s="50" t="s">
        <v>1099</v>
      </c>
      <c r="D1835" s="50" t="s">
        <v>2324</v>
      </c>
      <c r="E1835" s="50" t="s">
        <v>2324</v>
      </c>
      <c r="F1835" s="50" t="s">
        <v>643</v>
      </c>
      <c r="G1835" s="50" t="s">
        <v>2326</v>
      </c>
      <c r="H1835" t="s">
        <v>4704</v>
      </c>
    </row>
    <row r="1836" spans="1:8">
      <c r="A1836" s="61">
        <v>64700</v>
      </c>
      <c r="B1836" s="50" t="s">
        <v>701</v>
      </c>
      <c r="C1836" s="50" t="s">
        <v>778</v>
      </c>
      <c r="D1836" s="50" t="s">
        <v>2450</v>
      </c>
      <c r="E1836" s="50" t="s">
        <v>2450</v>
      </c>
      <c r="F1836" s="50" t="s">
        <v>643</v>
      </c>
      <c r="G1836" s="50" t="s">
        <v>1582</v>
      </c>
      <c r="H1836" t="s">
        <v>3370</v>
      </c>
    </row>
    <row r="1837" spans="1:8">
      <c r="A1837" s="61">
        <v>64701</v>
      </c>
      <c r="B1837" s="50" t="s">
        <v>4705</v>
      </c>
      <c r="C1837" s="50" t="s">
        <v>266</v>
      </c>
      <c r="D1837" s="50" t="s">
        <v>1063</v>
      </c>
      <c r="E1837" s="50" t="s">
        <v>1063</v>
      </c>
      <c r="F1837" s="50" t="s">
        <v>643</v>
      </c>
      <c r="G1837" s="50" t="s">
        <v>1551</v>
      </c>
      <c r="H1837" t="s">
        <v>4706</v>
      </c>
    </row>
    <row r="1838" spans="1:8">
      <c r="A1838" s="61">
        <v>64702</v>
      </c>
      <c r="B1838" s="50" t="s">
        <v>376</v>
      </c>
      <c r="C1838" s="50" t="s">
        <v>778</v>
      </c>
      <c r="D1838" s="50" t="s">
        <v>3317</v>
      </c>
      <c r="E1838" s="50" t="s">
        <v>3317</v>
      </c>
      <c r="F1838" s="50" t="s">
        <v>643</v>
      </c>
      <c r="G1838" s="50" t="s">
        <v>1909</v>
      </c>
      <c r="H1838" t="s">
        <v>4707</v>
      </c>
    </row>
    <row r="1839" spans="1:8">
      <c r="A1839" s="61">
        <v>64703</v>
      </c>
      <c r="B1839" s="50" t="s">
        <v>4708</v>
      </c>
      <c r="C1839" s="50" t="s">
        <v>1414</v>
      </c>
      <c r="D1839" s="50" t="s">
        <v>318</v>
      </c>
      <c r="E1839" s="50" t="s">
        <v>318</v>
      </c>
      <c r="F1839" s="50" t="s">
        <v>643</v>
      </c>
      <c r="G1839" s="50" t="s">
        <v>2806</v>
      </c>
      <c r="H1839" t="s">
        <v>4709</v>
      </c>
    </row>
    <row r="1840" spans="1:8">
      <c r="A1840" s="61">
        <v>64704</v>
      </c>
      <c r="B1840" s="50" t="s">
        <v>4956</v>
      </c>
      <c r="C1840" s="50" t="s">
        <v>1099</v>
      </c>
      <c r="D1840" s="50" t="s">
        <v>1090</v>
      </c>
      <c r="E1840" s="50" t="s">
        <v>1090</v>
      </c>
      <c r="F1840" s="50" t="s">
        <v>643</v>
      </c>
      <c r="G1840" s="50" t="s">
        <v>3909</v>
      </c>
      <c r="H1840" t="s">
        <v>5010</v>
      </c>
    </row>
    <row r="1841" spans="1:8">
      <c r="A1841" s="61">
        <v>64705</v>
      </c>
      <c r="B1841" s="50" t="s">
        <v>4957</v>
      </c>
      <c r="C1841" s="50" t="s">
        <v>190</v>
      </c>
      <c r="D1841" s="50" t="s">
        <v>1090</v>
      </c>
      <c r="E1841" s="50" t="s">
        <v>1090</v>
      </c>
      <c r="F1841" s="50" t="s">
        <v>643</v>
      </c>
      <c r="G1841" s="50" t="s">
        <v>3909</v>
      </c>
      <c r="H1841" t="s">
        <v>5011</v>
      </c>
    </row>
    <row r="1842" spans="1:8">
      <c r="A1842" s="61">
        <v>64706</v>
      </c>
      <c r="B1842" s="50" t="s">
        <v>4958</v>
      </c>
      <c r="C1842" s="50" t="s">
        <v>3213</v>
      </c>
      <c r="D1842" s="50" t="s">
        <v>570</v>
      </c>
      <c r="E1842" s="50" t="s">
        <v>570</v>
      </c>
      <c r="F1842" s="50" t="s">
        <v>643</v>
      </c>
      <c r="G1842" s="50" t="s">
        <v>1926</v>
      </c>
      <c r="H1842" t="s">
        <v>5012</v>
      </c>
    </row>
    <row r="1843" spans="1:8">
      <c r="A1843" s="61">
        <v>64707</v>
      </c>
      <c r="B1843" s="50" t="s">
        <v>312</v>
      </c>
      <c r="C1843" s="50" t="s">
        <v>425</v>
      </c>
      <c r="D1843" s="50" t="s">
        <v>844</v>
      </c>
      <c r="E1843" s="50" t="s">
        <v>844</v>
      </c>
      <c r="F1843" s="50" t="s">
        <v>643</v>
      </c>
      <c r="G1843" s="50" t="s">
        <v>1903</v>
      </c>
      <c r="H1843" t="s">
        <v>5013</v>
      </c>
    </row>
    <row r="1844" spans="1:8">
      <c r="A1844" s="61">
        <v>64708</v>
      </c>
      <c r="B1844" s="50" t="s">
        <v>4959</v>
      </c>
      <c r="C1844" s="50" t="s">
        <v>3201</v>
      </c>
      <c r="D1844" s="50" t="s">
        <v>2323</v>
      </c>
      <c r="E1844" s="50" t="s">
        <v>2323</v>
      </c>
      <c r="F1844" s="50" t="s">
        <v>643</v>
      </c>
      <c r="G1844" s="50" t="s">
        <v>1904</v>
      </c>
      <c r="H1844" t="s">
        <v>4952</v>
      </c>
    </row>
    <row r="1845" spans="1:8">
      <c r="A1845" s="61">
        <v>64709</v>
      </c>
      <c r="B1845" s="50" t="s">
        <v>4960</v>
      </c>
      <c r="C1845" s="50" t="s">
        <v>1414</v>
      </c>
      <c r="D1845" s="50" t="s">
        <v>2675</v>
      </c>
      <c r="E1845" s="50" t="s">
        <v>2675</v>
      </c>
      <c r="F1845" s="50" t="s">
        <v>643</v>
      </c>
      <c r="G1845" s="50" t="s">
        <v>339</v>
      </c>
      <c r="H1845" t="s">
        <v>5014</v>
      </c>
    </row>
    <row r="1846" spans="1:8">
      <c r="A1846" s="61">
        <v>64710</v>
      </c>
      <c r="B1846" s="50" t="s">
        <v>4961</v>
      </c>
      <c r="C1846" s="50" t="s">
        <v>778</v>
      </c>
      <c r="D1846" s="50" t="s">
        <v>1259</v>
      </c>
      <c r="E1846" s="50" t="s">
        <v>1259</v>
      </c>
      <c r="F1846" s="50" t="s">
        <v>643</v>
      </c>
      <c r="G1846" s="50" t="s">
        <v>1379</v>
      </c>
      <c r="H1846" t="s">
        <v>5015</v>
      </c>
    </row>
    <row r="1847" spans="1:8">
      <c r="A1847" s="61">
        <v>64711</v>
      </c>
      <c r="B1847" s="50" t="s">
        <v>4962</v>
      </c>
      <c r="C1847" s="50" t="s">
        <v>778</v>
      </c>
      <c r="D1847" s="50" t="s">
        <v>1969</v>
      </c>
      <c r="E1847" s="50" t="s">
        <v>1969</v>
      </c>
      <c r="F1847" s="50" t="s">
        <v>643</v>
      </c>
      <c r="G1847" s="50" t="s">
        <v>1917</v>
      </c>
      <c r="H1847" t="s">
        <v>5016</v>
      </c>
    </row>
    <row r="1848" spans="1:8">
      <c r="A1848" s="61">
        <v>64712</v>
      </c>
      <c r="B1848" s="50" t="s">
        <v>2257</v>
      </c>
      <c r="C1848" s="50" t="s">
        <v>163</v>
      </c>
      <c r="D1848" s="50" t="s">
        <v>1969</v>
      </c>
      <c r="E1848" s="50" t="s">
        <v>1969</v>
      </c>
      <c r="F1848" s="50" t="s">
        <v>643</v>
      </c>
      <c r="G1848" s="50" t="s">
        <v>1917</v>
      </c>
      <c r="H1848" t="s">
        <v>5017</v>
      </c>
    </row>
    <row r="1849" spans="1:8">
      <c r="A1849" s="61">
        <v>64713</v>
      </c>
      <c r="B1849" s="50" t="s">
        <v>1587</v>
      </c>
      <c r="C1849" s="50" t="s">
        <v>261</v>
      </c>
      <c r="D1849" s="50" t="s">
        <v>1062</v>
      </c>
      <c r="E1849" s="50" t="s">
        <v>1062</v>
      </c>
      <c r="F1849" s="50" t="s">
        <v>643</v>
      </c>
      <c r="G1849" s="50" t="s">
        <v>1562</v>
      </c>
      <c r="H1849" t="s">
        <v>5018</v>
      </c>
    </row>
    <row r="1850" spans="1:8">
      <c r="A1850" s="61">
        <v>64714</v>
      </c>
      <c r="B1850" s="50" t="s">
        <v>1011</v>
      </c>
      <c r="C1850" s="50" t="s">
        <v>79</v>
      </c>
      <c r="D1850" s="50" t="s">
        <v>1039</v>
      </c>
      <c r="E1850" s="50" t="s">
        <v>1039</v>
      </c>
      <c r="F1850" s="50" t="s">
        <v>643</v>
      </c>
      <c r="G1850" s="50" t="s">
        <v>1561</v>
      </c>
      <c r="H1850" t="s">
        <v>5019</v>
      </c>
    </row>
    <row r="1851" spans="1:8">
      <c r="A1851" s="61">
        <v>64715</v>
      </c>
      <c r="B1851" s="50" t="s">
        <v>4963</v>
      </c>
      <c r="C1851" s="50" t="s">
        <v>1240</v>
      </c>
      <c r="D1851" s="50" t="s">
        <v>507</v>
      </c>
      <c r="E1851" s="50" t="s">
        <v>507</v>
      </c>
      <c r="F1851" s="50" t="s">
        <v>643</v>
      </c>
      <c r="G1851" s="50" t="s">
        <v>1910</v>
      </c>
      <c r="H1851" t="s">
        <v>5020</v>
      </c>
    </row>
    <row r="1852" spans="1:8">
      <c r="A1852" s="61">
        <v>70540</v>
      </c>
      <c r="B1852" s="50" t="s">
        <v>2603</v>
      </c>
      <c r="C1852" s="50" t="s">
        <v>964</v>
      </c>
      <c r="D1852" s="50" t="s">
        <v>515</v>
      </c>
      <c r="E1852" s="50" t="s">
        <v>515</v>
      </c>
      <c r="F1852" s="50" t="s">
        <v>643</v>
      </c>
      <c r="G1852" s="50" t="s">
        <v>1574</v>
      </c>
      <c r="H1852" t="s">
        <v>4710</v>
      </c>
    </row>
    <row r="1853" spans="1:8">
      <c r="A1853" s="61">
        <v>70542</v>
      </c>
      <c r="B1853" s="50" t="s">
        <v>124</v>
      </c>
      <c r="C1853" s="50" t="s">
        <v>2608</v>
      </c>
      <c r="D1853" s="50" t="s">
        <v>597</v>
      </c>
      <c r="E1853" s="50" t="s">
        <v>597</v>
      </c>
      <c r="F1853" s="50" t="s">
        <v>643</v>
      </c>
      <c r="G1853" s="50" t="s">
        <v>1902</v>
      </c>
      <c r="H1853" t="s">
        <v>4711</v>
      </c>
    </row>
    <row r="1854" spans="1:8">
      <c r="A1854" s="61">
        <v>70543</v>
      </c>
      <c r="B1854" s="50" t="s">
        <v>2659</v>
      </c>
      <c r="C1854" s="50" t="s">
        <v>793</v>
      </c>
      <c r="D1854" s="50" t="s">
        <v>1090</v>
      </c>
      <c r="E1854" s="50" t="s">
        <v>1090</v>
      </c>
      <c r="F1854" s="50" t="s">
        <v>643</v>
      </c>
      <c r="G1854" s="50" t="s">
        <v>3909</v>
      </c>
      <c r="H1854" t="s">
        <v>4712</v>
      </c>
    </row>
    <row r="1855" spans="1:8">
      <c r="A1855" s="61">
        <v>70546</v>
      </c>
      <c r="B1855" s="50" t="s">
        <v>2660</v>
      </c>
      <c r="C1855" s="50" t="s">
        <v>370</v>
      </c>
      <c r="D1855" s="50" t="s">
        <v>2448</v>
      </c>
      <c r="E1855" s="50" t="s">
        <v>2448</v>
      </c>
      <c r="F1855" s="50" t="s">
        <v>643</v>
      </c>
      <c r="G1855" s="50" t="s">
        <v>1907</v>
      </c>
      <c r="H1855" t="s">
        <v>2848</v>
      </c>
    </row>
    <row r="1856" spans="1:8">
      <c r="A1856" s="61">
        <v>70547</v>
      </c>
      <c r="B1856" s="50" t="s">
        <v>2661</v>
      </c>
      <c r="C1856" s="50" t="s">
        <v>321</v>
      </c>
      <c r="D1856" s="50" t="s">
        <v>1264</v>
      </c>
      <c r="E1856" s="50" t="s">
        <v>1264</v>
      </c>
      <c r="F1856" s="50" t="s">
        <v>643</v>
      </c>
      <c r="G1856" s="50" t="s">
        <v>3105</v>
      </c>
      <c r="H1856" t="s">
        <v>2990</v>
      </c>
    </row>
    <row r="1857" spans="1:8">
      <c r="A1857" s="61">
        <v>70548</v>
      </c>
      <c r="B1857" s="50" t="s">
        <v>2721</v>
      </c>
      <c r="C1857" s="50" t="s">
        <v>188</v>
      </c>
      <c r="D1857" s="50" t="s">
        <v>1325</v>
      </c>
      <c r="E1857" s="50" t="s">
        <v>1325</v>
      </c>
      <c r="F1857" s="50" t="s">
        <v>643</v>
      </c>
      <c r="G1857" s="50" t="s">
        <v>2159</v>
      </c>
      <c r="H1857" t="s">
        <v>2896</v>
      </c>
    </row>
    <row r="1858" spans="1:8">
      <c r="A1858" s="61">
        <v>70549</v>
      </c>
      <c r="B1858" s="50" t="s">
        <v>2722</v>
      </c>
      <c r="C1858" s="50" t="s">
        <v>2723</v>
      </c>
      <c r="D1858" s="50" t="s">
        <v>2072</v>
      </c>
      <c r="E1858" s="50" t="s">
        <v>2072</v>
      </c>
      <c r="F1858" s="50" t="s">
        <v>643</v>
      </c>
      <c r="G1858" s="50" t="s">
        <v>1398</v>
      </c>
      <c r="H1858" t="s">
        <v>2810</v>
      </c>
    </row>
    <row r="1859" spans="1:8">
      <c r="A1859" s="61">
        <v>70550</v>
      </c>
      <c r="B1859" s="50" t="s">
        <v>2724</v>
      </c>
      <c r="C1859" s="50" t="s">
        <v>197</v>
      </c>
      <c r="D1859" s="50" t="s">
        <v>503</v>
      </c>
      <c r="E1859" s="50" t="s">
        <v>503</v>
      </c>
      <c r="F1859" s="50" t="s">
        <v>643</v>
      </c>
      <c r="G1859" s="50" t="s">
        <v>1565</v>
      </c>
      <c r="H1859" t="s">
        <v>4713</v>
      </c>
    </row>
    <row r="1860" spans="1:8">
      <c r="A1860" s="61">
        <v>70551</v>
      </c>
      <c r="B1860" s="50" t="s">
        <v>2594</v>
      </c>
      <c r="C1860" s="50" t="s">
        <v>1534</v>
      </c>
      <c r="D1860" s="50" t="s">
        <v>2448</v>
      </c>
      <c r="E1860" s="50" t="s">
        <v>2448</v>
      </c>
      <c r="F1860" s="50" t="s">
        <v>643</v>
      </c>
      <c r="G1860" s="50" t="s">
        <v>1907</v>
      </c>
      <c r="H1860" t="s">
        <v>2847</v>
      </c>
    </row>
    <row r="1861" spans="1:8">
      <c r="A1861" s="61">
        <v>70553</v>
      </c>
      <c r="B1861" s="50" t="s">
        <v>76</v>
      </c>
      <c r="C1861" s="50" t="s">
        <v>197</v>
      </c>
      <c r="D1861" s="50" t="s">
        <v>684</v>
      </c>
      <c r="E1861" s="50" t="s">
        <v>684</v>
      </c>
      <c r="F1861" s="50" t="s">
        <v>643</v>
      </c>
      <c r="G1861" s="50" t="s">
        <v>541</v>
      </c>
      <c r="H1861" t="s">
        <v>4714</v>
      </c>
    </row>
    <row r="1862" spans="1:8">
      <c r="A1862" s="100">
        <v>70557</v>
      </c>
      <c r="B1862" s="100" t="s">
        <v>2725</v>
      </c>
      <c r="C1862" s="100" t="s">
        <v>640</v>
      </c>
      <c r="D1862" s="100" t="s">
        <v>2069</v>
      </c>
      <c r="E1862" s="100" t="s">
        <v>2069</v>
      </c>
      <c r="F1862" s="50" t="s">
        <v>643</v>
      </c>
      <c r="G1862" s="32" t="s">
        <v>528</v>
      </c>
      <c r="H1862" t="s">
        <v>4715</v>
      </c>
    </row>
    <row r="1863" spans="1:8">
      <c r="A1863" s="100">
        <v>70558</v>
      </c>
      <c r="B1863" s="100" t="s">
        <v>2726</v>
      </c>
      <c r="C1863" s="100" t="s">
        <v>1522</v>
      </c>
      <c r="D1863" s="100" t="s">
        <v>503</v>
      </c>
      <c r="E1863" s="100" t="s">
        <v>503</v>
      </c>
      <c r="F1863" s="50" t="s">
        <v>643</v>
      </c>
      <c r="G1863" s="32" t="s">
        <v>1565</v>
      </c>
      <c r="H1863" t="s">
        <v>4716</v>
      </c>
    </row>
    <row r="1864" spans="1:8">
      <c r="A1864" s="100">
        <v>70560</v>
      </c>
      <c r="B1864" s="100" t="s">
        <v>783</v>
      </c>
      <c r="C1864" s="100" t="s">
        <v>1414</v>
      </c>
      <c r="D1864" s="100" t="s">
        <v>2073</v>
      </c>
      <c r="E1864" s="100" t="s">
        <v>2073</v>
      </c>
      <c r="F1864" s="50" t="s">
        <v>643</v>
      </c>
      <c r="G1864" s="32" t="s">
        <v>2471</v>
      </c>
      <c r="H1864" t="s">
        <v>2989</v>
      </c>
    </row>
    <row r="1865" spans="1:8">
      <c r="A1865" s="100">
        <v>70561</v>
      </c>
      <c r="B1865" s="100" t="s">
        <v>2604</v>
      </c>
      <c r="C1865" s="100" t="s">
        <v>188</v>
      </c>
      <c r="D1865" s="100" t="s">
        <v>1223</v>
      </c>
      <c r="E1865" s="100" t="s">
        <v>1223</v>
      </c>
      <c r="F1865" s="50" t="s">
        <v>643</v>
      </c>
      <c r="G1865" s="32" t="s">
        <v>1575</v>
      </c>
      <c r="H1865" t="s">
        <v>3162</v>
      </c>
    </row>
    <row r="1866" spans="1:8">
      <c r="A1866" s="100">
        <v>70564</v>
      </c>
      <c r="B1866" s="100" t="s">
        <v>2756</v>
      </c>
      <c r="C1866" s="100" t="s">
        <v>336</v>
      </c>
      <c r="D1866" s="100" t="s">
        <v>1452</v>
      </c>
      <c r="E1866" s="100" t="s">
        <v>1452</v>
      </c>
      <c r="F1866" s="50" t="s">
        <v>643</v>
      </c>
      <c r="G1866" s="32" t="s">
        <v>3514</v>
      </c>
      <c r="H1866" t="s">
        <v>4717</v>
      </c>
    </row>
    <row r="1867" spans="1:8">
      <c r="A1867" s="100">
        <v>70567</v>
      </c>
      <c r="B1867" s="100" t="s">
        <v>2757</v>
      </c>
      <c r="C1867" s="100" t="s">
        <v>246</v>
      </c>
      <c r="D1867" s="100" t="s">
        <v>1452</v>
      </c>
      <c r="E1867" s="100" t="s">
        <v>1452</v>
      </c>
      <c r="F1867" s="50" t="s">
        <v>643</v>
      </c>
      <c r="G1867" s="32" t="s">
        <v>3514</v>
      </c>
      <c r="H1867" t="s">
        <v>4718</v>
      </c>
    </row>
    <row r="1868" spans="1:8">
      <c r="A1868" s="100">
        <v>70570</v>
      </c>
      <c r="B1868" s="100" t="s">
        <v>150</v>
      </c>
      <c r="C1868" s="100" t="s">
        <v>2465</v>
      </c>
      <c r="D1868" s="100" t="s">
        <v>2069</v>
      </c>
      <c r="E1868" s="100" t="s">
        <v>2069</v>
      </c>
      <c r="F1868" s="50" t="s">
        <v>643</v>
      </c>
      <c r="G1868" s="32" t="s">
        <v>528</v>
      </c>
      <c r="H1868" t="s">
        <v>4719</v>
      </c>
    </row>
    <row r="1869" spans="1:8">
      <c r="A1869" s="100">
        <v>70571</v>
      </c>
      <c r="B1869" s="100" t="s">
        <v>354</v>
      </c>
      <c r="C1869" s="100" t="s">
        <v>477</v>
      </c>
      <c r="D1869" s="100" t="s">
        <v>2377</v>
      </c>
      <c r="E1869" s="100" t="s">
        <v>2377</v>
      </c>
      <c r="F1869" s="50" t="s">
        <v>643</v>
      </c>
      <c r="G1869" s="32" t="s">
        <v>1395</v>
      </c>
      <c r="H1869" t="s">
        <v>3096</v>
      </c>
    </row>
    <row r="1870" spans="1:8">
      <c r="A1870" s="100">
        <v>70572</v>
      </c>
      <c r="B1870" s="100" t="s">
        <v>2597</v>
      </c>
      <c r="C1870" s="100" t="s">
        <v>1593</v>
      </c>
      <c r="D1870" s="100" t="s">
        <v>2378</v>
      </c>
      <c r="E1870" s="100" t="s">
        <v>2378</v>
      </c>
      <c r="F1870" s="50" t="s">
        <v>643</v>
      </c>
      <c r="G1870" s="32" t="s">
        <v>544</v>
      </c>
      <c r="H1870" t="s">
        <v>4720</v>
      </c>
    </row>
    <row r="1871" spans="1:8">
      <c r="A1871" s="100">
        <v>70573</v>
      </c>
      <c r="B1871" s="100" t="s">
        <v>2976</v>
      </c>
      <c r="C1871" s="100" t="s">
        <v>246</v>
      </c>
      <c r="D1871" s="100" t="s">
        <v>601</v>
      </c>
      <c r="E1871" s="100" t="s">
        <v>601</v>
      </c>
      <c r="F1871" s="50" t="s">
        <v>643</v>
      </c>
      <c r="G1871" s="32" t="s">
        <v>2064</v>
      </c>
      <c r="H1871" t="s">
        <v>3163</v>
      </c>
    </row>
    <row r="1872" spans="1:8">
      <c r="A1872" s="100">
        <v>70574</v>
      </c>
      <c r="B1872" s="100" t="s">
        <v>2977</v>
      </c>
      <c r="C1872" s="100" t="s">
        <v>640</v>
      </c>
      <c r="D1872" s="100" t="s">
        <v>1223</v>
      </c>
      <c r="E1872" s="100" t="s">
        <v>1223</v>
      </c>
      <c r="F1872" s="50" t="s">
        <v>643</v>
      </c>
      <c r="G1872" s="32" t="s">
        <v>1575</v>
      </c>
      <c r="H1872" t="s">
        <v>4721</v>
      </c>
    </row>
    <row r="1873" spans="1:8">
      <c r="A1873" s="100">
        <v>70575</v>
      </c>
      <c r="B1873" s="100" t="s">
        <v>562</v>
      </c>
      <c r="C1873" s="100" t="s">
        <v>635</v>
      </c>
      <c r="D1873" s="100" t="s">
        <v>1223</v>
      </c>
      <c r="E1873" s="100" t="s">
        <v>1223</v>
      </c>
      <c r="F1873" s="50" t="s">
        <v>643</v>
      </c>
      <c r="G1873" s="32" t="s">
        <v>1575</v>
      </c>
      <c r="H1873" t="s">
        <v>4722</v>
      </c>
    </row>
    <row r="1874" spans="1:8">
      <c r="A1874" s="100">
        <v>70576</v>
      </c>
      <c r="B1874" s="100" t="s">
        <v>3025</v>
      </c>
      <c r="C1874" s="100" t="s">
        <v>802</v>
      </c>
      <c r="D1874" s="100" t="s">
        <v>2378</v>
      </c>
      <c r="E1874" s="100" t="s">
        <v>2378</v>
      </c>
      <c r="F1874" s="50" t="s">
        <v>643</v>
      </c>
      <c r="G1874" s="32" t="s">
        <v>544</v>
      </c>
      <c r="H1874" t="s">
        <v>4723</v>
      </c>
    </row>
    <row r="1875" spans="1:8">
      <c r="A1875" s="100">
        <v>70577</v>
      </c>
      <c r="B1875" s="100" t="s">
        <v>3026</v>
      </c>
      <c r="C1875" s="100" t="s">
        <v>1593</v>
      </c>
      <c r="D1875" s="100" t="s">
        <v>1262</v>
      </c>
      <c r="E1875" s="100" t="s">
        <v>1262</v>
      </c>
      <c r="F1875" s="50" t="s">
        <v>643</v>
      </c>
      <c r="G1875" s="32" t="s">
        <v>1383</v>
      </c>
      <c r="H1875" t="s">
        <v>3411</v>
      </c>
    </row>
    <row r="1876" spans="1:8">
      <c r="A1876" s="100">
        <v>70578</v>
      </c>
      <c r="B1876" s="100" t="s">
        <v>3027</v>
      </c>
      <c r="C1876" s="100" t="s">
        <v>1172</v>
      </c>
      <c r="D1876" s="100" t="s">
        <v>881</v>
      </c>
      <c r="E1876" s="100" t="s">
        <v>881</v>
      </c>
      <c r="F1876" s="50" t="s">
        <v>643</v>
      </c>
      <c r="G1876" s="32" t="s">
        <v>1910</v>
      </c>
      <c r="H1876" t="s">
        <v>4724</v>
      </c>
    </row>
    <row r="1877" spans="1:8">
      <c r="A1877" s="100">
        <v>70580</v>
      </c>
      <c r="B1877" s="100" t="s">
        <v>3227</v>
      </c>
      <c r="C1877" s="100" t="s">
        <v>446</v>
      </c>
      <c r="D1877" s="100" t="s">
        <v>2325</v>
      </c>
      <c r="E1877" s="100" t="s">
        <v>2325</v>
      </c>
      <c r="F1877" s="50" t="s">
        <v>643</v>
      </c>
      <c r="G1877" s="32" t="s">
        <v>1912</v>
      </c>
      <c r="H1877" t="s">
        <v>4725</v>
      </c>
    </row>
    <row r="1878" spans="1:8">
      <c r="A1878" s="100">
        <v>70582</v>
      </c>
      <c r="B1878" s="100" t="s">
        <v>3169</v>
      </c>
      <c r="C1878" s="100" t="s">
        <v>79</v>
      </c>
      <c r="D1878" s="100" t="s">
        <v>507</v>
      </c>
      <c r="E1878" s="100" t="s">
        <v>507</v>
      </c>
      <c r="F1878" s="50" t="s">
        <v>643</v>
      </c>
      <c r="G1878" s="32" t="s">
        <v>1910</v>
      </c>
      <c r="H1878" t="s">
        <v>4726</v>
      </c>
    </row>
    <row r="1879" spans="1:8">
      <c r="A1879" s="100">
        <v>70583</v>
      </c>
      <c r="B1879" s="100" t="s">
        <v>3228</v>
      </c>
      <c r="C1879" s="100" t="s">
        <v>989</v>
      </c>
      <c r="D1879" s="100" t="s">
        <v>2377</v>
      </c>
      <c r="E1879" s="100" t="s">
        <v>2377</v>
      </c>
      <c r="F1879" s="50" t="s">
        <v>643</v>
      </c>
      <c r="G1879" s="32" t="s">
        <v>1395</v>
      </c>
      <c r="H1879" t="s">
        <v>4727</v>
      </c>
    </row>
    <row r="1880" spans="1:8">
      <c r="A1880" s="100">
        <v>70584</v>
      </c>
      <c r="B1880" s="100" t="s">
        <v>3178</v>
      </c>
      <c r="C1880" s="100" t="s">
        <v>867</v>
      </c>
      <c r="D1880" s="100" t="s">
        <v>1090</v>
      </c>
      <c r="E1880" s="100" t="s">
        <v>1090</v>
      </c>
      <c r="F1880" s="50" t="s">
        <v>643</v>
      </c>
      <c r="G1880" s="32" t="s">
        <v>3909</v>
      </c>
      <c r="H1880" t="s">
        <v>4728</v>
      </c>
    </row>
    <row r="1881" spans="1:8">
      <c r="A1881" s="100">
        <v>70585</v>
      </c>
      <c r="B1881" s="100" t="s">
        <v>3231</v>
      </c>
      <c r="C1881" s="100" t="s">
        <v>2219</v>
      </c>
      <c r="D1881" s="100" t="s">
        <v>2337</v>
      </c>
      <c r="E1881" s="100" t="s">
        <v>2337</v>
      </c>
      <c r="F1881" s="50" t="s">
        <v>643</v>
      </c>
      <c r="G1881" s="32" t="s">
        <v>2157</v>
      </c>
      <c r="H1881" t="s">
        <v>4729</v>
      </c>
    </row>
    <row r="1882" spans="1:8">
      <c r="A1882" s="100">
        <v>70586</v>
      </c>
      <c r="B1882" s="100" t="s">
        <v>3234</v>
      </c>
      <c r="C1882" s="100" t="s">
        <v>3235</v>
      </c>
      <c r="D1882" s="100" t="s">
        <v>2378</v>
      </c>
      <c r="E1882" s="100" t="s">
        <v>2378</v>
      </c>
      <c r="F1882" s="50" t="s">
        <v>643</v>
      </c>
      <c r="G1882" s="32" t="s">
        <v>544</v>
      </c>
      <c r="H1882" t="s">
        <v>4730</v>
      </c>
    </row>
    <row r="1883" spans="1:8">
      <c r="A1883" s="100">
        <v>70588</v>
      </c>
      <c r="B1883" s="100" t="s">
        <v>3222</v>
      </c>
      <c r="C1883" s="100" t="s">
        <v>642</v>
      </c>
      <c r="D1883" s="100" t="s">
        <v>2448</v>
      </c>
      <c r="E1883" s="100" t="s">
        <v>2448</v>
      </c>
      <c r="F1883" s="50" t="s">
        <v>643</v>
      </c>
      <c r="G1883" s="32" t="s">
        <v>1907</v>
      </c>
      <c r="H1883" t="s">
        <v>4731</v>
      </c>
    </row>
    <row r="1884" spans="1:8">
      <c r="A1884" s="100">
        <v>70589</v>
      </c>
      <c r="B1884" s="100" t="s">
        <v>3173</v>
      </c>
      <c r="C1884" s="100" t="s">
        <v>964</v>
      </c>
      <c r="D1884" s="100" t="s">
        <v>1214</v>
      </c>
      <c r="E1884" s="100" t="s">
        <v>1214</v>
      </c>
      <c r="F1884" s="50" t="s">
        <v>643</v>
      </c>
      <c r="G1884" s="32" t="s">
        <v>1379</v>
      </c>
      <c r="H1884" t="s">
        <v>3042</v>
      </c>
    </row>
    <row r="1885" spans="1:8">
      <c r="A1885" s="100">
        <v>70590</v>
      </c>
      <c r="B1885" s="100" t="s">
        <v>3175</v>
      </c>
      <c r="C1885" s="100" t="s">
        <v>640</v>
      </c>
      <c r="D1885" s="100" t="s">
        <v>1223</v>
      </c>
      <c r="E1885" s="100" t="s">
        <v>1223</v>
      </c>
      <c r="F1885" s="50" t="s">
        <v>643</v>
      </c>
      <c r="G1885" s="32" t="s">
        <v>1575</v>
      </c>
      <c r="H1885" t="s">
        <v>3041</v>
      </c>
    </row>
    <row r="1886" spans="1:8">
      <c r="A1886" s="100">
        <v>70591</v>
      </c>
      <c r="B1886" s="100" t="s">
        <v>3182</v>
      </c>
      <c r="C1886" s="100" t="s">
        <v>1414</v>
      </c>
      <c r="D1886" s="100" t="s">
        <v>503</v>
      </c>
      <c r="E1886" s="100" t="s">
        <v>503</v>
      </c>
      <c r="F1886" s="50" t="s">
        <v>643</v>
      </c>
      <c r="G1886" s="32" t="s">
        <v>1565</v>
      </c>
      <c r="H1886" t="s">
        <v>4732</v>
      </c>
    </row>
    <row r="1887" spans="1:8">
      <c r="A1887" s="100">
        <v>70592</v>
      </c>
      <c r="B1887" s="100" t="s">
        <v>3194</v>
      </c>
      <c r="C1887" s="100" t="s">
        <v>1246</v>
      </c>
      <c r="D1887" s="100" t="s">
        <v>318</v>
      </c>
      <c r="E1887" s="100" t="s">
        <v>318</v>
      </c>
      <c r="F1887" s="50" t="s">
        <v>643</v>
      </c>
      <c r="G1887" s="32" t="s">
        <v>2806</v>
      </c>
      <c r="H1887" t="s">
        <v>4733</v>
      </c>
    </row>
    <row r="1888" spans="1:8">
      <c r="A1888" s="100">
        <v>70593</v>
      </c>
      <c r="B1888" s="100" t="s">
        <v>3200</v>
      </c>
      <c r="C1888" s="100" t="s">
        <v>584</v>
      </c>
      <c r="D1888" s="100" t="s">
        <v>772</v>
      </c>
      <c r="E1888" s="100" t="s">
        <v>772</v>
      </c>
      <c r="F1888" s="50" t="s">
        <v>643</v>
      </c>
      <c r="G1888" s="32" t="s">
        <v>1389</v>
      </c>
      <c r="H1888" t="s">
        <v>4734</v>
      </c>
    </row>
    <row r="1889" spans="1:8">
      <c r="A1889" s="100">
        <v>70594</v>
      </c>
      <c r="B1889" s="100" t="s">
        <v>3199</v>
      </c>
      <c r="C1889" s="100" t="s">
        <v>2260</v>
      </c>
      <c r="D1889" s="100" t="s">
        <v>772</v>
      </c>
      <c r="E1889" s="100" t="s">
        <v>772</v>
      </c>
      <c r="F1889" s="50" t="s">
        <v>643</v>
      </c>
      <c r="G1889" s="32" t="s">
        <v>1389</v>
      </c>
      <c r="H1889" t="s">
        <v>4735</v>
      </c>
    </row>
    <row r="1890" spans="1:8">
      <c r="A1890" s="100">
        <v>70595</v>
      </c>
      <c r="B1890" s="100" t="s">
        <v>3198</v>
      </c>
      <c r="C1890" s="100" t="s">
        <v>194</v>
      </c>
      <c r="D1890" s="100" t="s">
        <v>772</v>
      </c>
      <c r="E1890" s="100" t="s">
        <v>772</v>
      </c>
      <c r="F1890" s="50" t="s">
        <v>643</v>
      </c>
      <c r="G1890" s="32" t="s">
        <v>1389</v>
      </c>
      <c r="H1890" t="s">
        <v>4736</v>
      </c>
    </row>
    <row r="1891" spans="1:8">
      <c r="A1891" s="100">
        <v>70597</v>
      </c>
      <c r="B1891" s="100" t="s">
        <v>1176</v>
      </c>
      <c r="C1891" s="100" t="s">
        <v>1099</v>
      </c>
      <c r="D1891" s="100" t="s">
        <v>596</v>
      </c>
      <c r="E1891" s="100" t="s">
        <v>596</v>
      </c>
      <c r="F1891" s="50" t="s">
        <v>643</v>
      </c>
      <c r="G1891" s="32" t="s">
        <v>2277</v>
      </c>
      <c r="H1891" t="s">
        <v>4737</v>
      </c>
    </row>
    <row r="1892" spans="1:8">
      <c r="A1892" s="100">
        <v>70598</v>
      </c>
      <c r="B1892" s="100" t="s">
        <v>3214</v>
      </c>
      <c r="C1892" s="100" t="s">
        <v>1490</v>
      </c>
      <c r="D1892" s="100" t="s">
        <v>1325</v>
      </c>
      <c r="E1892" s="100" t="s">
        <v>1325</v>
      </c>
      <c r="F1892" s="50" t="s">
        <v>643</v>
      </c>
      <c r="G1892" s="32" t="s">
        <v>2159</v>
      </c>
      <c r="H1892" t="s">
        <v>4738</v>
      </c>
    </row>
    <row r="1893" spans="1:8">
      <c r="A1893" s="100">
        <v>70601</v>
      </c>
      <c r="B1893" s="100" t="s">
        <v>3197</v>
      </c>
      <c r="C1893" s="100" t="s">
        <v>1593</v>
      </c>
      <c r="D1893" s="100" t="s">
        <v>1264</v>
      </c>
      <c r="E1893" s="100" t="s">
        <v>1264</v>
      </c>
      <c r="F1893" s="50" t="s">
        <v>643</v>
      </c>
      <c r="G1893" s="32" t="s">
        <v>3105</v>
      </c>
      <c r="H1893" t="s">
        <v>3237</v>
      </c>
    </row>
    <row r="1894" spans="1:8">
      <c r="A1894" s="100">
        <v>70602</v>
      </c>
      <c r="B1894" s="100" t="s">
        <v>662</v>
      </c>
      <c r="C1894" s="100" t="s">
        <v>2155</v>
      </c>
      <c r="D1894" s="100" t="s">
        <v>1264</v>
      </c>
      <c r="E1894" s="100" t="s">
        <v>1264</v>
      </c>
      <c r="F1894" s="50" t="s">
        <v>643</v>
      </c>
      <c r="G1894" s="32" t="s">
        <v>3105</v>
      </c>
      <c r="H1894" t="s">
        <v>4739</v>
      </c>
    </row>
    <row r="1895" spans="1:8">
      <c r="A1895" s="100">
        <v>70605</v>
      </c>
      <c r="B1895" s="100" t="s">
        <v>3212</v>
      </c>
      <c r="C1895" s="100" t="s">
        <v>477</v>
      </c>
      <c r="D1895" s="100" t="s">
        <v>178</v>
      </c>
      <c r="E1895" s="100" t="s">
        <v>178</v>
      </c>
      <c r="F1895" s="50" t="s">
        <v>643</v>
      </c>
      <c r="G1895" s="32" t="s">
        <v>1556</v>
      </c>
      <c r="H1895" t="s">
        <v>4740</v>
      </c>
    </row>
    <row r="1896" spans="1:8">
      <c r="A1896" s="100">
        <v>70606</v>
      </c>
      <c r="B1896" s="100" t="s">
        <v>3219</v>
      </c>
      <c r="C1896" s="100" t="s">
        <v>964</v>
      </c>
      <c r="D1896" s="100" t="s">
        <v>2323</v>
      </c>
      <c r="E1896" s="100" t="s">
        <v>2323</v>
      </c>
      <c r="F1896" s="50" t="s">
        <v>643</v>
      </c>
      <c r="G1896" s="32" t="s">
        <v>1904</v>
      </c>
      <c r="H1896" t="s">
        <v>3244</v>
      </c>
    </row>
    <row r="1897" spans="1:8">
      <c r="A1897" s="100">
        <v>70608</v>
      </c>
      <c r="B1897" s="100" t="s">
        <v>428</v>
      </c>
      <c r="C1897" s="100" t="s">
        <v>777</v>
      </c>
      <c r="D1897" s="100" t="s">
        <v>3317</v>
      </c>
      <c r="E1897" s="100" t="s">
        <v>3317</v>
      </c>
      <c r="F1897" s="50" t="s">
        <v>643</v>
      </c>
      <c r="G1897" s="32" t="s">
        <v>1909</v>
      </c>
      <c r="H1897" t="s">
        <v>3090</v>
      </c>
    </row>
    <row r="1898" spans="1:8">
      <c r="A1898" s="100">
        <v>70611</v>
      </c>
      <c r="B1898" s="100" t="s">
        <v>3170</v>
      </c>
      <c r="C1898" s="100" t="s">
        <v>802</v>
      </c>
      <c r="D1898" s="100" t="s">
        <v>515</v>
      </c>
      <c r="E1898" s="100" t="s">
        <v>515</v>
      </c>
      <c r="F1898" s="50" t="s">
        <v>643</v>
      </c>
      <c r="G1898" s="32" t="s">
        <v>1574</v>
      </c>
      <c r="H1898" t="s">
        <v>3059</v>
      </c>
    </row>
    <row r="1899" spans="1:8">
      <c r="A1899" s="100">
        <v>70612</v>
      </c>
      <c r="B1899" s="100" t="s">
        <v>3211</v>
      </c>
      <c r="C1899" s="100" t="s">
        <v>1197</v>
      </c>
      <c r="D1899" s="100" t="s">
        <v>596</v>
      </c>
      <c r="E1899" s="100" t="s">
        <v>596</v>
      </c>
      <c r="F1899" s="50" t="s">
        <v>643</v>
      </c>
      <c r="G1899" s="32" t="s">
        <v>2277</v>
      </c>
      <c r="H1899" t="s">
        <v>3240</v>
      </c>
    </row>
    <row r="1900" spans="1:8">
      <c r="A1900" s="100">
        <v>70613</v>
      </c>
      <c r="B1900" s="100" t="s">
        <v>3191</v>
      </c>
      <c r="C1900" s="100" t="s">
        <v>640</v>
      </c>
      <c r="D1900" s="100" t="s">
        <v>2086</v>
      </c>
      <c r="E1900" s="100" t="s">
        <v>2086</v>
      </c>
      <c r="F1900" s="50" t="s">
        <v>643</v>
      </c>
      <c r="G1900" s="32" t="s">
        <v>1569</v>
      </c>
      <c r="H1900" t="s">
        <v>4741</v>
      </c>
    </row>
    <row r="1901" spans="1:8">
      <c r="A1901" s="100">
        <v>70614</v>
      </c>
      <c r="B1901" s="100" t="s">
        <v>3230</v>
      </c>
      <c r="C1901" s="100" t="s">
        <v>553</v>
      </c>
      <c r="D1901" s="100" t="s">
        <v>2377</v>
      </c>
      <c r="E1901" s="100" t="s">
        <v>2377</v>
      </c>
      <c r="F1901" s="50" t="s">
        <v>643</v>
      </c>
      <c r="G1901" s="32" t="s">
        <v>1395</v>
      </c>
      <c r="H1901" t="s">
        <v>4742</v>
      </c>
    </row>
    <row r="1902" spans="1:8">
      <c r="A1902" s="100">
        <v>70615</v>
      </c>
      <c r="B1902" s="100" t="s">
        <v>3221</v>
      </c>
      <c r="C1902" s="100" t="s">
        <v>242</v>
      </c>
      <c r="D1902" s="100" t="s">
        <v>2323</v>
      </c>
      <c r="E1902" s="100" t="s">
        <v>2323</v>
      </c>
      <c r="F1902" s="50" t="s">
        <v>643</v>
      </c>
      <c r="G1902" s="32" t="s">
        <v>1904</v>
      </c>
      <c r="H1902" t="s">
        <v>4743</v>
      </c>
    </row>
    <row r="1903" spans="1:8">
      <c r="A1903" s="100">
        <v>70616</v>
      </c>
      <c r="B1903" s="100" t="s">
        <v>3184</v>
      </c>
      <c r="C1903" s="100" t="s">
        <v>1020</v>
      </c>
      <c r="D1903" s="100" t="s">
        <v>607</v>
      </c>
      <c r="E1903" s="100" t="s">
        <v>607</v>
      </c>
      <c r="F1903" s="50" t="s">
        <v>643</v>
      </c>
      <c r="G1903" s="32" t="s">
        <v>1877</v>
      </c>
      <c r="H1903" t="s">
        <v>3236</v>
      </c>
    </row>
    <row r="1904" spans="1:8">
      <c r="A1904" s="100">
        <v>70619</v>
      </c>
      <c r="B1904" s="100" t="s">
        <v>3226</v>
      </c>
      <c r="C1904" s="100" t="s">
        <v>197</v>
      </c>
      <c r="D1904" s="100" t="s">
        <v>2450</v>
      </c>
      <c r="E1904" s="100" t="s">
        <v>2450</v>
      </c>
      <c r="F1904" s="50" t="s">
        <v>643</v>
      </c>
      <c r="G1904" s="32" t="s">
        <v>1582</v>
      </c>
      <c r="H1904" t="s">
        <v>3391</v>
      </c>
    </row>
    <row r="1905" spans="1:8">
      <c r="A1905" s="100">
        <v>70620</v>
      </c>
      <c r="B1905" s="100" t="s">
        <v>3272</v>
      </c>
      <c r="C1905" s="100" t="s">
        <v>788</v>
      </c>
      <c r="D1905" s="100" t="s">
        <v>2323</v>
      </c>
      <c r="E1905" s="100" t="s">
        <v>2323</v>
      </c>
      <c r="F1905" s="50" t="s">
        <v>643</v>
      </c>
      <c r="G1905" s="32" t="s">
        <v>1904</v>
      </c>
      <c r="H1905" t="s">
        <v>4744</v>
      </c>
    </row>
    <row r="1906" spans="1:8">
      <c r="A1906" s="100">
        <v>70621</v>
      </c>
      <c r="B1906" s="100" t="s">
        <v>3218</v>
      </c>
      <c r="C1906" s="100" t="s">
        <v>159</v>
      </c>
      <c r="D1906" s="100" t="s">
        <v>1259</v>
      </c>
      <c r="E1906" s="100" t="s">
        <v>1259</v>
      </c>
      <c r="F1906" s="50" t="s">
        <v>643</v>
      </c>
      <c r="G1906" s="32" t="s">
        <v>1904</v>
      </c>
      <c r="H1906" t="s">
        <v>4745</v>
      </c>
    </row>
    <row r="1907" spans="1:8">
      <c r="A1907" s="100">
        <v>70622</v>
      </c>
      <c r="B1907" s="100" t="s">
        <v>3217</v>
      </c>
      <c r="C1907" s="100" t="s">
        <v>718</v>
      </c>
      <c r="D1907" s="100" t="s">
        <v>1259</v>
      </c>
      <c r="E1907" s="100" t="s">
        <v>1259</v>
      </c>
      <c r="F1907" s="50" t="s">
        <v>643</v>
      </c>
      <c r="G1907" s="32" t="s">
        <v>1900</v>
      </c>
      <c r="H1907" t="s">
        <v>4746</v>
      </c>
    </row>
    <row r="1908" spans="1:8">
      <c r="A1908" s="100">
        <v>70624</v>
      </c>
      <c r="B1908" s="100" t="s">
        <v>3273</v>
      </c>
      <c r="C1908" s="100" t="s">
        <v>759</v>
      </c>
      <c r="D1908" s="100" t="s">
        <v>503</v>
      </c>
      <c r="E1908" s="100" t="s">
        <v>503</v>
      </c>
      <c r="F1908" s="50" t="s">
        <v>643</v>
      </c>
      <c r="G1908" s="32" t="s">
        <v>1565</v>
      </c>
      <c r="H1908" t="s">
        <v>4747</v>
      </c>
    </row>
    <row r="1909" spans="1:8">
      <c r="A1909" s="100">
        <v>70625</v>
      </c>
      <c r="B1909" s="100" t="s">
        <v>136</v>
      </c>
      <c r="C1909" s="100" t="s">
        <v>1133</v>
      </c>
      <c r="D1909" s="100" t="s">
        <v>1452</v>
      </c>
      <c r="E1909" s="100" t="s">
        <v>1452</v>
      </c>
      <c r="F1909" s="50" t="s">
        <v>643</v>
      </c>
      <c r="G1909" s="32" t="s">
        <v>3514</v>
      </c>
      <c r="H1909" t="s">
        <v>4748</v>
      </c>
    </row>
    <row r="1910" spans="1:8">
      <c r="A1910" s="100">
        <v>70626</v>
      </c>
      <c r="B1910" s="100" t="s">
        <v>288</v>
      </c>
      <c r="C1910" s="100" t="s">
        <v>2975</v>
      </c>
      <c r="D1910" s="100" t="s">
        <v>2378</v>
      </c>
      <c r="E1910" s="100" t="s">
        <v>2378</v>
      </c>
      <c r="F1910" s="50" t="s">
        <v>643</v>
      </c>
      <c r="G1910" s="32" t="s">
        <v>544</v>
      </c>
      <c r="H1910" t="s">
        <v>4749</v>
      </c>
    </row>
    <row r="1911" spans="1:8">
      <c r="A1911" s="100">
        <v>70627</v>
      </c>
      <c r="B1911" s="100" t="s">
        <v>3274</v>
      </c>
      <c r="C1911" s="100" t="s">
        <v>190</v>
      </c>
      <c r="D1911" s="100" t="s">
        <v>772</v>
      </c>
      <c r="E1911" s="100" t="s">
        <v>772</v>
      </c>
      <c r="F1911" s="50" t="s">
        <v>643</v>
      </c>
      <c r="G1911" s="32" t="s">
        <v>1389</v>
      </c>
      <c r="H1911" t="s">
        <v>3363</v>
      </c>
    </row>
    <row r="1912" spans="1:8">
      <c r="A1912" s="100">
        <v>70628</v>
      </c>
      <c r="B1912" s="100" t="s">
        <v>3275</v>
      </c>
      <c r="C1912" s="100" t="s">
        <v>3276</v>
      </c>
      <c r="D1912" s="100" t="s">
        <v>772</v>
      </c>
      <c r="E1912" s="100" t="s">
        <v>772</v>
      </c>
      <c r="F1912" s="50" t="s">
        <v>643</v>
      </c>
      <c r="G1912" s="32" t="s">
        <v>1389</v>
      </c>
      <c r="H1912" t="s">
        <v>4750</v>
      </c>
    </row>
    <row r="1913" spans="1:8">
      <c r="A1913" s="100">
        <v>70629</v>
      </c>
      <c r="B1913" s="100" t="s">
        <v>3277</v>
      </c>
      <c r="C1913" s="100" t="s">
        <v>1099</v>
      </c>
      <c r="D1913" s="100" t="s">
        <v>2377</v>
      </c>
      <c r="E1913" s="100" t="s">
        <v>2377</v>
      </c>
      <c r="F1913" s="32" t="s">
        <v>643</v>
      </c>
      <c r="G1913" s="32" t="s">
        <v>1395</v>
      </c>
      <c r="H1913" t="s">
        <v>4751</v>
      </c>
    </row>
    <row r="1914" spans="1:8">
      <c r="A1914" s="100">
        <v>70630</v>
      </c>
      <c r="B1914" s="100" t="s">
        <v>181</v>
      </c>
      <c r="C1914" s="100" t="s">
        <v>3276</v>
      </c>
      <c r="D1914" s="100" t="s">
        <v>2337</v>
      </c>
      <c r="E1914" s="100" t="s">
        <v>2337</v>
      </c>
      <c r="F1914" s="32" t="s">
        <v>643</v>
      </c>
      <c r="G1914" s="32" t="s">
        <v>2157</v>
      </c>
      <c r="H1914" t="s">
        <v>4752</v>
      </c>
    </row>
    <row r="1915" spans="1:8">
      <c r="A1915" s="100">
        <v>70631</v>
      </c>
      <c r="B1915" s="100" t="s">
        <v>3278</v>
      </c>
      <c r="C1915" s="100" t="s">
        <v>188</v>
      </c>
      <c r="D1915" s="100" t="s">
        <v>2377</v>
      </c>
      <c r="E1915" s="100" t="s">
        <v>2377</v>
      </c>
      <c r="F1915" s="32" t="s">
        <v>643</v>
      </c>
      <c r="G1915" s="32" t="s">
        <v>1395</v>
      </c>
      <c r="H1915" t="s">
        <v>4753</v>
      </c>
    </row>
    <row r="1916" spans="1:8">
      <c r="A1916" s="100">
        <v>70632</v>
      </c>
      <c r="B1916" s="100" t="s">
        <v>3279</v>
      </c>
      <c r="C1916" s="100" t="s">
        <v>640</v>
      </c>
      <c r="D1916" s="100" t="s">
        <v>511</v>
      </c>
      <c r="E1916" s="100" t="s">
        <v>511</v>
      </c>
      <c r="F1916" s="32" t="s">
        <v>643</v>
      </c>
      <c r="G1916" s="32" t="s">
        <v>2472</v>
      </c>
      <c r="H1916" t="s">
        <v>3280</v>
      </c>
    </row>
    <row r="1917" spans="1:8">
      <c r="A1917" s="100">
        <v>70636</v>
      </c>
      <c r="B1917" s="100" t="s">
        <v>3320</v>
      </c>
      <c r="C1917" s="100" t="s">
        <v>928</v>
      </c>
      <c r="D1917" s="100" t="s">
        <v>2377</v>
      </c>
      <c r="E1917" s="100" t="s">
        <v>2377</v>
      </c>
      <c r="F1917" s="32" t="s">
        <v>643</v>
      </c>
      <c r="G1917" s="32" t="s">
        <v>1395</v>
      </c>
      <c r="H1917" t="s">
        <v>4754</v>
      </c>
    </row>
    <row r="1918" spans="1:8">
      <c r="A1918" s="100">
        <v>70637</v>
      </c>
      <c r="B1918" s="100" t="s">
        <v>2514</v>
      </c>
      <c r="C1918" s="100" t="s">
        <v>754</v>
      </c>
      <c r="D1918" s="100" t="s">
        <v>2378</v>
      </c>
      <c r="E1918" s="100" t="s">
        <v>2378</v>
      </c>
      <c r="F1918" s="32" t="s">
        <v>643</v>
      </c>
      <c r="G1918" s="32" t="s">
        <v>544</v>
      </c>
      <c r="H1918" t="s">
        <v>4755</v>
      </c>
    </row>
    <row r="1919" spans="1:8">
      <c r="A1919" s="100">
        <v>70639</v>
      </c>
      <c r="B1919" s="100" t="s">
        <v>720</v>
      </c>
      <c r="C1919" s="100" t="s">
        <v>640</v>
      </c>
      <c r="D1919" s="100" t="s">
        <v>1062</v>
      </c>
      <c r="E1919" s="100" t="s">
        <v>1062</v>
      </c>
      <c r="F1919" s="32" t="s">
        <v>643</v>
      </c>
      <c r="G1919" s="32" t="s">
        <v>1562</v>
      </c>
      <c r="H1919" t="s">
        <v>4756</v>
      </c>
    </row>
    <row r="1920" spans="1:8">
      <c r="A1920" s="100">
        <v>70640</v>
      </c>
      <c r="B1920" s="100" t="s">
        <v>2343</v>
      </c>
      <c r="C1920" s="100" t="s">
        <v>780</v>
      </c>
      <c r="D1920" s="100" t="s">
        <v>881</v>
      </c>
      <c r="E1920" s="100" t="s">
        <v>881</v>
      </c>
      <c r="F1920" s="32" t="s">
        <v>643</v>
      </c>
      <c r="G1920" s="32" t="s">
        <v>1910</v>
      </c>
      <c r="H1920" t="s">
        <v>4757</v>
      </c>
    </row>
    <row r="1921" spans="1:8">
      <c r="A1921" s="100">
        <v>70641</v>
      </c>
      <c r="B1921" s="100" t="s">
        <v>210</v>
      </c>
      <c r="C1921" s="100" t="s">
        <v>1172</v>
      </c>
      <c r="D1921" s="100" t="s">
        <v>2324</v>
      </c>
      <c r="E1921" s="100" t="s">
        <v>2324</v>
      </c>
      <c r="F1921" s="32" t="s">
        <v>643</v>
      </c>
      <c r="G1921" s="32" t="s">
        <v>2326</v>
      </c>
      <c r="H1921" t="s">
        <v>4758</v>
      </c>
    </row>
    <row r="1922" spans="1:8">
      <c r="A1922" s="100">
        <v>70642</v>
      </c>
      <c r="B1922" s="100" t="s">
        <v>674</v>
      </c>
      <c r="C1922" s="100" t="s">
        <v>263</v>
      </c>
      <c r="D1922" s="100" t="s">
        <v>507</v>
      </c>
      <c r="E1922" s="100" t="s">
        <v>507</v>
      </c>
      <c r="F1922" s="32" t="s">
        <v>643</v>
      </c>
      <c r="G1922" s="32" t="s">
        <v>1910</v>
      </c>
      <c r="H1922" t="s">
        <v>4759</v>
      </c>
    </row>
    <row r="1923" spans="1:8">
      <c r="A1923" s="100">
        <v>70644</v>
      </c>
      <c r="B1923" s="100" t="s">
        <v>1111</v>
      </c>
      <c r="C1923" s="100" t="s">
        <v>642</v>
      </c>
      <c r="D1923" s="100" t="s">
        <v>597</v>
      </c>
      <c r="E1923" s="100" t="s">
        <v>597</v>
      </c>
      <c r="F1923" s="32" t="s">
        <v>643</v>
      </c>
      <c r="G1923" s="32" t="s">
        <v>1902</v>
      </c>
      <c r="H1923" t="s">
        <v>5021</v>
      </c>
    </row>
    <row r="1924" spans="1:8">
      <c r="A1924" s="100">
        <v>70645</v>
      </c>
      <c r="B1924" s="100" t="s">
        <v>68</v>
      </c>
      <c r="C1924" s="100" t="s">
        <v>584</v>
      </c>
      <c r="D1924" s="100" t="s">
        <v>602</v>
      </c>
      <c r="E1924" s="100" t="s">
        <v>602</v>
      </c>
      <c r="F1924" s="32" t="s">
        <v>643</v>
      </c>
      <c r="G1924" s="32" t="s">
        <v>3588</v>
      </c>
      <c r="H1924" t="s">
        <v>3395</v>
      </c>
    </row>
    <row r="1925" spans="1:8">
      <c r="A1925" s="100">
        <v>70647</v>
      </c>
      <c r="B1925" s="100" t="s">
        <v>1243</v>
      </c>
      <c r="C1925" s="100" t="s">
        <v>77</v>
      </c>
      <c r="D1925" s="100" t="s">
        <v>3317</v>
      </c>
      <c r="E1925" s="100" t="s">
        <v>3317</v>
      </c>
      <c r="F1925" s="32" t="s">
        <v>643</v>
      </c>
      <c r="G1925" s="32" t="s">
        <v>1909</v>
      </c>
      <c r="H1925" t="s">
        <v>4760</v>
      </c>
    </row>
    <row r="1926" spans="1:8">
      <c r="A1926" s="100">
        <v>70649</v>
      </c>
      <c r="B1926" s="100" t="s">
        <v>3323</v>
      </c>
      <c r="C1926" s="100" t="s">
        <v>79</v>
      </c>
      <c r="D1926" s="100" t="s">
        <v>3317</v>
      </c>
      <c r="E1926" s="100" t="s">
        <v>3317</v>
      </c>
      <c r="F1926" s="32" t="s">
        <v>643</v>
      </c>
      <c r="G1926" s="32" t="s">
        <v>1909</v>
      </c>
      <c r="H1926" t="s">
        <v>4761</v>
      </c>
    </row>
    <row r="1927" spans="1:8">
      <c r="A1927" s="100">
        <v>70650</v>
      </c>
      <c r="B1927" s="100" t="s">
        <v>3324</v>
      </c>
      <c r="C1927" s="100" t="s">
        <v>1311</v>
      </c>
      <c r="D1927" s="100" t="s">
        <v>3317</v>
      </c>
      <c r="E1927" s="100" t="s">
        <v>3317</v>
      </c>
      <c r="F1927" s="32" t="s">
        <v>643</v>
      </c>
      <c r="G1927" s="32" t="s">
        <v>1909</v>
      </c>
      <c r="H1927" t="s">
        <v>4762</v>
      </c>
    </row>
    <row r="1928" spans="1:8">
      <c r="A1928" s="100">
        <v>70651</v>
      </c>
      <c r="B1928" s="100" t="s">
        <v>3325</v>
      </c>
      <c r="C1928" s="100" t="s">
        <v>336</v>
      </c>
      <c r="D1928" s="100" t="s">
        <v>3317</v>
      </c>
      <c r="E1928" s="100" t="s">
        <v>3317</v>
      </c>
      <c r="F1928" s="32" t="s">
        <v>643</v>
      </c>
      <c r="G1928" s="32" t="s">
        <v>1909</v>
      </c>
      <c r="H1928" t="s">
        <v>4763</v>
      </c>
    </row>
    <row r="1929" spans="1:8">
      <c r="A1929" s="100">
        <v>70652</v>
      </c>
      <c r="B1929" s="100" t="s">
        <v>4764</v>
      </c>
      <c r="C1929" s="100" t="s">
        <v>4765</v>
      </c>
      <c r="D1929" s="100" t="s">
        <v>1259</v>
      </c>
      <c r="E1929" s="100" t="s">
        <v>1259</v>
      </c>
      <c r="F1929" s="32" t="s">
        <v>643</v>
      </c>
      <c r="G1929" s="32" t="s">
        <v>1389</v>
      </c>
      <c r="H1929" t="s">
        <v>4766</v>
      </c>
    </row>
    <row r="1930" spans="1:8">
      <c r="A1930" s="100">
        <v>70653</v>
      </c>
      <c r="B1930" s="100" t="s">
        <v>4767</v>
      </c>
      <c r="C1930" s="100" t="s">
        <v>966</v>
      </c>
      <c r="D1930" s="100" t="s">
        <v>1259</v>
      </c>
      <c r="E1930" s="100" t="s">
        <v>1259</v>
      </c>
      <c r="F1930" s="32" t="s">
        <v>643</v>
      </c>
      <c r="G1930" s="32" t="s">
        <v>1902</v>
      </c>
      <c r="H1930" t="s">
        <v>4768</v>
      </c>
    </row>
    <row r="1931" spans="1:8">
      <c r="A1931" s="100">
        <v>70654</v>
      </c>
      <c r="B1931" s="100" t="s">
        <v>4769</v>
      </c>
      <c r="C1931" s="100" t="s">
        <v>4770</v>
      </c>
      <c r="D1931" s="100" t="s">
        <v>1259</v>
      </c>
      <c r="E1931" s="100" t="s">
        <v>1259</v>
      </c>
      <c r="F1931" s="32" t="s">
        <v>643</v>
      </c>
      <c r="H1931" t="s">
        <v>4771</v>
      </c>
    </row>
    <row r="1932" spans="1:8">
      <c r="A1932" s="100">
        <v>70655</v>
      </c>
      <c r="B1932" s="100" t="s">
        <v>4772</v>
      </c>
      <c r="C1932" s="100" t="s">
        <v>638</v>
      </c>
      <c r="D1932" s="100" t="s">
        <v>3317</v>
      </c>
      <c r="E1932" s="100" t="s">
        <v>3317</v>
      </c>
      <c r="F1932" s="32" t="s">
        <v>643</v>
      </c>
      <c r="G1932" s="32" t="s">
        <v>1909</v>
      </c>
      <c r="H1932" t="s">
        <v>4773</v>
      </c>
    </row>
    <row r="1933" spans="1:8">
      <c r="A1933" s="100">
        <v>70656</v>
      </c>
      <c r="B1933" s="100" t="s">
        <v>4774</v>
      </c>
      <c r="C1933" s="100" t="s">
        <v>261</v>
      </c>
      <c r="D1933" s="100" t="s">
        <v>3317</v>
      </c>
      <c r="E1933" s="100" t="s">
        <v>3317</v>
      </c>
      <c r="F1933" s="32" t="s">
        <v>643</v>
      </c>
      <c r="G1933" s="32" t="s">
        <v>1909</v>
      </c>
      <c r="H1933" t="s">
        <v>4775</v>
      </c>
    </row>
    <row r="1934" spans="1:8">
      <c r="A1934" s="100">
        <v>70657</v>
      </c>
      <c r="B1934" s="100" t="s">
        <v>4776</v>
      </c>
      <c r="C1934" s="100" t="s">
        <v>263</v>
      </c>
      <c r="D1934" s="100" t="s">
        <v>318</v>
      </c>
      <c r="E1934" s="100" t="s">
        <v>318</v>
      </c>
      <c r="F1934" s="32" t="s">
        <v>643</v>
      </c>
      <c r="G1934" s="32" t="s">
        <v>2806</v>
      </c>
      <c r="H1934" t="s">
        <v>4777</v>
      </c>
    </row>
    <row r="1935" spans="1:8">
      <c r="A1935" s="100">
        <v>70658</v>
      </c>
      <c r="B1935" s="100" t="s">
        <v>4778</v>
      </c>
      <c r="C1935" s="100" t="s">
        <v>1413</v>
      </c>
      <c r="D1935" s="100" t="s">
        <v>503</v>
      </c>
      <c r="E1935" s="100" t="s">
        <v>503</v>
      </c>
      <c r="F1935" s="32" t="s">
        <v>643</v>
      </c>
      <c r="G1935" s="32" t="s">
        <v>1565</v>
      </c>
      <c r="H1935" t="s">
        <v>4779</v>
      </c>
    </row>
    <row r="1936" spans="1:8">
      <c r="A1936" s="100">
        <v>70659</v>
      </c>
      <c r="B1936" s="100" t="s">
        <v>4780</v>
      </c>
      <c r="C1936" s="100" t="s">
        <v>1246</v>
      </c>
      <c r="D1936" s="100" t="s">
        <v>503</v>
      </c>
      <c r="E1936" s="100" t="s">
        <v>503</v>
      </c>
      <c r="F1936" s="32" t="s">
        <v>643</v>
      </c>
      <c r="G1936" s="32" t="s">
        <v>1565</v>
      </c>
      <c r="H1936" t="s">
        <v>4781</v>
      </c>
    </row>
    <row r="1937" spans="1:8">
      <c r="A1937" s="100">
        <v>70661</v>
      </c>
      <c r="B1937" s="100" t="s">
        <v>2300</v>
      </c>
      <c r="C1937" s="100" t="s">
        <v>336</v>
      </c>
      <c r="D1937" s="100" t="s">
        <v>1063</v>
      </c>
      <c r="E1937" s="100" t="s">
        <v>1063</v>
      </c>
      <c r="F1937" s="32" t="s">
        <v>643</v>
      </c>
      <c r="G1937" s="32" t="s">
        <v>1551</v>
      </c>
      <c r="H1937" t="s">
        <v>4782</v>
      </c>
    </row>
    <row r="1938" spans="1:8">
      <c r="A1938" s="100">
        <v>70662</v>
      </c>
      <c r="B1938" s="100" t="s">
        <v>4783</v>
      </c>
      <c r="C1938" s="100" t="s">
        <v>778</v>
      </c>
      <c r="D1938" s="100" t="s">
        <v>438</v>
      </c>
      <c r="E1938" s="100" t="s">
        <v>438</v>
      </c>
      <c r="F1938" s="32" t="s">
        <v>643</v>
      </c>
      <c r="G1938" s="32" t="s">
        <v>1391</v>
      </c>
      <c r="H1938" t="s">
        <v>4784</v>
      </c>
    </row>
    <row r="1939" spans="1:8">
      <c r="A1939" s="100">
        <v>70663</v>
      </c>
      <c r="B1939" s="100" t="s">
        <v>4785</v>
      </c>
      <c r="C1939" s="100" t="s">
        <v>1413</v>
      </c>
      <c r="D1939" s="100" t="s">
        <v>318</v>
      </c>
      <c r="E1939" s="100" t="s">
        <v>318</v>
      </c>
      <c r="F1939" s="32" t="s">
        <v>643</v>
      </c>
      <c r="G1939" s="32" t="s">
        <v>2806</v>
      </c>
      <c r="H1939" t="s">
        <v>4786</v>
      </c>
    </row>
    <row r="1940" spans="1:8">
      <c r="A1940" s="100">
        <v>70664</v>
      </c>
      <c r="B1940" s="100" t="s">
        <v>3321</v>
      </c>
      <c r="C1940" s="100" t="s">
        <v>3322</v>
      </c>
      <c r="D1940" s="100" t="s">
        <v>2668</v>
      </c>
      <c r="E1940" s="100" t="s">
        <v>2668</v>
      </c>
      <c r="F1940" s="32" t="s">
        <v>643</v>
      </c>
      <c r="G1940" s="32" t="s">
        <v>1918</v>
      </c>
      <c r="H1940" t="s">
        <v>4787</v>
      </c>
    </row>
    <row r="1941" spans="1:8">
      <c r="A1941" s="100">
        <v>70665</v>
      </c>
      <c r="B1941" s="100" t="s">
        <v>943</v>
      </c>
      <c r="C1941" s="100" t="s">
        <v>1413</v>
      </c>
      <c r="D1941" s="100" t="s">
        <v>452</v>
      </c>
      <c r="E1941" s="100" t="s">
        <v>452</v>
      </c>
      <c r="F1941" s="32" t="s">
        <v>643</v>
      </c>
      <c r="G1941" s="32" t="s">
        <v>346</v>
      </c>
      <c r="H1941" t="s">
        <v>4788</v>
      </c>
    </row>
    <row r="1942" spans="1:8">
      <c r="A1942" s="100">
        <v>70666</v>
      </c>
      <c r="B1942" s="100" t="s">
        <v>4789</v>
      </c>
      <c r="C1942" s="100" t="s">
        <v>802</v>
      </c>
      <c r="D1942" s="100" t="s">
        <v>1262</v>
      </c>
      <c r="E1942" s="100" t="s">
        <v>1262</v>
      </c>
      <c r="F1942" s="32" t="s">
        <v>643</v>
      </c>
      <c r="G1942" s="32" t="s">
        <v>1383</v>
      </c>
      <c r="H1942" t="s">
        <v>4790</v>
      </c>
    </row>
    <row r="1943" spans="1:8">
      <c r="A1943" s="100">
        <v>70667</v>
      </c>
      <c r="B1943" s="100" t="s">
        <v>4791</v>
      </c>
      <c r="C1943" s="100" t="s">
        <v>4792</v>
      </c>
      <c r="D1943" s="100" t="s">
        <v>208</v>
      </c>
      <c r="E1943" s="100" t="s">
        <v>208</v>
      </c>
      <c r="F1943" s="32" t="s">
        <v>643</v>
      </c>
      <c r="G1943" s="32" t="s">
        <v>3514</v>
      </c>
      <c r="H1943" t="s">
        <v>4793</v>
      </c>
    </row>
    <row r="1944" spans="1:8">
      <c r="A1944" s="100">
        <v>70668</v>
      </c>
      <c r="B1944" s="100" t="s">
        <v>4791</v>
      </c>
      <c r="C1944" s="100" t="s">
        <v>4794</v>
      </c>
      <c r="D1944" s="100" t="s">
        <v>208</v>
      </c>
      <c r="E1944" s="100" t="s">
        <v>208</v>
      </c>
      <c r="F1944" s="32" t="s">
        <v>643</v>
      </c>
      <c r="G1944" s="32" t="s">
        <v>3514</v>
      </c>
      <c r="H1944" t="s">
        <v>4795</v>
      </c>
    </row>
    <row r="1945" spans="1:8">
      <c r="A1945" s="100">
        <v>70670</v>
      </c>
      <c r="B1945" s="100" t="s">
        <v>4797</v>
      </c>
      <c r="C1945" s="100" t="s">
        <v>4798</v>
      </c>
      <c r="D1945" s="100" t="s">
        <v>602</v>
      </c>
      <c r="E1945" s="100" t="s">
        <v>602</v>
      </c>
      <c r="F1945" s="32" t="s">
        <v>643</v>
      </c>
      <c r="G1945" s="32" t="s">
        <v>3588</v>
      </c>
      <c r="H1945" t="s">
        <v>4799</v>
      </c>
    </row>
    <row r="1946" spans="1:8">
      <c r="A1946" s="100">
        <v>70671</v>
      </c>
      <c r="B1946" s="100" t="s">
        <v>4797</v>
      </c>
      <c r="C1946" s="100" t="s">
        <v>4800</v>
      </c>
      <c r="D1946" s="100" t="s">
        <v>1483</v>
      </c>
      <c r="E1946" s="100" t="s">
        <v>1483</v>
      </c>
      <c r="F1946" s="32" t="s">
        <v>643</v>
      </c>
      <c r="G1946" s="32" t="s">
        <v>2406</v>
      </c>
      <c r="H1946" t="s">
        <v>4801</v>
      </c>
    </row>
    <row r="1947" spans="1:8">
      <c r="A1947" s="100">
        <v>70672</v>
      </c>
      <c r="B1947" s="100" t="s">
        <v>4964</v>
      </c>
      <c r="C1947" s="100" t="s">
        <v>4792</v>
      </c>
      <c r="D1947" s="100" t="s">
        <v>1081</v>
      </c>
      <c r="E1947" s="100" t="s">
        <v>1081</v>
      </c>
      <c r="F1947" s="32" t="s">
        <v>643</v>
      </c>
      <c r="G1947" s="32" t="s">
        <v>2547</v>
      </c>
      <c r="H1947" t="s">
        <v>5022</v>
      </c>
    </row>
    <row r="1948" spans="1:8">
      <c r="A1948" s="100">
        <v>70673</v>
      </c>
      <c r="B1948" s="100" t="s">
        <v>4802</v>
      </c>
      <c r="C1948" s="100" t="s">
        <v>4794</v>
      </c>
      <c r="D1948" s="100" t="s">
        <v>1264</v>
      </c>
      <c r="E1948" s="100" t="s">
        <v>1264</v>
      </c>
      <c r="F1948" s="32" t="s">
        <v>643</v>
      </c>
      <c r="G1948" s="32" t="s">
        <v>3105</v>
      </c>
      <c r="H1948" t="s">
        <v>4803</v>
      </c>
    </row>
    <row r="1949" spans="1:8">
      <c r="A1949" s="100">
        <v>70674</v>
      </c>
      <c r="B1949" s="100" t="s">
        <v>4804</v>
      </c>
      <c r="C1949" s="100" t="s">
        <v>4805</v>
      </c>
      <c r="D1949" s="100" t="s">
        <v>683</v>
      </c>
      <c r="E1949" s="100" t="s">
        <v>683</v>
      </c>
      <c r="F1949" s="32" t="s">
        <v>643</v>
      </c>
      <c r="G1949" s="32" t="s">
        <v>1900</v>
      </c>
      <c r="H1949" t="s">
        <v>4806</v>
      </c>
    </row>
    <row r="1950" spans="1:8">
      <c r="A1950" s="100">
        <v>70675</v>
      </c>
      <c r="B1950" s="100" t="s">
        <v>4807</v>
      </c>
      <c r="C1950" s="100" t="s">
        <v>4808</v>
      </c>
      <c r="D1950" s="100" t="s">
        <v>772</v>
      </c>
      <c r="E1950" s="100" t="s">
        <v>772</v>
      </c>
      <c r="F1950" s="32" t="s">
        <v>643</v>
      </c>
      <c r="G1950" s="32" t="s">
        <v>1389</v>
      </c>
      <c r="H1950" t="s">
        <v>4809</v>
      </c>
    </row>
    <row r="1951" spans="1:8">
      <c r="A1951" s="100">
        <v>70676</v>
      </c>
      <c r="B1951" s="100" t="s">
        <v>4810</v>
      </c>
      <c r="C1951" s="100" t="s">
        <v>4798</v>
      </c>
      <c r="D1951" s="100" t="s">
        <v>597</v>
      </c>
      <c r="E1951" s="100" t="s">
        <v>597</v>
      </c>
      <c r="F1951" s="32" t="s">
        <v>643</v>
      </c>
      <c r="G1951" s="32" t="s">
        <v>1902</v>
      </c>
      <c r="H1951" t="s">
        <v>4811</v>
      </c>
    </row>
    <row r="1952" spans="1:8">
      <c r="A1952" s="100">
        <v>70677</v>
      </c>
      <c r="B1952" s="100" t="s">
        <v>4812</v>
      </c>
      <c r="C1952" s="100" t="s">
        <v>788</v>
      </c>
      <c r="D1952" s="100" t="s">
        <v>2073</v>
      </c>
      <c r="E1952" s="100" t="s">
        <v>2073</v>
      </c>
      <c r="F1952" s="32" t="s">
        <v>643</v>
      </c>
      <c r="G1952" s="32" t="s">
        <v>2471</v>
      </c>
      <c r="H1952" t="s">
        <v>4813</v>
      </c>
    </row>
    <row r="1953" spans="1:8">
      <c r="A1953" s="100">
        <v>70678</v>
      </c>
      <c r="B1953" s="100" t="s">
        <v>4814</v>
      </c>
      <c r="C1953" s="100" t="s">
        <v>163</v>
      </c>
      <c r="D1953" s="100" t="s">
        <v>2448</v>
      </c>
      <c r="E1953" s="100" t="s">
        <v>2448</v>
      </c>
      <c r="F1953" s="32" t="s">
        <v>643</v>
      </c>
      <c r="G1953" s="32" t="s">
        <v>1907</v>
      </c>
      <c r="H1953" t="s">
        <v>4815</v>
      </c>
    </row>
    <row r="1954" spans="1:8">
      <c r="A1954" s="100">
        <v>70679</v>
      </c>
      <c r="B1954" s="100" t="s">
        <v>1460</v>
      </c>
      <c r="C1954" s="100" t="s">
        <v>759</v>
      </c>
      <c r="D1954" s="100" t="s">
        <v>2449</v>
      </c>
      <c r="E1954" s="100" t="s">
        <v>2449</v>
      </c>
      <c r="F1954" s="32" t="s">
        <v>643</v>
      </c>
      <c r="G1954" s="32" t="s">
        <v>340</v>
      </c>
      <c r="H1954" t="s">
        <v>4816</v>
      </c>
    </row>
    <row r="1955" spans="1:8">
      <c r="A1955" s="100">
        <v>70680</v>
      </c>
      <c r="B1955" s="100" t="s">
        <v>4817</v>
      </c>
      <c r="C1955" s="100" t="s">
        <v>1414</v>
      </c>
      <c r="D1955" s="100" t="s">
        <v>2069</v>
      </c>
      <c r="E1955" s="100" t="s">
        <v>2069</v>
      </c>
      <c r="F1955" s="32" t="s">
        <v>643</v>
      </c>
      <c r="G1955" s="32" t="s">
        <v>528</v>
      </c>
      <c r="H1955" t="s">
        <v>4818</v>
      </c>
    </row>
    <row r="1956" spans="1:8">
      <c r="A1956" s="100">
        <v>70681</v>
      </c>
      <c r="B1956" s="100" t="s">
        <v>4819</v>
      </c>
      <c r="C1956" s="100" t="s">
        <v>3233</v>
      </c>
      <c r="D1956" s="100" t="s">
        <v>2377</v>
      </c>
      <c r="E1956" s="100" t="s">
        <v>2377</v>
      </c>
      <c r="F1956" s="32" t="s">
        <v>643</v>
      </c>
      <c r="G1956" s="32" t="s">
        <v>1395</v>
      </c>
      <c r="H1956" t="s">
        <v>4820</v>
      </c>
    </row>
    <row r="1957" spans="1:8">
      <c r="A1957" s="100">
        <v>70682</v>
      </c>
      <c r="B1957" s="100" t="s">
        <v>4821</v>
      </c>
      <c r="C1957" s="100" t="s">
        <v>2598</v>
      </c>
      <c r="D1957" s="100" t="s">
        <v>2377</v>
      </c>
      <c r="E1957" s="100" t="s">
        <v>2377</v>
      </c>
      <c r="F1957" s="32" t="s">
        <v>643</v>
      </c>
      <c r="G1957" s="32" t="s">
        <v>1395</v>
      </c>
      <c r="H1957" t="s">
        <v>4822</v>
      </c>
    </row>
    <row r="1958" spans="1:8">
      <c r="A1958" s="100">
        <v>70683</v>
      </c>
      <c r="B1958" s="100" t="s">
        <v>4823</v>
      </c>
      <c r="C1958" s="100" t="s">
        <v>553</v>
      </c>
      <c r="D1958" s="100" t="s">
        <v>2377</v>
      </c>
      <c r="E1958" s="100" t="s">
        <v>2377</v>
      </c>
      <c r="F1958" s="32" t="s">
        <v>643</v>
      </c>
      <c r="G1958" s="32" t="s">
        <v>1395</v>
      </c>
      <c r="H1958" t="s">
        <v>4824</v>
      </c>
    </row>
    <row r="1959" spans="1:8">
      <c r="A1959" s="100">
        <v>70684</v>
      </c>
      <c r="B1959" s="100" t="s">
        <v>1465</v>
      </c>
      <c r="C1959" s="100" t="s">
        <v>989</v>
      </c>
      <c r="D1959" s="100" t="s">
        <v>2337</v>
      </c>
      <c r="E1959" s="100" t="s">
        <v>2337</v>
      </c>
      <c r="F1959" s="32" t="s">
        <v>643</v>
      </c>
      <c r="G1959" s="32" t="s">
        <v>2157</v>
      </c>
      <c r="H1959" t="s">
        <v>4825</v>
      </c>
    </row>
    <row r="1960" spans="1:8">
      <c r="A1960" s="100">
        <v>70685</v>
      </c>
      <c r="B1960" s="100" t="s">
        <v>4826</v>
      </c>
      <c r="C1960" s="100" t="s">
        <v>966</v>
      </c>
      <c r="D1960" s="100" t="s">
        <v>1452</v>
      </c>
      <c r="E1960" s="100" t="s">
        <v>1452</v>
      </c>
      <c r="F1960" s="32" t="s">
        <v>643</v>
      </c>
      <c r="G1960" s="32" t="s">
        <v>3514</v>
      </c>
      <c r="H1960" t="s">
        <v>4827</v>
      </c>
    </row>
    <row r="1961" spans="1:8">
      <c r="A1961" s="100">
        <v>70686</v>
      </c>
      <c r="B1961" s="100" t="s">
        <v>4828</v>
      </c>
      <c r="C1961" s="100" t="s">
        <v>4829</v>
      </c>
      <c r="D1961" s="100" t="s">
        <v>772</v>
      </c>
      <c r="E1961" s="100" t="s">
        <v>772</v>
      </c>
      <c r="F1961" s="32" t="s">
        <v>643</v>
      </c>
      <c r="G1961" s="32" t="s">
        <v>1389</v>
      </c>
      <c r="H1961" t="s">
        <v>4830</v>
      </c>
    </row>
    <row r="1962" spans="1:8">
      <c r="A1962" s="100">
        <v>70687</v>
      </c>
      <c r="B1962" s="100" t="s">
        <v>4831</v>
      </c>
      <c r="C1962" s="100" t="s">
        <v>4832</v>
      </c>
      <c r="D1962" s="100" t="s">
        <v>318</v>
      </c>
      <c r="E1962" s="100" t="s">
        <v>318</v>
      </c>
      <c r="F1962" s="32" t="s">
        <v>643</v>
      </c>
      <c r="G1962" s="32" t="s">
        <v>2806</v>
      </c>
      <c r="H1962" t="s">
        <v>4833</v>
      </c>
    </row>
    <row r="1963" spans="1:8">
      <c r="A1963" s="100">
        <v>70688</v>
      </c>
      <c r="B1963" s="100" t="s">
        <v>4834</v>
      </c>
      <c r="C1963" s="100" t="s">
        <v>4835</v>
      </c>
      <c r="D1963" s="100" t="s">
        <v>1452</v>
      </c>
      <c r="E1963" s="100" t="s">
        <v>1452</v>
      </c>
      <c r="F1963" s="32" t="s">
        <v>643</v>
      </c>
      <c r="G1963" s="32" t="s">
        <v>3514</v>
      </c>
      <c r="H1963" t="s">
        <v>4836</v>
      </c>
    </row>
    <row r="1964" spans="1:8">
      <c r="A1964" s="100">
        <v>70689</v>
      </c>
      <c r="B1964" s="100" t="s">
        <v>4837</v>
      </c>
      <c r="C1964" s="100" t="s">
        <v>4838</v>
      </c>
      <c r="D1964" s="100" t="s">
        <v>1090</v>
      </c>
      <c r="E1964" s="100" t="s">
        <v>1090</v>
      </c>
      <c r="F1964" s="32" t="s">
        <v>643</v>
      </c>
      <c r="G1964" s="32" t="s">
        <v>3909</v>
      </c>
      <c r="H1964" t="s">
        <v>4839</v>
      </c>
    </row>
    <row r="1965" spans="1:8">
      <c r="A1965" s="100">
        <v>70690</v>
      </c>
      <c r="B1965" s="100" t="s">
        <v>4840</v>
      </c>
      <c r="C1965" s="100" t="s">
        <v>4841</v>
      </c>
      <c r="D1965" s="100" t="s">
        <v>178</v>
      </c>
      <c r="E1965" s="100" t="s">
        <v>178</v>
      </c>
      <c r="F1965" s="32" t="s">
        <v>643</v>
      </c>
      <c r="G1965" s="32" t="s">
        <v>1556</v>
      </c>
      <c r="H1965" t="s">
        <v>4842</v>
      </c>
    </row>
    <row r="1966" spans="1:8">
      <c r="A1966" s="100">
        <v>70691</v>
      </c>
      <c r="B1966" s="100" t="s">
        <v>4843</v>
      </c>
      <c r="C1966" s="100" t="s">
        <v>3322</v>
      </c>
      <c r="D1966" s="100" t="s">
        <v>1262</v>
      </c>
      <c r="E1966" s="100" t="s">
        <v>1262</v>
      </c>
      <c r="F1966" s="32" t="s">
        <v>643</v>
      </c>
      <c r="G1966" s="32" t="s">
        <v>1383</v>
      </c>
      <c r="H1966" t="s">
        <v>4844</v>
      </c>
    </row>
    <row r="1967" spans="1:8">
      <c r="A1967" s="100">
        <v>70692</v>
      </c>
      <c r="B1967" s="100" t="s">
        <v>4845</v>
      </c>
      <c r="C1967" s="100" t="s">
        <v>4846</v>
      </c>
      <c r="D1967" s="100" t="s">
        <v>503</v>
      </c>
      <c r="E1967" s="100" t="s">
        <v>503</v>
      </c>
      <c r="F1967" s="32" t="s">
        <v>643</v>
      </c>
      <c r="G1967" s="32" t="s">
        <v>1565</v>
      </c>
      <c r="H1967" t="s">
        <v>4847</v>
      </c>
    </row>
    <row r="1968" spans="1:8">
      <c r="A1968" s="100">
        <v>70693</v>
      </c>
      <c r="B1968" s="100" t="s">
        <v>4848</v>
      </c>
      <c r="C1968" s="100" t="s">
        <v>4849</v>
      </c>
      <c r="D1968" s="100" t="s">
        <v>595</v>
      </c>
      <c r="E1968" s="100" t="s">
        <v>595</v>
      </c>
      <c r="F1968" s="32" t="s">
        <v>643</v>
      </c>
      <c r="G1968" s="32" t="s">
        <v>1906</v>
      </c>
      <c r="H1968" t="s">
        <v>4850</v>
      </c>
    </row>
    <row r="1969" spans="1:8">
      <c r="A1969" s="100">
        <v>70694</v>
      </c>
      <c r="B1969" s="100" t="s">
        <v>4851</v>
      </c>
      <c r="C1969" s="100" t="s">
        <v>1413</v>
      </c>
      <c r="D1969" s="100" t="s">
        <v>685</v>
      </c>
      <c r="E1969" s="100" t="s">
        <v>685</v>
      </c>
      <c r="F1969" s="32" t="s">
        <v>643</v>
      </c>
      <c r="G1969" s="32" t="s">
        <v>1559</v>
      </c>
      <c r="H1969" t="s">
        <v>4852</v>
      </c>
    </row>
    <row r="1970" spans="1:8">
      <c r="A1970" s="100">
        <v>70695</v>
      </c>
      <c r="B1970" s="100" t="s">
        <v>3188</v>
      </c>
      <c r="C1970" s="100" t="s">
        <v>584</v>
      </c>
      <c r="D1970" s="100" t="s">
        <v>2073</v>
      </c>
      <c r="E1970" s="100" t="s">
        <v>2073</v>
      </c>
      <c r="F1970" s="32" t="s">
        <v>643</v>
      </c>
      <c r="G1970" s="32" t="s">
        <v>2471</v>
      </c>
      <c r="H1970" t="s">
        <v>4853</v>
      </c>
    </row>
    <row r="1971" spans="1:8">
      <c r="A1971" s="100">
        <v>70696</v>
      </c>
      <c r="B1971" s="100" t="s">
        <v>4854</v>
      </c>
      <c r="C1971" s="100" t="s">
        <v>4855</v>
      </c>
      <c r="D1971" s="100" t="s">
        <v>2448</v>
      </c>
      <c r="E1971" s="100" t="s">
        <v>2448</v>
      </c>
      <c r="F1971" s="32" t="s">
        <v>643</v>
      </c>
      <c r="G1971" s="32" t="s">
        <v>1907</v>
      </c>
      <c r="H1971" t="s">
        <v>4856</v>
      </c>
    </row>
    <row r="1972" spans="1:8">
      <c r="A1972" s="100">
        <v>70698</v>
      </c>
      <c r="B1972" s="100" t="s">
        <v>4857</v>
      </c>
      <c r="C1972" s="100" t="s">
        <v>1527</v>
      </c>
      <c r="D1972" s="100" t="s">
        <v>2377</v>
      </c>
      <c r="E1972" s="100" t="s">
        <v>2377</v>
      </c>
      <c r="F1972" s="32" t="s">
        <v>643</v>
      </c>
      <c r="G1972" s="32" t="s">
        <v>1395</v>
      </c>
      <c r="H1972" t="s">
        <v>4858</v>
      </c>
    </row>
    <row r="1973" spans="1:8">
      <c r="A1973" s="100">
        <v>70699</v>
      </c>
      <c r="B1973" s="100" t="s">
        <v>4859</v>
      </c>
      <c r="C1973" s="100" t="s">
        <v>802</v>
      </c>
      <c r="D1973" s="100" t="s">
        <v>2337</v>
      </c>
      <c r="E1973" s="100" t="s">
        <v>2337</v>
      </c>
      <c r="F1973" s="32" t="s">
        <v>643</v>
      </c>
      <c r="G1973" s="32" t="s">
        <v>2157</v>
      </c>
      <c r="H1973" t="s">
        <v>4860</v>
      </c>
    </row>
    <row r="1974" spans="1:8">
      <c r="A1974" s="100">
        <v>70700</v>
      </c>
      <c r="B1974" s="100" t="s">
        <v>312</v>
      </c>
      <c r="C1974" s="100" t="s">
        <v>370</v>
      </c>
      <c r="D1974" s="100" t="s">
        <v>2337</v>
      </c>
      <c r="E1974" s="100" t="s">
        <v>2337</v>
      </c>
      <c r="F1974" s="32" t="s">
        <v>643</v>
      </c>
      <c r="G1974" s="32" t="s">
        <v>2157</v>
      </c>
      <c r="H1974" t="s">
        <v>4861</v>
      </c>
    </row>
    <row r="1975" spans="1:8">
      <c r="A1975" s="100">
        <v>70701</v>
      </c>
      <c r="B1975" s="100" t="s">
        <v>4862</v>
      </c>
      <c r="C1975" s="100" t="s">
        <v>1413</v>
      </c>
      <c r="D1975" s="100" t="s">
        <v>2765</v>
      </c>
      <c r="E1975" s="100" t="s">
        <v>2765</v>
      </c>
      <c r="F1975" s="32" t="s">
        <v>643</v>
      </c>
      <c r="G1975" s="32" t="s">
        <v>1380</v>
      </c>
      <c r="H1975" t="s">
        <v>4863</v>
      </c>
    </row>
    <row r="1976" spans="1:8">
      <c r="A1976" s="100">
        <v>70702</v>
      </c>
      <c r="B1976" s="100" t="s">
        <v>4864</v>
      </c>
      <c r="C1976" s="100" t="s">
        <v>1364</v>
      </c>
      <c r="D1976" s="100" t="s">
        <v>1262</v>
      </c>
      <c r="E1976" s="100" t="s">
        <v>1262</v>
      </c>
      <c r="F1976" s="32" t="s">
        <v>643</v>
      </c>
      <c r="G1976" s="32" t="s">
        <v>1383</v>
      </c>
      <c r="H1976" t="s">
        <v>4865</v>
      </c>
    </row>
    <row r="1977" spans="1:8">
      <c r="A1977" s="100">
        <v>70703</v>
      </c>
      <c r="B1977" s="100" t="s">
        <v>4866</v>
      </c>
      <c r="C1977" s="100" t="s">
        <v>966</v>
      </c>
      <c r="D1977" s="100" t="s">
        <v>2072</v>
      </c>
      <c r="E1977" s="100" t="s">
        <v>2072</v>
      </c>
      <c r="F1977" s="32" t="s">
        <v>643</v>
      </c>
      <c r="G1977" s="32" t="s">
        <v>1398</v>
      </c>
      <c r="H1977" t="s">
        <v>4867</v>
      </c>
    </row>
    <row r="1978" spans="1:8">
      <c r="A1978" s="100">
        <v>70704</v>
      </c>
      <c r="B1978" s="100" t="s">
        <v>4868</v>
      </c>
      <c r="C1978" s="100" t="s">
        <v>4869</v>
      </c>
      <c r="D1978" s="100" t="s">
        <v>596</v>
      </c>
      <c r="E1978" s="100" t="s">
        <v>596</v>
      </c>
      <c r="F1978" s="32" t="s">
        <v>643</v>
      </c>
      <c r="G1978" s="32" t="s">
        <v>2277</v>
      </c>
      <c r="H1978" t="s">
        <v>4870</v>
      </c>
    </row>
    <row r="1979" spans="1:8">
      <c r="A1979" s="100">
        <v>70705</v>
      </c>
      <c r="B1979" s="100" t="s">
        <v>4871</v>
      </c>
      <c r="C1979" s="100" t="s">
        <v>4872</v>
      </c>
      <c r="D1979" s="100" t="s">
        <v>1090</v>
      </c>
      <c r="E1979" s="100" t="s">
        <v>1090</v>
      </c>
      <c r="F1979" s="32" t="s">
        <v>643</v>
      </c>
      <c r="G1979" s="32" t="s">
        <v>3909</v>
      </c>
      <c r="H1979" t="s">
        <v>4873</v>
      </c>
    </row>
    <row r="1980" spans="1:8">
      <c r="A1980" s="100">
        <v>70706</v>
      </c>
      <c r="B1980" s="100" t="s">
        <v>4874</v>
      </c>
      <c r="C1980" s="100" t="s">
        <v>4875</v>
      </c>
      <c r="D1980" s="100" t="s">
        <v>1262</v>
      </c>
      <c r="E1980" s="100" t="s">
        <v>1262</v>
      </c>
      <c r="F1980" s="32" t="s">
        <v>643</v>
      </c>
      <c r="G1980" s="32" t="s">
        <v>1383</v>
      </c>
      <c r="H1980" t="s">
        <v>4876</v>
      </c>
    </row>
    <row r="1981" spans="1:8">
      <c r="A1981" s="100">
        <v>70707</v>
      </c>
      <c r="B1981" s="100" t="s">
        <v>4877</v>
      </c>
      <c r="C1981" s="100" t="s">
        <v>4872</v>
      </c>
      <c r="D1981" s="100" t="s">
        <v>178</v>
      </c>
      <c r="E1981" s="100" t="s">
        <v>178</v>
      </c>
      <c r="F1981" s="32" t="s">
        <v>643</v>
      </c>
      <c r="G1981" s="32" t="s">
        <v>1556</v>
      </c>
      <c r="H1981" t="s">
        <v>4878</v>
      </c>
    </row>
    <row r="1982" spans="1:8">
      <c r="A1982" s="100">
        <v>70708</v>
      </c>
      <c r="B1982" s="100" t="s">
        <v>4879</v>
      </c>
      <c r="C1982" s="100" t="s">
        <v>4796</v>
      </c>
      <c r="D1982" s="100" t="s">
        <v>2069</v>
      </c>
      <c r="E1982" s="100" t="s">
        <v>2069</v>
      </c>
      <c r="F1982" s="32" t="s">
        <v>643</v>
      </c>
      <c r="G1982" s="32" t="s">
        <v>528</v>
      </c>
      <c r="H1982" t="s">
        <v>4880</v>
      </c>
    </row>
    <row r="1983" spans="1:8">
      <c r="A1983" s="100">
        <v>70709</v>
      </c>
      <c r="B1983" s="100" t="s">
        <v>4881</v>
      </c>
      <c r="C1983" s="100" t="s">
        <v>246</v>
      </c>
      <c r="D1983" s="100" t="s">
        <v>570</v>
      </c>
      <c r="E1983" s="100" t="s">
        <v>570</v>
      </c>
      <c r="F1983" s="32" t="s">
        <v>643</v>
      </c>
      <c r="G1983" s="32" t="s">
        <v>1926</v>
      </c>
      <c r="H1983" t="s">
        <v>4882</v>
      </c>
    </row>
    <row r="1984" spans="1:8">
      <c r="A1984" s="100">
        <v>70710</v>
      </c>
      <c r="B1984" s="100" t="s">
        <v>755</v>
      </c>
      <c r="C1984" s="100" t="s">
        <v>788</v>
      </c>
      <c r="D1984" s="100" t="s">
        <v>2378</v>
      </c>
      <c r="E1984" s="100" t="s">
        <v>2378</v>
      </c>
      <c r="F1984" s="32" t="s">
        <v>643</v>
      </c>
      <c r="G1984" s="32" t="s">
        <v>544</v>
      </c>
      <c r="H1984" t="s">
        <v>4883</v>
      </c>
    </row>
    <row r="1985" spans="1:8">
      <c r="A1985" s="100">
        <v>70711</v>
      </c>
      <c r="B1985" s="100" t="s">
        <v>4884</v>
      </c>
      <c r="C1985" s="100" t="s">
        <v>553</v>
      </c>
      <c r="D1985" s="100" t="s">
        <v>2069</v>
      </c>
      <c r="E1985" s="100" t="s">
        <v>2069</v>
      </c>
      <c r="F1985" s="32" t="s">
        <v>643</v>
      </c>
      <c r="G1985" s="32" t="s">
        <v>528</v>
      </c>
      <c r="H1985" t="s">
        <v>4885</v>
      </c>
    </row>
    <row r="1986" spans="1:8">
      <c r="A1986" s="100">
        <v>70712</v>
      </c>
      <c r="B1986" s="100" t="s">
        <v>949</v>
      </c>
      <c r="C1986" s="100" t="s">
        <v>619</v>
      </c>
      <c r="D1986" s="100" t="s">
        <v>2069</v>
      </c>
      <c r="E1986" s="100" t="s">
        <v>2069</v>
      </c>
      <c r="F1986" s="32" t="s">
        <v>643</v>
      </c>
      <c r="G1986" s="32" t="s">
        <v>528</v>
      </c>
      <c r="H1986" t="s">
        <v>4886</v>
      </c>
    </row>
    <row r="1987" spans="1:8">
      <c r="A1987" s="100">
        <v>70713</v>
      </c>
      <c r="B1987" s="100" t="s">
        <v>752</v>
      </c>
      <c r="C1987" s="100" t="s">
        <v>3269</v>
      </c>
      <c r="D1987" s="100" t="s">
        <v>2449</v>
      </c>
      <c r="E1987" s="100" t="s">
        <v>2449</v>
      </c>
      <c r="F1987" s="32" t="s">
        <v>643</v>
      </c>
      <c r="G1987" s="32" t="s">
        <v>340</v>
      </c>
      <c r="H1987" t="s">
        <v>4887</v>
      </c>
    </row>
    <row r="1988" spans="1:8">
      <c r="A1988" s="100">
        <v>70714</v>
      </c>
      <c r="B1988" s="100" t="s">
        <v>4888</v>
      </c>
      <c r="C1988" s="100" t="s">
        <v>194</v>
      </c>
      <c r="D1988" s="100" t="s">
        <v>1062</v>
      </c>
      <c r="E1988" s="100" t="s">
        <v>1062</v>
      </c>
      <c r="F1988" s="32" t="s">
        <v>643</v>
      </c>
      <c r="G1988" s="32" t="s">
        <v>1562</v>
      </c>
      <c r="H1988" t="s">
        <v>4889</v>
      </c>
    </row>
    <row r="1989" spans="1:8">
      <c r="A1989" s="100">
        <v>70715</v>
      </c>
      <c r="B1989" s="100" t="s">
        <v>937</v>
      </c>
      <c r="C1989" s="100" t="s">
        <v>3276</v>
      </c>
      <c r="D1989" s="100" t="s">
        <v>2325</v>
      </c>
      <c r="E1989" s="100" t="s">
        <v>2325</v>
      </c>
      <c r="F1989" s="32" t="s">
        <v>643</v>
      </c>
      <c r="G1989" s="32" t="s">
        <v>1912</v>
      </c>
      <c r="H1989" t="s">
        <v>4890</v>
      </c>
    </row>
    <row r="1990" spans="1:8">
      <c r="A1990" s="100">
        <v>70716</v>
      </c>
      <c r="B1990" s="100" t="s">
        <v>4891</v>
      </c>
      <c r="C1990" s="100" t="s">
        <v>2155</v>
      </c>
      <c r="D1990" s="100" t="s">
        <v>2450</v>
      </c>
      <c r="E1990" s="100" t="s">
        <v>2450</v>
      </c>
      <c r="F1990" s="32" t="s">
        <v>643</v>
      </c>
      <c r="G1990" s="32" t="s">
        <v>1582</v>
      </c>
      <c r="H1990" t="s">
        <v>4892</v>
      </c>
    </row>
    <row r="1991" spans="1:8">
      <c r="A1991" s="100">
        <v>70717</v>
      </c>
      <c r="B1991" s="100" t="s">
        <v>4893</v>
      </c>
      <c r="C1991" s="100" t="s">
        <v>4796</v>
      </c>
      <c r="D1991" s="100" t="s">
        <v>684</v>
      </c>
      <c r="E1991" s="100" t="s">
        <v>684</v>
      </c>
      <c r="F1991" s="32" t="s">
        <v>643</v>
      </c>
      <c r="G1991" s="32" t="s">
        <v>541</v>
      </c>
      <c r="H1991" t="s">
        <v>4894</v>
      </c>
    </row>
    <row r="1992" spans="1:8">
      <c r="A1992" s="100">
        <v>70718</v>
      </c>
      <c r="B1992" s="100" t="s">
        <v>4895</v>
      </c>
      <c r="C1992" s="100" t="s">
        <v>4805</v>
      </c>
      <c r="D1992" s="100" t="s">
        <v>2324</v>
      </c>
      <c r="E1992" s="100" t="s">
        <v>2324</v>
      </c>
      <c r="F1992" s="32" t="s">
        <v>643</v>
      </c>
      <c r="G1992" s="32" t="s">
        <v>2326</v>
      </c>
      <c r="H1992" t="s">
        <v>4896</v>
      </c>
    </row>
    <row r="1993" spans="1:8">
      <c r="A1993" s="100">
        <v>70719</v>
      </c>
      <c r="B1993" s="100" t="s">
        <v>4897</v>
      </c>
      <c r="C1993" s="100" t="s">
        <v>4898</v>
      </c>
      <c r="D1993" s="100" t="s">
        <v>1262</v>
      </c>
      <c r="E1993" s="100" t="s">
        <v>1262</v>
      </c>
      <c r="F1993" s="32" t="s">
        <v>643</v>
      </c>
      <c r="G1993" s="32" t="s">
        <v>1383</v>
      </c>
      <c r="H1993" t="s">
        <v>4899</v>
      </c>
    </row>
    <row r="1994" spans="1:8">
      <c r="A1994" s="100">
        <v>70720</v>
      </c>
      <c r="B1994" s="100" t="s">
        <v>4900</v>
      </c>
      <c r="C1994" s="100" t="s">
        <v>4796</v>
      </c>
      <c r="D1994" s="100" t="s">
        <v>503</v>
      </c>
      <c r="E1994" s="100" t="s">
        <v>503</v>
      </c>
      <c r="F1994" s="32" t="s">
        <v>643</v>
      </c>
      <c r="G1994" s="32" t="s">
        <v>1565</v>
      </c>
      <c r="H1994" t="s">
        <v>4901</v>
      </c>
    </row>
    <row r="1995" spans="1:8">
      <c r="A1995" s="100">
        <v>70721</v>
      </c>
      <c r="B1995" s="100" t="s">
        <v>4902</v>
      </c>
      <c r="C1995" s="100" t="s">
        <v>4903</v>
      </c>
      <c r="D1995" s="100" t="s">
        <v>1262</v>
      </c>
      <c r="E1995" s="100" t="s">
        <v>1262</v>
      </c>
      <c r="F1995" s="32" t="s">
        <v>643</v>
      </c>
      <c r="G1995" s="32" t="s">
        <v>1383</v>
      </c>
      <c r="H1995" t="s">
        <v>4904</v>
      </c>
    </row>
    <row r="1996" spans="1:8">
      <c r="A1996" s="100">
        <v>70722</v>
      </c>
      <c r="B1996" s="100" t="s">
        <v>4905</v>
      </c>
      <c r="C1996" s="100" t="s">
        <v>4906</v>
      </c>
      <c r="D1996" s="100" t="s">
        <v>435</v>
      </c>
      <c r="E1996" s="100" t="s">
        <v>435</v>
      </c>
      <c r="F1996" s="32" t="s">
        <v>643</v>
      </c>
      <c r="G1996" s="32" t="s">
        <v>4171</v>
      </c>
      <c r="H1996" t="s">
        <v>4907</v>
      </c>
    </row>
    <row r="1997" spans="1:8">
      <c r="A1997" s="100">
        <v>70723</v>
      </c>
      <c r="B1997" s="100" t="s">
        <v>4908</v>
      </c>
      <c r="C1997" s="100" t="s">
        <v>4909</v>
      </c>
      <c r="D1997" s="100" t="s">
        <v>1090</v>
      </c>
      <c r="E1997" s="100" t="s">
        <v>1090</v>
      </c>
      <c r="F1997" s="32" t="s">
        <v>643</v>
      </c>
      <c r="G1997" s="32" t="s">
        <v>3909</v>
      </c>
      <c r="H1997" t="s">
        <v>4910</v>
      </c>
    </row>
    <row r="1998" spans="1:8">
      <c r="A1998" s="100">
        <v>70724</v>
      </c>
      <c r="B1998" s="100" t="s">
        <v>4911</v>
      </c>
      <c r="C1998" s="100" t="s">
        <v>4872</v>
      </c>
      <c r="D1998" s="100" t="s">
        <v>596</v>
      </c>
      <c r="E1998" s="100" t="s">
        <v>596</v>
      </c>
      <c r="F1998" s="32" t="s">
        <v>643</v>
      </c>
      <c r="G1998" s="32" t="s">
        <v>2277</v>
      </c>
      <c r="H1998" t="s">
        <v>4912</v>
      </c>
    </row>
    <row r="1999" spans="1:8">
      <c r="A1999" s="100">
        <v>70725</v>
      </c>
      <c r="B1999" s="100" t="s">
        <v>4913</v>
      </c>
      <c r="C1999" s="100" t="s">
        <v>4796</v>
      </c>
      <c r="D1999" s="100" t="s">
        <v>685</v>
      </c>
      <c r="E1999" s="100" t="s">
        <v>685</v>
      </c>
      <c r="F1999" s="32" t="s">
        <v>643</v>
      </c>
      <c r="G1999" s="32" t="s">
        <v>1559</v>
      </c>
      <c r="H1999" t="s">
        <v>4914</v>
      </c>
    </row>
    <row r="2000" spans="1:8">
      <c r="A2000" s="100">
        <v>70726</v>
      </c>
      <c r="B2000" s="100" t="s">
        <v>4915</v>
      </c>
      <c r="C2000" s="100" t="s">
        <v>4916</v>
      </c>
      <c r="D2000" s="100" t="s">
        <v>1081</v>
      </c>
      <c r="E2000" s="100" t="s">
        <v>1081</v>
      </c>
      <c r="F2000" s="32" t="s">
        <v>643</v>
      </c>
      <c r="G2000" s="32" t="s">
        <v>2547</v>
      </c>
      <c r="H2000" t="s">
        <v>4917</v>
      </c>
    </row>
    <row r="2001" spans="1:8">
      <c r="A2001" s="100">
        <v>70727</v>
      </c>
      <c r="B2001" s="100" t="s">
        <v>4918</v>
      </c>
      <c r="C2001" s="100" t="s">
        <v>3322</v>
      </c>
      <c r="D2001" s="100" t="s">
        <v>2450</v>
      </c>
      <c r="E2001" s="100" t="s">
        <v>2450</v>
      </c>
      <c r="F2001" s="32" t="s">
        <v>643</v>
      </c>
      <c r="G2001" s="32" t="s">
        <v>1582</v>
      </c>
      <c r="H2001" t="s">
        <v>4919</v>
      </c>
    </row>
    <row r="2002" spans="1:8">
      <c r="A2002" s="100">
        <v>70728</v>
      </c>
      <c r="B2002" s="100" t="s">
        <v>4920</v>
      </c>
      <c r="C2002" s="100" t="s">
        <v>4869</v>
      </c>
      <c r="D2002" s="100" t="s">
        <v>1483</v>
      </c>
      <c r="E2002" s="100" t="s">
        <v>1483</v>
      </c>
      <c r="F2002" s="32" t="s">
        <v>643</v>
      </c>
      <c r="G2002" s="32" t="s">
        <v>2406</v>
      </c>
      <c r="H2002" t="s">
        <v>4921</v>
      </c>
    </row>
    <row r="2003" spans="1:8">
      <c r="A2003" s="100">
        <v>70729</v>
      </c>
      <c r="B2003" s="100" t="s">
        <v>4922</v>
      </c>
      <c r="C2003" s="100" t="s">
        <v>4796</v>
      </c>
      <c r="D2003" s="100" t="s">
        <v>845</v>
      </c>
      <c r="E2003" s="100" t="s">
        <v>845</v>
      </c>
      <c r="F2003" s="32" t="s">
        <v>643</v>
      </c>
      <c r="G2003" s="32" t="s">
        <v>3114</v>
      </c>
      <c r="H2003" t="s">
        <v>4923</v>
      </c>
    </row>
    <row r="2004" spans="1:8">
      <c r="A2004" s="100">
        <v>70730</v>
      </c>
      <c r="B2004" s="100" t="s">
        <v>4924</v>
      </c>
      <c r="C2004" s="100" t="s">
        <v>2260</v>
      </c>
      <c r="D2004" s="100" t="s">
        <v>452</v>
      </c>
      <c r="E2004" s="100" t="s">
        <v>452</v>
      </c>
      <c r="F2004" s="32" t="s">
        <v>643</v>
      </c>
      <c r="G2004" s="32" t="s">
        <v>346</v>
      </c>
      <c r="H2004" t="s">
        <v>4925</v>
      </c>
    </row>
    <row r="2005" spans="1:8">
      <c r="A2005" s="100">
        <v>70731</v>
      </c>
      <c r="B2005" s="100" t="s">
        <v>4926</v>
      </c>
      <c r="C2005" s="100" t="s">
        <v>864</v>
      </c>
      <c r="D2005" s="100" t="s">
        <v>318</v>
      </c>
      <c r="E2005" s="100" t="s">
        <v>318</v>
      </c>
      <c r="F2005" s="32" t="s">
        <v>643</v>
      </c>
      <c r="G2005" s="32" t="s">
        <v>2806</v>
      </c>
      <c r="H2005" t="s">
        <v>4927</v>
      </c>
    </row>
    <row r="2006" spans="1:8">
      <c r="A2006" s="100">
        <v>70732</v>
      </c>
      <c r="B2006" s="100" t="s">
        <v>4926</v>
      </c>
      <c r="C2006" s="100" t="s">
        <v>3322</v>
      </c>
      <c r="D2006" s="100" t="s">
        <v>1270</v>
      </c>
      <c r="E2006" s="100" t="s">
        <v>1270</v>
      </c>
      <c r="F2006" s="32" t="s">
        <v>643</v>
      </c>
      <c r="G2006" s="32" t="s">
        <v>346</v>
      </c>
      <c r="H2006" t="s">
        <v>4928</v>
      </c>
    </row>
    <row r="2007" spans="1:8">
      <c r="A2007" s="100">
        <v>70733</v>
      </c>
      <c r="B2007" s="100" t="s">
        <v>2594</v>
      </c>
      <c r="C2007" s="100" t="s">
        <v>266</v>
      </c>
      <c r="D2007" s="100" t="s">
        <v>178</v>
      </c>
      <c r="E2007" s="100" t="s">
        <v>178</v>
      </c>
      <c r="F2007" s="32" t="s">
        <v>643</v>
      </c>
      <c r="G2007" s="32" t="s">
        <v>1556</v>
      </c>
      <c r="H2007" t="s">
        <v>5023</v>
      </c>
    </row>
    <row r="2008" spans="1:8">
      <c r="A2008" s="100">
        <v>70734</v>
      </c>
      <c r="B2008" s="100" t="s">
        <v>4965</v>
      </c>
      <c r="C2008" s="100" t="s">
        <v>423</v>
      </c>
      <c r="D2008" s="100" t="s">
        <v>438</v>
      </c>
      <c r="E2008" s="100" t="s">
        <v>438</v>
      </c>
      <c r="F2008" s="32" t="s">
        <v>643</v>
      </c>
      <c r="G2008" s="32" t="s">
        <v>1391</v>
      </c>
      <c r="H2008" t="s">
        <v>5024</v>
      </c>
    </row>
    <row r="2009" spans="1:8">
      <c r="A2009" s="100">
        <v>70735</v>
      </c>
      <c r="B2009" s="100" t="s">
        <v>4966</v>
      </c>
      <c r="C2009" s="100" t="s">
        <v>802</v>
      </c>
      <c r="D2009" s="100" t="s">
        <v>437</v>
      </c>
      <c r="E2009" s="100" t="s">
        <v>437</v>
      </c>
      <c r="F2009" s="32" t="s">
        <v>643</v>
      </c>
      <c r="G2009" s="32" t="s">
        <v>342</v>
      </c>
      <c r="H2009" t="s">
        <v>5025</v>
      </c>
    </row>
    <row r="2010" spans="1:8">
      <c r="A2010" s="100">
        <v>70736</v>
      </c>
      <c r="B2010" s="100" t="s">
        <v>4967</v>
      </c>
      <c r="C2010" s="100" t="s">
        <v>1162</v>
      </c>
      <c r="D2010" s="100" t="s">
        <v>1325</v>
      </c>
      <c r="E2010" s="100" t="s">
        <v>1325</v>
      </c>
      <c r="F2010" s="32" t="s">
        <v>643</v>
      </c>
      <c r="G2010" s="32" t="s">
        <v>2159</v>
      </c>
      <c r="H2010" t="s">
        <v>5026</v>
      </c>
    </row>
    <row r="2011" spans="1:8">
      <c r="A2011" s="100">
        <v>70737</v>
      </c>
      <c r="B2011" s="100" t="s">
        <v>4968</v>
      </c>
      <c r="C2011" s="100" t="s">
        <v>65</v>
      </c>
      <c r="D2011" s="100" t="s">
        <v>2377</v>
      </c>
      <c r="E2011" s="100" t="s">
        <v>2377</v>
      </c>
      <c r="F2011" s="32" t="s">
        <v>643</v>
      </c>
      <c r="G2011" s="32" t="s">
        <v>1395</v>
      </c>
      <c r="H2011" t="s">
        <v>5027</v>
      </c>
    </row>
    <row r="2012" spans="1:8">
      <c r="A2012" s="100">
        <v>70738</v>
      </c>
      <c r="B2012" s="100" t="s">
        <v>301</v>
      </c>
      <c r="C2012" s="100" t="s">
        <v>864</v>
      </c>
      <c r="D2012" s="100" t="s">
        <v>2377</v>
      </c>
      <c r="E2012" s="100" t="s">
        <v>2377</v>
      </c>
      <c r="F2012" s="32" t="s">
        <v>643</v>
      </c>
      <c r="G2012" s="32" t="s">
        <v>1395</v>
      </c>
      <c r="H2012" t="s">
        <v>5028</v>
      </c>
    </row>
    <row r="2013" spans="1:8">
      <c r="A2013" s="100">
        <v>70739</v>
      </c>
      <c r="B2013" s="100" t="s">
        <v>4969</v>
      </c>
      <c r="C2013" s="100" t="s">
        <v>1099</v>
      </c>
      <c r="D2013" s="100" t="s">
        <v>2377</v>
      </c>
      <c r="E2013" s="100" t="s">
        <v>2377</v>
      </c>
      <c r="F2013" s="32" t="s">
        <v>643</v>
      </c>
      <c r="G2013" s="32" t="s">
        <v>1395</v>
      </c>
    </row>
    <row r="2014" spans="1:8">
      <c r="A2014" s="100">
        <v>70740</v>
      </c>
      <c r="B2014" s="100" t="s">
        <v>4970</v>
      </c>
      <c r="C2014" s="100" t="s">
        <v>1414</v>
      </c>
      <c r="D2014" s="100" t="s">
        <v>2675</v>
      </c>
      <c r="E2014" s="100" t="s">
        <v>2675</v>
      </c>
      <c r="F2014" s="32" t="s">
        <v>643</v>
      </c>
      <c r="G2014" s="32" t="s">
        <v>339</v>
      </c>
    </row>
    <row r="2015" spans="1:8">
      <c r="A2015" s="100">
        <v>70741</v>
      </c>
      <c r="B2015" s="100" t="s">
        <v>4971</v>
      </c>
      <c r="C2015" s="100" t="s">
        <v>4805</v>
      </c>
      <c r="D2015" s="100" t="s">
        <v>179</v>
      </c>
      <c r="E2015" s="100" t="s">
        <v>179</v>
      </c>
      <c r="F2015" s="32" t="s">
        <v>643</v>
      </c>
      <c r="G2015" s="32" t="s">
        <v>1543</v>
      </c>
    </row>
    <row r="2016" spans="1:8">
      <c r="A2016" s="100">
        <v>70742</v>
      </c>
      <c r="B2016" s="100" t="s">
        <v>4972</v>
      </c>
      <c r="C2016" s="100" t="s">
        <v>4805</v>
      </c>
      <c r="D2016" s="100" t="s">
        <v>435</v>
      </c>
      <c r="E2016" s="100" t="s">
        <v>435</v>
      </c>
      <c r="F2016" s="32" t="s">
        <v>643</v>
      </c>
      <c r="G2016" s="32" t="s">
        <v>4171</v>
      </c>
    </row>
    <row r="2017" spans="1:7">
      <c r="A2017" s="100">
        <v>70743</v>
      </c>
      <c r="B2017" s="100" t="s">
        <v>4973</v>
      </c>
      <c r="C2017" s="100" t="s">
        <v>4838</v>
      </c>
      <c r="D2017" s="100" t="s">
        <v>452</v>
      </c>
      <c r="E2017" s="100" t="s">
        <v>452</v>
      </c>
      <c r="F2017" s="32" t="s">
        <v>643</v>
      </c>
      <c r="G2017" s="32" t="s">
        <v>346</v>
      </c>
    </row>
    <row r="2018" spans="1:7">
      <c r="A2018" s="100">
        <v>70744</v>
      </c>
      <c r="B2018" s="100" t="s">
        <v>4974</v>
      </c>
      <c r="C2018" s="100" t="s">
        <v>4829</v>
      </c>
      <c r="D2018" s="100" t="s">
        <v>1452</v>
      </c>
      <c r="E2018" s="100" t="s">
        <v>1452</v>
      </c>
      <c r="F2018" s="32" t="s">
        <v>643</v>
      </c>
      <c r="G2018" s="32" t="s">
        <v>3514</v>
      </c>
    </row>
    <row r="2019" spans="1:7">
      <c r="A2019" s="100">
        <v>70745</v>
      </c>
      <c r="B2019" s="100" t="s">
        <v>4975</v>
      </c>
      <c r="C2019" s="100" t="s">
        <v>4976</v>
      </c>
      <c r="D2019" s="100" t="s">
        <v>318</v>
      </c>
      <c r="E2019" s="100" t="s">
        <v>318</v>
      </c>
      <c r="F2019" s="32" t="s">
        <v>643</v>
      </c>
      <c r="G2019" s="32" t="s">
        <v>2806</v>
      </c>
    </row>
    <row r="2020" spans="1:7">
      <c r="A2020" s="100">
        <v>70746</v>
      </c>
      <c r="B2020" s="100" t="s">
        <v>4977</v>
      </c>
      <c r="C2020" s="100" t="s">
        <v>4978</v>
      </c>
      <c r="D2020" s="100" t="s">
        <v>602</v>
      </c>
      <c r="E2020" s="100" t="s">
        <v>602</v>
      </c>
      <c r="F2020" s="32" t="s">
        <v>643</v>
      </c>
      <c r="G2020" s="32" t="s">
        <v>3588</v>
      </c>
    </row>
    <row r="2021" spans="1:7">
      <c r="A2021" s="100">
        <v>70747</v>
      </c>
      <c r="B2021" s="100" t="s">
        <v>4979</v>
      </c>
      <c r="C2021" s="100" t="s">
        <v>4829</v>
      </c>
      <c r="D2021" s="100" t="s">
        <v>772</v>
      </c>
      <c r="E2021" s="100" t="s">
        <v>772</v>
      </c>
      <c r="F2021" s="32" t="s">
        <v>643</v>
      </c>
      <c r="G2021" s="32" t="s">
        <v>1389</v>
      </c>
    </row>
    <row r="2022" spans="1:7">
      <c r="A2022" s="100">
        <v>70748</v>
      </c>
      <c r="B2022" s="100" t="s">
        <v>4980</v>
      </c>
      <c r="C2022" s="100" t="s">
        <v>4981</v>
      </c>
      <c r="D2022" s="100" t="s">
        <v>597</v>
      </c>
      <c r="E2022" s="100" t="s">
        <v>597</v>
      </c>
      <c r="F2022" s="32" t="s">
        <v>643</v>
      </c>
      <c r="G2022" s="32" t="s">
        <v>1902</v>
      </c>
    </row>
    <row r="2023" spans="1:7">
      <c r="A2023" s="100">
        <v>70749</v>
      </c>
      <c r="B2023" s="100" t="s">
        <v>4982</v>
      </c>
      <c r="C2023" s="100" t="s">
        <v>4978</v>
      </c>
      <c r="D2023" s="100" t="s">
        <v>178</v>
      </c>
      <c r="E2023" s="100" t="s">
        <v>178</v>
      </c>
      <c r="F2023" s="32" t="s">
        <v>643</v>
      </c>
      <c r="G2023" s="32" t="s">
        <v>1556</v>
      </c>
    </row>
    <row r="2024" spans="1:7">
      <c r="A2024" s="100">
        <v>70750</v>
      </c>
      <c r="B2024" s="100" t="s">
        <v>4983</v>
      </c>
      <c r="C2024" s="100" t="s">
        <v>4808</v>
      </c>
      <c r="D2024" s="100" t="s">
        <v>2324</v>
      </c>
      <c r="E2024" s="100" t="s">
        <v>2324</v>
      </c>
      <c r="F2024" s="32" t="s">
        <v>643</v>
      </c>
      <c r="G2024" s="32" t="s">
        <v>2326</v>
      </c>
    </row>
    <row r="2025" spans="1:7">
      <c r="A2025" s="100">
        <v>70751</v>
      </c>
      <c r="B2025" s="100" t="s">
        <v>4984</v>
      </c>
      <c r="C2025" s="100" t="s">
        <v>3322</v>
      </c>
      <c r="D2025" s="100" t="s">
        <v>2325</v>
      </c>
      <c r="E2025" s="100" t="s">
        <v>2325</v>
      </c>
      <c r="F2025" s="32" t="s">
        <v>643</v>
      </c>
      <c r="G2025" s="32" t="s">
        <v>1912</v>
      </c>
    </row>
    <row r="2026" spans="1:7">
      <c r="A2026" s="100">
        <v>70752</v>
      </c>
      <c r="B2026" s="100" t="s">
        <v>4985</v>
      </c>
      <c r="C2026" s="100" t="s">
        <v>65</v>
      </c>
      <c r="D2026" s="100" t="s">
        <v>1969</v>
      </c>
      <c r="E2026" s="100" t="s">
        <v>1969</v>
      </c>
      <c r="F2026" s="32" t="s">
        <v>643</v>
      </c>
      <c r="G2026" s="32" t="s">
        <v>1917</v>
      </c>
    </row>
    <row r="2027" spans="1:7">
      <c r="A2027" s="100">
        <v>70753</v>
      </c>
      <c r="B2027" s="100" t="s">
        <v>4986</v>
      </c>
      <c r="C2027" s="100" t="s">
        <v>263</v>
      </c>
      <c r="D2027" s="100" t="s">
        <v>1969</v>
      </c>
      <c r="E2027" s="100" t="s">
        <v>1969</v>
      </c>
      <c r="F2027" s="32" t="s">
        <v>643</v>
      </c>
      <c r="G2027" s="32" t="s">
        <v>1917</v>
      </c>
    </row>
    <row r="2028" spans="1:7">
      <c r="A2028" s="100">
        <v>70754</v>
      </c>
      <c r="B2028" s="100" t="s">
        <v>4987</v>
      </c>
      <c r="C2028" s="100" t="s">
        <v>553</v>
      </c>
      <c r="D2028" s="100" t="s">
        <v>2378</v>
      </c>
      <c r="E2028" s="100" t="s">
        <v>2378</v>
      </c>
      <c r="F2028" s="32" t="s">
        <v>643</v>
      </c>
      <c r="G2028" s="32" t="s">
        <v>544</v>
      </c>
    </row>
    <row r="2029" spans="1:7">
      <c r="A2029" s="100">
        <v>70755</v>
      </c>
      <c r="B2029" s="100" t="s">
        <v>4988</v>
      </c>
      <c r="C2029" s="100" t="s">
        <v>1013</v>
      </c>
      <c r="D2029" s="100" t="s">
        <v>2378</v>
      </c>
      <c r="E2029" s="100" t="s">
        <v>2378</v>
      </c>
      <c r="F2029" s="32" t="s">
        <v>643</v>
      </c>
      <c r="G2029" s="32" t="s">
        <v>544</v>
      </c>
    </row>
    <row r="2030" spans="1:7">
      <c r="A2030" s="100">
        <v>70756</v>
      </c>
      <c r="B2030" s="100" t="s">
        <v>4989</v>
      </c>
      <c r="C2030" s="100" t="s">
        <v>266</v>
      </c>
      <c r="D2030" s="100" t="s">
        <v>511</v>
      </c>
      <c r="E2030" s="100" t="s">
        <v>511</v>
      </c>
      <c r="F2030" s="32" t="s">
        <v>643</v>
      </c>
      <c r="G2030" s="32" t="s">
        <v>2472</v>
      </c>
    </row>
    <row r="2031" spans="1:7">
      <c r="A2031" s="100">
        <v>70757</v>
      </c>
      <c r="B2031" s="100" t="s">
        <v>4990</v>
      </c>
      <c r="C2031" s="100" t="s">
        <v>402</v>
      </c>
      <c r="D2031" s="100" t="s">
        <v>2675</v>
      </c>
      <c r="E2031" s="100" t="s">
        <v>2675</v>
      </c>
      <c r="F2031" s="32" t="s">
        <v>643</v>
      </c>
      <c r="G2031" s="32" t="s">
        <v>339</v>
      </c>
    </row>
    <row r="2032" spans="1:7">
      <c r="A2032" s="100">
        <v>70758</v>
      </c>
      <c r="B2032" s="100" t="s">
        <v>4991</v>
      </c>
      <c r="C2032" s="100" t="s">
        <v>4798</v>
      </c>
      <c r="D2032" s="100" t="s">
        <v>1259</v>
      </c>
      <c r="E2032" s="100" t="s">
        <v>1259</v>
      </c>
      <c r="F2032" s="32" t="s">
        <v>643</v>
      </c>
      <c r="G2032" s="32" t="s">
        <v>1379</v>
      </c>
    </row>
    <row r="2033" spans="1:7">
      <c r="A2033" s="100">
        <v>70759</v>
      </c>
      <c r="B2033" s="100" t="s">
        <v>4992</v>
      </c>
      <c r="C2033" s="100" t="s">
        <v>4993</v>
      </c>
      <c r="D2033" s="100" t="s">
        <v>1259</v>
      </c>
      <c r="E2033" s="100" t="s">
        <v>1259</v>
      </c>
      <c r="F2033" s="32" t="s">
        <v>643</v>
      </c>
      <c r="G2033" s="32" t="s">
        <v>1575</v>
      </c>
    </row>
    <row r="2034" spans="1:7">
      <c r="A2034" s="100">
        <v>70760</v>
      </c>
      <c r="B2034" s="100" t="s">
        <v>4994</v>
      </c>
      <c r="C2034" s="100" t="s">
        <v>4995</v>
      </c>
      <c r="D2034" s="100" t="s">
        <v>503</v>
      </c>
      <c r="E2034" s="100" t="s">
        <v>503</v>
      </c>
      <c r="F2034" s="32" t="s">
        <v>643</v>
      </c>
      <c r="G2034" s="32" t="s">
        <v>1565</v>
      </c>
    </row>
    <row r="2035" spans="1:7">
      <c r="A2035" s="100">
        <v>70761</v>
      </c>
      <c r="B2035" s="100" t="s">
        <v>4996</v>
      </c>
      <c r="C2035" s="100" t="s">
        <v>4978</v>
      </c>
      <c r="D2035" s="100" t="s">
        <v>503</v>
      </c>
      <c r="E2035" s="100" t="s">
        <v>503</v>
      </c>
      <c r="F2035" s="32" t="s">
        <v>643</v>
      </c>
      <c r="G2035" s="32" t="s">
        <v>1565</v>
      </c>
    </row>
    <row r="2036" spans="1:7">
      <c r="A2036" s="100">
        <v>70762</v>
      </c>
      <c r="B2036" s="100" t="s">
        <v>4997</v>
      </c>
      <c r="C2036" s="100" t="s">
        <v>4998</v>
      </c>
      <c r="D2036" s="100" t="s">
        <v>1262</v>
      </c>
      <c r="E2036" s="100" t="s">
        <v>1262</v>
      </c>
      <c r="F2036" s="32" t="s">
        <v>643</v>
      </c>
      <c r="G2036" s="32" t="s">
        <v>1383</v>
      </c>
    </row>
    <row r="2037" spans="1:7">
      <c r="A2037" s="100">
        <v>70763</v>
      </c>
      <c r="B2037" s="100" t="s">
        <v>4999</v>
      </c>
      <c r="C2037" s="100" t="s">
        <v>5000</v>
      </c>
      <c r="D2037" s="100" t="s">
        <v>1262</v>
      </c>
      <c r="E2037" s="100" t="s">
        <v>1262</v>
      </c>
      <c r="F2037" s="32" t="s">
        <v>643</v>
      </c>
      <c r="G2037" s="32" t="s">
        <v>1383</v>
      </c>
    </row>
    <row r="2038" spans="1:7">
      <c r="A2038" s="100">
        <v>70764</v>
      </c>
      <c r="B2038" s="100" t="s">
        <v>5001</v>
      </c>
      <c r="C2038" s="100" t="s">
        <v>4805</v>
      </c>
      <c r="D2038" s="100" t="s">
        <v>683</v>
      </c>
      <c r="E2038" s="100" t="s">
        <v>683</v>
      </c>
      <c r="F2038" s="32" t="s">
        <v>643</v>
      </c>
      <c r="G2038" s="32" t="s">
        <v>1900</v>
      </c>
    </row>
    <row r="2039" spans="1:7">
      <c r="A2039" s="100">
        <v>70765</v>
      </c>
      <c r="B2039" s="100" t="s">
        <v>5002</v>
      </c>
      <c r="C2039" s="100" t="s">
        <v>5003</v>
      </c>
      <c r="D2039" s="100" t="s">
        <v>318</v>
      </c>
      <c r="E2039" s="100" t="s">
        <v>318</v>
      </c>
      <c r="F2039" s="32" t="s">
        <v>643</v>
      </c>
      <c r="G2039" s="32" t="s">
        <v>2806</v>
      </c>
    </row>
    <row r="2040" spans="1:7">
      <c r="A2040" s="100">
        <v>70766</v>
      </c>
      <c r="B2040" s="100" t="s">
        <v>5004</v>
      </c>
      <c r="C2040" s="100" t="s">
        <v>5005</v>
      </c>
      <c r="D2040" s="100" t="s">
        <v>602</v>
      </c>
      <c r="E2040" s="100" t="s">
        <v>602</v>
      </c>
      <c r="F2040" s="32" t="s">
        <v>643</v>
      </c>
      <c r="G2040" s="32" t="s">
        <v>3588</v>
      </c>
    </row>
    <row r="2041" spans="1:7">
      <c r="A2041" s="100">
        <v>70767</v>
      </c>
      <c r="B2041" s="100" t="s">
        <v>5004</v>
      </c>
      <c r="C2041" s="100" t="s">
        <v>5006</v>
      </c>
      <c r="D2041" s="100" t="s">
        <v>597</v>
      </c>
      <c r="E2041" s="100" t="s">
        <v>597</v>
      </c>
      <c r="F2041" s="32" t="s">
        <v>643</v>
      </c>
      <c r="G2041" s="32" t="s">
        <v>1902</v>
      </c>
    </row>
    <row r="2042" spans="1:7">
      <c r="A2042" s="100">
        <v>70768</v>
      </c>
      <c r="B2042" s="100" t="s">
        <v>5007</v>
      </c>
      <c r="C2042" s="100" t="s">
        <v>4978</v>
      </c>
      <c r="D2042" s="100" t="s">
        <v>1452</v>
      </c>
      <c r="E2042" s="100" t="s">
        <v>1452</v>
      </c>
      <c r="F2042" s="32" t="s">
        <v>643</v>
      </c>
      <c r="G2042" s="32" t="s">
        <v>3514</v>
      </c>
    </row>
  </sheetData>
  <autoFilter ref="A1:H2042" xr:uid="{00000000-0009-0000-0000-000002000000}">
    <sortState xmlns:xlrd2="http://schemas.microsoft.com/office/spreadsheetml/2017/richdata2" ref="A2:H2012">
      <sortCondition ref="A1:A2012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outlinePr summaryBelow="0" summaryRight="0"/>
    <pageSetUpPr autoPageBreaks="0"/>
  </sheetPr>
  <dimension ref="A1:F14099"/>
  <sheetViews>
    <sheetView showGridLines="0" showOutlineSymbols="0" topLeftCell="A1437" workbookViewId="0">
      <selection activeCell="A1453" sqref="A1453"/>
    </sheetView>
  </sheetViews>
  <sheetFormatPr defaultColWidth="6.88671875" defaultRowHeight="12.75" customHeight="1"/>
  <cols>
    <col min="1" max="1" width="8.33203125" style="32" customWidth="1"/>
    <col min="2" max="2" width="22.6640625" style="32" customWidth="1"/>
    <col min="3" max="3" width="13.88671875" style="32" customWidth="1"/>
    <col min="4" max="4" width="28" style="32" customWidth="1"/>
    <col min="5" max="5" width="11.5546875" style="32" customWidth="1"/>
    <col min="6" max="16384" width="6.88671875" style="7"/>
  </cols>
  <sheetData>
    <row r="1" spans="1:5" ht="15.75" customHeight="1">
      <c r="A1" s="58" t="s">
        <v>2451</v>
      </c>
      <c r="B1" s="33" t="s">
        <v>2034</v>
      </c>
      <c r="C1" s="33" t="s">
        <v>1084</v>
      </c>
      <c r="D1" s="33" t="str">
        <f>B1&amp;" "&amp;C1</f>
        <v>Nazwisko Imię</v>
      </c>
      <c r="E1" s="33" t="s">
        <v>1085</v>
      </c>
    </row>
    <row r="2" spans="1:5" ht="13.2">
      <c r="A2" s="61">
        <v>2</v>
      </c>
      <c r="B2" s="50" t="s">
        <v>73</v>
      </c>
      <c r="C2" s="50" t="s">
        <v>72</v>
      </c>
      <c r="D2" s="33" t="s">
        <v>4940</v>
      </c>
      <c r="E2" s="50" t="s">
        <v>4953</v>
      </c>
    </row>
    <row r="3" spans="1:5" ht="13.2">
      <c r="A3" s="61">
        <v>5</v>
      </c>
      <c r="B3" s="50" t="s">
        <v>74</v>
      </c>
      <c r="C3" s="50" t="s">
        <v>75</v>
      </c>
      <c r="D3" s="33" t="s">
        <v>1584</v>
      </c>
      <c r="E3" s="50" t="s">
        <v>960</v>
      </c>
    </row>
    <row r="4" spans="1:5" ht="13.2">
      <c r="A4" s="61">
        <v>7</v>
      </c>
      <c r="B4" s="50" t="s">
        <v>76</v>
      </c>
      <c r="C4" s="50" t="s">
        <v>77</v>
      </c>
      <c r="D4" s="33" t="s">
        <v>535</v>
      </c>
      <c r="E4" s="50" t="s">
        <v>1322</v>
      </c>
    </row>
    <row r="5" spans="1:5" ht="13.2">
      <c r="A5" s="61">
        <v>8</v>
      </c>
      <c r="B5" s="50" t="s">
        <v>78</v>
      </c>
      <c r="C5" s="50" t="s">
        <v>79</v>
      </c>
      <c r="D5" s="33" t="s">
        <v>1877</v>
      </c>
      <c r="E5" s="50" t="s">
        <v>960</v>
      </c>
    </row>
    <row r="6" spans="1:5" ht="13.2">
      <c r="A6" s="61">
        <v>11</v>
      </c>
      <c r="B6" s="50" t="s">
        <v>961</v>
      </c>
      <c r="C6" s="50" t="s">
        <v>962</v>
      </c>
      <c r="D6" s="33" t="s">
        <v>3547</v>
      </c>
      <c r="E6" s="50" t="s">
        <v>1996</v>
      </c>
    </row>
    <row r="7" spans="1:5" ht="13.2">
      <c r="A7" s="61">
        <v>13</v>
      </c>
      <c r="B7" s="50" t="s">
        <v>963</v>
      </c>
      <c r="C7" s="50" t="s">
        <v>964</v>
      </c>
      <c r="D7" s="33" t="s">
        <v>1878</v>
      </c>
      <c r="E7" s="50" t="s">
        <v>1996</v>
      </c>
    </row>
    <row r="8" spans="1:5" ht="13.2">
      <c r="A8" s="61">
        <v>15</v>
      </c>
      <c r="B8" s="50" t="s">
        <v>965</v>
      </c>
      <c r="C8" s="50" t="s">
        <v>966</v>
      </c>
      <c r="D8" s="33" t="s">
        <v>1879</v>
      </c>
      <c r="E8" s="50" t="s">
        <v>2127</v>
      </c>
    </row>
    <row r="9" spans="1:5" ht="13.2">
      <c r="A9" s="61">
        <v>16</v>
      </c>
      <c r="B9" s="50" t="s">
        <v>967</v>
      </c>
      <c r="C9" s="50" t="s">
        <v>72</v>
      </c>
      <c r="D9" s="33" t="s">
        <v>3548</v>
      </c>
      <c r="E9" s="50" t="s">
        <v>1586</v>
      </c>
    </row>
    <row r="10" spans="1:5" ht="13.2">
      <c r="A10" s="61">
        <v>17</v>
      </c>
      <c r="B10" s="50" t="s">
        <v>187</v>
      </c>
      <c r="C10" s="50" t="s">
        <v>188</v>
      </c>
      <c r="D10" s="33" t="s">
        <v>1880</v>
      </c>
      <c r="E10" s="50" t="s">
        <v>1320</v>
      </c>
    </row>
    <row r="11" spans="1:5" ht="13.2">
      <c r="A11" s="61">
        <v>18</v>
      </c>
      <c r="B11" s="50" t="s">
        <v>189</v>
      </c>
      <c r="C11" s="50" t="s">
        <v>190</v>
      </c>
      <c r="D11" s="33" t="s">
        <v>1881</v>
      </c>
      <c r="E11" s="50" t="s">
        <v>960</v>
      </c>
    </row>
    <row r="12" spans="1:5" ht="13.2">
      <c r="A12" s="61">
        <v>20</v>
      </c>
      <c r="B12" s="50" t="s">
        <v>634</v>
      </c>
      <c r="C12" s="50" t="s">
        <v>635</v>
      </c>
      <c r="D12" s="33" t="s">
        <v>1882</v>
      </c>
      <c r="E12" s="50" t="s">
        <v>960</v>
      </c>
    </row>
    <row r="13" spans="1:5" ht="13.2">
      <c r="A13" s="61">
        <v>21</v>
      </c>
      <c r="B13" s="50" t="s">
        <v>636</v>
      </c>
      <c r="C13" s="50" t="s">
        <v>637</v>
      </c>
      <c r="D13" s="33" t="s">
        <v>1883</v>
      </c>
      <c r="E13" s="50" t="s">
        <v>2126</v>
      </c>
    </row>
    <row r="14" spans="1:5" ht="13.2">
      <c r="A14" s="61">
        <v>24</v>
      </c>
      <c r="B14" s="50" t="s">
        <v>639</v>
      </c>
      <c r="C14" s="50" t="s">
        <v>640</v>
      </c>
      <c r="D14" s="33" t="s">
        <v>1884</v>
      </c>
      <c r="E14" s="50" t="s">
        <v>1322</v>
      </c>
    </row>
    <row r="15" spans="1:5" ht="13.2">
      <c r="A15" s="61">
        <v>28</v>
      </c>
      <c r="B15" s="50" t="s">
        <v>641</v>
      </c>
      <c r="C15" s="50" t="s">
        <v>642</v>
      </c>
      <c r="D15" s="33" t="s">
        <v>546</v>
      </c>
      <c r="E15" s="50" t="s">
        <v>1322</v>
      </c>
    </row>
    <row r="16" spans="1:5" ht="13.2">
      <c r="A16" s="61">
        <v>32</v>
      </c>
      <c r="B16" s="50" t="s">
        <v>262</v>
      </c>
      <c r="C16" s="50" t="s">
        <v>263</v>
      </c>
      <c r="D16" s="33" t="s">
        <v>2136</v>
      </c>
      <c r="E16" s="50" t="s">
        <v>2127</v>
      </c>
    </row>
    <row r="17" spans="1:5" ht="13.2">
      <c r="A17" s="61">
        <v>33</v>
      </c>
      <c r="B17" s="50" t="s">
        <v>264</v>
      </c>
      <c r="C17" s="50" t="s">
        <v>190</v>
      </c>
      <c r="D17" s="33" t="s">
        <v>345</v>
      </c>
      <c r="E17" s="50" t="s">
        <v>1321</v>
      </c>
    </row>
    <row r="18" spans="1:5" ht="13.2">
      <c r="A18" s="61">
        <v>34</v>
      </c>
      <c r="B18" s="50" t="s">
        <v>265</v>
      </c>
      <c r="C18" s="50" t="s">
        <v>266</v>
      </c>
      <c r="D18" s="33" t="s">
        <v>533</v>
      </c>
      <c r="E18" s="50" t="s">
        <v>1322</v>
      </c>
    </row>
    <row r="19" spans="1:5" ht="13.2">
      <c r="A19" s="61">
        <v>35</v>
      </c>
      <c r="B19" s="50" t="s">
        <v>1268</v>
      </c>
      <c r="C19" s="50" t="s">
        <v>638</v>
      </c>
      <c r="D19" s="33" t="s">
        <v>1561</v>
      </c>
      <c r="E19" s="50" t="s">
        <v>1321</v>
      </c>
    </row>
    <row r="20" spans="1:5" ht="13.2">
      <c r="A20" s="61">
        <v>36</v>
      </c>
      <c r="B20" s="50" t="s">
        <v>1194</v>
      </c>
      <c r="C20" s="50" t="s">
        <v>72</v>
      </c>
      <c r="D20" s="33" t="s">
        <v>2112</v>
      </c>
      <c r="E20" s="50" t="s">
        <v>1320</v>
      </c>
    </row>
    <row r="21" spans="1:5" ht="13.2">
      <c r="A21" s="61">
        <v>37</v>
      </c>
      <c r="B21" s="50" t="s">
        <v>1195</v>
      </c>
      <c r="C21" s="50" t="s">
        <v>640</v>
      </c>
      <c r="D21" s="33" t="s">
        <v>1885</v>
      </c>
      <c r="E21" s="50" t="s">
        <v>1322</v>
      </c>
    </row>
    <row r="22" spans="1:5" ht="13.2">
      <c r="A22" s="61">
        <v>38</v>
      </c>
      <c r="B22" s="50" t="s">
        <v>1196</v>
      </c>
      <c r="C22" s="50" t="s">
        <v>1197</v>
      </c>
      <c r="D22" s="33" t="s">
        <v>544</v>
      </c>
      <c r="E22" s="50" t="s">
        <v>1321</v>
      </c>
    </row>
    <row r="23" spans="1:5" ht="13.2">
      <c r="A23" s="61">
        <v>39</v>
      </c>
      <c r="B23" s="50" t="s">
        <v>1992</v>
      </c>
      <c r="C23" s="50" t="s">
        <v>864</v>
      </c>
      <c r="D23" s="33" t="s">
        <v>2105</v>
      </c>
      <c r="E23" s="50" t="s">
        <v>960</v>
      </c>
    </row>
    <row r="24" spans="1:5" ht="13.2">
      <c r="A24" s="61">
        <v>43</v>
      </c>
      <c r="B24" s="50" t="s">
        <v>422</v>
      </c>
      <c r="C24" s="50" t="s">
        <v>79</v>
      </c>
      <c r="D24" s="33" t="s">
        <v>1886</v>
      </c>
      <c r="E24" s="50" t="s">
        <v>1996</v>
      </c>
    </row>
    <row r="25" spans="1:5" ht="13.2">
      <c r="A25" s="61">
        <v>50</v>
      </c>
      <c r="B25" s="50" t="s">
        <v>424</v>
      </c>
      <c r="C25" s="50" t="s">
        <v>425</v>
      </c>
      <c r="D25" s="33" t="s">
        <v>1546</v>
      </c>
      <c r="E25" s="50" t="s">
        <v>2126</v>
      </c>
    </row>
    <row r="26" spans="1:5" ht="13.2">
      <c r="A26" s="61">
        <v>51</v>
      </c>
      <c r="B26" s="50" t="s">
        <v>426</v>
      </c>
      <c r="C26" s="50" t="s">
        <v>427</v>
      </c>
      <c r="D26" s="33" t="s">
        <v>1381</v>
      </c>
      <c r="E26" s="50" t="s">
        <v>2126</v>
      </c>
    </row>
    <row r="27" spans="1:5" ht="13.2">
      <c r="A27" s="61">
        <v>53</v>
      </c>
      <c r="B27" s="50" t="s">
        <v>428</v>
      </c>
      <c r="C27" s="50" t="s">
        <v>964</v>
      </c>
      <c r="D27" s="33" t="s">
        <v>1887</v>
      </c>
      <c r="E27" s="50" t="s">
        <v>1322</v>
      </c>
    </row>
    <row r="28" spans="1:5" ht="13.2">
      <c r="A28" s="61">
        <v>54</v>
      </c>
      <c r="B28" s="50" t="s">
        <v>429</v>
      </c>
      <c r="C28" s="50" t="s">
        <v>79</v>
      </c>
      <c r="D28" s="33" t="s">
        <v>1556</v>
      </c>
      <c r="E28" s="50" t="s">
        <v>1320</v>
      </c>
    </row>
    <row r="29" spans="1:5" ht="13.2">
      <c r="A29" s="61">
        <v>55</v>
      </c>
      <c r="B29" s="50" t="s">
        <v>430</v>
      </c>
      <c r="C29" s="50" t="s">
        <v>188</v>
      </c>
      <c r="D29" s="33" t="s">
        <v>531</v>
      </c>
      <c r="E29" s="50" t="s">
        <v>1321</v>
      </c>
    </row>
    <row r="30" spans="1:5" ht="13.2">
      <c r="A30" s="61">
        <v>57</v>
      </c>
      <c r="B30" s="50" t="s">
        <v>860</v>
      </c>
      <c r="C30" s="50" t="s">
        <v>638</v>
      </c>
      <c r="D30" s="33" t="s">
        <v>1888</v>
      </c>
      <c r="E30" s="50" t="s">
        <v>2127</v>
      </c>
    </row>
    <row r="31" spans="1:5" ht="13.2">
      <c r="A31" s="61">
        <v>58</v>
      </c>
      <c r="B31" s="50" t="s">
        <v>861</v>
      </c>
      <c r="C31" s="50" t="s">
        <v>964</v>
      </c>
      <c r="D31" s="33" t="s">
        <v>2928</v>
      </c>
      <c r="E31" s="50" t="s">
        <v>1586</v>
      </c>
    </row>
    <row r="32" spans="1:5" ht="13.2">
      <c r="A32" s="61">
        <v>60</v>
      </c>
      <c r="B32" s="50" t="s">
        <v>862</v>
      </c>
      <c r="C32" s="50" t="s">
        <v>638</v>
      </c>
      <c r="D32" s="33" t="s">
        <v>2070</v>
      </c>
      <c r="E32" s="50" t="s">
        <v>633</v>
      </c>
    </row>
    <row r="33" spans="1:5" ht="13.2">
      <c r="A33" s="61">
        <v>63</v>
      </c>
      <c r="B33" s="50" t="s">
        <v>863</v>
      </c>
      <c r="C33" s="50" t="s">
        <v>864</v>
      </c>
      <c r="D33" s="33" t="s">
        <v>2774</v>
      </c>
      <c r="E33" s="50" t="s">
        <v>1322</v>
      </c>
    </row>
    <row r="34" spans="1:5" ht="13.2">
      <c r="A34" s="61">
        <v>65</v>
      </c>
      <c r="B34" s="50" t="s">
        <v>865</v>
      </c>
      <c r="C34" s="50" t="s">
        <v>866</v>
      </c>
      <c r="D34" s="33" t="s">
        <v>1385</v>
      </c>
      <c r="E34" s="50" t="s">
        <v>1320</v>
      </c>
    </row>
    <row r="35" spans="1:5" ht="13.2">
      <c r="A35" s="61">
        <v>67</v>
      </c>
      <c r="B35" s="50" t="s">
        <v>868</v>
      </c>
      <c r="C35" s="50" t="s">
        <v>190</v>
      </c>
      <c r="D35" s="33" t="s">
        <v>3549</v>
      </c>
      <c r="E35" s="50" t="s">
        <v>1321</v>
      </c>
    </row>
    <row r="36" spans="1:5" ht="13.2">
      <c r="A36" s="61">
        <v>68</v>
      </c>
      <c r="B36" s="50" t="s">
        <v>869</v>
      </c>
      <c r="C36" s="50" t="s">
        <v>190</v>
      </c>
      <c r="D36" s="33" t="s">
        <v>1554</v>
      </c>
      <c r="E36" s="50" t="s">
        <v>1322</v>
      </c>
    </row>
    <row r="37" spans="1:5" ht="13.2">
      <c r="A37" s="61">
        <v>69</v>
      </c>
      <c r="B37" s="50" t="s">
        <v>773</v>
      </c>
      <c r="C37" s="50" t="s">
        <v>964</v>
      </c>
      <c r="D37" s="33" t="s">
        <v>545</v>
      </c>
      <c r="E37" s="50" t="s">
        <v>1322</v>
      </c>
    </row>
    <row r="38" spans="1:5" ht="13.2">
      <c r="A38" s="61">
        <v>70</v>
      </c>
      <c r="B38" s="50" t="s">
        <v>774</v>
      </c>
      <c r="C38" s="50" t="s">
        <v>775</v>
      </c>
      <c r="D38" s="33" t="s">
        <v>3550</v>
      </c>
      <c r="E38" s="50" t="s">
        <v>1320</v>
      </c>
    </row>
    <row r="39" spans="1:5" ht="13.2">
      <c r="A39" s="61">
        <v>72</v>
      </c>
      <c r="B39" s="50" t="s">
        <v>776</v>
      </c>
      <c r="C39" s="50" t="s">
        <v>777</v>
      </c>
      <c r="D39" s="33" t="s">
        <v>3551</v>
      </c>
      <c r="E39" s="50" t="s">
        <v>1225</v>
      </c>
    </row>
    <row r="40" spans="1:5" ht="13.2">
      <c r="A40" s="61">
        <v>74</v>
      </c>
      <c r="B40" s="50" t="s">
        <v>779</v>
      </c>
      <c r="C40" s="50" t="s">
        <v>780</v>
      </c>
      <c r="D40" s="33" t="s">
        <v>3552</v>
      </c>
      <c r="E40" s="50" t="s">
        <v>1320</v>
      </c>
    </row>
    <row r="41" spans="1:5" ht="13.2">
      <c r="A41" s="61">
        <v>75</v>
      </c>
      <c r="B41" s="50" t="s">
        <v>781</v>
      </c>
      <c r="C41" s="50" t="s">
        <v>782</v>
      </c>
      <c r="D41" s="33" t="s">
        <v>3553</v>
      </c>
      <c r="E41" s="50" t="s">
        <v>1585</v>
      </c>
    </row>
    <row r="42" spans="1:5" ht="13.2">
      <c r="A42" s="61">
        <v>76</v>
      </c>
      <c r="B42" s="50" t="s">
        <v>125</v>
      </c>
      <c r="C42" s="50" t="s">
        <v>188</v>
      </c>
      <c r="D42" s="33" t="s">
        <v>2057</v>
      </c>
      <c r="E42" s="50" t="s">
        <v>1322</v>
      </c>
    </row>
    <row r="43" spans="1:5" ht="13.2">
      <c r="A43" s="61">
        <v>79</v>
      </c>
      <c r="B43" s="50" t="s">
        <v>126</v>
      </c>
      <c r="C43" s="50" t="s">
        <v>127</v>
      </c>
      <c r="D43" s="33" t="s">
        <v>1889</v>
      </c>
      <c r="E43" s="50" t="s">
        <v>633</v>
      </c>
    </row>
    <row r="44" spans="1:5" ht="13.2">
      <c r="A44" s="61">
        <v>80</v>
      </c>
      <c r="B44" s="50" t="s">
        <v>128</v>
      </c>
      <c r="C44" s="50" t="s">
        <v>427</v>
      </c>
      <c r="D44" s="33" t="s">
        <v>3103</v>
      </c>
      <c r="E44" s="50" t="s">
        <v>451</v>
      </c>
    </row>
    <row r="45" spans="1:5" ht="13.2">
      <c r="A45" s="61">
        <v>81</v>
      </c>
      <c r="B45" s="50" t="s">
        <v>1863</v>
      </c>
      <c r="C45" s="50" t="s">
        <v>782</v>
      </c>
      <c r="D45" s="33" t="s">
        <v>1890</v>
      </c>
      <c r="E45" s="50" t="s">
        <v>960</v>
      </c>
    </row>
    <row r="46" spans="1:5" ht="13.2">
      <c r="A46" s="61">
        <v>82</v>
      </c>
      <c r="B46" s="50" t="s">
        <v>129</v>
      </c>
      <c r="C46" s="50" t="s">
        <v>263</v>
      </c>
      <c r="D46" s="33" t="s">
        <v>1891</v>
      </c>
      <c r="E46" s="50" t="s">
        <v>2127</v>
      </c>
    </row>
    <row r="47" spans="1:5" ht="13.2">
      <c r="A47" s="61">
        <v>83</v>
      </c>
      <c r="B47" s="50" t="s">
        <v>421</v>
      </c>
      <c r="C47" s="50" t="s">
        <v>425</v>
      </c>
      <c r="D47" s="33" t="s">
        <v>2910</v>
      </c>
      <c r="E47" s="50" t="s">
        <v>1586</v>
      </c>
    </row>
    <row r="48" spans="1:5" ht="13.2">
      <c r="A48" s="61">
        <v>88</v>
      </c>
      <c r="B48" s="50" t="s">
        <v>1192</v>
      </c>
      <c r="C48" s="50" t="s">
        <v>642</v>
      </c>
      <c r="D48" s="33" t="s">
        <v>3554</v>
      </c>
      <c r="E48" s="50" t="s">
        <v>390</v>
      </c>
    </row>
    <row r="49" spans="1:5" ht="13.2">
      <c r="A49" s="61">
        <v>89</v>
      </c>
      <c r="B49" s="50" t="s">
        <v>1193</v>
      </c>
      <c r="C49" s="50" t="s">
        <v>326</v>
      </c>
      <c r="D49" s="33" t="s">
        <v>2089</v>
      </c>
      <c r="E49" s="50" t="s">
        <v>1322</v>
      </c>
    </row>
    <row r="50" spans="1:5" ht="13.2">
      <c r="A50" s="61">
        <v>91</v>
      </c>
      <c r="B50" s="50" t="s">
        <v>327</v>
      </c>
      <c r="C50" s="50" t="s">
        <v>638</v>
      </c>
      <c r="D50" s="33" t="s">
        <v>1380</v>
      </c>
      <c r="E50" s="50" t="s">
        <v>1320</v>
      </c>
    </row>
    <row r="51" spans="1:5" ht="13.2">
      <c r="A51" s="61">
        <v>92</v>
      </c>
      <c r="B51" s="50" t="s">
        <v>936</v>
      </c>
      <c r="C51" s="50" t="s">
        <v>75</v>
      </c>
      <c r="D51" s="33" t="s">
        <v>1395</v>
      </c>
      <c r="E51" s="50" t="s">
        <v>1321</v>
      </c>
    </row>
    <row r="52" spans="1:5" ht="13.2">
      <c r="A52" s="61">
        <v>93</v>
      </c>
      <c r="B52" s="50" t="s">
        <v>937</v>
      </c>
      <c r="C52" s="50" t="s">
        <v>780</v>
      </c>
      <c r="D52" s="33" t="s">
        <v>3555</v>
      </c>
      <c r="E52" s="50" t="s">
        <v>1320</v>
      </c>
    </row>
    <row r="53" spans="1:5" ht="13.2">
      <c r="A53" s="61">
        <v>94</v>
      </c>
      <c r="B53" s="50" t="s">
        <v>938</v>
      </c>
      <c r="C53" s="50" t="s">
        <v>263</v>
      </c>
      <c r="D53" s="33" t="s">
        <v>1390</v>
      </c>
      <c r="E53" s="50" t="s">
        <v>1321</v>
      </c>
    </row>
    <row r="54" spans="1:5" ht="13.2">
      <c r="A54" s="61">
        <v>96</v>
      </c>
      <c r="B54" s="50" t="s">
        <v>939</v>
      </c>
      <c r="C54" s="50" t="s">
        <v>635</v>
      </c>
      <c r="D54" s="33" t="s">
        <v>2157</v>
      </c>
      <c r="E54" s="50" t="s">
        <v>1320</v>
      </c>
    </row>
    <row r="55" spans="1:5" ht="13.2">
      <c r="A55" s="61">
        <v>97</v>
      </c>
      <c r="B55" s="50" t="s">
        <v>940</v>
      </c>
      <c r="C55" s="50" t="s">
        <v>964</v>
      </c>
      <c r="D55" s="33" t="s">
        <v>1892</v>
      </c>
      <c r="E55" s="50" t="s">
        <v>1321</v>
      </c>
    </row>
    <row r="56" spans="1:5" ht="13.2">
      <c r="A56" s="61">
        <v>98</v>
      </c>
      <c r="B56" s="50" t="s">
        <v>941</v>
      </c>
      <c r="C56" s="50" t="s">
        <v>866</v>
      </c>
      <c r="D56" s="33" t="s">
        <v>3556</v>
      </c>
      <c r="E56" s="50" t="s">
        <v>1320</v>
      </c>
    </row>
    <row r="57" spans="1:5" ht="13.2">
      <c r="A57" s="61">
        <v>100</v>
      </c>
      <c r="B57" s="50" t="s">
        <v>942</v>
      </c>
      <c r="C57" s="50" t="s">
        <v>1197</v>
      </c>
      <c r="D57" s="33" t="s">
        <v>1893</v>
      </c>
      <c r="E57" s="50" t="s">
        <v>1320</v>
      </c>
    </row>
    <row r="58" spans="1:5" ht="13.2">
      <c r="A58" s="61">
        <v>101</v>
      </c>
      <c r="B58" s="50" t="s">
        <v>943</v>
      </c>
      <c r="C58" s="50" t="s">
        <v>1197</v>
      </c>
      <c r="D58" s="33" t="s">
        <v>2782</v>
      </c>
      <c r="E58" s="50" t="s">
        <v>1321</v>
      </c>
    </row>
    <row r="59" spans="1:5" ht="13.2">
      <c r="A59" s="61">
        <v>102</v>
      </c>
      <c r="B59" s="50" t="s">
        <v>944</v>
      </c>
      <c r="C59" s="50" t="s">
        <v>1197</v>
      </c>
      <c r="D59" s="33" t="s">
        <v>1894</v>
      </c>
      <c r="E59" s="50" t="s">
        <v>2127</v>
      </c>
    </row>
    <row r="60" spans="1:5" ht="13.2">
      <c r="A60" s="61">
        <v>104</v>
      </c>
      <c r="B60" s="50" t="s">
        <v>1244</v>
      </c>
      <c r="C60" s="50" t="s">
        <v>1245</v>
      </c>
      <c r="D60" s="33" t="s">
        <v>3557</v>
      </c>
      <c r="E60" s="50" t="s">
        <v>1366</v>
      </c>
    </row>
    <row r="61" spans="1:5" ht="13.2">
      <c r="A61" s="61">
        <v>107</v>
      </c>
      <c r="B61" s="50" t="s">
        <v>444</v>
      </c>
      <c r="C61" s="50" t="s">
        <v>425</v>
      </c>
      <c r="D61" s="33" t="s">
        <v>1396</v>
      </c>
      <c r="E61" s="50" t="s">
        <v>1320</v>
      </c>
    </row>
    <row r="62" spans="1:5" ht="13.2">
      <c r="A62" s="61">
        <v>108</v>
      </c>
      <c r="B62" s="50" t="s">
        <v>445</v>
      </c>
      <c r="C62" s="50" t="s">
        <v>446</v>
      </c>
      <c r="D62" s="33" t="s">
        <v>340</v>
      </c>
      <c r="E62" s="50" t="s">
        <v>1320</v>
      </c>
    </row>
    <row r="63" spans="1:5" ht="13.2">
      <c r="A63" s="61">
        <v>109</v>
      </c>
      <c r="B63" s="50" t="s">
        <v>1473</v>
      </c>
      <c r="C63" s="50" t="s">
        <v>1474</v>
      </c>
      <c r="D63" s="33" t="s">
        <v>1386</v>
      </c>
      <c r="E63" s="50" t="s">
        <v>1320</v>
      </c>
    </row>
    <row r="64" spans="1:5" ht="13.2">
      <c r="A64" s="61">
        <v>110</v>
      </c>
      <c r="B64" s="50" t="s">
        <v>1475</v>
      </c>
      <c r="C64" s="50" t="s">
        <v>866</v>
      </c>
      <c r="D64" s="33" t="s">
        <v>1555</v>
      </c>
      <c r="E64" s="50" t="s">
        <v>1321</v>
      </c>
    </row>
    <row r="65" spans="1:5" ht="13.2">
      <c r="A65" s="61">
        <v>111</v>
      </c>
      <c r="B65" s="50" t="s">
        <v>1476</v>
      </c>
      <c r="C65" s="50" t="s">
        <v>188</v>
      </c>
      <c r="D65" s="33" t="s">
        <v>3558</v>
      </c>
      <c r="E65" s="50" t="s">
        <v>1321</v>
      </c>
    </row>
    <row r="66" spans="1:5" ht="13.2">
      <c r="A66" s="61">
        <v>113</v>
      </c>
      <c r="B66" s="50" t="s">
        <v>1477</v>
      </c>
      <c r="C66" s="50" t="s">
        <v>72</v>
      </c>
      <c r="D66" s="33" t="s">
        <v>1895</v>
      </c>
      <c r="E66" s="50" t="s">
        <v>960</v>
      </c>
    </row>
    <row r="67" spans="1:5" ht="13.2">
      <c r="A67" s="61">
        <v>114</v>
      </c>
      <c r="B67" s="50" t="s">
        <v>1478</v>
      </c>
      <c r="C67" s="50" t="s">
        <v>72</v>
      </c>
      <c r="D67" s="33" t="s">
        <v>1553</v>
      </c>
      <c r="E67" s="50" t="s">
        <v>1321</v>
      </c>
    </row>
    <row r="68" spans="1:5" ht="13.2">
      <c r="A68" s="61">
        <v>115</v>
      </c>
      <c r="B68" s="50" t="s">
        <v>1479</v>
      </c>
      <c r="C68" s="50" t="s">
        <v>79</v>
      </c>
      <c r="D68" s="33" t="s">
        <v>1560</v>
      </c>
      <c r="E68" s="50" t="s">
        <v>1321</v>
      </c>
    </row>
    <row r="69" spans="1:5" ht="13.2">
      <c r="A69" s="61">
        <v>116</v>
      </c>
      <c r="B69" s="50" t="s">
        <v>1466</v>
      </c>
      <c r="C69" s="50" t="s">
        <v>75</v>
      </c>
      <c r="D69" s="33" t="s">
        <v>1896</v>
      </c>
      <c r="E69" s="50" t="s">
        <v>633</v>
      </c>
    </row>
    <row r="70" spans="1:5" ht="13.2">
      <c r="A70" s="61">
        <v>117</v>
      </c>
      <c r="B70" s="50" t="s">
        <v>1467</v>
      </c>
      <c r="C70" s="50" t="s">
        <v>867</v>
      </c>
      <c r="D70" s="33" t="s">
        <v>1545</v>
      </c>
      <c r="E70" s="50" t="s">
        <v>2126</v>
      </c>
    </row>
    <row r="71" spans="1:5" ht="13.2">
      <c r="A71" s="61">
        <v>118</v>
      </c>
      <c r="B71" s="50" t="s">
        <v>1468</v>
      </c>
      <c r="C71" s="50" t="s">
        <v>190</v>
      </c>
      <c r="D71" s="33" t="s">
        <v>2093</v>
      </c>
      <c r="E71" s="50" t="s">
        <v>1322</v>
      </c>
    </row>
    <row r="72" spans="1:5" ht="13.2">
      <c r="A72" s="61">
        <v>119</v>
      </c>
      <c r="B72" s="50" t="s">
        <v>1469</v>
      </c>
      <c r="C72" s="50" t="s">
        <v>261</v>
      </c>
      <c r="D72" s="33" t="s">
        <v>548</v>
      </c>
      <c r="E72" s="50" t="s">
        <v>2126</v>
      </c>
    </row>
    <row r="73" spans="1:5" ht="13.2">
      <c r="A73" s="61">
        <v>120</v>
      </c>
      <c r="B73" s="50" t="s">
        <v>1470</v>
      </c>
      <c r="C73" s="50" t="s">
        <v>261</v>
      </c>
      <c r="D73" s="33" t="s">
        <v>2933</v>
      </c>
      <c r="E73" s="50" t="s">
        <v>1586</v>
      </c>
    </row>
    <row r="74" spans="1:5" ht="13.2">
      <c r="A74" s="61">
        <v>121</v>
      </c>
      <c r="B74" s="50" t="s">
        <v>1471</v>
      </c>
      <c r="C74" s="50" t="s">
        <v>1472</v>
      </c>
      <c r="D74" s="33" t="s">
        <v>3071</v>
      </c>
      <c r="E74" s="50" t="s">
        <v>1586</v>
      </c>
    </row>
    <row r="75" spans="1:5" ht="13.2">
      <c r="A75" s="61">
        <v>122</v>
      </c>
      <c r="B75" s="50" t="s">
        <v>191</v>
      </c>
      <c r="C75" s="50" t="s">
        <v>866</v>
      </c>
      <c r="D75" s="33" t="s">
        <v>1897</v>
      </c>
      <c r="E75" s="50" t="s">
        <v>2126</v>
      </c>
    </row>
    <row r="76" spans="1:5" ht="13.2">
      <c r="A76" s="61">
        <v>123</v>
      </c>
      <c r="B76" s="50" t="s">
        <v>192</v>
      </c>
      <c r="C76" s="50" t="s">
        <v>866</v>
      </c>
      <c r="D76" s="33" t="s">
        <v>1898</v>
      </c>
      <c r="E76" s="50" t="s">
        <v>2127</v>
      </c>
    </row>
    <row r="77" spans="1:5" ht="13.2">
      <c r="A77" s="61">
        <v>124</v>
      </c>
      <c r="B77" s="50" t="s">
        <v>193</v>
      </c>
      <c r="C77" s="50" t="s">
        <v>194</v>
      </c>
      <c r="D77" s="33" t="s">
        <v>347</v>
      </c>
      <c r="E77" s="50" t="s">
        <v>1321</v>
      </c>
    </row>
    <row r="78" spans="1:5" ht="13.2">
      <c r="A78" s="61">
        <v>125</v>
      </c>
      <c r="B78" s="50" t="s">
        <v>195</v>
      </c>
      <c r="C78" s="50" t="s">
        <v>642</v>
      </c>
      <c r="D78" s="33" t="s">
        <v>3559</v>
      </c>
      <c r="E78" s="50" t="s">
        <v>1585</v>
      </c>
    </row>
    <row r="79" spans="1:5" ht="13.2">
      <c r="A79" s="61">
        <v>126</v>
      </c>
      <c r="B79" s="50" t="s">
        <v>937</v>
      </c>
      <c r="C79" s="50" t="s">
        <v>1197</v>
      </c>
      <c r="D79" s="33" t="s">
        <v>3560</v>
      </c>
      <c r="E79" s="50" t="s">
        <v>1339</v>
      </c>
    </row>
    <row r="80" spans="1:5" ht="13.2">
      <c r="A80" s="61">
        <v>127</v>
      </c>
      <c r="B80" s="50" t="s">
        <v>196</v>
      </c>
      <c r="C80" s="50" t="s">
        <v>197</v>
      </c>
      <c r="D80" s="33" t="s">
        <v>1569</v>
      </c>
      <c r="E80" s="50" t="s">
        <v>2127</v>
      </c>
    </row>
    <row r="81" spans="1:5" ht="13.2">
      <c r="A81" s="61">
        <v>129</v>
      </c>
      <c r="B81" s="50" t="s">
        <v>200</v>
      </c>
      <c r="C81" s="50" t="s">
        <v>201</v>
      </c>
      <c r="D81" s="33" t="s">
        <v>3561</v>
      </c>
      <c r="E81" s="50" t="s">
        <v>1320</v>
      </c>
    </row>
    <row r="82" spans="1:5" ht="13.2">
      <c r="A82" s="61">
        <v>131</v>
      </c>
      <c r="B82" s="50" t="s">
        <v>202</v>
      </c>
      <c r="C82" s="50" t="s">
        <v>203</v>
      </c>
      <c r="D82" s="33" t="s">
        <v>1573</v>
      </c>
      <c r="E82" s="50" t="s">
        <v>2036</v>
      </c>
    </row>
    <row r="83" spans="1:5" ht="13.2">
      <c r="A83" s="61">
        <v>135</v>
      </c>
      <c r="B83" s="50" t="s">
        <v>204</v>
      </c>
      <c r="C83" s="50" t="s">
        <v>261</v>
      </c>
      <c r="D83" s="33" t="s">
        <v>1899</v>
      </c>
      <c r="E83" s="50" t="s">
        <v>1320</v>
      </c>
    </row>
    <row r="84" spans="1:5" ht="13.2">
      <c r="A84" s="61">
        <v>137</v>
      </c>
      <c r="B84" s="50" t="s">
        <v>205</v>
      </c>
      <c r="C84" s="50" t="s">
        <v>867</v>
      </c>
      <c r="D84" s="33" t="s">
        <v>1568</v>
      </c>
      <c r="E84" s="50" t="s">
        <v>1321</v>
      </c>
    </row>
    <row r="85" spans="1:5" ht="13.2">
      <c r="A85" s="61">
        <v>138</v>
      </c>
      <c r="B85" s="50" t="s">
        <v>181</v>
      </c>
      <c r="C85" s="50" t="s">
        <v>182</v>
      </c>
      <c r="D85" s="33" t="s">
        <v>3562</v>
      </c>
      <c r="E85" s="50" t="s">
        <v>1585</v>
      </c>
    </row>
    <row r="86" spans="1:5" ht="13.2">
      <c r="A86" s="61">
        <v>139</v>
      </c>
      <c r="B86" s="50" t="s">
        <v>183</v>
      </c>
      <c r="C86" s="50" t="s">
        <v>425</v>
      </c>
      <c r="D86" s="33" t="s">
        <v>1393</v>
      </c>
      <c r="E86" s="50" t="s">
        <v>1321</v>
      </c>
    </row>
    <row r="87" spans="1:5" ht="13.2">
      <c r="A87" s="61">
        <v>141</v>
      </c>
      <c r="B87" s="50" t="s">
        <v>312</v>
      </c>
      <c r="C87" s="50" t="s">
        <v>866</v>
      </c>
      <c r="D87" s="33" t="s">
        <v>1394</v>
      </c>
      <c r="E87" s="50" t="s">
        <v>223</v>
      </c>
    </row>
    <row r="88" spans="1:5" ht="13.2">
      <c r="A88" s="61">
        <v>142</v>
      </c>
      <c r="B88" s="50" t="s">
        <v>313</v>
      </c>
      <c r="C88" s="50" t="s">
        <v>188</v>
      </c>
      <c r="D88" s="33" t="s">
        <v>3563</v>
      </c>
      <c r="E88" s="50" t="s">
        <v>1585</v>
      </c>
    </row>
    <row r="89" spans="1:5" ht="13.2">
      <c r="A89" s="61">
        <v>143</v>
      </c>
      <c r="B89" s="50" t="s">
        <v>314</v>
      </c>
      <c r="C89" s="50" t="s">
        <v>188</v>
      </c>
      <c r="D89" s="33" t="s">
        <v>3564</v>
      </c>
      <c r="E89" s="50" t="s">
        <v>1586</v>
      </c>
    </row>
    <row r="90" spans="1:5" ht="13.2">
      <c r="A90" s="61">
        <v>144</v>
      </c>
      <c r="B90" s="50" t="s">
        <v>743</v>
      </c>
      <c r="C90" s="50" t="s">
        <v>127</v>
      </c>
      <c r="D90" s="33" t="s">
        <v>1382</v>
      </c>
      <c r="E90" s="50" t="s">
        <v>1586</v>
      </c>
    </row>
    <row r="91" spans="1:5" ht="13.2">
      <c r="A91" s="61">
        <v>146</v>
      </c>
      <c r="B91" s="50" t="s">
        <v>374</v>
      </c>
      <c r="C91" s="50" t="s">
        <v>79</v>
      </c>
      <c r="D91" s="33" t="s">
        <v>3535</v>
      </c>
      <c r="E91" s="50" t="s">
        <v>223</v>
      </c>
    </row>
    <row r="92" spans="1:5" ht="13.2">
      <c r="A92" s="61">
        <v>150</v>
      </c>
      <c r="B92" s="50" t="s">
        <v>375</v>
      </c>
      <c r="C92" s="50" t="s">
        <v>446</v>
      </c>
      <c r="D92" s="33" t="s">
        <v>3104</v>
      </c>
      <c r="E92" s="50" t="s">
        <v>1339</v>
      </c>
    </row>
    <row r="93" spans="1:5" ht="13.2">
      <c r="A93" s="61">
        <v>151</v>
      </c>
      <c r="B93" s="50" t="s">
        <v>376</v>
      </c>
      <c r="C93" s="50" t="s">
        <v>194</v>
      </c>
      <c r="D93" s="33" t="s">
        <v>3545</v>
      </c>
      <c r="E93" s="50" t="s">
        <v>1322</v>
      </c>
    </row>
    <row r="94" spans="1:5" ht="13.2">
      <c r="A94" s="61">
        <v>152</v>
      </c>
      <c r="B94" s="50" t="s">
        <v>377</v>
      </c>
      <c r="C94" s="50" t="s">
        <v>378</v>
      </c>
      <c r="D94" s="33" t="s">
        <v>1900</v>
      </c>
      <c r="E94" s="50" t="s">
        <v>1320</v>
      </c>
    </row>
    <row r="95" spans="1:5" ht="13.2">
      <c r="A95" s="61">
        <v>153</v>
      </c>
      <c r="B95" s="50" t="s">
        <v>379</v>
      </c>
      <c r="C95" s="50" t="s">
        <v>866</v>
      </c>
      <c r="D95" s="33" t="s">
        <v>3565</v>
      </c>
      <c r="E95" s="50" t="s">
        <v>1321</v>
      </c>
    </row>
    <row r="96" spans="1:5" ht="13.2">
      <c r="A96" s="61">
        <v>154</v>
      </c>
      <c r="B96" s="50" t="s">
        <v>380</v>
      </c>
      <c r="C96" s="50" t="s">
        <v>190</v>
      </c>
      <c r="D96" s="33" t="s">
        <v>1579</v>
      </c>
      <c r="E96" s="50" t="s">
        <v>2035</v>
      </c>
    </row>
    <row r="97" spans="1:5" ht="13.2">
      <c r="A97" s="61">
        <v>155</v>
      </c>
      <c r="B97" s="50" t="s">
        <v>3295</v>
      </c>
      <c r="C97" s="50" t="s">
        <v>780</v>
      </c>
      <c r="D97" s="33" t="s">
        <v>2387</v>
      </c>
      <c r="E97" s="50" t="s">
        <v>1585</v>
      </c>
    </row>
    <row r="98" spans="1:5" ht="13.2">
      <c r="A98" s="61">
        <v>156</v>
      </c>
      <c r="B98" s="50" t="s">
        <v>381</v>
      </c>
      <c r="C98" s="50" t="s">
        <v>75</v>
      </c>
      <c r="D98" s="33" t="s">
        <v>1392</v>
      </c>
      <c r="E98" s="50" t="s">
        <v>1321</v>
      </c>
    </row>
    <row r="99" spans="1:5" ht="13.2">
      <c r="A99" s="61">
        <v>157</v>
      </c>
      <c r="B99" s="50" t="s">
        <v>382</v>
      </c>
      <c r="C99" s="50" t="s">
        <v>72</v>
      </c>
      <c r="D99" s="33" t="s">
        <v>1578</v>
      </c>
      <c r="E99" s="50" t="s">
        <v>1320</v>
      </c>
    </row>
    <row r="100" spans="1:5" ht="13.2">
      <c r="A100" s="61">
        <v>158</v>
      </c>
      <c r="B100" s="50" t="s">
        <v>383</v>
      </c>
      <c r="C100" s="50" t="s">
        <v>964</v>
      </c>
      <c r="D100" s="33" t="s">
        <v>3566</v>
      </c>
      <c r="E100" s="50" t="s">
        <v>1585</v>
      </c>
    </row>
    <row r="101" spans="1:5" ht="13.2">
      <c r="A101" s="61">
        <v>159</v>
      </c>
      <c r="B101" s="50" t="s">
        <v>644</v>
      </c>
      <c r="C101" s="50" t="s">
        <v>1197</v>
      </c>
      <c r="D101" s="33" t="s">
        <v>532</v>
      </c>
      <c r="E101" s="50" t="s">
        <v>1321</v>
      </c>
    </row>
    <row r="102" spans="1:5" ht="13.2">
      <c r="A102" s="61">
        <v>165</v>
      </c>
      <c r="B102" s="50" t="s">
        <v>337</v>
      </c>
      <c r="C102" s="50" t="s">
        <v>338</v>
      </c>
      <c r="D102" s="33" t="s">
        <v>1901</v>
      </c>
      <c r="E102" s="50" t="s">
        <v>1322</v>
      </c>
    </row>
    <row r="103" spans="1:5" ht="13.2">
      <c r="A103" s="61">
        <v>166</v>
      </c>
      <c r="B103" s="50" t="s">
        <v>469</v>
      </c>
      <c r="C103" s="50" t="s">
        <v>470</v>
      </c>
      <c r="D103" s="33" t="s">
        <v>1902</v>
      </c>
      <c r="E103" s="50" t="s">
        <v>1321</v>
      </c>
    </row>
    <row r="104" spans="1:5" ht="13.2">
      <c r="A104" s="61">
        <v>169</v>
      </c>
      <c r="B104" s="50" t="s">
        <v>471</v>
      </c>
      <c r="C104" s="50" t="s">
        <v>782</v>
      </c>
      <c r="D104" s="33" t="s">
        <v>3567</v>
      </c>
      <c r="E104" s="50" t="s">
        <v>1585</v>
      </c>
    </row>
    <row r="105" spans="1:5" ht="13.2">
      <c r="A105" s="61">
        <v>170</v>
      </c>
      <c r="B105" s="50" t="s">
        <v>472</v>
      </c>
      <c r="C105" s="50" t="s">
        <v>79</v>
      </c>
      <c r="D105" s="33" t="s">
        <v>528</v>
      </c>
      <c r="E105" s="50" t="s">
        <v>1321</v>
      </c>
    </row>
    <row r="106" spans="1:5" ht="13.2">
      <c r="A106" s="61">
        <v>172</v>
      </c>
      <c r="B106" s="50" t="s">
        <v>1097</v>
      </c>
      <c r="C106" s="50" t="s">
        <v>425</v>
      </c>
      <c r="D106" s="33" t="s">
        <v>1582</v>
      </c>
      <c r="E106" s="50" t="s">
        <v>1321</v>
      </c>
    </row>
    <row r="107" spans="1:5" ht="13.2">
      <c r="A107" s="61">
        <v>177</v>
      </c>
      <c r="B107" s="50" t="s">
        <v>3296</v>
      </c>
      <c r="C107" s="50" t="s">
        <v>194</v>
      </c>
      <c r="D107" s="33" t="s">
        <v>1369</v>
      </c>
      <c r="E107" s="50" t="s">
        <v>1320</v>
      </c>
    </row>
    <row r="108" spans="1:5" ht="13.2">
      <c r="A108" s="61">
        <v>179</v>
      </c>
      <c r="B108" s="50" t="s">
        <v>1101</v>
      </c>
      <c r="C108" s="50" t="s">
        <v>640</v>
      </c>
      <c r="D108" s="33" t="s">
        <v>3568</v>
      </c>
      <c r="E108" s="50" t="s">
        <v>1321</v>
      </c>
    </row>
    <row r="109" spans="1:5" ht="13.2">
      <c r="A109" s="61">
        <v>180</v>
      </c>
      <c r="B109" s="50" t="s">
        <v>1102</v>
      </c>
      <c r="C109" s="50" t="s">
        <v>635</v>
      </c>
      <c r="D109" s="33" t="s">
        <v>1903</v>
      </c>
      <c r="E109" s="50" t="s">
        <v>1320</v>
      </c>
    </row>
    <row r="110" spans="1:5" ht="13.2">
      <c r="A110" s="61">
        <v>182</v>
      </c>
      <c r="B110" s="50" t="s">
        <v>1103</v>
      </c>
      <c r="C110" s="50" t="s">
        <v>79</v>
      </c>
      <c r="D110" s="33" t="s">
        <v>342</v>
      </c>
      <c r="E110" s="50" t="s">
        <v>1320</v>
      </c>
    </row>
    <row r="111" spans="1:5" ht="13.2">
      <c r="A111" s="61">
        <v>185</v>
      </c>
      <c r="B111" s="50" t="s">
        <v>1104</v>
      </c>
      <c r="C111" s="50" t="s">
        <v>336</v>
      </c>
      <c r="D111" s="33" t="s">
        <v>3569</v>
      </c>
      <c r="E111" s="50" t="s">
        <v>1339</v>
      </c>
    </row>
    <row r="112" spans="1:5" ht="13.2">
      <c r="A112" s="61">
        <v>187</v>
      </c>
      <c r="B112" s="50" t="s">
        <v>1105</v>
      </c>
      <c r="C112" s="50" t="s">
        <v>642</v>
      </c>
      <c r="D112" s="33" t="s">
        <v>2110</v>
      </c>
      <c r="E112" s="50" t="s">
        <v>1339</v>
      </c>
    </row>
    <row r="113" spans="1:5" ht="13.2">
      <c r="A113" s="61">
        <v>188</v>
      </c>
      <c r="B113" s="50" t="s">
        <v>1106</v>
      </c>
      <c r="C113" s="50" t="s">
        <v>194</v>
      </c>
      <c r="D113" s="33" t="s">
        <v>3570</v>
      </c>
      <c r="E113" s="50" t="s">
        <v>1585</v>
      </c>
    </row>
    <row r="114" spans="1:5" ht="13.2">
      <c r="A114" s="61">
        <v>189</v>
      </c>
      <c r="B114" s="50" t="s">
        <v>315</v>
      </c>
      <c r="C114" s="50" t="s">
        <v>194</v>
      </c>
      <c r="D114" s="33" t="s">
        <v>1562</v>
      </c>
      <c r="E114" s="50" t="s">
        <v>1320</v>
      </c>
    </row>
    <row r="115" spans="1:5" ht="13.2">
      <c r="A115" s="61">
        <v>190</v>
      </c>
      <c r="B115" s="50" t="s">
        <v>316</v>
      </c>
      <c r="C115" s="50" t="s">
        <v>638</v>
      </c>
      <c r="D115" s="33" t="s">
        <v>1370</v>
      </c>
      <c r="E115" s="50" t="s">
        <v>2035</v>
      </c>
    </row>
    <row r="116" spans="1:5" ht="13.2">
      <c r="A116" s="61">
        <v>191</v>
      </c>
      <c r="B116" s="50" t="s">
        <v>59</v>
      </c>
      <c r="C116" s="50" t="s">
        <v>79</v>
      </c>
      <c r="D116" s="33" t="s">
        <v>3571</v>
      </c>
      <c r="E116" s="50" t="s">
        <v>1339</v>
      </c>
    </row>
    <row r="117" spans="1:5" ht="13.2">
      <c r="A117" s="61">
        <v>193</v>
      </c>
      <c r="B117" s="50" t="s">
        <v>60</v>
      </c>
      <c r="C117" s="50" t="s">
        <v>640</v>
      </c>
      <c r="D117" s="33" t="s">
        <v>3572</v>
      </c>
      <c r="E117" s="50" t="s">
        <v>1339</v>
      </c>
    </row>
    <row r="118" spans="1:5" ht="13.2">
      <c r="A118" s="61">
        <v>195</v>
      </c>
      <c r="B118" s="50" t="s">
        <v>61</v>
      </c>
      <c r="C118" s="50" t="s">
        <v>336</v>
      </c>
      <c r="D118" s="33" t="s">
        <v>349</v>
      </c>
      <c r="E118" s="50" t="s">
        <v>1339</v>
      </c>
    </row>
    <row r="119" spans="1:5" ht="13.2">
      <c r="A119" s="61">
        <v>196</v>
      </c>
      <c r="B119" s="50" t="s">
        <v>62</v>
      </c>
      <c r="C119" s="50" t="s">
        <v>635</v>
      </c>
      <c r="D119" s="33" t="s">
        <v>3573</v>
      </c>
      <c r="E119" s="50" t="s">
        <v>1339</v>
      </c>
    </row>
    <row r="120" spans="1:5" ht="13.2">
      <c r="A120" s="61">
        <v>197</v>
      </c>
      <c r="B120" s="50" t="s">
        <v>63</v>
      </c>
      <c r="C120" s="50" t="s">
        <v>964</v>
      </c>
      <c r="D120" s="33" t="s">
        <v>1570</v>
      </c>
      <c r="E120" s="50" t="s">
        <v>1585</v>
      </c>
    </row>
    <row r="121" spans="1:5" ht="13.2">
      <c r="A121" s="61">
        <v>198</v>
      </c>
      <c r="B121" s="50" t="s">
        <v>64</v>
      </c>
      <c r="C121" s="50" t="s">
        <v>65</v>
      </c>
      <c r="D121" s="33" t="s">
        <v>3574</v>
      </c>
      <c r="E121" s="50" t="s">
        <v>1585</v>
      </c>
    </row>
    <row r="122" spans="1:5" ht="13.2">
      <c r="A122" s="61">
        <v>201</v>
      </c>
      <c r="B122" s="50" t="s">
        <v>66</v>
      </c>
      <c r="C122" s="50" t="s">
        <v>1311</v>
      </c>
      <c r="D122" s="33" t="s">
        <v>3575</v>
      </c>
      <c r="E122" s="50" t="s">
        <v>390</v>
      </c>
    </row>
    <row r="123" spans="1:5" ht="13.2">
      <c r="A123" s="61">
        <v>204</v>
      </c>
      <c r="B123" s="50" t="s">
        <v>1312</v>
      </c>
      <c r="C123" s="50" t="s">
        <v>778</v>
      </c>
      <c r="D123" s="33" t="s">
        <v>3105</v>
      </c>
      <c r="E123" s="50" t="s">
        <v>2036</v>
      </c>
    </row>
    <row r="124" spans="1:5" ht="13.2">
      <c r="A124" s="61">
        <v>205</v>
      </c>
      <c r="B124" s="50" t="s">
        <v>381</v>
      </c>
      <c r="C124" s="50" t="s">
        <v>1313</v>
      </c>
      <c r="D124" s="33" t="s">
        <v>3366</v>
      </c>
      <c r="E124" s="50" t="s">
        <v>1339</v>
      </c>
    </row>
    <row r="125" spans="1:5" ht="13.2">
      <c r="A125" s="61">
        <v>207</v>
      </c>
      <c r="B125" s="50" t="s">
        <v>1314</v>
      </c>
      <c r="C125" s="50" t="s">
        <v>194</v>
      </c>
      <c r="D125" s="33" t="s">
        <v>1904</v>
      </c>
      <c r="E125" s="50" t="s">
        <v>1321</v>
      </c>
    </row>
    <row r="126" spans="1:5" ht="13.2">
      <c r="A126" s="61">
        <v>209</v>
      </c>
      <c r="B126" s="50" t="s">
        <v>1247</v>
      </c>
      <c r="C126" s="50" t="s">
        <v>263</v>
      </c>
      <c r="D126" s="33" t="s">
        <v>2806</v>
      </c>
      <c r="E126" s="50" t="s">
        <v>2036</v>
      </c>
    </row>
    <row r="127" spans="1:5" ht="13.2">
      <c r="A127" s="61">
        <v>210</v>
      </c>
      <c r="B127" s="50" t="s">
        <v>1248</v>
      </c>
      <c r="C127" s="50" t="s">
        <v>1197</v>
      </c>
      <c r="D127" s="33" t="s">
        <v>1371</v>
      </c>
      <c r="E127" s="50" t="s">
        <v>1225</v>
      </c>
    </row>
    <row r="128" spans="1:5" ht="13.2">
      <c r="A128" s="61">
        <v>211</v>
      </c>
      <c r="B128" s="50" t="s">
        <v>1249</v>
      </c>
      <c r="C128" s="50" t="s">
        <v>446</v>
      </c>
      <c r="D128" s="33" t="s">
        <v>3576</v>
      </c>
      <c r="E128" s="50" t="s">
        <v>1339</v>
      </c>
    </row>
    <row r="129" spans="1:5" ht="13.2">
      <c r="A129" s="61">
        <v>216</v>
      </c>
      <c r="B129" s="50" t="s">
        <v>1250</v>
      </c>
      <c r="C129" s="50" t="s">
        <v>640</v>
      </c>
      <c r="D129" s="33" t="s">
        <v>2396</v>
      </c>
      <c r="E129" s="50" t="s">
        <v>1585</v>
      </c>
    </row>
    <row r="130" spans="1:5" ht="13.2">
      <c r="A130" s="61">
        <v>217</v>
      </c>
      <c r="B130" s="50" t="s">
        <v>1251</v>
      </c>
      <c r="C130" s="50" t="s">
        <v>188</v>
      </c>
      <c r="D130" s="33" t="s">
        <v>3015</v>
      </c>
      <c r="E130" s="50" t="s">
        <v>1585</v>
      </c>
    </row>
    <row r="131" spans="1:5" ht="13.2">
      <c r="A131" s="61">
        <v>221</v>
      </c>
      <c r="B131" s="50" t="s">
        <v>1252</v>
      </c>
      <c r="C131" s="50" t="s">
        <v>79</v>
      </c>
      <c r="D131" s="33" t="s">
        <v>3577</v>
      </c>
      <c r="E131" s="50" t="s">
        <v>223</v>
      </c>
    </row>
    <row r="132" spans="1:5" ht="13.2">
      <c r="A132" s="61">
        <v>223</v>
      </c>
      <c r="B132" s="50" t="s">
        <v>1253</v>
      </c>
      <c r="C132" s="50" t="s">
        <v>194</v>
      </c>
      <c r="D132" s="33" t="s">
        <v>3578</v>
      </c>
      <c r="E132" s="50" t="s">
        <v>2287</v>
      </c>
    </row>
    <row r="133" spans="1:5" ht="13.2">
      <c r="A133" s="61">
        <v>224</v>
      </c>
      <c r="B133" s="50" t="s">
        <v>1254</v>
      </c>
      <c r="C133" s="50" t="s">
        <v>263</v>
      </c>
      <c r="D133" s="33" t="s">
        <v>1551</v>
      </c>
      <c r="E133" s="50" t="s">
        <v>1320</v>
      </c>
    </row>
    <row r="134" spans="1:5" ht="13.2">
      <c r="A134" s="61">
        <v>226</v>
      </c>
      <c r="B134" s="50" t="s">
        <v>1255</v>
      </c>
      <c r="C134" s="50" t="s">
        <v>867</v>
      </c>
      <c r="D134" s="33" t="s">
        <v>3579</v>
      </c>
      <c r="E134" s="50" t="s">
        <v>1585</v>
      </c>
    </row>
    <row r="135" spans="1:5" ht="13.2">
      <c r="A135" s="61">
        <v>227</v>
      </c>
      <c r="B135" s="50" t="s">
        <v>1256</v>
      </c>
      <c r="C135" s="50" t="s">
        <v>866</v>
      </c>
      <c r="D135" s="33" t="s">
        <v>3580</v>
      </c>
      <c r="E135" s="50" t="s">
        <v>2036</v>
      </c>
    </row>
    <row r="136" spans="1:5" ht="13.2">
      <c r="A136" s="61">
        <v>228</v>
      </c>
      <c r="B136" s="50" t="s">
        <v>476</v>
      </c>
      <c r="C136" s="50" t="s">
        <v>477</v>
      </c>
      <c r="D136" s="33" t="s">
        <v>3581</v>
      </c>
      <c r="E136" s="50" t="s">
        <v>1366</v>
      </c>
    </row>
    <row r="137" spans="1:5" ht="13.2">
      <c r="A137" s="61">
        <v>233</v>
      </c>
      <c r="B137" s="50" t="s">
        <v>1255</v>
      </c>
      <c r="C137" s="50" t="s">
        <v>478</v>
      </c>
      <c r="D137" s="33" t="s">
        <v>2090</v>
      </c>
      <c r="E137" s="50" t="s">
        <v>1322</v>
      </c>
    </row>
    <row r="138" spans="1:5" ht="13.2">
      <c r="A138" s="61">
        <v>234</v>
      </c>
      <c r="B138" s="50" t="s">
        <v>479</v>
      </c>
      <c r="C138" s="50" t="s">
        <v>336</v>
      </c>
      <c r="D138" s="33" t="s">
        <v>1905</v>
      </c>
      <c r="E138" s="50" t="s">
        <v>2127</v>
      </c>
    </row>
    <row r="139" spans="1:5" ht="13.2">
      <c r="A139" s="61">
        <v>235</v>
      </c>
      <c r="B139" s="50" t="s">
        <v>0</v>
      </c>
      <c r="C139" s="50" t="s">
        <v>263</v>
      </c>
      <c r="D139" s="33" t="s">
        <v>1906</v>
      </c>
      <c r="E139" s="50" t="s">
        <v>1321</v>
      </c>
    </row>
    <row r="140" spans="1:5" ht="13.2">
      <c r="A140" s="61">
        <v>236</v>
      </c>
      <c r="B140" s="50" t="s">
        <v>1436</v>
      </c>
      <c r="C140" s="50" t="s">
        <v>640</v>
      </c>
      <c r="D140" s="33" t="s">
        <v>1549</v>
      </c>
      <c r="E140" s="50" t="s">
        <v>1585</v>
      </c>
    </row>
    <row r="141" spans="1:5" ht="13.2">
      <c r="A141" s="61">
        <v>237</v>
      </c>
      <c r="B141" s="50" t="s">
        <v>1105</v>
      </c>
      <c r="C141" s="50" t="s">
        <v>866</v>
      </c>
      <c r="D141" s="33" t="s">
        <v>3583</v>
      </c>
      <c r="E141" s="50" t="s">
        <v>1585</v>
      </c>
    </row>
    <row r="142" spans="1:5" ht="13.2">
      <c r="A142" s="61">
        <v>238</v>
      </c>
      <c r="B142" s="50" t="s">
        <v>1255</v>
      </c>
      <c r="C142" s="50" t="s">
        <v>427</v>
      </c>
      <c r="D142" s="33" t="s">
        <v>1907</v>
      </c>
      <c r="E142" s="50" t="s">
        <v>1320</v>
      </c>
    </row>
    <row r="143" spans="1:5" ht="13.2">
      <c r="A143" s="61">
        <v>239</v>
      </c>
      <c r="B143" s="50" t="s">
        <v>241</v>
      </c>
      <c r="C143" s="50" t="s">
        <v>242</v>
      </c>
      <c r="D143" s="33" t="s">
        <v>1559</v>
      </c>
      <c r="E143" s="50" t="s">
        <v>1320</v>
      </c>
    </row>
    <row r="144" spans="1:5" ht="13.2">
      <c r="A144" s="61">
        <v>240</v>
      </c>
      <c r="B144" s="50" t="s">
        <v>243</v>
      </c>
      <c r="C144" s="50" t="s">
        <v>336</v>
      </c>
      <c r="D144" s="33" t="s">
        <v>3584</v>
      </c>
      <c r="E144" s="50" t="s">
        <v>1585</v>
      </c>
    </row>
    <row r="145" spans="1:5" ht="13.2">
      <c r="A145" s="61">
        <v>244</v>
      </c>
      <c r="B145" s="50" t="s">
        <v>244</v>
      </c>
      <c r="C145" s="50" t="s">
        <v>261</v>
      </c>
      <c r="D145" s="33" t="s">
        <v>3585</v>
      </c>
      <c r="E145" s="50" t="s">
        <v>223</v>
      </c>
    </row>
    <row r="146" spans="1:5" ht="13.2">
      <c r="A146" s="61">
        <v>245</v>
      </c>
      <c r="B146" s="50" t="s">
        <v>245</v>
      </c>
      <c r="C146" s="50" t="s">
        <v>246</v>
      </c>
      <c r="D146" s="33" t="s">
        <v>3106</v>
      </c>
      <c r="E146" s="50" t="s">
        <v>223</v>
      </c>
    </row>
    <row r="147" spans="1:5" ht="13.2">
      <c r="A147" s="61">
        <v>246</v>
      </c>
      <c r="B147" s="50" t="s">
        <v>1456</v>
      </c>
      <c r="C147" s="50" t="s">
        <v>1311</v>
      </c>
      <c r="D147" s="33" t="s">
        <v>3586</v>
      </c>
      <c r="E147" s="50" t="s">
        <v>1585</v>
      </c>
    </row>
    <row r="148" spans="1:5" ht="13.2">
      <c r="A148" s="61">
        <v>247</v>
      </c>
      <c r="B148" s="50" t="s">
        <v>1457</v>
      </c>
      <c r="C148" s="50" t="s">
        <v>635</v>
      </c>
      <c r="D148" s="33" t="s">
        <v>3587</v>
      </c>
      <c r="E148" s="50" t="s">
        <v>1585</v>
      </c>
    </row>
    <row r="149" spans="1:5" ht="13.2">
      <c r="A149" s="61">
        <v>248</v>
      </c>
      <c r="B149" s="50" t="s">
        <v>1458</v>
      </c>
      <c r="C149" s="50" t="s">
        <v>780</v>
      </c>
      <c r="D149" s="33" t="s">
        <v>3364</v>
      </c>
      <c r="E149" s="50" t="s">
        <v>1585</v>
      </c>
    </row>
    <row r="150" spans="1:5" ht="13.2">
      <c r="A150" s="61">
        <v>249</v>
      </c>
      <c r="B150" s="50" t="s">
        <v>1459</v>
      </c>
      <c r="C150" s="50" t="s">
        <v>640</v>
      </c>
      <c r="D150" s="33" t="s">
        <v>2616</v>
      </c>
      <c r="E150" s="50" t="s">
        <v>223</v>
      </c>
    </row>
    <row r="151" spans="1:5" ht="13.2">
      <c r="A151" s="61">
        <v>251</v>
      </c>
      <c r="B151" s="50" t="s">
        <v>1460</v>
      </c>
      <c r="C151" s="50" t="s">
        <v>194</v>
      </c>
      <c r="D151" s="33" t="s">
        <v>3588</v>
      </c>
      <c r="E151" s="50" t="s">
        <v>2036</v>
      </c>
    </row>
    <row r="152" spans="1:5" ht="13.2">
      <c r="A152" s="61">
        <v>252</v>
      </c>
      <c r="B152" s="50" t="s">
        <v>1461</v>
      </c>
      <c r="C152" s="50" t="s">
        <v>425</v>
      </c>
      <c r="D152" s="33" t="s">
        <v>2379</v>
      </c>
      <c r="E152" s="50" t="s">
        <v>1585</v>
      </c>
    </row>
    <row r="153" spans="1:5" ht="13.2">
      <c r="A153" s="61">
        <v>253</v>
      </c>
      <c r="B153" s="50" t="s">
        <v>1462</v>
      </c>
      <c r="C153" s="50" t="s">
        <v>777</v>
      </c>
      <c r="D153" s="33" t="s">
        <v>3589</v>
      </c>
      <c r="E153" s="50" t="s">
        <v>1585</v>
      </c>
    </row>
    <row r="154" spans="1:5" ht="13.2">
      <c r="A154" s="61">
        <v>255</v>
      </c>
      <c r="B154" s="50" t="s">
        <v>1463</v>
      </c>
      <c r="C154" s="50" t="s">
        <v>197</v>
      </c>
      <c r="D154" s="33" t="s">
        <v>3590</v>
      </c>
      <c r="E154" s="50" t="s">
        <v>2287</v>
      </c>
    </row>
    <row r="155" spans="1:5" ht="13.2">
      <c r="A155" s="61">
        <v>256</v>
      </c>
      <c r="B155" s="50" t="s">
        <v>1464</v>
      </c>
      <c r="C155" s="50" t="s">
        <v>199</v>
      </c>
      <c r="D155" s="33" t="s">
        <v>2071</v>
      </c>
      <c r="E155" s="50" t="s">
        <v>1322</v>
      </c>
    </row>
    <row r="156" spans="1:5" ht="13.2">
      <c r="A156" s="61">
        <v>258</v>
      </c>
      <c r="B156" s="50" t="s">
        <v>1465</v>
      </c>
      <c r="C156" s="50" t="s">
        <v>964</v>
      </c>
      <c r="D156" s="33" t="s">
        <v>3591</v>
      </c>
      <c r="E156" s="50" t="s">
        <v>1224</v>
      </c>
    </row>
    <row r="157" spans="1:5" ht="13.2">
      <c r="A157" s="61">
        <v>261</v>
      </c>
      <c r="B157" s="50" t="s">
        <v>1121</v>
      </c>
      <c r="C157" s="50" t="s">
        <v>780</v>
      </c>
      <c r="D157" s="33" t="s">
        <v>3592</v>
      </c>
      <c r="E157" s="50" t="s">
        <v>1339</v>
      </c>
    </row>
    <row r="158" spans="1:5" ht="13.2">
      <c r="A158" s="61">
        <v>264</v>
      </c>
      <c r="B158" s="50" t="s">
        <v>1122</v>
      </c>
      <c r="C158" s="50" t="s">
        <v>780</v>
      </c>
      <c r="D158" s="33" t="s">
        <v>3593</v>
      </c>
      <c r="E158" s="50" t="s">
        <v>1585</v>
      </c>
    </row>
    <row r="159" spans="1:5" ht="13.2">
      <c r="A159" s="61">
        <v>268</v>
      </c>
      <c r="B159" s="50" t="s">
        <v>1153</v>
      </c>
      <c r="C159" s="50" t="s">
        <v>188</v>
      </c>
      <c r="D159" s="33" t="s">
        <v>1383</v>
      </c>
      <c r="E159" s="50" t="s">
        <v>1320</v>
      </c>
    </row>
    <row r="160" spans="1:5" ht="13.2">
      <c r="A160" s="61">
        <v>269</v>
      </c>
      <c r="B160" s="50" t="s">
        <v>1154</v>
      </c>
      <c r="C160" s="50" t="s">
        <v>326</v>
      </c>
      <c r="D160" s="33" t="s">
        <v>1391</v>
      </c>
      <c r="E160" s="50" t="s">
        <v>2036</v>
      </c>
    </row>
    <row r="161" spans="1:5" ht="13.2">
      <c r="A161" s="61">
        <v>271</v>
      </c>
      <c r="B161" s="50" t="s">
        <v>1155</v>
      </c>
      <c r="C161" s="50" t="s">
        <v>336</v>
      </c>
      <c r="D161" s="33" t="s">
        <v>3594</v>
      </c>
      <c r="E161" s="50" t="s">
        <v>1585</v>
      </c>
    </row>
    <row r="162" spans="1:5" ht="13.2">
      <c r="A162" s="61">
        <v>272</v>
      </c>
      <c r="B162" s="50" t="s">
        <v>1156</v>
      </c>
      <c r="C162" s="50" t="s">
        <v>1157</v>
      </c>
      <c r="D162" s="33" t="s">
        <v>2835</v>
      </c>
      <c r="E162" s="50" t="s">
        <v>1339</v>
      </c>
    </row>
    <row r="163" spans="1:5" ht="13.2">
      <c r="A163" s="61">
        <v>274</v>
      </c>
      <c r="B163" s="50" t="s">
        <v>1158</v>
      </c>
      <c r="C163" s="50" t="s">
        <v>336</v>
      </c>
      <c r="D163" s="33" t="s">
        <v>3595</v>
      </c>
      <c r="E163" s="50" t="s">
        <v>223</v>
      </c>
    </row>
    <row r="164" spans="1:5" ht="13.2">
      <c r="A164" s="61">
        <v>275</v>
      </c>
      <c r="B164" s="50" t="s">
        <v>1159</v>
      </c>
      <c r="C164" s="50" t="s">
        <v>1311</v>
      </c>
      <c r="D164" s="33" t="s">
        <v>3596</v>
      </c>
      <c r="E164" s="50" t="s">
        <v>1339</v>
      </c>
    </row>
    <row r="165" spans="1:5" ht="13.2">
      <c r="A165" s="61">
        <v>276</v>
      </c>
      <c r="B165" s="50" t="s">
        <v>1160</v>
      </c>
      <c r="C165" s="50" t="s">
        <v>964</v>
      </c>
      <c r="D165" s="33" t="s">
        <v>3597</v>
      </c>
      <c r="E165" s="50" t="s">
        <v>1585</v>
      </c>
    </row>
    <row r="166" spans="1:5" ht="13.2">
      <c r="A166" s="61">
        <v>278</v>
      </c>
      <c r="B166" s="50" t="s">
        <v>1161</v>
      </c>
      <c r="C166" s="50" t="s">
        <v>1162</v>
      </c>
      <c r="D166" s="33" t="s">
        <v>3598</v>
      </c>
      <c r="E166" s="50" t="s">
        <v>451</v>
      </c>
    </row>
    <row r="167" spans="1:5" ht="13.2">
      <c r="A167" s="61">
        <v>279</v>
      </c>
      <c r="B167" s="50" t="s">
        <v>1163</v>
      </c>
      <c r="C167" s="50" t="s">
        <v>1474</v>
      </c>
      <c r="D167" s="33" t="s">
        <v>2471</v>
      </c>
      <c r="E167" s="50" t="s">
        <v>1320</v>
      </c>
    </row>
    <row r="168" spans="1:5" ht="13.2">
      <c r="A168" s="61">
        <v>282</v>
      </c>
      <c r="B168" s="50" t="s">
        <v>1164</v>
      </c>
      <c r="C168" s="50" t="s">
        <v>1165</v>
      </c>
      <c r="D168" s="33" t="s">
        <v>2867</v>
      </c>
      <c r="E168" s="50" t="s">
        <v>1339</v>
      </c>
    </row>
    <row r="169" spans="1:5" ht="13.2">
      <c r="A169" s="61">
        <v>287</v>
      </c>
      <c r="B169" s="50" t="s">
        <v>1166</v>
      </c>
      <c r="C169" s="50" t="s">
        <v>642</v>
      </c>
      <c r="D169" s="33" t="s">
        <v>339</v>
      </c>
      <c r="E169" s="50" t="s">
        <v>2036</v>
      </c>
    </row>
    <row r="170" spans="1:5" ht="13.2">
      <c r="A170" s="61">
        <v>288</v>
      </c>
      <c r="B170" s="50" t="s">
        <v>1167</v>
      </c>
      <c r="C170" s="50" t="s">
        <v>640</v>
      </c>
      <c r="D170" s="33" t="s">
        <v>3599</v>
      </c>
      <c r="E170" s="50" t="s">
        <v>1586</v>
      </c>
    </row>
    <row r="171" spans="1:5" ht="13.2">
      <c r="A171" s="61">
        <v>289</v>
      </c>
      <c r="B171" s="50" t="s">
        <v>1168</v>
      </c>
      <c r="C171" s="50" t="s">
        <v>194</v>
      </c>
      <c r="D171" s="33" t="s">
        <v>3056</v>
      </c>
      <c r="E171" s="50" t="s">
        <v>1339</v>
      </c>
    </row>
    <row r="172" spans="1:5" ht="13.2">
      <c r="A172" s="61">
        <v>292</v>
      </c>
      <c r="B172" s="50" t="s">
        <v>1169</v>
      </c>
      <c r="C172" s="50" t="s">
        <v>188</v>
      </c>
      <c r="D172" s="33" t="s">
        <v>346</v>
      </c>
      <c r="E172" s="50" t="s">
        <v>1320</v>
      </c>
    </row>
    <row r="173" spans="1:5" ht="13.2">
      <c r="A173" s="61">
        <v>293</v>
      </c>
      <c r="B173" s="50" t="s">
        <v>1170</v>
      </c>
      <c r="C173" s="50" t="s">
        <v>188</v>
      </c>
      <c r="D173" s="33" t="s">
        <v>2326</v>
      </c>
      <c r="E173" s="50" t="s">
        <v>1320</v>
      </c>
    </row>
    <row r="174" spans="1:5" ht="13.2">
      <c r="A174" s="61">
        <v>297</v>
      </c>
      <c r="B174" s="50" t="s">
        <v>1171</v>
      </c>
      <c r="C174" s="50" t="s">
        <v>194</v>
      </c>
      <c r="D174" s="33" t="s">
        <v>3600</v>
      </c>
      <c r="E174" s="50" t="s">
        <v>223</v>
      </c>
    </row>
    <row r="175" spans="1:5" ht="13.2">
      <c r="A175" s="61">
        <v>299</v>
      </c>
      <c r="B175" s="50" t="s">
        <v>1172</v>
      </c>
      <c r="C175" s="50" t="s">
        <v>79</v>
      </c>
      <c r="D175" s="33" t="s">
        <v>541</v>
      </c>
      <c r="E175" s="50" t="s">
        <v>1320</v>
      </c>
    </row>
    <row r="176" spans="1:5" ht="13.2">
      <c r="A176" s="61">
        <v>300</v>
      </c>
      <c r="B176" s="50" t="s">
        <v>1173</v>
      </c>
      <c r="C176" s="50" t="s">
        <v>777</v>
      </c>
      <c r="D176" s="33" t="s">
        <v>3601</v>
      </c>
      <c r="E176" s="50" t="s">
        <v>223</v>
      </c>
    </row>
    <row r="177" spans="1:5" ht="13.2">
      <c r="A177" s="61">
        <v>301</v>
      </c>
      <c r="B177" s="50" t="s">
        <v>1174</v>
      </c>
      <c r="C177" s="50" t="s">
        <v>1175</v>
      </c>
      <c r="D177" s="33" t="s">
        <v>3602</v>
      </c>
      <c r="E177" s="50" t="s">
        <v>1225</v>
      </c>
    </row>
    <row r="178" spans="1:5" ht="13.2">
      <c r="A178" s="61">
        <v>303</v>
      </c>
      <c r="B178" s="50" t="s">
        <v>861</v>
      </c>
      <c r="C178" s="50" t="s">
        <v>72</v>
      </c>
      <c r="D178" s="33" t="s">
        <v>3603</v>
      </c>
      <c r="E178" s="50" t="s">
        <v>1339</v>
      </c>
    </row>
    <row r="179" spans="1:5" ht="13.2">
      <c r="A179" s="61">
        <v>304</v>
      </c>
      <c r="B179" s="50" t="s">
        <v>1176</v>
      </c>
      <c r="C179" s="50" t="s">
        <v>1177</v>
      </c>
      <c r="D179" s="33" t="s">
        <v>2277</v>
      </c>
      <c r="E179" s="50" t="s">
        <v>1320</v>
      </c>
    </row>
    <row r="180" spans="1:5" ht="13.2">
      <c r="A180" s="61">
        <v>305</v>
      </c>
      <c r="B180" s="50" t="s">
        <v>1178</v>
      </c>
      <c r="C180" s="50" t="s">
        <v>75</v>
      </c>
      <c r="D180" s="33" t="s">
        <v>3604</v>
      </c>
      <c r="E180" s="50" t="s">
        <v>1225</v>
      </c>
    </row>
    <row r="181" spans="1:5" ht="13.2">
      <c r="A181" s="61">
        <v>308</v>
      </c>
      <c r="B181" s="50" t="s">
        <v>458</v>
      </c>
      <c r="C181" s="50" t="s">
        <v>336</v>
      </c>
      <c r="D181" s="33" t="s">
        <v>3605</v>
      </c>
      <c r="E181" s="50" t="s">
        <v>223</v>
      </c>
    </row>
    <row r="182" spans="1:5" ht="13.2">
      <c r="A182" s="61">
        <v>309</v>
      </c>
      <c r="B182" s="50" t="s">
        <v>459</v>
      </c>
      <c r="C182" s="50" t="s">
        <v>79</v>
      </c>
      <c r="D182" s="33" t="s">
        <v>1908</v>
      </c>
      <c r="E182" s="50" t="s">
        <v>1321</v>
      </c>
    </row>
    <row r="183" spans="1:5" ht="13.2">
      <c r="A183" s="61">
        <v>311</v>
      </c>
      <c r="B183" s="50" t="s">
        <v>460</v>
      </c>
      <c r="C183" s="50" t="s">
        <v>1197</v>
      </c>
      <c r="D183" s="33" t="s">
        <v>1397</v>
      </c>
      <c r="E183" s="50" t="s">
        <v>1585</v>
      </c>
    </row>
    <row r="184" spans="1:5" ht="13.2">
      <c r="A184" s="61">
        <v>313</v>
      </c>
      <c r="B184" s="50" t="s">
        <v>461</v>
      </c>
      <c r="C184" s="50" t="s">
        <v>77</v>
      </c>
      <c r="D184" s="33" t="s">
        <v>3414</v>
      </c>
      <c r="E184" s="50" t="s">
        <v>223</v>
      </c>
    </row>
    <row r="185" spans="1:5" ht="13.2">
      <c r="A185" s="61">
        <v>315</v>
      </c>
      <c r="B185" s="50" t="s">
        <v>462</v>
      </c>
      <c r="C185" s="50" t="s">
        <v>261</v>
      </c>
      <c r="D185" s="33" t="s">
        <v>3606</v>
      </c>
      <c r="E185" s="50" t="s">
        <v>1585</v>
      </c>
    </row>
    <row r="186" spans="1:5" ht="13.2">
      <c r="A186" s="61">
        <v>316</v>
      </c>
      <c r="B186" s="50" t="s">
        <v>463</v>
      </c>
      <c r="C186" s="50" t="s">
        <v>79</v>
      </c>
      <c r="D186" s="33" t="s">
        <v>1909</v>
      </c>
      <c r="E186" s="50" t="s">
        <v>1322</v>
      </c>
    </row>
    <row r="187" spans="1:5" ht="13.2">
      <c r="A187" s="61">
        <v>318</v>
      </c>
      <c r="B187" s="50" t="s">
        <v>262</v>
      </c>
      <c r="C187" s="50" t="s">
        <v>964</v>
      </c>
      <c r="D187" s="33" t="s">
        <v>1910</v>
      </c>
      <c r="E187" s="50" t="s">
        <v>1321</v>
      </c>
    </row>
    <row r="188" spans="1:5" ht="13.2">
      <c r="A188" s="61">
        <v>319</v>
      </c>
      <c r="B188" s="50" t="s">
        <v>464</v>
      </c>
      <c r="C188" s="50" t="s">
        <v>72</v>
      </c>
      <c r="D188" s="33" t="s">
        <v>2982</v>
      </c>
      <c r="E188" s="50" t="s">
        <v>1339</v>
      </c>
    </row>
    <row r="189" spans="1:5" ht="13.2">
      <c r="A189" s="61">
        <v>320</v>
      </c>
      <c r="B189" s="50" t="s">
        <v>465</v>
      </c>
      <c r="C189" s="50" t="s">
        <v>79</v>
      </c>
      <c r="D189" s="33" t="s">
        <v>3607</v>
      </c>
      <c r="E189" s="50" t="s">
        <v>731</v>
      </c>
    </row>
    <row r="190" spans="1:5" ht="13.2">
      <c r="A190" s="61">
        <v>322</v>
      </c>
      <c r="B190" s="50" t="s">
        <v>466</v>
      </c>
      <c r="C190" s="50" t="s">
        <v>188</v>
      </c>
      <c r="D190" s="33" t="s">
        <v>2102</v>
      </c>
      <c r="E190" s="50" t="s">
        <v>2126</v>
      </c>
    </row>
    <row r="191" spans="1:5" ht="13.2">
      <c r="A191" s="61">
        <v>325</v>
      </c>
      <c r="B191" s="50" t="s">
        <v>468</v>
      </c>
      <c r="C191" s="50" t="s">
        <v>190</v>
      </c>
      <c r="D191" s="33" t="s">
        <v>3086</v>
      </c>
      <c r="E191" s="50" t="s">
        <v>2036</v>
      </c>
    </row>
    <row r="192" spans="1:5" ht="13.2">
      <c r="A192" s="61">
        <v>330</v>
      </c>
      <c r="B192" s="50" t="s">
        <v>1239</v>
      </c>
      <c r="C192" s="50" t="s">
        <v>263</v>
      </c>
      <c r="D192" s="33" t="s">
        <v>2901</v>
      </c>
      <c r="E192" s="50" t="s">
        <v>1585</v>
      </c>
    </row>
    <row r="193" spans="1:5" ht="13.2">
      <c r="A193" s="61">
        <v>331</v>
      </c>
      <c r="B193" s="50" t="s">
        <v>357</v>
      </c>
      <c r="C193" s="50" t="s">
        <v>780</v>
      </c>
      <c r="D193" s="33" t="s">
        <v>3107</v>
      </c>
      <c r="E193" s="50" t="s">
        <v>223</v>
      </c>
    </row>
    <row r="194" spans="1:5" ht="13.2">
      <c r="A194" s="61">
        <v>332</v>
      </c>
      <c r="B194" s="50" t="s">
        <v>358</v>
      </c>
      <c r="C194" s="50" t="s">
        <v>777</v>
      </c>
      <c r="D194" s="33" t="s">
        <v>3608</v>
      </c>
      <c r="E194" s="50" t="s">
        <v>1585</v>
      </c>
    </row>
    <row r="195" spans="1:5" ht="13.2">
      <c r="A195" s="61">
        <v>333</v>
      </c>
      <c r="B195" s="50" t="s">
        <v>359</v>
      </c>
      <c r="C195" s="50" t="s">
        <v>1197</v>
      </c>
      <c r="D195" s="33" t="s">
        <v>3609</v>
      </c>
      <c r="E195" s="50" t="s">
        <v>1585</v>
      </c>
    </row>
    <row r="196" spans="1:5" ht="13.2">
      <c r="A196" s="61">
        <v>335</v>
      </c>
      <c r="B196" s="50" t="s">
        <v>360</v>
      </c>
      <c r="C196" s="50" t="s">
        <v>777</v>
      </c>
      <c r="D196" s="33" t="s">
        <v>1379</v>
      </c>
      <c r="E196" s="50" t="s">
        <v>1321</v>
      </c>
    </row>
    <row r="197" spans="1:5" ht="13.2">
      <c r="A197" s="61">
        <v>336</v>
      </c>
      <c r="B197" s="50" t="s">
        <v>1203</v>
      </c>
      <c r="C197" s="50" t="s">
        <v>635</v>
      </c>
      <c r="D197" s="33" t="s">
        <v>1575</v>
      </c>
      <c r="E197" s="50" t="s">
        <v>1320</v>
      </c>
    </row>
    <row r="198" spans="1:5" ht="13.2">
      <c r="A198" s="61">
        <v>338</v>
      </c>
      <c r="B198" s="50" t="s">
        <v>1204</v>
      </c>
      <c r="C198" s="50" t="s">
        <v>197</v>
      </c>
      <c r="D198" s="33" t="s">
        <v>1374</v>
      </c>
      <c r="E198" s="50" t="s">
        <v>1585</v>
      </c>
    </row>
    <row r="199" spans="1:5" ht="13.2">
      <c r="A199" s="61">
        <v>339</v>
      </c>
      <c r="B199" s="50" t="s">
        <v>1205</v>
      </c>
      <c r="C199" s="50" t="s">
        <v>190</v>
      </c>
      <c r="D199" s="33" t="s">
        <v>1911</v>
      </c>
      <c r="E199" s="50" t="s">
        <v>1321</v>
      </c>
    </row>
    <row r="200" spans="1:5" ht="13.2">
      <c r="A200" s="61">
        <v>340</v>
      </c>
      <c r="B200" s="50" t="s">
        <v>1087</v>
      </c>
      <c r="C200" s="50" t="s">
        <v>197</v>
      </c>
      <c r="D200" s="33" t="s">
        <v>3610</v>
      </c>
      <c r="E200" s="50" t="s">
        <v>1585</v>
      </c>
    </row>
    <row r="201" spans="1:5" ht="13.2">
      <c r="A201" s="61">
        <v>341</v>
      </c>
      <c r="B201" s="50" t="s">
        <v>1088</v>
      </c>
      <c r="C201" s="50" t="s">
        <v>777</v>
      </c>
      <c r="D201" s="33" t="s">
        <v>3108</v>
      </c>
      <c r="E201" s="50" t="s">
        <v>223</v>
      </c>
    </row>
    <row r="202" spans="1:5" ht="13.2">
      <c r="A202" s="61">
        <v>343</v>
      </c>
      <c r="B202" s="50" t="s">
        <v>746</v>
      </c>
      <c r="C202" s="50" t="s">
        <v>1157</v>
      </c>
      <c r="D202" s="33" t="s">
        <v>1912</v>
      </c>
      <c r="E202" s="50" t="s">
        <v>1320</v>
      </c>
    </row>
    <row r="203" spans="1:5" ht="13.2">
      <c r="A203" s="61">
        <v>344</v>
      </c>
      <c r="B203" s="50" t="s">
        <v>747</v>
      </c>
      <c r="C203" s="50" t="s">
        <v>964</v>
      </c>
      <c r="D203" s="33" t="s">
        <v>3611</v>
      </c>
      <c r="E203" s="50" t="s">
        <v>731</v>
      </c>
    </row>
    <row r="204" spans="1:5" ht="13.2">
      <c r="A204" s="61">
        <v>346</v>
      </c>
      <c r="B204" s="50" t="s">
        <v>748</v>
      </c>
      <c r="C204" s="50" t="s">
        <v>966</v>
      </c>
      <c r="D204" s="33" t="s">
        <v>3612</v>
      </c>
      <c r="E204" s="50" t="s">
        <v>451</v>
      </c>
    </row>
    <row r="205" spans="1:5" ht="13.2">
      <c r="A205" s="61">
        <v>347</v>
      </c>
      <c r="B205" s="50" t="s">
        <v>749</v>
      </c>
      <c r="C205" s="50" t="s">
        <v>1311</v>
      </c>
      <c r="D205" s="33" t="s">
        <v>3613</v>
      </c>
      <c r="E205" s="50" t="s">
        <v>223</v>
      </c>
    </row>
    <row r="206" spans="1:5" ht="13.2">
      <c r="A206" s="61">
        <v>348</v>
      </c>
      <c r="B206" s="50" t="s">
        <v>750</v>
      </c>
      <c r="C206" s="50" t="s">
        <v>780</v>
      </c>
      <c r="D206" s="33" t="s">
        <v>3614</v>
      </c>
      <c r="E206" s="50" t="s">
        <v>1586</v>
      </c>
    </row>
    <row r="207" spans="1:5" ht="13.2">
      <c r="A207" s="61">
        <v>349</v>
      </c>
      <c r="B207" s="50" t="s">
        <v>751</v>
      </c>
      <c r="C207" s="50" t="s">
        <v>425</v>
      </c>
      <c r="D207" s="33" t="s">
        <v>3615</v>
      </c>
      <c r="E207" s="50" t="s">
        <v>731</v>
      </c>
    </row>
    <row r="208" spans="1:5" ht="13.2">
      <c r="A208" s="61">
        <v>350</v>
      </c>
      <c r="B208" s="50" t="s">
        <v>469</v>
      </c>
      <c r="C208" s="50" t="s">
        <v>336</v>
      </c>
      <c r="D208" s="33" t="s">
        <v>3616</v>
      </c>
      <c r="E208" s="50" t="s">
        <v>223</v>
      </c>
    </row>
    <row r="209" spans="1:5" ht="13.2">
      <c r="A209" s="61">
        <v>351</v>
      </c>
      <c r="B209" s="50" t="s">
        <v>752</v>
      </c>
      <c r="C209" s="50" t="s">
        <v>1311</v>
      </c>
      <c r="D209" s="33" t="s">
        <v>3617</v>
      </c>
      <c r="E209" s="50" t="s">
        <v>1585</v>
      </c>
    </row>
    <row r="210" spans="1:5" ht="13.2">
      <c r="A210" s="61">
        <v>352</v>
      </c>
      <c r="B210" s="50" t="s">
        <v>753</v>
      </c>
      <c r="C210" s="50" t="s">
        <v>754</v>
      </c>
      <c r="D210" s="33" t="s">
        <v>1913</v>
      </c>
      <c r="E210" s="50" t="s">
        <v>1320</v>
      </c>
    </row>
    <row r="211" spans="1:5" ht="13.2">
      <c r="A211" s="61">
        <v>353</v>
      </c>
      <c r="B211" s="50" t="s">
        <v>198</v>
      </c>
      <c r="C211" s="50" t="s">
        <v>336</v>
      </c>
      <c r="D211" s="33" t="s">
        <v>3618</v>
      </c>
      <c r="E211" s="50" t="s">
        <v>223</v>
      </c>
    </row>
    <row r="212" spans="1:5" ht="13.2">
      <c r="A212" s="61">
        <v>355</v>
      </c>
      <c r="B212" s="50" t="s">
        <v>755</v>
      </c>
      <c r="C212" s="50" t="s">
        <v>867</v>
      </c>
      <c r="D212" s="33" t="s">
        <v>3619</v>
      </c>
      <c r="E212" s="50" t="s">
        <v>1339</v>
      </c>
    </row>
    <row r="213" spans="1:5" ht="13.2">
      <c r="A213" s="61">
        <v>358</v>
      </c>
      <c r="B213" s="50" t="s">
        <v>2098</v>
      </c>
      <c r="C213" s="50" t="s">
        <v>72</v>
      </c>
      <c r="D213" s="33" t="s">
        <v>3620</v>
      </c>
      <c r="E213" s="50" t="s">
        <v>1224</v>
      </c>
    </row>
    <row r="214" spans="1:5" ht="13.2">
      <c r="A214" s="61">
        <v>360</v>
      </c>
      <c r="B214" s="50" t="s">
        <v>756</v>
      </c>
      <c r="C214" s="50" t="s">
        <v>336</v>
      </c>
      <c r="D214" s="33" t="s">
        <v>1398</v>
      </c>
      <c r="E214" s="50" t="s">
        <v>1321</v>
      </c>
    </row>
    <row r="215" spans="1:5" ht="13.2">
      <c r="A215" s="61">
        <v>361</v>
      </c>
      <c r="B215" s="50" t="s">
        <v>757</v>
      </c>
      <c r="C215" s="50" t="s">
        <v>640</v>
      </c>
      <c r="D215" s="33" t="s">
        <v>3109</v>
      </c>
      <c r="E215" s="50" t="s">
        <v>1585</v>
      </c>
    </row>
    <row r="216" spans="1:5" ht="13.2">
      <c r="A216" s="61">
        <v>362</v>
      </c>
      <c r="B216" s="50" t="s">
        <v>758</v>
      </c>
      <c r="C216" s="50" t="s">
        <v>759</v>
      </c>
      <c r="D216" s="33" t="s">
        <v>3621</v>
      </c>
      <c r="E216" s="50" t="s">
        <v>1585</v>
      </c>
    </row>
    <row r="217" spans="1:5" ht="13.2">
      <c r="A217" s="61">
        <v>363</v>
      </c>
      <c r="B217" s="50" t="s">
        <v>760</v>
      </c>
      <c r="C217" s="50" t="s">
        <v>1175</v>
      </c>
      <c r="D217" s="33" t="s">
        <v>3340</v>
      </c>
      <c r="E217" s="50" t="s">
        <v>223</v>
      </c>
    </row>
    <row r="218" spans="1:5" ht="13.2">
      <c r="A218" s="61">
        <v>367</v>
      </c>
      <c r="B218" s="50" t="s">
        <v>761</v>
      </c>
      <c r="C218" s="50" t="s">
        <v>762</v>
      </c>
      <c r="D218" s="33" t="s">
        <v>1914</v>
      </c>
      <c r="E218" s="50" t="s">
        <v>2610</v>
      </c>
    </row>
    <row r="219" spans="1:5" ht="13.2">
      <c r="A219" s="61">
        <v>368</v>
      </c>
      <c r="B219" s="50" t="s">
        <v>763</v>
      </c>
      <c r="C219" s="50" t="s">
        <v>777</v>
      </c>
      <c r="D219" s="33" t="s">
        <v>2913</v>
      </c>
      <c r="E219" s="50" t="s">
        <v>1224</v>
      </c>
    </row>
    <row r="220" spans="1:5" ht="13.2">
      <c r="A220" s="61">
        <v>370</v>
      </c>
      <c r="B220" s="50" t="s">
        <v>764</v>
      </c>
      <c r="C220" s="50" t="s">
        <v>72</v>
      </c>
      <c r="D220" s="33" t="s">
        <v>1915</v>
      </c>
      <c r="E220" s="50" t="s">
        <v>2126</v>
      </c>
    </row>
    <row r="221" spans="1:5" ht="13.2">
      <c r="A221" s="61">
        <v>372</v>
      </c>
      <c r="B221" s="50" t="s">
        <v>615</v>
      </c>
      <c r="C221" s="50" t="s">
        <v>194</v>
      </c>
      <c r="D221" s="33" t="s">
        <v>2934</v>
      </c>
      <c r="E221" s="50" t="s">
        <v>731</v>
      </c>
    </row>
    <row r="222" spans="1:5" ht="13.2">
      <c r="A222" s="61">
        <v>373</v>
      </c>
      <c r="B222" s="50" t="s">
        <v>616</v>
      </c>
      <c r="C222" s="50" t="s">
        <v>617</v>
      </c>
      <c r="D222" s="33" t="s">
        <v>3622</v>
      </c>
      <c r="E222" s="50" t="s">
        <v>1225</v>
      </c>
    </row>
    <row r="223" spans="1:5" ht="13.2">
      <c r="A223" s="61">
        <v>375</v>
      </c>
      <c r="B223" s="50" t="s">
        <v>618</v>
      </c>
      <c r="C223" s="50" t="s">
        <v>190</v>
      </c>
      <c r="D223" s="33" t="s">
        <v>1378</v>
      </c>
      <c r="E223" s="50" t="s">
        <v>1320</v>
      </c>
    </row>
    <row r="224" spans="1:5" ht="13.2">
      <c r="A224" s="61">
        <v>376</v>
      </c>
      <c r="B224" s="50" t="s">
        <v>130</v>
      </c>
      <c r="C224" s="50" t="s">
        <v>79</v>
      </c>
      <c r="D224" s="33" t="s">
        <v>3623</v>
      </c>
      <c r="E224" s="50" t="s">
        <v>1586</v>
      </c>
    </row>
    <row r="225" spans="1:5" ht="13.2">
      <c r="A225" s="61">
        <v>378</v>
      </c>
      <c r="B225" s="50" t="s">
        <v>131</v>
      </c>
      <c r="C225" s="50" t="s">
        <v>778</v>
      </c>
      <c r="D225" s="33" t="s">
        <v>3624</v>
      </c>
      <c r="E225" s="50" t="s">
        <v>223</v>
      </c>
    </row>
    <row r="226" spans="1:5" ht="13.2">
      <c r="A226" s="61">
        <v>379</v>
      </c>
      <c r="B226" s="50" t="s">
        <v>460</v>
      </c>
      <c r="C226" s="50" t="s">
        <v>866</v>
      </c>
      <c r="D226" s="33" t="s">
        <v>3625</v>
      </c>
      <c r="E226" s="50" t="s">
        <v>223</v>
      </c>
    </row>
    <row r="227" spans="1:5" ht="13.2">
      <c r="A227" s="61">
        <v>380</v>
      </c>
      <c r="B227" s="50" t="s">
        <v>132</v>
      </c>
      <c r="C227" s="50" t="s">
        <v>133</v>
      </c>
      <c r="D227" s="33" t="s">
        <v>3626</v>
      </c>
      <c r="E227" s="50" t="s">
        <v>390</v>
      </c>
    </row>
    <row r="228" spans="1:5" ht="13.2">
      <c r="A228" s="61">
        <v>383</v>
      </c>
      <c r="B228" s="50" t="s">
        <v>134</v>
      </c>
      <c r="C228" s="50" t="s">
        <v>1311</v>
      </c>
      <c r="D228" s="33" t="s">
        <v>1574</v>
      </c>
      <c r="E228" s="50" t="s">
        <v>1320</v>
      </c>
    </row>
    <row r="229" spans="1:5" ht="13.2">
      <c r="A229" s="61">
        <v>386</v>
      </c>
      <c r="B229" s="50" t="s">
        <v>135</v>
      </c>
      <c r="C229" s="50" t="s">
        <v>263</v>
      </c>
      <c r="D229" s="33" t="s">
        <v>3627</v>
      </c>
      <c r="E229" s="50" t="s">
        <v>1225</v>
      </c>
    </row>
    <row r="230" spans="1:5" ht="13.2">
      <c r="A230" s="61">
        <v>387</v>
      </c>
      <c r="B230" s="50" t="s">
        <v>136</v>
      </c>
      <c r="C230" s="50" t="s">
        <v>72</v>
      </c>
      <c r="D230" s="33" t="s">
        <v>3628</v>
      </c>
      <c r="E230" s="50" t="s">
        <v>1585</v>
      </c>
    </row>
    <row r="231" spans="1:5" ht="13.2">
      <c r="A231" s="61">
        <v>388</v>
      </c>
      <c r="B231" s="50" t="s">
        <v>137</v>
      </c>
      <c r="C231" s="50" t="s">
        <v>640</v>
      </c>
      <c r="D231" s="33" t="s">
        <v>3629</v>
      </c>
      <c r="E231" s="50" t="s">
        <v>1585</v>
      </c>
    </row>
    <row r="232" spans="1:5" ht="13.2">
      <c r="A232" s="61">
        <v>389</v>
      </c>
      <c r="B232" s="50" t="s">
        <v>744</v>
      </c>
      <c r="C232" s="50" t="s">
        <v>640</v>
      </c>
      <c r="D232" s="33" t="s">
        <v>1916</v>
      </c>
      <c r="E232" s="50" t="s">
        <v>2127</v>
      </c>
    </row>
    <row r="233" spans="1:5" ht="13.2">
      <c r="A233" s="61">
        <v>390</v>
      </c>
      <c r="B233" s="50" t="s">
        <v>745</v>
      </c>
      <c r="C233" s="50" t="s">
        <v>263</v>
      </c>
      <c r="D233" s="33" t="s">
        <v>2406</v>
      </c>
      <c r="E233" s="50" t="s">
        <v>1320</v>
      </c>
    </row>
    <row r="234" spans="1:5" ht="13.2">
      <c r="A234" s="61">
        <v>391</v>
      </c>
      <c r="B234" s="50" t="s">
        <v>2590</v>
      </c>
      <c r="C234" s="50" t="s">
        <v>619</v>
      </c>
      <c r="D234" s="33" t="s">
        <v>3630</v>
      </c>
      <c r="E234" s="50" t="s">
        <v>1585</v>
      </c>
    </row>
    <row r="235" spans="1:5" ht="13.2">
      <c r="A235" s="61">
        <v>393</v>
      </c>
      <c r="B235" s="50" t="s">
        <v>620</v>
      </c>
      <c r="C235" s="50" t="s">
        <v>638</v>
      </c>
      <c r="D235" s="33" t="s">
        <v>2817</v>
      </c>
      <c r="E235" s="50" t="s">
        <v>223</v>
      </c>
    </row>
    <row r="236" spans="1:5" ht="13.2">
      <c r="A236" s="61">
        <v>400</v>
      </c>
      <c r="B236" s="50" t="s">
        <v>260</v>
      </c>
      <c r="C236" s="50" t="s">
        <v>1474</v>
      </c>
      <c r="D236" s="33" t="s">
        <v>1564</v>
      </c>
      <c r="E236" s="50" t="s">
        <v>1322</v>
      </c>
    </row>
    <row r="237" spans="1:5" ht="13.2">
      <c r="A237" s="61">
        <v>402</v>
      </c>
      <c r="B237" s="50" t="s">
        <v>621</v>
      </c>
      <c r="C237" s="50" t="s">
        <v>622</v>
      </c>
      <c r="D237" s="33" t="s">
        <v>1917</v>
      </c>
      <c r="E237" s="50" t="s">
        <v>633</v>
      </c>
    </row>
    <row r="238" spans="1:5" ht="13.2">
      <c r="A238" s="61">
        <v>405</v>
      </c>
      <c r="B238" s="50" t="s">
        <v>623</v>
      </c>
      <c r="C238" s="50" t="s">
        <v>1175</v>
      </c>
      <c r="D238" s="33" t="s">
        <v>3631</v>
      </c>
      <c r="E238" s="50" t="s">
        <v>1586</v>
      </c>
    </row>
    <row r="239" spans="1:5" ht="13.2">
      <c r="A239" s="61">
        <v>406</v>
      </c>
      <c r="B239" s="50" t="s">
        <v>624</v>
      </c>
      <c r="C239" s="50" t="s">
        <v>263</v>
      </c>
      <c r="D239" s="33" t="s">
        <v>2103</v>
      </c>
      <c r="E239" s="50" t="s">
        <v>2126</v>
      </c>
    </row>
    <row r="240" spans="1:5" ht="13.2">
      <c r="A240" s="61">
        <v>407</v>
      </c>
      <c r="B240" s="50" t="s">
        <v>625</v>
      </c>
      <c r="C240" s="50" t="s">
        <v>638</v>
      </c>
      <c r="D240" s="33" t="s">
        <v>1918</v>
      </c>
      <c r="E240" s="50" t="s">
        <v>1322</v>
      </c>
    </row>
    <row r="241" spans="1:5" ht="13.2">
      <c r="A241" s="61">
        <v>408</v>
      </c>
      <c r="B241" s="50" t="s">
        <v>1091</v>
      </c>
      <c r="C241" s="50" t="s">
        <v>446</v>
      </c>
      <c r="D241" s="33" t="s">
        <v>3632</v>
      </c>
      <c r="E241" s="50" t="s">
        <v>1339</v>
      </c>
    </row>
    <row r="242" spans="1:5" ht="13.2">
      <c r="A242" s="61">
        <v>411</v>
      </c>
      <c r="B242" s="50" t="s">
        <v>1092</v>
      </c>
      <c r="C242" s="50" t="s">
        <v>642</v>
      </c>
      <c r="D242" s="33" t="s">
        <v>2785</v>
      </c>
      <c r="E242" s="50" t="s">
        <v>1322</v>
      </c>
    </row>
    <row r="243" spans="1:5" ht="13.2">
      <c r="A243" s="61">
        <v>412</v>
      </c>
      <c r="B243" s="50" t="s">
        <v>1093</v>
      </c>
      <c r="C243" s="50" t="s">
        <v>642</v>
      </c>
      <c r="D243" s="33" t="s">
        <v>543</v>
      </c>
      <c r="E243" s="50" t="s">
        <v>2127</v>
      </c>
    </row>
    <row r="244" spans="1:5" ht="13.2">
      <c r="A244" s="61">
        <v>413</v>
      </c>
      <c r="B244" s="50" t="s">
        <v>472</v>
      </c>
      <c r="C244" s="50" t="s">
        <v>199</v>
      </c>
      <c r="D244" s="33" t="s">
        <v>3633</v>
      </c>
      <c r="E244" s="50" t="s">
        <v>2037</v>
      </c>
    </row>
    <row r="245" spans="1:5" ht="13.2">
      <c r="A245" s="61">
        <v>414</v>
      </c>
      <c r="B245" s="50" t="s">
        <v>1094</v>
      </c>
      <c r="C245" s="50" t="s">
        <v>75</v>
      </c>
      <c r="D245" s="33" t="s">
        <v>1919</v>
      </c>
      <c r="E245" s="50" t="s">
        <v>2127</v>
      </c>
    </row>
    <row r="246" spans="1:5" ht="13.2">
      <c r="A246" s="61">
        <v>416</v>
      </c>
      <c r="B246" s="50" t="s">
        <v>1095</v>
      </c>
      <c r="C246" s="50" t="s">
        <v>188</v>
      </c>
      <c r="D246" s="33" t="s">
        <v>540</v>
      </c>
      <c r="E246" s="50" t="s">
        <v>1321</v>
      </c>
    </row>
    <row r="247" spans="1:5" ht="13.2">
      <c r="A247" s="61">
        <v>417</v>
      </c>
      <c r="B247" s="50" t="s">
        <v>1096</v>
      </c>
      <c r="C247" s="50" t="s">
        <v>263</v>
      </c>
      <c r="D247" s="33" t="s">
        <v>2064</v>
      </c>
      <c r="E247" s="50" t="s">
        <v>960</v>
      </c>
    </row>
    <row r="248" spans="1:5" ht="13.2">
      <c r="A248" s="61">
        <v>421</v>
      </c>
      <c r="B248" s="50" t="s">
        <v>361</v>
      </c>
      <c r="C248" s="50" t="s">
        <v>362</v>
      </c>
      <c r="D248" s="33" t="s">
        <v>3634</v>
      </c>
      <c r="E248" s="50" t="s">
        <v>390</v>
      </c>
    </row>
    <row r="249" spans="1:5" ht="13.2">
      <c r="A249" s="61">
        <v>422</v>
      </c>
      <c r="B249" s="50" t="s">
        <v>363</v>
      </c>
      <c r="C249" s="50" t="s">
        <v>642</v>
      </c>
      <c r="D249" s="33" t="s">
        <v>3635</v>
      </c>
      <c r="E249" s="50" t="s">
        <v>451</v>
      </c>
    </row>
    <row r="250" spans="1:5" ht="13.2">
      <c r="A250" s="61">
        <v>423</v>
      </c>
      <c r="B250" s="50" t="s">
        <v>364</v>
      </c>
      <c r="C250" s="50" t="s">
        <v>635</v>
      </c>
      <c r="D250" s="33" t="s">
        <v>1920</v>
      </c>
      <c r="E250" s="50" t="s">
        <v>1322</v>
      </c>
    </row>
    <row r="251" spans="1:5" ht="13.2">
      <c r="A251" s="61">
        <v>424</v>
      </c>
      <c r="B251" s="50" t="s">
        <v>365</v>
      </c>
      <c r="C251" s="50" t="s">
        <v>326</v>
      </c>
      <c r="D251" s="33" t="s">
        <v>3110</v>
      </c>
      <c r="E251" s="50" t="s">
        <v>1585</v>
      </c>
    </row>
    <row r="252" spans="1:5" ht="13.2">
      <c r="A252" s="61">
        <v>425</v>
      </c>
      <c r="B252" s="50" t="s">
        <v>366</v>
      </c>
      <c r="C252" s="50" t="s">
        <v>964</v>
      </c>
      <c r="D252" s="33" t="s">
        <v>3636</v>
      </c>
      <c r="E252" s="50" t="s">
        <v>1321</v>
      </c>
    </row>
    <row r="253" spans="1:5" ht="13.2">
      <c r="A253" s="61">
        <v>426</v>
      </c>
      <c r="B253" s="50" t="s">
        <v>367</v>
      </c>
      <c r="C253" s="50" t="s">
        <v>75</v>
      </c>
      <c r="D253" s="33" t="s">
        <v>2961</v>
      </c>
      <c r="E253" s="50" t="s">
        <v>1585</v>
      </c>
    </row>
    <row r="254" spans="1:5" ht="13.2">
      <c r="A254" s="61">
        <v>428</v>
      </c>
      <c r="B254" s="50" t="s">
        <v>368</v>
      </c>
      <c r="C254" s="50" t="s">
        <v>1197</v>
      </c>
      <c r="D254" s="33" t="s">
        <v>3111</v>
      </c>
      <c r="E254" s="50" t="s">
        <v>1339</v>
      </c>
    </row>
    <row r="255" spans="1:5" ht="13.2">
      <c r="A255" s="61">
        <v>434</v>
      </c>
      <c r="B255" s="50" t="s">
        <v>369</v>
      </c>
      <c r="C255" s="50" t="s">
        <v>75</v>
      </c>
      <c r="D255" s="33" t="s">
        <v>1921</v>
      </c>
      <c r="E255" s="50" t="s">
        <v>1322</v>
      </c>
    </row>
    <row r="256" spans="1:5" ht="13.2">
      <c r="A256" s="61">
        <v>441</v>
      </c>
      <c r="B256" s="50" t="s">
        <v>371</v>
      </c>
      <c r="C256" s="50" t="s">
        <v>79</v>
      </c>
      <c r="D256" s="33" t="s">
        <v>3637</v>
      </c>
      <c r="E256" s="50" t="s">
        <v>1225</v>
      </c>
    </row>
    <row r="257" spans="1:5" ht="13.2">
      <c r="A257" s="61">
        <v>444</v>
      </c>
      <c r="B257" s="50" t="s">
        <v>372</v>
      </c>
      <c r="C257" s="50" t="s">
        <v>1311</v>
      </c>
      <c r="D257" s="33" t="s">
        <v>3638</v>
      </c>
      <c r="E257" s="50" t="s">
        <v>223</v>
      </c>
    </row>
    <row r="258" spans="1:5" ht="13.2">
      <c r="A258" s="61">
        <v>446</v>
      </c>
      <c r="B258" s="50" t="s">
        <v>373</v>
      </c>
      <c r="C258" s="50" t="s">
        <v>1197</v>
      </c>
      <c r="D258" s="33" t="s">
        <v>2778</v>
      </c>
      <c r="E258" s="50" t="s">
        <v>1322</v>
      </c>
    </row>
    <row r="259" spans="1:5" ht="13.2">
      <c r="A259" s="61">
        <v>448</v>
      </c>
      <c r="B259" s="50" t="s">
        <v>735</v>
      </c>
      <c r="C259" s="50" t="s">
        <v>1238</v>
      </c>
      <c r="D259" s="33" t="s">
        <v>3639</v>
      </c>
      <c r="E259" s="50" t="s">
        <v>1225</v>
      </c>
    </row>
    <row r="260" spans="1:5" ht="13.2">
      <c r="A260" s="61">
        <v>451</v>
      </c>
      <c r="B260" s="50" t="s">
        <v>736</v>
      </c>
      <c r="C260" s="50" t="s">
        <v>642</v>
      </c>
      <c r="D260" s="33" t="s">
        <v>3640</v>
      </c>
      <c r="E260" s="50" t="s">
        <v>392</v>
      </c>
    </row>
    <row r="261" spans="1:5" ht="13.2">
      <c r="A261" s="61">
        <v>452</v>
      </c>
      <c r="B261" s="50" t="s">
        <v>1100</v>
      </c>
      <c r="C261" s="50" t="s">
        <v>336</v>
      </c>
      <c r="D261" s="33" t="s">
        <v>3641</v>
      </c>
      <c r="E261" s="50" t="s">
        <v>1586</v>
      </c>
    </row>
    <row r="262" spans="1:5" ht="13.2">
      <c r="A262" s="61">
        <v>453</v>
      </c>
      <c r="B262" s="50" t="s">
        <v>737</v>
      </c>
      <c r="C262" s="50" t="s">
        <v>617</v>
      </c>
      <c r="D262" s="33" t="s">
        <v>3642</v>
      </c>
      <c r="E262" s="50" t="s">
        <v>1225</v>
      </c>
    </row>
    <row r="263" spans="1:5" ht="13.2">
      <c r="A263" s="61">
        <v>455</v>
      </c>
      <c r="B263" s="50" t="s">
        <v>327</v>
      </c>
      <c r="C263" s="50" t="s">
        <v>780</v>
      </c>
      <c r="D263" s="33" t="s">
        <v>3643</v>
      </c>
      <c r="E263" s="50" t="s">
        <v>1225</v>
      </c>
    </row>
    <row r="264" spans="1:5" ht="13.2">
      <c r="A264" s="61">
        <v>456</v>
      </c>
      <c r="B264" s="50" t="s">
        <v>1103</v>
      </c>
      <c r="C264" s="50" t="s">
        <v>738</v>
      </c>
      <c r="D264" s="33" t="s">
        <v>2318</v>
      </c>
      <c r="E264" s="50" t="s">
        <v>2126</v>
      </c>
    </row>
    <row r="265" spans="1:5" ht="13.2">
      <c r="A265" s="61">
        <v>457</v>
      </c>
      <c r="B265" s="50" t="s">
        <v>152</v>
      </c>
      <c r="C265" s="50" t="s">
        <v>640</v>
      </c>
      <c r="D265" s="33" t="s">
        <v>3074</v>
      </c>
      <c r="E265" s="50" t="s">
        <v>1585</v>
      </c>
    </row>
    <row r="266" spans="1:5" ht="13.2">
      <c r="A266" s="61">
        <v>461</v>
      </c>
      <c r="B266" s="50" t="s">
        <v>153</v>
      </c>
      <c r="C266" s="50" t="s">
        <v>1197</v>
      </c>
      <c r="D266" s="33" t="s">
        <v>2777</v>
      </c>
      <c r="E266" s="50" t="s">
        <v>2126</v>
      </c>
    </row>
    <row r="267" spans="1:5" ht="13.2">
      <c r="A267" s="61">
        <v>464</v>
      </c>
      <c r="B267" s="50" t="s">
        <v>154</v>
      </c>
      <c r="C267" s="50" t="s">
        <v>263</v>
      </c>
      <c r="D267" s="33" t="s">
        <v>3644</v>
      </c>
      <c r="E267" s="50" t="s">
        <v>2288</v>
      </c>
    </row>
    <row r="268" spans="1:5" ht="13.2">
      <c r="A268" s="61">
        <v>466</v>
      </c>
      <c r="B268" s="50" t="s">
        <v>155</v>
      </c>
      <c r="C268" s="50" t="s">
        <v>1197</v>
      </c>
      <c r="D268" s="33" t="s">
        <v>3645</v>
      </c>
      <c r="E268" s="50" t="s">
        <v>1586</v>
      </c>
    </row>
    <row r="269" spans="1:5" ht="13.2">
      <c r="A269" s="61">
        <v>469</v>
      </c>
      <c r="B269" s="50" t="s">
        <v>156</v>
      </c>
      <c r="C269" s="50" t="s">
        <v>263</v>
      </c>
      <c r="D269" s="33" t="s">
        <v>1388</v>
      </c>
      <c r="E269" s="50" t="s">
        <v>2126</v>
      </c>
    </row>
    <row r="270" spans="1:5" ht="13.2">
      <c r="A270" s="61">
        <v>476</v>
      </c>
      <c r="B270" s="50" t="s">
        <v>157</v>
      </c>
      <c r="C270" s="50" t="s">
        <v>197</v>
      </c>
      <c r="D270" s="33" t="s">
        <v>1922</v>
      </c>
      <c r="E270" s="50" t="s">
        <v>1322</v>
      </c>
    </row>
    <row r="271" spans="1:5" ht="13.2">
      <c r="A271" s="61">
        <v>477</v>
      </c>
      <c r="B271" s="50" t="s">
        <v>158</v>
      </c>
      <c r="C271" s="50" t="s">
        <v>866</v>
      </c>
      <c r="D271" s="33" t="s">
        <v>3646</v>
      </c>
      <c r="E271" s="50" t="s">
        <v>392</v>
      </c>
    </row>
    <row r="272" spans="1:5" ht="13.2">
      <c r="A272" s="61">
        <v>478</v>
      </c>
      <c r="B272" s="50" t="s">
        <v>938</v>
      </c>
      <c r="C272" s="50" t="s">
        <v>159</v>
      </c>
      <c r="D272" s="33" t="s">
        <v>3647</v>
      </c>
      <c r="E272" s="50" t="s">
        <v>2288</v>
      </c>
    </row>
    <row r="273" spans="1:5" ht="13.2">
      <c r="A273" s="61">
        <v>481</v>
      </c>
      <c r="B273" s="50" t="s">
        <v>160</v>
      </c>
      <c r="C273" s="50" t="s">
        <v>640</v>
      </c>
      <c r="D273" s="33" t="s">
        <v>3648</v>
      </c>
      <c r="E273" s="50" t="s">
        <v>1339</v>
      </c>
    </row>
    <row r="274" spans="1:5" ht="13.2">
      <c r="A274" s="61">
        <v>482</v>
      </c>
      <c r="B274" s="50" t="s">
        <v>765</v>
      </c>
      <c r="C274" s="50" t="s">
        <v>75</v>
      </c>
      <c r="D274" s="33" t="s">
        <v>3649</v>
      </c>
      <c r="E274" s="50" t="s">
        <v>390</v>
      </c>
    </row>
    <row r="275" spans="1:5" ht="13.2">
      <c r="A275" s="61">
        <v>483</v>
      </c>
      <c r="B275" s="50" t="s">
        <v>766</v>
      </c>
      <c r="C275" s="50" t="s">
        <v>242</v>
      </c>
      <c r="D275" s="33" t="s">
        <v>3650</v>
      </c>
      <c r="E275" s="50" t="s">
        <v>1225</v>
      </c>
    </row>
    <row r="276" spans="1:5" ht="13.2">
      <c r="A276" s="61">
        <v>484</v>
      </c>
      <c r="B276" s="50" t="s">
        <v>767</v>
      </c>
      <c r="C276" s="50" t="s">
        <v>336</v>
      </c>
      <c r="D276" s="33" t="s">
        <v>3651</v>
      </c>
      <c r="E276" s="50" t="s">
        <v>1225</v>
      </c>
    </row>
    <row r="277" spans="1:5" ht="13.2">
      <c r="A277" s="61">
        <v>485</v>
      </c>
      <c r="B277" s="50" t="s">
        <v>768</v>
      </c>
      <c r="C277" s="50" t="s">
        <v>72</v>
      </c>
      <c r="D277" s="33" t="s">
        <v>3652</v>
      </c>
      <c r="E277" s="50" t="s">
        <v>1225</v>
      </c>
    </row>
    <row r="278" spans="1:5" ht="13.2">
      <c r="A278" s="61">
        <v>487</v>
      </c>
      <c r="B278" s="50" t="s">
        <v>769</v>
      </c>
      <c r="C278" s="50" t="s">
        <v>77</v>
      </c>
      <c r="D278" s="33" t="s">
        <v>2919</v>
      </c>
      <c r="E278" s="50" t="s">
        <v>731</v>
      </c>
    </row>
    <row r="279" spans="1:5" ht="13.2">
      <c r="A279" s="61">
        <v>488</v>
      </c>
      <c r="B279" s="50" t="s">
        <v>770</v>
      </c>
      <c r="C279" s="50" t="s">
        <v>199</v>
      </c>
      <c r="D279" s="33" t="s">
        <v>3653</v>
      </c>
      <c r="E279" s="50" t="s">
        <v>1585</v>
      </c>
    </row>
    <row r="280" spans="1:5" ht="13.2">
      <c r="A280" s="61">
        <v>489</v>
      </c>
      <c r="B280" s="50" t="s">
        <v>946</v>
      </c>
      <c r="C280" s="50" t="s">
        <v>194</v>
      </c>
      <c r="D280" s="33" t="s">
        <v>3036</v>
      </c>
      <c r="E280" s="50" t="s">
        <v>1585</v>
      </c>
    </row>
    <row r="281" spans="1:5" ht="13.2">
      <c r="A281" s="61">
        <v>490</v>
      </c>
      <c r="B281" s="50" t="s">
        <v>947</v>
      </c>
      <c r="C281" s="50" t="s">
        <v>617</v>
      </c>
      <c r="D281" s="33" t="s">
        <v>1923</v>
      </c>
      <c r="E281" s="50" t="s">
        <v>1322</v>
      </c>
    </row>
    <row r="282" spans="1:5" ht="13.2">
      <c r="A282" s="61">
        <v>491</v>
      </c>
      <c r="B282" s="50" t="s">
        <v>948</v>
      </c>
      <c r="C282" s="50" t="s">
        <v>79</v>
      </c>
      <c r="D282" s="33" t="s">
        <v>1924</v>
      </c>
      <c r="E282" s="50" t="s">
        <v>1320</v>
      </c>
    </row>
    <row r="283" spans="1:5" ht="13.2">
      <c r="A283" s="61">
        <v>492</v>
      </c>
      <c r="B283" s="50" t="s">
        <v>949</v>
      </c>
      <c r="C283" s="50" t="s">
        <v>79</v>
      </c>
      <c r="D283" s="33" t="s">
        <v>547</v>
      </c>
      <c r="E283" s="50" t="s">
        <v>2126</v>
      </c>
    </row>
    <row r="284" spans="1:5" ht="13.2">
      <c r="A284" s="61">
        <v>493</v>
      </c>
      <c r="B284" s="50" t="s">
        <v>136</v>
      </c>
      <c r="C284" s="50" t="s">
        <v>261</v>
      </c>
      <c r="D284" s="33" t="s">
        <v>3654</v>
      </c>
      <c r="E284" s="50" t="s">
        <v>1321</v>
      </c>
    </row>
    <row r="285" spans="1:5" ht="13.2">
      <c r="A285" s="61">
        <v>494</v>
      </c>
      <c r="B285" s="50" t="s">
        <v>950</v>
      </c>
      <c r="C285" s="50" t="s">
        <v>188</v>
      </c>
      <c r="D285" s="33" t="s">
        <v>3655</v>
      </c>
      <c r="E285" s="50" t="s">
        <v>1339</v>
      </c>
    </row>
    <row r="286" spans="1:5" ht="13.2">
      <c r="A286" s="61">
        <v>495</v>
      </c>
      <c r="B286" s="50" t="s">
        <v>951</v>
      </c>
      <c r="C286" s="50" t="s">
        <v>1311</v>
      </c>
      <c r="D286" s="33" t="s">
        <v>3656</v>
      </c>
      <c r="E286" s="50" t="s">
        <v>1586</v>
      </c>
    </row>
    <row r="287" spans="1:5" ht="13.2">
      <c r="A287" s="61">
        <v>496</v>
      </c>
      <c r="B287" s="50" t="s">
        <v>358</v>
      </c>
      <c r="C287" s="50" t="s">
        <v>640</v>
      </c>
      <c r="D287" s="33" t="s">
        <v>3657</v>
      </c>
      <c r="E287" s="50" t="s">
        <v>1585</v>
      </c>
    </row>
    <row r="288" spans="1:5" ht="13.2">
      <c r="A288" s="61">
        <v>498</v>
      </c>
      <c r="B288" s="50" t="s">
        <v>952</v>
      </c>
      <c r="C288" s="50" t="s">
        <v>1245</v>
      </c>
      <c r="D288" s="33" t="s">
        <v>1581</v>
      </c>
      <c r="E288" s="50" t="s">
        <v>1322</v>
      </c>
    </row>
    <row r="289" spans="1:5" ht="13.2">
      <c r="A289" s="61">
        <v>499</v>
      </c>
      <c r="B289" s="50" t="s">
        <v>953</v>
      </c>
      <c r="C289" s="50" t="s">
        <v>336</v>
      </c>
      <c r="D289" s="33" t="s">
        <v>3658</v>
      </c>
      <c r="E289" s="50" t="s">
        <v>1585</v>
      </c>
    </row>
    <row r="290" spans="1:5" ht="13.2">
      <c r="A290" s="61">
        <v>500</v>
      </c>
      <c r="B290" s="50" t="s">
        <v>954</v>
      </c>
      <c r="C290" s="50" t="s">
        <v>336</v>
      </c>
      <c r="D290" s="33" t="s">
        <v>2897</v>
      </c>
      <c r="E290" s="50" t="s">
        <v>1585</v>
      </c>
    </row>
    <row r="291" spans="1:5" ht="13.2">
      <c r="A291" s="61">
        <v>501</v>
      </c>
      <c r="B291" s="50" t="s">
        <v>1249</v>
      </c>
      <c r="C291" s="50" t="s">
        <v>199</v>
      </c>
      <c r="D291" s="33" t="s">
        <v>3659</v>
      </c>
      <c r="E291" s="50" t="s">
        <v>1225</v>
      </c>
    </row>
    <row r="292" spans="1:5" ht="13.2">
      <c r="A292" s="61">
        <v>507</v>
      </c>
      <c r="B292" s="50" t="s">
        <v>955</v>
      </c>
      <c r="C292" s="50" t="s">
        <v>1197</v>
      </c>
      <c r="D292" s="33" t="s">
        <v>3660</v>
      </c>
      <c r="E292" s="50" t="s">
        <v>223</v>
      </c>
    </row>
    <row r="293" spans="1:5" ht="13.2">
      <c r="A293" s="61">
        <v>512</v>
      </c>
      <c r="B293" s="50" t="s">
        <v>956</v>
      </c>
      <c r="C293" s="50" t="s">
        <v>261</v>
      </c>
      <c r="D293" s="33" t="s">
        <v>3661</v>
      </c>
      <c r="E293" s="50" t="s">
        <v>223</v>
      </c>
    </row>
    <row r="294" spans="1:5" ht="13.2">
      <c r="A294" s="61">
        <v>515</v>
      </c>
      <c r="B294" s="50" t="s">
        <v>957</v>
      </c>
      <c r="C294" s="50" t="s">
        <v>79</v>
      </c>
      <c r="D294" s="33" t="s">
        <v>2472</v>
      </c>
      <c r="E294" s="50" t="s">
        <v>2036</v>
      </c>
    </row>
    <row r="295" spans="1:5" ht="13.2">
      <c r="A295" s="61">
        <v>516</v>
      </c>
      <c r="B295" s="50" t="s">
        <v>958</v>
      </c>
      <c r="C295" s="50" t="s">
        <v>190</v>
      </c>
      <c r="D295" s="33" t="s">
        <v>3662</v>
      </c>
      <c r="E295" s="50" t="s">
        <v>223</v>
      </c>
    </row>
    <row r="296" spans="1:5" ht="13.2">
      <c r="A296" s="61">
        <v>518</v>
      </c>
      <c r="B296" s="50" t="s">
        <v>959</v>
      </c>
      <c r="C296" s="50" t="s">
        <v>780</v>
      </c>
      <c r="D296" s="33" t="s">
        <v>2158</v>
      </c>
      <c r="E296" s="50" t="s">
        <v>2036</v>
      </c>
    </row>
    <row r="297" spans="1:5" ht="13.2">
      <c r="A297" s="61">
        <v>519</v>
      </c>
      <c r="B297" s="50" t="s">
        <v>209</v>
      </c>
      <c r="C297" s="50" t="s">
        <v>964</v>
      </c>
      <c r="D297" s="33" t="s">
        <v>3663</v>
      </c>
      <c r="E297" s="50" t="s">
        <v>223</v>
      </c>
    </row>
    <row r="298" spans="1:5" ht="13.2">
      <c r="A298" s="61">
        <v>520</v>
      </c>
      <c r="B298" s="50" t="s">
        <v>210</v>
      </c>
      <c r="C298" s="50" t="s">
        <v>75</v>
      </c>
      <c r="D298" s="33" t="s">
        <v>3415</v>
      </c>
      <c r="E298" s="50" t="s">
        <v>1339</v>
      </c>
    </row>
    <row r="299" spans="1:5" ht="13.2">
      <c r="A299" s="61">
        <v>521</v>
      </c>
      <c r="B299" s="50" t="s">
        <v>1046</v>
      </c>
      <c r="C299" s="50" t="s">
        <v>188</v>
      </c>
      <c r="D299" s="33" t="s">
        <v>3664</v>
      </c>
      <c r="E299" s="50" t="s">
        <v>2037</v>
      </c>
    </row>
    <row r="300" spans="1:5" ht="13.2">
      <c r="A300" s="61">
        <v>522</v>
      </c>
      <c r="B300" s="50" t="s">
        <v>1047</v>
      </c>
      <c r="C300" s="50" t="s">
        <v>964</v>
      </c>
      <c r="D300" s="33" t="s">
        <v>1925</v>
      </c>
      <c r="E300" s="50" t="s">
        <v>960</v>
      </c>
    </row>
    <row r="301" spans="1:5" ht="13.2">
      <c r="A301" s="61">
        <v>525</v>
      </c>
      <c r="B301" s="50" t="s">
        <v>1048</v>
      </c>
      <c r="C301" s="50" t="s">
        <v>188</v>
      </c>
      <c r="D301" s="33" t="s">
        <v>3665</v>
      </c>
      <c r="E301" s="50" t="s">
        <v>1224</v>
      </c>
    </row>
    <row r="302" spans="1:5" ht="13.2">
      <c r="A302" s="61">
        <v>526</v>
      </c>
      <c r="B302" s="50" t="s">
        <v>1049</v>
      </c>
      <c r="C302" s="50" t="s">
        <v>867</v>
      </c>
      <c r="D302" s="33" t="s">
        <v>3666</v>
      </c>
      <c r="E302" s="50" t="s">
        <v>731</v>
      </c>
    </row>
    <row r="303" spans="1:5" ht="13.2">
      <c r="A303" s="61">
        <v>528</v>
      </c>
      <c r="B303" s="50" t="s">
        <v>1050</v>
      </c>
      <c r="C303" s="50" t="s">
        <v>1311</v>
      </c>
      <c r="D303" s="33" t="s">
        <v>3667</v>
      </c>
      <c r="E303" s="50" t="s">
        <v>1225</v>
      </c>
    </row>
    <row r="304" spans="1:5" ht="13.2">
      <c r="A304" s="61">
        <v>530</v>
      </c>
      <c r="B304" s="50" t="s">
        <v>1051</v>
      </c>
      <c r="C304" s="50" t="s">
        <v>1052</v>
      </c>
      <c r="D304" s="33" t="s">
        <v>3668</v>
      </c>
      <c r="E304" s="50" t="s">
        <v>1585</v>
      </c>
    </row>
    <row r="305" spans="1:5" ht="13.2">
      <c r="A305" s="61">
        <v>531</v>
      </c>
      <c r="B305" s="50" t="s">
        <v>1053</v>
      </c>
      <c r="C305" s="50" t="s">
        <v>640</v>
      </c>
      <c r="D305" s="33" t="s">
        <v>3669</v>
      </c>
      <c r="E305" s="50" t="s">
        <v>2288</v>
      </c>
    </row>
    <row r="306" spans="1:5" ht="13.2">
      <c r="A306" s="61">
        <v>532</v>
      </c>
      <c r="B306" s="50" t="s">
        <v>1054</v>
      </c>
      <c r="C306" s="50" t="s">
        <v>79</v>
      </c>
      <c r="D306" s="33" t="s">
        <v>3670</v>
      </c>
      <c r="E306" s="50" t="s">
        <v>451</v>
      </c>
    </row>
    <row r="307" spans="1:5" ht="13.2">
      <c r="A307" s="61">
        <v>534</v>
      </c>
      <c r="B307" s="50" t="s">
        <v>1055</v>
      </c>
      <c r="C307" s="50" t="s">
        <v>1311</v>
      </c>
      <c r="D307" s="33" t="s">
        <v>3671</v>
      </c>
      <c r="E307" s="50" t="s">
        <v>1339</v>
      </c>
    </row>
    <row r="308" spans="1:5" ht="13.2">
      <c r="A308" s="61">
        <v>537</v>
      </c>
      <c r="B308" s="50" t="s">
        <v>1056</v>
      </c>
      <c r="C308" s="50" t="s">
        <v>188</v>
      </c>
      <c r="D308" s="33" t="s">
        <v>3672</v>
      </c>
      <c r="E308" s="50" t="s">
        <v>390</v>
      </c>
    </row>
    <row r="309" spans="1:5" ht="13.2">
      <c r="A309" s="61">
        <v>543</v>
      </c>
      <c r="B309" s="50" t="s">
        <v>1057</v>
      </c>
      <c r="C309" s="50" t="s">
        <v>72</v>
      </c>
      <c r="D309" s="33" t="s">
        <v>3673</v>
      </c>
      <c r="E309" s="50" t="s">
        <v>1320</v>
      </c>
    </row>
    <row r="310" spans="1:5" ht="13.2">
      <c r="A310" s="61">
        <v>545</v>
      </c>
      <c r="B310" s="50" t="s">
        <v>141</v>
      </c>
      <c r="C310" s="50" t="s">
        <v>640</v>
      </c>
      <c r="D310" s="33" t="s">
        <v>3674</v>
      </c>
      <c r="E310" s="50" t="s">
        <v>390</v>
      </c>
    </row>
    <row r="311" spans="1:5" ht="13.2">
      <c r="A311" s="61">
        <v>546</v>
      </c>
      <c r="B311" s="50" t="s">
        <v>138</v>
      </c>
      <c r="C311" s="50" t="s">
        <v>638</v>
      </c>
      <c r="D311" s="33" t="s">
        <v>3048</v>
      </c>
      <c r="E311" s="50" t="s">
        <v>1225</v>
      </c>
    </row>
    <row r="312" spans="1:5" ht="13.2">
      <c r="A312" s="61">
        <v>547</v>
      </c>
      <c r="B312" s="50" t="s">
        <v>139</v>
      </c>
      <c r="C312" s="50" t="s">
        <v>140</v>
      </c>
      <c r="D312" s="33" t="s">
        <v>538</v>
      </c>
      <c r="E312" s="50" t="s">
        <v>451</v>
      </c>
    </row>
    <row r="313" spans="1:5" ht="13.2">
      <c r="A313" s="61">
        <v>548</v>
      </c>
      <c r="B313" s="50" t="s">
        <v>1438</v>
      </c>
      <c r="C313" s="50" t="s">
        <v>194</v>
      </c>
      <c r="D313" s="33" t="s">
        <v>3675</v>
      </c>
      <c r="E313" s="50" t="s">
        <v>2037</v>
      </c>
    </row>
    <row r="314" spans="1:5" ht="13.2">
      <c r="A314" s="61">
        <v>549</v>
      </c>
      <c r="B314" s="50" t="s">
        <v>1439</v>
      </c>
      <c r="C314" s="50" t="s">
        <v>336</v>
      </c>
      <c r="D314" s="33" t="s">
        <v>3676</v>
      </c>
      <c r="E314" s="50" t="s">
        <v>731</v>
      </c>
    </row>
    <row r="315" spans="1:5" ht="13.2">
      <c r="A315" s="61">
        <v>550</v>
      </c>
      <c r="B315" s="50" t="s">
        <v>1440</v>
      </c>
      <c r="C315" s="50" t="s">
        <v>197</v>
      </c>
      <c r="D315" s="33" t="s">
        <v>3677</v>
      </c>
      <c r="E315" s="50" t="s">
        <v>2287</v>
      </c>
    </row>
    <row r="316" spans="1:5" ht="13.2">
      <c r="A316" s="61">
        <v>551</v>
      </c>
      <c r="B316" s="50" t="s">
        <v>1441</v>
      </c>
      <c r="C316" s="50" t="s">
        <v>777</v>
      </c>
      <c r="D316" s="33" t="s">
        <v>3678</v>
      </c>
      <c r="E316" s="50" t="s">
        <v>223</v>
      </c>
    </row>
    <row r="317" spans="1:5" ht="13.2">
      <c r="A317" s="61">
        <v>553</v>
      </c>
      <c r="B317" s="50" t="s">
        <v>1442</v>
      </c>
      <c r="C317" s="50" t="s">
        <v>640</v>
      </c>
      <c r="D317" s="33" t="s">
        <v>2780</v>
      </c>
      <c r="E317" s="50" t="s">
        <v>2126</v>
      </c>
    </row>
    <row r="318" spans="1:5" ht="13.2">
      <c r="A318" s="61">
        <v>554</v>
      </c>
      <c r="B318" s="50" t="s">
        <v>1443</v>
      </c>
      <c r="C318" s="50" t="s">
        <v>79</v>
      </c>
      <c r="D318" s="33" t="s">
        <v>3679</v>
      </c>
      <c r="E318" s="50" t="s">
        <v>1224</v>
      </c>
    </row>
    <row r="319" spans="1:5" ht="13.2">
      <c r="A319" s="61">
        <v>555</v>
      </c>
      <c r="B319" s="50" t="s">
        <v>1444</v>
      </c>
      <c r="C319" s="50" t="s">
        <v>964</v>
      </c>
      <c r="D319" s="33" t="s">
        <v>3680</v>
      </c>
      <c r="E319" s="50" t="s">
        <v>223</v>
      </c>
    </row>
    <row r="320" spans="1:5" ht="13.2">
      <c r="A320" s="61">
        <v>558</v>
      </c>
      <c r="B320" s="50" t="s">
        <v>1445</v>
      </c>
      <c r="C320" s="50" t="s">
        <v>188</v>
      </c>
      <c r="D320" s="33" t="s">
        <v>3386</v>
      </c>
      <c r="E320" s="50" t="s">
        <v>223</v>
      </c>
    </row>
    <row r="321" spans="1:5" ht="13.2">
      <c r="A321" s="61">
        <v>561</v>
      </c>
      <c r="B321" s="50" t="s">
        <v>1446</v>
      </c>
      <c r="C321" s="50" t="s">
        <v>1311</v>
      </c>
      <c r="D321" s="33" t="s">
        <v>2869</v>
      </c>
      <c r="E321" s="50" t="s">
        <v>223</v>
      </c>
    </row>
    <row r="322" spans="1:5" ht="13.2">
      <c r="A322" s="61">
        <v>562</v>
      </c>
      <c r="B322" s="50" t="s">
        <v>1447</v>
      </c>
      <c r="C322" s="50" t="s">
        <v>866</v>
      </c>
      <c r="D322" s="33" t="s">
        <v>2864</v>
      </c>
      <c r="E322" s="50" t="s">
        <v>223</v>
      </c>
    </row>
    <row r="323" spans="1:5" ht="13.2">
      <c r="A323" s="61">
        <v>564</v>
      </c>
      <c r="B323" s="50" t="s">
        <v>1448</v>
      </c>
      <c r="C323" s="50" t="s">
        <v>619</v>
      </c>
      <c r="D323" s="33" t="s">
        <v>3681</v>
      </c>
      <c r="E323" s="50" t="s">
        <v>223</v>
      </c>
    </row>
    <row r="324" spans="1:5" ht="13.2">
      <c r="A324" s="61">
        <v>565</v>
      </c>
      <c r="B324" s="50" t="s">
        <v>1449</v>
      </c>
      <c r="C324" s="50" t="s">
        <v>782</v>
      </c>
      <c r="D324" s="33" t="s">
        <v>2870</v>
      </c>
      <c r="E324" s="50" t="s">
        <v>223</v>
      </c>
    </row>
    <row r="325" spans="1:5" ht="13.2">
      <c r="A325" s="61">
        <v>566</v>
      </c>
      <c r="B325" s="50" t="s">
        <v>550</v>
      </c>
      <c r="C325" s="50" t="s">
        <v>864</v>
      </c>
      <c r="D325" s="33" t="s">
        <v>2991</v>
      </c>
      <c r="E325" s="50" t="s">
        <v>1339</v>
      </c>
    </row>
    <row r="326" spans="1:5" ht="13.2">
      <c r="A326" s="61">
        <v>567</v>
      </c>
      <c r="B326" s="50" t="s">
        <v>551</v>
      </c>
      <c r="C326" s="50" t="s">
        <v>370</v>
      </c>
      <c r="D326" s="33" t="s">
        <v>3682</v>
      </c>
      <c r="E326" s="50" t="s">
        <v>1585</v>
      </c>
    </row>
    <row r="327" spans="1:5" ht="13.2">
      <c r="A327" s="61">
        <v>568</v>
      </c>
      <c r="B327" s="50" t="s">
        <v>552</v>
      </c>
      <c r="C327" s="50" t="s">
        <v>553</v>
      </c>
      <c r="D327" s="33" t="s">
        <v>3683</v>
      </c>
      <c r="E327" s="50" t="s">
        <v>451</v>
      </c>
    </row>
    <row r="328" spans="1:5" ht="13.2">
      <c r="A328" s="61">
        <v>571</v>
      </c>
      <c r="B328" s="50" t="s">
        <v>554</v>
      </c>
      <c r="C328" s="50" t="s">
        <v>336</v>
      </c>
      <c r="D328" s="33" t="s">
        <v>2993</v>
      </c>
      <c r="E328" s="50" t="s">
        <v>2287</v>
      </c>
    </row>
    <row r="329" spans="1:5" ht="13.2">
      <c r="A329" s="61">
        <v>573</v>
      </c>
      <c r="B329" s="50" t="s">
        <v>555</v>
      </c>
      <c r="C329" s="50" t="s">
        <v>188</v>
      </c>
      <c r="D329" s="33" t="s">
        <v>3684</v>
      </c>
      <c r="E329" s="50" t="s">
        <v>1339</v>
      </c>
    </row>
    <row r="330" spans="1:5" ht="13.2">
      <c r="A330" s="61">
        <v>574</v>
      </c>
      <c r="B330" s="50" t="s">
        <v>556</v>
      </c>
      <c r="C330" s="50" t="s">
        <v>79</v>
      </c>
      <c r="D330" s="33" t="s">
        <v>3685</v>
      </c>
      <c r="E330" s="50" t="s">
        <v>223</v>
      </c>
    </row>
    <row r="331" spans="1:5" ht="13.2">
      <c r="A331" s="61">
        <v>575</v>
      </c>
      <c r="B331" s="50" t="s">
        <v>557</v>
      </c>
      <c r="C331" s="50" t="s">
        <v>964</v>
      </c>
      <c r="D331" s="33" t="s">
        <v>3686</v>
      </c>
      <c r="E331" s="50" t="s">
        <v>1339</v>
      </c>
    </row>
    <row r="332" spans="1:5" ht="13.2">
      <c r="A332" s="61">
        <v>576</v>
      </c>
      <c r="B332" s="50" t="s">
        <v>558</v>
      </c>
      <c r="C332" s="50" t="s">
        <v>1197</v>
      </c>
      <c r="D332" s="33" t="s">
        <v>3112</v>
      </c>
      <c r="E332" s="50" t="s">
        <v>1585</v>
      </c>
    </row>
    <row r="333" spans="1:5" ht="13.2">
      <c r="A333" s="61">
        <v>578</v>
      </c>
      <c r="B333" s="50" t="s">
        <v>559</v>
      </c>
      <c r="C333" s="50" t="s">
        <v>261</v>
      </c>
      <c r="D333" s="33" t="s">
        <v>3113</v>
      </c>
      <c r="E333" s="50" t="s">
        <v>2037</v>
      </c>
    </row>
    <row r="334" spans="1:5" ht="13.2">
      <c r="A334" s="61">
        <v>580</v>
      </c>
      <c r="B334" s="50" t="s">
        <v>560</v>
      </c>
      <c r="C334" s="50" t="s">
        <v>188</v>
      </c>
      <c r="D334" s="33" t="s">
        <v>2983</v>
      </c>
      <c r="E334" s="50" t="s">
        <v>223</v>
      </c>
    </row>
    <row r="335" spans="1:5" ht="13.2">
      <c r="A335" s="61">
        <v>581</v>
      </c>
      <c r="B335" s="50" t="s">
        <v>561</v>
      </c>
      <c r="C335" s="50" t="s">
        <v>635</v>
      </c>
      <c r="D335" s="33" t="s">
        <v>2390</v>
      </c>
      <c r="E335" s="50" t="s">
        <v>686</v>
      </c>
    </row>
    <row r="336" spans="1:5" ht="13.2">
      <c r="A336" s="61">
        <v>582</v>
      </c>
      <c r="B336" s="50" t="s">
        <v>562</v>
      </c>
      <c r="C336" s="50" t="s">
        <v>563</v>
      </c>
      <c r="D336" s="33" t="s">
        <v>3687</v>
      </c>
      <c r="E336" s="50" t="s">
        <v>1339</v>
      </c>
    </row>
    <row r="337" spans="1:5" ht="13.2">
      <c r="A337" s="61">
        <v>585</v>
      </c>
      <c r="B337" s="50" t="s">
        <v>564</v>
      </c>
      <c r="C337" s="50" t="s">
        <v>866</v>
      </c>
      <c r="D337" s="33" t="s">
        <v>1543</v>
      </c>
      <c r="E337" s="50" t="s">
        <v>1320</v>
      </c>
    </row>
    <row r="338" spans="1:5" ht="13.2">
      <c r="A338" s="61">
        <v>586</v>
      </c>
      <c r="B338" s="50" t="s">
        <v>3297</v>
      </c>
      <c r="C338" s="50" t="s">
        <v>242</v>
      </c>
      <c r="D338" s="33" t="s">
        <v>3114</v>
      </c>
      <c r="E338" s="50" t="s">
        <v>2036</v>
      </c>
    </row>
    <row r="339" spans="1:5" ht="13.2">
      <c r="A339" s="61">
        <v>588</v>
      </c>
      <c r="B339" s="50" t="s">
        <v>1058</v>
      </c>
      <c r="C339" s="50" t="s">
        <v>194</v>
      </c>
      <c r="D339" s="33" t="s">
        <v>3688</v>
      </c>
      <c r="E339" s="50" t="s">
        <v>392</v>
      </c>
    </row>
    <row r="340" spans="1:5" ht="13.2">
      <c r="A340" s="61">
        <v>590</v>
      </c>
      <c r="B340" s="50" t="s">
        <v>1059</v>
      </c>
      <c r="C340" s="50" t="s">
        <v>638</v>
      </c>
      <c r="D340" s="33" t="s">
        <v>3689</v>
      </c>
      <c r="E340" s="50" t="s">
        <v>731</v>
      </c>
    </row>
    <row r="341" spans="1:5" ht="13.2">
      <c r="A341" s="61">
        <v>596</v>
      </c>
      <c r="B341" s="50" t="s">
        <v>1061</v>
      </c>
      <c r="C341" s="50" t="s">
        <v>199</v>
      </c>
      <c r="D341" s="33" t="s">
        <v>3690</v>
      </c>
      <c r="E341" s="50" t="s">
        <v>1339</v>
      </c>
    </row>
    <row r="342" spans="1:5" ht="13.2">
      <c r="A342" s="61">
        <v>597</v>
      </c>
      <c r="B342" s="50" t="s">
        <v>870</v>
      </c>
      <c r="C342" s="50" t="s">
        <v>1313</v>
      </c>
      <c r="D342" s="33" t="s">
        <v>3691</v>
      </c>
      <c r="E342" s="50" t="s">
        <v>1585</v>
      </c>
    </row>
    <row r="343" spans="1:5" ht="13.2">
      <c r="A343" s="61">
        <v>598</v>
      </c>
      <c r="B343" s="50" t="s">
        <v>414</v>
      </c>
      <c r="C343" s="50" t="s">
        <v>446</v>
      </c>
      <c r="D343" s="33" t="s">
        <v>3692</v>
      </c>
      <c r="E343" s="50" t="s">
        <v>2518</v>
      </c>
    </row>
    <row r="344" spans="1:5" ht="13.2">
      <c r="A344" s="61">
        <v>600</v>
      </c>
      <c r="B344" s="50" t="s">
        <v>1104</v>
      </c>
      <c r="C344" s="50" t="s">
        <v>336</v>
      </c>
      <c r="D344" s="33" t="s">
        <v>3569</v>
      </c>
      <c r="E344" s="50" t="s">
        <v>1585</v>
      </c>
    </row>
    <row r="345" spans="1:5" ht="13.2">
      <c r="A345" s="61">
        <v>601</v>
      </c>
      <c r="B345" s="50" t="s">
        <v>352</v>
      </c>
      <c r="C345" s="50" t="s">
        <v>1197</v>
      </c>
      <c r="D345" s="33" t="s">
        <v>3693</v>
      </c>
      <c r="E345" s="50" t="s">
        <v>1339</v>
      </c>
    </row>
    <row r="346" spans="1:5" ht="13.2">
      <c r="A346" s="61">
        <v>602</v>
      </c>
      <c r="B346" s="50" t="s">
        <v>353</v>
      </c>
      <c r="C346" s="50" t="s">
        <v>261</v>
      </c>
      <c r="D346" s="33" t="s">
        <v>3115</v>
      </c>
      <c r="E346" s="50" t="s">
        <v>451</v>
      </c>
    </row>
    <row r="347" spans="1:5" ht="13.2">
      <c r="A347" s="61">
        <v>604</v>
      </c>
      <c r="B347" s="50" t="s">
        <v>354</v>
      </c>
      <c r="C347" s="50" t="s">
        <v>263</v>
      </c>
      <c r="D347" s="33" t="s">
        <v>2813</v>
      </c>
      <c r="E347" s="50" t="s">
        <v>223</v>
      </c>
    </row>
    <row r="348" spans="1:5" ht="13.2">
      <c r="A348" s="61">
        <v>606</v>
      </c>
      <c r="B348" s="50" t="s">
        <v>482</v>
      </c>
      <c r="C348" s="50" t="s">
        <v>194</v>
      </c>
      <c r="D348" s="33" t="s">
        <v>3694</v>
      </c>
      <c r="E348" s="50" t="s">
        <v>1225</v>
      </c>
    </row>
    <row r="349" spans="1:5" ht="13.2">
      <c r="A349" s="61">
        <v>608</v>
      </c>
      <c r="B349" s="50" t="s">
        <v>415</v>
      </c>
      <c r="C349" s="50" t="s">
        <v>263</v>
      </c>
      <c r="D349" s="33" t="s">
        <v>1577</v>
      </c>
      <c r="E349" s="50" t="s">
        <v>1322</v>
      </c>
    </row>
    <row r="350" spans="1:5" ht="13.2">
      <c r="A350" s="61">
        <v>612</v>
      </c>
      <c r="B350" s="50" t="s">
        <v>416</v>
      </c>
      <c r="C350" s="50" t="s">
        <v>417</v>
      </c>
      <c r="D350" s="33" t="s">
        <v>1576</v>
      </c>
      <c r="E350" s="50" t="s">
        <v>223</v>
      </c>
    </row>
    <row r="351" spans="1:5" ht="13.2">
      <c r="A351" s="61">
        <v>614</v>
      </c>
      <c r="B351" s="50" t="s">
        <v>418</v>
      </c>
      <c r="C351" s="50" t="s">
        <v>261</v>
      </c>
      <c r="D351" s="33" t="s">
        <v>3696</v>
      </c>
      <c r="E351" s="50" t="s">
        <v>223</v>
      </c>
    </row>
    <row r="352" spans="1:5" ht="13.2">
      <c r="A352" s="61">
        <v>616</v>
      </c>
      <c r="B352" s="50" t="s">
        <v>419</v>
      </c>
      <c r="C352" s="50" t="s">
        <v>1157</v>
      </c>
      <c r="D352" s="33" t="s">
        <v>3697</v>
      </c>
      <c r="E352" s="50" t="s">
        <v>223</v>
      </c>
    </row>
    <row r="353" spans="1:5" ht="13.2">
      <c r="A353" s="61">
        <v>618</v>
      </c>
      <c r="B353" s="50" t="s">
        <v>797</v>
      </c>
      <c r="C353" s="50" t="s">
        <v>782</v>
      </c>
      <c r="D353" s="33" t="s">
        <v>2159</v>
      </c>
      <c r="E353" s="50" t="s">
        <v>1320</v>
      </c>
    </row>
    <row r="354" spans="1:5" ht="13.2">
      <c r="A354" s="61">
        <v>620</v>
      </c>
      <c r="B354" s="50" t="s">
        <v>798</v>
      </c>
      <c r="C354" s="50" t="s">
        <v>79</v>
      </c>
      <c r="D354" s="33" t="s">
        <v>2871</v>
      </c>
      <c r="E354" s="50" t="s">
        <v>1585</v>
      </c>
    </row>
    <row r="355" spans="1:5" ht="13.2">
      <c r="A355" s="61">
        <v>621</v>
      </c>
      <c r="B355" s="50" t="s">
        <v>2338</v>
      </c>
      <c r="C355" s="50" t="s">
        <v>866</v>
      </c>
      <c r="D355" s="33" t="s">
        <v>3417</v>
      </c>
      <c r="E355" s="50" t="s">
        <v>451</v>
      </c>
    </row>
    <row r="356" spans="1:5" ht="13.2">
      <c r="A356" s="61">
        <v>622</v>
      </c>
      <c r="B356" s="50" t="s">
        <v>1254</v>
      </c>
      <c r="C356" s="50" t="s">
        <v>778</v>
      </c>
      <c r="D356" s="33" t="s">
        <v>3698</v>
      </c>
      <c r="E356" s="50" t="s">
        <v>223</v>
      </c>
    </row>
    <row r="357" spans="1:5" ht="13.2">
      <c r="A357" s="61">
        <v>623</v>
      </c>
      <c r="B357" s="50" t="s">
        <v>799</v>
      </c>
      <c r="C357" s="50" t="s">
        <v>75</v>
      </c>
      <c r="D357" s="33" t="s">
        <v>3116</v>
      </c>
      <c r="E357" s="50" t="s">
        <v>223</v>
      </c>
    </row>
    <row r="358" spans="1:5" ht="13.2">
      <c r="A358" s="61">
        <v>624</v>
      </c>
      <c r="B358" s="50" t="s">
        <v>367</v>
      </c>
      <c r="C358" s="50" t="s">
        <v>800</v>
      </c>
      <c r="D358" s="33" t="s">
        <v>3699</v>
      </c>
      <c r="E358" s="50" t="s">
        <v>223</v>
      </c>
    </row>
    <row r="359" spans="1:5" ht="13.2">
      <c r="A359" s="61">
        <v>627</v>
      </c>
      <c r="B359" s="50" t="s">
        <v>801</v>
      </c>
      <c r="C359" s="50" t="s">
        <v>79</v>
      </c>
      <c r="D359" s="33" t="s">
        <v>3700</v>
      </c>
      <c r="E359" s="50" t="s">
        <v>451</v>
      </c>
    </row>
    <row r="360" spans="1:5" ht="13.2">
      <c r="A360" s="61">
        <v>630</v>
      </c>
      <c r="B360" s="50" t="s">
        <v>367</v>
      </c>
      <c r="C360" s="50" t="s">
        <v>802</v>
      </c>
      <c r="D360" s="33" t="s">
        <v>3701</v>
      </c>
      <c r="E360" s="50" t="s">
        <v>1339</v>
      </c>
    </row>
    <row r="361" spans="1:5" ht="13.2">
      <c r="A361" s="61">
        <v>632</v>
      </c>
      <c r="B361" s="50" t="s">
        <v>571</v>
      </c>
      <c r="C361" s="50" t="s">
        <v>640</v>
      </c>
      <c r="D361" s="33" t="s">
        <v>3503</v>
      </c>
      <c r="E361" s="50" t="s">
        <v>1585</v>
      </c>
    </row>
    <row r="362" spans="1:5" ht="13.2">
      <c r="A362" s="61">
        <v>633</v>
      </c>
      <c r="B362" s="50" t="s">
        <v>572</v>
      </c>
      <c r="C362" s="50" t="s">
        <v>75</v>
      </c>
      <c r="D362" s="33" t="s">
        <v>3702</v>
      </c>
      <c r="E362" s="50" t="s">
        <v>1224</v>
      </c>
    </row>
    <row r="363" spans="1:5" ht="13.2">
      <c r="A363" s="61">
        <v>634</v>
      </c>
      <c r="B363" s="50" t="s">
        <v>573</v>
      </c>
      <c r="C363" s="50" t="s">
        <v>199</v>
      </c>
      <c r="D363" s="33" t="s">
        <v>3005</v>
      </c>
      <c r="E363" s="50" t="s">
        <v>1339</v>
      </c>
    </row>
    <row r="364" spans="1:5" ht="13.2">
      <c r="A364" s="61">
        <v>636</v>
      </c>
      <c r="B364" s="50" t="s">
        <v>574</v>
      </c>
      <c r="C364" s="50" t="s">
        <v>778</v>
      </c>
      <c r="D364" s="33" t="s">
        <v>3703</v>
      </c>
      <c r="E364" s="50" t="s">
        <v>1585</v>
      </c>
    </row>
    <row r="365" spans="1:5" ht="13.2">
      <c r="A365" s="61">
        <v>639</v>
      </c>
      <c r="B365" s="50" t="s">
        <v>363</v>
      </c>
      <c r="C365" s="50" t="s">
        <v>964</v>
      </c>
      <c r="D365" s="33" t="s">
        <v>2334</v>
      </c>
      <c r="E365" s="50" t="s">
        <v>1339</v>
      </c>
    </row>
    <row r="366" spans="1:5" ht="13.2">
      <c r="A366" s="61">
        <v>640</v>
      </c>
      <c r="B366" s="50" t="s">
        <v>2038</v>
      </c>
      <c r="C366" s="50" t="s">
        <v>867</v>
      </c>
      <c r="D366" s="33" t="s">
        <v>3009</v>
      </c>
      <c r="E366" s="50" t="s">
        <v>2037</v>
      </c>
    </row>
    <row r="367" spans="1:5" ht="13.2">
      <c r="A367" s="61">
        <v>642</v>
      </c>
      <c r="B367" s="50" t="s">
        <v>575</v>
      </c>
      <c r="C367" s="50" t="s">
        <v>635</v>
      </c>
      <c r="D367" s="33" t="s">
        <v>3704</v>
      </c>
      <c r="E367" s="50" t="s">
        <v>2037</v>
      </c>
    </row>
    <row r="368" spans="1:5" ht="13.2">
      <c r="A368" s="61">
        <v>648</v>
      </c>
      <c r="B368" s="50" t="s">
        <v>577</v>
      </c>
      <c r="C368" s="50" t="s">
        <v>261</v>
      </c>
      <c r="D368" s="33" t="s">
        <v>1926</v>
      </c>
      <c r="E368" s="50" t="s">
        <v>1320</v>
      </c>
    </row>
    <row r="369" spans="1:5" ht="13.2">
      <c r="A369" s="61">
        <v>650</v>
      </c>
      <c r="B369" s="50" t="s">
        <v>578</v>
      </c>
      <c r="C369" s="50" t="s">
        <v>780</v>
      </c>
      <c r="D369" s="33" t="s">
        <v>3705</v>
      </c>
      <c r="E369" s="50" t="s">
        <v>392</v>
      </c>
    </row>
    <row r="370" spans="1:5" ht="13.2">
      <c r="A370" s="61">
        <v>651</v>
      </c>
      <c r="B370" s="50" t="s">
        <v>579</v>
      </c>
      <c r="C370" s="50" t="s">
        <v>65</v>
      </c>
      <c r="D370" s="33" t="s">
        <v>3706</v>
      </c>
      <c r="E370" s="50" t="s">
        <v>686</v>
      </c>
    </row>
    <row r="371" spans="1:5" ht="13.2">
      <c r="A371" s="61">
        <v>653</v>
      </c>
      <c r="B371" s="50" t="s">
        <v>580</v>
      </c>
      <c r="C371" s="50" t="s">
        <v>780</v>
      </c>
      <c r="D371" s="33" t="s">
        <v>3707</v>
      </c>
      <c r="E371" s="50" t="s">
        <v>1585</v>
      </c>
    </row>
    <row r="372" spans="1:5" ht="13.2">
      <c r="A372" s="61">
        <v>654</v>
      </c>
      <c r="B372" s="50" t="s">
        <v>581</v>
      </c>
      <c r="C372" s="50" t="s">
        <v>964</v>
      </c>
      <c r="D372" s="33" t="s">
        <v>3708</v>
      </c>
      <c r="E372" s="50" t="s">
        <v>1320</v>
      </c>
    </row>
    <row r="373" spans="1:5" ht="13.2">
      <c r="A373" s="61">
        <v>655</v>
      </c>
      <c r="B373" s="50" t="s">
        <v>582</v>
      </c>
      <c r="C373" s="50" t="s">
        <v>188</v>
      </c>
      <c r="D373" s="33" t="s">
        <v>2899</v>
      </c>
      <c r="E373" s="50" t="s">
        <v>223</v>
      </c>
    </row>
    <row r="374" spans="1:5" ht="13.2">
      <c r="A374" s="61">
        <v>656</v>
      </c>
      <c r="B374" s="50" t="s">
        <v>372</v>
      </c>
      <c r="C374" s="50" t="s">
        <v>964</v>
      </c>
      <c r="D374" s="33" t="s">
        <v>3709</v>
      </c>
      <c r="E374" s="50" t="s">
        <v>1585</v>
      </c>
    </row>
    <row r="375" spans="1:5" ht="13.2">
      <c r="A375" s="61">
        <v>658</v>
      </c>
      <c r="B375" s="50" t="s">
        <v>228</v>
      </c>
      <c r="C375" s="50" t="s">
        <v>263</v>
      </c>
      <c r="D375" s="33" t="s">
        <v>3710</v>
      </c>
      <c r="E375" s="50" t="s">
        <v>1585</v>
      </c>
    </row>
    <row r="376" spans="1:5" ht="13.2">
      <c r="A376" s="61">
        <v>659</v>
      </c>
      <c r="B376" s="50" t="s">
        <v>229</v>
      </c>
      <c r="C376" s="50" t="s">
        <v>261</v>
      </c>
      <c r="D376" s="33" t="s">
        <v>3711</v>
      </c>
      <c r="E376" s="50" t="s">
        <v>223</v>
      </c>
    </row>
    <row r="377" spans="1:5" ht="13.2">
      <c r="A377" s="61">
        <v>662</v>
      </c>
      <c r="B377" s="50" t="s">
        <v>230</v>
      </c>
      <c r="C377" s="50" t="s">
        <v>1197</v>
      </c>
      <c r="D377" s="33" t="s">
        <v>3712</v>
      </c>
      <c r="E377" s="50" t="s">
        <v>223</v>
      </c>
    </row>
    <row r="378" spans="1:5" ht="13.2">
      <c r="A378" s="61">
        <v>664</v>
      </c>
      <c r="B378" s="50" t="s">
        <v>231</v>
      </c>
      <c r="C378" s="50" t="s">
        <v>964</v>
      </c>
      <c r="D378" s="33" t="s">
        <v>3713</v>
      </c>
      <c r="E378" s="50" t="s">
        <v>1225</v>
      </c>
    </row>
    <row r="379" spans="1:5" ht="13.2">
      <c r="A379" s="61">
        <v>665</v>
      </c>
      <c r="B379" s="50" t="s">
        <v>1441</v>
      </c>
      <c r="C379" s="50" t="s">
        <v>79</v>
      </c>
      <c r="D379" s="33" t="s">
        <v>3714</v>
      </c>
      <c r="E379" s="50" t="s">
        <v>1225</v>
      </c>
    </row>
    <row r="380" spans="1:5" ht="13.2">
      <c r="A380" s="61">
        <v>666</v>
      </c>
      <c r="B380" s="50" t="s">
        <v>232</v>
      </c>
      <c r="C380" s="50" t="s">
        <v>326</v>
      </c>
      <c r="D380" s="33" t="s">
        <v>3715</v>
      </c>
      <c r="E380" s="50" t="s">
        <v>1586</v>
      </c>
    </row>
    <row r="381" spans="1:5" ht="13.2">
      <c r="A381" s="61">
        <v>668</v>
      </c>
      <c r="B381" s="50" t="s">
        <v>67</v>
      </c>
      <c r="C381" s="50" t="s">
        <v>79</v>
      </c>
      <c r="D381" s="33" t="s">
        <v>3069</v>
      </c>
      <c r="E381" s="50" t="s">
        <v>731</v>
      </c>
    </row>
    <row r="382" spans="1:5" ht="13.2">
      <c r="A382" s="61">
        <v>669</v>
      </c>
      <c r="B382" s="50" t="s">
        <v>68</v>
      </c>
      <c r="C382" s="50" t="s">
        <v>1238</v>
      </c>
      <c r="D382" s="33" t="s">
        <v>2926</v>
      </c>
      <c r="E382" s="50" t="s">
        <v>731</v>
      </c>
    </row>
    <row r="383" spans="1:5" ht="13.2">
      <c r="A383" s="61">
        <v>672</v>
      </c>
      <c r="B383" s="50" t="s">
        <v>620</v>
      </c>
      <c r="C383" s="50" t="s">
        <v>780</v>
      </c>
      <c r="D383" s="33" t="s">
        <v>3716</v>
      </c>
      <c r="E383" s="50" t="s">
        <v>1225</v>
      </c>
    </row>
    <row r="384" spans="1:5" ht="13.2">
      <c r="A384" s="61">
        <v>673</v>
      </c>
      <c r="B384" s="50" t="s">
        <v>70</v>
      </c>
      <c r="C384" s="50" t="s">
        <v>1197</v>
      </c>
      <c r="D384" s="33" t="s">
        <v>3718</v>
      </c>
      <c r="E384" s="50" t="s">
        <v>223</v>
      </c>
    </row>
    <row r="385" spans="1:5" ht="13.2">
      <c r="A385" s="61">
        <v>674</v>
      </c>
      <c r="B385" s="50" t="s">
        <v>71</v>
      </c>
      <c r="C385" s="50" t="s">
        <v>642</v>
      </c>
      <c r="D385" s="33" t="s">
        <v>1567</v>
      </c>
      <c r="E385" s="50" t="s">
        <v>1320</v>
      </c>
    </row>
    <row r="386" spans="1:5" ht="13.2">
      <c r="A386" s="61">
        <v>675</v>
      </c>
      <c r="B386" s="50" t="s">
        <v>519</v>
      </c>
      <c r="C386" s="50" t="s">
        <v>1099</v>
      </c>
      <c r="D386" s="33" t="s">
        <v>3719</v>
      </c>
      <c r="E386" s="50" t="s">
        <v>223</v>
      </c>
    </row>
    <row r="387" spans="1:5" ht="13.2">
      <c r="A387" s="61">
        <v>677</v>
      </c>
      <c r="B387" s="50" t="s">
        <v>520</v>
      </c>
      <c r="C387" s="50" t="s">
        <v>1238</v>
      </c>
      <c r="D387" s="33" t="s">
        <v>3720</v>
      </c>
      <c r="E387" s="50" t="s">
        <v>1585</v>
      </c>
    </row>
    <row r="388" spans="1:5" ht="13.2">
      <c r="A388" s="61">
        <v>678</v>
      </c>
      <c r="B388" s="50" t="s">
        <v>521</v>
      </c>
      <c r="C388" s="50" t="s">
        <v>77</v>
      </c>
      <c r="D388" s="33" t="s">
        <v>2544</v>
      </c>
      <c r="E388" s="50" t="s">
        <v>2126</v>
      </c>
    </row>
    <row r="389" spans="1:5" ht="13.2">
      <c r="A389" s="61">
        <v>679</v>
      </c>
      <c r="B389" s="50" t="s">
        <v>1449</v>
      </c>
      <c r="C389" s="50" t="s">
        <v>522</v>
      </c>
      <c r="D389" s="33" t="s">
        <v>1548</v>
      </c>
      <c r="E389" s="50" t="s">
        <v>2126</v>
      </c>
    </row>
    <row r="390" spans="1:5" ht="13.2">
      <c r="A390" s="61">
        <v>681</v>
      </c>
      <c r="B390" s="50" t="s">
        <v>523</v>
      </c>
      <c r="C390" s="50" t="s">
        <v>246</v>
      </c>
      <c r="D390" s="33" t="s">
        <v>2914</v>
      </c>
      <c r="E390" s="50" t="s">
        <v>731</v>
      </c>
    </row>
    <row r="391" spans="1:5" ht="13.2">
      <c r="A391" s="61">
        <v>682</v>
      </c>
      <c r="B391" s="50" t="s">
        <v>524</v>
      </c>
      <c r="C391" s="50" t="s">
        <v>525</v>
      </c>
      <c r="D391" s="33" t="s">
        <v>3721</v>
      </c>
      <c r="E391" s="50" t="s">
        <v>2516</v>
      </c>
    </row>
    <row r="392" spans="1:5" ht="13.2">
      <c r="A392" s="61">
        <v>684</v>
      </c>
      <c r="B392" s="50" t="s">
        <v>526</v>
      </c>
      <c r="C392" s="50" t="s">
        <v>72</v>
      </c>
      <c r="D392" s="33" t="s">
        <v>2940</v>
      </c>
      <c r="E392" s="50" t="s">
        <v>731</v>
      </c>
    </row>
    <row r="393" spans="1:5" ht="13.2">
      <c r="A393" s="61">
        <v>685</v>
      </c>
      <c r="B393" s="50" t="s">
        <v>447</v>
      </c>
      <c r="C393" s="50" t="s">
        <v>527</v>
      </c>
      <c r="D393" s="33" t="s">
        <v>3117</v>
      </c>
      <c r="E393" s="50" t="s">
        <v>1225</v>
      </c>
    </row>
    <row r="394" spans="1:5" ht="13.2">
      <c r="A394" s="61">
        <v>688</v>
      </c>
      <c r="B394" s="50" t="s">
        <v>565</v>
      </c>
      <c r="C394" s="50" t="s">
        <v>527</v>
      </c>
      <c r="D394" s="33" t="s">
        <v>3722</v>
      </c>
      <c r="E394" s="50" t="s">
        <v>1585</v>
      </c>
    </row>
    <row r="395" spans="1:5" ht="13.2">
      <c r="A395" s="61">
        <v>689</v>
      </c>
      <c r="B395" s="50" t="s">
        <v>3298</v>
      </c>
      <c r="C395" s="50" t="s">
        <v>188</v>
      </c>
      <c r="D395" s="33" t="s">
        <v>536</v>
      </c>
      <c r="E395" s="50" t="s">
        <v>1321</v>
      </c>
    </row>
    <row r="396" spans="1:5" ht="13.2">
      <c r="A396" s="61">
        <v>690</v>
      </c>
      <c r="B396" s="50" t="s">
        <v>566</v>
      </c>
      <c r="C396" s="50" t="s">
        <v>336</v>
      </c>
      <c r="D396" s="33" t="s">
        <v>3723</v>
      </c>
      <c r="E396" s="50" t="s">
        <v>1585</v>
      </c>
    </row>
    <row r="397" spans="1:5" ht="13.2">
      <c r="A397" s="61">
        <v>691</v>
      </c>
      <c r="B397" s="50" t="s">
        <v>136</v>
      </c>
      <c r="C397" s="50" t="s">
        <v>1197</v>
      </c>
      <c r="D397" s="33" t="s">
        <v>2097</v>
      </c>
      <c r="E397" s="50" t="s">
        <v>960</v>
      </c>
    </row>
    <row r="398" spans="1:5" ht="13.2">
      <c r="A398" s="61">
        <v>696</v>
      </c>
      <c r="B398" s="50" t="s">
        <v>567</v>
      </c>
      <c r="C398" s="50" t="s">
        <v>425</v>
      </c>
      <c r="D398" s="33" t="s">
        <v>3346</v>
      </c>
      <c r="E398" s="50" t="s">
        <v>223</v>
      </c>
    </row>
    <row r="399" spans="1:5" ht="13.2">
      <c r="A399" s="61">
        <v>700</v>
      </c>
      <c r="B399" s="50" t="s">
        <v>568</v>
      </c>
      <c r="C399" s="50" t="s">
        <v>336</v>
      </c>
      <c r="D399" s="33" t="s">
        <v>3724</v>
      </c>
      <c r="E399" s="50" t="s">
        <v>1339</v>
      </c>
    </row>
    <row r="400" spans="1:5" ht="13.2">
      <c r="A400" s="61">
        <v>702</v>
      </c>
      <c r="B400" s="50" t="s">
        <v>355</v>
      </c>
      <c r="C400" s="50" t="s">
        <v>75</v>
      </c>
      <c r="D400" s="33" t="s">
        <v>3375</v>
      </c>
      <c r="E400" s="50" t="s">
        <v>223</v>
      </c>
    </row>
    <row r="401" spans="1:5" ht="13.2">
      <c r="A401" s="61">
        <v>706</v>
      </c>
      <c r="B401" s="50" t="s">
        <v>1137</v>
      </c>
      <c r="C401" s="50" t="s">
        <v>964</v>
      </c>
      <c r="D401" s="33" t="s">
        <v>2394</v>
      </c>
      <c r="E401" s="50" t="s">
        <v>223</v>
      </c>
    </row>
    <row r="402" spans="1:5" ht="13.2">
      <c r="A402" s="61">
        <v>709</v>
      </c>
      <c r="B402" s="50" t="s">
        <v>1138</v>
      </c>
      <c r="C402" s="50" t="s">
        <v>188</v>
      </c>
      <c r="D402" s="33" t="s">
        <v>3725</v>
      </c>
      <c r="E402" s="50" t="s">
        <v>223</v>
      </c>
    </row>
    <row r="403" spans="1:5" ht="13.2">
      <c r="A403" s="61">
        <v>710</v>
      </c>
      <c r="B403" s="50" t="s">
        <v>1139</v>
      </c>
      <c r="C403" s="50" t="s">
        <v>72</v>
      </c>
      <c r="D403" s="33" t="s">
        <v>3047</v>
      </c>
      <c r="E403" s="50" t="s">
        <v>2037</v>
      </c>
    </row>
    <row r="404" spans="1:5" ht="13.2">
      <c r="A404" s="61">
        <v>711</v>
      </c>
      <c r="B404" s="50" t="s">
        <v>1140</v>
      </c>
      <c r="C404" s="50" t="s">
        <v>864</v>
      </c>
      <c r="D404" s="33" t="s">
        <v>3726</v>
      </c>
      <c r="E404" s="50" t="s">
        <v>223</v>
      </c>
    </row>
    <row r="405" spans="1:5" ht="13.2">
      <c r="A405" s="61">
        <v>712</v>
      </c>
      <c r="B405" s="50" t="s">
        <v>1141</v>
      </c>
      <c r="C405" s="50" t="s">
        <v>638</v>
      </c>
      <c r="D405" s="33" t="s">
        <v>3727</v>
      </c>
      <c r="E405" s="50" t="s">
        <v>223</v>
      </c>
    </row>
    <row r="406" spans="1:5" ht="13.2">
      <c r="A406" s="61">
        <v>717</v>
      </c>
      <c r="B406" s="50" t="s">
        <v>1142</v>
      </c>
      <c r="C406" s="50" t="s">
        <v>635</v>
      </c>
      <c r="D406" s="33" t="s">
        <v>3728</v>
      </c>
      <c r="E406" s="50" t="s">
        <v>451</v>
      </c>
    </row>
    <row r="407" spans="1:5" ht="13.2">
      <c r="A407" s="61">
        <v>718</v>
      </c>
      <c r="B407" s="50" t="s">
        <v>1471</v>
      </c>
      <c r="C407" s="50" t="s">
        <v>261</v>
      </c>
      <c r="D407" s="33" t="s">
        <v>3729</v>
      </c>
      <c r="E407" s="50" t="s">
        <v>1339</v>
      </c>
    </row>
    <row r="408" spans="1:5" ht="13.2">
      <c r="A408" s="61">
        <v>720</v>
      </c>
      <c r="B408" s="50" t="s">
        <v>1143</v>
      </c>
      <c r="C408" s="50" t="s">
        <v>867</v>
      </c>
      <c r="D408" s="33" t="s">
        <v>3730</v>
      </c>
      <c r="E408" s="50" t="s">
        <v>223</v>
      </c>
    </row>
    <row r="409" spans="1:5" ht="13.2">
      <c r="A409" s="61">
        <v>723</v>
      </c>
      <c r="B409" s="50" t="s">
        <v>1144</v>
      </c>
      <c r="C409" s="50" t="s">
        <v>1145</v>
      </c>
      <c r="D409" s="33" t="s">
        <v>2760</v>
      </c>
      <c r="E409" s="50" t="s">
        <v>1585</v>
      </c>
    </row>
    <row r="410" spans="1:5" ht="13.2">
      <c r="A410" s="61">
        <v>724</v>
      </c>
      <c r="B410" s="50" t="s">
        <v>1146</v>
      </c>
      <c r="C410" s="50" t="s">
        <v>188</v>
      </c>
      <c r="D410" s="33" t="s">
        <v>2488</v>
      </c>
      <c r="E410" s="50" t="s">
        <v>1320</v>
      </c>
    </row>
    <row r="411" spans="1:5" ht="13.2">
      <c r="A411" s="61">
        <v>728</v>
      </c>
      <c r="B411" s="50" t="s">
        <v>1148</v>
      </c>
      <c r="C411" s="50" t="s">
        <v>263</v>
      </c>
      <c r="D411" s="33" t="s">
        <v>3731</v>
      </c>
      <c r="E411" s="50" t="s">
        <v>1585</v>
      </c>
    </row>
    <row r="412" spans="1:5" ht="13.2">
      <c r="A412" s="61">
        <v>729</v>
      </c>
      <c r="B412" s="50" t="s">
        <v>1149</v>
      </c>
      <c r="C412" s="50" t="s">
        <v>336</v>
      </c>
      <c r="D412" s="33" t="s">
        <v>3732</v>
      </c>
      <c r="E412" s="50" t="s">
        <v>1339</v>
      </c>
    </row>
    <row r="413" spans="1:5" ht="13.2">
      <c r="A413" s="61">
        <v>730</v>
      </c>
      <c r="B413" s="50" t="s">
        <v>1150</v>
      </c>
      <c r="C413" s="50" t="s">
        <v>188</v>
      </c>
      <c r="D413" s="33" t="s">
        <v>3733</v>
      </c>
      <c r="E413" s="50" t="s">
        <v>223</v>
      </c>
    </row>
    <row r="414" spans="1:5" ht="13.2">
      <c r="A414" s="61">
        <v>731</v>
      </c>
      <c r="B414" s="50" t="s">
        <v>1151</v>
      </c>
      <c r="C414" s="50" t="s">
        <v>640</v>
      </c>
      <c r="D414" s="33" t="s">
        <v>529</v>
      </c>
      <c r="E414" s="50" t="s">
        <v>2036</v>
      </c>
    </row>
    <row r="415" spans="1:5" ht="13.2">
      <c r="A415" s="61">
        <v>732</v>
      </c>
      <c r="B415" s="50" t="s">
        <v>2452</v>
      </c>
      <c r="C415" s="50" t="s">
        <v>188</v>
      </c>
      <c r="D415" s="33" t="s">
        <v>2144</v>
      </c>
      <c r="E415" s="50" t="s">
        <v>223</v>
      </c>
    </row>
    <row r="416" spans="1:5" ht="13.2">
      <c r="A416" s="61">
        <v>734</v>
      </c>
      <c r="B416" s="50" t="s">
        <v>1152</v>
      </c>
      <c r="C416" s="50" t="s">
        <v>640</v>
      </c>
      <c r="D416" s="33" t="s">
        <v>3734</v>
      </c>
      <c r="E416" s="50" t="s">
        <v>1225</v>
      </c>
    </row>
    <row r="417" spans="1:5" ht="13.2">
      <c r="A417" s="61">
        <v>735</v>
      </c>
      <c r="B417" s="50" t="s">
        <v>1265</v>
      </c>
      <c r="C417" s="50" t="s">
        <v>635</v>
      </c>
      <c r="D417" s="33" t="s">
        <v>3735</v>
      </c>
      <c r="E417" s="50" t="s">
        <v>223</v>
      </c>
    </row>
    <row r="418" spans="1:5" ht="13.2">
      <c r="A418" s="61">
        <v>739</v>
      </c>
      <c r="B418" s="50" t="s">
        <v>1266</v>
      </c>
      <c r="C418" s="50" t="s">
        <v>780</v>
      </c>
      <c r="D418" s="33" t="s">
        <v>3736</v>
      </c>
      <c r="E418" s="50" t="s">
        <v>1225</v>
      </c>
    </row>
    <row r="419" spans="1:5" ht="13.2">
      <c r="A419" s="61">
        <v>741</v>
      </c>
      <c r="B419" s="50" t="s">
        <v>1267</v>
      </c>
      <c r="C419" s="50" t="s">
        <v>1177</v>
      </c>
      <c r="D419" s="33" t="s">
        <v>3737</v>
      </c>
      <c r="E419" s="50" t="s">
        <v>223</v>
      </c>
    </row>
    <row r="420" spans="1:5" ht="13.2">
      <c r="A420" s="61">
        <v>743</v>
      </c>
      <c r="B420" s="50" t="s">
        <v>1125</v>
      </c>
      <c r="C420" s="50" t="s">
        <v>72</v>
      </c>
      <c r="D420" s="33" t="s">
        <v>3738</v>
      </c>
      <c r="E420" s="50" t="s">
        <v>1339</v>
      </c>
    </row>
    <row r="421" spans="1:5" ht="13.2">
      <c r="A421" s="61">
        <v>745</v>
      </c>
      <c r="B421" s="50" t="s">
        <v>1126</v>
      </c>
      <c r="C421" s="50" t="s">
        <v>1197</v>
      </c>
      <c r="D421" s="33" t="s">
        <v>3739</v>
      </c>
      <c r="E421" s="50" t="s">
        <v>1339</v>
      </c>
    </row>
    <row r="422" spans="1:5" ht="13.2">
      <c r="A422" s="61">
        <v>747</v>
      </c>
      <c r="B422" s="50" t="s">
        <v>1469</v>
      </c>
      <c r="C422" s="50" t="s">
        <v>866</v>
      </c>
      <c r="D422" s="33" t="s">
        <v>3740</v>
      </c>
      <c r="E422" s="50" t="s">
        <v>223</v>
      </c>
    </row>
    <row r="423" spans="1:5" ht="13.2">
      <c r="A423" s="61">
        <v>748</v>
      </c>
      <c r="B423" s="50" t="s">
        <v>1127</v>
      </c>
      <c r="C423" s="50" t="s">
        <v>79</v>
      </c>
      <c r="D423" s="33" t="s">
        <v>3741</v>
      </c>
      <c r="E423" s="50" t="s">
        <v>731</v>
      </c>
    </row>
    <row r="424" spans="1:5" ht="13.2">
      <c r="A424" s="61">
        <v>750</v>
      </c>
      <c r="B424" s="50" t="s">
        <v>1128</v>
      </c>
      <c r="C424" s="50" t="s">
        <v>79</v>
      </c>
      <c r="D424" s="33" t="s">
        <v>1563</v>
      </c>
      <c r="E424" s="50" t="s">
        <v>1320</v>
      </c>
    </row>
    <row r="425" spans="1:5" ht="13.2">
      <c r="A425" s="61">
        <v>751</v>
      </c>
      <c r="B425" s="50" t="s">
        <v>1129</v>
      </c>
      <c r="C425" s="50" t="s">
        <v>642</v>
      </c>
      <c r="D425" s="33" t="s">
        <v>2819</v>
      </c>
      <c r="E425" s="50" t="s">
        <v>223</v>
      </c>
    </row>
    <row r="426" spans="1:5" ht="13.2">
      <c r="A426" s="61">
        <v>752</v>
      </c>
      <c r="B426" s="50" t="s">
        <v>1130</v>
      </c>
      <c r="C426" s="50" t="s">
        <v>79</v>
      </c>
      <c r="D426" s="33" t="s">
        <v>3118</v>
      </c>
      <c r="E426" s="50" t="s">
        <v>223</v>
      </c>
    </row>
    <row r="427" spans="1:5" ht="13.2">
      <c r="A427" s="61">
        <v>756</v>
      </c>
      <c r="B427" s="50" t="s">
        <v>1203</v>
      </c>
      <c r="C427" s="50" t="s">
        <v>188</v>
      </c>
      <c r="D427" s="33" t="s">
        <v>3742</v>
      </c>
      <c r="E427" s="50" t="s">
        <v>223</v>
      </c>
    </row>
    <row r="428" spans="1:5" ht="13.2">
      <c r="A428" s="61">
        <v>759</v>
      </c>
      <c r="B428" s="50" t="s">
        <v>1399</v>
      </c>
      <c r="C428" s="50" t="s">
        <v>966</v>
      </c>
      <c r="D428" s="33" t="s">
        <v>3743</v>
      </c>
      <c r="E428" s="50" t="s">
        <v>1225</v>
      </c>
    </row>
    <row r="429" spans="1:5" ht="13.2">
      <c r="A429" s="61">
        <v>760</v>
      </c>
      <c r="B429" s="50" t="s">
        <v>1400</v>
      </c>
      <c r="C429" s="50" t="s">
        <v>1197</v>
      </c>
      <c r="D429" s="33" t="s">
        <v>3744</v>
      </c>
      <c r="E429" s="50" t="s">
        <v>1339</v>
      </c>
    </row>
    <row r="430" spans="1:5" ht="13.2">
      <c r="A430" s="61">
        <v>765</v>
      </c>
      <c r="B430" s="50" t="s">
        <v>1401</v>
      </c>
      <c r="C430" s="50" t="s">
        <v>640</v>
      </c>
      <c r="D430" s="33" t="s">
        <v>3745</v>
      </c>
      <c r="E430" s="50" t="s">
        <v>1339</v>
      </c>
    </row>
    <row r="431" spans="1:5" ht="13.2">
      <c r="A431" s="61">
        <v>772</v>
      </c>
      <c r="B431" s="50" t="s">
        <v>1402</v>
      </c>
      <c r="C431" s="50" t="s">
        <v>79</v>
      </c>
      <c r="D431" s="33" t="s">
        <v>3746</v>
      </c>
      <c r="E431" s="50" t="s">
        <v>686</v>
      </c>
    </row>
    <row r="432" spans="1:5" ht="13.2">
      <c r="A432" s="61">
        <v>773</v>
      </c>
      <c r="B432" s="50" t="s">
        <v>136</v>
      </c>
      <c r="C432" s="50" t="s">
        <v>79</v>
      </c>
      <c r="D432" s="33" t="s">
        <v>3747</v>
      </c>
      <c r="E432" s="50" t="s">
        <v>223</v>
      </c>
    </row>
    <row r="433" spans="1:5" ht="13.2">
      <c r="A433" s="61">
        <v>778</v>
      </c>
      <c r="B433" s="50" t="s">
        <v>191</v>
      </c>
      <c r="C433" s="50" t="s">
        <v>199</v>
      </c>
      <c r="D433" s="33" t="s">
        <v>3748</v>
      </c>
      <c r="E433" s="50" t="s">
        <v>389</v>
      </c>
    </row>
    <row r="434" spans="1:5" ht="13.2">
      <c r="A434" s="61">
        <v>781</v>
      </c>
      <c r="B434" s="50" t="s">
        <v>1403</v>
      </c>
      <c r="C434" s="50" t="s">
        <v>446</v>
      </c>
      <c r="D434" s="33" t="s">
        <v>3749</v>
      </c>
      <c r="E434" s="50" t="s">
        <v>1339</v>
      </c>
    </row>
    <row r="435" spans="1:5" ht="13.2">
      <c r="A435" s="61">
        <v>783</v>
      </c>
      <c r="B435" s="50" t="s">
        <v>1404</v>
      </c>
      <c r="C435" s="50" t="s">
        <v>79</v>
      </c>
      <c r="D435" s="33" t="s">
        <v>3408</v>
      </c>
      <c r="E435" s="50" t="s">
        <v>1586</v>
      </c>
    </row>
    <row r="436" spans="1:5" ht="13.2">
      <c r="A436" s="61">
        <v>784</v>
      </c>
      <c r="B436" s="50" t="s">
        <v>1405</v>
      </c>
      <c r="C436" s="50" t="s">
        <v>197</v>
      </c>
      <c r="D436" s="33" t="s">
        <v>3409</v>
      </c>
      <c r="E436" s="50" t="s">
        <v>1586</v>
      </c>
    </row>
    <row r="437" spans="1:5" ht="13.2">
      <c r="A437" s="61">
        <v>785</v>
      </c>
      <c r="B437" s="50" t="s">
        <v>1406</v>
      </c>
      <c r="C437" s="50" t="s">
        <v>188</v>
      </c>
      <c r="D437" s="33" t="s">
        <v>1558</v>
      </c>
      <c r="E437" s="50" t="s">
        <v>223</v>
      </c>
    </row>
    <row r="438" spans="1:5" ht="13.2">
      <c r="A438" s="61">
        <v>787</v>
      </c>
      <c r="B438" s="50" t="s">
        <v>1407</v>
      </c>
      <c r="C438" s="50" t="s">
        <v>446</v>
      </c>
      <c r="D438" s="33" t="s">
        <v>3119</v>
      </c>
      <c r="E438" s="50" t="s">
        <v>451</v>
      </c>
    </row>
    <row r="439" spans="1:5" ht="13.2">
      <c r="A439" s="61">
        <v>788</v>
      </c>
      <c r="B439" s="50" t="s">
        <v>1408</v>
      </c>
      <c r="C439" s="50" t="s">
        <v>1474</v>
      </c>
      <c r="D439" s="33" t="s">
        <v>3120</v>
      </c>
      <c r="E439" s="50" t="s">
        <v>223</v>
      </c>
    </row>
    <row r="440" spans="1:5" ht="13.2">
      <c r="A440" s="61">
        <v>789</v>
      </c>
      <c r="B440" s="50" t="s">
        <v>1409</v>
      </c>
      <c r="C440" s="50" t="s">
        <v>966</v>
      </c>
      <c r="D440" s="33" t="s">
        <v>2904</v>
      </c>
      <c r="E440" s="50" t="s">
        <v>1585</v>
      </c>
    </row>
    <row r="441" spans="1:5" ht="13.2">
      <c r="A441" s="61">
        <v>791</v>
      </c>
      <c r="B441" s="50" t="s">
        <v>1411</v>
      </c>
      <c r="C441" s="50" t="s">
        <v>638</v>
      </c>
      <c r="D441" s="33" t="s">
        <v>2964</v>
      </c>
      <c r="E441" s="50" t="s">
        <v>223</v>
      </c>
    </row>
    <row r="442" spans="1:5" ht="13.2">
      <c r="A442" s="61">
        <v>795</v>
      </c>
      <c r="B442" s="50" t="s">
        <v>581</v>
      </c>
      <c r="C442" s="50" t="s">
        <v>336</v>
      </c>
      <c r="D442" s="33" t="s">
        <v>1565</v>
      </c>
      <c r="E442" s="50" t="s">
        <v>1320</v>
      </c>
    </row>
    <row r="443" spans="1:5" ht="13.2">
      <c r="A443" s="61">
        <v>803</v>
      </c>
      <c r="B443" s="50" t="s">
        <v>1415</v>
      </c>
      <c r="C443" s="50" t="s">
        <v>780</v>
      </c>
      <c r="D443" s="33" t="s">
        <v>2916</v>
      </c>
      <c r="E443" s="50" t="s">
        <v>731</v>
      </c>
    </row>
    <row r="444" spans="1:5" ht="13.2">
      <c r="A444" s="61">
        <v>804</v>
      </c>
      <c r="B444" s="50" t="s">
        <v>1416</v>
      </c>
      <c r="C444" s="50" t="s">
        <v>642</v>
      </c>
      <c r="D444" s="33" t="s">
        <v>3750</v>
      </c>
      <c r="E444" s="50" t="s">
        <v>2037</v>
      </c>
    </row>
    <row r="445" spans="1:5" ht="13.2">
      <c r="A445" s="61">
        <v>808</v>
      </c>
      <c r="B445" s="50" t="s">
        <v>359</v>
      </c>
      <c r="C445" s="50" t="s">
        <v>79</v>
      </c>
      <c r="D445" s="33" t="s">
        <v>2184</v>
      </c>
      <c r="E445" s="50" t="s">
        <v>1225</v>
      </c>
    </row>
    <row r="446" spans="1:5" ht="13.2">
      <c r="A446" s="61">
        <v>810</v>
      </c>
      <c r="B446" s="50" t="s">
        <v>313</v>
      </c>
      <c r="C446" s="50" t="s">
        <v>79</v>
      </c>
      <c r="D446" s="33" t="s">
        <v>3751</v>
      </c>
      <c r="E446" s="50" t="s">
        <v>223</v>
      </c>
    </row>
    <row r="447" spans="1:5" ht="13.2">
      <c r="A447" s="61">
        <v>811</v>
      </c>
      <c r="B447" s="50" t="s">
        <v>1418</v>
      </c>
      <c r="C447" s="50" t="s">
        <v>966</v>
      </c>
      <c r="D447" s="33" t="s">
        <v>3752</v>
      </c>
      <c r="E447" s="50" t="s">
        <v>1586</v>
      </c>
    </row>
    <row r="448" spans="1:5" ht="13.2">
      <c r="A448" s="61">
        <v>813</v>
      </c>
      <c r="B448" s="50" t="s">
        <v>1419</v>
      </c>
      <c r="C448" s="50" t="s">
        <v>336</v>
      </c>
      <c r="D448" s="33" t="s">
        <v>3011</v>
      </c>
      <c r="E448" s="50" t="s">
        <v>2037</v>
      </c>
    </row>
    <row r="449" spans="1:5" ht="13.2">
      <c r="A449" s="61">
        <v>815</v>
      </c>
      <c r="B449" s="50" t="s">
        <v>1420</v>
      </c>
      <c r="C449" s="50" t="s">
        <v>261</v>
      </c>
      <c r="D449" s="33" t="s">
        <v>2808</v>
      </c>
      <c r="E449" s="50" t="s">
        <v>223</v>
      </c>
    </row>
    <row r="450" spans="1:5" ht="13.2">
      <c r="A450" s="61">
        <v>817</v>
      </c>
      <c r="B450" s="50" t="s">
        <v>1421</v>
      </c>
      <c r="C450" s="50" t="s">
        <v>79</v>
      </c>
      <c r="D450" s="33" t="s">
        <v>3753</v>
      </c>
      <c r="E450" s="50" t="s">
        <v>1225</v>
      </c>
    </row>
    <row r="451" spans="1:5" ht="13.2">
      <c r="A451" s="61">
        <v>821</v>
      </c>
      <c r="B451" s="50" t="s">
        <v>1268</v>
      </c>
      <c r="C451" s="50" t="s">
        <v>777</v>
      </c>
      <c r="D451" s="33" t="s">
        <v>1927</v>
      </c>
      <c r="E451" s="50" t="s">
        <v>960</v>
      </c>
    </row>
    <row r="452" spans="1:5" ht="13.2">
      <c r="A452" s="61">
        <v>823</v>
      </c>
      <c r="B452" s="50" t="s">
        <v>1422</v>
      </c>
      <c r="C452" s="50" t="s">
        <v>1157</v>
      </c>
      <c r="D452" s="33" t="s">
        <v>3754</v>
      </c>
      <c r="E452" s="50" t="s">
        <v>1585</v>
      </c>
    </row>
    <row r="453" spans="1:5" ht="13.2">
      <c r="A453" s="61">
        <v>824</v>
      </c>
      <c r="B453" s="50" t="s">
        <v>1423</v>
      </c>
      <c r="C453" s="50" t="s">
        <v>638</v>
      </c>
      <c r="D453" s="33" t="s">
        <v>3755</v>
      </c>
      <c r="E453" s="50" t="s">
        <v>1225</v>
      </c>
    </row>
    <row r="454" spans="1:5" ht="13.2">
      <c r="A454" s="61">
        <v>825</v>
      </c>
      <c r="B454" s="50" t="s">
        <v>1424</v>
      </c>
      <c r="C454" s="50" t="s">
        <v>635</v>
      </c>
      <c r="D454" s="33" t="s">
        <v>3756</v>
      </c>
      <c r="E454" s="50" t="s">
        <v>1585</v>
      </c>
    </row>
    <row r="455" spans="1:5" ht="13.2">
      <c r="A455" s="61">
        <v>827</v>
      </c>
      <c r="B455" s="50" t="s">
        <v>1425</v>
      </c>
      <c r="C455" s="50" t="s">
        <v>188</v>
      </c>
      <c r="D455" s="33" t="s">
        <v>3514</v>
      </c>
      <c r="E455" s="50" t="s">
        <v>2036</v>
      </c>
    </row>
    <row r="456" spans="1:5" ht="13.2">
      <c r="A456" s="61">
        <v>828</v>
      </c>
      <c r="B456" s="50" t="s">
        <v>1426</v>
      </c>
      <c r="C456" s="50" t="s">
        <v>77</v>
      </c>
      <c r="D456" s="33" t="s">
        <v>3757</v>
      </c>
      <c r="E456" s="50" t="s">
        <v>1585</v>
      </c>
    </row>
    <row r="457" spans="1:5" ht="13.2">
      <c r="A457" s="61">
        <v>830</v>
      </c>
      <c r="B457" s="50" t="s">
        <v>1427</v>
      </c>
      <c r="C457" s="50" t="s">
        <v>778</v>
      </c>
      <c r="D457" s="33" t="s">
        <v>3758</v>
      </c>
      <c r="E457" s="50" t="s">
        <v>960</v>
      </c>
    </row>
    <row r="458" spans="1:5" ht="13.2">
      <c r="A458" s="61">
        <v>832</v>
      </c>
      <c r="B458" s="50" t="s">
        <v>1428</v>
      </c>
      <c r="C458" s="50" t="s">
        <v>1429</v>
      </c>
      <c r="D458" s="33" t="s">
        <v>3759</v>
      </c>
      <c r="E458" s="50" t="s">
        <v>1225</v>
      </c>
    </row>
    <row r="459" spans="1:5" ht="13.2">
      <c r="A459" s="61">
        <v>833</v>
      </c>
      <c r="B459" s="50" t="s">
        <v>1430</v>
      </c>
      <c r="C459" s="50" t="s">
        <v>79</v>
      </c>
      <c r="D459" s="33" t="s">
        <v>3760</v>
      </c>
      <c r="E459" s="50" t="s">
        <v>1586</v>
      </c>
    </row>
    <row r="460" spans="1:5" ht="13.2">
      <c r="A460" s="61">
        <v>834</v>
      </c>
      <c r="B460" s="50" t="s">
        <v>1431</v>
      </c>
      <c r="C460" s="50" t="s">
        <v>246</v>
      </c>
      <c r="D460" s="33" t="s">
        <v>3761</v>
      </c>
      <c r="E460" s="50" t="s">
        <v>223</v>
      </c>
    </row>
    <row r="461" spans="1:5" ht="13.2">
      <c r="A461" s="61">
        <v>835</v>
      </c>
      <c r="B461" s="50" t="s">
        <v>1432</v>
      </c>
      <c r="C461" s="50" t="s">
        <v>1099</v>
      </c>
      <c r="D461" s="33" t="s">
        <v>3762</v>
      </c>
      <c r="E461" s="50" t="s">
        <v>390</v>
      </c>
    </row>
    <row r="462" spans="1:5" ht="13.2">
      <c r="A462" s="61">
        <v>836</v>
      </c>
      <c r="B462" s="50" t="s">
        <v>80</v>
      </c>
      <c r="C462" s="50" t="s">
        <v>75</v>
      </c>
      <c r="D462" s="33" t="s">
        <v>3763</v>
      </c>
      <c r="E462" s="50" t="s">
        <v>1225</v>
      </c>
    </row>
    <row r="463" spans="1:5" ht="13.2">
      <c r="A463" s="61">
        <v>839</v>
      </c>
      <c r="B463" s="50" t="s">
        <v>81</v>
      </c>
      <c r="C463" s="50" t="s">
        <v>640</v>
      </c>
      <c r="D463" s="33" t="s">
        <v>3764</v>
      </c>
      <c r="E463" s="50" t="s">
        <v>1585</v>
      </c>
    </row>
    <row r="464" spans="1:5" ht="13.2">
      <c r="A464" s="61">
        <v>841</v>
      </c>
      <c r="B464" s="50" t="s">
        <v>83</v>
      </c>
      <c r="C464" s="50" t="s">
        <v>261</v>
      </c>
      <c r="D464" s="33" t="s">
        <v>3765</v>
      </c>
      <c r="E464" s="50" t="s">
        <v>1225</v>
      </c>
    </row>
    <row r="465" spans="1:5" ht="13.2">
      <c r="A465" s="61">
        <v>843</v>
      </c>
      <c r="B465" s="50" t="s">
        <v>84</v>
      </c>
      <c r="C465" s="50" t="s">
        <v>425</v>
      </c>
      <c r="D465" s="33" t="s">
        <v>3766</v>
      </c>
      <c r="E465" s="50" t="s">
        <v>1339</v>
      </c>
    </row>
    <row r="466" spans="1:5" ht="13.2">
      <c r="A466" s="61">
        <v>846</v>
      </c>
      <c r="B466" s="50" t="s">
        <v>85</v>
      </c>
      <c r="C466" s="50" t="s">
        <v>338</v>
      </c>
      <c r="D466" s="33" t="s">
        <v>3767</v>
      </c>
      <c r="E466" s="50" t="s">
        <v>1339</v>
      </c>
    </row>
    <row r="467" spans="1:5" ht="13.2">
      <c r="A467" s="61">
        <v>848</v>
      </c>
      <c r="B467" s="50" t="s">
        <v>86</v>
      </c>
      <c r="C467" s="50" t="s">
        <v>962</v>
      </c>
      <c r="D467" s="33" t="s">
        <v>539</v>
      </c>
      <c r="E467" s="50" t="s">
        <v>2126</v>
      </c>
    </row>
    <row r="468" spans="1:5" ht="13.2">
      <c r="A468" s="61">
        <v>849</v>
      </c>
      <c r="B468" s="50" t="s">
        <v>87</v>
      </c>
      <c r="C468" s="50" t="s">
        <v>1162</v>
      </c>
      <c r="D468" s="33" t="s">
        <v>3717</v>
      </c>
      <c r="E468" s="50" t="s">
        <v>1586</v>
      </c>
    </row>
    <row r="469" spans="1:5" ht="13.2">
      <c r="A469" s="61">
        <v>850</v>
      </c>
      <c r="B469" s="50" t="s">
        <v>88</v>
      </c>
      <c r="C469" s="50" t="s">
        <v>261</v>
      </c>
      <c r="D469" s="33" t="s">
        <v>3768</v>
      </c>
      <c r="E469" s="50" t="s">
        <v>1225</v>
      </c>
    </row>
    <row r="470" spans="1:5" ht="13.2">
      <c r="A470" s="61">
        <v>852</v>
      </c>
      <c r="B470" s="50" t="s">
        <v>89</v>
      </c>
      <c r="C470" s="50" t="s">
        <v>199</v>
      </c>
      <c r="D470" s="33" t="s">
        <v>2474</v>
      </c>
      <c r="E470" s="50" t="s">
        <v>1320</v>
      </c>
    </row>
    <row r="471" spans="1:5" ht="13.2">
      <c r="A471" s="61">
        <v>853</v>
      </c>
      <c r="B471" s="50" t="s">
        <v>90</v>
      </c>
      <c r="C471" s="50" t="s">
        <v>75</v>
      </c>
      <c r="D471" s="33" t="s">
        <v>3769</v>
      </c>
      <c r="E471" s="50" t="s">
        <v>1339</v>
      </c>
    </row>
    <row r="472" spans="1:5" ht="13.2">
      <c r="A472" s="61">
        <v>854</v>
      </c>
      <c r="B472" s="50" t="s">
        <v>91</v>
      </c>
      <c r="C472" s="50" t="s">
        <v>964</v>
      </c>
      <c r="D472" s="33" t="s">
        <v>3770</v>
      </c>
      <c r="E472" s="50" t="s">
        <v>1224</v>
      </c>
    </row>
    <row r="473" spans="1:5" ht="13.2">
      <c r="A473" s="61">
        <v>857</v>
      </c>
      <c r="B473" s="50" t="s">
        <v>92</v>
      </c>
      <c r="C473" s="50" t="s">
        <v>188</v>
      </c>
      <c r="D473" s="33" t="s">
        <v>2489</v>
      </c>
      <c r="E473" s="50" t="s">
        <v>223</v>
      </c>
    </row>
    <row r="474" spans="1:5" ht="13.2">
      <c r="A474" s="61">
        <v>858</v>
      </c>
      <c r="B474" s="50" t="s">
        <v>93</v>
      </c>
      <c r="C474" s="50" t="s">
        <v>640</v>
      </c>
      <c r="D474" s="33" t="s">
        <v>3771</v>
      </c>
      <c r="E474" s="50" t="s">
        <v>1339</v>
      </c>
    </row>
    <row r="475" spans="1:5" ht="13.2">
      <c r="A475" s="61">
        <v>859</v>
      </c>
      <c r="B475" s="50" t="s">
        <v>94</v>
      </c>
      <c r="C475" s="50" t="s">
        <v>966</v>
      </c>
      <c r="D475" s="33" t="s">
        <v>1550</v>
      </c>
      <c r="E475" s="50" t="s">
        <v>1320</v>
      </c>
    </row>
    <row r="476" spans="1:5" ht="13.2">
      <c r="A476" s="61">
        <v>864</v>
      </c>
      <c r="B476" s="50" t="s">
        <v>95</v>
      </c>
      <c r="C476" s="50" t="s">
        <v>1197</v>
      </c>
      <c r="D476" s="33" t="s">
        <v>3772</v>
      </c>
      <c r="E476" s="50" t="s">
        <v>1225</v>
      </c>
    </row>
    <row r="477" spans="1:5" ht="13.2">
      <c r="A477" s="61">
        <v>866</v>
      </c>
      <c r="B477" s="50" t="s">
        <v>96</v>
      </c>
      <c r="C477" s="50" t="s">
        <v>246</v>
      </c>
      <c r="D477" s="33" t="s">
        <v>1583</v>
      </c>
      <c r="E477" s="50" t="s">
        <v>2609</v>
      </c>
    </row>
    <row r="478" spans="1:5" ht="13.2">
      <c r="A478" s="61">
        <v>867</v>
      </c>
      <c r="B478" s="50" t="s">
        <v>97</v>
      </c>
      <c r="C478" s="50" t="s">
        <v>263</v>
      </c>
      <c r="D478" s="33" t="s">
        <v>3773</v>
      </c>
      <c r="E478" s="50" t="s">
        <v>1585</v>
      </c>
    </row>
    <row r="479" spans="1:5" ht="13.2">
      <c r="A479" s="61">
        <v>868</v>
      </c>
      <c r="B479" s="50" t="s">
        <v>98</v>
      </c>
      <c r="C479" s="50" t="s">
        <v>964</v>
      </c>
      <c r="D479" s="33" t="s">
        <v>1876</v>
      </c>
      <c r="E479" s="50" t="s">
        <v>223</v>
      </c>
    </row>
    <row r="480" spans="1:5" ht="13.2">
      <c r="A480" s="61">
        <v>869</v>
      </c>
      <c r="B480" s="50" t="s">
        <v>99</v>
      </c>
      <c r="C480" s="50" t="s">
        <v>79</v>
      </c>
      <c r="D480" s="33" t="s">
        <v>3374</v>
      </c>
      <c r="E480" s="50" t="s">
        <v>223</v>
      </c>
    </row>
    <row r="481" spans="1:5" ht="13.2">
      <c r="A481" s="61">
        <v>870</v>
      </c>
      <c r="B481" s="50" t="s">
        <v>100</v>
      </c>
      <c r="C481" s="50" t="s">
        <v>246</v>
      </c>
      <c r="D481" s="33" t="s">
        <v>3540</v>
      </c>
      <c r="E481" s="50" t="s">
        <v>2037</v>
      </c>
    </row>
    <row r="482" spans="1:5" ht="13.2">
      <c r="A482" s="61">
        <v>871</v>
      </c>
      <c r="B482" s="50" t="s">
        <v>101</v>
      </c>
      <c r="C482" s="50" t="s">
        <v>242</v>
      </c>
      <c r="D482" s="33" t="s">
        <v>3774</v>
      </c>
      <c r="E482" s="50" t="s">
        <v>223</v>
      </c>
    </row>
    <row r="483" spans="1:5" ht="13.2">
      <c r="A483" s="61">
        <v>873</v>
      </c>
      <c r="B483" s="50" t="s">
        <v>102</v>
      </c>
      <c r="C483" s="50" t="s">
        <v>336</v>
      </c>
      <c r="D483" s="33" t="s">
        <v>3536</v>
      </c>
      <c r="E483" s="50" t="s">
        <v>2037</v>
      </c>
    </row>
    <row r="484" spans="1:5" ht="13.2">
      <c r="A484" s="61">
        <v>874</v>
      </c>
      <c r="B484" s="50" t="s">
        <v>103</v>
      </c>
      <c r="C484" s="50" t="s">
        <v>780</v>
      </c>
      <c r="D484" s="33" t="s">
        <v>3775</v>
      </c>
      <c r="E484" s="50" t="s">
        <v>1585</v>
      </c>
    </row>
    <row r="485" spans="1:5" ht="13.2">
      <c r="A485" s="61">
        <v>875</v>
      </c>
      <c r="B485" s="50" t="s">
        <v>104</v>
      </c>
      <c r="C485" s="50" t="s">
        <v>1311</v>
      </c>
      <c r="D485" s="33" t="s">
        <v>3524</v>
      </c>
      <c r="E485" s="50" t="s">
        <v>223</v>
      </c>
    </row>
    <row r="486" spans="1:5" ht="13.2">
      <c r="A486" s="61">
        <v>878</v>
      </c>
      <c r="B486" s="50" t="s">
        <v>105</v>
      </c>
      <c r="C486" s="50" t="s">
        <v>964</v>
      </c>
      <c r="D486" s="33" t="s">
        <v>1928</v>
      </c>
      <c r="E486" s="50" t="s">
        <v>960</v>
      </c>
    </row>
    <row r="487" spans="1:5" ht="13.2">
      <c r="A487" s="61">
        <v>881</v>
      </c>
      <c r="B487" s="50" t="s">
        <v>106</v>
      </c>
      <c r="C487" s="50" t="s">
        <v>425</v>
      </c>
      <c r="D487" s="33" t="s">
        <v>3776</v>
      </c>
      <c r="E487" s="50" t="s">
        <v>1225</v>
      </c>
    </row>
    <row r="488" spans="1:5" ht="13.2">
      <c r="A488" s="61">
        <v>883</v>
      </c>
      <c r="B488" s="50" t="s">
        <v>3299</v>
      </c>
      <c r="C488" s="50" t="s">
        <v>72</v>
      </c>
      <c r="D488" s="33" t="s">
        <v>3777</v>
      </c>
      <c r="E488" s="50" t="s">
        <v>1225</v>
      </c>
    </row>
    <row r="489" spans="1:5" ht="13.2">
      <c r="A489" s="61">
        <v>884</v>
      </c>
      <c r="B489" s="50" t="s">
        <v>107</v>
      </c>
      <c r="C489" s="50" t="s">
        <v>638</v>
      </c>
      <c r="D489" s="33" t="s">
        <v>3426</v>
      </c>
      <c r="E489" s="50" t="s">
        <v>1225</v>
      </c>
    </row>
    <row r="490" spans="1:5" ht="13.2">
      <c r="A490" s="61">
        <v>885</v>
      </c>
      <c r="B490" s="50" t="s">
        <v>136</v>
      </c>
      <c r="C490" s="50" t="s">
        <v>108</v>
      </c>
      <c r="D490" s="33" t="s">
        <v>2915</v>
      </c>
      <c r="E490" s="50" t="s">
        <v>1225</v>
      </c>
    </row>
    <row r="491" spans="1:5" ht="13.2">
      <c r="A491" s="61">
        <v>886</v>
      </c>
      <c r="B491" s="50" t="s">
        <v>109</v>
      </c>
      <c r="C491" s="50" t="s">
        <v>1311</v>
      </c>
      <c r="D491" s="33" t="s">
        <v>3778</v>
      </c>
      <c r="E491" s="50" t="s">
        <v>1225</v>
      </c>
    </row>
    <row r="492" spans="1:5" ht="13.2">
      <c r="A492" s="61">
        <v>887</v>
      </c>
      <c r="B492" s="50" t="s">
        <v>420</v>
      </c>
      <c r="C492" s="50" t="s">
        <v>1197</v>
      </c>
      <c r="D492" s="33" t="s">
        <v>212</v>
      </c>
      <c r="E492" s="50" t="s">
        <v>2727</v>
      </c>
    </row>
    <row r="493" spans="1:5" ht="13.2">
      <c r="A493" s="61">
        <v>888</v>
      </c>
      <c r="B493" s="50" t="s">
        <v>110</v>
      </c>
      <c r="C493" s="50" t="s">
        <v>638</v>
      </c>
      <c r="D493" s="33" t="s">
        <v>3072</v>
      </c>
      <c r="E493" s="50" t="s">
        <v>1225</v>
      </c>
    </row>
    <row r="494" spans="1:5" ht="13.2">
      <c r="A494" s="61">
        <v>889</v>
      </c>
      <c r="B494" s="50" t="s">
        <v>111</v>
      </c>
      <c r="C494" s="50" t="s">
        <v>263</v>
      </c>
      <c r="D494" s="33" t="s">
        <v>3779</v>
      </c>
      <c r="E494" s="50" t="s">
        <v>731</v>
      </c>
    </row>
    <row r="495" spans="1:5" ht="13.2">
      <c r="A495" s="61">
        <v>890</v>
      </c>
      <c r="B495" s="50" t="s">
        <v>112</v>
      </c>
      <c r="C495" s="50" t="s">
        <v>964</v>
      </c>
      <c r="D495" s="33" t="s">
        <v>2520</v>
      </c>
      <c r="E495" s="50" t="s">
        <v>1320</v>
      </c>
    </row>
    <row r="496" spans="1:5" ht="13.2">
      <c r="A496" s="61">
        <v>893</v>
      </c>
      <c r="B496" s="50" t="s">
        <v>577</v>
      </c>
      <c r="C496" s="50" t="s">
        <v>866</v>
      </c>
      <c r="D496" s="33" t="s">
        <v>3780</v>
      </c>
      <c r="E496" s="50" t="s">
        <v>223</v>
      </c>
    </row>
    <row r="497" spans="1:5" ht="13.2">
      <c r="A497" s="61">
        <v>896</v>
      </c>
      <c r="B497" s="50" t="s">
        <v>113</v>
      </c>
      <c r="C497" s="50" t="s">
        <v>638</v>
      </c>
      <c r="D497" s="33" t="s">
        <v>3781</v>
      </c>
      <c r="E497" s="50" t="s">
        <v>1586</v>
      </c>
    </row>
    <row r="498" spans="1:5" ht="13.2">
      <c r="A498" s="61">
        <v>897</v>
      </c>
      <c r="B498" s="50" t="s">
        <v>114</v>
      </c>
      <c r="C498" s="50" t="s">
        <v>79</v>
      </c>
      <c r="D498" s="33" t="s">
        <v>3782</v>
      </c>
      <c r="E498" s="50" t="s">
        <v>1586</v>
      </c>
    </row>
    <row r="499" spans="1:5" ht="13.2">
      <c r="A499" s="61">
        <v>898</v>
      </c>
      <c r="B499" s="50" t="s">
        <v>952</v>
      </c>
      <c r="C499" s="50" t="s">
        <v>246</v>
      </c>
      <c r="D499" s="33" t="s">
        <v>2099</v>
      </c>
      <c r="E499" s="50" t="s">
        <v>2126</v>
      </c>
    </row>
    <row r="500" spans="1:5" ht="13.2">
      <c r="A500" s="61">
        <v>899</v>
      </c>
      <c r="B500" s="50" t="s">
        <v>115</v>
      </c>
      <c r="C500" s="50" t="s">
        <v>197</v>
      </c>
      <c r="D500" s="33" t="s">
        <v>3783</v>
      </c>
      <c r="E500" s="50" t="s">
        <v>2610</v>
      </c>
    </row>
    <row r="501" spans="1:5" ht="13.2">
      <c r="A501" s="61">
        <v>902</v>
      </c>
      <c r="B501" s="50" t="s">
        <v>116</v>
      </c>
      <c r="C501" s="50" t="s">
        <v>117</v>
      </c>
      <c r="D501" s="33" t="s">
        <v>3784</v>
      </c>
      <c r="E501" s="50" t="s">
        <v>2288</v>
      </c>
    </row>
    <row r="502" spans="1:5" ht="13.2">
      <c r="A502" s="61">
        <v>903</v>
      </c>
      <c r="B502" s="50" t="s">
        <v>118</v>
      </c>
      <c r="C502" s="50" t="s">
        <v>1197</v>
      </c>
      <c r="D502" s="33" t="s">
        <v>2826</v>
      </c>
      <c r="E502" s="50" t="s">
        <v>1585</v>
      </c>
    </row>
    <row r="503" spans="1:5" ht="13.2">
      <c r="A503" s="61">
        <v>905</v>
      </c>
      <c r="B503" s="50" t="s">
        <v>358</v>
      </c>
      <c r="C503" s="50" t="s">
        <v>263</v>
      </c>
      <c r="D503" s="33" t="s">
        <v>3427</v>
      </c>
      <c r="E503" s="50" t="s">
        <v>1339</v>
      </c>
    </row>
    <row r="504" spans="1:5" ht="13.2">
      <c r="A504" s="61">
        <v>906</v>
      </c>
      <c r="B504" s="50" t="s">
        <v>119</v>
      </c>
      <c r="C504" s="50" t="s">
        <v>778</v>
      </c>
      <c r="D504" s="33" t="s">
        <v>3785</v>
      </c>
      <c r="E504" s="50" t="s">
        <v>390</v>
      </c>
    </row>
    <row r="505" spans="1:5" ht="13.2">
      <c r="A505" s="61">
        <v>909</v>
      </c>
      <c r="B505" s="50" t="s">
        <v>120</v>
      </c>
      <c r="C505" s="50" t="s">
        <v>72</v>
      </c>
      <c r="D505" s="33" t="s">
        <v>3786</v>
      </c>
      <c r="E505" s="50" t="s">
        <v>223</v>
      </c>
    </row>
    <row r="506" spans="1:5" ht="13.2">
      <c r="A506" s="61">
        <v>911</v>
      </c>
      <c r="B506" s="50" t="s">
        <v>121</v>
      </c>
      <c r="C506" s="50" t="s">
        <v>336</v>
      </c>
      <c r="D506" s="33" t="s">
        <v>3787</v>
      </c>
      <c r="E506" s="50" t="s">
        <v>223</v>
      </c>
    </row>
    <row r="507" spans="1:5" ht="13.2">
      <c r="A507" s="61">
        <v>915</v>
      </c>
      <c r="B507" s="50" t="s">
        <v>505</v>
      </c>
      <c r="C507" s="50" t="s">
        <v>75</v>
      </c>
      <c r="D507" s="33" t="s">
        <v>3121</v>
      </c>
      <c r="E507" s="50" t="s">
        <v>2037</v>
      </c>
    </row>
    <row r="508" spans="1:5" ht="13.2">
      <c r="A508" s="61">
        <v>917</v>
      </c>
      <c r="B508" s="50" t="s">
        <v>506</v>
      </c>
      <c r="C508" s="50" t="s">
        <v>1197</v>
      </c>
      <c r="D508" s="33" t="s">
        <v>3489</v>
      </c>
      <c r="E508" s="50" t="s">
        <v>2037</v>
      </c>
    </row>
    <row r="509" spans="1:5" ht="13.2">
      <c r="A509" s="61">
        <v>921</v>
      </c>
      <c r="B509" s="50" t="s">
        <v>245</v>
      </c>
      <c r="C509" s="50" t="s">
        <v>188</v>
      </c>
      <c r="D509" s="33" t="s">
        <v>2389</v>
      </c>
      <c r="E509" s="50" t="s">
        <v>1585</v>
      </c>
    </row>
    <row r="510" spans="1:5" ht="13.2">
      <c r="A510" s="61">
        <v>927</v>
      </c>
      <c r="B510" s="50" t="s">
        <v>329</v>
      </c>
      <c r="C510" s="50" t="s">
        <v>778</v>
      </c>
      <c r="D510" s="33" t="s">
        <v>3788</v>
      </c>
      <c r="E510" s="50" t="s">
        <v>1225</v>
      </c>
    </row>
    <row r="511" spans="1:5" ht="13.2">
      <c r="A511" s="61">
        <v>928</v>
      </c>
      <c r="B511" s="50" t="s">
        <v>330</v>
      </c>
      <c r="C511" s="50" t="s">
        <v>777</v>
      </c>
      <c r="D511" s="33" t="s">
        <v>3789</v>
      </c>
      <c r="E511" s="50" t="s">
        <v>1225</v>
      </c>
    </row>
    <row r="512" spans="1:5" ht="13.2">
      <c r="A512" s="61">
        <v>931</v>
      </c>
      <c r="B512" s="50" t="s">
        <v>331</v>
      </c>
      <c r="C512" s="50" t="s">
        <v>79</v>
      </c>
      <c r="D512" s="33" t="s">
        <v>3790</v>
      </c>
      <c r="E512" s="50" t="s">
        <v>1225</v>
      </c>
    </row>
    <row r="513" spans="1:5" ht="13.2">
      <c r="A513" s="61">
        <v>932</v>
      </c>
      <c r="B513" s="50" t="s">
        <v>332</v>
      </c>
      <c r="C513" s="50" t="s">
        <v>338</v>
      </c>
      <c r="D513" s="33" t="s">
        <v>2920</v>
      </c>
      <c r="E513" s="50" t="s">
        <v>1225</v>
      </c>
    </row>
    <row r="514" spans="1:5" ht="13.2">
      <c r="A514" s="61">
        <v>933</v>
      </c>
      <c r="B514" s="50" t="s">
        <v>333</v>
      </c>
      <c r="C514" s="50" t="s">
        <v>79</v>
      </c>
      <c r="D514" s="33" t="s">
        <v>3791</v>
      </c>
      <c r="E514" s="50" t="s">
        <v>1225</v>
      </c>
    </row>
    <row r="515" spans="1:5" ht="13.2">
      <c r="A515" s="61">
        <v>935</v>
      </c>
      <c r="B515" s="50" t="s">
        <v>381</v>
      </c>
      <c r="C515" s="50" t="s">
        <v>263</v>
      </c>
      <c r="D515" s="33" t="s">
        <v>3792</v>
      </c>
      <c r="E515" s="50" t="s">
        <v>392</v>
      </c>
    </row>
    <row r="516" spans="1:5" ht="13.2">
      <c r="A516" s="61">
        <v>936</v>
      </c>
      <c r="B516" s="50" t="s">
        <v>121</v>
      </c>
      <c r="C516" s="50" t="s">
        <v>263</v>
      </c>
      <c r="D516" s="33" t="s">
        <v>3793</v>
      </c>
      <c r="E516" s="50" t="s">
        <v>392</v>
      </c>
    </row>
    <row r="517" spans="1:5" ht="13.2">
      <c r="A517" s="61">
        <v>937</v>
      </c>
      <c r="B517" s="50" t="s">
        <v>334</v>
      </c>
      <c r="C517" s="50" t="s">
        <v>190</v>
      </c>
      <c r="D517" s="33" t="s">
        <v>3122</v>
      </c>
      <c r="E517" s="50" t="s">
        <v>1585</v>
      </c>
    </row>
    <row r="518" spans="1:5" ht="13.2">
      <c r="A518" s="61">
        <v>941</v>
      </c>
      <c r="B518" s="50" t="s">
        <v>335</v>
      </c>
      <c r="C518" s="50" t="s">
        <v>261</v>
      </c>
      <c r="D518" s="33" t="s">
        <v>3794</v>
      </c>
      <c r="E518" s="50" t="s">
        <v>1585</v>
      </c>
    </row>
    <row r="519" spans="1:5" ht="13.2">
      <c r="A519" s="61">
        <v>943</v>
      </c>
      <c r="B519" s="50" t="s">
        <v>191</v>
      </c>
      <c r="C519" s="50" t="s">
        <v>867</v>
      </c>
      <c r="D519" s="33" t="s">
        <v>3795</v>
      </c>
      <c r="E519" s="50" t="s">
        <v>223</v>
      </c>
    </row>
    <row r="520" spans="1:5" ht="13.2">
      <c r="A520" s="61">
        <v>945</v>
      </c>
      <c r="B520" s="50" t="s">
        <v>1112</v>
      </c>
      <c r="C520" s="50" t="s">
        <v>640</v>
      </c>
      <c r="D520" s="33" t="s">
        <v>3796</v>
      </c>
      <c r="E520" s="50" t="s">
        <v>223</v>
      </c>
    </row>
    <row r="521" spans="1:5" ht="13.2">
      <c r="A521" s="61">
        <v>947</v>
      </c>
      <c r="B521" s="50" t="s">
        <v>1113</v>
      </c>
      <c r="C521" s="50" t="s">
        <v>197</v>
      </c>
      <c r="D521" s="33" t="s">
        <v>2617</v>
      </c>
      <c r="E521" s="50" t="s">
        <v>1339</v>
      </c>
    </row>
    <row r="522" spans="1:5" ht="13.2">
      <c r="A522" s="61">
        <v>948</v>
      </c>
      <c r="B522" s="50" t="s">
        <v>1114</v>
      </c>
      <c r="C522" s="50" t="s">
        <v>336</v>
      </c>
      <c r="D522" s="33" t="s">
        <v>3797</v>
      </c>
      <c r="E522" s="50" t="s">
        <v>2037</v>
      </c>
    </row>
    <row r="523" spans="1:5" ht="13.2">
      <c r="A523" s="61">
        <v>950</v>
      </c>
      <c r="B523" s="50" t="s">
        <v>1115</v>
      </c>
      <c r="C523" s="50" t="s">
        <v>1116</v>
      </c>
      <c r="D523" s="33" t="s">
        <v>3798</v>
      </c>
      <c r="E523" s="50" t="s">
        <v>2727</v>
      </c>
    </row>
    <row r="524" spans="1:5" ht="13.2">
      <c r="A524" s="61">
        <v>953</v>
      </c>
      <c r="B524" s="50" t="s">
        <v>1117</v>
      </c>
      <c r="C524" s="50" t="s">
        <v>775</v>
      </c>
      <c r="D524" s="33" t="s">
        <v>3799</v>
      </c>
      <c r="E524" s="50" t="s">
        <v>1585</v>
      </c>
    </row>
    <row r="525" spans="1:5" ht="13.2">
      <c r="A525" s="61">
        <v>956</v>
      </c>
      <c r="B525" s="50" t="s">
        <v>1118</v>
      </c>
      <c r="C525" s="50" t="s">
        <v>778</v>
      </c>
      <c r="D525" s="33" t="s">
        <v>3800</v>
      </c>
      <c r="E525" s="50" t="s">
        <v>2036</v>
      </c>
    </row>
    <row r="526" spans="1:5" ht="13.2">
      <c r="A526" s="61">
        <v>957</v>
      </c>
      <c r="B526" s="50" t="s">
        <v>1255</v>
      </c>
      <c r="C526" s="50" t="s">
        <v>1119</v>
      </c>
      <c r="D526" s="33" t="s">
        <v>3801</v>
      </c>
      <c r="E526" s="50" t="s">
        <v>390</v>
      </c>
    </row>
    <row r="527" spans="1:5" ht="13.2">
      <c r="A527" s="61">
        <v>960</v>
      </c>
      <c r="B527" s="50" t="s">
        <v>1120</v>
      </c>
      <c r="C527" s="50" t="s">
        <v>79</v>
      </c>
      <c r="D527" s="33" t="s">
        <v>1929</v>
      </c>
      <c r="E527" s="50" t="s">
        <v>960</v>
      </c>
    </row>
    <row r="528" spans="1:5" ht="13.2">
      <c r="A528" s="61">
        <v>964</v>
      </c>
      <c r="B528" s="50" t="s">
        <v>376</v>
      </c>
      <c r="C528" s="50" t="s">
        <v>638</v>
      </c>
      <c r="D528" s="33" t="s">
        <v>3420</v>
      </c>
      <c r="E528" s="50" t="s">
        <v>1339</v>
      </c>
    </row>
    <row r="529" spans="1:5" ht="13.2">
      <c r="A529" s="61">
        <v>965</v>
      </c>
      <c r="B529" s="50" t="s">
        <v>1363</v>
      </c>
      <c r="C529" s="50" t="s">
        <v>642</v>
      </c>
      <c r="D529" s="33" t="s">
        <v>3067</v>
      </c>
      <c r="E529" s="50" t="s">
        <v>1585</v>
      </c>
    </row>
    <row r="530" spans="1:5" ht="13.2">
      <c r="A530" s="61">
        <v>968</v>
      </c>
      <c r="B530" s="50" t="s">
        <v>69</v>
      </c>
      <c r="C530" s="50" t="s">
        <v>1364</v>
      </c>
      <c r="D530" s="33" t="s">
        <v>3802</v>
      </c>
      <c r="E530" s="50" t="s">
        <v>223</v>
      </c>
    </row>
    <row r="531" spans="1:5" ht="13.2">
      <c r="A531" s="61">
        <v>969</v>
      </c>
      <c r="B531" s="50" t="s">
        <v>1365</v>
      </c>
      <c r="C531" s="50" t="s">
        <v>800</v>
      </c>
      <c r="D531" s="33" t="s">
        <v>3803</v>
      </c>
      <c r="E531" s="50" t="s">
        <v>223</v>
      </c>
    </row>
    <row r="532" spans="1:5" ht="13.2">
      <c r="A532" s="61">
        <v>970</v>
      </c>
      <c r="B532" s="50" t="s">
        <v>2153</v>
      </c>
      <c r="C532" s="50" t="s">
        <v>1410</v>
      </c>
      <c r="D532" s="33" t="s">
        <v>3804</v>
      </c>
      <c r="E532" s="50" t="s">
        <v>1339</v>
      </c>
    </row>
    <row r="533" spans="1:5" ht="13.2">
      <c r="A533" s="61">
        <v>971</v>
      </c>
      <c r="B533" s="50" t="s">
        <v>1107</v>
      </c>
      <c r="C533" s="50" t="s">
        <v>425</v>
      </c>
      <c r="D533" s="33" t="s">
        <v>1572</v>
      </c>
      <c r="E533" s="50" t="s">
        <v>1320</v>
      </c>
    </row>
    <row r="534" spans="1:5" ht="13.2">
      <c r="A534" s="61">
        <v>972</v>
      </c>
      <c r="B534" s="50" t="s">
        <v>3300</v>
      </c>
      <c r="C534" s="50" t="s">
        <v>1197</v>
      </c>
      <c r="D534" s="33" t="s">
        <v>3805</v>
      </c>
      <c r="E534" s="50" t="s">
        <v>1585</v>
      </c>
    </row>
    <row r="535" spans="1:5" ht="13.2">
      <c r="A535" s="61">
        <v>974</v>
      </c>
      <c r="B535" s="50" t="s">
        <v>1108</v>
      </c>
      <c r="C535" s="50" t="s">
        <v>194</v>
      </c>
      <c r="D535" s="33" t="s">
        <v>2881</v>
      </c>
      <c r="E535" s="50" t="s">
        <v>223</v>
      </c>
    </row>
    <row r="536" spans="1:5" ht="13.2">
      <c r="A536" s="61">
        <v>977</v>
      </c>
      <c r="B536" s="50" t="s">
        <v>1109</v>
      </c>
      <c r="C536" s="50" t="s">
        <v>964</v>
      </c>
      <c r="D536" s="33" t="s">
        <v>2879</v>
      </c>
      <c r="E536" s="50" t="s">
        <v>1339</v>
      </c>
    </row>
    <row r="537" spans="1:5" ht="13.2">
      <c r="A537" s="61">
        <v>978</v>
      </c>
      <c r="B537" s="50" t="s">
        <v>1110</v>
      </c>
      <c r="C537" s="50" t="s">
        <v>188</v>
      </c>
      <c r="D537" s="33" t="s">
        <v>3123</v>
      </c>
      <c r="E537" s="50" t="s">
        <v>1339</v>
      </c>
    </row>
    <row r="538" spans="1:5" ht="13.2">
      <c r="A538" s="61">
        <v>980</v>
      </c>
      <c r="B538" s="50" t="s">
        <v>1111</v>
      </c>
      <c r="C538" s="50" t="s">
        <v>79</v>
      </c>
      <c r="D538" s="33" t="s">
        <v>3806</v>
      </c>
      <c r="E538" s="50" t="s">
        <v>1339</v>
      </c>
    </row>
    <row r="539" spans="1:5" ht="13.2">
      <c r="A539" s="61">
        <v>981</v>
      </c>
      <c r="B539" s="50" t="s">
        <v>645</v>
      </c>
      <c r="C539" s="50" t="s">
        <v>266</v>
      </c>
      <c r="D539" s="33" t="s">
        <v>3807</v>
      </c>
      <c r="E539" s="50" t="s">
        <v>1225</v>
      </c>
    </row>
    <row r="540" spans="1:5" ht="13.2">
      <c r="A540" s="61">
        <v>983</v>
      </c>
      <c r="B540" s="50" t="s">
        <v>646</v>
      </c>
      <c r="C540" s="50" t="s">
        <v>777</v>
      </c>
      <c r="D540" s="33" t="s">
        <v>3808</v>
      </c>
      <c r="E540" s="50" t="s">
        <v>1339</v>
      </c>
    </row>
    <row r="541" spans="1:5" ht="13.2">
      <c r="A541" s="61">
        <v>984</v>
      </c>
      <c r="B541" s="50" t="s">
        <v>647</v>
      </c>
      <c r="C541" s="50" t="s">
        <v>640</v>
      </c>
      <c r="D541" s="33" t="s">
        <v>2969</v>
      </c>
      <c r="E541" s="50" t="s">
        <v>223</v>
      </c>
    </row>
    <row r="542" spans="1:5" ht="13.2">
      <c r="A542" s="61">
        <v>986</v>
      </c>
      <c r="B542" s="50" t="s">
        <v>648</v>
      </c>
      <c r="C542" s="50" t="s">
        <v>261</v>
      </c>
      <c r="D542" s="33" t="s">
        <v>3809</v>
      </c>
      <c r="E542" s="50" t="s">
        <v>686</v>
      </c>
    </row>
    <row r="543" spans="1:5" ht="13.2">
      <c r="A543" s="61">
        <v>987</v>
      </c>
      <c r="B543" s="50" t="s">
        <v>649</v>
      </c>
      <c r="C543" s="50" t="s">
        <v>638</v>
      </c>
      <c r="D543" s="33" t="s">
        <v>2547</v>
      </c>
      <c r="E543" s="50" t="s">
        <v>1320</v>
      </c>
    </row>
    <row r="544" spans="1:5" ht="13.2">
      <c r="A544" s="61">
        <v>991</v>
      </c>
      <c r="B544" s="50" t="s">
        <v>650</v>
      </c>
      <c r="C544" s="50" t="s">
        <v>188</v>
      </c>
      <c r="D544" s="33" t="s">
        <v>3810</v>
      </c>
      <c r="E544" s="50" t="s">
        <v>223</v>
      </c>
    </row>
    <row r="545" spans="1:5" ht="13.2">
      <c r="A545" s="61">
        <v>992</v>
      </c>
      <c r="B545" s="50" t="s">
        <v>651</v>
      </c>
      <c r="C545" s="50" t="s">
        <v>261</v>
      </c>
      <c r="D545" s="33" t="s">
        <v>2775</v>
      </c>
      <c r="E545" s="50" t="s">
        <v>2036</v>
      </c>
    </row>
    <row r="546" spans="1:5" ht="13.2">
      <c r="A546" s="61">
        <v>993</v>
      </c>
      <c r="B546" s="50" t="s">
        <v>652</v>
      </c>
      <c r="C546" s="50" t="s">
        <v>1311</v>
      </c>
      <c r="D546" s="33" t="s">
        <v>3811</v>
      </c>
      <c r="E546" s="50" t="s">
        <v>1339</v>
      </c>
    </row>
    <row r="547" spans="1:5" ht="13.2">
      <c r="A547" s="61">
        <v>1004</v>
      </c>
      <c r="B547" s="50" t="s">
        <v>316</v>
      </c>
      <c r="C547" s="50" t="s">
        <v>800</v>
      </c>
      <c r="D547" s="33" t="s">
        <v>2907</v>
      </c>
      <c r="E547" s="50" t="s">
        <v>223</v>
      </c>
    </row>
    <row r="548" spans="1:5" ht="13.2">
      <c r="A548" s="61">
        <v>1005</v>
      </c>
      <c r="B548" s="50" t="s">
        <v>1026</v>
      </c>
      <c r="C548" s="50" t="s">
        <v>738</v>
      </c>
      <c r="D548" s="33" t="s">
        <v>1930</v>
      </c>
      <c r="E548" s="50" t="s">
        <v>960</v>
      </c>
    </row>
    <row r="549" spans="1:5" ht="13.2">
      <c r="A549" s="61">
        <v>1007</v>
      </c>
      <c r="B549" s="50" t="s">
        <v>1027</v>
      </c>
      <c r="C549" s="50" t="s">
        <v>640</v>
      </c>
      <c r="D549" s="33" t="s">
        <v>3812</v>
      </c>
      <c r="E549" s="50" t="s">
        <v>223</v>
      </c>
    </row>
    <row r="550" spans="1:5" ht="13.2">
      <c r="A550" s="61">
        <v>1009</v>
      </c>
      <c r="B550" s="50" t="s">
        <v>567</v>
      </c>
      <c r="C550" s="50" t="s">
        <v>1197</v>
      </c>
      <c r="D550" s="33" t="s">
        <v>3813</v>
      </c>
      <c r="E550" s="50" t="s">
        <v>223</v>
      </c>
    </row>
    <row r="551" spans="1:5" ht="13.2">
      <c r="A551" s="61">
        <v>1012</v>
      </c>
      <c r="B551" s="50" t="s">
        <v>1092</v>
      </c>
      <c r="C551" s="50" t="s">
        <v>635</v>
      </c>
      <c r="D551" s="33" t="s">
        <v>2142</v>
      </c>
      <c r="E551" s="50" t="s">
        <v>223</v>
      </c>
    </row>
    <row r="552" spans="1:5" ht="13.2">
      <c r="A552" s="61">
        <v>1014</v>
      </c>
      <c r="B552" s="50" t="s">
        <v>1029</v>
      </c>
      <c r="C552" s="50" t="s">
        <v>75</v>
      </c>
      <c r="D552" s="33" t="s">
        <v>3814</v>
      </c>
      <c r="E552" s="50" t="s">
        <v>223</v>
      </c>
    </row>
    <row r="553" spans="1:5" ht="13.2">
      <c r="A553" s="61">
        <v>1016</v>
      </c>
      <c r="B553" s="50" t="s">
        <v>1030</v>
      </c>
      <c r="C553" s="50" t="s">
        <v>1031</v>
      </c>
      <c r="D553" s="33" t="s">
        <v>3815</v>
      </c>
      <c r="E553" s="50" t="s">
        <v>1225</v>
      </c>
    </row>
    <row r="554" spans="1:5" ht="13.2">
      <c r="A554" s="61">
        <v>1017</v>
      </c>
      <c r="B554" s="50" t="s">
        <v>1032</v>
      </c>
      <c r="C554" s="50" t="s">
        <v>263</v>
      </c>
      <c r="D554" s="33" t="s">
        <v>3816</v>
      </c>
      <c r="E554" s="50" t="s">
        <v>1339</v>
      </c>
    </row>
    <row r="555" spans="1:5" ht="13.2">
      <c r="A555" s="61">
        <v>1019</v>
      </c>
      <c r="B555" s="50" t="s">
        <v>1255</v>
      </c>
      <c r="C555" s="50" t="s">
        <v>1033</v>
      </c>
      <c r="D555" s="33" t="s">
        <v>3817</v>
      </c>
      <c r="E555" s="50" t="s">
        <v>1225</v>
      </c>
    </row>
    <row r="556" spans="1:5" ht="13.2">
      <c r="A556" s="61">
        <v>1020</v>
      </c>
      <c r="B556" s="50" t="s">
        <v>69</v>
      </c>
      <c r="C556" s="50" t="s">
        <v>336</v>
      </c>
      <c r="D556" s="33" t="s">
        <v>3818</v>
      </c>
      <c r="E556" s="50" t="s">
        <v>223</v>
      </c>
    </row>
    <row r="557" spans="1:5" ht="13.2">
      <c r="A557" s="61">
        <v>1025</v>
      </c>
      <c r="B557" s="50" t="s">
        <v>1035</v>
      </c>
      <c r="C557" s="50" t="s">
        <v>336</v>
      </c>
      <c r="D557" s="33" t="s">
        <v>3819</v>
      </c>
      <c r="E557" s="50" t="s">
        <v>686</v>
      </c>
    </row>
    <row r="558" spans="1:5" ht="13.2">
      <c r="A558" s="61">
        <v>1028</v>
      </c>
      <c r="B558" s="50" t="s">
        <v>1036</v>
      </c>
      <c r="C558" s="50" t="s">
        <v>127</v>
      </c>
      <c r="D558" s="33" t="s">
        <v>3820</v>
      </c>
      <c r="E558" s="50" t="s">
        <v>451</v>
      </c>
    </row>
    <row r="559" spans="1:5" ht="13.2">
      <c r="A559" s="61">
        <v>1029</v>
      </c>
      <c r="B559" s="50" t="s">
        <v>147</v>
      </c>
      <c r="C559" s="50" t="s">
        <v>640</v>
      </c>
      <c r="D559" s="33" t="s">
        <v>3521</v>
      </c>
      <c r="E559" s="50" t="s">
        <v>223</v>
      </c>
    </row>
    <row r="560" spans="1:5" ht="13.2">
      <c r="A560" s="61">
        <v>1030</v>
      </c>
      <c r="B560" s="50" t="s">
        <v>148</v>
      </c>
      <c r="C560" s="50" t="s">
        <v>338</v>
      </c>
      <c r="D560" s="33" t="s">
        <v>2929</v>
      </c>
      <c r="E560" s="50" t="s">
        <v>731</v>
      </c>
    </row>
    <row r="561" spans="1:5" ht="13.2">
      <c r="A561" s="61">
        <v>1031</v>
      </c>
      <c r="B561" s="50" t="s">
        <v>954</v>
      </c>
      <c r="C561" s="50" t="s">
        <v>197</v>
      </c>
      <c r="D561" s="33" t="s">
        <v>3821</v>
      </c>
      <c r="E561" s="50" t="s">
        <v>731</v>
      </c>
    </row>
    <row r="562" spans="1:5" ht="13.2">
      <c r="A562" s="61">
        <v>1033</v>
      </c>
      <c r="B562" s="50" t="s">
        <v>149</v>
      </c>
      <c r="C562" s="50" t="s">
        <v>263</v>
      </c>
      <c r="D562" s="33" t="s">
        <v>3822</v>
      </c>
      <c r="E562" s="50" t="s">
        <v>2727</v>
      </c>
    </row>
    <row r="563" spans="1:5" ht="13.2">
      <c r="A563" s="61">
        <v>1034</v>
      </c>
      <c r="B563" s="50" t="s">
        <v>150</v>
      </c>
      <c r="C563" s="50" t="s">
        <v>777</v>
      </c>
      <c r="D563" s="33" t="s">
        <v>3823</v>
      </c>
      <c r="E563" s="50" t="s">
        <v>1225</v>
      </c>
    </row>
    <row r="564" spans="1:5" ht="13.2">
      <c r="A564" s="61">
        <v>1036</v>
      </c>
      <c r="B564" s="50" t="s">
        <v>151</v>
      </c>
      <c r="C564" s="50" t="s">
        <v>777</v>
      </c>
      <c r="D564" s="33" t="s">
        <v>3824</v>
      </c>
      <c r="E564" s="50" t="s">
        <v>390</v>
      </c>
    </row>
    <row r="565" spans="1:5" ht="13.2">
      <c r="A565" s="61">
        <v>1037</v>
      </c>
      <c r="B565" s="50" t="s">
        <v>574</v>
      </c>
      <c r="C565" s="50" t="s">
        <v>1534</v>
      </c>
      <c r="D565" s="33" t="s">
        <v>3825</v>
      </c>
      <c r="E565" s="50" t="s">
        <v>390</v>
      </c>
    </row>
    <row r="566" spans="1:5" ht="13.2">
      <c r="A566" s="61">
        <v>1038</v>
      </c>
      <c r="B566" s="50" t="s">
        <v>1535</v>
      </c>
      <c r="C566" s="50" t="s">
        <v>1536</v>
      </c>
      <c r="D566" s="33" t="s">
        <v>3826</v>
      </c>
      <c r="E566" s="50" t="s">
        <v>390</v>
      </c>
    </row>
    <row r="567" spans="1:5" ht="13.2">
      <c r="A567" s="61">
        <v>1040</v>
      </c>
      <c r="B567" s="50" t="s">
        <v>1537</v>
      </c>
      <c r="C567" s="50" t="s">
        <v>780</v>
      </c>
      <c r="D567" s="33" t="s">
        <v>3827</v>
      </c>
      <c r="E567" s="50" t="s">
        <v>2288</v>
      </c>
    </row>
    <row r="568" spans="1:5" ht="13.2">
      <c r="A568" s="61">
        <v>1041</v>
      </c>
      <c r="B568" s="50" t="s">
        <v>1538</v>
      </c>
      <c r="C568" s="50" t="s">
        <v>866</v>
      </c>
      <c r="D568" s="33" t="s">
        <v>3828</v>
      </c>
      <c r="E568" s="50" t="s">
        <v>1225</v>
      </c>
    </row>
    <row r="569" spans="1:5" ht="13.2">
      <c r="A569" s="61">
        <v>1042</v>
      </c>
      <c r="B569" s="50" t="s">
        <v>1539</v>
      </c>
      <c r="C569" s="50" t="s">
        <v>1311</v>
      </c>
      <c r="D569" s="33" t="s">
        <v>3829</v>
      </c>
      <c r="E569" s="50" t="s">
        <v>686</v>
      </c>
    </row>
    <row r="570" spans="1:5" ht="13.2">
      <c r="A570" s="61">
        <v>1045</v>
      </c>
      <c r="B570" s="50" t="s">
        <v>1540</v>
      </c>
      <c r="C570" s="50" t="s">
        <v>188</v>
      </c>
      <c r="D570" s="33" t="s">
        <v>3830</v>
      </c>
      <c r="E570" s="50" t="s">
        <v>223</v>
      </c>
    </row>
    <row r="571" spans="1:5" ht="13.2">
      <c r="A571" s="61">
        <v>1046</v>
      </c>
      <c r="B571" s="50" t="s">
        <v>1541</v>
      </c>
      <c r="C571" s="50" t="s">
        <v>75</v>
      </c>
      <c r="D571" s="33" t="s">
        <v>3831</v>
      </c>
      <c r="E571" s="50" t="s">
        <v>1225</v>
      </c>
    </row>
    <row r="572" spans="1:5" ht="13.2">
      <c r="A572" s="61">
        <v>1047</v>
      </c>
      <c r="B572" s="50" t="s">
        <v>1485</v>
      </c>
      <c r="C572" s="50" t="s">
        <v>336</v>
      </c>
      <c r="D572" s="33" t="s">
        <v>3832</v>
      </c>
      <c r="E572" s="50" t="s">
        <v>1225</v>
      </c>
    </row>
    <row r="573" spans="1:5" ht="13.2">
      <c r="A573" s="61">
        <v>1049</v>
      </c>
      <c r="B573" s="50" t="s">
        <v>1486</v>
      </c>
      <c r="C573" s="50" t="s">
        <v>190</v>
      </c>
      <c r="D573" s="33" t="s">
        <v>3833</v>
      </c>
      <c r="E573" s="50" t="s">
        <v>731</v>
      </c>
    </row>
    <row r="574" spans="1:5" ht="13.2">
      <c r="A574" s="61">
        <v>1050</v>
      </c>
      <c r="B574" s="50" t="s">
        <v>1487</v>
      </c>
      <c r="C574" s="50" t="s">
        <v>1157</v>
      </c>
      <c r="D574" s="33" t="s">
        <v>1931</v>
      </c>
      <c r="E574" s="50" t="s">
        <v>2037</v>
      </c>
    </row>
    <row r="575" spans="1:5" ht="13.2">
      <c r="A575" s="61">
        <v>1052</v>
      </c>
      <c r="B575" s="50" t="s">
        <v>1147</v>
      </c>
      <c r="C575" s="50" t="s">
        <v>336</v>
      </c>
      <c r="D575" s="33" t="s">
        <v>3834</v>
      </c>
      <c r="E575" s="50" t="s">
        <v>1585</v>
      </c>
    </row>
    <row r="576" spans="1:5" ht="13.2">
      <c r="A576" s="61">
        <v>1054</v>
      </c>
      <c r="B576" s="50" t="s">
        <v>1488</v>
      </c>
      <c r="C576" s="50" t="s">
        <v>261</v>
      </c>
      <c r="D576" s="33" t="s">
        <v>3835</v>
      </c>
      <c r="E576" s="50" t="s">
        <v>1339</v>
      </c>
    </row>
    <row r="577" spans="1:5" ht="13.2">
      <c r="A577" s="61">
        <v>1055</v>
      </c>
      <c r="B577" s="50" t="s">
        <v>312</v>
      </c>
      <c r="C577" s="50" t="s">
        <v>336</v>
      </c>
      <c r="D577" s="33" t="s">
        <v>3836</v>
      </c>
      <c r="E577" s="50" t="s">
        <v>451</v>
      </c>
    </row>
    <row r="578" spans="1:5" ht="13.2">
      <c r="A578" s="61">
        <v>1056</v>
      </c>
      <c r="B578" s="50" t="s">
        <v>1489</v>
      </c>
      <c r="C578" s="50" t="s">
        <v>194</v>
      </c>
      <c r="D578" s="33" t="s">
        <v>2615</v>
      </c>
      <c r="E578" s="50" t="s">
        <v>223</v>
      </c>
    </row>
    <row r="579" spans="1:5" ht="13.2">
      <c r="A579" s="61">
        <v>1059</v>
      </c>
      <c r="B579" s="50" t="s">
        <v>1243</v>
      </c>
      <c r="C579" s="50" t="s">
        <v>1311</v>
      </c>
      <c r="D579" s="33" t="s">
        <v>3124</v>
      </c>
      <c r="E579" s="50" t="s">
        <v>451</v>
      </c>
    </row>
    <row r="580" spans="1:5" ht="13.2">
      <c r="A580" s="61">
        <v>1060</v>
      </c>
      <c r="B580" s="50" t="s">
        <v>562</v>
      </c>
      <c r="C580" s="50" t="s">
        <v>1490</v>
      </c>
      <c r="D580" s="33" t="s">
        <v>1580</v>
      </c>
      <c r="E580" s="50" t="s">
        <v>1322</v>
      </c>
    </row>
    <row r="581" spans="1:5" ht="13.2">
      <c r="A581" s="61">
        <v>1063</v>
      </c>
      <c r="B581" s="50" t="s">
        <v>1491</v>
      </c>
      <c r="C581" s="50" t="s">
        <v>79</v>
      </c>
      <c r="D581" s="33" t="s">
        <v>3837</v>
      </c>
      <c r="E581" s="50" t="s">
        <v>223</v>
      </c>
    </row>
    <row r="582" spans="1:5" ht="13.2">
      <c r="A582" s="61">
        <v>1064</v>
      </c>
      <c r="B582" s="50" t="s">
        <v>1492</v>
      </c>
      <c r="C582" s="50" t="s">
        <v>197</v>
      </c>
      <c r="D582" s="33" t="s">
        <v>2271</v>
      </c>
      <c r="E582" s="50" t="s">
        <v>451</v>
      </c>
    </row>
    <row r="583" spans="1:5" ht="13.2">
      <c r="A583" s="61">
        <v>1065</v>
      </c>
      <c r="B583" s="50" t="s">
        <v>1493</v>
      </c>
      <c r="C583" s="50" t="s">
        <v>1494</v>
      </c>
      <c r="D583" s="33" t="s">
        <v>3495</v>
      </c>
      <c r="E583" s="50" t="s">
        <v>223</v>
      </c>
    </row>
    <row r="584" spans="1:5" ht="13.2">
      <c r="A584" s="61">
        <v>1066</v>
      </c>
      <c r="B584" s="50" t="s">
        <v>2453</v>
      </c>
      <c r="C584" s="50" t="s">
        <v>194</v>
      </c>
      <c r="D584" s="33" t="s">
        <v>2995</v>
      </c>
      <c r="E584" s="50" t="s">
        <v>223</v>
      </c>
    </row>
    <row r="585" spans="1:5" ht="13.2">
      <c r="A585" s="61">
        <v>1067</v>
      </c>
      <c r="B585" s="50" t="s">
        <v>1495</v>
      </c>
      <c r="C585" s="50" t="s">
        <v>778</v>
      </c>
      <c r="D585" s="33" t="s">
        <v>3838</v>
      </c>
      <c r="E585" s="50" t="s">
        <v>223</v>
      </c>
    </row>
    <row r="586" spans="1:5" ht="13.2">
      <c r="A586" s="61">
        <v>1068</v>
      </c>
      <c r="B586" s="50" t="s">
        <v>1496</v>
      </c>
      <c r="C586" s="50" t="s">
        <v>425</v>
      </c>
      <c r="D586" s="33" t="s">
        <v>3839</v>
      </c>
      <c r="E586" s="50" t="s">
        <v>1225</v>
      </c>
    </row>
    <row r="587" spans="1:5" ht="13.2">
      <c r="A587" s="61">
        <v>1071</v>
      </c>
      <c r="B587" s="50" t="s">
        <v>1497</v>
      </c>
      <c r="C587" s="50" t="s">
        <v>640</v>
      </c>
      <c r="D587" s="33" t="s">
        <v>3840</v>
      </c>
      <c r="E587" s="50" t="s">
        <v>1225</v>
      </c>
    </row>
    <row r="588" spans="1:5" ht="13.2">
      <c r="A588" s="61">
        <v>1072</v>
      </c>
      <c r="B588" s="50" t="s">
        <v>1498</v>
      </c>
      <c r="C588" s="50" t="s">
        <v>336</v>
      </c>
      <c r="D588" s="33" t="s">
        <v>3841</v>
      </c>
      <c r="E588" s="50" t="s">
        <v>1586</v>
      </c>
    </row>
    <row r="589" spans="1:5" ht="13.2">
      <c r="A589" s="61">
        <v>1073</v>
      </c>
      <c r="B589" s="50" t="s">
        <v>1499</v>
      </c>
      <c r="C589" s="50" t="s">
        <v>642</v>
      </c>
      <c r="D589" s="33" t="s">
        <v>3842</v>
      </c>
      <c r="E589" s="50" t="s">
        <v>1225</v>
      </c>
    </row>
    <row r="590" spans="1:5" ht="13.2">
      <c r="A590" s="61">
        <v>1074</v>
      </c>
      <c r="B590" s="50" t="s">
        <v>1500</v>
      </c>
      <c r="C590" s="50" t="s">
        <v>1474</v>
      </c>
      <c r="D590" s="33" t="s">
        <v>3843</v>
      </c>
      <c r="E590" s="50" t="s">
        <v>1225</v>
      </c>
    </row>
    <row r="591" spans="1:5" ht="13.2">
      <c r="A591" s="61">
        <v>1076</v>
      </c>
      <c r="B591" s="50" t="s">
        <v>1501</v>
      </c>
      <c r="C591" s="50" t="s">
        <v>964</v>
      </c>
      <c r="D591" s="33" t="s">
        <v>3339</v>
      </c>
      <c r="E591" s="50" t="s">
        <v>2035</v>
      </c>
    </row>
    <row r="592" spans="1:5" ht="13.2">
      <c r="A592" s="61">
        <v>1077</v>
      </c>
      <c r="B592" s="50" t="s">
        <v>1502</v>
      </c>
      <c r="C592" s="50" t="s">
        <v>75</v>
      </c>
      <c r="D592" s="33" t="s">
        <v>3844</v>
      </c>
      <c r="E592" s="50" t="s">
        <v>1224</v>
      </c>
    </row>
    <row r="593" spans="1:5" ht="13.2">
      <c r="A593" s="61">
        <v>1080</v>
      </c>
      <c r="B593" s="50" t="s">
        <v>1503</v>
      </c>
      <c r="C593" s="50" t="s">
        <v>425</v>
      </c>
      <c r="D593" s="33" t="s">
        <v>3845</v>
      </c>
      <c r="E593" s="50" t="s">
        <v>223</v>
      </c>
    </row>
    <row r="594" spans="1:5" ht="13.2">
      <c r="A594" s="61">
        <v>1083</v>
      </c>
      <c r="B594" s="50" t="s">
        <v>1504</v>
      </c>
      <c r="C594" s="50" t="s">
        <v>866</v>
      </c>
      <c r="D594" s="33" t="s">
        <v>3384</v>
      </c>
      <c r="E594" s="50" t="s">
        <v>223</v>
      </c>
    </row>
    <row r="595" spans="1:5" ht="13.2">
      <c r="A595" s="61">
        <v>1084</v>
      </c>
      <c r="B595" s="50" t="s">
        <v>1505</v>
      </c>
      <c r="C595" s="50" t="s">
        <v>635</v>
      </c>
      <c r="D595" s="33" t="s">
        <v>1377</v>
      </c>
      <c r="E595" s="50" t="s">
        <v>223</v>
      </c>
    </row>
    <row r="596" spans="1:5" ht="13.2">
      <c r="A596" s="61">
        <v>1085</v>
      </c>
      <c r="B596" s="50" t="s">
        <v>1506</v>
      </c>
      <c r="C596" s="50" t="s">
        <v>246</v>
      </c>
      <c r="D596" s="33" t="s">
        <v>2129</v>
      </c>
      <c r="E596" s="50" t="s">
        <v>1322</v>
      </c>
    </row>
    <row r="597" spans="1:5" ht="13.2">
      <c r="A597" s="61">
        <v>1086</v>
      </c>
      <c r="B597" s="50" t="s">
        <v>1507</v>
      </c>
      <c r="C597" s="50" t="s">
        <v>246</v>
      </c>
      <c r="D597" s="33" t="s">
        <v>1932</v>
      </c>
      <c r="E597" s="50" t="s">
        <v>1322</v>
      </c>
    </row>
    <row r="598" spans="1:5" ht="13.2">
      <c r="A598" s="61">
        <v>1087</v>
      </c>
      <c r="B598" s="50" t="s">
        <v>1508</v>
      </c>
      <c r="C598" s="50" t="s">
        <v>246</v>
      </c>
      <c r="D598" s="33" t="s">
        <v>2146</v>
      </c>
      <c r="E598" s="50" t="s">
        <v>2126</v>
      </c>
    </row>
    <row r="599" spans="1:5" ht="13.2">
      <c r="A599" s="61">
        <v>1089</v>
      </c>
      <c r="B599" s="50" t="s">
        <v>1509</v>
      </c>
      <c r="C599" s="50" t="s">
        <v>190</v>
      </c>
      <c r="D599" s="33" t="s">
        <v>1375</v>
      </c>
      <c r="E599" s="50" t="s">
        <v>223</v>
      </c>
    </row>
    <row r="600" spans="1:5" ht="13.2">
      <c r="A600" s="61">
        <v>1092</v>
      </c>
      <c r="B600" s="50" t="s">
        <v>1412</v>
      </c>
      <c r="C600" s="50" t="s">
        <v>1197</v>
      </c>
      <c r="D600" s="33" t="s">
        <v>2481</v>
      </c>
      <c r="E600" s="50" t="s">
        <v>223</v>
      </c>
    </row>
    <row r="601" spans="1:5" ht="13.2">
      <c r="A601" s="61">
        <v>1094</v>
      </c>
      <c r="B601" s="50" t="s">
        <v>1510</v>
      </c>
      <c r="C601" s="50" t="s">
        <v>1311</v>
      </c>
      <c r="D601" s="33" t="s">
        <v>3125</v>
      </c>
      <c r="E601" s="50" t="s">
        <v>223</v>
      </c>
    </row>
    <row r="602" spans="1:5" ht="13.2">
      <c r="A602" s="61">
        <v>1097</v>
      </c>
      <c r="B602" s="50" t="s">
        <v>1511</v>
      </c>
      <c r="C602" s="50" t="s">
        <v>1512</v>
      </c>
      <c r="D602" s="33" t="s">
        <v>3846</v>
      </c>
      <c r="E602" s="50" t="s">
        <v>1224</v>
      </c>
    </row>
    <row r="603" spans="1:5" ht="13.2">
      <c r="A603" s="61">
        <v>1102</v>
      </c>
      <c r="B603" s="50" t="s">
        <v>1513</v>
      </c>
      <c r="C603" s="50" t="s">
        <v>326</v>
      </c>
      <c r="D603" s="33" t="s">
        <v>3847</v>
      </c>
      <c r="E603" s="50" t="s">
        <v>2037</v>
      </c>
    </row>
    <row r="604" spans="1:5" ht="13.2">
      <c r="A604" s="61">
        <v>1104</v>
      </c>
      <c r="B604" s="50" t="s">
        <v>1514</v>
      </c>
      <c r="C604" s="50" t="s">
        <v>1197</v>
      </c>
      <c r="D604" s="33" t="s">
        <v>3848</v>
      </c>
      <c r="E604" s="50" t="s">
        <v>1339</v>
      </c>
    </row>
    <row r="605" spans="1:5" ht="13.2">
      <c r="A605" s="61">
        <v>1105</v>
      </c>
      <c r="B605" s="50" t="s">
        <v>1515</v>
      </c>
      <c r="C605" s="50" t="s">
        <v>263</v>
      </c>
      <c r="D605" s="33" t="s">
        <v>3849</v>
      </c>
      <c r="E605" s="50" t="s">
        <v>731</v>
      </c>
    </row>
    <row r="606" spans="1:5" ht="13.2">
      <c r="A606" s="61">
        <v>1106</v>
      </c>
      <c r="B606" s="50" t="s">
        <v>1516</v>
      </c>
      <c r="C606" s="50" t="s">
        <v>640</v>
      </c>
      <c r="D606" s="33" t="s">
        <v>3850</v>
      </c>
      <c r="E606" s="50" t="s">
        <v>223</v>
      </c>
    </row>
    <row r="607" spans="1:5" ht="13.2">
      <c r="A607" s="61">
        <v>1107</v>
      </c>
      <c r="B607" s="50" t="s">
        <v>1517</v>
      </c>
      <c r="C607" s="50" t="s">
        <v>194</v>
      </c>
      <c r="D607" s="33" t="s">
        <v>2959</v>
      </c>
      <c r="E607" s="50" t="s">
        <v>1585</v>
      </c>
    </row>
    <row r="608" spans="1:5" ht="13.2">
      <c r="A608" s="61">
        <v>1108</v>
      </c>
      <c r="B608" s="50" t="s">
        <v>1518</v>
      </c>
      <c r="C608" s="50" t="s">
        <v>188</v>
      </c>
      <c r="D608" s="33" t="s">
        <v>3851</v>
      </c>
      <c r="E608" s="50" t="s">
        <v>223</v>
      </c>
    </row>
    <row r="609" spans="1:5" ht="13.2">
      <c r="A609" s="61">
        <v>1110</v>
      </c>
      <c r="B609" s="50" t="s">
        <v>1519</v>
      </c>
      <c r="C609" s="50" t="s">
        <v>1520</v>
      </c>
      <c r="D609" s="33" t="s">
        <v>2868</v>
      </c>
      <c r="E609" s="50" t="s">
        <v>223</v>
      </c>
    </row>
    <row r="610" spans="1:5" ht="13.2">
      <c r="A610" s="61">
        <v>1111</v>
      </c>
      <c r="B610" s="50" t="s">
        <v>1521</v>
      </c>
      <c r="C610" s="50" t="s">
        <v>1522</v>
      </c>
      <c r="D610" s="33" t="s">
        <v>3852</v>
      </c>
      <c r="E610" s="50" t="s">
        <v>451</v>
      </c>
    </row>
    <row r="611" spans="1:5" ht="13.2">
      <c r="A611" s="61">
        <v>1112</v>
      </c>
      <c r="B611" s="50" t="s">
        <v>1523</v>
      </c>
      <c r="C611" s="50" t="s">
        <v>775</v>
      </c>
      <c r="D611" s="33" t="s">
        <v>3853</v>
      </c>
      <c r="E611" s="50" t="s">
        <v>223</v>
      </c>
    </row>
    <row r="612" spans="1:5" ht="13.2">
      <c r="A612" s="61">
        <v>1113</v>
      </c>
      <c r="B612" s="50" t="s">
        <v>1524</v>
      </c>
      <c r="C612" s="50" t="s">
        <v>336</v>
      </c>
      <c r="D612" s="33" t="s">
        <v>2898</v>
      </c>
      <c r="E612" s="50" t="s">
        <v>223</v>
      </c>
    </row>
    <row r="613" spans="1:5" ht="13.2">
      <c r="A613" s="61">
        <v>1115</v>
      </c>
      <c r="B613" s="50" t="s">
        <v>1525</v>
      </c>
      <c r="C613" s="50" t="s">
        <v>866</v>
      </c>
      <c r="D613" s="33" t="s">
        <v>2992</v>
      </c>
      <c r="E613" s="50" t="s">
        <v>223</v>
      </c>
    </row>
    <row r="614" spans="1:5" ht="13.2">
      <c r="A614" s="61">
        <v>1116</v>
      </c>
      <c r="B614" s="50" t="s">
        <v>1526</v>
      </c>
      <c r="C614" s="50" t="s">
        <v>1527</v>
      </c>
      <c r="D614" s="33" t="s">
        <v>3091</v>
      </c>
      <c r="E614" s="50" t="s">
        <v>451</v>
      </c>
    </row>
    <row r="615" spans="1:5" ht="13.2">
      <c r="A615" s="61">
        <v>1117</v>
      </c>
      <c r="B615" s="50" t="s">
        <v>1098</v>
      </c>
      <c r="C615" s="50" t="s">
        <v>777</v>
      </c>
      <c r="D615" s="33" t="s">
        <v>3854</v>
      </c>
      <c r="E615" s="50" t="s">
        <v>1224</v>
      </c>
    </row>
    <row r="616" spans="1:5" ht="13.2">
      <c r="A616" s="61">
        <v>1120</v>
      </c>
      <c r="B616" s="50" t="s">
        <v>1528</v>
      </c>
      <c r="C616" s="50" t="s">
        <v>261</v>
      </c>
      <c r="D616" s="33" t="s">
        <v>3855</v>
      </c>
      <c r="E616" s="50" t="s">
        <v>451</v>
      </c>
    </row>
    <row r="617" spans="1:5" ht="13.2">
      <c r="A617" s="61">
        <v>1121</v>
      </c>
      <c r="B617" s="50" t="s">
        <v>1026</v>
      </c>
      <c r="C617" s="50" t="s">
        <v>75</v>
      </c>
      <c r="D617" s="33" t="s">
        <v>3856</v>
      </c>
      <c r="E617" s="50" t="s">
        <v>223</v>
      </c>
    </row>
    <row r="618" spans="1:5" ht="13.2">
      <c r="A618" s="61">
        <v>1123</v>
      </c>
      <c r="B618" s="50" t="s">
        <v>1529</v>
      </c>
      <c r="C618" s="50" t="s">
        <v>199</v>
      </c>
      <c r="D618" s="33" t="s">
        <v>3857</v>
      </c>
      <c r="E618" s="50" t="s">
        <v>2037</v>
      </c>
    </row>
    <row r="619" spans="1:5" ht="13.2">
      <c r="A619" s="61">
        <v>1128</v>
      </c>
      <c r="B619" s="50" t="s">
        <v>1530</v>
      </c>
      <c r="C619" s="50" t="s">
        <v>966</v>
      </c>
      <c r="D619" s="33" t="s">
        <v>542</v>
      </c>
      <c r="E619" s="50" t="s">
        <v>223</v>
      </c>
    </row>
    <row r="620" spans="1:5" ht="13.2">
      <c r="A620" s="61">
        <v>1129</v>
      </c>
      <c r="B620" s="50" t="s">
        <v>1531</v>
      </c>
      <c r="C620" s="50" t="s">
        <v>79</v>
      </c>
      <c r="D620" s="33" t="s">
        <v>3858</v>
      </c>
      <c r="E620" s="50" t="s">
        <v>1225</v>
      </c>
    </row>
    <row r="621" spans="1:5" ht="13.2">
      <c r="A621" s="61">
        <v>1134</v>
      </c>
      <c r="B621" s="50" t="s">
        <v>1532</v>
      </c>
      <c r="C621" s="50" t="s">
        <v>1533</v>
      </c>
      <c r="D621" s="33" t="s">
        <v>3859</v>
      </c>
      <c r="E621" s="50" t="s">
        <v>1366</v>
      </c>
    </row>
    <row r="622" spans="1:5" ht="13.2">
      <c r="A622" s="61">
        <v>1137</v>
      </c>
      <c r="B622" s="50" t="s">
        <v>226</v>
      </c>
      <c r="C622" s="50" t="s">
        <v>79</v>
      </c>
      <c r="D622" s="33" t="s">
        <v>3860</v>
      </c>
      <c r="E622" s="50" t="s">
        <v>223</v>
      </c>
    </row>
    <row r="623" spans="1:5" ht="13.2">
      <c r="A623" s="61">
        <v>1140</v>
      </c>
      <c r="B623" s="50" t="s">
        <v>227</v>
      </c>
      <c r="C623" s="50" t="s">
        <v>640</v>
      </c>
      <c r="D623" s="33" t="s">
        <v>3861</v>
      </c>
      <c r="E623" s="50" t="s">
        <v>223</v>
      </c>
    </row>
    <row r="624" spans="1:5" ht="13.2">
      <c r="A624" s="61">
        <v>1142</v>
      </c>
      <c r="B624" s="50" t="s">
        <v>1281</v>
      </c>
      <c r="C624" s="50" t="s">
        <v>246</v>
      </c>
      <c r="D624" s="33" t="s">
        <v>3412</v>
      </c>
      <c r="E624" s="50" t="s">
        <v>451</v>
      </c>
    </row>
    <row r="625" spans="1:5" ht="13.2">
      <c r="A625" s="61">
        <v>1147</v>
      </c>
      <c r="B625" s="50" t="s">
        <v>1282</v>
      </c>
      <c r="C625" s="50" t="s">
        <v>263</v>
      </c>
      <c r="D625" s="33" t="s">
        <v>2138</v>
      </c>
      <c r="E625" s="50" t="s">
        <v>223</v>
      </c>
    </row>
    <row r="626" spans="1:5" ht="13.2">
      <c r="A626" s="61">
        <v>1150</v>
      </c>
      <c r="B626" s="50" t="s">
        <v>1283</v>
      </c>
      <c r="C626" s="50" t="s">
        <v>640</v>
      </c>
      <c r="D626" s="33" t="s">
        <v>3862</v>
      </c>
      <c r="E626" s="50" t="s">
        <v>223</v>
      </c>
    </row>
    <row r="627" spans="1:5" ht="13.2">
      <c r="A627" s="61">
        <v>1151</v>
      </c>
      <c r="B627" s="50" t="s">
        <v>1284</v>
      </c>
      <c r="C627" s="50" t="s">
        <v>242</v>
      </c>
      <c r="D627" s="33" t="s">
        <v>3863</v>
      </c>
      <c r="E627" s="50" t="s">
        <v>1225</v>
      </c>
    </row>
    <row r="628" spans="1:5" ht="13.2">
      <c r="A628" s="61">
        <v>1156</v>
      </c>
      <c r="B628" s="50" t="s">
        <v>1285</v>
      </c>
      <c r="C628" s="50" t="s">
        <v>640</v>
      </c>
      <c r="D628" s="33" t="s">
        <v>3864</v>
      </c>
      <c r="E628" s="50" t="s">
        <v>1224</v>
      </c>
    </row>
    <row r="629" spans="1:5" ht="13.2">
      <c r="A629" s="61">
        <v>1157</v>
      </c>
      <c r="B629" s="50" t="s">
        <v>1286</v>
      </c>
      <c r="C629" s="50" t="s">
        <v>638</v>
      </c>
      <c r="D629" s="33" t="s">
        <v>3865</v>
      </c>
      <c r="E629" s="50" t="s">
        <v>223</v>
      </c>
    </row>
    <row r="630" spans="1:5" ht="13.2">
      <c r="A630" s="61">
        <v>1159</v>
      </c>
      <c r="B630" s="50" t="s">
        <v>1287</v>
      </c>
      <c r="C630" s="50" t="s">
        <v>190</v>
      </c>
      <c r="D630" s="33" t="s">
        <v>3866</v>
      </c>
      <c r="E630" s="50" t="s">
        <v>223</v>
      </c>
    </row>
    <row r="631" spans="1:5" ht="13.2">
      <c r="A631" s="61">
        <v>1160</v>
      </c>
      <c r="B631" s="50" t="s">
        <v>161</v>
      </c>
      <c r="C631" s="50" t="s">
        <v>72</v>
      </c>
      <c r="D631" s="33" t="s">
        <v>2181</v>
      </c>
      <c r="E631" s="50" t="s">
        <v>2126</v>
      </c>
    </row>
    <row r="632" spans="1:5" ht="13.2">
      <c r="A632" s="61">
        <v>1162</v>
      </c>
      <c r="B632" s="50" t="s">
        <v>162</v>
      </c>
      <c r="C632" s="50" t="s">
        <v>163</v>
      </c>
      <c r="D632" s="33" t="s">
        <v>3867</v>
      </c>
      <c r="E632" s="50" t="s">
        <v>2516</v>
      </c>
    </row>
    <row r="633" spans="1:5" ht="13.2">
      <c r="A633" s="61">
        <v>1163</v>
      </c>
      <c r="B633" s="50" t="s">
        <v>164</v>
      </c>
      <c r="C633" s="50" t="s">
        <v>780</v>
      </c>
      <c r="D633" s="33" t="s">
        <v>3868</v>
      </c>
      <c r="E633" s="50" t="s">
        <v>1225</v>
      </c>
    </row>
    <row r="634" spans="1:5" ht="13.2">
      <c r="A634" s="61">
        <v>1164</v>
      </c>
      <c r="B634" s="50" t="s">
        <v>165</v>
      </c>
      <c r="C634" s="50" t="s">
        <v>777</v>
      </c>
      <c r="D634" s="33" t="s">
        <v>3869</v>
      </c>
      <c r="E634" s="50" t="s">
        <v>1225</v>
      </c>
    </row>
    <row r="635" spans="1:5" ht="13.2">
      <c r="A635" s="61">
        <v>1165</v>
      </c>
      <c r="B635" s="50" t="s">
        <v>166</v>
      </c>
      <c r="C635" s="50" t="s">
        <v>1311</v>
      </c>
      <c r="D635" s="33" t="s">
        <v>3870</v>
      </c>
      <c r="E635" s="50" t="s">
        <v>1225</v>
      </c>
    </row>
    <row r="636" spans="1:5" ht="13.2">
      <c r="A636" s="61">
        <v>1166</v>
      </c>
      <c r="B636" s="50" t="s">
        <v>167</v>
      </c>
      <c r="C636" s="50" t="s">
        <v>642</v>
      </c>
      <c r="D636" s="33" t="s">
        <v>3871</v>
      </c>
      <c r="E636" s="50" t="s">
        <v>1225</v>
      </c>
    </row>
    <row r="637" spans="1:5" ht="13.2">
      <c r="A637" s="61">
        <v>1167</v>
      </c>
      <c r="B637" s="50" t="s">
        <v>414</v>
      </c>
      <c r="C637" s="50" t="s">
        <v>188</v>
      </c>
      <c r="D637" s="33" t="s">
        <v>2941</v>
      </c>
      <c r="E637" s="50" t="s">
        <v>1225</v>
      </c>
    </row>
    <row r="638" spans="1:5" ht="13.2">
      <c r="A638" s="61">
        <v>1168</v>
      </c>
      <c r="B638" s="50" t="s">
        <v>168</v>
      </c>
      <c r="C638" s="50" t="s">
        <v>72</v>
      </c>
      <c r="D638" s="33" t="s">
        <v>3872</v>
      </c>
      <c r="E638" s="50" t="s">
        <v>1225</v>
      </c>
    </row>
    <row r="639" spans="1:5" ht="13.2">
      <c r="A639" s="61">
        <v>1170</v>
      </c>
      <c r="B639" s="50" t="s">
        <v>169</v>
      </c>
      <c r="C639" s="50" t="s">
        <v>1197</v>
      </c>
      <c r="D639" s="33" t="s">
        <v>3873</v>
      </c>
      <c r="E639" s="50" t="s">
        <v>1225</v>
      </c>
    </row>
    <row r="640" spans="1:5" ht="13.2">
      <c r="A640" s="61">
        <v>1171</v>
      </c>
      <c r="B640" s="50" t="s">
        <v>170</v>
      </c>
      <c r="C640" s="50" t="s">
        <v>188</v>
      </c>
      <c r="D640" s="33" t="s">
        <v>3874</v>
      </c>
      <c r="E640" s="50" t="s">
        <v>223</v>
      </c>
    </row>
    <row r="641" spans="1:5" ht="13.2">
      <c r="A641" s="61">
        <v>1172</v>
      </c>
      <c r="B641" s="50" t="s">
        <v>0</v>
      </c>
      <c r="C641" s="50" t="s">
        <v>754</v>
      </c>
      <c r="D641" s="33" t="s">
        <v>3875</v>
      </c>
      <c r="E641" s="50" t="s">
        <v>223</v>
      </c>
    </row>
    <row r="642" spans="1:5" ht="13.2">
      <c r="A642" s="61">
        <v>1174</v>
      </c>
      <c r="B642" s="50" t="s">
        <v>184</v>
      </c>
      <c r="C642" s="50" t="s">
        <v>190</v>
      </c>
      <c r="D642" s="33" t="s">
        <v>2893</v>
      </c>
      <c r="E642" s="50" t="s">
        <v>451</v>
      </c>
    </row>
    <row r="643" spans="1:5" ht="13.2">
      <c r="A643" s="61">
        <v>1177</v>
      </c>
      <c r="B643" s="50" t="s">
        <v>653</v>
      </c>
      <c r="C643" s="50" t="s">
        <v>1246</v>
      </c>
      <c r="D643" s="33" t="s">
        <v>3876</v>
      </c>
      <c r="E643" s="50" t="s">
        <v>451</v>
      </c>
    </row>
    <row r="644" spans="1:5" ht="13.2">
      <c r="A644" s="61">
        <v>1187</v>
      </c>
      <c r="B644" s="50" t="s">
        <v>654</v>
      </c>
      <c r="C644" s="50" t="s">
        <v>777</v>
      </c>
      <c r="D644" s="33" t="s">
        <v>3877</v>
      </c>
      <c r="E644" s="50" t="s">
        <v>223</v>
      </c>
    </row>
    <row r="645" spans="1:5" ht="13.2">
      <c r="A645" s="61">
        <v>1190</v>
      </c>
      <c r="B645" s="50" t="s">
        <v>487</v>
      </c>
      <c r="C645" s="50" t="s">
        <v>642</v>
      </c>
      <c r="D645" s="33" t="s">
        <v>3341</v>
      </c>
      <c r="E645" s="50" t="s">
        <v>223</v>
      </c>
    </row>
    <row r="646" spans="1:5" ht="13.2">
      <c r="A646" s="61">
        <v>1191</v>
      </c>
      <c r="B646" s="50" t="s">
        <v>488</v>
      </c>
      <c r="C646" s="50" t="s">
        <v>1157</v>
      </c>
      <c r="D646" s="33" t="s">
        <v>1373</v>
      </c>
      <c r="E646" s="50" t="s">
        <v>1225</v>
      </c>
    </row>
    <row r="647" spans="1:5" ht="13.2">
      <c r="A647" s="61">
        <v>1195</v>
      </c>
      <c r="B647" s="50" t="s">
        <v>489</v>
      </c>
      <c r="C647" s="50" t="s">
        <v>266</v>
      </c>
      <c r="D647" s="33" t="s">
        <v>3878</v>
      </c>
      <c r="E647" s="50" t="s">
        <v>1224</v>
      </c>
    </row>
    <row r="648" spans="1:5" ht="13.2">
      <c r="A648" s="61">
        <v>1196</v>
      </c>
      <c r="B648" s="50" t="s">
        <v>490</v>
      </c>
      <c r="C648" s="50" t="s">
        <v>640</v>
      </c>
      <c r="D648" s="33" t="s">
        <v>3879</v>
      </c>
      <c r="E648" s="50" t="s">
        <v>223</v>
      </c>
    </row>
    <row r="649" spans="1:5" ht="13.2">
      <c r="A649" s="61">
        <v>1198</v>
      </c>
      <c r="B649" s="50" t="s">
        <v>491</v>
      </c>
      <c r="C649" s="50" t="s">
        <v>72</v>
      </c>
      <c r="D649" s="33" t="s">
        <v>3880</v>
      </c>
      <c r="E649" s="50" t="s">
        <v>223</v>
      </c>
    </row>
    <row r="650" spans="1:5" ht="13.2">
      <c r="A650" s="61">
        <v>1201</v>
      </c>
      <c r="B650" s="50" t="s">
        <v>492</v>
      </c>
      <c r="C650" s="50" t="s">
        <v>72</v>
      </c>
      <c r="D650" s="33" t="s">
        <v>3881</v>
      </c>
      <c r="E650" s="50" t="s">
        <v>223</v>
      </c>
    </row>
    <row r="651" spans="1:5" ht="13.2">
      <c r="A651" s="61">
        <v>1203</v>
      </c>
      <c r="B651" s="50" t="s">
        <v>493</v>
      </c>
      <c r="C651" s="50" t="s">
        <v>1246</v>
      </c>
      <c r="D651" s="33" t="s">
        <v>3882</v>
      </c>
      <c r="E651" s="50" t="s">
        <v>223</v>
      </c>
    </row>
    <row r="652" spans="1:5" ht="13.2">
      <c r="A652" s="61">
        <v>1204</v>
      </c>
      <c r="B652" s="50" t="s">
        <v>567</v>
      </c>
      <c r="C652" s="50" t="s">
        <v>197</v>
      </c>
      <c r="D652" s="33" t="s">
        <v>3126</v>
      </c>
      <c r="E652" s="50" t="s">
        <v>686</v>
      </c>
    </row>
    <row r="653" spans="1:5" ht="13.2">
      <c r="A653" s="61">
        <v>1205</v>
      </c>
      <c r="B653" s="50" t="s">
        <v>494</v>
      </c>
      <c r="C653" s="50" t="s">
        <v>754</v>
      </c>
      <c r="D653" s="33" t="s">
        <v>3883</v>
      </c>
      <c r="E653" s="50" t="s">
        <v>2037</v>
      </c>
    </row>
    <row r="654" spans="1:5" ht="13.2">
      <c r="A654" s="61">
        <v>1208</v>
      </c>
      <c r="B654" s="50" t="s">
        <v>496</v>
      </c>
      <c r="C654" s="50" t="s">
        <v>964</v>
      </c>
      <c r="D654" s="33" t="s">
        <v>3884</v>
      </c>
      <c r="E654" s="50" t="s">
        <v>223</v>
      </c>
    </row>
    <row r="655" spans="1:5" ht="13.2">
      <c r="A655" s="61">
        <v>1210</v>
      </c>
      <c r="B655" s="50" t="s">
        <v>497</v>
      </c>
      <c r="C655" s="50" t="s">
        <v>780</v>
      </c>
      <c r="D655" s="33" t="s">
        <v>3885</v>
      </c>
      <c r="E655" s="50" t="s">
        <v>1339</v>
      </c>
    </row>
    <row r="656" spans="1:5" ht="13.2">
      <c r="A656" s="61">
        <v>1212</v>
      </c>
      <c r="B656" s="50" t="s">
        <v>498</v>
      </c>
      <c r="C656" s="50" t="s">
        <v>246</v>
      </c>
      <c r="D656" s="33" t="s">
        <v>3886</v>
      </c>
      <c r="E656" s="50" t="s">
        <v>1585</v>
      </c>
    </row>
    <row r="657" spans="1:5" ht="13.2">
      <c r="A657" s="61">
        <v>1214</v>
      </c>
      <c r="B657" s="50" t="s">
        <v>414</v>
      </c>
      <c r="C657" s="50" t="s">
        <v>261</v>
      </c>
      <c r="D657" s="33" t="s">
        <v>3887</v>
      </c>
      <c r="E657" s="50" t="s">
        <v>1585</v>
      </c>
    </row>
    <row r="658" spans="1:5" ht="13.2">
      <c r="A658" s="61">
        <v>1216</v>
      </c>
      <c r="B658" s="50" t="s">
        <v>499</v>
      </c>
      <c r="C658" s="50" t="s">
        <v>527</v>
      </c>
      <c r="D658" s="33" t="s">
        <v>3888</v>
      </c>
      <c r="E658" s="50" t="s">
        <v>1225</v>
      </c>
    </row>
    <row r="659" spans="1:5" ht="13.2">
      <c r="A659" s="61">
        <v>1217</v>
      </c>
      <c r="B659" s="50" t="s">
        <v>500</v>
      </c>
      <c r="C659" s="50" t="s">
        <v>1175</v>
      </c>
      <c r="D659" s="33" t="s">
        <v>2905</v>
      </c>
      <c r="E659" s="50" t="s">
        <v>1339</v>
      </c>
    </row>
    <row r="660" spans="1:5" ht="13.2">
      <c r="A660" s="61">
        <v>1221</v>
      </c>
      <c r="B660" s="50" t="s">
        <v>626</v>
      </c>
      <c r="C660" s="50" t="s">
        <v>640</v>
      </c>
      <c r="D660" s="33" t="s">
        <v>3127</v>
      </c>
      <c r="E660" s="50" t="s">
        <v>223</v>
      </c>
    </row>
    <row r="661" spans="1:5" ht="13.2">
      <c r="A661" s="61">
        <v>1227</v>
      </c>
      <c r="B661" s="50" t="s">
        <v>105</v>
      </c>
      <c r="C661" s="50" t="s">
        <v>964</v>
      </c>
      <c r="D661" s="33" t="s">
        <v>1928</v>
      </c>
      <c r="E661" s="50" t="s">
        <v>223</v>
      </c>
    </row>
    <row r="662" spans="1:5" ht="13.2">
      <c r="A662" s="61">
        <v>1228</v>
      </c>
      <c r="B662" s="50" t="s">
        <v>627</v>
      </c>
      <c r="C662" s="50" t="s">
        <v>642</v>
      </c>
      <c r="D662" s="33" t="s">
        <v>2981</v>
      </c>
      <c r="E662" s="50" t="s">
        <v>223</v>
      </c>
    </row>
    <row r="663" spans="1:5" ht="13.2">
      <c r="A663" s="61">
        <v>1229</v>
      </c>
      <c r="B663" s="50" t="s">
        <v>628</v>
      </c>
      <c r="C663" s="50" t="s">
        <v>629</v>
      </c>
      <c r="D663" s="33" t="s">
        <v>3889</v>
      </c>
      <c r="E663" s="50" t="s">
        <v>223</v>
      </c>
    </row>
    <row r="664" spans="1:5" ht="13.2">
      <c r="A664" s="61">
        <v>1232</v>
      </c>
      <c r="B664" s="50" t="s">
        <v>630</v>
      </c>
      <c r="C664" s="50" t="s">
        <v>72</v>
      </c>
      <c r="D664" s="33" t="s">
        <v>3890</v>
      </c>
      <c r="E664" s="50" t="s">
        <v>223</v>
      </c>
    </row>
    <row r="665" spans="1:5" ht="13.2">
      <c r="A665" s="61">
        <v>1233</v>
      </c>
      <c r="B665" s="50" t="s">
        <v>631</v>
      </c>
      <c r="C665" s="50" t="s">
        <v>642</v>
      </c>
      <c r="D665" s="33" t="s">
        <v>3891</v>
      </c>
      <c r="E665" s="50" t="s">
        <v>1339</v>
      </c>
    </row>
    <row r="666" spans="1:5" ht="13.2">
      <c r="A666" s="61">
        <v>1236</v>
      </c>
      <c r="B666" s="50" t="s">
        <v>712</v>
      </c>
      <c r="C666" s="50" t="s">
        <v>1311</v>
      </c>
      <c r="D666" s="33" t="s">
        <v>3892</v>
      </c>
      <c r="E666" s="50" t="s">
        <v>1339</v>
      </c>
    </row>
    <row r="667" spans="1:5" ht="13.2">
      <c r="A667" s="61">
        <v>1238</v>
      </c>
      <c r="B667" s="50" t="s">
        <v>713</v>
      </c>
      <c r="C667" s="50" t="s">
        <v>777</v>
      </c>
      <c r="D667" s="33" t="s">
        <v>341</v>
      </c>
      <c r="E667" s="50" t="s">
        <v>223</v>
      </c>
    </row>
    <row r="668" spans="1:5" ht="13.2">
      <c r="A668" s="61">
        <v>1240</v>
      </c>
      <c r="B668" s="50" t="s">
        <v>523</v>
      </c>
      <c r="C668" s="50" t="s">
        <v>263</v>
      </c>
      <c r="D668" s="33" t="s">
        <v>3053</v>
      </c>
      <c r="E668" s="50" t="s">
        <v>1339</v>
      </c>
    </row>
    <row r="669" spans="1:5" ht="13.2">
      <c r="A669" s="61">
        <v>1242</v>
      </c>
      <c r="B669" s="50" t="s">
        <v>714</v>
      </c>
      <c r="C669" s="50" t="s">
        <v>802</v>
      </c>
      <c r="D669" s="33" t="s">
        <v>1389</v>
      </c>
      <c r="E669" s="50" t="s">
        <v>1321</v>
      </c>
    </row>
    <row r="670" spans="1:5" ht="13.2">
      <c r="A670" s="61">
        <v>1243</v>
      </c>
      <c r="B670" s="50" t="s">
        <v>715</v>
      </c>
      <c r="C670" s="50" t="s">
        <v>716</v>
      </c>
      <c r="D670" s="33" t="s">
        <v>3893</v>
      </c>
      <c r="E670" s="50" t="s">
        <v>2037</v>
      </c>
    </row>
    <row r="671" spans="1:5" ht="13.2">
      <c r="A671" s="61">
        <v>1244</v>
      </c>
      <c r="B671" s="50" t="s">
        <v>717</v>
      </c>
      <c r="C671" s="50" t="s">
        <v>640</v>
      </c>
      <c r="D671" s="33" t="s">
        <v>3894</v>
      </c>
      <c r="E671" s="50" t="s">
        <v>2037</v>
      </c>
    </row>
    <row r="672" spans="1:5" ht="13.2">
      <c r="A672" s="61">
        <v>1246</v>
      </c>
      <c r="B672" s="50" t="s">
        <v>567</v>
      </c>
      <c r="C672" s="50" t="s">
        <v>718</v>
      </c>
      <c r="D672" s="33" t="s">
        <v>3895</v>
      </c>
      <c r="E672" s="50" t="s">
        <v>1585</v>
      </c>
    </row>
    <row r="673" spans="1:5" ht="13.2">
      <c r="A673" s="61">
        <v>1247</v>
      </c>
      <c r="B673" s="50" t="s">
        <v>719</v>
      </c>
      <c r="C673" s="50" t="s">
        <v>263</v>
      </c>
      <c r="D673" s="33" t="s">
        <v>3014</v>
      </c>
      <c r="E673" s="50" t="s">
        <v>223</v>
      </c>
    </row>
    <row r="674" spans="1:5" ht="13.2">
      <c r="A674" s="61">
        <v>1249</v>
      </c>
      <c r="B674" s="50" t="s">
        <v>720</v>
      </c>
      <c r="C674" s="50" t="s">
        <v>79</v>
      </c>
      <c r="D674" s="33" t="s">
        <v>3896</v>
      </c>
      <c r="E674" s="50" t="s">
        <v>223</v>
      </c>
    </row>
    <row r="675" spans="1:5" ht="13.2">
      <c r="A675" s="61">
        <v>1250</v>
      </c>
      <c r="B675" s="50" t="s">
        <v>721</v>
      </c>
      <c r="C675" s="50" t="s">
        <v>642</v>
      </c>
      <c r="D675" s="33" t="s">
        <v>3897</v>
      </c>
      <c r="E675" s="50" t="s">
        <v>223</v>
      </c>
    </row>
    <row r="676" spans="1:5" ht="13.2">
      <c r="A676" s="61">
        <v>1252</v>
      </c>
      <c r="B676" s="50" t="s">
        <v>722</v>
      </c>
      <c r="C676" s="50" t="s">
        <v>425</v>
      </c>
      <c r="D676" s="33" t="s">
        <v>3898</v>
      </c>
      <c r="E676" s="50" t="s">
        <v>1224</v>
      </c>
    </row>
    <row r="677" spans="1:5" ht="13.2">
      <c r="A677" s="61">
        <v>1254</v>
      </c>
      <c r="B677" s="50" t="s">
        <v>723</v>
      </c>
      <c r="C677" s="50" t="s">
        <v>775</v>
      </c>
      <c r="D677" s="33" t="s">
        <v>2968</v>
      </c>
      <c r="E677" s="50" t="s">
        <v>223</v>
      </c>
    </row>
    <row r="678" spans="1:5" ht="13.2">
      <c r="A678" s="61">
        <v>1256</v>
      </c>
      <c r="B678" s="50" t="s">
        <v>724</v>
      </c>
      <c r="C678" s="50" t="s">
        <v>638</v>
      </c>
      <c r="D678" s="33" t="s">
        <v>2862</v>
      </c>
      <c r="E678" s="50" t="s">
        <v>2037</v>
      </c>
    </row>
    <row r="679" spans="1:5" ht="13.2">
      <c r="A679" s="61">
        <v>1257</v>
      </c>
      <c r="B679" s="50" t="s">
        <v>725</v>
      </c>
      <c r="C679" s="50" t="s">
        <v>1052</v>
      </c>
      <c r="D679" s="33" t="s">
        <v>2764</v>
      </c>
      <c r="E679" s="50" t="s">
        <v>1224</v>
      </c>
    </row>
    <row r="680" spans="1:5" ht="13.2">
      <c r="A680" s="61">
        <v>1259</v>
      </c>
      <c r="B680" s="50" t="s">
        <v>726</v>
      </c>
      <c r="C680" s="50" t="s">
        <v>867</v>
      </c>
      <c r="D680" s="33" t="s">
        <v>3899</v>
      </c>
      <c r="E680" s="50" t="s">
        <v>1225</v>
      </c>
    </row>
    <row r="681" spans="1:5" ht="13.2">
      <c r="A681" s="61">
        <v>1260</v>
      </c>
      <c r="B681" s="50" t="s">
        <v>1420</v>
      </c>
      <c r="C681" s="50" t="s">
        <v>642</v>
      </c>
      <c r="D681" s="33" t="s">
        <v>3900</v>
      </c>
      <c r="E681" s="50" t="s">
        <v>223</v>
      </c>
    </row>
    <row r="682" spans="1:5" ht="13.2">
      <c r="A682" s="61">
        <v>1263</v>
      </c>
      <c r="B682" s="50" t="s">
        <v>1117</v>
      </c>
      <c r="C682" s="50" t="s">
        <v>263</v>
      </c>
      <c r="D682" s="33" t="s">
        <v>3901</v>
      </c>
      <c r="E682" s="50" t="s">
        <v>223</v>
      </c>
    </row>
    <row r="683" spans="1:5" ht="13.2">
      <c r="A683" s="61">
        <v>1266</v>
      </c>
      <c r="B683" s="50" t="s">
        <v>727</v>
      </c>
      <c r="C683" s="50" t="s">
        <v>261</v>
      </c>
      <c r="D683" s="33" t="s">
        <v>3902</v>
      </c>
      <c r="E683" s="50" t="s">
        <v>1225</v>
      </c>
    </row>
    <row r="684" spans="1:5" ht="13.2">
      <c r="A684" s="61">
        <v>1267</v>
      </c>
      <c r="B684" s="50" t="s">
        <v>728</v>
      </c>
      <c r="C684" s="50" t="s">
        <v>637</v>
      </c>
      <c r="D684" s="33" t="s">
        <v>3903</v>
      </c>
      <c r="E684" s="50" t="s">
        <v>1225</v>
      </c>
    </row>
    <row r="685" spans="1:5" ht="13.2">
      <c r="A685" s="61">
        <v>1273</v>
      </c>
      <c r="B685" s="50" t="s">
        <v>730</v>
      </c>
      <c r="C685" s="50" t="s">
        <v>127</v>
      </c>
      <c r="D685" s="33" t="s">
        <v>3904</v>
      </c>
      <c r="E685" s="50" t="s">
        <v>223</v>
      </c>
    </row>
    <row r="686" spans="1:5" ht="13.2">
      <c r="A686" s="61">
        <v>1274</v>
      </c>
      <c r="B686" s="50" t="s">
        <v>356</v>
      </c>
      <c r="C686" s="50" t="s">
        <v>261</v>
      </c>
      <c r="D686" s="33" t="s">
        <v>3905</v>
      </c>
      <c r="E686" s="50" t="s">
        <v>1225</v>
      </c>
    </row>
    <row r="687" spans="1:5" ht="13.2">
      <c r="A687" s="61">
        <v>1276</v>
      </c>
      <c r="B687" s="50" t="s">
        <v>1290</v>
      </c>
      <c r="C687" s="50" t="s">
        <v>263</v>
      </c>
      <c r="D687" s="33" t="s">
        <v>2279</v>
      </c>
      <c r="E687" s="50" t="s">
        <v>1339</v>
      </c>
    </row>
    <row r="688" spans="1:5" ht="13.2">
      <c r="A688" s="61">
        <v>1277</v>
      </c>
      <c r="B688" s="50" t="s">
        <v>1291</v>
      </c>
      <c r="C688" s="50" t="s">
        <v>246</v>
      </c>
      <c r="D688" s="33" t="s">
        <v>3906</v>
      </c>
      <c r="E688" s="50" t="s">
        <v>1225</v>
      </c>
    </row>
    <row r="689" spans="1:5" ht="13.2">
      <c r="A689" s="61">
        <v>1278</v>
      </c>
      <c r="B689" s="50" t="s">
        <v>1292</v>
      </c>
      <c r="C689" s="50" t="s">
        <v>75</v>
      </c>
      <c r="D689" s="33" t="s">
        <v>3907</v>
      </c>
      <c r="E689" s="50" t="s">
        <v>223</v>
      </c>
    </row>
    <row r="690" spans="1:5" ht="13.2">
      <c r="A690" s="61">
        <v>1279</v>
      </c>
      <c r="B690" s="50" t="s">
        <v>1293</v>
      </c>
      <c r="C690" s="50" t="s">
        <v>336</v>
      </c>
      <c r="D690" s="33" t="s">
        <v>2949</v>
      </c>
      <c r="E690" s="50" t="s">
        <v>223</v>
      </c>
    </row>
    <row r="691" spans="1:5" ht="13.2">
      <c r="A691" s="61">
        <v>1280</v>
      </c>
      <c r="B691" s="50" t="s">
        <v>1294</v>
      </c>
      <c r="C691" s="50" t="s">
        <v>802</v>
      </c>
      <c r="D691" s="33" t="s">
        <v>3908</v>
      </c>
      <c r="E691" s="50" t="s">
        <v>223</v>
      </c>
    </row>
    <row r="692" spans="1:5" ht="13.2">
      <c r="A692" s="61">
        <v>1282</v>
      </c>
      <c r="B692" s="50" t="s">
        <v>1295</v>
      </c>
      <c r="C692" s="50" t="s">
        <v>780</v>
      </c>
      <c r="D692" s="33" t="s">
        <v>3909</v>
      </c>
      <c r="E692" s="50" t="s">
        <v>2036</v>
      </c>
    </row>
    <row r="693" spans="1:5" ht="13.2">
      <c r="A693" s="61">
        <v>1283</v>
      </c>
      <c r="B693" s="50" t="s">
        <v>936</v>
      </c>
      <c r="C693" s="50" t="s">
        <v>780</v>
      </c>
      <c r="D693" s="33" t="s">
        <v>3910</v>
      </c>
      <c r="E693" s="50" t="s">
        <v>223</v>
      </c>
    </row>
    <row r="694" spans="1:5" ht="13.2">
      <c r="A694" s="61">
        <v>1284</v>
      </c>
      <c r="B694" s="50" t="s">
        <v>1296</v>
      </c>
      <c r="C694" s="50" t="s">
        <v>75</v>
      </c>
      <c r="D694" s="33" t="s">
        <v>3537</v>
      </c>
      <c r="E694" s="50" t="s">
        <v>1339</v>
      </c>
    </row>
    <row r="695" spans="1:5" ht="13.2">
      <c r="A695" s="61">
        <v>1286</v>
      </c>
      <c r="B695" s="50" t="s">
        <v>209</v>
      </c>
      <c r="C695" s="50" t="s">
        <v>79</v>
      </c>
      <c r="D695" s="33" t="s">
        <v>3911</v>
      </c>
      <c r="E695" s="50" t="s">
        <v>1224</v>
      </c>
    </row>
    <row r="696" spans="1:5" ht="13.2">
      <c r="A696" s="61">
        <v>1287</v>
      </c>
      <c r="B696" s="50" t="s">
        <v>1297</v>
      </c>
      <c r="C696" s="50" t="s">
        <v>1311</v>
      </c>
      <c r="D696" s="33" t="s">
        <v>3912</v>
      </c>
      <c r="E696" s="50" t="s">
        <v>223</v>
      </c>
    </row>
    <row r="697" spans="1:5" ht="13.2">
      <c r="A697" s="61">
        <v>1288</v>
      </c>
      <c r="B697" s="50" t="s">
        <v>381</v>
      </c>
      <c r="C697" s="50" t="s">
        <v>1311</v>
      </c>
      <c r="D697" s="33" t="s">
        <v>2619</v>
      </c>
      <c r="E697" s="50" t="s">
        <v>223</v>
      </c>
    </row>
    <row r="698" spans="1:5" ht="13.2">
      <c r="A698" s="61">
        <v>1301</v>
      </c>
      <c r="B698" s="50" t="s">
        <v>1298</v>
      </c>
      <c r="C698" s="50" t="s">
        <v>1311</v>
      </c>
      <c r="D698" s="33" t="s">
        <v>3367</v>
      </c>
      <c r="E698" s="50" t="s">
        <v>223</v>
      </c>
    </row>
    <row r="699" spans="1:5" ht="13.2">
      <c r="A699" s="61">
        <v>1302</v>
      </c>
      <c r="B699" s="50" t="s">
        <v>1299</v>
      </c>
      <c r="C699" s="50" t="s">
        <v>188</v>
      </c>
      <c r="D699" s="33" t="s">
        <v>3913</v>
      </c>
      <c r="E699" s="50" t="s">
        <v>223</v>
      </c>
    </row>
    <row r="700" spans="1:5" ht="13.2">
      <c r="A700" s="61">
        <v>1303</v>
      </c>
      <c r="B700" s="50" t="s">
        <v>2591</v>
      </c>
      <c r="C700" s="50" t="s">
        <v>637</v>
      </c>
      <c r="D700" s="33" t="s">
        <v>2849</v>
      </c>
      <c r="E700" s="50" t="s">
        <v>451</v>
      </c>
    </row>
    <row r="701" spans="1:5" ht="13.2">
      <c r="A701" s="61">
        <v>1304</v>
      </c>
      <c r="B701" s="50" t="s">
        <v>1300</v>
      </c>
      <c r="C701" s="50" t="s">
        <v>336</v>
      </c>
      <c r="D701" s="33" t="s">
        <v>2282</v>
      </c>
      <c r="E701" s="50" t="s">
        <v>223</v>
      </c>
    </row>
    <row r="702" spans="1:5" ht="13.2">
      <c r="A702" s="61">
        <v>1305</v>
      </c>
      <c r="B702" s="50" t="s">
        <v>1301</v>
      </c>
      <c r="C702" s="50" t="s">
        <v>777</v>
      </c>
      <c r="D702" s="33" t="s">
        <v>3914</v>
      </c>
      <c r="E702" s="50" t="s">
        <v>1225</v>
      </c>
    </row>
    <row r="703" spans="1:5" ht="13.2">
      <c r="A703" s="61">
        <v>1308</v>
      </c>
      <c r="B703" s="50" t="s">
        <v>1303</v>
      </c>
      <c r="C703" s="50" t="s">
        <v>1246</v>
      </c>
      <c r="D703" s="33" t="s">
        <v>3915</v>
      </c>
      <c r="E703" s="50" t="s">
        <v>223</v>
      </c>
    </row>
    <row r="704" spans="1:5" ht="13.2">
      <c r="A704" s="61">
        <v>1309</v>
      </c>
      <c r="B704" s="50" t="s">
        <v>2339</v>
      </c>
      <c r="C704" s="50" t="s">
        <v>866</v>
      </c>
      <c r="D704" s="33" t="s">
        <v>3916</v>
      </c>
      <c r="E704" s="50" t="s">
        <v>223</v>
      </c>
    </row>
    <row r="705" spans="1:5" ht="13.2">
      <c r="A705" s="61">
        <v>1310</v>
      </c>
      <c r="B705" s="50" t="s">
        <v>1304</v>
      </c>
      <c r="C705" s="50" t="s">
        <v>79</v>
      </c>
      <c r="D705" s="33" t="s">
        <v>3013</v>
      </c>
      <c r="E705" s="50" t="s">
        <v>1224</v>
      </c>
    </row>
    <row r="706" spans="1:5" ht="13.2">
      <c r="A706" s="61">
        <v>1312</v>
      </c>
      <c r="B706" s="50" t="s">
        <v>1305</v>
      </c>
      <c r="C706" s="50" t="s">
        <v>79</v>
      </c>
      <c r="D706" s="33" t="s">
        <v>3917</v>
      </c>
      <c r="E706" s="50" t="s">
        <v>451</v>
      </c>
    </row>
    <row r="707" spans="1:5" ht="13.2">
      <c r="A707" s="61">
        <v>1313</v>
      </c>
      <c r="B707" s="50" t="s">
        <v>1306</v>
      </c>
      <c r="C707" s="50" t="s">
        <v>242</v>
      </c>
      <c r="D707" s="33" t="s">
        <v>3918</v>
      </c>
      <c r="E707" s="50" t="s">
        <v>223</v>
      </c>
    </row>
    <row r="708" spans="1:5" ht="13.2">
      <c r="A708" s="61">
        <v>1314</v>
      </c>
      <c r="B708" s="50" t="s">
        <v>1307</v>
      </c>
      <c r="C708" s="50" t="s">
        <v>1494</v>
      </c>
      <c r="D708" s="33" t="s">
        <v>2480</v>
      </c>
      <c r="E708" s="50" t="s">
        <v>223</v>
      </c>
    </row>
    <row r="709" spans="1:5" ht="13.2">
      <c r="A709" s="61">
        <v>1315</v>
      </c>
      <c r="B709" s="50" t="s">
        <v>752</v>
      </c>
      <c r="C709" s="50" t="s">
        <v>246</v>
      </c>
      <c r="D709" s="33" t="s">
        <v>3919</v>
      </c>
      <c r="E709" s="50" t="s">
        <v>223</v>
      </c>
    </row>
    <row r="710" spans="1:5" ht="13.2">
      <c r="A710" s="61">
        <v>1316</v>
      </c>
      <c r="B710" s="50" t="s">
        <v>1308</v>
      </c>
      <c r="C710" s="50" t="s">
        <v>242</v>
      </c>
      <c r="D710" s="33" t="s">
        <v>3920</v>
      </c>
      <c r="E710" s="50" t="s">
        <v>2037</v>
      </c>
    </row>
    <row r="711" spans="1:5" ht="13.2">
      <c r="A711" s="61">
        <v>1317</v>
      </c>
      <c r="B711" s="50" t="s">
        <v>1309</v>
      </c>
      <c r="C711" s="50" t="s">
        <v>642</v>
      </c>
      <c r="D711" s="33" t="s">
        <v>2382</v>
      </c>
      <c r="E711" s="50" t="s">
        <v>2037</v>
      </c>
    </row>
    <row r="712" spans="1:5" ht="13.2">
      <c r="A712" s="61">
        <v>1319</v>
      </c>
      <c r="B712" s="50" t="s">
        <v>1310</v>
      </c>
      <c r="C712" s="50" t="s">
        <v>140</v>
      </c>
      <c r="D712" s="33" t="s">
        <v>3543</v>
      </c>
      <c r="E712" s="50" t="s">
        <v>2037</v>
      </c>
    </row>
    <row r="713" spans="1:5" ht="13.2">
      <c r="A713" s="61">
        <v>1323</v>
      </c>
      <c r="B713" s="50" t="s">
        <v>729</v>
      </c>
      <c r="C713" s="50" t="s">
        <v>242</v>
      </c>
      <c r="D713" s="33" t="s">
        <v>3487</v>
      </c>
      <c r="E713" s="50" t="s">
        <v>1339</v>
      </c>
    </row>
    <row r="714" spans="1:5" ht="13.2">
      <c r="A714" s="61">
        <v>1327</v>
      </c>
      <c r="B714" s="50" t="s">
        <v>1040</v>
      </c>
      <c r="C714" s="50" t="s">
        <v>1175</v>
      </c>
      <c r="D714" s="33" t="s">
        <v>3921</v>
      </c>
      <c r="E714" s="50" t="s">
        <v>223</v>
      </c>
    </row>
    <row r="715" spans="1:5" ht="13.2">
      <c r="A715" s="61">
        <v>1328</v>
      </c>
      <c r="B715" s="50" t="s">
        <v>1041</v>
      </c>
      <c r="C715" s="50" t="s">
        <v>336</v>
      </c>
      <c r="D715" s="33" t="s">
        <v>3922</v>
      </c>
      <c r="E715" s="50" t="s">
        <v>1339</v>
      </c>
    </row>
    <row r="716" spans="1:5" ht="13.2">
      <c r="A716" s="61">
        <v>1330</v>
      </c>
      <c r="B716" s="50" t="s">
        <v>1042</v>
      </c>
      <c r="C716" s="50" t="s">
        <v>1157</v>
      </c>
      <c r="D716" s="33" t="s">
        <v>3923</v>
      </c>
      <c r="E716" s="50" t="s">
        <v>1225</v>
      </c>
    </row>
    <row r="717" spans="1:5" ht="13.2">
      <c r="A717" s="61">
        <v>1331</v>
      </c>
      <c r="B717" s="50" t="s">
        <v>1043</v>
      </c>
      <c r="C717" s="50" t="s">
        <v>1494</v>
      </c>
      <c r="D717" s="33" t="s">
        <v>2846</v>
      </c>
      <c r="E717" s="50" t="s">
        <v>223</v>
      </c>
    </row>
    <row r="718" spans="1:5" ht="13.2">
      <c r="A718" s="61">
        <v>1333</v>
      </c>
      <c r="B718" s="50" t="s">
        <v>319</v>
      </c>
      <c r="C718" s="50" t="s">
        <v>1197</v>
      </c>
      <c r="D718" s="33" t="s">
        <v>3924</v>
      </c>
      <c r="E718" s="50" t="s">
        <v>223</v>
      </c>
    </row>
    <row r="719" spans="1:5" ht="13.2">
      <c r="A719" s="61">
        <v>1334</v>
      </c>
      <c r="B719" s="50" t="s">
        <v>320</v>
      </c>
      <c r="C719" s="50" t="s">
        <v>638</v>
      </c>
      <c r="D719" s="33" t="s">
        <v>3925</v>
      </c>
      <c r="E719" s="50" t="s">
        <v>223</v>
      </c>
    </row>
    <row r="720" spans="1:5" ht="13.2">
      <c r="A720" s="61">
        <v>1336</v>
      </c>
      <c r="B720" s="50" t="s">
        <v>1443</v>
      </c>
      <c r="C720" s="50" t="s">
        <v>638</v>
      </c>
      <c r="D720" s="33" t="s">
        <v>3926</v>
      </c>
      <c r="E720" s="50" t="s">
        <v>223</v>
      </c>
    </row>
    <row r="721" spans="1:5" ht="13.2">
      <c r="A721" s="61">
        <v>1338</v>
      </c>
      <c r="B721" s="50" t="s">
        <v>1131</v>
      </c>
      <c r="C721" s="50" t="s">
        <v>190</v>
      </c>
      <c r="D721" s="33" t="s">
        <v>3927</v>
      </c>
      <c r="E721" s="50" t="s">
        <v>1339</v>
      </c>
    </row>
    <row r="722" spans="1:5" ht="13.2">
      <c r="A722" s="61">
        <v>1339</v>
      </c>
      <c r="B722" s="50" t="s">
        <v>1132</v>
      </c>
      <c r="C722" s="50" t="s">
        <v>1133</v>
      </c>
      <c r="D722" s="33" t="s">
        <v>2939</v>
      </c>
      <c r="E722" s="50" t="s">
        <v>1225</v>
      </c>
    </row>
    <row r="723" spans="1:5" ht="13.2">
      <c r="A723" s="61">
        <v>1342</v>
      </c>
      <c r="B723" s="50" t="s">
        <v>1134</v>
      </c>
      <c r="C723" s="50" t="s">
        <v>1135</v>
      </c>
      <c r="D723" s="33" t="s">
        <v>3928</v>
      </c>
      <c r="E723" s="50" t="s">
        <v>223</v>
      </c>
    </row>
    <row r="724" spans="1:5" ht="13.2">
      <c r="A724" s="61">
        <v>1344</v>
      </c>
      <c r="B724" s="50" t="s">
        <v>1136</v>
      </c>
      <c r="C724" s="50" t="s">
        <v>261</v>
      </c>
      <c r="D724" s="33" t="s">
        <v>3093</v>
      </c>
      <c r="E724" s="50" t="s">
        <v>451</v>
      </c>
    </row>
    <row r="725" spans="1:5" ht="13.2">
      <c r="A725" s="61">
        <v>1346</v>
      </c>
      <c r="B725" s="50" t="s">
        <v>1340</v>
      </c>
      <c r="C725" s="50" t="s">
        <v>188</v>
      </c>
      <c r="D725" s="33" t="s">
        <v>3929</v>
      </c>
      <c r="E725" s="50" t="s">
        <v>223</v>
      </c>
    </row>
    <row r="726" spans="1:5" ht="13.2">
      <c r="A726" s="61">
        <v>1355</v>
      </c>
      <c r="B726" s="50" t="s">
        <v>1341</v>
      </c>
      <c r="C726" s="50" t="s">
        <v>1311</v>
      </c>
      <c r="D726" s="33" t="s">
        <v>3930</v>
      </c>
      <c r="E726" s="50" t="s">
        <v>1225</v>
      </c>
    </row>
    <row r="727" spans="1:5" ht="13.2">
      <c r="A727" s="61">
        <v>1357</v>
      </c>
      <c r="B727" s="50" t="s">
        <v>1342</v>
      </c>
      <c r="C727" s="50" t="s">
        <v>1033</v>
      </c>
      <c r="D727" s="33" t="s">
        <v>3931</v>
      </c>
      <c r="E727" s="50" t="s">
        <v>223</v>
      </c>
    </row>
    <row r="728" spans="1:5" ht="13.2">
      <c r="A728" s="61">
        <v>1359</v>
      </c>
      <c r="B728" s="50" t="s">
        <v>1343</v>
      </c>
      <c r="C728" s="50" t="s">
        <v>866</v>
      </c>
      <c r="D728" s="33" t="s">
        <v>2380</v>
      </c>
      <c r="E728" s="50" t="s">
        <v>223</v>
      </c>
    </row>
    <row r="729" spans="1:5" ht="13.2">
      <c r="A729" s="61">
        <v>1360</v>
      </c>
      <c r="B729" s="50" t="s">
        <v>1344</v>
      </c>
      <c r="C729" s="50" t="s">
        <v>79</v>
      </c>
      <c r="D729" s="33" t="s">
        <v>3402</v>
      </c>
      <c r="E729" s="50" t="s">
        <v>1339</v>
      </c>
    </row>
    <row r="730" spans="1:5" ht="13.2">
      <c r="A730" s="61">
        <v>1361</v>
      </c>
      <c r="B730" s="50" t="s">
        <v>1302</v>
      </c>
      <c r="C730" s="50" t="s">
        <v>1345</v>
      </c>
      <c r="D730" s="33" t="s">
        <v>3932</v>
      </c>
      <c r="E730" s="50" t="s">
        <v>1366</v>
      </c>
    </row>
    <row r="731" spans="1:5" ht="13.2">
      <c r="A731" s="61">
        <v>1362</v>
      </c>
      <c r="B731" s="50" t="s">
        <v>1346</v>
      </c>
      <c r="C731" s="50" t="s">
        <v>188</v>
      </c>
      <c r="D731" s="33" t="s">
        <v>3035</v>
      </c>
      <c r="E731" s="50" t="s">
        <v>223</v>
      </c>
    </row>
    <row r="732" spans="1:5" ht="13.2">
      <c r="A732" s="61">
        <v>1363</v>
      </c>
      <c r="B732" s="50" t="s">
        <v>1347</v>
      </c>
      <c r="C732" s="50" t="s">
        <v>718</v>
      </c>
      <c r="D732" s="33" t="s">
        <v>3933</v>
      </c>
      <c r="E732" s="50" t="s">
        <v>223</v>
      </c>
    </row>
    <row r="733" spans="1:5" ht="13.2">
      <c r="A733" s="61">
        <v>1365</v>
      </c>
      <c r="B733" s="50" t="s">
        <v>2454</v>
      </c>
      <c r="C733" s="50" t="s">
        <v>640</v>
      </c>
      <c r="D733" s="33" t="s">
        <v>2771</v>
      </c>
      <c r="E733" s="50" t="s">
        <v>1322</v>
      </c>
    </row>
    <row r="734" spans="1:5" ht="13.2">
      <c r="A734" s="61">
        <v>1366</v>
      </c>
      <c r="B734" s="50" t="s">
        <v>273</v>
      </c>
      <c r="C734" s="50" t="s">
        <v>263</v>
      </c>
      <c r="D734" s="33" t="s">
        <v>3077</v>
      </c>
      <c r="E734" s="50" t="s">
        <v>223</v>
      </c>
    </row>
    <row r="735" spans="1:5" ht="13.2">
      <c r="A735" s="61">
        <v>1367</v>
      </c>
      <c r="B735" s="50" t="s">
        <v>274</v>
      </c>
      <c r="C735" s="50" t="s">
        <v>640</v>
      </c>
      <c r="D735" s="33" t="s">
        <v>3934</v>
      </c>
      <c r="E735" s="50" t="s">
        <v>223</v>
      </c>
    </row>
    <row r="736" spans="1:5" ht="13.2">
      <c r="A736" s="61">
        <v>1372</v>
      </c>
      <c r="B736" s="50" t="s">
        <v>312</v>
      </c>
      <c r="C736" s="50" t="s">
        <v>266</v>
      </c>
      <c r="D736" s="33" t="s">
        <v>3935</v>
      </c>
      <c r="E736" s="50" t="s">
        <v>223</v>
      </c>
    </row>
    <row r="737" spans="1:5" ht="13.2">
      <c r="A737" s="61">
        <v>1374</v>
      </c>
      <c r="B737" s="50" t="s">
        <v>275</v>
      </c>
      <c r="C737" s="50" t="s">
        <v>635</v>
      </c>
      <c r="D737" s="33" t="s">
        <v>3936</v>
      </c>
      <c r="E737" s="50" t="s">
        <v>223</v>
      </c>
    </row>
    <row r="738" spans="1:5" ht="13.2">
      <c r="A738" s="61">
        <v>1375</v>
      </c>
      <c r="B738" s="50" t="s">
        <v>276</v>
      </c>
      <c r="C738" s="50" t="s">
        <v>964</v>
      </c>
      <c r="D738" s="33" t="s">
        <v>3937</v>
      </c>
      <c r="E738" s="50" t="s">
        <v>1225</v>
      </c>
    </row>
    <row r="739" spans="1:5" ht="13.2">
      <c r="A739" s="61">
        <v>1379</v>
      </c>
      <c r="B739" s="50" t="s">
        <v>565</v>
      </c>
      <c r="C739" s="50" t="s">
        <v>642</v>
      </c>
      <c r="D739" s="33" t="s">
        <v>3938</v>
      </c>
      <c r="E739" s="50" t="s">
        <v>1585</v>
      </c>
    </row>
    <row r="740" spans="1:5" ht="13.2">
      <c r="A740" s="61">
        <v>1381</v>
      </c>
      <c r="B740" s="50" t="s">
        <v>277</v>
      </c>
      <c r="C740" s="50" t="s">
        <v>188</v>
      </c>
      <c r="D740" s="33" t="s">
        <v>3939</v>
      </c>
      <c r="E740" s="50" t="s">
        <v>451</v>
      </c>
    </row>
    <row r="741" spans="1:5" ht="13.2">
      <c r="A741" s="61">
        <v>1382</v>
      </c>
      <c r="B741" s="50" t="s">
        <v>278</v>
      </c>
      <c r="C741" s="50" t="s">
        <v>1345</v>
      </c>
      <c r="D741" s="33" t="s">
        <v>3940</v>
      </c>
      <c r="E741" s="50" t="s">
        <v>223</v>
      </c>
    </row>
    <row r="742" spans="1:5" ht="13.2">
      <c r="A742" s="61">
        <v>1389</v>
      </c>
      <c r="B742" s="50" t="s">
        <v>313</v>
      </c>
      <c r="C742" s="50" t="s">
        <v>1197</v>
      </c>
      <c r="D742" s="33" t="s">
        <v>3941</v>
      </c>
      <c r="E742" s="50" t="s">
        <v>1224</v>
      </c>
    </row>
    <row r="743" spans="1:5" ht="13.2">
      <c r="A743" s="61">
        <v>1391</v>
      </c>
      <c r="B743" s="50" t="s">
        <v>279</v>
      </c>
      <c r="C743" s="50" t="s">
        <v>246</v>
      </c>
      <c r="D743" s="33" t="s">
        <v>3942</v>
      </c>
      <c r="E743" s="50" t="s">
        <v>1225</v>
      </c>
    </row>
    <row r="744" spans="1:5" ht="13.2">
      <c r="A744" s="61">
        <v>1397</v>
      </c>
      <c r="B744" s="50" t="s">
        <v>332</v>
      </c>
      <c r="C744" s="50" t="s">
        <v>640</v>
      </c>
      <c r="D744" s="33" t="s">
        <v>3943</v>
      </c>
      <c r="E744" s="50" t="s">
        <v>223</v>
      </c>
    </row>
    <row r="745" spans="1:5" ht="13.2">
      <c r="A745" s="61">
        <v>1398</v>
      </c>
      <c r="B745" s="50" t="s">
        <v>1516</v>
      </c>
      <c r="C745" s="50" t="s">
        <v>446</v>
      </c>
      <c r="D745" s="33" t="s">
        <v>3944</v>
      </c>
      <c r="E745" s="50" t="s">
        <v>2037</v>
      </c>
    </row>
    <row r="746" spans="1:5" ht="13.2">
      <c r="A746" s="61">
        <v>1399</v>
      </c>
      <c r="B746" s="50" t="s">
        <v>280</v>
      </c>
      <c r="C746" s="50" t="s">
        <v>336</v>
      </c>
      <c r="D746" s="33" t="s">
        <v>2815</v>
      </c>
      <c r="E746" s="50" t="s">
        <v>223</v>
      </c>
    </row>
    <row r="747" spans="1:5" ht="13.2">
      <c r="A747" s="61">
        <v>1401</v>
      </c>
      <c r="B747" s="50" t="s">
        <v>752</v>
      </c>
      <c r="C747" s="50" t="s">
        <v>1197</v>
      </c>
      <c r="D747" s="33" t="s">
        <v>2383</v>
      </c>
      <c r="E747" s="50" t="s">
        <v>223</v>
      </c>
    </row>
    <row r="748" spans="1:5" ht="13.2">
      <c r="A748" s="61">
        <v>1402</v>
      </c>
      <c r="B748" s="50" t="s">
        <v>281</v>
      </c>
      <c r="C748" s="50" t="s">
        <v>966</v>
      </c>
      <c r="D748" s="33" t="s">
        <v>3945</v>
      </c>
      <c r="E748" s="50" t="s">
        <v>1224</v>
      </c>
    </row>
    <row r="749" spans="1:5" ht="13.2">
      <c r="A749" s="61">
        <v>1404</v>
      </c>
      <c r="B749" s="50" t="s">
        <v>282</v>
      </c>
      <c r="C749" s="50" t="s">
        <v>197</v>
      </c>
      <c r="D749" s="33" t="s">
        <v>3946</v>
      </c>
      <c r="E749" s="50" t="s">
        <v>223</v>
      </c>
    </row>
    <row r="750" spans="1:5" ht="13.2">
      <c r="A750" s="61">
        <v>1407</v>
      </c>
      <c r="B750" s="50" t="s">
        <v>283</v>
      </c>
      <c r="C750" s="50" t="s">
        <v>188</v>
      </c>
      <c r="D750" s="33" t="s">
        <v>3947</v>
      </c>
      <c r="E750" s="50" t="s">
        <v>223</v>
      </c>
    </row>
    <row r="751" spans="1:5" ht="13.2">
      <c r="A751" s="61">
        <v>1410</v>
      </c>
      <c r="B751" s="50" t="s">
        <v>284</v>
      </c>
      <c r="C751" s="50" t="s">
        <v>478</v>
      </c>
      <c r="D751" s="33" t="s">
        <v>3948</v>
      </c>
      <c r="E751" s="50" t="s">
        <v>1225</v>
      </c>
    </row>
    <row r="752" spans="1:5" ht="13.2">
      <c r="A752" s="61">
        <v>1411</v>
      </c>
      <c r="B752" s="50" t="s">
        <v>467</v>
      </c>
      <c r="C752" s="50" t="s">
        <v>242</v>
      </c>
      <c r="D752" s="33" t="s">
        <v>3949</v>
      </c>
      <c r="E752" s="50" t="s">
        <v>1366</v>
      </c>
    </row>
    <row r="753" spans="1:5" ht="13.2">
      <c r="A753" s="61">
        <v>1412</v>
      </c>
      <c r="B753" s="50" t="s">
        <v>285</v>
      </c>
      <c r="C753" s="50" t="s">
        <v>286</v>
      </c>
      <c r="D753" s="33" t="s">
        <v>3950</v>
      </c>
      <c r="E753" s="50" t="s">
        <v>223</v>
      </c>
    </row>
    <row r="754" spans="1:5" ht="13.2">
      <c r="A754" s="61">
        <v>1413</v>
      </c>
      <c r="B754" s="50" t="s">
        <v>287</v>
      </c>
      <c r="C754" s="50" t="s">
        <v>140</v>
      </c>
      <c r="D754" s="33" t="s">
        <v>1933</v>
      </c>
      <c r="E754" s="50" t="s">
        <v>223</v>
      </c>
    </row>
    <row r="755" spans="1:5" ht="13.2">
      <c r="A755" s="61">
        <v>1416</v>
      </c>
      <c r="B755" s="50" t="s">
        <v>288</v>
      </c>
      <c r="C755" s="50" t="s">
        <v>1246</v>
      </c>
      <c r="D755" s="33" t="s">
        <v>2843</v>
      </c>
      <c r="E755" s="50" t="s">
        <v>2037</v>
      </c>
    </row>
    <row r="756" spans="1:5" ht="13.2">
      <c r="A756" s="61">
        <v>1418</v>
      </c>
      <c r="B756" s="50" t="s">
        <v>289</v>
      </c>
      <c r="C756" s="50" t="s">
        <v>477</v>
      </c>
      <c r="D756" s="33" t="s">
        <v>3373</v>
      </c>
      <c r="E756" s="50" t="s">
        <v>451</v>
      </c>
    </row>
    <row r="757" spans="1:5" ht="13.2">
      <c r="A757" s="61">
        <v>1419</v>
      </c>
      <c r="B757" s="50" t="s">
        <v>1511</v>
      </c>
      <c r="C757" s="50" t="s">
        <v>370</v>
      </c>
      <c r="D757" s="33" t="s">
        <v>3951</v>
      </c>
      <c r="E757" s="50" t="s">
        <v>451</v>
      </c>
    </row>
    <row r="758" spans="1:5" ht="13.2">
      <c r="A758" s="61">
        <v>1426</v>
      </c>
      <c r="B758" s="50" t="s">
        <v>290</v>
      </c>
      <c r="C758" s="50" t="s">
        <v>79</v>
      </c>
      <c r="D758" s="33" t="s">
        <v>2836</v>
      </c>
      <c r="E758" s="50" t="s">
        <v>223</v>
      </c>
    </row>
    <row r="759" spans="1:5" ht="13.2">
      <c r="A759" s="61">
        <v>1427</v>
      </c>
      <c r="B759" s="50" t="s">
        <v>291</v>
      </c>
      <c r="C759" s="50" t="s">
        <v>1197</v>
      </c>
      <c r="D759" s="33" t="s">
        <v>2962</v>
      </c>
      <c r="E759" s="50" t="s">
        <v>223</v>
      </c>
    </row>
    <row r="760" spans="1:5" ht="13.2">
      <c r="A760" s="61">
        <v>1428</v>
      </c>
      <c r="B760" s="50" t="s">
        <v>292</v>
      </c>
      <c r="C760" s="50" t="s">
        <v>718</v>
      </c>
      <c r="D760" s="33" t="s">
        <v>3952</v>
      </c>
      <c r="E760" s="50" t="s">
        <v>223</v>
      </c>
    </row>
    <row r="761" spans="1:5" ht="13.2">
      <c r="A761" s="61">
        <v>1429</v>
      </c>
      <c r="B761" s="50" t="s">
        <v>293</v>
      </c>
      <c r="C761" s="50" t="s">
        <v>642</v>
      </c>
      <c r="D761" s="33" t="s">
        <v>3953</v>
      </c>
      <c r="E761" s="50" t="s">
        <v>2037</v>
      </c>
    </row>
    <row r="762" spans="1:5" ht="13.2">
      <c r="A762" s="61">
        <v>1431</v>
      </c>
      <c r="B762" s="50" t="s">
        <v>294</v>
      </c>
      <c r="C762" s="50" t="s">
        <v>336</v>
      </c>
      <c r="D762" s="33" t="s">
        <v>3954</v>
      </c>
      <c r="E762" s="50" t="s">
        <v>223</v>
      </c>
    </row>
    <row r="763" spans="1:5" ht="13.2">
      <c r="A763" s="61">
        <v>1436</v>
      </c>
      <c r="B763" s="50" t="s">
        <v>295</v>
      </c>
      <c r="C763" s="50" t="s">
        <v>782</v>
      </c>
      <c r="D763" s="33" t="s">
        <v>3955</v>
      </c>
      <c r="E763" s="50" t="s">
        <v>223</v>
      </c>
    </row>
    <row r="764" spans="1:5" ht="13.2">
      <c r="A764" s="61">
        <v>1438</v>
      </c>
      <c r="B764" s="50" t="s">
        <v>1153</v>
      </c>
      <c r="C764" s="50" t="s">
        <v>1099</v>
      </c>
      <c r="D764" s="33" t="s">
        <v>3956</v>
      </c>
      <c r="E764" s="50" t="s">
        <v>223</v>
      </c>
    </row>
    <row r="765" spans="1:5" ht="13.2">
      <c r="A765" s="61">
        <v>1439</v>
      </c>
      <c r="B765" s="50" t="s">
        <v>1018</v>
      </c>
      <c r="C765" s="50" t="s">
        <v>140</v>
      </c>
      <c r="D765" s="33" t="s">
        <v>3128</v>
      </c>
      <c r="E765" s="50" t="s">
        <v>451</v>
      </c>
    </row>
    <row r="766" spans="1:5" ht="13.2">
      <c r="A766" s="61">
        <v>1441</v>
      </c>
      <c r="B766" s="50" t="s">
        <v>2455</v>
      </c>
      <c r="C766" s="50" t="s">
        <v>79</v>
      </c>
      <c r="D766" s="33" t="s">
        <v>3957</v>
      </c>
      <c r="E766" s="50" t="s">
        <v>223</v>
      </c>
    </row>
    <row r="767" spans="1:5" ht="13.2">
      <c r="A767" s="61">
        <v>1442</v>
      </c>
      <c r="B767" s="50" t="s">
        <v>1019</v>
      </c>
      <c r="C767" s="50" t="s">
        <v>1020</v>
      </c>
      <c r="D767" s="33" t="s">
        <v>3958</v>
      </c>
      <c r="E767" s="50" t="s">
        <v>2037</v>
      </c>
    </row>
    <row r="768" spans="1:5" ht="13.2">
      <c r="A768" s="61">
        <v>1449</v>
      </c>
      <c r="B768" s="50" t="s">
        <v>1021</v>
      </c>
      <c r="C768" s="50" t="s">
        <v>72</v>
      </c>
      <c r="D768" s="33" t="s">
        <v>3959</v>
      </c>
      <c r="E768" s="50" t="s">
        <v>1586</v>
      </c>
    </row>
    <row r="769" spans="1:5" ht="13.2">
      <c r="A769" s="61">
        <v>1450</v>
      </c>
      <c r="B769" s="50" t="s">
        <v>1022</v>
      </c>
      <c r="C769" s="50" t="s">
        <v>188</v>
      </c>
      <c r="D769" s="33" t="s">
        <v>3960</v>
      </c>
      <c r="E769" s="50" t="s">
        <v>1225</v>
      </c>
    </row>
    <row r="770" spans="1:5" ht="13.2">
      <c r="A770" s="61">
        <v>1451</v>
      </c>
      <c r="B770" s="50" t="s">
        <v>1023</v>
      </c>
      <c r="C770" s="50" t="s">
        <v>640</v>
      </c>
      <c r="D770" s="33" t="s">
        <v>3961</v>
      </c>
      <c r="E770" s="50" t="s">
        <v>686</v>
      </c>
    </row>
    <row r="771" spans="1:5" ht="13.2">
      <c r="A771" s="61">
        <v>1452</v>
      </c>
      <c r="B771" s="50" t="s">
        <v>1024</v>
      </c>
      <c r="C771" s="50" t="s">
        <v>72</v>
      </c>
      <c r="D771" s="33" t="s">
        <v>3962</v>
      </c>
      <c r="E771" s="50" t="s">
        <v>223</v>
      </c>
    </row>
    <row r="772" spans="1:5" ht="13.2">
      <c r="A772" s="61">
        <v>1453</v>
      </c>
      <c r="B772" s="50" t="s">
        <v>1531</v>
      </c>
      <c r="C772" s="50" t="s">
        <v>194</v>
      </c>
      <c r="D772" s="33" t="s">
        <v>2984</v>
      </c>
      <c r="E772" s="50" t="s">
        <v>1339</v>
      </c>
    </row>
    <row r="773" spans="1:5" ht="13.2">
      <c r="A773" s="61">
        <v>1454</v>
      </c>
      <c r="B773" s="50" t="s">
        <v>1025</v>
      </c>
      <c r="C773" s="50" t="s">
        <v>964</v>
      </c>
      <c r="D773" s="33" t="s">
        <v>2872</v>
      </c>
      <c r="E773" s="50" t="s">
        <v>2037</v>
      </c>
    </row>
    <row r="774" spans="1:5" ht="13.2">
      <c r="A774" s="61">
        <v>1458</v>
      </c>
      <c r="B774" s="50" t="s">
        <v>970</v>
      </c>
      <c r="C774" s="50" t="s">
        <v>777</v>
      </c>
      <c r="D774" s="33" t="s">
        <v>2186</v>
      </c>
      <c r="E774" s="50" t="s">
        <v>1224</v>
      </c>
    </row>
    <row r="775" spans="1:5" ht="13.2">
      <c r="A775" s="61">
        <v>1464</v>
      </c>
      <c r="B775" s="50" t="s">
        <v>971</v>
      </c>
      <c r="C775" s="50" t="s">
        <v>263</v>
      </c>
      <c r="D775" s="33" t="s">
        <v>2621</v>
      </c>
      <c r="E775" s="50" t="s">
        <v>223</v>
      </c>
    </row>
    <row r="776" spans="1:5" ht="13.2">
      <c r="A776" s="61">
        <v>1465</v>
      </c>
      <c r="B776" s="50" t="s">
        <v>972</v>
      </c>
      <c r="C776" s="50" t="s">
        <v>866</v>
      </c>
      <c r="D776" s="33" t="s">
        <v>3963</v>
      </c>
      <c r="E776" s="50" t="s">
        <v>223</v>
      </c>
    </row>
    <row r="777" spans="1:5" ht="13.2">
      <c r="A777" s="61">
        <v>1466</v>
      </c>
      <c r="B777" s="50" t="s">
        <v>973</v>
      </c>
      <c r="C777" s="50" t="s">
        <v>1238</v>
      </c>
      <c r="D777" s="33" t="s">
        <v>3964</v>
      </c>
      <c r="E777" s="50" t="s">
        <v>223</v>
      </c>
    </row>
    <row r="778" spans="1:5" ht="13.2">
      <c r="A778" s="61">
        <v>1474</v>
      </c>
      <c r="B778" s="50" t="s">
        <v>1993</v>
      </c>
      <c r="C778" s="50" t="s">
        <v>1245</v>
      </c>
      <c r="D778" s="33" t="s">
        <v>3965</v>
      </c>
      <c r="E778" s="50" t="s">
        <v>451</v>
      </c>
    </row>
    <row r="779" spans="1:5" ht="13.2">
      <c r="A779" s="61">
        <v>1477</v>
      </c>
      <c r="B779" s="50" t="s">
        <v>1007</v>
      </c>
      <c r="C779" s="50" t="s">
        <v>1311</v>
      </c>
      <c r="D779" s="33" t="s">
        <v>1934</v>
      </c>
      <c r="E779" s="50" t="s">
        <v>1225</v>
      </c>
    </row>
    <row r="780" spans="1:5" ht="13.2">
      <c r="A780" s="61">
        <v>1478</v>
      </c>
      <c r="B780" s="50" t="s">
        <v>1008</v>
      </c>
      <c r="C780" s="50" t="s">
        <v>637</v>
      </c>
      <c r="D780" s="33" t="s">
        <v>3966</v>
      </c>
      <c r="E780" s="50" t="s">
        <v>223</v>
      </c>
    </row>
    <row r="781" spans="1:5" ht="13.2">
      <c r="A781" s="61">
        <v>1479</v>
      </c>
      <c r="B781" s="50" t="s">
        <v>1009</v>
      </c>
      <c r="C781" s="50" t="s">
        <v>864</v>
      </c>
      <c r="D781" s="33" t="s">
        <v>3342</v>
      </c>
      <c r="E781" s="50" t="s">
        <v>223</v>
      </c>
    </row>
    <row r="782" spans="1:5" ht="13.2">
      <c r="A782" s="61">
        <v>1483</v>
      </c>
      <c r="B782" s="50" t="s">
        <v>1010</v>
      </c>
      <c r="C782" s="50" t="s">
        <v>1311</v>
      </c>
      <c r="D782" s="33" t="s">
        <v>2874</v>
      </c>
      <c r="E782" s="50" t="s">
        <v>223</v>
      </c>
    </row>
    <row r="783" spans="1:5" ht="13.2">
      <c r="A783" s="61">
        <v>1484</v>
      </c>
      <c r="B783" s="50" t="s">
        <v>1011</v>
      </c>
      <c r="C783" s="50" t="s">
        <v>864</v>
      </c>
      <c r="D783" s="33" t="s">
        <v>2272</v>
      </c>
      <c r="E783" s="50" t="s">
        <v>223</v>
      </c>
    </row>
    <row r="784" spans="1:5" ht="13.2">
      <c r="A784" s="61">
        <v>1487</v>
      </c>
      <c r="B784" s="50" t="s">
        <v>1012</v>
      </c>
      <c r="C784" s="50" t="s">
        <v>1013</v>
      </c>
      <c r="D784" s="33" t="s">
        <v>3967</v>
      </c>
      <c r="E784" s="50" t="s">
        <v>223</v>
      </c>
    </row>
    <row r="785" spans="1:5" ht="13.2">
      <c r="A785" s="61">
        <v>1492</v>
      </c>
      <c r="B785" s="50" t="s">
        <v>1014</v>
      </c>
      <c r="C785" s="50" t="s">
        <v>1311</v>
      </c>
      <c r="D785" s="33" t="s">
        <v>3968</v>
      </c>
      <c r="E785" s="50" t="s">
        <v>223</v>
      </c>
    </row>
    <row r="786" spans="1:5" ht="13.2">
      <c r="A786" s="61">
        <v>1494</v>
      </c>
      <c r="B786" s="50" t="s">
        <v>1015</v>
      </c>
      <c r="C786" s="50" t="s">
        <v>638</v>
      </c>
      <c r="D786" s="33" t="s">
        <v>3969</v>
      </c>
      <c r="E786" s="50" t="s">
        <v>223</v>
      </c>
    </row>
    <row r="787" spans="1:5" ht="13.2">
      <c r="A787" s="61">
        <v>1496</v>
      </c>
      <c r="B787" s="50" t="s">
        <v>1016</v>
      </c>
      <c r="C787" s="50" t="s">
        <v>964</v>
      </c>
      <c r="D787" s="33" t="s">
        <v>3970</v>
      </c>
      <c r="E787" s="50" t="s">
        <v>223</v>
      </c>
    </row>
    <row r="788" spans="1:5" ht="13.2">
      <c r="A788" s="61">
        <v>1498</v>
      </c>
      <c r="B788" s="50" t="s">
        <v>1017</v>
      </c>
      <c r="C788" s="50" t="s">
        <v>782</v>
      </c>
      <c r="D788" s="33" t="s">
        <v>3971</v>
      </c>
      <c r="E788" s="50" t="s">
        <v>1225</v>
      </c>
    </row>
    <row r="789" spans="1:5" ht="13.2">
      <c r="A789" s="61">
        <v>1503</v>
      </c>
      <c r="B789" s="50" t="s">
        <v>239</v>
      </c>
      <c r="C789" s="50" t="s">
        <v>640</v>
      </c>
      <c r="D789" s="33" t="s">
        <v>3972</v>
      </c>
      <c r="E789" s="50" t="s">
        <v>2037</v>
      </c>
    </row>
    <row r="790" spans="1:5" ht="13.2">
      <c r="A790" s="61">
        <v>1505</v>
      </c>
      <c r="B790" s="50" t="s">
        <v>656</v>
      </c>
      <c r="C790" s="50" t="s">
        <v>866</v>
      </c>
      <c r="D790" s="33" t="s">
        <v>3973</v>
      </c>
      <c r="E790" s="50" t="s">
        <v>2037</v>
      </c>
    </row>
    <row r="791" spans="1:5" ht="13.2">
      <c r="A791" s="61">
        <v>1510</v>
      </c>
      <c r="B791" s="50" t="s">
        <v>657</v>
      </c>
      <c r="C791" s="50" t="s">
        <v>867</v>
      </c>
      <c r="D791" s="33" t="s">
        <v>2997</v>
      </c>
      <c r="E791" s="50" t="s">
        <v>223</v>
      </c>
    </row>
    <row r="792" spans="1:5" ht="13.2">
      <c r="A792" s="61">
        <v>1514</v>
      </c>
      <c r="B792" s="50" t="s">
        <v>658</v>
      </c>
      <c r="C792" s="50" t="s">
        <v>966</v>
      </c>
      <c r="D792" s="33" t="s">
        <v>2477</v>
      </c>
      <c r="E792" s="50" t="s">
        <v>223</v>
      </c>
    </row>
    <row r="793" spans="1:5" ht="13.2">
      <c r="A793" s="61">
        <v>1517</v>
      </c>
      <c r="B793" s="50" t="s">
        <v>659</v>
      </c>
      <c r="C793" s="50" t="s">
        <v>188</v>
      </c>
      <c r="D793" s="33" t="s">
        <v>3974</v>
      </c>
      <c r="E793" s="50" t="s">
        <v>1339</v>
      </c>
    </row>
    <row r="794" spans="1:5" ht="13.2">
      <c r="A794" s="61">
        <v>1520</v>
      </c>
      <c r="B794" s="50" t="s">
        <v>660</v>
      </c>
      <c r="C794" s="50" t="s">
        <v>336</v>
      </c>
      <c r="D794" s="33" t="s">
        <v>2985</v>
      </c>
      <c r="E794" s="50" t="s">
        <v>223</v>
      </c>
    </row>
    <row r="795" spans="1:5" ht="13.2">
      <c r="A795" s="61">
        <v>1521</v>
      </c>
      <c r="B795" s="50" t="s">
        <v>1271</v>
      </c>
      <c r="C795" s="50" t="s">
        <v>640</v>
      </c>
      <c r="D795" s="33" t="s">
        <v>3520</v>
      </c>
      <c r="E795" s="50" t="s">
        <v>2037</v>
      </c>
    </row>
    <row r="796" spans="1:5" ht="13.2">
      <c r="A796" s="61">
        <v>1522</v>
      </c>
      <c r="B796" s="50" t="s">
        <v>1272</v>
      </c>
      <c r="C796" s="50" t="s">
        <v>640</v>
      </c>
      <c r="D796" s="33" t="s">
        <v>3975</v>
      </c>
      <c r="E796" s="50" t="s">
        <v>223</v>
      </c>
    </row>
    <row r="797" spans="1:5" ht="13.2">
      <c r="A797" s="61">
        <v>1524</v>
      </c>
      <c r="B797" s="50" t="s">
        <v>1273</v>
      </c>
      <c r="C797" s="50" t="s">
        <v>617</v>
      </c>
      <c r="D797" s="33" t="s">
        <v>3429</v>
      </c>
      <c r="E797" s="50" t="s">
        <v>1339</v>
      </c>
    </row>
    <row r="798" spans="1:5" ht="13.2">
      <c r="A798" s="61">
        <v>1525</v>
      </c>
      <c r="B798" s="50" t="s">
        <v>1274</v>
      </c>
      <c r="C798" s="50" t="s">
        <v>79</v>
      </c>
      <c r="D798" s="33" t="s">
        <v>3976</v>
      </c>
      <c r="E798" s="50" t="s">
        <v>1339</v>
      </c>
    </row>
    <row r="799" spans="1:5" ht="13.2">
      <c r="A799" s="61">
        <v>1526</v>
      </c>
      <c r="B799" s="50" t="s">
        <v>1275</v>
      </c>
      <c r="C799" s="50" t="s">
        <v>188</v>
      </c>
      <c r="D799" s="33" t="s">
        <v>3977</v>
      </c>
      <c r="E799" s="50" t="s">
        <v>223</v>
      </c>
    </row>
    <row r="800" spans="1:5" ht="13.2">
      <c r="A800" s="61">
        <v>1527</v>
      </c>
      <c r="B800" s="50" t="s">
        <v>1276</v>
      </c>
      <c r="C800" s="50" t="s">
        <v>263</v>
      </c>
      <c r="D800" s="33" t="s">
        <v>3978</v>
      </c>
      <c r="E800" s="50" t="s">
        <v>223</v>
      </c>
    </row>
    <row r="801" spans="1:5" ht="13.2">
      <c r="A801" s="61">
        <v>1528</v>
      </c>
      <c r="B801" s="50" t="s">
        <v>1277</v>
      </c>
      <c r="C801" s="50" t="s">
        <v>263</v>
      </c>
      <c r="D801" s="33" t="s">
        <v>3979</v>
      </c>
      <c r="E801" s="50" t="s">
        <v>223</v>
      </c>
    </row>
    <row r="802" spans="1:5" ht="13.2">
      <c r="A802" s="61">
        <v>1531</v>
      </c>
      <c r="B802" s="50" t="s">
        <v>1278</v>
      </c>
      <c r="C802" s="50" t="s">
        <v>1311</v>
      </c>
      <c r="D802" s="33" t="s">
        <v>3980</v>
      </c>
      <c r="E802" s="50" t="s">
        <v>223</v>
      </c>
    </row>
    <row r="803" spans="1:5" ht="13.2">
      <c r="A803" s="61">
        <v>1533</v>
      </c>
      <c r="B803" s="50" t="s">
        <v>1279</v>
      </c>
      <c r="C803" s="50" t="s">
        <v>197</v>
      </c>
      <c r="D803" s="33" t="s">
        <v>3129</v>
      </c>
      <c r="E803" s="50" t="s">
        <v>223</v>
      </c>
    </row>
    <row r="804" spans="1:5" ht="13.2">
      <c r="A804" s="61">
        <v>1538</v>
      </c>
      <c r="B804" s="50" t="s">
        <v>937</v>
      </c>
      <c r="C804" s="50" t="s">
        <v>638</v>
      </c>
      <c r="D804" s="33" t="s">
        <v>3981</v>
      </c>
      <c r="E804" s="50" t="s">
        <v>1339</v>
      </c>
    </row>
    <row r="805" spans="1:5" ht="13.2">
      <c r="A805" s="61">
        <v>1544</v>
      </c>
      <c r="B805" s="50" t="s">
        <v>745</v>
      </c>
      <c r="C805" s="50" t="s">
        <v>802</v>
      </c>
      <c r="D805" s="33" t="s">
        <v>3094</v>
      </c>
      <c r="E805" s="50" t="s">
        <v>223</v>
      </c>
    </row>
    <row r="806" spans="1:5" ht="13.2">
      <c r="A806" s="61">
        <v>1558</v>
      </c>
      <c r="B806" s="50" t="s">
        <v>578</v>
      </c>
      <c r="C806" s="50" t="s">
        <v>1157</v>
      </c>
      <c r="D806" s="33" t="s">
        <v>2763</v>
      </c>
      <c r="E806" s="50" t="s">
        <v>1224</v>
      </c>
    </row>
    <row r="807" spans="1:5" ht="13.2">
      <c r="A807" s="61">
        <v>1561</v>
      </c>
      <c r="B807" s="50" t="s">
        <v>999</v>
      </c>
      <c r="C807" s="50" t="s">
        <v>79</v>
      </c>
      <c r="D807" s="33" t="s">
        <v>3982</v>
      </c>
      <c r="E807" s="50" t="s">
        <v>451</v>
      </c>
    </row>
    <row r="808" spans="1:5" ht="13.2">
      <c r="A808" s="61">
        <v>1562</v>
      </c>
      <c r="B808" s="50" t="s">
        <v>1000</v>
      </c>
      <c r="C808" s="50" t="s">
        <v>617</v>
      </c>
      <c r="D808" s="33" t="s">
        <v>3983</v>
      </c>
      <c r="E808" s="50" t="s">
        <v>2036</v>
      </c>
    </row>
    <row r="809" spans="1:5" ht="13.2">
      <c r="A809" s="61">
        <v>1563</v>
      </c>
      <c r="B809" s="50" t="s">
        <v>1001</v>
      </c>
      <c r="C809" s="50" t="s">
        <v>336</v>
      </c>
      <c r="D809" s="33" t="s">
        <v>3073</v>
      </c>
      <c r="E809" s="50" t="s">
        <v>2610</v>
      </c>
    </row>
    <row r="810" spans="1:5" ht="13.2">
      <c r="A810" s="61">
        <v>1571</v>
      </c>
      <c r="B810" s="50" t="s">
        <v>1028</v>
      </c>
      <c r="C810" s="50" t="s">
        <v>866</v>
      </c>
      <c r="D810" s="33" t="s">
        <v>3984</v>
      </c>
      <c r="E810" s="50" t="s">
        <v>223</v>
      </c>
    </row>
    <row r="811" spans="1:5" ht="13.2">
      <c r="A811" s="61">
        <v>1576</v>
      </c>
      <c r="B811" s="50" t="s">
        <v>1002</v>
      </c>
      <c r="C811" s="50" t="s">
        <v>199</v>
      </c>
      <c r="D811" s="33" t="s">
        <v>3985</v>
      </c>
      <c r="E811" s="50" t="s">
        <v>1225</v>
      </c>
    </row>
    <row r="812" spans="1:5" ht="13.2">
      <c r="A812" s="61">
        <v>1577</v>
      </c>
      <c r="B812" s="50" t="s">
        <v>567</v>
      </c>
      <c r="C812" s="50" t="s">
        <v>263</v>
      </c>
      <c r="D812" s="33" t="s">
        <v>3986</v>
      </c>
      <c r="E812" s="50" t="s">
        <v>2610</v>
      </c>
    </row>
    <row r="813" spans="1:5" ht="13.2">
      <c r="A813" s="61">
        <v>1578</v>
      </c>
      <c r="B813" s="50" t="s">
        <v>92</v>
      </c>
      <c r="C813" s="50" t="s">
        <v>261</v>
      </c>
      <c r="D813" s="33" t="s">
        <v>3987</v>
      </c>
      <c r="E813" s="50" t="s">
        <v>1225</v>
      </c>
    </row>
    <row r="814" spans="1:5" ht="13.2">
      <c r="A814" s="61">
        <v>1579</v>
      </c>
      <c r="B814" s="50" t="s">
        <v>1003</v>
      </c>
      <c r="C814" s="50" t="s">
        <v>246</v>
      </c>
      <c r="D814" s="33" t="s">
        <v>3988</v>
      </c>
      <c r="E814" s="50" t="s">
        <v>731</v>
      </c>
    </row>
    <row r="815" spans="1:5" ht="13.2">
      <c r="A815" s="61">
        <v>1585</v>
      </c>
      <c r="B815" s="50" t="s">
        <v>1004</v>
      </c>
      <c r="C815" s="50" t="s">
        <v>1197</v>
      </c>
      <c r="D815" s="33" t="s">
        <v>3989</v>
      </c>
      <c r="E815" s="50" t="s">
        <v>1225</v>
      </c>
    </row>
    <row r="816" spans="1:5" ht="13.2">
      <c r="A816" s="61">
        <v>1592</v>
      </c>
      <c r="B816" s="50" t="s">
        <v>1005</v>
      </c>
      <c r="C816" s="50" t="s">
        <v>718</v>
      </c>
      <c r="D816" s="33" t="s">
        <v>3990</v>
      </c>
      <c r="E816" s="50" t="s">
        <v>2516</v>
      </c>
    </row>
    <row r="817" spans="1:5" ht="13.2">
      <c r="A817" s="61">
        <v>1596</v>
      </c>
      <c r="B817" s="50" t="s">
        <v>1353</v>
      </c>
      <c r="C817" s="50" t="s">
        <v>1527</v>
      </c>
      <c r="D817" s="33" t="s">
        <v>3991</v>
      </c>
      <c r="E817" s="50" t="s">
        <v>2037</v>
      </c>
    </row>
    <row r="818" spans="1:5" ht="13.2">
      <c r="A818" s="61">
        <v>1598</v>
      </c>
      <c r="B818" s="50" t="s">
        <v>1354</v>
      </c>
      <c r="C818" s="50" t="s">
        <v>1246</v>
      </c>
      <c r="D818" s="33" t="s">
        <v>3405</v>
      </c>
      <c r="E818" s="50" t="s">
        <v>223</v>
      </c>
    </row>
    <row r="819" spans="1:5" ht="13.2">
      <c r="A819" s="61">
        <v>1599</v>
      </c>
      <c r="B819" s="50" t="s">
        <v>1355</v>
      </c>
      <c r="C819" s="50" t="s">
        <v>470</v>
      </c>
      <c r="D819" s="33" t="s">
        <v>3992</v>
      </c>
      <c r="E819" s="50" t="s">
        <v>1366</v>
      </c>
    </row>
    <row r="820" spans="1:5" ht="13.2">
      <c r="A820" s="61">
        <v>1601</v>
      </c>
      <c r="B820" s="50" t="s">
        <v>1356</v>
      </c>
      <c r="C820" s="50" t="s">
        <v>75</v>
      </c>
      <c r="D820" s="33" t="s">
        <v>3993</v>
      </c>
      <c r="E820" s="50" t="s">
        <v>1339</v>
      </c>
    </row>
    <row r="821" spans="1:5" ht="13.2">
      <c r="A821" s="61">
        <v>1602</v>
      </c>
      <c r="B821" s="50" t="s">
        <v>3301</v>
      </c>
      <c r="C821" s="50" t="s">
        <v>1240</v>
      </c>
      <c r="D821" s="33" t="s">
        <v>3994</v>
      </c>
      <c r="E821" s="50" t="s">
        <v>451</v>
      </c>
    </row>
    <row r="822" spans="1:5" ht="13.2">
      <c r="A822" s="61">
        <v>1603</v>
      </c>
      <c r="B822" s="50" t="s">
        <v>799</v>
      </c>
      <c r="C822" s="50" t="s">
        <v>246</v>
      </c>
      <c r="D822" s="33" t="s">
        <v>3541</v>
      </c>
      <c r="E822" s="50" t="s">
        <v>1339</v>
      </c>
    </row>
    <row r="823" spans="1:5" ht="13.2">
      <c r="A823" s="61">
        <v>1605</v>
      </c>
      <c r="B823" s="50" t="s">
        <v>1241</v>
      </c>
      <c r="C823" s="50" t="s">
        <v>140</v>
      </c>
      <c r="D823" s="33" t="s">
        <v>3995</v>
      </c>
      <c r="E823" s="50" t="s">
        <v>223</v>
      </c>
    </row>
    <row r="824" spans="1:5" ht="13.2">
      <c r="A824" s="61">
        <v>1606</v>
      </c>
      <c r="B824" s="50" t="s">
        <v>296</v>
      </c>
      <c r="C824" s="50" t="s">
        <v>1246</v>
      </c>
      <c r="D824" s="33" t="s">
        <v>3996</v>
      </c>
      <c r="E824" s="50" t="s">
        <v>223</v>
      </c>
    </row>
    <row r="825" spans="1:5" ht="13.2">
      <c r="A825" s="61">
        <v>1608</v>
      </c>
      <c r="B825" s="50" t="s">
        <v>231</v>
      </c>
      <c r="C825" s="50" t="s">
        <v>1245</v>
      </c>
      <c r="D825" s="33" t="s">
        <v>3997</v>
      </c>
      <c r="E825" s="50" t="s">
        <v>223</v>
      </c>
    </row>
    <row r="826" spans="1:5" ht="13.2">
      <c r="A826" s="61">
        <v>1610</v>
      </c>
      <c r="B826" s="50" t="s">
        <v>297</v>
      </c>
      <c r="C826" s="50" t="s">
        <v>336</v>
      </c>
      <c r="D826" s="33" t="s">
        <v>3998</v>
      </c>
      <c r="E826" s="50" t="s">
        <v>223</v>
      </c>
    </row>
    <row r="827" spans="1:5" ht="13.2">
      <c r="A827" s="61">
        <v>1612</v>
      </c>
      <c r="B827" s="50" t="s">
        <v>298</v>
      </c>
      <c r="C827" s="50" t="s">
        <v>79</v>
      </c>
      <c r="D827" s="33" t="s">
        <v>3528</v>
      </c>
      <c r="E827" s="50" t="s">
        <v>2037</v>
      </c>
    </row>
    <row r="828" spans="1:5" ht="13.2">
      <c r="A828" s="61">
        <v>1615</v>
      </c>
      <c r="B828" s="50" t="s">
        <v>353</v>
      </c>
      <c r="C828" s="50" t="s">
        <v>299</v>
      </c>
      <c r="D828" s="33" t="s">
        <v>3999</v>
      </c>
      <c r="E828" s="50" t="s">
        <v>451</v>
      </c>
    </row>
    <row r="829" spans="1:5" ht="13.2">
      <c r="A829" s="61">
        <v>1616</v>
      </c>
      <c r="B829" s="50" t="s">
        <v>300</v>
      </c>
      <c r="C829" s="50" t="s">
        <v>1246</v>
      </c>
      <c r="D829" s="33" t="s">
        <v>3382</v>
      </c>
      <c r="E829" s="50" t="s">
        <v>223</v>
      </c>
    </row>
    <row r="830" spans="1:5" ht="13.2">
      <c r="A830" s="61">
        <v>1618</v>
      </c>
      <c r="B830" s="50" t="s">
        <v>301</v>
      </c>
      <c r="C830" s="50" t="s">
        <v>525</v>
      </c>
      <c r="D830" s="33" t="s">
        <v>4000</v>
      </c>
      <c r="E830" s="50" t="s">
        <v>1225</v>
      </c>
    </row>
    <row r="831" spans="1:5" ht="13.2">
      <c r="A831" s="61">
        <v>1620</v>
      </c>
      <c r="B831" s="50" t="s">
        <v>241</v>
      </c>
      <c r="C831" s="50" t="s">
        <v>75</v>
      </c>
      <c r="D831" s="33" t="s">
        <v>1935</v>
      </c>
      <c r="E831" s="50" t="s">
        <v>2126</v>
      </c>
    </row>
    <row r="832" spans="1:5" ht="13.2">
      <c r="A832" s="61">
        <v>1624</v>
      </c>
      <c r="B832" s="50" t="s">
        <v>303</v>
      </c>
      <c r="C832" s="50" t="s">
        <v>194</v>
      </c>
      <c r="D832" s="33" t="s">
        <v>4001</v>
      </c>
      <c r="E832" s="50" t="s">
        <v>1225</v>
      </c>
    </row>
    <row r="833" spans="1:5" ht="13.2">
      <c r="A833" s="61">
        <v>1626</v>
      </c>
      <c r="B833" s="50" t="s">
        <v>424</v>
      </c>
      <c r="C833" s="50" t="s">
        <v>427</v>
      </c>
      <c r="D833" s="33" t="s">
        <v>3007</v>
      </c>
      <c r="E833" s="50" t="s">
        <v>2037</v>
      </c>
    </row>
    <row r="834" spans="1:5" ht="13.2">
      <c r="A834" s="61">
        <v>1631</v>
      </c>
      <c r="B834" s="50" t="s">
        <v>304</v>
      </c>
      <c r="C834" s="50" t="s">
        <v>75</v>
      </c>
      <c r="D834" s="33" t="s">
        <v>4002</v>
      </c>
      <c r="E834" s="50" t="s">
        <v>223</v>
      </c>
    </row>
    <row r="835" spans="1:5" ht="13.2">
      <c r="A835" s="61">
        <v>1632</v>
      </c>
      <c r="B835" s="50" t="s">
        <v>305</v>
      </c>
      <c r="C835" s="50" t="s">
        <v>306</v>
      </c>
      <c r="D835" s="33" t="s">
        <v>4003</v>
      </c>
      <c r="E835" s="50" t="s">
        <v>223</v>
      </c>
    </row>
    <row r="836" spans="1:5" ht="13.2">
      <c r="A836" s="61">
        <v>1633</v>
      </c>
      <c r="B836" s="50" t="s">
        <v>307</v>
      </c>
      <c r="C836" s="50" t="s">
        <v>246</v>
      </c>
      <c r="D836" s="33" t="s">
        <v>537</v>
      </c>
      <c r="E836" s="50" t="s">
        <v>223</v>
      </c>
    </row>
    <row r="837" spans="1:5" ht="13.2">
      <c r="A837" s="61">
        <v>1634</v>
      </c>
      <c r="B837" s="50" t="s">
        <v>952</v>
      </c>
      <c r="C837" s="50" t="s">
        <v>1197</v>
      </c>
      <c r="D837" s="33" t="s">
        <v>2147</v>
      </c>
      <c r="E837" s="50" t="s">
        <v>1322</v>
      </c>
    </row>
    <row r="838" spans="1:5" ht="13.2">
      <c r="A838" s="61">
        <v>1637</v>
      </c>
      <c r="B838" s="50" t="s">
        <v>976</v>
      </c>
      <c r="C838" s="50" t="s">
        <v>79</v>
      </c>
      <c r="D838" s="33" t="s">
        <v>3052</v>
      </c>
      <c r="E838" s="50" t="s">
        <v>223</v>
      </c>
    </row>
    <row r="839" spans="1:5" ht="13.2">
      <c r="A839" s="61">
        <v>1638</v>
      </c>
      <c r="B839" s="50" t="s">
        <v>977</v>
      </c>
      <c r="C839" s="50" t="s">
        <v>1311</v>
      </c>
      <c r="D839" s="33" t="s">
        <v>4004</v>
      </c>
      <c r="E839" s="50" t="s">
        <v>223</v>
      </c>
    </row>
    <row r="840" spans="1:5" ht="13.2">
      <c r="A840" s="61">
        <v>1643</v>
      </c>
      <c r="B840" s="50" t="s">
        <v>978</v>
      </c>
      <c r="C840" s="50" t="s">
        <v>964</v>
      </c>
      <c r="D840" s="33" t="s">
        <v>4005</v>
      </c>
      <c r="E840" s="50" t="s">
        <v>223</v>
      </c>
    </row>
    <row r="841" spans="1:5" ht="13.2">
      <c r="A841" s="61">
        <v>1644</v>
      </c>
      <c r="B841" s="50" t="s">
        <v>376</v>
      </c>
      <c r="C841" s="50" t="s">
        <v>754</v>
      </c>
      <c r="D841" s="33" t="s">
        <v>3403</v>
      </c>
      <c r="E841" s="50" t="s">
        <v>2037</v>
      </c>
    </row>
    <row r="842" spans="1:5" ht="13.2">
      <c r="A842" s="61">
        <v>1647</v>
      </c>
      <c r="B842" s="50" t="s">
        <v>979</v>
      </c>
      <c r="C842" s="50" t="s">
        <v>777</v>
      </c>
      <c r="D842" s="33" t="s">
        <v>4006</v>
      </c>
      <c r="E842" s="50" t="s">
        <v>2037</v>
      </c>
    </row>
    <row r="843" spans="1:5" ht="13.2">
      <c r="A843" s="61">
        <v>1649</v>
      </c>
      <c r="B843" s="50" t="s">
        <v>980</v>
      </c>
      <c r="C843" s="50" t="s">
        <v>75</v>
      </c>
      <c r="D843" s="33" t="s">
        <v>4007</v>
      </c>
      <c r="E843" s="50" t="s">
        <v>1224</v>
      </c>
    </row>
    <row r="844" spans="1:5" ht="13.2">
      <c r="A844" s="61">
        <v>1650</v>
      </c>
      <c r="B844" s="50" t="s">
        <v>981</v>
      </c>
      <c r="C844" s="50" t="s">
        <v>261</v>
      </c>
      <c r="D844" s="33" t="s">
        <v>4008</v>
      </c>
      <c r="E844" s="50" t="s">
        <v>223</v>
      </c>
    </row>
    <row r="845" spans="1:5" ht="13.2">
      <c r="A845" s="61">
        <v>1651</v>
      </c>
      <c r="B845" s="50" t="s">
        <v>982</v>
      </c>
      <c r="C845" s="50" t="s">
        <v>640</v>
      </c>
      <c r="D845" s="33" t="s">
        <v>2188</v>
      </c>
      <c r="E845" s="50" t="s">
        <v>1224</v>
      </c>
    </row>
    <row r="846" spans="1:5" ht="13.2">
      <c r="A846" s="61">
        <v>1652</v>
      </c>
      <c r="B846" s="50" t="s">
        <v>983</v>
      </c>
      <c r="C846" s="50" t="s">
        <v>964</v>
      </c>
      <c r="D846" s="33" t="s">
        <v>4009</v>
      </c>
      <c r="E846" s="50" t="s">
        <v>223</v>
      </c>
    </row>
    <row r="847" spans="1:5" ht="13.2">
      <c r="A847" s="61">
        <v>1656</v>
      </c>
      <c r="B847" s="50" t="s">
        <v>984</v>
      </c>
      <c r="C847" s="50" t="s">
        <v>1246</v>
      </c>
      <c r="D847" s="33" t="s">
        <v>4010</v>
      </c>
      <c r="E847" s="50" t="s">
        <v>2037</v>
      </c>
    </row>
    <row r="848" spans="1:5" ht="13.2">
      <c r="A848" s="61">
        <v>1657</v>
      </c>
      <c r="B848" s="50" t="s">
        <v>985</v>
      </c>
      <c r="C848" s="50" t="s">
        <v>780</v>
      </c>
      <c r="D848" s="33" t="s">
        <v>4011</v>
      </c>
      <c r="E848" s="50" t="s">
        <v>1225</v>
      </c>
    </row>
    <row r="849" spans="1:5" ht="13.2">
      <c r="A849" s="61">
        <v>1659</v>
      </c>
      <c r="B849" s="50" t="s">
        <v>986</v>
      </c>
      <c r="C849" s="50" t="s">
        <v>477</v>
      </c>
      <c r="D849" s="33" t="s">
        <v>1372</v>
      </c>
      <c r="E849" s="50" t="s">
        <v>223</v>
      </c>
    </row>
    <row r="850" spans="1:5" ht="13.2">
      <c r="A850" s="61">
        <v>1662</v>
      </c>
      <c r="B850" s="50" t="s">
        <v>577</v>
      </c>
      <c r="C850" s="50" t="s">
        <v>553</v>
      </c>
      <c r="D850" s="33" t="s">
        <v>2887</v>
      </c>
      <c r="E850" s="50" t="s">
        <v>451</v>
      </c>
    </row>
    <row r="851" spans="1:5" ht="13.2">
      <c r="A851" s="61">
        <v>1665</v>
      </c>
      <c r="B851" s="50" t="s">
        <v>987</v>
      </c>
      <c r="C851" s="50" t="s">
        <v>194</v>
      </c>
      <c r="D851" s="33" t="s">
        <v>4012</v>
      </c>
      <c r="E851" s="50" t="s">
        <v>451</v>
      </c>
    </row>
    <row r="852" spans="1:5" ht="13.2">
      <c r="A852" s="61">
        <v>1666</v>
      </c>
      <c r="B852" s="50" t="s">
        <v>988</v>
      </c>
      <c r="C852" s="50" t="s">
        <v>261</v>
      </c>
      <c r="D852" s="33" t="s">
        <v>4013</v>
      </c>
      <c r="E852" s="50" t="s">
        <v>1339</v>
      </c>
    </row>
    <row r="853" spans="1:5" ht="13.2">
      <c r="A853" s="61">
        <v>1667</v>
      </c>
      <c r="B853" s="50" t="s">
        <v>2162</v>
      </c>
      <c r="C853" s="50" t="s">
        <v>1246</v>
      </c>
      <c r="D853" s="33" t="s">
        <v>3381</v>
      </c>
      <c r="E853" s="50" t="s">
        <v>451</v>
      </c>
    </row>
    <row r="854" spans="1:5" ht="13.2">
      <c r="A854" s="61">
        <v>1669</v>
      </c>
      <c r="B854" s="50" t="s">
        <v>1110</v>
      </c>
      <c r="C854" s="50" t="s">
        <v>989</v>
      </c>
      <c r="D854" s="33" t="s">
        <v>4014</v>
      </c>
      <c r="E854" s="50" t="s">
        <v>451</v>
      </c>
    </row>
    <row r="855" spans="1:5" ht="13.2">
      <c r="A855" s="61">
        <v>1670</v>
      </c>
      <c r="B855" s="50" t="s">
        <v>990</v>
      </c>
      <c r="C855" s="50" t="s">
        <v>1175</v>
      </c>
      <c r="D855" s="33" t="s">
        <v>3130</v>
      </c>
      <c r="E855" s="50" t="s">
        <v>1339</v>
      </c>
    </row>
    <row r="856" spans="1:5" ht="13.2">
      <c r="A856" s="61">
        <v>1671</v>
      </c>
      <c r="B856" s="50" t="s">
        <v>1248</v>
      </c>
      <c r="C856" s="50" t="s">
        <v>3302</v>
      </c>
      <c r="D856" s="33" t="s">
        <v>4015</v>
      </c>
      <c r="E856" s="50" t="s">
        <v>451</v>
      </c>
    </row>
    <row r="857" spans="1:5" ht="13.2">
      <c r="A857" s="61">
        <v>1673</v>
      </c>
      <c r="B857" s="50" t="s">
        <v>991</v>
      </c>
      <c r="C857" s="50" t="s">
        <v>263</v>
      </c>
      <c r="D857" s="33" t="s">
        <v>4016</v>
      </c>
      <c r="E857" s="50" t="s">
        <v>1225</v>
      </c>
    </row>
    <row r="858" spans="1:5" ht="13.2">
      <c r="A858" s="61">
        <v>1675</v>
      </c>
      <c r="B858" s="50" t="s">
        <v>992</v>
      </c>
      <c r="C858" s="50" t="s">
        <v>866</v>
      </c>
      <c r="D858" s="33" t="s">
        <v>4017</v>
      </c>
      <c r="E858" s="50" t="s">
        <v>223</v>
      </c>
    </row>
    <row r="859" spans="1:5" ht="13.2">
      <c r="A859" s="61">
        <v>1677</v>
      </c>
      <c r="B859" s="50" t="s">
        <v>993</v>
      </c>
      <c r="C859" s="50" t="s">
        <v>263</v>
      </c>
      <c r="D859" s="33" t="s">
        <v>3131</v>
      </c>
      <c r="E859" s="50" t="s">
        <v>1339</v>
      </c>
    </row>
    <row r="860" spans="1:5" ht="13.2">
      <c r="A860" s="61">
        <v>1684</v>
      </c>
      <c r="B860" s="50" t="s">
        <v>2039</v>
      </c>
      <c r="C860" s="50" t="s">
        <v>553</v>
      </c>
      <c r="D860" s="33" t="s">
        <v>2096</v>
      </c>
      <c r="E860" s="50" t="s">
        <v>223</v>
      </c>
    </row>
    <row r="861" spans="1:5" ht="13.2">
      <c r="A861" s="61">
        <v>1685</v>
      </c>
      <c r="B861" s="50" t="s">
        <v>1156</v>
      </c>
      <c r="C861" s="50" t="s">
        <v>994</v>
      </c>
      <c r="D861" s="33" t="s">
        <v>2612</v>
      </c>
      <c r="E861" s="50" t="s">
        <v>223</v>
      </c>
    </row>
    <row r="862" spans="1:5" ht="13.2">
      <c r="A862" s="61">
        <v>1686</v>
      </c>
      <c r="B862" s="50" t="s">
        <v>995</v>
      </c>
      <c r="C862" s="50" t="s">
        <v>1240</v>
      </c>
      <c r="D862" s="33" t="s">
        <v>4018</v>
      </c>
      <c r="E862" s="50" t="s">
        <v>223</v>
      </c>
    </row>
    <row r="863" spans="1:5" ht="13.2">
      <c r="A863" s="61">
        <v>1688</v>
      </c>
      <c r="B863" s="50" t="s">
        <v>996</v>
      </c>
      <c r="C863" s="50" t="s">
        <v>446</v>
      </c>
      <c r="D863" s="33" t="s">
        <v>4019</v>
      </c>
      <c r="E863" s="50" t="s">
        <v>2037</v>
      </c>
    </row>
    <row r="864" spans="1:5" ht="13.2">
      <c r="A864" s="61">
        <v>1689</v>
      </c>
      <c r="B864" s="50" t="s">
        <v>997</v>
      </c>
      <c r="C864" s="50" t="s">
        <v>263</v>
      </c>
      <c r="D864" s="33" t="s">
        <v>4020</v>
      </c>
      <c r="E864" s="50" t="s">
        <v>223</v>
      </c>
    </row>
    <row r="865" spans="1:5" ht="13.2">
      <c r="A865" s="61">
        <v>1690</v>
      </c>
      <c r="B865" s="50" t="s">
        <v>998</v>
      </c>
      <c r="C865" s="50" t="s">
        <v>336</v>
      </c>
      <c r="D865" s="33" t="s">
        <v>4021</v>
      </c>
      <c r="E865" s="50" t="s">
        <v>223</v>
      </c>
    </row>
    <row r="866" spans="1:5" ht="13.2">
      <c r="A866" s="61">
        <v>1693</v>
      </c>
      <c r="B866" s="50" t="s">
        <v>399</v>
      </c>
      <c r="C866" s="50" t="s">
        <v>525</v>
      </c>
      <c r="D866" s="33" t="s">
        <v>2281</v>
      </c>
      <c r="E866" s="50" t="s">
        <v>223</v>
      </c>
    </row>
    <row r="867" spans="1:5" ht="13.2">
      <c r="A867" s="61">
        <v>1695</v>
      </c>
      <c r="B867" s="50" t="s">
        <v>400</v>
      </c>
      <c r="C867" s="50" t="s">
        <v>964</v>
      </c>
      <c r="D867" s="33" t="s">
        <v>4022</v>
      </c>
      <c r="E867" s="50" t="s">
        <v>390</v>
      </c>
    </row>
    <row r="868" spans="1:5" ht="13.2">
      <c r="A868" s="61">
        <v>1703</v>
      </c>
      <c r="B868" s="50" t="s">
        <v>401</v>
      </c>
      <c r="C868" s="50" t="s">
        <v>402</v>
      </c>
      <c r="D868" s="33" t="s">
        <v>1566</v>
      </c>
      <c r="E868" s="50" t="s">
        <v>451</v>
      </c>
    </row>
    <row r="869" spans="1:5" ht="13.2">
      <c r="A869" s="61">
        <v>1704</v>
      </c>
      <c r="B869" s="50" t="s">
        <v>403</v>
      </c>
      <c r="C869" s="50" t="s">
        <v>1246</v>
      </c>
      <c r="D869" s="33" t="s">
        <v>4023</v>
      </c>
      <c r="E869" s="50" t="s">
        <v>223</v>
      </c>
    </row>
    <row r="870" spans="1:5" ht="13.2">
      <c r="A870" s="61">
        <v>1707</v>
      </c>
      <c r="B870" s="50" t="s">
        <v>1516</v>
      </c>
      <c r="C870" s="50" t="s">
        <v>640</v>
      </c>
      <c r="D870" s="33" t="s">
        <v>3850</v>
      </c>
      <c r="E870" s="50" t="s">
        <v>1225</v>
      </c>
    </row>
    <row r="871" spans="1:5" ht="13.2">
      <c r="A871" s="61">
        <v>1712</v>
      </c>
      <c r="B871" s="50" t="s">
        <v>987</v>
      </c>
      <c r="C871" s="50" t="s">
        <v>1197</v>
      </c>
      <c r="D871" s="33" t="s">
        <v>4024</v>
      </c>
      <c r="E871" s="50" t="s">
        <v>223</v>
      </c>
    </row>
    <row r="872" spans="1:5" ht="13.2">
      <c r="A872" s="61">
        <v>1713</v>
      </c>
      <c r="B872" s="50" t="s">
        <v>478</v>
      </c>
      <c r="C872" s="50" t="s">
        <v>446</v>
      </c>
      <c r="D872" s="33" t="s">
        <v>4025</v>
      </c>
      <c r="E872" s="50" t="s">
        <v>1225</v>
      </c>
    </row>
    <row r="873" spans="1:5" ht="13.2">
      <c r="A873" s="61">
        <v>1715</v>
      </c>
      <c r="B873" s="50" t="s">
        <v>1025</v>
      </c>
      <c r="C873" s="50" t="s">
        <v>782</v>
      </c>
      <c r="D873" s="33" t="s">
        <v>4026</v>
      </c>
      <c r="E873" s="50" t="s">
        <v>223</v>
      </c>
    </row>
    <row r="874" spans="1:5" ht="13.2">
      <c r="A874" s="61">
        <v>1716</v>
      </c>
      <c r="B874" s="50" t="s">
        <v>405</v>
      </c>
      <c r="C874" s="50" t="s">
        <v>336</v>
      </c>
      <c r="D874" s="33" t="s">
        <v>2189</v>
      </c>
      <c r="E874" s="50" t="s">
        <v>1224</v>
      </c>
    </row>
    <row r="875" spans="1:5" ht="13.2">
      <c r="A875" s="61">
        <v>1718</v>
      </c>
      <c r="B875" s="50" t="s">
        <v>406</v>
      </c>
      <c r="C875" s="50" t="s">
        <v>800</v>
      </c>
      <c r="D875" s="33" t="s">
        <v>4027</v>
      </c>
      <c r="E875" s="50" t="s">
        <v>451</v>
      </c>
    </row>
    <row r="876" spans="1:5" ht="13.2">
      <c r="A876" s="61">
        <v>1720</v>
      </c>
      <c r="B876" s="50" t="s">
        <v>407</v>
      </c>
      <c r="C876" s="50" t="s">
        <v>261</v>
      </c>
      <c r="D876" s="33" t="s">
        <v>4028</v>
      </c>
      <c r="E876" s="50" t="s">
        <v>1225</v>
      </c>
    </row>
    <row r="877" spans="1:5" ht="13.2">
      <c r="A877" s="61">
        <v>1727</v>
      </c>
      <c r="B877" s="50" t="s">
        <v>408</v>
      </c>
      <c r="C877" s="50" t="s">
        <v>336</v>
      </c>
      <c r="D877" s="33" t="s">
        <v>4029</v>
      </c>
      <c r="E877" s="50" t="s">
        <v>223</v>
      </c>
    </row>
    <row r="878" spans="1:5" ht="13.2">
      <c r="A878" s="61">
        <v>1728</v>
      </c>
      <c r="B878" s="50" t="s">
        <v>3303</v>
      </c>
      <c r="C878" s="50" t="s">
        <v>1246</v>
      </c>
      <c r="D878" s="33" t="s">
        <v>4030</v>
      </c>
      <c r="E878" s="50" t="s">
        <v>451</v>
      </c>
    </row>
    <row r="879" spans="1:5" ht="13.2">
      <c r="A879" s="61">
        <v>1729</v>
      </c>
      <c r="B879" s="50" t="s">
        <v>409</v>
      </c>
      <c r="C879" s="50" t="s">
        <v>1527</v>
      </c>
      <c r="D879" s="33" t="s">
        <v>3365</v>
      </c>
      <c r="E879" s="50" t="s">
        <v>223</v>
      </c>
    </row>
    <row r="880" spans="1:5" ht="13.2">
      <c r="A880" s="61">
        <v>1736</v>
      </c>
      <c r="B880" s="50" t="s">
        <v>410</v>
      </c>
      <c r="C880" s="50" t="s">
        <v>1197</v>
      </c>
      <c r="D880" s="33" t="s">
        <v>4031</v>
      </c>
      <c r="E880" s="50" t="s">
        <v>223</v>
      </c>
    </row>
    <row r="881" spans="1:5" ht="13.2">
      <c r="A881" s="61">
        <v>1737</v>
      </c>
      <c r="B881" s="50" t="s">
        <v>376</v>
      </c>
      <c r="C881" s="50" t="s">
        <v>425</v>
      </c>
      <c r="D881" s="33" t="s">
        <v>4032</v>
      </c>
      <c r="E881" s="50" t="s">
        <v>223</v>
      </c>
    </row>
    <row r="882" spans="1:5" ht="13.2">
      <c r="A882" s="61">
        <v>1741</v>
      </c>
      <c r="B882" s="50" t="s">
        <v>411</v>
      </c>
      <c r="C882" s="50" t="s">
        <v>1197</v>
      </c>
      <c r="D882" s="33" t="s">
        <v>4033</v>
      </c>
      <c r="E882" s="50" t="s">
        <v>451</v>
      </c>
    </row>
    <row r="883" spans="1:5" ht="13.2">
      <c r="A883" s="61">
        <v>1743</v>
      </c>
      <c r="B883" s="50" t="s">
        <v>783</v>
      </c>
      <c r="C883" s="50" t="s">
        <v>1311</v>
      </c>
      <c r="D883" s="33" t="s">
        <v>4034</v>
      </c>
      <c r="E883" s="50" t="s">
        <v>223</v>
      </c>
    </row>
    <row r="884" spans="1:5" ht="13.2">
      <c r="A884" s="61">
        <v>1748</v>
      </c>
      <c r="B884" s="50" t="s">
        <v>784</v>
      </c>
      <c r="C884" s="50" t="s">
        <v>638</v>
      </c>
      <c r="D884" s="33" t="s">
        <v>2095</v>
      </c>
      <c r="E884" s="50" t="s">
        <v>1322</v>
      </c>
    </row>
    <row r="885" spans="1:5" ht="13.2">
      <c r="A885" s="61">
        <v>1751</v>
      </c>
      <c r="B885" s="50" t="s">
        <v>785</v>
      </c>
      <c r="C885" s="50" t="s">
        <v>188</v>
      </c>
      <c r="D885" s="33" t="s">
        <v>1936</v>
      </c>
      <c r="E885" s="50" t="s">
        <v>1322</v>
      </c>
    </row>
    <row r="886" spans="1:5" ht="13.2">
      <c r="A886" s="61">
        <v>1752</v>
      </c>
      <c r="B886" s="50" t="s">
        <v>786</v>
      </c>
      <c r="C886" s="50" t="s">
        <v>1246</v>
      </c>
      <c r="D886" s="33" t="s">
        <v>4035</v>
      </c>
      <c r="E886" s="50" t="s">
        <v>223</v>
      </c>
    </row>
    <row r="887" spans="1:5" ht="13.2">
      <c r="A887" s="61">
        <v>1753</v>
      </c>
      <c r="B887" s="50" t="s">
        <v>787</v>
      </c>
      <c r="C887" s="50" t="s">
        <v>1534</v>
      </c>
      <c r="D887" s="33" t="s">
        <v>4036</v>
      </c>
      <c r="E887" s="50" t="s">
        <v>223</v>
      </c>
    </row>
    <row r="888" spans="1:5" ht="13.2">
      <c r="A888" s="61">
        <v>1758</v>
      </c>
      <c r="B888" s="50" t="s">
        <v>789</v>
      </c>
      <c r="C888" s="50" t="s">
        <v>777</v>
      </c>
      <c r="D888" s="33" t="s">
        <v>4037</v>
      </c>
      <c r="E888" s="50" t="s">
        <v>223</v>
      </c>
    </row>
    <row r="889" spans="1:5" ht="13.2">
      <c r="A889" s="61">
        <v>1761</v>
      </c>
      <c r="B889" s="50" t="s">
        <v>790</v>
      </c>
      <c r="C889" s="50" t="s">
        <v>1116</v>
      </c>
      <c r="D889" s="33" t="s">
        <v>4038</v>
      </c>
      <c r="E889" s="50" t="s">
        <v>1225</v>
      </c>
    </row>
    <row r="890" spans="1:5" ht="13.2">
      <c r="A890" s="61">
        <v>1763</v>
      </c>
      <c r="B890" s="50" t="s">
        <v>791</v>
      </c>
      <c r="C890" s="50" t="s">
        <v>964</v>
      </c>
      <c r="D890" s="33" t="s">
        <v>4039</v>
      </c>
      <c r="E890" s="50" t="s">
        <v>1339</v>
      </c>
    </row>
    <row r="891" spans="1:5" ht="13.2">
      <c r="A891" s="61">
        <v>1767</v>
      </c>
      <c r="B891" s="50" t="s">
        <v>1255</v>
      </c>
      <c r="C891" s="50" t="s">
        <v>1177</v>
      </c>
      <c r="D891" s="33" t="s">
        <v>4040</v>
      </c>
      <c r="E891" s="50" t="s">
        <v>223</v>
      </c>
    </row>
    <row r="892" spans="1:5" ht="13.2">
      <c r="A892" s="61">
        <v>1770</v>
      </c>
      <c r="B892" s="50" t="s">
        <v>2113</v>
      </c>
      <c r="C892" s="50" t="s">
        <v>286</v>
      </c>
      <c r="D892" s="33" t="s">
        <v>3092</v>
      </c>
      <c r="E892" s="50" t="s">
        <v>223</v>
      </c>
    </row>
    <row r="893" spans="1:5" ht="13.2">
      <c r="A893" s="61">
        <v>1771</v>
      </c>
      <c r="B893" s="50" t="s">
        <v>792</v>
      </c>
      <c r="C893" s="50" t="s">
        <v>793</v>
      </c>
      <c r="D893" s="33" t="s">
        <v>3400</v>
      </c>
      <c r="E893" s="50" t="s">
        <v>223</v>
      </c>
    </row>
    <row r="894" spans="1:5" ht="13.2">
      <c r="A894" s="61">
        <v>1772</v>
      </c>
      <c r="B894" s="50" t="s">
        <v>1154</v>
      </c>
      <c r="C894" s="50" t="s">
        <v>1240</v>
      </c>
      <c r="D894" s="33" t="s">
        <v>4041</v>
      </c>
      <c r="E894" s="50" t="s">
        <v>223</v>
      </c>
    </row>
    <row r="895" spans="1:5" ht="13.2">
      <c r="A895" s="61">
        <v>1773</v>
      </c>
      <c r="B895" s="50" t="s">
        <v>794</v>
      </c>
      <c r="C895" s="50" t="s">
        <v>1099</v>
      </c>
      <c r="D895" s="33" t="s">
        <v>4042</v>
      </c>
      <c r="E895" s="50" t="s">
        <v>223</v>
      </c>
    </row>
    <row r="896" spans="1:5" ht="13.2">
      <c r="A896" s="61">
        <v>1775</v>
      </c>
      <c r="B896" s="50" t="s">
        <v>1356</v>
      </c>
      <c r="C896" s="50" t="s">
        <v>864</v>
      </c>
      <c r="D896" s="33" t="s">
        <v>4043</v>
      </c>
      <c r="E896" s="50" t="s">
        <v>223</v>
      </c>
    </row>
    <row r="897" spans="1:5" ht="13.2">
      <c r="A897" s="61">
        <v>1776</v>
      </c>
      <c r="B897" s="50" t="s">
        <v>795</v>
      </c>
      <c r="C897" s="50" t="s">
        <v>75</v>
      </c>
      <c r="D897" s="33" t="s">
        <v>3003</v>
      </c>
      <c r="E897" s="50" t="s">
        <v>2610</v>
      </c>
    </row>
    <row r="898" spans="1:5" ht="13.2">
      <c r="A898" s="61">
        <v>1777</v>
      </c>
      <c r="B898" s="50" t="s">
        <v>796</v>
      </c>
      <c r="C898" s="50" t="s">
        <v>866</v>
      </c>
      <c r="D898" s="33" t="s">
        <v>4044</v>
      </c>
      <c r="E898" s="50" t="s">
        <v>223</v>
      </c>
    </row>
    <row r="899" spans="1:5" ht="13.2">
      <c r="A899" s="61">
        <v>1778</v>
      </c>
      <c r="B899" s="50" t="s">
        <v>1086</v>
      </c>
      <c r="C899" s="50" t="s">
        <v>75</v>
      </c>
      <c r="D899" s="33" t="s">
        <v>4045</v>
      </c>
      <c r="E899" s="50" t="s">
        <v>223</v>
      </c>
    </row>
    <row r="900" spans="1:5" ht="13.2">
      <c r="A900" s="61">
        <v>1779</v>
      </c>
      <c r="B900" s="50" t="s">
        <v>145</v>
      </c>
      <c r="C900" s="50" t="s">
        <v>242</v>
      </c>
      <c r="D900" s="33" t="s">
        <v>4046</v>
      </c>
      <c r="E900" s="50" t="s">
        <v>223</v>
      </c>
    </row>
    <row r="901" spans="1:5" ht="13.2">
      <c r="A901" s="61">
        <v>1780</v>
      </c>
      <c r="B901" s="50" t="s">
        <v>412</v>
      </c>
      <c r="C901" s="50" t="s">
        <v>188</v>
      </c>
      <c r="D901" s="33" t="s">
        <v>4047</v>
      </c>
      <c r="E901" s="50" t="s">
        <v>2036</v>
      </c>
    </row>
    <row r="902" spans="1:5" ht="13.2">
      <c r="A902" s="61">
        <v>1783</v>
      </c>
      <c r="B902" s="50" t="s">
        <v>308</v>
      </c>
      <c r="C902" s="50" t="s">
        <v>635</v>
      </c>
      <c r="D902" s="33" t="s">
        <v>4048</v>
      </c>
      <c r="E902" s="50" t="s">
        <v>686</v>
      </c>
    </row>
    <row r="903" spans="1:5" ht="13.2">
      <c r="A903" s="61">
        <v>1786</v>
      </c>
      <c r="B903" s="50" t="s">
        <v>1587</v>
      </c>
      <c r="C903" s="50" t="s">
        <v>1527</v>
      </c>
      <c r="D903" s="33" t="s">
        <v>4049</v>
      </c>
      <c r="E903" s="50" t="s">
        <v>392</v>
      </c>
    </row>
    <row r="904" spans="1:5" ht="13.2">
      <c r="A904" s="61">
        <v>1787</v>
      </c>
      <c r="B904" s="50" t="s">
        <v>309</v>
      </c>
      <c r="C904" s="50" t="s">
        <v>1490</v>
      </c>
      <c r="D904" s="33" t="s">
        <v>1937</v>
      </c>
      <c r="E904" s="50" t="s">
        <v>1322</v>
      </c>
    </row>
    <row r="905" spans="1:5" ht="13.2">
      <c r="A905" s="61">
        <v>1788</v>
      </c>
      <c r="B905" s="50" t="s">
        <v>310</v>
      </c>
      <c r="C905" s="50" t="s">
        <v>72</v>
      </c>
      <c r="D905" s="33" t="s">
        <v>4050</v>
      </c>
      <c r="E905" s="50" t="s">
        <v>1225</v>
      </c>
    </row>
    <row r="906" spans="1:5" ht="13.2">
      <c r="A906" s="61">
        <v>1789</v>
      </c>
      <c r="B906" s="50" t="s">
        <v>311</v>
      </c>
      <c r="C906" s="50" t="s">
        <v>242</v>
      </c>
      <c r="D906" s="33" t="s">
        <v>2141</v>
      </c>
      <c r="E906" s="50" t="s">
        <v>1322</v>
      </c>
    </row>
    <row r="907" spans="1:5" ht="13.2">
      <c r="A907" s="61">
        <v>1790</v>
      </c>
      <c r="B907" s="50" t="s">
        <v>851</v>
      </c>
      <c r="C907" s="50" t="s">
        <v>188</v>
      </c>
      <c r="D907" s="33" t="s">
        <v>4051</v>
      </c>
      <c r="E907" s="50" t="s">
        <v>392</v>
      </c>
    </row>
    <row r="908" spans="1:5" ht="13.2">
      <c r="A908" s="61">
        <v>1791</v>
      </c>
      <c r="B908" s="50" t="s">
        <v>367</v>
      </c>
      <c r="C908" s="50" t="s">
        <v>1311</v>
      </c>
      <c r="D908" s="33" t="s">
        <v>3070</v>
      </c>
      <c r="E908" s="50" t="s">
        <v>1225</v>
      </c>
    </row>
    <row r="909" spans="1:5" ht="13.2">
      <c r="A909" s="61">
        <v>1792</v>
      </c>
      <c r="B909" s="50" t="s">
        <v>1521</v>
      </c>
      <c r="C909" s="50" t="s">
        <v>477</v>
      </c>
      <c r="D909" s="33" t="s">
        <v>4052</v>
      </c>
      <c r="E909" s="50" t="s">
        <v>390</v>
      </c>
    </row>
    <row r="910" spans="1:5" ht="13.2">
      <c r="A910" s="61">
        <v>1794</v>
      </c>
      <c r="B910" s="50" t="s">
        <v>852</v>
      </c>
      <c r="C910" s="50" t="s">
        <v>477</v>
      </c>
      <c r="D910" s="33" t="s">
        <v>4053</v>
      </c>
      <c r="E910" s="50" t="s">
        <v>1366</v>
      </c>
    </row>
    <row r="911" spans="1:5" ht="13.2">
      <c r="A911" s="61">
        <v>1800</v>
      </c>
      <c r="B911" s="50" t="s">
        <v>853</v>
      </c>
      <c r="C911" s="50" t="s">
        <v>263</v>
      </c>
      <c r="D911" s="33" t="s">
        <v>4054</v>
      </c>
      <c r="E911" s="50" t="s">
        <v>1225</v>
      </c>
    </row>
    <row r="912" spans="1:5" ht="13.2">
      <c r="A912" s="61">
        <v>1802</v>
      </c>
      <c r="B912" s="50" t="s">
        <v>854</v>
      </c>
      <c r="C912" s="50" t="s">
        <v>336</v>
      </c>
      <c r="D912" s="33" t="s">
        <v>4055</v>
      </c>
      <c r="E912" s="50" t="s">
        <v>1225</v>
      </c>
    </row>
    <row r="913" spans="1:5" ht="13.2">
      <c r="A913" s="61">
        <v>1807</v>
      </c>
      <c r="B913" s="50" t="s">
        <v>855</v>
      </c>
      <c r="C913" s="50" t="s">
        <v>778</v>
      </c>
      <c r="D913" s="33" t="s">
        <v>1547</v>
      </c>
      <c r="E913" s="50" t="s">
        <v>731</v>
      </c>
    </row>
    <row r="914" spans="1:5" ht="13.2">
      <c r="A914" s="61">
        <v>1809</v>
      </c>
      <c r="B914" s="50" t="s">
        <v>856</v>
      </c>
      <c r="C914" s="50" t="s">
        <v>857</v>
      </c>
      <c r="D914" s="33" t="s">
        <v>4056</v>
      </c>
      <c r="E914" s="50" t="s">
        <v>1225</v>
      </c>
    </row>
    <row r="915" spans="1:5" ht="13.2">
      <c r="A915" s="61">
        <v>1811</v>
      </c>
      <c r="B915" s="50" t="s">
        <v>858</v>
      </c>
      <c r="C915" s="50" t="s">
        <v>718</v>
      </c>
      <c r="D915" s="33" t="s">
        <v>2924</v>
      </c>
      <c r="E915" s="50" t="s">
        <v>1225</v>
      </c>
    </row>
    <row r="916" spans="1:5" ht="13.2">
      <c r="A916" s="61">
        <v>1812</v>
      </c>
      <c r="B916" s="50" t="s">
        <v>859</v>
      </c>
      <c r="C916" s="50" t="s">
        <v>263</v>
      </c>
      <c r="D916" s="33" t="s">
        <v>4057</v>
      </c>
      <c r="E916" s="50" t="s">
        <v>223</v>
      </c>
    </row>
    <row r="917" spans="1:5" ht="13.2">
      <c r="A917" s="61">
        <v>1816</v>
      </c>
      <c r="B917" s="50" t="s">
        <v>122</v>
      </c>
      <c r="C917" s="50" t="s">
        <v>964</v>
      </c>
      <c r="D917" s="33" t="s">
        <v>2956</v>
      </c>
      <c r="E917" s="50" t="s">
        <v>1224</v>
      </c>
    </row>
    <row r="918" spans="1:5" ht="13.2">
      <c r="A918" s="61">
        <v>1817</v>
      </c>
      <c r="B918" s="50" t="s">
        <v>2040</v>
      </c>
      <c r="C918" s="50" t="s">
        <v>263</v>
      </c>
      <c r="D918" s="33" t="s">
        <v>4058</v>
      </c>
      <c r="E918" s="50" t="s">
        <v>392</v>
      </c>
    </row>
    <row r="919" spans="1:5" ht="13.2">
      <c r="A919" s="61">
        <v>1818</v>
      </c>
      <c r="B919" s="50" t="s">
        <v>123</v>
      </c>
      <c r="C919" s="50" t="s">
        <v>1197</v>
      </c>
      <c r="D919" s="33" t="s">
        <v>4059</v>
      </c>
      <c r="E919" s="50" t="s">
        <v>390</v>
      </c>
    </row>
    <row r="920" spans="1:5" ht="13.2">
      <c r="A920" s="61">
        <v>1822</v>
      </c>
      <c r="B920" s="50" t="s">
        <v>124</v>
      </c>
      <c r="C920" s="50" t="s">
        <v>188</v>
      </c>
      <c r="D920" s="33" t="s">
        <v>2135</v>
      </c>
      <c r="E920" s="50" t="s">
        <v>1322</v>
      </c>
    </row>
    <row r="921" spans="1:5" ht="13.2">
      <c r="A921" s="61">
        <v>1824</v>
      </c>
      <c r="B921" s="50" t="s">
        <v>611</v>
      </c>
      <c r="C921" s="50" t="s">
        <v>778</v>
      </c>
      <c r="D921" s="33" t="s">
        <v>4060</v>
      </c>
      <c r="E921" s="50" t="s">
        <v>731</v>
      </c>
    </row>
    <row r="922" spans="1:5" ht="13.2">
      <c r="A922" s="61">
        <v>1825</v>
      </c>
      <c r="B922" s="50" t="s">
        <v>865</v>
      </c>
      <c r="C922" s="50" t="s">
        <v>612</v>
      </c>
      <c r="D922" s="33" t="s">
        <v>4061</v>
      </c>
      <c r="E922" s="50" t="s">
        <v>1225</v>
      </c>
    </row>
    <row r="923" spans="1:5" ht="13.2">
      <c r="A923" s="61">
        <v>1832</v>
      </c>
      <c r="B923" s="50" t="s">
        <v>613</v>
      </c>
      <c r="C923" s="50" t="s">
        <v>640</v>
      </c>
      <c r="D923" s="33" t="s">
        <v>4062</v>
      </c>
      <c r="E923" s="50" t="s">
        <v>1225</v>
      </c>
    </row>
    <row r="924" spans="1:5" ht="13.2">
      <c r="A924" s="61">
        <v>1835</v>
      </c>
      <c r="B924" s="50" t="s">
        <v>614</v>
      </c>
      <c r="C924" s="50" t="s">
        <v>261</v>
      </c>
      <c r="D924" s="33" t="s">
        <v>1938</v>
      </c>
      <c r="E924" s="50" t="s">
        <v>1322</v>
      </c>
    </row>
    <row r="925" spans="1:5" ht="13.2">
      <c r="A925" s="61">
        <v>1836</v>
      </c>
      <c r="B925" s="50" t="s">
        <v>491</v>
      </c>
      <c r="C925" s="50" t="s">
        <v>1197</v>
      </c>
      <c r="D925" s="33" t="s">
        <v>4063</v>
      </c>
      <c r="E925" s="50" t="s">
        <v>1225</v>
      </c>
    </row>
    <row r="926" spans="1:5" ht="13.2">
      <c r="A926" s="61">
        <v>1838</v>
      </c>
      <c r="B926" s="50" t="s">
        <v>2041</v>
      </c>
      <c r="C926" s="50" t="s">
        <v>242</v>
      </c>
      <c r="D926" s="33" t="s">
        <v>2053</v>
      </c>
      <c r="E926" s="50" t="s">
        <v>1322</v>
      </c>
    </row>
    <row r="927" spans="1:5" ht="13.2">
      <c r="A927" s="61">
        <v>1840</v>
      </c>
      <c r="B927" s="50" t="s">
        <v>241</v>
      </c>
      <c r="C927" s="50" t="s">
        <v>638</v>
      </c>
      <c r="D927" s="33" t="s">
        <v>4064</v>
      </c>
      <c r="E927" s="50" t="s">
        <v>223</v>
      </c>
    </row>
    <row r="928" spans="1:5" ht="13.2">
      <c r="A928" s="61">
        <v>1841</v>
      </c>
      <c r="B928" s="50" t="s">
        <v>628</v>
      </c>
      <c r="C928" s="50" t="s">
        <v>263</v>
      </c>
      <c r="D928" s="33" t="s">
        <v>3494</v>
      </c>
      <c r="E928" s="50" t="s">
        <v>223</v>
      </c>
    </row>
    <row r="929" spans="1:5" ht="13.2">
      <c r="A929" s="61">
        <v>1842</v>
      </c>
      <c r="B929" s="50" t="s">
        <v>38</v>
      </c>
      <c r="C929" s="50" t="s">
        <v>79</v>
      </c>
      <c r="D929" s="33" t="s">
        <v>4065</v>
      </c>
      <c r="E929" s="50" t="s">
        <v>686</v>
      </c>
    </row>
    <row r="930" spans="1:5" ht="13.2">
      <c r="A930" s="61">
        <v>1844</v>
      </c>
      <c r="B930" s="50" t="s">
        <v>39</v>
      </c>
      <c r="C930" s="50" t="s">
        <v>777</v>
      </c>
      <c r="D930" s="33" t="s">
        <v>4066</v>
      </c>
      <c r="E930" s="50" t="s">
        <v>223</v>
      </c>
    </row>
    <row r="931" spans="1:5" ht="13.2">
      <c r="A931" s="61">
        <v>1845</v>
      </c>
      <c r="B931" s="50" t="s">
        <v>40</v>
      </c>
      <c r="C931" s="50" t="s">
        <v>336</v>
      </c>
      <c r="D931" s="33" t="s">
        <v>4067</v>
      </c>
      <c r="E931" s="50" t="s">
        <v>223</v>
      </c>
    </row>
    <row r="932" spans="1:5" ht="13.2">
      <c r="A932" s="61">
        <v>1847</v>
      </c>
      <c r="B932" s="50" t="s">
        <v>41</v>
      </c>
      <c r="C932" s="50" t="s">
        <v>640</v>
      </c>
      <c r="D932" s="33" t="s">
        <v>4068</v>
      </c>
      <c r="E932" s="50" t="s">
        <v>1225</v>
      </c>
    </row>
    <row r="933" spans="1:5" ht="13.2">
      <c r="A933" s="61">
        <v>1848</v>
      </c>
      <c r="B933" s="50" t="s">
        <v>42</v>
      </c>
      <c r="C933" s="50" t="s">
        <v>1414</v>
      </c>
      <c r="D933" s="33" t="s">
        <v>1571</v>
      </c>
      <c r="E933" s="50" t="s">
        <v>1322</v>
      </c>
    </row>
    <row r="934" spans="1:5" ht="13.2">
      <c r="A934" s="61">
        <v>1850</v>
      </c>
      <c r="B934" s="50" t="s">
        <v>43</v>
      </c>
      <c r="C934" s="50" t="s">
        <v>1172</v>
      </c>
      <c r="D934" s="33" t="s">
        <v>4069</v>
      </c>
      <c r="E934" s="50" t="s">
        <v>223</v>
      </c>
    </row>
    <row r="935" spans="1:5" ht="13.2">
      <c r="A935" s="61">
        <v>1852</v>
      </c>
      <c r="B935" s="50" t="s">
        <v>414</v>
      </c>
      <c r="C935" s="50" t="s">
        <v>246</v>
      </c>
      <c r="D935" s="33" t="s">
        <v>4070</v>
      </c>
      <c r="E935" s="50" t="s">
        <v>451</v>
      </c>
    </row>
    <row r="936" spans="1:5" ht="13.2">
      <c r="A936" s="61">
        <v>1853</v>
      </c>
      <c r="B936" s="50" t="s">
        <v>44</v>
      </c>
      <c r="C936" s="50" t="s">
        <v>263</v>
      </c>
      <c r="D936" s="33" t="s">
        <v>4071</v>
      </c>
      <c r="E936" s="50" t="s">
        <v>223</v>
      </c>
    </row>
    <row r="937" spans="1:5" ht="13.2">
      <c r="A937" s="61">
        <v>1855</v>
      </c>
      <c r="B937" s="50" t="s">
        <v>45</v>
      </c>
      <c r="C937" s="50" t="s">
        <v>638</v>
      </c>
      <c r="D937" s="33" t="s">
        <v>2912</v>
      </c>
      <c r="E937" s="50" t="s">
        <v>1225</v>
      </c>
    </row>
    <row r="938" spans="1:5" ht="13.2">
      <c r="A938" s="61">
        <v>1856</v>
      </c>
      <c r="B938" s="50" t="s">
        <v>46</v>
      </c>
      <c r="C938" s="50" t="s">
        <v>638</v>
      </c>
      <c r="D938" s="33" t="s">
        <v>4072</v>
      </c>
      <c r="E938" s="50" t="s">
        <v>451</v>
      </c>
    </row>
    <row r="939" spans="1:5" ht="13.2">
      <c r="A939" s="61">
        <v>1857</v>
      </c>
      <c r="B939" s="50" t="s">
        <v>47</v>
      </c>
      <c r="C939" s="50" t="s">
        <v>65</v>
      </c>
      <c r="D939" s="33" t="s">
        <v>2873</v>
      </c>
      <c r="E939" s="50" t="s">
        <v>451</v>
      </c>
    </row>
    <row r="940" spans="1:5" ht="13.2">
      <c r="A940" s="61">
        <v>1858</v>
      </c>
      <c r="B940" s="50" t="s">
        <v>48</v>
      </c>
      <c r="C940" s="50" t="s">
        <v>79</v>
      </c>
      <c r="D940" s="33" t="s">
        <v>2863</v>
      </c>
      <c r="E940" s="50" t="s">
        <v>223</v>
      </c>
    </row>
    <row r="941" spans="1:5" ht="13.2">
      <c r="A941" s="61">
        <v>1862</v>
      </c>
      <c r="B941" s="50" t="s">
        <v>49</v>
      </c>
      <c r="C941" s="50" t="s">
        <v>964</v>
      </c>
      <c r="D941" s="33" t="s">
        <v>4073</v>
      </c>
      <c r="E941" s="50" t="s">
        <v>223</v>
      </c>
    </row>
    <row r="942" spans="1:5" ht="13.2">
      <c r="A942" s="61">
        <v>1863</v>
      </c>
      <c r="B942" s="50" t="s">
        <v>50</v>
      </c>
      <c r="C942" s="50" t="s">
        <v>778</v>
      </c>
      <c r="D942" s="33" t="s">
        <v>4074</v>
      </c>
      <c r="E942" s="50" t="s">
        <v>223</v>
      </c>
    </row>
    <row r="943" spans="1:5" ht="13.2">
      <c r="A943" s="61">
        <v>1866</v>
      </c>
      <c r="B943" s="50" t="s">
        <v>358</v>
      </c>
      <c r="C943" s="50" t="s">
        <v>778</v>
      </c>
      <c r="D943" s="33" t="s">
        <v>4075</v>
      </c>
      <c r="E943" s="50" t="s">
        <v>451</v>
      </c>
    </row>
    <row r="944" spans="1:5" ht="13.2">
      <c r="A944" s="61">
        <v>1868</v>
      </c>
      <c r="B944" s="50" t="s">
        <v>51</v>
      </c>
      <c r="C944" s="50" t="s">
        <v>261</v>
      </c>
      <c r="D944" s="33" t="s">
        <v>4076</v>
      </c>
      <c r="E944" s="50" t="s">
        <v>223</v>
      </c>
    </row>
    <row r="945" spans="1:5" ht="13.2">
      <c r="A945" s="61">
        <v>1869</v>
      </c>
      <c r="B945" s="50" t="s">
        <v>52</v>
      </c>
      <c r="C945" s="50" t="s">
        <v>1313</v>
      </c>
      <c r="D945" s="33" t="s">
        <v>4077</v>
      </c>
      <c r="E945" s="50" t="s">
        <v>223</v>
      </c>
    </row>
    <row r="946" spans="1:5" ht="13.2">
      <c r="A946" s="61">
        <v>1870</v>
      </c>
      <c r="B946" s="50" t="s">
        <v>53</v>
      </c>
      <c r="C946" s="50" t="s">
        <v>79</v>
      </c>
      <c r="D946" s="33" t="s">
        <v>4078</v>
      </c>
      <c r="E946" s="50" t="s">
        <v>1225</v>
      </c>
    </row>
    <row r="947" spans="1:5" ht="13.2">
      <c r="A947" s="61">
        <v>1871</v>
      </c>
      <c r="B947" s="50" t="s">
        <v>54</v>
      </c>
      <c r="C947" s="50" t="s">
        <v>777</v>
      </c>
      <c r="D947" s="33" t="s">
        <v>4079</v>
      </c>
      <c r="E947" s="50" t="s">
        <v>1225</v>
      </c>
    </row>
    <row r="948" spans="1:5" ht="13.2">
      <c r="A948" s="61">
        <v>1872</v>
      </c>
      <c r="B948" s="50" t="s">
        <v>412</v>
      </c>
      <c r="C948" s="50" t="s">
        <v>79</v>
      </c>
      <c r="D948" s="33" t="s">
        <v>3132</v>
      </c>
      <c r="E948" s="50" t="s">
        <v>223</v>
      </c>
    </row>
    <row r="949" spans="1:5" ht="13.2">
      <c r="A949" s="61">
        <v>1874</v>
      </c>
      <c r="B949" s="50" t="s">
        <v>55</v>
      </c>
      <c r="C949" s="50" t="s">
        <v>188</v>
      </c>
      <c r="D949" s="33" t="s">
        <v>3133</v>
      </c>
      <c r="E949" s="50" t="s">
        <v>223</v>
      </c>
    </row>
    <row r="950" spans="1:5" ht="13.2">
      <c r="A950" s="61">
        <v>1876</v>
      </c>
      <c r="B950" s="50" t="s">
        <v>575</v>
      </c>
      <c r="C950" s="50" t="s">
        <v>72</v>
      </c>
      <c r="D950" s="33" t="s">
        <v>4080</v>
      </c>
      <c r="E950" s="50" t="s">
        <v>223</v>
      </c>
    </row>
    <row r="951" spans="1:5" ht="13.2">
      <c r="A951" s="61">
        <v>1879</v>
      </c>
      <c r="B951" s="50" t="s">
        <v>228</v>
      </c>
      <c r="C951" s="50" t="s">
        <v>246</v>
      </c>
      <c r="D951" s="33" t="s">
        <v>2140</v>
      </c>
      <c r="E951" s="50" t="s">
        <v>223</v>
      </c>
    </row>
    <row r="952" spans="1:5" ht="13.2">
      <c r="A952" s="61">
        <v>1881</v>
      </c>
      <c r="B952" s="50" t="s">
        <v>1293</v>
      </c>
      <c r="C952" s="50" t="s">
        <v>638</v>
      </c>
      <c r="D952" s="33" t="s">
        <v>3345</v>
      </c>
      <c r="E952" s="50" t="s">
        <v>223</v>
      </c>
    </row>
    <row r="953" spans="1:5" ht="13.2">
      <c r="A953" s="61">
        <v>1882</v>
      </c>
      <c r="B953" s="50" t="s">
        <v>56</v>
      </c>
      <c r="C953" s="50" t="s">
        <v>261</v>
      </c>
      <c r="D953" s="33" t="s">
        <v>4081</v>
      </c>
      <c r="E953" s="50" t="s">
        <v>223</v>
      </c>
    </row>
    <row r="954" spans="1:5" ht="13.2">
      <c r="A954" s="61">
        <v>1883</v>
      </c>
      <c r="B954" s="50" t="s">
        <v>57</v>
      </c>
      <c r="C954" s="50" t="s">
        <v>782</v>
      </c>
      <c r="D954" s="33" t="s">
        <v>4082</v>
      </c>
      <c r="E954" s="50" t="s">
        <v>223</v>
      </c>
    </row>
    <row r="955" spans="1:5" ht="13.2">
      <c r="A955" s="61">
        <v>1884</v>
      </c>
      <c r="B955" s="50" t="s">
        <v>58</v>
      </c>
      <c r="C955" s="50" t="s">
        <v>1197</v>
      </c>
      <c r="D955" s="33" t="s">
        <v>4083</v>
      </c>
      <c r="E955" s="50" t="s">
        <v>223</v>
      </c>
    </row>
    <row r="956" spans="1:5" ht="13.2">
      <c r="A956" s="61">
        <v>1885</v>
      </c>
      <c r="B956" s="50" t="s">
        <v>148</v>
      </c>
      <c r="C956" s="50" t="s">
        <v>738</v>
      </c>
      <c r="D956" s="33" t="s">
        <v>4084</v>
      </c>
      <c r="E956" s="50" t="s">
        <v>223</v>
      </c>
    </row>
    <row r="957" spans="1:5" ht="13.2">
      <c r="A957" s="61">
        <v>1890</v>
      </c>
      <c r="B957" s="50" t="s">
        <v>842</v>
      </c>
      <c r="C957" s="50" t="s">
        <v>966</v>
      </c>
      <c r="D957" s="33" t="s">
        <v>4085</v>
      </c>
      <c r="E957" s="50" t="s">
        <v>1225</v>
      </c>
    </row>
    <row r="958" spans="1:5" ht="13.2">
      <c r="A958" s="61">
        <v>1893</v>
      </c>
      <c r="B958" s="50" t="s">
        <v>891</v>
      </c>
      <c r="C958" s="50" t="s">
        <v>637</v>
      </c>
      <c r="D958" s="33" t="s">
        <v>4086</v>
      </c>
      <c r="E958" s="50" t="s">
        <v>223</v>
      </c>
    </row>
    <row r="959" spans="1:5" ht="13.2">
      <c r="A959" s="61">
        <v>1898</v>
      </c>
      <c r="B959" s="50" t="s">
        <v>892</v>
      </c>
      <c r="C959" s="50" t="s">
        <v>261</v>
      </c>
      <c r="D959" s="33" t="s">
        <v>4087</v>
      </c>
      <c r="E959" s="50" t="s">
        <v>223</v>
      </c>
    </row>
    <row r="960" spans="1:5" ht="13.2">
      <c r="A960" s="61">
        <v>1899</v>
      </c>
      <c r="B960" s="50" t="s">
        <v>136</v>
      </c>
      <c r="C960" s="50" t="s">
        <v>1197</v>
      </c>
      <c r="D960" s="33" t="s">
        <v>2097</v>
      </c>
      <c r="E960" s="50" t="s">
        <v>223</v>
      </c>
    </row>
    <row r="961" spans="1:5" ht="13.2">
      <c r="A961" s="61">
        <v>1900</v>
      </c>
      <c r="B961" s="50" t="s">
        <v>893</v>
      </c>
      <c r="C961" s="50" t="s">
        <v>336</v>
      </c>
      <c r="D961" s="33" t="s">
        <v>4088</v>
      </c>
      <c r="E961" s="50" t="s">
        <v>1224</v>
      </c>
    </row>
    <row r="962" spans="1:5" ht="13.2">
      <c r="A962" s="61">
        <v>1901</v>
      </c>
      <c r="B962" s="50" t="s">
        <v>894</v>
      </c>
      <c r="C962" s="50" t="s">
        <v>962</v>
      </c>
      <c r="D962" s="33" t="s">
        <v>4089</v>
      </c>
      <c r="E962" s="50" t="s">
        <v>223</v>
      </c>
    </row>
    <row r="963" spans="1:5" ht="13.2">
      <c r="A963" s="61">
        <v>1902</v>
      </c>
      <c r="B963" s="50" t="s">
        <v>895</v>
      </c>
      <c r="C963" s="50" t="s">
        <v>780</v>
      </c>
      <c r="D963" s="33" t="s">
        <v>4090</v>
      </c>
      <c r="E963" s="50" t="s">
        <v>223</v>
      </c>
    </row>
    <row r="964" spans="1:5" ht="13.2">
      <c r="A964" s="61">
        <v>1904</v>
      </c>
      <c r="B964" s="50" t="s">
        <v>896</v>
      </c>
      <c r="C964" s="50" t="s">
        <v>964</v>
      </c>
      <c r="D964" s="33" t="s">
        <v>3134</v>
      </c>
      <c r="E964" s="50" t="s">
        <v>2287</v>
      </c>
    </row>
    <row r="965" spans="1:5" ht="13.2">
      <c r="A965" s="61">
        <v>1907</v>
      </c>
      <c r="B965" s="50" t="s">
        <v>897</v>
      </c>
      <c r="C965" s="50" t="s">
        <v>1311</v>
      </c>
      <c r="D965" s="33" t="s">
        <v>1387</v>
      </c>
      <c r="E965" s="50" t="s">
        <v>223</v>
      </c>
    </row>
    <row r="966" spans="1:5" ht="13.2">
      <c r="A966" s="61">
        <v>1909</v>
      </c>
      <c r="B966" s="50" t="s">
        <v>898</v>
      </c>
      <c r="C966" s="50" t="s">
        <v>1311</v>
      </c>
      <c r="D966" s="33" t="s">
        <v>343</v>
      </c>
      <c r="E966" s="50" t="s">
        <v>1225</v>
      </c>
    </row>
    <row r="967" spans="1:5" ht="13.2">
      <c r="A967" s="61">
        <v>1910</v>
      </c>
      <c r="B967" s="50" t="s">
        <v>73</v>
      </c>
      <c r="C967" s="50" t="s">
        <v>1157</v>
      </c>
      <c r="D967" s="33" t="s">
        <v>4091</v>
      </c>
      <c r="E967" s="50" t="s">
        <v>223</v>
      </c>
    </row>
    <row r="968" spans="1:5" ht="13.2">
      <c r="A968" s="61">
        <v>1915</v>
      </c>
      <c r="B968" s="50" t="s">
        <v>2194</v>
      </c>
      <c r="C968" s="50" t="s">
        <v>642</v>
      </c>
      <c r="D968" s="33" t="s">
        <v>4092</v>
      </c>
      <c r="E968" s="50" t="s">
        <v>223</v>
      </c>
    </row>
    <row r="969" spans="1:5" ht="13.2">
      <c r="A969" s="61">
        <v>1917</v>
      </c>
      <c r="B969" s="50" t="s">
        <v>899</v>
      </c>
      <c r="C969" s="50" t="s">
        <v>964</v>
      </c>
      <c r="D969" s="33" t="s">
        <v>4093</v>
      </c>
      <c r="E969" s="50" t="s">
        <v>223</v>
      </c>
    </row>
    <row r="970" spans="1:5" ht="13.2">
      <c r="A970" s="61">
        <v>1918</v>
      </c>
      <c r="B970" s="50" t="s">
        <v>900</v>
      </c>
      <c r="C970" s="50" t="s">
        <v>79</v>
      </c>
      <c r="D970" s="33" t="s">
        <v>4094</v>
      </c>
      <c r="E970" s="50" t="s">
        <v>223</v>
      </c>
    </row>
    <row r="971" spans="1:5" ht="13.2">
      <c r="A971" s="61">
        <v>1921</v>
      </c>
      <c r="B971" s="50" t="s">
        <v>901</v>
      </c>
      <c r="C971" s="50" t="s">
        <v>446</v>
      </c>
      <c r="D971" s="33" t="s">
        <v>4095</v>
      </c>
      <c r="E971" s="50" t="s">
        <v>451</v>
      </c>
    </row>
    <row r="972" spans="1:5" ht="13.2">
      <c r="A972" s="61">
        <v>1923</v>
      </c>
      <c r="B972" s="50" t="s">
        <v>902</v>
      </c>
      <c r="C972" s="50" t="s">
        <v>640</v>
      </c>
      <c r="D972" s="33" t="s">
        <v>4096</v>
      </c>
      <c r="E972" s="50" t="s">
        <v>223</v>
      </c>
    </row>
    <row r="973" spans="1:5" ht="13.2">
      <c r="A973" s="61">
        <v>1925</v>
      </c>
      <c r="B973" s="50" t="s">
        <v>903</v>
      </c>
      <c r="C973" s="50" t="s">
        <v>638</v>
      </c>
      <c r="D973" s="33" t="s">
        <v>3135</v>
      </c>
      <c r="E973" s="50" t="s">
        <v>2287</v>
      </c>
    </row>
    <row r="974" spans="1:5" ht="13.2">
      <c r="A974" s="61">
        <v>1927</v>
      </c>
      <c r="B974" s="50" t="s">
        <v>1939</v>
      </c>
      <c r="C974" s="50" t="s">
        <v>378</v>
      </c>
      <c r="D974" s="33" t="s">
        <v>4097</v>
      </c>
      <c r="E974" s="50" t="s">
        <v>1339</v>
      </c>
    </row>
    <row r="975" spans="1:5" ht="13.2">
      <c r="A975" s="61">
        <v>1929</v>
      </c>
      <c r="B975" s="50" t="s">
        <v>904</v>
      </c>
      <c r="C975" s="50" t="s">
        <v>638</v>
      </c>
      <c r="D975" s="33" t="s">
        <v>1865</v>
      </c>
      <c r="E975" s="50" t="s">
        <v>451</v>
      </c>
    </row>
    <row r="976" spans="1:5" ht="13.2">
      <c r="A976" s="61">
        <v>1931</v>
      </c>
      <c r="B976" s="50" t="s">
        <v>495</v>
      </c>
      <c r="C976" s="50" t="s">
        <v>199</v>
      </c>
      <c r="D976" s="33" t="s">
        <v>2330</v>
      </c>
      <c r="E976" s="50" t="s">
        <v>223</v>
      </c>
    </row>
    <row r="977" spans="1:5" ht="13.2">
      <c r="A977" s="61">
        <v>1939</v>
      </c>
      <c r="B977" s="50" t="s">
        <v>905</v>
      </c>
      <c r="C977" s="50" t="s">
        <v>79</v>
      </c>
      <c r="D977" s="33" t="s">
        <v>4098</v>
      </c>
      <c r="E977" s="50" t="s">
        <v>1339</v>
      </c>
    </row>
    <row r="978" spans="1:5" ht="13.2">
      <c r="A978" s="61">
        <v>1940</v>
      </c>
      <c r="B978" s="50" t="s">
        <v>906</v>
      </c>
      <c r="C978" s="50" t="s">
        <v>79</v>
      </c>
      <c r="D978" s="33" t="s">
        <v>4099</v>
      </c>
      <c r="E978" s="50" t="s">
        <v>2037</v>
      </c>
    </row>
    <row r="979" spans="1:5" ht="13.2">
      <c r="A979" s="61">
        <v>1943</v>
      </c>
      <c r="B979" s="50" t="s">
        <v>150</v>
      </c>
      <c r="C979" s="50" t="s">
        <v>638</v>
      </c>
      <c r="D979" s="33" t="s">
        <v>4100</v>
      </c>
      <c r="E979" s="50" t="s">
        <v>390</v>
      </c>
    </row>
    <row r="980" spans="1:5" ht="13.2">
      <c r="A980" s="61">
        <v>1944</v>
      </c>
      <c r="B980" s="50" t="s">
        <v>1104</v>
      </c>
      <c r="C980" s="50" t="s">
        <v>188</v>
      </c>
      <c r="D980" s="33" t="s">
        <v>2111</v>
      </c>
      <c r="E980" s="50" t="s">
        <v>223</v>
      </c>
    </row>
    <row r="981" spans="1:5" ht="13.2">
      <c r="A981" s="61">
        <v>1947</v>
      </c>
      <c r="B981" s="50" t="s">
        <v>907</v>
      </c>
      <c r="C981" s="50" t="s">
        <v>1172</v>
      </c>
      <c r="D981" s="33" t="s">
        <v>3348</v>
      </c>
      <c r="E981" s="50" t="s">
        <v>223</v>
      </c>
    </row>
    <row r="982" spans="1:5" ht="13.2">
      <c r="A982" s="61">
        <v>1948</v>
      </c>
      <c r="B982" s="50" t="s">
        <v>908</v>
      </c>
      <c r="C982" s="50" t="s">
        <v>638</v>
      </c>
      <c r="D982" s="33" t="s">
        <v>4101</v>
      </c>
      <c r="E982" s="50" t="s">
        <v>223</v>
      </c>
    </row>
    <row r="983" spans="1:5" ht="13.2">
      <c r="A983" s="61">
        <v>1950</v>
      </c>
      <c r="B983" s="50" t="s">
        <v>909</v>
      </c>
      <c r="C983" s="50" t="s">
        <v>197</v>
      </c>
      <c r="D983" s="33" t="s">
        <v>3136</v>
      </c>
      <c r="E983" s="50" t="s">
        <v>223</v>
      </c>
    </row>
    <row r="984" spans="1:5" ht="13.2">
      <c r="A984" s="61">
        <v>1952</v>
      </c>
      <c r="B984" s="50" t="s">
        <v>910</v>
      </c>
      <c r="C984" s="50" t="s">
        <v>775</v>
      </c>
      <c r="D984" s="33" t="s">
        <v>4102</v>
      </c>
      <c r="E984" s="50" t="s">
        <v>2037</v>
      </c>
    </row>
    <row r="985" spans="1:5" ht="13.2">
      <c r="A985" s="61">
        <v>1953</v>
      </c>
      <c r="B985" s="50" t="s">
        <v>911</v>
      </c>
      <c r="C985" s="50" t="s">
        <v>188</v>
      </c>
      <c r="D985" s="33" t="s">
        <v>4103</v>
      </c>
      <c r="E985" s="50" t="s">
        <v>1339</v>
      </c>
    </row>
    <row r="986" spans="1:5" ht="13.2">
      <c r="A986" s="61">
        <v>1955</v>
      </c>
      <c r="B986" s="50" t="s">
        <v>912</v>
      </c>
      <c r="C986" s="50" t="s">
        <v>336</v>
      </c>
      <c r="D986" s="33" t="s">
        <v>4104</v>
      </c>
      <c r="E986" s="50" t="s">
        <v>1225</v>
      </c>
    </row>
    <row r="987" spans="1:5" ht="13.2">
      <c r="A987" s="61">
        <v>1961</v>
      </c>
      <c r="B987" s="50" t="s">
        <v>913</v>
      </c>
      <c r="C987" s="50" t="s">
        <v>199</v>
      </c>
      <c r="D987" s="33" t="s">
        <v>3404</v>
      </c>
      <c r="E987" s="50" t="s">
        <v>223</v>
      </c>
    </row>
    <row r="988" spans="1:5" ht="13.2">
      <c r="A988" s="61">
        <v>1962</v>
      </c>
      <c r="B988" s="50" t="s">
        <v>914</v>
      </c>
      <c r="C988" s="50" t="s">
        <v>261</v>
      </c>
      <c r="D988" s="33" t="s">
        <v>4105</v>
      </c>
      <c r="E988" s="50" t="s">
        <v>223</v>
      </c>
    </row>
    <row r="989" spans="1:5" ht="13.2">
      <c r="A989" s="61">
        <v>1963</v>
      </c>
      <c r="B989" s="50" t="s">
        <v>871</v>
      </c>
      <c r="C989" s="50" t="s">
        <v>246</v>
      </c>
      <c r="D989" s="33" t="s">
        <v>4106</v>
      </c>
      <c r="E989" s="50" t="s">
        <v>223</v>
      </c>
    </row>
    <row r="990" spans="1:5" ht="13.2">
      <c r="A990" s="61">
        <v>1968</v>
      </c>
      <c r="B990" s="50" t="s">
        <v>872</v>
      </c>
      <c r="C990" s="50" t="s">
        <v>640</v>
      </c>
      <c r="D990" s="33" t="s">
        <v>4107</v>
      </c>
      <c r="E990" s="50" t="s">
        <v>451</v>
      </c>
    </row>
    <row r="991" spans="1:5" ht="13.2">
      <c r="A991" s="61">
        <v>1969</v>
      </c>
      <c r="B991" s="50" t="s">
        <v>873</v>
      </c>
      <c r="C991" s="50" t="s">
        <v>1313</v>
      </c>
      <c r="D991" s="33" t="s">
        <v>4108</v>
      </c>
      <c r="E991" s="50" t="s">
        <v>390</v>
      </c>
    </row>
    <row r="992" spans="1:5" ht="13.2">
      <c r="A992" s="61">
        <v>1970</v>
      </c>
      <c r="B992" s="50" t="s">
        <v>874</v>
      </c>
      <c r="C992" s="50" t="s">
        <v>199</v>
      </c>
      <c r="D992" s="33" t="s">
        <v>2187</v>
      </c>
      <c r="E992" s="50" t="s">
        <v>1225</v>
      </c>
    </row>
    <row r="993" spans="1:5" ht="13.2">
      <c r="A993" s="61">
        <v>1972</v>
      </c>
      <c r="B993" s="50" t="s">
        <v>137</v>
      </c>
      <c r="C993" s="50" t="s">
        <v>866</v>
      </c>
      <c r="D993" s="33" t="s">
        <v>4109</v>
      </c>
      <c r="E993" s="50" t="s">
        <v>451</v>
      </c>
    </row>
    <row r="994" spans="1:5" ht="13.2">
      <c r="A994" s="61">
        <v>1973</v>
      </c>
      <c r="B994" s="50" t="s">
        <v>875</v>
      </c>
      <c r="C994" s="50" t="s">
        <v>778</v>
      </c>
      <c r="D994" s="33" t="s">
        <v>4110</v>
      </c>
      <c r="E994" s="50" t="s">
        <v>223</v>
      </c>
    </row>
    <row r="995" spans="1:5" ht="13.2">
      <c r="A995" s="61">
        <v>1979</v>
      </c>
      <c r="B995" s="50" t="s">
        <v>876</v>
      </c>
      <c r="C995" s="50" t="s">
        <v>802</v>
      </c>
      <c r="D995" s="33" t="s">
        <v>4111</v>
      </c>
      <c r="E995" s="50" t="s">
        <v>451</v>
      </c>
    </row>
    <row r="996" spans="1:5" ht="13.2">
      <c r="A996" s="61">
        <v>1980</v>
      </c>
      <c r="B996" s="50" t="s">
        <v>877</v>
      </c>
      <c r="C996" s="50" t="s">
        <v>72</v>
      </c>
      <c r="D996" s="33" t="s">
        <v>4112</v>
      </c>
      <c r="E996" s="50" t="s">
        <v>223</v>
      </c>
    </row>
    <row r="997" spans="1:5" ht="13.2">
      <c r="A997" s="61">
        <v>1982</v>
      </c>
      <c r="B997" s="50" t="s">
        <v>878</v>
      </c>
      <c r="C997" s="50" t="s">
        <v>635</v>
      </c>
      <c r="D997" s="33" t="s">
        <v>2183</v>
      </c>
      <c r="E997" s="50" t="s">
        <v>1224</v>
      </c>
    </row>
    <row r="998" spans="1:5" ht="13.2">
      <c r="A998" s="61">
        <v>1984</v>
      </c>
      <c r="B998" s="50" t="s">
        <v>1034</v>
      </c>
      <c r="C998" s="50" t="s">
        <v>1133</v>
      </c>
      <c r="D998" s="33" t="s">
        <v>4113</v>
      </c>
      <c r="E998" s="50" t="s">
        <v>223</v>
      </c>
    </row>
    <row r="999" spans="1:5" ht="13.2">
      <c r="A999" s="61">
        <v>1986</v>
      </c>
      <c r="B999" s="50" t="s">
        <v>1082</v>
      </c>
      <c r="C999" s="50" t="s">
        <v>778</v>
      </c>
      <c r="D999" s="33" t="s">
        <v>4114</v>
      </c>
      <c r="E999" s="50" t="s">
        <v>223</v>
      </c>
    </row>
    <row r="1000" spans="1:5" ht="13.2">
      <c r="A1000" s="61">
        <v>1988</v>
      </c>
      <c r="B1000" s="50" t="s">
        <v>1083</v>
      </c>
      <c r="C1000" s="50" t="s">
        <v>1313</v>
      </c>
      <c r="D1000" s="33" t="s">
        <v>2965</v>
      </c>
      <c r="E1000" s="50" t="s">
        <v>223</v>
      </c>
    </row>
    <row r="1001" spans="1:5" ht="13.2">
      <c r="A1001" s="61">
        <v>1990</v>
      </c>
      <c r="B1001" s="50" t="s">
        <v>1130</v>
      </c>
      <c r="C1001" s="50" t="s">
        <v>1197</v>
      </c>
      <c r="D1001" s="33" t="s">
        <v>4115</v>
      </c>
      <c r="E1001" s="50" t="s">
        <v>223</v>
      </c>
    </row>
    <row r="1002" spans="1:5" ht="13.2">
      <c r="A1002" s="61">
        <v>1991</v>
      </c>
      <c r="B1002" s="50" t="s">
        <v>221</v>
      </c>
      <c r="C1002" s="50" t="s">
        <v>1311</v>
      </c>
      <c r="D1002" s="33" t="s">
        <v>4116</v>
      </c>
      <c r="E1002" s="50" t="s">
        <v>1339</v>
      </c>
    </row>
    <row r="1003" spans="1:5" ht="13.2">
      <c r="A1003" s="61">
        <v>1993</v>
      </c>
      <c r="B1003" s="50" t="s">
        <v>1417</v>
      </c>
      <c r="C1003" s="50" t="s">
        <v>638</v>
      </c>
      <c r="D1003" s="33" t="s">
        <v>2845</v>
      </c>
      <c r="E1003" s="50" t="s">
        <v>1339</v>
      </c>
    </row>
    <row r="1004" spans="1:5" ht="13.2">
      <c r="A1004" s="61">
        <v>1994</v>
      </c>
      <c r="B1004" s="50" t="s">
        <v>46</v>
      </c>
      <c r="C1004" s="50" t="s">
        <v>72</v>
      </c>
      <c r="D1004" s="33" t="s">
        <v>4117</v>
      </c>
      <c r="E1004" s="50" t="s">
        <v>1224</v>
      </c>
    </row>
    <row r="1005" spans="1:5" ht="13.2">
      <c r="A1005" s="61">
        <v>1996</v>
      </c>
      <c r="B1005" s="50" t="s">
        <v>222</v>
      </c>
      <c r="C1005" s="50" t="s">
        <v>1311</v>
      </c>
      <c r="D1005" s="33" t="s">
        <v>4118</v>
      </c>
      <c r="E1005" s="50" t="s">
        <v>223</v>
      </c>
    </row>
    <row r="1006" spans="1:5" ht="13.2">
      <c r="A1006" s="61">
        <v>1998</v>
      </c>
      <c r="B1006" s="50" t="s">
        <v>804</v>
      </c>
      <c r="C1006" s="50" t="s">
        <v>246</v>
      </c>
      <c r="D1006" s="33" t="s">
        <v>3368</v>
      </c>
      <c r="E1006" s="50" t="s">
        <v>223</v>
      </c>
    </row>
    <row r="1007" spans="1:5" ht="13.2">
      <c r="A1007" s="61">
        <v>1999</v>
      </c>
      <c r="B1007" s="50" t="s">
        <v>805</v>
      </c>
      <c r="C1007" s="50" t="s">
        <v>640</v>
      </c>
      <c r="D1007" s="33" t="s">
        <v>2827</v>
      </c>
      <c r="E1007" s="50" t="s">
        <v>223</v>
      </c>
    </row>
    <row r="1008" spans="1:5" ht="13.2">
      <c r="A1008" s="61">
        <v>2001</v>
      </c>
      <c r="B1008" s="50" t="s">
        <v>806</v>
      </c>
      <c r="C1008" s="50" t="s">
        <v>635</v>
      </c>
      <c r="D1008" s="33" t="s">
        <v>4119</v>
      </c>
      <c r="E1008" s="50" t="s">
        <v>223</v>
      </c>
    </row>
    <row r="1009" spans="1:5" ht="13.2">
      <c r="A1009" s="61">
        <v>2004</v>
      </c>
      <c r="B1009" s="50" t="s">
        <v>2114</v>
      </c>
      <c r="C1009" s="50" t="s">
        <v>807</v>
      </c>
      <c r="D1009" s="33" t="s">
        <v>4120</v>
      </c>
      <c r="E1009" s="50" t="s">
        <v>223</v>
      </c>
    </row>
    <row r="1010" spans="1:5" ht="13.2">
      <c r="A1010" s="61">
        <v>2007</v>
      </c>
      <c r="B1010" s="50" t="s">
        <v>137</v>
      </c>
      <c r="C1010" s="50" t="s">
        <v>201</v>
      </c>
      <c r="D1010" s="33" t="s">
        <v>3137</v>
      </c>
      <c r="E1010" s="50" t="s">
        <v>223</v>
      </c>
    </row>
    <row r="1011" spans="1:5" ht="13.2">
      <c r="A1011" s="61">
        <v>2009</v>
      </c>
      <c r="B1011" s="50" t="s">
        <v>692</v>
      </c>
      <c r="C1011" s="50" t="s">
        <v>194</v>
      </c>
      <c r="D1011" s="33" t="s">
        <v>2581</v>
      </c>
      <c r="E1011" s="50" t="s">
        <v>1322</v>
      </c>
    </row>
    <row r="1012" spans="1:5" ht="13.2">
      <c r="A1012" s="61">
        <v>2014</v>
      </c>
      <c r="B1012" s="50" t="s">
        <v>693</v>
      </c>
      <c r="C1012" s="50" t="s">
        <v>802</v>
      </c>
      <c r="D1012" s="33" t="s">
        <v>2875</v>
      </c>
      <c r="E1012" s="50" t="s">
        <v>223</v>
      </c>
    </row>
    <row r="1013" spans="1:5" ht="13.2">
      <c r="A1013" s="61">
        <v>2016</v>
      </c>
      <c r="B1013" s="50" t="s">
        <v>694</v>
      </c>
      <c r="C1013" s="50" t="s">
        <v>1197</v>
      </c>
      <c r="D1013" s="33" t="s">
        <v>4121</v>
      </c>
      <c r="E1013" s="50" t="s">
        <v>223</v>
      </c>
    </row>
    <row r="1014" spans="1:5" ht="13.2">
      <c r="A1014" s="61">
        <v>2019</v>
      </c>
      <c r="B1014" s="50" t="s">
        <v>695</v>
      </c>
      <c r="C1014" s="50" t="s">
        <v>642</v>
      </c>
      <c r="D1014" s="33" t="s">
        <v>2952</v>
      </c>
      <c r="E1014" s="50" t="s">
        <v>223</v>
      </c>
    </row>
    <row r="1015" spans="1:5" ht="13.2">
      <c r="A1015" s="61">
        <v>2020</v>
      </c>
      <c r="B1015" s="50" t="s">
        <v>696</v>
      </c>
      <c r="C1015" s="50" t="s">
        <v>640</v>
      </c>
      <c r="D1015" s="33" t="s">
        <v>4122</v>
      </c>
      <c r="E1015" s="50" t="s">
        <v>2037</v>
      </c>
    </row>
    <row r="1016" spans="1:5" ht="13.2">
      <c r="A1016" s="61">
        <v>2021</v>
      </c>
      <c r="B1016" s="50" t="s">
        <v>1060</v>
      </c>
      <c r="C1016" s="50" t="s">
        <v>638</v>
      </c>
      <c r="D1016" s="33" t="s">
        <v>2479</v>
      </c>
      <c r="E1016" s="50" t="s">
        <v>451</v>
      </c>
    </row>
    <row r="1017" spans="1:5" ht="13.2">
      <c r="A1017" s="61">
        <v>2023</v>
      </c>
      <c r="B1017" s="50" t="s">
        <v>697</v>
      </c>
      <c r="C1017" s="50" t="s">
        <v>79</v>
      </c>
      <c r="D1017" s="33" t="s">
        <v>4123</v>
      </c>
      <c r="E1017" s="50" t="s">
        <v>223</v>
      </c>
    </row>
    <row r="1018" spans="1:5" ht="13.2">
      <c r="A1018" s="61">
        <v>2027</v>
      </c>
      <c r="B1018" s="50" t="s">
        <v>698</v>
      </c>
      <c r="C1018" s="50" t="s">
        <v>261</v>
      </c>
      <c r="D1018" s="33" t="s">
        <v>4124</v>
      </c>
      <c r="E1018" s="50" t="s">
        <v>451</v>
      </c>
    </row>
    <row r="1019" spans="1:5" ht="13.2">
      <c r="A1019" s="61">
        <v>2029</v>
      </c>
      <c r="B1019" s="50" t="s">
        <v>1298</v>
      </c>
      <c r="C1019" s="50" t="s">
        <v>699</v>
      </c>
      <c r="D1019" s="33" t="s">
        <v>3138</v>
      </c>
      <c r="E1019" s="50" t="s">
        <v>223</v>
      </c>
    </row>
    <row r="1020" spans="1:5" ht="13.2">
      <c r="A1020" s="61">
        <v>2030</v>
      </c>
      <c r="B1020" s="50" t="s">
        <v>335</v>
      </c>
      <c r="C1020" s="50" t="s">
        <v>79</v>
      </c>
      <c r="D1020" s="33" t="s">
        <v>4125</v>
      </c>
      <c r="E1020" s="50" t="s">
        <v>223</v>
      </c>
    </row>
    <row r="1021" spans="1:5" ht="13.2">
      <c r="A1021" s="61">
        <v>2032</v>
      </c>
      <c r="B1021" s="50" t="s">
        <v>700</v>
      </c>
      <c r="C1021" s="50" t="s">
        <v>778</v>
      </c>
      <c r="D1021" s="33" t="s">
        <v>3039</v>
      </c>
      <c r="E1021" s="50" t="s">
        <v>223</v>
      </c>
    </row>
    <row r="1022" spans="1:5" ht="13.2">
      <c r="A1022" s="61">
        <v>2034</v>
      </c>
      <c r="B1022" s="50" t="s">
        <v>701</v>
      </c>
      <c r="C1022" s="50" t="s">
        <v>778</v>
      </c>
      <c r="D1022" s="33" t="s">
        <v>3370</v>
      </c>
      <c r="E1022" s="50" t="s">
        <v>223</v>
      </c>
    </row>
    <row r="1023" spans="1:5" ht="13.2">
      <c r="A1023" s="61">
        <v>2036</v>
      </c>
      <c r="B1023" s="50" t="s">
        <v>702</v>
      </c>
      <c r="C1023" s="50" t="s">
        <v>640</v>
      </c>
      <c r="D1023" s="33" t="s">
        <v>4126</v>
      </c>
      <c r="E1023" s="50" t="s">
        <v>223</v>
      </c>
    </row>
    <row r="1024" spans="1:5" ht="13.2">
      <c r="A1024" s="61">
        <v>2038</v>
      </c>
      <c r="B1024" s="50" t="s">
        <v>703</v>
      </c>
      <c r="C1024" s="50" t="s">
        <v>246</v>
      </c>
      <c r="D1024" s="33" t="s">
        <v>4127</v>
      </c>
      <c r="E1024" s="50" t="s">
        <v>1339</v>
      </c>
    </row>
    <row r="1025" spans="1:5" ht="13.2">
      <c r="A1025" s="61">
        <v>2039</v>
      </c>
      <c r="B1025" s="50" t="s">
        <v>704</v>
      </c>
      <c r="C1025" s="50" t="s">
        <v>1133</v>
      </c>
      <c r="D1025" s="33" t="s">
        <v>4128</v>
      </c>
      <c r="E1025" s="50" t="s">
        <v>223</v>
      </c>
    </row>
    <row r="1026" spans="1:5" ht="13.2">
      <c r="A1026" s="61">
        <v>2042</v>
      </c>
      <c r="B1026" s="50" t="s">
        <v>705</v>
      </c>
      <c r="C1026" s="50" t="s">
        <v>190</v>
      </c>
      <c r="D1026" s="33" t="s">
        <v>4129</v>
      </c>
      <c r="E1026" s="50" t="s">
        <v>223</v>
      </c>
    </row>
    <row r="1027" spans="1:5" ht="13.2">
      <c r="A1027" s="61">
        <v>2043</v>
      </c>
      <c r="B1027" s="50" t="s">
        <v>576</v>
      </c>
      <c r="C1027" s="50" t="s">
        <v>261</v>
      </c>
      <c r="D1027" s="33" t="s">
        <v>4130</v>
      </c>
      <c r="E1027" s="50" t="s">
        <v>223</v>
      </c>
    </row>
    <row r="1028" spans="1:5" ht="13.2">
      <c r="A1028" s="61">
        <v>2045</v>
      </c>
      <c r="B1028" s="50" t="s">
        <v>1940</v>
      </c>
      <c r="C1028" s="50" t="s">
        <v>1197</v>
      </c>
      <c r="D1028" s="33" t="s">
        <v>4131</v>
      </c>
      <c r="E1028" s="50" t="s">
        <v>392</v>
      </c>
    </row>
    <row r="1029" spans="1:5" ht="13.2">
      <c r="A1029" s="61">
        <v>2047</v>
      </c>
      <c r="B1029" s="50" t="s">
        <v>781</v>
      </c>
      <c r="C1029" s="50" t="s">
        <v>640</v>
      </c>
      <c r="D1029" s="33" t="s">
        <v>4132</v>
      </c>
      <c r="E1029" s="50" t="s">
        <v>1339</v>
      </c>
    </row>
    <row r="1030" spans="1:5" ht="13.2">
      <c r="A1030" s="61">
        <v>2049</v>
      </c>
      <c r="B1030" s="50" t="s">
        <v>706</v>
      </c>
      <c r="C1030" s="50" t="s">
        <v>246</v>
      </c>
      <c r="D1030" s="33" t="s">
        <v>4133</v>
      </c>
      <c r="E1030" s="50" t="s">
        <v>223</v>
      </c>
    </row>
    <row r="1031" spans="1:5" ht="13.2">
      <c r="A1031" s="61">
        <v>2050</v>
      </c>
      <c r="B1031" s="50" t="s">
        <v>707</v>
      </c>
      <c r="C1031" s="50" t="s">
        <v>635</v>
      </c>
      <c r="D1031" s="33" t="s">
        <v>4134</v>
      </c>
      <c r="E1031" s="50" t="s">
        <v>1224</v>
      </c>
    </row>
    <row r="1032" spans="1:5" ht="13.2">
      <c r="A1032" s="61">
        <v>2052</v>
      </c>
      <c r="B1032" s="50" t="s">
        <v>556</v>
      </c>
      <c r="C1032" s="50" t="s">
        <v>708</v>
      </c>
      <c r="D1032" s="33" t="s">
        <v>4135</v>
      </c>
      <c r="E1032" s="50" t="s">
        <v>223</v>
      </c>
    </row>
    <row r="1033" spans="1:5" ht="13.2">
      <c r="A1033" s="61">
        <v>2053</v>
      </c>
      <c r="B1033" s="50" t="s">
        <v>709</v>
      </c>
      <c r="C1033" s="50" t="s">
        <v>793</v>
      </c>
      <c r="D1033" s="33" t="s">
        <v>2811</v>
      </c>
      <c r="E1033" s="50" t="s">
        <v>223</v>
      </c>
    </row>
    <row r="1034" spans="1:5" ht="13.2">
      <c r="A1034" s="61">
        <v>2055</v>
      </c>
      <c r="B1034" s="50" t="s">
        <v>710</v>
      </c>
      <c r="C1034" s="50" t="s">
        <v>553</v>
      </c>
      <c r="D1034" s="33" t="s">
        <v>2280</v>
      </c>
      <c r="E1034" s="50" t="s">
        <v>223</v>
      </c>
    </row>
    <row r="1035" spans="1:5" ht="13.2">
      <c r="A1035" s="61">
        <v>2057</v>
      </c>
      <c r="B1035" s="50" t="s">
        <v>471</v>
      </c>
      <c r="C1035" s="50" t="s">
        <v>79</v>
      </c>
      <c r="D1035" s="33" t="s">
        <v>4136</v>
      </c>
      <c r="E1035" s="50" t="s">
        <v>223</v>
      </c>
    </row>
    <row r="1036" spans="1:5" ht="13.2">
      <c r="A1036" s="61">
        <v>2060</v>
      </c>
      <c r="B1036" s="50" t="s">
        <v>841</v>
      </c>
      <c r="C1036" s="50" t="s">
        <v>246</v>
      </c>
      <c r="D1036" s="33" t="s">
        <v>4137</v>
      </c>
      <c r="E1036" s="50" t="s">
        <v>223</v>
      </c>
    </row>
    <row r="1037" spans="1:5" ht="13.2">
      <c r="A1037" s="61">
        <v>2061</v>
      </c>
      <c r="B1037" s="50" t="s">
        <v>1029</v>
      </c>
      <c r="C1037" s="50" t="s">
        <v>326</v>
      </c>
      <c r="D1037" s="33" t="s">
        <v>4138</v>
      </c>
      <c r="E1037" s="50" t="s">
        <v>451</v>
      </c>
    </row>
    <row r="1038" spans="1:5" ht="13.2">
      <c r="A1038" s="61">
        <v>2063</v>
      </c>
      <c r="B1038" s="50" t="s">
        <v>1206</v>
      </c>
      <c r="C1038" s="50" t="s">
        <v>1345</v>
      </c>
      <c r="D1038" s="33" t="s">
        <v>3344</v>
      </c>
      <c r="E1038" s="50" t="s">
        <v>223</v>
      </c>
    </row>
    <row r="1039" spans="1:5" ht="13.2">
      <c r="A1039" s="61">
        <v>2064</v>
      </c>
      <c r="B1039" s="50" t="s">
        <v>567</v>
      </c>
      <c r="C1039" s="50" t="s">
        <v>1534</v>
      </c>
      <c r="D1039" s="33" t="s">
        <v>4139</v>
      </c>
      <c r="E1039" s="50" t="s">
        <v>451</v>
      </c>
    </row>
    <row r="1040" spans="1:5" ht="13.2">
      <c r="A1040" s="61">
        <v>2065</v>
      </c>
      <c r="B1040" s="50" t="s">
        <v>1207</v>
      </c>
      <c r="C1040" s="50" t="s">
        <v>1208</v>
      </c>
      <c r="D1040" s="33" t="s">
        <v>3343</v>
      </c>
      <c r="E1040" s="50" t="s">
        <v>223</v>
      </c>
    </row>
    <row r="1041" spans="1:5" ht="13.2">
      <c r="A1041" s="61">
        <v>2066</v>
      </c>
      <c r="B1041" s="50" t="s">
        <v>1209</v>
      </c>
      <c r="C1041" s="50" t="s">
        <v>266</v>
      </c>
      <c r="D1041" s="33" t="s">
        <v>4140</v>
      </c>
      <c r="E1041" s="50" t="s">
        <v>223</v>
      </c>
    </row>
    <row r="1042" spans="1:5" ht="13.2">
      <c r="A1042" s="61">
        <v>2067</v>
      </c>
      <c r="B1042" s="50" t="s">
        <v>1210</v>
      </c>
      <c r="C1042" s="50" t="s">
        <v>1211</v>
      </c>
      <c r="D1042" s="33" t="s">
        <v>3099</v>
      </c>
      <c r="E1042" s="50" t="s">
        <v>223</v>
      </c>
    </row>
    <row r="1043" spans="1:5" ht="13.2">
      <c r="A1043" s="61">
        <v>2068</v>
      </c>
      <c r="B1043" s="50" t="s">
        <v>1212</v>
      </c>
      <c r="C1043" s="50" t="s">
        <v>1534</v>
      </c>
      <c r="D1043" s="33" t="s">
        <v>2254</v>
      </c>
      <c r="E1043" s="50" t="s">
        <v>223</v>
      </c>
    </row>
    <row r="1044" spans="1:5" ht="13.2">
      <c r="A1044" s="61">
        <v>2069</v>
      </c>
      <c r="B1044" s="50" t="s">
        <v>441</v>
      </c>
      <c r="C1044" s="50" t="s">
        <v>246</v>
      </c>
      <c r="D1044" s="33" t="s">
        <v>3378</v>
      </c>
      <c r="E1044" s="50" t="s">
        <v>223</v>
      </c>
    </row>
    <row r="1045" spans="1:5" ht="13.2">
      <c r="A1045" s="61">
        <v>2075</v>
      </c>
      <c r="B1045" s="50" t="s">
        <v>1588</v>
      </c>
      <c r="C1045" s="50" t="s">
        <v>477</v>
      </c>
      <c r="D1045" s="33" t="s">
        <v>4141</v>
      </c>
      <c r="E1045" s="50" t="s">
        <v>1366</v>
      </c>
    </row>
    <row r="1046" spans="1:5" ht="13.2">
      <c r="A1046" s="61">
        <v>2076</v>
      </c>
      <c r="B1046" s="50" t="s">
        <v>442</v>
      </c>
      <c r="C1046" s="50" t="s">
        <v>246</v>
      </c>
      <c r="D1046" s="33" t="s">
        <v>3371</v>
      </c>
      <c r="E1046" s="50" t="s">
        <v>223</v>
      </c>
    </row>
    <row r="1047" spans="1:5" ht="13.2">
      <c r="A1047" s="61">
        <v>2077</v>
      </c>
      <c r="B1047" s="50" t="s">
        <v>443</v>
      </c>
      <c r="C1047" s="50" t="s">
        <v>370</v>
      </c>
      <c r="D1047" s="33" t="s">
        <v>2859</v>
      </c>
      <c r="E1047" s="50" t="s">
        <v>223</v>
      </c>
    </row>
    <row r="1048" spans="1:5" ht="13.2">
      <c r="A1048" s="61">
        <v>2078</v>
      </c>
      <c r="B1048" s="50" t="s">
        <v>148</v>
      </c>
      <c r="C1048" s="50" t="s">
        <v>638</v>
      </c>
      <c r="D1048" s="33" t="s">
        <v>4142</v>
      </c>
      <c r="E1048" s="50" t="s">
        <v>223</v>
      </c>
    </row>
    <row r="1049" spans="1:5" ht="13.2">
      <c r="A1049" s="61">
        <v>2080</v>
      </c>
      <c r="B1049" s="50" t="s">
        <v>583</v>
      </c>
      <c r="C1049" s="50" t="s">
        <v>584</v>
      </c>
      <c r="D1049" s="33" t="s">
        <v>4143</v>
      </c>
      <c r="E1049" s="50" t="s">
        <v>389</v>
      </c>
    </row>
    <row r="1050" spans="1:5" ht="13.2">
      <c r="A1050" s="61">
        <v>2082</v>
      </c>
      <c r="B1050" s="50" t="s">
        <v>585</v>
      </c>
      <c r="C1050" s="50" t="s">
        <v>642</v>
      </c>
      <c r="D1050" s="33" t="s">
        <v>3139</v>
      </c>
      <c r="E1050" s="50" t="s">
        <v>223</v>
      </c>
    </row>
    <row r="1051" spans="1:5" ht="13.2">
      <c r="A1051" s="61">
        <v>2083</v>
      </c>
      <c r="B1051" s="50" t="s">
        <v>586</v>
      </c>
      <c r="C1051" s="50" t="s">
        <v>194</v>
      </c>
      <c r="D1051" s="33" t="s">
        <v>4144</v>
      </c>
      <c r="E1051" s="50" t="s">
        <v>1225</v>
      </c>
    </row>
    <row r="1052" spans="1:5" ht="13.2">
      <c r="A1052" s="61">
        <v>2084</v>
      </c>
      <c r="B1052" s="50" t="s">
        <v>587</v>
      </c>
      <c r="C1052" s="50" t="s">
        <v>261</v>
      </c>
      <c r="D1052" s="33" t="s">
        <v>3483</v>
      </c>
      <c r="E1052" s="50" t="s">
        <v>223</v>
      </c>
    </row>
    <row r="1053" spans="1:5" ht="13.2">
      <c r="A1053" s="61">
        <v>2085</v>
      </c>
      <c r="B1053" s="50" t="s">
        <v>588</v>
      </c>
      <c r="C1053" s="50" t="s">
        <v>754</v>
      </c>
      <c r="D1053" s="33" t="s">
        <v>3350</v>
      </c>
      <c r="E1053" s="50" t="s">
        <v>223</v>
      </c>
    </row>
    <row r="1054" spans="1:5" ht="13.2">
      <c r="A1054" s="61">
        <v>2087</v>
      </c>
      <c r="B1054" s="50" t="s">
        <v>1026</v>
      </c>
      <c r="C1054" s="50" t="s">
        <v>640</v>
      </c>
      <c r="D1054" s="33" t="s">
        <v>4145</v>
      </c>
      <c r="E1054" s="50" t="s">
        <v>223</v>
      </c>
    </row>
    <row r="1055" spans="1:5" ht="13.2">
      <c r="A1055" s="61">
        <v>2088</v>
      </c>
      <c r="B1055" s="50" t="s">
        <v>589</v>
      </c>
      <c r="C1055" s="50" t="s">
        <v>754</v>
      </c>
      <c r="D1055" s="33" t="s">
        <v>4146</v>
      </c>
      <c r="E1055" s="50" t="s">
        <v>223</v>
      </c>
    </row>
    <row r="1056" spans="1:5" ht="13.2">
      <c r="A1056" s="61">
        <v>2090</v>
      </c>
      <c r="B1056" s="50" t="s">
        <v>231</v>
      </c>
      <c r="C1056" s="50" t="s">
        <v>1246</v>
      </c>
      <c r="D1056" s="33" t="s">
        <v>3390</v>
      </c>
      <c r="E1056" s="50" t="s">
        <v>451</v>
      </c>
    </row>
    <row r="1057" spans="1:5" ht="13.2">
      <c r="A1057" s="61">
        <v>2092</v>
      </c>
      <c r="B1057" s="50" t="s">
        <v>590</v>
      </c>
      <c r="C1057" s="50" t="s">
        <v>79</v>
      </c>
      <c r="D1057" s="33" t="s">
        <v>4147</v>
      </c>
      <c r="E1057" s="50" t="s">
        <v>223</v>
      </c>
    </row>
    <row r="1058" spans="1:5" ht="13.2">
      <c r="A1058" s="61">
        <v>2093</v>
      </c>
      <c r="B1058" s="50" t="s">
        <v>591</v>
      </c>
      <c r="C1058" s="50" t="s">
        <v>336</v>
      </c>
      <c r="D1058" s="33" t="s">
        <v>4148</v>
      </c>
      <c r="E1058" s="50" t="s">
        <v>1224</v>
      </c>
    </row>
    <row r="1059" spans="1:5" ht="13.2">
      <c r="A1059" s="61">
        <v>2095</v>
      </c>
      <c r="B1059" s="50" t="s">
        <v>1228</v>
      </c>
      <c r="C1059" s="50" t="s">
        <v>263</v>
      </c>
      <c r="D1059" s="33" t="s">
        <v>2820</v>
      </c>
      <c r="E1059" s="50" t="s">
        <v>223</v>
      </c>
    </row>
    <row r="1060" spans="1:5" ht="13.2">
      <c r="A1060" s="61">
        <v>2096</v>
      </c>
      <c r="B1060" s="50" t="s">
        <v>46</v>
      </c>
      <c r="C1060" s="50" t="s">
        <v>778</v>
      </c>
      <c r="D1060" s="33" t="s">
        <v>4149</v>
      </c>
      <c r="E1060" s="50" t="s">
        <v>1339</v>
      </c>
    </row>
    <row r="1061" spans="1:5" ht="13.2">
      <c r="A1061" s="61">
        <v>2101</v>
      </c>
      <c r="B1061" s="50" t="s">
        <v>1229</v>
      </c>
      <c r="C1061" s="50" t="s">
        <v>553</v>
      </c>
      <c r="D1061" s="33" t="s">
        <v>2882</v>
      </c>
      <c r="E1061" s="50" t="s">
        <v>451</v>
      </c>
    </row>
    <row r="1062" spans="1:5" ht="13.2">
      <c r="A1062" s="61">
        <v>2102</v>
      </c>
      <c r="B1062" s="50" t="s">
        <v>1230</v>
      </c>
      <c r="C1062" s="50" t="s">
        <v>635</v>
      </c>
      <c r="D1062" s="33" t="s">
        <v>4150</v>
      </c>
      <c r="E1062" s="50" t="s">
        <v>223</v>
      </c>
    </row>
    <row r="1063" spans="1:5" ht="13.2">
      <c r="A1063" s="61">
        <v>2104</v>
      </c>
      <c r="B1063" s="50" t="s">
        <v>1231</v>
      </c>
      <c r="C1063" s="50" t="s">
        <v>638</v>
      </c>
      <c r="D1063" s="33" t="s">
        <v>4151</v>
      </c>
      <c r="E1063" s="50" t="s">
        <v>223</v>
      </c>
    </row>
    <row r="1064" spans="1:5" ht="13.2">
      <c r="A1064" s="61">
        <v>2105</v>
      </c>
      <c r="B1064" s="50" t="s">
        <v>1232</v>
      </c>
      <c r="C1064" s="50" t="s">
        <v>1233</v>
      </c>
      <c r="D1064" s="33" t="s">
        <v>4152</v>
      </c>
      <c r="E1064" s="50" t="s">
        <v>223</v>
      </c>
    </row>
    <row r="1065" spans="1:5" ht="13.2">
      <c r="A1065" s="61">
        <v>2107</v>
      </c>
      <c r="B1065" s="50" t="s">
        <v>1419</v>
      </c>
      <c r="C1065" s="50" t="s">
        <v>777</v>
      </c>
      <c r="D1065" s="33" t="s">
        <v>4153</v>
      </c>
      <c r="E1065" s="50" t="s">
        <v>223</v>
      </c>
    </row>
    <row r="1066" spans="1:5" ht="13.2">
      <c r="A1066" s="61">
        <v>2110</v>
      </c>
      <c r="B1066" s="50" t="s">
        <v>1235</v>
      </c>
      <c r="C1066" s="50" t="s">
        <v>246</v>
      </c>
      <c r="D1066" s="33" t="s">
        <v>4154</v>
      </c>
      <c r="E1066" s="50" t="s">
        <v>1225</v>
      </c>
    </row>
    <row r="1067" spans="1:5" ht="13.2">
      <c r="A1067" s="61">
        <v>2111</v>
      </c>
      <c r="B1067" s="50" t="s">
        <v>469</v>
      </c>
      <c r="C1067" s="50" t="s">
        <v>864</v>
      </c>
      <c r="D1067" s="33" t="s">
        <v>3037</v>
      </c>
      <c r="E1067" s="50" t="s">
        <v>451</v>
      </c>
    </row>
    <row r="1068" spans="1:5" ht="13.2">
      <c r="A1068" s="61">
        <v>2114</v>
      </c>
      <c r="B1068" s="50" t="s">
        <v>1236</v>
      </c>
      <c r="C1068" s="50" t="s">
        <v>1246</v>
      </c>
      <c r="D1068" s="33" t="s">
        <v>4155</v>
      </c>
      <c r="E1068" s="50" t="s">
        <v>223</v>
      </c>
    </row>
    <row r="1069" spans="1:5" ht="13.2">
      <c r="A1069" s="61">
        <v>2115</v>
      </c>
      <c r="B1069" s="50" t="s">
        <v>1237</v>
      </c>
      <c r="C1069" s="50" t="s">
        <v>800</v>
      </c>
      <c r="D1069" s="33" t="s">
        <v>4156</v>
      </c>
      <c r="E1069" s="50" t="s">
        <v>223</v>
      </c>
    </row>
    <row r="1070" spans="1:5" ht="13.2">
      <c r="A1070" s="61">
        <v>2116</v>
      </c>
      <c r="B1070" s="50" t="s">
        <v>1511</v>
      </c>
      <c r="C1070" s="50" t="s">
        <v>1534</v>
      </c>
      <c r="D1070" s="33" t="s">
        <v>4157</v>
      </c>
      <c r="E1070" s="50" t="s">
        <v>223</v>
      </c>
    </row>
    <row r="1071" spans="1:5" ht="13.2">
      <c r="A1071" s="61">
        <v>2118</v>
      </c>
      <c r="B1071" s="50" t="s">
        <v>858</v>
      </c>
      <c r="C1071" s="50" t="s">
        <v>1197</v>
      </c>
      <c r="D1071" s="33" t="s">
        <v>2986</v>
      </c>
      <c r="E1071" s="50" t="s">
        <v>451</v>
      </c>
    </row>
    <row r="1072" spans="1:5" ht="13.2">
      <c r="A1072" s="61">
        <v>2119</v>
      </c>
      <c r="B1072" s="50" t="s">
        <v>2592</v>
      </c>
      <c r="C1072" s="50" t="s">
        <v>864</v>
      </c>
      <c r="D1072" s="33" t="s">
        <v>3006</v>
      </c>
      <c r="E1072" s="50" t="s">
        <v>451</v>
      </c>
    </row>
    <row r="1073" spans="1:5" ht="13.2">
      <c r="A1073" s="61">
        <v>2122</v>
      </c>
      <c r="B1073" s="50" t="s">
        <v>2116</v>
      </c>
      <c r="C1073" s="50" t="s">
        <v>370</v>
      </c>
      <c r="D1073" s="33" t="s">
        <v>2853</v>
      </c>
      <c r="E1073" s="50" t="s">
        <v>451</v>
      </c>
    </row>
    <row r="1074" spans="1:5" ht="13.2">
      <c r="A1074" s="61">
        <v>2123</v>
      </c>
      <c r="B1074" s="50" t="s">
        <v>916</v>
      </c>
      <c r="C1074" s="50" t="s">
        <v>242</v>
      </c>
      <c r="D1074" s="33" t="s">
        <v>4158</v>
      </c>
      <c r="E1074" s="50" t="s">
        <v>1225</v>
      </c>
    </row>
    <row r="1075" spans="1:5" ht="13.2">
      <c r="A1075" s="61">
        <v>2124</v>
      </c>
      <c r="B1075" s="50" t="s">
        <v>917</v>
      </c>
      <c r="C1075" s="50" t="s">
        <v>72</v>
      </c>
      <c r="D1075" s="33" t="s">
        <v>4159</v>
      </c>
      <c r="E1075" s="50" t="s">
        <v>2516</v>
      </c>
    </row>
    <row r="1076" spans="1:5" ht="13.2">
      <c r="A1076" s="61">
        <v>2126</v>
      </c>
      <c r="B1076" s="50" t="s">
        <v>2042</v>
      </c>
      <c r="C1076" s="50" t="s">
        <v>446</v>
      </c>
      <c r="D1076" s="33" t="s">
        <v>4160</v>
      </c>
      <c r="E1076" s="50" t="s">
        <v>392</v>
      </c>
    </row>
    <row r="1077" spans="1:5" ht="13.2">
      <c r="A1077" s="61">
        <v>2128</v>
      </c>
      <c r="B1077" s="50" t="s">
        <v>918</v>
      </c>
      <c r="C1077" s="50" t="s">
        <v>802</v>
      </c>
      <c r="D1077" s="33" t="s">
        <v>4161</v>
      </c>
      <c r="E1077" s="50" t="s">
        <v>223</v>
      </c>
    </row>
    <row r="1078" spans="1:5" ht="13.2">
      <c r="A1078" s="61">
        <v>2129</v>
      </c>
      <c r="B1078" s="50" t="s">
        <v>2536</v>
      </c>
      <c r="C1078" s="50" t="s">
        <v>1246</v>
      </c>
      <c r="D1078" s="33" t="s">
        <v>4162</v>
      </c>
      <c r="E1078" s="50" t="s">
        <v>451</v>
      </c>
    </row>
    <row r="1079" spans="1:5" ht="13.2">
      <c r="A1079" s="61">
        <v>2130</v>
      </c>
      <c r="B1079" s="50" t="s">
        <v>919</v>
      </c>
      <c r="C1079" s="50" t="s">
        <v>1534</v>
      </c>
      <c r="D1079" s="33" t="s">
        <v>4163</v>
      </c>
      <c r="E1079" s="50" t="s">
        <v>223</v>
      </c>
    </row>
    <row r="1080" spans="1:5" ht="13.2">
      <c r="A1080" s="61">
        <v>2132</v>
      </c>
      <c r="B1080" s="50" t="s">
        <v>288</v>
      </c>
      <c r="C1080" s="50" t="s">
        <v>642</v>
      </c>
      <c r="D1080" s="33" t="s">
        <v>4164</v>
      </c>
      <c r="E1080" s="50" t="s">
        <v>1339</v>
      </c>
    </row>
    <row r="1081" spans="1:5" ht="13.2">
      <c r="A1081" s="61">
        <v>2133</v>
      </c>
      <c r="B1081" s="50" t="s">
        <v>920</v>
      </c>
      <c r="C1081" s="50" t="s">
        <v>79</v>
      </c>
      <c r="D1081" s="33" t="s">
        <v>4165</v>
      </c>
      <c r="E1081" s="50" t="s">
        <v>223</v>
      </c>
    </row>
    <row r="1082" spans="1:5" ht="13.2">
      <c r="A1082" s="61">
        <v>2135</v>
      </c>
      <c r="B1082" s="50" t="s">
        <v>921</v>
      </c>
      <c r="C1082" s="50" t="s">
        <v>79</v>
      </c>
      <c r="D1082" s="33" t="s">
        <v>4166</v>
      </c>
      <c r="E1082" s="50" t="s">
        <v>223</v>
      </c>
    </row>
    <row r="1083" spans="1:5" ht="13.2">
      <c r="A1083" s="61">
        <v>2136</v>
      </c>
      <c r="B1083" s="50" t="s">
        <v>922</v>
      </c>
      <c r="C1083" s="50" t="s">
        <v>1414</v>
      </c>
      <c r="D1083" s="33" t="s">
        <v>4167</v>
      </c>
      <c r="E1083" s="50" t="s">
        <v>1366</v>
      </c>
    </row>
    <row r="1084" spans="1:5" ht="13.2">
      <c r="A1084" s="61">
        <v>2138</v>
      </c>
      <c r="B1084" s="50" t="s">
        <v>923</v>
      </c>
      <c r="C1084" s="50" t="s">
        <v>802</v>
      </c>
      <c r="D1084" s="33" t="s">
        <v>4168</v>
      </c>
      <c r="E1084" s="50" t="s">
        <v>1339</v>
      </c>
    </row>
    <row r="1085" spans="1:5" ht="13.2">
      <c r="A1085" s="61">
        <v>2140</v>
      </c>
      <c r="B1085" s="50" t="s">
        <v>363</v>
      </c>
      <c r="C1085" s="50" t="s">
        <v>778</v>
      </c>
      <c r="D1085" s="33" t="s">
        <v>4169</v>
      </c>
      <c r="E1085" s="50" t="s">
        <v>223</v>
      </c>
    </row>
    <row r="1086" spans="1:5" ht="13.2">
      <c r="A1086" s="61">
        <v>2141</v>
      </c>
      <c r="B1086" s="50" t="s">
        <v>230</v>
      </c>
      <c r="C1086" s="50" t="s">
        <v>964</v>
      </c>
      <c r="D1086" s="33" t="s">
        <v>2395</v>
      </c>
      <c r="E1086" s="50" t="s">
        <v>2037</v>
      </c>
    </row>
    <row r="1087" spans="1:5" ht="13.2">
      <c r="A1087" s="61">
        <v>2146</v>
      </c>
      <c r="B1087" s="50" t="s">
        <v>916</v>
      </c>
      <c r="C1087" s="50" t="s">
        <v>864</v>
      </c>
      <c r="D1087" s="33" t="s">
        <v>4170</v>
      </c>
      <c r="E1087" s="50" t="s">
        <v>223</v>
      </c>
    </row>
    <row r="1088" spans="1:5" ht="13.2">
      <c r="A1088" s="61">
        <v>2150</v>
      </c>
      <c r="B1088" s="50" t="s">
        <v>924</v>
      </c>
      <c r="C1088" s="50" t="s">
        <v>782</v>
      </c>
      <c r="D1088" s="33" t="s">
        <v>2381</v>
      </c>
      <c r="E1088" s="50" t="s">
        <v>1339</v>
      </c>
    </row>
    <row r="1089" spans="1:5" ht="13.2">
      <c r="A1089" s="61">
        <v>2152</v>
      </c>
      <c r="B1089" s="50" t="s">
        <v>925</v>
      </c>
      <c r="C1089" s="50" t="s">
        <v>159</v>
      </c>
      <c r="D1089" s="33" t="s">
        <v>4171</v>
      </c>
      <c r="E1089" s="50" t="s">
        <v>2036</v>
      </c>
    </row>
    <row r="1090" spans="1:5" ht="13.2">
      <c r="A1090" s="61">
        <v>2153</v>
      </c>
      <c r="B1090" s="50" t="s">
        <v>300</v>
      </c>
      <c r="C1090" s="50" t="s">
        <v>1414</v>
      </c>
      <c r="D1090" s="33" t="s">
        <v>4172</v>
      </c>
      <c r="E1090" s="50" t="s">
        <v>223</v>
      </c>
    </row>
    <row r="1091" spans="1:5" ht="13.2">
      <c r="A1091" s="61">
        <v>2154</v>
      </c>
      <c r="B1091" s="50" t="s">
        <v>926</v>
      </c>
      <c r="C1091" s="50" t="s">
        <v>263</v>
      </c>
      <c r="D1091" s="33" t="s">
        <v>4173</v>
      </c>
      <c r="E1091" s="50" t="s">
        <v>223</v>
      </c>
    </row>
    <row r="1092" spans="1:5" ht="13.2">
      <c r="A1092" s="61">
        <v>2156</v>
      </c>
      <c r="B1092" s="50" t="s">
        <v>2195</v>
      </c>
      <c r="C1092" s="50" t="s">
        <v>775</v>
      </c>
      <c r="D1092" s="33" t="s">
        <v>3140</v>
      </c>
      <c r="E1092" s="50" t="s">
        <v>223</v>
      </c>
    </row>
    <row r="1093" spans="1:5" ht="13.2">
      <c r="A1093" s="61">
        <v>2157</v>
      </c>
      <c r="B1093" s="50" t="s">
        <v>404</v>
      </c>
      <c r="C1093" s="50" t="s">
        <v>640</v>
      </c>
      <c r="D1093" s="33" t="s">
        <v>4174</v>
      </c>
      <c r="E1093" s="50" t="s">
        <v>1339</v>
      </c>
    </row>
    <row r="1094" spans="1:5" ht="13.2">
      <c r="A1094" s="61">
        <v>2158</v>
      </c>
      <c r="B1094" s="50" t="s">
        <v>730</v>
      </c>
      <c r="C1094" s="50" t="s">
        <v>1099</v>
      </c>
      <c r="D1094" s="33" t="s">
        <v>4175</v>
      </c>
      <c r="E1094" s="50" t="s">
        <v>223</v>
      </c>
    </row>
    <row r="1095" spans="1:5" ht="13.2">
      <c r="A1095" s="61">
        <v>2161</v>
      </c>
      <c r="B1095" s="50" t="s">
        <v>1994</v>
      </c>
      <c r="C1095" s="50" t="s">
        <v>928</v>
      </c>
      <c r="D1095" s="33" t="s">
        <v>4176</v>
      </c>
      <c r="E1095" s="50" t="s">
        <v>392</v>
      </c>
    </row>
    <row r="1096" spans="1:5" ht="13.2">
      <c r="A1096" s="61">
        <v>2162</v>
      </c>
      <c r="B1096" s="50" t="s">
        <v>768</v>
      </c>
      <c r="C1096" s="50" t="s">
        <v>302</v>
      </c>
      <c r="D1096" s="33" t="s">
        <v>2838</v>
      </c>
      <c r="E1096" s="50" t="s">
        <v>451</v>
      </c>
    </row>
    <row r="1097" spans="1:5" ht="13.2">
      <c r="A1097" s="61">
        <v>2165</v>
      </c>
      <c r="B1097" s="50" t="s">
        <v>1183</v>
      </c>
      <c r="C1097" s="50" t="s">
        <v>263</v>
      </c>
      <c r="D1097" s="33" t="s">
        <v>4177</v>
      </c>
      <c r="E1097" s="50" t="s">
        <v>2037</v>
      </c>
    </row>
    <row r="1098" spans="1:5" ht="13.2">
      <c r="A1098" s="61">
        <v>2166</v>
      </c>
      <c r="B1098" s="50" t="s">
        <v>468</v>
      </c>
      <c r="C1098" s="50" t="s">
        <v>1246</v>
      </c>
      <c r="D1098" s="33" t="s">
        <v>2476</v>
      </c>
      <c r="E1098" s="50" t="s">
        <v>223</v>
      </c>
    </row>
    <row r="1099" spans="1:5" ht="13.2">
      <c r="A1099" s="61">
        <v>2168</v>
      </c>
      <c r="B1099" s="50" t="s">
        <v>1184</v>
      </c>
      <c r="C1099" s="50" t="s">
        <v>263</v>
      </c>
      <c r="D1099" s="33" t="s">
        <v>4178</v>
      </c>
      <c r="E1099" s="50" t="s">
        <v>451</v>
      </c>
    </row>
    <row r="1100" spans="1:5" ht="13.2">
      <c r="A1100" s="61">
        <v>2171</v>
      </c>
      <c r="B1100" s="50" t="s">
        <v>2289</v>
      </c>
      <c r="C1100" s="50" t="s">
        <v>864</v>
      </c>
      <c r="D1100" s="33" t="s">
        <v>4179</v>
      </c>
      <c r="E1100" s="50" t="s">
        <v>1366</v>
      </c>
    </row>
    <row r="1101" spans="1:5" ht="13.2">
      <c r="A1101" s="61">
        <v>2174</v>
      </c>
      <c r="B1101" s="50" t="s">
        <v>1185</v>
      </c>
      <c r="C1101" s="50" t="s">
        <v>778</v>
      </c>
      <c r="D1101" s="33" t="s">
        <v>1941</v>
      </c>
      <c r="E1101" s="50" t="s">
        <v>960</v>
      </c>
    </row>
    <row r="1102" spans="1:5" ht="13.2">
      <c r="A1102" s="61">
        <v>2177</v>
      </c>
      <c r="B1102" s="50" t="s">
        <v>1186</v>
      </c>
      <c r="C1102" s="50" t="s">
        <v>1116</v>
      </c>
      <c r="D1102" s="33" t="s">
        <v>3141</v>
      </c>
      <c r="E1102" s="50" t="s">
        <v>686</v>
      </c>
    </row>
    <row r="1103" spans="1:5" ht="13.2">
      <c r="A1103" s="61">
        <v>2179</v>
      </c>
      <c r="B1103" s="50" t="s">
        <v>2290</v>
      </c>
      <c r="C1103" s="50" t="s">
        <v>1234</v>
      </c>
      <c r="D1103" s="33" t="s">
        <v>2829</v>
      </c>
      <c r="E1103" s="50" t="s">
        <v>223</v>
      </c>
    </row>
    <row r="1104" spans="1:5" ht="13.2">
      <c r="A1104" s="61">
        <v>2180</v>
      </c>
      <c r="B1104" s="50" t="s">
        <v>1187</v>
      </c>
      <c r="C1104" s="50" t="s">
        <v>1099</v>
      </c>
      <c r="D1104" s="33" t="s">
        <v>3509</v>
      </c>
      <c r="E1104" s="50" t="s">
        <v>2037</v>
      </c>
    </row>
    <row r="1105" spans="1:5" ht="13.2">
      <c r="A1105" s="61">
        <v>2183</v>
      </c>
      <c r="B1105" s="50" t="s">
        <v>1188</v>
      </c>
      <c r="C1105" s="50" t="s">
        <v>321</v>
      </c>
      <c r="D1105" s="33" t="s">
        <v>3142</v>
      </c>
      <c r="E1105" s="50" t="s">
        <v>451</v>
      </c>
    </row>
    <row r="1106" spans="1:5" ht="13.2">
      <c r="A1106" s="61">
        <v>2184</v>
      </c>
      <c r="B1106" s="50" t="s">
        <v>322</v>
      </c>
      <c r="C1106" s="50" t="s">
        <v>1172</v>
      </c>
      <c r="D1106" s="33" t="s">
        <v>350</v>
      </c>
      <c r="E1106" s="50" t="s">
        <v>1225</v>
      </c>
    </row>
    <row r="1107" spans="1:5" ht="13.2">
      <c r="A1107" s="61">
        <v>2185</v>
      </c>
      <c r="B1107" s="50" t="s">
        <v>323</v>
      </c>
      <c r="C1107" s="50" t="s">
        <v>617</v>
      </c>
      <c r="D1107" s="33" t="s">
        <v>4180</v>
      </c>
      <c r="E1107" s="50" t="s">
        <v>2037</v>
      </c>
    </row>
    <row r="1108" spans="1:5" ht="13.2">
      <c r="A1108" s="61">
        <v>2189</v>
      </c>
      <c r="B1108" s="50" t="s">
        <v>324</v>
      </c>
      <c r="C1108" s="50" t="s">
        <v>194</v>
      </c>
      <c r="D1108" s="33" t="s">
        <v>4181</v>
      </c>
      <c r="E1108" s="50" t="s">
        <v>223</v>
      </c>
    </row>
    <row r="1109" spans="1:5" ht="13.2">
      <c r="A1109" s="61">
        <v>2190</v>
      </c>
      <c r="B1109" s="50" t="s">
        <v>325</v>
      </c>
      <c r="C1109" s="50" t="s">
        <v>190</v>
      </c>
      <c r="D1109" s="33" t="s">
        <v>3050</v>
      </c>
      <c r="E1109" s="50" t="s">
        <v>223</v>
      </c>
    </row>
    <row r="1110" spans="1:5" ht="13.2">
      <c r="A1110" s="61">
        <v>2193</v>
      </c>
      <c r="B1110" s="50" t="s">
        <v>384</v>
      </c>
      <c r="C1110" s="50" t="s">
        <v>864</v>
      </c>
      <c r="D1110" s="33" t="s">
        <v>4182</v>
      </c>
      <c r="E1110" s="50" t="s">
        <v>223</v>
      </c>
    </row>
    <row r="1111" spans="1:5" ht="13.2">
      <c r="A1111" s="61">
        <v>2196</v>
      </c>
      <c r="B1111" s="50" t="s">
        <v>385</v>
      </c>
      <c r="C1111" s="50" t="s">
        <v>336</v>
      </c>
      <c r="D1111" s="33" t="s">
        <v>2384</v>
      </c>
      <c r="E1111" s="50" t="s">
        <v>223</v>
      </c>
    </row>
    <row r="1112" spans="1:5" ht="13.2">
      <c r="A1112" s="61">
        <v>2199</v>
      </c>
      <c r="B1112" s="50" t="s">
        <v>630</v>
      </c>
      <c r="C1112" s="50" t="s">
        <v>1240</v>
      </c>
      <c r="D1112" s="33" t="s">
        <v>3356</v>
      </c>
      <c r="E1112" s="50" t="s">
        <v>451</v>
      </c>
    </row>
    <row r="1113" spans="1:5" ht="13.2">
      <c r="A1113" s="61">
        <v>2200</v>
      </c>
      <c r="B1113" s="50" t="s">
        <v>386</v>
      </c>
      <c r="C1113" s="50" t="s">
        <v>286</v>
      </c>
      <c r="D1113" s="33" t="s">
        <v>3358</v>
      </c>
      <c r="E1113" s="50" t="s">
        <v>451</v>
      </c>
    </row>
    <row r="1114" spans="1:5" ht="13.2">
      <c r="A1114" s="61">
        <v>2202</v>
      </c>
      <c r="B1114" s="50" t="s">
        <v>387</v>
      </c>
      <c r="C1114" s="50" t="s">
        <v>553</v>
      </c>
      <c r="D1114" s="33" t="s">
        <v>1942</v>
      </c>
      <c r="E1114" s="50" t="s">
        <v>451</v>
      </c>
    </row>
    <row r="1115" spans="1:5" ht="13.2">
      <c r="A1115" s="61">
        <v>2207</v>
      </c>
      <c r="B1115" s="50" t="s">
        <v>3304</v>
      </c>
      <c r="C1115" s="50" t="s">
        <v>864</v>
      </c>
      <c r="D1115" s="33" t="s">
        <v>4183</v>
      </c>
      <c r="E1115" s="50" t="s">
        <v>223</v>
      </c>
    </row>
    <row r="1116" spans="1:5" ht="13.2">
      <c r="A1116" s="61">
        <v>2211</v>
      </c>
      <c r="B1116" s="50" t="s">
        <v>388</v>
      </c>
      <c r="C1116" s="50" t="s">
        <v>1233</v>
      </c>
      <c r="D1116" s="33" t="s">
        <v>4184</v>
      </c>
      <c r="E1116" s="50" t="s">
        <v>223</v>
      </c>
    </row>
    <row r="1117" spans="1:5" ht="13.2">
      <c r="A1117" s="61">
        <v>2212</v>
      </c>
      <c r="B1117" s="50" t="s">
        <v>986</v>
      </c>
      <c r="C1117" s="50" t="s">
        <v>477</v>
      </c>
      <c r="D1117" s="33" t="s">
        <v>1372</v>
      </c>
      <c r="E1117" s="50" t="s">
        <v>223</v>
      </c>
    </row>
    <row r="1118" spans="1:5" ht="13.2">
      <c r="A1118" s="61">
        <v>2213</v>
      </c>
      <c r="B1118" s="50" t="s">
        <v>76</v>
      </c>
      <c r="C1118" s="50" t="s">
        <v>425</v>
      </c>
      <c r="D1118" s="33" t="s">
        <v>2273</v>
      </c>
      <c r="E1118" s="50" t="s">
        <v>223</v>
      </c>
    </row>
    <row r="1119" spans="1:5" ht="13.2">
      <c r="A1119" s="61">
        <v>2219</v>
      </c>
      <c r="B1119" s="50" t="s">
        <v>1217</v>
      </c>
      <c r="C1119" s="50" t="s">
        <v>640</v>
      </c>
      <c r="D1119" s="33" t="s">
        <v>4185</v>
      </c>
      <c r="E1119" s="50" t="s">
        <v>223</v>
      </c>
    </row>
    <row r="1120" spans="1:5" ht="13.2">
      <c r="A1120" s="61">
        <v>2223</v>
      </c>
      <c r="B1120" s="50" t="s">
        <v>1218</v>
      </c>
      <c r="C1120" s="50" t="s">
        <v>79</v>
      </c>
      <c r="D1120" s="33" t="s">
        <v>3143</v>
      </c>
      <c r="E1120" s="50" t="s">
        <v>2037</v>
      </c>
    </row>
    <row r="1121" spans="1:5" ht="13.2">
      <c r="A1121" s="61">
        <v>2224</v>
      </c>
      <c r="B1121" s="50" t="s">
        <v>1219</v>
      </c>
      <c r="C1121" s="50" t="s">
        <v>370</v>
      </c>
      <c r="D1121" s="33" t="s">
        <v>3385</v>
      </c>
      <c r="E1121" s="50" t="s">
        <v>451</v>
      </c>
    </row>
    <row r="1122" spans="1:5" ht="13.2">
      <c r="A1122" s="61">
        <v>2226</v>
      </c>
      <c r="B1122" s="50" t="s">
        <v>1220</v>
      </c>
      <c r="C1122" s="50" t="s">
        <v>964</v>
      </c>
      <c r="D1122" s="33" t="s">
        <v>2954</v>
      </c>
      <c r="E1122" s="50" t="s">
        <v>223</v>
      </c>
    </row>
    <row r="1123" spans="1:5" ht="13.2">
      <c r="A1123" s="61">
        <v>2230</v>
      </c>
      <c r="B1123" s="50" t="s">
        <v>105</v>
      </c>
      <c r="C1123" s="50" t="s">
        <v>79</v>
      </c>
      <c r="D1123" s="33" t="s">
        <v>3352</v>
      </c>
      <c r="E1123" s="50" t="s">
        <v>223</v>
      </c>
    </row>
    <row r="1124" spans="1:5" ht="13.2">
      <c r="A1124" s="61">
        <v>2232</v>
      </c>
      <c r="B1124" s="50" t="s">
        <v>1471</v>
      </c>
      <c r="C1124" s="50" t="s">
        <v>336</v>
      </c>
      <c r="D1124" s="33" t="s">
        <v>4186</v>
      </c>
      <c r="E1124" s="50" t="s">
        <v>2037</v>
      </c>
    </row>
    <row r="1125" spans="1:5" ht="13.2">
      <c r="A1125" s="61">
        <v>2235</v>
      </c>
      <c r="B1125" s="50" t="s">
        <v>1221</v>
      </c>
      <c r="C1125" s="50" t="s">
        <v>336</v>
      </c>
      <c r="D1125" s="33" t="s">
        <v>3031</v>
      </c>
      <c r="E1125" s="50" t="s">
        <v>1339</v>
      </c>
    </row>
    <row r="1126" spans="1:5" ht="13.2">
      <c r="A1126" s="61">
        <v>2238</v>
      </c>
      <c r="B1126" s="50" t="s">
        <v>1995</v>
      </c>
      <c r="C1126" s="50" t="s">
        <v>1013</v>
      </c>
      <c r="D1126" s="33" t="s">
        <v>4187</v>
      </c>
      <c r="E1126" s="50" t="s">
        <v>451</v>
      </c>
    </row>
    <row r="1127" spans="1:5" ht="13.2">
      <c r="A1127" s="61">
        <v>2239</v>
      </c>
      <c r="B1127" s="50" t="s">
        <v>883</v>
      </c>
      <c r="C1127" s="50" t="s">
        <v>72</v>
      </c>
      <c r="D1127" s="33" t="s">
        <v>4188</v>
      </c>
      <c r="E1127" s="50" t="s">
        <v>223</v>
      </c>
    </row>
    <row r="1128" spans="1:5" ht="13.2">
      <c r="A1128" s="61">
        <v>2241</v>
      </c>
      <c r="B1128" s="50" t="s">
        <v>1248</v>
      </c>
      <c r="C1128" s="50" t="s">
        <v>1522</v>
      </c>
      <c r="D1128" s="33" t="s">
        <v>3359</v>
      </c>
      <c r="E1128" s="50" t="s">
        <v>451</v>
      </c>
    </row>
    <row r="1129" spans="1:5" ht="13.2">
      <c r="A1129" s="61">
        <v>2243</v>
      </c>
      <c r="B1129" s="50" t="s">
        <v>550</v>
      </c>
      <c r="C1129" s="50" t="s">
        <v>1534</v>
      </c>
      <c r="D1129" s="33" t="s">
        <v>4189</v>
      </c>
      <c r="E1129" s="50" t="s">
        <v>223</v>
      </c>
    </row>
    <row r="1130" spans="1:5" ht="13.2">
      <c r="A1130" s="61">
        <v>2245</v>
      </c>
      <c r="B1130" s="50" t="s">
        <v>884</v>
      </c>
      <c r="C1130" s="50" t="s">
        <v>635</v>
      </c>
      <c r="D1130" s="33" t="s">
        <v>2761</v>
      </c>
      <c r="E1130" s="50" t="s">
        <v>223</v>
      </c>
    </row>
    <row r="1131" spans="1:5" ht="13.2">
      <c r="A1131" s="61">
        <v>2247</v>
      </c>
      <c r="B1131" s="50" t="s">
        <v>1303</v>
      </c>
      <c r="C1131" s="50" t="s">
        <v>800</v>
      </c>
      <c r="D1131" s="33" t="s">
        <v>1544</v>
      </c>
      <c r="E1131" s="50" t="s">
        <v>223</v>
      </c>
    </row>
    <row r="1132" spans="1:5" ht="13.2">
      <c r="A1132" s="61">
        <v>2248</v>
      </c>
      <c r="B1132" s="50" t="s">
        <v>295</v>
      </c>
      <c r="C1132" s="50" t="s">
        <v>1345</v>
      </c>
      <c r="D1132" s="33" t="s">
        <v>530</v>
      </c>
      <c r="E1132" s="50" t="s">
        <v>223</v>
      </c>
    </row>
    <row r="1133" spans="1:5" ht="13.2">
      <c r="A1133" s="61">
        <v>2250</v>
      </c>
      <c r="B1133" s="50" t="s">
        <v>2115</v>
      </c>
      <c r="C1133" s="50" t="s">
        <v>1099</v>
      </c>
      <c r="D1133" s="33" t="s">
        <v>4190</v>
      </c>
      <c r="E1133" s="50" t="s">
        <v>223</v>
      </c>
    </row>
    <row r="1134" spans="1:5" ht="13.2">
      <c r="A1134" s="61">
        <v>2254</v>
      </c>
      <c r="B1134" s="50" t="s">
        <v>885</v>
      </c>
      <c r="C1134" s="50" t="s">
        <v>1527</v>
      </c>
      <c r="D1134" s="33" t="s">
        <v>3354</v>
      </c>
      <c r="E1134" s="50" t="s">
        <v>223</v>
      </c>
    </row>
    <row r="1135" spans="1:5" ht="13.2">
      <c r="A1135" s="61">
        <v>2255</v>
      </c>
      <c r="B1135" s="50" t="s">
        <v>886</v>
      </c>
      <c r="C1135" s="50" t="s">
        <v>619</v>
      </c>
      <c r="D1135" s="33" t="s">
        <v>2185</v>
      </c>
      <c r="E1135" s="50" t="s">
        <v>1225</v>
      </c>
    </row>
    <row r="1136" spans="1:5" ht="13.2">
      <c r="A1136" s="61">
        <v>2263</v>
      </c>
      <c r="B1136" s="50" t="s">
        <v>2043</v>
      </c>
      <c r="C1136" s="50" t="s">
        <v>778</v>
      </c>
      <c r="D1136" s="33" t="s">
        <v>4191</v>
      </c>
      <c r="E1136" s="50" t="s">
        <v>223</v>
      </c>
    </row>
    <row r="1137" spans="1:5" ht="13.2">
      <c r="A1137" s="61">
        <v>2265</v>
      </c>
      <c r="B1137" s="50" t="s">
        <v>887</v>
      </c>
      <c r="C1137" s="50" t="s">
        <v>777</v>
      </c>
      <c r="D1137" s="33" t="s">
        <v>2139</v>
      </c>
      <c r="E1137" s="50" t="s">
        <v>451</v>
      </c>
    </row>
    <row r="1138" spans="1:5" ht="13.2">
      <c r="A1138" s="61">
        <v>2266</v>
      </c>
      <c r="B1138" s="50" t="s">
        <v>888</v>
      </c>
      <c r="C1138" s="50" t="s">
        <v>242</v>
      </c>
      <c r="D1138" s="33" t="s">
        <v>4192</v>
      </c>
      <c r="E1138" s="50" t="s">
        <v>1366</v>
      </c>
    </row>
    <row r="1139" spans="1:5" ht="13.2">
      <c r="A1139" s="61">
        <v>2269</v>
      </c>
      <c r="B1139" s="50" t="s">
        <v>889</v>
      </c>
      <c r="C1139" s="50" t="s">
        <v>1240</v>
      </c>
      <c r="D1139" s="33" t="s">
        <v>2613</v>
      </c>
      <c r="E1139" s="50" t="s">
        <v>223</v>
      </c>
    </row>
    <row r="1140" spans="1:5" ht="13.2">
      <c r="A1140" s="61">
        <v>2273</v>
      </c>
      <c r="B1140" s="50" t="s">
        <v>358</v>
      </c>
      <c r="C1140" s="50" t="s">
        <v>642</v>
      </c>
      <c r="D1140" s="33" t="s">
        <v>4193</v>
      </c>
      <c r="E1140" s="50" t="s">
        <v>223</v>
      </c>
    </row>
    <row r="1141" spans="1:5" ht="13.2">
      <c r="A1141" s="61">
        <v>2275</v>
      </c>
      <c r="B1141" s="50" t="s">
        <v>661</v>
      </c>
      <c r="C1141" s="50" t="s">
        <v>246</v>
      </c>
      <c r="D1141" s="33" t="s">
        <v>1943</v>
      </c>
      <c r="E1141" s="50" t="s">
        <v>223</v>
      </c>
    </row>
    <row r="1142" spans="1:5" ht="13.2">
      <c r="A1142" s="61">
        <v>2278</v>
      </c>
      <c r="B1142" s="50" t="s">
        <v>662</v>
      </c>
      <c r="C1142" s="50" t="s">
        <v>663</v>
      </c>
      <c r="D1142" s="33" t="s">
        <v>4194</v>
      </c>
      <c r="E1142" s="50" t="s">
        <v>451</v>
      </c>
    </row>
    <row r="1143" spans="1:5" ht="13.2">
      <c r="A1143" s="61">
        <v>2283</v>
      </c>
      <c r="B1143" s="50" t="s">
        <v>664</v>
      </c>
      <c r="C1143" s="50" t="s">
        <v>263</v>
      </c>
      <c r="D1143" s="33" t="s">
        <v>4195</v>
      </c>
      <c r="E1143" s="50" t="s">
        <v>2037</v>
      </c>
    </row>
    <row r="1144" spans="1:5" ht="13.2">
      <c r="A1144" s="61">
        <v>2285</v>
      </c>
      <c r="B1144" s="50" t="s">
        <v>665</v>
      </c>
      <c r="C1144" s="50" t="s">
        <v>326</v>
      </c>
      <c r="D1144" s="33" t="s">
        <v>4196</v>
      </c>
      <c r="E1144" s="50" t="s">
        <v>223</v>
      </c>
    </row>
    <row r="1145" spans="1:5" ht="13.2">
      <c r="A1145" s="61">
        <v>2286</v>
      </c>
      <c r="B1145" s="50" t="s">
        <v>245</v>
      </c>
      <c r="C1145" s="50" t="s">
        <v>242</v>
      </c>
      <c r="D1145" s="33" t="s">
        <v>4197</v>
      </c>
      <c r="E1145" s="50" t="s">
        <v>2037</v>
      </c>
    </row>
    <row r="1146" spans="1:5" ht="13.2">
      <c r="A1146" s="61">
        <v>2288</v>
      </c>
      <c r="B1146" s="50" t="s">
        <v>1468</v>
      </c>
      <c r="C1146" s="50" t="s">
        <v>326</v>
      </c>
      <c r="D1146" s="33" t="s">
        <v>344</v>
      </c>
      <c r="E1146" s="50" t="s">
        <v>451</v>
      </c>
    </row>
    <row r="1147" spans="1:5" ht="13.2">
      <c r="A1147" s="61">
        <v>2291</v>
      </c>
      <c r="B1147" s="50" t="s">
        <v>666</v>
      </c>
      <c r="C1147" s="50" t="s">
        <v>246</v>
      </c>
      <c r="D1147" s="33" t="s">
        <v>4198</v>
      </c>
      <c r="E1147" s="50" t="s">
        <v>223</v>
      </c>
    </row>
    <row r="1148" spans="1:5" ht="13.2">
      <c r="A1148" s="61">
        <v>2292</v>
      </c>
      <c r="B1148" s="50" t="s">
        <v>521</v>
      </c>
      <c r="C1148" s="50" t="s">
        <v>336</v>
      </c>
      <c r="D1148" s="33" t="s">
        <v>3144</v>
      </c>
      <c r="E1148" s="50" t="s">
        <v>223</v>
      </c>
    </row>
    <row r="1149" spans="1:5" ht="13.2">
      <c r="A1149" s="61">
        <v>2293</v>
      </c>
      <c r="B1149" s="50" t="s">
        <v>667</v>
      </c>
      <c r="C1149" s="50" t="s">
        <v>1234</v>
      </c>
      <c r="D1149" s="33" t="s">
        <v>4199</v>
      </c>
      <c r="E1149" s="50" t="s">
        <v>223</v>
      </c>
    </row>
    <row r="1150" spans="1:5" ht="13.2">
      <c r="A1150" s="61">
        <v>2295</v>
      </c>
      <c r="B1150" s="50" t="s">
        <v>773</v>
      </c>
      <c r="C1150" s="50" t="s">
        <v>778</v>
      </c>
      <c r="D1150" s="33" t="s">
        <v>3145</v>
      </c>
      <c r="E1150" s="50" t="s">
        <v>223</v>
      </c>
    </row>
    <row r="1151" spans="1:5" ht="13.2">
      <c r="A1151" s="61">
        <v>2296</v>
      </c>
      <c r="B1151" s="50" t="s">
        <v>668</v>
      </c>
      <c r="C1151" s="50" t="s">
        <v>1246</v>
      </c>
      <c r="D1151" s="33" t="s">
        <v>3502</v>
      </c>
      <c r="E1151" s="50" t="s">
        <v>223</v>
      </c>
    </row>
    <row r="1152" spans="1:5" ht="13.2">
      <c r="A1152" s="61">
        <v>2297</v>
      </c>
      <c r="B1152" s="50" t="s">
        <v>669</v>
      </c>
      <c r="C1152" s="50" t="s">
        <v>1414</v>
      </c>
      <c r="D1152" s="33" t="s">
        <v>4200</v>
      </c>
      <c r="E1152" s="50" t="s">
        <v>223</v>
      </c>
    </row>
    <row r="1153" spans="1:5" ht="13.2">
      <c r="A1153" s="61">
        <v>2300</v>
      </c>
      <c r="B1153" s="50" t="s">
        <v>1255</v>
      </c>
      <c r="C1153" s="50" t="s">
        <v>989</v>
      </c>
      <c r="D1153" s="33" t="s">
        <v>4201</v>
      </c>
      <c r="E1153" s="50" t="s">
        <v>223</v>
      </c>
    </row>
    <row r="1154" spans="1:5" ht="13.2">
      <c r="A1154" s="61">
        <v>2301</v>
      </c>
      <c r="B1154" s="50" t="s">
        <v>670</v>
      </c>
      <c r="C1154" s="50" t="s">
        <v>1534</v>
      </c>
      <c r="D1154" s="33" t="s">
        <v>3355</v>
      </c>
      <c r="E1154" s="50" t="s">
        <v>451</v>
      </c>
    </row>
    <row r="1155" spans="1:5" ht="13.2">
      <c r="A1155" s="61">
        <v>2306</v>
      </c>
      <c r="B1155" s="50" t="s">
        <v>671</v>
      </c>
      <c r="C1155" s="50" t="s">
        <v>1197</v>
      </c>
      <c r="D1155" s="33" t="s">
        <v>3488</v>
      </c>
      <c r="E1155" s="50" t="s">
        <v>2037</v>
      </c>
    </row>
    <row r="1156" spans="1:5" ht="13.2">
      <c r="A1156" s="61">
        <v>2308</v>
      </c>
      <c r="B1156" s="50" t="s">
        <v>2116</v>
      </c>
      <c r="C1156" s="50" t="s">
        <v>1534</v>
      </c>
      <c r="D1156" s="33" t="s">
        <v>1542</v>
      </c>
      <c r="E1156" s="50" t="s">
        <v>451</v>
      </c>
    </row>
    <row r="1157" spans="1:5" ht="13.2">
      <c r="A1157" s="61">
        <v>2310</v>
      </c>
      <c r="B1157" s="50" t="s">
        <v>52</v>
      </c>
      <c r="C1157" s="50" t="s">
        <v>642</v>
      </c>
      <c r="D1157" s="33" t="s">
        <v>4202</v>
      </c>
      <c r="E1157" s="50" t="s">
        <v>223</v>
      </c>
    </row>
    <row r="1158" spans="1:5" ht="13.2">
      <c r="A1158" s="61">
        <v>2312</v>
      </c>
      <c r="B1158" s="50" t="s">
        <v>1498</v>
      </c>
      <c r="C1158" s="50" t="s">
        <v>1197</v>
      </c>
      <c r="D1158" s="33" t="s">
        <v>4203</v>
      </c>
      <c r="E1158" s="50" t="s">
        <v>223</v>
      </c>
    </row>
    <row r="1159" spans="1:5" ht="13.2">
      <c r="A1159" s="61">
        <v>2313</v>
      </c>
      <c r="B1159" s="50" t="s">
        <v>672</v>
      </c>
      <c r="C1159" s="50" t="s">
        <v>989</v>
      </c>
      <c r="D1159" s="33" t="s">
        <v>3357</v>
      </c>
      <c r="E1159" s="50" t="s">
        <v>451</v>
      </c>
    </row>
    <row r="1160" spans="1:5" ht="13.2">
      <c r="A1160" s="61">
        <v>2314</v>
      </c>
      <c r="B1160" s="50" t="s">
        <v>506</v>
      </c>
      <c r="C1160" s="50" t="s">
        <v>1414</v>
      </c>
      <c r="D1160" s="33" t="s">
        <v>3406</v>
      </c>
      <c r="E1160" s="50" t="s">
        <v>2037</v>
      </c>
    </row>
    <row r="1161" spans="1:5" ht="13.2">
      <c r="A1161" s="61">
        <v>2315</v>
      </c>
      <c r="B1161" s="50" t="s">
        <v>673</v>
      </c>
      <c r="C1161" s="50" t="s">
        <v>190</v>
      </c>
      <c r="D1161" s="33" t="s">
        <v>2622</v>
      </c>
      <c r="E1161" s="50" t="s">
        <v>1225</v>
      </c>
    </row>
    <row r="1162" spans="1:5" ht="13.2">
      <c r="A1162" s="61">
        <v>2316</v>
      </c>
      <c r="B1162" s="50" t="s">
        <v>674</v>
      </c>
      <c r="C1162" s="50" t="s">
        <v>242</v>
      </c>
      <c r="D1162" s="33" t="s">
        <v>4204</v>
      </c>
      <c r="E1162" s="50" t="s">
        <v>223</v>
      </c>
    </row>
    <row r="1163" spans="1:5" ht="13.2">
      <c r="A1163" s="61">
        <v>2317</v>
      </c>
      <c r="B1163" s="50" t="s">
        <v>675</v>
      </c>
      <c r="C1163" s="50" t="s">
        <v>1522</v>
      </c>
      <c r="D1163" s="33" t="s">
        <v>4205</v>
      </c>
      <c r="E1163" s="50" t="s">
        <v>451</v>
      </c>
    </row>
    <row r="1164" spans="1:5" ht="13.2">
      <c r="A1164" s="61">
        <v>2318</v>
      </c>
      <c r="B1164" s="50" t="s">
        <v>471</v>
      </c>
      <c r="C1164" s="50" t="s">
        <v>1534</v>
      </c>
      <c r="D1164" s="33" t="s">
        <v>4206</v>
      </c>
      <c r="E1164" s="50" t="s">
        <v>223</v>
      </c>
    </row>
    <row r="1165" spans="1:5" ht="13.2">
      <c r="A1165" s="61">
        <v>2319</v>
      </c>
      <c r="B1165" s="50" t="s">
        <v>676</v>
      </c>
      <c r="C1165" s="50" t="s">
        <v>188</v>
      </c>
      <c r="D1165" s="33" t="s">
        <v>2966</v>
      </c>
      <c r="E1165" s="50" t="s">
        <v>223</v>
      </c>
    </row>
    <row r="1166" spans="1:5" ht="13.2">
      <c r="A1166" s="61">
        <v>2320</v>
      </c>
      <c r="B1166" s="50" t="s">
        <v>927</v>
      </c>
      <c r="C1166" s="50" t="s">
        <v>140</v>
      </c>
      <c r="D1166" s="33" t="s">
        <v>4207</v>
      </c>
      <c r="E1166" s="50" t="s">
        <v>223</v>
      </c>
    </row>
    <row r="1167" spans="1:5" ht="13.2">
      <c r="A1167" s="61">
        <v>2325</v>
      </c>
      <c r="B1167" s="50" t="s">
        <v>874</v>
      </c>
      <c r="C1167" s="50" t="s">
        <v>140</v>
      </c>
      <c r="D1167" s="33" t="s">
        <v>4208</v>
      </c>
      <c r="E1167" s="50" t="s">
        <v>223</v>
      </c>
    </row>
    <row r="1168" spans="1:5" ht="13.2">
      <c r="A1168" s="61">
        <v>2328</v>
      </c>
      <c r="B1168" s="50" t="s">
        <v>62</v>
      </c>
      <c r="C1168" s="50" t="s">
        <v>640</v>
      </c>
      <c r="D1168" s="33" t="s">
        <v>2137</v>
      </c>
      <c r="E1168" s="50" t="s">
        <v>451</v>
      </c>
    </row>
    <row r="1169" spans="1:5" ht="13.2">
      <c r="A1169" s="61">
        <v>2331</v>
      </c>
      <c r="B1169" s="50" t="s">
        <v>677</v>
      </c>
      <c r="C1169" s="50" t="s">
        <v>79</v>
      </c>
      <c r="D1169" s="33" t="s">
        <v>4209</v>
      </c>
      <c r="E1169" s="50" t="s">
        <v>223</v>
      </c>
    </row>
    <row r="1170" spans="1:5" ht="13.2">
      <c r="A1170" s="61">
        <v>2332</v>
      </c>
      <c r="B1170" s="50" t="s">
        <v>678</v>
      </c>
      <c r="C1170" s="50" t="s">
        <v>966</v>
      </c>
      <c r="D1170" s="33" t="s">
        <v>2885</v>
      </c>
      <c r="E1170" s="50" t="s">
        <v>451</v>
      </c>
    </row>
    <row r="1171" spans="1:5" ht="13.2">
      <c r="A1171" s="61">
        <v>2337</v>
      </c>
      <c r="B1171" s="50" t="s">
        <v>679</v>
      </c>
      <c r="C1171" s="50" t="s">
        <v>1345</v>
      </c>
      <c r="D1171" s="33" t="s">
        <v>4210</v>
      </c>
      <c r="E1171" s="50" t="s">
        <v>223</v>
      </c>
    </row>
    <row r="1172" spans="1:5" ht="13.2">
      <c r="A1172" s="61">
        <v>2340</v>
      </c>
      <c r="B1172" s="50" t="s">
        <v>680</v>
      </c>
      <c r="C1172" s="50" t="s">
        <v>370</v>
      </c>
      <c r="D1172" s="33" t="s">
        <v>3351</v>
      </c>
      <c r="E1172" s="50" t="s">
        <v>223</v>
      </c>
    </row>
    <row r="1173" spans="1:5" ht="13.2">
      <c r="A1173" s="61">
        <v>2342</v>
      </c>
      <c r="B1173" s="50" t="s">
        <v>811</v>
      </c>
      <c r="C1173" s="50" t="s">
        <v>640</v>
      </c>
      <c r="D1173" s="33" t="s">
        <v>4211</v>
      </c>
      <c r="E1173" s="50" t="s">
        <v>2610</v>
      </c>
    </row>
    <row r="1174" spans="1:5" ht="13.2">
      <c r="A1174" s="61">
        <v>2343</v>
      </c>
      <c r="B1174" s="50" t="s">
        <v>812</v>
      </c>
      <c r="C1174" s="50" t="s">
        <v>1246</v>
      </c>
      <c r="D1174" s="33" t="s">
        <v>4212</v>
      </c>
      <c r="E1174" s="50" t="s">
        <v>223</v>
      </c>
    </row>
    <row r="1175" spans="1:5" ht="13.2">
      <c r="A1175" s="61">
        <v>2344</v>
      </c>
      <c r="B1175" s="50" t="s">
        <v>813</v>
      </c>
      <c r="C1175" s="50" t="s">
        <v>1208</v>
      </c>
      <c r="D1175" s="33" t="s">
        <v>3544</v>
      </c>
      <c r="E1175" s="50" t="s">
        <v>223</v>
      </c>
    </row>
    <row r="1176" spans="1:5" ht="13.2">
      <c r="A1176" s="61">
        <v>2348</v>
      </c>
      <c r="B1176" s="50" t="s">
        <v>1507</v>
      </c>
      <c r="C1176" s="50" t="s">
        <v>777</v>
      </c>
      <c r="D1176" s="33" t="s">
        <v>4213</v>
      </c>
      <c r="E1176" s="50" t="s">
        <v>223</v>
      </c>
    </row>
    <row r="1177" spans="1:5" ht="13.2">
      <c r="A1177" s="61">
        <v>2349</v>
      </c>
      <c r="B1177" s="50" t="s">
        <v>1461</v>
      </c>
      <c r="C1177" s="50" t="s">
        <v>188</v>
      </c>
      <c r="D1177" s="33" t="s">
        <v>4214</v>
      </c>
      <c r="E1177" s="50" t="s">
        <v>223</v>
      </c>
    </row>
    <row r="1178" spans="1:5" ht="13.2">
      <c r="A1178" s="61">
        <v>2354</v>
      </c>
      <c r="B1178" s="50" t="s">
        <v>814</v>
      </c>
      <c r="C1178" s="50" t="s">
        <v>246</v>
      </c>
      <c r="D1178" s="33" t="s">
        <v>4215</v>
      </c>
      <c r="E1178" s="50" t="s">
        <v>223</v>
      </c>
    </row>
    <row r="1179" spans="1:5" ht="13.2">
      <c r="A1179" s="61">
        <v>2357</v>
      </c>
      <c r="B1179" s="50" t="s">
        <v>815</v>
      </c>
      <c r="C1179" s="50" t="s">
        <v>188</v>
      </c>
      <c r="D1179" s="33" t="s">
        <v>4216</v>
      </c>
      <c r="E1179" s="50" t="s">
        <v>223</v>
      </c>
    </row>
    <row r="1180" spans="1:5" ht="13.2">
      <c r="A1180" s="61">
        <v>2358</v>
      </c>
      <c r="B1180" s="50" t="s">
        <v>816</v>
      </c>
      <c r="C1180" s="50" t="s">
        <v>197</v>
      </c>
      <c r="D1180" s="33" t="s">
        <v>3146</v>
      </c>
      <c r="E1180" s="50" t="s">
        <v>2037</v>
      </c>
    </row>
    <row r="1181" spans="1:5" ht="13.2">
      <c r="A1181" s="61">
        <v>2359</v>
      </c>
      <c r="B1181" s="50" t="s">
        <v>817</v>
      </c>
      <c r="C1181" s="50" t="s">
        <v>1197</v>
      </c>
      <c r="D1181" s="33" t="s">
        <v>4217</v>
      </c>
      <c r="E1181" s="50" t="s">
        <v>223</v>
      </c>
    </row>
    <row r="1182" spans="1:5" ht="13.2">
      <c r="A1182" s="61">
        <v>2361</v>
      </c>
      <c r="B1182" s="50" t="s">
        <v>818</v>
      </c>
      <c r="C1182" s="50" t="s">
        <v>1345</v>
      </c>
      <c r="D1182" s="33" t="s">
        <v>3012</v>
      </c>
      <c r="E1182" s="50" t="s">
        <v>223</v>
      </c>
    </row>
    <row r="1183" spans="1:5" ht="13.2">
      <c r="A1183" s="61">
        <v>2364</v>
      </c>
      <c r="B1183" s="50" t="s">
        <v>819</v>
      </c>
      <c r="C1183" s="50" t="s">
        <v>261</v>
      </c>
      <c r="D1183" s="33" t="s">
        <v>1944</v>
      </c>
      <c r="E1183" s="50" t="s">
        <v>223</v>
      </c>
    </row>
    <row r="1184" spans="1:5" ht="13.2">
      <c r="A1184" s="61">
        <v>2365</v>
      </c>
      <c r="B1184" s="50" t="s">
        <v>1159</v>
      </c>
      <c r="C1184" s="50" t="s">
        <v>1414</v>
      </c>
      <c r="D1184" s="33" t="s">
        <v>4218</v>
      </c>
      <c r="E1184" s="50" t="s">
        <v>223</v>
      </c>
    </row>
    <row r="1185" spans="1:5" ht="13.2">
      <c r="A1185" s="61">
        <v>2370</v>
      </c>
      <c r="B1185" s="50" t="s">
        <v>2537</v>
      </c>
      <c r="C1185" s="50" t="s">
        <v>1534</v>
      </c>
      <c r="D1185" s="33" t="s">
        <v>2908</v>
      </c>
      <c r="E1185" s="50" t="s">
        <v>451</v>
      </c>
    </row>
    <row r="1186" spans="1:5" ht="13.2">
      <c r="A1186" s="61">
        <v>2373</v>
      </c>
      <c r="B1186" s="50" t="s">
        <v>1486</v>
      </c>
      <c r="C1186" s="50" t="s">
        <v>246</v>
      </c>
      <c r="D1186" s="33" t="s">
        <v>2821</v>
      </c>
      <c r="E1186" s="50" t="s">
        <v>223</v>
      </c>
    </row>
    <row r="1187" spans="1:5" ht="13.2">
      <c r="A1187" s="61">
        <v>2377</v>
      </c>
      <c r="B1187" s="50" t="s">
        <v>820</v>
      </c>
      <c r="C1187" s="50" t="s">
        <v>663</v>
      </c>
      <c r="D1187" s="33" t="s">
        <v>4219</v>
      </c>
      <c r="E1187" s="50" t="s">
        <v>223</v>
      </c>
    </row>
    <row r="1188" spans="1:5" ht="13.2">
      <c r="A1188" s="61">
        <v>2378</v>
      </c>
      <c r="B1188" s="50" t="s">
        <v>821</v>
      </c>
      <c r="C1188" s="50" t="s">
        <v>1240</v>
      </c>
      <c r="D1188" s="33" t="s">
        <v>4220</v>
      </c>
      <c r="E1188" s="50" t="s">
        <v>223</v>
      </c>
    </row>
    <row r="1189" spans="1:5" ht="13.2">
      <c r="A1189" s="61">
        <v>2381</v>
      </c>
      <c r="B1189" s="50" t="s">
        <v>576</v>
      </c>
      <c r="C1189" s="50" t="s">
        <v>642</v>
      </c>
      <c r="D1189" s="33" t="s">
        <v>4221</v>
      </c>
      <c r="E1189" s="50" t="s">
        <v>223</v>
      </c>
    </row>
    <row r="1190" spans="1:5" ht="13.2">
      <c r="A1190" s="61">
        <v>2388</v>
      </c>
      <c r="B1190" s="50" t="s">
        <v>822</v>
      </c>
      <c r="C1190" s="50" t="s">
        <v>716</v>
      </c>
      <c r="D1190" s="33" t="s">
        <v>3377</v>
      </c>
      <c r="E1190" s="50" t="s">
        <v>451</v>
      </c>
    </row>
    <row r="1191" spans="1:5" ht="13.2">
      <c r="A1191" s="61">
        <v>2391</v>
      </c>
      <c r="B1191" s="50" t="s">
        <v>1589</v>
      </c>
      <c r="C1191" s="50" t="s">
        <v>823</v>
      </c>
      <c r="D1191" s="33" t="s">
        <v>3504</v>
      </c>
      <c r="E1191" s="50" t="s">
        <v>223</v>
      </c>
    </row>
    <row r="1192" spans="1:5" ht="13.2">
      <c r="A1192" s="61">
        <v>2394</v>
      </c>
      <c r="B1192" s="50" t="s">
        <v>824</v>
      </c>
      <c r="C1192" s="50" t="s">
        <v>1197</v>
      </c>
      <c r="D1192" s="33" t="s">
        <v>4222</v>
      </c>
      <c r="E1192" s="50" t="s">
        <v>223</v>
      </c>
    </row>
    <row r="1193" spans="1:5" ht="13.2">
      <c r="A1193" s="61">
        <v>2396</v>
      </c>
      <c r="B1193" s="50" t="s">
        <v>825</v>
      </c>
      <c r="C1193" s="50" t="s">
        <v>199</v>
      </c>
      <c r="D1193" s="33" t="s">
        <v>2902</v>
      </c>
      <c r="E1193" s="50" t="s">
        <v>1224</v>
      </c>
    </row>
    <row r="1194" spans="1:5" ht="13.2">
      <c r="A1194" s="61">
        <v>2399</v>
      </c>
      <c r="B1194" s="50" t="s">
        <v>826</v>
      </c>
      <c r="C1194" s="50" t="s">
        <v>553</v>
      </c>
      <c r="D1194" s="33" t="s">
        <v>2475</v>
      </c>
      <c r="E1194" s="50" t="s">
        <v>223</v>
      </c>
    </row>
    <row r="1195" spans="1:5" ht="13.2">
      <c r="A1195" s="61">
        <v>2400</v>
      </c>
      <c r="B1195" s="50" t="s">
        <v>827</v>
      </c>
      <c r="C1195" s="50" t="s">
        <v>336</v>
      </c>
      <c r="D1195" s="33" t="s">
        <v>4223</v>
      </c>
      <c r="E1195" s="50" t="s">
        <v>1339</v>
      </c>
    </row>
    <row r="1196" spans="1:5" ht="13.2">
      <c r="A1196" s="61">
        <v>2401</v>
      </c>
      <c r="B1196" s="50" t="s">
        <v>828</v>
      </c>
      <c r="C1196" s="50" t="s">
        <v>637</v>
      </c>
      <c r="D1196" s="33" t="s">
        <v>4224</v>
      </c>
      <c r="E1196" s="50" t="s">
        <v>223</v>
      </c>
    </row>
    <row r="1197" spans="1:5" ht="13.2">
      <c r="A1197" s="61">
        <v>2402</v>
      </c>
      <c r="B1197" s="50" t="s">
        <v>829</v>
      </c>
      <c r="C1197" s="50" t="s">
        <v>640</v>
      </c>
      <c r="D1197" s="33" t="s">
        <v>2793</v>
      </c>
      <c r="E1197" s="50" t="s">
        <v>2035</v>
      </c>
    </row>
    <row r="1198" spans="1:5" ht="13.2">
      <c r="A1198" s="61">
        <v>2404</v>
      </c>
      <c r="B1198" s="50" t="s">
        <v>830</v>
      </c>
      <c r="C1198" s="50" t="s">
        <v>964</v>
      </c>
      <c r="D1198" s="33" t="s">
        <v>4225</v>
      </c>
      <c r="E1198" s="50" t="s">
        <v>223</v>
      </c>
    </row>
    <row r="1199" spans="1:5" ht="13.2">
      <c r="A1199" s="61">
        <v>2405</v>
      </c>
      <c r="B1199" s="50" t="s">
        <v>831</v>
      </c>
      <c r="C1199" s="50" t="s">
        <v>1246</v>
      </c>
      <c r="D1199" s="33" t="s">
        <v>4226</v>
      </c>
      <c r="E1199" s="50" t="s">
        <v>451</v>
      </c>
    </row>
    <row r="1200" spans="1:5" ht="13.2">
      <c r="A1200" s="61">
        <v>2408</v>
      </c>
      <c r="B1200" s="50" t="s">
        <v>832</v>
      </c>
      <c r="C1200" s="50" t="s">
        <v>1162</v>
      </c>
      <c r="D1200" s="33" t="s">
        <v>4227</v>
      </c>
      <c r="E1200" s="50" t="s">
        <v>2037</v>
      </c>
    </row>
    <row r="1201" spans="1:5" ht="13.2">
      <c r="A1201" s="61">
        <v>2415</v>
      </c>
      <c r="B1201" s="50" t="s">
        <v>833</v>
      </c>
      <c r="C1201" s="50" t="s">
        <v>782</v>
      </c>
      <c r="D1201" s="33" t="s">
        <v>4228</v>
      </c>
      <c r="E1201" s="50" t="s">
        <v>1225</v>
      </c>
    </row>
    <row r="1202" spans="1:5" ht="13.2">
      <c r="A1202" s="61">
        <v>2416</v>
      </c>
      <c r="B1202" s="50" t="s">
        <v>834</v>
      </c>
      <c r="C1202" s="50" t="s">
        <v>1364</v>
      </c>
      <c r="D1202" s="33" t="s">
        <v>3499</v>
      </c>
      <c r="E1202" s="50" t="s">
        <v>223</v>
      </c>
    </row>
    <row r="1203" spans="1:5" ht="13.2">
      <c r="A1203" s="61">
        <v>2420</v>
      </c>
      <c r="B1203" s="50" t="s">
        <v>411</v>
      </c>
      <c r="C1203" s="50" t="s">
        <v>640</v>
      </c>
      <c r="D1203" s="33" t="s">
        <v>348</v>
      </c>
      <c r="E1203" s="50" t="s">
        <v>223</v>
      </c>
    </row>
    <row r="1204" spans="1:5" ht="13.2">
      <c r="A1204" s="61">
        <v>2423</v>
      </c>
      <c r="B1204" s="50" t="s">
        <v>835</v>
      </c>
      <c r="C1204" s="50" t="s">
        <v>263</v>
      </c>
      <c r="D1204" s="33" t="s">
        <v>4229</v>
      </c>
      <c r="E1204" s="50" t="s">
        <v>223</v>
      </c>
    </row>
    <row r="1205" spans="1:5" ht="13.2">
      <c r="A1205" s="61">
        <v>2424</v>
      </c>
      <c r="B1205" s="50" t="s">
        <v>836</v>
      </c>
      <c r="C1205" s="50" t="s">
        <v>1534</v>
      </c>
      <c r="D1205" s="33" t="s">
        <v>4230</v>
      </c>
      <c r="E1205" s="50" t="s">
        <v>223</v>
      </c>
    </row>
    <row r="1206" spans="1:5" ht="13.2">
      <c r="A1206" s="61">
        <v>2426</v>
      </c>
      <c r="B1206" s="50" t="s">
        <v>922</v>
      </c>
      <c r="C1206" s="50" t="s">
        <v>778</v>
      </c>
      <c r="D1206" s="33" t="s">
        <v>4231</v>
      </c>
      <c r="E1206" s="50" t="s">
        <v>223</v>
      </c>
    </row>
    <row r="1207" spans="1:5" ht="13.2">
      <c r="A1207" s="61">
        <v>2431</v>
      </c>
      <c r="B1207" s="50" t="s">
        <v>837</v>
      </c>
      <c r="C1207" s="50" t="s">
        <v>194</v>
      </c>
      <c r="D1207" s="33" t="s">
        <v>3010</v>
      </c>
      <c r="E1207" s="50" t="s">
        <v>2037</v>
      </c>
    </row>
    <row r="1208" spans="1:5" ht="13.2">
      <c r="A1208" s="61">
        <v>2432</v>
      </c>
      <c r="B1208" s="50" t="s">
        <v>838</v>
      </c>
      <c r="C1208" s="50" t="s">
        <v>864</v>
      </c>
      <c r="D1208" s="33" t="s">
        <v>3353</v>
      </c>
      <c r="E1208" s="50" t="s">
        <v>223</v>
      </c>
    </row>
    <row r="1209" spans="1:5" ht="13.2">
      <c r="A1209" s="61">
        <v>2433</v>
      </c>
      <c r="B1209" s="50" t="s">
        <v>839</v>
      </c>
      <c r="C1209" s="50" t="s">
        <v>778</v>
      </c>
      <c r="D1209" s="33" t="s">
        <v>4232</v>
      </c>
      <c r="E1209" s="50" t="s">
        <v>1225</v>
      </c>
    </row>
    <row r="1210" spans="1:5" ht="13.2">
      <c r="A1210" s="61">
        <v>2434</v>
      </c>
      <c r="B1210" s="50" t="s">
        <v>925</v>
      </c>
      <c r="C1210" s="50" t="s">
        <v>775</v>
      </c>
      <c r="D1210" s="33" t="s">
        <v>2762</v>
      </c>
      <c r="E1210" s="50" t="s">
        <v>2037</v>
      </c>
    </row>
    <row r="1211" spans="1:5" ht="13.2">
      <c r="A1211" s="61">
        <v>2438</v>
      </c>
      <c r="B1211" s="50" t="s">
        <v>840</v>
      </c>
      <c r="C1211" s="50" t="s">
        <v>263</v>
      </c>
      <c r="D1211" s="33" t="s">
        <v>2143</v>
      </c>
      <c r="E1211" s="50" t="s">
        <v>223</v>
      </c>
    </row>
    <row r="1212" spans="1:5" ht="13.2">
      <c r="A1212" s="61">
        <v>2439</v>
      </c>
      <c r="B1212" s="50" t="s">
        <v>2044</v>
      </c>
      <c r="C1212" s="50" t="s">
        <v>477</v>
      </c>
      <c r="D1212" s="33" t="s">
        <v>2841</v>
      </c>
      <c r="E1212" s="50" t="s">
        <v>223</v>
      </c>
    </row>
    <row r="1213" spans="1:5" ht="13.2">
      <c r="A1213" s="61">
        <v>2441</v>
      </c>
      <c r="B1213" s="50" t="s">
        <v>248</v>
      </c>
      <c r="C1213" s="50" t="s">
        <v>263</v>
      </c>
      <c r="D1213" s="33" t="s">
        <v>4233</v>
      </c>
      <c r="E1213" s="50" t="s">
        <v>223</v>
      </c>
    </row>
    <row r="1214" spans="1:5" ht="13.2">
      <c r="A1214" s="61">
        <v>2442</v>
      </c>
      <c r="B1214" s="50" t="s">
        <v>249</v>
      </c>
      <c r="C1214" s="50" t="s">
        <v>1135</v>
      </c>
      <c r="D1214" s="33" t="s">
        <v>4234</v>
      </c>
      <c r="E1214" s="50" t="s">
        <v>223</v>
      </c>
    </row>
    <row r="1215" spans="1:5" ht="13.2">
      <c r="A1215" s="61">
        <v>2443</v>
      </c>
      <c r="B1215" s="50" t="s">
        <v>295</v>
      </c>
      <c r="C1215" s="50" t="s">
        <v>72</v>
      </c>
      <c r="D1215" s="33" t="s">
        <v>3046</v>
      </c>
      <c r="E1215" s="50" t="s">
        <v>2037</v>
      </c>
    </row>
    <row r="1216" spans="1:5" ht="13.2">
      <c r="A1216" s="61">
        <v>2446</v>
      </c>
      <c r="B1216" s="50" t="s">
        <v>500</v>
      </c>
      <c r="C1216" s="50" t="s">
        <v>1246</v>
      </c>
      <c r="D1216" s="33" t="s">
        <v>4235</v>
      </c>
      <c r="E1216" s="50" t="s">
        <v>223</v>
      </c>
    </row>
    <row r="1217" spans="1:5" ht="13.2">
      <c r="A1217" s="61">
        <v>2447</v>
      </c>
      <c r="B1217" s="50" t="s">
        <v>250</v>
      </c>
      <c r="C1217" s="50" t="s">
        <v>478</v>
      </c>
      <c r="D1217" s="33" t="s">
        <v>3485</v>
      </c>
      <c r="E1217" s="50" t="s">
        <v>2037</v>
      </c>
    </row>
    <row r="1218" spans="1:5" ht="13.2">
      <c r="A1218" s="61">
        <v>2453</v>
      </c>
      <c r="B1218" s="50" t="s">
        <v>2715</v>
      </c>
      <c r="C1218" s="50" t="s">
        <v>1099</v>
      </c>
      <c r="D1218" s="33" t="s">
        <v>4236</v>
      </c>
      <c r="E1218" s="50" t="s">
        <v>451</v>
      </c>
    </row>
    <row r="1219" spans="1:5" ht="13.2">
      <c r="A1219" s="61">
        <v>2461</v>
      </c>
      <c r="B1219" s="50" t="s">
        <v>288</v>
      </c>
      <c r="C1219" s="50" t="s">
        <v>964</v>
      </c>
      <c r="D1219" s="33" t="s">
        <v>4237</v>
      </c>
      <c r="E1219" s="50" t="s">
        <v>223</v>
      </c>
    </row>
    <row r="1220" spans="1:5" ht="13.2">
      <c r="A1220" s="61">
        <v>2462</v>
      </c>
      <c r="B1220" s="50" t="s">
        <v>1487</v>
      </c>
      <c r="C1220" s="50" t="s">
        <v>716</v>
      </c>
      <c r="D1220" s="33" t="s">
        <v>4238</v>
      </c>
      <c r="E1220" s="50" t="s">
        <v>223</v>
      </c>
    </row>
    <row r="1221" spans="1:5" ht="13.2">
      <c r="A1221" s="61">
        <v>2464</v>
      </c>
      <c r="B1221" s="50" t="s">
        <v>251</v>
      </c>
      <c r="C1221" s="50" t="s">
        <v>72</v>
      </c>
      <c r="D1221" s="33" t="s">
        <v>2967</v>
      </c>
      <c r="E1221" s="50" t="s">
        <v>451</v>
      </c>
    </row>
    <row r="1222" spans="1:5" ht="13.2">
      <c r="A1222" s="61">
        <v>2468</v>
      </c>
      <c r="B1222" s="50" t="s">
        <v>252</v>
      </c>
      <c r="C1222" s="50" t="s">
        <v>1197</v>
      </c>
      <c r="D1222" s="33" t="s">
        <v>4239</v>
      </c>
      <c r="E1222" s="50" t="s">
        <v>2037</v>
      </c>
    </row>
    <row r="1223" spans="1:5" ht="13.2">
      <c r="A1223" s="61">
        <v>2469</v>
      </c>
      <c r="B1223" s="50" t="s">
        <v>279</v>
      </c>
      <c r="C1223" s="50" t="s">
        <v>336</v>
      </c>
      <c r="D1223" s="33" t="s">
        <v>2822</v>
      </c>
      <c r="E1223" s="50" t="s">
        <v>223</v>
      </c>
    </row>
    <row r="1224" spans="1:5" ht="13.2">
      <c r="A1224" s="61">
        <v>2470</v>
      </c>
      <c r="B1224" s="50" t="s">
        <v>253</v>
      </c>
      <c r="C1224" s="50" t="s">
        <v>336</v>
      </c>
      <c r="D1224" s="33" t="s">
        <v>3369</v>
      </c>
      <c r="E1224" s="50" t="s">
        <v>451</v>
      </c>
    </row>
    <row r="1225" spans="1:5" ht="13.2">
      <c r="A1225" s="61">
        <v>2472</v>
      </c>
      <c r="B1225" s="50" t="s">
        <v>254</v>
      </c>
      <c r="C1225" s="50" t="s">
        <v>197</v>
      </c>
      <c r="D1225" s="33" t="s">
        <v>3008</v>
      </c>
      <c r="E1225" s="50" t="s">
        <v>2037</v>
      </c>
    </row>
    <row r="1226" spans="1:5" ht="13.2">
      <c r="A1226" s="61">
        <v>2482</v>
      </c>
      <c r="B1226" s="50" t="s">
        <v>826</v>
      </c>
      <c r="C1226" s="50" t="s">
        <v>203</v>
      </c>
      <c r="D1226" s="33" t="s">
        <v>4240</v>
      </c>
      <c r="E1226" s="50" t="s">
        <v>223</v>
      </c>
    </row>
    <row r="1227" spans="1:5" ht="13.2">
      <c r="A1227" s="61">
        <v>2483</v>
      </c>
      <c r="B1227" s="50" t="s">
        <v>255</v>
      </c>
      <c r="C1227" s="50" t="s">
        <v>246</v>
      </c>
      <c r="D1227" s="33" t="s">
        <v>4241</v>
      </c>
      <c r="E1227" s="50" t="s">
        <v>223</v>
      </c>
    </row>
    <row r="1228" spans="1:5" ht="13.2">
      <c r="A1228" s="61">
        <v>2487</v>
      </c>
      <c r="B1228" s="50" t="s">
        <v>256</v>
      </c>
      <c r="C1228" s="50" t="s">
        <v>261</v>
      </c>
      <c r="D1228" s="33" t="s">
        <v>1945</v>
      </c>
      <c r="E1228" s="50" t="s">
        <v>2610</v>
      </c>
    </row>
    <row r="1229" spans="1:5" ht="13.2">
      <c r="A1229" s="61">
        <v>2488</v>
      </c>
      <c r="B1229" s="50" t="s">
        <v>257</v>
      </c>
      <c r="C1229" s="50" t="s">
        <v>780</v>
      </c>
      <c r="D1229" s="33" t="s">
        <v>4242</v>
      </c>
      <c r="E1229" s="50" t="s">
        <v>223</v>
      </c>
    </row>
    <row r="1230" spans="1:5" ht="13.2">
      <c r="A1230" s="61">
        <v>2490</v>
      </c>
      <c r="B1230" s="50" t="s">
        <v>258</v>
      </c>
      <c r="C1230" s="50" t="s">
        <v>194</v>
      </c>
      <c r="D1230" s="33" t="s">
        <v>2844</v>
      </c>
      <c r="E1230" s="50" t="s">
        <v>1339</v>
      </c>
    </row>
    <row r="1231" spans="1:5" ht="13.2">
      <c r="A1231" s="61">
        <v>2491</v>
      </c>
      <c r="B1231" s="50" t="s">
        <v>259</v>
      </c>
      <c r="C1231" s="50" t="s">
        <v>788</v>
      </c>
      <c r="D1231" s="33" t="s">
        <v>4243</v>
      </c>
      <c r="E1231" s="50" t="s">
        <v>223</v>
      </c>
    </row>
    <row r="1232" spans="1:5" ht="13.2">
      <c r="A1232" s="61">
        <v>2494</v>
      </c>
      <c r="B1232" s="50" t="s">
        <v>1064</v>
      </c>
      <c r="C1232" s="50" t="s">
        <v>79</v>
      </c>
      <c r="D1232" s="33" t="s">
        <v>4244</v>
      </c>
      <c r="E1232" s="50" t="s">
        <v>223</v>
      </c>
    </row>
    <row r="1233" spans="1:5" ht="13.2">
      <c r="A1233" s="61">
        <v>2495</v>
      </c>
      <c r="B1233" s="50" t="s">
        <v>1065</v>
      </c>
      <c r="C1233" s="50" t="s">
        <v>446</v>
      </c>
      <c r="D1233" s="33" t="s">
        <v>4245</v>
      </c>
      <c r="E1233" s="50" t="s">
        <v>223</v>
      </c>
    </row>
    <row r="1234" spans="1:5" ht="13.2">
      <c r="A1234" s="61">
        <v>2496</v>
      </c>
      <c r="B1234" s="50" t="s">
        <v>505</v>
      </c>
      <c r="C1234" s="50" t="s">
        <v>77</v>
      </c>
      <c r="D1234" s="33" t="s">
        <v>4246</v>
      </c>
      <c r="E1234" s="50" t="s">
        <v>451</v>
      </c>
    </row>
    <row r="1235" spans="1:5" ht="13.2">
      <c r="A1235" s="61">
        <v>2498</v>
      </c>
      <c r="B1235" s="50" t="s">
        <v>1066</v>
      </c>
      <c r="C1235" s="50" t="s">
        <v>263</v>
      </c>
      <c r="D1235" s="33" t="s">
        <v>1946</v>
      </c>
      <c r="E1235" s="50" t="s">
        <v>960</v>
      </c>
    </row>
    <row r="1236" spans="1:5" ht="13.2">
      <c r="A1236" s="61">
        <v>2499</v>
      </c>
      <c r="B1236" s="50" t="s">
        <v>1067</v>
      </c>
      <c r="C1236" s="50" t="s">
        <v>777</v>
      </c>
      <c r="D1236" s="33" t="s">
        <v>4247</v>
      </c>
      <c r="E1236" s="50" t="s">
        <v>223</v>
      </c>
    </row>
    <row r="1237" spans="1:5" ht="13.2">
      <c r="A1237" s="61">
        <v>2501</v>
      </c>
      <c r="B1237" s="50" t="s">
        <v>1068</v>
      </c>
      <c r="C1237" s="50" t="s">
        <v>197</v>
      </c>
      <c r="D1237" s="33" t="s">
        <v>1384</v>
      </c>
      <c r="E1237" s="50" t="s">
        <v>1225</v>
      </c>
    </row>
    <row r="1238" spans="1:5" ht="13.2">
      <c r="A1238" s="61">
        <v>2503</v>
      </c>
      <c r="B1238" s="50" t="s">
        <v>1069</v>
      </c>
      <c r="C1238" s="50" t="s">
        <v>640</v>
      </c>
      <c r="D1238" s="33" t="s">
        <v>4248</v>
      </c>
      <c r="E1238" s="50" t="s">
        <v>223</v>
      </c>
    </row>
    <row r="1239" spans="1:5" ht="13.2">
      <c r="A1239" s="61">
        <v>2504</v>
      </c>
      <c r="B1239" s="50" t="s">
        <v>1070</v>
      </c>
      <c r="C1239" s="50" t="s">
        <v>788</v>
      </c>
      <c r="D1239" s="33" t="s">
        <v>4249</v>
      </c>
      <c r="E1239" s="50" t="s">
        <v>451</v>
      </c>
    </row>
    <row r="1240" spans="1:5" ht="13.2">
      <c r="A1240" s="61">
        <v>2505</v>
      </c>
      <c r="B1240" s="50" t="s">
        <v>1114</v>
      </c>
      <c r="C1240" s="50" t="s">
        <v>72</v>
      </c>
      <c r="D1240" s="33" t="s">
        <v>4250</v>
      </c>
      <c r="E1240" s="50" t="s">
        <v>1225</v>
      </c>
    </row>
    <row r="1241" spans="1:5" ht="13.2">
      <c r="A1241" s="61">
        <v>2506</v>
      </c>
      <c r="B1241" s="50" t="s">
        <v>1071</v>
      </c>
      <c r="C1241" s="50" t="s">
        <v>266</v>
      </c>
      <c r="D1241" s="33" t="s">
        <v>4251</v>
      </c>
      <c r="E1241" s="50" t="s">
        <v>2037</v>
      </c>
    </row>
    <row r="1242" spans="1:5" ht="13.2">
      <c r="A1242" s="61">
        <v>2509</v>
      </c>
      <c r="B1242" s="50" t="s">
        <v>136</v>
      </c>
      <c r="C1242" s="50" t="s">
        <v>188</v>
      </c>
      <c r="D1242" s="33" t="s">
        <v>2921</v>
      </c>
      <c r="E1242" s="50" t="s">
        <v>2610</v>
      </c>
    </row>
    <row r="1243" spans="1:5" ht="13.2">
      <c r="A1243" s="61">
        <v>2510</v>
      </c>
      <c r="B1243" s="50" t="s">
        <v>1072</v>
      </c>
      <c r="C1243" s="50" t="s">
        <v>75</v>
      </c>
      <c r="D1243" s="33" t="s">
        <v>4252</v>
      </c>
      <c r="E1243" s="50" t="s">
        <v>223</v>
      </c>
    </row>
    <row r="1244" spans="1:5" ht="13.2">
      <c r="A1244" s="61">
        <v>2515</v>
      </c>
      <c r="B1244" s="50" t="s">
        <v>1073</v>
      </c>
      <c r="C1244" s="50" t="s">
        <v>336</v>
      </c>
      <c r="D1244" s="33" t="s">
        <v>4253</v>
      </c>
      <c r="E1244" s="50" t="s">
        <v>223</v>
      </c>
    </row>
    <row r="1245" spans="1:5" ht="13.2">
      <c r="A1245" s="61">
        <v>2519</v>
      </c>
      <c r="B1245" s="50" t="s">
        <v>1074</v>
      </c>
      <c r="C1245" s="50" t="s">
        <v>642</v>
      </c>
      <c r="D1245" s="33" t="s">
        <v>4254</v>
      </c>
      <c r="E1245" s="50" t="s">
        <v>1225</v>
      </c>
    </row>
    <row r="1246" spans="1:5" ht="13.2">
      <c r="A1246" s="61">
        <v>2520</v>
      </c>
      <c r="B1246" s="50" t="s">
        <v>307</v>
      </c>
      <c r="C1246" s="50" t="s">
        <v>866</v>
      </c>
      <c r="D1246" s="33" t="s">
        <v>3491</v>
      </c>
      <c r="E1246" s="50" t="s">
        <v>223</v>
      </c>
    </row>
    <row r="1247" spans="1:5" ht="13.2">
      <c r="A1247" s="61">
        <v>2526</v>
      </c>
      <c r="B1247" s="50" t="s">
        <v>1075</v>
      </c>
      <c r="C1247" s="50" t="s">
        <v>782</v>
      </c>
      <c r="D1247" s="33" t="s">
        <v>1557</v>
      </c>
      <c r="E1247" s="50" t="s">
        <v>451</v>
      </c>
    </row>
    <row r="1248" spans="1:5" ht="13.2">
      <c r="A1248" s="61">
        <v>2531</v>
      </c>
      <c r="B1248" s="50" t="s">
        <v>1076</v>
      </c>
      <c r="C1248" s="50" t="s">
        <v>640</v>
      </c>
      <c r="D1248" s="33" t="s">
        <v>4255</v>
      </c>
      <c r="E1248" s="50" t="s">
        <v>223</v>
      </c>
    </row>
    <row r="1249" spans="1:5" ht="13.2">
      <c r="A1249" s="61">
        <v>2534</v>
      </c>
      <c r="B1249" s="50" t="s">
        <v>1077</v>
      </c>
      <c r="C1249" s="50" t="s">
        <v>864</v>
      </c>
      <c r="D1249" s="33" t="s">
        <v>3379</v>
      </c>
      <c r="E1249" s="50" t="s">
        <v>451</v>
      </c>
    </row>
    <row r="1250" spans="1:5" ht="13.2">
      <c r="A1250" s="61">
        <v>2535</v>
      </c>
      <c r="B1250" s="50" t="s">
        <v>1078</v>
      </c>
      <c r="C1250" s="50" t="s">
        <v>1311</v>
      </c>
      <c r="D1250" s="33" t="s">
        <v>4256</v>
      </c>
      <c r="E1250" s="50" t="s">
        <v>223</v>
      </c>
    </row>
    <row r="1251" spans="1:5" ht="13.2">
      <c r="A1251" s="61">
        <v>2541</v>
      </c>
      <c r="B1251" s="50" t="s">
        <v>1079</v>
      </c>
      <c r="C1251" s="50" t="s">
        <v>1240</v>
      </c>
      <c r="D1251" s="33" t="s">
        <v>4257</v>
      </c>
      <c r="E1251" s="50" t="s">
        <v>451</v>
      </c>
    </row>
    <row r="1252" spans="1:5" ht="13.2">
      <c r="A1252" s="61">
        <v>2543</v>
      </c>
      <c r="B1252" s="50" t="s">
        <v>7</v>
      </c>
      <c r="C1252" s="50" t="s">
        <v>642</v>
      </c>
      <c r="D1252" s="33" t="s">
        <v>4258</v>
      </c>
      <c r="E1252" s="50" t="s">
        <v>223</v>
      </c>
    </row>
    <row r="1253" spans="1:5" ht="13.2">
      <c r="A1253" s="61">
        <v>2545</v>
      </c>
      <c r="B1253" s="50" t="s">
        <v>8</v>
      </c>
      <c r="C1253" s="50" t="s">
        <v>75</v>
      </c>
      <c r="D1253" s="33" t="s">
        <v>4259</v>
      </c>
      <c r="E1253" s="50" t="s">
        <v>223</v>
      </c>
    </row>
    <row r="1254" spans="1:5" ht="13.2">
      <c r="A1254" s="61">
        <v>2549</v>
      </c>
      <c r="B1254" s="50" t="s">
        <v>9</v>
      </c>
      <c r="C1254" s="50" t="s">
        <v>1033</v>
      </c>
      <c r="D1254" s="33" t="s">
        <v>3148</v>
      </c>
      <c r="E1254" s="50" t="s">
        <v>391</v>
      </c>
    </row>
    <row r="1255" spans="1:5" ht="13.2">
      <c r="A1255" s="61">
        <v>2550</v>
      </c>
      <c r="B1255" s="50" t="s">
        <v>10</v>
      </c>
      <c r="C1255" s="50" t="s">
        <v>197</v>
      </c>
      <c r="D1255" s="33" t="s">
        <v>4260</v>
      </c>
      <c r="E1255" s="50" t="s">
        <v>1339</v>
      </c>
    </row>
    <row r="1256" spans="1:5" ht="13.2">
      <c r="A1256" s="61">
        <v>2552</v>
      </c>
      <c r="B1256" s="50" t="s">
        <v>10</v>
      </c>
      <c r="C1256" s="50" t="s">
        <v>1246</v>
      </c>
      <c r="D1256" s="33" t="s">
        <v>2478</v>
      </c>
      <c r="E1256" s="50" t="s">
        <v>223</v>
      </c>
    </row>
    <row r="1257" spans="1:5" ht="13.2">
      <c r="A1257" s="61">
        <v>2560</v>
      </c>
      <c r="B1257" s="50" t="s">
        <v>11</v>
      </c>
      <c r="C1257" s="50" t="s">
        <v>1311</v>
      </c>
      <c r="D1257" s="33" t="s">
        <v>2894</v>
      </c>
      <c r="E1257" s="50" t="s">
        <v>223</v>
      </c>
    </row>
    <row r="1258" spans="1:5" ht="13.2">
      <c r="A1258" s="61">
        <v>2561</v>
      </c>
      <c r="B1258" s="50" t="s">
        <v>12</v>
      </c>
      <c r="C1258" s="50" t="s">
        <v>1240</v>
      </c>
      <c r="D1258" s="33" t="s">
        <v>4261</v>
      </c>
      <c r="E1258" s="50" t="s">
        <v>223</v>
      </c>
    </row>
    <row r="1259" spans="1:5" ht="13.2">
      <c r="A1259" s="61">
        <v>2566</v>
      </c>
      <c r="B1259" s="50" t="s">
        <v>358</v>
      </c>
      <c r="C1259" s="50" t="s">
        <v>199</v>
      </c>
      <c r="D1259" s="33" t="s">
        <v>3533</v>
      </c>
      <c r="E1259" s="50" t="s">
        <v>1339</v>
      </c>
    </row>
    <row r="1260" spans="1:5" ht="13.2">
      <c r="A1260" s="61">
        <v>2570</v>
      </c>
      <c r="B1260" s="50" t="s">
        <v>13</v>
      </c>
      <c r="C1260" s="50" t="s">
        <v>864</v>
      </c>
      <c r="D1260" s="33" t="s">
        <v>2818</v>
      </c>
      <c r="E1260" s="50" t="s">
        <v>223</v>
      </c>
    </row>
    <row r="1261" spans="1:5" ht="13.2">
      <c r="A1261" s="61">
        <v>2571</v>
      </c>
      <c r="B1261" s="50" t="s">
        <v>14</v>
      </c>
      <c r="C1261" s="50" t="s">
        <v>637</v>
      </c>
      <c r="D1261" s="33" t="s">
        <v>1552</v>
      </c>
      <c r="E1261" s="50" t="s">
        <v>223</v>
      </c>
    </row>
    <row r="1262" spans="1:5" ht="13.2">
      <c r="A1262" s="61">
        <v>2575</v>
      </c>
      <c r="B1262" s="50" t="s">
        <v>15</v>
      </c>
      <c r="C1262" s="50" t="s">
        <v>197</v>
      </c>
      <c r="D1262" s="33" t="s">
        <v>3004</v>
      </c>
      <c r="E1262" s="50" t="s">
        <v>1339</v>
      </c>
    </row>
    <row r="1263" spans="1:5" ht="13.2">
      <c r="A1263" s="61">
        <v>2579</v>
      </c>
      <c r="B1263" s="50" t="s">
        <v>16</v>
      </c>
      <c r="C1263" s="50" t="s">
        <v>640</v>
      </c>
      <c r="D1263" s="33" t="s">
        <v>1376</v>
      </c>
      <c r="E1263" s="50" t="s">
        <v>223</v>
      </c>
    </row>
    <row r="1264" spans="1:5" ht="13.2">
      <c r="A1264" s="61">
        <v>2580</v>
      </c>
      <c r="B1264" s="50" t="s">
        <v>17</v>
      </c>
      <c r="C1264" s="50" t="s">
        <v>263</v>
      </c>
      <c r="D1264" s="33" t="s">
        <v>2906</v>
      </c>
      <c r="E1264" s="50" t="s">
        <v>451</v>
      </c>
    </row>
    <row r="1265" spans="1:5" ht="13.2">
      <c r="A1265" s="61">
        <v>2581</v>
      </c>
      <c r="B1265" s="50" t="s">
        <v>18</v>
      </c>
      <c r="C1265" s="50" t="s">
        <v>336</v>
      </c>
      <c r="D1265" s="33" t="s">
        <v>4262</v>
      </c>
      <c r="E1265" s="50" t="s">
        <v>223</v>
      </c>
    </row>
    <row r="1266" spans="1:5" ht="13.2">
      <c r="A1266" s="61">
        <v>2582</v>
      </c>
      <c r="B1266" s="50" t="s">
        <v>493</v>
      </c>
      <c r="C1266" s="50" t="s">
        <v>19</v>
      </c>
      <c r="D1266" s="33" t="s">
        <v>4263</v>
      </c>
      <c r="E1266" s="50" t="s">
        <v>1225</v>
      </c>
    </row>
    <row r="1267" spans="1:5" ht="13.2">
      <c r="A1267" s="61">
        <v>2583</v>
      </c>
      <c r="B1267" s="50" t="s">
        <v>2410</v>
      </c>
      <c r="C1267" s="50" t="s">
        <v>2311</v>
      </c>
      <c r="D1267" s="33" t="s">
        <v>2408</v>
      </c>
      <c r="E1267" s="50" t="s">
        <v>451</v>
      </c>
    </row>
    <row r="1268" spans="1:5" ht="13.2">
      <c r="A1268" s="61">
        <v>2593</v>
      </c>
      <c r="B1268" s="50" t="s">
        <v>1217</v>
      </c>
      <c r="C1268" s="50" t="s">
        <v>964</v>
      </c>
      <c r="D1268" s="33" t="s">
        <v>2960</v>
      </c>
      <c r="E1268" s="50" t="s">
        <v>2037</v>
      </c>
    </row>
    <row r="1269" spans="1:5" ht="13.2">
      <c r="A1269" s="61">
        <v>2594</v>
      </c>
      <c r="B1269" s="50" t="s">
        <v>20</v>
      </c>
      <c r="C1269" s="50" t="s">
        <v>194</v>
      </c>
      <c r="D1269" s="33" t="s">
        <v>4264</v>
      </c>
      <c r="E1269" s="50" t="s">
        <v>1339</v>
      </c>
    </row>
    <row r="1270" spans="1:5" ht="13.2">
      <c r="A1270" s="61">
        <v>2595</v>
      </c>
      <c r="B1270" s="50" t="s">
        <v>21</v>
      </c>
      <c r="C1270" s="50" t="s">
        <v>263</v>
      </c>
      <c r="D1270" s="33" t="s">
        <v>2830</v>
      </c>
      <c r="E1270" s="50" t="s">
        <v>2037</v>
      </c>
    </row>
    <row r="1271" spans="1:5" ht="13.2">
      <c r="A1271" s="61">
        <v>2598</v>
      </c>
      <c r="B1271" s="50" t="s">
        <v>22</v>
      </c>
      <c r="C1271" s="50" t="s">
        <v>1197</v>
      </c>
      <c r="D1271" s="33" t="s">
        <v>3075</v>
      </c>
      <c r="E1271" s="50" t="s">
        <v>223</v>
      </c>
    </row>
    <row r="1272" spans="1:5" ht="13.2">
      <c r="A1272" s="61">
        <v>2600</v>
      </c>
      <c r="B1272" s="50" t="s">
        <v>23</v>
      </c>
      <c r="C1272" s="50" t="s">
        <v>800</v>
      </c>
      <c r="D1272" s="33" t="s">
        <v>4265</v>
      </c>
      <c r="E1272" s="50" t="s">
        <v>223</v>
      </c>
    </row>
    <row r="1273" spans="1:5" ht="13.2">
      <c r="A1273" s="61">
        <v>2603</v>
      </c>
      <c r="B1273" s="50" t="s">
        <v>986</v>
      </c>
      <c r="C1273" s="50" t="s">
        <v>778</v>
      </c>
      <c r="D1273" s="33" t="s">
        <v>3149</v>
      </c>
      <c r="E1273" s="50" t="s">
        <v>1339</v>
      </c>
    </row>
    <row r="1274" spans="1:5" ht="13.2">
      <c r="A1274" s="61">
        <v>2605</v>
      </c>
      <c r="B1274" s="50" t="s">
        <v>24</v>
      </c>
      <c r="C1274" s="50" t="s">
        <v>79</v>
      </c>
      <c r="D1274" s="33" t="s">
        <v>3500</v>
      </c>
      <c r="E1274" s="50" t="s">
        <v>223</v>
      </c>
    </row>
    <row r="1275" spans="1:5" ht="13.2">
      <c r="A1275" s="61">
        <v>2608</v>
      </c>
      <c r="B1275" s="50" t="s">
        <v>25</v>
      </c>
      <c r="C1275" s="50" t="s">
        <v>263</v>
      </c>
      <c r="D1275" s="33" t="s">
        <v>3038</v>
      </c>
      <c r="E1275" s="50" t="s">
        <v>223</v>
      </c>
    </row>
    <row r="1276" spans="1:5" ht="13.2">
      <c r="A1276" s="61">
        <v>2617</v>
      </c>
      <c r="B1276" s="50" t="s">
        <v>26</v>
      </c>
      <c r="C1276" s="50" t="s">
        <v>1311</v>
      </c>
      <c r="D1276" s="33" t="s">
        <v>4266</v>
      </c>
      <c r="E1276" s="50" t="s">
        <v>223</v>
      </c>
    </row>
    <row r="1277" spans="1:5" ht="13.2">
      <c r="A1277" s="61">
        <v>2618</v>
      </c>
      <c r="B1277" s="50" t="s">
        <v>27</v>
      </c>
      <c r="C1277" s="50" t="s">
        <v>261</v>
      </c>
      <c r="D1277" s="33" t="s">
        <v>4267</v>
      </c>
      <c r="E1277" s="50" t="s">
        <v>451</v>
      </c>
    </row>
    <row r="1278" spans="1:5" ht="13.2">
      <c r="A1278" s="61">
        <v>2620</v>
      </c>
      <c r="B1278" s="50" t="s">
        <v>28</v>
      </c>
      <c r="C1278" s="50" t="s">
        <v>864</v>
      </c>
      <c r="D1278" s="33" t="s">
        <v>4268</v>
      </c>
      <c r="E1278" s="50" t="s">
        <v>223</v>
      </c>
    </row>
    <row r="1279" spans="1:5" ht="13.2">
      <c r="A1279" s="61">
        <v>2621</v>
      </c>
      <c r="B1279" s="50" t="s">
        <v>29</v>
      </c>
      <c r="C1279" s="50" t="s">
        <v>642</v>
      </c>
      <c r="D1279" s="33" t="s">
        <v>4269</v>
      </c>
      <c r="E1279" s="50" t="s">
        <v>2037</v>
      </c>
    </row>
    <row r="1280" spans="1:5" ht="13.2">
      <c r="A1280" s="61">
        <v>2623</v>
      </c>
      <c r="B1280" s="50" t="s">
        <v>30</v>
      </c>
      <c r="C1280" s="50" t="s">
        <v>188</v>
      </c>
      <c r="D1280" s="33" t="s">
        <v>4270</v>
      </c>
      <c r="E1280" s="50" t="s">
        <v>451</v>
      </c>
    </row>
    <row r="1281" spans="1:5" ht="13.2">
      <c r="A1281" s="61">
        <v>2624</v>
      </c>
      <c r="B1281" s="50" t="s">
        <v>31</v>
      </c>
      <c r="C1281" s="50" t="s">
        <v>989</v>
      </c>
      <c r="D1281" s="33" t="s">
        <v>3407</v>
      </c>
      <c r="E1281" s="50" t="s">
        <v>223</v>
      </c>
    </row>
    <row r="1282" spans="1:5" ht="13.2">
      <c r="A1282" s="61">
        <v>2647</v>
      </c>
      <c r="B1282" s="50" t="s">
        <v>1590</v>
      </c>
      <c r="C1282" s="50" t="s">
        <v>1410</v>
      </c>
      <c r="D1282" s="33" t="s">
        <v>4271</v>
      </c>
      <c r="E1282" s="50" t="s">
        <v>1366</v>
      </c>
    </row>
    <row r="1283" spans="1:5" ht="13.2">
      <c r="A1283" s="61">
        <v>2675</v>
      </c>
      <c r="B1283" s="50" t="s">
        <v>32</v>
      </c>
      <c r="C1283" s="50" t="s">
        <v>246</v>
      </c>
      <c r="D1283" s="33" t="s">
        <v>4272</v>
      </c>
      <c r="E1283" s="50" t="s">
        <v>392</v>
      </c>
    </row>
    <row r="1284" spans="1:5" ht="13.2">
      <c r="A1284" s="61">
        <v>2677</v>
      </c>
      <c r="B1284" s="50" t="s">
        <v>1443</v>
      </c>
      <c r="C1284" s="50" t="s">
        <v>190</v>
      </c>
      <c r="D1284" s="33" t="s">
        <v>4273</v>
      </c>
      <c r="E1284" s="50" t="s">
        <v>1224</v>
      </c>
    </row>
    <row r="1285" spans="1:5" ht="13.2">
      <c r="A1285" s="61">
        <v>2679</v>
      </c>
      <c r="B1285" s="50" t="s">
        <v>33</v>
      </c>
      <c r="C1285" s="50" t="s">
        <v>964</v>
      </c>
      <c r="D1285" s="33" t="s">
        <v>4274</v>
      </c>
      <c r="E1285" s="50" t="s">
        <v>1225</v>
      </c>
    </row>
    <row r="1286" spans="1:5" ht="13.2">
      <c r="A1286" s="61">
        <v>2693</v>
      </c>
      <c r="B1286" s="50" t="s">
        <v>387</v>
      </c>
      <c r="C1286" s="50" t="s">
        <v>1099</v>
      </c>
      <c r="D1286" s="33" t="s">
        <v>4275</v>
      </c>
      <c r="E1286" s="50" t="s">
        <v>390</v>
      </c>
    </row>
    <row r="1287" spans="1:5" ht="13.2">
      <c r="A1287" s="61">
        <v>2702</v>
      </c>
      <c r="B1287" s="50" t="s">
        <v>329</v>
      </c>
      <c r="C1287" s="50" t="s">
        <v>336</v>
      </c>
      <c r="D1287" s="33" t="s">
        <v>4276</v>
      </c>
      <c r="E1287" s="50" t="s">
        <v>1225</v>
      </c>
    </row>
    <row r="1288" spans="1:5" ht="13.2">
      <c r="A1288" s="61">
        <v>2703</v>
      </c>
      <c r="B1288" s="50" t="s">
        <v>34</v>
      </c>
      <c r="C1288" s="50" t="s">
        <v>1311</v>
      </c>
      <c r="D1288" s="33" t="s">
        <v>4277</v>
      </c>
      <c r="E1288" s="50" t="s">
        <v>1225</v>
      </c>
    </row>
    <row r="1289" spans="1:5" ht="13.2">
      <c r="A1289" s="61">
        <v>2745</v>
      </c>
      <c r="B1289" s="50" t="s">
        <v>35</v>
      </c>
      <c r="C1289" s="50" t="s">
        <v>1197</v>
      </c>
      <c r="D1289" s="33" t="s">
        <v>2618</v>
      </c>
      <c r="E1289" s="50" t="s">
        <v>223</v>
      </c>
    </row>
    <row r="1290" spans="1:5" ht="13.2">
      <c r="A1290" s="61">
        <v>2753</v>
      </c>
      <c r="B1290" s="50" t="s">
        <v>36</v>
      </c>
      <c r="C1290" s="50" t="s">
        <v>79</v>
      </c>
      <c r="D1290" s="33" t="s">
        <v>1947</v>
      </c>
      <c r="E1290" s="50" t="s">
        <v>1322</v>
      </c>
    </row>
    <row r="1291" spans="1:5" ht="13.2">
      <c r="A1291" s="61">
        <v>2755</v>
      </c>
      <c r="B1291" s="50" t="s">
        <v>37</v>
      </c>
      <c r="C1291" s="50" t="s">
        <v>286</v>
      </c>
      <c r="D1291" s="33" t="s">
        <v>4278</v>
      </c>
      <c r="E1291" s="50" t="s">
        <v>1366</v>
      </c>
    </row>
    <row r="1292" spans="1:5" ht="13.2">
      <c r="A1292" s="61">
        <v>2756</v>
      </c>
      <c r="B1292" s="50" t="s">
        <v>2739</v>
      </c>
      <c r="C1292" s="50" t="s">
        <v>1099</v>
      </c>
      <c r="D1292" s="33" t="s">
        <v>4279</v>
      </c>
      <c r="E1292" s="50" t="s">
        <v>1366</v>
      </c>
    </row>
    <row r="1293" spans="1:5" ht="13.2">
      <c r="A1293" s="61">
        <v>2759</v>
      </c>
      <c r="B1293" s="50" t="s">
        <v>381</v>
      </c>
      <c r="C1293" s="50" t="s">
        <v>194</v>
      </c>
      <c r="D1293" s="33" t="s">
        <v>4280</v>
      </c>
      <c r="E1293" s="50" t="s">
        <v>390</v>
      </c>
    </row>
    <row r="1294" spans="1:5" ht="13.2">
      <c r="A1294" s="61">
        <v>2760</v>
      </c>
      <c r="B1294" s="50" t="s">
        <v>3305</v>
      </c>
      <c r="C1294" s="50" t="s">
        <v>1197</v>
      </c>
      <c r="D1294" s="33" t="s">
        <v>4281</v>
      </c>
      <c r="E1294" s="50" t="s">
        <v>1322</v>
      </c>
    </row>
    <row r="1295" spans="1:5" ht="13.2">
      <c r="A1295" s="61">
        <v>2762</v>
      </c>
      <c r="B1295" s="50" t="s">
        <v>2593</v>
      </c>
      <c r="C1295" s="50" t="s">
        <v>188</v>
      </c>
      <c r="D1295" s="33" t="s">
        <v>1948</v>
      </c>
      <c r="E1295" s="50" t="s">
        <v>1996</v>
      </c>
    </row>
    <row r="1296" spans="1:5" ht="13.2">
      <c r="A1296" s="61">
        <v>2763</v>
      </c>
      <c r="B1296" s="50" t="s">
        <v>1591</v>
      </c>
      <c r="C1296" s="50" t="s">
        <v>1197</v>
      </c>
      <c r="D1296" s="33" t="s">
        <v>4282</v>
      </c>
      <c r="E1296" s="50" t="s">
        <v>392</v>
      </c>
    </row>
    <row r="1297" spans="1:5" ht="13.2">
      <c r="A1297" s="61">
        <v>2765</v>
      </c>
      <c r="B1297" s="50" t="s">
        <v>1255</v>
      </c>
      <c r="C1297" s="50" t="s">
        <v>775</v>
      </c>
      <c r="D1297" s="33" t="s">
        <v>4283</v>
      </c>
      <c r="E1297" s="50" t="s">
        <v>1224</v>
      </c>
    </row>
    <row r="1298" spans="1:5" ht="13.2">
      <c r="A1298" s="61">
        <v>2776</v>
      </c>
      <c r="B1298" s="50" t="s">
        <v>1357</v>
      </c>
      <c r="C1298" s="50" t="s">
        <v>1534</v>
      </c>
      <c r="D1298" s="33" t="s">
        <v>4284</v>
      </c>
      <c r="E1298" s="50" t="s">
        <v>1366</v>
      </c>
    </row>
    <row r="1299" spans="1:5" ht="13.2">
      <c r="A1299" s="61">
        <v>2777</v>
      </c>
      <c r="B1299" s="50" t="s">
        <v>639</v>
      </c>
      <c r="C1299" s="50" t="s">
        <v>716</v>
      </c>
      <c r="D1299" s="33" t="s">
        <v>4285</v>
      </c>
      <c r="E1299" s="50" t="s">
        <v>1366</v>
      </c>
    </row>
    <row r="1300" spans="1:5" ht="13.2">
      <c r="A1300" s="61">
        <v>2783</v>
      </c>
      <c r="B1300" s="50" t="s">
        <v>1358</v>
      </c>
      <c r="C1300" s="50" t="s">
        <v>1490</v>
      </c>
      <c r="D1300" s="33" t="s">
        <v>4286</v>
      </c>
      <c r="E1300" s="50" t="s">
        <v>390</v>
      </c>
    </row>
    <row r="1301" spans="1:5" ht="13.2">
      <c r="A1301" s="61">
        <v>2787</v>
      </c>
      <c r="B1301" s="50" t="s">
        <v>1359</v>
      </c>
      <c r="C1301" s="50" t="s">
        <v>1345</v>
      </c>
      <c r="D1301" s="33" t="s">
        <v>4287</v>
      </c>
      <c r="E1301" s="50" t="s">
        <v>1366</v>
      </c>
    </row>
    <row r="1302" spans="1:5" ht="13.2">
      <c r="A1302" s="61">
        <v>2788</v>
      </c>
      <c r="B1302" s="50" t="s">
        <v>1360</v>
      </c>
      <c r="C1302" s="50" t="s">
        <v>1246</v>
      </c>
      <c r="D1302" s="33" t="s">
        <v>4288</v>
      </c>
      <c r="E1302" s="50" t="s">
        <v>1366</v>
      </c>
    </row>
    <row r="1303" spans="1:5" ht="13.2">
      <c r="A1303" s="61">
        <v>2795</v>
      </c>
      <c r="B1303" s="50" t="s">
        <v>1361</v>
      </c>
      <c r="C1303" s="50" t="s">
        <v>1362</v>
      </c>
      <c r="D1303" s="33" t="s">
        <v>4289</v>
      </c>
      <c r="E1303" s="50" t="s">
        <v>390</v>
      </c>
    </row>
    <row r="1304" spans="1:5" ht="13.2">
      <c r="A1304" s="61">
        <v>2796</v>
      </c>
      <c r="B1304" s="50" t="s">
        <v>1215</v>
      </c>
      <c r="C1304" s="50" t="s">
        <v>553</v>
      </c>
      <c r="D1304" s="33" t="s">
        <v>2768</v>
      </c>
      <c r="E1304" s="50" t="s">
        <v>960</v>
      </c>
    </row>
    <row r="1305" spans="1:5" ht="13.2">
      <c r="A1305" s="61">
        <v>2797</v>
      </c>
      <c r="B1305" s="50" t="s">
        <v>1216</v>
      </c>
      <c r="C1305" s="50" t="s">
        <v>553</v>
      </c>
      <c r="D1305" s="33" t="s">
        <v>3582</v>
      </c>
      <c r="E1305" s="50" t="s">
        <v>1322</v>
      </c>
    </row>
    <row r="1306" spans="1:5" ht="13.2">
      <c r="A1306" s="61">
        <v>2810</v>
      </c>
      <c r="B1306" s="50" t="s">
        <v>661</v>
      </c>
      <c r="C1306" s="50" t="s">
        <v>640</v>
      </c>
      <c r="D1306" s="33" t="s">
        <v>4290</v>
      </c>
      <c r="E1306" s="50" t="s">
        <v>223</v>
      </c>
    </row>
    <row r="1307" spans="1:5" ht="13.2">
      <c r="A1307" s="61">
        <v>2811</v>
      </c>
      <c r="B1307" s="50" t="s">
        <v>20</v>
      </c>
      <c r="C1307" s="50" t="s">
        <v>640</v>
      </c>
      <c r="D1307" s="33" t="s">
        <v>3526</v>
      </c>
      <c r="E1307" s="50" t="s">
        <v>223</v>
      </c>
    </row>
    <row r="1308" spans="1:5" ht="13.2">
      <c r="A1308" s="61">
        <v>2812</v>
      </c>
      <c r="B1308" s="50" t="s">
        <v>1326</v>
      </c>
      <c r="C1308" s="50" t="s">
        <v>637</v>
      </c>
      <c r="D1308" s="33" t="s">
        <v>3493</v>
      </c>
      <c r="E1308" s="50" t="s">
        <v>223</v>
      </c>
    </row>
    <row r="1309" spans="1:5" ht="13.2">
      <c r="A1309" s="61">
        <v>2814</v>
      </c>
      <c r="B1309" s="50" t="s">
        <v>162</v>
      </c>
      <c r="C1309" s="50" t="s">
        <v>1527</v>
      </c>
      <c r="D1309" s="33" t="s">
        <v>3150</v>
      </c>
      <c r="E1309" s="50" t="s">
        <v>223</v>
      </c>
    </row>
    <row r="1310" spans="1:5" ht="13.2">
      <c r="A1310" s="61">
        <v>2816</v>
      </c>
      <c r="B1310" s="50" t="s">
        <v>1327</v>
      </c>
      <c r="C1310" s="50" t="s">
        <v>261</v>
      </c>
      <c r="D1310" s="33" t="s">
        <v>2958</v>
      </c>
      <c r="E1310" s="50" t="s">
        <v>2037</v>
      </c>
    </row>
    <row r="1311" spans="1:5" ht="13.2">
      <c r="A1311" s="61">
        <v>2818</v>
      </c>
      <c r="B1311" s="50" t="s">
        <v>1328</v>
      </c>
      <c r="C1311" s="50" t="s">
        <v>1313</v>
      </c>
      <c r="D1311" s="33" t="s">
        <v>3498</v>
      </c>
      <c r="E1311" s="50" t="s">
        <v>223</v>
      </c>
    </row>
    <row r="1312" spans="1:5" ht="13.2">
      <c r="A1312" s="61">
        <v>2819</v>
      </c>
      <c r="B1312" s="50" t="s">
        <v>1203</v>
      </c>
      <c r="C1312" s="50" t="s">
        <v>638</v>
      </c>
      <c r="D1312" s="33" t="s">
        <v>3098</v>
      </c>
      <c r="E1312" s="50" t="s">
        <v>451</v>
      </c>
    </row>
    <row r="1313" spans="1:5" ht="13.2">
      <c r="A1313" s="61">
        <v>2820</v>
      </c>
      <c r="B1313" s="50" t="s">
        <v>1329</v>
      </c>
      <c r="C1313" s="50" t="s">
        <v>1536</v>
      </c>
      <c r="D1313" s="33" t="s">
        <v>4291</v>
      </c>
      <c r="E1313" s="50" t="s">
        <v>223</v>
      </c>
    </row>
    <row r="1314" spans="1:5" ht="13.2">
      <c r="A1314" s="61">
        <v>2821</v>
      </c>
      <c r="B1314" s="50" t="s">
        <v>1330</v>
      </c>
      <c r="C1314" s="50" t="s">
        <v>778</v>
      </c>
      <c r="D1314" s="33" t="s">
        <v>2980</v>
      </c>
      <c r="E1314" s="50" t="s">
        <v>223</v>
      </c>
    </row>
    <row r="1315" spans="1:5" ht="13.2">
      <c r="A1315" s="61">
        <v>2823</v>
      </c>
      <c r="B1315" s="50" t="s">
        <v>1105</v>
      </c>
      <c r="C1315" s="50" t="s">
        <v>642</v>
      </c>
      <c r="D1315" s="33" t="s">
        <v>2110</v>
      </c>
      <c r="E1315" s="50" t="s">
        <v>451</v>
      </c>
    </row>
    <row r="1316" spans="1:5" ht="13.2">
      <c r="A1316" s="61">
        <v>2824</v>
      </c>
      <c r="B1316" s="50" t="s">
        <v>1255</v>
      </c>
      <c r="C1316" s="50" t="s">
        <v>964</v>
      </c>
      <c r="D1316" s="33" t="s">
        <v>4292</v>
      </c>
      <c r="E1316" s="50" t="s">
        <v>1225</v>
      </c>
    </row>
    <row r="1317" spans="1:5" ht="13.2">
      <c r="A1317" s="61">
        <v>2826</v>
      </c>
      <c r="B1317" s="50" t="s">
        <v>915</v>
      </c>
      <c r="C1317" s="50" t="s">
        <v>1208</v>
      </c>
      <c r="D1317" s="33" t="s">
        <v>2951</v>
      </c>
      <c r="E1317" s="50" t="s">
        <v>223</v>
      </c>
    </row>
    <row r="1318" spans="1:5" ht="13.2">
      <c r="A1318" s="61">
        <v>2827</v>
      </c>
      <c r="B1318" s="50" t="s">
        <v>1331</v>
      </c>
      <c r="C1318" s="50" t="s">
        <v>246</v>
      </c>
      <c r="D1318" s="33" t="s">
        <v>2823</v>
      </c>
      <c r="E1318" s="50" t="s">
        <v>223</v>
      </c>
    </row>
    <row r="1319" spans="1:5" ht="13.2">
      <c r="A1319" s="61">
        <v>2840</v>
      </c>
      <c r="B1319" s="50" t="s">
        <v>2163</v>
      </c>
      <c r="C1319" s="50" t="s">
        <v>79</v>
      </c>
      <c r="D1319" s="33" t="s">
        <v>4293</v>
      </c>
      <c r="E1319" s="50" t="s">
        <v>686</v>
      </c>
    </row>
    <row r="1320" spans="1:5" ht="13.2">
      <c r="A1320" s="61">
        <v>2841</v>
      </c>
      <c r="B1320" s="50" t="s">
        <v>2291</v>
      </c>
      <c r="C1320" s="50" t="s">
        <v>423</v>
      </c>
      <c r="D1320" s="33" t="s">
        <v>4294</v>
      </c>
      <c r="E1320" s="50" t="s">
        <v>392</v>
      </c>
    </row>
    <row r="1321" spans="1:5" ht="13.2">
      <c r="A1321" s="61">
        <v>2844</v>
      </c>
      <c r="B1321" s="50" t="s">
        <v>1332</v>
      </c>
      <c r="C1321" s="50" t="s">
        <v>188</v>
      </c>
      <c r="D1321" s="33" t="s">
        <v>4295</v>
      </c>
      <c r="E1321" s="50" t="s">
        <v>392</v>
      </c>
    </row>
    <row r="1322" spans="1:5" ht="13.2">
      <c r="A1322" s="61">
        <v>2845</v>
      </c>
      <c r="B1322" s="50" t="s">
        <v>669</v>
      </c>
      <c r="C1322" s="50" t="s">
        <v>553</v>
      </c>
      <c r="D1322" s="33" t="s">
        <v>4296</v>
      </c>
      <c r="E1322" s="50" t="s">
        <v>686</v>
      </c>
    </row>
    <row r="1323" spans="1:5" ht="13.2">
      <c r="A1323" s="61">
        <v>2847</v>
      </c>
      <c r="B1323" s="50" t="s">
        <v>1333</v>
      </c>
      <c r="C1323" s="50" t="s">
        <v>1334</v>
      </c>
      <c r="D1323" s="33" t="s">
        <v>4297</v>
      </c>
      <c r="E1323" s="50" t="s">
        <v>392</v>
      </c>
    </row>
    <row r="1324" spans="1:5" ht="13.2">
      <c r="A1324" s="61">
        <v>2856</v>
      </c>
      <c r="B1324" s="50" t="s">
        <v>1592</v>
      </c>
      <c r="C1324" s="50" t="s">
        <v>246</v>
      </c>
      <c r="D1324" s="33" t="s">
        <v>2391</v>
      </c>
      <c r="E1324" s="50" t="s">
        <v>392</v>
      </c>
    </row>
    <row r="1325" spans="1:5" ht="13.2">
      <c r="A1325" s="61">
        <v>2857</v>
      </c>
      <c r="B1325" s="50" t="s">
        <v>1864</v>
      </c>
      <c r="C1325" s="50" t="s">
        <v>1197</v>
      </c>
      <c r="D1325" s="33" t="s">
        <v>2392</v>
      </c>
      <c r="E1325" s="50" t="s">
        <v>392</v>
      </c>
    </row>
    <row r="1326" spans="1:5" ht="13.2">
      <c r="A1326" s="61">
        <v>2860</v>
      </c>
      <c r="B1326" s="50" t="s">
        <v>1949</v>
      </c>
      <c r="C1326" s="50" t="s">
        <v>780</v>
      </c>
      <c r="D1326" s="33" t="s">
        <v>4298</v>
      </c>
      <c r="E1326" s="50" t="s">
        <v>731</v>
      </c>
    </row>
    <row r="1327" spans="1:5" ht="13.2">
      <c r="A1327" s="61">
        <v>2861</v>
      </c>
      <c r="B1327" s="50" t="s">
        <v>1950</v>
      </c>
      <c r="C1327" s="50" t="s">
        <v>246</v>
      </c>
      <c r="D1327" s="33" t="s">
        <v>3151</v>
      </c>
      <c r="E1327" s="50" t="s">
        <v>686</v>
      </c>
    </row>
    <row r="1328" spans="1:5" ht="13.2">
      <c r="A1328" s="61">
        <v>2865</v>
      </c>
      <c r="B1328" s="50" t="s">
        <v>942</v>
      </c>
      <c r="C1328" s="50" t="s">
        <v>75</v>
      </c>
      <c r="D1328" s="33" t="s">
        <v>4299</v>
      </c>
      <c r="E1328" s="50" t="s">
        <v>1225</v>
      </c>
    </row>
    <row r="1329" spans="1:5" ht="13.2">
      <c r="A1329" s="61">
        <v>2871</v>
      </c>
      <c r="B1329" s="50" t="s">
        <v>1951</v>
      </c>
      <c r="C1329" s="50" t="s">
        <v>1952</v>
      </c>
      <c r="D1329" s="33" t="s">
        <v>4300</v>
      </c>
      <c r="E1329" s="50" t="s">
        <v>731</v>
      </c>
    </row>
    <row r="1330" spans="1:5" ht="13.2">
      <c r="A1330" s="61">
        <v>2873</v>
      </c>
      <c r="B1330" s="50" t="s">
        <v>1953</v>
      </c>
      <c r="C1330" s="50" t="s">
        <v>553</v>
      </c>
      <c r="D1330" s="33" t="s">
        <v>4301</v>
      </c>
      <c r="E1330" s="50" t="s">
        <v>389</v>
      </c>
    </row>
    <row r="1331" spans="1:5" ht="13.2">
      <c r="A1331" s="61">
        <v>2875</v>
      </c>
      <c r="B1331" s="50" t="s">
        <v>1954</v>
      </c>
      <c r="C1331" s="50" t="s">
        <v>242</v>
      </c>
      <c r="D1331" s="33" t="s">
        <v>1955</v>
      </c>
      <c r="E1331" s="50" t="s">
        <v>1322</v>
      </c>
    </row>
    <row r="1332" spans="1:5" ht="13.2">
      <c r="A1332" s="61">
        <v>2876</v>
      </c>
      <c r="B1332" s="50" t="s">
        <v>1956</v>
      </c>
      <c r="C1332" s="50" t="s">
        <v>263</v>
      </c>
      <c r="D1332" s="33" t="s">
        <v>4302</v>
      </c>
      <c r="E1332" s="50" t="s">
        <v>731</v>
      </c>
    </row>
    <row r="1333" spans="1:5" ht="13.2">
      <c r="A1333" s="61">
        <v>2877</v>
      </c>
      <c r="B1333" s="50" t="s">
        <v>1957</v>
      </c>
      <c r="C1333" s="50" t="s">
        <v>261</v>
      </c>
      <c r="D1333" s="33" t="s">
        <v>4303</v>
      </c>
      <c r="E1333" s="50" t="s">
        <v>223</v>
      </c>
    </row>
    <row r="1334" spans="1:5" ht="13.2">
      <c r="A1334" s="61">
        <v>2878</v>
      </c>
      <c r="B1334" s="50" t="s">
        <v>1958</v>
      </c>
      <c r="C1334" s="50" t="s">
        <v>75</v>
      </c>
      <c r="D1334" s="33" t="s">
        <v>4304</v>
      </c>
      <c r="E1334" s="50" t="s">
        <v>2610</v>
      </c>
    </row>
    <row r="1335" spans="1:5" ht="13.2">
      <c r="A1335" s="61">
        <v>2883</v>
      </c>
      <c r="B1335" s="50" t="s">
        <v>1964</v>
      </c>
      <c r="C1335" s="50" t="s">
        <v>1172</v>
      </c>
      <c r="D1335" s="33" t="s">
        <v>4305</v>
      </c>
      <c r="E1335" s="50" t="s">
        <v>1366</v>
      </c>
    </row>
    <row r="1336" spans="1:5" ht="13.2">
      <c r="A1336" s="61">
        <v>2893</v>
      </c>
      <c r="B1336" s="50" t="s">
        <v>1864</v>
      </c>
      <c r="C1336" s="50" t="s">
        <v>2045</v>
      </c>
      <c r="D1336" s="33" t="s">
        <v>4306</v>
      </c>
      <c r="E1336" s="50" t="s">
        <v>390</v>
      </c>
    </row>
    <row r="1337" spans="1:5" ht="13.2">
      <c r="A1337" s="61">
        <v>2894</v>
      </c>
      <c r="B1337" s="50" t="s">
        <v>2046</v>
      </c>
      <c r="C1337" s="50" t="s">
        <v>1414</v>
      </c>
      <c r="D1337" s="33" t="s">
        <v>4307</v>
      </c>
      <c r="E1337" s="50" t="s">
        <v>390</v>
      </c>
    </row>
    <row r="1338" spans="1:5" ht="13.2">
      <c r="A1338" s="61">
        <v>2895</v>
      </c>
      <c r="B1338" s="50" t="s">
        <v>492</v>
      </c>
      <c r="C1338" s="50" t="s">
        <v>326</v>
      </c>
      <c r="D1338" s="33" t="s">
        <v>2773</v>
      </c>
      <c r="E1338" s="50" t="s">
        <v>1322</v>
      </c>
    </row>
    <row r="1339" spans="1:5" ht="13.2">
      <c r="A1339" s="61">
        <v>2901</v>
      </c>
      <c r="B1339" s="50" t="s">
        <v>2047</v>
      </c>
      <c r="C1339" s="50" t="s">
        <v>2048</v>
      </c>
      <c r="D1339" s="33" t="s">
        <v>3392</v>
      </c>
      <c r="E1339" s="50" t="s">
        <v>451</v>
      </c>
    </row>
    <row r="1340" spans="1:5" ht="13.2">
      <c r="A1340" s="61">
        <v>2902</v>
      </c>
      <c r="B1340" s="50" t="s">
        <v>471</v>
      </c>
      <c r="C1340" s="50" t="s">
        <v>1593</v>
      </c>
      <c r="D1340" s="33" t="s">
        <v>4308</v>
      </c>
      <c r="E1340" s="50" t="s">
        <v>451</v>
      </c>
    </row>
    <row r="1341" spans="1:5" ht="13.2">
      <c r="A1341" s="61">
        <v>2903</v>
      </c>
      <c r="B1341" s="50" t="s">
        <v>1186</v>
      </c>
      <c r="C1341" s="50" t="s">
        <v>1099</v>
      </c>
      <c r="D1341" s="33" t="s">
        <v>4309</v>
      </c>
      <c r="E1341" s="50" t="s">
        <v>1366</v>
      </c>
    </row>
    <row r="1342" spans="1:5" ht="13.2">
      <c r="A1342" s="61">
        <v>2904</v>
      </c>
      <c r="B1342" s="50" t="s">
        <v>2117</v>
      </c>
      <c r="C1342" s="50" t="s">
        <v>1474</v>
      </c>
      <c r="D1342" s="33" t="s">
        <v>4310</v>
      </c>
      <c r="E1342" s="50" t="s">
        <v>392</v>
      </c>
    </row>
    <row r="1343" spans="1:5" ht="13.2">
      <c r="A1343" s="61">
        <v>2905</v>
      </c>
      <c r="B1343" s="50" t="s">
        <v>1115</v>
      </c>
      <c r="C1343" s="50" t="s">
        <v>640</v>
      </c>
      <c r="D1343" s="33" t="s">
        <v>4311</v>
      </c>
      <c r="E1343" s="50" t="s">
        <v>686</v>
      </c>
    </row>
    <row r="1344" spans="1:5" ht="13.2">
      <c r="A1344" s="61">
        <v>2906</v>
      </c>
      <c r="B1344" s="50" t="s">
        <v>2132</v>
      </c>
      <c r="C1344" s="50" t="s">
        <v>718</v>
      </c>
      <c r="D1344" s="33" t="s">
        <v>4312</v>
      </c>
      <c r="E1344" s="50" t="s">
        <v>686</v>
      </c>
    </row>
    <row r="1345" spans="1:5" ht="13.2">
      <c r="A1345" s="61">
        <v>2907</v>
      </c>
      <c r="B1345" s="50" t="s">
        <v>2154</v>
      </c>
      <c r="C1345" s="50" t="s">
        <v>79</v>
      </c>
      <c r="D1345" s="33" t="s">
        <v>4313</v>
      </c>
      <c r="E1345" s="50" t="s">
        <v>1366</v>
      </c>
    </row>
    <row r="1346" spans="1:5" ht="13.2">
      <c r="A1346" s="61">
        <v>2908</v>
      </c>
      <c r="B1346" s="50" t="s">
        <v>2049</v>
      </c>
      <c r="C1346" s="50" t="s">
        <v>1522</v>
      </c>
      <c r="D1346" s="33" t="s">
        <v>4314</v>
      </c>
      <c r="E1346" s="50" t="s">
        <v>2128</v>
      </c>
    </row>
    <row r="1347" spans="1:5" ht="13.2">
      <c r="A1347" s="61">
        <v>2910</v>
      </c>
      <c r="B1347" s="50" t="s">
        <v>1965</v>
      </c>
      <c r="C1347" s="50" t="s">
        <v>1246</v>
      </c>
      <c r="D1347" s="33" t="s">
        <v>1966</v>
      </c>
      <c r="E1347" s="50" t="s">
        <v>2128</v>
      </c>
    </row>
    <row r="1348" spans="1:5" ht="13.2">
      <c r="A1348" s="61">
        <v>2911</v>
      </c>
      <c r="B1348" s="50" t="s">
        <v>2065</v>
      </c>
      <c r="C1348" s="50" t="s">
        <v>190</v>
      </c>
      <c r="D1348" s="33" t="s">
        <v>4315</v>
      </c>
      <c r="E1348" s="50" t="s">
        <v>451</v>
      </c>
    </row>
    <row r="1349" spans="1:5" ht="13.2">
      <c r="A1349" s="61">
        <v>2912</v>
      </c>
      <c r="B1349" s="50" t="s">
        <v>2595</v>
      </c>
      <c r="C1349" s="50" t="s">
        <v>2155</v>
      </c>
      <c r="D1349" s="33" t="s">
        <v>4316</v>
      </c>
      <c r="E1349" s="50" t="s">
        <v>1366</v>
      </c>
    </row>
    <row r="1350" spans="1:5" ht="13.2">
      <c r="A1350" s="61">
        <v>2913</v>
      </c>
      <c r="B1350" s="50" t="s">
        <v>2156</v>
      </c>
      <c r="C1350" s="50" t="s">
        <v>1197</v>
      </c>
      <c r="D1350" s="33" t="s">
        <v>4317</v>
      </c>
      <c r="E1350" s="50" t="s">
        <v>1224</v>
      </c>
    </row>
    <row r="1351" spans="1:5" ht="13.2">
      <c r="A1351" s="61">
        <v>2915</v>
      </c>
      <c r="B1351" s="50" t="s">
        <v>2946</v>
      </c>
      <c r="C1351" s="50" t="s">
        <v>477</v>
      </c>
      <c r="D1351" s="33" t="s">
        <v>4318</v>
      </c>
      <c r="E1351" s="50" t="s">
        <v>1366</v>
      </c>
    </row>
    <row r="1352" spans="1:5" ht="13.2">
      <c r="A1352" s="61">
        <v>2916</v>
      </c>
      <c r="B1352" s="50" t="s">
        <v>2119</v>
      </c>
      <c r="C1352" s="50" t="s">
        <v>553</v>
      </c>
      <c r="D1352" s="33" t="s">
        <v>3387</v>
      </c>
      <c r="E1352" s="50" t="s">
        <v>451</v>
      </c>
    </row>
    <row r="1353" spans="1:5" ht="13.2">
      <c r="A1353" s="61">
        <v>2918</v>
      </c>
      <c r="B1353" s="50" t="s">
        <v>2120</v>
      </c>
      <c r="C1353" s="50" t="s">
        <v>2121</v>
      </c>
      <c r="D1353" s="33" t="s">
        <v>2837</v>
      </c>
      <c r="E1353" s="50" t="s">
        <v>451</v>
      </c>
    </row>
    <row r="1354" spans="1:5" ht="13.2">
      <c r="A1354" s="61">
        <v>2919</v>
      </c>
      <c r="B1354" s="50" t="s">
        <v>46</v>
      </c>
      <c r="C1354" s="50" t="s">
        <v>1162</v>
      </c>
      <c r="D1354" s="33" t="s">
        <v>4319</v>
      </c>
      <c r="E1354" s="50" t="s">
        <v>451</v>
      </c>
    </row>
    <row r="1355" spans="1:5" ht="13.2">
      <c r="A1355" s="61">
        <v>2920</v>
      </c>
      <c r="B1355" s="50" t="s">
        <v>2050</v>
      </c>
      <c r="C1355" s="50" t="s">
        <v>1413</v>
      </c>
      <c r="D1355" s="33" t="s">
        <v>3492</v>
      </c>
      <c r="E1355" s="50" t="s">
        <v>451</v>
      </c>
    </row>
    <row r="1356" spans="1:5" ht="13.2">
      <c r="A1356" s="61">
        <v>2921</v>
      </c>
      <c r="B1356" s="50" t="s">
        <v>2125</v>
      </c>
      <c r="C1356" s="50" t="s">
        <v>964</v>
      </c>
      <c r="D1356" s="33" t="s">
        <v>2109</v>
      </c>
      <c r="E1356" s="50" t="s">
        <v>451</v>
      </c>
    </row>
    <row r="1357" spans="1:5" ht="13.2">
      <c r="A1357" s="61">
        <v>2922</v>
      </c>
      <c r="B1357" s="50" t="s">
        <v>2118</v>
      </c>
      <c r="C1357" s="50" t="s">
        <v>1099</v>
      </c>
      <c r="D1357" s="33" t="s">
        <v>2955</v>
      </c>
      <c r="E1357" s="50" t="s">
        <v>451</v>
      </c>
    </row>
    <row r="1358" spans="1:5" ht="13.2">
      <c r="A1358" s="61">
        <v>2923</v>
      </c>
      <c r="B1358" s="50" t="s">
        <v>986</v>
      </c>
      <c r="C1358" s="50" t="s">
        <v>553</v>
      </c>
      <c r="D1358" s="33" t="s">
        <v>4320</v>
      </c>
      <c r="E1358" s="50" t="s">
        <v>451</v>
      </c>
    </row>
    <row r="1359" spans="1:5" ht="13.2">
      <c r="A1359" s="61">
        <v>2924</v>
      </c>
      <c r="B1359" s="50" t="s">
        <v>1940</v>
      </c>
      <c r="C1359" s="50" t="s">
        <v>188</v>
      </c>
      <c r="D1359" s="33" t="s">
        <v>1959</v>
      </c>
      <c r="E1359" s="50" t="s">
        <v>451</v>
      </c>
    </row>
    <row r="1360" spans="1:5" ht="13.2">
      <c r="A1360" s="61">
        <v>2925</v>
      </c>
      <c r="B1360" s="50" t="s">
        <v>91</v>
      </c>
      <c r="C1360" s="50" t="s">
        <v>72</v>
      </c>
      <c r="D1360" s="33" t="s">
        <v>4321</v>
      </c>
      <c r="E1360" s="50" t="s">
        <v>451</v>
      </c>
    </row>
    <row r="1361" spans="1:5" ht="13.2">
      <c r="A1361" s="61">
        <v>2926</v>
      </c>
      <c r="B1361" s="50" t="s">
        <v>2051</v>
      </c>
      <c r="C1361" s="50" t="s">
        <v>2052</v>
      </c>
      <c r="D1361" s="33" t="s">
        <v>2953</v>
      </c>
      <c r="E1361" s="50" t="s">
        <v>451</v>
      </c>
    </row>
    <row r="1362" spans="1:5" ht="13.2">
      <c r="A1362" s="61">
        <v>2928</v>
      </c>
      <c r="B1362" s="50" t="s">
        <v>2122</v>
      </c>
      <c r="C1362" s="50" t="s">
        <v>188</v>
      </c>
      <c r="D1362" s="33" t="s">
        <v>2107</v>
      </c>
      <c r="E1362" s="50" t="s">
        <v>451</v>
      </c>
    </row>
    <row r="1363" spans="1:5" ht="13.2">
      <c r="A1363" s="61">
        <v>2930</v>
      </c>
      <c r="B1363" s="50" t="s">
        <v>2196</v>
      </c>
      <c r="C1363" s="50" t="s">
        <v>2197</v>
      </c>
      <c r="D1363" s="33" t="s">
        <v>4322</v>
      </c>
      <c r="E1363" s="50" t="s">
        <v>1366</v>
      </c>
    </row>
    <row r="1364" spans="1:5" ht="13.2">
      <c r="A1364" s="61">
        <v>2931</v>
      </c>
      <c r="B1364" s="50" t="s">
        <v>1236</v>
      </c>
      <c r="C1364" s="50" t="s">
        <v>79</v>
      </c>
      <c r="D1364" s="33" t="s">
        <v>4323</v>
      </c>
      <c r="E1364" s="50" t="s">
        <v>451</v>
      </c>
    </row>
    <row r="1365" spans="1:5" ht="13.2">
      <c r="A1365" s="61">
        <v>2932</v>
      </c>
      <c r="B1365" s="50" t="s">
        <v>2164</v>
      </c>
      <c r="C1365" s="50" t="s">
        <v>778</v>
      </c>
      <c r="D1365" s="33" t="s">
        <v>4324</v>
      </c>
      <c r="E1365" s="50" t="s">
        <v>392</v>
      </c>
    </row>
    <row r="1366" spans="1:5" ht="13.2">
      <c r="A1366" s="61">
        <v>2934</v>
      </c>
      <c r="B1366" s="50" t="s">
        <v>2124</v>
      </c>
      <c r="C1366" s="50" t="s">
        <v>266</v>
      </c>
      <c r="D1366" s="33" t="s">
        <v>4325</v>
      </c>
      <c r="E1366" s="50" t="s">
        <v>451</v>
      </c>
    </row>
    <row r="1367" spans="1:5" ht="13.2">
      <c r="A1367" s="61">
        <v>2935</v>
      </c>
      <c r="B1367" s="50" t="s">
        <v>2165</v>
      </c>
      <c r="C1367" s="50" t="s">
        <v>778</v>
      </c>
      <c r="D1367" s="33" t="s">
        <v>3422</v>
      </c>
      <c r="E1367" s="50" t="s">
        <v>686</v>
      </c>
    </row>
    <row r="1368" spans="1:5" ht="13.2">
      <c r="A1368" s="61">
        <v>2936</v>
      </c>
      <c r="B1368" s="50" t="s">
        <v>766</v>
      </c>
      <c r="C1368" s="50" t="s">
        <v>188</v>
      </c>
      <c r="D1368" s="33" t="s">
        <v>4326</v>
      </c>
      <c r="E1368" s="50" t="s">
        <v>1366</v>
      </c>
    </row>
    <row r="1369" spans="1:5" ht="13.2">
      <c r="A1369" s="61">
        <v>2937</v>
      </c>
      <c r="B1369" s="50" t="s">
        <v>2166</v>
      </c>
      <c r="C1369" s="50" t="s">
        <v>1119</v>
      </c>
      <c r="D1369" s="33" t="s">
        <v>4327</v>
      </c>
      <c r="E1369" s="50" t="s">
        <v>1366</v>
      </c>
    </row>
    <row r="1370" spans="1:5" ht="13.2">
      <c r="A1370" s="61">
        <v>2938</v>
      </c>
      <c r="B1370" s="50" t="s">
        <v>2167</v>
      </c>
      <c r="C1370" s="50" t="s">
        <v>370</v>
      </c>
      <c r="D1370" s="33" t="s">
        <v>4328</v>
      </c>
      <c r="E1370" s="50" t="s">
        <v>1366</v>
      </c>
    </row>
    <row r="1371" spans="1:5" ht="13.2">
      <c r="A1371" s="61">
        <v>2939</v>
      </c>
      <c r="B1371" s="50" t="s">
        <v>2198</v>
      </c>
      <c r="C1371" s="50" t="s">
        <v>866</v>
      </c>
      <c r="D1371" s="33" t="s">
        <v>3347</v>
      </c>
      <c r="E1371" s="50" t="s">
        <v>223</v>
      </c>
    </row>
    <row r="1372" spans="1:5" ht="13.2">
      <c r="A1372" s="61">
        <v>2940</v>
      </c>
      <c r="B1372" s="50" t="s">
        <v>2199</v>
      </c>
      <c r="C1372" s="50" t="s">
        <v>1197</v>
      </c>
      <c r="D1372" s="33" t="s">
        <v>4329</v>
      </c>
      <c r="E1372" s="50" t="s">
        <v>1224</v>
      </c>
    </row>
    <row r="1373" spans="1:5" ht="13.2">
      <c r="A1373" s="61">
        <v>2941</v>
      </c>
      <c r="B1373" s="50" t="s">
        <v>984</v>
      </c>
      <c r="C1373" s="50" t="s">
        <v>163</v>
      </c>
      <c r="D1373" s="33" t="s">
        <v>2932</v>
      </c>
      <c r="E1373" s="50" t="s">
        <v>1224</v>
      </c>
    </row>
    <row r="1374" spans="1:5" ht="13.2">
      <c r="A1374" s="61">
        <v>2943</v>
      </c>
      <c r="B1374" s="50" t="s">
        <v>2200</v>
      </c>
      <c r="C1374" s="50" t="s">
        <v>778</v>
      </c>
      <c r="D1374" s="33" t="s">
        <v>2917</v>
      </c>
      <c r="E1374" s="50" t="s">
        <v>2610</v>
      </c>
    </row>
    <row r="1375" spans="1:5" ht="13.2">
      <c r="A1375" s="61">
        <v>2944</v>
      </c>
      <c r="B1375" s="50" t="s">
        <v>2201</v>
      </c>
      <c r="C1375" s="50" t="s">
        <v>199</v>
      </c>
      <c r="D1375" s="33" t="s">
        <v>4330</v>
      </c>
      <c r="E1375" s="50" t="s">
        <v>1224</v>
      </c>
    </row>
    <row r="1376" spans="1:5" ht="13.2">
      <c r="A1376" s="61">
        <v>2945</v>
      </c>
      <c r="B1376" s="50" t="s">
        <v>2202</v>
      </c>
      <c r="C1376" s="50" t="s">
        <v>188</v>
      </c>
      <c r="D1376" s="33" t="s">
        <v>4331</v>
      </c>
      <c r="E1376" s="50" t="s">
        <v>1224</v>
      </c>
    </row>
    <row r="1377" spans="1:5" ht="13.2">
      <c r="A1377" s="61">
        <v>2946</v>
      </c>
      <c r="B1377" s="50" t="s">
        <v>2203</v>
      </c>
      <c r="C1377" s="50" t="s">
        <v>2204</v>
      </c>
      <c r="D1377" s="33" t="s">
        <v>2925</v>
      </c>
      <c r="E1377" s="50" t="s">
        <v>2610</v>
      </c>
    </row>
    <row r="1378" spans="1:5" ht="13.2">
      <c r="A1378" s="61">
        <v>2948</v>
      </c>
      <c r="B1378" s="50" t="s">
        <v>2123</v>
      </c>
      <c r="C1378" s="50" t="s">
        <v>263</v>
      </c>
      <c r="D1378" s="33" t="s">
        <v>4332</v>
      </c>
      <c r="E1378" s="50" t="s">
        <v>2128</v>
      </c>
    </row>
    <row r="1379" spans="1:5" ht="13.2">
      <c r="A1379" s="61">
        <v>2949</v>
      </c>
      <c r="B1379" s="50" t="s">
        <v>361</v>
      </c>
      <c r="C1379" s="50" t="s">
        <v>370</v>
      </c>
      <c r="D1379" s="33" t="s">
        <v>2054</v>
      </c>
      <c r="E1379" s="50" t="s">
        <v>451</v>
      </c>
    </row>
    <row r="1380" spans="1:5" ht="13.2">
      <c r="A1380" s="61">
        <v>2950</v>
      </c>
      <c r="B1380" s="50" t="s">
        <v>2292</v>
      </c>
      <c r="C1380" s="50" t="s">
        <v>163</v>
      </c>
      <c r="D1380" s="33" t="s">
        <v>4333</v>
      </c>
      <c r="E1380" s="50" t="s">
        <v>1224</v>
      </c>
    </row>
    <row r="1381" spans="1:5" ht="13.2">
      <c r="A1381" s="61">
        <v>2951</v>
      </c>
      <c r="B1381" s="50" t="s">
        <v>2293</v>
      </c>
      <c r="C1381" s="50" t="s">
        <v>190</v>
      </c>
      <c r="D1381" s="33" t="s">
        <v>2936</v>
      </c>
      <c r="E1381" s="50" t="s">
        <v>1224</v>
      </c>
    </row>
    <row r="1382" spans="1:5" ht="13.2">
      <c r="A1382" s="61">
        <v>2952</v>
      </c>
      <c r="B1382" s="50" t="s">
        <v>2294</v>
      </c>
      <c r="C1382" s="50" t="s">
        <v>2266</v>
      </c>
      <c r="D1382" s="33" t="s">
        <v>4334</v>
      </c>
      <c r="E1382" s="50" t="s">
        <v>1366</v>
      </c>
    </row>
    <row r="1383" spans="1:5" ht="13.2">
      <c r="A1383" s="61">
        <v>2953</v>
      </c>
      <c r="B1383" s="50" t="s">
        <v>2295</v>
      </c>
      <c r="C1383" s="50" t="s">
        <v>638</v>
      </c>
      <c r="D1383" s="33" t="s">
        <v>4335</v>
      </c>
      <c r="E1383" s="50" t="s">
        <v>1224</v>
      </c>
    </row>
    <row r="1384" spans="1:5" ht="13.2">
      <c r="A1384" s="61">
        <v>2954</v>
      </c>
      <c r="B1384" s="50" t="s">
        <v>2296</v>
      </c>
      <c r="C1384" s="50" t="s">
        <v>864</v>
      </c>
      <c r="D1384" s="33" t="s">
        <v>4336</v>
      </c>
      <c r="E1384" s="50" t="s">
        <v>1366</v>
      </c>
    </row>
    <row r="1385" spans="1:5" ht="13.2">
      <c r="A1385" s="61">
        <v>2955</v>
      </c>
      <c r="B1385" s="50" t="s">
        <v>1176</v>
      </c>
      <c r="C1385" s="50" t="s">
        <v>188</v>
      </c>
      <c r="D1385" s="33" t="s">
        <v>2935</v>
      </c>
      <c r="E1385" s="50" t="s">
        <v>2610</v>
      </c>
    </row>
    <row r="1386" spans="1:5" ht="13.2">
      <c r="A1386" s="61">
        <v>2956</v>
      </c>
      <c r="B1386" s="50" t="s">
        <v>2297</v>
      </c>
      <c r="C1386" s="50" t="s">
        <v>2298</v>
      </c>
      <c r="D1386" s="33" t="s">
        <v>4337</v>
      </c>
      <c r="E1386" s="50" t="s">
        <v>1224</v>
      </c>
    </row>
    <row r="1387" spans="1:5" ht="13.2">
      <c r="A1387" s="61">
        <v>2958</v>
      </c>
      <c r="B1387" s="50" t="s">
        <v>2299</v>
      </c>
      <c r="C1387" s="50" t="s">
        <v>263</v>
      </c>
      <c r="D1387" s="33" t="s">
        <v>4338</v>
      </c>
      <c r="E1387" s="50" t="s">
        <v>1224</v>
      </c>
    </row>
    <row r="1388" spans="1:5" ht="13.2">
      <c r="A1388" s="61">
        <v>2959</v>
      </c>
      <c r="B1388" s="50" t="s">
        <v>2172</v>
      </c>
      <c r="C1388" s="50" t="s">
        <v>1197</v>
      </c>
      <c r="D1388" s="33" t="s">
        <v>4339</v>
      </c>
      <c r="E1388" s="50" t="s">
        <v>451</v>
      </c>
    </row>
    <row r="1389" spans="1:5" ht="13.2">
      <c r="A1389" s="61">
        <v>2960</v>
      </c>
      <c r="B1389" s="50" t="s">
        <v>2179</v>
      </c>
      <c r="C1389" s="50" t="s">
        <v>79</v>
      </c>
      <c r="D1389" s="33" t="s">
        <v>4340</v>
      </c>
      <c r="E1389" s="50" t="s">
        <v>451</v>
      </c>
    </row>
    <row r="1390" spans="1:5" ht="13.2">
      <c r="A1390" s="61">
        <v>2961</v>
      </c>
      <c r="B1390" s="50" t="s">
        <v>1463</v>
      </c>
      <c r="C1390" s="50" t="s">
        <v>1234</v>
      </c>
      <c r="D1390" s="33" t="s">
        <v>4341</v>
      </c>
      <c r="E1390" s="50" t="s">
        <v>451</v>
      </c>
    </row>
    <row r="1391" spans="1:5" ht="13.2">
      <c r="A1391" s="61">
        <v>2962</v>
      </c>
      <c r="B1391" s="50" t="s">
        <v>2206</v>
      </c>
      <c r="C1391" s="50" t="s">
        <v>1345</v>
      </c>
      <c r="D1391" s="33" t="s">
        <v>4342</v>
      </c>
      <c r="E1391" s="50" t="s">
        <v>451</v>
      </c>
    </row>
    <row r="1392" spans="1:5" ht="13.2">
      <c r="A1392" s="61">
        <v>2963</v>
      </c>
      <c r="B1392" s="50" t="s">
        <v>1326</v>
      </c>
      <c r="C1392" s="50" t="s">
        <v>188</v>
      </c>
      <c r="D1392" s="33" t="s">
        <v>2892</v>
      </c>
      <c r="E1392" s="50" t="s">
        <v>451</v>
      </c>
    </row>
    <row r="1393" spans="1:5" ht="13.2">
      <c r="A1393" s="61">
        <v>2965</v>
      </c>
      <c r="B1393" s="50" t="s">
        <v>2168</v>
      </c>
      <c r="C1393" s="50" t="s">
        <v>1162</v>
      </c>
      <c r="D1393" s="33" t="s">
        <v>2878</v>
      </c>
      <c r="E1393" s="50" t="s">
        <v>451</v>
      </c>
    </row>
    <row r="1394" spans="1:5" ht="13.2">
      <c r="A1394" s="61">
        <v>2966</v>
      </c>
      <c r="B1394" s="50" t="s">
        <v>651</v>
      </c>
      <c r="C1394" s="50" t="s">
        <v>79</v>
      </c>
      <c r="D1394" s="33" t="s">
        <v>4343</v>
      </c>
      <c r="E1394" s="50" t="s">
        <v>451</v>
      </c>
    </row>
    <row r="1395" spans="1:5" ht="13.2">
      <c r="A1395" s="61">
        <v>2967</v>
      </c>
      <c r="B1395" s="50" t="s">
        <v>999</v>
      </c>
      <c r="C1395" s="50" t="s">
        <v>2177</v>
      </c>
      <c r="D1395" s="33" t="s">
        <v>2957</v>
      </c>
      <c r="E1395" s="50" t="s">
        <v>2128</v>
      </c>
    </row>
    <row r="1396" spans="1:5" ht="13.2">
      <c r="A1396" s="61">
        <v>2968</v>
      </c>
      <c r="B1396" s="50" t="s">
        <v>2178</v>
      </c>
      <c r="C1396" s="50" t="s">
        <v>242</v>
      </c>
      <c r="D1396" s="33" t="s">
        <v>2840</v>
      </c>
      <c r="E1396" s="50" t="s">
        <v>451</v>
      </c>
    </row>
    <row r="1397" spans="1:5" ht="13.2">
      <c r="A1397" s="61">
        <v>2970</v>
      </c>
      <c r="B1397" s="50" t="s">
        <v>2175</v>
      </c>
      <c r="C1397" s="50" t="s">
        <v>246</v>
      </c>
      <c r="D1397" s="33" t="s">
        <v>4344</v>
      </c>
      <c r="E1397" s="50" t="s">
        <v>451</v>
      </c>
    </row>
    <row r="1398" spans="1:5" ht="13.2">
      <c r="A1398" s="61">
        <v>2971</v>
      </c>
      <c r="B1398" s="50" t="s">
        <v>2176</v>
      </c>
      <c r="C1398" s="50" t="s">
        <v>79</v>
      </c>
      <c r="D1398" s="33" t="s">
        <v>4345</v>
      </c>
      <c r="E1398" s="50" t="s">
        <v>451</v>
      </c>
    </row>
    <row r="1399" spans="1:5" ht="13.2">
      <c r="A1399" s="61">
        <v>2972</v>
      </c>
      <c r="B1399" s="50" t="s">
        <v>1420</v>
      </c>
      <c r="C1399" s="50" t="s">
        <v>800</v>
      </c>
      <c r="D1399" s="33" t="s">
        <v>4346</v>
      </c>
      <c r="E1399" s="50" t="s">
        <v>1366</v>
      </c>
    </row>
    <row r="1400" spans="1:5" ht="13.2">
      <c r="A1400" s="61">
        <v>2973</v>
      </c>
      <c r="B1400" s="50" t="s">
        <v>2300</v>
      </c>
      <c r="C1400" s="50" t="s">
        <v>1246</v>
      </c>
      <c r="D1400" s="33" t="s">
        <v>4347</v>
      </c>
      <c r="E1400" s="50" t="s">
        <v>686</v>
      </c>
    </row>
    <row r="1401" spans="1:5" ht="13.2">
      <c r="A1401" s="61">
        <v>2974</v>
      </c>
      <c r="B1401" s="50" t="s">
        <v>2340</v>
      </c>
      <c r="C1401" s="50" t="s">
        <v>1474</v>
      </c>
      <c r="D1401" s="33" t="s">
        <v>4348</v>
      </c>
      <c r="E1401" s="50" t="s">
        <v>686</v>
      </c>
    </row>
    <row r="1402" spans="1:5" ht="13.2">
      <c r="A1402" s="61">
        <v>2975</v>
      </c>
      <c r="B1402" s="50" t="s">
        <v>2341</v>
      </c>
      <c r="C1402" s="50" t="s">
        <v>336</v>
      </c>
      <c r="D1402" s="33" t="s">
        <v>4349</v>
      </c>
      <c r="E1402" s="50" t="s">
        <v>686</v>
      </c>
    </row>
    <row r="1403" spans="1:5" ht="13.2">
      <c r="A1403" s="61">
        <v>2976</v>
      </c>
      <c r="B1403" s="50" t="s">
        <v>2342</v>
      </c>
      <c r="C1403" s="50" t="s">
        <v>140</v>
      </c>
      <c r="D1403" s="33" t="s">
        <v>4350</v>
      </c>
      <c r="E1403" s="50" t="s">
        <v>1366</v>
      </c>
    </row>
    <row r="1404" spans="1:5" ht="13.2">
      <c r="A1404" s="61">
        <v>2977</v>
      </c>
      <c r="B1404" s="50" t="s">
        <v>2343</v>
      </c>
      <c r="C1404" s="50" t="s">
        <v>1494</v>
      </c>
      <c r="D1404" s="33" t="s">
        <v>4351</v>
      </c>
      <c r="E1404" s="50" t="s">
        <v>686</v>
      </c>
    </row>
    <row r="1405" spans="1:5" ht="13.2">
      <c r="A1405" s="61">
        <v>2982</v>
      </c>
      <c r="B1405" s="50" t="s">
        <v>2344</v>
      </c>
      <c r="C1405" s="50" t="s">
        <v>336</v>
      </c>
      <c r="D1405" s="33" t="s">
        <v>4352</v>
      </c>
      <c r="E1405" s="50" t="s">
        <v>3029</v>
      </c>
    </row>
    <row r="1406" spans="1:5" ht="13.2">
      <c r="A1406" s="61">
        <v>2984</v>
      </c>
      <c r="B1406" s="50" t="s">
        <v>2209</v>
      </c>
      <c r="C1406" s="50" t="s">
        <v>242</v>
      </c>
      <c r="D1406" s="33" t="s">
        <v>4353</v>
      </c>
      <c r="E1406" s="50" t="s">
        <v>451</v>
      </c>
    </row>
    <row r="1407" spans="1:5" ht="13.2">
      <c r="A1407" s="61">
        <v>2986</v>
      </c>
      <c r="B1407" s="50" t="s">
        <v>1237</v>
      </c>
      <c r="C1407" s="50" t="s">
        <v>788</v>
      </c>
      <c r="D1407" s="33" t="s">
        <v>4354</v>
      </c>
      <c r="E1407" s="50" t="s">
        <v>451</v>
      </c>
    </row>
    <row r="1408" spans="1:5" ht="13.2">
      <c r="A1408" s="61">
        <v>2988</v>
      </c>
      <c r="B1408" s="50" t="s">
        <v>2205</v>
      </c>
      <c r="C1408" s="50" t="s">
        <v>638</v>
      </c>
      <c r="D1408" s="33" t="s">
        <v>2191</v>
      </c>
      <c r="E1408" s="50" t="s">
        <v>2128</v>
      </c>
    </row>
    <row r="1409" spans="1:5" ht="13.2">
      <c r="A1409" s="61">
        <v>2989</v>
      </c>
      <c r="B1409" s="50" t="s">
        <v>2208</v>
      </c>
      <c r="C1409" s="50" t="s">
        <v>1527</v>
      </c>
      <c r="D1409" s="33" t="s">
        <v>4355</v>
      </c>
      <c r="E1409" s="50" t="s">
        <v>451</v>
      </c>
    </row>
    <row r="1410" spans="1:5" ht="13.2">
      <c r="A1410" s="61">
        <v>2990</v>
      </c>
      <c r="B1410" s="50" t="s">
        <v>2221</v>
      </c>
      <c r="C1410" s="50" t="s">
        <v>788</v>
      </c>
      <c r="D1410" s="33" t="s">
        <v>4356</v>
      </c>
      <c r="E1410" s="50" t="s">
        <v>451</v>
      </c>
    </row>
    <row r="1411" spans="1:5" ht="13.2">
      <c r="A1411" s="61">
        <v>2991</v>
      </c>
      <c r="B1411" s="50" t="s">
        <v>2213</v>
      </c>
      <c r="C1411" s="50" t="s">
        <v>79</v>
      </c>
      <c r="D1411" s="33" t="s">
        <v>3152</v>
      </c>
      <c r="E1411" s="50" t="s">
        <v>451</v>
      </c>
    </row>
    <row r="1412" spans="1:5" ht="13.2">
      <c r="A1412" s="61">
        <v>2992</v>
      </c>
      <c r="B1412" s="50" t="s">
        <v>2174</v>
      </c>
      <c r="C1412" s="50" t="s">
        <v>989</v>
      </c>
      <c r="D1412" s="33" t="s">
        <v>4357</v>
      </c>
      <c r="E1412" s="50" t="s">
        <v>451</v>
      </c>
    </row>
    <row r="1413" spans="1:5" ht="13.2">
      <c r="A1413" s="61">
        <v>2993</v>
      </c>
      <c r="B1413" s="50" t="s">
        <v>2223</v>
      </c>
      <c r="C1413" s="50" t="s">
        <v>864</v>
      </c>
      <c r="D1413" s="33" t="s">
        <v>3497</v>
      </c>
      <c r="E1413" s="50" t="s">
        <v>451</v>
      </c>
    </row>
    <row r="1414" spans="1:5" ht="13.2">
      <c r="A1414" s="61">
        <v>2994</v>
      </c>
      <c r="B1414" s="50" t="s">
        <v>2173</v>
      </c>
      <c r="C1414" s="50" t="s">
        <v>188</v>
      </c>
      <c r="D1414" s="33" t="s">
        <v>2891</v>
      </c>
      <c r="E1414" s="50" t="s">
        <v>451</v>
      </c>
    </row>
    <row r="1415" spans="1:5" ht="13.2">
      <c r="A1415" s="61">
        <v>2995</v>
      </c>
      <c r="B1415" s="50" t="s">
        <v>2207</v>
      </c>
      <c r="C1415" s="50" t="s">
        <v>1246</v>
      </c>
      <c r="D1415" s="33" t="s">
        <v>2816</v>
      </c>
      <c r="E1415" s="50" t="s">
        <v>451</v>
      </c>
    </row>
    <row r="1416" spans="1:5" ht="13.2">
      <c r="A1416" s="61">
        <v>2996</v>
      </c>
      <c r="B1416" s="50" t="s">
        <v>2218</v>
      </c>
      <c r="C1416" s="50" t="s">
        <v>867</v>
      </c>
      <c r="D1416" s="33" t="s">
        <v>2614</v>
      </c>
      <c r="E1416" s="50" t="s">
        <v>451</v>
      </c>
    </row>
    <row r="1417" spans="1:5" ht="13.2">
      <c r="A1417" s="61">
        <v>2998</v>
      </c>
      <c r="B1417" s="50" t="s">
        <v>2212</v>
      </c>
      <c r="C1417" s="50" t="s">
        <v>79</v>
      </c>
      <c r="D1417" s="33" t="s">
        <v>2828</v>
      </c>
      <c r="E1417" s="50" t="s">
        <v>451</v>
      </c>
    </row>
    <row r="1418" spans="1:5" ht="13.2">
      <c r="A1418" s="61">
        <v>2999</v>
      </c>
      <c r="B1418" s="50" t="s">
        <v>139</v>
      </c>
      <c r="C1418" s="50" t="s">
        <v>1240</v>
      </c>
      <c r="D1418" s="33" t="s">
        <v>4358</v>
      </c>
      <c r="E1418" s="50" t="s">
        <v>2128</v>
      </c>
    </row>
    <row r="1419" spans="1:5" ht="13.2">
      <c r="A1419" s="61">
        <v>3000</v>
      </c>
      <c r="B1419" s="50" t="s">
        <v>2217</v>
      </c>
      <c r="C1419" s="50" t="s">
        <v>79</v>
      </c>
      <c r="D1419" s="33" t="s">
        <v>4359</v>
      </c>
      <c r="E1419" s="50" t="s">
        <v>451</v>
      </c>
    </row>
    <row r="1420" spans="1:5" ht="13.2">
      <c r="A1420" s="61">
        <v>3001</v>
      </c>
      <c r="B1420" s="50" t="s">
        <v>2226</v>
      </c>
      <c r="C1420" s="50" t="s">
        <v>1345</v>
      </c>
      <c r="D1420" s="33" t="s">
        <v>4360</v>
      </c>
      <c r="E1420" s="50" t="s">
        <v>451</v>
      </c>
    </row>
    <row r="1421" spans="1:5" ht="13.2">
      <c r="A1421" s="61">
        <v>3002</v>
      </c>
      <c r="B1421" s="50" t="s">
        <v>827</v>
      </c>
      <c r="C1421" s="50" t="s">
        <v>553</v>
      </c>
      <c r="D1421" s="33" t="s">
        <v>4361</v>
      </c>
      <c r="E1421" s="50" t="s">
        <v>451</v>
      </c>
    </row>
    <row r="1422" spans="1:5" ht="13.2">
      <c r="A1422" s="61">
        <v>3003</v>
      </c>
      <c r="B1422" s="50" t="s">
        <v>2201</v>
      </c>
      <c r="C1422" s="50" t="s">
        <v>1172</v>
      </c>
      <c r="D1422" s="33" t="s">
        <v>4362</v>
      </c>
      <c r="E1422" s="50" t="s">
        <v>451</v>
      </c>
    </row>
    <row r="1423" spans="1:5" ht="13.2">
      <c r="A1423" s="61">
        <v>3004</v>
      </c>
      <c r="B1423" s="50" t="s">
        <v>2171</v>
      </c>
      <c r="C1423" s="50" t="s">
        <v>263</v>
      </c>
      <c r="D1423" s="33" t="s">
        <v>4363</v>
      </c>
      <c r="E1423" s="50" t="s">
        <v>451</v>
      </c>
    </row>
    <row r="1424" spans="1:5" ht="13.2">
      <c r="A1424" s="61">
        <v>3005</v>
      </c>
      <c r="B1424" s="50" t="s">
        <v>2224</v>
      </c>
      <c r="C1424" s="50" t="s">
        <v>1414</v>
      </c>
      <c r="D1424" s="33" t="s">
        <v>4364</v>
      </c>
      <c r="E1424" s="50" t="s">
        <v>451</v>
      </c>
    </row>
    <row r="1425" spans="1:5" ht="13.2">
      <c r="A1425" s="61">
        <v>3006</v>
      </c>
      <c r="B1425" s="50" t="s">
        <v>495</v>
      </c>
      <c r="C1425" s="50" t="s">
        <v>778</v>
      </c>
      <c r="D1425" s="33" t="s">
        <v>4365</v>
      </c>
      <c r="E1425" s="50" t="s">
        <v>451</v>
      </c>
    </row>
    <row r="1426" spans="1:5" ht="13.2">
      <c r="A1426" s="61">
        <v>3007</v>
      </c>
      <c r="B1426" s="50" t="s">
        <v>2222</v>
      </c>
      <c r="C1426" s="50" t="s">
        <v>188</v>
      </c>
      <c r="D1426" s="33" t="s">
        <v>4366</v>
      </c>
      <c r="E1426" s="50" t="s">
        <v>451</v>
      </c>
    </row>
    <row r="1427" spans="1:5" ht="13.2">
      <c r="A1427" s="61">
        <v>3008</v>
      </c>
      <c r="B1427" s="50" t="s">
        <v>2225</v>
      </c>
      <c r="C1427" s="50" t="s">
        <v>1534</v>
      </c>
      <c r="D1427" s="33" t="s">
        <v>4367</v>
      </c>
      <c r="E1427" s="50" t="s">
        <v>451</v>
      </c>
    </row>
    <row r="1428" spans="1:5" ht="13.2">
      <c r="A1428" s="61">
        <v>3009</v>
      </c>
      <c r="B1428" s="50" t="s">
        <v>878</v>
      </c>
      <c r="C1428" s="50" t="s">
        <v>2219</v>
      </c>
      <c r="D1428" s="33" t="s">
        <v>2376</v>
      </c>
      <c r="E1428" s="50" t="s">
        <v>1224</v>
      </c>
    </row>
    <row r="1429" spans="1:5" ht="13.2">
      <c r="A1429" s="61">
        <v>3010</v>
      </c>
      <c r="B1429" s="50" t="s">
        <v>2411</v>
      </c>
      <c r="C1429" s="50" t="s">
        <v>127</v>
      </c>
      <c r="D1429" s="33" t="s">
        <v>4368</v>
      </c>
      <c r="E1429" s="50" t="s">
        <v>1224</v>
      </c>
    </row>
    <row r="1430" spans="1:5" ht="13.2">
      <c r="A1430" s="61">
        <v>3011</v>
      </c>
      <c r="B1430" s="50" t="s">
        <v>2412</v>
      </c>
      <c r="C1430" s="50" t="s">
        <v>159</v>
      </c>
      <c r="D1430" s="33" t="s">
        <v>4369</v>
      </c>
      <c r="E1430" s="50" t="s">
        <v>1366</v>
      </c>
    </row>
    <row r="1431" spans="1:5" ht="13.2">
      <c r="A1431" s="61">
        <v>3012</v>
      </c>
      <c r="B1431" s="50" t="s">
        <v>2413</v>
      </c>
      <c r="C1431" s="50" t="s">
        <v>326</v>
      </c>
      <c r="D1431" s="33" t="s">
        <v>4370</v>
      </c>
      <c r="E1431" s="50" t="s">
        <v>1224</v>
      </c>
    </row>
    <row r="1432" spans="1:5" ht="13.2">
      <c r="A1432" s="61">
        <v>3013</v>
      </c>
      <c r="B1432" s="50" t="s">
        <v>2343</v>
      </c>
      <c r="C1432" s="50" t="s">
        <v>159</v>
      </c>
      <c r="D1432" s="33" t="s">
        <v>2446</v>
      </c>
      <c r="E1432" s="50" t="s">
        <v>1224</v>
      </c>
    </row>
    <row r="1433" spans="1:5" ht="13.2">
      <c r="A1433" s="61">
        <v>3015</v>
      </c>
      <c r="B1433" s="50" t="s">
        <v>365</v>
      </c>
      <c r="C1433" s="50" t="s">
        <v>478</v>
      </c>
      <c r="D1433" s="33" t="s">
        <v>4371</v>
      </c>
      <c r="E1433" s="50" t="s">
        <v>451</v>
      </c>
    </row>
    <row r="1434" spans="1:5" ht="13.2">
      <c r="A1434" s="61">
        <v>3018</v>
      </c>
      <c r="B1434" s="50" t="s">
        <v>2220</v>
      </c>
      <c r="C1434" s="50" t="s">
        <v>2240</v>
      </c>
      <c r="D1434" s="33" t="s">
        <v>4372</v>
      </c>
      <c r="E1434" s="50" t="s">
        <v>451</v>
      </c>
    </row>
    <row r="1435" spans="1:5" ht="13.2">
      <c r="A1435" s="61">
        <v>3019</v>
      </c>
      <c r="B1435" s="50" t="s">
        <v>2261</v>
      </c>
      <c r="C1435" s="50" t="s">
        <v>782</v>
      </c>
      <c r="D1435" s="33" t="s">
        <v>4373</v>
      </c>
      <c r="E1435" s="50" t="s">
        <v>451</v>
      </c>
    </row>
    <row r="1436" spans="1:5" ht="13.2">
      <c r="A1436" s="61">
        <v>3020</v>
      </c>
      <c r="B1436" s="50" t="s">
        <v>2215</v>
      </c>
      <c r="C1436" s="50" t="s">
        <v>1534</v>
      </c>
      <c r="D1436" s="33" t="s">
        <v>4374</v>
      </c>
      <c r="E1436" s="50" t="s">
        <v>451</v>
      </c>
    </row>
    <row r="1437" spans="1:5" ht="13.2">
      <c r="A1437" s="61">
        <v>3021</v>
      </c>
      <c r="B1437" s="50" t="s">
        <v>623</v>
      </c>
      <c r="C1437" s="50" t="s">
        <v>1414</v>
      </c>
      <c r="D1437" s="33" t="s">
        <v>4375</v>
      </c>
      <c r="E1437" s="50" t="s">
        <v>2128</v>
      </c>
    </row>
    <row r="1438" spans="1:5" ht="13.2">
      <c r="A1438" s="61">
        <v>3022</v>
      </c>
      <c r="B1438" s="50" t="s">
        <v>2268</v>
      </c>
      <c r="C1438" s="50" t="s">
        <v>778</v>
      </c>
      <c r="D1438" s="33" t="s">
        <v>4376</v>
      </c>
      <c r="E1438" s="50" t="s">
        <v>451</v>
      </c>
    </row>
    <row r="1439" spans="1:5" ht="13.2">
      <c r="A1439" s="61">
        <v>3023</v>
      </c>
      <c r="B1439" s="50" t="s">
        <v>2238</v>
      </c>
      <c r="C1439" s="50" t="s">
        <v>1133</v>
      </c>
      <c r="D1439" s="33" t="s">
        <v>4377</v>
      </c>
      <c r="E1439" s="50" t="s">
        <v>451</v>
      </c>
    </row>
    <row r="1440" spans="1:5" ht="13.2">
      <c r="A1440" s="61">
        <v>3024</v>
      </c>
      <c r="B1440" s="50" t="s">
        <v>2252</v>
      </c>
      <c r="C1440" s="50" t="s">
        <v>1172</v>
      </c>
      <c r="D1440" s="33" t="s">
        <v>3372</v>
      </c>
      <c r="E1440" s="50" t="s">
        <v>2128</v>
      </c>
    </row>
    <row r="1441" spans="1:5" ht="13.2">
      <c r="A1441" s="61">
        <v>3025</v>
      </c>
      <c r="B1441" s="50" t="s">
        <v>2301</v>
      </c>
      <c r="C1441" s="50" t="s">
        <v>1410</v>
      </c>
      <c r="D1441" s="33" t="s">
        <v>4378</v>
      </c>
      <c r="E1441" s="50" t="s">
        <v>451</v>
      </c>
    </row>
    <row r="1442" spans="1:5" ht="13.2">
      <c r="A1442" s="61">
        <v>3026</v>
      </c>
      <c r="B1442" s="50" t="s">
        <v>2211</v>
      </c>
      <c r="C1442" s="50" t="s">
        <v>266</v>
      </c>
      <c r="D1442" s="33" t="s">
        <v>4379</v>
      </c>
      <c r="E1442" s="50" t="s">
        <v>451</v>
      </c>
    </row>
    <row r="1443" spans="1:5" ht="13.2">
      <c r="A1443" s="61">
        <v>3028</v>
      </c>
      <c r="B1443" s="50" t="s">
        <v>2236</v>
      </c>
      <c r="C1443" s="50" t="s">
        <v>1345</v>
      </c>
      <c r="D1443" s="33" t="s">
        <v>4380</v>
      </c>
      <c r="E1443" s="50" t="s">
        <v>451</v>
      </c>
    </row>
    <row r="1444" spans="1:5" ht="13.2">
      <c r="A1444" s="61">
        <v>3029</v>
      </c>
      <c r="B1444" s="50" t="s">
        <v>2226</v>
      </c>
      <c r="C1444" s="50" t="s">
        <v>65</v>
      </c>
      <c r="D1444" s="33" t="s">
        <v>4381</v>
      </c>
      <c r="E1444" s="50" t="s">
        <v>2128</v>
      </c>
    </row>
    <row r="1445" spans="1:5" ht="13.2">
      <c r="A1445" s="61">
        <v>3030</v>
      </c>
      <c r="B1445" s="50" t="s">
        <v>358</v>
      </c>
      <c r="C1445" s="50" t="s">
        <v>1172</v>
      </c>
      <c r="D1445" s="33" t="s">
        <v>2190</v>
      </c>
      <c r="E1445" s="50" t="s">
        <v>451</v>
      </c>
    </row>
    <row r="1446" spans="1:5" ht="13.2">
      <c r="A1446" s="61">
        <v>3031</v>
      </c>
      <c r="B1446" s="50" t="s">
        <v>2265</v>
      </c>
      <c r="C1446" s="50" t="s">
        <v>2266</v>
      </c>
      <c r="D1446" s="33" t="s">
        <v>4382</v>
      </c>
      <c r="E1446" s="50" t="s">
        <v>451</v>
      </c>
    </row>
    <row r="1447" spans="1:5" ht="13.2">
      <c r="A1447" s="61">
        <v>3032</v>
      </c>
      <c r="B1447" s="50" t="s">
        <v>2214</v>
      </c>
      <c r="C1447" s="50" t="s">
        <v>2048</v>
      </c>
      <c r="D1447" s="33" t="s">
        <v>2193</v>
      </c>
      <c r="E1447" s="50" t="s">
        <v>2128</v>
      </c>
    </row>
    <row r="1448" spans="1:5" ht="13.2">
      <c r="A1448" s="61">
        <v>3033</v>
      </c>
      <c r="B1448" s="50" t="s">
        <v>550</v>
      </c>
      <c r="C1448" s="50" t="s">
        <v>864</v>
      </c>
      <c r="D1448" s="33" t="s">
        <v>2991</v>
      </c>
      <c r="E1448" s="50" t="s">
        <v>451</v>
      </c>
    </row>
    <row r="1449" spans="1:5" ht="13.2">
      <c r="A1449" s="61">
        <v>3034</v>
      </c>
      <c r="B1449" s="50" t="s">
        <v>998</v>
      </c>
      <c r="C1449" s="50" t="s">
        <v>788</v>
      </c>
      <c r="D1449" s="33" t="s">
        <v>3076</v>
      </c>
      <c r="E1449" s="50" t="s">
        <v>2128</v>
      </c>
    </row>
    <row r="1450" spans="1:5" ht="13.2">
      <c r="A1450" s="61">
        <v>3035</v>
      </c>
      <c r="B1450" s="50" t="s">
        <v>319</v>
      </c>
      <c r="C1450" s="50" t="s">
        <v>2266</v>
      </c>
      <c r="D1450" s="33" t="s">
        <v>4383</v>
      </c>
      <c r="E1450" s="50" t="s">
        <v>451</v>
      </c>
    </row>
    <row r="1451" spans="1:5" ht="13.2">
      <c r="A1451" s="61">
        <v>3036</v>
      </c>
      <c r="B1451" s="50" t="s">
        <v>2307</v>
      </c>
      <c r="C1451" s="50" t="s">
        <v>1240</v>
      </c>
      <c r="D1451" s="33" t="s">
        <v>4384</v>
      </c>
      <c r="E1451" s="50" t="s">
        <v>451</v>
      </c>
    </row>
    <row r="1452" spans="1:5" ht="13.2">
      <c r="A1452" s="61">
        <v>3037</v>
      </c>
      <c r="B1452" s="50" t="s">
        <v>2174</v>
      </c>
      <c r="C1452" s="50" t="s">
        <v>864</v>
      </c>
      <c r="D1452" s="33" t="s">
        <v>4385</v>
      </c>
      <c r="E1452" s="50" t="s">
        <v>451</v>
      </c>
    </row>
    <row r="1453" spans="1:5" ht="13.2">
      <c r="A1453" s="61">
        <v>3040</v>
      </c>
      <c r="B1453" s="50" t="s">
        <v>2230</v>
      </c>
      <c r="C1453" s="50" t="s">
        <v>637</v>
      </c>
      <c r="D1453" s="33" t="s">
        <v>2948</v>
      </c>
      <c r="E1453" s="50" t="s">
        <v>451</v>
      </c>
    </row>
    <row r="1454" spans="1:5" ht="13.2">
      <c r="A1454" s="61">
        <v>3041</v>
      </c>
      <c r="B1454" s="50" t="s">
        <v>2232</v>
      </c>
      <c r="C1454" s="50" t="s">
        <v>1099</v>
      </c>
      <c r="D1454" s="33" t="s">
        <v>2812</v>
      </c>
      <c r="E1454" s="50" t="s">
        <v>451</v>
      </c>
    </row>
    <row r="1455" spans="1:5" ht="13.2">
      <c r="A1455" s="61">
        <v>3042</v>
      </c>
      <c r="B1455" s="50" t="s">
        <v>2248</v>
      </c>
      <c r="C1455" s="50" t="s">
        <v>802</v>
      </c>
      <c r="D1455" s="33" t="s">
        <v>4386</v>
      </c>
      <c r="E1455" s="50" t="s">
        <v>451</v>
      </c>
    </row>
    <row r="1456" spans="1:5" ht="13.2">
      <c r="A1456" s="61">
        <v>3043</v>
      </c>
      <c r="B1456" s="50" t="s">
        <v>2241</v>
      </c>
      <c r="C1456" s="50" t="s">
        <v>864</v>
      </c>
      <c r="D1456" s="33" t="s">
        <v>4387</v>
      </c>
      <c r="E1456" s="50" t="s">
        <v>451</v>
      </c>
    </row>
    <row r="1457" spans="1:5" ht="13.2">
      <c r="A1457" s="61">
        <v>3044</v>
      </c>
      <c r="B1457" s="50" t="s">
        <v>2267</v>
      </c>
      <c r="C1457" s="50" t="s">
        <v>864</v>
      </c>
      <c r="D1457" s="33" t="s">
        <v>4388</v>
      </c>
      <c r="E1457" s="50" t="s">
        <v>451</v>
      </c>
    </row>
    <row r="1458" spans="1:5" ht="13.2">
      <c r="A1458" s="61">
        <v>3045</v>
      </c>
      <c r="B1458" s="50" t="s">
        <v>2233</v>
      </c>
      <c r="C1458" s="50" t="s">
        <v>1534</v>
      </c>
      <c r="D1458" s="33" t="s">
        <v>4389</v>
      </c>
      <c r="E1458" s="50" t="s">
        <v>451</v>
      </c>
    </row>
    <row r="1459" spans="1:5" ht="13.2">
      <c r="A1459" s="61">
        <v>3046</v>
      </c>
      <c r="B1459" s="50" t="s">
        <v>2243</v>
      </c>
      <c r="C1459" s="50" t="s">
        <v>2244</v>
      </c>
      <c r="D1459" s="33" t="s">
        <v>4390</v>
      </c>
      <c r="E1459" s="50" t="s">
        <v>451</v>
      </c>
    </row>
    <row r="1460" spans="1:5" ht="13.2">
      <c r="A1460" s="61">
        <v>3047</v>
      </c>
      <c r="B1460" s="50" t="s">
        <v>2249</v>
      </c>
      <c r="C1460" s="50" t="s">
        <v>1099</v>
      </c>
      <c r="D1460" s="33" t="s">
        <v>4391</v>
      </c>
      <c r="E1460" s="50" t="s">
        <v>451</v>
      </c>
    </row>
    <row r="1461" spans="1:5" ht="13.2">
      <c r="A1461" s="61">
        <v>3049</v>
      </c>
      <c r="B1461" s="50" t="s">
        <v>2257</v>
      </c>
      <c r="C1461" s="50" t="s">
        <v>2239</v>
      </c>
      <c r="D1461" s="33" t="s">
        <v>4392</v>
      </c>
      <c r="E1461" s="50" t="s">
        <v>451</v>
      </c>
    </row>
    <row r="1462" spans="1:5" ht="13.2">
      <c r="A1462" s="61">
        <v>3050</v>
      </c>
      <c r="B1462" s="50" t="s">
        <v>184</v>
      </c>
      <c r="C1462" s="50" t="s">
        <v>1172</v>
      </c>
      <c r="D1462" s="33" t="s">
        <v>4393</v>
      </c>
      <c r="E1462" s="50" t="s">
        <v>451</v>
      </c>
    </row>
    <row r="1463" spans="1:5" ht="13.2">
      <c r="A1463" s="61">
        <v>3051</v>
      </c>
      <c r="B1463" s="50" t="s">
        <v>2246</v>
      </c>
      <c r="C1463" s="50" t="s">
        <v>2239</v>
      </c>
      <c r="D1463" s="33" t="s">
        <v>4394</v>
      </c>
      <c r="E1463" s="50" t="s">
        <v>451</v>
      </c>
    </row>
    <row r="1464" spans="1:5" ht="13.2">
      <c r="A1464" s="61">
        <v>3052</v>
      </c>
      <c r="B1464" s="50" t="s">
        <v>2255</v>
      </c>
      <c r="C1464" s="50" t="s">
        <v>1157</v>
      </c>
      <c r="D1464" s="33" t="s">
        <v>3100</v>
      </c>
      <c r="E1464" s="50" t="s">
        <v>451</v>
      </c>
    </row>
    <row r="1465" spans="1:5" ht="13.2">
      <c r="A1465" s="61">
        <v>3053</v>
      </c>
      <c r="B1465" s="50" t="s">
        <v>2596</v>
      </c>
      <c r="C1465" s="50" t="s">
        <v>864</v>
      </c>
      <c r="D1465" s="33" t="s">
        <v>4395</v>
      </c>
      <c r="E1465" s="50" t="s">
        <v>686</v>
      </c>
    </row>
    <row r="1466" spans="1:5" ht="13.2">
      <c r="A1466" s="61">
        <v>3055</v>
      </c>
      <c r="B1466" s="50" t="s">
        <v>2506</v>
      </c>
      <c r="C1466" s="50" t="s">
        <v>866</v>
      </c>
      <c r="D1466" s="33" t="s">
        <v>4396</v>
      </c>
      <c r="E1466" s="50" t="s">
        <v>1224</v>
      </c>
    </row>
    <row r="1467" spans="1:5" ht="13.2">
      <c r="A1467" s="61">
        <v>3056</v>
      </c>
      <c r="B1467" s="50" t="s">
        <v>2302</v>
      </c>
      <c r="C1467" s="50" t="s">
        <v>336</v>
      </c>
      <c r="D1467" s="33" t="s">
        <v>4397</v>
      </c>
      <c r="E1467" s="50" t="s">
        <v>451</v>
      </c>
    </row>
    <row r="1468" spans="1:5" ht="13.2">
      <c r="A1468" s="61">
        <v>3057</v>
      </c>
      <c r="B1468" s="50" t="s">
        <v>2507</v>
      </c>
      <c r="C1468" s="50" t="s">
        <v>2419</v>
      </c>
      <c r="D1468" s="33" t="s">
        <v>4398</v>
      </c>
      <c r="E1468" s="50" t="s">
        <v>1366</v>
      </c>
    </row>
    <row r="1469" spans="1:5" ht="13.2">
      <c r="A1469" s="61">
        <v>3058</v>
      </c>
      <c r="B1469" s="50" t="s">
        <v>2508</v>
      </c>
      <c r="C1469" s="50" t="s">
        <v>336</v>
      </c>
      <c r="D1469" s="33" t="s">
        <v>2922</v>
      </c>
      <c r="E1469" s="50" t="s">
        <v>1224</v>
      </c>
    </row>
    <row r="1470" spans="1:5" ht="13.2">
      <c r="A1470" s="61">
        <v>3059</v>
      </c>
      <c r="B1470" s="50" t="s">
        <v>136</v>
      </c>
      <c r="C1470" s="50" t="s">
        <v>782</v>
      </c>
      <c r="D1470" s="33" t="s">
        <v>2937</v>
      </c>
      <c r="E1470" s="50" t="s">
        <v>1224</v>
      </c>
    </row>
    <row r="1471" spans="1:5" ht="13.2">
      <c r="A1471" s="61">
        <v>3060</v>
      </c>
      <c r="B1471" s="50" t="s">
        <v>2509</v>
      </c>
      <c r="C1471" s="50" t="s">
        <v>640</v>
      </c>
      <c r="D1471" s="33" t="s">
        <v>4399</v>
      </c>
      <c r="E1471" s="50" t="s">
        <v>1224</v>
      </c>
    </row>
    <row r="1472" spans="1:5" ht="13.2">
      <c r="A1472" s="61">
        <v>3063</v>
      </c>
      <c r="B1472" s="50" t="s">
        <v>2510</v>
      </c>
      <c r="C1472" s="50" t="s">
        <v>867</v>
      </c>
      <c r="D1472" s="33" t="s">
        <v>2942</v>
      </c>
      <c r="E1472" s="50" t="s">
        <v>1224</v>
      </c>
    </row>
    <row r="1473" spans="1:5" ht="13.2">
      <c r="A1473" s="61">
        <v>3064</v>
      </c>
      <c r="B1473" s="50" t="s">
        <v>2511</v>
      </c>
      <c r="C1473" s="50" t="s">
        <v>1133</v>
      </c>
      <c r="D1473" s="33" t="s">
        <v>2923</v>
      </c>
      <c r="E1473" s="50" t="s">
        <v>2610</v>
      </c>
    </row>
    <row r="1474" spans="1:5" ht="13.2">
      <c r="A1474" s="61">
        <v>3065</v>
      </c>
      <c r="B1474" s="50" t="s">
        <v>2538</v>
      </c>
      <c r="C1474" s="50" t="s">
        <v>1413</v>
      </c>
      <c r="D1474" s="33" t="s">
        <v>4400</v>
      </c>
      <c r="E1474" s="50" t="s">
        <v>392</v>
      </c>
    </row>
    <row r="1475" spans="1:5" ht="13.2">
      <c r="A1475" s="61">
        <v>3066</v>
      </c>
      <c r="B1475" s="50" t="s">
        <v>1443</v>
      </c>
      <c r="C1475" s="50" t="s">
        <v>1311</v>
      </c>
      <c r="D1475" s="33" t="s">
        <v>2911</v>
      </c>
      <c r="E1475" s="50" t="s">
        <v>2180</v>
      </c>
    </row>
    <row r="1476" spans="1:5" ht="13.2">
      <c r="A1476" s="61">
        <v>3067</v>
      </c>
      <c r="B1476" s="50" t="s">
        <v>2371</v>
      </c>
      <c r="C1476" s="50" t="s">
        <v>163</v>
      </c>
      <c r="D1476" s="33" t="s">
        <v>4401</v>
      </c>
      <c r="E1476" s="50" t="s">
        <v>2128</v>
      </c>
    </row>
    <row r="1477" spans="1:5" ht="13.2">
      <c r="A1477" s="61">
        <v>3069</v>
      </c>
      <c r="B1477" s="50" t="s">
        <v>2350</v>
      </c>
      <c r="C1477" s="50" t="s">
        <v>777</v>
      </c>
      <c r="D1477" s="33" t="s">
        <v>4402</v>
      </c>
      <c r="E1477" s="50" t="s">
        <v>451</v>
      </c>
    </row>
    <row r="1478" spans="1:5" ht="13.2">
      <c r="A1478" s="61">
        <v>3070</v>
      </c>
      <c r="B1478" s="50" t="s">
        <v>210</v>
      </c>
      <c r="C1478" s="50" t="s">
        <v>79</v>
      </c>
      <c r="D1478" s="33" t="s">
        <v>4403</v>
      </c>
      <c r="E1478" s="50" t="s">
        <v>451</v>
      </c>
    </row>
    <row r="1479" spans="1:5" ht="13.2">
      <c r="A1479" s="61">
        <v>3071</v>
      </c>
      <c r="B1479" s="50" t="s">
        <v>2176</v>
      </c>
      <c r="C1479" s="50" t="s">
        <v>2306</v>
      </c>
      <c r="D1479" s="33" t="s">
        <v>2884</v>
      </c>
      <c r="E1479" s="50" t="s">
        <v>451</v>
      </c>
    </row>
    <row r="1480" spans="1:5" ht="13.2">
      <c r="A1480" s="61">
        <v>3072</v>
      </c>
      <c r="B1480" s="50" t="s">
        <v>2347</v>
      </c>
      <c r="C1480" s="50" t="s">
        <v>777</v>
      </c>
      <c r="D1480" s="33" t="s">
        <v>4404</v>
      </c>
      <c r="E1480" s="50" t="s">
        <v>451</v>
      </c>
    </row>
    <row r="1481" spans="1:5" ht="13.2">
      <c r="A1481" s="61">
        <v>3073</v>
      </c>
      <c r="B1481" s="50" t="s">
        <v>1471</v>
      </c>
      <c r="C1481" s="50" t="s">
        <v>197</v>
      </c>
      <c r="D1481" s="33" t="s">
        <v>4405</v>
      </c>
      <c r="E1481" s="50" t="s">
        <v>451</v>
      </c>
    </row>
    <row r="1482" spans="1:5" ht="13.2">
      <c r="A1482" s="61">
        <v>3074</v>
      </c>
      <c r="B1482" s="50" t="s">
        <v>2247</v>
      </c>
      <c r="C1482" s="50" t="s">
        <v>638</v>
      </c>
      <c r="D1482" s="33" t="s">
        <v>3388</v>
      </c>
      <c r="E1482" s="50" t="s">
        <v>451</v>
      </c>
    </row>
    <row r="1483" spans="1:5" ht="13.2">
      <c r="A1483" s="61">
        <v>3075</v>
      </c>
      <c r="B1483" s="50" t="s">
        <v>2264</v>
      </c>
      <c r="C1483" s="50" t="s">
        <v>864</v>
      </c>
      <c r="D1483" s="33" t="s">
        <v>4406</v>
      </c>
      <c r="E1483" s="50" t="s">
        <v>451</v>
      </c>
    </row>
    <row r="1484" spans="1:5" ht="13.2">
      <c r="A1484" s="61">
        <v>3076</v>
      </c>
      <c r="B1484" s="50" t="s">
        <v>2346</v>
      </c>
      <c r="C1484" s="50" t="s">
        <v>1119</v>
      </c>
      <c r="D1484" s="33" t="s">
        <v>4407</v>
      </c>
      <c r="E1484" s="50" t="s">
        <v>2128</v>
      </c>
    </row>
    <row r="1485" spans="1:5" ht="13.2">
      <c r="A1485" s="61">
        <v>3077</v>
      </c>
      <c r="B1485" s="50" t="s">
        <v>2216</v>
      </c>
      <c r="C1485" s="50" t="s">
        <v>964</v>
      </c>
      <c r="D1485" s="33" t="s">
        <v>4408</v>
      </c>
      <c r="E1485" s="50" t="s">
        <v>451</v>
      </c>
    </row>
    <row r="1486" spans="1:5" ht="13.2">
      <c r="A1486" s="61">
        <v>3078</v>
      </c>
      <c r="B1486" s="50" t="s">
        <v>1406</v>
      </c>
      <c r="C1486" s="50" t="s">
        <v>1246</v>
      </c>
      <c r="D1486" s="33" t="s">
        <v>4409</v>
      </c>
      <c r="E1486" s="50" t="s">
        <v>451</v>
      </c>
    </row>
    <row r="1487" spans="1:5" ht="13.2">
      <c r="A1487" s="61">
        <v>3079</v>
      </c>
      <c r="B1487" s="50" t="s">
        <v>82</v>
      </c>
      <c r="C1487" s="50" t="s">
        <v>246</v>
      </c>
      <c r="D1487" s="33" t="s">
        <v>4410</v>
      </c>
      <c r="E1487" s="50" t="s">
        <v>451</v>
      </c>
    </row>
    <row r="1488" spans="1:5" ht="13.2">
      <c r="A1488" s="61">
        <v>3080</v>
      </c>
      <c r="B1488" s="50" t="s">
        <v>2313</v>
      </c>
      <c r="C1488" s="50" t="s">
        <v>477</v>
      </c>
      <c r="D1488" s="33" t="s">
        <v>4411</v>
      </c>
      <c r="E1488" s="50" t="s">
        <v>451</v>
      </c>
    </row>
    <row r="1489" spans="1:5" ht="13.2">
      <c r="A1489" s="61">
        <v>3081</v>
      </c>
      <c r="B1489" s="50" t="s">
        <v>550</v>
      </c>
      <c r="C1489" s="50" t="s">
        <v>140</v>
      </c>
      <c r="D1489" s="33" t="s">
        <v>4412</v>
      </c>
      <c r="E1489" s="50" t="s">
        <v>451</v>
      </c>
    </row>
    <row r="1490" spans="1:5" ht="13.2">
      <c r="A1490" s="61">
        <v>3083</v>
      </c>
      <c r="B1490" s="50" t="s">
        <v>2368</v>
      </c>
      <c r="C1490" s="50" t="s">
        <v>336</v>
      </c>
      <c r="D1490" s="33" t="s">
        <v>2386</v>
      </c>
      <c r="E1490" s="50" t="s">
        <v>451</v>
      </c>
    </row>
    <row r="1491" spans="1:5" ht="13.2">
      <c r="A1491" s="61">
        <v>3084</v>
      </c>
      <c r="B1491" s="50" t="s">
        <v>2372</v>
      </c>
      <c r="C1491" s="50" t="s">
        <v>197</v>
      </c>
      <c r="D1491" s="33" t="s">
        <v>4413</v>
      </c>
      <c r="E1491" s="50" t="s">
        <v>451</v>
      </c>
    </row>
    <row r="1492" spans="1:5" ht="13.2">
      <c r="A1492" s="61">
        <v>3085</v>
      </c>
      <c r="B1492" s="50" t="s">
        <v>2258</v>
      </c>
      <c r="C1492" s="50" t="s">
        <v>1534</v>
      </c>
      <c r="D1492" s="33" t="s">
        <v>3360</v>
      </c>
      <c r="E1492" s="50" t="s">
        <v>451</v>
      </c>
    </row>
    <row r="1493" spans="1:5" ht="13.2">
      <c r="A1493" s="61">
        <v>3087</v>
      </c>
      <c r="B1493" s="50" t="s">
        <v>2251</v>
      </c>
      <c r="C1493" s="50" t="s">
        <v>1534</v>
      </c>
      <c r="D1493" s="33" t="s">
        <v>2895</v>
      </c>
      <c r="E1493" s="50" t="s">
        <v>451</v>
      </c>
    </row>
    <row r="1494" spans="1:5" ht="13.2">
      <c r="A1494" s="61">
        <v>3088</v>
      </c>
      <c r="B1494" s="50" t="s">
        <v>2269</v>
      </c>
      <c r="C1494" s="50" t="s">
        <v>2270</v>
      </c>
      <c r="D1494" s="33" t="s">
        <v>4414</v>
      </c>
      <c r="E1494" s="50" t="s">
        <v>451</v>
      </c>
    </row>
    <row r="1495" spans="1:5" ht="13.2">
      <c r="A1495" s="61">
        <v>3089</v>
      </c>
      <c r="B1495" s="50" t="s">
        <v>2169</v>
      </c>
      <c r="C1495" s="50" t="s">
        <v>2170</v>
      </c>
      <c r="D1495" s="33" t="s">
        <v>4415</v>
      </c>
      <c r="E1495" s="50" t="s">
        <v>451</v>
      </c>
    </row>
    <row r="1496" spans="1:5" ht="13.2">
      <c r="A1496" s="61">
        <v>3090</v>
      </c>
      <c r="B1496" s="50" t="s">
        <v>2259</v>
      </c>
      <c r="C1496" s="50" t="s">
        <v>2260</v>
      </c>
      <c r="D1496" s="33" t="s">
        <v>2854</v>
      </c>
      <c r="E1496" s="50" t="s">
        <v>451</v>
      </c>
    </row>
    <row r="1497" spans="1:5" ht="13.2">
      <c r="A1497" s="61">
        <v>3092</v>
      </c>
      <c r="B1497" s="50" t="s">
        <v>2250</v>
      </c>
      <c r="C1497" s="50" t="s">
        <v>1527</v>
      </c>
      <c r="D1497" s="33" t="s">
        <v>4416</v>
      </c>
      <c r="E1497" s="50" t="s">
        <v>451</v>
      </c>
    </row>
    <row r="1498" spans="1:5" ht="13.2">
      <c r="A1498" s="61">
        <v>3093</v>
      </c>
      <c r="B1498" s="50" t="s">
        <v>2237</v>
      </c>
      <c r="C1498" s="50" t="s">
        <v>163</v>
      </c>
      <c r="D1498" s="33" t="s">
        <v>2794</v>
      </c>
      <c r="E1498" s="50" t="s">
        <v>451</v>
      </c>
    </row>
    <row r="1499" spans="1:5" ht="13.2">
      <c r="A1499" s="61">
        <v>3094</v>
      </c>
      <c r="B1499" s="50" t="s">
        <v>2227</v>
      </c>
      <c r="C1499" s="50" t="s">
        <v>2228</v>
      </c>
      <c r="D1499" s="33" t="s">
        <v>2839</v>
      </c>
      <c r="E1499" s="50" t="s">
        <v>451</v>
      </c>
    </row>
    <row r="1500" spans="1:5" ht="13.2">
      <c r="A1500" s="61">
        <v>3095</v>
      </c>
      <c r="B1500" s="50" t="s">
        <v>2245</v>
      </c>
      <c r="C1500" s="50" t="s">
        <v>640</v>
      </c>
      <c r="D1500" s="33" t="s">
        <v>3153</v>
      </c>
      <c r="E1500" s="50" t="s">
        <v>3259</v>
      </c>
    </row>
    <row r="1501" spans="1:5" ht="13.2">
      <c r="A1501" s="61">
        <v>3096</v>
      </c>
      <c r="B1501" s="50" t="s">
        <v>2262</v>
      </c>
      <c r="C1501" s="50" t="s">
        <v>1246</v>
      </c>
      <c r="D1501" s="33" t="s">
        <v>3383</v>
      </c>
      <c r="E1501" s="50" t="s">
        <v>451</v>
      </c>
    </row>
    <row r="1502" spans="1:5" ht="13.2">
      <c r="A1502" s="61">
        <v>3097</v>
      </c>
      <c r="B1502" s="50" t="s">
        <v>2235</v>
      </c>
      <c r="C1502" s="50" t="s">
        <v>1490</v>
      </c>
      <c r="D1502" s="33" t="s">
        <v>4417</v>
      </c>
      <c r="E1502" s="50" t="s">
        <v>451</v>
      </c>
    </row>
    <row r="1503" spans="1:5" ht="13.2">
      <c r="A1503" s="61">
        <v>3098</v>
      </c>
      <c r="B1503" s="50" t="s">
        <v>2310</v>
      </c>
      <c r="C1503" s="50" t="s">
        <v>1414</v>
      </c>
      <c r="D1503" s="33" t="s">
        <v>4418</v>
      </c>
      <c r="E1503" s="50" t="s">
        <v>451</v>
      </c>
    </row>
    <row r="1504" spans="1:5" ht="13.2">
      <c r="A1504" s="61">
        <v>3099</v>
      </c>
      <c r="B1504" s="50" t="s">
        <v>2414</v>
      </c>
      <c r="C1504" s="50" t="s">
        <v>427</v>
      </c>
      <c r="D1504" s="33" t="s">
        <v>3154</v>
      </c>
      <c r="E1504" s="50" t="s">
        <v>451</v>
      </c>
    </row>
    <row r="1505" spans="1:5" ht="13.2">
      <c r="A1505" s="61">
        <v>3100</v>
      </c>
      <c r="B1505" s="50" t="s">
        <v>2304</v>
      </c>
      <c r="C1505" s="50" t="s">
        <v>266</v>
      </c>
      <c r="D1505" s="33" t="s">
        <v>4419</v>
      </c>
      <c r="E1505" s="50" t="s">
        <v>451</v>
      </c>
    </row>
    <row r="1506" spans="1:5" ht="13.2">
      <c r="A1506" s="61">
        <v>3101</v>
      </c>
      <c r="B1506" s="50" t="s">
        <v>2359</v>
      </c>
      <c r="C1506" s="50" t="s">
        <v>1413</v>
      </c>
      <c r="D1506" s="33" t="s">
        <v>4420</v>
      </c>
      <c r="E1506" s="50" t="s">
        <v>451</v>
      </c>
    </row>
    <row r="1507" spans="1:5" ht="13.2">
      <c r="A1507" s="61">
        <v>3102</v>
      </c>
      <c r="B1507" s="50" t="s">
        <v>1117</v>
      </c>
      <c r="C1507" s="50" t="s">
        <v>286</v>
      </c>
      <c r="D1507" s="33" t="s">
        <v>4421</v>
      </c>
      <c r="E1507" s="50" t="s">
        <v>2128</v>
      </c>
    </row>
    <row r="1508" spans="1:5" ht="13.2">
      <c r="A1508" s="61">
        <v>3103</v>
      </c>
      <c r="B1508" s="50" t="s">
        <v>2367</v>
      </c>
      <c r="C1508" s="50" t="s">
        <v>1197</v>
      </c>
      <c r="D1508" s="33" t="s">
        <v>4422</v>
      </c>
      <c r="E1508" s="50" t="s">
        <v>451</v>
      </c>
    </row>
    <row r="1509" spans="1:5" ht="13.2">
      <c r="A1509" s="61">
        <v>3104</v>
      </c>
      <c r="B1509" s="50" t="s">
        <v>2305</v>
      </c>
      <c r="C1509" s="50" t="s">
        <v>928</v>
      </c>
      <c r="D1509" s="33" t="s">
        <v>4423</v>
      </c>
      <c r="E1509" s="50" t="s">
        <v>451</v>
      </c>
    </row>
    <row r="1510" spans="1:5" ht="13.2">
      <c r="A1510" s="61">
        <v>3105</v>
      </c>
      <c r="B1510" s="50" t="s">
        <v>2539</v>
      </c>
      <c r="C1510" s="50" t="s">
        <v>1334</v>
      </c>
      <c r="D1510" s="33" t="s">
        <v>4424</v>
      </c>
      <c r="E1510" s="50" t="s">
        <v>1224</v>
      </c>
    </row>
    <row r="1511" spans="1:5" ht="13.2">
      <c r="A1511" s="61">
        <v>3106</v>
      </c>
      <c r="B1511" s="50" t="s">
        <v>2540</v>
      </c>
      <c r="C1511" s="50" t="s">
        <v>640</v>
      </c>
      <c r="D1511" s="33" t="s">
        <v>4425</v>
      </c>
      <c r="E1511" s="50" t="s">
        <v>392</v>
      </c>
    </row>
    <row r="1512" spans="1:5" ht="12.75" customHeight="1">
      <c r="A1512" s="61">
        <v>3107</v>
      </c>
      <c r="B1512" s="50" t="s">
        <v>2541</v>
      </c>
      <c r="C1512" s="50" t="s">
        <v>188</v>
      </c>
      <c r="D1512" s="33" t="s">
        <v>2931</v>
      </c>
      <c r="E1512" s="50" t="s">
        <v>1224</v>
      </c>
    </row>
    <row r="1513" spans="1:5" ht="12.75" customHeight="1">
      <c r="A1513" s="61">
        <v>3108</v>
      </c>
      <c r="B1513" s="50" t="s">
        <v>2542</v>
      </c>
      <c r="C1513" s="50" t="s">
        <v>867</v>
      </c>
      <c r="D1513" s="33" t="s">
        <v>4426</v>
      </c>
      <c r="E1513" s="50" t="s">
        <v>1224</v>
      </c>
    </row>
    <row r="1514" spans="1:5" ht="12.75" customHeight="1">
      <c r="A1514" s="61">
        <v>3109</v>
      </c>
      <c r="B1514" s="50" t="s">
        <v>2597</v>
      </c>
      <c r="C1514" s="50" t="s">
        <v>263</v>
      </c>
      <c r="D1514" s="33" t="s">
        <v>4427</v>
      </c>
      <c r="E1514" s="50" t="s">
        <v>1224</v>
      </c>
    </row>
    <row r="1515" spans="1:5" ht="12.75" customHeight="1">
      <c r="A1515" s="61">
        <v>3111</v>
      </c>
      <c r="B1515" s="50" t="s">
        <v>937</v>
      </c>
      <c r="C1515" s="50" t="s">
        <v>163</v>
      </c>
      <c r="D1515" s="33" t="s">
        <v>4428</v>
      </c>
      <c r="E1515" s="50" t="s">
        <v>2611</v>
      </c>
    </row>
    <row r="1516" spans="1:5" ht="12.75" customHeight="1">
      <c r="A1516" s="61">
        <v>3112</v>
      </c>
      <c r="B1516" s="50" t="s">
        <v>2599</v>
      </c>
      <c r="C1516" s="50" t="s">
        <v>2598</v>
      </c>
      <c r="D1516" s="33" t="s">
        <v>4429</v>
      </c>
      <c r="E1516" s="50" t="s">
        <v>389</v>
      </c>
    </row>
    <row r="1517" spans="1:5" ht="12.75" customHeight="1">
      <c r="A1517" s="61">
        <v>3113</v>
      </c>
      <c r="B1517" s="50" t="s">
        <v>495</v>
      </c>
      <c r="C1517" s="50" t="s">
        <v>199</v>
      </c>
      <c r="D1517" s="33" t="s">
        <v>2330</v>
      </c>
      <c r="E1517" s="50" t="s">
        <v>2128</v>
      </c>
    </row>
    <row r="1518" spans="1:5" ht="12.75" customHeight="1">
      <c r="A1518" s="61">
        <v>3114</v>
      </c>
      <c r="B1518" s="50" t="s">
        <v>2373</v>
      </c>
      <c r="C1518" s="50" t="s">
        <v>188</v>
      </c>
      <c r="D1518" s="33" t="s">
        <v>4430</v>
      </c>
      <c r="E1518" s="50" t="s">
        <v>2128</v>
      </c>
    </row>
    <row r="1519" spans="1:5" ht="12.75" customHeight="1">
      <c r="A1519" s="61">
        <v>3116</v>
      </c>
      <c r="B1519" s="50" t="s">
        <v>2360</v>
      </c>
      <c r="C1519" s="50" t="s">
        <v>263</v>
      </c>
      <c r="D1519" s="33" t="s">
        <v>4431</v>
      </c>
      <c r="E1519" s="50" t="s">
        <v>451</v>
      </c>
    </row>
    <row r="1520" spans="1:5" ht="12.75" customHeight="1">
      <c r="A1520" s="61">
        <v>3117</v>
      </c>
      <c r="B1520" s="50" t="s">
        <v>921</v>
      </c>
      <c r="C1520" s="50" t="s">
        <v>1162</v>
      </c>
      <c r="D1520" s="33" t="s">
        <v>2996</v>
      </c>
      <c r="E1520" s="50" t="s">
        <v>451</v>
      </c>
    </row>
    <row r="1521" spans="1:5" ht="12.75" customHeight="1">
      <c r="A1521" s="61">
        <v>3119</v>
      </c>
      <c r="B1521" s="50" t="s">
        <v>2421</v>
      </c>
      <c r="C1521" s="50" t="s">
        <v>1474</v>
      </c>
      <c r="D1521" s="33" t="s">
        <v>4432</v>
      </c>
      <c r="E1521" s="50" t="s">
        <v>451</v>
      </c>
    </row>
    <row r="1522" spans="1:5" ht="12.75" customHeight="1">
      <c r="A1522" s="61">
        <v>3120</v>
      </c>
      <c r="B1522" s="50" t="s">
        <v>1331</v>
      </c>
      <c r="C1522" s="50" t="s">
        <v>423</v>
      </c>
      <c r="D1522" s="33" t="s">
        <v>4433</v>
      </c>
      <c r="E1522" s="50" t="s">
        <v>451</v>
      </c>
    </row>
    <row r="1523" spans="1:5" ht="12.75" customHeight="1">
      <c r="A1523" s="61">
        <v>3121</v>
      </c>
      <c r="B1523" s="50" t="s">
        <v>2308</v>
      </c>
      <c r="C1523" s="50" t="s">
        <v>1246</v>
      </c>
      <c r="D1523" s="33" t="s">
        <v>2851</v>
      </c>
      <c r="E1523" s="50" t="s">
        <v>2128</v>
      </c>
    </row>
    <row r="1524" spans="1:5" ht="12.75" customHeight="1">
      <c r="A1524" s="61">
        <v>3122</v>
      </c>
      <c r="B1524" s="50" t="s">
        <v>575</v>
      </c>
      <c r="C1524" s="50" t="s">
        <v>782</v>
      </c>
      <c r="D1524" s="33" t="s">
        <v>4434</v>
      </c>
      <c r="E1524" s="50" t="s">
        <v>451</v>
      </c>
    </row>
    <row r="1525" spans="1:5" ht="12.75" customHeight="1">
      <c r="A1525" s="61">
        <v>3123</v>
      </c>
      <c r="B1525" s="50" t="s">
        <v>950</v>
      </c>
      <c r="C1525" s="50" t="s">
        <v>1133</v>
      </c>
      <c r="D1525" s="33" t="s">
        <v>4435</v>
      </c>
      <c r="E1525" s="50" t="s">
        <v>2128</v>
      </c>
    </row>
    <row r="1526" spans="1:5" ht="12.75" customHeight="1">
      <c r="A1526" s="61">
        <v>3124</v>
      </c>
      <c r="B1526" s="50" t="s">
        <v>2374</v>
      </c>
      <c r="C1526" s="50" t="s">
        <v>2375</v>
      </c>
      <c r="D1526" s="33" t="s">
        <v>4436</v>
      </c>
      <c r="E1526" s="50" t="s">
        <v>451</v>
      </c>
    </row>
    <row r="1527" spans="1:5" ht="12.75" customHeight="1">
      <c r="A1527" s="61">
        <v>3125</v>
      </c>
      <c r="B1527" s="50" t="s">
        <v>2362</v>
      </c>
      <c r="C1527" s="50" t="s">
        <v>1020</v>
      </c>
      <c r="D1527" s="33" t="s">
        <v>4437</v>
      </c>
      <c r="E1527" s="50" t="s">
        <v>451</v>
      </c>
    </row>
    <row r="1528" spans="1:5" ht="12.75" customHeight="1">
      <c r="A1528" s="61">
        <v>3126</v>
      </c>
      <c r="B1528" s="50" t="s">
        <v>2422</v>
      </c>
      <c r="C1528" s="50" t="s">
        <v>2423</v>
      </c>
      <c r="D1528" s="33" t="s">
        <v>4438</v>
      </c>
      <c r="E1528" s="50" t="s">
        <v>451</v>
      </c>
    </row>
    <row r="1529" spans="1:5" ht="12.75" customHeight="1">
      <c r="A1529" s="61">
        <v>3127</v>
      </c>
      <c r="B1529" s="50" t="s">
        <v>404</v>
      </c>
      <c r="C1529" s="50" t="s">
        <v>642</v>
      </c>
      <c r="D1529" s="33" t="s">
        <v>3490</v>
      </c>
      <c r="E1529" s="50" t="s">
        <v>451</v>
      </c>
    </row>
    <row r="1530" spans="1:5" ht="12.75" customHeight="1">
      <c r="A1530" s="61">
        <v>3128</v>
      </c>
      <c r="B1530" s="50" t="s">
        <v>2456</v>
      </c>
      <c r="C1530" s="50" t="s">
        <v>640</v>
      </c>
      <c r="D1530" s="33" t="s">
        <v>4439</v>
      </c>
      <c r="E1530" s="50" t="s">
        <v>451</v>
      </c>
    </row>
    <row r="1531" spans="1:5" ht="12.75" customHeight="1">
      <c r="A1531" s="61">
        <v>3129</v>
      </c>
      <c r="B1531" s="50" t="s">
        <v>2229</v>
      </c>
      <c r="C1531" s="50" t="s">
        <v>802</v>
      </c>
      <c r="D1531" s="33" t="s">
        <v>2857</v>
      </c>
      <c r="E1531" s="50" t="s">
        <v>2128</v>
      </c>
    </row>
    <row r="1532" spans="1:5" ht="12.75" customHeight="1">
      <c r="A1532" s="61">
        <v>3130</v>
      </c>
      <c r="B1532" s="50" t="s">
        <v>826</v>
      </c>
      <c r="C1532" s="50" t="s">
        <v>2177</v>
      </c>
      <c r="D1532" s="33" t="s">
        <v>2890</v>
      </c>
      <c r="E1532" s="50" t="s">
        <v>451</v>
      </c>
    </row>
    <row r="1533" spans="1:5" ht="12.75" customHeight="1">
      <c r="A1533" s="61">
        <v>3131</v>
      </c>
      <c r="B1533" s="50" t="s">
        <v>2242</v>
      </c>
      <c r="C1533" s="50" t="s">
        <v>1413</v>
      </c>
      <c r="D1533" s="33" t="s">
        <v>4440</v>
      </c>
      <c r="E1533" s="50" t="s">
        <v>451</v>
      </c>
    </row>
    <row r="1534" spans="1:5" ht="12.75" customHeight="1">
      <c r="A1534" s="61">
        <v>3132</v>
      </c>
      <c r="B1534" s="50" t="s">
        <v>2351</v>
      </c>
      <c r="C1534" s="50" t="s">
        <v>1234</v>
      </c>
      <c r="D1534" s="33" t="s">
        <v>4441</v>
      </c>
      <c r="E1534" s="50" t="s">
        <v>451</v>
      </c>
    </row>
    <row r="1535" spans="1:5" ht="12.75" customHeight="1">
      <c r="A1535" s="61">
        <v>3133</v>
      </c>
      <c r="B1535" s="50" t="s">
        <v>2231</v>
      </c>
      <c r="C1535" s="50" t="s">
        <v>1593</v>
      </c>
      <c r="D1535" s="33" t="s">
        <v>4442</v>
      </c>
      <c r="E1535" s="50" t="s">
        <v>2128</v>
      </c>
    </row>
    <row r="1536" spans="1:5" ht="12.75" customHeight="1">
      <c r="A1536" s="61">
        <v>3134</v>
      </c>
      <c r="B1536" s="50" t="s">
        <v>2491</v>
      </c>
      <c r="C1536" s="50" t="s">
        <v>619</v>
      </c>
      <c r="D1536" s="33" t="s">
        <v>4443</v>
      </c>
      <c r="E1536" s="50" t="s">
        <v>451</v>
      </c>
    </row>
    <row r="1537" spans="1:5" ht="12.75" customHeight="1">
      <c r="A1537" s="61">
        <v>3135</v>
      </c>
      <c r="B1537" s="50" t="s">
        <v>2227</v>
      </c>
      <c r="C1537" s="50" t="s">
        <v>2177</v>
      </c>
      <c r="D1537" s="33" t="s">
        <v>4444</v>
      </c>
      <c r="E1537" s="50" t="s">
        <v>2128</v>
      </c>
    </row>
    <row r="1538" spans="1:5" ht="12.75" customHeight="1">
      <c r="A1538" s="61">
        <v>3136</v>
      </c>
      <c r="B1538" s="50" t="s">
        <v>979</v>
      </c>
      <c r="C1538" s="50" t="s">
        <v>864</v>
      </c>
      <c r="D1538" s="33" t="s">
        <v>2856</v>
      </c>
      <c r="E1538" s="50" t="s">
        <v>451</v>
      </c>
    </row>
    <row r="1539" spans="1:5" ht="12.75" customHeight="1">
      <c r="A1539" s="61">
        <v>3137</v>
      </c>
      <c r="B1539" s="50" t="s">
        <v>1303</v>
      </c>
      <c r="C1539" s="50" t="s">
        <v>778</v>
      </c>
      <c r="D1539" s="33" t="s">
        <v>4445</v>
      </c>
      <c r="E1539" s="50" t="s">
        <v>451</v>
      </c>
    </row>
    <row r="1540" spans="1:5" ht="12.75" customHeight="1">
      <c r="A1540" s="61">
        <v>3138</v>
      </c>
      <c r="B1540" s="50" t="s">
        <v>2309</v>
      </c>
      <c r="C1540" s="50" t="s">
        <v>199</v>
      </c>
      <c r="D1540" s="33" t="s">
        <v>4446</v>
      </c>
      <c r="E1540" s="50" t="s">
        <v>451</v>
      </c>
    </row>
    <row r="1541" spans="1:5" ht="12.75" customHeight="1">
      <c r="A1541" s="61">
        <v>3139</v>
      </c>
      <c r="B1541" s="50" t="s">
        <v>2468</v>
      </c>
      <c r="C1541" s="50" t="s">
        <v>778</v>
      </c>
      <c r="D1541" s="33" t="s">
        <v>4447</v>
      </c>
      <c r="E1541" s="50" t="s">
        <v>451</v>
      </c>
    </row>
    <row r="1542" spans="1:5" ht="12.75" customHeight="1">
      <c r="A1542" s="61">
        <v>3140</v>
      </c>
      <c r="B1542" s="50" t="s">
        <v>2303</v>
      </c>
      <c r="C1542" s="50" t="s">
        <v>754</v>
      </c>
      <c r="D1542" s="33" t="s">
        <v>3425</v>
      </c>
      <c r="E1542" s="50" t="s">
        <v>2128</v>
      </c>
    </row>
    <row r="1543" spans="1:5" ht="12.75" customHeight="1">
      <c r="A1543" s="61">
        <v>3141</v>
      </c>
      <c r="B1543" s="50" t="s">
        <v>1276</v>
      </c>
      <c r="C1543" s="50" t="s">
        <v>140</v>
      </c>
      <c r="D1543" s="33" t="s">
        <v>4448</v>
      </c>
      <c r="E1543" s="50" t="s">
        <v>451</v>
      </c>
    </row>
    <row r="1544" spans="1:5" ht="12.75" customHeight="1">
      <c r="A1544" s="61">
        <v>3142</v>
      </c>
      <c r="B1544" s="50" t="s">
        <v>2210</v>
      </c>
      <c r="C1544" s="50" t="s">
        <v>778</v>
      </c>
      <c r="D1544" s="33" t="s">
        <v>4449</v>
      </c>
      <c r="E1544" s="50" t="s">
        <v>451</v>
      </c>
    </row>
    <row r="1545" spans="1:5" ht="12.75" customHeight="1">
      <c r="A1545" s="61">
        <v>3143</v>
      </c>
      <c r="B1545" s="50" t="s">
        <v>2464</v>
      </c>
      <c r="C1545" s="50" t="s">
        <v>1246</v>
      </c>
      <c r="D1545" s="33" t="s">
        <v>3155</v>
      </c>
      <c r="E1545" s="50" t="s">
        <v>451</v>
      </c>
    </row>
    <row r="1546" spans="1:5" ht="12.75" customHeight="1">
      <c r="A1546" s="61">
        <v>3144</v>
      </c>
      <c r="B1546" s="50" t="s">
        <v>2460</v>
      </c>
      <c r="C1546" s="50" t="s">
        <v>964</v>
      </c>
      <c r="D1546" s="33" t="s">
        <v>4450</v>
      </c>
      <c r="E1546" s="50" t="s">
        <v>451</v>
      </c>
    </row>
    <row r="1547" spans="1:5" ht="12.75" customHeight="1">
      <c r="A1547" s="61">
        <v>3145</v>
      </c>
      <c r="B1547" s="50" t="s">
        <v>2467</v>
      </c>
      <c r="C1547" s="50" t="s">
        <v>263</v>
      </c>
      <c r="D1547" s="33" t="s">
        <v>4451</v>
      </c>
      <c r="E1547" s="50" t="s">
        <v>2128</v>
      </c>
    </row>
    <row r="1548" spans="1:5" ht="12.75" customHeight="1">
      <c r="A1548" s="61">
        <v>3146</v>
      </c>
      <c r="B1548" s="50" t="s">
        <v>905</v>
      </c>
      <c r="C1548" s="50" t="s">
        <v>1534</v>
      </c>
      <c r="D1548" s="33" t="s">
        <v>4452</v>
      </c>
      <c r="E1548" s="50" t="s">
        <v>451</v>
      </c>
    </row>
    <row r="1549" spans="1:5" ht="12.75" customHeight="1">
      <c r="A1549" s="61">
        <v>3147</v>
      </c>
      <c r="B1549" s="50" t="s">
        <v>2348</v>
      </c>
      <c r="C1549" s="50" t="s">
        <v>1345</v>
      </c>
      <c r="D1549" s="33" t="s">
        <v>4453</v>
      </c>
      <c r="E1549" s="50" t="s">
        <v>451</v>
      </c>
    </row>
    <row r="1550" spans="1:5" ht="12.75" customHeight="1">
      <c r="A1550" s="61">
        <v>3148</v>
      </c>
      <c r="B1550" s="50" t="s">
        <v>2349</v>
      </c>
      <c r="C1550" s="50" t="s">
        <v>263</v>
      </c>
      <c r="D1550" s="33" t="s">
        <v>4454</v>
      </c>
      <c r="E1550" s="50" t="s">
        <v>451</v>
      </c>
    </row>
    <row r="1551" spans="1:5" ht="12.75" customHeight="1">
      <c r="A1551" s="61">
        <v>3149</v>
      </c>
      <c r="B1551" s="50" t="s">
        <v>25</v>
      </c>
      <c r="C1551" s="50" t="s">
        <v>864</v>
      </c>
      <c r="D1551" s="33" t="s">
        <v>4455</v>
      </c>
      <c r="E1551" s="50" t="s">
        <v>451</v>
      </c>
    </row>
    <row r="1552" spans="1:5" ht="12.75" customHeight="1">
      <c r="A1552" s="61">
        <v>3150</v>
      </c>
      <c r="B1552" s="50" t="s">
        <v>2256</v>
      </c>
      <c r="C1552" s="50" t="s">
        <v>1527</v>
      </c>
      <c r="D1552" s="33" t="s">
        <v>4456</v>
      </c>
      <c r="E1552" s="50" t="s">
        <v>451</v>
      </c>
    </row>
    <row r="1553" spans="1:5" ht="12.75" customHeight="1">
      <c r="A1553" s="61">
        <v>3151</v>
      </c>
      <c r="B1553" s="50" t="s">
        <v>2358</v>
      </c>
      <c r="C1553" s="50" t="s">
        <v>1534</v>
      </c>
      <c r="D1553" s="33" t="s">
        <v>4457</v>
      </c>
      <c r="E1553" s="50" t="s">
        <v>451</v>
      </c>
    </row>
    <row r="1554" spans="1:5" ht="12.75" customHeight="1">
      <c r="A1554" s="61">
        <v>3152</v>
      </c>
      <c r="B1554" s="50" t="s">
        <v>797</v>
      </c>
      <c r="C1554" s="50" t="s">
        <v>1246</v>
      </c>
      <c r="D1554" s="33" t="s">
        <v>4458</v>
      </c>
      <c r="E1554" s="50" t="s">
        <v>451</v>
      </c>
    </row>
    <row r="1555" spans="1:5" ht="12.75" customHeight="1">
      <c r="A1555" s="61">
        <v>3153</v>
      </c>
      <c r="B1555" s="50" t="s">
        <v>2600</v>
      </c>
      <c r="C1555" s="50" t="s">
        <v>72</v>
      </c>
      <c r="D1555" s="33" t="s">
        <v>2938</v>
      </c>
      <c r="E1555" s="50" t="s">
        <v>2180</v>
      </c>
    </row>
    <row r="1556" spans="1:5" ht="12.75" customHeight="1">
      <c r="A1556" s="61">
        <v>3154</v>
      </c>
      <c r="B1556" s="50" t="s">
        <v>2601</v>
      </c>
      <c r="C1556" s="50" t="s">
        <v>964</v>
      </c>
      <c r="D1556" s="33" t="s">
        <v>4459</v>
      </c>
      <c r="E1556" s="50" t="s">
        <v>1224</v>
      </c>
    </row>
    <row r="1557" spans="1:5" ht="12.75" customHeight="1">
      <c r="A1557" s="61">
        <v>3155</v>
      </c>
      <c r="B1557" s="50" t="s">
        <v>2420</v>
      </c>
      <c r="C1557" s="50" t="s">
        <v>642</v>
      </c>
      <c r="D1557" s="33" t="s">
        <v>4460</v>
      </c>
      <c r="E1557" s="50" t="s">
        <v>451</v>
      </c>
    </row>
    <row r="1558" spans="1:5" ht="12.75" customHeight="1">
      <c r="A1558" s="61">
        <v>3156</v>
      </c>
      <c r="B1558" s="50" t="s">
        <v>1176</v>
      </c>
      <c r="C1558" s="50" t="s">
        <v>2710</v>
      </c>
      <c r="D1558" s="33" t="s">
        <v>4461</v>
      </c>
      <c r="E1558" s="50" t="s">
        <v>389</v>
      </c>
    </row>
    <row r="1559" spans="1:5" ht="12.75" customHeight="1">
      <c r="A1559" s="61">
        <v>3157</v>
      </c>
      <c r="B1559" s="50" t="s">
        <v>2711</v>
      </c>
      <c r="C1559" s="50" t="s">
        <v>1162</v>
      </c>
      <c r="D1559" s="33" t="s">
        <v>4462</v>
      </c>
      <c r="E1559" s="50" t="s">
        <v>2180</v>
      </c>
    </row>
    <row r="1560" spans="1:5" ht="12.75" customHeight="1">
      <c r="A1560" s="61">
        <v>3158</v>
      </c>
      <c r="B1560" s="50" t="s">
        <v>2605</v>
      </c>
      <c r="C1560" s="50" t="s">
        <v>263</v>
      </c>
      <c r="D1560" s="33" t="s">
        <v>4463</v>
      </c>
      <c r="E1560" s="50" t="s">
        <v>1224</v>
      </c>
    </row>
    <row r="1561" spans="1:5" ht="12.75" customHeight="1">
      <c r="A1561" s="61">
        <v>3159</v>
      </c>
      <c r="B1561" s="50" t="s">
        <v>1311</v>
      </c>
      <c r="C1561" s="50" t="s">
        <v>261</v>
      </c>
      <c r="D1561" s="33" t="s">
        <v>2814</v>
      </c>
      <c r="E1561" s="50" t="s">
        <v>2128</v>
      </c>
    </row>
    <row r="1562" spans="1:5" ht="12.75" customHeight="1">
      <c r="A1562" s="61">
        <v>3164</v>
      </c>
      <c r="B1562" s="50" t="s">
        <v>2415</v>
      </c>
      <c r="C1562" s="50" t="s">
        <v>867</v>
      </c>
      <c r="D1562" s="33" t="s">
        <v>4464</v>
      </c>
      <c r="E1562" s="50" t="s">
        <v>451</v>
      </c>
    </row>
    <row r="1563" spans="1:5" ht="12.75" customHeight="1">
      <c r="A1563" s="61">
        <v>3165</v>
      </c>
      <c r="B1563" s="50" t="s">
        <v>2364</v>
      </c>
      <c r="C1563" s="50" t="s">
        <v>802</v>
      </c>
      <c r="D1563" s="33" t="s">
        <v>2388</v>
      </c>
      <c r="E1563" s="50" t="s">
        <v>451</v>
      </c>
    </row>
    <row r="1564" spans="1:5" ht="12.75" customHeight="1">
      <c r="A1564" s="61">
        <v>3166</v>
      </c>
      <c r="B1564" s="50" t="s">
        <v>2462</v>
      </c>
      <c r="C1564" s="50" t="s">
        <v>362</v>
      </c>
      <c r="D1564" s="33" t="s">
        <v>3501</v>
      </c>
      <c r="E1564" s="50" t="s">
        <v>451</v>
      </c>
    </row>
    <row r="1565" spans="1:5" ht="12.75" customHeight="1">
      <c r="A1565" s="61">
        <v>3167</v>
      </c>
      <c r="B1565" s="50" t="s">
        <v>2366</v>
      </c>
      <c r="C1565" s="50" t="s">
        <v>1414</v>
      </c>
      <c r="D1565" s="33" t="s">
        <v>4465</v>
      </c>
      <c r="E1565" s="50" t="s">
        <v>451</v>
      </c>
    </row>
    <row r="1566" spans="1:5" ht="12.75" customHeight="1">
      <c r="A1566" s="61">
        <v>3168</v>
      </c>
      <c r="B1566" s="50" t="s">
        <v>2416</v>
      </c>
      <c r="C1566" s="50" t="s">
        <v>2417</v>
      </c>
      <c r="D1566" s="33" t="s">
        <v>2855</v>
      </c>
      <c r="E1566" s="50" t="s">
        <v>451</v>
      </c>
    </row>
    <row r="1567" spans="1:5" ht="12.75" customHeight="1">
      <c r="A1567" s="61">
        <v>3169</v>
      </c>
      <c r="B1567" s="50" t="s">
        <v>2461</v>
      </c>
      <c r="C1567" s="50" t="s">
        <v>163</v>
      </c>
      <c r="D1567" s="33" t="s">
        <v>2886</v>
      </c>
      <c r="E1567" s="50" t="s">
        <v>2128</v>
      </c>
    </row>
    <row r="1568" spans="1:5" ht="12.75" customHeight="1">
      <c r="A1568" s="61">
        <v>3170</v>
      </c>
      <c r="B1568" s="50" t="s">
        <v>2466</v>
      </c>
      <c r="C1568" s="50" t="s">
        <v>864</v>
      </c>
      <c r="D1568" s="33" t="s">
        <v>4466</v>
      </c>
      <c r="E1568" s="50" t="s">
        <v>451</v>
      </c>
    </row>
    <row r="1569" spans="1:5" ht="12.75" customHeight="1">
      <c r="A1569" s="61">
        <v>3171</v>
      </c>
      <c r="B1569" s="50" t="s">
        <v>1011</v>
      </c>
      <c r="C1569" s="50" t="s">
        <v>2204</v>
      </c>
      <c r="D1569" s="33" t="s">
        <v>4467</v>
      </c>
      <c r="E1569" s="50" t="s">
        <v>451</v>
      </c>
    </row>
    <row r="1570" spans="1:5" ht="12.75" customHeight="1">
      <c r="A1570" s="61">
        <v>3172</v>
      </c>
      <c r="B1570" s="50" t="s">
        <v>2543</v>
      </c>
      <c r="C1570" s="50" t="s">
        <v>640</v>
      </c>
      <c r="D1570" s="33" t="s">
        <v>4468</v>
      </c>
      <c r="E1570" s="50" t="s">
        <v>451</v>
      </c>
    </row>
    <row r="1571" spans="1:5" ht="12.75" customHeight="1">
      <c r="A1571" s="61">
        <v>3173</v>
      </c>
      <c r="B1571" s="50" t="s">
        <v>2514</v>
      </c>
      <c r="C1571" s="50" t="s">
        <v>266</v>
      </c>
      <c r="D1571" s="33" t="s">
        <v>3413</v>
      </c>
      <c r="E1571" s="50" t="s">
        <v>451</v>
      </c>
    </row>
    <row r="1572" spans="1:5" ht="12.75" customHeight="1">
      <c r="A1572" s="61">
        <v>3174</v>
      </c>
      <c r="B1572" s="50" t="s">
        <v>2268</v>
      </c>
      <c r="C1572" s="50" t="s">
        <v>866</v>
      </c>
      <c r="D1572" s="33" t="s">
        <v>4469</v>
      </c>
      <c r="E1572" s="50" t="s">
        <v>451</v>
      </c>
    </row>
    <row r="1573" spans="1:5" ht="12.75" customHeight="1">
      <c r="A1573" s="61">
        <v>3176</v>
      </c>
      <c r="B1573" s="50" t="s">
        <v>2458</v>
      </c>
      <c r="C1573" s="50" t="s">
        <v>2459</v>
      </c>
      <c r="D1573" s="33" t="s">
        <v>4470</v>
      </c>
      <c r="E1573" s="50" t="s">
        <v>2128</v>
      </c>
    </row>
    <row r="1574" spans="1:5" ht="12.75" customHeight="1">
      <c r="A1574" s="61">
        <v>3177</v>
      </c>
      <c r="B1574" s="50" t="s">
        <v>467</v>
      </c>
      <c r="C1574" s="50" t="s">
        <v>1099</v>
      </c>
      <c r="D1574" s="33" t="s">
        <v>3389</v>
      </c>
      <c r="E1574" s="50" t="s">
        <v>451</v>
      </c>
    </row>
    <row r="1575" spans="1:5" ht="12.75" customHeight="1">
      <c r="A1575" s="61">
        <v>3179</v>
      </c>
      <c r="B1575" s="50" t="s">
        <v>1444</v>
      </c>
      <c r="C1575" s="50" t="s">
        <v>2052</v>
      </c>
      <c r="D1575" s="33" t="s">
        <v>4471</v>
      </c>
      <c r="E1575" s="50" t="s">
        <v>451</v>
      </c>
    </row>
    <row r="1576" spans="1:5" ht="12.75" customHeight="1">
      <c r="A1576" s="61">
        <v>3180</v>
      </c>
      <c r="B1576" s="50" t="s">
        <v>2424</v>
      </c>
      <c r="C1576" s="50" t="s">
        <v>2052</v>
      </c>
      <c r="D1576" s="33" t="s">
        <v>4472</v>
      </c>
      <c r="E1576" s="50" t="s">
        <v>451</v>
      </c>
    </row>
    <row r="1577" spans="1:5" ht="12.75" customHeight="1">
      <c r="A1577" s="61">
        <v>3181</v>
      </c>
      <c r="B1577" s="50" t="s">
        <v>2356</v>
      </c>
      <c r="C1577" s="50" t="s">
        <v>642</v>
      </c>
      <c r="D1577" s="33" t="s">
        <v>3156</v>
      </c>
      <c r="E1577" s="50" t="s">
        <v>451</v>
      </c>
    </row>
    <row r="1578" spans="1:5" ht="12.75" customHeight="1">
      <c r="A1578" s="61">
        <v>3182</v>
      </c>
      <c r="B1578" s="50" t="s">
        <v>312</v>
      </c>
      <c r="C1578" s="50" t="s">
        <v>2263</v>
      </c>
      <c r="D1578" s="33" t="s">
        <v>4473</v>
      </c>
      <c r="E1578" s="50" t="s">
        <v>451</v>
      </c>
    </row>
    <row r="1579" spans="1:5" ht="12.75" customHeight="1">
      <c r="A1579" s="61">
        <v>3183</v>
      </c>
      <c r="B1579" s="50" t="s">
        <v>1163</v>
      </c>
      <c r="C1579" s="50" t="s">
        <v>775</v>
      </c>
      <c r="D1579" s="33" t="s">
        <v>4474</v>
      </c>
      <c r="E1579" s="50" t="s">
        <v>451</v>
      </c>
    </row>
    <row r="1580" spans="1:5" ht="12.75" customHeight="1">
      <c r="A1580" s="61">
        <v>3184</v>
      </c>
      <c r="B1580" s="50" t="s">
        <v>2712</v>
      </c>
      <c r="C1580" s="50" t="s">
        <v>619</v>
      </c>
      <c r="D1580" s="33" t="s">
        <v>4475</v>
      </c>
      <c r="E1580" s="50" t="s">
        <v>686</v>
      </c>
    </row>
    <row r="1581" spans="1:5" ht="12.75" customHeight="1">
      <c r="A1581" s="61">
        <v>3187</v>
      </c>
      <c r="B1581" s="50" t="s">
        <v>2234</v>
      </c>
      <c r="C1581" s="50" t="s">
        <v>140</v>
      </c>
      <c r="D1581" s="33" t="s">
        <v>3349</v>
      </c>
      <c r="E1581" s="50" t="s">
        <v>2128</v>
      </c>
    </row>
    <row r="1582" spans="1:5" ht="12.75" customHeight="1">
      <c r="A1582" s="61">
        <v>3188</v>
      </c>
      <c r="B1582" s="50" t="s">
        <v>2253</v>
      </c>
      <c r="C1582" s="50" t="s">
        <v>584</v>
      </c>
      <c r="D1582" s="33" t="s">
        <v>3157</v>
      </c>
      <c r="E1582" s="50" t="s">
        <v>2128</v>
      </c>
    </row>
    <row r="1583" spans="1:5" ht="12.75" customHeight="1">
      <c r="A1583" s="61">
        <v>3189</v>
      </c>
      <c r="B1583" s="50" t="s">
        <v>2740</v>
      </c>
      <c r="C1583" s="50" t="s">
        <v>188</v>
      </c>
      <c r="D1583" s="33" t="s">
        <v>2927</v>
      </c>
      <c r="E1583" s="50" t="s">
        <v>1224</v>
      </c>
    </row>
    <row r="1584" spans="1:5" ht="12.75" customHeight="1">
      <c r="A1584" s="61">
        <v>3190</v>
      </c>
      <c r="B1584" s="50" t="s">
        <v>2203</v>
      </c>
      <c r="C1584" s="50" t="s">
        <v>867</v>
      </c>
      <c r="D1584" s="33" t="s">
        <v>4476</v>
      </c>
      <c r="E1584" s="50" t="s">
        <v>2610</v>
      </c>
    </row>
    <row r="1585" spans="1:5" ht="12.75" customHeight="1">
      <c r="A1585" s="61">
        <v>3191</v>
      </c>
      <c r="B1585" s="50" t="s">
        <v>2741</v>
      </c>
      <c r="C1585" s="50" t="s">
        <v>640</v>
      </c>
      <c r="D1585" s="33" t="s">
        <v>4477</v>
      </c>
      <c r="E1585" s="50" t="s">
        <v>2180</v>
      </c>
    </row>
    <row r="1586" spans="1:5" ht="12.75" customHeight="1">
      <c r="A1586" s="61">
        <v>3192</v>
      </c>
      <c r="B1586" s="50" t="s">
        <v>161</v>
      </c>
      <c r="C1586" s="50" t="s">
        <v>263</v>
      </c>
      <c r="D1586" s="33" t="s">
        <v>2994</v>
      </c>
      <c r="E1586" s="50" t="s">
        <v>2180</v>
      </c>
    </row>
    <row r="1587" spans="1:5" ht="12.75" customHeight="1">
      <c r="A1587" s="61">
        <v>3193</v>
      </c>
      <c r="B1587" s="50" t="s">
        <v>2742</v>
      </c>
      <c r="C1587" s="50" t="s">
        <v>866</v>
      </c>
      <c r="D1587" s="33" t="s">
        <v>4478</v>
      </c>
      <c r="E1587" s="50" t="s">
        <v>686</v>
      </c>
    </row>
    <row r="1588" spans="1:5" ht="12.75" customHeight="1">
      <c r="A1588" s="61">
        <v>3194</v>
      </c>
      <c r="B1588" s="50" t="s">
        <v>2743</v>
      </c>
      <c r="C1588" s="50" t="s">
        <v>263</v>
      </c>
      <c r="D1588" s="33" t="s">
        <v>4479</v>
      </c>
      <c r="E1588" s="50" t="s">
        <v>686</v>
      </c>
    </row>
    <row r="1589" spans="1:5" ht="12.75" customHeight="1">
      <c r="A1589" s="61">
        <v>3195</v>
      </c>
      <c r="B1589" s="50" t="s">
        <v>2744</v>
      </c>
      <c r="C1589" s="50" t="s">
        <v>642</v>
      </c>
      <c r="D1589" s="33" t="s">
        <v>3068</v>
      </c>
      <c r="E1589" s="50" t="s">
        <v>1224</v>
      </c>
    </row>
    <row r="1590" spans="1:5" ht="12.75" customHeight="1">
      <c r="A1590" s="61">
        <v>3196</v>
      </c>
      <c r="B1590" s="50" t="s">
        <v>2289</v>
      </c>
      <c r="C1590" s="50" t="s">
        <v>989</v>
      </c>
      <c r="D1590" s="33" t="s">
        <v>2858</v>
      </c>
      <c r="E1590" s="50" t="s">
        <v>451</v>
      </c>
    </row>
    <row r="1591" spans="1:5" ht="12.75" customHeight="1">
      <c r="A1591" s="61">
        <v>3197</v>
      </c>
      <c r="B1591" s="50" t="s">
        <v>334</v>
      </c>
      <c r="C1591" s="50" t="s">
        <v>1527</v>
      </c>
      <c r="D1591" s="33" t="s">
        <v>4480</v>
      </c>
      <c r="E1591" s="50" t="s">
        <v>451</v>
      </c>
    </row>
    <row r="1592" spans="1:5" ht="12.75" customHeight="1">
      <c r="A1592" s="61">
        <v>3198</v>
      </c>
      <c r="B1592" s="50" t="s">
        <v>2418</v>
      </c>
      <c r="C1592" s="50" t="s">
        <v>2419</v>
      </c>
      <c r="D1592" s="33" t="s">
        <v>2877</v>
      </c>
      <c r="E1592" s="50" t="s">
        <v>2128</v>
      </c>
    </row>
    <row r="1593" spans="1:5" ht="12.75" customHeight="1">
      <c r="A1593" s="61">
        <v>3199</v>
      </c>
      <c r="B1593" s="50" t="s">
        <v>2461</v>
      </c>
      <c r="C1593" s="50" t="s">
        <v>1311</v>
      </c>
      <c r="D1593" s="33" t="s">
        <v>4481</v>
      </c>
      <c r="E1593" s="50" t="s">
        <v>2128</v>
      </c>
    </row>
    <row r="1594" spans="1:5" ht="12.75" customHeight="1">
      <c r="A1594" s="61">
        <v>3200</v>
      </c>
      <c r="B1594" s="50" t="s">
        <v>2490</v>
      </c>
      <c r="C1594" s="50" t="s">
        <v>1197</v>
      </c>
      <c r="D1594" s="33" t="s">
        <v>4482</v>
      </c>
      <c r="E1594" s="50" t="s">
        <v>2128</v>
      </c>
    </row>
    <row r="1595" spans="1:5" ht="12.75" customHeight="1">
      <c r="A1595" s="61">
        <v>3201</v>
      </c>
      <c r="B1595" s="50" t="s">
        <v>2513</v>
      </c>
      <c r="C1595" s="50" t="s">
        <v>72</v>
      </c>
      <c r="D1595" s="33" t="s">
        <v>4483</v>
      </c>
      <c r="E1595" s="50" t="s">
        <v>451</v>
      </c>
    </row>
    <row r="1596" spans="1:5" ht="12.75" customHeight="1">
      <c r="A1596" s="61">
        <v>3202</v>
      </c>
      <c r="B1596" s="50" t="s">
        <v>2515</v>
      </c>
      <c r="C1596" s="50" t="s">
        <v>1413</v>
      </c>
      <c r="D1596" s="33" t="s">
        <v>4484</v>
      </c>
      <c r="E1596" s="50" t="s">
        <v>451</v>
      </c>
    </row>
    <row r="1597" spans="1:5" ht="12.75" customHeight="1">
      <c r="A1597" s="61">
        <v>3203</v>
      </c>
      <c r="B1597" s="50" t="s">
        <v>1093</v>
      </c>
      <c r="C1597" s="50" t="s">
        <v>2052</v>
      </c>
      <c r="D1597" s="33" t="s">
        <v>4485</v>
      </c>
      <c r="E1597" s="50" t="s">
        <v>2128</v>
      </c>
    </row>
    <row r="1598" spans="1:5" ht="12.75" customHeight="1">
      <c r="A1598" s="61">
        <v>3204</v>
      </c>
      <c r="B1598" s="50" t="s">
        <v>2463</v>
      </c>
      <c r="C1598" s="50" t="s">
        <v>188</v>
      </c>
      <c r="D1598" s="33" t="s">
        <v>3158</v>
      </c>
      <c r="E1598" s="50" t="s">
        <v>2128</v>
      </c>
    </row>
    <row r="1599" spans="1:5" ht="12.75" customHeight="1">
      <c r="A1599" s="61">
        <v>3205</v>
      </c>
      <c r="B1599" s="50" t="s">
        <v>2457</v>
      </c>
      <c r="C1599" s="50" t="s">
        <v>1197</v>
      </c>
      <c r="D1599" s="33" t="s">
        <v>4486</v>
      </c>
      <c r="E1599" s="50" t="s">
        <v>451</v>
      </c>
    </row>
    <row r="1600" spans="1:5" ht="12.75" customHeight="1">
      <c r="A1600" s="61">
        <v>3206</v>
      </c>
      <c r="B1600" s="50" t="s">
        <v>2312</v>
      </c>
      <c r="C1600" s="50" t="s">
        <v>777</v>
      </c>
      <c r="D1600" s="33" t="s">
        <v>4487</v>
      </c>
      <c r="E1600" s="50" t="s">
        <v>451</v>
      </c>
    </row>
    <row r="1601" spans="1:5" ht="12.75" customHeight="1">
      <c r="A1601" s="61">
        <v>3207</v>
      </c>
      <c r="B1601" s="50" t="s">
        <v>2345</v>
      </c>
      <c r="C1601" s="50" t="s">
        <v>640</v>
      </c>
      <c r="D1601" s="33" t="s">
        <v>4488</v>
      </c>
      <c r="E1601" s="50" t="s">
        <v>451</v>
      </c>
    </row>
    <row r="1602" spans="1:5" ht="12.75" customHeight="1">
      <c r="A1602" s="61">
        <v>3208</v>
      </c>
      <c r="B1602" s="50" t="s">
        <v>781</v>
      </c>
      <c r="C1602" s="50" t="s">
        <v>336</v>
      </c>
      <c r="D1602" s="33" t="s">
        <v>4489</v>
      </c>
      <c r="E1602" s="50" t="s">
        <v>2128</v>
      </c>
    </row>
    <row r="1603" spans="1:5" ht="12.75" customHeight="1">
      <c r="A1603" s="61">
        <v>3209</v>
      </c>
      <c r="B1603" s="50" t="s">
        <v>280</v>
      </c>
      <c r="C1603" s="50" t="s">
        <v>242</v>
      </c>
      <c r="D1603" s="33" t="s">
        <v>3159</v>
      </c>
      <c r="E1603" s="50" t="s">
        <v>451</v>
      </c>
    </row>
    <row r="1604" spans="1:5" ht="12.75" customHeight="1">
      <c r="A1604" s="61">
        <v>3210</v>
      </c>
      <c r="B1604" s="50" t="s">
        <v>2745</v>
      </c>
      <c r="C1604" s="50" t="s">
        <v>199</v>
      </c>
      <c r="D1604" s="33" t="s">
        <v>3338</v>
      </c>
      <c r="E1604" s="50" t="s">
        <v>3029</v>
      </c>
    </row>
    <row r="1605" spans="1:5" ht="12.75" customHeight="1">
      <c r="A1605" s="61">
        <v>3212</v>
      </c>
      <c r="B1605" s="50" t="s">
        <v>2607</v>
      </c>
      <c r="C1605" s="50" t="s">
        <v>75</v>
      </c>
      <c r="D1605" s="33" t="s">
        <v>2930</v>
      </c>
      <c r="E1605" s="50" t="s">
        <v>1224</v>
      </c>
    </row>
    <row r="1606" spans="1:5" ht="12.75" customHeight="1">
      <c r="A1606" s="61">
        <v>3213</v>
      </c>
      <c r="B1606" s="50" t="s">
        <v>2746</v>
      </c>
      <c r="C1606" s="50" t="s">
        <v>642</v>
      </c>
      <c r="D1606" s="33" t="s">
        <v>4490</v>
      </c>
      <c r="E1606" s="50" t="s">
        <v>2180</v>
      </c>
    </row>
    <row r="1607" spans="1:5" ht="12.75" customHeight="1">
      <c r="A1607" s="61">
        <v>3214</v>
      </c>
      <c r="B1607" s="50" t="s">
        <v>2369</v>
      </c>
      <c r="C1607" s="50" t="s">
        <v>197</v>
      </c>
      <c r="D1607" s="33" t="s">
        <v>4491</v>
      </c>
      <c r="E1607" s="50" t="s">
        <v>451</v>
      </c>
    </row>
    <row r="1608" spans="1:5" ht="12.75" customHeight="1">
      <c r="A1608" s="61">
        <v>3215</v>
      </c>
      <c r="B1608" s="50" t="s">
        <v>1406</v>
      </c>
      <c r="C1608" s="50" t="s">
        <v>197</v>
      </c>
      <c r="D1608" s="33" t="s">
        <v>4492</v>
      </c>
      <c r="E1608" s="50" t="s">
        <v>2128</v>
      </c>
    </row>
    <row r="1609" spans="1:5" ht="12.75" customHeight="1">
      <c r="A1609" s="61">
        <v>3216</v>
      </c>
      <c r="B1609" s="50" t="s">
        <v>467</v>
      </c>
      <c r="C1609" s="50" t="s">
        <v>775</v>
      </c>
      <c r="D1609" s="33" t="s">
        <v>2950</v>
      </c>
      <c r="E1609" s="50" t="s">
        <v>2128</v>
      </c>
    </row>
    <row r="1610" spans="1:5" ht="12.75" customHeight="1">
      <c r="A1610" s="61">
        <v>3217</v>
      </c>
      <c r="B1610" s="50" t="s">
        <v>2370</v>
      </c>
      <c r="C1610" s="50" t="s">
        <v>263</v>
      </c>
      <c r="D1610" s="33" t="s">
        <v>4493</v>
      </c>
      <c r="E1610" s="50" t="s">
        <v>451</v>
      </c>
    </row>
    <row r="1611" spans="1:5" ht="12.75" customHeight="1">
      <c r="A1611" s="61">
        <v>3218</v>
      </c>
      <c r="B1611" s="50" t="s">
        <v>2354</v>
      </c>
      <c r="C1611" s="50" t="s">
        <v>2355</v>
      </c>
      <c r="D1611" s="33" t="s">
        <v>4494</v>
      </c>
      <c r="E1611" s="50" t="s">
        <v>2128</v>
      </c>
    </row>
    <row r="1612" spans="1:5" ht="12.75" customHeight="1">
      <c r="A1612" s="61">
        <v>3219</v>
      </c>
      <c r="B1612" s="50" t="s">
        <v>1495</v>
      </c>
      <c r="C1612" s="50" t="s">
        <v>1527</v>
      </c>
      <c r="D1612" s="33" t="s">
        <v>3380</v>
      </c>
      <c r="E1612" s="50" t="s">
        <v>451</v>
      </c>
    </row>
    <row r="1613" spans="1:5" ht="12.75" customHeight="1">
      <c r="A1613" s="61">
        <v>3220</v>
      </c>
      <c r="B1613" s="50" t="s">
        <v>2357</v>
      </c>
      <c r="C1613" s="50" t="s">
        <v>1527</v>
      </c>
      <c r="D1613" s="33" t="s">
        <v>4495</v>
      </c>
      <c r="E1613" s="50" t="s">
        <v>451</v>
      </c>
    </row>
    <row r="1614" spans="1:5" ht="12.75" customHeight="1">
      <c r="A1614" s="61">
        <v>3221</v>
      </c>
      <c r="B1614" s="50" t="s">
        <v>2352</v>
      </c>
      <c r="C1614" s="50" t="s">
        <v>2353</v>
      </c>
      <c r="D1614" s="33" t="s">
        <v>2861</v>
      </c>
      <c r="E1614" s="50" t="s">
        <v>2128</v>
      </c>
    </row>
    <row r="1615" spans="1:5" ht="12.75" customHeight="1">
      <c r="A1615" s="61">
        <v>3223</v>
      </c>
      <c r="B1615" s="50" t="s">
        <v>2361</v>
      </c>
      <c r="C1615" s="50" t="s">
        <v>1593</v>
      </c>
      <c r="D1615" s="33" t="s">
        <v>4496</v>
      </c>
      <c r="E1615" s="50" t="s">
        <v>451</v>
      </c>
    </row>
    <row r="1616" spans="1:5" ht="12.75" customHeight="1">
      <c r="A1616" s="61">
        <v>3224</v>
      </c>
      <c r="B1616" s="50" t="s">
        <v>713</v>
      </c>
      <c r="C1616" s="50" t="s">
        <v>477</v>
      </c>
      <c r="D1616" s="33" t="s">
        <v>4497</v>
      </c>
      <c r="E1616" s="50" t="s">
        <v>451</v>
      </c>
    </row>
    <row r="1617" spans="1:5" ht="12.75" customHeight="1">
      <c r="A1617" s="61">
        <v>3225</v>
      </c>
      <c r="B1617" s="50" t="s">
        <v>2365</v>
      </c>
      <c r="C1617" s="50" t="s">
        <v>802</v>
      </c>
      <c r="D1617" s="33" t="s">
        <v>2801</v>
      </c>
      <c r="E1617" s="50" t="s">
        <v>2128</v>
      </c>
    </row>
    <row r="1618" spans="1:5" ht="12.75" customHeight="1">
      <c r="A1618" s="61">
        <v>3226</v>
      </c>
      <c r="B1618" s="50" t="s">
        <v>2363</v>
      </c>
      <c r="C1618" s="50" t="s">
        <v>1246</v>
      </c>
      <c r="D1618" s="33" t="s">
        <v>2791</v>
      </c>
      <c r="E1618" s="50" t="s">
        <v>2128</v>
      </c>
    </row>
    <row r="1619" spans="1:5" ht="12.75" customHeight="1">
      <c r="A1619" s="61">
        <v>3227</v>
      </c>
      <c r="B1619" s="50" t="s">
        <v>2512</v>
      </c>
      <c r="C1619" s="50" t="s">
        <v>79</v>
      </c>
      <c r="D1619" s="33" t="s">
        <v>4498</v>
      </c>
      <c r="E1619" s="50" t="s">
        <v>451</v>
      </c>
    </row>
    <row r="1620" spans="1:5" ht="12.75" customHeight="1">
      <c r="A1620" s="61">
        <v>3228</v>
      </c>
      <c r="B1620" s="50" t="s">
        <v>2297</v>
      </c>
      <c r="C1620" s="50" t="s">
        <v>263</v>
      </c>
      <c r="D1620" s="33" t="s">
        <v>4499</v>
      </c>
      <c r="E1620" s="50" t="s">
        <v>451</v>
      </c>
    </row>
    <row r="1621" spans="1:5" ht="12.75" customHeight="1">
      <c r="A1621" s="61">
        <v>3229</v>
      </c>
      <c r="B1621" s="50" t="s">
        <v>1117</v>
      </c>
      <c r="C1621" s="50" t="s">
        <v>1197</v>
      </c>
      <c r="D1621" s="33" t="s">
        <v>4500</v>
      </c>
      <c r="E1621" s="50" t="s">
        <v>451</v>
      </c>
    </row>
    <row r="1622" spans="1:5" ht="12.75" customHeight="1">
      <c r="A1622" s="61">
        <v>3230</v>
      </c>
      <c r="B1622" s="50" t="s">
        <v>1443</v>
      </c>
      <c r="C1622" s="50" t="s">
        <v>1311</v>
      </c>
      <c r="D1622" s="33" t="s">
        <v>2911</v>
      </c>
      <c r="E1622" s="50" t="s">
        <v>1224</v>
      </c>
    </row>
    <row r="1623" spans="1:5" ht="12.75" customHeight="1">
      <c r="A1623" s="61">
        <v>3231</v>
      </c>
      <c r="B1623" s="50" t="s">
        <v>2803</v>
      </c>
      <c r="C1623" s="50" t="s">
        <v>2804</v>
      </c>
      <c r="D1623" s="33" t="s">
        <v>4501</v>
      </c>
      <c r="E1623" s="50" t="s">
        <v>2180</v>
      </c>
    </row>
    <row r="1624" spans="1:5" ht="12.75" customHeight="1">
      <c r="A1624" s="61">
        <v>3232</v>
      </c>
      <c r="B1624" s="50" t="s">
        <v>1105</v>
      </c>
      <c r="C1624" s="50" t="s">
        <v>75</v>
      </c>
      <c r="D1624" s="33" t="s">
        <v>4502</v>
      </c>
      <c r="E1624" s="50" t="s">
        <v>2180</v>
      </c>
    </row>
    <row r="1625" spans="1:5" ht="12.75" customHeight="1">
      <c r="A1625" s="61">
        <v>3233</v>
      </c>
      <c r="B1625" s="50" t="s">
        <v>2805</v>
      </c>
      <c r="C1625" s="50" t="s">
        <v>1413</v>
      </c>
      <c r="D1625" s="33" t="s">
        <v>4503</v>
      </c>
      <c r="E1625" s="50" t="s">
        <v>1224</v>
      </c>
    </row>
    <row r="1626" spans="1:5" ht="12.75" customHeight="1">
      <c r="A1626" s="61">
        <v>3234</v>
      </c>
      <c r="B1626" s="50" t="s">
        <v>2198</v>
      </c>
      <c r="C1626" s="50" t="s">
        <v>1494</v>
      </c>
      <c r="D1626" s="33" t="s">
        <v>4504</v>
      </c>
      <c r="E1626" s="50" t="s">
        <v>2180</v>
      </c>
    </row>
    <row r="1627" spans="1:5" ht="12.75" customHeight="1">
      <c r="A1627" s="61">
        <v>3235</v>
      </c>
      <c r="B1627" s="50" t="s">
        <v>493</v>
      </c>
      <c r="C1627" s="50" t="s">
        <v>362</v>
      </c>
      <c r="D1627" s="33" t="s">
        <v>4505</v>
      </c>
      <c r="E1627" s="50" t="s">
        <v>2128</v>
      </c>
    </row>
    <row r="1628" spans="1:5" ht="12.75" customHeight="1">
      <c r="A1628" s="61">
        <v>3236</v>
      </c>
      <c r="B1628" s="50" t="s">
        <v>2831</v>
      </c>
      <c r="C1628" s="50" t="s">
        <v>2832</v>
      </c>
      <c r="D1628" s="33" t="s">
        <v>4506</v>
      </c>
      <c r="E1628" s="50" t="s">
        <v>686</v>
      </c>
    </row>
    <row r="1629" spans="1:5" ht="12.75" customHeight="1">
      <c r="A1629" s="61">
        <v>3237</v>
      </c>
      <c r="B1629" s="50" t="s">
        <v>2590</v>
      </c>
      <c r="C1629" s="50" t="s">
        <v>1494</v>
      </c>
      <c r="D1629" s="33" t="s">
        <v>4507</v>
      </c>
      <c r="E1629" s="50" t="s">
        <v>686</v>
      </c>
    </row>
    <row r="1630" spans="1:5" ht="12.75" customHeight="1">
      <c r="A1630" s="61">
        <v>3238</v>
      </c>
      <c r="B1630" s="50" t="s">
        <v>865</v>
      </c>
      <c r="C1630" s="50" t="s">
        <v>261</v>
      </c>
      <c r="D1630" s="33" t="s">
        <v>4508</v>
      </c>
      <c r="E1630" s="50" t="s">
        <v>2180</v>
      </c>
    </row>
    <row r="1631" spans="1:5" ht="12.75" customHeight="1">
      <c r="A1631" s="61">
        <v>3239</v>
      </c>
      <c r="B1631" s="50" t="s">
        <v>2947</v>
      </c>
      <c r="C1631" s="50" t="s">
        <v>266</v>
      </c>
      <c r="D1631" s="33" t="s">
        <v>4509</v>
      </c>
      <c r="E1631" s="50" t="s">
        <v>2180</v>
      </c>
    </row>
    <row r="1632" spans="1:5" ht="12.75" customHeight="1">
      <c r="A1632" s="61">
        <v>3240</v>
      </c>
      <c r="B1632" s="50" t="s">
        <v>2294</v>
      </c>
      <c r="C1632" s="50" t="s">
        <v>65</v>
      </c>
      <c r="D1632" s="33" t="s">
        <v>4510</v>
      </c>
      <c r="E1632" s="50" t="s">
        <v>1224</v>
      </c>
    </row>
    <row r="1633" spans="1:5" ht="12.75" customHeight="1">
      <c r="A1633" s="61">
        <v>3241</v>
      </c>
      <c r="B1633" s="50" t="s">
        <v>2970</v>
      </c>
      <c r="C1633" s="50" t="s">
        <v>1414</v>
      </c>
      <c r="D1633" s="33" t="s">
        <v>4511</v>
      </c>
      <c r="E1633" s="50" t="s">
        <v>389</v>
      </c>
    </row>
    <row r="1634" spans="1:5" ht="12.75" customHeight="1">
      <c r="A1634" s="61">
        <v>3243</v>
      </c>
      <c r="B1634" s="50" t="s">
        <v>3164</v>
      </c>
      <c r="C1634" s="50" t="s">
        <v>65</v>
      </c>
      <c r="D1634" s="33" t="s">
        <v>4512</v>
      </c>
      <c r="E1634" s="50" t="s">
        <v>2180</v>
      </c>
    </row>
    <row r="1635" spans="1:5" ht="12.75" customHeight="1">
      <c r="A1635" s="61">
        <v>3244</v>
      </c>
      <c r="B1635" s="50" t="s">
        <v>3165</v>
      </c>
      <c r="C1635" s="50" t="s">
        <v>866</v>
      </c>
      <c r="D1635" s="33" t="s">
        <v>3065</v>
      </c>
      <c r="E1635" s="50" t="s">
        <v>1224</v>
      </c>
    </row>
    <row r="1636" spans="1:5" ht="12.75" customHeight="1">
      <c r="A1636" s="61">
        <v>3245</v>
      </c>
      <c r="B1636" s="50" t="s">
        <v>3166</v>
      </c>
      <c r="C1636" s="50" t="s">
        <v>1534</v>
      </c>
      <c r="D1636" s="33" t="s">
        <v>4513</v>
      </c>
      <c r="E1636" s="50" t="s">
        <v>1366</v>
      </c>
    </row>
    <row r="1637" spans="1:5" ht="12.75" customHeight="1">
      <c r="A1637" s="61">
        <v>3246</v>
      </c>
      <c r="B1637" s="50" t="s">
        <v>1460</v>
      </c>
      <c r="C1637" s="50" t="s">
        <v>1197</v>
      </c>
      <c r="D1637" s="33" t="s">
        <v>4514</v>
      </c>
      <c r="E1637" s="50" t="s">
        <v>391</v>
      </c>
    </row>
    <row r="1638" spans="1:5" ht="12.75" customHeight="1">
      <c r="A1638" s="61">
        <v>3247</v>
      </c>
      <c r="B1638" s="50" t="s">
        <v>3167</v>
      </c>
      <c r="C1638" s="50" t="s">
        <v>190</v>
      </c>
      <c r="D1638" s="33" t="s">
        <v>4515</v>
      </c>
      <c r="E1638" s="50" t="s">
        <v>2180</v>
      </c>
    </row>
    <row r="1639" spans="1:5" ht="12.75" customHeight="1">
      <c r="A1639" s="61">
        <v>3248</v>
      </c>
      <c r="B1639" s="50" t="s">
        <v>3168</v>
      </c>
      <c r="C1639" s="50" t="s">
        <v>163</v>
      </c>
      <c r="D1639" s="33" t="s">
        <v>4516</v>
      </c>
      <c r="E1639" s="50" t="s">
        <v>2180</v>
      </c>
    </row>
    <row r="1640" spans="1:5" ht="12.75" customHeight="1">
      <c r="A1640" s="61">
        <v>3249</v>
      </c>
      <c r="B1640" s="50" t="s">
        <v>412</v>
      </c>
      <c r="C1640" s="50" t="s">
        <v>3201</v>
      </c>
      <c r="D1640" s="33" t="s">
        <v>4517</v>
      </c>
      <c r="E1640" s="50" t="s">
        <v>2180</v>
      </c>
    </row>
    <row r="1641" spans="1:5" ht="12.75" customHeight="1">
      <c r="A1641" s="61">
        <v>3250</v>
      </c>
      <c r="B1641" s="50" t="s">
        <v>58</v>
      </c>
      <c r="C1641" s="50" t="s">
        <v>72</v>
      </c>
      <c r="D1641" s="33" t="s">
        <v>4518</v>
      </c>
      <c r="E1641" s="50" t="s">
        <v>1224</v>
      </c>
    </row>
    <row r="1642" spans="1:5" ht="12.75" customHeight="1">
      <c r="A1642" s="61">
        <v>3253</v>
      </c>
      <c r="B1642" s="50" t="s">
        <v>3306</v>
      </c>
      <c r="C1642" s="50" t="s">
        <v>194</v>
      </c>
      <c r="D1642" s="33" t="s">
        <v>4519</v>
      </c>
      <c r="E1642" s="50" t="s">
        <v>1224</v>
      </c>
    </row>
    <row r="1643" spans="1:5" ht="12.75" customHeight="1">
      <c r="A1643" s="61">
        <v>3254</v>
      </c>
      <c r="B1643" s="50" t="s">
        <v>3307</v>
      </c>
      <c r="C1643" s="50" t="s">
        <v>640</v>
      </c>
      <c r="D1643" s="33" t="s">
        <v>4520</v>
      </c>
      <c r="E1643" s="50" t="s">
        <v>1224</v>
      </c>
    </row>
    <row r="1644" spans="1:5" ht="12.75" customHeight="1">
      <c r="A1644" s="61">
        <v>3255</v>
      </c>
      <c r="B1644" s="50" t="s">
        <v>4521</v>
      </c>
      <c r="C1644" s="50" t="s">
        <v>2219</v>
      </c>
      <c r="D1644" s="33" t="s">
        <v>4522</v>
      </c>
      <c r="E1644" s="50" t="s">
        <v>451</v>
      </c>
    </row>
    <row r="1645" spans="1:5" ht="12.75" customHeight="1">
      <c r="A1645" s="61">
        <v>3256</v>
      </c>
      <c r="B1645" s="50" t="s">
        <v>4523</v>
      </c>
      <c r="C1645" s="50" t="s">
        <v>640</v>
      </c>
      <c r="D1645" s="33" t="s">
        <v>4524</v>
      </c>
      <c r="E1645" s="50" t="s">
        <v>451</v>
      </c>
    </row>
    <row r="1646" spans="1:5" ht="12.75" customHeight="1">
      <c r="A1646" s="61">
        <v>3257</v>
      </c>
      <c r="B1646" s="50" t="s">
        <v>181</v>
      </c>
      <c r="C1646" s="50" t="s">
        <v>1410</v>
      </c>
      <c r="D1646" s="33" t="s">
        <v>4525</v>
      </c>
      <c r="E1646" s="50" t="s">
        <v>451</v>
      </c>
    </row>
    <row r="1647" spans="1:5" ht="12.75" customHeight="1">
      <c r="A1647" s="61">
        <v>3258</v>
      </c>
      <c r="B1647" s="50" t="s">
        <v>2462</v>
      </c>
      <c r="C1647" s="50" t="s">
        <v>584</v>
      </c>
      <c r="D1647" s="33" t="s">
        <v>3484</v>
      </c>
      <c r="E1647" s="50" t="s">
        <v>451</v>
      </c>
    </row>
    <row r="1648" spans="1:5" ht="15" customHeight="1">
      <c r="A1648" s="61">
        <v>3259</v>
      </c>
      <c r="B1648" s="50" t="s">
        <v>3308</v>
      </c>
      <c r="C1648" s="50" t="s">
        <v>1197</v>
      </c>
      <c r="D1648" s="33" t="s">
        <v>4526</v>
      </c>
      <c r="E1648" s="50" t="s">
        <v>2180</v>
      </c>
    </row>
    <row r="1649" spans="1:5" ht="12.75" customHeight="1">
      <c r="A1649" s="61">
        <v>3260</v>
      </c>
      <c r="B1649" s="50" t="s">
        <v>1017</v>
      </c>
      <c r="C1649" s="50" t="s">
        <v>263</v>
      </c>
      <c r="D1649" s="33" t="s">
        <v>4527</v>
      </c>
      <c r="E1649" s="50" t="s">
        <v>1224</v>
      </c>
    </row>
    <row r="1650" spans="1:5" ht="12.75" customHeight="1">
      <c r="A1650" s="61">
        <v>3261</v>
      </c>
      <c r="B1650" s="50" t="s">
        <v>492</v>
      </c>
      <c r="C1650" s="50" t="s">
        <v>718</v>
      </c>
      <c r="D1650" s="33" t="s">
        <v>4528</v>
      </c>
      <c r="E1650" s="50" t="s">
        <v>1224</v>
      </c>
    </row>
    <row r="1651" spans="1:5" ht="12.75" customHeight="1">
      <c r="A1651" s="61">
        <v>3262</v>
      </c>
      <c r="B1651" s="50" t="s">
        <v>4529</v>
      </c>
      <c r="C1651" s="50" t="s">
        <v>246</v>
      </c>
      <c r="D1651" s="33" t="s">
        <v>4530</v>
      </c>
      <c r="E1651" s="50" t="s">
        <v>1224</v>
      </c>
    </row>
    <row r="1652" spans="1:5" ht="12.75" customHeight="1">
      <c r="A1652" s="61">
        <v>3263</v>
      </c>
      <c r="B1652" s="50" t="s">
        <v>4531</v>
      </c>
      <c r="C1652" s="50" t="s">
        <v>246</v>
      </c>
      <c r="D1652" s="33" t="s">
        <v>4532</v>
      </c>
      <c r="E1652" s="50" t="s">
        <v>1224</v>
      </c>
    </row>
    <row r="1653" spans="1:5" ht="12.75" customHeight="1">
      <c r="A1653" s="61">
        <v>3264</v>
      </c>
      <c r="B1653" s="50" t="s">
        <v>4533</v>
      </c>
      <c r="C1653" s="50" t="s">
        <v>1172</v>
      </c>
      <c r="D1653" s="33" t="s">
        <v>4534</v>
      </c>
      <c r="E1653" s="50" t="s">
        <v>391</v>
      </c>
    </row>
    <row r="1654" spans="1:5" ht="12.75" customHeight="1">
      <c r="A1654" s="61">
        <v>3265</v>
      </c>
      <c r="B1654" s="50" t="s">
        <v>4535</v>
      </c>
      <c r="C1654" s="50" t="s">
        <v>266</v>
      </c>
      <c r="D1654" s="33" t="s">
        <v>4536</v>
      </c>
      <c r="E1654" s="50" t="s">
        <v>2180</v>
      </c>
    </row>
    <row r="1655" spans="1:5" ht="12.75" customHeight="1">
      <c r="A1655" s="61">
        <v>3266</v>
      </c>
      <c r="B1655" s="50" t="s">
        <v>4537</v>
      </c>
      <c r="C1655" s="50" t="s">
        <v>1133</v>
      </c>
      <c r="D1655" s="33" t="s">
        <v>4538</v>
      </c>
      <c r="E1655" s="50" t="s">
        <v>1224</v>
      </c>
    </row>
    <row r="1656" spans="1:5" ht="12.75" customHeight="1">
      <c r="A1656" s="61">
        <v>3267</v>
      </c>
      <c r="B1656" s="50" t="s">
        <v>4955</v>
      </c>
      <c r="C1656" s="50" t="s">
        <v>263</v>
      </c>
      <c r="D1656" s="33" t="s">
        <v>5008</v>
      </c>
      <c r="E1656" s="50" t="s">
        <v>2180</v>
      </c>
    </row>
    <row r="1657" spans="1:5" ht="12.75" customHeight="1">
      <c r="A1657" s="61">
        <v>3268</v>
      </c>
      <c r="B1657" s="50" t="s">
        <v>4539</v>
      </c>
      <c r="C1657" s="50" t="s">
        <v>640</v>
      </c>
      <c r="D1657" s="33" t="s">
        <v>4541</v>
      </c>
      <c r="E1657" s="50" t="s">
        <v>2180</v>
      </c>
    </row>
    <row r="1658" spans="1:5" ht="12.75" customHeight="1">
      <c r="A1658" s="61">
        <v>3270</v>
      </c>
      <c r="B1658" s="50" t="s">
        <v>1292</v>
      </c>
      <c r="C1658" s="50" t="s">
        <v>266</v>
      </c>
      <c r="D1658" s="33" t="s">
        <v>5009</v>
      </c>
      <c r="E1658" s="50" t="s">
        <v>2180</v>
      </c>
    </row>
    <row r="1659" spans="1:5" ht="12.75" customHeight="1">
      <c r="A1659" s="61">
        <v>50231</v>
      </c>
      <c r="B1659" s="50" t="s">
        <v>73</v>
      </c>
      <c r="C1659" s="50" t="s">
        <v>72</v>
      </c>
      <c r="D1659" s="33" t="s">
        <v>4940</v>
      </c>
      <c r="E1659" s="50" t="s">
        <v>4937</v>
      </c>
    </row>
    <row r="1660" spans="1:5" ht="12.75" customHeight="1">
      <c r="A1660" s="61">
        <v>64454</v>
      </c>
      <c r="B1660" s="50" t="s">
        <v>565</v>
      </c>
      <c r="C1660" s="50" t="s">
        <v>446</v>
      </c>
      <c r="D1660" s="33" t="s">
        <v>4542</v>
      </c>
      <c r="E1660" s="50" t="s">
        <v>643</v>
      </c>
    </row>
    <row r="1661" spans="1:5" ht="12.75" customHeight="1">
      <c r="A1661" s="61">
        <v>64456</v>
      </c>
      <c r="B1661" s="50" t="s">
        <v>2606</v>
      </c>
      <c r="C1661" s="50" t="s">
        <v>266</v>
      </c>
      <c r="D1661" s="33" t="s">
        <v>4543</v>
      </c>
      <c r="E1661" s="50" t="s">
        <v>643</v>
      </c>
    </row>
    <row r="1662" spans="1:5" ht="12.75" customHeight="1">
      <c r="A1662" s="61">
        <v>64458</v>
      </c>
      <c r="B1662" s="50" t="s">
        <v>2171</v>
      </c>
      <c r="C1662" s="50" t="s">
        <v>584</v>
      </c>
      <c r="D1662" s="33" t="s">
        <v>2880</v>
      </c>
      <c r="E1662" s="50" t="s">
        <v>643</v>
      </c>
    </row>
    <row r="1663" spans="1:5" ht="12.75" customHeight="1">
      <c r="A1663" s="61">
        <v>64460</v>
      </c>
      <c r="B1663" s="50" t="s">
        <v>2653</v>
      </c>
      <c r="C1663" s="50" t="s">
        <v>286</v>
      </c>
      <c r="D1663" s="33" t="s">
        <v>4544</v>
      </c>
      <c r="E1663" s="50" t="s">
        <v>643</v>
      </c>
    </row>
    <row r="1664" spans="1:5" ht="12.75" customHeight="1">
      <c r="A1664" s="61">
        <v>64461</v>
      </c>
      <c r="B1664" s="50" t="s">
        <v>2492</v>
      </c>
      <c r="C1664" s="50" t="s">
        <v>964</v>
      </c>
      <c r="D1664" s="33" t="s">
        <v>3095</v>
      </c>
      <c r="E1664" s="50" t="s">
        <v>643</v>
      </c>
    </row>
    <row r="1665" spans="1:5" ht="12.75" customHeight="1">
      <c r="A1665" s="61">
        <v>64463</v>
      </c>
      <c r="B1665" s="50" t="s">
        <v>2654</v>
      </c>
      <c r="C1665" s="50" t="s">
        <v>263</v>
      </c>
      <c r="D1665" s="33" t="s">
        <v>4545</v>
      </c>
      <c r="E1665" s="50" t="s">
        <v>643</v>
      </c>
    </row>
    <row r="1666" spans="1:5" ht="12.75" customHeight="1">
      <c r="A1666" s="61">
        <v>64464</v>
      </c>
      <c r="B1666" s="50" t="s">
        <v>2655</v>
      </c>
      <c r="C1666" s="50" t="s">
        <v>261</v>
      </c>
      <c r="D1666" s="33" t="s">
        <v>4546</v>
      </c>
      <c r="E1666" s="50" t="s">
        <v>643</v>
      </c>
    </row>
    <row r="1667" spans="1:5" ht="12.75" customHeight="1">
      <c r="A1667" s="61">
        <v>64466</v>
      </c>
      <c r="B1667" s="50" t="s">
        <v>2656</v>
      </c>
      <c r="C1667" s="50" t="s">
        <v>1413</v>
      </c>
      <c r="D1667" s="33" t="s">
        <v>4547</v>
      </c>
      <c r="E1667" s="50" t="s">
        <v>643</v>
      </c>
    </row>
    <row r="1668" spans="1:5" ht="12.75" customHeight="1">
      <c r="A1668" s="61">
        <v>64467</v>
      </c>
      <c r="B1668" s="50" t="s">
        <v>625</v>
      </c>
      <c r="C1668" s="50" t="s">
        <v>1413</v>
      </c>
      <c r="D1668" s="33" t="s">
        <v>4548</v>
      </c>
      <c r="E1668" s="50" t="s">
        <v>643</v>
      </c>
    </row>
    <row r="1669" spans="1:5" ht="12.75" customHeight="1">
      <c r="A1669" s="61">
        <v>64468</v>
      </c>
      <c r="B1669" s="50" t="s">
        <v>2657</v>
      </c>
      <c r="C1669" s="50" t="s">
        <v>1414</v>
      </c>
      <c r="D1669" s="33" t="s">
        <v>3376</v>
      </c>
      <c r="E1669" s="50" t="s">
        <v>643</v>
      </c>
    </row>
    <row r="1670" spans="1:5" ht="12.75" customHeight="1">
      <c r="A1670" s="61">
        <v>64469</v>
      </c>
      <c r="B1670" s="50" t="s">
        <v>966</v>
      </c>
      <c r="C1670" s="50" t="s">
        <v>864</v>
      </c>
      <c r="D1670" s="33" t="s">
        <v>4549</v>
      </c>
      <c r="E1670" s="50" t="s">
        <v>643</v>
      </c>
    </row>
    <row r="1671" spans="1:5" ht="12.75" customHeight="1">
      <c r="A1671" s="61">
        <v>64472</v>
      </c>
      <c r="B1671" s="50" t="s">
        <v>1196</v>
      </c>
      <c r="C1671" s="50" t="s">
        <v>989</v>
      </c>
      <c r="D1671" s="33" t="s">
        <v>3160</v>
      </c>
      <c r="E1671" s="50" t="s">
        <v>643</v>
      </c>
    </row>
    <row r="1672" spans="1:5" ht="12.75" customHeight="1">
      <c r="A1672" s="61">
        <v>64473</v>
      </c>
      <c r="B1672" s="50" t="s">
        <v>2602</v>
      </c>
      <c r="C1672" s="50" t="s">
        <v>370</v>
      </c>
      <c r="D1672" s="33" t="s">
        <v>3161</v>
      </c>
      <c r="E1672" s="50" t="s">
        <v>643</v>
      </c>
    </row>
    <row r="1673" spans="1:5" ht="12.75" customHeight="1">
      <c r="A1673" s="61">
        <v>64474</v>
      </c>
      <c r="B1673" s="50" t="s">
        <v>2658</v>
      </c>
      <c r="C1673" s="50" t="s">
        <v>640</v>
      </c>
      <c r="D1673" s="33" t="s">
        <v>4550</v>
      </c>
      <c r="E1673" s="50" t="s">
        <v>643</v>
      </c>
    </row>
    <row r="1674" spans="1:5" ht="12.75" customHeight="1">
      <c r="A1674" s="61">
        <v>64484</v>
      </c>
      <c r="B1674" s="50" t="s">
        <v>574</v>
      </c>
      <c r="C1674" s="50" t="s">
        <v>1413</v>
      </c>
      <c r="D1674" s="33" t="s">
        <v>2963</v>
      </c>
      <c r="E1674" s="50" t="s">
        <v>643</v>
      </c>
    </row>
    <row r="1675" spans="1:5" ht="12.75" customHeight="1">
      <c r="A1675" s="61">
        <v>64485</v>
      </c>
      <c r="B1675" s="50" t="s">
        <v>2713</v>
      </c>
      <c r="C1675" s="50" t="s">
        <v>775</v>
      </c>
      <c r="D1675" s="33" t="s">
        <v>4551</v>
      </c>
      <c r="E1675" s="50" t="s">
        <v>643</v>
      </c>
    </row>
    <row r="1676" spans="1:5" ht="12.75" customHeight="1">
      <c r="A1676" s="61">
        <v>64486</v>
      </c>
      <c r="B1676" s="50" t="s">
        <v>2714</v>
      </c>
      <c r="C1676" s="50" t="s">
        <v>1240</v>
      </c>
      <c r="D1676" s="33" t="s">
        <v>3055</v>
      </c>
      <c r="E1676" s="50" t="s">
        <v>643</v>
      </c>
    </row>
    <row r="1677" spans="1:5" ht="12.75" customHeight="1">
      <c r="A1677" s="61">
        <v>64487</v>
      </c>
      <c r="B1677" s="50" t="s">
        <v>2715</v>
      </c>
      <c r="C1677" s="50" t="s">
        <v>1534</v>
      </c>
      <c r="D1677" s="33" t="s">
        <v>2860</v>
      </c>
      <c r="E1677" s="50" t="s">
        <v>643</v>
      </c>
    </row>
    <row r="1678" spans="1:5" ht="12.75" customHeight="1">
      <c r="A1678" s="61">
        <v>64488</v>
      </c>
      <c r="B1678" s="50" t="s">
        <v>2716</v>
      </c>
      <c r="C1678" s="50" t="s">
        <v>864</v>
      </c>
      <c r="D1678" s="33" t="s">
        <v>4552</v>
      </c>
      <c r="E1678" s="50" t="s">
        <v>643</v>
      </c>
    </row>
    <row r="1679" spans="1:5" ht="12.75" customHeight="1">
      <c r="A1679" s="61">
        <v>64489</v>
      </c>
      <c r="B1679" s="50" t="s">
        <v>2717</v>
      </c>
      <c r="C1679" s="50" t="s">
        <v>1311</v>
      </c>
      <c r="D1679" s="33" t="s">
        <v>4553</v>
      </c>
      <c r="E1679" s="50" t="s">
        <v>643</v>
      </c>
    </row>
    <row r="1680" spans="1:5" ht="12.75" customHeight="1">
      <c r="A1680" s="61">
        <v>64491</v>
      </c>
      <c r="B1680" s="50" t="s">
        <v>1163</v>
      </c>
      <c r="C1680" s="50" t="s">
        <v>2598</v>
      </c>
      <c r="D1680" s="33" t="s">
        <v>4554</v>
      </c>
      <c r="E1680" s="50" t="s">
        <v>643</v>
      </c>
    </row>
    <row r="1681" spans="1:5" ht="12.75" customHeight="1">
      <c r="A1681" s="61">
        <v>64492</v>
      </c>
      <c r="B1681" s="50" t="s">
        <v>2718</v>
      </c>
      <c r="C1681" s="50" t="s">
        <v>640</v>
      </c>
      <c r="D1681" s="33" t="s">
        <v>4555</v>
      </c>
      <c r="E1681" s="50" t="s">
        <v>643</v>
      </c>
    </row>
    <row r="1682" spans="1:5" ht="12.75" customHeight="1">
      <c r="A1682" s="61">
        <v>64494</v>
      </c>
      <c r="B1682" s="50" t="s">
        <v>1526</v>
      </c>
      <c r="C1682" s="50" t="s">
        <v>2419</v>
      </c>
      <c r="D1682" s="33" t="s">
        <v>4556</v>
      </c>
      <c r="E1682" s="50" t="s">
        <v>643</v>
      </c>
    </row>
    <row r="1683" spans="1:5" ht="12.75" customHeight="1">
      <c r="A1683" s="61">
        <v>64497</v>
      </c>
      <c r="B1683" s="50" t="s">
        <v>2719</v>
      </c>
      <c r="C1683" s="50" t="s">
        <v>72</v>
      </c>
      <c r="D1683" s="33" t="s">
        <v>2852</v>
      </c>
      <c r="E1683" s="50" t="s">
        <v>643</v>
      </c>
    </row>
    <row r="1684" spans="1:5" ht="12.75" customHeight="1">
      <c r="A1684" s="61">
        <v>64500</v>
      </c>
      <c r="B1684" s="50" t="s">
        <v>2720</v>
      </c>
      <c r="C1684" s="50" t="s">
        <v>477</v>
      </c>
      <c r="D1684" s="33" t="s">
        <v>4557</v>
      </c>
      <c r="E1684" s="50" t="s">
        <v>643</v>
      </c>
    </row>
    <row r="1685" spans="1:5" ht="12.75" customHeight="1">
      <c r="A1685" s="61">
        <v>64502</v>
      </c>
      <c r="B1685" s="50" t="s">
        <v>752</v>
      </c>
      <c r="C1685" s="50" t="s">
        <v>266</v>
      </c>
      <c r="D1685" s="33" t="s">
        <v>2842</v>
      </c>
      <c r="E1685" s="50" t="s">
        <v>643</v>
      </c>
    </row>
    <row r="1686" spans="1:5" ht="12.75" customHeight="1">
      <c r="A1686" s="61">
        <v>64505</v>
      </c>
      <c r="B1686" s="50" t="s">
        <v>2747</v>
      </c>
      <c r="C1686" s="50" t="s">
        <v>2219</v>
      </c>
      <c r="D1686" s="33" t="s">
        <v>3418</v>
      </c>
      <c r="E1686" s="50" t="s">
        <v>643</v>
      </c>
    </row>
    <row r="1687" spans="1:5" ht="12.75" customHeight="1">
      <c r="A1687" s="61">
        <v>64506</v>
      </c>
      <c r="B1687" s="50" t="s">
        <v>2748</v>
      </c>
      <c r="C1687" s="50" t="s">
        <v>640</v>
      </c>
      <c r="D1687" s="33" t="s">
        <v>4558</v>
      </c>
      <c r="E1687" s="50" t="s">
        <v>643</v>
      </c>
    </row>
    <row r="1688" spans="1:5" ht="12.75" customHeight="1">
      <c r="A1688" s="61">
        <v>64507</v>
      </c>
      <c r="B1688" s="50" t="s">
        <v>1303</v>
      </c>
      <c r="C1688" s="50" t="s">
        <v>802</v>
      </c>
      <c r="D1688" s="33" t="s">
        <v>4559</v>
      </c>
      <c r="E1688" s="50" t="s">
        <v>643</v>
      </c>
    </row>
    <row r="1689" spans="1:5" ht="12.75" customHeight="1">
      <c r="A1689" s="61">
        <v>64508</v>
      </c>
      <c r="B1689" s="50" t="s">
        <v>996</v>
      </c>
      <c r="C1689" s="50" t="s">
        <v>864</v>
      </c>
      <c r="D1689" s="33" t="s">
        <v>2833</v>
      </c>
      <c r="E1689" s="50" t="s">
        <v>643</v>
      </c>
    </row>
    <row r="1690" spans="1:5" ht="12.75" customHeight="1">
      <c r="A1690" s="61">
        <v>64511</v>
      </c>
      <c r="B1690" s="50" t="s">
        <v>967</v>
      </c>
      <c r="C1690" s="50" t="s">
        <v>1246</v>
      </c>
      <c r="D1690" s="33" t="s">
        <v>4560</v>
      </c>
      <c r="E1690" s="50" t="s">
        <v>643</v>
      </c>
    </row>
    <row r="1691" spans="1:5" ht="12.75" customHeight="1">
      <c r="A1691" s="61">
        <v>64512</v>
      </c>
      <c r="B1691" s="50" t="s">
        <v>2749</v>
      </c>
      <c r="C1691" s="50" t="s">
        <v>477</v>
      </c>
      <c r="D1691" s="33" t="s">
        <v>2889</v>
      </c>
      <c r="E1691" s="50" t="s">
        <v>643</v>
      </c>
    </row>
    <row r="1692" spans="1:5" ht="12.75" customHeight="1">
      <c r="A1692" s="61">
        <v>64513</v>
      </c>
      <c r="B1692" s="50" t="s">
        <v>2750</v>
      </c>
      <c r="C1692" s="50" t="s">
        <v>989</v>
      </c>
      <c r="D1692" s="33" t="s">
        <v>2888</v>
      </c>
      <c r="E1692" s="50" t="s">
        <v>643</v>
      </c>
    </row>
    <row r="1693" spans="1:5" ht="12.75" customHeight="1">
      <c r="A1693" s="61">
        <v>64515</v>
      </c>
      <c r="B1693" s="50" t="s">
        <v>2751</v>
      </c>
      <c r="C1693" s="50" t="s">
        <v>1013</v>
      </c>
      <c r="D1693" s="33" t="s">
        <v>4561</v>
      </c>
      <c r="E1693" s="50" t="s">
        <v>643</v>
      </c>
    </row>
    <row r="1694" spans="1:5" ht="12.75" customHeight="1">
      <c r="A1694" s="61">
        <v>64516</v>
      </c>
      <c r="B1694" s="50" t="s">
        <v>312</v>
      </c>
      <c r="C1694" s="50" t="s">
        <v>263</v>
      </c>
      <c r="D1694" s="33" t="s">
        <v>2998</v>
      </c>
      <c r="E1694" s="50" t="s">
        <v>643</v>
      </c>
    </row>
    <row r="1695" spans="1:5" ht="12.75" customHeight="1">
      <c r="A1695" s="61">
        <v>64517</v>
      </c>
      <c r="B1695" s="50" t="s">
        <v>2752</v>
      </c>
      <c r="C1695" s="50" t="s">
        <v>427</v>
      </c>
      <c r="D1695" s="33" t="s">
        <v>4562</v>
      </c>
      <c r="E1695" s="50" t="s">
        <v>643</v>
      </c>
    </row>
    <row r="1696" spans="1:5" ht="12.75" customHeight="1">
      <c r="A1696" s="61">
        <v>64519</v>
      </c>
      <c r="B1696" s="50" t="s">
        <v>1445</v>
      </c>
      <c r="C1696" s="50" t="s">
        <v>663</v>
      </c>
      <c r="D1696" s="33" t="s">
        <v>2834</v>
      </c>
      <c r="E1696" s="50" t="s">
        <v>643</v>
      </c>
    </row>
    <row r="1697" spans="1:5" ht="12.75" customHeight="1">
      <c r="A1697" s="61">
        <v>64522</v>
      </c>
      <c r="B1697" s="50" t="s">
        <v>692</v>
      </c>
      <c r="C1697" s="50" t="s">
        <v>263</v>
      </c>
      <c r="D1697" s="33" t="s">
        <v>2850</v>
      </c>
      <c r="E1697" s="50" t="s">
        <v>643</v>
      </c>
    </row>
    <row r="1698" spans="1:5" ht="12.75" customHeight="1">
      <c r="A1698" s="61">
        <v>64523</v>
      </c>
      <c r="B1698" s="50" t="s">
        <v>465</v>
      </c>
      <c r="C1698" s="50" t="s">
        <v>446</v>
      </c>
      <c r="D1698" s="33" t="s">
        <v>3097</v>
      </c>
      <c r="E1698" s="50" t="s">
        <v>643</v>
      </c>
    </row>
    <row r="1699" spans="1:5" ht="12.75" customHeight="1">
      <c r="A1699" s="61">
        <v>64524</v>
      </c>
      <c r="B1699" s="50" t="s">
        <v>2753</v>
      </c>
      <c r="C1699" s="50" t="s">
        <v>1197</v>
      </c>
      <c r="D1699" s="33" t="s">
        <v>4563</v>
      </c>
      <c r="E1699" s="50" t="s">
        <v>643</v>
      </c>
    </row>
    <row r="1700" spans="1:5" ht="12.75" customHeight="1">
      <c r="A1700" s="61">
        <v>64525</v>
      </c>
      <c r="B1700" s="50" t="s">
        <v>2754</v>
      </c>
      <c r="C1700" s="50" t="s">
        <v>263</v>
      </c>
      <c r="D1700" s="33" t="s">
        <v>4564</v>
      </c>
      <c r="E1700" s="50" t="s">
        <v>643</v>
      </c>
    </row>
    <row r="1701" spans="1:5" ht="12.75" customHeight="1">
      <c r="A1701" s="61">
        <v>64526</v>
      </c>
      <c r="B1701" s="50" t="s">
        <v>89</v>
      </c>
      <c r="C1701" s="50" t="s">
        <v>778</v>
      </c>
      <c r="D1701" s="33" t="s">
        <v>2903</v>
      </c>
      <c r="E1701" s="50" t="s">
        <v>643</v>
      </c>
    </row>
    <row r="1702" spans="1:5" ht="12.75" customHeight="1">
      <c r="A1702" s="61">
        <v>64527</v>
      </c>
      <c r="B1702" s="50" t="s">
        <v>2755</v>
      </c>
      <c r="C1702" s="50" t="s">
        <v>866</v>
      </c>
      <c r="D1702" s="33" t="s">
        <v>4565</v>
      </c>
      <c r="E1702" s="50" t="s">
        <v>643</v>
      </c>
    </row>
    <row r="1703" spans="1:5" ht="12.75" customHeight="1">
      <c r="A1703" s="61">
        <v>64528</v>
      </c>
      <c r="B1703" s="50" t="s">
        <v>262</v>
      </c>
      <c r="C1703" s="50" t="s">
        <v>1534</v>
      </c>
      <c r="D1703" s="33" t="s">
        <v>4566</v>
      </c>
      <c r="E1703" s="50" t="s">
        <v>643</v>
      </c>
    </row>
    <row r="1704" spans="1:5" ht="12.75" customHeight="1">
      <c r="A1704" s="61">
        <v>64530</v>
      </c>
      <c r="B1704" s="50" t="s">
        <v>148</v>
      </c>
      <c r="C1704" s="50" t="s">
        <v>1410</v>
      </c>
      <c r="D1704" s="33" t="s">
        <v>4567</v>
      </c>
      <c r="E1704" s="50" t="s">
        <v>643</v>
      </c>
    </row>
    <row r="1705" spans="1:5" ht="12.75" customHeight="1">
      <c r="A1705" s="61">
        <v>64533</v>
      </c>
      <c r="B1705" s="50" t="s">
        <v>2972</v>
      </c>
      <c r="C1705" s="50" t="s">
        <v>2973</v>
      </c>
      <c r="D1705" s="33" t="s">
        <v>4568</v>
      </c>
      <c r="E1705" s="50" t="s">
        <v>643</v>
      </c>
    </row>
    <row r="1706" spans="1:5" ht="12.75" customHeight="1">
      <c r="A1706" s="61">
        <v>64534</v>
      </c>
      <c r="B1706" s="50" t="s">
        <v>2974</v>
      </c>
      <c r="C1706" s="50" t="s">
        <v>197</v>
      </c>
      <c r="D1706" s="33" t="s">
        <v>4569</v>
      </c>
      <c r="E1706" s="50" t="s">
        <v>643</v>
      </c>
    </row>
    <row r="1707" spans="1:5" ht="12.75" customHeight="1">
      <c r="A1707" s="61">
        <v>64535</v>
      </c>
      <c r="B1707" s="50" t="s">
        <v>2971</v>
      </c>
      <c r="C1707" s="50" t="s">
        <v>640</v>
      </c>
      <c r="D1707" s="33" t="s">
        <v>4570</v>
      </c>
      <c r="E1707" s="50" t="s">
        <v>643</v>
      </c>
    </row>
    <row r="1708" spans="1:5" ht="12.75" customHeight="1">
      <c r="A1708" s="61">
        <v>64536</v>
      </c>
      <c r="B1708" s="50" t="s">
        <v>1326</v>
      </c>
      <c r="C1708" s="50" t="s">
        <v>964</v>
      </c>
      <c r="D1708" s="33" t="s">
        <v>2988</v>
      </c>
      <c r="E1708" s="50" t="s">
        <v>643</v>
      </c>
    </row>
    <row r="1709" spans="1:5" ht="12.75" customHeight="1">
      <c r="A1709" s="61">
        <v>64537</v>
      </c>
      <c r="B1709" s="50" t="s">
        <v>168</v>
      </c>
      <c r="C1709" s="50" t="s">
        <v>2975</v>
      </c>
      <c r="D1709" s="33" t="s">
        <v>4571</v>
      </c>
      <c r="E1709" s="50" t="s">
        <v>643</v>
      </c>
    </row>
    <row r="1710" spans="1:5" ht="12.75" customHeight="1">
      <c r="A1710" s="61">
        <v>64538</v>
      </c>
      <c r="B1710" s="50" t="s">
        <v>3018</v>
      </c>
      <c r="C1710" s="50" t="s">
        <v>190</v>
      </c>
      <c r="D1710" s="33" t="s">
        <v>3034</v>
      </c>
      <c r="E1710" s="50" t="s">
        <v>643</v>
      </c>
    </row>
    <row r="1711" spans="1:5" ht="12.75" customHeight="1">
      <c r="A1711" s="61">
        <v>64539</v>
      </c>
      <c r="B1711" s="50" t="s">
        <v>628</v>
      </c>
      <c r="C1711" s="50" t="s">
        <v>423</v>
      </c>
      <c r="D1711" s="33" t="s">
        <v>4572</v>
      </c>
      <c r="E1711" s="50" t="s">
        <v>643</v>
      </c>
    </row>
    <row r="1712" spans="1:5" ht="12.75" customHeight="1">
      <c r="A1712" s="61">
        <v>64540</v>
      </c>
      <c r="B1712" s="50" t="s">
        <v>3019</v>
      </c>
      <c r="C1712" s="50" t="s">
        <v>263</v>
      </c>
      <c r="D1712" s="33" t="s">
        <v>3001</v>
      </c>
      <c r="E1712" s="50" t="s">
        <v>643</v>
      </c>
    </row>
    <row r="1713" spans="1:5" ht="12.75" customHeight="1">
      <c r="A1713" s="61">
        <v>64541</v>
      </c>
      <c r="B1713" s="50" t="s">
        <v>1255</v>
      </c>
      <c r="C1713" s="50" t="s">
        <v>3020</v>
      </c>
      <c r="D1713" s="33" t="s">
        <v>4573</v>
      </c>
      <c r="E1713" s="50" t="s">
        <v>643</v>
      </c>
    </row>
    <row r="1714" spans="1:5" ht="12.75" customHeight="1">
      <c r="A1714" s="61">
        <v>64542</v>
      </c>
      <c r="B1714" s="50" t="s">
        <v>3021</v>
      </c>
      <c r="C1714" s="50" t="s">
        <v>477</v>
      </c>
      <c r="D1714" s="33" t="s">
        <v>4574</v>
      </c>
      <c r="E1714" s="50" t="s">
        <v>643</v>
      </c>
    </row>
    <row r="1715" spans="1:5" ht="12.75" customHeight="1">
      <c r="A1715" s="61">
        <v>64543</v>
      </c>
      <c r="B1715" s="50" t="s">
        <v>3022</v>
      </c>
      <c r="C1715" s="50" t="s">
        <v>1197</v>
      </c>
      <c r="D1715" s="33" t="s">
        <v>3032</v>
      </c>
      <c r="E1715" s="50" t="s">
        <v>643</v>
      </c>
    </row>
    <row r="1716" spans="1:5" ht="12.75" customHeight="1">
      <c r="A1716" s="61">
        <v>64544</v>
      </c>
      <c r="B1716" s="50" t="s">
        <v>3023</v>
      </c>
      <c r="C1716" s="50" t="s">
        <v>188</v>
      </c>
      <c r="D1716" s="33" t="s">
        <v>3049</v>
      </c>
      <c r="E1716" s="50" t="s">
        <v>643</v>
      </c>
    </row>
    <row r="1717" spans="1:5" ht="12.75" customHeight="1">
      <c r="A1717" s="61">
        <v>64545</v>
      </c>
      <c r="B1717" s="50" t="s">
        <v>3024</v>
      </c>
      <c r="C1717" s="50" t="s">
        <v>638</v>
      </c>
      <c r="D1717" s="33" t="s">
        <v>4575</v>
      </c>
      <c r="E1717" s="50" t="s">
        <v>643</v>
      </c>
    </row>
    <row r="1718" spans="1:5" ht="12.75" customHeight="1">
      <c r="A1718" s="61">
        <v>64548</v>
      </c>
      <c r="B1718" s="50" t="s">
        <v>3232</v>
      </c>
      <c r="C1718" s="50" t="s">
        <v>3233</v>
      </c>
      <c r="D1718" s="33" t="s">
        <v>4576</v>
      </c>
      <c r="E1718" s="50" t="s">
        <v>643</v>
      </c>
    </row>
    <row r="1719" spans="1:5" ht="12.75" customHeight="1">
      <c r="A1719" s="61">
        <v>64549</v>
      </c>
      <c r="B1719" s="50" t="s">
        <v>992</v>
      </c>
      <c r="C1719" s="50" t="s">
        <v>1413</v>
      </c>
      <c r="D1719" s="33" t="s">
        <v>4577</v>
      </c>
      <c r="E1719" s="50" t="s">
        <v>643</v>
      </c>
    </row>
    <row r="1720" spans="1:5" ht="12.75" customHeight="1">
      <c r="A1720" s="61">
        <v>64550</v>
      </c>
      <c r="B1720" s="50" t="s">
        <v>3189</v>
      </c>
      <c r="C1720" s="50" t="s">
        <v>782</v>
      </c>
      <c r="D1720" s="33" t="s">
        <v>4578</v>
      </c>
      <c r="E1720" s="50" t="s">
        <v>643</v>
      </c>
    </row>
    <row r="1721" spans="1:5" ht="12.75" customHeight="1">
      <c r="A1721" s="61">
        <v>64553</v>
      </c>
      <c r="B1721" s="50" t="s">
        <v>3183</v>
      </c>
      <c r="C1721" s="50" t="s">
        <v>1246</v>
      </c>
      <c r="D1721" s="33" t="s">
        <v>3542</v>
      </c>
      <c r="E1721" s="50" t="s">
        <v>643</v>
      </c>
    </row>
    <row r="1722" spans="1:5" ht="12.75" customHeight="1">
      <c r="A1722" s="61">
        <v>64554</v>
      </c>
      <c r="B1722" s="50" t="s">
        <v>312</v>
      </c>
      <c r="C1722" s="50" t="s">
        <v>188</v>
      </c>
      <c r="D1722" s="33" t="s">
        <v>4579</v>
      </c>
      <c r="E1722" s="50" t="s">
        <v>643</v>
      </c>
    </row>
    <row r="1723" spans="1:5" ht="12.75" customHeight="1">
      <c r="A1723" s="61">
        <v>64555</v>
      </c>
      <c r="B1723" s="50" t="s">
        <v>3170</v>
      </c>
      <c r="C1723" s="50" t="s">
        <v>638</v>
      </c>
      <c r="D1723" s="33" t="s">
        <v>4580</v>
      </c>
      <c r="E1723" s="50" t="s">
        <v>643</v>
      </c>
    </row>
    <row r="1724" spans="1:5" ht="12.75" customHeight="1">
      <c r="A1724" s="61">
        <v>64556</v>
      </c>
      <c r="B1724" s="50" t="s">
        <v>3190</v>
      </c>
      <c r="C1724" s="50" t="s">
        <v>190</v>
      </c>
      <c r="D1724" s="33" t="s">
        <v>4581</v>
      </c>
      <c r="E1724" s="50" t="s">
        <v>643</v>
      </c>
    </row>
    <row r="1725" spans="1:5" ht="12.75" customHeight="1">
      <c r="A1725" s="61">
        <v>64557</v>
      </c>
      <c r="B1725" s="50" t="s">
        <v>3220</v>
      </c>
      <c r="C1725" s="50" t="s">
        <v>1414</v>
      </c>
      <c r="D1725" s="33" t="s">
        <v>4582</v>
      </c>
      <c r="E1725" s="50" t="s">
        <v>643</v>
      </c>
    </row>
    <row r="1726" spans="1:5" ht="12.75" customHeight="1">
      <c r="A1726" s="61">
        <v>64558</v>
      </c>
      <c r="B1726" s="50" t="s">
        <v>1255</v>
      </c>
      <c r="C1726" s="50" t="s">
        <v>188</v>
      </c>
      <c r="D1726" s="33" t="s">
        <v>4583</v>
      </c>
      <c r="E1726" s="50" t="s">
        <v>643</v>
      </c>
    </row>
    <row r="1727" spans="1:5" ht="12.75" customHeight="1">
      <c r="A1727" s="61">
        <v>64559</v>
      </c>
      <c r="B1727" s="50" t="s">
        <v>3174</v>
      </c>
      <c r="C1727" s="50" t="s">
        <v>1133</v>
      </c>
      <c r="D1727" s="33" t="s">
        <v>3040</v>
      </c>
      <c r="E1727" s="50" t="s">
        <v>643</v>
      </c>
    </row>
    <row r="1728" spans="1:5" ht="12.75" customHeight="1">
      <c r="A1728" s="61">
        <v>64560</v>
      </c>
      <c r="B1728" s="50" t="s">
        <v>3172</v>
      </c>
      <c r="C1728" s="50" t="s">
        <v>246</v>
      </c>
      <c r="D1728" s="33" t="s">
        <v>3043</v>
      </c>
      <c r="E1728" s="50" t="s">
        <v>643</v>
      </c>
    </row>
    <row r="1729" spans="1:5" ht="12.75" customHeight="1">
      <c r="A1729" s="61">
        <v>64561</v>
      </c>
      <c r="B1729" s="50" t="s">
        <v>3176</v>
      </c>
      <c r="C1729" s="50" t="s">
        <v>3177</v>
      </c>
      <c r="D1729" s="33" t="s">
        <v>4584</v>
      </c>
      <c r="E1729" s="50" t="s">
        <v>643</v>
      </c>
    </row>
    <row r="1730" spans="1:5" ht="12.75" customHeight="1">
      <c r="A1730" s="61">
        <v>64562</v>
      </c>
      <c r="B1730" s="50" t="s">
        <v>3187</v>
      </c>
      <c r="C1730" s="50" t="s">
        <v>2465</v>
      </c>
      <c r="D1730" s="33" t="s">
        <v>4585</v>
      </c>
      <c r="E1730" s="50" t="s">
        <v>643</v>
      </c>
    </row>
    <row r="1731" spans="1:5" ht="12.75" customHeight="1">
      <c r="A1731" s="61">
        <v>64563</v>
      </c>
      <c r="B1731" s="50" t="s">
        <v>1012</v>
      </c>
      <c r="C1731" s="50" t="s">
        <v>1364</v>
      </c>
      <c r="D1731" s="33" t="s">
        <v>4586</v>
      </c>
      <c r="E1731" s="50" t="s">
        <v>643</v>
      </c>
    </row>
    <row r="1732" spans="1:5" ht="12.75" customHeight="1">
      <c r="A1732" s="61">
        <v>64564</v>
      </c>
      <c r="B1732" s="50" t="s">
        <v>3186</v>
      </c>
      <c r="C1732" s="50" t="s">
        <v>867</v>
      </c>
      <c r="D1732" s="33" t="s">
        <v>4587</v>
      </c>
      <c r="E1732" s="50" t="s">
        <v>643</v>
      </c>
    </row>
    <row r="1733" spans="1:5" ht="12.75" customHeight="1">
      <c r="A1733" s="61">
        <v>64565</v>
      </c>
      <c r="B1733" s="50" t="s">
        <v>3195</v>
      </c>
      <c r="C1733" s="50" t="s">
        <v>788</v>
      </c>
      <c r="D1733" s="33" t="s">
        <v>4588</v>
      </c>
      <c r="E1733" s="50" t="s">
        <v>643</v>
      </c>
    </row>
    <row r="1734" spans="1:5" ht="12.75" customHeight="1">
      <c r="A1734" s="61">
        <v>64567</v>
      </c>
      <c r="B1734" s="50" t="s">
        <v>3204</v>
      </c>
      <c r="C1734" s="50" t="s">
        <v>2419</v>
      </c>
      <c r="D1734" s="33" t="s">
        <v>4589</v>
      </c>
      <c r="E1734" s="50" t="s">
        <v>643</v>
      </c>
    </row>
    <row r="1735" spans="1:5" ht="12.75" customHeight="1">
      <c r="A1735" s="61">
        <v>64568</v>
      </c>
      <c r="B1735" s="50" t="s">
        <v>760</v>
      </c>
      <c r="C1735" s="50" t="s">
        <v>2975</v>
      </c>
      <c r="D1735" s="33" t="s">
        <v>3397</v>
      </c>
      <c r="E1735" s="50" t="s">
        <v>643</v>
      </c>
    </row>
    <row r="1736" spans="1:5" ht="12.75" customHeight="1">
      <c r="A1736" s="61">
        <v>64569</v>
      </c>
      <c r="B1736" s="50" t="s">
        <v>136</v>
      </c>
      <c r="C1736" s="50" t="s">
        <v>780</v>
      </c>
      <c r="D1736" s="33" t="s">
        <v>4590</v>
      </c>
      <c r="E1736" s="50" t="s">
        <v>643</v>
      </c>
    </row>
    <row r="1737" spans="1:5" ht="12.75" customHeight="1">
      <c r="A1737" s="61">
        <v>64571</v>
      </c>
      <c r="B1737" s="50" t="s">
        <v>3171</v>
      </c>
      <c r="C1737" s="50" t="s">
        <v>1052</v>
      </c>
      <c r="D1737" s="33" t="s">
        <v>3058</v>
      </c>
      <c r="E1737" s="50" t="s">
        <v>643</v>
      </c>
    </row>
    <row r="1738" spans="1:5" ht="12.75" customHeight="1">
      <c r="A1738" s="61">
        <v>64572</v>
      </c>
      <c r="B1738" s="50" t="s">
        <v>3225</v>
      </c>
      <c r="C1738" s="50" t="s">
        <v>470</v>
      </c>
      <c r="D1738" s="33" t="s">
        <v>3066</v>
      </c>
      <c r="E1738" s="50" t="s">
        <v>643</v>
      </c>
    </row>
    <row r="1739" spans="1:5" ht="12.75" customHeight="1">
      <c r="A1739" s="61">
        <v>64575</v>
      </c>
      <c r="B1739" s="50" t="s">
        <v>3179</v>
      </c>
      <c r="C1739" s="50" t="s">
        <v>823</v>
      </c>
      <c r="D1739" s="33" t="s">
        <v>4591</v>
      </c>
      <c r="E1739" s="50" t="s">
        <v>643</v>
      </c>
    </row>
    <row r="1740" spans="1:5" ht="12.75" customHeight="1">
      <c r="A1740" s="61">
        <v>64576</v>
      </c>
      <c r="B1740" s="50" t="s">
        <v>3229</v>
      </c>
      <c r="C1740" s="50" t="s">
        <v>1593</v>
      </c>
      <c r="D1740" s="33" t="s">
        <v>4592</v>
      </c>
      <c r="E1740" s="50" t="s">
        <v>643</v>
      </c>
    </row>
    <row r="1741" spans="1:5" ht="12.75" customHeight="1">
      <c r="A1741" s="61">
        <v>64578</v>
      </c>
      <c r="B1741" s="50" t="s">
        <v>3196</v>
      </c>
      <c r="C1741" s="50" t="s">
        <v>553</v>
      </c>
      <c r="D1741" s="33" t="s">
        <v>4593</v>
      </c>
      <c r="E1741" s="50" t="s">
        <v>643</v>
      </c>
    </row>
    <row r="1742" spans="1:5" ht="12.75" customHeight="1">
      <c r="A1742" s="61">
        <v>64579</v>
      </c>
      <c r="B1742" s="50" t="s">
        <v>3192</v>
      </c>
      <c r="C1742" s="50" t="s">
        <v>2052</v>
      </c>
      <c r="D1742" s="33" t="s">
        <v>4594</v>
      </c>
      <c r="E1742" s="50" t="s">
        <v>643</v>
      </c>
    </row>
    <row r="1743" spans="1:5" ht="12.75" customHeight="1">
      <c r="A1743" s="61">
        <v>64580</v>
      </c>
      <c r="B1743" s="50" t="s">
        <v>3202</v>
      </c>
      <c r="C1743" s="50" t="s">
        <v>1099</v>
      </c>
      <c r="D1743" s="33" t="s">
        <v>3238</v>
      </c>
      <c r="E1743" s="50" t="s">
        <v>643</v>
      </c>
    </row>
    <row r="1744" spans="1:5" ht="12.75" customHeight="1">
      <c r="A1744" s="61">
        <v>64581</v>
      </c>
      <c r="B1744" s="50" t="s">
        <v>358</v>
      </c>
      <c r="C1744" s="50" t="s">
        <v>527</v>
      </c>
      <c r="D1744" s="33" t="s">
        <v>4595</v>
      </c>
      <c r="E1744" s="50" t="s">
        <v>643</v>
      </c>
    </row>
    <row r="1745" spans="1:5" ht="12.75" customHeight="1">
      <c r="A1745" s="61">
        <v>64582</v>
      </c>
      <c r="B1745" s="50" t="s">
        <v>3207</v>
      </c>
      <c r="C1745" s="50" t="s">
        <v>370</v>
      </c>
      <c r="D1745" s="33" t="s">
        <v>3057</v>
      </c>
      <c r="E1745" s="50" t="s">
        <v>643</v>
      </c>
    </row>
    <row r="1746" spans="1:5" ht="12.75" customHeight="1">
      <c r="A1746" s="61">
        <v>64583</v>
      </c>
      <c r="B1746" s="50" t="s">
        <v>3193</v>
      </c>
      <c r="C1746" s="50" t="s">
        <v>1246</v>
      </c>
      <c r="D1746" s="33" t="s">
        <v>3361</v>
      </c>
      <c r="E1746" s="50" t="s">
        <v>643</v>
      </c>
    </row>
    <row r="1747" spans="1:5" ht="12.75" customHeight="1">
      <c r="A1747" s="61">
        <v>64584</v>
      </c>
      <c r="B1747" s="50" t="s">
        <v>914</v>
      </c>
      <c r="C1747" s="50" t="s">
        <v>266</v>
      </c>
      <c r="D1747" s="33" t="s">
        <v>4596</v>
      </c>
      <c r="E1747" s="50" t="s">
        <v>643</v>
      </c>
    </row>
    <row r="1748" spans="1:5" ht="12.75" customHeight="1">
      <c r="A1748" s="61">
        <v>64587</v>
      </c>
      <c r="B1748" s="50" t="s">
        <v>1255</v>
      </c>
      <c r="C1748" s="50" t="s">
        <v>79</v>
      </c>
      <c r="D1748" s="33" t="s">
        <v>4597</v>
      </c>
      <c r="E1748" s="50" t="s">
        <v>643</v>
      </c>
    </row>
    <row r="1749" spans="1:5" ht="12.75" customHeight="1">
      <c r="A1749" s="61">
        <v>64589</v>
      </c>
      <c r="B1749" s="50" t="s">
        <v>3185</v>
      </c>
      <c r="C1749" s="50" t="s">
        <v>1246</v>
      </c>
      <c r="D1749" s="33" t="s">
        <v>4598</v>
      </c>
      <c r="E1749" s="50" t="s">
        <v>643</v>
      </c>
    </row>
    <row r="1750" spans="1:5" ht="12.75" customHeight="1">
      <c r="A1750" s="61">
        <v>64590</v>
      </c>
      <c r="B1750" s="50" t="s">
        <v>3191</v>
      </c>
      <c r="C1750" s="50" t="s">
        <v>788</v>
      </c>
      <c r="D1750" s="33" t="s">
        <v>4599</v>
      </c>
      <c r="E1750" s="50" t="s">
        <v>643</v>
      </c>
    </row>
    <row r="1751" spans="1:5" ht="12.75" customHeight="1">
      <c r="A1751" s="61">
        <v>64591</v>
      </c>
      <c r="B1751" s="50" t="s">
        <v>3210</v>
      </c>
      <c r="C1751" s="50" t="s">
        <v>864</v>
      </c>
      <c r="D1751" s="33" t="s">
        <v>3394</v>
      </c>
      <c r="E1751" s="50" t="s">
        <v>643</v>
      </c>
    </row>
    <row r="1752" spans="1:5" ht="12.75" customHeight="1">
      <c r="A1752" s="61">
        <v>64592</v>
      </c>
      <c r="B1752" s="50" t="s">
        <v>3208</v>
      </c>
      <c r="C1752" s="50" t="s">
        <v>800</v>
      </c>
      <c r="D1752" s="33" t="s">
        <v>4600</v>
      </c>
      <c r="E1752" s="50" t="s">
        <v>643</v>
      </c>
    </row>
    <row r="1753" spans="1:5" ht="12.75" customHeight="1">
      <c r="A1753" s="61">
        <v>64593</v>
      </c>
      <c r="B1753" s="50" t="s">
        <v>651</v>
      </c>
      <c r="C1753" s="50" t="s">
        <v>246</v>
      </c>
      <c r="D1753" s="33" t="s">
        <v>4601</v>
      </c>
      <c r="E1753" s="50" t="s">
        <v>643</v>
      </c>
    </row>
    <row r="1754" spans="1:5" ht="12.75" customHeight="1">
      <c r="A1754" s="61">
        <v>64595</v>
      </c>
      <c r="B1754" s="50" t="s">
        <v>942</v>
      </c>
      <c r="C1754" s="50" t="s">
        <v>1197</v>
      </c>
      <c r="D1754" s="33" t="s">
        <v>1893</v>
      </c>
      <c r="E1754" s="50" t="s">
        <v>643</v>
      </c>
    </row>
    <row r="1755" spans="1:5" ht="12.75" customHeight="1">
      <c r="A1755" s="61">
        <v>64596</v>
      </c>
      <c r="B1755" s="50" t="s">
        <v>3203</v>
      </c>
      <c r="C1755" s="50" t="s">
        <v>1534</v>
      </c>
      <c r="D1755" s="33" t="s">
        <v>4602</v>
      </c>
      <c r="E1755" s="50" t="s">
        <v>643</v>
      </c>
    </row>
    <row r="1756" spans="1:5" ht="12.75" customHeight="1">
      <c r="A1756" s="61">
        <v>64598</v>
      </c>
      <c r="B1756" s="50" t="s">
        <v>3181</v>
      </c>
      <c r="C1756" s="50" t="s">
        <v>1246</v>
      </c>
      <c r="D1756" s="33" t="s">
        <v>4603</v>
      </c>
      <c r="E1756" s="50" t="s">
        <v>643</v>
      </c>
    </row>
    <row r="1757" spans="1:5" ht="12.75" customHeight="1">
      <c r="A1757" s="61">
        <v>64599</v>
      </c>
      <c r="B1757" s="50" t="s">
        <v>3180</v>
      </c>
      <c r="C1757" s="50" t="s">
        <v>793</v>
      </c>
      <c r="D1757" s="33" t="s">
        <v>4604</v>
      </c>
      <c r="E1757" s="50" t="s">
        <v>643</v>
      </c>
    </row>
    <row r="1758" spans="1:5" ht="12.75" customHeight="1">
      <c r="A1758" s="61">
        <v>64602</v>
      </c>
      <c r="B1758" s="50" t="s">
        <v>3223</v>
      </c>
      <c r="C1758" s="50" t="s">
        <v>423</v>
      </c>
      <c r="D1758" s="33" t="s">
        <v>4605</v>
      </c>
      <c r="E1758" s="50" t="s">
        <v>643</v>
      </c>
    </row>
    <row r="1759" spans="1:5" ht="12.75" customHeight="1">
      <c r="A1759" s="61">
        <v>64603</v>
      </c>
      <c r="B1759" s="50" t="s">
        <v>1004</v>
      </c>
      <c r="C1759" s="50" t="s">
        <v>3213</v>
      </c>
      <c r="D1759" s="33" t="s">
        <v>4606</v>
      </c>
      <c r="E1759" s="50" t="s">
        <v>643</v>
      </c>
    </row>
    <row r="1760" spans="1:5" ht="12.75" customHeight="1">
      <c r="A1760" s="61">
        <v>64604</v>
      </c>
      <c r="B1760" s="50" t="s">
        <v>3209</v>
      </c>
      <c r="C1760" s="50" t="s">
        <v>2311</v>
      </c>
      <c r="D1760" s="33" t="s">
        <v>4607</v>
      </c>
      <c r="E1760" s="50" t="s">
        <v>643</v>
      </c>
    </row>
    <row r="1761" spans="1:5" ht="12.75" customHeight="1">
      <c r="A1761" s="61">
        <v>64606</v>
      </c>
      <c r="B1761" s="50" t="s">
        <v>46</v>
      </c>
      <c r="C1761" s="50" t="s">
        <v>1246</v>
      </c>
      <c r="D1761" s="33" t="s">
        <v>4608</v>
      </c>
      <c r="E1761" s="50" t="s">
        <v>643</v>
      </c>
    </row>
    <row r="1762" spans="1:5" ht="12.75" customHeight="1">
      <c r="A1762" s="61">
        <v>64608</v>
      </c>
      <c r="B1762" s="50" t="s">
        <v>3224</v>
      </c>
      <c r="C1762" s="50" t="s">
        <v>2973</v>
      </c>
      <c r="D1762" s="33" t="s">
        <v>4609</v>
      </c>
      <c r="E1762" s="50" t="s">
        <v>643</v>
      </c>
    </row>
    <row r="1763" spans="1:5" ht="12.75" customHeight="1">
      <c r="A1763" s="61">
        <v>64609</v>
      </c>
      <c r="B1763" s="50" t="s">
        <v>1518</v>
      </c>
      <c r="C1763" s="50" t="s">
        <v>246</v>
      </c>
      <c r="D1763" s="33" t="s">
        <v>4610</v>
      </c>
      <c r="E1763" s="50" t="s">
        <v>643</v>
      </c>
    </row>
    <row r="1764" spans="1:5" ht="12.75" customHeight="1">
      <c r="A1764" s="61">
        <v>64610</v>
      </c>
      <c r="B1764" s="50" t="s">
        <v>3205</v>
      </c>
      <c r="C1764" s="50" t="s">
        <v>3206</v>
      </c>
      <c r="D1764" s="33" t="s">
        <v>3239</v>
      </c>
      <c r="E1764" s="50" t="s">
        <v>643</v>
      </c>
    </row>
    <row r="1765" spans="1:5" ht="12.75" customHeight="1">
      <c r="A1765" s="61">
        <v>64613</v>
      </c>
      <c r="B1765" s="50" t="s">
        <v>615</v>
      </c>
      <c r="C1765" s="50" t="s">
        <v>266</v>
      </c>
      <c r="D1765" s="33" t="s">
        <v>3241</v>
      </c>
      <c r="E1765" s="50" t="s">
        <v>643</v>
      </c>
    </row>
    <row r="1766" spans="1:5" ht="12.75" customHeight="1">
      <c r="A1766" s="61">
        <v>64614</v>
      </c>
      <c r="B1766" s="50" t="s">
        <v>3215</v>
      </c>
      <c r="C1766" s="50" t="s">
        <v>3216</v>
      </c>
      <c r="D1766" s="33" t="s">
        <v>4611</v>
      </c>
      <c r="E1766" s="50" t="s">
        <v>643</v>
      </c>
    </row>
    <row r="1767" spans="1:5" ht="12.75" customHeight="1">
      <c r="A1767" s="61">
        <v>64615</v>
      </c>
      <c r="B1767" s="50" t="s">
        <v>1076</v>
      </c>
      <c r="C1767" s="50" t="s">
        <v>79</v>
      </c>
      <c r="D1767" s="33" t="s">
        <v>4612</v>
      </c>
      <c r="E1767" s="50" t="s">
        <v>643</v>
      </c>
    </row>
    <row r="1768" spans="1:5" ht="12.75" customHeight="1">
      <c r="A1768" s="61">
        <v>64616</v>
      </c>
      <c r="B1768" s="50" t="s">
        <v>3260</v>
      </c>
      <c r="C1768" s="50" t="s">
        <v>1527</v>
      </c>
      <c r="D1768" s="33" t="s">
        <v>3399</v>
      </c>
      <c r="E1768" s="50" t="s">
        <v>643</v>
      </c>
    </row>
    <row r="1769" spans="1:5" ht="12.75" customHeight="1">
      <c r="A1769" s="61">
        <v>64617</v>
      </c>
      <c r="B1769" s="50" t="s">
        <v>3261</v>
      </c>
      <c r="C1769" s="50" t="s">
        <v>553</v>
      </c>
      <c r="D1769" s="33" t="s">
        <v>4613</v>
      </c>
      <c r="E1769" s="50" t="s">
        <v>643</v>
      </c>
    </row>
    <row r="1770" spans="1:5" ht="12.75" customHeight="1">
      <c r="A1770" s="61">
        <v>64619</v>
      </c>
      <c r="B1770" s="50" t="s">
        <v>3262</v>
      </c>
      <c r="C1770" s="50" t="s">
        <v>663</v>
      </c>
      <c r="D1770" s="33" t="s">
        <v>4614</v>
      </c>
      <c r="E1770" s="50" t="s">
        <v>643</v>
      </c>
    </row>
    <row r="1771" spans="1:5" ht="12.75" customHeight="1">
      <c r="A1771" s="61">
        <v>64620</v>
      </c>
      <c r="B1771" s="50" t="s">
        <v>3263</v>
      </c>
      <c r="C1771" s="50" t="s">
        <v>2266</v>
      </c>
      <c r="D1771" s="33" t="s">
        <v>3337</v>
      </c>
      <c r="E1771" s="50" t="s">
        <v>643</v>
      </c>
    </row>
    <row r="1772" spans="1:5" ht="12.75" customHeight="1">
      <c r="A1772" s="61">
        <v>64621</v>
      </c>
      <c r="B1772" s="50" t="s">
        <v>3264</v>
      </c>
      <c r="C1772" s="50" t="s">
        <v>2266</v>
      </c>
      <c r="D1772" s="33" t="s">
        <v>4615</v>
      </c>
      <c r="E1772" s="50" t="s">
        <v>643</v>
      </c>
    </row>
    <row r="1773" spans="1:5" ht="12.75" customHeight="1">
      <c r="A1773" s="61">
        <v>64622</v>
      </c>
      <c r="B1773" s="50" t="s">
        <v>3265</v>
      </c>
      <c r="C1773" s="50" t="s">
        <v>1099</v>
      </c>
      <c r="D1773" s="33" t="s">
        <v>4616</v>
      </c>
      <c r="E1773" s="50" t="s">
        <v>643</v>
      </c>
    </row>
    <row r="1774" spans="1:5" ht="12.75" customHeight="1">
      <c r="A1774" s="61">
        <v>64623</v>
      </c>
      <c r="B1774" s="50" t="s">
        <v>3266</v>
      </c>
      <c r="C1774" s="50" t="s">
        <v>1116</v>
      </c>
      <c r="D1774" s="33" t="s">
        <v>4617</v>
      </c>
      <c r="E1774" s="50" t="s">
        <v>643</v>
      </c>
    </row>
    <row r="1775" spans="1:5" ht="12.75" customHeight="1">
      <c r="A1775" s="61">
        <v>64624</v>
      </c>
      <c r="B1775" s="50" t="s">
        <v>1255</v>
      </c>
      <c r="C1775" s="50" t="s">
        <v>800</v>
      </c>
      <c r="D1775" s="33" t="s">
        <v>3396</v>
      </c>
      <c r="E1775" s="50" t="s">
        <v>643</v>
      </c>
    </row>
    <row r="1776" spans="1:5" ht="12.75" customHeight="1">
      <c r="A1776" s="61">
        <v>64625</v>
      </c>
      <c r="B1776" s="50" t="s">
        <v>2118</v>
      </c>
      <c r="C1776" s="50" t="s">
        <v>1410</v>
      </c>
      <c r="D1776" s="33" t="s">
        <v>3248</v>
      </c>
      <c r="E1776" s="50" t="s">
        <v>643</v>
      </c>
    </row>
    <row r="1777" spans="1:5" ht="12.75" customHeight="1">
      <c r="A1777" s="61">
        <v>64626</v>
      </c>
      <c r="B1777" s="50" t="s">
        <v>3267</v>
      </c>
      <c r="C1777" s="50" t="s">
        <v>788</v>
      </c>
      <c r="D1777" s="33" t="s">
        <v>4618</v>
      </c>
      <c r="E1777" s="50" t="s">
        <v>643</v>
      </c>
    </row>
    <row r="1778" spans="1:5" ht="12.75" customHeight="1">
      <c r="A1778" s="61">
        <v>64627</v>
      </c>
      <c r="B1778" s="50" t="s">
        <v>3268</v>
      </c>
      <c r="C1778" s="50" t="s">
        <v>3269</v>
      </c>
      <c r="D1778" s="33" t="s">
        <v>4619</v>
      </c>
      <c r="E1778" s="50" t="s">
        <v>643</v>
      </c>
    </row>
    <row r="1779" spans="1:5" ht="12.75" customHeight="1">
      <c r="A1779" s="61">
        <v>64628</v>
      </c>
      <c r="B1779" s="50" t="s">
        <v>3270</v>
      </c>
      <c r="C1779" s="50" t="s">
        <v>1246</v>
      </c>
      <c r="D1779" s="33" t="s">
        <v>4620</v>
      </c>
      <c r="E1779" s="50" t="s">
        <v>643</v>
      </c>
    </row>
    <row r="1780" spans="1:5" ht="12.75" customHeight="1">
      <c r="A1780" s="61">
        <v>64629</v>
      </c>
      <c r="B1780" s="50" t="s">
        <v>3271</v>
      </c>
      <c r="C1780" s="50" t="s">
        <v>1593</v>
      </c>
      <c r="D1780" s="33" t="s">
        <v>3410</v>
      </c>
      <c r="E1780" s="50" t="s">
        <v>643</v>
      </c>
    </row>
    <row r="1781" spans="1:5" ht="12.75" customHeight="1">
      <c r="A1781" s="61">
        <v>64633</v>
      </c>
      <c r="B1781" s="50" t="s">
        <v>231</v>
      </c>
      <c r="C1781" s="50" t="s">
        <v>2375</v>
      </c>
      <c r="D1781" s="33" t="s">
        <v>4621</v>
      </c>
      <c r="E1781" s="50" t="s">
        <v>643</v>
      </c>
    </row>
    <row r="1782" spans="1:5" ht="12.75" customHeight="1">
      <c r="A1782" s="61">
        <v>64634</v>
      </c>
      <c r="B1782" s="50" t="s">
        <v>3309</v>
      </c>
      <c r="C1782" s="50" t="s">
        <v>640</v>
      </c>
      <c r="D1782" s="33" t="s">
        <v>4622</v>
      </c>
      <c r="E1782" s="50" t="s">
        <v>643</v>
      </c>
    </row>
    <row r="1783" spans="1:5" ht="12.75" customHeight="1">
      <c r="A1783" s="61">
        <v>64635</v>
      </c>
      <c r="B1783" s="50" t="s">
        <v>3310</v>
      </c>
      <c r="C1783" s="50" t="s">
        <v>635</v>
      </c>
      <c r="D1783" s="33" t="s">
        <v>4623</v>
      </c>
      <c r="E1783" s="50" t="s">
        <v>643</v>
      </c>
    </row>
    <row r="1784" spans="1:5" ht="12.75" customHeight="1">
      <c r="A1784" s="61">
        <v>64636</v>
      </c>
      <c r="B1784" s="50" t="s">
        <v>3311</v>
      </c>
      <c r="C1784" s="50" t="s">
        <v>1177</v>
      </c>
      <c r="D1784" s="33" t="s">
        <v>4624</v>
      </c>
      <c r="E1784" s="50" t="s">
        <v>643</v>
      </c>
    </row>
    <row r="1785" spans="1:5" ht="12.75" customHeight="1">
      <c r="A1785" s="61">
        <v>64637</v>
      </c>
      <c r="B1785" s="50" t="s">
        <v>3312</v>
      </c>
      <c r="C1785" s="50" t="s">
        <v>1414</v>
      </c>
      <c r="D1785" s="33" t="s">
        <v>4625</v>
      </c>
      <c r="E1785" s="50" t="s">
        <v>643</v>
      </c>
    </row>
    <row r="1786" spans="1:5" ht="12.75" customHeight="1">
      <c r="A1786" s="61">
        <v>64638</v>
      </c>
      <c r="B1786" s="50" t="s">
        <v>567</v>
      </c>
      <c r="C1786" s="50" t="s">
        <v>1494</v>
      </c>
      <c r="D1786" s="33" t="s">
        <v>4626</v>
      </c>
      <c r="E1786" s="50" t="s">
        <v>643</v>
      </c>
    </row>
    <row r="1787" spans="1:5" ht="12.75" customHeight="1">
      <c r="A1787" s="61">
        <v>64639</v>
      </c>
      <c r="B1787" s="50" t="s">
        <v>559</v>
      </c>
      <c r="C1787" s="50" t="s">
        <v>477</v>
      </c>
      <c r="D1787" s="33" t="s">
        <v>4627</v>
      </c>
      <c r="E1787" s="50" t="s">
        <v>643</v>
      </c>
    </row>
    <row r="1788" spans="1:5" ht="12.75" customHeight="1">
      <c r="A1788" s="61">
        <v>64640</v>
      </c>
      <c r="B1788" s="50" t="s">
        <v>3313</v>
      </c>
      <c r="C1788" s="50" t="s">
        <v>777</v>
      </c>
      <c r="D1788" s="33" t="s">
        <v>3416</v>
      </c>
      <c r="E1788" s="50" t="s">
        <v>643</v>
      </c>
    </row>
    <row r="1789" spans="1:5" ht="12.75" customHeight="1">
      <c r="A1789" s="61">
        <v>64641</v>
      </c>
      <c r="B1789" s="50" t="s">
        <v>3314</v>
      </c>
      <c r="C1789" s="50" t="s">
        <v>1099</v>
      </c>
      <c r="D1789" s="33" t="s">
        <v>4628</v>
      </c>
      <c r="E1789" s="50" t="s">
        <v>643</v>
      </c>
    </row>
    <row r="1790" spans="1:5" ht="12.75" customHeight="1">
      <c r="A1790" s="61">
        <v>64642</v>
      </c>
      <c r="B1790" s="50" t="s">
        <v>1412</v>
      </c>
      <c r="C1790" s="50" t="s">
        <v>1311</v>
      </c>
      <c r="D1790" s="33" t="s">
        <v>4629</v>
      </c>
      <c r="E1790" s="50" t="s">
        <v>643</v>
      </c>
    </row>
    <row r="1791" spans="1:5" ht="12.75" customHeight="1">
      <c r="A1791" s="61">
        <v>64643</v>
      </c>
      <c r="B1791" s="50" t="s">
        <v>3315</v>
      </c>
      <c r="C1791" s="50" t="s">
        <v>1197</v>
      </c>
      <c r="D1791" s="33" t="s">
        <v>4630</v>
      </c>
      <c r="E1791" s="50" t="s">
        <v>643</v>
      </c>
    </row>
    <row r="1792" spans="1:5" ht="12.75" customHeight="1">
      <c r="A1792" s="61">
        <v>64645</v>
      </c>
      <c r="B1792" s="50" t="s">
        <v>3316</v>
      </c>
      <c r="C1792" s="50" t="s">
        <v>263</v>
      </c>
      <c r="D1792" s="33" t="s">
        <v>4631</v>
      </c>
      <c r="E1792" s="50" t="s">
        <v>643</v>
      </c>
    </row>
    <row r="1793" spans="1:6" ht="12.75" customHeight="1">
      <c r="A1793" s="61">
        <v>64647</v>
      </c>
      <c r="B1793" s="50" t="s">
        <v>1255</v>
      </c>
      <c r="C1793" s="50" t="s">
        <v>642</v>
      </c>
      <c r="D1793" s="33" t="s">
        <v>4632</v>
      </c>
      <c r="E1793" s="50" t="s">
        <v>643</v>
      </c>
    </row>
    <row r="1794" spans="1:6" ht="12.75" customHeight="1">
      <c r="A1794" s="61">
        <v>64648</v>
      </c>
      <c r="B1794" s="50" t="s">
        <v>312</v>
      </c>
      <c r="C1794" s="50" t="s">
        <v>802</v>
      </c>
      <c r="D1794" s="33" t="s">
        <v>3486</v>
      </c>
      <c r="E1794" s="50" t="s">
        <v>643</v>
      </c>
    </row>
    <row r="1795" spans="1:6" ht="12.75" customHeight="1">
      <c r="A1795" s="61">
        <v>64649</v>
      </c>
      <c r="B1795" s="50" t="s">
        <v>746</v>
      </c>
      <c r="C1795" s="50" t="s">
        <v>777</v>
      </c>
      <c r="D1795" s="33" t="s">
        <v>4633</v>
      </c>
      <c r="E1795" s="50" t="s">
        <v>643</v>
      </c>
    </row>
    <row r="1796" spans="1:6" ht="12.75" customHeight="1">
      <c r="A1796" s="61">
        <v>64650</v>
      </c>
      <c r="B1796" s="50" t="s">
        <v>3318</v>
      </c>
      <c r="C1796" s="50" t="s">
        <v>1162</v>
      </c>
      <c r="D1796" s="33" t="s">
        <v>4634</v>
      </c>
      <c r="E1796" s="50" t="s">
        <v>643</v>
      </c>
    </row>
    <row r="1797" spans="1:6" ht="12.75" customHeight="1">
      <c r="A1797" s="61">
        <v>64651</v>
      </c>
      <c r="B1797" s="50" t="s">
        <v>3319</v>
      </c>
      <c r="C1797" s="50" t="s">
        <v>642</v>
      </c>
      <c r="D1797" s="33" t="s">
        <v>4635</v>
      </c>
      <c r="E1797" s="50" t="s">
        <v>643</v>
      </c>
    </row>
    <row r="1798" spans="1:6" ht="12.75" customHeight="1">
      <c r="A1798" s="61">
        <v>64652</v>
      </c>
      <c r="B1798" s="50" t="s">
        <v>1194</v>
      </c>
      <c r="C1798" s="50" t="s">
        <v>3233</v>
      </c>
      <c r="D1798" s="33" t="s">
        <v>4636</v>
      </c>
      <c r="E1798" s="50" t="s">
        <v>643</v>
      </c>
    </row>
    <row r="1799" spans="1:6" ht="12.75" customHeight="1">
      <c r="A1799" s="61">
        <v>64653</v>
      </c>
      <c r="B1799" s="50" t="s">
        <v>4637</v>
      </c>
      <c r="C1799" s="50" t="s">
        <v>635</v>
      </c>
      <c r="D1799" s="33" t="s">
        <v>4638</v>
      </c>
      <c r="E1799" s="50" t="s">
        <v>643</v>
      </c>
    </row>
    <row r="1800" spans="1:6" ht="12.75" customHeight="1">
      <c r="A1800" s="61">
        <v>64654</v>
      </c>
      <c r="B1800" s="50" t="s">
        <v>4639</v>
      </c>
      <c r="C1800" s="50" t="s">
        <v>663</v>
      </c>
      <c r="D1800" s="33" t="s">
        <v>4640</v>
      </c>
      <c r="E1800" s="50" t="s">
        <v>643</v>
      </c>
    </row>
    <row r="1801" spans="1:6" ht="12.75" customHeight="1">
      <c r="A1801" s="61">
        <v>64659</v>
      </c>
      <c r="B1801" s="50" t="s">
        <v>4641</v>
      </c>
      <c r="C1801" s="50" t="s">
        <v>79</v>
      </c>
      <c r="D1801" s="33" t="s">
        <v>4642</v>
      </c>
      <c r="E1801" s="50" t="s">
        <v>643</v>
      </c>
    </row>
    <row r="1802" spans="1:6" ht="12.75" customHeight="1">
      <c r="A1802" s="61">
        <v>64660</v>
      </c>
      <c r="B1802" s="50" t="s">
        <v>4643</v>
      </c>
      <c r="C1802" s="50" t="s">
        <v>782</v>
      </c>
      <c r="D1802" s="33" t="s">
        <v>4644</v>
      </c>
      <c r="E1802" s="50" t="s">
        <v>643</v>
      </c>
    </row>
    <row r="1803" spans="1:6" ht="12.75" customHeight="1">
      <c r="A1803" s="61">
        <v>64661</v>
      </c>
      <c r="B1803" s="50" t="s">
        <v>4645</v>
      </c>
      <c r="C1803" s="50" t="s">
        <v>286</v>
      </c>
      <c r="D1803" s="33" t="s">
        <v>4646</v>
      </c>
      <c r="E1803" s="50" t="s">
        <v>643</v>
      </c>
      <c r="F1803" s="32"/>
    </row>
    <row r="1804" spans="1:6" ht="12.75" customHeight="1">
      <c r="A1804" s="61">
        <v>64662</v>
      </c>
      <c r="B1804" s="50" t="s">
        <v>757</v>
      </c>
      <c r="C1804" s="50" t="s">
        <v>79</v>
      </c>
      <c r="D1804" s="33" t="s">
        <v>4647</v>
      </c>
      <c r="E1804" s="50" t="s">
        <v>643</v>
      </c>
      <c r="F1804" s="32"/>
    </row>
    <row r="1805" spans="1:6" ht="12.75" customHeight="1">
      <c r="A1805" s="61">
        <v>64663</v>
      </c>
      <c r="B1805" s="50" t="s">
        <v>1126</v>
      </c>
      <c r="C1805" s="50" t="s">
        <v>4648</v>
      </c>
      <c r="D1805" s="33" t="s">
        <v>4649</v>
      </c>
      <c r="E1805" s="50" t="s">
        <v>643</v>
      </c>
      <c r="F1805" s="32"/>
    </row>
    <row r="1806" spans="1:6" ht="12.75" customHeight="1">
      <c r="A1806" s="61">
        <v>64664</v>
      </c>
      <c r="B1806" s="50" t="s">
        <v>970</v>
      </c>
      <c r="C1806" s="50" t="s">
        <v>1197</v>
      </c>
      <c r="D1806" s="33" t="s">
        <v>4650</v>
      </c>
      <c r="E1806" s="50" t="s">
        <v>643</v>
      </c>
      <c r="F1806" s="32"/>
    </row>
    <row r="1807" spans="1:6" ht="12.75" customHeight="1">
      <c r="A1807" s="61">
        <v>64666</v>
      </c>
      <c r="B1807" s="50" t="s">
        <v>4651</v>
      </c>
      <c r="C1807" s="50" t="s">
        <v>964</v>
      </c>
      <c r="D1807" s="33" t="s">
        <v>4652</v>
      </c>
      <c r="E1807" s="50" t="s">
        <v>643</v>
      </c>
      <c r="F1807" s="32"/>
    </row>
    <row r="1808" spans="1:6" ht="12.75" customHeight="1">
      <c r="A1808" s="61">
        <v>64667</v>
      </c>
      <c r="B1808" s="50" t="s">
        <v>4653</v>
      </c>
      <c r="C1808" s="50" t="s">
        <v>788</v>
      </c>
      <c r="D1808" s="33" t="s">
        <v>4654</v>
      </c>
      <c r="E1808" s="50" t="s">
        <v>643</v>
      </c>
      <c r="F1808" s="32"/>
    </row>
    <row r="1809" spans="1:6" ht="12.75" customHeight="1">
      <c r="A1809" s="61">
        <v>64668</v>
      </c>
      <c r="B1809" s="50" t="s">
        <v>4655</v>
      </c>
      <c r="C1809" s="50" t="s">
        <v>964</v>
      </c>
      <c r="D1809" s="33" t="s">
        <v>3507</v>
      </c>
      <c r="E1809" s="50" t="s">
        <v>643</v>
      </c>
      <c r="F1809" s="32"/>
    </row>
    <row r="1810" spans="1:6" ht="12.75" customHeight="1">
      <c r="A1810" s="61">
        <v>64669</v>
      </c>
      <c r="B1810" s="50" t="s">
        <v>4656</v>
      </c>
      <c r="C1810" s="50" t="s">
        <v>1494</v>
      </c>
      <c r="D1810" s="33" t="s">
        <v>4657</v>
      </c>
      <c r="E1810" s="50" t="s">
        <v>643</v>
      </c>
      <c r="F1810" s="32"/>
    </row>
    <row r="1811" spans="1:6" ht="12.75" customHeight="1">
      <c r="A1811" s="61">
        <v>64670</v>
      </c>
      <c r="B1811" s="50" t="s">
        <v>376</v>
      </c>
      <c r="C1811" s="50" t="s">
        <v>3276</v>
      </c>
      <c r="D1811" s="33" t="s">
        <v>4658</v>
      </c>
      <c r="E1811" s="50" t="s">
        <v>643</v>
      </c>
      <c r="F1811" s="32"/>
    </row>
    <row r="1812" spans="1:6" ht="12.75" customHeight="1">
      <c r="A1812" s="61">
        <v>64671</v>
      </c>
      <c r="B1812" s="50" t="s">
        <v>4659</v>
      </c>
      <c r="C1812" s="50" t="s">
        <v>1246</v>
      </c>
      <c r="D1812" s="33" t="s">
        <v>4660</v>
      </c>
      <c r="E1812" s="50" t="s">
        <v>643</v>
      </c>
      <c r="F1812" s="32"/>
    </row>
    <row r="1813" spans="1:6" ht="12.75" customHeight="1">
      <c r="A1813" s="61">
        <v>64673</v>
      </c>
      <c r="B1813" s="50" t="s">
        <v>4661</v>
      </c>
      <c r="C1813" s="50" t="s">
        <v>194</v>
      </c>
      <c r="D1813" s="33" t="s">
        <v>4662</v>
      </c>
      <c r="E1813" s="50" t="s">
        <v>643</v>
      </c>
      <c r="F1813" s="32"/>
    </row>
    <row r="1814" spans="1:6" ht="12.75" customHeight="1">
      <c r="A1814" s="61">
        <v>64674</v>
      </c>
      <c r="B1814" s="50" t="s">
        <v>4663</v>
      </c>
      <c r="C1814" s="50" t="s">
        <v>780</v>
      </c>
      <c r="D1814" s="33" t="s">
        <v>4664</v>
      </c>
      <c r="E1814" s="50" t="s">
        <v>643</v>
      </c>
      <c r="F1814" s="32"/>
    </row>
    <row r="1815" spans="1:6" ht="12.75" customHeight="1">
      <c r="A1815" s="61">
        <v>64675</v>
      </c>
      <c r="B1815" s="50" t="s">
        <v>1255</v>
      </c>
      <c r="C1815" s="50" t="s">
        <v>1020</v>
      </c>
      <c r="D1815" s="33" t="s">
        <v>4665</v>
      </c>
      <c r="E1815" s="50" t="s">
        <v>643</v>
      </c>
      <c r="F1815" s="32"/>
    </row>
    <row r="1816" spans="1:6" ht="12.75" customHeight="1">
      <c r="A1816" s="61">
        <v>64676</v>
      </c>
      <c r="B1816" s="50" t="s">
        <v>4666</v>
      </c>
      <c r="C1816" s="50" t="s">
        <v>2723</v>
      </c>
      <c r="D1816" s="33" t="s">
        <v>4667</v>
      </c>
      <c r="E1816" s="50" t="s">
        <v>643</v>
      </c>
      <c r="F1816" s="32"/>
    </row>
    <row r="1817" spans="1:6" ht="12.75" customHeight="1">
      <c r="A1817" s="61">
        <v>64677</v>
      </c>
      <c r="B1817" s="50" t="s">
        <v>137</v>
      </c>
      <c r="C1817" s="50" t="s">
        <v>525</v>
      </c>
      <c r="D1817" s="33" t="s">
        <v>4668</v>
      </c>
      <c r="E1817" s="50" t="s">
        <v>643</v>
      </c>
      <c r="F1817" s="32"/>
    </row>
    <row r="1818" spans="1:6" ht="12.75" customHeight="1">
      <c r="A1818" s="61">
        <v>64678</v>
      </c>
      <c r="B1818" s="50" t="s">
        <v>704</v>
      </c>
      <c r="C1818" s="50" t="s">
        <v>1240</v>
      </c>
      <c r="D1818" s="33" t="s">
        <v>4669</v>
      </c>
      <c r="E1818" s="50" t="s">
        <v>643</v>
      </c>
      <c r="F1818" s="32"/>
    </row>
    <row r="1819" spans="1:6" ht="12.75" customHeight="1">
      <c r="A1819" s="61">
        <v>64679</v>
      </c>
      <c r="B1819" s="50" t="s">
        <v>4670</v>
      </c>
      <c r="C1819" s="50" t="s">
        <v>640</v>
      </c>
      <c r="D1819" s="33" t="s">
        <v>4671</v>
      </c>
      <c r="E1819" s="50" t="s">
        <v>643</v>
      </c>
      <c r="F1819" s="32"/>
    </row>
    <row r="1820" spans="1:6" ht="12.75" customHeight="1">
      <c r="A1820" s="61">
        <v>64680</v>
      </c>
      <c r="B1820" s="50" t="s">
        <v>4672</v>
      </c>
      <c r="C1820" s="50" t="s">
        <v>79</v>
      </c>
      <c r="D1820" s="33" t="s">
        <v>4673</v>
      </c>
      <c r="E1820" s="50" t="s">
        <v>643</v>
      </c>
      <c r="F1820" s="32"/>
    </row>
    <row r="1821" spans="1:6" ht="12.75" customHeight="1">
      <c r="A1821" s="61">
        <v>64681</v>
      </c>
      <c r="B1821" s="50" t="s">
        <v>4674</v>
      </c>
      <c r="C1821" s="50" t="s">
        <v>65</v>
      </c>
      <c r="D1821" s="33" t="s">
        <v>4675</v>
      </c>
      <c r="E1821" s="50" t="s">
        <v>643</v>
      </c>
      <c r="F1821" s="32"/>
    </row>
    <row r="1822" spans="1:6" ht="12.75" customHeight="1">
      <c r="A1822" s="61">
        <v>64682</v>
      </c>
      <c r="B1822" s="50" t="s">
        <v>4676</v>
      </c>
      <c r="C1822" s="50" t="s">
        <v>1099</v>
      </c>
      <c r="D1822" s="33" t="s">
        <v>4677</v>
      </c>
      <c r="E1822" s="50" t="s">
        <v>643</v>
      </c>
      <c r="F1822" s="32"/>
    </row>
    <row r="1823" spans="1:6" ht="12.75" customHeight="1">
      <c r="A1823" s="61">
        <v>64684</v>
      </c>
      <c r="B1823" s="50" t="s">
        <v>4679</v>
      </c>
      <c r="C1823" s="50" t="s">
        <v>3276</v>
      </c>
      <c r="D1823" s="33" t="s">
        <v>4680</v>
      </c>
      <c r="E1823" s="50" t="s">
        <v>643</v>
      </c>
      <c r="F1823" s="32"/>
    </row>
    <row r="1824" spans="1:6" ht="12.75" customHeight="1">
      <c r="A1824" s="61">
        <v>64685</v>
      </c>
      <c r="B1824" s="50" t="s">
        <v>239</v>
      </c>
      <c r="C1824" s="50" t="s">
        <v>1197</v>
      </c>
      <c r="D1824" s="33" t="s">
        <v>4681</v>
      </c>
      <c r="E1824" s="50" t="s">
        <v>643</v>
      </c>
      <c r="F1824" s="32"/>
    </row>
    <row r="1825" spans="1:6" ht="12.75" customHeight="1">
      <c r="A1825" s="61">
        <v>64687</v>
      </c>
      <c r="B1825" s="50" t="s">
        <v>4682</v>
      </c>
      <c r="C1825" s="50" t="s">
        <v>1133</v>
      </c>
      <c r="D1825" s="33" t="s">
        <v>4683</v>
      </c>
      <c r="E1825" s="50" t="s">
        <v>643</v>
      </c>
      <c r="F1825" s="32"/>
    </row>
    <row r="1826" spans="1:6" ht="12.75" customHeight="1">
      <c r="A1826" s="61">
        <v>64688</v>
      </c>
      <c r="B1826" s="50" t="s">
        <v>4684</v>
      </c>
      <c r="C1826" s="50" t="s">
        <v>584</v>
      </c>
      <c r="D1826" s="33" t="s">
        <v>4685</v>
      </c>
      <c r="E1826" s="50" t="s">
        <v>643</v>
      </c>
      <c r="F1826" s="32"/>
    </row>
    <row r="1827" spans="1:6" ht="12.75" customHeight="1">
      <c r="A1827" s="61">
        <v>64689</v>
      </c>
      <c r="B1827" s="50" t="s">
        <v>4686</v>
      </c>
      <c r="C1827" s="50" t="s">
        <v>777</v>
      </c>
      <c r="D1827" s="33" t="s">
        <v>4687</v>
      </c>
      <c r="E1827" s="50" t="s">
        <v>643</v>
      </c>
      <c r="F1827" s="32"/>
    </row>
    <row r="1828" spans="1:6" ht="12.75" customHeight="1">
      <c r="A1828" s="61">
        <v>64690</v>
      </c>
      <c r="B1828" s="50" t="s">
        <v>4688</v>
      </c>
      <c r="C1828" s="50" t="s">
        <v>635</v>
      </c>
      <c r="D1828" s="33" t="s">
        <v>4689</v>
      </c>
      <c r="E1828" s="50" t="s">
        <v>643</v>
      </c>
      <c r="F1828" s="32"/>
    </row>
    <row r="1829" spans="1:6" ht="12.75" customHeight="1">
      <c r="A1829" s="61">
        <v>64691</v>
      </c>
      <c r="B1829" s="50" t="s">
        <v>4690</v>
      </c>
      <c r="C1829" s="50" t="s">
        <v>2459</v>
      </c>
      <c r="D1829" s="33" t="s">
        <v>4691</v>
      </c>
      <c r="E1829" s="50" t="s">
        <v>643</v>
      </c>
      <c r="F1829" s="32"/>
    </row>
    <row r="1830" spans="1:6" ht="12.75" customHeight="1">
      <c r="A1830" s="61">
        <v>64693</v>
      </c>
      <c r="B1830" s="50" t="s">
        <v>4692</v>
      </c>
      <c r="C1830" s="50" t="s">
        <v>72</v>
      </c>
      <c r="D1830" s="33" t="s">
        <v>4693</v>
      </c>
      <c r="E1830" s="50" t="s">
        <v>643</v>
      </c>
      <c r="F1830" s="32"/>
    </row>
    <row r="1831" spans="1:6" ht="12.75" customHeight="1">
      <c r="A1831" s="61">
        <v>64694</v>
      </c>
      <c r="B1831" s="50" t="s">
        <v>4694</v>
      </c>
      <c r="C1831" s="50" t="s">
        <v>754</v>
      </c>
      <c r="D1831" s="33" t="s">
        <v>4695</v>
      </c>
      <c r="E1831" s="50" t="s">
        <v>643</v>
      </c>
      <c r="F1831" s="32"/>
    </row>
    <row r="1832" spans="1:6" ht="12.75" customHeight="1">
      <c r="A1832" s="61">
        <v>64695</v>
      </c>
      <c r="B1832" s="50" t="s">
        <v>367</v>
      </c>
      <c r="C1832" s="50" t="s">
        <v>793</v>
      </c>
      <c r="D1832" s="33" t="s">
        <v>4696</v>
      </c>
      <c r="E1832" s="50" t="s">
        <v>643</v>
      </c>
      <c r="F1832" s="32"/>
    </row>
    <row r="1833" spans="1:6" ht="12.75" customHeight="1">
      <c r="A1833" s="61">
        <v>64696</v>
      </c>
      <c r="B1833" s="50" t="s">
        <v>4697</v>
      </c>
      <c r="C1833" s="50" t="s">
        <v>163</v>
      </c>
      <c r="D1833" s="33" t="s">
        <v>4698</v>
      </c>
      <c r="E1833" s="50" t="s">
        <v>643</v>
      </c>
      <c r="F1833" s="32"/>
    </row>
    <row r="1834" spans="1:6" ht="12.75" customHeight="1">
      <c r="A1834" s="61">
        <v>64697</v>
      </c>
      <c r="B1834" s="50" t="s">
        <v>4699</v>
      </c>
      <c r="C1834" s="50" t="s">
        <v>1246</v>
      </c>
      <c r="D1834" s="33" t="s">
        <v>4700</v>
      </c>
      <c r="E1834" s="50" t="s">
        <v>643</v>
      </c>
      <c r="F1834" s="32"/>
    </row>
    <row r="1835" spans="1:6" ht="12.75" customHeight="1">
      <c r="A1835" s="61">
        <v>64698</v>
      </c>
      <c r="B1835" s="50" t="s">
        <v>4701</v>
      </c>
      <c r="C1835" s="50" t="s">
        <v>640</v>
      </c>
      <c r="D1835" s="33" t="s">
        <v>4702</v>
      </c>
      <c r="E1835" s="50" t="s">
        <v>643</v>
      </c>
      <c r="F1835" s="32"/>
    </row>
    <row r="1836" spans="1:6" ht="12.75" customHeight="1">
      <c r="A1836" s="61">
        <v>64699</v>
      </c>
      <c r="B1836" s="50" t="s">
        <v>4703</v>
      </c>
      <c r="C1836" s="50" t="s">
        <v>1099</v>
      </c>
      <c r="D1836" s="33" t="s">
        <v>4704</v>
      </c>
      <c r="E1836" s="50" t="s">
        <v>643</v>
      </c>
      <c r="F1836" s="32"/>
    </row>
    <row r="1837" spans="1:6" ht="12.75" customHeight="1">
      <c r="A1837" s="61">
        <v>64700</v>
      </c>
      <c r="B1837" s="50" t="s">
        <v>701</v>
      </c>
      <c r="C1837" s="50" t="s">
        <v>778</v>
      </c>
      <c r="D1837" s="33" t="s">
        <v>3370</v>
      </c>
      <c r="E1837" s="50" t="s">
        <v>643</v>
      </c>
      <c r="F1837" s="32"/>
    </row>
    <row r="1838" spans="1:6" ht="12.75" customHeight="1">
      <c r="A1838" s="61">
        <v>64701</v>
      </c>
      <c r="B1838" s="50" t="s">
        <v>4705</v>
      </c>
      <c r="C1838" s="50" t="s">
        <v>266</v>
      </c>
      <c r="D1838" s="33" t="s">
        <v>4706</v>
      </c>
      <c r="E1838" s="50" t="s">
        <v>643</v>
      </c>
      <c r="F1838" s="32"/>
    </row>
    <row r="1839" spans="1:6" ht="12.75" customHeight="1">
      <c r="A1839" s="61">
        <v>64702</v>
      </c>
      <c r="B1839" s="50" t="s">
        <v>376</v>
      </c>
      <c r="C1839" s="50" t="s">
        <v>778</v>
      </c>
      <c r="D1839" s="33" t="s">
        <v>4707</v>
      </c>
      <c r="E1839" s="50" t="s">
        <v>643</v>
      </c>
      <c r="F1839" s="32"/>
    </row>
    <row r="1840" spans="1:6" ht="12.75" customHeight="1">
      <c r="A1840" s="61">
        <v>64703</v>
      </c>
      <c r="B1840" s="50" t="s">
        <v>4708</v>
      </c>
      <c r="C1840" s="50" t="s">
        <v>1414</v>
      </c>
      <c r="D1840" s="33" t="s">
        <v>4709</v>
      </c>
      <c r="E1840" s="50" t="s">
        <v>643</v>
      </c>
      <c r="F1840" s="32"/>
    </row>
    <row r="1841" spans="1:6" ht="12.75" customHeight="1">
      <c r="A1841" s="61">
        <v>64704</v>
      </c>
      <c r="B1841" s="50" t="s">
        <v>4956</v>
      </c>
      <c r="C1841" s="50" t="s">
        <v>1099</v>
      </c>
      <c r="D1841" s="33" t="s">
        <v>5010</v>
      </c>
      <c r="E1841" s="50" t="s">
        <v>643</v>
      </c>
      <c r="F1841" s="32"/>
    </row>
    <row r="1842" spans="1:6" ht="12.75" customHeight="1">
      <c r="A1842" s="61">
        <v>64705</v>
      </c>
      <c r="B1842" s="50" t="s">
        <v>4957</v>
      </c>
      <c r="C1842" s="50" t="s">
        <v>190</v>
      </c>
      <c r="D1842" s="33" t="s">
        <v>5011</v>
      </c>
      <c r="E1842" s="50" t="s">
        <v>643</v>
      </c>
      <c r="F1842" s="32"/>
    </row>
    <row r="1843" spans="1:6" ht="12.75" customHeight="1">
      <c r="A1843" s="61">
        <v>64706</v>
      </c>
      <c r="B1843" s="50" t="s">
        <v>4958</v>
      </c>
      <c r="C1843" s="50" t="s">
        <v>3213</v>
      </c>
      <c r="D1843" s="33" t="s">
        <v>5012</v>
      </c>
      <c r="E1843" s="50" t="s">
        <v>643</v>
      </c>
      <c r="F1843" s="32"/>
    </row>
    <row r="1844" spans="1:6" ht="12.75" customHeight="1">
      <c r="A1844" s="61">
        <v>64707</v>
      </c>
      <c r="B1844" s="50" t="s">
        <v>312</v>
      </c>
      <c r="C1844" s="50" t="s">
        <v>425</v>
      </c>
      <c r="D1844" s="33" t="s">
        <v>5013</v>
      </c>
      <c r="E1844" s="50" t="s">
        <v>643</v>
      </c>
      <c r="F1844" s="32"/>
    </row>
    <row r="1845" spans="1:6" ht="12.75" customHeight="1">
      <c r="A1845" s="61">
        <v>64708</v>
      </c>
      <c r="B1845" s="50" t="s">
        <v>4959</v>
      </c>
      <c r="C1845" s="50" t="s">
        <v>3201</v>
      </c>
      <c r="D1845" s="33" t="s">
        <v>4952</v>
      </c>
      <c r="E1845" s="50" t="s">
        <v>643</v>
      </c>
      <c r="F1845" s="32"/>
    </row>
    <row r="1846" spans="1:6" ht="12.75" customHeight="1">
      <c r="A1846" s="61">
        <v>64709</v>
      </c>
      <c r="B1846" s="50" t="s">
        <v>4960</v>
      </c>
      <c r="C1846" s="50" t="s">
        <v>1414</v>
      </c>
      <c r="D1846" s="33" t="s">
        <v>5014</v>
      </c>
      <c r="E1846" s="50" t="s">
        <v>643</v>
      </c>
      <c r="F1846" s="32"/>
    </row>
    <row r="1847" spans="1:6" ht="12.75" customHeight="1">
      <c r="A1847" s="61">
        <v>64710</v>
      </c>
      <c r="B1847" s="50" t="s">
        <v>4961</v>
      </c>
      <c r="C1847" s="50" t="s">
        <v>778</v>
      </c>
      <c r="D1847" s="33" t="s">
        <v>5015</v>
      </c>
      <c r="E1847" s="50" t="s">
        <v>643</v>
      </c>
      <c r="F1847" s="32"/>
    </row>
    <row r="1848" spans="1:6" ht="12.75" customHeight="1">
      <c r="A1848" s="61">
        <v>64711</v>
      </c>
      <c r="B1848" s="50" t="s">
        <v>4962</v>
      </c>
      <c r="C1848" s="50" t="s">
        <v>778</v>
      </c>
      <c r="D1848" s="33" t="s">
        <v>5016</v>
      </c>
      <c r="E1848" s="50" t="s">
        <v>643</v>
      </c>
      <c r="F1848" s="32"/>
    </row>
    <row r="1849" spans="1:6" ht="12.75" customHeight="1">
      <c r="A1849" s="61">
        <v>64712</v>
      </c>
      <c r="B1849" s="50" t="s">
        <v>2257</v>
      </c>
      <c r="C1849" s="50" t="s">
        <v>163</v>
      </c>
      <c r="D1849" s="33" t="s">
        <v>5017</v>
      </c>
      <c r="E1849" s="50" t="s">
        <v>643</v>
      </c>
      <c r="F1849" s="32"/>
    </row>
    <row r="1850" spans="1:6" ht="12.75" customHeight="1">
      <c r="A1850" s="61">
        <v>64713</v>
      </c>
      <c r="B1850" s="50" t="s">
        <v>1587</v>
      </c>
      <c r="C1850" s="50" t="s">
        <v>261</v>
      </c>
      <c r="D1850" s="33" t="s">
        <v>5018</v>
      </c>
      <c r="E1850" s="50" t="s">
        <v>643</v>
      </c>
      <c r="F1850" s="32"/>
    </row>
    <row r="1851" spans="1:6" ht="12.75" customHeight="1">
      <c r="A1851" s="61">
        <v>64714</v>
      </c>
      <c r="B1851" s="50" t="s">
        <v>1011</v>
      </c>
      <c r="C1851" s="50" t="s">
        <v>79</v>
      </c>
      <c r="D1851" s="33" t="s">
        <v>5019</v>
      </c>
      <c r="E1851" s="50" t="s">
        <v>643</v>
      </c>
      <c r="F1851" s="32"/>
    </row>
    <row r="1852" spans="1:6" ht="12.75" customHeight="1">
      <c r="A1852" s="61">
        <v>64715</v>
      </c>
      <c r="B1852" s="50" t="s">
        <v>4963</v>
      </c>
      <c r="C1852" s="50" t="s">
        <v>1240</v>
      </c>
      <c r="D1852" s="33" t="s">
        <v>5020</v>
      </c>
      <c r="E1852" s="50" t="s">
        <v>643</v>
      </c>
      <c r="F1852" s="32"/>
    </row>
    <row r="1853" spans="1:6" ht="12.75" customHeight="1">
      <c r="A1853" s="61">
        <v>70540</v>
      </c>
      <c r="B1853" s="50" t="s">
        <v>2603</v>
      </c>
      <c r="C1853" s="50" t="s">
        <v>964</v>
      </c>
      <c r="D1853" s="33" t="s">
        <v>4710</v>
      </c>
      <c r="E1853" s="50" t="s">
        <v>643</v>
      </c>
      <c r="F1853" s="32"/>
    </row>
    <row r="1854" spans="1:6" ht="12.75" customHeight="1">
      <c r="A1854" s="61">
        <v>70542</v>
      </c>
      <c r="B1854" s="50" t="s">
        <v>124</v>
      </c>
      <c r="C1854" s="50" t="s">
        <v>2608</v>
      </c>
      <c r="D1854" s="33" t="s">
        <v>4711</v>
      </c>
      <c r="E1854" s="50" t="s">
        <v>643</v>
      </c>
      <c r="F1854" s="32"/>
    </row>
    <row r="1855" spans="1:6" ht="12.75" customHeight="1">
      <c r="A1855" s="61">
        <v>70543</v>
      </c>
      <c r="B1855" s="50" t="s">
        <v>2659</v>
      </c>
      <c r="C1855" s="50" t="s">
        <v>793</v>
      </c>
      <c r="D1855" s="33" t="s">
        <v>4712</v>
      </c>
      <c r="E1855" s="50" t="s">
        <v>643</v>
      </c>
      <c r="F1855" s="32"/>
    </row>
    <row r="1856" spans="1:6" ht="12.75" customHeight="1">
      <c r="A1856" s="61">
        <v>70546</v>
      </c>
      <c r="B1856" s="50" t="s">
        <v>2660</v>
      </c>
      <c r="C1856" s="50" t="s">
        <v>370</v>
      </c>
      <c r="D1856" s="33" t="s">
        <v>2848</v>
      </c>
      <c r="E1856" s="50" t="s">
        <v>643</v>
      </c>
      <c r="F1856" s="32"/>
    </row>
    <row r="1857" spans="1:6" ht="12.75" customHeight="1">
      <c r="A1857" s="61">
        <v>70547</v>
      </c>
      <c r="B1857" s="50" t="s">
        <v>2661</v>
      </c>
      <c r="C1857" s="50" t="s">
        <v>321</v>
      </c>
      <c r="D1857" s="33" t="s">
        <v>2990</v>
      </c>
      <c r="E1857" s="50" t="s">
        <v>643</v>
      </c>
      <c r="F1857" s="32"/>
    </row>
    <row r="1858" spans="1:6" ht="12.75" customHeight="1">
      <c r="A1858" s="61">
        <v>70548</v>
      </c>
      <c r="B1858" s="50" t="s">
        <v>2721</v>
      </c>
      <c r="C1858" s="50" t="s">
        <v>188</v>
      </c>
      <c r="D1858" s="33" t="s">
        <v>2896</v>
      </c>
      <c r="E1858" s="50" t="s">
        <v>643</v>
      </c>
      <c r="F1858" s="32"/>
    </row>
    <row r="1859" spans="1:6" ht="12.75" customHeight="1">
      <c r="A1859" s="61">
        <v>70549</v>
      </c>
      <c r="B1859" s="50" t="s">
        <v>2722</v>
      </c>
      <c r="C1859" s="50" t="s">
        <v>2723</v>
      </c>
      <c r="D1859" s="33" t="s">
        <v>2810</v>
      </c>
      <c r="E1859" s="50" t="s">
        <v>643</v>
      </c>
      <c r="F1859" s="32"/>
    </row>
    <row r="1860" spans="1:6" ht="12.75" customHeight="1">
      <c r="A1860" s="61">
        <v>70550</v>
      </c>
      <c r="B1860" s="50" t="s">
        <v>2724</v>
      </c>
      <c r="C1860" s="50" t="s">
        <v>197</v>
      </c>
      <c r="D1860" s="33" t="s">
        <v>4713</v>
      </c>
      <c r="E1860" s="50" t="s">
        <v>643</v>
      </c>
      <c r="F1860" s="32"/>
    </row>
    <row r="1861" spans="1:6" ht="12.75" customHeight="1">
      <c r="A1861" s="100">
        <v>70551</v>
      </c>
      <c r="B1861" s="100" t="s">
        <v>2594</v>
      </c>
      <c r="C1861" s="100" t="s">
        <v>1534</v>
      </c>
      <c r="D1861" s="33" t="s">
        <v>2847</v>
      </c>
      <c r="E1861" s="50" t="s">
        <v>643</v>
      </c>
      <c r="F1861" s="32"/>
    </row>
    <row r="1862" spans="1:6" ht="12.75" customHeight="1">
      <c r="A1862" s="100">
        <v>70553</v>
      </c>
      <c r="B1862" s="100" t="s">
        <v>76</v>
      </c>
      <c r="C1862" s="100" t="s">
        <v>197</v>
      </c>
      <c r="D1862" s="33" t="s">
        <v>4714</v>
      </c>
      <c r="E1862" s="50" t="s">
        <v>643</v>
      </c>
      <c r="F1862" s="32"/>
    </row>
    <row r="1863" spans="1:6" ht="12.75" customHeight="1">
      <c r="A1863" s="100">
        <v>70557</v>
      </c>
      <c r="B1863" s="100" t="s">
        <v>2725</v>
      </c>
      <c r="C1863" s="100" t="s">
        <v>640</v>
      </c>
      <c r="D1863" s="33" t="s">
        <v>4715</v>
      </c>
      <c r="E1863" s="50" t="s">
        <v>643</v>
      </c>
      <c r="F1863" s="32"/>
    </row>
    <row r="1864" spans="1:6" ht="12.75" customHeight="1">
      <c r="A1864" s="100">
        <v>70558</v>
      </c>
      <c r="B1864" s="100" t="s">
        <v>2726</v>
      </c>
      <c r="C1864" s="100" t="s">
        <v>1522</v>
      </c>
      <c r="D1864" s="33" t="s">
        <v>4716</v>
      </c>
      <c r="E1864" s="50" t="s">
        <v>643</v>
      </c>
      <c r="F1864" s="32"/>
    </row>
    <row r="1865" spans="1:6" ht="12.75" customHeight="1">
      <c r="A1865" s="100">
        <v>70560</v>
      </c>
      <c r="B1865" s="100" t="s">
        <v>783</v>
      </c>
      <c r="C1865" s="100" t="s">
        <v>1414</v>
      </c>
      <c r="D1865" s="33" t="s">
        <v>2989</v>
      </c>
      <c r="E1865" s="50" t="s">
        <v>643</v>
      </c>
      <c r="F1865" s="32"/>
    </row>
    <row r="1866" spans="1:6" ht="12.75" customHeight="1">
      <c r="A1866" s="100">
        <v>70561</v>
      </c>
      <c r="B1866" s="100" t="s">
        <v>2604</v>
      </c>
      <c r="C1866" s="100" t="s">
        <v>188</v>
      </c>
      <c r="D1866" s="33" t="s">
        <v>3162</v>
      </c>
      <c r="E1866" s="50" t="s">
        <v>643</v>
      </c>
      <c r="F1866" s="32"/>
    </row>
    <row r="1867" spans="1:6" ht="12.75" customHeight="1">
      <c r="A1867" s="100">
        <v>70564</v>
      </c>
      <c r="B1867" s="100" t="s">
        <v>2756</v>
      </c>
      <c r="C1867" s="100" t="s">
        <v>336</v>
      </c>
      <c r="D1867" s="33" t="s">
        <v>4717</v>
      </c>
      <c r="E1867" s="50" t="s">
        <v>643</v>
      </c>
      <c r="F1867" s="32"/>
    </row>
    <row r="1868" spans="1:6" ht="12.75" customHeight="1">
      <c r="A1868" s="100">
        <v>70567</v>
      </c>
      <c r="B1868" s="100" t="s">
        <v>2757</v>
      </c>
      <c r="C1868" s="100" t="s">
        <v>246</v>
      </c>
      <c r="D1868" s="33" t="s">
        <v>4718</v>
      </c>
      <c r="E1868" s="50" t="s">
        <v>643</v>
      </c>
      <c r="F1868" s="32"/>
    </row>
    <row r="1869" spans="1:6" ht="12.75" customHeight="1">
      <c r="A1869" s="100">
        <v>70570</v>
      </c>
      <c r="B1869" s="100" t="s">
        <v>150</v>
      </c>
      <c r="C1869" s="100" t="s">
        <v>2465</v>
      </c>
      <c r="D1869" s="33" t="s">
        <v>4719</v>
      </c>
      <c r="E1869" s="50" t="s">
        <v>643</v>
      </c>
      <c r="F1869" s="32"/>
    </row>
    <row r="1870" spans="1:6" ht="12.75" customHeight="1">
      <c r="A1870" s="100">
        <v>70571</v>
      </c>
      <c r="B1870" s="100" t="s">
        <v>354</v>
      </c>
      <c r="C1870" s="100" t="s">
        <v>477</v>
      </c>
      <c r="D1870" s="33" t="s">
        <v>3096</v>
      </c>
      <c r="E1870" s="50" t="s">
        <v>643</v>
      </c>
      <c r="F1870" s="32"/>
    </row>
    <row r="1871" spans="1:6" ht="12.75" customHeight="1">
      <c r="A1871" s="100">
        <v>70572</v>
      </c>
      <c r="B1871" s="100" t="s">
        <v>2597</v>
      </c>
      <c r="C1871" s="100" t="s">
        <v>1593</v>
      </c>
      <c r="D1871" s="33" t="s">
        <v>4720</v>
      </c>
      <c r="E1871" s="50" t="s">
        <v>643</v>
      </c>
      <c r="F1871" s="32"/>
    </row>
    <row r="1872" spans="1:6" ht="12.75" customHeight="1">
      <c r="A1872" s="100">
        <v>70573</v>
      </c>
      <c r="B1872" s="100" t="s">
        <v>2976</v>
      </c>
      <c r="C1872" s="100" t="s">
        <v>246</v>
      </c>
      <c r="D1872" s="33" t="s">
        <v>3163</v>
      </c>
      <c r="E1872" s="50" t="s">
        <v>643</v>
      </c>
      <c r="F1872" s="32"/>
    </row>
    <row r="1873" spans="1:6" ht="12.75" customHeight="1">
      <c r="A1873" s="100">
        <v>70574</v>
      </c>
      <c r="B1873" s="100" t="s">
        <v>2977</v>
      </c>
      <c r="C1873" s="100" t="s">
        <v>640</v>
      </c>
      <c r="D1873" s="33" t="s">
        <v>4721</v>
      </c>
      <c r="E1873" s="50" t="s">
        <v>643</v>
      </c>
      <c r="F1873" s="32"/>
    </row>
    <row r="1874" spans="1:6" ht="12.75" customHeight="1">
      <c r="A1874" s="100">
        <v>70575</v>
      </c>
      <c r="B1874" s="100" t="s">
        <v>562</v>
      </c>
      <c r="C1874" s="100" t="s">
        <v>635</v>
      </c>
      <c r="D1874" s="33" t="s">
        <v>4722</v>
      </c>
      <c r="E1874" s="50" t="s">
        <v>643</v>
      </c>
      <c r="F1874" s="32"/>
    </row>
    <row r="1875" spans="1:6" ht="12.75" customHeight="1">
      <c r="A1875" s="100">
        <v>70576</v>
      </c>
      <c r="B1875" s="100" t="s">
        <v>3025</v>
      </c>
      <c r="C1875" s="100" t="s">
        <v>802</v>
      </c>
      <c r="D1875" s="33" t="s">
        <v>4723</v>
      </c>
      <c r="E1875" s="50" t="s">
        <v>643</v>
      </c>
      <c r="F1875" s="32"/>
    </row>
    <row r="1876" spans="1:6" ht="12.75" customHeight="1">
      <c r="A1876" s="100">
        <v>70577</v>
      </c>
      <c r="B1876" s="100" t="s">
        <v>3026</v>
      </c>
      <c r="C1876" s="100" t="s">
        <v>1593</v>
      </c>
      <c r="D1876" s="33" t="s">
        <v>3411</v>
      </c>
      <c r="E1876" s="50" t="s">
        <v>643</v>
      </c>
      <c r="F1876" s="32"/>
    </row>
    <row r="1877" spans="1:6" ht="12.75" customHeight="1">
      <c r="A1877" s="100">
        <v>70578</v>
      </c>
      <c r="B1877" s="100" t="s">
        <v>3027</v>
      </c>
      <c r="C1877" s="100" t="s">
        <v>1172</v>
      </c>
      <c r="D1877" s="33" t="s">
        <v>4724</v>
      </c>
      <c r="E1877" s="50" t="s">
        <v>643</v>
      </c>
      <c r="F1877" s="32"/>
    </row>
    <row r="1878" spans="1:6" ht="12.75" customHeight="1">
      <c r="A1878" s="100">
        <v>70580</v>
      </c>
      <c r="B1878" s="100" t="s">
        <v>3227</v>
      </c>
      <c r="C1878" s="100" t="s">
        <v>446</v>
      </c>
      <c r="D1878" s="33" t="s">
        <v>4725</v>
      </c>
      <c r="E1878" s="50" t="s">
        <v>643</v>
      </c>
      <c r="F1878" s="32"/>
    </row>
    <row r="1879" spans="1:6" ht="12.75" customHeight="1">
      <c r="A1879" s="100">
        <v>70582</v>
      </c>
      <c r="B1879" s="100" t="s">
        <v>3169</v>
      </c>
      <c r="C1879" s="100" t="s">
        <v>79</v>
      </c>
      <c r="D1879" s="33" t="s">
        <v>4726</v>
      </c>
      <c r="E1879" s="50" t="s">
        <v>643</v>
      </c>
      <c r="F1879" s="32"/>
    </row>
    <row r="1880" spans="1:6" ht="12.75" customHeight="1">
      <c r="A1880" s="100">
        <v>70583</v>
      </c>
      <c r="B1880" s="100" t="s">
        <v>3228</v>
      </c>
      <c r="C1880" s="100" t="s">
        <v>989</v>
      </c>
      <c r="D1880" s="33" t="s">
        <v>4727</v>
      </c>
      <c r="E1880" s="50" t="s">
        <v>643</v>
      </c>
      <c r="F1880" s="32"/>
    </row>
    <row r="1881" spans="1:6" ht="12.75" customHeight="1">
      <c r="A1881" s="100">
        <v>70584</v>
      </c>
      <c r="B1881" s="100" t="s">
        <v>3178</v>
      </c>
      <c r="C1881" s="100" t="s">
        <v>867</v>
      </c>
      <c r="D1881" s="33" t="s">
        <v>4728</v>
      </c>
      <c r="E1881" s="50" t="s">
        <v>643</v>
      </c>
      <c r="F1881" s="32"/>
    </row>
    <row r="1882" spans="1:6" ht="12.75" customHeight="1">
      <c r="A1882" s="100">
        <v>70585</v>
      </c>
      <c r="B1882" s="100" t="s">
        <v>3231</v>
      </c>
      <c r="C1882" s="100" t="s">
        <v>2219</v>
      </c>
      <c r="D1882" s="33" t="s">
        <v>4729</v>
      </c>
      <c r="E1882" s="50" t="s">
        <v>643</v>
      </c>
      <c r="F1882" s="32"/>
    </row>
    <row r="1883" spans="1:6" ht="12.75" customHeight="1">
      <c r="A1883" s="100">
        <v>70586</v>
      </c>
      <c r="B1883" s="100" t="s">
        <v>3234</v>
      </c>
      <c r="C1883" s="100" t="s">
        <v>3235</v>
      </c>
      <c r="D1883" s="33" t="s">
        <v>4730</v>
      </c>
      <c r="E1883" s="50" t="s">
        <v>643</v>
      </c>
      <c r="F1883" s="32"/>
    </row>
    <row r="1884" spans="1:6" ht="12.75" customHeight="1">
      <c r="A1884" s="100">
        <v>70588</v>
      </c>
      <c r="B1884" s="100" t="s">
        <v>3222</v>
      </c>
      <c r="C1884" s="100" t="s">
        <v>642</v>
      </c>
      <c r="D1884" s="33" t="s">
        <v>4731</v>
      </c>
      <c r="E1884" s="50" t="s">
        <v>643</v>
      </c>
      <c r="F1884" s="32"/>
    </row>
    <row r="1885" spans="1:6" ht="12.75" customHeight="1">
      <c r="A1885" s="100">
        <v>70589</v>
      </c>
      <c r="B1885" s="100" t="s">
        <v>3173</v>
      </c>
      <c r="C1885" s="100" t="s">
        <v>964</v>
      </c>
      <c r="D1885" s="33" t="s">
        <v>3042</v>
      </c>
      <c r="E1885" s="50" t="s">
        <v>643</v>
      </c>
      <c r="F1885" s="32"/>
    </row>
    <row r="1886" spans="1:6" ht="12.75" customHeight="1">
      <c r="A1886" s="100">
        <v>70590</v>
      </c>
      <c r="B1886" s="100" t="s">
        <v>3175</v>
      </c>
      <c r="C1886" s="100" t="s">
        <v>640</v>
      </c>
      <c r="D1886" s="33" t="s">
        <v>3041</v>
      </c>
      <c r="E1886" s="50" t="s">
        <v>643</v>
      </c>
      <c r="F1886" s="32"/>
    </row>
    <row r="1887" spans="1:6" ht="12.75" customHeight="1">
      <c r="A1887" s="100">
        <v>70591</v>
      </c>
      <c r="B1887" s="100" t="s">
        <v>3182</v>
      </c>
      <c r="C1887" s="100" t="s">
        <v>1414</v>
      </c>
      <c r="D1887" s="33" t="s">
        <v>4732</v>
      </c>
      <c r="E1887" s="50" t="s">
        <v>643</v>
      </c>
      <c r="F1887" s="32"/>
    </row>
    <row r="1888" spans="1:6" ht="12.75" customHeight="1">
      <c r="A1888" s="100">
        <v>70592</v>
      </c>
      <c r="B1888" s="100" t="s">
        <v>3194</v>
      </c>
      <c r="C1888" s="100" t="s">
        <v>1246</v>
      </c>
      <c r="D1888" s="33" t="s">
        <v>4733</v>
      </c>
      <c r="E1888" s="50" t="s">
        <v>643</v>
      </c>
      <c r="F1888" s="32"/>
    </row>
    <row r="1889" spans="1:6" ht="12.75" customHeight="1">
      <c r="A1889" s="100">
        <v>70593</v>
      </c>
      <c r="B1889" s="100" t="s">
        <v>3200</v>
      </c>
      <c r="C1889" s="100" t="s">
        <v>584</v>
      </c>
      <c r="D1889" s="33" t="s">
        <v>4734</v>
      </c>
      <c r="E1889" s="50" t="s">
        <v>643</v>
      </c>
      <c r="F1889" s="32"/>
    </row>
    <row r="1890" spans="1:6" ht="12.75" customHeight="1">
      <c r="A1890" s="100">
        <v>70594</v>
      </c>
      <c r="B1890" s="100" t="s">
        <v>3199</v>
      </c>
      <c r="C1890" s="100" t="s">
        <v>2260</v>
      </c>
      <c r="D1890" s="33" t="s">
        <v>4735</v>
      </c>
      <c r="E1890" s="50" t="s">
        <v>643</v>
      </c>
      <c r="F1890" s="32"/>
    </row>
    <row r="1891" spans="1:6" ht="12.75" customHeight="1">
      <c r="A1891" s="100">
        <v>70595</v>
      </c>
      <c r="B1891" s="100" t="s">
        <v>3198</v>
      </c>
      <c r="C1891" s="100" t="s">
        <v>194</v>
      </c>
      <c r="D1891" s="33" t="s">
        <v>4736</v>
      </c>
      <c r="E1891" s="50" t="s">
        <v>643</v>
      </c>
      <c r="F1891" s="32"/>
    </row>
    <row r="1892" spans="1:6" ht="12.75" customHeight="1">
      <c r="A1892" s="100">
        <v>70597</v>
      </c>
      <c r="B1892" s="100" t="s">
        <v>1176</v>
      </c>
      <c r="C1892" s="100" t="s">
        <v>1099</v>
      </c>
      <c r="D1892" s="33" t="s">
        <v>4737</v>
      </c>
      <c r="E1892" s="50" t="s">
        <v>643</v>
      </c>
      <c r="F1892" s="32"/>
    </row>
    <row r="1893" spans="1:6" ht="12.75" customHeight="1">
      <c r="A1893" s="100">
        <v>70598</v>
      </c>
      <c r="B1893" s="100" t="s">
        <v>3214</v>
      </c>
      <c r="C1893" s="100" t="s">
        <v>1490</v>
      </c>
      <c r="D1893" s="33" t="s">
        <v>4738</v>
      </c>
      <c r="E1893" s="50" t="s">
        <v>643</v>
      </c>
      <c r="F1893" s="32"/>
    </row>
    <row r="1894" spans="1:6" ht="12.75" customHeight="1">
      <c r="A1894" s="100">
        <v>70601</v>
      </c>
      <c r="B1894" s="100" t="s">
        <v>3197</v>
      </c>
      <c r="C1894" s="100" t="s">
        <v>1593</v>
      </c>
      <c r="D1894" s="33" t="s">
        <v>3237</v>
      </c>
      <c r="E1894" s="50" t="s">
        <v>643</v>
      </c>
      <c r="F1894" s="32"/>
    </row>
    <row r="1895" spans="1:6" ht="12.75" customHeight="1">
      <c r="A1895" s="100">
        <v>70602</v>
      </c>
      <c r="B1895" s="100" t="s">
        <v>662</v>
      </c>
      <c r="C1895" s="100" t="s">
        <v>2155</v>
      </c>
      <c r="D1895" s="33" t="s">
        <v>4739</v>
      </c>
      <c r="E1895" s="50" t="s">
        <v>643</v>
      </c>
      <c r="F1895" s="32"/>
    </row>
    <row r="1896" spans="1:6" ht="12.75" customHeight="1">
      <c r="A1896" s="100">
        <v>70605</v>
      </c>
      <c r="B1896" s="100" t="s">
        <v>3212</v>
      </c>
      <c r="C1896" s="100" t="s">
        <v>477</v>
      </c>
      <c r="D1896" s="33" t="s">
        <v>4740</v>
      </c>
      <c r="E1896" s="50" t="s">
        <v>643</v>
      </c>
      <c r="F1896" s="32"/>
    </row>
    <row r="1897" spans="1:6" ht="12.75" customHeight="1">
      <c r="A1897" s="100">
        <v>70606</v>
      </c>
      <c r="B1897" s="100" t="s">
        <v>3219</v>
      </c>
      <c r="C1897" s="100" t="s">
        <v>964</v>
      </c>
      <c r="D1897" s="33" t="s">
        <v>3244</v>
      </c>
      <c r="E1897" s="50" t="s">
        <v>643</v>
      </c>
      <c r="F1897" s="32"/>
    </row>
    <row r="1898" spans="1:6" ht="12.75" customHeight="1">
      <c r="A1898" s="100">
        <v>70608</v>
      </c>
      <c r="B1898" s="100" t="s">
        <v>428</v>
      </c>
      <c r="C1898" s="100" t="s">
        <v>777</v>
      </c>
      <c r="D1898" s="33" t="s">
        <v>3090</v>
      </c>
      <c r="E1898" s="50" t="s">
        <v>643</v>
      </c>
      <c r="F1898" s="32"/>
    </row>
    <row r="1899" spans="1:6" ht="12.75" customHeight="1">
      <c r="A1899" s="100">
        <v>70611</v>
      </c>
      <c r="B1899" s="100" t="s">
        <v>3170</v>
      </c>
      <c r="C1899" s="100" t="s">
        <v>802</v>
      </c>
      <c r="D1899" s="33" t="s">
        <v>3059</v>
      </c>
      <c r="E1899" s="50" t="s">
        <v>643</v>
      </c>
      <c r="F1899" s="32"/>
    </row>
    <row r="1900" spans="1:6" ht="12.75" customHeight="1">
      <c r="A1900" s="100">
        <v>70612</v>
      </c>
      <c r="B1900" s="100" t="s">
        <v>3211</v>
      </c>
      <c r="C1900" s="100" t="s">
        <v>1197</v>
      </c>
      <c r="D1900" s="33" t="s">
        <v>3240</v>
      </c>
      <c r="E1900" s="50" t="s">
        <v>643</v>
      </c>
      <c r="F1900" s="32"/>
    </row>
    <row r="1901" spans="1:6" ht="12.75" customHeight="1">
      <c r="A1901" s="100">
        <v>70613</v>
      </c>
      <c r="B1901" s="100" t="s">
        <v>3191</v>
      </c>
      <c r="C1901" s="100" t="s">
        <v>640</v>
      </c>
      <c r="D1901" s="33" t="s">
        <v>4741</v>
      </c>
      <c r="E1901" s="50" t="s">
        <v>643</v>
      </c>
      <c r="F1901" s="32"/>
    </row>
    <row r="1902" spans="1:6" ht="12.75" customHeight="1">
      <c r="A1902" s="100">
        <v>70614</v>
      </c>
      <c r="B1902" s="100" t="s">
        <v>3230</v>
      </c>
      <c r="C1902" s="100" t="s">
        <v>553</v>
      </c>
      <c r="D1902" s="33" t="s">
        <v>4742</v>
      </c>
      <c r="E1902" s="50" t="s">
        <v>643</v>
      </c>
      <c r="F1902" s="32"/>
    </row>
    <row r="1903" spans="1:6" ht="12.75" customHeight="1">
      <c r="A1903" s="100">
        <v>70615</v>
      </c>
      <c r="B1903" s="100" t="s">
        <v>3221</v>
      </c>
      <c r="C1903" s="100" t="s">
        <v>242</v>
      </c>
      <c r="D1903" s="33" t="s">
        <v>4743</v>
      </c>
      <c r="E1903" s="50" t="s">
        <v>643</v>
      </c>
      <c r="F1903" s="32"/>
    </row>
    <row r="1904" spans="1:6" ht="12.75" customHeight="1">
      <c r="A1904" s="100">
        <v>70616</v>
      </c>
      <c r="B1904" s="100" t="s">
        <v>3184</v>
      </c>
      <c r="C1904" s="100" t="s">
        <v>1020</v>
      </c>
      <c r="D1904" s="33" t="s">
        <v>3236</v>
      </c>
      <c r="E1904" s="50" t="s">
        <v>643</v>
      </c>
      <c r="F1904" s="32"/>
    </row>
    <row r="1905" spans="1:6" ht="12.75" customHeight="1">
      <c r="A1905" s="100">
        <v>70619</v>
      </c>
      <c r="B1905" s="100" t="s">
        <v>3226</v>
      </c>
      <c r="C1905" s="100" t="s">
        <v>197</v>
      </c>
      <c r="D1905" s="33" t="s">
        <v>3391</v>
      </c>
      <c r="E1905" s="50" t="s">
        <v>643</v>
      </c>
      <c r="F1905" s="32"/>
    </row>
    <row r="1906" spans="1:6" ht="12.75" customHeight="1">
      <c r="A1906" s="100">
        <v>70620</v>
      </c>
      <c r="B1906" s="100" t="s">
        <v>3272</v>
      </c>
      <c r="C1906" s="100" t="s">
        <v>788</v>
      </c>
      <c r="D1906" s="33" t="s">
        <v>4744</v>
      </c>
      <c r="E1906" s="50" t="s">
        <v>643</v>
      </c>
      <c r="F1906" s="32"/>
    </row>
    <row r="1907" spans="1:6" ht="12.75" customHeight="1">
      <c r="A1907" s="100">
        <v>70621</v>
      </c>
      <c r="B1907" s="100" t="s">
        <v>3218</v>
      </c>
      <c r="C1907" s="100" t="s">
        <v>159</v>
      </c>
      <c r="D1907" s="33" t="s">
        <v>4745</v>
      </c>
      <c r="E1907" s="50" t="s">
        <v>643</v>
      </c>
      <c r="F1907" s="32"/>
    </row>
    <row r="1908" spans="1:6" ht="12.75" customHeight="1">
      <c r="A1908" s="100">
        <v>70622</v>
      </c>
      <c r="B1908" s="100" t="s">
        <v>3217</v>
      </c>
      <c r="C1908" s="100" t="s">
        <v>718</v>
      </c>
      <c r="D1908" s="33" t="s">
        <v>4746</v>
      </c>
      <c r="E1908" s="50" t="s">
        <v>643</v>
      </c>
      <c r="F1908" s="32"/>
    </row>
    <row r="1909" spans="1:6" ht="12.75" customHeight="1">
      <c r="A1909" s="100">
        <v>70624</v>
      </c>
      <c r="B1909" s="100" t="s">
        <v>3273</v>
      </c>
      <c r="C1909" s="100" t="s">
        <v>759</v>
      </c>
      <c r="D1909" s="33" t="s">
        <v>4747</v>
      </c>
      <c r="E1909" s="50" t="s">
        <v>643</v>
      </c>
      <c r="F1909" s="32"/>
    </row>
    <row r="1910" spans="1:6" ht="12.75" customHeight="1">
      <c r="A1910" s="100">
        <v>70625</v>
      </c>
      <c r="B1910" s="100" t="s">
        <v>136</v>
      </c>
      <c r="C1910" s="100" t="s">
        <v>1133</v>
      </c>
      <c r="D1910" s="33" t="s">
        <v>4748</v>
      </c>
      <c r="E1910" s="50" t="s">
        <v>643</v>
      </c>
      <c r="F1910" s="32"/>
    </row>
    <row r="1911" spans="1:6" ht="12.75" customHeight="1">
      <c r="A1911" s="100">
        <v>70626</v>
      </c>
      <c r="B1911" s="100" t="s">
        <v>288</v>
      </c>
      <c r="C1911" s="100" t="s">
        <v>2975</v>
      </c>
      <c r="D1911" s="33" t="s">
        <v>4749</v>
      </c>
      <c r="E1911" s="50" t="s">
        <v>643</v>
      </c>
      <c r="F1911" s="32"/>
    </row>
    <row r="1912" spans="1:6" ht="12.75" customHeight="1">
      <c r="A1912" s="32">
        <v>70627</v>
      </c>
      <c r="B1912" s="32" t="s">
        <v>3274</v>
      </c>
      <c r="C1912" s="32" t="s">
        <v>190</v>
      </c>
      <c r="D1912" s="33" t="s">
        <v>3363</v>
      </c>
      <c r="E1912" s="50" t="s">
        <v>643</v>
      </c>
      <c r="F1912" s="32"/>
    </row>
    <row r="1913" spans="1:6" ht="12.75" customHeight="1">
      <c r="A1913" s="32">
        <v>70628</v>
      </c>
      <c r="B1913" s="32" t="s">
        <v>3275</v>
      </c>
      <c r="C1913" s="32" t="s">
        <v>3276</v>
      </c>
      <c r="D1913" s="33" t="s">
        <v>4750</v>
      </c>
      <c r="E1913" s="32" t="s">
        <v>643</v>
      </c>
      <c r="F1913" s="32"/>
    </row>
    <row r="1914" spans="1:6" ht="12.75" customHeight="1">
      <c r="A1914" s="32">
        <v>70629</v>
      </c>
      <c r="B1914" s="32" t="s">
        <v>3277</v>
      </c>
      <c r="C1914" s="32" t="s">
        <v>1099</v>
      </c>
      <c r="D1914" s="33" t="s">
        <v>4751</v>
      </c>
      <c r="E1914" s="32" t="s">
        <v>643</v>
      </c>
      <c r="F1914" s="32"/>
    </row>
    <row r="1915" spans="1:6" ht="12.75" customHeight="1">
      <c r="A1915" s="32">
        <v>70630</v>
      </c>
      <c r="B1915" s="32" t="s">
        <v>181</v>
      </c>
      <c r="C1915" s="32" t="s">
        <v>3276</v>
      </c>
      <c r="D1915" s="33" t="s">
        <v>4752</v>
      </c>
      <c r="E1915" s="32" t="s">
        <v>643</v>
      </c>
      <c r="F1915" s="32"/>
    </row>
    <row r="1916" spans="1:6" ht="12.75" customHeight="1">
      <c r="A1916" s="32">
        <v>70631</v>
      </c>
      <c r="B1916" s="32" t="s">
        <v>3278</v>
      </c>
      <c r="C1916" s="32" t="s">
        <v>188</v>
      </c>
      <c r="D1916" s="33" t="s">
        <v>4753</v>
      </c>
      <c r="E1916" s="32" t="s">
        <v>643</v>
      </c>
      <c r="F1916" s="32"/>
    </row>
    <row r="1917" spans="1:6" ht="12.75" customHeight="1">
      <c r="A1917" s="32">
        <v>70632</v>
      </c>
      <c r="B1917" s="32" t="s">
        <v>3279</v>
      </c>
      <c r="C1917" s="32" t="s">
        <v>640</v>
      </c>
      <c r="D1917" s="33" t="s">
        <v>3280</v>
      </c>
      <c r="E1917" s="32" t="s">
        <v>643</v>
      </c>
      <c r="F1917" s="32"/>
    </row>
    <row r="1918" spans="1:6" ht="12.75" customHeight="1">
      <c r="A1918" s="32">
        <v>70636</v>
      </c>
      <c r="B1918" s="32" t="s">
        <v>3320</v>
      </c>
      <c r="C1918" s="32" t="s">
        <v>928</v>
      </c>
      <c r="D1918" s="33" t="s">
        <v>4754</v>
      </c>
      <c r="E1918" s="32" t="s">
        <v>643</v>
      </c>
      <c r="F1918" s="32"/>
    </row>
    <row r="1919" spans="1:6" ht="12.75" customHeight="1">
      <c r="A1919" s="32">
        <v>70637</v>
      </c>
      <c r="B1919" s="32" t="s">
        <v>2514</v>
      </c>
      <c r="C1919" s="32" t="s">
        <v>754</v>
      </c>
      <c r="D1919" s="33" t="s">
        <v>4755</v>
      </c>
      <c r="E1919" s="32" t="s">
        <v>643</v>
      </c>
      <c r="F1919" s="32"/>
    </row>
    <row r="1920" spans="1:6" ht="12.75" customHeight="1">
      <c r="A1920" s="32">
        <v>70639</v>
      </c>
      <c r="B1920" s="32" t="s">
        <v>720</v>
      </c>
      <c r="C1920" s="32" t="s">
        <v>640</v>
      </c>
      <c r="D1920" s="33" t="s">
        <v>4756</v>
      </c>
      <c r="E1920" s="32" t="s">
        <v>643</v>
      </c>
      <c r="F1920" s="32"/>
    </row>
    <row r="1921" spans="1:6" ht="12.75" customHeight="1">
      <c r="A1921" s="32">
        <v>70640</v>
      </c>
      <c r="B1921" s="32" t="s">
        <v>2343</v>
      </c>
      <c r="C1921" s="32" t="s">
        <v>780</v>
      </c>
      <c r="D1921" s="33" t="s">
        <v>4757</v>
      </c>
      <c r="E1921" s="32" t="s">
        <v>643</v>
      </c>
      <c r="F1921" s="32"/>
    </row>
    <row r="1922" spans="1:6" ht="12.75" customHeight="1">
      <c r="A1922" s="32">
        <v>70641</v>
      </c>
      <c r="B1922" s="32" t="s">
        <v>210</v>
      </c>
      <c r="C1922" s="32" t="s">
        <v>1172</v>
      </c>
      <c r="D1922" s="33" t="s">
        <v>4758</v>
      </c>
      <c r="E1922" s="32" t="s">
        <v>643</v>
      </c>
      <c r="F1922" s="32"/>
    </row>
    <row r="1923" spans="1:6" ht="12.75" customHeight="1">
      <c r="A1923" s="32">
        <v>70642</v>
      </c>
      <c r="B1923" s="32" t="s">
        <v>674</v>
      </c>
      <c r="C1923" s="32" t="s">
        <v>263</v>
      </c>
      <c r="D1923" s="33" t="s">
        <v>4759</v>
      </c>
      <c r="E1923" s="32" t="s">
        <v>643</v>
      </c>
      <c r="F1923" s="32"/>
    </row>
    <row r="1924" spans="1:6" ht="12.75" customHeight="1">
      <c r="A1924" s="32">
        <v>70644</v>
      </c>
      <c r="B1924" s="32" t="s">
        <v>1111</v>
      </c>
      <c r="C1924" s="32" t="s">
        <v>642</v>
      </c>
      <c r="D1924" s="33" t="s">
        <v>5021</v>
      </c>
      <c r="E1924" s="32" t="s">
        <v>643</v>
      </c>
      <c r="F1924" s="32"/>
    </row>
    <row r="1925" spans="1:6" ht="12.75" customHeight="1">
      <c r="A1925" s="32">
        <v>70645</v>
      </c>
      <c r="B1925" s="32" t="s">
        <v>68</v>
      </c>
      <c r="C1925" s="32" t="s">
        <v>584</v>
      </c>
      <c r="D1925" s="33" t="s">
        <v>3395</v>
      </c>
      <c r="E1925" s="32" t="s">
        <v>643</v>
      </c>
      <c r="F1925" s="32"/>
    </row>
    <row r="1926" spans="1:6" ht="12.75" customHeight="1">
      <c r="A1926" s="32">
        <v>70647</v>
      </c>
      <c r="B1926" s="32" t="s">
        <v>1243</v>
      </c>
      <c r="C1926" s="32" t="s">
        <v>77</v>
      </c>
      <c r="D1926" s="33" t="s">
        <v>4760</v>
      </c>
      <c r="E1926" s="32" t="s">
        <v>643</v>
      </c>
      <c r="F1926" s="32"/>
    </row>
    <row r="1927" spans="1:6" ht="12.75" customHeight="1">
      <c r="A1927" s="32">
        <v>70649</v>
      </c>
      <c r="B1927" s="32" t="s">
        <v>3323</v>
      </c>
      <c r="C1927" s="32" t="s">
        <v>79</v>
      </c>
      <c r="D1927" s="33" t="s">
        <v>4761</v>
      </c>
      <c r="E1927" s="32" t="s">
        <v>643</v>
      </c>
      <c r="F1927" s="32"/>
    </row>
    <row r="1928" spans="1:6" ht="12.75" customHeight="1">
      <c r="A1928" s="32">
        <v>70650</v>
      </c>
      <c r="B1928" s="32" t="s">
        <v>3324</v>
      </c>
      <c r="C1928" s="32" t="s">
        <v>1311</v>
      </c>
      <c r="D1928" s="33" t="s">
        <v>4762</v>
      </c>
      <c r="E1928" s="32" t="s">
        <v>643</v>
      </c>
      <c r="F1928" s="32"/>
    </row>
    <row r="1929" spans="1:6" ht="12.75" customHeight="1">
      <c r="A1929" s="32">
        <v>70651</v>
      </c>
      <c r="B1929" s="32" t="s">
        <v>3325</v>
      </c>
      <c r="C1929" s="32" t="s">
        <v>336</v>
      </c>
      <c r="D1929" s="33" t="s">
        <v>4763</v>
      </c>
      <c r="E1929" s="32" t="s">
        <v>643</v>
      </c>
      <c r="F1929" s="32"/>
    </row>
    <row r="1930" spans="1:6" ht="12.75" customHeight="1">
      <c r="A1930" s="32">
        <v>70652</v>
      </c>
      <c r="B1930" s="32" t="s">
        <v>4764</v>
      </c>
      <c r="C1930" s="32" t="s">
        <v>4765</v>
      </c>
      <c r="D1930" s="33" t="s">
        <v>4766</v>
      </c>
      <c r="E1930" s="32" t="s">
        <v>643</v>
      </c>
      <c r="F1930" s="32"/>
    </row>
    <row r="1931" spans="1:6" ht="12.75" customHeight="1">
      <c r="A1931" s="32">
        <v>70653</v>
      </c>
      <c r="B1931" s="32" t="s">
        <v>4767</v>
      </c>
      <c r="C1931" s="32" t="s">
        <v>966</v>
      </c>
      <c r="D1931" s="33" t="s">
        <v>4768</v>
      </c>
      <c r="E1931" s="32" t="s">
        <v>643</v>
      </c>
      <c r="F1931" s="32"/>
    </row>
    <row r="1932" spans="1:6" ht="12.75" customHeight="1">
      <c r="A1932" s="32">
        <v>70654</v>
      </c>
      <c r="B1932" s="32" t="s">
        <v>4769</v>
      </c>
      <c r="C1932" s="32" t="s">
        <v>4770</v>
      </c>
      <c r="D1932" s="33" t="s">
        <v>4771</v>
      </c>
      <c r="E1932" s="32" t="s">
        <v>643</v>
      </c>
      <c r="F1932" s="32"/>
    </row>
    <row r="1933" spans="1:6" ht="12.75" customHeight="1">
      <c r="A1933" s="32">
        <v>70655</v>
      </c>
      <c r="B1933" s="32" t="s">
        <v>4772</v>
      </c>
      <c r="C1933" s="32" t="s">
        <v>638</v>
      </c>
      <c r="D1933" s="33" t="s">
        <v>4773</v>
      </c>
      <c r="E1933" s="32" t="s">
        <v>643</v>
      </c>
      <c r="F1933" s="32"/>
    </row>
    <row r="1934" spans="1:6" ht="12.75" customHeight="1">
      <c r="A1934" s="32">
        <v>70656</v>
      </c>
      <c r="B1934" s="32" t="s">
        <v>4774</v>
      </c>
      <c r="C1934" s="32" t="s">
        <v>261</v>
      </c>
      <c r="D1934" s="33" t="s">
        <v>4775</v>
      </c>
      <c r="E1934" s="32" t="s">
        <v>643</v>
      </c>
      <c r="F1934" s="32"/>
    </row>
    <row r="1935" spans="1:6" ht="12.75" customHeight="1">
      <c r="A1935" s="32">
        <v>70657</v>
      </c>
      <c r="B1935" s="32" t="s">
        <v>4776</v>
      </c>
      <c r="C1935" s="32" t="s">
        <v>263</v>
      </c>
      <c r="D1935" s="33" t="s">
        <v>4777</v>
      </c>
      <c r="E1935" s="32" t="s">
        <v>643</v>
      </c>
      <c r="F1935" s="32"/>
    </row>
    <row r="1936" spans="1:6" ht="12.75" customHeight="1">
      <c r="A1936" s="32">
        <v>70658</v>
      </c>
      <c r="B1936" s="32" t="s">
        <v>4778</v>
      </c>
      <c r="C1936" s="32" t="s">
        <v>1413</v>
      </c>
      <c r="D1936" s="33" t="s">
        <v>4779</v>
      </c>
      <c r="E1936" s="32" t="s">
        <v>643</v>
      </c>
      <c r="F1936" s="32"/>
    </row>
    <row r="1937" spans="1:6" ht="12.75" customHeight="1">
      <c r="A1937" s="32">
        <v>70659</v>
      </c>
      <c r="B1937" s="32" t="s">
        <v>4780</v>
      </c>
      <c r="C1937" s="32" t="s">
        <v>1246</v>
      </c>
      <c r="D1937" s="33" t="s">
        <v>4781</v>
      </c>
      <c r="E1937" s="32" t="s">
        <v>643</v>
      </c>
      <c r="F1937" s="32"/>
    </row>
    <row r="1938" spans="1:6" ht="12.75" customHeight="1">
      <c r="A1938" s="32">
        <v>70661</v>
      </c>
      <c r="B1938" s="32" t="s">
        <v>2300</v>
      </c>
      <c r="C1938" s="32" t="s">
        <v>336</v>
      </c>
      <c r="D1938" s="33" t="s">
        <v>4782</v>
      </c>
      <c r="E1938" s="32" t="s">
        <v>643</v>
      </c>
      <c r="F1938" s="32"/>
    </row>
    <row r="1939" spans="1:6" ht="12.75" customHeight="1">
      <c r="A1939" s="32">
        <v>70662</v>
      </c>
      <c r="B1939" s="32" t="s">
        <v>4783</v>
      </c>
      <c r="C1939" s="32" t="s">
        <v>778</v>
      </c>
      <c r="D1939" s="33" t="s">
        <v>4784</v>
      </c>
      <c r="E1939" s="32" t="s">
        <v>643</v>
      </c>
      <c r="F1939" s="32"/>
    </row>
    <row r="1940" spans="1:6" ht="12.75" customHeight="1">
      <c r="A1940" s="32">
        <v>70663</v>
      </c>
      <c r="B1940" s="32" t="s">
        <v>4785</v>
      </c>
      <c r="C1940" s="32" t="s">
        <v>1413</v>
      </c>
      <c r="D1940" s="33" t="s">
        <v>4786</v>
      </c>
      <c r="E1940" s="32" t="s">
        <v>643</v>
      </c>
      <c r="F1940" s="32"/>
    </row>
    <row r="1941" spans="1:6" ht="12.75" customHeight="1">
      <c r="A1941" s="32">
        <v>70664</v>
      </c>
      <c r="B1941" s="32" t="s">
        <v>3321</v>
      </c>
      <c r="C1941" s="32" t="s">
        <v>3322</v>
      </c>
      <c r="D1941" s="33" t="s">
        <v>4787</v>
      </c>
      <c r="E1941" s="32" t="s">
        <v>643</v>
      </c>
      <c r="F1941" s="32"/>
    </row>
    <row r="1942" spans="1:6" ht="12.75" customHeight="1">
      <c r="A1942" s="32">
        <v>70665</v>
      </c>
      <c r="B1942" s="32" t="s">
        <v>943</v>
      </c>
      <c r="C1942" s="32" t="s">
        <v>1413</v>
      </c>
      <c r="D1942" s="33" t="s">
        <v>4788</v>
      </c>
      <c r="E1942" s="32" t="s">
        <v>643</v>
      </c>
      <c r="F1942" s="32"/>
    </row>
    <row r="1943" spans="1:6" ht="12.75" customHeight="1">
      <c r="A1943" s="32">
        <v>70666</v>
      </c>
      <c r="B1943" s="32" t="s">
        <v>4789</v>
      </c>
      <c r="C1943" s="32" t="s">
        <v>802</v>
      </c>
      <c r="D1943" s="33" t="s">
        <v>4790</v>
      </c>
      <c r="E1943" s="32" t="s">
        <v>643</v>
      </c>
      <c r="F1943" s="32"/>
    </row>
    <row r="1944" spans="1:6" ht="12.75" customHeight="1">
      <c r="A1944" s="32">
        <v>70667</v>
      </c>
      <c r="B1944" s="32" t="s">
        <v>4791</v>
      </c>
      <c r="C1944" s="32" t="s">
        <v>4792</v>
      </c>
      <c r="D1944" s="33" t="s">
        <v>4793</v>
      </c>
      <c r="E1944" s="32" t="s">
        <v>643</v>
      </c>
      <c r="F1944" s="32"/>
    </row>
    <row r="1945" spans="1:6" ht="12.75" customHeight="1">
      <c r="A1945" s="32">
        <v>70668</v>
      </c>
      <c r="B1945" s="32" t="s">
        <v>4791</v>
      </c>
      <c r="C1945" s="32" t="s">
        <v>4794</v>
      </c>
      <c r="D1945" s="33" t="s">
        <v>4795</v>
      </c>
      <c r="E1945" s="32" t="s">
        <v>643</v>
      </c>
      <c r="F1945" s="32"/>
    </row>
    <row r="1946" spans="1:6" ht="12.75" customHeight="1">
      <c r="A1946" s="32">
        <v>70670</v>
      </c>
      <c r="B1946" s="32" t="s">
        <v>4797</v>
      </c>
      <c r="C1946" s="32" t="s">
        <v>4798</v>
      </c>
      <c r="D1946" s="33" t="s">
        <v>4799</v>
      </c>
      <c r="E1946" s="32" t="s">
        <v>643</v>
      </c>
      <c r="F1946" s="32"/>
    </row>
    <row r="1947" spans="1:6" ht="12.75" customHeight="1">
      <c r="A1947" s="32">
        <v>70671</v>
      </c>
      <c r="B1947" s="32" t="s">
        <v>4797</v>
      </c>
      <c r="C1947" s="32" t="s">
        <v>4800</v>
      </c>
      <c r="D1947" s="33" t="s">
        <v>4801</v>
      </c>
      <c r="E1947" s="32" t="s">
        <v>643</v>
      </c>
      <c r="F1947" s="32"/>
    </row>
    <row r="1948" spans="1:6" ht="12.75" customHeight="1">
      <c r="A1948" s="32">
        <v>70672</v>
      </c>
      <c r="B1948" s="32" t="s">
        <v>4964</v>
      </c>
      <c r="C1948" s="32" t="s">
        <v>4792</v>
      </c>
      <c r="D1948" s="33" t="s">
        <v>5022</v>
      </c>
      <c r="E1948" s="32" t="s">
        <v>643</v>
      </c>
      <c r="F1948" s="32"/>
    </row>
    <row r="1949" spans="1:6" ht="12.75" customHeight="1">
      <c r="A1949" s="32">
        <v>70673</v>
      </c>
      <c r="B1949" s="32" t="s">
        <v>4802</v>
      </c>
      <c r="C1949" s="32" t="s">
        <v>4794</v>
      </c>
      <c r="D1949" s="33" t="s">
        <v>4803</v>
      </c>
      <c r="E1949" s="32" t="s">
        <v>643</v>
      </c>
      <c r="F1949" s="32"/>
    </row>
    <row r="1950" spans="1:6" ht="12.75" customHeight="1">
      <c r="A1950" s="32">
        <v>70674</v>
      </c>
      <c r="B1950" s="32" t="s">
        <v>4804</v>
      </c>
      <c r="C1950" s="32" t="s">
        <v>4805</v>
      </c>
      <c r="D1950" s="33" t="s">
        <v>4806</v>
      </c>
      <c r="E1950" s="32" t="s">
        <v>643</v>
      </c>
      <c r="F1950" s="32"/>
    </row>
    <row r="1951" spans="1:6" ht="12.75" customHeight="1">
      <c r="A1951" s="32">
        <v>70675</v>
      </c>
      <c r="B1951" s="32" t="s">
        <v>4807</v>
      </c>
      <c r="C1951" s="32" t="s">
        <v>4808</v>
      </c>
      <c r="D1951" s="33" t="s">
        <v>4809</v>
      </c>
      <c r="E1951" s="32" t="s">
        <v>643</v>
      </c>
      <c r="F1951" s="32"/>
    </row>
    <row r="1952" spans="1:6" ht="12.75" customHeight="1">
      <c r="A1952" s="32">
        <v>70676</v>
      </c>
      <c r="B1952" s="32" t="s">
        <v>4810</v>
      </c>
      <c r="C1952" s="32" t="s">
        <v>4798</v>
      </c>
      <c r="D1952" s="33" t="s">
        <v>4811</v>
      </c>
      <c r="E1952" s="32" t="s">
        <v>643</v>
      </c>
      <c r="F1952" s="32"/>
    </row>
    <row r="1953" spans="1:6" ht="12.75" customHeight="1">
      <c r="A1953" s="32">
        <v>70677</v>
      </c>
      <c r="B1953" s="32" t="s">
        <v>4812</v>
      </c>
      <c r="C1953" s="32" t="s">
        <v>788</v>
      </c>
      <c r="D1953" s="33" t="s">
        <v>4813</v>
      </c>
      <c r="E1953" s="32" t="s">
        <v>643</v>
      </c>
      <c r="F1953" s="32"/>
    </row>
    <row r="1954" spans="1:6" ht="12.75" customHeight="1">
      <c r="A1954" s="32">
        <v>70678</v>
      </c>
      <c r="B1954" s="32" t="s">
        <v>4814</v>
      </c>
      <c r="C1954" s="32" t="s">
        <v>163</v>
      </c>
      <c r="D1954" s="33" t="s">
        <v>4815</v>
      </c>
      <c r="E1954" s="32" t="s">
        <v>643</v>
      </c>
      <c r="F1954" s="32"/>
    </row>
    <row r="1955" spans="1:6" ht="12.75" customHeight="1">
      <c r="A1955" s="32">
        <v>70679</v>
      </c>
      <c r="B1955" s="32" t="s">
        <v>1460</v>
      </c>
      <c r="C1955" s="32" t="s">
        <v>759</v>
      </c>
      <c r="D1955" s="33" t="s">
        <v>4816</v>
      </c>
      <c r="E1955" s="32" t="s">
        <v>643</v>
      </c>
      <c r="F1955" s="32"/>
    </row>
    <row r="1956" spans="1:6" ht="12.75" customHeight="1">
      <c r="A1956" s="32">
        <v>70680</v>
      </c>
      <c r="B1956" s="32" t="s">
        <v>4817</v>
      </c>
      <c r="C1956" s="32" t="s">
        <v>1414</v>
      </c>
      <c r="D1956" s="33" t="s">
        <v>4818</v>
      </c>
      <c r="E1956" s="32" t="s">
        <v>643</v>
      </c>
      <c r="F1956" s="32"/>
    </row>
    <row r="1957" spans="1:6" ht="12.75" customHeight="1">
      <c r="A1957" s="32">
        <v>70681</v>
      </c>
      <c r="B1957" s="32" t="s">
        <v>4819</v>
      </c>
      <c r="C1957" s="32" t="s">
        <v>3233</v>
      </c>
      <c r="D1957" s="33" t="s">
        <v>4820</v>
      </c>
      <c r="E1957" s="32" t="s">
        <v>643</v>
      </c>
      <c r="F1957" s="32"/>
    </row>
    <row r="1958" spans="1:6" ht="12.75" customHeight="1">
      <c r="A1958" s="32">
        <v>70682</v>
      </c>
      <c r="B1958" s="32" t="s">
        <v>4821</v>
      </c>
      <c r="C1958" s="32" t="s">
        <v>2598</v>
      </c>
      <c r="D1958" s="33" t="s">
        <v>4822</v>
      </c>
      <c r="E1958" s="32" t="s">
        <v>643</v>
      </c>
      <c r="F1958" s="32"/>
    </row>
    <row r="1959" spans="1:6" ht="12.75" customHeight="1">
      <c r="A1959" s="32">
        <v>70683</v>
      </c>
      <c r="B1959" s="32" t="s">
        <v>4823</v>
      </c>
      <c r="C1959" s="32" t="s">
        <v>553</v>
      </c>
      <c r="D1959" s="33" t="s">
        <v>4824</v>
      </c>
      <c r="E1959" s="32" t="s">
        <v>643</v>
      </c>
      <c r="F1959" s="32"/>
    </row>
    <row r="1960" spans="1:6" ht="12.75" customHeight="1">
      <c r="A1960" s="32">
        <v>70684</v>
      </c>
      <c r="B1960" s="32" t="s">
        <v>1465</v>
      </c>
      <c r="C1960" s="32" t="s">
        <v>989</v>
      </c>
      <c r="D1960" s="33" t="s">
        <v>4825</v>
      </c>
      <c r="E1960" s="32" t="s">
        <v>643</v>
      </c>
      <c r="F1960" s="32"/>
    </row>
    <row r="1961" spans="1:6" ht="12.75" customHeight="1">
      <c r="A1961" s="32">
        <v>70685</v>
      </c>
      <c r="B1961" s="32" t="s">
        <v>4826</v>
      </c>
      <c r="C1961" s="32" t="s">
        <v>966</v>
      </c>
      <c r="D1961" s="33" t="s">
        <v>4827</v>
      </c>
      <c r="E1961" s="32" t="s">
        <v>643</v>
      </c>
      <c r="F1961" s="32"/>
    </row>
    <row r="1962" spans="1:6" ht="12.75" customHeight="1">
      <c r="A1962" s="32">
        <v>70686</v>
      </c>
      <c r="B1962" s="32" t="s">
        <v>4828</v>
      </c>
      <c r="C1962" s="32" t="s">
        <v>4829</v>
      </c>
      <c r="D1962" s="33" t="s">
        <v>4830</v>
      </c>
      <c r="E1962" s="32" t="s">
        <v>643</v>
      </c>
      <c r="F1962" s="32"/>
    </row>
    <row r="1963" spans="1:6" ht="12.75" customHeight="1">
      <c r="A1963" s="32">
        <v>70687</v>
      </c>
      <c r="B1963" s="32" t="s">
        <v>4831</v>
      </c>
      <c r="C1963" s="32" t="s">
        <v>4832</v>
      </c>
      <c r="D1963" s="33" t="s">
        <v>4833</v>
      </c>
      <c r="E1963" s="32" t="s">
        <v>643</v>
      </c>
      <c r="F1963" s="32"/>
    </row>
    <row r="1964" spans="1:6" ht="12.75" customHeight="1">
      <c r="A1964" s="32">
        <v>70688</v>
      </c>
      <c r="B1964" s="32" t="s">
        <v>4834</v>
      </c>
      <c r="C1964" s="32" t="s">
        <v>4835</v>
      </c>
      <c r="D1964" s="33" t="s">
        <v>4836</v>
      </c>
      <c r="E1964" s="32" t="s">
        <v>643</v>
      </c>
      <c r="F1964" s="32"/>
    </row>
    <row r="1965" spans="1:6" ht="12.75" customHeight="1">
      <c r="A1965" s="32">
        <v>70689</v>
      </c>
      <c r="B1965" s="32" t="s">
        <v>4837</v>
      </c>
      <c r="C1965" s="32" t="s">
        <v>4838</v>
      </c>
      <c r="D1965" s="33" t="s">
        <v>4839</v>
      </c>
      <c r="E1965" s="32" t="s">
        <v>643</v>
      </c>
      <c r="F1965" s="32"/>
    </row>
    <row r="1966" spans="1:6" ht="12.75" customHeight="1">
      <c r="A1966" s="32">
        <v>70690</v>
      </c>
      <c r="B1966" s="32" t="s">
        <v>4840</v>
      </c>
      <c r="C1966" s="32" t="s">
        <v>4841</v>
      </c>
      <c r="D1966" s="33" t="s">
        <v>4842</v>
      </c>
      <c r="E1966" s="32" t="s">
        <v>643</v>
      </c>
      <c r="F1966" s="32"/>
    </row>
    <row r="1967" spans="1:6" ht="12.75" customHeight="1">
      <c r="A1967" s="32">
        <v>70691</v>
      </c>
      <c r="B1967" s="32" t="s">
        <v>4843</v>
      </c>
      <c r="C1967" s="32" t="s">
        <v>3322</v>
      </c>
      <c r="D1967" s="33" t="s">
        <v>4844</v>
      </c>
      <c r="E1967" s="32" t="s">
        <v>643</v>
      </c>
      <c r="F1967" s="32"/>
    </row>
    <row r="1968" spans="1:6" ht="12.75" customHeight="1">
      <c r="A1968" s="32">
        <v>70692</v>
      </c>
      <c r="B1968" s="32" t="s">
        <v>4845</v>
      </c>
      <c r="C1968" s="32" t="s">
        <v>4846</v>
      </c>
      <c r="D1968" s="33" t="s">
        <v>4847</v>
      </c>
      <c r="E1968" s="32" t="s">
        <v>643</v>
      </c>
      <c r="F1968" s="32"/>
    </row>
    <row r="1969" spans="1:6" ht="12.75" customHeight="1">
      <c r="A1969" s="32">
        <v>70693</v>
      </c>
      <c r="B1969" s="32" t="s">
        <v>4848</v>
      </c>
      <c r="C1969" s="32" t="s">
        <v>4849</v>
      </c>
      <c r="D1969" s="33" t="s">
        <v>4850</v>
      </c>
      <c r="E1969" s="32" t="s">
        <v>643</v>
      </c>
      <c r="F1969" s="32"/>
    </row>
    <row r="1970" spans="1:6" ht="12.75" customHeight="1">
      <c r="A1970" s="32">
        <v>70694</v>
      </c>
      <c r="B1970" s="32" t="s">
        <v>4851</v>
      </c>
      <c r="C1970" s="32" t="s">
        <v>1413</v>
      </c>
      <c r="D1970" s="33" t="s">
        <v>4852</v>
      </c>
      <c r="E1970" s="32" t="s">
        <v>643</v>
      </c>
      <c r="F1970" s="32"/>
    </row>
    <row r="1971" spans="1:6" ht="12.75" customHeight="1">
      <c r="A1971" s="32">
        <v>70695</v>
      </c>
      <c r="B1971" s="32" t="s">
        <v>3188</v>
      </c>
      <c r="C1971" s="32" t="s">
        <v>584</v>
      </c>
      <c r="D1971" s="33" t="s">
        <v>4853</v>
      </c>
      <c r="E1971" s="32" t="s">
        <v>643</v>
      </c>
      <c r="F1971" s="32"/>
    </row>
    <row r="1972" spans="1:6" ht="12.75" customHeight="1">
      <c r="A1972" s="32">
        <v>70696</v>
      </c>
      <c r="B1972" s="32" t="s">
        <v>4854</v>
      </c>
      <c r="C1972" s="32" t="s">
        <v>4855</v>
      </c>
      <c r="D1972" s="33" t="s">
        <v>4856</v>
      </c>
      <c r="E1972" s="32" t="s">
        <v>643</v>
      </c>
      <c r="F1972" s="32"/>
    </row>
    <row r="1973" spans="1:6" ht="12.75" customHeight="1">
      <c r="A1973" s="32">
        <v>70698</v>
      </c>
      <c r="B1973" s="32" t="s">
        <v>4857</v>
      </c>
      <c r="C1973" s="32" t="s">
        <v>1527</v>
      </c>
      <c r="D1973" s="33" t="s">
        <v>4858</v>
      </c>
      <c r="E1973" s="32" t="s">
        <v>643</v>
      </c>
      <c r="F1973" s="32"/>
    </row>
    <row r="1974" spans="1:6" ht="12.75" customHeight="1">
      <c r="A1974" s="32">
        <v>70699</v>
      </c>
      <c r="B1974" s="32" t="s">
        <v>4859</v>
      </c>
      <c r="C1974" s="32" t="s">
        <v>802</v>
      </c>
      <c r="D1974" s="33" t="s">
        <v>4860</v>
      </c>
      <c r="E1974" s="32" t="s">
        <v>643</v>
      </c>
      <c r="F1974" s="32"/>
    </row>
    <row r="1975" spans="1:6" ht="12.75" customHeight="1">
      <c r="A1975" s="32">
        <v>70700</v>
      </c>
      <c r="B1975" s="32" t="s">
        <v>312</v>
      </c>
      <c r="C1975" s="32" t="s">
        <v>370</v>
      </c>
      <c r="D1975" s="33" t="s">
        <v>4861</v>
      </c>
      <c r="E1975" s="32" t="s">
        <v>643</v>
      </c>
      <c r="F1975" s="32"/>
    </row>
    <row r="1976" spans="1:6" ht="12.75" customHeight="1">
      <c r="A1976" s="32">
        <v>70701</v>
      </c>
      <c r="B1976" s="32" t="s">
        <v>4862</v>
      </c>
      <c r="C1976" s="32" t="s">
        <v>1413</v>
      </c>
      <c r="D1976" s="33" t="s">
        <v>4863</v>
      </c>
      <c r="E1976" s="32" t="s">
        <v>643</v>
      </c>
      <c r="F1976" s="32"/>
    </row>
    <row r="1977" spans="1:6" ht="12.75" customHeight="1">
      <c r="A1977" s="32">
        <v>70702</v>
      </c>
      <c r="B1977" s="32" t="s">
        <v>4864</v>
      </c>
      <c r="C1977" s="32" t="s">
        <v>1364</v>
      </c>
      <c r="D1977" s="33" t="s">
        <v>4865</v>
      </c>
      <c r="E1977" s="32" t="s">
        <v>643</v>
      </c>
      <c r="F1977" s="32"/>
    </row>
    <row r="1978" spans="1:6" ht="12.75" customHeight="1">
      <c r="A1978" s="32">
        <v>70703</v>
      </c>
      <c r="B1978" s="32" t="s">
        <v>4866</v>
      </c>
      <c r="C1978" s="32" t="s">
        <v>966</v>
      </c>
      <c r="D1978" s="33" t="s">
        <v>4867</v>
      </c>
      <c r="E1978" s="32" t="s">
        <v>643</v>
      </c>
      <c r="F1978" s="32"/>
    </row>
    <row r="1979" spans="1:6" ht="12.75" customHeight="1">
      <c r="A1979" s="32">
        <v>70704</v>
      </c>
      <c r="B1979" s="32" t="s">
        <v>4868</v>
      </c>
      <c r="C1979" s="32" t="s">
        <v>4869</v>
      </c>
      <c r="D1979" s="33" t="s">
        <v>4870</v>
      </c>
      <c r="E1979" s="32" t="s">
        <v>643</v>
      </c>
      <c r="F1979" s="32"/>
    </row>
    <row r="1980" spans="1:6" ht="12.75" customHeight="1">
      <c r="A1980" s="32">
        <v>70705</v>
      </c>
      <c r="B1980" s="32" t="s">
        <v>4871</v>
      </c>
      <c r="C1980" s="32" t="s">
        <v>4872</v>
      </c>
      <c r="D1980" s="33" t="s">
        <v>4873</v>
      </c>
      <c r="E1980" s="32" t="s">
        <v>643</v>
      </c>
      <c r="F1980" s="32"/>
    </row>
    <row r="1981" spans="1:6" ht="12.75" customHeight="1">
      <c r="A1981" s="32">
        <v>70706</v>
      </c>
      <c r="B1981" s="32" t="s">
        <v>4874</v>
      </c>
      <c r="C1981" s="32" t="s">
        <v>4875</v>
      </c>
      <c r="D1981" s="33" t="s">
        <v>4876</v>
      </c>
      <c r="E1981" s="32" t="s">
        <v>643</v>
      </c>
      <c r="F1981" s="32"/>
    </row>
    <row r="1982" spans="1:6" ht="12.75" customHeight="1">
      <c r="A1982" s="32">
        <v>70707</v>
      </c>
      <c r="B1982" s="32" t="s">
        <v>4877</v>
      </c>
      <c r="C1982" s="32" t="s">
        <v>4872</v>
      </c>
      <c r="D1982" s="33" t="s">
        <v>4878</v>
      </c>
      <c r="E1982" s="32" t="s">
        <v>643</v>
      </c>
      <c r="F1982" s="32"/>
    </row>
    <row r="1983" spans="1:6" ht="12.75" customHeight="1">
      <c r="A1983" s="32">
        <v>70708</v>
      </c>
      <c r="B1983" s="32" t="s">
        <v>4879</v>
      </c>
      <c r="C1983" s="32" t="s">
        <v>4796</v>
      </c>
      <c r="D1983" s="33" t="s">
        <v>4880</v>
      </c>
      <c r="E1983" s="32" t="s">
        <v>643</v>
      </c>
      <c r="F1983" s="32"/>
    </row>
    <row r="1984" spans="1:6" ht="12.75" customHeight="1">
      <c r="A1984" s="32">
        <v>70709</v>
      </c>
      <c r="B1984" s="32" t="s">
        <v>4881</v>
      </c>
      <c r="C1984" s="32" t="s">
        <v>246</v>
      </c>
      <c r="D1984" s="33" t="s">
        <v>4882</v>
      </c>
      <c r="E1984" s="32" t="s">
        <v>643</v>
      </c>
      <c r="F1984" s="32"/>
    </row>
    <row r="1985" spans="1:6" ht="12.75" customHeight="1">
      <c r="A1985" s="32">
        <v>70710</v>
      </c>
      <c r="B1985" s="32" t="s">
        <v>755</v>
      </c>
      <c r="C1985" s="32" t="s">
        <v>788</v>
      </c>
      <c r="D1985" s="33" t="s">
        <v>4883</v>
      </c>
      <c r="E1985" s="32" t="s">
        <v>643</v>
      </c>
      <c r="F1985" s="32"/>
    </row>
    <row r="1986" spans="1:6" ht="12.75" customHeight="1">
      <c r="A1986" s="32">
        <v>70711</v>
      </c>
      <c r="B1986" s="32" t="s">
        <v>4884</v>
      </c>
      <c r="C1986" s="32" t="s">
        <v>553</v>
      </c>
      <c r="D1986" s="33" t="s">
        <v>4885</v>
      </c>
      <c r="E1986" s="32" t="s">
        <v>643</v>
      </c>
      <c r="F1986" s="32"/>
    </row>
    <row r="1987" spans="1:6" ht="12.75" customHeight="1">
      <c r="A1987" s="32">
        <v>70712</v>
      </c>
      <c r="B1987" s="32" t="s">
        <v>949</v>
      </c>
      <c r="C1987" s="32" t="s">
        <v>619</v>
      </c>
      <c r="D1987" s="33" t="s">
        <v>4886</v>
      </c>
      <c r="E1987" s="32" t="s">
        <v>643</v>
      </c>
      <c r="F1987" s="32"/>
    </row>
    <row r="1988" spans="1:6" ht="12.75" customHeight="1">
      <c r="A1988" s="32">
        <v>70713</v>
      </c>
      <c r="B1988" s="32" t="s">
        <v>752</v>
      </c>
      <c r="C1988" s="32" t="s">
        <v>3269</v>
      </c>
      <c r="D1988" s="33" t="s">
        <v>4887</v>
      </c>
      <c r="E1988" s="32" t="s">
        <v>643</v>
      </c>
      <c r="F1988" s="32"/>
    </row>
    <row r="1989" spans="1:6" ht="12.75" customHeight="1">
      <c r="A1989" s="32">
        <v>70714</v>
      </c>
      <c r="B1989" s="32" t="s">
        <v>4888</v>
      </c>
      <c r="C1989" s="32" t="s">
        <v>194</v>
      </c>
      <c r="D1989" s="33" t="s">
        <v>4889</v>
      </c>
      <c r="E1989" s="32" t="s">
        <v>643</v>
      </c>
      <c r="F1989" s="32"/>
    </row>
    <row r="1990" spans="1:6" ht="12.75" customHeight="1">
      <c r="A1990" s="32">
        <v>70715</v>
      </c>
      <c r="B1990" s="32" t="s">
        <v>937</v>
      </c>
      <c r="C1990" s="32" t="s">
        <v>3276</v>
      </c>
      <c r="D1990" s="33" t="s">
        <v>4890</v>
      </c>
      <c r="E1990" s="32" t="s">
        <v>643</v>
      </c>
      <c r="F1990" s="32"/>
    </row>
    <row r="1991" spans="1:6" ht="12.75" customHeight="1">
      <c r="A1991" s="32">
        <v>70716</v>
      </c>
      <c r="B1991" s="32" t="s">
        <v>4891</v>
      </c>
      <c r="C1991" s="32" t="s">
        <v>2155</v>
      </c>
      <c r="D1991" s="33" t="s">
        <v>4892</v>
      </c>
      <c r="E1991" s="32" t="s">
        <v>643</v>
      </c>
      <c r="F1991" s="32"/>
    </row>
    <row r="1992" spans="1:6" ht="12.75" customHeight="1">
      <c r="A1992" s="32">
        <v>70717</v>
      </c>
      <c r="B1992" s="32" t="s">
        <v>4893</v>
      </c>
      <c r="C1992" s="32" t="s">
        <v>4796</v>
      </c>
      <c r="D1992" s="33" t="s">
        <v>4894</v>
      </c>
      <c r="E1992" s="32" t="s">
        <v>643</v>
      </c>
      <c r="F1992" s="32"/>
    </row>
    <row r="1993" spans="1:6" ht="12.75" customHeight="1">
      <c r="A1993" s="32">
        <v>70718</v>
      </c>
      <c r="B1993" s="32" t="s">
        <v>4895</v>
      </c>
      <c r="C1993" s="32" t="s">
        <v>4805</v>
      </c>
      <c r="D1993" s="33" t="s">
        <v>4896</v>
      </c>
      <c r="E1993" s="32" t="s">
        <v>643</v>
      </c>
      <c r="F1993" s="32"/>
    </row>
    <row r="1994" spans="1:6" ht="12.75" customHeight="1">
      <c r="A1994" s="32">
        <v>70719</v>
      </c>
      <c r="B1994" s="32" t="s">
        <v>4897</v>
      </c>
      <c r="C1994" s="32" t="s">
        <v>4898</v>
      </c>
      <c r="D1994" s="33" t="s">
        <v>4899</v>
      </c>
      <c r="E1994" s="32" t="s">
        <v>643</v>
      </c>
      <c r="F1994" s="32"/>
    </row>
    <row r="1995" spans="1:6" ht="12.75" customHeight="1">
      <c r="A1995" s="32">
        <v>70720</v>
      </c>
      <c r="B1995" s="32" t="s">
        <v>4900</v>
      </c>
      <c r="C1995" s="32" t="s">
        <v>4796</v>
      </c>
      <c r="D1995" s="33" t="s">
        <v>4901</v>
      </c>
      <c r="E1995" s="32" t="s">
        <v>643</v>
      </c>
      <c r="F1995" s="32"/>
    </row>
    <row r="1996" spans="1:6" ht="12.75" customHeight="1">
      <c r="A1996" s="32">
        <v>70721</v>
      </c>
      <c r="B1996" s="32" t="s">
        <v>4902</v>
      </c>
      <c r="C1996" s="32" t="s">
        <v>4903</v>
      </c>
      <c r="D1996" s="33" t="s">
        <v>4904</v>
      </c>
      <c r="E1996" s="32" t="s">
        <v>643</v>
      </c>
      <c r="F1996" s="32"/>
    </row>
    <row r="1997" spans="1:6" ht="12.75" customHeight="1">
      <c r="A1997" s="32">
        <v>70722</v>
      </c>
      <c r="B1997" s="32" t="s">
        <v>4905</v>
      </c>
      <c r="C1997" s="32" t="s">
        <v>4906</v>
      </c>
      <c r="D1997" s="33" t="s">
        <v>4907</v>
      </c>
      <c r="E1997" s="32" t="s">
        <v>643</v>
      </c>
      <c r="F1997" s="32"/>
    </row>
    <row r="1998" spans="1:6" ht="12.75" customHeight="1">
      <c r="A1998" s="32">
        <v>70723</v>
      </c>
      <c r="B1998" s="32" t="s">
        <v>4908</v>
      </c>
      <c r="C1998" s="32" t="s">
        <v>4909</v>
      </c>
      <c r="D1998" s="33" t="s">
        <v>4910</v>
      </c>
      <c r="E1998" s="32" t="s">
        <v>643</v>
      </c>
      <c r="F1998" s="32"/>
    </row>
    <row r="1999" spans="1:6" ht="12.75" customHeight="1">
      <c r="A1999" s="32">
        <v>70724</v>
      </c>
      <c r="B1999" s="32" t="s">
        <v>4911</v>
      </c>
      <c r="C1999" s="32" t="s">
        <v>4872</v>
      </c>
      <c r="D1999" s="33" t="s">
        <v>4912</v>
      </c>
      <c r="E1999" s="32" t="s">
        <v>643</v>
      </c>
      <c r="F1999" s="32"/>
    </row>
    <row r="2000" spans="1:6" ht="12.75" customHeight="1">
      <c r="A2000" s="32">
        <v>70725</v>
      </c>
      <c r="B2000" s="32" t="s">
        <v>4913</v>
      </c>
      <c r="C2000" s="32" t="s">
        <v>4796</v>
      </c>
      <c r="D2000" s="33" t="s">
        <v>4914</v>
      </c>
      <c r="E2000" s="32" t="s">
        <v>643</v>
      </c>
      <c r="F2000" s="32"/>
    </row>
    <row r="2001" spans="1:6" ht="12.75" customHeight="1">
      <c r="A2001" s="32">
        <v>70726</v>
      </c>
      <c r="B2001" s="32" t="s">
        <v>4915</v>
      </c>
      <c r="C2001" s="32" t="s">
        <v>4916</v>
      </c>
      <c r="D2001" s="33" t="s">
        <v>4917</v>
      </c>
      <c r="E2001" s="32" t="s">
        <v>643</v>
      </c>
      <c r="F2001" s="32"/>
    </row>
    <row r="2002" spans="1:6" ht="12.75" customHeight="1">
      <c r="A2002" s="32">
        <v>70727</v>
      </c>
      <c r="B2002" s="32" t="s">
        <v>4918</v>
      </c>
      <c r="C2002" s="32" t="s">
        <v>3322</v>
      </c>
      <c r="D2002" s="33" t="s">
        <v>4919</v>
      </c>
      <c r="E2002" s="32" t="s">
        <v>643</v>
      </c>
      <c r="F2002" s="32"/>
    </row>
    <row r="2003" spans="1:6" ht="12.75" customHeight="1">
      <c r="A2003" s="32">
        <v>70728</v>
      </c>
      <c r="B2003" s="32" t="s">
        <v>4920</v>
      </c>
      <c r="C2003" s="32" t="s">
        <v>4869</v>
      </c>
      <c r="D2003" s="33" t="s">
        <v>4921</v>
      </c>
      <c r="E2003" s="32" t="s">
        <v>643</v>
      </c>
      <c r="F2003" s="32"/>
    </row>
    <row r="2004" spans="1:6" ht="12.75" customHeight="1">
      <c r="A2004" s="32">
        <v>70729</v>
      </c>
      <c r="B2004" s="32" t="s">
        <v>4922</v>
      </c>
      <c r="C2004" s="32" t="s">
        <v>4796</v>
      </c>
      <c r="D2004" s="33" t="s">
        <v>4923</v>
      </c>
      <c r="E2004" s="32" t="s">
        <v>643</v>
      </c>
      <c r="F2004" s="32"/>
    </row>
    <row r="2005" spans="1:6" ht="12.75" customHeight="1">
      <c r="A2005" s="32">
        <v>70730</v>
      </c>
      <c r="B2005" s="32" t="s">
        <v>4924</v>
      </c>
      <c r="C2005" s="32" t="s">
        <v>2260</v>
      </c>
      <c r="D2005" s="33" t="s">
        <v>4925</v>
      </c>
      <c r="E2005" s="32" t="s">
        <v>643</v>
      </c>
      <c r="F2005" s="32"/>
    </row>
    <row r="2006" spans="1:6" ht="12.75" customHeight="1">
      <c r="A2006" s="32">
        <v>70731</v>
      </c>
      <c r="B2006" s="32" t="s">
        <v>4926</v>
      </c>
      <c r="C2006" s="32" t="s">
        <v>864</v>
      </c>
      <c r="D2006" s="33" t="s">
        <v>4927</v>
      </c>
      <c r="E2006" s="32" t="s">
        <v>643</v>
      </c>
      <c r="F2006" s="32"/>
    </row>
    <row r="2007" spans="1:6" ht="12.75" customHeight="1">
      <c r="A2007" s="32">
        <v>70732</v>
      </c>
      <c r="B2007" s="32" t="s">
        <v>4926</v>
      </c>
      <c r="C2007" s="32" t="s">
        <v>3322</v>
      </c>
      <c r="D2007" s="33" t="s">
        <v>4928</v>
      </c>
      <c r="E2007" s="32" t="s">
        <v>643</v>
      </c>
      <c r="F2007" s="32"/>
    </row>
    <row r="2008" spans="1:6" ht="12.75" customHeight="1">
      <c r="A2008" s="32">
        <v>70733</v>
      </c>
      <c r="B2008" s="32" t="s">
        <v>2594</v>
      </c>
      <c r="C2008" s="32" t="s">
        <v>266</v>
      </c>
      <c r="D2008" s="33" t="s">
        <v>5023</v>
      </c>
      <c r="E2008" s="32" t="s">
        <v>643</v>
      </c>
      <c r="F2008" s="32"/>
    </row>
    <row r="2009" spans="1:6" ht="12.75" customHeight="1">
      <c r="A2009" s="32">
        <v>70734</v>
      </c>
      <c r="B2009" s="32" t="s">
        <v>4965</v>
      </c>
      <c r="C2009" s="32" t="s">
        <v>423</v>
      </c>
      <c r="D2009" s="33" t="s">
        <v>5024</v>
      </c>
      <c r="E2009" s="32" t="s">
        <v>643</v>
      </c>
      <c r="F2009" s="32"/>
    </row>
    <row r="2010" spans="1:6" ht="12.75" customHeight="1">
      <c r="A2010" s="32">
        <v>70735</v>
      </c>
      <c r="B2010" s="32" t="s">
        <v>4966</v>
      </c>
      <c r="C2010" s="32" t="s">
        <v>802</v>
      </c>
      <c r="D2010" s="33" t="s">
        <v>5025</v>
      </c>
      <c r="E2010" s="32" t="s">
        <v>643</v>
      </c>
      <c r="F2010" s="32"/>
    </row>
    <row r="2011" spans="1:6" ht="12.75" customHeight="1">
      <c r="A2011" s="32">
        <v>70736</v>
      </c>
      <c r="B2011" s="32" t="s">
        <v>4967</v>
      </c>
      <c r="C2011" s="32" t="s">
        <v>1162</v>
      </c>
      <c r="D2011" s="33" t="s">
        <v>5026</v>
      </c>
      <c r="E2011" s="32" t="s">
        <v>643</v>
      </c>
      <c r="F2011" s="32"/>
    </row>
    <row r="2012" spans="1:6" ht="12.75" customHeight="1">
      <c r="A2012" s="32">
        <v>70737</v>
      </c>
      <c r="B2012" s="32" t="s">
        <v>4968</v>
      </c>
      <c r="C2012" s="32" t="s">
        <v>65</v>
      </c>
      <c r="D2012" s="33" t="s">
        <v>5027</v>
      </c>
      <c r="E2012" s="32" t="s">
        <v>643</v>
      </c>
      <c r="F2012" s="32"/>
    </row>
    <row r="2013" spans="1:6" ht="12.75" customHeight="1">
      <c r="A2013" s="32">
        <v>70738</v>
      </c>
      <c r="B2013" s="32" t="s">
        <v>301</v>
      </c>
      <c r="C2013" s="32" t="s">
        <v>864</v>
      </c>
      <c r="D2013" s="32" t="s">
        <v>5028</v>
      </c>
      <c r="E2013" s="32" t="s">
        <v>643</v>
      </c>
      <c r="F2013" s="32"/>
    </row>
    <row r="2014" spans="1:6" ht="12.75" customHeight="1">
      <c r="A2014" s="32">
        <v>70739</v>
      </c>
      <c r="B2014" s="32" t="s">
        <v>4969</v>
      </c>
      <c r="C2014" s="32" t="s">
        <v>1099</v>
      </c>
      <c r="D2014" s="32" t="s">
        <v>5030</v>
      </c>
      <c r="E2014" s="32" t="s">
        <v>643</v>
      </c>
      <c r="F2014" s="32"/>
    </row>
    <row r="2015" spans="1:6" ht="12.75" customHeight="1">
      <c r="A2015" s="32">
        <v>70740</v>
      </c>
      <c r="B2015" s="32" t="s">
        <v>4970</v>
      </c>
      <c r="C2015" s="32" t="s">
        <v>1414</v>
      </c>
      <c r="D2015" s="32" t="s">
        <v>5031</v>
      </c>
      <c r="E2015" s="32" t="s">
        <v>643</v>
      </c>
      <c r="F2015" s="32"/>
    </row>
    <row r="2016" spans="1:6" ht="12.75" customHeight="1">
      <c r="A2016" s="32">
        <v>70741</v>
      </c>
      <c r="B2016" s="32" t="s">
        <v>4971</v>
      </c>
      <c r="C2016" s="32" t="s">
        <v>4805</v>
      </c>
      <c r="D2016" s="32" t="s">
        <v>5032</v>
      </c>
      <c r="E2016" s="32" t="s">
        <v>643</v>
      </c>
      <c r="F2016" s="32"/>
    </row>
    <row r="2017" spans="1:6" ht="12.75" customHeight="1">
      <c r="A2017" s="32">
        <v>70742</v>
      </c>
      <c r="B2017" s="32" t="s">
        <v>4972</v>
      </c>
      <c r="C2017" s="32" t="s">
        <v>4805</v>
      </c>
      <c r="D2017" s="32" t="s">
        <v>5033</v>
      </c>
      <c r="E2017" s="32" t="s">
        <v>643</v>
      </c>
      <c r="F2017" s="32"/>
    </row>
    <row r="2018" spans="1:6" ht="12.75" customHeight="1">
      <c r="A2018" s="32">
        <v>70743</v>
      </c>
      <c r="B2018" s="32" t="s">
        <v>4973</v>
      </c>
      <c r="C2018" s="32" t="s">
        <v>4838</v>
      </c>
      <c r="D2018" s="32" t="s">
        <v>5034</v>
      </c>
      <c r="E2018" s="32" t="s">
        <v>643</v>
      </c>
      <c r="F2018" s="32"/>
    </row>
    <row r="2019" spans="1:6" ht="12.75" customHeight="1">
      <c r="A2019" s="32">
        <v>70744</v>
      </c>
      <c r="B2019" s="32" t="s">
        <v>4974</v>
      </c>
      <c r="C2019" s="32" t="s">
        <v>4829</v>
      </c>
      <c r="D2019" s="32" t="s">
        <v>5035</v>
      </c>
      <c r="E2019" s="32" t="s">
        <v>643</v>
      </c>
      <c r="F2019" s="32"/>
    </row>
    <row r="2020" spans="1:6" ht="12.75" customHeight="1">
      <c r="A2020" s="32">
        <v>70745</v>
      </c>
      <c r="B2020" s="32" t="s">
        <v>4975</v>
      </c>
      <c r="C2020" s="32" t="s">
        <v>4976</v>
      </c>
      <c r="D2020" s="32" t="s">
        <v>5036</v>
      </c>
      <c r="E2020" s="32" t="s">
        <v>643</v>
      </c>
      <c r="F2020" s="32"/>
    </row>
    <row r="2021" spans="1:6" ht="12.75" customHeight="1">
      <c r="A2021" s="32">
        <v>70746</v>
      </c>
      <c r="B2021" s="32" t="s">
        <v>4977</v>
      </c>
      <c r="C2021" s="32" t="s">
        <v>4978</v>
      </c>
      <c r="D2021" s="32" t="s">
        <v>5037</v>
      </c>
      <c r="E2021" s="32" t="s">
        <v>643</v>
      </c>
      <c r="F2021" s="32"/>
    </row>
    <row r="2022" spans="1:6" ht="12.75" customHeight="1">
      <c r="A2022" s="32">
        <v>70747</v>
      </c>
      <c r="B2022" s="32" t="s">
        <v>4979</v>
      </c>
      <c r="C2022" s="32" t="s">
        <v>4829</v>
      </c>
      <c r="D2022" s="32" t="s">
        <v>5038</v>
      </c>
      <c r="E2022" s="32" t="s">
        <v>643</v>
      </c>
      <c r="F2022" s="32"/>
    </row>
    <row r="2023" spans="1:6" ht="12.75" customHeight="1">
      <c r="A2023" s="32">
        <v>70748</v>
      </c>
      <c r="B2023" s="32" t="s">
        <v>4980</v>
      </c>
      <c r="C2023" s="32" t="s">
        <v>4981</v>
      </c>
      <c r="D2023" s="32" t="s">
        <v>5039</v>
      </c>
      <c r="E2023" s="32" t="s">
        <v>643</v>
      </c>
      <c r="F2023" s="32"/>
    </row>
    <row r="2024" spans="1:6" ht="12.75" customHeight="1">
      <c r="A2024" s="32">
        <v>70749</v>
      </c>
      <c r="B2024" s="32" t="s">
        <v>4982</v>
      </c>
      <c r="C2024" s="32" t="s">
        <v>4978</v>
      </c>
      <c r="D2024" s="32" t="s">
        <v>5040</v>
      </c>
      <c r="E2024" s="32" t="s">
        <v>643</v>
      </c>
      <c r="F2024" s="32"/>
    </row>
    <row r="2025" spans="1:6" ht="12.75" customHeight="1">
      <c r="A2025" s="32">
        <v>70750</v>
      </c>
      <c r="B2025" s="32" t="s">
        <v>4983</v>
      </c>
      <c r="C2025" s="32" t="s">
        <v>4808</v>
      </c>
      <c r="D2025" s="32" t="s">
        <v>5041</v>
      </c>
      <c r="E2025" s="32" t="s">
        <v>643</v>
      </c>
      <c r="F2025" s="32"/>
    </row>
    <row r="2026" spans="1:6" ht="12.75" customHeight="1">
      <c r="A2026" s="32">
        <v>70751</v>
      </c>
      <c r="B2026" s="32" t="s">
        <v>4984</v>
      </c>
      <c r="C2026" s="32" t="s">
        <v>3322</v>
      </c>
      <c r="D2026" s="32" t="s">
        <v>5042</v>
      </c>
      <c r="E2026" s="32" t="s">
        <v>643</v>
      </c>
      <c r="F2026" s="32"/>
    </row>
    <row r="2027" spans="1:6" ht="12.75" customHeight="1">
      <c r="A2027" s="32">
        <v>70752</v>
      </c>
      <c r="B2027" s="32" t="s">
        <v>4985</v>
      </c>
      <c r="C2027" s="32" t="s">
        <v>65</v>
      </c>
      <c r="D2027" s="32" t="s">
        <v>5043</v>
      </c>
      <c r="E2027" s="32" t="s">
        <v>643</v>
      </c>
      <c r="F2027" s="32"/>
    </row>
    <row r="2028" spans="1:6" ht="12.75" customHeight="1">
      <c r="A2028" s="32">
        <v>70753</v>
      </c>
      <c r="B2028" s="32" t="s">
        <v>4986</v>
      </c>
      <c r="C2028" s="32" t="s">
        <v>263</v>
      </c>
      <c r="D2028" s="32" t="s">
        <v>5044</v>
      </c>
      <c r="E2028" s="32" t="s">
        <v>643</v>
      </c>
      <c r="F2028" s="32"/>
    </row>
    <row r="2029" spans="1:6" ht="12.75" customHeight="1">
      <c r="A2029" s="32">
        <v>70754</v>
      </c>
      <c r="B2029" s="32" t="s">
        <v>4987</v>
      </c>
      <c r="C2029" s="32" t="s">
        <v>553</v>
      </c>
      <c r="D2029" s="32" t="s">
        <v>5045</v>
      </c>
      <c r="E2029" s="32" t="s">
        <v>643</v>
      </c>
      <c r="F2029" s="32"/>
    </row>
    <row r="2030" spans="1:6" ht="12.75" customHeight="1">
      <c r="A2030" s="32">
        <v>70755</v>
      </c>
      <c r="B2030" s="32" t="s">
        <v>4988</v>
      </c>
      <c r="C2030" s="32" t="s">
        <v>1013</v>
      </c>
      <c r="D2030" s="32" t="s">
        <v>5046</v>
      </c>
      <c r="E2030" s="32" t="s">
        <v>643</v>
      </c>
      <c r="F2030" s="32"/>
    </row>
    <row r="2031" spans="1:6" ht="12.75" customHeight="1">
      <c r="A2031" s="32">
        <v>70756</v>
      </c>
      <c r="B2031" s="32" t="s">
        <v>4989</v>
      </c>
      <c r="C2031" s="32" t="s">
        <v>266</v>
      </c>
      <c r="D2031" s="32" t="s">
        <v>5047</v>
      </c>
      <c r="E2031" s="32" t="s">
        <v>643</v>
      </c>
      <c r="F2031" s="32"/>
    </row>
    <row r="2032" spans="1:6" ht="12.75" customHeight="1">
      <c r="A2032" s="32">
        <v>70757</v>
      </c>
      <c r="B2032" s="32" t="s">
        <v>4990</v>
      </c>
      <c r="C2032" s="32" t="s">
        <v>402</v>
      </c>
      <c r="D2032" s="32" t="s">
        <v>5048</v>
      </c>
      <c r="E2032" s="32" t="s">
        <v>643</v>
      </c>
      <c r="F2032" s="32"/>
    </row>
    <row r="2033" spans="1:6" ht="12.75" customHeight="1">
      <c r="A2033" s="32">
        <v>70758</v>
      </c>
      <c r="B2033" s="32" t="s">
        <v>4991</v>
      </c>
      <c r="C2033" s="32" t="s">
        <v>4798</v>
      </c>
      <c r="D2033" s="32" t="s">
        <v>5049</v>
      </c>
      <c r="E2033" s="32" t="s">
        <v>643</v>
      </c>
      <c r="F2033" s="32"/>
    </row>
    <row r="2034" spans="1:6" ht="12.75" customHeight="1">
      <c r="A2034" s="32">
        <v>70759</v>
      </c>
      <c r="B2034" s="32" t="s">
        <v>4992</v>
      </c>
      <c r="C2034" s="32" t="s">
        <v>4993</v>
      </c>
      <c r="D2034" s="32" t="s">
        <v>5050</v>
      </c>
      <c r="E2034" s="32" t="s">
        <v>643</v>
      </c>
      <c r="F2034" s="32"/>
    </row>
    <row r="2035" spans="1:6" ht="12.75" customHeight="1">
      <c r="A2035" s="32">
        <v>70760</v>
      </c>
      <c r="B2035" s="32" t="s">
        <v>4994</v>
      </c>
      <c r="C2035" s="32" t="s">
        <v>4995</v>
      </c>
      <c r="D2035" s="32" t="s">
        <v>4951</v>
      </c>
      <c r="E2035" s="32" t="s">
        <v>643</v>
      </c>
      <c r="F2035" s="32"/>
    </row>
    <row r="2036" spans="1:6" ht="12.75" customHeight="1">
      <c r="A2036" s="32">
        <v>70761</v>
      </c>
      <c r="B2036" s="32" t="s">
        <v>4996</v>
      </c>
      <c r="C2036" s="32" t="s">
        <v>4978</v>
      </c>
      <c r="D2036" s="32" t="s">
        <v>5051</v>
      </c>
      <c r="E2036" s="32" t="s">
        <v>643</v>
      </c>
      <c r="F2036" s="32"/>
    </row>
    <row r="2037" spans="1:6" ht="12.75" customHeight="1">
      <c r="A2037" s="32">
        <v>70762</v>
      </c>
      <c r="B2037" s="32" t="s">
        <v>4997</v>
      </c>
      <c r="C2037" s="32" t="s">
        <v>4998</v>
      </c>
      <c r="D2037" s="32" t="s">
        <v>5052</v>
      </c>
      <c r="E2037" s="32" t="s">
        <v>643</v>
      </c>
      <c r="F2037" s="32"/>
    </row>
    <row r="2038" spans="1:6" ht="12.75" customHeight="1">
      <c r="A2038" s="32">
        <v>70763</v>
      </c>
      <c r="B2038" s="32" t="s">
        <v>4999</v>
      </c>
      <c r="C2038" s="32" t="s">
        <v>5000</v>
      </c>
      <c r="D2038" s="32" t="s">
        <v>5053</v>
      </c>
      <c r="E2038" s="32" t="s">
        <v>643</v>
      </c>
      <c r="F2038" s="32"/>
    </row>
    <row r="2039" spans="1:6" ht="12.75" customHeight="1">
      <c r="A2039" s="32">
        <v>70764</v>
      </c>
      <c r="B2039" s="32" t="s">
        <v>5001</v>
      </c>
      <c r="C2039" s="32" t="s">
        <v>4805</v>
      </c>
      <c r="D2039" s="32" t="s">
        <v>5054</v>
      </c>
      <c r="E2039" s="32" t="s">
        <v>643</v>
      </c>
      <c r="F2039" s="32"/>
    </row>
    <row r="2040" spans="1:6" ht="12.75" customHeight="1">
      <c r="A2040" s="32">
        <v>70765</v>
      </c>
      <c r="B2040" s="32" t="s">
        <v>5002</v>
      </c>
      <c r="C2040" s="32" t="s">
        <v>5003</v>
      </c>
      <c r="D2040" s="32" t="s">
        <v>5055</v>
      </c>
      <c r="E2040" s="32" t="s">
        <v>643</v>
      </c>
      <c r="F2040" s="32"/>
    </row>
    <row r="2041" spans="1:6" ht="12.75" customHeight="1">
      <c r="A2041" s="32">
        <v>70766</v>
      </c>
      <c r="B2041" s="32" t="s">
        <v>5004</v>
      </c>
      <c r="C2041" s="32" t="s">
        <v>5005</v>
      </c>
      <c r="D2041" s="32" t="s">
        <v>5056</v>
      </c>
      <c r="E2041" s="32" t="s">
        <v>643</v>
      </c>
      <c r="F2041" s="32"/>
    </row>
    <row r="2042" spans="1:6" ht="12.75" customHeight="1">
      <c r="A2042" s="32">
        <v>70767</v>
      </c>
      <c r="B2042" s="32" t="s">
        <v>5004</v>
      </c>
      <c r="C2042" s="32" t="s">
        <v>5006</v>
      </c>
      <c r="D2042" s="32" t="s">
        <v>5057</v>
      </c>
      <c r="E2042" s="32" t="s">
        <v>643</v>
      </c>
      <c r="F2042" s="32"/>
    </row>
    <row r="2043" spans="1:6" ht="12.75" customHeight="1">
      <c r="A2043" s="32">
        <v>70768</v>
      </c>
      <c r="B2043" s="32" t="s">
        <v>5007</v>
      </c>
      <c r="C2043" s="32" t="s">
        <v>4978</v>
      </c>
      <c r="D2043" s="32" t="s">
        <v>5058</v>
      </c>
      <c r="E2043" s="32" t="s">
        <v>643</v>
      </c>
      <c r="F2043" s="32"/>
    </row>
    <row r="2044" spans="1:6" ht="12.75" customHeight="1">
      <c r="F2044" s="32"/>
    </row>
    <row r="2045" spans="1:6" ht="12.75" customHeight="1">
      <c r="F2045" s="32"/>
    </row>
    <row r="2046" spans="1:6" ht="12.75" customHeight="1">
      <c r="F2046" s="32"/>
    </row>
    <row r="2047" spans="1:6" ht="12.75" customHeight="1">
      <c r="F2047" s="32"/>
    </row>
    <row r="2048" spans="1:6" ht="12.75" customHeight="1">
      <c r="F2048" s="32"/>
    </row>
    <row r="2049" spans="6:6" ht="12.75" customHeight="1">
      <c r="F2049" s="32"/>
    </row>
    <row r="2050" spans="6:6" ht="12.75" customHeight="1">
      <c r="F2050" s="32"/>
    </row>
    <row r="2051" spans="6:6" ht="12.75" customHeight="1">
      <c r="F2051" s="32"/>
    </row>
    <row r="2052" spans="6:6" ht="12.75" customHeight="1">
      <c r="F2052" s="32"/>
    </row>
    <row r="2053" spans="6:6" ht="12.75" customHeight="1">
      <c r="F2053" s="32"/>
    </row>
    <row r="2054" spans="6:6" ht="12.75" customHeight="1">
      <c r="F2054" s="32"/>
    </row>
    <row r="2055" spans="6:6" ht="12.75" customHeight="1">
      <c r="F2055" s="32"/>
    </row>
    <row r="2056" spans="6:6" ht="12.75" customHeight="1">
      <c r="F2056" s="32"/>
    </row>
    <row r="2057" spans="6:6" ht="12.75" customHeight="1">
      <c r="F2057" s="32"/>
    </row>
    <row r="2058" spans="6:6" ht="12.75" customHeight="1">
      <c r="F2058" s="32"/>
    </row>
    <row r="2059" spans="6:6" ht="12.75" customHeight="1">
      <c r="F2059" s="32"/>
    </row>
    <row r="2060" spans="6:6" ht="12.75" customHeight="1">
      <c r="F2060" s="32"/>
    </row>
    <row r="2061" spans="6:6" ht="12.75" customHeight="1">
      <c r="F2061" s="32"/>
    </row>
    <row r="2062" spans="6:6" ht="12.75" customHeight="1">
      <c r="F2062" s="32"/>
    </row>
    <row r="2063" spans="6:6" ht="12.75" customHeight="1">
      <c r="F2063" s="32"/>
    </row>
    <row r="2064" spans="6:6" ht="12.75" customHeight="1">
      <c r="F2064" s="32"/>
    </row>
    <row r="2065" spans="6:6" ht="12.75" customHeight="1">
      <c r="F2065" s="32"/>
    </row>
    <row r="2066" spans="6:6" ht="12.75" customHeight="1">
      <c r="F2066" s="32"/>
    </row>
    <row r="2067" spans="6:6" ht="12.75" customHeight="1">
      <c r="F2067" s="32"/>
    </row>
    <row r="2068" spans="6:6" ht="12.75" customHeight="1">
      <c r="F2068" s="32"/>
    </row>
    <row r="2069" spans="6:6" ht="12.75" customHeight="1">
      <c r="F2069" s="32"/>
    </row>
    <row r="2070" spans="6:6" ht="12.75" customHeight="1">
      <c r="F2070" s="32"/>
    </row>
    <row r="2071" spans="6:6" ht="12.75" customHeight="1">
      <c r="F2071" s="32"/>
    </row>
    <row r="2072" spans="6:6" ht="12.75" customHeight="1">
      <c r="F2072" s="32"/>
    </row>
    <row r="2073" spans="6:6" ht="12.75" customHeight="1">
      <c r="F2073" s="32"/>
    </row>
    <row r="2074" spans="6:6" ht="12.75" customHeight="1">
      <c r="F2074" s="32"/>
    </row>
    <row r="2075" spans="6:6" ht="12.75" customHeight="1">
      <c r="F2075" s="32"/>
    </row>
    <row r="2076" spans="6:6" ht="12.75" customHeight="1">
      <c r="F2076" s="32"/>
    </row>
    <row r="2077" spans="6:6" ht="12.75" customHeight="1">
      <c r="F2077" s="32"/>
    </row>
    <row r="2078" spans="6:6" ht="12.75" customHeight="1">
      <c r="F2078" s="32"/>
    </row>
    <row r="2079" spans="6:6" ht="12.75" customHeight="1">
      <c r="F2079" s="32"/>
    </row>
    <row r="2080" spans="6:6" ht="12.75" customHeight="1">
      <c r="F2080" s="32"/>
    </row>
    <row r="2081" spans="6:6" ht="12.75" customHeight="1">
      <c r="F2081" s="32"/>
    </row>
    <row r="2082" spans="6:6" ht="12.75" customHeight="1">
      <c r="F2082" s="32"/>
    </row>
    <row r="2083" spans="6:6" ht="12.75" customHeight="1">
      <c r="F2083" s="32"/>
    </row>
    <row r="2084" spans="6:6" ht="12.75" customHeight="1">
      <c r="F2084" s="32"/>
    </row>
    <row r="2085" spans="6:6" ht="12.75" customHeight="1">
      <c r="F2085" s="32"/>
    </row>
    <row r="2086" spans="6:6" ht="12.75" customHeight="1">
      <c r="F2086" s="32"/>
    </row>
    <row r="2087" spans="6:6" ht="12.75" customHeight="1">
      <c r="F2087" s="32"/>
    </row>
    <row r="2088" spans="6:6" ht="12.75" customHeight="1">
      <c r="F2088" s="32"/>
    </row>
    <row r="2089" spans="6:6" ht="12.75" customHeight="1">
      <c r="F2089" s="32"/>
    </row>
    <row r="2090" spans="6:6" ht="12.75" customHeight="1">
      <c r="F2090" s="32"/>
    </row>
    <row r="2091" spans="6:6" ht="12.75" customHeight="1">
      <c r="F2091" s="32"/>
    </row>
    <row r="2092" spans="6:6" ht="12.75" customHeight="1">
      <c r="F2092" s="32"/>
    </row>
    <row r="2093" spans="6:6" ht="12.75" customHeight="1">
      <c r="F2093" s="32"/>
    </row>
    <row r="2094" spans="6:6" ht="12.75" customHeight="1">
      <c r="F2094" s="32"/>
    </row>
    <row r="2095" spans="6:6" ht="12.75" customHeight="1">
      <c r="F2095" s="32"/>
    </row>
    <row r="2096" spans="6:6" ht="12.75" customHeight="1">
      <c r="F2096" s="32"/>
    </row>
    <row r="2097" spans="6:6" ht="12.75" customHeight="1">
      <c r="F2097" s="32"/>
    </row>
    <row r="2098" spans="6:6" ht="12.75" customHeight="1">
      <c r="F2098" s="32"/>
    </row>
    <row r="2099" spans="6:6" ht="12.75" customHeight="1">
      <c r="F2099" s="32"/>
    </row>
    <row r="2100" spans="6:6" ht="12.75" customHeight="1">
      <c r="F2100" s="32"/>
    </row>
    <row r="2101" spans="6:6" ht="12.75" customHeight="1">
      <c r="F2101" s="32"/>
    </row>
    <row r="2102" spans="6:6" ht="12.75" customHeight="1">
      <c r="F2102" s="32"/>
    </row>
    <row r="2103" spans="6:6" ht="12.75" customHeight="1">
      <c r="F2103" s="32"/>
    </row>
    <row r="2104" spans="6:6" ht="12.75" customHeight="1">
      <c r="F2104" s="32"/>
    </row>
    <row r="2105" spans="6:6" ht="12.75" customHeight="1">
      <c r="F2105" s="32"/>
    </row>
    <row r="2106" spans="6:6" ht="12.75" customHeight="1">
      <c r="F2106" s="32"/>
    </row>
    <row r="2107" spans="6:6" ht="12.75" customHeight="1">
      <c r="F2107" s="32"/>
    </row>
    <row r="2108" spans="6:6" ht="12.75" customHeight="1">
      <c r="F2108" s="32"/>
    </row>
    <row r="2109" spans="6:6" ht="12.75" customHeight="1">
      <c r="F2109" s="32"/>
    </row>
    <row r="2110" spans="6:6" ht="12.75" customHeight="1">
      <c r="F2110" s="32"/>
    </row>
    <row r="2111" spans="6:6" ht="12.75" customHeight="1">
      <c r="F2111" s="32"/>
    </row>
    <row r="2112" spans="6:6" ht="12.75" customHeight="1">
      <c r="F2112" s="32"/>
    </row>
    <row r="2113" spans="6:6" ht="12.75" customHeight="1">
      <c r="F2113" s="32"/>
    </row>
    <row r="2114" spans="6:6" ht="12.75" customHeight="1">
      <c r="F2114" s="32"/>
    </row>
    <row r="2115" spans="6:6" ht="12.75" customHeight="1">
      <c r="F2115" s="32"/>
    </row>
    <row r="2116" spans="6:6" ht="12.75" customHeight="1">
      <c r="F2116" s="32"/>
    </row>
    <row r="2117" spans="6:6" ht="12.75" customHeight="1">
      <c r="F2117" s="32"/>
    </row>
    <row r="2118" spans="6:6" ht="12.75" customHeight="1">
      <c r="F2118" s="32"/>
    </row>
    <row r="2119" spans="6:6" ht="12.75" customHeight="1">
      <c r="F2119" s="32"/>
    </row>
    <row r="2120" spans="6:6" ht="12.75" customHeight="1">
      <c r="F2120" s="32"/>
    </row>
    <row r="2121" spans="6:6" ht="12.75" customHeight="1">
      <c r="F2121" s="32"/>
    </row>
    <row r="2122" spans="6:6" ht="12.75" customHeight="1">
      <c r="F2122" s="32"/>
    </row>
    <row r="2123" spans="6:6" ht="12.75" customHeight="1">
      <c r="F2123" s="32"/>
    </row>
    <row r="2124" spans="6:6" ht="12.75" customHeight="1">
      <c r="F2124" s="32"/>
    </row>
    <row r="2125" spans="6:6" ht="12.75" customHeight="1">
      <c r="F2125" s="32"/>
    </row>
    <row r="2126" spans="6:6" ht="12.75" customHeight="1">
      <c r="F2126" s="32"/>
    </row>
    <row r="2127" spans="6:6" ht="12.75" customHeight="1">
      <c r="F2127" s="32"/>
    </row>
    <row r="2128" spans="6:6" ht="12.75" customHeight="1">
      <c r="F2128" s="32"/>
    </row>
    <row r="2129" spans="6:6" ht="12.75" customHeight="1">
      <c r="F2129" s="32"/>
    </row>
    <row r="2130" spans="6:6" ht="12.75" customHeight="1">
      <c r="F2130" s="32"/>
    </row>
    <row r="2131" spans="6:6" ht="12.75" customHeight="1">
      <c r="F2131" s="32"/>
    </row>
    <row r="2132" spans="6:6" ht="12.75" customHeight="1">
      <c r="F2132" s="32"/>
    </row>
    <row r="2133" spans="6:6" ht="12.75" customHeight="1">
      <c r="F2133" s="32"/>
    </row>
    <row r="2134" spans="6:6" ht="12.75" customHeight="1">
      <c r="F2134" s="32"/>
    </row>
    <row r="2135" spans="6:6" ht="12.75" customHeight="1">
      <c r="F2135" s="32"/>
    </row>
    <row r="2136" spans="6:6" ht="12.75" customHeight="1">
      <c r="F2136" s="32"/>
    </row>
    <row r="2137" spans="6:6" ht="12.75" customHeight="1">
      <c r="F2137" s="32"/>
    </row>
    <row r="2138" spans="6:6" ht="12.75" customHeight="1">
      <c r="F2138" s="32"/>
    </row>
    <row r="2139" spans="6:6" ht="12.75" customHeight="1">
      <c r="F2139" s="32"/>
    </row>
    <row r="2140" spans="6:6" ht="12.75" customHeight="1">
      <c r="F2140" s="32"/>
    </row>
    <row r="2141" spans="6:6" ht="12.75" customHeight="1">
      <c r="F2141" s="32"/>
    </row>
    <row r="2142" spans="6:6" ht="12.75" customHeight="1">
      <c r="F2142" s="32"/>
    </row>
    <row r="2143" spans="6:6" ht="12.75" customHeight="1">
      <c r="F2143" s="32"/>
    </row>
    <row r="2144" spans="6:6" ht="12.75" customHeight="1">
      <c r="F2144" s="32"/>
    </row>
    <row r="2145" spans="6:6" ht="12.75" customHeight="1">
      <c r="F2145" s="32"/>
    </row>
    <row r="2146" spans="6:6" ht="12.75" customHeight="1">
      <c r="F2146" s="32"/>
    </row>
    <row r="2147" spans="6:6" ht="12.75" customHeight="1">
      <c r="F2147" s="32"/>
    </row>
    <row r="2148" spans="6:6" ht="12.75" customHeight="1">
      <c r="F2148" s="32"/>
    </row>
    <row r="2149" spans="6:6" ht="12.75" customHeight="1">
      <c r="F2149" s="32"/>
    </row>
    <row r="2150" spans="6:6" ht="12.75" customHeight="1">
      <c r="F2150" s="32"/>
    </row>
    <row r="2151" spans="6:6" ht="12.75" customHeight="1">
      <c r="F2151" s="32"/>
    </row>
    <row r="2152" spans="6:6" ht="12.75" customHeight="1">
      <c r="F2152" s="32"/>
    </row>
    <row r="2153" spans="6:6" ht="12.75" customHeight="1">
      <c r="F2153" s="32"/>
    </row>
    <row r="2154" spans="6:6" ht="12.75" customHeight="1">
      <c r="F2154" s="32"/>
    </row>
    <row r="2155" spans="6:6" ht="12.75" customHeight="1">
      <c r="F2155" s="32"/>
    </row>
    <row r="2156" spans="6:6" ht="12.75" customHeight="1">
      <c r="F2156" s="32"/>
    </row>
    <row r="2157" spans="6:6" ht="12.75" customHeight="1">
      <c r="F2157" s="32"/>
    </row>
    <row r="2158" spans="6:6" ht="12.75" customHeight="1">
      <c r="F2158" s="32"/>
    </row>
    <row r="2159" spans="6:6" ht="12.75" customHeight="1">
      <c r="F2159" s="32"/>
    </row>
    <row r="2160" spans="6:6" ht="12.75" customHeight="1">
      <c r="F2160" s="32"/>
    </row>
    <row r="2161" spans="6:6" ht="12.75" customHeight="1">
      <c r="F2161" s="32"/>
    </row>
    <row r="2162" spans="6:6" ht="12.75" customHeight="1">
      <c r="F2162" s="32"/>
    </row>
    <row r="2163" spans="6:6" ht="12.75" customHeight="1">
      <c r="F2163" s="32"/>
    </row>
    <row r="2164" spans="6:6" ht="12.75" customHeight="1">
      <c r="F2164" s="32"/>
    </row>
    <row r="2165" spans="6:6" ht="12.75" customHeight="1">
      <c r="F2165" s="32"/>
    </row>
    <row r="2166" spans="6:6" ht="12.75" customHeight="1">
      <c r="F2166" s="32"/>
    </row>
    <row r="2167" spans="6:6" ht="12.75" customHeight="1">
      <c r="F2167" s="32"/>
    </row>
    <row r="2168" spans="6:6" ht="12.75" customHeight="1">
      <c r="F2168" s="32"/>
    </row>
    <row r="2169" spans="6:6" ht="12.75" customHeight="1">
      <c r="F2169" s="32"/>
    </row>
    <row r="2170" spans="6:6" ht="12.75" customHeight="1">
      <c r="F2170" s="32"/>
    </row>
    <row r="2171" spans="6:6" ht="12.75" customHeight="1">
      <c r="F2171" s="32"/>
    </row>
    <row r="2172" spans="6:6" ht="12.75" customHeight="1">
      <c r="F2172" s="32"/>
    </row>
    <row r="2173" spans="6:6" ht="12.75" customHeight="1">
      <c r="F2173" s="32"/>
    </row>
    <row r="2174" spans="6:6" ht="12.75" customHeight="1">
      <c r="F2174" s="32"/>
    </row>
    <row r="2175" spans="6:6" ht="12.75" customHeight="1">
      <c r="F2175" s="32"/>
    </row>
    <row r="2176" spans="6:6" ht="12.75" customHeight="1">
      <c r="F2176" s="32"/>
    </row>
    <row r="2177" spans="6:6" ht="12.75" customHeight="1">
      <c r="F2177" s="32"/>
    </row>
    <row r="2178" spans="6:6" ht="12.75" customHeight="1">
      <c r="F2178" s="32"/>
    </row>
    <row r="2179" spans="6:6" ht="12.75" customHeight="1">
      <c r="F2179" s="32"/>
    </row>
    <row r="2180" spans="6:6" ht="12.75" customHeight="1">
      <c r="F2180" s="32"/>
    </row>
    <row r="2181" spans="6:6" ht="12.75" customHeight="1">
      <c r="F2181" s="32"/>
    </row>
    <row r="2182" spans="6:6" ht="12.75" customHeight="1">
      <c r="F2182" s="32"/>
    </row>
    <row r="2183" spans="6:6" ht="12.75" customHeight="1">
      <c r="F2183" s="32"/>
    </row>
    <row r="2184" spans="6:6" ht="12.75" customHeight="1">
      <c r="F2184" s="32"/>
    </row>
    <row r="2185" spans="6:6" ht="12.75" customHeight="1">
      <c r="F2185" s="32"/>
    </row>
    <row r="2186" spans="6:6" ht="12.75" customHeight="1">
      <c r="F2186" s="32"/>
    </row>
    <row r="2187" spans="6:6" ht="12.75" customHeight="1">
      <c r="F2187" s="32"/>
    </row>
    <row r="2188" spans="6:6" ht="12.75" customHeight="1">
      <c r="F2188" s="32"/>
    </row>
    <row r="2189" spans="6:6" ht="12.75" customHeight="1">
      <c r="F2189" s="32"/>
    </row>
    <row r="2190" spans="6:6" ht="12.75" customHeight="1">
      <c r="F2190" s="32"/>
    </row>
    <row r="2191" spans="6:6" ht="12.75" customHeight="1">
      <c r="F2191" s="32"/>
    </row>
    <row r="2192" spans="6:6" ht="12.75" customHeight="1">
      <c r="F2192" s="32"/>
    </row>
    <row r="2193" spans="6:6" ht="12.75" customHeight="1">
      <c r="F2193" s="32"/>
    </row>
    <row r="2194" spans="6:6" ht="12.75" customHeight="1">
      <c r="F2194" s="32"/>
    </row>
    <row r="2195" spans="6:6" ht="12.75" customHeight="1">
      <c r="F2195" s="32"/>
    </row>
    <row r="2196" spans="6:6" ht="12.75" customHeight="1">
      <c r="F2196" s="32"/>
    </row>
    <row r="2197" spans="6:6" ht="12.75" customHeight="1">
      <c r="F2197" s="32"/>
    </row>
    <row r="2198" spans="6:6" ht="12.75" customHeight="1">
      <c r="F2198" s="32"/>
    </row>
    <row r="2199" spans="6:6" ht="12.75" customHeight="1">
      <c r="F2199" s="32"/>
    </row>
    <row r="2200" spans="6:6" ht="12.75" customHeight="1">
      <c r="F2200" s="32"/>
    </row>
    <row r="2201" spans="6:6" ht="12.75" customHeight="1">
      <c r="F2201" s="32"/>
    </row>
    <row r="2202" spans="6:6" ht="12.75" customHeight="1">
      <c r="F2202" s="32"/>
    </row>
    <row r="2203" spans="6:6" ht="12.75" customHeight="1">
      <c r="F2203" s="32"/>
    </row>
    <row r="2204" spans="6:6" ht="12.75" customHeight="1">
      <c r="F2204" s="32"/>
    </row>
    <row r="2205" spans="6:6" ht="12.75" customHeight="1">
      <c r="F2205" s="32"/>
    </row>
    <row r="2206" spans="6:6" ht="12.75" customHeight="1">
      <c r="F2206" s="32"/>
    </row>
    <row r="2207" spans="6:6" ht="12.75" customHeight="1">
      <c r="F2207" s="32"/>
    </row>
    <row r="2208" spans="6:6" ht="12.75" customHeight="1">
      <c r="F2208" s="32"/>
    </row>
    <row r="2209" spans="6:6" ht="12.75" customHeight="1">
      <c r="F2209" s="32"/>
    </row>
    <row r="2210" spans="6:6" ht="12.75" customHeight="1">
      <c r="F2210" s="32"/>
    </row>
    <row r="2211" spans="6:6" ht="12.75" customHeight="1">
      <c r="F2211" s="32"/>
    </row>
    <row r="2212" spans="6:6" ht="12.75" customHeight="1">
      <c r="F2212" s="32"/>
    </row>
    <row r="2213" spans="6:6" ht="12.75" customHeight="1">
      <c r="F2213" s="32"/>
    </row>
    <row r="2214" spans="6:6" ht="12.75" customHeight="1">
      <c r="F2214" s="32"/>
    </row>
    <row r="2215" spans="6:6" ht="12.75" customHeight="1">
      <c r="F2215" s="32"/>
    </row>
    <row r="2216" spans="6:6" ht="12.75" customHeight="1">
      <c r="F2216" s="32"/>
    </row>
    <row r="2217" spans="6:6" ht="12.75" customHeight="1">
      <c r="F2217" s="32"/>
    </row>
    <row r="2218" spans="6:6" ht="12.75" customHeight="1">
      <c r="F2218" s="32"/>
    </row>
    <row r="2219" spans="6:6" ht="12.75" customHeight="1">
      <c r="F2219" s="32"/>
    </row>
    <row r="2220" spans="6:6" ht="12.75" customHeight="1">
      <c r="F2220" s="32"/>
    </row>
    <row r="2221" spans="6:6" ht="12.75" customHeight="1">
      <c r="F2221" s="32"/>
    </row>
    <row r="2222" spans="6:6" ht="12.75" customHeight="1">
      <c r="F2222" s="32"/>
    </row>
    <row r="2223" spans="6:6" ht="12.75" customHeight="1">
      <c r="F2223" s="32"/>
    </row>
    <row r="2224" spans="6:6" ht="12.75" customHeight="1">
      <c r="F2224" s="32"/>
    </row>
    <row r="2225" spans="6:6" ht="12.75" customHeight="1">
      <c r="F2225" s="32"/>
    </row>
    <row r="2226" spans="6:6" ht="12.75" customHeight="1">
      <c r="F2226" s="32"/>
    </row>
    <row r="2227" spans="6:6" ht="12.75" customHeight="1">
      <c r="F2227" s="32"/>
    </row>
    <row r="2228" spans="6:6" ht="12.75" customHeight="1">
      <c r="F2228" s="32"/>
    </row>
    <row r="2229" spans="6:6" ht="12.75" customHeight="1">
      <c r="F2229" s="32"/>
    </row>
    <row r="2230" spans="6:6" ht="12.75" customHeight="1">
      <c r="F2230" s="32"/>
    </row>
    <row r="2231" spans="6:6" ht="12.75" customHeight="1">
      <c r="F2231" s="32"/>
    </row>
    <row r="2232" spans="6:6" ht="12.75" customHeight="1">
      <c r="F2232" s="32"/>
    </row>
    <row r="2233" spans="6:6" ht="12.75" customHeight="1">
      <c r="F2233" s="32"/>
    </row>
    <row r="2234" spans="6:6" ht="12.75" customHeight="1">
      <c r="F2234" s="32"/>
    </row>
    <row r="2235" spans="6:6" ht="12.75" customHeight="1">
      <c r="F2235" s="32"/>
    </row>
    <row r="2236" spans="6:6" ht="12.75" customHeight="1">
      <c r="F2236" s="32"/>
    </row>
    <row r="2237" spans="6:6" ht="12.75" customHeight="1">
      <c r="F2237" s="32"/>
    </row>
    <row r="2238" spans="6:6" ht="12.75" customHeight="1">
      <c r="F2238" s="32"/>
    </row>
    <row r="2239" spans="6:6" ht="12.75" customHeight="1">
      <c r="F2239" s="32"/>
    </row>
    <row r="2240" spans="6:6" ht="12.75" customHeight="1">
      <c r="F2240" s="32"/>
    </row>
    <row r="2241" spans="6:6" ht="12.75" customHeight="1">
      <c r="F2241" s="32"/>
    </row>
    <row r="2242" spans="6:6" ht="12.75" customHeight="1">
      <c r="F2242" s="32"/>
    </row>
    <row r="2243" spans="6:6" ht="12.75" customHeight="1">
      <c r="F2243" s="32"/>
    </row>
    <row r="2244" spans="6:6" ht="12.75" customHeight="1">
      <c r="F2244" s="32"/>
    </row>
    <row r="2245" spans="6:6" ht="12.75" customHeight="1">
      <c r="F2245" s="32"/>
    </row>
    <row r="2246" spans="6:6" ht="12.75" customHeight="1">
      <c r="F2246" s="32"/>
    </row>
    <row r="2247" spans="6:6" ht="12.75" customHeight="1">
      <c r="F2247" s="32"/>
    </row>
    <row r="2248" spans="6:6" ht="12.75" customHeight="1">
      <c r="F2248" s="32"/>
    </row>
    <row r="2249" spans="6:6" ht="12.75" customHeight="1">
      <c r="F2249" s="32"/>
    </row>
    <row r="2250" spans="6:6" ht="12.75" customHeight="1">
      <c r="F2250" s="32"/>
    </row>
    <row r="2251" spans="6:6" ht="12.75" customHeight="1">
      <c r="F2251" s="32"/>
    </row>
    <row r="2252" spans="6:6" ht="12.75" customHeight="1">
      <c r="F2252" s="32"/>
    </row>
    <row r="2253" spans="6:6" ht="12.75" customHeight="1">
      <c r="F2253" s="32"/>
    </row>
    <row r="2254" spans="6:6" ht="12.75" customHeight="1">
      <c r="F2254" s="32"/>
    </row>
    <row r="2255" spans="6:6" ht="12.75" customHeight="1">
      <c r="F2255" s="32"/>
    </row>
    <row r="2256" spans="6:6" ht="12.75" customHeight="1">
      <c r="F2256" s="32"/>
    </row>
    <row r="2257" spans="6:6" ht="12.75" customHeight="1">
      <c r="F2257" s="32"/>
    </row>
    <row r="2258" spans="6:6" ht="12.75" customHeight="1">
      <c r="F2258" s="32"/>
    </row>
    <row r="2259" spans="6:6" ht="12.75" customHeight="1">
      <c r="F2259" s="32"/>
    </row>
    <row r="2260" spans="6:6" ht="12.75" customHeight="1">
      <c r="F2260" s="32"/>
    </row>
    <row r="2261" spans="6:6" ht="12.75" customHeight="1">
      <c r="F2261" s="32"/>
    </row>
    <row r="2262" spans="6:6" ht="12.75" customHeight="1">
      <c r="F2262" s="32"/>
    </row>
    <row r="2263" spans="6:6" ht="12.75" customHeight="1">
      <c r="F2263" s="32"/>
    </row>
    <row r="2264" spans="6:6" ht="12.75" customHeight="1">
      <c r="F2264" s="32"/>
    </row>
    <row r="2265" spans="6:6" ht="12.75" customHeight="1">
      <c r="F2265" s="32"/>
    </row>
    <row r="2266" spans="6:6" ht="12.75" customHeight="1">
      <c r="F2266" s="32"/>
    </row>
    <row r="2267" spans="6:6" ht="12.75" customHeight="1">
      <c r="F2267" s="32"/>
    </row>
    <row r="2268" spans="6:6" ht="12.75" customHeight="1">
      <c r="F2268" s="32"/>
    </row>
    <row r="2269" spans="6:6" ht="12.75" customHeight="1">
      <c r="F2269" s="32"/>
    </row>
    <row r="2270" spans="6:6" ht="12.75" customHeight="1">
      <c r="F2270" s="32"/>
    </row>
    <row r="2271" spans="6:6" ht="12.75" customHeight="1">
      <c r="F2271" s="32"/>
    </row>
    <row r="2272" spans="6:6" ht="12.75" customHeight="1">
      <c r="F2272" s="32"/>
    </row>
    <row r="2273" spans="6:6" ht="12.75" customHeight="1">
      <c r="F2273" s="32"/>
    </row>
    <row r="2274" spans="6:6" ht="12.75" customHeight="1">
      <c r="F2274" s="32"/>
    </row>
    <row r="2275" spans="6:6" ht="12.75" customHeight="1">
      <c r="F2275" s="32"/>
    </row>
    <row r="2276" spans="6:6" ht="12.75" customHeight="1">
      <c r="F2276" s="32"/>
    </row>
    <row r="2277" spans="6:6" ht="12.75" customHeight="1">
      <c r="F2277" s="32"/>
    </row>
    <row r="2278" spans="6:6" ht="12.75" customHeight="1">
      <c r="F2278" s="32"/>
    </row>
    <row r="2279" spans="6:6" ht="12.75" customHeight="1">
      <c r="F2279" s="32"/>
    </row>
    <row r="2280" spans="6:6" ht="12.75" customHeight="1">
      <c r="F2280" s="32"/>
    </row>
    <row r="2281" spans="6:6" ht="12.75" customHeight="1">
      <c r="F2281" s="32"/>
    </row>
    <row r="2282" spans="6:6" ht="12.75" customHeight="1">
      <c r="F2282" s="32"/>
    </row>
    <row r="2283" spans="6:6" ht="12.75" customHeight="1">
      <c r="F2283" s="32"/>
    </row>
    <row r="2284" spans="6:6" ht="12.75" customHeight="1">
      <c r="F2284" s="32"/>
    </row>
    <row r="2285" spans="6:6" ht="12.75" customHeight="1">
      <c r="F2285" s="32"/>
    </row>
    <row r="2286" spans="6:6" ht="12.75" customHeight="1">
      <c r="F2286" s="32"/>
    </row>
    <row r="2287" spans="6:6" ht="12.75" customHeight="1">
      <c r="F2287" s="32"/>
    </row>
    <row r="2288" spans="6:6" ht="12.75" customHeight="1">
      <c r="F2288" s="32"/>
    </row>
    <row r="2289" spans="6:6" ht="12.75" customHeight="1">
      <c r="F2289" s="32"/>
    </row>
    <row r="2290" spans="6:6" ht="12.75" customHeight="1">
      <c r="F2290" s="32"/>
    </row>
    <row r="2291" spans="6:6" ht="12.75" customHeight="1">
      <c r="F2291" s="32"/>
    </row>
    <row r="2292" spans="6:6" ht="12.75" customHeight="1">
      <c r="F2292" s="32"/>
    </row>
    <row r="2293" spans="6:6" ht="12.75" customHeight="1">
      <c r="F2293" s="32"/>
    </row>
    <row r="2294" spans="6:6" ht="12.75" customHeight="1">
      <c r="F2294" s="32"/>
    </row>
    <row r="2295" spans="6:6" ht="12.75" customHeight="1">
      <c r="F2295" s="32"/>
    </row>
    <row r="2296" spans="6:6" ht="12.75" customHeight="1">
      <c r="F2296" s="32"/>
    </row>
    <row r="2297" spans="6:6" ht="12.75" customHeight="1">
      <c r="F2297" s="32"/>
    </row>
    <row r="2298" spans="6:6" ht="12.75" customHeight="1">
      <c r="F2298" s="32"/>
    </row>
    <row r="2299" spans="6:6" ht="12.75" customHeight="1">
      <c r="F2299" s="32"/>
    </row>
    <row r="2300" spans="6:6" ht="12.75" customHeight="1">
      <c r="F2300" s="32"/>
    </row>
    <row r="2301" spans="6:6" ht="12.75" customHeight="1">
      <c r="F2301" s="32"/>
    </row>
    <row r="2302" spans="6:6" ht="12.75" customHeight="1">
      <c r="F2302" s="32"/>
    </row>
    <row r="2303" spans="6:6" ht="12.75" customHeight="1">
      <c r="F2303" s="32"/>
    </row>
    <row r="2304" spans="6:6" ht="12.75" customHeight="1">
      <c r="F2304" s="32"/>
    </row>
    <row r="2305" spans="6:6" ht="12.75" customHeight="1">
      <c r="F2305" s="32"/>
    </row>
    <row r="2306" spans="6:6" ht="12.75" customHeight="1">
      <c r="F2306" s="32"/>
    </row>
    <row r="2307" spans="6:6" ht="12.75" customHeight="1">
      <c r="F2307" s="32"/>
    </row>
    <row r="2308" spans="6:6" ht="12.75" customHeight="1">
      <c r="F2308" s="32"/>
    </row>
    <row r="2309" spans="6:6" ht="12.75" customHeight="1">
      <c r="F2309" s="32"/>
    </row>
    <row r="2310" spans="6:6" ht="12.75" customHeight="1">
      <c r="F2310" s="32"/>
    </row>
    <row r="2311" spans="6:6" ht="12.75" customHeight="1">
      <c r="F2311" s="32"/>
    </row>
    <row r="2312" spans="6:6" ht="12.75" customHeight="1">
      <c r="F2312" s="32"/>
    </row>
    <row r="2313" spans="6:6" ht="12.75" customHeight="1">
      <c r="F2313" s="32"/>
    </row>
    <row r="2314" spans="6:6" ht="12.75" customHeight="1">
      <c r="F2314" s="32"/>
    </row>
    <row r="2315" spans="6:6" ht="12.75" customHeight="1">
      <c r="F2315" s="32"/>
    </row>
    <row r="2316" spans="6:6" ht="12.75" customHeight="1">
      <c r="F2316" s="32"/>
    </row>
    <row r="2317" spans="6:6" ht="12.75" customHeight="1">
      <c r="F2317" s="32"/>
    </row>
    <row r="2318" spans="6:6" ht="12.75" customHeight="1">
      <c r="F2318" s="32"/>
    </row>
    <row r="2319" spans="6:6" ht="12.75" customHeight="1">
      <c r="F2319" s="32"/>
    </row>
    <row r="2320" spans="6:6" ht="12.75" customHeight="1">
      <c r="F2320" s="32"/>
    </row>
    <row r="2321" spans="6:6" ht="12.75" customHeight="1">
      <c r="F2321" s="32"/>
    </row>
    <row r="2322" spans="6:6" ht="12.75" customHeight="1">
      <c r="F2322" s="32"/>
    </row>
    <row r="2323" spans="6:6" ht="12.75" customHeight="1">
      <c r="F2323" s="32"/>
    </row>
    <row r="2324" spans="6:6" ht="12.75" customHeight="1">
      <c r="F2324" s="32"/>
    </row>
    <row r="2325" spans="6:6" ht="12.75" customHeight="1">
      <c r="F2325" s="32"/>
    </row>
    <row r="2326" spans="6:6" ht="12.75" customHeight="1">
      <c r="F2326" s="32"/>
    </row>
    <row r="2327" spans="6:6" ht="12.75" customHeight="1">
      <c r="F2327" s="32"/>
    </row>
    <row r="2328" spans="6:6" ht="12.75" customHeight="1">
      <c r="F2328" s="32"/>
    </row>
    <row r="2329" spans="6:6" ht="12.75" customHeight="1">
      <c r="F2329" s="32"/>
    </row>
    <row r="2330" spans="6:6" ht="12.75" customHeight="1">
      <c r="F2330" s="32"/>
    </row>
    <row r="2331" spans="6:6" ht="12.75" customHeight="1">
      <c r="F2331" s="32"/>
    </row>
    <row r="2332" spans="6:6" ht="12.75" customHeight="1">
      <c r="F2332" s="32"/>
    </row>
    <row r="2333" spans="6:6" ht="12.75" customHeight="1">
      <c r="F2333" s="32"/>
    </row>
    <row r="2334" spans="6:6" ht="12.75" customHeight="1">
      <c r="F2334" s="32"/>
    </row>
    <row r="2335" spans="6:6" ht="12.75" customHeight="1">
      <c r="F2335" s="32"/>
    </row>
    <row r="2336" spans="6:6" ht="12.75" customHeight="1">
      <c r="F2336" s="32"/>
    </row>
    <row r="2337" spans="6:6" ht="12.75" customHeight="1">
      <c r="F2337" s="32"/>
    </row>
    <row r="2338" spans="6:6" ht="12.75" customHeight="1">
      <c r="F2338" s="32"/>
    </row>
    <row r="2339" spans="6:6" ht="12.75" customHeight="1">
      <c r="F2339" s="32"/>
    </row>
    <row r="2340" spans="6:6" ht="12.75" customHeight="1">
      <c r="F2340" s="32"/>
    </row>
    <row r="2341" spans="6:6" ht="12.75" customHeight="1">
      <c r="F2341" s="32"/>
    </row>
    <row r="2342" spans="6:6" ht="12.75" customHeight="1">
      <c r="F2342" s="32"/>
    </row>
    <row r="2343" spans="6:6" ht="12.75" customHeight="1">
      <c r="F2343" s="32"/>
    </row>
    <row r="2344" spans="6:6" ht="12.75" customHeight="1">
      <c r="F2344" s="32"/>
    </row>
    <row r="2345" spans="6:6" ht="12.75" customHeight="1">
      <c r="F2345" s="32"/>
    </row>
    <row r="2346" spans="6:6" ht="12.75" customHeight="1">
      <c r="F2346" s="32"/>
    </row>
    <row r="2347" spans="6:6" ht="12.75" customHeight="1">
      <c r="F2347" s="32"/>
    </row>
    <row r="2348" spans="6:6" ht="12.75" customHeight="1">
      <c r="F2348" s="32"/>
    </row>
    <row r="2349" spans="6:6" ht="12.75" customHeight="1">
      <c r="F2349" s="32"/>
    </row>
    <row r="2350" spans="6:6" ht="12.75" customHeight="1">
      <c r="F2350" s="32"/>
    </row>
    <row r="2351" spans="6:6" ht="12.75" customHeight="1">
      <c r="F2351" s="32"/>
    </row>
    <row r="2352" spans="6:6" ht="12.75" customHeight="1">
      <c r="F2352" s="32"/>
    </row>
    <row r="2353" spans="6:6" ht="12.75" customHeight="1">
      <c r="F2353" s="32"/>
    </row>
    <row r="2354" spans="6:6" ht="12.75" customHeight="1">
      <c r="F2354" s="32"/>
    </row>
    <row r="2355" spans="6:6" ht="12.75" customHeight="1">
      <c r="F2355" s="32"/>
    </row>
    <row r="2356" spans="6:6" ht="12.75" customHeight="1">
      <c r="F2356" s="32"/>
    </row>
    <row r="2357" spans="6:6" ht="12.75" customHeight="1">
      <c r="F2357" s="32"/>
    </row>
    <row r="2358" spans="6:6" ht="12.75" customHeight="1">
      <c r="F2358" s="32"/>
    </row>
    <row r="2359" spans="6:6" ht="12.75" customHeight="1">
      <c r="F2359" s="32"/>
    </row>
    <row r="2360" spans="6:6" ht="12.75" customHeight="1">
      <c r="F2360" s="32"/>
    </row>
    <row r="2361" spans="6:6" ht="12.75" customHeight="1">
      <c r="F2361" s="32"/>
    </row>
    <row r="2362" spans="6:6" ht="12.75" customHeight="1">
      <c r="F2362" s="32"/>
    </row>
    <row r="2363" spans="6:6" ht="12.75" customHeight="1">
      <c r="F2363" s="32"/>
    </row>
    <row r="2364" spans="6:6" ht="12.75" customHeight="1">
      <c r="F2364" s="32"/>
    </row>
    <row r="2365" spans="6:6" ht="12.75" customHeight="1">
      <c r="F2365" s="32"/>
    </row>
    <row r="2366" spans="6:6" ht="12.75" customHeight="1">
      <c r="F2366" s="32"/>
    </row>
    <row r="2367" spans="6:6" ht="12.75" customHeight="1">
      <c r="F2367" s="32"/>
    </row>
    <row r="2368" spans="6:6" ht="12.75" customHeight="1">
      <c r="F2368" s="32"/>
    </row>
    <row r="2369" spans="6:6" ht="12.75" customHeight="1">
      <c r="F2369" s="32"/>
    </row>
    <row r="2370" spans="6:6" ht="12.75" customHeight="1">
      <c r="F2370" s="32"/>
    </row>
    <row r="2371" spans="6:6" ht="12.75" customHeight="1">
      <c r="F2371" s="32"/>
    </row>
    <row r="2372" spans="6:6" ht="12.75" customHeight="1">
      <c r="F2372" s="32"/>
    </row>
    <row r="2373" spans="6:6" ht="12.75" customHeight="1">
      <c r="F2373" s="32"/>
    </row>
    <row r="2374" spans="6:6" ht="12.75" customHeight="1">
      <c r="F2374" s="32"/>
    </row>
    <row r="2375" spans="6:6" ht="12.75" customHeight="1">
      <c r="F2375" s="32"/>
    </row>
    <row r="2376" spans="6:6" ht="12.75" customHeight="1">
      <c r="F2376" s="32"/>
    </row>
    <row r="2377" spans="6:6" ht="12.75" customHeight="1">
      <c r="F2377" s="32"/>
    </row>
    <row r="2378" spans="6:6" ht="12.75" customHeight="1">
      <c r="F2378" s="32"/>
    </row>
    <row r="2379" spans="6:6" ht="12.75" customHeight="1">
      <c r="F2379" s="32"/>
    </row>
    <row r="2380" spans="6:6" ht="12.75" customHeight="1">
      <c r="F2380" s="32"/>
    </row>
    <row r="2381" spans="6:6" ht="12.75" customHeight="1">
      <c r="F2381" s="32"/>
    </row>
    <row r="2382" spans="6:6" ht="12.75" customHeight="1">
      <c r="F2382" s="32"/>
    </row>
    <row r="2383" spans="6:6" ht="12.75" customHeight="1">
      <c r="F2383" s="32"/>
    </row>
    <row r="2384" spans="6:6" ht="12.75" customHeight="1">
      <c r="F2384" s="32"/>
    </row>
    <row r="2385" spans="6:6" ht="12.75" customHeight="1">
      <c r="F2385" s="32"/>
    </row>
    <row r="2386" spans="6:6" ht="12.75" customHeight="1">
      <c r="F2386" s="32"/>
    </row>
    <row r="2387" spans="6:6" ht="12.75" customHeight="1">
      <c r="F2387" s="32"/>
    </row>
    <row r="2388" spans="6:6" ht="12.75" customHeight="1">
      <c r="F2388" s="32"/>
    </row>
    <row r="2389" spans="6:6" ht="12.75" customHeight="1">
      <c r="F2389" s="32"/>
    </row>
    <row r="2390" spans="6:6" ht="12.75" customHeight="1">
      <c r="F2390" s="32"/>
    </row>
    <row r="2391" spans="6:6" ht="12.75" customHeight="1">
      <c r="F2391" s="32"/>
    </row>
    <row r="2392" spans="6:6" ht="12.75" customHeight="1">
      <c r="F2392" s="32"/>
    </row>
    <row r="2393" spans="6:6" ht="12.75" customHeight="1">
      <c r="F2393" s="32"/>
    </row>
    <row r="2394" spans="6:6" ht="12.75" customHeight="1">
      <c r="F2394" s="32"/>
    </row>
    <row r="2395" spans="6:6" ht="12.75" customHeight="1">
      <c r="F2395" s="32"/>
    </row>
    <row r="2396" spans="6:6" ht="12.75" customHeight="1">
      <c r="F2396" s="32"/>
    </row>
    <row r="2397" spans="6:6" ht="12.75" customHeight="1">
      <c r="F2397" s="32"/>
    </row>
    <row r="2398" spans="6:6" ht="12.75" customHeight="1">
      <c r="F2398" s="32"/>
    </row>
    <row r="2399" spans="6:6" ht="12.75" customHeight="1">
      <c r="F2399" s="32"/>
    </row>
    <row r="2400" spans="6:6" ht="12.75" customHeight="1">
      <c r="F2400" s="32"/>
    </row>
    <row r="2401" spans="6:6" ht="12.75" customHeight="1">
      <c r="F2401" s="32"/>
    </row>
    <row r="2402" spans="6:6" ht="12.75" customHeight="1">
      <c r="F2402" s="32"/>
    </row>
    <row r="2403" spans="6:6" ht="12.75" customHeight="1">
      <c r="F2403" s="32"/>
    </row>
    <row r="2404" spans="6:6" ht="12.75" customHeight="1">
      <c r="F2404" s="32"/>
    </row>
    <row r="2405" spans="6:6" ht="12.75" customHeight="1">
      <c r="F2405" s="32"/>
    </row>
    <row r="2406" spans="6:6" ht="12.75" customHeight="1">
      <c r="F2406" s="32"/>
    </row>
    <row r="2407" spans="6:6" ht="12.75" customHeight="1">
      <c r="F2407" s="32"/>
    </row>
    <row r="2408" spans="6:6" ht="12.75" customHeight="1">
      <c r="F2408" s="32"/>
    </row>
    <row r="2409" spans="6:6" ht="12.75" customHeight="1">
      <c r="F2409" s="32"/>
    </row>
    <row r="2410" spans="6:6" ht="12.75" customHeight="1">
      <c r="F2410" s="32"/>
    </row>
    <row r="2411" spans="6:6" ht="12.75" customHeight="1">
      <c r="F2411" s="32"/>
    </row>
    <row r="2412" spans="6:6" ht="12.75" customHeight="1">
      <c r="F2412" s="32"/>
    </row>
    <row r="2413" spans="6:6" ht="12.75" customHeight="1">
      <c r="F2413" s="32"/>
    </row>
    <row r="2414" spans="6:6" ht="12.75" customHeight="1">
      <c r="F2414" s="32"/>
    </row>
    <row r="2415" spans="6:6" ht="12.75" customHeight="1">
      <c r="F2415" s="32"/>
    </row>
    <row r="2416" spans="6:6" ht="12.75" customHeight="1">
      <c r="F2416" s="32"/>
    </row>
    <row r="2417" spans="6:6" ht="12.75" customHeight="1">
      <c r="F2417" s="32"/>
    </row>
    <row r="2418" spans="6:6" ht="12.75" customHeight="1">
      <c r="F2418" s="32"/>
    </row>
    <row r="2419" spans="6:6" ht="12.75" customHeight="1">
      <c r="F2419" s="32"/>
    </row>
    <row r="2420" spans="6:6" ht="12.75" customHeight="1">
      <c r="F2420" s="32"/>
    </row>
    <row r="2421" spans="6:6" ht="12.75" customHeight="1">
      <c r="F2421" s="32"/>
    </row>
    <row r="2422" spans="6:6" ht="12.75" customHeight="1">
      <c r="F2422" s="32"/>
    </row>
    <row r="2423" spans="6:6" ht="12.75" customHeight="1">
      <c r="F2423" s="32"/>
    </row>
    <row r="2424" spans="6:6" ht="12.75" customHeight="1">
      <c r="F2424" s="32"/>
    </row>
    <row r="2425" spans="6:6" ht="12.75" customHeight="1">
      <c r="F2425" s="32"/>
    </row>
    <row r="2426" spans="6:6" ht="12.75" customHeight="1">
      <c r="F2426" s="32"/>
    </row>
    <row r="2427" spans="6:6" ht="12.75" customHeight="1">
      <c r="F2427" s="32"/>
    </row>
    <row r="2428" spans="6:6" ht="12.75" customHeight="1">
      <c r="F2428" s="32"/>
    </row>
    <row r="2429" spans="6:6" ht="12.75" customHeight="1">
      <c r="F2429" s="32"/>
    </row>
    <row r="2430" spans="6:6" ht="12.75" customHeight="1">
      <c r="F2430" s="32"/>
    </row>
    <row r="2431" spans="6:6" ht="12.75" customHeight="1">
      <c r="F2431" s="32"/>
    </row>
    <row r="2432" spans="6:6" ht="12.75" customHeight="1">
      <c r="F2432" s="32"/>
    </row>
    <row r="2433" spans="6:6" ht="12.75" customHeight="1">
      <c r="F2433" s="32"/>
    </row>
    <row r="2434" spans="6:6" ht="12.75" customHeight="1">
      <c r="F2434" s="32"/>
    </row>
    <row r="2435" spans="6:6" ht="12.75" customHeight="1">
      <c r="F2435" s="32"/>
    </row>
    <row r="2436" spans="6:6" ht="12.75" customHeight="1">
      <c r="F2436" s="32"/>
    </row>
    <row r="2437" spans="6:6" ht="12.75" customHeight="1">
      <c r="F2437" s="32"/>
    </row>
    <row r="2438" spans="6:6" ht="12.75" customHeight="1">
      <c r="F2438" s="32"/>
    </row>
    <row r="2439" spans="6:6" ht="12.75" customHeight="1">
      <c r="F2439" s="32"/>
    </row>
    <row r="2440" spans="6:6" ht="12.75" customHeight="1">
      <c r="F2440" s="32"/>
    </row>
    <row r="2441" spans="6:6" ht="12.75" customHeight="1">
      <c r="F2441" s="32"/>
    </row>
    <row r="2442" spans="6:6" ht="12.75" customHeight="1">
      <c r="F2442" s="32"/>
    </row>
    <row r="2443" spans="6:6" ht="12.75" customHeight="1">
      <c r="F2443" s="32"/>
    </row>
    <row r="2444" spans="6:6" ht="12.75" customHeight="1">
      <c r="F2444" s="32"/>
    </row>
    <row r="2445" spans="6:6" ht="12.75" customHeight="1">
      <c r="F2445" s="32"/>
    </row>
    <row r="2446" spans="6:6" ht="12.75" customHeight="1">
      <c r="F2446" s="32"/>
    </row>
    <row r="2447" spans="6:6" ht="12.75" customHeight="1">
      <c r="F2447" s="32"/>
    </row>
    <row r="2448" spans="6:6" ht="12.75" customHeight="1">
      <c r="F2448" s="32"/>
    </row>
    <row r="2449" spans="6:6" ht="12.75" customHeight="1">
      <c r="F2449" s="32"/>
    </row>
    <row r="2450" spans="6:6" ht="12.75" customHeight="1">
      <c r="F2450" s="32"/>
    </row>
    <row r="2451" spans="6:6" ht="12.75" customHeight="1">
      <c r="F2451" s="32"/>
    </row>
    <row r="2452" spans="6:6" ht="12.75" customHeight="1">
      <c r="F2452" s="32"/>
    </row>
    <row r="2453" spans="6:6" ht="12.75" customHeight="1">
      <c r="F2453" s="32"/>
    </row>
    <row r="2454" spans="6:6" ht="12.75" customHeight="1">
      <c r="F2454" s="32"/>
    </row>
    <row r="2455" spans="6:6" ht="12.75" customHeight="1">
      <c r="F2455" s="32"/>
    </row>
    <row r="2456" spans="6:6" ht="12.75" customHeight="1">
      <c r="F2456" s="32"/>
    </row>
    <row r="2457" spans="6:6" ht="12.75" customHeight="1">
      <c r="F2457" s="32"/>
    </row>
    <row r="2458" spans="6:6" ht="12.75" customHeight="1">
      <c r="F2458" s="32"/>
    </row>
    <row r="2459" spans="6:6" ht="12.75" customHeight="1">
      <c r="F2459" s="32"/>
    </row>
    <row r="2460" spans="6:6" ht="12.75" customHeight="1">
      <c r="F2460" s="32"/>
    </row>
    <row r="2461" spans="6:6" ht="12.75" customHeight="1">
      <c r="F2461" s="32"/>
    </row>
    <row r="2462" spans="6:6" ht="12.75" customHeight="1">
      <c r="F2462" s="32"/>
    </row>
    <row r="2463" spans="6:6" ht="12.75" customHeight="1">
      <c r="F2463" s="32"/>
    </row>
    <row r="2464" spans="6:6" ht="12.75" customHeight="1">
      <c r="F2464" s="32"/>
    </row>
    <row r="2465" spans="6:6" ht="12.75" customHeight="1">
      <c r="F2465" s="32"/>
    </row>
    <row r="2466" spans="6:6" ht="12.75" customHeight="1">
      <c r="F2466" s="32"/>
    </row>
    <row r="2467" spans="6:6" ht="12.75" customHeight="1">
      <c r="F2467" s="32"/>
    </row>
    <row r="2468" spans="6:6" ht="12.75" customHeight="1">
      <c r="F2468" s="32"/>
    </row>
    <row r="2469" spans="6:6" ht="12.75" customHeight="1">
      <c r="F2469" s="32"/>
    </row>
    <row r="2470" spans="6:6" ht="12.75" customHeight="1">
      <c r="F2470" s="32"/>
    </row>
    <row r="2471" spans="6:6" ht="12.75" customHeight="1">
      <c r="F2471" s="32"/>
    </row>
    <row r="2472" spans="6:6" ht="12.75" customHeight="1">
      <c r="F2472" s="32"/>
    </row>
    <row r="2473" spans="6:6" ht="12.75" customHeight="1">
      <c r="F2473" s="32"/>
    </row>
    <row r="2474" spans="6:6" ht="12.75" customHeight="1">
      <c r="F2474" s="32"/>
    </row>
    <row r="2475" spans="6:6" ht="12.75" customHeight="1">
      <c r="F2475" s="32"/>
    </row>
    <row r="2476" spans="6:6" ht="12.75" customHeight="1">
      <c r="F2476" s="32"/>
    </row>
    <row r="2477" spans="6:6" ht="12.75" customHeight="1">
      <c r="F2477" s="32"/>
    </row>
    <row r="2478" spans="6:6" ht="12.75" customHeight="1">
      <c r="F2478" s="32"/>
    </row>
    <row r="2479" spans="6:6" ht="12.75" customHeight="1">
      <c r="F2479" s="32"/>
    </row>
    <row r="2480" spans="6:6" ht="12.75" customHeight="1">
      <c r="F2480" s="32"/>
    </row>
    <row r="2481" spans="6:6" ht="12.75" customHeight="1">
      <c r="F2481" s="32"/>
    </row>
    <row r="2482" spans="6:6" ht="12.75" customHeight="1">
      <c r="F2482" s="32"/>
    </row>
    <row r="2483" spans="6:6" ht="12.75" customHeight="1">
      <c r="F2483" s="32"/>
    </row>
    <row r="2484" spans="6:6" ht="12.75" customHeight="1">
      <c r="F2484" s="32"/>
    </row>
    <row r="2485" spans="6:6" ht="12.75" customHeight="1">
      <c r="F2485" s="32"/>
    </row>
    <row r="2486" spans="6:6" ht="12.75" customHeight="1">
      <c r="F2486" s="32"/>
    </row>
    <row r="2487" spans="6:6" ht="12.75" customHeight="1">
      <c r="F2487" s="32"/>
    </row>
    <row r="2488" spans="6:6" ht="12.75" customHeight="1">
      <c r="F2488" s="32"/>
    </row>
    <row r="2489" spans="6:6" ht="12.75" customHeight="1">
      <c r="F2489" s="32"/>
    </row>
    <row r="2490" spans="6:6" ht="12.75" customHeight="1">
      <c r="F2490" s="32"/>
    </row>
    <row r="2491" spans="6:6" ht="12.75" customHeight="1">
      <c r="F2491" s="32"/>
    </row>
    <row r="2492" spans="6:6" ht="12.75" customHeight="1">
      <c r="F2492" s="32"/>
    </row>
    <row r="2493" spans="6:6" ht="12.75" customHeight="1">
      <c r="F2493" s="32"/>
    </row>
    <row r="2494" spans="6:6" ht="12.75" customHeight="1">
      <c r="F2494" s="32"/>
    </row>
    <row r="2495" spans="6:6" ht="12.75" customHeight="1">
      <c r="F2495" s="32"/>
    </row>
    <row r="2496" spans="6:6" ht="12.75" customHeight="1">
      <c r="F2496" s="32"/>
    </row>
    <row r="2497" spans="6:6" ht="12.75" customHeight="1">
      <c r="F2497" s="32"/>
    </row>
    <row r="2498" spans="6:6" ht="12.75" customHeight="1">
      <c r="F2498" s="32"/>
    </row>
    <row r="2499" spans="6:6" ht="12.75" customHeight="1">
      <c r="F2499" s="32"/>
    </row>
    <row r="2500" spans="6:6" ht="12.75" customHeight="1">
      <c r="F2500" s="32"/>
    </row>
    <row r="2501" spans="6:6" ht="12.75" customHeight="1">
      <c r="F2501" s="32"/>
    </row>
    <row r="2502" spans="6:6" ht="12.75" customHeight="1">
      <c r="F2502" s="32"/>
    </row>
    <row r="2503" spans="6:6" ht="12.75" customHeight="1">
      <c r="F2503" s="32"/>
    </row>
    <row r="2504" spans="6:6" ht="12.75" customHeight="1">
      <c r="F2504" s="32"/>
    </row>
    <row r="2505" spans="6:6" ht="12.75" customHeight="1">
      <c r="F2505" s="32"/>
    </row>
    <row r="2506" spans="6:6" ht="12.75" customHeight="1">
      <c r="F2506" s="32"/>
    </row>
    <row r="2507" spans="6:6" ht="12.75" customHeight="1">
      <c r="F2507" s="32"/>
    </row>
    <row r="2508" spans="6:6" ht="12.75" customHeight="1">
      <c r="F2508" s="32"/>
    </row>
    <row r="2509" spans="6:6" ht="12.75" customHeight="1">
      <c r="F2509" s="32"/>
    </row>
    <row r="2510" spans="6:6" ht="12.75" customHeight="1">
      <c r="F2510" s="32"/>
    </row>
    <row r="2511" spans="6:6" ht="12.75" customHeight="1">
      <c r="F2511" s="32"/>
    </row>
    <row r="2512" spans="6:6" ht="12.75" customHeight="1">
      <c r="F2512" s="32"/>
    </row>
    <row r="2513" spans="6:6" ht="12.75" customHeight="1">
      <c r="F2513" s="32"/>
    </row>
    <row r="2514" spans="6:6" ht="12.75" customHeight="1">
      <c r="F2514" s="32"/>
    </row>
    <row r="2515" spans="6:6" ht="12.75" customHeight="1">
      <c r="F2515" s="32"/>
    </row>
    <row r="2516" spans="6:6" ht="12.75" customHeight="1">
      <c r="F2516" s="32"/>
    </row>
    <row r="2517" spans="6:6" ht="12.75" customHeight="1">
      <c r="F2517" s="32"/>
    </row>
    <row r="2518" spans="6:6" ht="12.75" customHeight="1">
      <c r="F2518" s="32"/>
    </row>
    <row r="2519" spans="6:6" ht="12.75" customHeight="1">
      <c r="F2519" s="32"/>
    </row>
    <row r="2520" spans="6:6" ht="12.75" customHeight="1">
      <c r="F2520" s="32"/>
    </row>
    <row r="2521" spans="6:6" ht="12.75" customHeight="1">
      <c r="F2521" s="32"/>
    </row>
    <row r="2522" spans="6:6" ht="12.75" customHeight="1">
      <c r="F2522" s="32"/>
    </row>
    <row r="2523" spans="6:6" ht="12.75" customHeight="1">
      <c r="F2523" s="32"/>
    </row>
    <row r="2524" spans="6:6" ht="12.75" customHeight="1">
      <c r="F2524" s="32"/>
    </row>
    <row r="2525" spans="6:6" ht="12.75" customHeight="1">
      <c r="F2525" s="32"/>
    </row>
    <row r="2526" spans="6:6" ht="12.75" customHeight="1">
      <c r="F2526" s="32"/>
    </row>
    <row r="2527" spans="6:6" ht="12.75" customHeight="1">
      <c r="F2527" s="32"/>
    </row>
    <row r="2528" spans="6:6" ht="12.75" customHeight="1">
      <c r="F2528" s="32"/>
    </row>
    <row r="2529" spans="6:6" ht="12.75" customHeight="1">
      <c r="F2529" s="32"/>
    </row>
    <row r="2530" spans="6:6" ht="12.75" customHeight="1">
      <c r="F2530" s="32"/>
    </row>
    <row r="2531" spans="6:6" ht="12.75" customHeight="1">
      <c r="F2531" s="32"/>
    </row>
    <row r="2532" spans="6:6" ht="12.75" customHeight="1">
      <c r="F2532" s="32"/>
    </row>
    <row r="2533" spans="6:6" ht="12.75" customHeight="1">
      <c r="F2533" s="32"/>
    </row>
    <row r="2534" spans="6:6" ht="12.75" customHeight="1">
      <c r="F2534" s="32"/>
    </row>
    <row r="2535" spans="6:6" ht="12.75" customHeight="1">
      <c r="F2535" s="32"/>
    </row>
    <row r="2536" spans="6:6" ht="12.75" customHeight="1">
      <c r="F2536" s="32"/>
    </row>
    <row r="2537" spans="6:6" ht="12.75" customHeight="1">
      <c r="F2537" s="32"/>
    </row>
    <row r="2538" spans="6:6" ht="12.75" customHeight="1">
      <c r="F2538" s="32"/>
    </row>
    <row r="2539" spans="6:6" ht="12.75" customHeight="1">
      <c r="F2539" s="32"/>
    </row>
    <row r="2540" spans="6:6" ht="12.75" customHeight="1">
      <c r="F2540" s="32"/>
    </row>
    <row r="2541" spans="6:6" ht="12.75" customHeight="1">
      <c r="F2541" s="32"/>
    </row>
    <row r="2542" spans="6:6" ht="12.75" customHeight="1">
      <c r="F2542" s="32"/>
    </row>
    <row r="2543" spans="6:6" ht="12.75" customHeight="1">
      <c r="F2543" s="32"/>
    </row>
    <row r="2544" spans="6:6" ht="12.75" customHeight="1">
      <c r="F2544" s="32"/>
    </row>
    <row r="2545" spans="6:6" ht="12.75" customHeight="1">
      <c r="F2545" s="32"/>
    </row>
    <row r="2546" spans="6:6" ht="12.75" customHeight="1">
      <c r="F2546" s="32"/>
    </row>
    <row r="2547" spans="6:6" ht="12.75" customHeight="1">
      <c r="F2547" s="32"/>
    </row>
    <row r="2548" spans="6:6" ht="12.75" customHeight="1">
      <c r="F2548" s="32"/>
    </row>
    <row r="2549" spans="6:6" ht="12.75" customHeight="1">
      <c r="F2549" s="32"/>
    </row>
    <row r="2550" spans="6:6" ht="12.75" customHeight="1">
      <c r="F2550" s="32"/>
    </row>
    <row r="2551" spans="6:6" ht="12.75" customHeight="1">
      <c r="F2551" s="32"/>
    </row>
    <row r="2552" spans="6:6" ht="12.75" customHeight="1">
      <c r="F2552" s="32"/>
    </row>
    <row r="2553" spans="6:6" ht="12.75" customHeight="1">
      <c r="F2553" s="32"/>
    </row>
    <row r="2554" spans="6:6" ht="12.75" customHeight="1">
      <c r="F2554" s="32"/>
    </row>
    <row r="2555" spans="6:6" ht="12.75" customHeight="1">
      <c r="F2555" s="32"/>
    </row>
    <row r="2556" spans="6:6" ht="12.75" customHeight="1">
      <c r="F2556" s="32"/>
    </row>
    <row r="2557" spans="6:6" ht="12.75" customHeight="1">
      <c r="F2557" s="32"/>
    </row>
    <row r="2558" spans="6:6" ht="12.75" customHeight="1">
      <c r="F2558" s="32"/>
    </row>
    <row r="2559" spans="6:6" ht="12.75" customHeight="1">
      <c r="F2559" s="32"/>
    </row>
    <row r="2560" spans="6:6" ht="12.75" customHeight="1">
      <c r="F2560" s="32"/>
    </row>
    <row r="2561" spans="6:6" ht="12.75" customHeight="1">
      <c r="F2561" s="32"/>
    </row>
    <row r="2562" spans="6:6" ht="12.75" customHeight="1">
      <c r="F2562" s="32"/>
    </row>
    <row r="2563" spans="6:6" ht="12.75" customHeight="1">
      <c r="F2563" s="32"/>
    </row>
    <row r="2564" spans="6:6" ht="12.75" customHeight="1">
      <c r="F2564" s="32"/>
    </row>
    <row r="2565" spans="6:6" ht="12.75" customHeight="1">
      <c r="F2565" s="32"/>
    </row>
    <row r="2566" spans="6:6" ht="12.75" customHeight="1">
      <c r="F2566" s="32"/>
    </row>
    <row r="2567" spans="6:6" ht="12.75" customHeight="1">
      <c r="F2567" s="32"/>
    </row>
    <row r="2568" spans="6:6" ht="12.75" customHeight="1">
      <c r="F2568" s="32"/>
    </row>
    <row r="2569" spans="6:6" ht="12.75" customHeight="1">
      <c r="F2569" s="32"/>
    </row>
    <row r="2570" spans="6:6" ht="12.75" customHeight="1">
      <c r="F2570" s="32"/>
    </row>
    <row r="2571" spans="6:6" ht="12.75" customHeight="1">
      <c r="F2571" s="32"/>
    </row>
    <row r="2572" spans="6:6" ht="12.75" customHeight="1">
      <c r="F2572" s="32"/>
    </row>
    <row r="2573" spans="6:6" ht="12.75" customHeight="1">
      <c r="F2573" s="32"/>
    </row>
    <row r="2574" spans="6:6" ht="12.75" customHeight="1">
      <c r="F2574" s="32"/>
    </row>
    <row r="2575" spans="6:6" ht="12.75" customHeight="1">
      <c r="F2575" s="32"/>
    </row>
    <row r="2576" spans="6:6" ht="12.75" customHeight="1">
      <c r="F2576" s="32"/>
    </row>
    <row r="2577" spans="6:6" ht="12.75" customHeight="1">
      <c r="F2577" s="32"/>
    </row>
    <row r="2578" spans="6:6" ht="12.75" customHeight="1">
      <c r="F2578" s="32"/>
    </row>
    <row r="2579" spans="6:6" ht="12.75" customHeight="1">
      <c r="F2579" s="32"/>
    </row>
    <row r="2580" spans="6:6" ht="12.75" customHeight="1">
      <c r="F2580" s="32"/>
    </row>
    <row r="2581" spans="6:6" ht="12.75" customHeight="1">
      <c r="F2581" s="32"/>
    </row>
    <row r="2582" spans="6:6" ht="12.75" customHeight="1">
      <c r="F2582" s="32"/>
    </row>
    <row r="2583" spans="6:6" ht="12.75" customHeight="1">
      <c r="F2583" s="32"/>
    </row>
    <row r="2584" spans="6:6" ht="12.75" customHeight="1">
      <c r="F2584" s="32"/>
    </row>
    <row r="2585" spans="6:6" ht="12.75" customHeight="1">
      <c r="F2585" s="32"/>
    </row>
    <row r="2586" spans="6:6" ht="12.75" customHeight="1">
      <c r="F2586" s="32"/>
    </row>
    <row r="2587" spans="6:6" ht="12.75" customHeight="1">
      <c r="F2587" s="32"/>
    </row>
    <row r="2588" spans="6:6" ht="12.75" customHeight="1">
      <c r="F2588" s="32"/>
    </row>
    <row r="2589" spans="6:6" ht="12.75" customHeight="1">
      <c r="F2589" s="32"/>
    </row>
    <row r="2590" spans="6:6" ht="12.75" customHeight="1">
      <c r="F2590" s="32"/>
    </row>
    <row r="2591" spans="6:6" ht="12.75" customHeight="1">
      <c r="F2591" s="32"/>
    </row>
    <row r="2592" spans="6:6" ht="12.75" customHeight="1">
      <c r="F2592" s="32"/>
    </row>
    <row r="2593" spans="6:6" ht="12.75" customHeight="1">
      <c r="F2593" s="32"/>
    </row>
    <row r="2594" spans="6:6" ht="12.75" customHeight="1">
      <c r="F2594" s="32"/>
    </row>
    <row r="2595" spans="6:6" ht="12.75" customHeight="1">
      <c r="F2595" s="32"/>
    </row>
    <row r="2596" spans="6:6" ht="12.75" customHeight="1">
      <c r="F2596" s="32"/>
    </row>
    <row r="2597" spans="6:6" ht="12.75" customHeight="1">
      <c r="F2597" s="32"/>
    </row>
    <row r="2598" spans="6:6" ht="12.75" customHeight="1">
      <c r="F2598" s="32"/>
    </row>
    <row r="2599" spans="6:6" ht="12.75" customHeight="1">
      <c r="F2599" s="32"/>
    </row>
    <row r="2600" spans="6:6" ht="12.75" customHeight="1">
      <c r="F2600" s="32"/>
    </row>
    <row r="2601" spans="6:6" ht="12.75" customHeight="1">
      <c r="F2601" s="32"/>
    </row>
    <row r="2602" spans="6:6" ht="12.75" customHeight="1">
      <c r="F2602" s="32"/>
    </row>
    <row r="2603" spans="6:6" ht="12.75" customHeight="1">
      <c r="F2603" s="32"/>
    </row>
    <row r="2604" spans="6:6" ht="12.75" customHeight="1">
      <c r="F2604" s="32"/>
    </row>
    <row r="2605" spans="6:6" ht="12.75" customHeight="1">
      <c r="F2605" s="32"/>
    </row>
    <row r="2606" spans="6:6" ht="12.75" customHeight="1">
      <c r="F2606" s="32"/>
    </row>
    <row r="2607" spans="6:6" ht="12.75" customHeight="1">
      <c r="F2607" s="32"/>
    </row>
    <row r="2608" spans="6:6" ht="12.75" customHeight="1">
      <c r="F2608" s="32"/>
    </row>
    <row r="2609" spans="6:6" ht="12.75" customHeight="1">
      <c r="F2609" s="32"/>
    </row>
    <row r="2610" spans="6:6" ht="12.75" customHeight="1">
      <c r="F2610" s="32"/>
    </row>
    <row r="2611" spans="6:6" ht="12.75" customHeight="1">
      <c r="F2611" s="32"/>
    </row>
    <row r="2612" spans="6:6" ht="12.75" customHeight="1">
      <c r="F2612" s="32"/>
    </row>
    <row r="2613" spans="6:6" ht="12.75" customHeight="1">
      <c r="F2613" s="32"/>
    </row>
    <row r="2614" spans="6:6" ht="12.75" customHeight="1">
      <c r="F2614" s="32"/>
    </row>
    <row r="2615" spans="6:6" ht="12.75" customHeight="1">
      <c r="F2615" s="32"/>
    </row>
    <row r="2616" spans="6:6" ht="12.75" customHeight="1">
      <c r="F2616" s="32"/>
    </row>
    <row r="2617" spans="6:6" ht="12.75" customHeight="1">
      <c r="F2617" s="32"/>
    </row>
    <row r="2618" spans="6:6" ht="12.75" customHeight="1">
      <c r="F2618" s="32"/>
    </row>
    <row r="2619" spans="6:6" ht="12.75" customHeight="1">
      <c r="F2619" s="32"/>
    </row>
    <row r="2620" spans="6:6" ht="12.75" customHeight="1">
      <c r="F2620" s="32"/>
    </row>
    <row r="2621" spans="6:6" ht="12.75" customHeight="1">
      <c r="F2621" s="32"/>
    </row>
    <row r="2622" spans="6:6" ht="12.75" customHeight="1">
      <c r="F2622" s="32"/>
    </row>
    <row r="2623" spans="6:6" ht="12.75" customHeight="1">
      <c r="F2623" s="32"/>
    </row>
    <row r="2624" spans="6:6" ht="12.75" customHeight="1">
      <c r="F2624" s="32"/>
    </row>
    <row r="2625" spans="6:6" ht="12.75" customHeight="1">
      <c r="F2625" s="32"/>
    </row>
    <row r="2626" spans="6:6" ht="12.75" customHeight="1">
      <c r="F2626" s="32"/>
    </row>
    <row r="2627" spans="6:6" ht="12.75" customHeight="1">
      <c r="F2627" s="32"/>
    </row>
    <row r="2628" spans="6:6" ht="12.75" customHeight="1">
      <c r="F2628" s="32"/>
    </row>
    <row r="2629" spans="6:6" ht="12.75" customHeight="1">
      <c r="F2629" s="32"/>
    </row>
    <row r="2630" spans="6:6" ht="12.75" customHeight="1">
      <c r="F2630" s="32"/>
    </row>
    <row r="2631" spans="6:6" ht="12.75" customHeight="1">
      <c r="F2631" s="32"/>
    </row>
    <row r="2632" spans="6:6" ht="12.75" customHeight="1">
      <c r="F2632" s="32"/>
    </row>
    <row r="2633" spans="6:6" ht="12.75" customHeight="1">
      <c r="F2633" s="32"/>
    </row>
    <row r="2634" spans="6:6" ht="12.75" customHeight="1">
      <c r="F2634" s="32"/>
    </row>
    <row r="2635" spans="6:6" ht="12.75" customHeight="1">
      <c r="F2635" s="32"/>
    </row>
    <row r="2636" spans="6:6" ht="12.75" customHeight="1">
      <c r="F2636" s="32"/>
    </row>
    <row r="2637" spans="6:6" ht="12.75" customHeight="1">
      <c r="F2637" s="32"/>
    </row>
    <row r="2638" spans="6:6" ht="12.75" customHeight="1">
      <c r="F2638" s="32"/>
    </row>
    <row r="2639" spans="6:6" ht="12.75" customHeight="1">
      <c r="F2639" s="32"/>
    </row>
    <row r="2640" spans="6:6" ht="12.75" customHeight="1">
      <c r="F2640" s="32"/>
    </row>
    <row r="2641" spans="6:6" ht="12.75" customHeight="1">
      <c r="F2641" s="32"/>
    </row>
    <row r="2642" spans="6:6" ht="12.75" customHeight="1">
      <c r="F2642" s="32"/>
    </row>
    <row r="2643" spans="6:6" ht="12.75" customHeight="1">
      <c r="F2643" s="32"/>
    </row>
    <row r="2644" spans="6:6" ht="12.75" customHeight="1">
      <c r="F2644" s="32"/>
    </row>
    <row r="2645" spans="6:6" ht="12.75" customHeight="1">
      <c r="F2645" s="32"/>
    </row>
    <row r="2646" spans="6:6" ht="12.75" customHeight="1">
      <c r="F2646" s="32"/>
    </row>
    <row r="2647" spans="6:6" ht="12.75" customHeight="1">
      <c r="F2647" s="32"/>
    </row>
    <row r="2648" spans="6:6" ht="12.75" customHeight="1">
      <c r="F2648" s="32"/>
    </row>
    <row r="2649" spans="6:6" ht="12.75" customHeight="1">
      <c r="F2649" s="32"/>
    </row>
    <row r="2650" spans="6:6" ht="12.75" customHeight="1">
      <c r="F2650" s="32"/>
    </row>
    <row r="2651" spans="6:6" ht="12.75" customHeight="1">
      <c r="F2651" s="32"/>
    </row>
    <row r="2652" spans="6:6" ht="12.75" customHeight="1">
      <c r="F2652" s="32"/>
    </row>
    <row r="2653" spans="6:6" ht="12.75" customHeight="1">
      <c r="F2653" s="32"/>
    </row>
    <row r="2654" spans="6:6" ht="12.75" customHeight="1">
      <c r="F2654" s="32"/>
    </row>
    <row r="2655" spans="6:6" ht="12.75" customHeight="1">
      <c r="F2655" s="32"/>
    </row>
    <row r="2656" spans="6:6" ht="12.75" customHeight="1">
      <c r="F2656" s="32"/>
    </row>
    <row r="2657" spans="6:6" ht="12.75" customHeight="1">
      <c r="F2657" s="32"/>
    </row>
    <row r="2658" spans="6:6" ht="12.75" customHeight="1">
      <c r="F2658" s="32"/>
    </row>
    <row r="2659" spans="6:6" ht="12.75" customHeight="1">
      <c r="F2659" s="32"/>
    </row>
    <row r="2660" spans="6:6" ht="12.75" customHeight="1">
      <c r="F2660" s="32"/>
    </row>
    <row r="2661" spans="6:6" ht="12.75" customHeight="1">
      <c r="F2661" s="32"/>
    </row>
    <row r="2662" spans="6:6" ht="12.75" customHeight="1">
      <c r="F2662" s="32"/>
    </row>
    <row r="2663" spans="6:6" ht="12.75" customHeight="1">
      <c r="F2663" s="32"/>
    </row>
    <row r="2664" spans="6:6" ht="12.75" customHeight="1">
      <c r="F2664" s="32"/>
    </row>
    <row r="2665" spans="6:6" ht="12.75" customHeight="1">
      <c r="F2665" s="32"/>
    </row>
    <row r="2666" spans="6:6" ht="12.75" customHeight="1">
      <c r="F2666" s="32"/>
    </row>
    <row r="2667" spans="6:6" ht="12.75" customHeight="1">
      <c r="F2667" s="32"/>
    </row>
    <row r="2668" spans="6:6" ht="12.75" customHeight="1">
      <c r="F2668" s="32"/>
    </row>
    <row r="2669" spans="6:6" ht="12.75" customHeight="1">
      <c r="F2669" s="32"/>
    </row>
    <row r="2670" spans="6:6" ht="12.75" customHeight="1">
      <c r="F2670" s="32"/>
    </row>
    <row r="2671" spans="6:6" ht="12.75" customHeight="1">
      <c r="F2671" s="32"/>
    </row>
    <row r="2672" spans="6:6" ht="12.75" customHeight="1">
      <c r="F2672" s="32"/>
    </row>
    <row r="2673" spans="6:6" ht="12.75" customHeight="1">
      <c r="F2673" s="32"/>
    </row>
    <row r="2674" spans="6:6" ht="12.75" customHeight="1">
      <c r="F2674" s="32"/>
    </row>
    <row r="2675" spans="6:6" ht="12.75" customHeight="1">
      <c r="F2675" s="32"/>
    </row>
    <row r="2676" spans="6:6" ht="12.75" customHeight="1">
      <c r="F2676" s="32"/>
    </row>
    <row r="2677" spans="6:6" ht="12.75" customHeight="1">
      <c r="F2677" s="32"/>
    </row>
    <row r="2678" spans="6:6" ht="12.75" customHeight="1">
      <c r="F2678" s="32"/>
    </row>
    <row r="2679" spans="6:6" ht="12.75" customHeight="1">
      <c r="F2679" s="32"/>
    </row>
    <row r="2680" spans="6:6" ht="12.75" customHeight="1">
      <c r="F2680" s="32"/>
    </row>
    <row r="2681" spans="6:6" ht="12.75" customHeight="1">
      <c r="F2681" s="32"/>
    </row>
    <row r="2682" spans="6:6" ht="12.75" customHeight="1">
      <c r="F2682" s="32"/>
    </row>
    <row r="2683" spans="6:6" ht="12.75" customHeight="1">
      <c r="F2683" s="32"/>
    </row>
    <row r="2684" spans="6:6" ht="12.75" customHeight="1">
      <c r="F2684" s="32"/>
    </row>
    <row r="2685" spans="6:6" ht="12.75" customHeight="1">
      <c r="F2685" s="32"/>
    </row>
    <row r="2686" spans="6:6" ht="12.75" customHeight="1">
      <c r="F2686" s="32"/>
    </row>
    <row r="2687" spans="6:6" ht="12.75" customHeight="1">
      <c r="F2687" s="32"/>
    </row>
    <row r="2688" spans="6:6" ht="12.75" customHeight="1">
      <c r="F2688" s="32"/>
    </row>
    <row r="2689" spans="6:6" ht="12.75" customHeight="1">
      <c r="F2689" s="32"/>
    </row>
    <row r="2690" spans="6:6" ht="12.75" customHeight="1">
      <c r="F2690" s="32"/>
    </row>
    <row r="2691" spans="6:6" ht="12.75" customHeight="1">
      <c r="F2691" s="32"/>
    </row>
    <row r="2692" spans="6:6" ht="12.75" customHeight="1">
      <c r="F2692" s="32"/>
    </row>
    <row r="2693" spans="6:6" ht="12.75" customHeight="1">
      <c r="F2693" s="32"/>
    </row>
    <row r="2694" spans="6:6" ht="12.75" customHeight="1">
      <c r="F2694" s="32"/>
    </row>
    <row r="2695" spans="6:6" ht="12.75" customHeight="1">
      <c r="F2695" s="32"/>
    </row>
    <row r="2696" spans="6:6" ht="12.75" customHeight="1">
      <c r="F2696" s="32"/>
    </row>
    <row r="2697" spans="6:6" ht="12.75" customHeight="1">
      <c r="F2697" s="32"/>
    </row>
    <row r="2698" spans="6:6" ht="12.75" customHeight="1">
      <c r="F2698" s="32"/>
    </row>
    <row r="2699" spans="6:6" ht="12.75" customHeight="1">
      <c r="F2699" s="32"/>
    </row>
    <row r="2700" spans="6:6" ht="12.75" customHeight="1">
      <c r="F2700" s="32"/>
    </row>
    <row r="2701" spans="6:6" ht="12.75" customHeight="1">
      <c r="F2701" s="32"/>
    </row>
    <row r="2702" spans="6:6" ht="12.75" customHeight="1">
      <c r="F2702" s="32"/>
    </row>
    <row r="2703" spans="6:6" ht="12.75" customHeight="1">
      <c r="F2703" s="32"/>
    </row>
    <row r="2704" spans="6:6" ht="12.75" customHeight="1">
      <c r="F2704" s="32"/>
    </row>
    <row r="2705" spans="6:6" ht="12.75" customHeight="1">
      <c r="F2705" s="32"/>
    </row>
    <row r="2706" spans="6:6" ht="12.75" customHeight="1">
      <c r="F2706" s="32"/>
    </row>
    <row r="2707" spans="6:6" ht="12.75" customHeight="1">
      <c r="F2707" s="32"/>
    </row>
    <row r="2708" spans="6:6" ht="12.75" customHeight="1">
      <c r="F2708" s="32"/>
    </row>
    <row r="2709" spans="6:6" ht="12.75" customHeight="1">
      <c r="F2709" s="32"/>
    </row>
    <row r="2710" spans="6:6" ht="12.75" customHeight="1">
      <c r="F2710" s="32"/>
    </row>
    <row r="2711" spans="6:6" ht="12.75" customHeight="1">
      <c r="F2711" s="32"/>
    </row>
    <row r="2712" spans="6:6" ht="12.75" customHeight="1">
      <c r="F2712" s="32"/>
    </row>
    <row r="2713" spans="6:6" ht="12.75" customHeight="1">
      <c r="F2713" s="32"/>
    </row>
    <row r="2714" spans="6:6" ht="12.75" customHeight="1">
      <c r="F2714" s="32"/>
    </row>
    <row r="2715" spans="6:6" ht="12.75" customHeight="1">
      <c r="F2715" s="32"/>
    </row>
    <row r="2716" spans="6:6" ht="12.75" customHeight="1">
      <c r="F2716" s="32"/>
    </row>
    <row r="2717" spans="6:6" ht="12.75" customHeight="1">
      <c r="F2717" s="32"/>
    </row>
    <row r="2718" spans="6:6" ht="12.75" customHeight="1">
      <c r="F2718" s="32"/>
    </row>
    <row r="2719" spans="6:6" ht="12.75" customHeight="1">
      <c r="F2719" s="32"/>
    </row>
    <row r="2720" spans="6:6" ht="12.75" customHeight="1">
      <c r="F2720" s="32"/>
    </row>
    <row r="2721" spans="6:6" ht="12.75" customHeight="1">
      <c r="F2721" s="32"/>
    </row>
    <row r="2722" spans="6:6" ht="12.75" customHeight="1">
      <c r="F2722" s="32"/>
    </row>
    <row r="2723" spans="6:6" ht="12.75" customHeight="1">
      <c r="F2723" s="32"/>
    </row>
    <row r="2724" spans="6:6" ht="12.75" customHeight="1">
      <c r="F2724" s="32"/>
    </row>
    <row r="2725" spans="6:6" ht="12.75" customHeight="1">
      <c r="F2725" s="32"/>
    </row>
    <row r="2726" spans="6:6" ht="12.75" customHeight="1">
      <c r="F2726" s="32"/>
    </row>
    <row r="2727" spans="6:6" ht="12.75" customHeight="1">
      <c r="F2727" s="32"/>
    </row>
    <row r="2728" spans="6:6" ht="12.75" customHeight="1">
      <c r="F2728" s="32"/>
    </row>
    <row r="2729" spans="6:6" ht="12.75" customHeight="1">
      <c r="F2729" s="32"/>
    </row>
    <row r="2730" spans="6:6" ht="12.75" customHeight="1">
      <c r="F2730" s="32"/>
    </row>
    <row r="2731" spans="6:6" ht="12.75" customHeight="1">
      <c r="F2731" s="32"/>
    </row>
    <row r="2732" spans="6:6" ht="12.75" customHeight="1">
      <c r="F2732" s="32"/>
    </row>
    <row r="2733" spans="6:6" ht="12.75" customHeight="1">
      <c r="F2733" s="32"/>
    </row>
    <row r="2734" spans="6:6" ht="12.75" customHeight="1">
      <c r="F2734" s="32"/>
    </row>
    <row r="2735" spans="6:6" ht="12.75" customHeight="1">
      <c r="F2735" s="32"/>
    </row>
    <row r="2736" spans="6:6" ht="12.75" customHeight="1">
      <c r="F2736" s="32"/>
    </row>
    <row r="2737" spans="6:6" ht="12.75" customHeight="1">
      <c r="F2737" s="32"/>
    </row>
    <row r="2738" spans="6:6" ht="12.75" customHeight="1">
      <c r="F2738" s="32"/>
    </row>
    <row r="2739" spans="6:6" ht="12.75" customHeight="1">
      <c r="F2739" s="32"/>
    </row>
    <row r="2740" spans="6:6" ht="12.75" customHeight="1">
      <c r="F2740" s="32"/>
    </row>
    <row r="2741" spans="6:6" ht="12.75" customHeight="1">
      <c r="F2741" s="32"/>
    </row>
    <row r="2742" spans="6:6" ht="12.75" customHeight="1">
      <c r="F2742" s="32"/>
    </row>
    <row r="2743" spans="6:6" ht="12.75" customHeight="1">
      <c r="F2743" s="32"/>
    </row>
    <row r="2744" spans="6:6" ht="12.75" customHeight="1">
      <c r="F2744" s="32"/>
    </row>
    <row r="2745" spans="6:6" ht="12.75" customHeight="1">
      <c r="F2745" s="32"/>
    </row>
    <row r="2746" spans="6:6" ht="12.75" customHeight="1">
      <c r="F2746" s="32"/>
    </row>
    <row r="2747" spans="6:6" ht="12.75" customHeight="1">
      <c r="F2747" s="32"/>
    </row>
    <row r="2748" spans="6:6" ht="12.75" customHeight="1">
      <c r="F2748" s="32"/>
    </row>
    <row r="2749" spans="6:6" ht="12.75" customHeight="1">
      <c r="F2749" s="32"/>
    </row>
    <row r="2750" spans="6:6" ht="12.75" customHeight="1">
      <c r="F2750" s="32"/>
    </row>
    <row r="2751" spans="6:6" ht="12.75" customHeight="1">
      <c r="F2751" s="32"/>
    </row>
    <row r="2752" spans="6:6" ht="12.75" customHeight="1">
      <c r="F2752" s="32"/>
    </row>
    <row r="2753" spans="6:6" ht="12.75" customHeight="1">
      <c r="F2753" s="32"/>
    </row>
    <row r="2754" spans="6:6" ht="12.75" customHeight="1">
      <c r="F2754" s="32"/>
    </row>
    <row r="2755" spans="6:6" ht="12.75" customHeight="1">
      <c r="F2755" s="32"/>
    </row>
    <row r="2756" spans="6:6" ht="12.75" customHeight="1">
      <c r="F2756" s="32"/>
    </row>
    <row r="2757" spans="6:6" ht="12.75" customHeight="1">
      <c r="F2757" s="32"/>
    </row>
    <row r="2758" spans="6:6" ht="12.75" customHeight="1">
      <c r="F2758" s="32"/>
    </row>
    <row r="2759" spans="6:6" ht="12.75" customHeight="1">
      <c r="F2759" s="32"/>
    </row>
    <row r="2760" spans="6:6" ht="12.75" customHeight="1">
      <c r="F2760" s="32"/>
    </row>
    <row r="2761" spans="6:6" ht="12.75" customHeight="1">
      <c r="F2761" s="32"/>
    </row>
    <row r="2762" spans="6:6" ht="12.75" customHeight="1">
      <c r="F2762" s="32"/>
    </row>
    <row r="2763" spans="6:6" ht="12.75" customHeight="1">
      <c r="F2763" s="32"/>
    </row>
    <row r="2764" spans="6:6" ht="12.75" customHeight="1">
      <c r="F2764" s="32"/>
    </row>
    <row r="2765" spans="6:6" ht="12.75" customHeight="1">
      <c r="F2765" s="32"/>
    </row>
    <row r="2766" spans="6:6" ht="12.75" customHeight="1">
      <c r="F2766" s="32"/>
    </row>
    <row r="2767" spans="6:6" ht="12.75" customHeight="1">
      <c r="F2767" s="32"/>
    </row>
    <row r="2768" spans="6:6" ht="12.75" customHeight="1">
      <c r="F2768" s="32"/>
    </row>
    <row r="2769" spans="6:6" ht="12.75" customHeight="1">
      <c r="F2769" s="32"/>
    </row>
    <row r="2770" spans="6:6" ht="12.75" customHeight="1">
      <c r="F2770" s="32"/>
    </row>
    <row r="2771" spans="6:6" ht="12.75" customHeight="1">
      <c r="F2771" s="32"/>
    </row>
    <row r="2772" spans="6:6" ht="12.75" customHeight="1">
      <c r="F2772" s="32"/>
    </row>
    <row r="2773" spans="6:6" ht="12.75" customHeight="1">
      <c r="F2773" s="32"/>
    </row>
    <row r="2774" spans="6:6" ht="12.75" customHeight="1">
      <c r="F2774" s="32"/>
    </row>
    <row r="2775" spans="6:6" ht="12.75" customHeight="1">
      <c r="F2775" s="32"/>
    </row>
    <row r="2776" spans="6:6" ht="12.75" customHeight="1">
      <c r="F2776" s="32"/>
    </row>
    <row r="2777" spans="6:6" ht="12.75" customHeight="1">
      <c r="F2777" s="32"/>
    </row>
    <row r="2778" spans="6:6" ht="12.75" customHeight="1">
      <c r="F2778" s="32"/>
    </row>
    <row r="2779" spans="6:6" ht="12.75" customHeight="1">
      <c r="F2779" s="32"/>
    </row>
    <row r="2780" spans="6:6" ht="12.75" customHeight="1">
      <c r="F2780" s="32"/>
    </row>
    <row r="2781" spans="6:6" ht="12.75" customHeight="1">
      <c r="F2781" s="32"/>
    </row>
    <row r="2782" spans="6:6" ht="12.75" customHeight="1">
      <c r="F2782" s="32"/>
    </row>
    <row r="2783" spans="6:6" ht="12.75" customHeight="1">
      <c r="F2783" s="32"/>
    </row>
    <row r="2784" spans="6:6" ht="12.75" customHeight="1">
      <c r="F2784" s="32"/>
    </row>
    <row r="2785" spans="6:6" ht="12.75" customHeight="1">
      <c r="F2785" s="32"/>
    </row>
    <row r="2786" spans="6:6" ht="12.75" customHeight="1">
      <c r="F2786" s="32"/>
    </row>
    <row r="2787" spans="6:6" ht="12.75" customHeight="1">
      <c r="F2787" s="32"/>
    </row>
    <row r="2788" spans="6:6" ht="12.75" customHeight="1">
      <c r="F2788" s="32"/>
    </row>
    <row r="2789" spans="6:6" ht="12.75" customHeight="1">
      <c r="F2789" s="32"/>
    </row>
    <row r="2790" spans="6:6" ht="12.75" customHeight="1">
      <c r="F2790" s="32"/>
    </row>
    <row r="2791" spans="6:6" ht="12.75" customHeight="1">
      <c r="F2791" s="32"/>
    </row>
    <row r="2792" spans="6:6" ht="12.75" customHeight="1">
      <c r="F2792" s="32"/>
    </row>
    <row r="2793" spans="6:6" ht="12.75" customHeight="1">
      <c r="F2793" s="32"/>
    </row>
    <row r="2794" spans="6:6" ht="12.75" customHeight="1">
      <c r="F2794" s="32"/>
    </row>
    <row r="2795" spans="6:6" ht="12.75" customHeight="1">
      <c r="F2795" s="32"/>
    </row>
    <row r="2796" spans="6:6" ht="12.75" customHeight="1">
      <c r="F2796" s="32"/>
    </row>
    <row r="2797" spans="6:6" ht="12.75" customHeight="1">
      <c r="F2797" s="32"/>
    </row>
    <row r="2798" spans="6:6" ht="12.75" customHeight="1">
      <c r="F2798" s="32"/>
    </row>
    <row r="2799" spans="6:6" ht="12.75" customHeight="1">
      <c r="F2799" s="32"/>
    </row>
    <row r="2800" spans="6:6" ht="12.75" customHeight="1">
      <c r="F2800" s="32"/>
    </row>
    <row r="2801" spans="6:6" ht="12.75" customHeight="1">
      <c r="F2801" s="32"/>
    </row>
    <row r="2802" spans="6:6" ht="12.75" customHeight="1">
      <c r="F2802" s="32"/>
    </row>
    <row r="2803" spans="6:6" ht="12.75" customHeight="1">
      <c r="F2803" s="32"/>
    </row>
    <row r="2804" spans="6:6" ht="12.75" customHeight="1">
      <c r="F2804" s="32"/>
    </row>
    <row r="2805" spans="6:6" ht="12.75" customHeight="1">
      <c r="F2805" s="32"/>
    </row>
    <row r="2806" spans="6:6" ht="12.75" customHeight="1">
      <c r="F2806" s="32"/>
    </row>
    <row r="2807" spans="6:6" ht="12.75" customHeight="1">
      <c r="F2807" s="32"/>
    </row>
    <row r="2808" spans="6:6" ht="12.75" customHeight="1">
      <c r="F2808" s="32"/>
    </row>
    <row r="2809" spans="6:6" ht="12.75" customHeight="1">
      <c r="F2809" s="32"/>
    </row>
    <row r="2810" spans="6:6" ht="12.75" customHeight="1">
      <c r="F2810" s="32"/>
    </row>
    <row r="2811" spans="6:6" ht="12.75" customHeight="1">
      <c r="F2811" s="32"/>
    </row>
    <row r="2812" spans="6:6" ht="12.75" customHeight="1">
      <c r="F2812" s="32"/>
    </row>
    <row r="2813" spans="6:6" ht="12.75" customHeight="1">
      <c r="F2813" s="32"/>
    </row>
    <row r="2814" spans="6:6" ht="12.75" customHeight="1">
      <c r="F2814" s="32"/>
    </row>
    <row r="2815" spans="6:6" ht="12.75" customHeight="1">
      <c r="F2815" s="32"/>
    </row>
    <row r="2816" spans="6:6" ht="12.75" customHeight="1">
      <c r="F2816" s="32"/>
    </row>
    <row r="2817" spans="6:6" ht="12.75" customHeight="1">
      <c r="F2817" s="32"/>
    </row>
    <row r="2818" spans="6:6" ht="12.75" customHeight="1">
      <c r="F2818" s="32"/>
    </row>
    <row r="2819" spans="6:6" ht="12.75" customHeight="1">
      <c r="F2819" s="32"/>
    </row>
    <row r="2820" spans="6:6" ht="12.75" customHeight="1">
      <c r="F2820" s="32"/>
    </row>
    <row r="2821" spans="6:6" ht="12.75" customHeight="1">
      <c r="F2821" s="32"/>
    </row>
    <row r="2822" spans="6:6" ht="12.75" customHeight="1">
      <c r="F2822" s="32"/>
    </row>
    <row r="2823" spans="6:6" ht="12.75" customHeight="1">
      <c r="F2823" s="32"/>
    </row>
    <row r="2824" spans="6:6" ht="12.75" customHeight="1">
      <c r="F2824" s="32"/>
    </row>
    <row r="2825" spans="6:6" ht="12.75" customHeight="1">
      <c r="F2825" s="32"/>
    </row>
    <row r="2826" spans="6:6" ht="12.75" customHeight="1">
      <c r="F2826" s="32"/>
    </row>
    <row r="2827" spans="6:6" ht="12.75" customHeight="1">
      <c r="F2827" s="32"/>
    </row>
    <row r="2828" spans="6:6" ht="12.75" customHeight="1">
      <c r="F2828" s="32"/>
    </row>
    <row r="2829" spans="6:6" ht="12.75" customHeight="1">
      <c r="F2829" s="32"/>
    </row>
    <row r="2830" spans="6:6" ht="12.75" customHeight="1">
      <c r="F2830" s="32"/>
    </row>
    <row r="2831" spans="6:6" ht="12.75" customHeight="1">
      <c r="F2831" s="32"/>
    </row>
    <row r="2832" spans="6:6" ht="12.75" customHeight="1">
      <c r="F2832" s="32"/>
    </row>
    <row r="2833" spans="6:6" ht="12.75" customHeight="1">
      <c r="F2833" s="32"/>
    </row>
    <row r="2834" spans="6:6" ht="12.75" customHeight="1">
      <c r="F2834" s="32"/>
    </row>
    <row r="2835" spans="6:6" ht="12.75" customHeight="1">
      <c r="F2835" s="32"/>
    </row>
    <row r="2836" spans="6:6" ht="12.75" customHeight="1">
      <c r="F2836" s="32"/>
    </row>
    <row r="2837" spans="6:6" ht="12.75" customHeight="1">
      <c r="F2837" s="32"/>
    </row>
    <row r="2838" spans="6:6" ht="12.75" customHeight="1">
      <c r="F2838" s="32"/>
    </row>
    <row r="2839" spans="6:6" ht="12.75" customHeight="1">
      <c r="F2839" s="32"/>
    </row>
    <row r="2840" spans="6:6" ht="12.75" customHeight="1">
      <c r="F2840" s="32"/>
    </row>
    <row r="2841" spans="6:6" ht="12.75" customHeight="1">
      <c r="F2841" s="32"/>
    </row>
    <row r="2842" spans="6:6" ht="12.75" customHeight="1">
      <c r="F2842" s="32"/>
    </row>
    <row r="2843" spans="6:6" ht="12.75" customHeight="1">
      <c r="F2843" s="32"/>
    </row>
    <row r="2844" spans="6:6" ht="12.75" customHeight="1">
      <c r="F2844" s="32"/>
    </row>
    <row r="2845" spans="6:6" ht="12.75" customHeight="1">
      <c r="F2845" s="32"/>
    </row>
    <row r="2846" spans="6:6" ht="12.75" customHeight="1">
      <c r="F2846" s="32"/>
    </row>
    <row r="2847" spans="6:6" ht="12.75" customHeight="1">
      <c r="F2847" s="32"/>
    </row>
    <row r="2848" spans="6:6" ht="12.75" customHeight="1">
      <c r="F2848" s="32"/>
    </row>
    <row r="2849" spans="6:6" ht="12.75" customHeight="1">
      <c r="F2849" s="32"/>
    </row>
    <row r="2850" spans="6:6" ht="12.75" customHeight="1">
      <c r="F2850" s="32"/>
    </row>
    <row r="2851" spans="6:6" ht="12.75" customHeight="1">
      <c r="F2851" s="32"/>
    </row>
    <row r="2852" spans="6:6" ht="12.75" customHeight="1">
      <c r="F2852" s="32"/>
    </row>
    <row r="2853" spans="6:6" ht="12.75" customHeight="1">
      <c r="F2853" s="32"/>
    </row>
    <row r="2854" spans="6:6" ht="12.75" customHeight="1">
      <c r="F2854" s="32"/>
    </row>
    <row r="2855" spans="6:6" ht="12.75" customHeight="1">
      <c r="F2855" s="32"/>
    </row>
    <row r="2856" spans="6:6" ht="12.75" customHeight="1">
      <c r="F2856" s="32"/>
    </row>
    <row r="2857" spans="6:6" ht="12.75" customHeight="1">
      <c r="F2857" s="32"/>
    </row>
    <row r="2858" spans="6:6" ht="12.75" customHeight="1">
      <c r="F2858" s="32"/>
    </row>
    <row r="2859" spans="6:6" ht="12.75" customHeight="1">
      <c r="F2859" s="32"/>
    </row>
    <row r="2860" spans="6:6" ht="12.75" customHeight="1">
      <c r="F2860" s="32"/>
    </row>
    <row r="2861" spans="6:6" ht="12.75" customHeight="1">
      <c r="F2861" s="32"/>
    </row>
    <row r="2862" spans="6:6" ht="12.75" customHeight="1">
      <c r="F2862" s="32"/>
    </row>
    <row r="2863" spans="6:6" ht="12.75" customHeight="1">
      <c r="F2863" s="32"/>
    </row>
    <row r="2864" spans="6:6" ht="12.75" customHeight="1">
      <c r="F2864" s="32"/>
    </row>
    <row r="2865" spans="6:6" ht="12.75" customHeight="1">
      <c r="F2865" s="32"/>
    </row>
    <row r="2866" spans="6:6" ht="12.75" customHeight="1">
      <c r="F2866" s="32"/>
    </row>
    <row r="2867" spans="6:6" ht="12.75" customHeight="1">
      <c r="F2867" s="32"/>
    </row>
    <row r="2868" spans="6:6" ht="12.75" customHeight="1">
      <c r="F2868" s="32"/>
    </row>
    <row r="2869" spans="6:6" ht="12.75" customHeight="1">
      <c r="F2869" s="32"/>
    </row>
    <row r="2870" spans="6:6" ht="12.75" customHeight="1">
      <c r="F2870" s="32"/>
    </row>
    <row r="2871" spans="6:6" ht="12.75" customHeight="1">
      <c r="F2871" s="32"/>
    </row>
    <row r="2872" spans="6:6" ht="12.75" customHeight="1">
      <c r="F2872" s="32"/>
    </row>
    <row r="2873" spans="6:6" ht="12.75" customHeight="1">
      <c r="F2873" s="32"/>
    </row>
    <row r="2874" spans="6:6" ht="12.75" customHeight="1">
      <c r="F2874" s="32"/>
    </row>
    <row r="2875" spans="6:6" ht="12.75" customHeight="1">
      <c r="F2875" s="32"/>
    </row>
    <row r="2876" spans="6:6" ht="12.75" customHeight="1">
      <c r="F2876" s="32"/>
    </row>
    <row r="2877" spans="6:6" ht="12.75" customHeight="1">
      <c r="F2877" s="32"/>
    </row>
    <row r="2878" spans="6:6" ht="12.75" customHeight="1">
      <c r="F2878" s="32"/>
    </row>
    <row r="2879" spans="6:6" ht="12.75" customHeight="1">
      <c r="F2879" s="32"/>
    </row>
    <row r="2880" spans="6:6" ht="12.75" customHeight="1">
      <c r="F2880" s="32"/>
    </row>
    <row r="2881" spans="6:6" ht="12.75" customHeight="1">
      <c r="F2881" s="32"/>
    </row>
    <row r="2882" spans="6:6" ht="12.75" customHeight="1">
      <c r="F2882" s="32"/>
    </row>
    <row r="2883" spans="6:6" ht="12.75" customHeight="1">
      <c r="F2883" s="32"/>
    </row>
    <row r="2884" spans="6:6" ht="12.75" customHeight="1">
      <c r="F2884" s="32"/>
    </row>
    <row r="2885" spans="6:6" ht="12.75" customHeight="1">
      <c r="F2885" s="32"/>
    </row>
    <row r="2886" spans="6:6" ht="12.75" customHeight="1">
      <c r="F2886" s="32"/>
    </row>
    <row r="2887" spans="6:6" ht="12.75" customHeight="1">
      <c r="F2887" s="32"/>
    </row>
    <row r="2888" spans="6:6" ht="12.75" customHeight="1">
      <c r="F2888" s="32"/>
    </row>
    <row r="2889" spans="6:6" ht="12.75" customHeight="1">
      <c r="F2889" s="32"/>
    </row>
    <row r="2890" spans="6:6" ht="12.75" customHeight="1">
      <c r="F2890" s="32"/>
    </row>
    <row r="2891" spans="6:6" ht="12.75" customHeight="1">
      <c r="F2891" s="32"/>
    </row>
    <row r="2892" spans="6:6" ht="12.75" customHeight="1">
      <c r="F2892" s="32"/>
    </row>
    <row r="2893" spans="6:6" ht="12.75" customHeight="1">
      <c r="F2893" s="32"/>
    </row>
    <row r="2894" spans="6:6" ht="12.75" customHeight="1">
      <c r="F2894" s="32"/>
    </row>
    <row r="2895" spans="6:6" ht="12.75" customHeight="1">
      <c r="F2895" s="32"/>
    </row>
    <row r="2896" spans="6:6" ht="12.75" customHeight="1">
      <c r="F2896" s="32"/>
    </row>
    <row r="2897" spans="6:6" ht="12.75" customHeight="1">
      <c r="F2897" s="32"/>
    </row>
    <row r="2898" spans="6:6" ht="12.75" customHeight="1">
      <c r="F2898" s="32"/>
    </row>
    <row r="2899" spans="6:6" ht="12.75" customHeight="1">
      <c r="F2899" s="32"/>
    </row>
    <row r="2900" spans="6:6" ht="12.75" customHeight="1">
      <c r="F2900" s="32"/>
    </row>
    <row r="2901" spans="6:6" ht="12.75" customHeight="1">
      <c r="F2901" s="32"/>
    </row>
    <row r="2902" spans="6:6" ht="12.75" customHeight="1">
      <c r="F2902" s="32"/>
    </row>
    <row r="2903" spans="6:6" ht="12.75" customHeight="1">
      <c r="F2903" s="32"/>
    </row>
    <row r="2904" spans="6:6" ht="12.75" customHeight="1">
      <c r="F2904" s="32"/>
    </row>
    <row r="2905" spans="6:6" ht="12.75" customHeight="1">
      <c r="F2905" s="32"/>
    </row>
    <row r="2906" spans="6:6" ht="12.75" customHeight="1">
      <c r="F2906" s="32"/>
    </row>
    <row r="2907" spans="6:6" ht="12.75" customHeight="1">
      <c r="F2907" s="32"/>
    </row>
    <row r="2908" spans="6:6" ht="12.75" customHeight="1">
      <c r="F2908" s="32"/>
    </row>
    <row r="2909" spans="6:6" ht="12.75" customHeight="1">
      <c r="F2909" s="32"/>
    </row>
    <row r="2910" spans="6:6" ht="12.75" customHeight="1">
      <c r="F2910" s="32"/>
    </row>
    <row r="2911" spans="6:6" ht="12.75" customHeight="1">
      <c r="F2911" s="32"/>
    </row>
    <row r="2912" spans="6:6" ht="12.75" customHeight="1">
      <c r="F2912" s="32"/>
    </row>
    <row r="2913" spans="6:6" ht="12.75" customHeight="1">
      <c r="F2913" s="32"/>
    </row>
    <row r="2914" spans="6:6" ht="12.75" customHeight="1">
      <c r="F2914" s="32"/>
    </row>
    <row r="2915" spans="6:6" ht="12.75" customHeight="1">
      <c r="F2915" s="32"/>
    </row>
    <row r="2916" spans="6:6" ht="12.75" customHeight="1">
      <c r="F2916" s="32"/>
    </row>
    <row r="2917" spans="6:6" ht="12.75" customHeight="1">
      <c r="F2917" s="32"/>
    </row>
    <row r="2918" spans="6:6" ht="12.75" customHeight="1">
      <c r="F2918" s="32"/>
    </row>
    <row r="2919" spans="6:6" ht="12.75" customHeight="1">
      <c r="F2919" s="32"/>
    </row>
    <row r="2920" spans="6:6" ht="12.75" customHeight="1">
      <c r="F2920" s="32"/>
    </row>
    <row r="2921" spans="6:6" ht="12.75" customHeight="1">
      <c r="F2921" s="32"/>
    </row>
    <row r="2922" spans="6:6" ht="12.75" customHeight="1">
      <c r="F2922" s="32"/>
    </row>
    <row r="2923" spans="6:6" ht="12.75" customHeight="1">
      <c r="F2923" s="32"/>
    </row>
    <row r="2924" spans="6:6" ht="12.75" customHeight="1">
      <c r="F2924" s="32"/>
    </row>
    <row r="2925" spans="6:6" ht="12.75" customHeight="1">
      <c r="F2925" s="32"/>
    </row>
    <row r="2926" spans="6:6" ht="12.75" customHeight="1">
      <c r="F2926" s="32"/>
    </row>
    <row r="2927" spans="6:6" ht="12.75" customHeight="1">
      <c r="F2927" s="32"/>
    </row>
    <row r="2928" spans="6:6" ht="12.75" customHeight="1">
      <c r="F2928" s="32"/>
    </row>
    <row r="2929" spans="6:6" ht="12.75" customHeight="1">
      <c r="F2929" s="32"/>
    </row>
    <row r="2930" spans="6:6" ht="12.75" customHeight="1">
      <c r="F2930" s="32"/>
    </row>
    <row r="2931" spans="6:6" ht="12.75" customHeight="1">
      <c r="F2931" s="32"/>
    </row>
    <row r="2932" spans="6:6" ht="12.75" customHeight="1">
      <c r="F2932" s="32"/>
    </row>
    <row r="2933" spans="6:6" ht="12.75" customHeight="1">
      <c r="F2933" s="32"/>
    </row>
    <row r="2934" spans="6:6" ht="12.75" customHeight="1">
      <c r="F2934" s="32"/>
    </row>
    <row r="2935" spans="6:6" ht="12.75" customHeight="1">
      <c r="F2935" s="32"/>
    </row>
    <row r="2936" spans="6:6" ht="12.75" customHeight="1">
      <c r="F2936" s="32"/>
    </row>
    <row r="2937" spans="6:6" ht="12.75" customHeight="1">
      <c r="F2937" s="32"/>
    </row>
    <row r="2938" spans="6:6" ht="12.75" customHeight="1">
      <c r="F2938" s="32"/>
    </row>
    <row r="2939" spans="6:6" ht="12.75" customHeight="1">
      <c r="F2939" s="32"/>
    </row>
    <row r="2940" spans="6:6" ht="12.75" customHeight="1">
      <c r="F2940" s="32"/>
    </row>
    <row r="2941" spans="6:6" ht="12.75" customHeight="1">
      <c r="F2941" s="32"/>
    </row>
    <row r="2942" spans="6:6" ht="12.75" customHeight="1">
      <c r="F2942" s="32"/>
    </row>
    <row r="2943" spans="6:6" ht="12.75" customHeight="1">
      <c r="F2943" s="32"/>
    </row>
    <row r="2944" spans="6:6" ht="12.75" customHeight="1">
      <c r="F2944" s="32"/>
    </row>
    <row r="2945" spans="6:6" ht="12.75" customHeight="1">
      <c r="F2945" s="32"/>
    </row>
    <row r="2946" spans="6:6" ht="12.75" customHeight="1">
      <c r="F2946" s="32"/>
    </row>
    <row r="2947" spans="6:6" ht="12.75" customHeight="1">
      <c r="F2947" s="32"/>
    </row>
    <row r="2948" spans="6:6" ht="12.75" customHeight="1">
      <c r="F2948" s="32"/>
    </row>
    <row r="2949" spans="6:6" ht="12.75" customHeight="1">
      <c r="F2949" s="32"/>
    </row>
    <row r="2950" spans="6:6" ht="12.75" customHeight="1">
      <c r="F2950" s="32"/>
    </row>
    <row r="2951" spans="6:6" ht="12.75" customHeight="1">
      <c r="F2951" s="32"/>
    </row>
    <row r="2952" spans="6:6" ht="12.75" customHeight="1">
      <c r="F2952" s="32"/>
    </row>
    <row r="2953" spans="6:6" ht="12.75" customHeight="1">
      <c r="F2953" s="32"/>
    </row>
    <row r="2954" spans="6:6" ht="12.75" customHeight="1">
      <c r="F2954" s="32"/>
    </row>
    <row r="2955" spans="6:6" ht="12.75" customHeight="1">
      <c r="F2955" s="32"/>
    </row>
    <row r="2956" spans="6:6" ht="12.75" customHeight="1">
      <c r="F2956" s="32"/>
    </row>
    <row r="2957" spans="6:6" ht="12.75" customHeight="1">
      <c r="F2957" s="32"/>
    </row>
    <row r="2958" spans="6:6" ht="12.75" customHeight="1">
      <c r="F2958" s="32"/>
    </row>
    <row r="2959" spans="6:6" ht="12.75" customHeight="1">
      <c r="F2959" s="32"/>
    </row>
    <row r="2960" spans="6:6" ht="12.75" customHeight="1">
      <c r="F2960" s="32"/>
    </row>
    <row r="2961" spans="6:6" ht="12.75" customHeight="1">
      <c r="F2961" s="32"/>
    </row>
    <row r="2962" spans="6:6" ht="12.75" customHeight="1">
      <c r="F2962" s="32"/>
    </row>
    <row r="2963" spans="6:6" ht="12.75" customHeight="1">
      <c r="F2963" s="32"/>
    </row>
    <row r="2964" spans="6:6" ht="12.75" customHeight="1">
      <c r="F2964" s="32"/>
    </row>
    <row r="2965" spans="6:6" ht="12.75" customHeight="1">
      <c r="F2965" s="32"/>
    </row>
    <row r="2966" spans="6:6" ht="12.75" customHeight="1">
      <c r="F2966" s="32"/>
    </row>
    <row r="2967" spans="6:6" ht="12.75" customHeight="1">
      <c r="F2967" s="32"/>
    </row>
    <row r="2968" spans="6:6" ht="12.75" customHeight="1">
      <c r="F2968" s="32"/>
    </row>
    <row r="2969" spans="6:6" ht="12.75" customHeight="1">
      <c r="F2969" s="32"/>
    </row>
    <row r="2970" spans="6:6" ht="12.75" customHeight="1">
      <c r="F2970" s="32"/>
    </row>
    <row r="2971" spans="6:6" ht="12.75" customHeight="1">
      <c r="F2971" s="32"/>
    </row>
    <row r="2972" spans="6:6" ht="12.75" customHeight="1">
      <c r="F2972" s="32"/>
    </row>
    <row r="2973" spans="6:6" ht="12.75" customHeight="1">
      <c r="F2973" s="32"/>
    </row>
    <row r="2974" spans="6:6" ht="12.75" customHeight="1">
      <c r="F2974" s="32"/>
    </row>
    <row r="2975" spans="6:6" ht="12.75" customHeight="1">
      <c r="F2975" s="32"/>
    </row>
    <row r="2976" spans="6:6" ht="12.75" customHeight="1">
      <c r="F2976" s="32"/>
    </row>
    <row r="2977" spans="6:6" ht="12.75" customHeight="1">
      <c r="F2977" s="32"/>
    </row>
    <row r="2978" spans="6:6" ht="12.75" customHeight="1">
      <c r="F2978" s="32"/>
    </row>
    <row r="2979" spans="6:6" ht="12.75" customHeight="1">
      <c r="F2979" s="32"/>
    </row>
    <row r="2980" spans="6:6" ht="12.75" customHeight="1">
      <c r="F2980" s="32"/>
    </row>
    <row r="2981" spans="6:6" ht="12.75" customHeight="1">
      <c r="F2981" s="32"/>
    </row>
    <row r="2982" spans="6:6" ht="12.75" customHeight="1">
      <c r="F2982" s="32"/>
    </row>
    <row r="2983" spans="6:6" ht="12.75" customHeight="1">
      <c r="F2983" s="32"/>
    </row>
    <row r="2984" spans="6:6" ht="12.75" customHeight="1">
      <c r="F2984" s="32"/>
    </row>
    <row r="2985" spans="6:6" ht="12.75" customHeight="1">
      <c r="F2985" s="32"/>
    </row>
    <row r="2986" spans="6:6" ht="12.75" customHeight="1">
      <c r="F2986" s="32"/>
    </row>
    <row r="2987" spans="6:6" ht="12.75" customHeight="1">
      <c r="F2987" s="32"/>
    </row>
    <row r="2988" spans="6:6" ht="12.75" customHeight="1">
      <c r="F2988" s="32"/>
    </row>
    <row r="2989" spans="6:6" ht="12.75" customHeight="1">
      <c r="F2989" s="32"/>
    </row>
    <row r="2990" spans="6:6" ht="12.75" customHeight="1">
      <c r="F2990" s="32"/>
    </row>
    <row r="2991" spans="6:6" ht="12.75" customHeight="1">
      <c r="F2991" s="32"/>
    </row>
    <row r="2992" spans="6:6" ht="12.75" customHeight="1">
      <c r="F2992" s="32"/>
    </row>
    <row r="2993" spans="6:6" ht="12.75" customHeight="1">
      <c r="F2993" s="32"/>
    </row>
    <row r="2994" spans="6:6" ht="12.75" customHeight="1">
      <c r="F2994" s="32"/>
    </row>
    <row r="2995" spans="6:6" ht="12.75" customHeight="1">
      <c r="F2995" s="32"/>
    </row>
    <row r="2996" spans="6:6" ht="12.75" customHeight="1">
      <c r="F2996" s="32"/>
    </row>
    <row r="2997" spans="6:6" ht="12.75" customHeight="1">
      <c r="F2997" s="32"/>
    </row>
    <row r="2998" spans="6:6" ht="12.75" customHeight="1">
      <c r="F2998" s="32"/>
    </row>
    <row r="2999" spans="6:6" ht="12.75" customHeight="1">
      <c r="F2999" s="32"/>
    </row>
    <row r="3000" spans="6:6" ht="12.75" customHeight="1">
      <c r="F3000" s="32"/>
    </row>
    <row r="3001" spans="6:6" ht="12.75" customHeight="1">
      <c r="F3001" s="32"/>
    </row>
    <row r="3002" spans="6:6" ht="12.75" customHeight="1">
      <c r="F3002" s="32"/>
    </row>
    <row r="3003" spans="6:6" ht="12.75" customHeight="1">
      <c r="F3003" s="32"/>
    </row>
    <row r="3004" spans="6:6" ht="12.75" customHeight="1">
      <c r="F3004" s="32"/>
    </row>
    <row r="3005" spans="6:6" ht="12.75" customHeight="1">
      <c r="F3005" s="32"/>
    </row>
    <row r="3006" spans="6:6" ht="12.75" customHeight="1">
      <c r="F3006" s="32"/>
    </row>
    <row r="3007" spans="6:6" ht="12.75" customHeight="1">
      <c r="F3007" s="32"/>
    </row>
    <row r="3008" spans="6:6" ht="12.75" customHeight="1">
      <c r="F3008" s="32"/>
    </row>
    <row r="3009" spans="6:6" ht="12.75" customHeight="1">
      <c r="F3009" s="32"/>
    </row>
    <row r="3010" spans="6:6" ht="12.75" customHeight="1">
      <c r="F3010" s="32"/>
    </row>
    <row r="3011" spans="6:6" ht="12.75" customHeight="1">
      <c r="F3011" s="32"/>
    </row>
    <row r="3012" spans="6:6" ht="12.75" customHeight="1">
      <c r="F3012" s="32"/>
    </row>
    <row r="3013" spans="6:6" ht="12.75" customHeight="1">
      <c r="F3013" s="32"/>
    </row>
    <row r="3014" spans="6:6" ht="12.75" customHeight="1">
      <c r="F3014" s="32"/>
    </row>
    <row r="3015" spans="6:6" ht="12.75" customHeight="1">
      <c r="F3015" s="32"/>
    </row>
    <row r="3016" spans="6:6" ht="12.75" customHeight="1">
      <c r="F3016" s="32"/>
    </row>
    <row r="3017" spans="6:6" ht="12.75" customHeight="1">
      <c r="F3017" s="32"/>
    </row>
    <row r="3018" spans="6:6" ht="12.75" customHeight="1">
      <c r="F3018" s="32"/>
    </row>
    <row r="3019" spans="6:6" ht="12.75" customHeight="1">
      <c r="F3019" s="32"/>
    </row>
    <row r="3020" spans="6:6" ht="12.75" customHeight="1">
      <c r="F3020" s="32"/>
    </row>
    <row r="3021" spans="6:6" ht="12.75" customHeight="1">
      <c r="F3021" s="32"/>
    </row>
    <row r="3022" spans="6:6" ht="12.75" customHeight="1">
      <c r="F3022" s="32"/>
    </row>
    <row r="3023" spans="6:6" ht="12.75" customHeight="1">
      <c r="F3023" s="32"/>
    </row>
    <row r="3024" spans="6:6" ht="12.75" customHeight="1">
      <c r="F3024" s="32"/>
    </row>
    <row r="3025" spans="6:6" ht="12.75" customHeight="1">
      <c r="F3025" s="32"/>
    </row>
    <row r="3026" spans="6:6" ht="12.75" customHeight="1">
      <c r="F3026" s="32"/>
    </row>
    <row r="3027" spans="6:6" ht="12.75" customHeight="1">
      <c r="F3027" s="32"/>
    </row>
    <row r="3028" spans="6:6" ht="12.75" customHeight="1">
      <c r="F3028" s="32"/>
    </row>
    <row r="3029" spans="6:6" ht="12.75" customHeight="1">
      <c r="F3029" s="32"/>
    </row>
    <row r="3030" spans="6:6" ht="12.75" customHeight="1">
      <c r="F3030" s="32"/>
    </row>
    <row r="3031" spans="6:6" ht="12.75" customHeight="1">
      <c r="F3031" s="32"/>
    </row>
    <row r="3032" spans="6:6" ht="12.75" customHeight="1">
      <c r="F3032" s="32"/>
    </row>
    <row r="3033" spans="6:6" ht="12.75" customHeight="1">
      <c r="F3033" s="32"/>
    </row>
    <row r="3034" spans="6:6" ht="12.75" customHeight="1">
      <c r="F3034" s="32"/>
    </row>
    <row r="3035" spans="6:6" ht="12.75" customHeight="1">
      <c r="F3035" s="32"/>
    </row>
    <row r="3036" spans="6:6" ht="12.75" customHeight="1">
      <c r="F3036" s="32"/>
    </row>
    <row r="3037" spans="6:6" ht="12.75" customHeight="1">
      <c r="F3037" s="32"/>
    </row>
    <row r="3038" spans="6:6" ht="12.75" customHeight="1">
      <c r="F3038" s="32"/>
    </row>
    <row r="3039" spans="6:6" ht="12.75" customHeight="1">
      <c r="F3039" s="32"/>
    </row>
    <row r="3040" spans="6:6" ht="12.75" customHeight="1">
      <c r="F3040" s="32"/>
    </row>
    <row r="3041" spans="6:6" ht="12.75" customHeight="1">
      <c r="F3041" s="32"/>
    </row>
    <row r="3042" spans="6:6" ht="12.75" customHeight="1">
      <c r="F3042" s="32"/>
    </row>
    <row r="3043" spans="6:6" ht="12.75" customHeight="1">
      <c r="F3043" s="32"/>
    </row>
    <row r="3044" spans="6:6" ht="12.75" customHeight="1">
      <c r="F3044" s="32"/>
    </row>
    <row r="3045" spans="6:6" ht="12.75" customHeight="1">
      <c r="F3045" s="32"/>
    </row>
    <row r="3046" spans="6:6" ht="12.75" customHeight="1">
      <c r="F3046" s="32"/>
    </row>
    <row r="3047" spans="6:6" ht="12.75" customHeight="1">
      <c r="F3047" s="32"/>
    </row>
    <row r="3048" spans="6:6" ht="12.75" customHeight="1">
      <c r="F3048" s="32"/>
    </row>
    <row r="3049" spans="6:6" ht="12.75" customHeight="1">
      <c r="F3049" s="32"/>
    </row>
    <row r="3050" spans="6:6" ht="12.75" customHeight="1">
      <c r="F3050" s="32"/>
    </row>
    <row r="3051" spans="6:6" ht="12.75" customHeight="1">
      <c r="F3051" s="32"/>
    </row>
    <row r="3052" spans="6:6" ht="12.75" customHeight="1">
      <c r="F3052" s="32"/>
    </row>
    <row r="3053" spans="6:6" ht="12.75" customHeight="1">
      <c r="F3053" s="32"/>
    </row>
    <row r="3054" spans="6:6" ht="12.75" customHeight="1">
      <c r="F3054" s="32"/>
    </row>
    <row r="3055" spans="6:6" ht="12.75" customHeight="1">
      <c r="F3055" s="32"/>
    </row>
    <row r="3056" spans="6:6" ht="12.75" customHeight="1">
      <c r="F3056" s="32"/>
    </row>
    <row r="3057" spans="6:6" ht="12.75" customHeight="1">
      <c r="F3057" s="32"/>
    </row>
    <row r="3058" spans="6:6" ht="12.75" customHeight="1">
      <c r="F3058" s="32"/>
    </row>
    <row r="3059" spans="6:6" ht="12.75" customHeight="1">
      <c r="F3059" s="32"/>
    </row>
    <row r="3060" spans="6:6" ht="12.75" customHeight="1">
      <c r="F3060" s="32"/>
    </row>
    <row r="3061" spans="6:6" ht="12.75" customHeight="1">
      <c r="F3061" s="32"/>
    </row>
    <row r="3062" spans="6:6" ht="12.75" customHeight="1">
      <c r="F3062" s="32"/>
    </row>
    <row r="3063" spans="6:6" ht="12.75" customHeight="1">
      <c r="F3063" s="32"/>
    </row>
    <row r="3064" spans="6:6" ht="12.75" customHeight="1">
      <c r="F3064" s="32"/>
    </row>
    <row r="3065" spans="6:6" ht="12.75" customHeight="1">
      <c r="F3065" s="32"/>
    </row>
    <row r="3066" spans="6:6" ht="12.75" customHeight="1">
      <c r="F3066" s="32"/>
    </row>
    <row r="3067" spans="6:6" ht="12.75" customHeight="1">
      <c r="F3067" s="32"/>
    </row>
    <row r="3068" spans="6:6" ht="12.75" customHeight="1">
      <c r="F3068" s="32"/>
    </row>
    <row r="3069" spans="6:6" ht="12.75" customHeight="1">
      <c r="F3069" s="32"/>
    </row>
    <row r="3070" spans="6:6" ht="12.75" customHeight="1">
      <c r="F3070" s="32"/>
    </row>
    <row r="3071" spans="6:6" ht="12.75" customHeight="1">
      <c r="F3071" s="32"/>
    </row>
    <row r="3072" spans="6:6" ht="12.75" customHeight="1">
      <c r="F3072" s="32"/>
    </row>
    <row r="3073" spans="6:6" ht="12.75" customHeight="1">
      <c r="F3073" s="32"/>
    </row>
    <row r="3074" spans="6:6" ht="12.75" customHeight="1">
      <c r="F3074" s="32"/>
    </row>
    <row r="3075" spans="6:6" ht="12.75" customHeight="1">
      <c r="F3075" s="32"/>
    </row>
    <row r="3076" spans="6:6" ht="12.75" customHeight="1">
      <c r="F3076" s="32"/>
    </row>
    <row r="3077" spans="6:6" ht="12.75" customHeight="1">
      <c r="F3077" s="32"/>
    </row>
    <row r="3078" spans="6:6" ht="12.75" customHeight="1">
      <c r="F3078" s="32"/>
    </row>
    <row r="3079" spans="6:6" ht="12.75" customHeight="1">
      <c r="F3079" s="32"/>
    </row>
    <row r="3080" spans="6:6" ht="12.75" customHeight="1">
      <c r="F3080" s="32"/>
    </row>
    <row r="3081" spans="6:6" ht="12.75" customHeight="1">
      <c r="F3081" s="32"/>
    </row>
    <row r="3082" spans="6:6" ht="12.75" customHeight="1">
      <c r="F3082" s="32"/>
    </row>
    <row r="3083" spans="6:6" ht="12.75" customHeight="1">
      <c r="F3083" s="32"/>
    </row>
    <row r="3084" spans="6:6" ht="12.75" customHeight="1">
      <c r="F3084" s="32"/>
    </row>
    <row r="3085" spans="6:6" ht="12.75" customHeight="1">
      <c r="F3085" s="32"/>
    </row>
    <row r="3086" spans="6:6" ht="12.75" customHeight="1">
      <c r="F3086" s="32"/>
    </row>
    <row r="3087" spans="6:6" ht="12.75" customHeight="1">
      <c r="F3087" s="32"/>
    </row>
    <row r="3088" spans="6:6" ht="12.75" customHeight="1">
      <c r="F3088" s="32"/>
    </row>
    <row r="3089" spans="6:6" ht="12.75" customHeight="1">
      <c r="F3089" s="32"/>
    </row>
    <row r="3090" spans="6:6" ht="12.75" customHeight="1">
      <c r="F3090" s="32"/>
    </row>
    <row r="3091" spans="6:6" ht="12.75" customHeight="1">
      <c r="F3091" s="32"/>
    </row>
    <row r="3092" spans="6:6" ht="12.75" customHeight="1">
      <c r="F3092" s="32"/>
    </row>
    <row r="3093" spans="6:6" ht="12.75" customHeight="1">
      <c r="F3093" s="32"/>
    </row>
    <row r="3094" spans="6:6" ht="12.75" customHeight="1">
      <c r="F3094" s="32"/>
    </row>
    <row r="3095" spans="6:6" ht="12.75" customHeight="1">
      <c r="F3095" s="32"/>
    </row>
    <row r="3096" spans="6:6" ht="12.75" customHeight="1">
      <c r="F3096" s="32"/>
    </row>
    <row r="3097" spans="6:6" ht="12.75" customHeight="1">
      <c r="F3097" s="32"/>
    </row>
    <row r="3098" spans="6:6" ht="12.75" customHeight="1">
      <c r="F3098" s="32"/>
    </row>
    <row r="3099" spans="6:6" ht="12.75" customHeight="1">
      <c r="F3099" s="32"/>
    </row>
    <row r="3100" spans="6:6" ht="12.75" customHeight="1">
      <c r="F3100" s="32"/>
    </row>
    <row r="3101" spans="6:6" ht="12.75" customHeight="1">
      <c r="F3101" s="32"/>
    </row>
    <row r="3102" spans="6:6" ht="12.75" customHeight="1">
      <c r="F3102" s="32"/>
    </row>
    <row r="3103" spans="6:6" ht="12.75" customHeight="1">
      <c r="F3103" s="32"/>
    </row>
    <row r="3104" spans="6:6" ht="12.75" customHeight="1">
      <c r="F3104" s="32"/>
    </row>
    <row r="3105" spans="6:6" ht="12.75" customHeight="1">
      <c r="F3105" s="32"/>
    </row>
    <row r="3106" spans="6:6" ht="12.75" customHeight="1">
      <c r="F3106" s="32"/>
    </row>
    <row r="3107" spans="6:6" ht="12.75" customHeight="1">
      <c r="F3107" s="32"/>
    </row>
    <row r="3108" spans="6:6" ht="12.75" customHeight="1">
      <c r="F3108" s="32"/>
    </row>
    <row r="3109" spans="6:6" ht="12.75" customHeight="1">
      <c r="F3109" s="32"/>
    </row>
    <row r="3110" spans="6:6" ht="12.75" customHeight="1">
      <c r="F3110" s="32"/>
    </row>
    <row r="3111" spans="6:6" ht="12.75" customHeight="1">
      <c r="F3111" s="32"/>
    </row>
    <row r="3112" spans="6:6" ht="12.75" customHeight="1">
      <c r="F3112" s="32"/>
    </row>
    <row r="3113" spans="6:6" ht="12.75" customHeight="1">
      <c r="F3113" s="32"/>
    </row>
    <row r="3114" spans="6:6" ht="12.75" customHeight="1">
      <c r="F3114" s="32"/>
    </row>
    <row r="3115" spans="6:6" ht="12.75" customHeight="1">
      <c r="F3115" s="32"/>
    </row>
    <row r="3116" spans="6:6" ht="12.75" customHeight="1">
      <c r="F3116" s="32"/>
    </row>
    <row r="3117" spans="6:6" ht="12.75" customHeight="1">
      <c r="F3117" s="32"/>
    </row>
    <row r="3118" spans="6:6" ht="12.75" customHeight="1">
      <c r="F3118" s="32"/>
    </row>
    <row r="3119" spans="6:6" ht="12.75" customHeight="1">
      <c r="F3119" s="32"/>
    </row>
    <row r="3120" spans="6:6" ht="12.75" customHeight="1">
      <c r="F3120" s="32"/>
    </row>
    <row r="3121" spans="6:6" ht="12.75" customHeight="1">
      <c r="F3121" s="32"/>
    </row>
    <row r="3122" spans="6:6" ht="12.75" customHeight="1">
      <c r="F3122" s="32"/>
    </row>
    <row r="3123" spans="6:6" ht="12.75" customHeight="1">
      <c r="F3123" s="32"/>
    </row>
    <row r="3124" spans="6:6" ht="12.75" customHeight="1">
      <c r="F3124" s="32"/>
    </row>
    <row r="3125" spans="6:6" ht="12.75" customHeight="1">
      <c r="F3125" s="32"/>
    </row>
    <row r="3126" spans="6:6" ht="12.75" customHeight="1">
      <c r="F3126" s="32"/>
    </row>
    <row r="3127" spans="6:6" ht="12.75" customHeight="1">
      <c r="F3127" s="32"/>
    </row>
    <row r="3128" spans="6:6" ht="12.75" customHeight="1">
      <c r="F3128" s="32"/>
    </row>
    <row r="3129" spans="6:6" ht="12.75" customHeight="1">
      <c r="F3129" s="32"/>
    </row>
    <row r="3130" spans="6:6" ht="12.75" customHeight="1">
      <c r="F3130" s="32"/>
    </row>
    <row r="3131" spans="6:6" ht="12.75" customHeight="1">
      <c r="F3131" s="32"/>
    </row>
    <row r="3132" spans="6:6" ht="12.75" customHeight="1">
      <c r="F3132" s="32"/>
    </row>
    <row r="3133" spans="6:6" ht="12.75" customHeight="1">
      <c r="F3133" s="32"/>
    </row>
    <row r="3134" spans="6:6" ht="12.75" customHeight="1">
      <c r="F3134" s="32"/>
    </row>
    <row r="3135" spans="6:6" ht="12.75" customHeight="1">
      <c r="F3135" s="32"/>
    </row>
    <row r="3136" spans="6:6" ht="12.75" customHeight="1">
      <c r="F3136" s="32"/>
    </row>
    <row r="3137" spans="6:6" ht="12.75" customHeight="1">
      <c r="F3137" s="32"/>
    </row>
    <row r="3138" spans="6:6" ht="12.75" customHeight="1">
      <c r="F3138" s="32"/>
    </row>
    <row r="3139" spans="6:6" ht="12.75" customHeight="1">
      <c r="F3139" s="32"/>
    </row>
    <row r="3140" spans="6:6" ht="12.75" customHeight="1">
      <c r="F3140" s="32"/>
    </row>
    <row r="3141" spans="6:6" ht="12.75" customHeight="1">
      <c r="F3141" s="32"/>
    </row>
    <row r="3142" spans="6:6" ht="12.75" customHeight="1">
      <c r="F3142" s="32"/>
    </row>
    <row r="3143" spans="6:6" ht="12.75" customHeight="1">
      <c r="F3143" s="32"/>
    </row>
    <row r="3144" spans="6:6" ht="12.75" customHeight="1">
      <c r="F3144" s="32"/>
    </row>
    <row r="3145" spans="6:6" ht="12.75" customHeight="1">
      <c r="F3145" s="32"/>
    </row>
    <row r="3146" spans="6:6" ht="12.75" customHeight="1">
      <c r="F3146" s="32"/>
    </row>
    <row r="3147" spans="6:6" ht="12.75" customHeight="1">
      <c r="F3147" s="32"/>
    </row>
    <row r="3148" spans="6:6" ht="12.75" customHeight="1">
      <c r="F3148" s="32"/>
    </row>
    <row r="3149" spans="6:6" ht="12.75" customHeight="1">
      <c r="F3149" s="32"/>
    </row>
    <row r="3150" spans="6:6" ht="12.75" customHeight="1">
      <c r="F3150" s="32"/>
    </row>
    <row r="3151" spans="6:6" ht="12.75" customHeight="1">
      <c r="F3151" s="32"/>
    </row>
    <row r="3152" spans="6:6" ht="12.75" customHeight="1">
      <c r="F3152" s="32"/>
    </row>
    <row r="3153" spans="6:6" ht="12.75" customHeight="1">
      <c r="F3153" s="32"/>
    </row>
    <row r="3154" spans="6:6" ht="12.75" customHeight="1">
      <c r="F3154" s="32"/>
    </row>
    <row r="3155" spans="6:6" ht="12.75" customHeight="1">
      <c r="F3155" s="32"/>
    </row>
    <row r="3156" spans="6:6" ht="12.75" customHeight="1">
      <c r="F3156" s="32"/>
    </row>
    <row r="3157" spans="6:6" ht="12.75" customHeight="1">
      <c r="F3157" s="32"/>
    </row>
    <row r="3158" spans="6:6" ht="12.75" customHeight="1">
      <c r="F3158" s="32"/>
    </row>
    <row r="3159" spans="6:6" ht="12.75" customHeight="1">
      <c r="F3159" s="32"/>
    </row>
    <row r="3160" spans="6:6" ht="12.75" customHeight="1">
      <c r="F3160" s="32"/>
    </row>
    <row r="3161" spans="6:6" ht="12.75" customHeight="1">
      <c r="F3161" s="32"/>
    </row>
    <row r="3162" spans="6:6" ht="12.75" customHeight="1">
      <c r="F3162" s="32"/>
    </row>
    <row r="3163" spans="6:6" ht="12.75" customHeight="1">
      <c r="F3163" s="32"/>
    </row>
    <row r="3164" spans="6:6" ht="12.75" customHeight="1">
      <c r="F3164" s="32"/>
    </row>
    <row r="3165" spans="6:6" ht="12.75" customHeight="1">
      <c r="F3165" s="32"/>
    </row>
    <row r="3166" spans="6:6" ht="12.75" customHeight="1">
      <c r="F3166" s="32"/>
    </row>
    <row r="3167" spans="6:6" ht="12.75" customHeight="1">
      <c r="F3167" s="32"/>
    </row>
    <row r="3168" spans="6:6" ht="12.75" customHeight="1">
      <c r="F3168" s="32"/>
    </row>
    <row r="3169" spans="6:6" ht="12.75" customHeight="1">
      <c r="F3169" s="32"/>
    </row>
    <row r="3170" spans="6:6" ht="12.75" customHeight="1">
      <c r="F3170" s="32"/>
    </row>
    <row r="3171" spans="6:6" ht="12.75" customHeight="1">
      <c r="F3171" s="32"/>
    </row>
    <row r="3172" spans="6:6" ht="12.75" customHeight="1">
      <c r="F3172" s="32"/>
    </row>
    <row r="3173" spans="6:6" ht="12.75" customHeight="1">
      <c r="F3173" s="32"/>
    </row>
    <row r="3174" spans="6:6" ht="12.75" customHeight="1">
      <c r="F3174" s="32"/>
    </row>
    <row r="3175" spans="6:6" ht="12.75" customHeight="1">
      <c r="F3175" s="32"/>
    </row>
    <row r="3176" spans="6:6" ht="12.75" customHeight="1">
      <c r="F3176" s="32"/>
    </row>
    <row r="3177" spans="6:6" ht="12.75" customHeight="1">
      <c r="F3177" s="32"/>
    </row>
    <row r="3178" spans="6:6" ht="12.75" customHeight="1">
      <c r="F3178" s="32"/>
    </row>
    <row r="3179" spans="6:6" ht="12.75" customHeight="1">
      <c r="F3179" s="32"/>
    </row>
    <row r="3180" spans="6:6" ht="12.75" customHeight="1">
      <c r="F3180" s="32"/>
    </row>
    <row r="3181" spans="6:6" ht="12.75" customHeight="1">
      <c r="F3181" s="32"/>
    </row>
    <row r="3182" spans="6:6" ht="12.75" customHeight="1">
      <c r="F3182" s="32"/>
    </row>
    <row r="3183" spans="6:6" ht="12.75" customHeight="1">
      <c r="F3183" s="32"/>
    </row>
    <row r="3184" spans="6:6" ht="12.75" customHeight="1">
      <c r="F3184" s="32"/>
    </row>
    <row r="3185" spans="6:6" ht="12.75" customHeight="1">
      <c r="F3185" s="32"/>
    </row>
    <row r="3186" spans="6:6" ht="12.75" customHeight="1">
      <c r="F3186" s="32"/>
    </row>
    <row r="3187" spans="6:6" ht="12.75" customHeight="1">
      <c r="F3187" s="32"/>
    </row>
    <row r="3188" spans="6:6" ht="12.75" customHeight="1">
      <c r="F3188" s="32"/>
    </row>
    <row r="3189" spans="6:6" ht="12.75" customHeight="1">
      <c r="F3189" s="32"/>
    </row>
    <row r="3190" spans="6:6" ht="12.75" customHeight="1">
      <c r="F3190" s="32"/>
    </row>
    <row r="3191" spans="6:6" ht="12.75" customHeight="1">
      <c r="F3191" s="32"/>
    </row>
    <row r="3192" spans="6:6" ht="12.75" customHeight="1">
      <c r="F3192" s="32"/>
    </row>
    <row r="3193" spans="6:6" ht="12.75" customHeight="1">
      <c r="F3193" s="32"/>
    </row>
    <row r="3194" spans="6:6" ht="12.75" customHeight="1">
      <c r="F3194" s="32"/>
    </row>
    <row r="3195" spans="6:6" ht="12.75" customHeight="1">
      <c r="F3195" s="32"/>
    </row>
    <row r="3196" spans="6:6" ht="12.75" customHeight="1">
      <c r="F3196" s="32"/>
    </row>
    <row r="3197" spans="6:6" ht="12.75" customHeight="1">
      <c r="F3197" s="32"/>
    </row>
    <row r="3198" spans="6:6" ht="12.75" customHeight="1">
      <c r="F3198" s="32"/>
    </row>
    <row r="3199" spans="6:6" ht="12.75" customHeight="1">
      <c r="F3199" s="32"/>
    </row>
    <row r="3200" spans="6:6" ht="12.75" customHeight="1">
      <c r="F3200" s="32"/>
    </row>
    <row r="3201" spans="6:6" ht="12.75" customHeight="1">
      <c r="F3201" s="32"/>
    </row>
    <row r="3202" spans="6:6" ht="12.75" customHeight="1">
      <c r="F3202" s="32"/>
    </row>
    <row r="3203" spans="6:6" ht="12.75" customHeight="1">
      <c r="F3203" s="32"/>
    </row>
    <row r="3204" spans="6:6" ht="12.75" customHeight="1">
      <c r="F3204" s="32"/>
    </row>
    <row r="3205" spans="6:6" ht="12.75" customHeight="1">
      <c r="F3205" s="32"/>
    </row>
    <row r="3206" spans="6:6" ht="12.75" customHeight="1">
      <c r="F3206" s="32"/>
    </row>
    <row r="3207" spans="6:6" ht="12.75" customHeight="1">
      <c r="F3207" s="32"/>
    </row>
    <row r="3208" spans="6:6" ht="12.75" customHeight="1">
      <c r="F3208" s="32"/>
    </row>
    <row r="3209" spans="6:6" ht="12.75" customHeight="1">
      <c r="F3209" s="32"/>
    </row>
    <row r="3210" spans="6:6" ht="12.75" customHeight="1">
      <c r="F3210" s="32"/>
    </row>
    <row r="3211" spans="6:6" ht="12.75" customHeight="1">
      <c r="F3211" s="32"/>
    </row>
    <row r="3212" spans="6:6" ht="12.75" customHeight="1">
      <c r="F3212" s="32"/>
    </row>
    <row r="3213" spans="6:6" ht="12.75" customHeight="1">
      <c r="F3213" s="32"/>
    </row>
    <row r="3214" spans="6:6" ht="12.75" customHeight="1">
      <c r="F3214" s="32"/>
    </row>
    <row r="3215" spans="6:6" ht="12.75" customHeight="1">
      <c r="F3215" s="32"/>
    </row>
    <row r="3216" spans="6:6" ht="12.75" customHeight="1">
      <c r="F3216" s="32"/>
    </row>
    <row r="3217" spans="6:6" ht="12.75" customHeight="1">
      <c r="F3217" s="32"/>
    </row>
    <row r="3218" spans="6:6" ht="12.75" customHeight="1">
      <c r="F3218" s="32"/>
    </row>
    <row r="3219" spans="6:6" ht="12.75" customHeight="1">
      <c r="F3219" s="32"/>
    </row>
    <row r="3220" spans="6:6" ht="12.75" customHeight="1">
      <c r="F3220" s="32"/>
    </row>
    <row r="3221" spans="6:6" ht="12.75" customHeight="1">
      <c r="F3221" s="32"/>
    </row>
    <row r="3222" spans="6:6" ht="12.75" customHeight="1">
      <c r="F3222" s="32"/>
    </row>
    <row r="3223" spans="6:6" ht="12.75" customHeight="1">
      <c r="F3223" s="32"/>
    </row>
    <row r="3224" spans="6:6" ht="12.75" customHeight="1">
      <c r="F3224" s="32"/>
    </row>
    <row r="3225" spans="6:6" ht="12.75" customHeight="1">
      <c r="F3225" s="32"/>
    </row>
    <row r="3226" spans="6:6" ht="12.75" customHeight="1">
      <c r="F3226" s="32"/>
    </row>
    <row r="3227" spans="6:6" ht="12.75" customHeight="1">
      <c r="F3227" s="32"/>
    </row>
    <row r="3228" spans="6:6" ht="12.75" customHeight="1">
      <c r="F3228" s="32"/>
    </row>
    <row r="3229" spans="6:6" ht="12.75" customHeight="1">
      <c r="F3229" s="32"/>
    </row>
    <row r="3230" spans="6:6" ht="12.75" customHeight="1">
      <c r="F3230" s="32"/>
    </row>
    <row r="3231" spans="6:6" ht="12.75" customHeight="1">
      <c r="F3231" s="32"/>
    </row>
    <row r="3232" spans="6:6" ht="12.75" customHeight="1">
      <c r="F3232" s="32"/>
    </row>
    <row r="3233" spans="6:6" ht="12.75" customHeight="1">
      <c r="F3233" s="32"/>
    </row>
    <row r="3234" spans="6:6" ht="12.75" customHeight="1">
      <c r="F3234" s="32"/>
    </row>
    <row r="3235" spans="6:6" ht="12.75" customHeight="1">
      <c r="F3235" s="32"/>
    </row>
    <row r="3236" spans="6:6" ht="12.75" customHeight="1">
      <c r="F3236" s="32"/>
    </row>
    <row r="3237" spans="6:6" ht="12.75" customHeight="1">
      <c r="F3237" s="32"/>
    </row>
    <row r="3238" spans="6:6" ht="12.75" customHeight="1">
      <c r="F3238" s="32"/>
    </row>
    <row r="3239" spans="6:6" ht="12.75" customHeight="1">
      <c r="F3239" s="32"/>
    </row>
    <row r="3240" spans="6:6" ht="12.75" customHeight="1">
      <c r="F3240" s="32"/>
    </row>
    <row r="3241" spans="6:6" ht="12.75" customHeight="1">
      <c r="F3241" s="32"/>
    </row>
    <row r="3242" spans="6:6" ht="12.75" customHeight="1">
      <c r="F3242" s="32"/>
    </row>
    <row r="3243" spans="6:6" ht="12.75" customHeight="1">
      <c r="F3243" s="32"/>
    </row>
    <row r="3244" spans="6:6" ht="12.75" customHeight="1">
      <c r="F3244" s="32"/>
    </row>
    <row r="3245" spans="6:6" ht="12.75" customHeight="1">
      <c r="F3245" s="32"/>
    </row>
    <row r="3246" spans="6:6" ht="12.75" customHeight="1">
      <c r="F3246" s="32"/>
    </row>
    <row r="3247" spans="6:6" ht="12.75" customHeight="1">
      <c r="F3247" s="32"/>
    </row>
    <row r="3248" spans="6:6" ht="12.75" customHeight="1">
      <c r="F3248" s="32"/>
    </row>
    <row r="3249" spans="6:6" ht="12.75" customHeight="1">
      <c r="F3249" s="32"/>
    </row>
    <row r="3250" spans="6:6" ht="12.75" customHeight="1">
      <c r="F3250" s="32"/>
    </row>
    <row r="3251" spans="6:6" ht="12.75" customHeight="1">
      <c r="F3251" s="32"/>
    </row>
    <row r="3252" spans="6:6" ht="12.75" customHeight="1">
      <c r="F3252" s="32"/>
    </row>
    <row r="3253" spans="6:6" ht="12.75" customHeight="1">
      <c r="F3253" s="32"/>
    </row>
    <row r="3254" spans="6:6" ht="12.75" customHeight="1">
      <c r="F3254" s="32"/>
    </row>
    <row r="3255" spans="6:6" ht="12.75" customHeight="1">
      <c r="F3255" s="32"/>
    </row>
    <row r="3256" spans="6:6" ht="12.75" customHeight="1">
      <c r="F3256" s="32"/>
    </row>
    <row r="3257" spans="6:6" ht="12.75" customHeight="1">
      <c r="F3257" s="32"/>
    </row>
    <row r="3258" spans="6:6" ht="12.75" customHeight="1">
      <c r="F3258" s="32"/>
    </row>
    <row r="3259" spans="6:6" ht="12.75" customHeight="1">
      <c r="F3259" s="32"/>
    </row>
    <row r="3260" spans="6:6" ht="12.75" customHeight="1">
      <c r="F3260" s="32"/>
    </row>
    <row r="3261" spans="6:6" ht="12.75" customHeight="1">
      <c r="F3261" s="32"/>
    </row>
    <row r="3262" spans="6:6" ht="12.75" customHeight="1">
      <c r="F3262" s="32"/>
    </row>
    <row r="3263" spans="6:6" ht="12.75" customHeight="1">
      <c r="F3263" s="32"/>
    </row>
    <row r="3264" spans="6:6" ht="12.75" customHeight="1">
      <c r="F3264" s="32"/>
    </row>
    <row r="3265" spans="6:6" ht="12.75" customHeight="1">
      <c r="F3265" s="32"/>
    </row>
    <row r="3266" spans="6:6" ht="12.75" customHeight="1">
      <c r="F3266" s="32"/>
    </row>
    <row r="3267" spans="6:6" ht="12.75" customHeight="1">
      <c r="F3267" s="32"/>
    </row>
    <row r="3268" spans="6:6" ht="12.75" customHeight="1">
      <c r="F3268" s="32"/>
    </row>
    <row r="3269" spans="6:6" ht="12.75" customHeight="1">
      <c r="F3269" s="32"/>
    </row>
    <row r="3270" spans="6:6" ht="12.75" customHeight="1">
      <c r="F3270" s="32"/>
    </row>
    <row r="3271" spans="6:6" ht="12.75" customHeight="1">
      <c r="F3271" s="32"/>
    </row>
    <row r="3272" spans="6:6" ht="12.75" customHeight="1">
      <c r="F3272" s="32"/>
    </row>
    <row r="3273" spans="6:6" ht="12.75" customHeight="1">
      <c r="F3273" s="32"/>
    </row>
    <row r="3274" spans="6:6" ht="12.75" customHeight="1">
      <c r="F3274" s="32"/>
    </row>
    <row r="3275" spans="6:6" ht="12.75" customHeight="1">
      <c r="F3275" s="32"/>
    </row>
    <row r="3276" spans="6:6" ht="12.75" customHeight="1">
      <c r="F3276" s="32"/>
    </row>
    <row r="3277" spans="6:6" ht="12.75" customHeight="1">
      <c r="F3277" s="32"/>
    </row>
    <row r="3278" spans="6:6" ht="12.75" customHeight="1">
      <c r="F3278" s="32"/>
    </row>
    <row r="3279" spans="6:6" ht="12.75" customHeight="1">
      <c r="F3279" s="32"/>
    </row>
    <row r="3280" spans="6:6" ht="12.75" customHeight="1">
      <c r="F3280" s="32"/>
    </row>
    <row r="3281" spans="6:6" ht="12.75" customHeight="1">
      <c r="F3281" s="32"/>
    </row>
    <row r="3282" spans="6:6" ht="12.75" customHeight="1">
      <c r="F3282" s="32"/>
    </row>
    <row r="3283" spans="6:6" ht="12.75" customHeight="1">
      <c r="F3283" s="32"/>
    </row>
    <row r="3284" spans="6:6" ht="12.75" customHeight="1">
      <c r="F3284" s="32"/>
    </row>
    <row r="3285" spans="6:6" ht="12.75" customHeight="1">
      <c r="F3285" s="32"/>
    </row>
    <row r="3286" spans="6:6" ht="12.75" customHeight="1">
      <c r="F3286" s="32"/>
    </row>
    <row r="3287" spans="6:6" ht="12.75" customHeight="1">
      <c r="F3287" s="32"/>
    </row>
    <row r="3288" spans="6:6" ht="12.75" customHeight="1">
      <c r="F3288" s="32"/>
    </row>
    <row r="3289" spans="6:6" ht="12.75" customHeight="1">
      <c r="F3289" s="32"/>
    </row>
    <row r="3290" spans="6:6" ht="12.75" customHeight="1">
      <c r="F3290" s="32"/>
    </row>
    <row r="3291" spans="6:6" ht="12.75" customHeight="1">
      <c r="F3291" s="32"/>
    </row>
    <row r="3292" spans="6:6" ht="12.75" customHeight="1">
      <c r="F3292" s="32"/>
    </row>
    <row r="3293" spans="6:6" ht="12.75" customHeight="1">
      <c r="F3293" s="32"/>
    </row>
    <row r="3294" spans="6:6" ht="12.75" customHeight="1">
      <c r="F3294" s="32"/>
    </row>
    <row r="3295" spans="6:6" ht="12.75" customHeight="1">
      <c r="F3295" s="32"/>
    </row>
    <row r="3296" spans="6:6" ht="12.75" customHeight="1">
      <c r="F3296" s="32"/>
    </row>
    <row r="3297" spans="6:6" ht="12.75" customHeight="1">
      <c r="F3297" s="32"/>
    </row>
    <row r="3298" spans="6:6" ht="12.75" customHeight="1">
      <c r="F3298" s="32"/>
    </row>
    <row r="3299" spans="6:6" ht="12.75" customHeight="1">
      <c r="F3299" s="32"/>
    </row>
    <row r="3300" spans="6:6" ht="12.75" customHeight="1">
      <c r="F3300" s="32"/>
    </row>
    <row r="3301" spans="6:6" ht="12.75" customHeight="1">
      <c r="F3301" s="32"/>
    </row>
    <row r="3302" spans="6:6" ht="12.75" customHeight="1">
      <c r="F3302" s="32"/>
    </row>
    <row r="3303" spans="6:6" ht="12.75" customHeight="1">
      <c r="F3303" s="32"/>
    </row>
    <row r="3304" spans="6:6" ht="12.75" customHeight="1">
      <c r="F3304" s="32"/>
    </row>
    <row r="3305" spans="6:6" ht="12.75" customHeight="1">
      <c r="F3305" s="32"/>
    </row>
    <row r="3306" spans="6:6" ht="12.75" customHeight="1">
      <c r="F3306" s="32"/>
    </row>
    <row r="3307" spans="6:6" ht="12.75" customHeight="1">
      <c r="F3307" s="32"/>
    </row>
    <row r="3308" spans="6:6" ht="12.75" customHeight="1">
      <c r="F3308" s="32"/>
    </row>
    <row r="3309" spans="6:6" ht="12.75" customHeight="1">
      <c r="F3309" s="32"/>
    </row>
    <row r="3310" spans="6:6" ht="12.75" customHeight="1">
      <c r="F3310" s="32"/>
    </row>
    <row r="3311" spans="6:6" ht="12.75" customHeight="1">
      <c r="F3311" s="32"/>
    </row>
    <row r="3312" spans="6:6" ht="12.75" customHeight="1">
      <c r="F3312" s="32"/>
    </row>
    <row r="3313" spans="6:6" ht="12.75" customHeight="1">
      <c r="F3313" s="32"/>
    </row>
    <row r="3314" spans="6:6" ht="12.75" customHeight="1">
      <c r="F3314" s="32"/>
    </row>
    <row r="3315" spans="6:6" ht="12.75" customHeight="1">
      <c r="F3315" s="32"/>
    </row>
    <row r="3316" spans="6:6" ht="12.75" customHeight="1">
      <c r="F3316" s="32"/>
    </row>
    <row r="3317" spans="6:6" ht="12.75" customHeight="1">
      <c r="F3317" s="32"/>
    </row>
    <row r="3318" spans="6:6" ht="12.75" customHeight="1">
      <c r="F3318" s="32"/>
    </row>
    <row r="3319" spans="6:6" ht="12.75" customHeight="1">
      <c r="F3319" s="32"/>
    </row>
    <row r="3320" spans="6:6" ht="12.75" customHeight="1">
      <c r="F3320" s="32"/>
    </row>
    <row r="3321" spans="6:6" ht="12.75" customHeight="1">
      <c r="F3321" s="32"/>
    </row>
    <row r="3322" spans="6:6" ht="12.75" customHeight="1">
      <c r="F3322" s="32"/>
    </row>
    <row r="3323" spans="6:6" ht="12.75" customHeight="1">
      <c r="F3323" s="32"/>
    </row>
    <row r="3324" spans="6:6" ht="12.75" customHeight="1">
      <c r="F3324" s="32"/>
    </row>
    <row r="3325" spans="6:6" ht="12.75" customHeight="1">
      <c r="F3325" s="32"/>
    </row>
    <row r="3326" spans="6:6" ht="12.75" customHeight="1">
      <c r="F3326" s="32"/>
    </row>
    <row r="3327" spans="6:6" ht="12.75" customHeight="1">
      <c r="F3327" s="32"/>
    </row>
    <row r="3328" spans="6:6" ht="12.75" customHeight="1">
      <c r="F3328" s="32"/>
    </row>
    <row r="3329" spans="6:6" ht="12.75" customHeight="1">
      <c r="F3329" s="32"/>
    </row>
    <row r="3330" spans="6:6" ht="12.75" customHeight="1">
      <c r="F3330" s="32"/>
    </row>
    <row r="3331" spans="6:6" ht="12.75" customHeight="1">
      <c r="F3331" s="32"/>
    </row>
    <row r="3332" spans="6:6" ht="12.75" customHeight="1">
      <c r="F3332" s="32"/>
    </row>
    <row r="3333" spans="6:6" ht="12.75" customHeight="1">
      <c r="F3333" s="32"/>
    </row>
    <row r="3334" spans="6:6" ht="12.75" customHeight="1">
      <c r="F3334" s="32"/>
    </row>
    <row r="3335" spans="6:6" ht="12.75" customHeight="1">
      <c r="F3335" s="32"/>
    </row>
    <row r="3336" spans="6:6" ht="12.75" customHeight="1">
      <c r="F3336" s="32"/>
    </row>
    <row r="3337" spans="6:6" ht="12.75" customHeight="1">
      <c r="F3337" s="32"/>
    </row>
    <row r="3338" spans="6:6" ht="12.75" customHeight="1">
      <c r="F3338" s="32"/>
    </row>
    <row r="3339" spans="6:6" ht="12.75" customHeight="1">
      <c r="F3339" s="32"/>
    </row>
    <row r="3340" spans="6:6" ht="12.75" customHeight="1">
      <c r="F3340" s="32"/>
    </row>
    <row r="3341" spans="6:6" ht="12.75" customHeight="1">
      <c r="F3341" s="32"/>
    </row>
    <row r="3342" spans="6:6" ht="12.75" customHeight="1">
      <c r="F3342" s="32"/>
    </row>
    <row r="3343" spans="6:6" ht="12.75" customHeight="1">
      <c r="F3343" s="32"/>
    </row>
    <row r="3344" spans="6:6" ht="12.75" customHeight="1">
      <c r="F3344" s="32"/>
    </row>
    <row r="3345" spans="6:6" ht="12.75" customHeight="1">
      <c r="F3345" s="32"/>
    </row>
    <row r="3346" spans="6:6" ht="12.75" customHeight="1">
      <c r="F3346" s="32"/>
    </row>
    <row r="3347" spans="6:6" ht="12.75" customHeight="1">
      <c r="F3347" s="32"/>
    </row>
    <row r="3348" spans="6:6" ht="12.75" customHeight="1">
      <c r="F3348" s="32"/>
    </row>
    <row r="3349" spans="6:6" ht="12.75" customHeight="1">
      <c r="F3349" s="32"/>
    </row>
    <row r="3350" spans="6:6" ht="12.75" customHeight="1">
      <c r="F3350" s="32"/>
    </row>
    <row r="3351" spans="6:6" ht="12.75" customHeight="1">
      <c r="F3351" s="32"/>
    </row>
    <row r="3352" spans="6:6" ht="12.75" customHeight="1">
      <c r="F3352" s="32"/>
    </row>
    <row r="3353" spans="6:6" ht="12.75" customHeight="1">
      <c r="F3353" s="32"/>
    </row>
    <row r="3354" spans="6:6" ht="12.75" customHeight="1">
      <c r="F3354" s="32"/>
    </row>
    <row r="3355" spans="6:6" ht="12.75" customHeight="1">
      <c r="F3355" s="32"/>
    </row>
    <row r="3356" spans="6:6" ht="12.75" customHeight="1">
      <c r="F3356" s="32"/>
    </row>
    <row r="3357" spans="6:6" ht="12.75" customHeight="1">
      <c r="F3357" s="32"/>
    </row>
    <row r="3358" spans="6:6" ht="12.75" customHeight="1">
      <c r="F3358" s="32"/>
    </row>
    <row r="3359" spans="6:6" ht="12.75" customHeight="1">
      <c r="F3359" s="32"/>
    </row>
    <row r="3360" spans="6:6" ht="12.75" customHeight="1">
      <c r="F3360" s="32"/>
    </row>
    <row r="3361" spans="6:6" ht="12.75" customHeight="1">
      <c r="F3361" s="32"/>
    </row>
    <row r="3362" spans="6:6" ht="12.75" customHeight="1">
      <c r="F3362" s="32"/>
    </row>
    <row r="3363" spans="6:6" ht="12.75" customHeight="1">
      <c r="F3363" s="32"/>
    </row>
    <row r="3364" spans="6:6" ht="12.75" customHeight="1">
      <c r="F3364" s="32"/>
    </row>
    <row r="3365" spans="6:6" ht="12.75" customHeight="1">
      <c r="F3365" s="32"/>
    </row>
    <row r="3366" spans="6:6" ht="12.75" customHeight="1">
      <c r="F3366" s="32"/>
    </row>
    <row r="3367" spans="6:6" ht="12.75" customHeight="1">
      <c r="F3367" s="32"/>
    </row>
    <row r="3368" spans="6:6" ht="12.75" customHeight="1">
      <c r="F3368" s="32"/>
    </row>
    <row r="3369" spans="6:6" ht="12.75" customHeight="1">
      <c r="F3369" s="32"/>
    </row>
    <row r="3370" spans="6:6" ht="12.75" customHeight="1">
      <c r="F3370" s="32"/>
    </row>
    <row r="3371" spans="6:6" ht="12.75" customHeight="1">
      <c r="F3371" s="32"/>
    </row>
    <row r="3372" spans="6:6" ht="12.75" customHeight="1">
      <c r="F3372" s="32"/>
    </row>
    <row r="3373" spans="6:6" ht="12.75" customHeight="1">
      <c r="F3373" s="32"/>
    </row>
    <row r="3374" spans="6:6" ht="12.75" customHeight="1">
      <c r="F3374" s="32"/>
    </row>
    <row r="3375" spans="6:6" ht="12.75" customHeight="1">
      <c r="F3375" s="32"/>
    </row>
    <row r="3376" spans="6:6" ht="12.75" customHeight="1">
      <c r="F3376" s="32"/>
    </row>
    <row r="3377" spans="6:6" ht="12.75" customHeight="1">
      <c r="F3377" s="32"/>
    </row>
    <row r="3378" spans="6:6" ht="12.75" customHeight="1">
      <c r="F3378" s="32"/>
    </row>
    <row r="3379" spans="6:6" ht="12.75" customHeight="1">
      <c r="F3379" s="32"/>
    </row>
    <row r="3380" spans="6:6" ht="12.75" customHeight="1">
      <c r="F3380" s="32"/>
    </row>
    <row r="3381" spans="6:6" ht="12.75" customHeight="1">
      <c r="F3381" s="32"/>
    </row>
    <row r="3382" spans="6:6" ht="12.75" customHeight="1">
      <c r="F3382" s="32"/>
    </row>
    <row r="3383" spans="6:6" ht="12.75" customHeight="1">
      <c r="F3383" s="32"/>
    </row>
    <row r="3384" spans="6:6" ht="12.75" customHeight="1">
      <c r="F3384" s="32"/>
    </row>
    <row r="3385" spans="6:6" ht="12.75" customHeight="1">
      <c r="F3385" s="32"/>
    </row>
    <row r="3386" spans="6:6" ht="12.75" customHeight="1">
      <c r="F3386" s="32"/>
    </row>
    <row r="3387" spans="6:6" ht="12.75" customHeight="1">
      <c r="F3387" s="32"/>
    </row>
    <row r="3388" spans="6:6" ht="12.75" customHeight="1">
      <c r="F3388" s="32"/>
    </row>
    <row r="3389" spans="6:6" ht="12.75" customHeight="1">
      <c r="F3389" s="32"/>
    </row>
    <row r="3390" spans="6:6" ht="12.75" customHeight="1">
      <c r="F3390" s="32"/>
    </row>
    <row r="3391" spans="6:6" ht="12.75" customHeight="1">
      <c r="F3391" s="32"/>
    </row>
    <row r="3392" spans="6:6" ht="12.75" customHeight="1">
      <c r="F3392" s="32"/>
    </row>
    <row r="3393" spans="6:6" ht="12.75" customHeight="1">
      <c r="F3393" s="32"/>
    </row>
    <row r="3394" spans="6:6" ht="12.75" customHeight="1">
      <c r="F3394" s="32"/>
    </row>
    <row r="3395" spans="6:6" ht="12.75" customHeight="1">
      <c r="F3395" s="32"/>
    </row>
    <row r="3396" spans="6:6" ht="12.75" customHeight="1">
      <c r="F3396" s="32"/>
    </row>
    <row r="3397" spans="6:6" ht="12.75" customHeight="1">
      <c r="F3397" s="32"/>
    </row>
    <row r="3398" spans="6:6" ht="12.75" customHeight="1">
      <c r="F3398" s="32"/>
    </row>
    <row r="3399" spans="6:6" ht="12.75" customHeight="1">
      <c r="F3399" s="32"/>
    </row>
    <row r="3400" spans="6:6" ht="12.75" customHeight="1">
      <c r="F3400" s="32"/>
    </row>
    <row r="3401" spans="6:6" ht="12.75" customHeight="1">
      <c r="F3401" s="32"/>
    </row>
    <row r="3402" spans="6:6" ht="12.75" customHeight="1">
      <c r="F3402" s="32"/>
    </row>
    <row r="3403" spans="6:6" ht="12.75" customHeight="1">
      <c r="F3403" s="32"/>
    </row>
    <row r="3404" spans="6:6" ht="12.75" customHeight="1">
      <c r="F3404" s="32"/>
    </row>
    <row r="3405" spans="6:6" ht="12.75" customHeight="1">
      <c r="F3405" s="32"/>
    </row>
    <row r="3406" spans="6:6" ht="12.75" customHeight="1">
      <c r="F3406" s="32"/>
    </row>
    <row r="3407" spans="6:6" ht="12.75" customHeight="1">
      <c r="F3407" s="32"/>
    </row>
    <row r="3408" spans="6:6" ht="12.75" customHeight="1">
      <c r="F3408" s="32"/>
    </row>
    <row r="3409" spans="6:6" ht="12.75" customHeight="1">
      <c r="F3409" s="32"/>
    </row>
    <row r="3410" spans="6:6" ht="12.75" customHeight="1">
      <c r="F3410" s="32"/>
    </row>
    <row r="3411" spans="6:6" ht="12.75" customHeight="1">
      <c r="F3411" s="32"/>
    </row>
    <row r="3412" spans="6:6" ht="12.75" customHeight="1">
      <c r="F3412" s="32"/>
    </row>
    <row r="3413" spans="6:6" ht="12.75" customHeight="1">
      <c r="F3413" s="32"/>
    </row>
    <row r="3414" spans="6:6" ht="12.75" customHeight="1">
      <c r="F3414" s="32"/>
    </row>
    <row r="3415" spans="6:6" ht="12.75" customHeight="1">
      <c r="F3415" s="32"/>
    </row>
    <row r="3416" spans="6:6" ht="12.75" customHeight="1">
      <c r="F3416" s="32"/>
    </row>
    <row r="3417" spans="6:6" ht="12.75" customHeight="1">
      <c r="F3417" s="32"/>
    </row>
    <row r="3418" spans="6:6" ht="12.75" customHeight="1">
      <c r="F3418" s="32"/>
    </row>
    <row r="3419" spans="6:6" ht="12.75" customHeight="1">
      <c r="F3419" s="32"/>
    </row>
    <row r="3420" spans="6:6" ht="12.75" customHeight="1">
      <c r="F3420" s="32"/>
    </row>
    <row r="3421" spans="6:6" ht="12.75" customHeight="1">
      <c r="F3421" s="32"/>
    </row>
    <row r="3422" spans="6:6" ht="12.75" customHeight="1">
      <c r="F3422" s="32"/>
    </row>
    <row r="3423" spans="6:6" ht="12.75" customHeight="1">
      <c r="F3423" s="32"/>
    </row>
    <row r="3424" spans="6:6" ht="12.75" customHeight="1">
      <c r="F3424" s="32"/>
    </row>
    <row r="3425" spans="6:6" ht="12.75" customHeight="1">
      <c r="F3425" s="32"/>
    </row>
    <row r="3426" spans="6:6" ht="12.75" customHeight="1">
      <c r="F3426" s="32"/>
    </row>
    <row r="3427" spans="6:6" ht="12.75" customHeight="1">
      <c r="F3427" s="32"/>
    </row>
    <row r="3428" spans="6:6" ht="12.75" customHeight="1">
      <c r="F3428" s="32"/>
    </row>
    <row r="3429" spans="6:6" ht="12.75" customHeight="1">
      <c r="F3429" s="32"/>
    </row>
    <row r="3430" spans="6:6" ht="12.75" customHeight="1">
      <c r="F3430" s="32"/>
    </row>
    <row r="3431" spans="6:6" ht="12.75" customHeight="1">
      <c r="F3431" s="32"/>
    </row>
    <row r="3432" spans="6:6" ht="12.75" customHeight="1">
      <c r="F3432" s="32"/>
    </row>
    <row r="3433" spans="6:6" ht="12.75" customHeight="1">
      <c r="F3433" s="32"/>
    </row>
    <row r="3434" spans="6:6" ht="12.75" customHeight="1">
      <c r="F3434" s="32"/>
    </row>
    <row r="3435" spans="6:6" ht="12.75" customHeight="1">
      <c r="F3435" s="32"/>
    </row>
    <row r="3436" spans="6:6" ht="12.75" customHeight="1">
      <c r="F3436" s="32"/>
    </row>
    <row r="3437" spans="6:6" ht="12.75" customHeight="1">
      <c r="F3437" s="32"/>
    </row>
    <row r="3438" spans="6:6" ht="12.75" customHeight="1">
      <c r="F3438" s="32"/>
    </row>
    <row r="3439" spans="6:6" ht="12.75" customHeight="1">
      <c r="F3439" s="32"/>
    </row>
    <row r="3440" spans="6:6" ht="12.75" customHeight="1">
      <c r="F3440" s="32"/>
    </row>
    <row r="3441" spans="6:6" ht="12.75" customHeight="1">
      <c r="F3441" s="32"/>
    </row>
    <row r="3442" spans="6:6" ht="12.75" customHeight="1">
      <c r="F3442" s="32"/>
    </row>
    <row r="3443" spans="6:6" ht="12.75" customHeight="1">
      <c r="F3443" s="32"/>
    </row>
    <row r="3444" spans="6:6" ht="12.75" customHeight="1">
      <c r="F3444" s="32"/>
    </row>
    <row r="3445" spans="6:6" ht="12.75" customHeight="1">
      <c r="F3445" s="32"/>
    </row>
    <row r="3446" spans="6:6" ht="12.75" customHeight="1">
      <c r="F3446" s="32"/>
    </row>
    <row r="3447" spans="6:6" ht="12.75" customHeight="1">
      <c r="F3447" s="32"/>
    </row>
    <row r="3448" spans="6:6" ht="12.75" customHeight="1">
      <c r="F3448" s="32"/>
    </row>
    <row r="3449" spans="6:6" ht="12.75" customHeight="1">
      <c r="F3449" s="32"/>
    </row>
    <row r="3450" spans="6:6" ht="12.75" customHeight="1">
      <c r="F3450" s="32"/>
    </row>
    <row r="3451" spans="6:6" ht="12.75" customHeight="1">
      <c r="F3451" s="32"/>
    </row>
    <row r="3452" spans="6:6" ht="12.75" customHeight="1">
      <c r="F3452" s="32"/>
    </row>
    <row r="3453" spans="6:6" ht="12.75" customHeight="1">
      <c r="F3453" s="32"/>
    </row>
    <row r="3454" spans="6:6" ht="12.75" customHeight="1">
      <c r="F3454" s="32"/>
    </row>
    <row r="3455" spans="6:6" ht="12.75" customHeight="1">
      <c r="F3455" s="32"/>
    </row>
    <row r="3456" spans="6:6" ht="12.75" customHeight="1">
      <c r="F3456" s="32"/>
    </row>
    <row r="3457" spans="6:6" ht="12.75" customHeight="1">
      <c r="F3457" s="32"/>
    </row>
    <row r="3458" spans="6:6" ht="12.75" customHeight="1">
      <c r="F3458" s="32"/>
    </row>
    <row r="3459" spans="6:6" ht="12.75" customHeight="1">
      <c r="F3459" s="32"/>
    </row>
    <row r="3460" spans="6:6" ht="12.75" customHeight="1">
      <c r="F3460" s="32"/>
    </row>
    <row r="3461" spans="6:6" ht="12.75" customHeight="1">
      <c r="F3461" s="32"/>
    </row>
    <row r="3462" spans="6:6" ht="12.75" customHeight="1">
      <c r="F3462" s="32"/>
    </row>
    <row r="3463" spans="6:6" ht="12.75" customHeight="1">
      <c r="F3463" s="32"/>
    </row>
    <row r="3464" spans="6:6" ht="12.75" customHeight="1">
      <c r="F3464" s="32"/>
    </row>
    <row r="3465" spans="6:6" ht="12.75" customHeight="1">
      <c r="F3465" s="32"/>
    </row>
    <row r="3466" spans="6:6" ht="12.75" customHeight="1">
      <c r="F3466" s="32"/>
    </row>
    <row r="3467" spans="6:6" ht="12.75" customHeight="1">
      <c r="F3467" s="32"/>
    </row>
    <row r="3468" spans="6:6" ht="12.75" customHeight="1">
      <c r="F3468" s="32"/>
    </row>
    <row r="3469" spans="6:6" ht="12.75" customHeight="1">
      <c r="F3469" s="32"/>
    </row>
    <row r="3470" spans="6:6" ht="12.75" customHeight="1">
      <c r="F3470" s="32"/>
    </row>
    <row r="3471" spans="6:6" ht="12.75" customHeight="1">
      <c r="F3471" s="32"/>
    </row>
    <row r="3472" spans="6:6" ht="12.75" customHeight="1">
      <c r="F3472" s="32"/>
    </row>
    <row r="3473" spans="6:6" ht="12.75" customHeight="1">
      <c r="F3473" s="32"/>
    </row>
    <row r="3474" spans="6:6" ht="12.75" customHeight="1">
      <c r="F3474" s="32"/>
    </row>
    <row r="3475" spans="6:6" ht="12.75" customHeight="1">
      <c r="F3475" s="32"/>
    </row>
    <row r="3476" spans="6:6" ht="12.75" customHeight="1">
      <c r="F3476" s="32"/>
    </row>
    <row r="3477" spans="6:6" ht="12.75" customHeight="1">
      <c r="F3477" s="32"/>
    </row>
    <row r="3478" spans="6:6" ht="12.75" customHeight="1">
      <c r="F3478" s="32"/>
    </row>
    <row r="3479" spans="6:6" ht="12.75" customHeight="1">
      <c r="F3479" s="32"/>
    </row>
    <row r="3480" spans="6:6" ht="12.75" customHeight="1">
      <c r="F3480" s="32"/>
    </row>
    <row r="3481" spans="6:6" ht="12.75" customHeight="1">
      <c r="F3481" s="32"/>
    </row>
    <row r="3482" spans="6:6" ht="12.75" customHeight="1">
      <c r="F3482" s="32"/>
    </row>
    <row r="3483" spans="6:6" ht="12.75" customHeight="1">
      <c r="F3483" s="32"/>
    </row>
    <row r="3484" spans="6:6" ht="12.75" customHeight="1">
      <c r="F3484" s="32"/>
    </row>
    <row r="3485" spans="6:6" ht="12.75" customHeight="1">
      <c r="F3485" s="32"/>
    </row>
    <row r="3486" spans="6:6" ht="12.75" customHeight="1">
      <c r="F3486" s="32"/>
    </row>
    <row r="3487" spans="6:6" ht="12.75" customHeight="1">
      <c r="F3487" s="32"/>
    </row>
    <row r="3488" spans="6:6" ht="12.75" customHeight="1">
      <c r="F3488" s="32"/>
    </row>
    <row r="3489" spans="6:6" ht="12.75" customHeight="1">
      <c r="F3489" s="32"/>
    </row>
    <row r="3490" spans="6:6" ht="12.75" customHeight="1">
      <c r="F3490" s="32"/>
    </row>
    <row r="3491" spans="6:6" ht="12.75" customHeight="1">
      <c r="F3491" s="32"/>
    </row>
    <row r="3492" spans="6:6" ht="12.75" customHeight="1">
      <c r="F3492" s="32"/>
    </row>
    <row r="3493" spans="6:6" ht="12.75" customHeight="1">
      <c r="F3493" s="32"/>
    </row>
    <row r="3494" spans="6:6" ht="12.75" customHeight="1">
      <c r="F3494" s="32"/>
    </row>
    <row r="3495" spans="6:6" ht="12.75" customHeight="1">
      <c r="F3495" s="32"/>
    </row>
    <row r="3496" spans="6:6" ht="12.75" customHeight="1">
      <c r="F3496" s="32"/>
    </row>
    <row r="3497" spans="6:6" ht="12.75" customHeight="1">
      <c r="F3497" s="32"/>
    </row>
    <row r="3498" spans="6:6" ht="12.75" customHeight="1">
      <c r="F3498" s="32"/>
    </row>
    <row r="3499" spans="6:6" ht="12.75" customHeight="1">
      <c r="F3499" s="32"/>
    </row>
    <row r="3500" spans="6:6" ht="12.75" customHeight="1">
      <c r="F3500" s="32"/>
    </row>
    <row r="3501" spans="6:6" ht="12.75" customHeight="1">
      <c r="F3501" s="32"/>
    </row>
    <row r="3502" spans="6:6" ht="12.75" customHeight="1">
      <c r="F3502" s="32"/>
    </row>
    <row r="3503" spans="6:6" ht="12.75" customHeight="1">
      <c r="F3503" s="32"/>
    </row>
    <row r="3504" spans="6:6" ht="12.75" customHeight="1">
      <c r="F3504" s="32"/>
    </row>
    <row r="3505" spans="6:6" ht="12.75" customHeight="1">
      <c r="F3505" s="32"/>
    </row>
    <row r="3506" spans="6:6" ht="12.75" customHeight="1">
      <c r="F3506" s="32"/>
    </row>
    <row r="3507" spans="6:6" ht="12.75" customHeight="1">
      <c r="F3507" s="32"/>
    </row>
    <row r="3508" spans="6:6" ht="12.75" customHeight="1">
      <c r="F3508" s="32"/>
    </row>
    <row r="3509" spans="6:6" ht="12.75" customHeight="1">
      <c r="F3509" s="32"/>
    </row>
    <row r="3510" spans="6:6" ht="12.75" customHeight="1">
      <c r="F3510" s="32"/>
    </row>
    <row r="3511" spans="6:6" ht="12.75" customHeight="1">
      <c r="F3511" s="32"/>
    </row>
    <row r="3512" spans="6:6" ht="12.75" customHeight="1">
      <c r="F3512" s="32"/>
    </row>
    <row r="3513" spans="6:6" ht="12.75" customHeight="1">
      <c r="F3513" s="32"/>
    </row>
    <row r="3514" spans="6:6" ht="12.75" customHeight="1">
      <c r="F3514" s="32"/>
    </row>
    <row r="3515" spans="6:6" ht="12.75" customHeight="1">
      <c r="F3515" s="32"/>
    </row>
    <row r="3516" spans="6:6" ht="12.75" customHeight="1">
      <c r="F3516" s="32"/>
    </row>
    <row r="3517" spans="6:6" ht="12.75" customHeight="1">
      <c r="F3517" s="32"/>
    </row>
    <row r="3518" spans="6:6" ht="12.75" customHeight="1">
      <c r="F3518" s="32"/>
    </row>
    <row r="3519" spans="6:6" ht="12.75" customHeight="1">
      <c r="F3519" s="32"/>
    </row>
    <row r="3520" spans="6:6" ht="12.75" customHeight="1">
      <c r="F3520" s="32"/>
    </row>
    <row r="3521" spans="6:6" ht="12.75" customHeight="1">
      <c r="F3521" s="32"/>
    </row>
    <row r="3522" spans="6:6" ht="12.75" customHeight="1">
      <c r="F3522" s="32"/>
    </row>
    <row r="3523" spans="6:6" ht="12.75" customHeight="1">
      <c r="F3523" s="32"/>
    </row>
    <row r="3524" spans="6:6" ht="12.75" customHeight="1">
      <c r="F3524" s="32"/>
    </row>
    <row r="3525" spans="6:6" ht="12.75" customHeight="1">
      <c r="F3525" s="32"/>
    </row>
    <row r="3526" spans="6:6" ht="12.75" customHeight="1">
      <c r="F3526" s="32"/>
    </row>
    <row r="3527" spans="6:6" ht="12.75" customHeight="1">
      <c r="F3527" s="32"/>
    </row>
    <row r="3528" spans="6:6" ht="12.75" customHeight="1">
      <c r="F3528" s="32"/>
    </row>
    <row r="3529" spans="6:6" ht="12.75" customHeight="1">
      <c r="F3529" s="32"/>
    </row>
    <row r="3530" spans="6:6" ht="12.75" customHeight="1">
      <c r="F3530" s="32"/>
    </row>
    <row r="3531" spans="6:6" ht="12.75" customHeight="1">
      <c r="F3531" s="32"/>
    </row>
    <row r="3532" spans="6:6" ht="12.75" customHeight="1">
      <c r="F3532" s="32"/>
    </row>
    <row r="3533" spans="6:6" ht="12.75" customHeight="1">
      <c r="F3533" s="32"/>
    </row>
    <row r="3534" spans="6:6" ht="12.75" customHeight="1">
      <c r="F3534" s="32"/>
    </row>
    <row r="3535" spans="6:6" ht="12.75" customHeight="1">
      <c r="F3535" s="32"/>
    </row>
    <row r="3536" spans="6:6" ht="12.75" customHeight="1">
      <c r="F3536" s="32"/>
    </row>
    <row r="3537" spans="6:6" ht="12.75" customHeight="1">
      <c r="F3537" s="32"/>
    </row>
    <row r="3538" spans="6:6" ht="12.75" customHeight="1">
      <c r="F3538" s="32"/>
    </row>
    <row r="3539" spans="6:6" ht="12.75" customHeight="1">
      <c r="F3539" s="32"/>
    </row>
    <row r="3540" spans="6:6" ht="12.75" customHeight="1">
      <c r="F3540" s="32"/>
    </row>
    <row r="3541" spans="6:6" ht="12.75" customHeight="1">
      <c r="F3541" s="32"/>
    </row>
    <row r="3542" spans="6:6" ht="12.75" customHeight="1">
      <c r="F3542" s="32"/>
    </row>
    <row r="3543" spans="6:6" ht="12.75" customHeight="1">
      <c r="F3543" s="32"/>
    </row>
    <row r="3544" spans="6:6" ht="12.75" customHeight="1">
      <c r="F3544" s="32"/>
    </row>
    <row r="3545" spans="6:6" ht="12.75" customHeight="1">
      <c r="F3545" s="32"/>
    </row>
    <row r="3546" spans="6:6" ht="12.75" customHeight="1">
      <c r="F3546" s="32"/>
    </row>
    <row r="3547" spans="6:6" ht="12.75" customHeight="1">
      <c r="F3547" s="32"/>
    </row>
    <row r="3548" spans="6:6" ht="12.75" customHeight="1">
      <c r="F3548" s="32"/>
    </row>
    <row r="3549" spans="6:6" ht="12.75" customHeight="1">
      <c r="F3549" s="32"/>
    </row>
    <row r="3550" spans="6:6" ht="12.75" customHeight="1">
      <c r="F3550" s="32"/>
    </row>
    <row r="3551" spans="6:6" ht="12.75" customHeight="1">
      <c r="F3551" s="32"/>
    </row>
    <row r="3552" spans="6:6" ht="12.75" customHeight="1">
      <c r="F3552" s="32"/>
    </row>
    <row r="3553" spans="6:6" ht="12.75" customHeight="1">
      <c r="F3553" s="32"/>
    </row>
    <row r="3554" spans="6:6" ht="12.75" customHeight="1">
      <c r="F3554" s="32"/>
    </row>
    <row r="3555" spans="6:6" ht="12.75" customHeight="1">
      <c r="F3555" s="32"/>
    </row>
    <row r="3556" spans="6:6" ht="12.75" customHeight="1">
      <c r="F3556" s="32"/>
    </row>
    <row r="3557" spans="6:6" ht="12.75" customHeight="1">
      <c r="F3557" s="32"/>
    </row>
    <row r="3558" spans="6:6" ht="12.75" customHeight="1">
      <c r="F3558" s="32"/>
    </row>
    <row r="3559" spans="6:6" ht="12.75" customHeight="1">
      <c r="F3559" s="32"/>
    </row>
    <row r="3560" spans="6:6" ht="12.75" customHeight="1">
      <c r="F3560" s="32"/>
    </row>
    <row r="3561" spans="6:6" ht="12.75" customHeight="1">
      <c r="F3561" s="32"/>
    </row>
    <row r="3562" spans="6:6" ht="12.75" customHeight="1">
      <c r="F3562" s="32"/>
    </row>
    <row r="3563" spans="6:6" ht="12.75" customHeight="1">
      <c r="F3563" s="32"/>
    </row>
    <row r="3564" spans="6:6" ht="12.75" customHeight="1">
      <c r="F3564" s="32"/>
    </row>
    <row r="3565" spans="6:6" ht="12.75" customHeight="1">
      <c r="F3565" s="32"/>
    </row>
    <row r="3566" spans="6:6" ht="12.75" customHeight="1">
      <c r="F3566" s="32"/>
    </row>
    <row r="3567" spans="6:6" ht="12.75" customHeight="1">
      <c r="F3567" s="32"/>
    </row>
    <row r="3568" spans="6:6" ht="12.75" customHeight="1">
      <c r="F3568" s="32"/>
    </row>
    <row r="3569" spans="6:6" ht="12.75" customHeight="1">
      <c r="F3569" s="32"/>
    </row>
    <row r="3570" spans="6:6" ht="12.75" customHeight="1">
      <c r="F3570" s="32"/>
    </row>
    <row r="3571" spans="6:6" ht="12.75" customHeight="1">
      <c r="F3571" s="32"/>
    </row>
    <row r="3572" spans="6:6" ht="12.75" customHeight="1">
      <c r="F3572" s="32"/>
    </row>
    <row r="3573" spans="6:6" ht="12.75" customHeight="1">
      <c r="F3573" s="32"/>
    </row>
    <row r="3574" spans="6:6" ht="12.75" customHeight="1">
      <c r="F3574" s="32"/>
    </row>
    <row r="3575" spans="6:6" ht="12.75" customHeight="1">
      <c r="F3575" s="32"/>
    </row>
    <row r="3576" spans="6:6" ht="12.75" customHeight="1">
      <c r="F3576" s="32"/>
    </row>
    <row r="3577" spans="6:6" ht="12.75" customHeight="1">
      <c r="F3577" s="32"/>
    </row>
    <row r="3578" spans="6:6" ht="12.75" customHeight="1">
      <c r="F3578" s="32"/>
    </row>
    <row r="3579" spans="6:6" ht="12.75" customHeight="1">
      <c r="F3579" s="32"/>
    </row>
    <row r="3580" spans="6:6" ht="12.75" customHeight="1">
      <c r="F3580" s="32"/>
    </row>
    <row r="3581" spans="6:6" ht="12.75" customHeight="1">
      <c r="F3581" s="32"/>
    </row>
    <row r="3582" spans="6:6" ht="12.75" customHeight="1">
      <c r="F3582" s="32"/>
    </row>
    <row r="3583" spans="6:6" ht="12.75" customHeight="1">
      <c r="F3583" s="32"/>
    </row>
    <row r="3584" spans="6:6" ht="12.75" customHeight="1">
      <c r="F3584" s="32"/>
    </row>
    <row r="3585" spans="6:6" ht="12.75" customHeight="1">
      <c r="F3585" s="32"/>
    </row>
    <row r="3586" spans="6:6" ht="12.75" customHeight="1">
      <c r="F3586" s="32"/>
    </row>
    <row r="3587" spans="6:6" ht="12.75" customHeight="1">
      <c r="F3587" s="32"/>
    </row>
    <row r="3588" spans="6:6" ht="12.75" customHeight="1">
      <c r="F3588" s="32"/>
    </row>
    <row r="3589" spans="6:6" ht="12.75" customHeight="1">
      <c r="F3589" s="32"/>
    </row>
    <row r="3590" spans="6:6" ht="12.75" customHeight="1">
      <c r="F3590" s="32"/>
    </row>
    <row r="3591" spans="6:6" ht="12.75" customHeight="1">
      <c r="F3591" s="32"/>
    </row>
    <row r="3592" spans="6:6" ht="12.75" customHeight="1">
      <c r="F3592" s="32"/>
    </row>
    <row r="3593" spans="6:6" ht="12.75" customHeight="1">
      <c r="F3593" s="32"/>
    </row>
    <row r="3594" spans="6:6" ht="12.75" customHeight="1">
      <c r="F3594" s="32"/>
    </row>
    <row r="3595" spans="6:6" ht="12.75" customHeight="1">
      <c r="F3595" s="32"/>
    </row>
    <row r="3596" spans="6:6" ht="12.75" customHeight="1">
      <c r="F3596" s="32"/>
    </row>
    <row r="3597" spans="6:6" ht="12.75" customHeight="1">
      <c r="F3597" s="32"/>
    </row>
    <row r="3598" spans="6:6" ht="12.75" customHeight="1">
      <c r="F3598" s="32"/>
    </row>
    <row r="3599" spans="6:6" ht="12.75" customHeight="1">
      <c r="F3599" s="32"/>
    </row>
    <row r="3600" spans="6:6" ht="12.75" customHeight="1">
      <c r="F3600" s="32"/>
    </row>
    <row r="3601" spans="6:6" ht="12.75" customHeight="1">
      <c r="F3601" s="32"/>
    </row>
    <row r="3602" spans="6:6" ht="12.75" customHeight="1">
      <c r="F3602" s="32"/>
    </row>
    <row r="3603" spans="6:6" ht="12.75" customHeight="1">
      <c r="F3603" s="32"/>
    </row>
    <row r="3604" spans="6:6" ht="12.75" customHeight="1">
      <c r="F3604" s="32"/>
    </row>
    <row r="3605" spans="6:6" ht="12.75" customHeight="1">
      <c r="F3605" s="32"/>
    </row>
    <row r="3606" spans="6:6" ht="12.75" customHeight="1">
      <c r="F3606" s="32"/>
    </row>
    <row r="3607" spans="6:6" ht="12.75" customHeight="1">
      <c r="F3607" s="32"/>
    </row>
    <row r="3608" spans="6:6" ht="12.75" customHeight="1">
      <c r="F3608" s="32"/>
    </row>
    <row r="3609" spans="6:6" ht="12.75" customHeight="1">
      <c r="F3609" s="32"/>
    </row>
    <row r="3610" spans="6:6" ht="12.75" customHeight="1">
      <c r="F3610" s="32"/>
    </row>
    <row r="3611" spans="6:6" ht="12.75" customHeight="1">
      <c r="F3611" s="32"/>
    </row>
    <row r="3612" spans="6:6" ht="12.75" customHeight="1">
      <c r="F3612" s="32"/>
    </row>
    <row r="3613" spans="6:6" ht="12.75" customHeight="1">
      <c r="F3613" s="32"/>
    </row>
    <row r="3614" spans="6:6" ht="12.75" customHeight="1">
      <c r="F3614" s="32"/>
    </row>
    <row r="3615" spans="6:6" ht="12.75" customHeight="1">
      <c r="F3615" s="32"/>
    </row>
    <row r="3616" spans="6:6" ht="12.75" customHeight="1">
      <c r="F3616" s="32"/>
    </row>
    <row r="3617" spans="6:6" ht="12.75" customHeight="1">
      <c r="F3617" s="32"/>
    </row>
    <row r="3618" spans="6:6" ht="12.75" customHeight="1">
      <c r="F3618" s="32"/>
    </row>
    <row r="3619" spans="6:6" ht="12.75" customHeight="1">
      <c r="F3619" s="32"/>
    </row>
    <row r="3620" spans="6:6" ht="12.75" customHeight="1">
      <c r="F3620" s="32"/>
    </row>
    <row r="3621" spans="6:6" ht="12.75" customHeight="1">
      <c r="F3621" s="32"/>
    </row>
    <row r="3622" spans="6:6" ht="12.75" customHeight="1">
      <c r="F3622" s="32"/>
    </row>
    <row r="3623" spans="6:6" ht="12.75" customHeight="1">
      <c r="F3623" s="32"/>
    </row>
    <row r="3624" spans="6:6" ht="12.75" customHeight="1">
      <c r="F3624" s="32"/>
    </row>
    <row r="3625" spans="6:6" ht="12.75" customHeight="1">
      <c r="F3625" s="32"/>
    </row>
    <row r="3626" spans="6:6" ht="12.75" customHeight="1">
      <c r="F3626" s="32"/>
    </row>
    <row r="3627" spans="6:6" ht="12.75" customHeight="1">
      <c r="F3627" s="32"/>
    </row>
    <row r="3628" spans="6:6" ht="12.75" customHeight="1">
      <c r="F3628" s="32"/>
    </row>
    <row r="3629" spans="6:6" ht="12.75" customHeight="1">
      <c r="F3629" s="32"/>
    </row>
    <row r="3630" spans="6:6" ht="12.75" customHeight="1">
      <c r="F3630" s="32"/>
    </row>
    <row r="3631" spans="6:6" ht="12.75" customHeight="1">
      <c r="F3631" s="32"/>
    </row>
    <row r="3632" spans="6:6" ht="12.75" customHeight="1">
      <c r="F3632" s="32"/>
    </row>
    <row r="3633" spans="6:6" ht="12.75" customHeight="1">
      <c r="F3633" s="32"/>
    </row>
    <row r="3634" spans="6:6" ht="12.75" customHeight="1">
      <c r="F3634" s="32"/>
    </row>
    <row r="3635" spans="6:6" ht="12.75" customHeight="1">
      <c r="F3635" s="32"/>
    </row>
    <row r="3636" spans="6:6" ht="12.75" customHeight="1">
      <c r="F3636" s="32"/>
    </row>
    <row r="3637" spans="6:6" ht="12.75" customHeight="1">
      <c r="F3637" s="32"/>
    </row>
    <row r="3638" spans="6:6" ht="12.75" customHeight="1">
      <c r="F3638" s="32"/>
    </row>
    <row r="3639" spans="6:6" ht="12.75" customHeight="1">
      <c r="F3639" s="32"/>
    </row>
    <row r="3640" spans="6:6" ht="12.75" customHeight="1">
      <c r="F3640" s="32"/>
    </row>
    <row r="3641" spans="6:6" ht="12.75" customHeight="1">
      <c r="F3641" s="32"/>
    </row>
    <row r="3642" spans="6:6" ht="12.75" customHeight="1">
      <c r="F3642" s="32"/>
    </row>
    <row r="3643" spans="6:6" ht="12.75" customHeight="1">
      <c r="F3643" s="32"/>
    </row>
    <row r="3644" spans="6:6" ht="12.75" customHeight="1">
      <c r="F3644" s="32"/>
    </row>
    <row r="3645" spans="6:6" ht="12.75" customHeight="1">
      <c r="F3645" s="32"/>
    </row>
    <row r="3646" spans="6:6" ht="12.75" customHeight="1">
      <c r="F3646" s="32"/>
    </row>
    <row r="3647" spans="6:6" ht="12.75" customHeight="1">
      <c r="F3647" s="32"/>
    </row>
    <row r="3648" spans="6:6" ht="12.75" customHeight="1">
      <c r="F3648" s="32"/>
    </row>
    <row r="3649" spans="6:6" ht="12.75" customHeight="1">
      <c r="F3649" s="32"/>
    </row>
    <row r="3650" spans="6:6" ht="12.75" customHeight="1">
      <c r="F3650" s="32"/>
    </row>
    <row r="3651" spans="6:6" ht="12.75" customHeight="1">
      <c r="F3651" s="32"/>
    </row>
    <row r="3652" spans="6:6" ht="12.75" customHeight="1">
      <c r="F3652" s="32"/>
    </row>
    <row r="3653" spans="6:6" ht="12.75" customHeight="1">
      <c r="F3653" s="32"/>
    </row>
    <row r="3654" spans="6:6" ht="12.75" customHeight="1">
      <c r="F3654" s="32"/>
    </row>
    <row r="3655" spans="6:6" ht="12.75" customHeight="1">
      <c r="F3655" s="32"/>
    </row>
    <row r="3656" spans="6:6" ht="12.75" customHeight="1">
      <c r="F3656" s="32"/>
    </row>
    <row r="3657" spans="6:6" ht="12.75" customHeight="1">
      <c r="F3657" s="32"/>
    </row>
    <row r="3658" spans="6:6" ht="12.75" customHeight="1">
      <c r="F3658" s="32"/>
    </row>
    <row r="3659" spans="6:6" ht="12.75" customHeight="1">
      <c r="F3659" s="32"/>
    </row>
    <row r="3660" spans="6:6" ht="12.75" customHeight="1">
      <c r="F3660" s="32"/>
    </row>
    <row r="3661" spans="6:6" ht="12.75" customHeight="1">
      <c r="F3661" s="32"/>
    </row>
    <row r="3662" spans="6:6" ht="12.75" customHeight="1">
      <c r="F3662" s="32"/>
    </row>
    <row r="3663" spans="6:6" ht="12.75" customHeight="1">
      <c r="F3663" s="32"/>
    </row>
    <row r="3664" spans="6:6" ht="12.75" customHeight="1">
      <c r="F3664" s="32"/>
    </row>
    <row r="3665" spans="6:6" ht="12.75" customHeight="1">
      <c r="F3665" s="32"/>
    </row>
    <row r="3666" spans="6:6" ht="12.75" customHeight="1">
      <c r="F3666" s="32"/>
    </row>
    <row r="3667" spans="6:6" ht="12.75" customHeight="1">
      <c r="F3667" s="32"/>
    </row>
    <row r="3668" spans="6:6" ht="12.75" customHeight="1">
      <c r="F3668" s="32"/>
    </row>
    <row r="3669" spans="6:6" ht="12.75" customHeight="1">
      <c r="F3669" s="32"/>
    </row>
    <row r="3670" spans="6:6" ht="12.75" customHeight="1">
      <c r="F3670" s="32"/>
    </row>
    <row r="3671" spans="6:6" ht="12.75" customHeight="1">
      <c r="F3671" s="32"/>
    </row>
    <row r="3672" spans="6:6" ht="12.75" customHeight="1">
      <c r="F3672" s="32"/>
    </row>
    <row r="3673" spans="6:6" ht="12.75" customHeight="1">
      <c r="F3673" s="32"/>
    </row>
    <row r="3674" spans="6:6" ht="12.75" customHeight="1">
      <c r="F3674" s="32"/>
    </row>
    <row r="3675" spans="6:6" ht="12.75" customHeight="1">
      <c r="F3675" s="32"/>
    </row>
    <row r="3676" spans="6:6" ht="12.75" customHeight="1">
      <c r="F3676" s="32"/>
    </row>
    <row r="3677" spans="6:6" ht="12.75" customHeight="1">
      <c r="F3677" s="32"/>
    </row>
    <row r="3678" spans="6:6" ht="12.75" customHeight="1">
      <c r="F3678" s="32"/>
    </row>
    <row r="3679" spans="6:6" ht="12.75" customHeight="1">
      <c r="F3679" s="32"/>
    </row>
    <row r="3680" spans="6:6" ht="12.75" customHeight="1">
      <c r="F3680" s="32"/>
    </row>
    <row r="3681" spans="6:6" ht="12.75" customHeight="1">
      <c r="F3681" s="32"/>
    </row>
    <row r="3682" spans="6:6" ht="12.75" customHeight="1">
      <c r="F3682" s="32"/>
    </row>
    <row r="3683" spans="6:6" ht="12.75" customHeight="1">
      <c r="F3683" s="32"/>
    </row>
    <row r="3684" spans="6:6" ht="12.75" customHeight="1">
      <c r="F3684" s="32"/>
    </row>
    <row r="3685" spans="6:6" ht="12.75" customHeight="1">
      <c r="F3685" s="32"/>
    </row>
    <row r="3686" spans="6:6" ht="12.75" customHeight="1">
      <c r="F3686" s="32"/>
    </row>
    <row r="3687" spans="6:6" ht="12.75" customHeight="1">
      <c r="F3687" s="32"/>
    </row>
    <row r="3688" spans="6:6" ht="12.75" customHeight="1">
      <c r="F3688" s="32"/>
    </row>
    <row r="3689" spans="6:6" ht="12.75" customHeight="1">
      <c r="F3689" s="32"/>
    </row>
    <row r="3690" spans="6:6" ht="12.75" customHeight="1">
      <c r="F3690" s="32"/>
    </row>
    <row r="3691" spans="6:6" ht="12.75" customHeight="1">
      <c r="F3691" s="32"/>
    </row>
    <row r="3692" spans="6:6" ht="12.75" customHeight="1">
      <c r="F3692" s="32"/>
    </row>
    <row r="3693" spans="6:6" ht="12.75" customHeight="1">
      <c r="F3693" s="32"/>
    </row>
    <row r="3694" spans="6:6" ht="12.75" customHeight="1">
      <c r="F3694" s="32"/>
    </row>
    <row r="3695" spans="6:6" ht="12.75" customHeight="1">
      <c r="F3695" s="32"/>
    </row>
    <row r="3696" spans="6:6" ht="12.75" customHeight="1">
      <c r="F3696" s="32"/>
    </row>
    <row r="3697" spans="6:6" ht="12.75" customHeight="1">
      <c r="F3697" s="32"/>
    </row>
    <row r="3698" spans="6:6" ht="12.75" customHeight="1">
      <c r="F3698" s="32"/>
    </row>
    <row r="3699" spans="6:6" ht="12.75" customHeight="1">
      <c r="F3699" s="32"/>
    </row>
    <row r="3700" spans="6:6" ht="12.75" customHeight="1">
      <c r="F3700" s="32"/>
    </row>
    <row r="3701" spans="6:6" ht="12.75" customHeight="1">
      <c r="F3701" s="32"/>
    </row>
    <row r="3702" spans="6:6" ht="12.75" customHeight="1">
      <c r="F3702" s="32"/>
    </row>
    <row r="3703" spans="6:6" ht="12.75" customHeight="1">
      <c r="F3703" s="32"/>
    </row>
    <row r="3704" spans="6:6" ht="12.75" customHeight="1">
      <c r="F3704" s="32"/>
    </row>
    <row r="3705" spans="6:6" ht="12.75" customHeight="1">
      <c r="F3705" s="32"/>
    </row>
    <row r="3706" spans="6:6" ht="12.75" customHeight="1">
      <c r="F3706" s="32"/>
    </row>
    <row r="3707" spans="6:6" ht="12.75" customHeight="1">
      <c r="F3707" s="32"/>
    </row>
    <row r="3708" spans="6:6" ht="12.75" customHeight="1">
      <c r="F3708" s="32"/>
    </row>
    <row r="3709" spans="6:6" ht="12.75" customHeight="1">
      <c r="F3709" s="32"/>
    </row>
    <row r="3710" spans="6:6" ht="12.75" customHeight="1">
      <c r="F3710" s="32"/>
    </row>
    <row r="3711" spans="6:6" ht="12.75" customHeight="1">
      <c r="F3711" s="32"/>
    </row>
    <row r="3712" spans="6:6" ht="12.75" customHeight="1">
      <c r="F3712" s="32"/>
    </row>
    <row r="3713" spans="6:6" ht="12.75" customHeight="1">
      <c r="F3713" s="32"/>
    </row>
    <row r="3714" spans="6:6" ht="12.75" customHeight="1">
      <c r="F3714" s="32"/>
    </row>
    <row r="3715" spans="6:6" ht="12.75" customHeight="1">
      <c r="F3715" s="32"/>
    </row>
    <row r="3716" spans="6:6" ht="12.75" customHeight="1">
      <c r="F3716" s="32"/>
    </row>
    <row r="3717" spans="6:6" ht="12.75" customHeight="1">
      <c r="F3717" s="32"/>
    </row>
    <row r="3718" spans="6:6" ht="12.75" customHeight="1">
      <c r="F3718" s="32"/>
    </row>
    <row r="3719" spans="6:6" ht="12.75" customHeight="1">
      <c r="F3719" s="32"/>
    </row>
    <row r="3720" spans="6:6" ht="12.75" customHeight="1">
      <c r="F3720" s="32"/>
    </row>
    <row r="3721" spans="6:6" ht="12.75" customHeight="1">
      <c r="F3721" s="32"/>
    </row>
    <row r="3722" spans="6:6" ht="12.75" customHeight="1">
      <c r="F3722" s="32"/>
    </row>
    <row r="3723" spans="6:6" ht="12.75" customHeight="1">
      <c r="F3723" s="32"/>
    </row>
    <row r="3724" spans="6:6" ht="12.75" customHeight="1">
      <c r="F3724" s="32"/>
    </row>
    <row r="3725" spans="6:6" ht="12.75" customHeight="1">
      <c r="F3725" s="32"/>
    </row>
    <row r="3726" spans="6:6" ht="12.75" customHeight="1">
      <c r="F3726" s="32"/>
    </row>
    <row r="3727" spans="6:6" ht="12.75" customHeight="1">
      <c r="F3727" s="32"/>
    </row>
    <row r="3728" spans="6:6" ht="12.75" customHeight="1">
      <c r="F3728" s="32"/>
    </row>
    <row r="3729" spans="6:6" ht="12.75" customHeight="1">
      <c r="F3729" s="32"/>
    </row>
    <row r="3730" spans="6:6" ht="12.75" customHeight="1">
      <c r="F3730" s="32"/>
    </row>
    <row r="3731" spans="6:6" ht="12.75" customHeight="1">
      <c r="F3731" s="32"/>
    </row>
    <row r="3732" spans="6:6" ht="12.75" customHeight="1">
      <c r="F3732" s="32"/>
    </row>
    <row r="3733" spans="6:6" ht="12.75" customHeight="1">
      <c r="F3733" s="32"/>
    </row>
    <row r="3734" spans="6:6" ht="12.75" customHeight="1">
      <c r="F3734" s="32"/>
    </row>
    <row r="3735" spans="6:6" ht="12.75" customHeight="1">
      <c r="F3735" s="32"/>
    </row>
    <row r="3736" spans="6:6" ht="12.75" customHeight="1">
      <c r="F3736" s="32"/>
    </row>
    <row r="3737" spans="6:6" ht="12.75" customHeight="1">
      <c r="F3737" s="32"/>
    </row>
    <row r="3738" spans="6:6" ht="12.75" customHeight="1">
      <c r="F3738" s="32"/>
    </row>
    <row r="3739" spans="6:6" ht="12.75" customHeight="1">
      <c r="F3739" s="32"/>
    </row>
    <row r="3740" spans="6:6" ht="12.75" customHeight="1">
      <c r="F3740" s="32"/>
    </row>
    <row r="3741" spans="6:6" ht="12.75" customHeight="1">
      <c r="F3741" s="32"/>
    </row>
    <row r="3742" spans="6:6" ht="12.75" customHeight="1">
      <c r="F3742" s="32"/>
    </row>
    <row r="3743" spans="6:6" ht="12.75" customHeight="1">
      <c r="F3743" s="32"/>
    </row>
    <row r="3744" spans="6:6" ht="12.75" customHeight="1">
      <c r="F3744" s="32"/>
    </row>
    <row r="3745" spans="6:6" ht="12.75" customHeight="1">
      <c r="F3745" s="32"/>
    </row>
    <row r="3746" spans="6:6" ht="12.75" customHeight="1">
      <c r="F3746" s="32"/>
    </row>
    <row r="3747" spans="6:6" ht="12.75" customHeight="1">
      <c r="F3747" s="32"/>
    </row>
    <row r="3748" spans="6:6" ht="12.75" customHeight="1">
      <c r="F3748" s="32"/>
    </row>
    <row r="3749" spans="6:6" ht="12.75" customHeight="1">
      <c r="F3749" s="32"/>
    </row>
    <row r="3750" spans="6:6" ht="12.75" customHeight="1">
      <c r="F3750" s="32"/>
    </row>
    <row r="3751" spans="6:6" ht="12.75" customHeight="1">
      <c r="F3751" s="32"/>
    </row>
    <row r="3752" spans="6:6" ht="12.75" customHeight="1">
      <c r="F3752" s="32"/>
    </row>
    <row r="3753" spans="6:6" ht="12.75" customHeight="1">
      <c r="F3753" s="32"/>
    </row>
    <row r="3754" spans="6:6" ht="12.75" customHeight="1">
      <c r="F3754" s="32"/>
    </row>
    <row r="3755" spans="6:6" ht="12.75" customHeight="1">
      <c r="F3755" s="32"/>
    </row>
    <row r="3756" spans="6:6" ht="12.75" customHeight="1">
      <c r="F3756" s="32"/>
    </row>
    <row r="3757" spans="6:6" ht="12.75" customHeight="1">
      <c r="F3757" s="32"/>
    </row>
    <row r="3758" spans="6:6" ht="12.75" customHeight="1">
      <c r="F3758" s="32"/>
    </row>
    <row r="3759" spans="6:6" ht="12.75" customHeight="1">
      <c r="F3759" s="32"/>
    </row>
    <row r="3760" spans="6:6" ht="12.75" customHeight="1">
      <c r="F3760" s="32"/>
    </row>
    <row r="3761" spans="6:6" ht="12.75" customHeight="1">
      <c r="F3761" s="32"/>
    </row>
    <row r="3762" spans="6:6" ht="12.75" customHeight="1">
      <c r="F3762" s="32"/>
    </row>
    <row r="3763" spans="6:6" ht="12.75" customHeight="1">
      <c r="F3763" s="32"/>
    </row>
    <row r="3764" spans="6:6" ht="12.75" customHeight="1">
      <c r="F3764" s="32"/>
    </row>
    <row r="3765" spans="6:6" ht="12.75" customHeight="1">
      <c r="F3765" s="32"/>
    </row>
    <row r="3766" spans="6:6" ht="12.75" customHeight="1">
      <c r="F3766" s="32"/>
    </row>
    <row r="3767" spans="6:6" ht="12.75" customHeight="1">
      <c r="F3767" s="32"/>
    </row>
    <row r="3768" spans="6:6" ht="12.75" customHeight="1">
      <c r="F3768" s="32"/>
    </row>
    <row r="3769" spans="6:6" ht="12.75" customHeight="1">
      <c r="F3769" s="32"/>
    </row>
    <row r="3770" spans="6:6" ht="12.75" customHeight="1">
      <c r="F3770" s="32"/>
    </row>
    <row r="3771" spans="6:6" ht="12.75" customHeight="1">
      <c r="F3771" s="32"/>
    </row>
    <row r="3772" spans="6:6" ht="12.75" customHeight="1">
      <c r="F3772" s="32"/>
    </row>
    <row r="3773" spans="6:6" ht="12.75" customHeight="1">
      <c r="F3773" s="32"/>
    </row>
    <row r="3774" spans="6:6" ht="12.75" customHeight="1">
      <c r="F3774" s="32"/>
    </row>
    <row r="3775" spans="6:6" ht="12.75" customHeight="1">
      <c r="F3775" s="32"/>
    </row>
    <row r="3776" spans="6:6" ht="12.75" customHeight="1">
      <c r="F3776" s="32"/>
    </row>
    <row r="3777" spans="6:6" ht="12.75" customHeight="1">
      <c r="F3777" s="32"/>
    </row>
    <row r="3778" spans="6:6" ht="12.75" customHeight="1">
      <c r="F3778" s="32"/>
    </row>
    <row r="3779" spans="6:6" ht="12.75" customHeight="1">
      <c r="F3779" s="32"/>
    </row>
    <row r="3780" spans="6:6" ht="12.75" customHeight="1">
      <c r="F3780" s="32"/>
    </row>
    <row r="3781" spans="6:6" ht="12.75" customHeight="1">
      <c r="F3781" s="32"/>
    </row>
    <row r="3782" spans="6:6" ht="12.75" customHeight="1">
      <c r="F3782" s="32"/>
    </row>
    <row r="3783" spans="6:6" ht="12.75" customHeight="1">
      <c r="F3783" s="32"/>
    </row>
    <row r="3784" spans="6:6" ht="12.75" customHeight="1">
      <c r="F3784" s="32"/>
    </row>
    <row r="3785" spans="6:6" ht="12.75" customHeight="1">
      <c r="F3785" s="32"/>
    </row>
    <row r="3786" spans="6:6" ht="12.75" customHeight="1">
      <c r="F3786" s="32"/>
    </row>
    <row r="3787" spans="6:6" ht="12.75" customHeight="1">
      <c r="F3787" s="32"/>
    </row>
    <row r="3788" spans="6:6" ht="12.75" customHeight="1">
      <c r="F3788" s="32"/>
    </row>
    <row r="3789" spans="6:6" ht="12.75" customHeight="1">
      <c r="F3789" s="32"/>
    </row>
    <row r="3790" spans="6:6" ht="12.75" customHeight="1">
      <c r="F3790" s="32"/>
    </row>
    <row r="3791" spans="6:6" ht="12.75" customHeight="1">
      <c r="F3791" s="32"/>
    </row>
    <row r="3792" spans="6:6" ht="12.75" customHeight="1">
      <c r="F3792" s="32"/>
    </row>
    <row r="3793" spans="6:6" ht="12.75" customHeight="1">
      <c r="F3793" s="32"/>
    </row>
    <row r="3794" spans="6:6" ht="12.75" customHeight="1">
      <c r="F3794" s="32"/>
    </row>
    <row r="3795" spans="6:6" ht="12.75" customHeight="1">
      <c r="F3795" s="32"/>
    </row>
    <row r="3796" spans="6:6" ht="12.75" customHeight="1">
      <c r="F3796" s="32"/>
    </row>
    <row r="3797" spans="6:6" ht="12.75" customHeight="1">
      <c r="F3797" s="32"/>
    </row>
    <row r="3798" spans="6:6" ht="12.75" customHeight="1">
      <c r="F3798" s="32"/>
    </row>
    <row r="3799" spans="6:6" ht="12.75" customHeight="1">
      <c r="F3799" s="32"/>
    </row>
    <row r="3800" spans="6:6" ht="12.75" customHeight="1">
      <c r="F3800" s="32"/>
    </row>
    <row r="3801" spans="6:6" ht="12.75" customHeight="1">
      <c r="F3801" s="32"/>
    </row>
    <row r="3802" spans="6:6" ht="12.75" customHeight="1">
      <c r="F3802" s="32"/>
    </row>
    <row r="3803" spans="6:6" ht="12.75" customHeight="1">
      <c r="F3803" s="32"/>
    </row>
    <row r="3804" spans="6:6" ht="12.75" customHeight="1">
      <c r="F3804" s="32"/>
    </row>
    <row r="3805" spans="6:6" ht="12.75" customHeight="1">
      <c r="F3805" s="32"/>
    </row>
    <row r="3806" spans="6:6" ht="12.75" customHeight="1">
      <c r="F3806" s="32"/>
    </row>
    <row r="3807" spans="6:6" ht="12.75" customHeight="1">
      <c r="F3807" s="32"/>
    </row>
    <row r="3808" spans="6:6" ht="12.75" customHeight="1">
      <c r="F3808" s="32"/>
    </row>
    <row r="3809" spans="6:6" ht="12.75" customHeight="1">
      <c r="F3809" s="32"/>
    </row>
    <row r="3810" spans="6:6" ht="12.75" customHeight="1">
      <c r="F3810" s="32"/>
    </row>
    <row r="3811" spans="6:6" ht="12.75" customHeight="1">
      <c r="F3811" s="32"/>
    </row>
    <row r="3812" spans="6:6" ht="12.75" customHeight="1">
      <c r="F3812" s="32"/>
    </row>
    <row r="3813" spans="6:6" ht="12.75" customHeight="1">
      <c r="F3813" s="32"/>
    </row>
    <row r="3814" spans="6:6" ht="12.75" customHeight="1">
      <c r="F3814" s="32"/>
    </row>
    <row r="3815" spans="6:6" ht="12.75" customHeight="1">
      <c r="F3815" s="32"/>
    </row>
    <row r="3816" spans="6:6" ht="12.75" customHeight="1">
      <c r="F3816" s="32"/>
    </row>
    <row r="3817" spans="6:6" ht="12.75" customHeight="1">
      <c r="F3817" s="32"/>
    </row>
    <row r="3818" spans="6:6" ht="12.75" customHeight="1">
      <c r="F3818" s="32"/>
    </row>
    <row r="3819" spans="6:6" ht="12.75" customHeight="1">
      <c r="F3819" s="32"/>
    </row>
    <row r="3820" spans="6:6" ht="12.75" customHeight="1">
      <c r="F3820" s="32"/>
    </row>
    <row r="3821" spans="6:6" ht="12.75" customHeight="1">
      <c r="F3821" s="32"/>
    </row>
    <row r="3822" spans="6:6" ht="12.75" customHeight="1">
      <c r="F3822" s="32"/>
    </row>
    <row r="3823" spans="6:6" ht="12.75" customHeight="1">
      <c r="F3823" s="32"/>
    </row>
    <row r="3824" spans="6:6" ht="12.75" customHeight="1">
      <c r="F3824" s="32"/>
    </row>
    <row r="3825" spans="6:6" ht="12.75" customHeight="1">
      <c r="F3825" s="32"/>
    </row>
    <row r="3826" spans="6:6" ht="12.75" customHeight="1">
      <c r="F3826" s="32"/>
    </row>
    <row r="3827" spans="6:6" ht="12.75" customHeight="1">
      <c r="F3827" s="32"/>
    </row>
    <row r="3828" spans="6:6" ht="12.75" customHeight="1">
      <c r="F3828" s="32"/>
    </row>
    <row r="3829" spans="6:6" ht="12.75" customHeight="1">
      <c r="F3829" s="32"/>
    </row>
    <row r="3830" spans="6:6" ht="12.75" customHeight="1">
      <c r="F3830" s="32"/>
    </row>
    <row r="3831" spans="6:6" ht="12.75" customHeight="1">
      <c r="F3831" s="32"/>
    </row>
    <row r="3832" spans="6:6" ht="12.75" customHeight="1">
      <c r="F3832" s="32"/>
    </row>
    <row r="3833" spans="6:6" ht="12.75" customHeight="1">
      <c r="F3833" s="32"/>
    </row>
    <row r="3834" spans="6:6" ht="12.75" customHeight="1">
      <c r="F3834" s="32"/>
    </row>
    <row r="3835" spans="6:6" ht="12.75" customHeight="1">
      <c r="F3835" s="32"/>
    </row>
    <row r="3836" spans="6:6" ht="12.75" customHeight="1">
      <c r="F3836" s="32"/>
    </row>
    <row r="3837" spans="6:6" ht="12.75" customHeight="1">
      <c r="F3837" s="32"/>
    </row>
    <row r="3838" spans="6:6" ht="12.75" customHeight="1">
      <c r="F3838" s="32"/>
    </row>
    <row r="3839" spans="6:6" ht="12.75" customHeight="1">
      <c r="F3839" s="32"/>
    </row>
    <row r="3840" spans="6:6" ht="12.75" customHeight="1">
      <c r="F3840" s="32"/>
    </row>
    <row r="3841" spans="6:6" ht="12.75" customHeight="1">
      <c r="F3841" s="32"/>
    </row>
    <row r="3842" spans="6:6" ht="12.75" customHeight="1">
      <c r="F3842" s="32"/>
    </row>
    <row r="3843" spans="6:6" ht="12.75" customHeight="1">
      <c r="F3843" s="32"/>
    </row>
    <row r="3844" spans="6:6" ht="12.75" customHeight="1">
      <c r="F3844" s="32"/>
    </row>
    <row r="3845" spans="6:6" ht="12.75" customHeight="1">
      <c r="F3845" s="32"/>
    </row>
    <row r="3846" spans="6:6" ht="12.75" customHeight="1">
      <c r="F3846" s="32"/>
    </row>
    <row r="3847" spans="6:6" ht="12.75" customHeight="1">
      <c r="F3847" s="32"/>
    </row>
    <row r="3848" spans="6:6" ht="12.75" customHeight="1">
      <c r="F3848" s="32"/>
    </row>
    <row r="3849" spans="6:6" ht="12.75" customHeight="1">
      <c r="F3849" s="32"/>
    </row>
    <row r="3850" spans="6:6" ht="12.75" customHeight="1">
      <c r="F3850" s="32"/>
    </row>
    <row r="3851" spans="6:6" ht="12.75" customHeight="1">
      <c r="F3851" s="32"/>
    </row>
    <row r="3852" spans="6:6" ht="12.75" customHeight="1">
      <c r="F3852" s="32"/>
    </row>
    <row r="3853" spans="6:6" ht="12.75" customHeight="1">
      <c r="F3853" s="32"/>
    </row>
    <row r="3854" spans="6:6" ht="12.75" customHeight="1">
      <c r="F3854" s="32"/>
    </row>
    <row r="3855" spans="6:6" ht="12.75" customHeight="1">
      <c r="F3855" s="32"/>
    </row>
    <row r="3856" spans="6:6" ht="12.75" customHeight="1">
      <c r="F3856" s="32"/>
    </row>
    <row r="3857" spans="6:6" ht="12.75" customHeight="1">
      <c r="F3857" s="32"/>
    </row>
    <row r="3858" spans="6:6" ht="12.75" customHeight="1">
      <c r="F3858" s="32"/>
    </row>
    <row r="3859" spans="6:6" ht="12.75" customHeight="1">
      <c r="F3859" s="32"/>
    </row>
    <row r="3860" spans="6:6" ht="12.75" customHeight="1">
      <c r="F3860" s="32"/>
    </row>
    <row r="3861" spans="6:6" ht="12.75" customHeight="1">
      <c r="F3861" s="32"/>
    </row>
    <row r="3862" spans="6:6" ht="12.75" customHeight="1">
      <c r="F3862" s="32"/>
    </row>
    <row r="3863" spans="6:6" ht="12.75" customHeight="1">
      <c r="F3863" s="32"/>
    </row>
    <row r="3864" spans="6:6" ht="12.75" customHeight="1">
      <c r="F3864" s="32"/>
    </row>
    <row r="3865" spans="6:6" ht="12.75" customHeight="1">
      <c r="F3865" s="32"/>
    </row>
    <row r="3866" spans="6:6" ht="12.75" customHeight="1">
      <c r="F3866" s="32"/>
    </row>
    <row r="3867" spans="6:6" ht="12.75" customHeight="1">
      <c r="F3867" s="32"/>
    </row>
    <row r="3868" spans="6:6" ht="12.75" customHeight="1">
      <c r="F3868" s="32"/>
    </row>
    <row r="3869" spans="6:6" ht="12.75" customHeight="1">
      <c r="F3869" s="32"/>
    </row>
    <row r="3870" spans="6:6" ht="12.75" customHeight="1">
      <c r="F3870" s="32"/>
    </row>
    <row r="3871" spans="6:6" ht="12.75" customHeight="1">
      <c r="F3871" s="32"/>
    </row>
    <row r="3872" spans="6:6" ht="12.75" customHeight="1">
      <c r="F3872" s="32"/>
    </row>
    <row r="3873" spans="6:6" ht="12.75" customHeight="1">
      <c r="F3873" s="32"/>
    </row>
    <row r="3874" spans="6:6" ht="12.75" customHeight="1">
      <c r="F3874" s="32"/>
    </row>
    <row r="3875" spans="6:6" ht="12.75" customHeight="1">
      <c r="F3875" s="32"/>
    </row>
    <row r="3876" spans="6:6" ht="12.75" customHeight="1">
      <c r="F3876" s="32"/>
    </row>
    <row r="3877" spans="6:6" ht="12.75" customHeight="1">
      <c r="F3877" s="32"/>
    </row>
    <row r="3878" spans="6:6" ht="12.75" customHeight="1">
      <c r="F3878" s="32"/>
    </row>
    <row r="3879" spans="6:6" ht="12.75" customHeight="1">
      <c r="F3879" s="32"/>
    </row>
    <row r="3880" spans="6:6" ht="12.75" customHeight="1">
      <c r="F3880" s="32"/>
    </row>
    <row r="3881" spans="6:6" ht="12.75" customHeight="1">
      <c r="F3881" s="32"/>
    </row>
    <row r="3882" spans="6:6" ht="12.75" customHeight="1">
      <c r="F3882" s="32"/>
    </row>
    <row r="3883" spans="6:6" ht="12.75" customHeight="1">
      <c r="F3883" s="32"/>
    </row>
    <row r="3884" spans="6:6" ht="12.75" customHeight="1">
      <c r="F3884" s="32"/>
    </row>
    <row r="3885" spans="6:6" ht="12.75" customHeight="1">
      <c r="F3885" s="32"/>
    </row>
    <row r="3886" spans="6:6" ht="12.75" customHeight="1">
      <c r="F3886" s="32"/>
    </row>
    <row r="3887" spans="6:6" ht="12.75" customHeight="1">
      <c r="F3887" s="32"/>
    </row>
    <row r="3888" spans="6:6" ht="12.75" customHeight="1">
      <c r="F3888" s="32"/>
    </row>
    <row r="3889" spans="6:6" ht="12.75" customHeight="1">
      <c r="F3889" s="32"/>
    </row>
    <row r="3890" spans="6:6" ht="12.75" customHeight="1">
      <c r="F3890" s="32"/>
    </row>
    <row r="3891" spans="6:6" ht="12.75" customHeight="1">
      <c r="F3891" s="32"/>
    </row>
    <row r="3892" spans="6:6" ht="12.75" customHeight="1">
      <c r="F3892" s="32"/>
    </row>
    <row r="3893" spans="6:6" ht="12.75" customHeight="1">
      <c r="F3893" s="32"/>
    </row>
    <row r="3894" spans="6:6" ht="12.75" customHeight="1">
      <c r="F3894" s="32"/>
    </row>
    <row r="3895" spans="6:6" ht="12.75" customHeight="1">
      <c r="F3895" s="32"/>
    </row>
    <row r="3896" spans="6:6" ht="12.75" customHeight="1">
      <c r="F3896" s="32"/>
    </row>
    <row r="3897" spans="6:6" ht="12.75" customHeight="1">
      <c r="F3897" s="32"/>
    </row>
    <row r="3898" spans="6:6" ht="12.75" customHeight="1">
      <c r="F3898" s="32"/>
    </row>
    <row r="3899" spans="6:6" ht="12.75" customHeight="1">
      <c r="F3899" s="32"/>
    </row>
    <row r="3900" spans="6:6" ht="12.75" customHeight="1">
      <c r="F3900" s="32"/>
    </row>
    <row r="3901" spans="6:6" ht="12.75" customHeight="1">
      <c r="F3901" s="32"/>
    </row>
    <row r="3902" spans="6:6" ht="12.75" customHeight="1">
      <c r="F3902" s="32"/>
    </row>
    <row r="3903" spans="6:6" ht="12.75" customHeight="1">
      <c r="F3903" s="32"/>
    </row>
    <row r="3904" spans="6:6" ht="12.75" customHeight="1">
      <c r="F3904" s="32"/>
    </row>
    <row r="3905" spans="6:6" ht="12.75" customHeight="1">
      <c r="F3905" s="32"/>
    </row>
    <row r="3906" spans="6:6" ht="12.75" customHeight="1">
      <c r="F3906" s="32"/>
    </row>
    <row r="3907" spans="6:6" ht="12.75" customHeight="1">
      <c r="F3907" s="32"/>
    </row>
    <row r="3908" spans="6:6" ht="12.75" customHeight="1">
      <c r="F3908" s="32"/>
    </row>
    <row r="3909" spans="6:6" ht="12.75" customHeight="1">
      <c r="F3909" s="32"/>
    </row>
    <row r="3910" spans="6:6" ht="12.75" customHeight="1">
      <c r="F3910" s="32"/>
    </row>
    <row r="3911" spans="6:6" ht="12.75" customHeight="1">
      <c r="F3911" s="32"/>
    </row>
    <row r="3912" spans="6:6" ht="12.75" customHeight="1">
      <c r="F3912" s="32"/>
    </row>
    <row r="3913" spans="6:6" ht="12.75" customHeight="1">
      <c r="F3913" s="32"/>
    </row>
    <row r="3914" spans="6:6" ht="12.75" customHeight="1">
      <c r="F3914" s="32"/>
    </row>
    <row r="3915" spans="6:6" ht="12.75" customHeight="1">
      <c r="F3915" s="32"/>
    </row>
    <row r="3916" spans="6:6" ht="12.75" customHeight="1">
      <c r="F3916" s="32"/>
    </row>
    <row r="3917" spans="6:6" ht="12.75" customHeight="1">
      <c r="F3917" s="32"/>
    </row>
    <row r="3918" spans="6:6" ht="12.75" customHeight="1">
      <c r="F3918" s="32"/>
    </row>
    <row r="3919" spans="6:6" ht="12.75" customHeight="1">
      <c r="F3919" s="32"/>
    </row>
    <row r="3920" spans="6:6" ht="12.75" customHeight="1">
      <c r="F3920" s="32"/>
    </row>
    <row r="3921" spans="6:6" ht="12.75" customHeight="1">
      <c r="F3921" s="32"/>
    </row>
    <row r="3922" spans="6:6" ht="12.75" customHeight="1">
      <c r="F3922" s="32"/>
    </row>
    <row r="3923" spans="6:6" ht="12.75" customHeight="1">
      <c r="F3923" s="32"/>
    </row>
    <row r="3924" spans="6:6" ht="12.75" customHeight="1">
      <c r="F3924" s="32"/>
    </row>
    <row r="3925" spans="6:6" ht="12.75" customHeight="1">
      <c r="F3925" s="32"/>
    </row>
    <row r="3926" spans="6:6" ht="12.75" customHeight="1">
      <c r="F3926" s="32"/>
    </row>
    <row r="3927" spans="6:6" ht="12.75" customHeight="1">
      <c r="F3927" s="32"/>
    </row>
    <row r="3928" spans="6:6" ht="12.75" customHeight="1">
      <c r="F3928" s="32"/>
    </row>
    <row r="3929" spans="6:6" ht="12.75" customHeight="1">
      <c r="F3929" s="32"/>
    </row>
    <row r="3930" spans="6:6" ht="12.75" customHeight="1">
      <c r="F3930" s="32"/>
    </row>
    <row r="3931" spans="6:6" ht="12.75" customHeight="1">
      <c r="F3931" s="32"/>
    </row>
    <row r="3932" spans="6:6" ht="12.75" customHeight="1">
      <c r="F3932" s="32"/>
    </row>
    <row r="3933" spans="6:6" ht="12.75" customHeight="1">
      <c r="F3933" s="32"/>
    </row>
    <row r="3934" spans="6:6" ht="12.75" customHeight="1">
      <c r="F3934" s="32"/>
    </row>
    <row r="3935" spans="6:6" ht="12.75" customHeight="1">
      <c r="F3935" s="32"/>
    </row>
    <row r="3936" spans="6:6" ht="12.75" customHeight="1">
      <c r="F3936" s="32"/>
    </row>
    <row r="3937" spans="6:6" ht="12.75" customHeight="1">
      <c r="F3937" s="32"/>
    </row>
    <row r="3938" spans="6:6" ht="12.75" customHeight="1">
      <c r="F3938" s="32"/>
    </row>
    <row r="3939" spans="6:6" ht="12.75" customHeight="1">
      <c r="F3939" s="32"/>
    </row>
    <row r="3940" spans="6:6" ht="12.75" customHeight="1">
      <c r="F3940" s="32"/>
    </row>
    <row r="3941" spans="6:6" ht="12.75" customHeight="1">
      <c r="F3941" s="32"/>
    </row>
    <row r="3942" spans="6:6" ht="12.75" customHeight="1">
      <c r="F3942" s="32"/>
    </row>
    <row r="3943" spans="6:6" ht="12.75" customHeight="1">
      <c r="F3943" s="32"/>
    </row>
    <row r="3944" spans="6:6" ht="12.75" customHeight="1">
      <c r="F3944" s="32"/>
    </row>
    <row r="3945" spans="6:6" ht="12.75" customHeight="1">
      <c r="F3945" s="32"/>
    </row>
    <row r="3946" spans="6:6" ht="12.75" customHeight="1">
      <c r="F3946" s="32"/>
    </row>
    <row r="3947" spans="6:6" ht="12.75" customHeight="1">
      <c r="F3947" s="32"/>
    </row>
    <row r="3948" spans="6:6" ht="12.75" customHeight="1">
      <c r="F3948" s="32"/>
    </row>
    <row r="3949" spans="6:6" ht="12.75" customHeight="1">
      <c r="F3949" s="32"/>
    </row>
    <row r="3950" spans="6:6" ht="12.75" customHeight="1">
      <c r="F3950" s="32"/>
    </row>
    <row r="3951" spans="6:6" ht="12.75" customHeight="1">
      <c r="F3951" s="32"/>
    </row>
    <row r="3952" spans="6:6" ht="12.75" customHeight="1">
      <c r="F3952" s="32"/>
    </row>
    <row r="3953" spans="6:6" ht="12.75" customHeight="1">
      <c r="F3953" s="32"/>
    </row>
    <row r="3954" spans="6:6" ht="12.75" customHeight="1">
      <c r="F3954" s="32"/>
    </row>
    <row r="3955" spans="6:6" ht="12.75" customHeight="1">
      <c r="F3955" s="32"/>
    </row>
    <row r="3956" spans="6:6" ht="12.75" customHeight="1">
      <c r="F3956" s="32"/>
    </row>
    <row r="3957" spans="6:6" ht="12.75" customHeight="1">
      <c r="F3957" s="32"/>
    </row>
    <row r="3958" spans="6:6" ht="12.75" customHeight="1">
      <c r="F3958" s="32"/>
    </row>
    <row r="3959" spans="6:6" ht="12.75" customHeight="1">
      <c r="F3959" s="32"/>
    </row>
    <row r="3960" spans="6:6" ht="12.75" customHeight="1">
      <c r="F3960" s="32"/>
    </row>
    <row r="3961" spans="6:6" ht="12.75" customHeight="1">
      <c r="F3961" s="32"/>
    </row>
    <row r="3962" spans="6:6" ht="12.75" customHeight="1">
      <c r="F3962" s="32"/>
    </row>
    <row r="3963" spans="6:6" ht="12.75" customHeight="1">
      <c r="F3963" s="32"/>
    </row>
    <row r="3964" spans="6:6" ht="12.75" customHeight="1">
      <c r="F3964" s="32"/>
    </row>
    <row r="3965" spans="6:6" ht="12.75" customHeight="1">
      <c r="F3965" s="32"/>
    </row>
    <row r="3966" spans="6:6" ht="12.75" customHeight="1">
      <c r="F3966" s="32"/>
    </row>
    <row r="3967" spans="6:6" ht="12.75" customHeight="1">
      <c r="F3967" s="32"/>
    </row>
    <row r="3968" spans="6:6" ht="12.75" customHeight="1">
      <c r="F3968" s="32"/>
    </row>
    <row r="3969" spans="6:6" ht="12.75" customHeight="1">
      <c r="F3969" s="32"/>
    </row>
    <row r="3970" spans="6:6" ht="12.75" customHeight="1">
      <c r="F3970" s="32"/>
    </row>
    <row r="3971" spans="6:6" ht="12.75" customHeight="1">
      <c r="F3971" s="32"/>
    </row>
    <row r="3972" spans="6:6" ht="12.75" customHeight="1">
      <c r="F3972" s="32"/>
    </row>
    <row r="3973" spans="6:6" ht="12.75" customHeight="1">
      <c r="F3973" s="32"/>
    </row>
    <row r="3974" spans="6:6" ht="12.75" customHeight="1">
      <c r="F3974" s="32"/>
    </row>
    <row r="3975" spans="6:6" ht="12.75" customHeight="1">
      <c r="F3975" s="32"/>
    </row>
    <row r="3976" spans="6:6" ht="12.75" customHeight="1">
      <c r="F3976" s="32"/>
    </row>
    <row r="3977" spans="6:6" ht="12.75" customHeight="1">
      <c r="F3977" s="32"/>
    </row>
    <row r="3978" spans="6:6" ht="12.75" customHeight="1">
      <c r="F3978" s="32"/>
    </row>
    <row r="3979" spans="6:6" ht="12.75" customHeight="1">
      <c r="F3979" s="32"/>
    </row>
    <row r="3980" spans="6:6" ht="12.75" customHeight="1">
      <c r="F3980" s="32"/>
    </row>
    <row r="3981" spans="6:6" ht="12.75" customHeight="1">
      <c r="F3981" s="32"/>
    </row>
    <row r="3982" spans="6:6" ht="12.75" customHeight="1">
      <c r="F3982" s="32"/>
    </row>
    <row r="3983" spans="6:6" ht="12.75" customHeight="1">
      <c r="F3983" s="32"/>
    </row>
    <row r="3984" spans="6:6" ht="12.75" customHeight="1">
      <c r="F3984" s="32"/>
    </row>
    <row r="3985" spans="6:6" ht="12.75" customHeight="1">
      <c r="F3985" s="32"/>
    </row>
    <row r="3986" spans="6:6" ht="12.75" customHeight="1">
      <c r="F3986" s="32"/>
    </row>
    <row r="3987" spans="6:6" ht="12.75" customHeight="1">
      <c r="F3987" s="32"/>
    </row>
    <row r="3988" spans="6:6" ht="12.75" customHeight="1">
      <c r="F3988" s="32"/>
    </row>
    <row r="3989" spans="6:6" ht="12.75" customHeight="1">
      <c r="F3989" s="32"/>
    </row>
    <row r="3990" spans="6:6" ht="12.75" customHeight="1">
      <c r="F3990" s="32"/>
    </row>
    <row r="3991" spans="6:6" ht="12.75" customHeight="1">
      <c r="F3991" s="32"/>
    </row>
    <row r="3992" spans="6:6" ht="12.75" customHeight="1">
      <c r="F3992" s="32"/>
    </row>
    <row r="3993" spans="6:6" ht="12.75" customHeight="1">
      <c r="F3993" s="32"/>
    </row>
    <row r="3994" spans="6:6" ht="12.75" customHeight="1">
      <c r="F3994" s="32"/>
    </row>
    <row r="3995" spans="6:6" ht="12.75" customHeight="1">
      <c r="F3995" s="32"/>
    </row>
    <row r="3996" spans="6:6" ht="12.75" customHeight="1">
      <c r="F3996" s="32"/>
    </row>
    <row r="3997" spans="6:6" ht="12.75" customHeight="1">
      <c r="F3997" s="32"/>
    </row>
    <row r="3998" spans="6:6" ht="12.75" customHeight="1">
      <c r="F3998" s="32"/>
    </row>
    <row r="3999" spans="6:6" ht="12.75" customHeight="1">
      <c r="F3999" s="32"/>
    </row>
    <row r="4000" spans="6:6" ht="12.75" customHeight="1">
      <c r="F4000" s="32"/>
    </row>
    <row r="4001" spans="6:6" ht="12.75" customHeight="1">
      <c r="F4001" s="32"/>
    </row>
    <row r="4002" spans="6:6" ht="12.75" customHeight="1">
      <c r="F4002" s="32"/>
    </row>
    <row r="4003" spans="6:6" ht="12.75" customHeight="1">
      <c r="F4003" s="32"/>
    </row>
    <row r="4004" spans="6:6" ht="12.75" customHeight="1">
      <c r="F4004" s="32"/>
    </row>
    <row r="4005" spans="6:6" ht="12.75" customHeight="1">
      <c r="F4005" s="32"/>
    </row>
    <row r="4006" spans="6:6" ht="12.75" customHeight="1">
      <c r="F4006" s="32"/>
    </row>
    <row r="4007" spans="6:6" ht="12.75" customHeight="1">
      <c r="F4007" s="32"/>
    </row>
    <row r="4008" spans="6:6" ht="12.75" customHeight="1">
      <c r="F4008" s="32"/>
    </row>
    <row r="4009" spans="6:6" ht="12.75" customHeight="1">
      <c r="F4009" s="32"/>
    </row>
    <row r="4010" spans="6:6" ht="12.75" customHeight="1">
      <c r="F4010" s="32"/>
    </row>
    <row r="4011" spans="6:6" ht="12.75" customHeight="1">
      <c r="F4011" s="32"/>
    </row>
    <row r="4012" spans="6:6" ht="12.75" customHeight="1">
      <c r="F4012" s="32"/>
    </row>
    <row r="4013" spans="6:6" ht="12.75" customHeight="1">
      <c r="F4013" s="32"/>
    </row>
    <row r="4014" spans="6:6" ht="12.75" customHeight="1">
      <c r="F4014" s="32"/>
    </row>
    <row r="4015" spans="6:6" ht="12.75" customHeight="1">
      <c r="F4015" s="32"/>
    </row>
    <row r="4016" spans="6:6" ht="12.75" customHeight="1">
      <c r="F4016" s="32"/>
    </row>
    <row r="4017" spans="6:6" ht="12.75" customHeight="1">
      <c r="F4017" s="32"/>
    </row>
    <row r="4018" spans="6:6" ht="12.75" customHeight="1">
      <c r="F4018" s="32"/>
    </row>
    <row r="4019" spans="6:6" ht="12.75" customHeight="1">
      <c r="F4019" s="32"/>
    </row>
    <row r="4020" spans="6:6" ht="12.75" customHeight="1">
      <c r="F4020" s="32"/>
    </row>
    <row r="4021" spans="6:6" ht="12.75" customHeight="1">
      <c r="F4021" s="32"/>
    </row>
    <row r="4022" spans="6:6" ht="12.75" customHeight="1">
      <c r="F4022" s="32"/>
    </row>
    <row r="4023" spans="6:6" ht="12.75" customHeight="1">
      <c r="F4023" s="32"/>
    </row>
    <row r="4024" spans="6:6" ht="12.75" customHeight="1">
      <c r="F4024" s="32"/>
    </row>
    <row r="4025" spans="6:6" ht="12.75" customHeight="1">
      <c r="F4025" s="32"/>
    </row>
    <row r="4026" spans="6:6" ht="12.75" customHeight="1">
      <c r="F4026" s="32"/>
    </row>
    <row r="4027" spans="6:6" ht="12.75" customHeight="1">
      <c r="F4027" s="32"/>
    </row>
    <row r="4028" spans="6:6" ht="12.75" customHeight="1">
      <c r="F4028" s="32"/>
    </row>
    <row r="4029" spans="6:6" ht="12.75" customHeight="1">
      <c r="F4029" s="32"/>
    </row>
    <row r="4030" spans="6:6" ht="12.75" customHeight="1">
      <c r="F4030" s="32"/>
    </row>
    <row r="4031" spans="6:6" ht="12.75" customHeight="1">
      <c r="F4031" s="32"/>
    </row>
    <row r="4032" spans="6:6" ht="12.75" customHeight="1">
      <c r="F4032" s="32"/>
    </row>
    <row r="4033" spans="6:6" ht="12.75" customHeight="1">
      <c r="F4033" s="32"/>
    </row>
    <row r="4034" spans="6:6" ht="12.75" customHeight="1">
      <c r="F4034" s="32"/>
    </row>
    <row r="4035" spans="6:6" ht="12.75" customHeight="1">
      <c r="F4035" s="32"/>
    </row>
    <row r="4036" spans="6:6" ht="12.75" customHeight="1">
      <c r="F4036" s="32"/>
    </row>
    <row r="4037" spans="6:6" ht="12.75" customHeight="1">
      <c r="F4037" s="32"/>
    </row>
    <row r="4038" spans="6:6" ht="12.75" customHeight="1">
      <c r="F4038" s="32"/>
    </row>
    <row r="4039" spans="6:6" ht="12.75" customHeight="1">
      <c r="F4039" s="32"/>
    </row>
    <row r="4040" spans="6:6" ht="12.75" customHeight="1">
      <c r="F4040" s="32"/>
    </row>
    <row r="4041" spans="6:6" ht="12.75" customHeight="1">
      <c r="F4041" s="32"/>
    </row>
    <row r="4042" spans="6:6" ht="12.75" customHeight="1">
      <c r="F4042" s="32"/>
    </row>
    <row r="4043" spans="6:6" ht="12.75" customHeight="1">
      <c r="F4043" s="32"/>
    </row>
    <row r="4044" spans="6:6" ht="12.75" customHeight="1">
      <c r="F4044" s="32"/>
    </row>
    <row r="4045" spans="6:6" ht="12.75" customHeight="1">
      <c r="F4045" s="32"/>
    </row>
    <row r="4046" spans="6:6" ht="12.75" customHeight="1">
      <c r="F4046" s="32"/>
    </row>
    <row r="4047" spans="6:6" ht="12.75" customHeight="1">
      <c r="F4047" s="32"/>
    </row>
    <row r="4048" spans="6:6" ht="12.75" customHeight="1">
      <c r="F4048" s="32"/>
    </row>
    <row r="4049" spans="6:6" ht="12.75" customHeight="1">
      <c r="F4049" s="32"/>
    </row>
    <row r="4050" spans="6:6" ht="12.75" customHeight="1">
      <c r="F4050" s="32"/>
    </row>
    <row r="4051" spans="6:6" ht="12.75" customHeight="1">
      <c r="F4051" s="32"/>
    </row>
    <row r="4052" spans="6:6" ht="12.75" customHeight="1">
      <c r="F4052" s="32"/>
    </row>
    <row r="4053" spans="6:6" ht="12.75" customHeight="1">
      <c r="F4053" s="32"/>
    </row>
    <row r="4054" spans="6:6" ht="12.75" customHeight="1">
      <c r="F4054" s="32"/>
    </row>
    <row r="4055" spans="6:6" ht="12.75" customHeight="1">
      <c r="F4055" s="32"/>
    </row>
    <row r="4056" spans="6:6" ht="12.75" customHeight="1">
      <c r="F4056" s="32"/>
    </row>
    <row r="4057" spans="6:6" ht="12.75" customHeight="1">
      <c r="F4057" s="32"/>
    </row>
    <row r="4058" spans="6:6" ht="12.75" customHeight="1">
      <c r="F4058" s="32"/>
    </row>
    <row r="4059" spans="6:6" ht="12.75" customHeight="1">
      <c r="F4059" s="32"/>
    </row>
    <row r="4060" spans="6:6" ht="12.75" customHeight="1">
      <c r="F4060" s="32"/>
    </row>
    <row r="4061" spans="6:6" ht="12.75" customHeight="1">
      <c r="F4061" s="32"/>
    </row>
    <row r="4062" spans="6:6" ht="12.75" customHeight="1">
      <c r="F4062" s="32"/>
    </row>
    <row r="4063" spans="6:6" ht="12.75" customHeight="1">
      <c r="F4063" s="32"/>
    </row>
    <row r="4064" spans="6:6" ht="12.75" customHeight="1">
      <c r="F4064" s="32"/>
    </row>
    <row r="4065" spans="6:6" ht="12.75" customHeight="1">
      <c r="F4065" s="32"/>
    </row>
    <row r="4066" spans="6:6" ht="12.75" customHeight="1">
      <c r="F4066" s="32"/>
    </row>
    <row r="4067" spans="6:6" ht="12.75" customHeight="1">
      <c r="F4067" s="32"/>
    </row>
    <row r="4068" spans="6:6" ht="12.75" customHeight="1">
      <c r="F4068" s="32"/>
    </row>
    <row r="4069" spans="6:6" ht="12.75" customHeight="1">
      <c r="F4069" s="32"/>
    </row>
    <row r="4070" spans="6:6" ht="12.75" customHeight="1">
      <c r="F4070" s="32"/>
    </row>
    <row r="4071" spans="6:6" ht="12.75" customHeight="1">
      <c r="F4071" s="32"/>
    </row>
    <row r="4072" spans="6:6" ht="12.75" customHeight="1">
      <c r="F4072" s="32"/>
    </row>
    <row r="4073" spans="6:6" ht="12.75" customHeight="1">
      <c r="F4073" s="32"/>
    </row>
    <row r="4074" spans="6:6" ht="12.75" customHeight="1">
      <c r="F4074" s="32"/>
    </row>
    <row r="4075" spans="6:6" ht="12.75" customHeight="1">
      <c r="F4075" s="32"/>
    </row>
    <row r="4076" spans="6:6" ht="12.75" customHeight="1">
      <c r="F4076" s="32"/>
    </row>
    <row r="4077" spans="6:6" ht="12.75" customHeight="1">
      <c r="F4077" s="32"/>
    </row>
    <row r="4078" spans="6:6" ht="12.75" customHeight="1">
      <c r="F4078" s="32"/>
    </row>
    <row r="4079" spans="6:6" ht="12.75" customHeight="1">
      <c r="F4079" s="32"/>
    </row>
    <row r="4080" spans="6:6" ht="12.75" customHeight="1">
      <c r="F4080" s="32"/>
    </row>
    <row r="4081" spans="6:6" ht="12.75" customHeight="1">
      <c r="F4081" s="32"/>
    </row>
    <row r="4082" spans="6:6" ht="12.75" customHeight="1">
      <c r="F4082" s="32"/>
    </row>
    <row r="4083" spans="6:6" ht="12.75" customHeight="1">
      <c r="F4083" s="32"/>
    </row>
    <row r="4084" spans="6:6" ht="12.75" customHeight="1">
      <c r="F4084" s="32"/>
    </row>
    <row r="4085" spans="6:6" ht="12.75" customHeight="1">
      <c r="F4085" s="32"/>
    </row>
    <row r="4086" spans="6:6" ht="12.75" customHeight="1">
      <c r="F4086" s="32"/>
    </row>
    <row r="4087" spans="6:6" ht="12.75" customHeight="1">
      <c r="F4087" s="32"/>
    </row>
    <row r="4088" spans="6:6" ht="12.75" customHeight="1">
      <c r="F4088" s="32"/>
    </row>
    <row r="4089" spans="6:6" ht="12.75" customHeight="1">
      <c r="F4089" s="32"/>
    </row>
    <row r="4090" spans="6:6" ht="12.75" customHeight="1">
      <c r="F4090" s="32"/>
    </row>
    <row r="4091" spans="6:6" ht="12.75" customHeight="1">
      <c r="F4091" s="32"/>
    </row>
    <row r="4092" spans="6:6" ht="12.75" customHeight="1">
      <c r="F4092" s="32"/>
    </row>
    <row r="4093" spans="6:6" ht="12.75" customHeight="1">
      <c r="F4093" s="32"/>
    </row>
    <row r="4094" spans="6:6" ht="12.75" customHeight="1">
      <c r="F4094" s="32"/>
    </row>
    <row r="4095" spans="6:6" ht="12.75" customHeight="1">
      <c r="F4095" s="32"/>
    </row>
    <row r="4096" spans="6:6" ht="12.75" customHeight="1">
      <c r="F4096" s="32"/>
    </row>
    <row r="4097" spans="6:6" ht="12.75" customHeight="1">
      <c r="F4097" s="32"/>
    </row>
    <row r="4098" spans="6:6" ht="12.75" customHeight="1">
      <c r="F4098" s="32"/>
    </row>
    <row r="4099" spans="6:6" ht="12.75" customHeight="1">
      <c r="F4099" s="32"/>
    </row>
    <row r="4100" spans="6:6" ht="12.75" customHeight="1">
      <c r="F4100" s="32"/>
    </row>
    <row r="4101" spans="6:6" ht="12.75" customHeight="1">
      <c r="F4101" s="32"/>
    </row>
    <row r="4102" spans="6:6" ht="12.75" customHeight="1">
      <c r="F4102" s="32"/>
    </row>
    <row r="4103" spans="6:6" ht="12.75" customHeight="1">
      <c r="F4103" s="32"/>
    </row>
    <row r="4104" spans="6:6" ht="12.75" customHeight="1">
      <c r="F4104" s="32"/>
    </row>
    <row r="4105" spans="6:6" ht="12.75" customHeight="1">
      <c r="F4105" s="32"/>
    </row>
    <row r="4106" spans="6:6" ht="12.75" customHeight="1">
      <c r="F4106" s="32"/>
    </row>
    <row r="4107" spans="6:6" ht="12.75" customHeight="1">
      <c r="F4107" s="32"/>
    </row>
    <row r="4108" spans="6:6" ht="12.75" customHeight="1">
      <c r="F4108" s="32"/>
    </row>
    <row r="4109" spans="6:6" ht="12.75" customHeight="1">
      <c r="F4109" s="32"/>
    </row>
    <row r="4110" spans="6:6" ht="12.75" customHeight="1">
      <c r="F4110" s="32"/>
    </row>
    <row r="4111" spans="6:6" ht="12.75" customHeight="1">
      <c r="F4111" s="32"/>
    </row>
    <row r="4112" spans="6:6" ht="12.75" customHeight="1">
      <c r="F4112" s="32"/>
    </row>
    <row r="4113" spans="6:6" ht="12.75" customHeight="1">
      <c r="F4113" s="32"/>
    </row>
    <row r="4114" spans="6:6" ht="12.75" customHeight="1">
      <c r="F4114" s="32"/>
    </row>
    <row r="4115" spans="6:6" ht="12.75" customHeight="1">
      <c r="F4115" s="32"/>
    </row>
    <row r="4116" spans="6:6" ht="12.75" customHeight="1">
      <c r="F4116" s="32"/>
    </row>
    <row r="4117" spans="6:6" ht="12.75" customHeight="1">
      <c r="F4117" s="32"/>
    </row>
    <row r="4118" spans="6:6" ht="12.75" customHeight="1">
      <c r="F4118" s="32"/>
    </row>
    <row r="4119" spans="6:6" ht="12.75" customHeight="1">
      <c r="F4119" s="32"/>
    </row>
    <row r="4120" spans="6:6" ht="12.75" customHeight="1">
      <c r="F4120" s="32"/>
    </row>
    <row r="4121" spans="6:6" ht="12.75" customHeight="1">
      <c r="F4121" s="32"/>
    </row>
    <row r="4122" spans="6:6" ht="12.75" customHeight="1">
      <c r="F4122" s="32"/>
    </row>
    <row r="4123" spans="6:6" ht="12.75" customHeight="1">
      <c r="F4123" s="32"/>
    </row>
    <row r="4124" spans="6:6" ht="12.75" customHeight="1">
      <c r="F4124" s="32"/>
    </row>
    <row r="4125" spans="6:6" ht="12.75" customHeight="1">
      <c r="F4125" s="32"/>
    </row>
    <row r="4126" spans="6:6" ht="12.75" customHeight="1">
      <c r="F4126" s="32"/>
    </row>
    <row r="4127" spans="6:6" ht="12.75" customHeight="1">
      <c r="F4127" s="32"/>
    </row>
    <row r="4128" spans="6:6" ht="12.75" customHeight="1">
      <c r="F4128" s="32"/>
    </row>
    <row r="4129" spans="6:6" ht="12.75" customHeight="1">
      <c r="F4129" s="32"/>
    </row>
    <row r="4130" spans="6:6" ht="12.75" customHeight="1">
      <c r="F4130" s="32"/>
    </row>
    <row r="4131" spans="6:6" ht="12.75" customHeight="1">
      <c r="F4131" s="32"/>
    </row>
    <row r="4132" spans="6:6" ht="12.75" customHeight="1">
      <c r="F4132" s="32"/>
    </row>
    <row r="4133" spans="6:6" ht="12.75" customHeight="1">
      <c r="F4133" s="32"/>
    </row>
    <row r="4134" spans="6:6" ht="12.75" customHeight="1">
      <c r="F4134" s="32"/>
    </row>
    <row r="4135" spans="6:6" ht="12.75" customHeight="1">
      <c r="F4135" s="32"/>
    </row>
    <row r="4136" spans="6:6" ht="12.75" customHeight="1">
      <c r="F4136" s="32"/>
    </row>
    <row r="4137" spans="6:6" ht="12.75" customHeight="1">
      <c r="F4137" s="32"/>
    </row>
    <row r="4138" spans="6:6" ht="12.75" customHeight="1">
      <c r="F4138" s="32"/>
    </row>
    <row r="4139" spans="6:6" ht="12.75" customHeight="1">
      <c r="F4139" s="32"/>
    </row>
    <row r="4140" spans="6:6" ht="12.75" customHeight="1">
      <c r="F4140" s="32"/>
    </row>
    <row r="4141" spans="6:6" ht="12.75" customHeight="1">
      <c r="F4141" s="32"/>
    </row>
    <row r="4142" spans="6:6" ht="12.75" customHeight="1">
      <c r="F4142" s="32"/>
    </row>
    <row r="4143" spans="6:6" ht="12.75" customHeight="1">
      <c r="F4143" s="32"/>
    </row>
    <row r="4144" spans="6:6" ht="12.75" customHeight="1">
      <c r="F4144" s="32"/>
    </row>
    <row r="4145" spans="6:6" ht="12.75" customHeight="1">
      <c r="F4145" s="32"/>
    </row>
    <row r="4146" spans="6:6" ht="12.75" customHeight="1">
      <c r="F4146" s="32"/>
    </row>
    <row r="4147" spans="6:6" ht="12.75" customHeight="1">
      <c r="F4147" s="32"/>
    </row>
    <row r="4148" spans="6:6" ht="12.75" customHeight="1">
      <c r="F4148" s="32"/>
    </row>
    <row r="4149" spans="6:6" ht="12.75" customHeight="1">
      <c r="F4149" s="32"/>
    </row>
    <row r="4150" spans="6:6" ht="12.75" customHeight="1">
      <c r="F4150" s="32"/>
    </row>
    <row r="4151" spans="6:6" ht="12.75" customHeight="1">
      <c r="F4151" s="32"/>
    </row>
    <row r="4152" spans="6:6" ht="12.75" customHeight="1">
      <c r="F4152" s="32"/>
    </row>
    <row r="4153" spans="6:6" ht="12.75" customHeight="1">
      <c r="F4153" s="32"/>
    </row>
    <row r="4154" spans="6:6" ht="12.75" customHeight="1">
      <c r="F4154" s="32"/>
    </row>
    <row r="4155" spans="6:6" ht="12.75" customHeight="1">
      <c r="F4155" s="32"/>
    </row>
    <row r="4156" spans="6:6" ht="12.75" customHeight="1">
      <c r="F4156" s="32"/>
    </row>
    <row r="4157" spans="6:6" ht="12.75" customHeight="1">
      <c r="F4157" s="32"/>
    </row>
    <row r="4158" spans="6:6" ht="12.75" customHeight="1">
      <c r="F4158" s="32"/>
    </row>
    <row r="4159" spans="6:6" ht="12.75" customHeight="1">
      <c r="F4159" s="32"/>
    </row>
    <row r="4160" spans="6:6" ht="12.75" customHeight="1">
      <c r="F4160" s="32"/>
    </row>
    <row r="4161" spans="6:6" ht="12.75" customHeight="1">
      <c r="F4161" s="32"/>
    </row>
    <row r="4162" spans="6:6" ht="12.75" customHeight="1">
      <c r="F4162" s="32"/>
    </row>
    <row r="4163" spans="6:6" ht="12.75" customHeight="1">
      <c r="F4163" s="32"/>
    </row>
    <row r="4164" spans="6:6" ht="12.75" customHeight="1">
      <c r="F4164" s="32"/>
    </row>
    <row r="4165" spans="6:6" ht="12.75" customHeight="1">
      <c r="F4165" s="32"/>
    </row>
    <row r="4166" spans="6:6" ht="12.75" customHeight="1">
      <c r="F4166" s="32"/>
    </row>
    <row r="4167" spans="6:6" ht="12.75" customHeight="1">
      <c r="F4167" s="32"/>
    </row>
    <row r="4168" spans="6:6" ht="12.75" customHeight="1">
      <c r="F4168" s="32"/>
    </row>
    <row r="4169" spans="6:6" ht="12.75" customHeight="1">
      <c r="F4169" s="32"/>
    </row>
    <row r="4170" spans="6:6" ht="12.75" customHeight="1">
      <c r="F4170" s="32"/>
    </row>
    <row r="4171" spans="6:6" ht="12.75" customHeight="1">
      <c r="F4171" s="32"/>
    </row>
    <row r="4172" spans="6:6" ht="12.75" customHeight="1">
      <c r="F4172" s="32"/>
    </row>
    <row r="4173" spans="6:6" ht="12.75" customHeight="1">
      <c r="F4173" s="32"/>
    </row>
    <row r="4174" spans="6:6" ht="12.75" customHeight="1">
      <c r="F4174" s="32"/>
    </row>
    <row r="4175" spans="6:6" ht="12.75" customHeight="1">
      <c r="F4175" s="32"/>
    </row>
    <row r="4176" spans="6:6" ht="12.75" customHeight="1">
      <c r="F4176" s="32"/>
    </row>
    <row r="4177" spans="6:6" ht="12.75" customHeight="1">
      <c r="F4177" s="32"/>
    </row>
    <row r="4178" spans="6:6" ht="12.75" customHeight="1">
      <c r="F4178" s="32"/>
    </row>
    <row r="4179" spans="6:6" ht="12.75" customHeight="1">
      <c r="F4179" s="32"/>
    </row>
    <row r="4180" spans="6:6" ht="12.75" customHeight="1">
      <c r="F4180" s="32"/>
    </row>
    <row r="4181" spans="6:6" ht="12.75" customHeight="1">
      <c r="F4181" s="32"/>
    </row>
    <row r="4182" spans="6:6" ht="12.75" customHeight="1">
      <c r="F4182" s="32"/>
    </row>
    <row r="4183" spans="6:6" ht="12.75" customHeight="1">
      <c r="F4183" s="32"/>
    </row>
    <row r="4184" spans="6:6" ht="12.75" customHeight="1">
      <c r="F4184" s="32"/>
    </row>
    <row r="4185" spans="6:6" ht="12.75" customHeight="1">
      <c r="F4185" s="32"/>
    </row>
    <row r="4186" spans="6:6" ht="12.75" customHeight="1">
      <c r="F4186" s="32"/>
    </row>
    <row r="4187" spans="6:6" ht="12.75" customHeight="1">
      <c r="F4187" s="32"/>
    </row>
    <row r="4188" spans="6:6" ht="12.75" customHeight="1">
      <c r="F4188" s="32"/>
    </row>
    <row r="4189" spans="6:6" ht="12.75" customHeight="1">
      <c r="F4189" s="32"/>
    </row>
    <row r="4190" spans="6:6" ht="12.75" customHeight="1">
      <c r="F4190" s="32"/>
    </row>
    <row r="4191" spans="6:6" ht="12.75" customHeight="1">
      <c r="F4191" s="32"/>
    </row>
    <row r="4192" spans="6:6" ht="12.75" customHeight="1">
      <c r="F4192" s="32"/>
    </row>
    <row r="4193" spans="6:6" ht="12.75" customHeight="1">
      <c r="F4193" s="32"/>
    </row>
    <row r="4194" spans="6:6" ht="12.75" customHeight="1">
      <c r="F4194" s="32"/>
    </row>
    <row r="4195" spans="6:6" ht="12.75" customHeight="1">
      <c r="F4195" s="32"/>
    </row>
    <row r="4196" spans="6:6" ht="12.75" customHeight="1">
      <c r="F4196" s="32"/>
    </row>
    <row r="4197" spans="6:6" ht="12.75" customHeight="1">
      <c r="F4197" s="32"/>
    </row>
    <row r="4198" spans="6:6" ht="12.75" customHeight="1">
      <c r="F4198" s="32"/>
    </row>
    <row r="4199" spans="6:6" ht="12.75" customHeight="1">
      <c r="F4199" s="32"/>
    </row>
    <row r="4200" spans="6:6" ht="12.75" customHeight="1">
      <c r="F4200" s="32"/>
    </row>
    <row r="4201" spans="6:6" ht="12.75" customHeight="1">
      <c r="F4201" s="32"/>
    </row>
    <row r="4202" spans="6:6" ht="12.75" customHeight="1">
      <c r="F4202" s="32"/>
    </row>
    <row r="4203" spans="6:6" ht="12.75" customHeight="1">
      <c r="F4203" s="32"/>
    </row>
    <row r="4204" spans="6:6" ht="12.75" customHeight="1">
      <c r="F4204" s="32"/>
    </row>
    <row r="4205" spans="6:6" ht="12.75" customHeight="1">
      <c r="F4205" s="32"/>
    </row>
    <row r="4206" spans="6:6" ht="12.75" customHeight="1">
      <c r="F4206" s="32"/>
    </row>
    <row r="4207" spans="6:6" ht="12.75" customHeight="1">
      <c r="F4207" s="32"/>
    </row>
    <row r="4208" spans="6:6" ht="12.75" customHeight="1">
      <c r="F4208" s="32"/>
    </row>
    <row r="4209" spans="6:6" ht="12.75" customHeight="1">
      <c r="F4209" s="32"/>
    </row>
    <row r="4210" spans="6:6" ht="12.75" customHeight="1">
      <c r="F4210" s="32"/>
    </row>
    <row r="4211" spans="6:6" ht="12.75" customHeight="1">
      <c r="F4211" s="32"/>
    </row>
    <row r="4212" spans="6:6" ht="12.75" customHeight="1">
      <c r="F4212" s="32"/>
    </row>
    <row r="4213" spans="6:6" ht="12.75" customHeight="1">
      <c r="F4213" s="32"/>
    </row>
    <row r="4214" spans="6:6" ht="12.75" customHeight="1">
      <c r="F4214" s="32"/>
    </row>
    <row r="4215" spans="6:6" ht="12.75" customHeight="1">
      <c r="F4215" s="32"/>
    </row>
    <row r="4216" spans="6:6" ht="12.75" customHeight="1">
      <c r="F4216" s="32"/>
    </row>
    <row r="4217" spans="6:6" ht="12.75" customHeight="1">
      <c r="F4217" s="32"/>
    </row>
    <row r="4218" spans="6:6" ht="12.75" customHeight="1">
      <c r="F4218" s="32"/>
    </row>
    <row r="4219" spans="6:6" ht="12.75" customHeight="1">
      <c r="F4219" s="32"/>
    </row>
    <row r="4220" spans="6:6" ht="12.75" customHeight="1">
      <c r="F4220" s="32"/>
    </row>
    <row r="4221" spans="6:6" ht="12.75" customHeight="1">
      <c r="F4221" s="32"/>
    </row>
    <row r="4222" spans="6:6" ht="12.75" customHeight="1">
      <c r="F4222" s="32"/>
    </row>
    <row r="4223" spans="6:6" ht="12.75" customHeight="1">
      <c r="F4223" s="32"/>
    </row>
    <row r="4224" spans="6:6" ht="12.75" customHeight="1">
      <c r="F4224" s="32"/>
    </row>
    <row r="4225" spans="6:6" ht="12.75" customHeight="1">
      <c r="F4225" s="32"/>
    </row>
    <row r="4226" spans="6:6" ht="12.75" customHeight="1">
      <c r="F4226" s="32"/>
    </row>
    <row r="4227" spans="6:6" ht="12.75" customHeight="1">
      <c r="F4227" s="32"/>
    </row>
    <row r="4228" spans="6:6" ht="12.75" customHeight="1">
      <c r="F4228" s="32"/>
    </row>
    <row r="4229" spans="6:6" ht="12.75" customHeight="1">
      <c r="F4229" s="32"/>
    </row>
    <row r="4230" spans="6:6" ht="12.75" customHeight="1">
      <c r="F4230" s="32"/>
    </row>
    <row r="4231" spans="6:6" ht="12.75" customHeight="1">
      <c r="F4231" s="32"/>
    </row>
    <row r="4232" spans="6:6" ht="12.75" customHeight="1">
      <c r="F4232" s="32"/>
    </row>
    <row r="4233" spans="6:6" ht="12.75" customHeight="1">
      <c r="F4233" s="32"/>
    </row>
    <row r="4234" spans="6:6" ht="12.75" customHeight="1">
      <c r="F4234" s="32"/>
    </row>
    <row r="4235" spans="6:6" ht="12.75" customHeight="1">
      <c r="F4235" s="32"/>
    </row>
    <row r="4236" spans="6:6" ht="12.75" customHeight="1">
      <c r="F4236" s="32"/>
    </row>
    <row r="4237" spans="6:6" ht="12.75" customHeight="1">
      <c r="F4237" s="32"/>
    </row>
    <row r="4238" spans="6:6" ht="12.75" customHeight="1">
      <c r="F4238" s="32"/>
    </row>
    <row r="4239" spans="6:6" ht="12.75" customHeight="1">
      <c r="F4239" s="32"/>
    </row>
    <row r="4240" spans="6:6" ht="12.75" customHeight="1">
      <c r="F4240" s="32"/>
    </row>
    <row r="4241" spans="6:6" ht="12.75" customHeight="1">
      <c r="F4241" s="32"/>
    </row>
    <row r="4242" spans="6:6" ht="12.75" customHeight="1">
      <c r="F4242" s="32"/>
    </row>
    <row r="4243" spans="6:6" ht="12.75" customHeight="1">
      <c r="F4243" s="32"/>
    </row>
    <row r="4244" spans="6:6" ht="12.75" customHeight="1">
      <c r="F4244" s="32"/>
    </row>
    <row r="4245" spans="6:6" ht="12.75" customHeight="1">
      <c r="F4245" s="32"/>
    </row>
    <row r="4246" spans="6:6" ht="12.75" customHeight="1">
      <c r="F4246" s="32"/>
    </row>
    <row r="4247" spans="6:6" ht="12.75" customHeight="1">
      <c r="F4247" s="32"/>
    </row>
    <row r="4248" spans="6:6" ht="12.75" customHeight="1">
      <c r="F4248" s="32"/>
    </row>
    <row r="4249" spans="6:6" ht="12.75" customHeight="1">
      <c r="F4249" s="32"/>
    </row>
    <row r="4250" spans="6:6" ht="12.75" customHeight="1">
      <c r="F4250" s="32"/>
    </row>
    <row r="4251" spans="6:6" ht="12.75" customHeight="1">
      <c r="F4251" s="32"/>
    </row>
    <row r="4252" spans="6:6" ht="12.75" customHeight="1">
      <c r="F4252" s="32"/>
    </row>
    <row r="4253" spans="6:6" ht="12.75" customHeight="1">
      <c r="F4253" s="32"/>
    </row>
    <row r="4254" spans="6:6" ht="12.75" customHeight="1">
      <c r="F4254" s="32"/>
    </row>
    <row r="4255" spans="6:6" ht="12.75" customHeight="1">
      <c r="F4255" s="32"/>
    </row>
    <row r="4256" spans="6:6" ht="12.75" customHeight="1">
      <c r="F4256" s="32"/>
    </row>
    <row r="4257" spans="6:6" ht="12.75" customHeight="1">
      <c r="F4257" s="32"/>
    </row>
    <row r="4258" spans="6:6" ht="12.75" customHeight="1">
      <c r="F4258" s="32"/>
    </row>
    <row r="4259" spans="6:6" ht="12.75" customHeight="1">
      <c r="F4259" s="32"/>
    </row>
    <row r="4260" spans="6:6" ht="12.75" customHeight="1">
      <c r="F4260" s="32"/>
    </row>
    <row r="4261" spans="6:6" ht="12.75" customHeight="1">
      <c r="F4261" s="32"/>
    </row>
    <row r="4262" spans="6:6" ht="12.75" customHeight="1">
      <c r="F4262" s="32"/>
    </row>
    <row r="4263" spans="6:6" ht="12.75" customHeight="1">
      <c r="F4263" s="32"/>
    </row>
    <row r="4264" spans="6:6" ht="12.75" customHeight="1">
      <c r="F4264" s="32"/>
    </row>
    <row r="4265" spans="6:6" ht="12.75" customHeight="1">
      <c r="F4265" s="32"/>
    </row>
    <row r="4266" spans="6:6" ht="12.75" customHeight="1">
      <c r="F4266" s="32"/>
    </row>
    <row r="4267" spans="6:6" ht="12.75" customHeight="1">
      <c r="F4267" s="32"/>
    </row>
    <row r="4268" spans="6:6" ht="12.75" customHeight="1">
      <c r="F4268" s="32"/>
    </row>
    <row r="4269" spans="6:6" ht="12.75" customHeight="1">
      <c r="F4269" s="32"/>
    </row>
    <row r="4270" spans="6:6" ht="12.75" customHeight="1">
      <c r="F4270" s="32"/>
    </row>
    <row r="4271" spans="6:6" ht="12.75" customHeight="1">
      <c r="F4271" s="32"/>
    </row>
    <row r="4272" spans="6:6" ht="12.75" customHeight="1">
      <c r="F4272" s="32"/>
    </row>
    <row r="4273" spans="6:6" ht="12.75" customHeight="1">
      <c r="F4273" s="32"/>
    </row>
    <row r="4274" spans="6:6" ht="12.75" customHeight="1">
      <c r="F4274" s="32"/>
    </row>
    <row r="4275" spans="6:6" ht="12.75" customHeight="1">
      <c r="F4275" s="32"/>
    </row>
    <row r="4276" spans="6:6" ht="12.75" customHeight="1">
      <c r="F4276" s="32"/>
    </row>
    <row r="4277" spans="6:6" ht="12.75" customHeight="1">
      <c r="F4277" s="32"/>
    </row>
    <row r="4278" spans="6:6" ht="12.75" customHeight="1">
      <c r="F4278" s="32"/>
    </row>
    <row r="4279" spans="6:6" ht="12.75" customHeight="1">
      <c r="F4279" s="32"/>
    </row>
    <row r="4280" spans="6:6" ht="12.75" customHeight="1">
      <c r="F4280" s="32"/>
    </row>
    <row r="4281" spans="6:6" ht="12.75" customHeight="1">
      <c r="F4281" s="32"/>
    </row>
    <row r="4282" spans="6:6" ht="12.75" customHeight="1">
      <c r="F4282" s="32"/>
    </row>
    <row r="4283" spans="6:6" ht="12.75" customHeight="1">
      <c r="F4283" s="32"/>
    </row>
    <row r="4284" spans="6:6" ht="12.75" customHeight="1">
      <c r="F4284" s="32"/>
    </row>
    <row r="4285" spans="6:6" ht="12.75" customHeight="1">
      <c r="F4285" s="32"/>
    </row>
    <row r="4286" spans="6:6" ht="12.75" customHeight="1">
      <c r="F4286" s="32"/>
    </row>
    <row r="4287" spans="6:6" ht="12.75" customHeight="1">
      <c r="F4287" s="32"/>
    </row>
    <row r="4288" spans="6:6" ht="12.75" customHeight="1">
      <c r="F4288" s="32"/>
    </row>
    <row r="4289" spans="6:6" ht="12.75" customHeight="1">
      <c r="F4289" s="32"/>
    </row>
    <row r="4290" spans="6:6" ht="12.75" customHeight="1">
      <c r="F4290" s="32"/>
    </row>
    <row r="4291" spans="6:6" ht="12.75" customHeight="1">
      <c r="F4291" s="32"/>
    </row>
    <row r="4292" spans="6:6" ht="12.75" customHeight="1">
      <c r="F4292" s="32"/>
    </row>
    <row r="4293" spans="6:6" ht="12.75" customHeight="1">
      <c r="F4293" s="32"/>
    </row>
    <row r="4294" spans="6:6" ht="12.75" customHeight="1">
      <c r="F4294" s="32"/>
    </row>
    <row r="4295" spans="6:6" ht="12.75" customHeight="1">
      <c r="F4295" s="32"/>
    </row>
    <row r="4296" spans="6:6" ht="12.75" customHeight="1">
      <c r="F4296" s="32"/>
    </row>
    <row r="4297" spans="6:6" ht="12.75" customHeight="1">
      <c r="F4297" s="32"/>
    </row>
    <row r="4298" spans="6:6" ht="12.75" customHeight="1">
      <c r="F4298" s="32"/>
    </row>
    <row r="4299" spans="6:6" ht="12.75" customHeight="1">
      <c r="F4299" s="32"/>
    </row>
    <row r="4300" spans="6:6" ht="12.75" customHeight="1">
      <c r="F4300" s="32"/>
    </row>
    <row r="4301" spans="6:6" ht="12.75" customHeight="1">
      <c r="F4301" s="32"/>
    </row>
    <row r="4302" spans="6:6" ht="12.75" customHeight="1">
      <c r="F4302" s="32"/>
    </row>
    <row r="4303" spans="6:6" ht="12.75" customHeight="1">
      <c r="F4303" s="32"/>
    </row>
    <row r="4304" spans="6:6" ht="12.75" customHeight="1">
      <c r="F4304" s="32"/>
    </row>
    <row r="4305" spans="6:6" ht="12.75" customHeight="1">
      <c r="F4305" s="32"/>
    </row>
    <row r="4306" spans="6:6" ht="12.75" customHeight="1">
      <c r="F4306" s="32"/>
    </row>
    <row r="4307" spans="6:6" ht="12.75" customHeight="1">
      <c r="F4307" s="32"/>
    </row>
    <row r="4308" spans="6:6" ht="12.75" customHeight="1">
      <c r="F4308" s="32"/>
    </row>
    <row r="4309" spans="6:6" ht="12.75" customHeight="1">
      <c r="F4309" s="32"/>
    </row>
    <row r="4310" spans="6:6" ht="12.75" customHeight="1">
      <c r="F4310" s="32"/>
    </row>
    <row r="4311" spans="6:6" ht="12.75" customHeight="1">
      <c r="F4311" s="32"/>
    </row>
    <row r="4312" spans="6:6" ht="12.75" customHeight="1">
      <c r="F4312" s="32"/>
    </row>
    <row r="4313" spans="6:6" ht="12.75" customHeight="1">
      <c r="F4313" s="32"/>
    </row>
    <row r="4314" spans="6:6" ht="12.75" customHeight="1">
      <c r="F4314" s="32"/>
    </row>
    <row r="4315" spans="6:6" ht="12.75" customHeight="1">
      <c r="F4315" s="32"/>
    </row>
    <row r="4316" spans="6:6" ht="12.75" customHeight="1">
      <c r="F4316" s="32"/>
    </row>
    <row r="4317" spans="6:6" ht="12.75" customHeight="1">
      <c r="F4317" s="32"/>
    </row>
    <row r="4318" spans="6:6" ht="12.75" customHeight="1">
      <c r="F4318" s="32"/>
    </row>
    <row r="4319" spans="6:6" ht="12.75" customHeight="1">
      <c r="F4319" s="32"/>
    </row>
    <row r="4320" spans="6:6" ht="12.75" customHeight="1">
      <c r="F4320" s="32"/>
    </row>
    <row r="4321" spans="6:6" ht="12.75" customHeight="1">
      <c r="F4321" s="32"/>
    </row>
    <row r="4322" spans="6:6" ht="12.75" customHeight="1">
      <c r="F4322" s="32"/>
    </row>
    <row r="4323" spans="6:6" ht="12.75" customHeight="1">
      <c r="F4323" s="32"/>
    </row>
    <row r="4324" spans="6:6" ht="12.75" customHeight="1">
      <c r="F4324" s="32"/>
    </row>
    <row r="4325" spans="6:6" ht="12.75" customHeight="1">
      <c r="F4325" s="32"/>
    </row>
    <row r="4326" spans="6:6" ht="12.75" customHeight="1">
      <c r="F4326" s="32"/>
    </row>
    <row r="4327" spans="6:6" ht="12.75" customHeight="1">
      <c r="F4327" s="32"/>
    </row>
    <row r="4328" spans="6:6" ht="12.75" customHeight="1">
      <c r="F4328" s="32"/>
    </row>
    <row r="4329" spans="6:6" ht="12.75" customHeight="1">
      <c r="F4329" s="32"/>
    </row>
    <row r="4330" spans="6:6" ht="12.75" customHeight="1">
      <c r="F4330" s="32"/>
    </row>
    <row r="4331" spans="6:6" ht="12.75" customHeight="1">
      <c r="F4331" s="32"/>
    </row>
    <row r="4332" spans="6:6" ht="12.75" customHeight="1">
      <c r="F4332" s="32"/>
    </row>
    <row r="4333" spans="6:6" ht="12.75" customHeight="1">
      <c r="F4333" s="32"/>
    </row>
    <row r="4334" spans="6:6" ht="12.75" customHeight="1">
      <c r="F4334" s="32"/>
    </row>
    <row r="4335" spans="6:6" ht="12.75" customHeight="1">
      <c r="F4335" s="32"/>
    </row>
    <row r="4336" spans="6:6" ht="12.75" customHeight="1">
      <c r="F4336" s="32"/>
    </row>
    <row r="4337" spans="6:6" ht="12.75" customHeight="1">
      <c r="F4337" s="32"/>
    </row>
    <row r="4338" spans="6:6" ht="12.75" customHeight="1">
      <c r="F4338" s="32"/>
    </row>
    <row r="4339" spans="6:6" ht="12.75" customHeight="1">
      <c r="F4339" s="32"/>
    </row>
    <row r="4340" spans="6:6" ht="12.75" customHeight="1">
      <c r="F4340" s="32"/>
    </row>
    <row r="4341" spans="6:6" ht="12.75" customHeight="1">
      <c r="F4341" s="32"/>
    </row>
    <row r="4342" spans="6:6" ht="12.75" customHeight="1">
      <c r="F4342" s="32"/>
    </row>
    <row r="4343" spans="6:6" ht="12.75" customHeight="1">
      <c r="F4343" s="32"/>
    </row>
    <row r="4344" spans="6:6" ht="12.75" customHeight="1">
      <c r="F4344" s="32"/>
    </row>
    <row r="4345" spans="6:6" ht="12.75" customHeight="1">
      <c r="F4345" s="32"/>
    </row>
    <row r="4346" spans="6:6" ht="12.75" customHeight="1">
      <c r="F4346" s="32"/>
    </row>
    <row r="4347" spans="6:6" ht="12.75" customHeight="1">
      <c r="F4347" s="32"/>
    </row>
    <row r="4348" spans="6:6" ht="12.75" customHeight="1">
      <c r="F4348" s="32"/>
    </row>
    <row r="4349" spans="6:6" ht="12.75" customHeight="1">
      <c r="F4349" s="32"/>
    </row>
    <row r="4350" spans="6:6" ht="12.75" customHeight="1">
      <c r="F4350" s="32"/>
    </row>
    <row r="4351" spans="6:6" ht="12.75" customHeight="1">
      <c r="F4351" s="32"/>
    </row>
    <row r="4352" spans="6:6" ht="12.75" customHeight="1">
      <c r="F4352" s="32"/>
    </row>
    <row r="4353" spans="6:6" ht="12.75" customHeight="1">
      <c r="F4353" s="32"/>
    </row>
    <row r="4354" spans="6:6" ht="12.75" customHeight="1">
      <c r="F4354" s="32"/>
    </row>
    <row r="4355" spans="6:6" ht="12.75" customHeight="1">
      <c r="F4355" s="32"/>
    </row>
    <row r="4356" spans="6:6" ht="12.75" customHeight="1">
      <c r="F4356" s="32"/>
    </row>
    <row r="4357" spans="6:6" ht="12.75" customHeight="1">
      <c r="F4357" s="32"/>
    </row>
    <row r="4358" spans="6:6" ht="12.75" customHeight="1">
      <c r="F4358" s="32"/>
    </row>
    <row r="4359" spans="6:6" ht="12.75" customHeight="1">
      <c r="F4359" s="32"/>
    </row>
    <row r="4360" spans="6:6" ht="12.75" customHeight="1">
      <c r="F4360" s="32"/>
    </row>
    <row r="4361" spans="6:6" ht="12.75" customHeight="1">
      <c r="F4361" s="32"/>
    </row>
    <row r="4362" spans="6:6" ht="12.75" customHeight="1">
      <c r="F4362" s="32"/>
    </row>
    <row r="4363" spans="6:6" ht="12.75" customHeight="1">
      <c r="F4363" s="32"/>
    </row>
    <row r="4364" spans="6:6" ht="12.75" customHeight="1">
      <c r="F4364" s="32"/>
    </row>
    <row r="4365" spans="6:6" ht="12.75" customHeight="1">
      <c r="F4365" s="32"/>
    </row>
    <row r="4366" spans="6:6" ht="12.75" customHeight="1">
      <c r="F4366" s="32"/>
    </row>
    <row r="4367" spans="6:6" ht="12.75" customHeight="1">
      <c r="F4367" s="32"/>
    </row>
    <row r="4368" spans="6:6" ht="12.75" customHeight="1">
      <c r="F4368" s="32"/>
    </row>
    <row r="4369" spans="6:6" ht="12.75" customHeight="1">
      <c r="F4369" s="32"/>
    </row>
    <row r="4370" spans="6:6" ht="12.75" customHeight="1">
      <c r="F4370" s="32"/>
    </row>
    <row r="4371" spans="6:6" ht="12.75" customHeight="1">
      <c r="F4371" s="32"/>
    </row>
    <row r="4372" spans="6:6" ht="12.75" customHeight="1">
      <c r="F4372" s="32"/>
    </row>
    <row r="4373" spans="6:6" ht="12.75" customHeight="1">
      <c r="F4373" s="32"/>
    </row>
    <row r="4374" spans="6:6" ht="12.75" customHeight="1">
      <c r="F4374" s="32"/>
    </row>
    <row r="4375" spans="6:6" ht="12.75" customHeight="1">
      <c r="F4375" s="32"/>
    </row>
    <row r="4376" spans="6:6" ht="12.75" customHeight="1">
      <c r="F4376" s="32"/>
    </row>
    <row r="4377" spans="6:6" ht="12.75" customHeight="1">
      <c r="F4377" s="32"/>
    </row>
    <row r="4378" spans="6:6" ht="12.75" customHeight="1">
      <c r="F4378" s="32"/>
    </row>
    <row r="4379" spans="6:6" ht="12.75" customHeight="1">
      <c r="F4379" s="32"/>
    </row>
    <row r="4380" spans="6:6" ht="12.75" customHeight="1">
      <c r="F4380" s="32"/>
    </row>
    <row r="4381" spans="6:6" ht="12.75" customHeight="1">
      <c r="F4381" s="32"/>
    </row>
    <row r="4382" spans="6:6" ht="12.75" customHeight="1">
      <c r="F4382" s="32"/>
    </row>
    <row r="4383" spans="6:6" ht="12.75" customHeight="1">
      <c r="F4383" s="32"/>
    </row>
    <row r="4384" spans="6:6" ht="12.75" customHeight="1">
      <c r="F4384" s="32"/>
    </row>
    <row r="4385" spans="6:6" ht="12.75" customHeight="1">
      <c r="F4385" s="32"/>
    </row>
    <row r="4386" spans="6:6" ht="12.75" customHeight="1">
      <c r="F4386" s="32"/>
    </row>
    <row r="4387" spans="6:6" ht="12.75" customHeight="1">
      <c r="F4387" s="32"/>
    </row>
    <row r="4388" spans="6:6" ht="12.75" customHeight="1">
      <c r="F4388" s="32"/>
    </row>
    <row r="4389" spans="6:6" ht="12.75" customHeight="1">
      <c r="F4389" s="32"/>
    </row>
    <row r="4390" spans="6:6" ht="12.75" customHeight="1">
      <c r="F4390" s="32"/>
    </row>
    <row r="4391" spans="6:6" ht="12.75" customHeight="1">
      <c r="F4391" s="32"/>
    </row>
    <row r="4392" spans="6:6" ht="12.75" customHeight="1">
      <c r="F4392" s="32"/>
    </row>
    <row r="4393" spans="6:6" ht="12.75" customHeight="1">
      <c r="F4393" s="32"/>
    </row>
    <row r="4394" spans="6:6" ht="12.75" customHeight="1">
      <c r="F4394" s="32"/>
    </row>
    <row r="4395" spans="6:6" ht="12.75" customHeight="1">
      <c r="F4395" s="32"/>
    </row>
    <row r="4396" spans="6:6" ht="12.75" customHeight="1">
      <c r="F4396" s="32"/>
    </row>
    <row r="4397" spans="6:6" ht="12.75" customHeight="1">
      <c r="F4397" s="32"/>
    </row>
    <row r="4398" spans="6:6" ht="12.75" customHeight="1">
      <c r="F4398" s="32"/>
    </row>
    <row r="4399" spans="6:6" ht="12.75" customHeight="1">
      <c r="F4399" s="32"/>
    </row>
    <row r="4400" spans="6:6" ht="12.75" customHeight="1">
      <c r="F4400" s="32"/>
    </row>
    <row r="4401" spans="6:6" ht="12.75" customHeight="1">
      <c r="F4401" s="32"/>
    </row>
    <row r="4402" spans="6:6" ht="12.75" customHeight="1">
      <c r="F4402" s="32"/>
    </row>
    <row r="4403" spans="6:6" ht="12.75" customHeight="1">
      <c r="F4403" s="32"/>
    </row>
    <row r="4404" spans="6:6" ht="12.75" customHeight="1">
      <c r="F4404" s="32"/>
    </row>
    <row r="4405" spans="6:6" ht="12.75" customHeight="1">
      <c r="F4405" s="32"/>
    </row>
    <row r="4406" spans="6:6" ht="12.75" customHeight="1">
      <c r="F4406" s="32"/>
    </row>
    <row r="4407" spans="6:6" ht="12.75" customHeight="1">
      <c r="F4407" s="32"/>
    </row>
    <row r="4408" spans="6:6" ht="12.75" customHeight="1">
      <c r="F4408" s="32"/>
    </row>
    <row r="4409" spans="6:6" ht="12.75" customHeight="1">
      <c r="F4409" s="32"/>
    </row>
    <row r="4410" spans="6:6" ht="12.75" customHeight="1">
      <c r="F4410" s="32"/>
    </row>
    <row r="4411" spans="6:6" ht="12.75" customHeight="1">
      <c r="F4411" s="32"/>
    </row>
    <row r="4412" spans="6:6" ht="12.75" customHeight="1">
      <c r="F4412" s="32"/>
    </row>
    <row r="4413" spans="6:6" ht="12.75" customHeight="1">
      <c r="F4413" s="32"/>
    </row>
    <row r="4414" spans="6:6" ht="12.75" customHeight="1">
      <c r="F4414" s="32"/>
    </row>
    <row r="4415" spans="6:6" ht="12.75" customHeight="1">
      <c r="F4415" s="32"/>
    </row>
    <row r="4416" spans="6:6" ht="12.75" customHeight="1">
      <c r="F4416" s="32"/>
    </row>
    <row r="4417" spans="6:6" ht="12.75" customHeight="1">
      <c r="F4417" s="32"/>
    </row>
    <row r="4418" spans="6:6" ht="12.75" customHeight="1">
      <c r="F4418" s="32"/>
    </row>
    <row r="4419" spans="6:6" ht="12.75" customHeight="1">
      <c r="F4419" s="32"/>
    </row>
    <row r="4420" spans="6:6" ht="12.75" customHeight="1">
      <c r="F4420" s="32"/>
    </row>
    <row r="4421" spans="6:6" ht="12.75" customHeight="1">
      <c r="F4421" s="32"/>
    </row>
    <row r="4422" spans="6:6" ht="12.75" customHeight="1">
      <c r="F4422" s="32"/>
    </row>
    <row r="4423" spans="6:6" ht="12.75" customHeight="1">
      <c r="F4423" s="32"/>
    </row>
    <row r="4424" spans="6:6" ht="12.75" customHeight="1">
      <c r="F4424" s="32"/>
    </row>
    <row r="4425" spans="6:6" ht="12.75" customHeight="1">
      <c r="F4425" s="32"/>
    </row>
    <row r="4426" spans="6:6" ht="12.75" customHeight="1">
      <c r="F4426" s="32"/>
    </row>
    <row r="4427" spans="6:6" ht="12.75" customHeight="1">
      <c r="F4427" s="32"/>
    </row>
    <row r="4428" spans="6:6" ht="12.75" customHeight="1">
      <c r="F4428" s="32"/>
    </row>
    <row r="4429" spans="6:6" ht="12.75" customHeight="1">
      <c r="F4429" s="32"/>
    </row>
    <row r="4430" spans="6:6" ht="12.75" customHeight="1">
      <c r="F4430" s="32"/>
    </row>
    <row r="4431" spans="6:6" ht="12.75" customHeight="1">
      <c r="F4431" s="32"/>
    </row>
    <row r="4432" spans="6:6" ht="12.75" customHeight="1">
      <c r="F4432" s="32"/>
    </row>
    <row r="4433" spans="6:6" ht="12.75" customHeight="1">
      <c r="F4433" s="32"/>
    </row>
    <row r="4434" spans="6:6" ht="12.75" customHeight="1">
      <c r="F4434" s="32"/>
    </row>
    <row r="4435" spans="6:6" ht="12.75" customHeight="1">
      <c r="F4435" s="32"/>
    </row>
    <row r="4436" spans="6:6" ht="12.75" customHeight="1">
      <c r="F4436" s="32"/>
    </row>
    <row r="4437" spans="6:6" ht="12.75" customHeight="1">
      <c r="F4437" s="32"/>
    </row>
    <row r="4438" spans="6:6" ht="12.75" customHeight="1">
      <c r="F4438" s="32"/>
    </row>
    <row r="4439" spans="6:6" ht="12.75" customHeight="1">
      <c r="F4439" s="32"/>
    </row>
    <row r="4440" spans="6:6" ht="12.75" customHeight="1">
      <c r="F4440" s="32"/>
    </row>
    <row r="4441" spans="6:6" ht="12.75" customHeight="1">
      <c r="F4441" s="32"/>
    </row>
    <row r="4442" spans="6:6" ht="12.75" customHeight="1">
      <c r="F4442" s="32"/>
    </row>
    <row r="4443" spans="6:6" ht="12.75" customHeight="1">
      <c r="F4443" s="32"/>
    </row>
    <row r="4444" spans="6:6" ht="12.75" customHeight="1">
      <c r="F4444" s="32"/>
    </row>
    <row r="4445" spans="6:6" ht="12.75" customHeight="1">
      <c r="F4445" s="32"/>
    </row>
    <row r="4446" spans="6:6" ht="12.75" customHeight="1">
      <c r="F4446" s="32"/>
    </row>
    <row r="4447" spans="6:6" ht="12.75" customHeight="1">
      <c r="F4447" s="32"/>
    </row>
    <row r="4448" spans="6:6" ht="12.75" customHeight="1">
      <c r="F4448" s="32"/>
    </row>
    <row r="4449" spans="6:6" ht="12.75" customHeight="1">
      <c r="F4449" s="32"/>
    </row>
    <row r="4450" spans="6:6" ht="12.75" customHeight="1">
      <c r="F4450" s="32"/>
    </row>
    <row r="4451" spans="6:6" ht="12.75" customHeight="1">
      <c r="F4451" s="32"/>
    </row>
    <row r="4452" spans="6:6" ht="12.75" customHeight="1">
      <c r="F4452" s="32"/>
    </row>
    <row r="4453" spans="6:6" ht="12.75" customHeight="1">
      <c r="F4453" s="32"/>
    </row>
    <row r="4454" spans="6:6" ht="12.75" customHeight="1">
      <c r="F4454" s="32"/>
    </row>
    <row r="4455" spans="6:6" ht="12.75" customHeight="1">
      <c r="F4455" s="32"/>
    </row>
    <row r="4456" spans="6:6" ht="12.75" customHeight="1">
      <c r="F4456" s="32"/>
    </row>
    <row r="4457" spans="6:6" ht="12.75" customHeight="1">
      <c r="F4457" s="32"/>
    </row>
    <row r="4458" spans="6:6" ht="12.75" customHeight="1">
      <c r="F4458" s="32"/>
    </row>
    <row r="4459" spans="6:6" ht="12.75" customHeight="1">
      <c r="F4459" s="32"/>
    </row>
    <row r="4460" spans="6:6" ht="12.75" customHeight="1">
      <c r="F4460" s="32"/>
    </row>
    <row r="4461" spans="6:6" ht="12.75" customHeight="1">
      <c r="F4461" s="32"/>
    </row>
    <row r="4462" spans="6:6" ht="12.75" customHeight="1">
      <c r="F4462" s="32"/>
    </row>
    <row r="4463" spans="6:6" ht="12.75" customHeight="1">
      <c r="F4463" s="32"/>
    </row>
    <row r="4464" spans="6:6" ht="12.75" customHeight="1">
      <c r="F4464" s="32"/>
    </row>
    <row r="4465" spans="6:6" ht="12.75" customHeight="1">
      <c r="F4465" s="32"/>
    </row>
    <row r="4466" spans="6:6" ht="12.75" customHeight="1">
      <c r="F4466" s="32"/>
    </row>
    <row r="4467" spans="6:6" ht="12.75" customHeight="1">
      <c r="F4467" s="32"/>
    </row>
    <row r="4468" spans="6:6" ht="12.75" customHeight="1">
      <c r="F4468" s="32"/>
    </row>
    <row r="4469" spans="6:6" ht="12.75" customHeight="1">
      <c r="F4469" s="32"/>
    </row>
    <row r="4470" spans="6:6" ht="12.75" customHeight="1">
      <c r="F4470" s="32"/>
    </row>
    <row r="4471" spans="6:6" ht="12.75" customHeight="1">
      <c r="F4471" s="32"/>
    </row>
    <row r="4472" spans="6:6" ht="12.75" customHeight="1">
      <c r="F4472" s="32"/>
    </row>
    <row r="4473" spans="6:6" ht="12.75" customHeight="1">
      <c r="F4473" s="32"/>
    </row>
    <row r="4474" spans="6:6" ht="12.75" customHeight="1">
      <c r="F4474" s="32"/>
    </row>
    <row r="4475" spans="6:6" ht="12.75" customHeight="1">
      <c r="F4475" s="32"/>
    </row>
    <row r="4476" spans="6:6" ht="12.75" customHeight="1">
      <c r="F4476" s="32"/>
    </row>
    <row r="4477" spans="6:6" ht="12.75" customHeight="1">
      <c r="F4477" s="32"/>
    </row>
    <row r="4478" spans="6:6" ht="12.75" customHeight="1">
      <c r="F4478" s="32"/>
    </row>
    <row r="4479" spans="6:6" ht="12.75" customHeight="1">
      <c r="F4479" s="32"/>
    </row>
    <row r="4480" spans="6:6" ht="12.75" customHeight="1">
      <c r="F4480" s="32"/>
    </row>
    <row r="4481" spans="6:6" ht="12.75" customHeight="1">
      <c r="F4481" s="32"/>
    </row>
    <row r="4482" spans="6:6" ht="12.75" customHeight="1">
      <c r="F4482" s="32"/>
    </row>
    <row r="4483" spans="6:6" ht="12.75" customHeight="1">
      <c r="F4483" s="32"/>
    </row>
    <row r="4484" spans="6:6" ht="12.75" customHeight="1">
      <c r="F4484" s="32"/>
    </row>
    <row r="4485" spans="6:6" ht="12.75" customHeight="1">
      <c r="F4485" s="32"/>
    </row>
    <row r="4486" spans="6:6" ht="12.75" customHeight="1">
      <c r="F4486" s="32"/>
    </row>
    <row r="4487" spans="6:6" ht="12.75" customHeight="1">
      <c r="F4487" s="32"/>
    </row>
    <row r="4488" spans="6:6" ht="12.75" customHeight="1">
      <c r="F4488" s="32"/>
    </row>
    <row r="4489" spans="6:6" ht="12.75" customHeight="1">
      <c r="F4489" s="32"/>
    </row>
    <row r="4490" spans="6:6" ht="12.75" customHeight="1">
      <c r="F4490" s="32"/>
    </row>
    <row r="4491" spans="6:6" ht="12.75" customHeight="1">
      <c r="F4491" s="32"/>
    </row>
    <row r="4492" spans="6:6" ht="12.75" customHeight="1">
      <c r="F4492" s="32"/>
    </row>
    <row r="4493" spans="6:6" ht="12.75" customHeight="1">
      <c r="F4493" s="32"/>
    </row>
    <row r="4494" spans="6:6" ht="12.75" customHeight="1">
      <c r="F4494" s="32"/>
    </row>
    <row r="4495" spans="6:6" ht="12.75" customHeight="1">
      <c r="F4495" s="32"/>
    </row>
    <row r="4496" spans="6:6" ht="12.75" customHeight="1">
      <c r="F4496" s="32"/>
    </row>
    <row r="4497" spans="6:6" ht="12.75" customHeight="1">
      <c r="F4497" s="32"/>
    </row>
    <row r="4498" spans="6:6" ht="12.75" customHeight="1">
      <c r="F4498" s="32"/>
    </row>
    <row r="4499" spans="6:6" ht="12.75" customHeight="1">
      <c r="F4499" s="32"/>
    </row>
    <row r="4500" spans="6:6" ht="12.75" customHeight="1">
      <c r="F4500" s="32"/>
    </row>
    <row r="4501" spans="6:6" ht="12.75" customHeight="1">
      <c r="F4501" s="32"/>
    </row>
    <row r="4502" spans="6:6" ht="12.75" customHeight="1">
      <c r="F4502" s="32"/>
    </row>
    <row r="4503" spans="6:6" ht="12.75" customHeight="1">
      <c r="F4503" s="32"/>
    </row>
    <row r="4504" spans="6:6" ht="12.75" customHeight="1">
      <c r="F4504" s="32"/>
    </row>
    <row r="4505" spans="6:6" ht="12.75" customHeight="1">
      <c r="F4505" s="32"/>
    </row>
    <row r="4506" spans="6:6" ht="12.75" customHeight="1">
      <c r="F4506" s="32"/>
    </row>
    <row r="4507" spans="6:6" ht="12.75" customHeight="1">
      <c r="F4507" s="32"/>
    </row>
    <row r="4508" spans="6:6" ht="12.75" customHeight="1">
      <c r="F4508" s="32"/>
    </row>
    <row r="4509" spans="6:6" ht="12.75" customHeight="1">
      <c r="F4509" s="32"/>
    </row>
    <row r="4510" spans="6:6" ht="12.75" customHeight="1">
      <c r="F4510" s="32"/>
    </row>
    <row r="4511" spans="6:6" ht="12.75" customHeight="1">
      <c r="F4511" s="32"/>
    </row>
    <row r="4512" spans="6:6" ht="12.75" customHeight="1">
      <c r="F4512" s="32"/>
    </row>
    <row r="4513" spans="6:6" ht="12.75" customHeight="1">
      <c r="F4513" s="32"/>
    </row>
    <row r="4514" spans="6:6" ht="12.75" customHeight="1">
      <c r="F4514" s="32"/>
    </row>
    <row r="4515" spans="6:6" ht="12.75" customHeight="1">
      <c r="F4515" s="32"/>
    </row>
    <row r="4516" spans="6:6" ht="12.75" customHeight="1">
      <c r="F4516" s="32"/>
    </row>
    <row r="4517" spans="6:6" ht="12.75" customHeight="1">
      <c r="F4517" s="32"/>
    </row>
    <row r="4518" spans="6:6" ht="12.75" customHeight="1">
      <c r="F4518" s="32"/>
    </row>
    <row r="4519" spans="6:6" ht="12.75" customHeight="1">
      <c r="F4519" s="32"/>
    </row>
    <row r="4520" spans="6:6" ht="12.75" customHeight="1">
      <c r="F4520" s="32"/>
    </row>
    <row r="4521" spans="6:6" ht="12.75" customHeight="1">
      <c r="F4521" s="32"/>
    </row>
    <row r="4522" spans="6:6" ht="12.75" customHeight="1">
      <c r="F4522" s="32"/>
    </row>
    <row r="4523" spans="6:6" ht="12.75" customHeight="1">
      <c r="F4523" s="32"/>
    </row>
    <row r="4524" spans="6:6" ht="12.75" customHeight="1">
      <c r="F4524" s="32"/>
    </row>
    <row r="4525" spans="6:6" ht="12.75" customHeight="1">
      <c r="F4525" s="32"/>
    </row>
    <row r="4526" spans="6:6" ht="12.75" customHeight="1">
      <c r="F4526" s="32"/>
    </row>
    <row r="4527" spans="6:6" ht="12.75" customHeight="1">
      <c r="F4527" s="32"/>
    </row>
    <row r="4528" spans="6:6" ht="12.75" customHeight="1">
      <c r="F4528" s="32"/>
    </row>
    <row r="4529" spans="6:6" ht="12.75" customHeight="1">
      <c r="F4529" s="32"/>
    </row>
    <row r="4530" spans="6:6" ht="12.75" customHeight="1">
      <c r="F4530" s="32"/>
    </row>
    <row r="4531" spans="6:6" ht="12.75" customHeight="1">
      <c r="F4531" s="32"/>
    </row>
    <row r="4532" spans="6:6" ht="12.75" customHeight="1">
      <c r="F4532" s="32"/>
    </row>
    <row r="4533" spans="6:6" ht="12.75" customHeight="1">
      <c r="F4533" s="32"/>
    </row>
    <row r="4534" spans="6:6" ht="12.75" customHeight="1">
      <c r="F4534" s="32"/>
    </row>
    <row r="4535" spans="6:6" ht="12.75" customHeight="1">
      <c r="F4535" s="32"/>
    </row>
    <row r="4536" spans="6:6" ht="12.75" customHeight="1">
      <c r="F4536" s="32"/>
    </row>
    <row r="4537" spans="6:6" ht="12.75" customHeight="1">
      <c r="F4537" s="32"/>
    </row>
    <row r="4538" spans="6:6" ht="12.75" customHeight="1">
      <c r="F4538" s="32"/>
    </row>
    <row r="4539" spans="6:6" ht="12.75" customHeight="1">
      <c r="F4539" s="32"/>
    </row>
    <row r="4540" spans="6:6" ht="12.75" customHeight="1">
      <c r="F4540" s="32"/>
    </row>
    <row r="4541" spans="6:6" ht="12.75" customHeight="1">
      <c r="F4541" s="32"/>
    </row>
    <row r="4542" spans="6:6" ht="12.75" customHeight="1">
      <c r="F4542" s="32"/>
    </row>
    <row r="4543" spans="6:6" ht="12.75" customHeight="1">
      <c r="F4543" s="32"/>
    </row>
    <row r="4544" spans="6:6" ht="12.75" customHeight="1">
      <c r="F4544" s="32"/>
    </row>
    <row r="4545" spans="6:6" ht="12.75" customHeight="1">
      <c r="F4545" s="32"/>
    </row>
    <row r="4546" spans="6:6" ht="12.75" customHeight="1">
      <c r="F4546" s="32"/>
    </row>
    <row r="4547" spans="6:6" ht="12.75" customHeight="1">
      <c r="F4547" s="32"/>
    </row>
    <row r="4548" spans="6:6" ht="12.75" customHeight="1">
      <c r="F4548" s="32"/>
    </row>
    <row r="4549" spans="6:6" ht="12.75" customHeight="1">
      <c r="F4549" s="32"/>
    </row>
    <row r="4550" spans="6:6" ht="12.75" customHeight="1">
      <c r="F4550" s="32"/>
    </row>
    <row r="4551" spans="6:6" ht="12.75" customHeight="1">
      <c r="F4551" s="32"/>
    </row>
    <row r="4552" spans="6:6" ht="12.75" customHeight="1">
      <c r="F4552" s="32"/>
    </row>
    <row r="4553" spans="6:6" ht="12.75" customHeight="1">
      <c r="F4553" s="32"/>
    </row>
    <row r="4554" spans="6:6" ht="12.75" customHeight="1">
      <c r="F4554" s="32"/>
    </row>
    <row r="4555" spans="6:6" ht="12.75" customHeight="1">
      <c r="F4555" s="32"/>
    </row>
    <row r="4556" spans="6:6" ht="12.75" customHeight="1">
      <c r="F4556" s="32"/>
    </row>
    <row r="4557" spans="6:6" ht="12.75" customHeight="1">
      <c r="F4557" s="32"/>
    </row>
    <row r="4558" spans="6:6" ht="12.75" customHeight="1">
      <c r="F4558" s="32"/>
    </row>
    <row r="4559" spans="6:6" ht="12.75" customHeight="1">
      <c r="F4559" s="32"/>
    </row>
    <row r="4560" spans="6:6" ht="12.75" customHeight="1">
      <c r="F4560" s="32"/>
    </row>
    <row r="4561" spans="6:6" ht="12.75" customHeight="1">
      <c r="F4561" s="32"/>
    </row>
    <row r="4562" spans="6:6" ht="12.75" customHeight="1">
      <c r="F4562" s="32"/>
    </row>
    <row r="4563" spans="6:6" ht="12.75" customHeight="1">
      <c r="F4563" s="32"/>
    </row>
    <row r="4564" spans="6:6" ht="12.75" customHeight="1">
      <c r="F4564" s="32"/>
    </row>
    <row r="4565" spans="6:6" ht="12.75" customHeight="1">
      <c r="F4565" s="32"/>
    </row>
    <row r="4566" spans="6:6" ht="12.75" customHeight="1">
      <c r="F4566" s="32"/>
    </row>
    <row r="4567" spans="6:6" ht="12.75" customHeight="1">
      <c r="F4567" s="32"/>
    </row>
    <row r="4568" spans="6:6" ht="12.75" customHeight="1">
      <c r="F4568" s="32"/>
    </row>
    <row r="4569" spans="6:6" ht="12.75" customHeight="1">
      <c r="F4569" s="32"/>
    </row>
    <row r="4570" spans="6:6" ht="12.75" customHeight="1">
      <c r="F4570" s="32"/>
    </row>
    <row r="4571" spans="6:6" ht="12.75" customHeight="1">
      <c r="F4571" s="32"/>
    </row>
    <row r="4572" spans="6:6" ht="12.75" customHeight="1">
      <c r="F4572" s="32"/>
    </row>
    <row r="4573" spans="6:6" ht="12.75" customHeight="1">
      <c r="F4573" s="32"/>
    </row>
    <row r="4574" spans="6:6" ht="12.75" customHeight="1">
      <c r="F4574" s="32"/>
    </row>
    <row r="4575" spans="6:6" ht="12.75" customHeight="1">
      <c r="F4575" s="32"/>
    </row>
    <row r="4576" spans="6:6" ht="12.75" customHeight="1">
      <c r="F4576" s="32"/>
    </row>
    <row r="4577" spans="6:6" ht="12.75" customHeight="1">
      <c r="F4577" s="32"/>
    </row>
    <row r="4578" spans="6:6" ht="12.75" customHeight="1">
      <c r="F4578" s="32"/>
    </row>
    <row r="4579" spans="6:6" ht="12.75" customHeight="1">
      <c r="F4579" s="32"/>
    </row>
    <row r="4580" spans="6:6" ht="12.75" customHeight="1">
      <c r="F4580" s="32"/>
    </row>
    <row r="4581" spans="6:6" ht="12.75" customHeight="1">
      <c r="F4581" s="32"/>
    </row>
    <row r="4582" spans="6:6" ht="12.75" customHeight="1">
      <c r="F4582" s="32"/>
    </row>
    <row r="4583" spans="6:6" ht="12.75" customHeight="1">
      <c r="F4583" s="32"/>
    </row>
    <row r="4584" spans="6:6" ht="12.75" customHeight="1">
      <c r="F4584" s="32"/>
    </row>
    <row r="4585" spans="6:6" ht="12.75" customHeight="1">
      <c r="F4585" s="32"/>
    </row>
    <row r="4586" spans="6:6" ht="12.75" customHeight="1">
      <c r="F4586" s="32"/>
    </row>
    <row r="4587" spans="6:6" ht="12.75" customHeight="1">
      <c r="F4587" s="32"/>
    </row>
    <row r="4588" spans="6:6" ht="12.75" customHeight="1">
      <c r="F4588" s="32"/>
    </row>
    <row r="4589" spans="6:6" ht="12.75" customHeight="1">
      <c r="F4589" s="32"/>
    </row>
    <row r="4590" spans="6:6" ht="12.75" customHeight="1">
      <c r="F4590" s="32"/>
    </row>
    <row r="4591" spans="6:6" ht="12.75" customHeight="1">
      <c r="F4591" s="32"/>
    </row>
    <row r="4592" spans="6:6" ht="12.75" customHeight="1">
      <c r="F4592" s="32"/>
    </row>
    <row r="4593" spans="6:6" ht="12.75" customHeight="1">
      <c r="F4593" s="32"/>
    </row>
    <row r="4594" spans="6:6" ht="12.75" customHeight="1">
      <c r="F4594" s="32"/>
    </row>
    <row r="4595" spans="6:6" ht="12.75" customHeight="1">
      <c r="F4595" s="32"/>
    </row>
    <row r="4596" spans="6:6" ht="12.75" customHeight="1">
      <c r="F4596" s="32"/>
    </row>
    <row r="4597" spans="6:6" ht="12.75" customHeight="1">
      <c r="F4597" s="32"/>
    </row>
    <row r="4598" spans="6:6" ht="12.75" customHeight="1">
      <c r="F4598" s="32"/>
    </row>
    <row r="4599" spans="6:6" ht="12.75" customHeight="1">
      <c r="F4599" s="32"/>
    </row>
    <row r="4600" spans="6:6" ht="12.75" customHeight="1">
      <c r="F4600" s="32"/>
    </row>
    <row r="4601" spans="6:6" ht="12.75" customHeight="1">
      <c r="F4601" s="32"/>
    </row>
    <row r="4602" spans="6:6" ht="12.75" customHeight="1">
      <c r="F4602" s="32"/>
    </row>
    <row r="4603" spans="6:6" ht="12.75" customHeight="1">
      <c r="F4603" s="32"/>
    </row>
    <row r="4604" spans="6:6" ht="12.75" customHeight="1">
      <c r="F4604" s="32"/>
    </row>
    <row r="4605" spans="6:6" ht="12.75" customHeight="1">
      <c r="F4605" s="32"/>
    </row>
    <row r="4606" spans="6:6" ht="12.75" customHeight="1">
      <c r="F4606" s="32"/>
    </row>
    <row r="4607" spans="6:6" ht="12.75" customHeight="1">
      <c r="F4607" s="32"/>
    </row>
    <row r="4608" spans="6:6" ht="12.75" customHeight="1">
      <c r="F4608" s="32"/>
    </row>
    <row r="4609" spans="6:6" ht="12.75" customHeight="1">
      <c r="F4609" s="32"/>
    </row>
    <row r="4610" spans="6:6" ht="12.75" customHeight="1">
      <c r="F4610" s="32"/>
    </row>
    <row r="4611" spans="6:6" ht="12.75" customHeight="1">
      <c r="F4611" s="32"/>
    </row>
    <row r="4612" spans="6:6" ht="12.75" customHeight="1">
      <c r="F4612" s="32"/>
    </row>
    <row r="4613" spans="6:6" ht="12.75" customHeight="1">
      <c r="F4613" s="32"/>
    </row>
    <row r="4614" spans="6:6" ht="12.75" customHeight="1">
      <c r="F4614" s="32"/>
    </row>
    <row r="4615" spans="6:6" ht="12.75" customHeight="1">
      <c r="F4615" s="32"/>
    </row>
    <row r="4616" spans="6:6" ht="12.75" customHeight="1">
      <c r="F4616" s="32"/>
    </row>
    <row r="4617" spans="6:6" ht="12.75" customHeight="1">
      <c r="F4617" s="32"/>
    </row>
    <row r="4618" spans="6:6" ht="12.75" customHeight="1">
      <c r="F4618" s="32"/>
    </row>
    <row r="4619" spans="6:6" ht="12.75" customHeight="1">
      <c r="F4619" s="32"/>
    </row>
    <row r="4620" spans="6:6" ht="12.75" customHeight="1">
      <c r="F4620" s="32"/>
    </row>
    <row r="4621" spans="6:6" ht="12.75" customHeight="1">
      <c r="F4621" s="32"/>
    </row>
    <row r="4622" spans="6:6" ht="12.75" customHeight="1">
      <c r="F4622" s="32"/>
    </row>
    <row r="4623" spans="6:6" ht="12.75" customHeight="1">
      <c r="F4623" s="32"/>
    </row>
    <row r="4624" spans="6:6" ht="12.75" customHeight="1">
      <c r="F4624" s="32"/>
    </row>
    <row r="4625" spans="6:6" ht="12.75" customHeight="1">
      <c r="F4625" s="32"/>
    </row>
    <row r="4626" spans="6:6" ht="12.75" customHeight="1">
      <c r="F4626" s="32"/>
    </row>
    <row r="4627" spans="6:6" ht="12.75" customHeight="1">
      <c r="F4627" s="32"/>
    </row>
    <row r="4628" spans="6:6" ht="12.75" customHeight="1">
      <c r="F4628" s="32"/>
    </row>
    <row r="4629" spans="6:6" ht="12.75" customHeight="1">
      <c r="F4629" s="32"/>
    </row>
    <row r="4630" spans="6:6" ht="12.75" customHeight="1">
      <c r="F4630" s="32"/>
    </row>
    <row r="4631" spans="6:6" ht="12.75" customHeight="1">
      <c r="F4631" s="32"/>
    </row>
    <row r="4632" spans="6:6" ht="12.75" customHeight="1">
      <c r="F4632" s="32"/>
    </row>
    <row r="4633" spans="6:6" ht="12.75" customHeight="1">
      <c r="F4633" s="32"/>
    </row>
    <row r="4634" spans="6:6" ht="12.75" customHeight="1">
      <c r="F4634" s="32"/>
    </row>
    <row r="4635" spans="6:6" ht="12.75" customHeight="1">
      <c r="F4635" s="32"/>
    </row>
    <row r="4636" spans="6:6" ht="12.75" customHeight="1">
      <c r="F4636" s="32"/>
    </row>
    <row r="4637" spans="6:6" ht="12.75" customHeight="1">
      <c r="F4637" s="32"/>
    </row>
    <row r="4638" spans="6:6" ht="12.75" customHeight="1">
      <c r="F4638" s="32"/>
    </row>
    <row r="4639" spans="6:6" ht="12.75" customHeight="1">
      <c r="F4639" s="32"/>
    </row>
    <row r="4640" spans="6:6" ht="12.75" customHeight="1">
      <c r="F4640" s="32"/>
    </row>
    <row r="4641" spans="6:6" ht="12.75" customHeight="1">
      <c r="F4641" s="32"/>
    </row>
    <row r="4642" spans="6:6" ht="12.75" customHeight="1">
      <c r="F4642" s="32"/>
    </row>
    <row r="4643" spans="6:6" ht="12.75" customHeight="1">
      <c r="F4643" s="32"/>
    </row>
    <row r="4644" spans="6:6" ht="12.75" customHeight="1">
      <c r="F4644" s="32"/>
    </row>
    <row r="4645" spans="6:6" ht="12.75" customHeight="1">
      <c r="F4645" s="32"/>
    </row>
    <row r="4646" spans="6:6" ht="12.75" customHeight="1">
      <c r="F4646" s="32"/>
    </row>
    <row r="4647" spans="6:6" ht="12.75" customHeight="1">
      <c r="F4647" s="32"/>
    </row>
    <row r="4648" spans="6:6" ht="12.75" customHeight="1">
      <c r="F4648" s="32"/>
    </row>
    <row r="4649" spans="6:6" ht="12.75" customHeight="1">
      <c r="F4649" s="32"/>
    </row>
    <row r="4650" spans="6:6" ht="12.75" customHeight="1">
      <c r="F4650" s="32"/>
    </row>
    <row r="4651" spans="6:6" ht="12.75" customHeight="1">
      <c r="F4651" s="32"/>
    </row>
    <row r="4652" spans="6:6" ht="12.75" customHeight="1">
      <c r="F4652" s="32"/>
    </row>
    <row r="4653" spans="6:6" ht="12.75" customHeight="1">
      <c r="F4653" s="32"/>
    </row>
    <row r="4654" spans="6:6" ht="12.75" customHeight="1">
      <c r="F4654" s="32"/>
    </row>
    <row r="4655" spans="6:6" ht="12.75" customHeight="1">
      <c r="F4655" s="32"/>
    </row>
    <row r="4656" spans="6:6" ht="12.75" customHeight="1">
      <c r="F4656" s="32"/>
    </row>
    <row r="4657" spans="6:6" ht="12.75" customHeight="1">
      <c r="F4657" s="32"/>
    </row>
    <row r="4658" spans="6:6" ht="12.75" customHeight="1">
      <c r="F4658" s="32"/>
    </row>
    <row r="4659" spans="6:6" ht="12.75" customHeight="1">
      <c r="F4659" s="32"/>
    </row>
    <row r="4660" spans="6:6" ht="12.75" customHeight="1">
      <c r="F4660" s="32"/>
    </row>
    <row r="4661" spans="6:6" ht="12.75" customHeight="1">
      <c r="F4661" s="32"/>
    </row>
    <row r="4662" spans="6:6" ht="12.75" customHeight="1">
      <c r="F4662" s="32"/>
    </row>
    <row r="4663" spans="6:6" ht="12.75" customHeight="1">
      <c r="F4663" s="32"/>
    </row>
    <row r="4664" spans="6:6" ht="12.75" customHeight="1">
      <c r="F4664" s="32"/>
    </row>
    <row r="4665" spans="6:6" ht="12.75" customHeight="1">
      <c r="F4665" s="32"/>
    </row>
    <row r="4666" spans="6:6" ht="12.75" customHeight="1">
      <c r="F4666" s="32"/>
    </row>
    <row r="4667" spans="6:6" ht="12.75" customHeight="1">
      <c r="F4667" s="32"/>
    </row>
    <row r="4668" spans="6:6" ht="12.75" customHeight="1">
      <c r="F4668" s="32"/>
    </row>
    <row r="4669" spans="6:6" ht="12.75" customHeight="1">
      <c r="F4669" s="32"/>
    </row>
    <row r="4670" spans="6:6" ht="12.75" customHeight="1">
      <c r="F4670" s="32"/>
    </row>
    <row r="4671" spans="6:6" ht="12.75" customHeight="1">
      <c r="F4671" s="32"/>
    </row>
    <row r="4672" spans="6:6" ht="12.75" customHeight="1">
      <c r="F4672" s="32"/>
    </row>
    <row r="4673" spans="6:6" ht="12.75" customHeight="1">
      <c r="F4673" s="32"/>
    </row>
    <row r="4674" spans="6:6" ht="12.75" customHeight="1">
      <c r="F4674" s="32"/>
    </row>
    <row r="4675" spans="6:6" ht="12.75" customHeight="1">
      <c r="F4675" s="32"/>
    </row>
    <row r="4676" spans="6:6" ht="12.75" customHeight="1">
      <c r="F4676" s="32"/>
    </row>
    <row r="4677" spans="6:6" ht="12.75" customHeight="1">
      <c r="F4677" s="32"/>
    </row>
    <row r="4678" spans="6:6" ht="12.75" customHeight="1">
      <c r="F4678" s="32"/>
    </row>
    <row r="4679" spans="6:6" ht="12.75" customHeight="1">
      <c r="F4679" s="32"/>
    </row>
    <row r="4680" spans="6:6" ht="12.75" customHeight="1">
      <c r="F4680" s="32"/>
    </row>
    <row r="4681" spans="6:6" ht="12.75" customHeight="1">
      <c r="F4681" s="32"/>
    </row>
    <row r="4682" spans="6:6" ht="12.75" customHeight="1">
      <c r="F4682" s="32"/>
    </row>
    <row r="4683" spans="6:6" ht="12.75" customHeight="1">
      <c r="F4683" s="32"/>
    </row>
    <row r="4684" spans="6:6" ht="12.75" customHeight="1">
      <c r="F4684" s="32"/>
    </row>
    <row r="4685" spans="6:6" ht="12.75" customHeight="1">
      <c r="F4685" s="32"/>
    </row>
    <row r="4686" spans="6:6" ht="12.75" customHeight="1">
      <c r="F4686" s="32"/>
    </row>
    <row r="4687" spans="6:6" ht="12.75" customHeight="1">
      <c r="F4687" s="32"/>
    </row>
    <row r="4688" spans="6:6" ht="12.75" customHeight="1">
      <c r="F4688" s="32"/>
    </row>
    <row r="4689" spans="6:6" ht="12.75" customHeight="1">
      <c r="F4689" s="32"/>
    </row>
    <row r="4690" spans="6:6" ht="12.75" customHeight="1">
      <c r="F4690" s="32"/>
    </row>
    <row r="4691" spans="6:6" ht="12.75" customHeight="1">
      <c r="F4691" s="32"/>
    </row>
    <row r="4692" spans="6:6" ht="12.75" customHeight="1">
      <c r="F4692" s="32"/>
    </row>
    <row r="4693" spans="6:6" ht="12.75" customHeight="1">
      <c r="F4693" s="32"/>
    </row>
    <row r="4694" spans="6:6" ht="12.75" customHeight="1">
      <c r="F4694" s="32"/>
    </row>
    <row r="4695" spans="6:6" ht="12.75" customHeight="1">
      <c r="F4695" s="32"/>
    </row>
    <row r="4696" spans="6:6" ht="12.75" customHeight="1">
      <c r="F4696" s="32"/>
    </row>
    <row r="4697" spans="6:6" ht="12.75" customHeight="1">
      <c r="F4697" s="32"/>
    </row>
    <row r="4698" spans="6:6" ht="12.75" customHeight="1">
      <c r="F4698" s="32"/>
    </row>
    <row r="4699" spans="6:6" ht="12.75" customHeight="1">
      <c r="F4699" s="32"/>
    </row>
    <row r="4700" spans="6:6" ht="12.75" customHeight="1">
      <c r="F4700" s="32"/>
    </row>
    <row r="4701" spans="6:6" ht="12.75" customHeight="1">
      <c r="F4701" s="32"/>
    </row>
    <row r="4702" spans="6:6" ht="12.75" customHeight="1">
      <c r="F4702" s="32"/>
    </row>
    <row r="4703" spans="6:6" ht="12.75" customHeight="1">
      <c r="F4703" s="32"/>
    </row>
    <row r="4704" spans="6:6" ht="12.75" customHeight="1">
      <c r="F4704" s="32"/>
    </row>
    <row r="4705" spans="6:6" ht="12.75" customHeight="1">
      <c r="F4705" s="32"/>
    </row>
    <row r="4706" spans="6:6" ht="12.75" customHeight="1">
      <c r="F4706" s="32"/>
    </row>
    <row r="4707" spans="6:6" ht="12.75" customHeight="1">
      <c r="F4707" s="32"/>
    </row>
    <row r="4708" spans="6:6" ht="12.75" customHeight="1">
      <c r="F4708" s="32"/>
    </row>
    <row r="4709" spans="6:6" ht="12.75" customHeight="1">
      <c r="F4709" s="32"/>
    </row>
    <row r="4710" spans="6:6" ht="12.75" customHeight="1">
      <c r="F4710" s="32"/>
    </row>
    <row r="4711" spans="6:6" ht="12.75" customHeight="1">
      <c r="F4711" s="32"/>
    </row>
    <row r="4712" spans="6:6" ht="12.75" customHeight="1">
      <c r="F4712" s="32"/>
    </row>
    <row r="4713" spans="6:6" ht="12.75" customHeight="1">
      <c r="F4713" s="32"/>
    </row>
    <row r="4714" spans="6:6" ht="12.75" customHeight="1">
      <c r="F4714" s="32"/>
    </row>
    <row r="4715" spans="6:6" ht="12.75" customHeight="1">
      <c r="F4715" s="32"/>
    </row>
    <row r="4716" spans="6:6" ht="12.75" customHeight="1">
      <c r="F4716" s="32"/>
    </row>
    <row r="4717" spans="6:6" ht="12.75" customHeight="1">
      <c r="F4717" s="32"/>
    </row>
    <row r="4718" spans="6:6" ht="12.75" customHeight="1">
      <c r="F4718" s="32"/>
    </row>
    <row r="4719" spans="6:6" ht="12.75" customHeight="1">
      <c r="F4719" s="32"/>
    </row>
    <row r="4720" spans="6:6" ht="12.75" customHeight="1">
      <c r="F4720" s="32"/>
    </row>
    <row r="4721" spans="6:6" ht="12.75" customHeight="1">
      <c r="F4721" s="32"/>
    </row>
    <row r="4722" spans="6:6" ht="12.75" customHeight="1">
      <c r="F4722" s="32"/>
    </row>
    <row r="4723" spans="6:6" ht="12.75" customHeight="1">
      <c r="F4723" s="32"/>
    </row>
    <row r="4724" spans="6:6" ht="12.75" customHeight="1">
      <c r="F4724" s="32"/>
    </row>
    <row r="4725" spans="6:6" ht="12.75" customHeight="1">
      <c r="F4725" s="32"/>
    </row>
    <row r="4726" spans="6:6" ht="12.75" customHeight="1">
      <c r="F4726" s="32"/>
    </row>
    <row r="4727" spans="6:6" ht="12.75" customHeight="1">
      <c r="F4727" s="32"/>
    </row>
    <row r="4728" spans="6:6" ht="12.75" customHeight="1">
      <c r="F4728" s="32"/>
    </row>
    <row r="4729" spans="6:6" ht="12.75" customHeight="1">
      <c r="F4729" s="32"/>
    </row>
    <row r="4730" spans="6:6" ht="12.75" customHeight="1">
      <c r="F4730" s="32"/>
    </row>
    <row r="4731" spans="6:6" ht="12.75" customHeight="1">
      <c r="F4731" s="32"/>
    </row>
    <row r="4732" spans="6:6" ht="12.75" customHeight="1">
      <c r="F4732" s="32"/>
    </row>
    <row r="4733" spans="6:6" ht="12.75" customHeight="1">
      <c r="F4733" s="32"/>
    </row>
    <row r="4734" spans="6:6" ht="12.75" customHeight="1">
      <c r="F4734" s="32"/>
    </row>
    <row r="4735" spans="6:6" ht="12.75" customHeight="1">
      <c r="F4735" s="32"/>
    </row>
    <row r="4736" spans="6:6" ht="12.75" customHeight="1">
      <c r="F4736" s="32"/>
    </row>
    <row r="4737" spans="6:6" ht="12.75" customHeight="1">
      <c r="F4737" s="32"/>
    </row>
    <row r="4738" spans="6:6" ht="12.75" customHeight="1">
      <c r="F4738" s="32"/>
    </row>
    <row r="4739" spans="6:6" ht="12.75" customHeight="1">
      <c r="F4739" s="32"/>
    </row>
    <row r="4740" spans="6:6" ht="12.75" customHeight="1">
      <c r="F4740" s="32"/>
    </row>
    <row r="4741" spans="6:6" ht="12.75" customHeight="1">
      <c r="F4741" s="32"/>
    </row>
    <row r="4742" spans="6:6" ht="12.75" customHeight="1">
      <c r="F4742" s="32"/>
    </row>
    <row r="4743" spans="6:6" ht="12.75" customHeight="1">
      <c r="F4743" s="32"/>
    </row>
    <row r="4744" spans="6:6" ht="12.75" customHeight="1">
      <c r="F4744" s="32"/>
    </row>
    <row r="4745" spans="6:6" ht="12.75" customHeight="1">
      <c r="F4745" s="32"/>
    </row>
    <row r="4746" spans="6:6" ht="12.75" customHeight="1">
      <c r="F4746" s="32"/>
    </row>
    <row r="4747" spans="6:6" ht="12.75" customHeight="1">
      <c r="F4747" s="32"/>
    </row>
    <row r="4748" spans="6:6" ht="12.75" customHeight="1">
      <c r="F4748" s="32"/>
    </row>
    <row r="4749" spans="6:6" ht="12.75" customHeight="1">
      <c r="F4749" s="32"/>
    </row>
    <row r="4750" spans="6:6" ht="12.75" customHeight="1">
      <c r="F4750" s="32"/>
    </row>
    <row r="4751" spans="6:6" ht="12.75" customHeight="1">
      <c r="F4751" s="32"/>
    </row>
    <row r="4752" spans="6:6" ht="12.75" customHeight="1">
      <c r="F4752" s="32"/>
    </row>
    <row r="4753" spans="6:6" ht="12.75" customHeight="1">
      <c r="F4753" s="32"/>
    </row>
    <row r="4754" spans="6:6" ht="12.75" customHeight="1">
      <c r="F4754" s="32"/>
    </row>
    <row r="4755" spans="6:6" ht="12.75" customHeight="1">
      <c r="F4755" s="32"/>
    </row>
    <row r="4756" spans="6:6" ht="12.75" customHeight="1">
      <c r="F4756" s="32"/>
    </row>
    <row r="4757" spans="6:6" ht="12.75" customHeight="1">
      <c r="F4757" s="32"/>
    </row>
    <row r="4758" spans="6:6" ht="12.75" customHeight="1">
      <c r="F4758" s="32"/>
    </row>
    <row r="4759" spans="6:6" ht="12.75" customHeight="1">
      <c r="F4759" s="32"/>
    </row>
    <row r="4760" spans="6:6" ht="12.75" customHeight="1">
      <c r="F4760" s="32"/>
    </row>
    <row r="4761" spans="6:6" ht="12.75" customHeight="1">
      <c r="F4761" s="32"/>
    </row>
    <row r="4762" spans="6:6" ht="12.75" customHeight="1">
      <c r="F4762" s="32"/>
    </row>
    <row r="4763" spans="6:6" ht="12.75" customHeight="1">
      <c r="F4763" s="32"/>
    </row>
    <row r="4764" spans="6:6" ht="12.75" customHeight="1">
      <c r="F4764" s="32"/>
    </row>
    <row r="4765" spans="6:6" ht="12.75" customHeight="1">
      <c r="F4765" s="32"/>
    </row>
    <row r="4766" spans="6:6" ht="12.75" customHeight="1">
      <c r="F4766" s="32"/>
    </row>
    <row r="4767" spans="6:6" ht="12.75" customHeight="1">
      <c r="F4767" s="32"/>
    </row>
    <row r="4768" spans="6:6" ht="12.75" customHeight="1">
      <c r="F4768" s="32"/>
    </row>
    <row r="4769" spans="6:6" ht="12.75" customHeight="1">
      <c r="F4769" s="32"/>
    </row>
    <row r="4770" spans="6:6" ht="12.75" customHeight="1">
      <c r="F4770" s="32"/>
    </row>
    <row r="4771" spans="6:6" ht="12.75" customHeight="1">
      <c r="F4771" s="32"/>
    </row>
    <row r="4772" spans="6:6" ht="12.75" customHeight="1">
      <c r="F4772" s="32"/>
    </row>
    <row r="4773" spans="6:6" ht="12.75" customHeight="1">
      <c r="F4773" s="32"/>
    </row>
    <row r="4774" spans="6:6" ht="12.75" customHeight="1">
      <c r="F4774" s="32"/>
    </row>
    <row r="4775" spans="6:6" ht="12.75" customHeight="1">
      <c r="F4775" s="32"/>
    </row>
    <row r="4776" spans="6:6" ht="12.75" customHeight="1">
      <c r="F4776" s="32"/>
    </row>
    <row r="4777" spans="6:6" ht="12.75" customHeight="1">
      <c r="F4777" s="32"/>
    </row>
    <row r="4778" spans="6:6" ht="12.75" customHeight="1">
      <c r="F4778" s="32"/>
    </row>
    <row r="4779" spans="6:6" ht="12.75" customHeight="1">
      <c r="F4779" s="32"/>
    </row>
    <row r="4780" spans="6:6" ht="12.75" customHeight="1">
      <c r="F4780" s="32"/>
    </row>
    <row r="4781" spans="6:6" ht="12.75" customHeight="1">
      <c r="F4781" s="32"/>
    </row>
    <row r="4782" spans="6:6" ht="12.75" customHeight="1">
      <c r="F4782" s="32"/>
    </row>
    <row r="4783" spans="6:6" ht="12.75" customHeight="1">
      <c r="F4783" s="32"/>
    </row>
    <row r="4784" spans="6:6" ht="12.75" customHeight="1">
      <c r="F4784" s="32"/>
    </row>
    <row r="4785" spans="6:6" ht="12.75" customHeight="1">
      <c r="F4785" s="32"/>
    </row>
    <row r="4786" spans="6:6" ht="12.75" customHeight="1">
      <c r="F4786" s="32"/>
    </row>
    <row r="4787" spans="6:6" ht="12.75" customHeight="1">
      <c r="F4787" s="32"/>
    </row>
    <row r="4788" spans="6:6" ht="12.75" customHeight="1">
      <c r="F4788" s="32"/>
    </row>
    <row r="4789" spans="6:6" ht="12.75" customHeight="1">
      <c r="F4789" s="32"/>
    </row>
    <row r="4790" spans="6:6" ht="12.75" customHeight="1">
      <c r="F4790" s="32"/>
    </row>
    <row r="4791" spans="6:6" ht="12.75" customHeight="1">
      <c r="F4791" s="32"/>
    </row>
    <row r="4792" spans="6:6" ht="12.75" customHeight="1">
      <c r="F4792" s="32"/>
    </row>
    <row r="4793" spans="6:6" ht="12.75" customHeight="1">
      <c r="F4793" s="32"/>
    </row>
    <row r="4794" spans="6:6" ht="12.75" customHeight="1">
      <c r="F4794" s="32"/>
    </row>
    <row r="4795" spans="6:6" ht="12.75" customHeight="1">
      <c r="F4795" s="32"/>
    </row>
    <row r="4796" spans="6:6" ht="12.75" customHeight="1">
      <c r="F4796" s="32"/>
    </row>
    <row r="4797" spans="6:6" ht="12.75" customHeight="1">
      <c r="F4797" s="32"/>
    </row>
    <row r="4798" spans="6:6" ht="12.75" customHeight="1">
      <c r="F4798" s="32"/>
    </row>
    <row r="4799" spans="6:6" ht="12.75" customHeight="1">
      <c r="F4799" s="32"/>
    </row>
    <row r="4800" spans="6:6" ht="12.75" customHeight="1">
      <c r="F4800" s="32"/>
    </row>
    <row r="4801" spans="6:6" ht="12.75" customHeight="1">
      <c r="F4801" s="32"/>
    </row>
    <row r="4802" spans="6:6" ht="12.75" customHeight="1">
      <c r="F4802" s="32"/>
    </row>
    <row r="4803" spans="6:6" ht="12.75" customHeight="1">
      <c r="F4803" s="32"/>
    </row>
    <row r="4804" spans="6:6" ht="12.75" customHeight="1">
      <c r="F4804" s="32"/>
    </row>
    <row r="4805" spans="6:6" ht="12.75" customHeight="1">
      <c r="F4805" s="32"/>
    </row>
    <row r="4806" spans="6:6" ht="12.75" customHeight="1">
      <c r="F4806" s="32"/>
    </row>
    <row r="4807" spans="6:6" ht="12.75" customHeight="1">
      <c r="F4807" s="32"/>
    </row>
    <row r="4808" spans="6:6" ht="12.75" customHeight="1">
      <c r="F4808" s="32"/>
    </row>
    <row r="4809" spans="6:6" ht="12.75" customHeight="1">
      <c r="F4809" s="32"/>
    </row>
    <row r="4810" spans="6:6" ht="12.75" customHeight="1">
      <c r="F4810" s="32"/>
    </row>
    <row r="4811" spans="6:6" ht="12.75" customHeight="1">
      <c r="F4811" s="32"/>
    </row>
    <row r="4812" spans="6:6" ht="12.75" customHeight="1">
      <c r="F4812" s="32"/>
    </row>
    <row r="4813" spans="6:6" ht="12.75" customHeight="1">
      <c r="F4813" s="32"/>
    </row>
    <row r="4814" spans="6:6" ht="12.75" customHeight="1">
      <c r="F4814" s="32"/>
    </row>
    <row r="4815" spans="6:6" ht="12.75" customHeight="1">
      <c r="F4815" s="32"/>
    </row>
    <row r="4816" spans="6:6" ht="12.75" customHeight="1">
      <c r="F4816" s="32"/>
    </row>
    <row r="4817" spans="6:6" ht="12.75" customHeight="1">
      <c r="F4817" s="32"/>
    </row>
    <row r="4818" spans="6:6" ht="12.75" customHeight="1">
      <c r="F4818" s="32"/>
    </row>
    <row r="4819" spans="6:6" ht="12.75" customHeight="1">
      <c r="F4819" s="32"/>
    </row>
    <row r="4820" spans="6:6" ht="12.75" customHeight="1">
      <c r="F4820" s="32"/>
    </row>
    <row r="4821" spans="6:6" ht="12.75" customHeight="1">
      <c r="F4821" s="32"/>
    </row>
    <row r="4822" spans="6:6" ht="12.75" customHeight="1">
      <c r="F4822" s="32"/>
    </row>
    <row r="4823" spans="6:6" ht="12.75" customHeight="1">
      <c r="F4823" s="32"/>
    </row>
    <row r="4824" spans="6:6" ht="12.75" customHeight="1">
      <c r="F4824" s="32"/>
    </row>
    <row r="4825" spans="6:6" ht="12.75" customHeight="1">
      <c r="F4825" s="32"/>
    </row>
    <row r="4826" spans="6:6" ht="12.75" customHeight="1">
      <c r="F4826" s="32"/>
    </row>
    <row r="4827" spans="6:6" ht="12.75" customHeight="1">
      <c r="F4827" s="32"/>
    </row>
    <row r="4828" spans="6:6" ht="12.75" customHeight="1">
      <c r="F4828" s="32"/>
    </row>
    <row r="4829" spans="6:6" ht="12.75" customHeight="1">
      <c r="F4829" s="32"/>
    </row>
    <row r="4830" spans="6:6" ht="12.75" customHeight="1">
      <c r="F4830" s="32"/>
    </row>
    <row r="4831" spans="6:6" ht="12.75" customHeight="1">
      <c r="F4831" s="32"/>
    </row>
    <row r="4832" spans="6:6" ht="12.75" customHeight="1">
      <c r="F4832" s="32"/>
    </row>
    <row r="4833" spans="6:6" ht="12.75" customHeight="1">
      <c r="F4833" s="32"/>
    </row>
    <row r="4834" spans="6:6" ht="12.75" customHeight="1">
      <c r="F4834" s="32"/>
    </row>
    <row r="4835" spans="6:6" ht="12.75" customHeight="1">
      <c r="F4835" s="32"/>
    </row>
    <row r="4836" spans="6:6" ht="12.75" customHeight="1">
      <c r="F4836" s="32"/>
    </row>
    <row r="4837" spans="6:6" ht="12.75" customHeight="1">
      <c r="F4837" s="32"/>
    </row>
    <row r="4838" spans="6:6" ht="12.75" customHeight="1">
      <c r="F4838" s="32"/>
    </row>
    <row r="4839" spans="6:6" ht="12.75" customHeight="1">
      <c r="F4839" s="32"/>
    </row>
    <row r="4840" spans="6:6" ht="12.75" customHeight="1">
      <c r="F4840" s="32"/>
    </row>
    <row r="4841" spans="6:6" ht="12.75" customHeight="1">
      <c r="F4841" s="32"/>
    </row>
    <row r="4842" spans="6:6" ht="12.75" customHeight="1">
      <c r="F4842" s="32"/>
    </row>
    <row r="4843" spans="6:6" ht="12.75" customHeight="1">
      <c r="F4843" s="32"/>
    </row>
    <row r="4844" spans="6:6" ht="12.75" customHeight="1">
      <c r="F4844" s="32"/>
    </row>
    <row r="4845" spans="6:6" ht="12.75" customHeight="1">
      <c r="F4845" s="32"/>
    </row>
    <row r="4846" spans="6:6" ht="12.75" customHeight="1">
      <c r="F4846" s="32"/>
    </row>
    <row r="4847" spans="6:6" ht="12.75" customHeight="1">
      <c r="F4847" s="32"/>
    </row>
    <row r="4848" spans="6:6" ht="12.75" customHeight="1">
      <c r="F4848" s="32"/>
    </row>
    <row r="4849" spans="6:6" ht="12.75" customHeight="1">
      <c r="F4849" s="32"/>
    </row>
    <row r="4850" spans="6:6" ht="12.75" customHeight="1">
      <c r="F4850" s="32"/>
    </row>
    <row r="4851" spans="6:6" ht="12.75" customHeight="1">
      <c r="F4851" s="32"/>
    </row>
    <row r="4852" spans="6:6" ht="12.75" customHeight="1">
      <c r="F4852" s="32"/>
    </row>
    <row r="4853" spans="6:6" ht="12.75" customHeight="1">
      <c r="F4853" s="32"/>
    </row>
    <row r="4854" spans="6:6" ht="12.75" customHeight="1">
      <c r="F4854" s="32"/>
    </row>
    <row r="4855" spans="6:6" ht="12.75" customHeight="1">
      <c r="F4855" s="32"/>
    </row>
    <row r="4856" spans="6:6" ht="12.75" customHeight="1">
      <c r="F4856" s="32"/>
    </row>
    <row r="4857" spans="6:6" ht="12.75" customHeight="1">
      <c r="F4857" s="32"/>
    </row>
    <row r="4858" spans="6:6" ht="12.75" customHeight="1">
      <c r="F4858" s="32"/>
    </row>
    <row r="4859" spans="6:6" ht="12.75" customHeight="1">
      <c r="F4859" s="32"/>
    </row>
    <row r="4860" spans="6:6" ht="12.75" customHeight="1">
      <c r="F4860" s="32"/>
    </row>
    <row r="4861" spans="6:6" ht="12.75" customHeight="1">
      <c r="F4861" s="32"/>
    </row>
    <row r="4862" spans="6:6" ht="12.75" customHeight="1">
      <c r="F4862" s="32"/>
    </row>
    <row r="4863" spans="6:6" ht="12.75" customHeight="1">
      <c r="F4863" s="32"/>
    </row>
    <row r="4864" spans="6:6" ht="12.75" customHeight="1">
      <c r="F4864" s="32"/>
    </row>
    <row r="4865" spans="6:6" ht="12.75" customHeight="1">
      <c r="F4865" s="32"/>
    </row>
    <row r="4866" spans="6:6" ht="12.75" customHeight="1">
      <c r="F4866" s="32"/>
    </row>
    <row r="4867" spans="6:6" ht="12.75" customHeight="1">
      <c r="F4867" s="32"/>
    </row>
    <row r="4868" spans="6:6" ht="12.75" customHeight="1">
      <c r="F4868" s="32"/>
    </row>
    <row r="4869" spans="6:6" ht="12.75" customHeight="1">
      <c r="F4869" s="32"/>
    </row>
    <row r="4870" spans="6:6" ht="12.75" customHeight="1">
      <c r="F4870" s="32"/>
    </row>
    <row r="4871" spans="6:6" ht="12.75" customHeight="1">
      <c r="F4871" s="32"/>
    </row>
    <row r="4872" spans="6:6" ht="12.75" customHeight="1">
      <c r="F4872" s="32"/>
    </row>
    <row r="4873" spans="6:6" ht="12.75" customHeight="1">
      <c r="F4873" s="32"/>
    </row>
    <row r="4874" spans="6:6" ht="12.75" customHeight="1">
      <c r="F4874" s="32"/>
    </row>
    <row r="4875" spans="6:6" ht="12.75" customHeight="1">
      <c r="F4875" s="32"/>
    </row>
    <row r="4876" spans="6:6" ht="12.75" customHeight="1">
      <c r="F4876" s="32"/>
    </row>
    <row r="4877" spans="6:6" ht="12.75" customHeight="1">
      <c r="F4877" s="32"/>
    </row>
    <row r="4878" spans="6:6" ht="12.75" customHeight="1">
      <c r="F4878" s="32"/>
    </row>
    <row r="4879" spans="6:6" ht="12.75" customHeight="1">
      <c r="F4879" s="32"/>
    </row>
    <row r="4880" spans="6:6" ht="12.75" customHeight="1">
      <c r="F4880" s="32"/>
    </row>
    <row r="4881" spans="6:6" ht="12.75" customHeight="1">
      <c r="F4881" s="32"/>
    </row>
    <row r="4882" spans="6:6" ht="12.75" customHeight="1">
      <c r="F4882" s="32"/>
    </row>
    <row r="4883" spans="6:6" ht="12.75" customHeight="1">
      <c r="F4883" s="32"/>
    </row>
    <row r="4884" spans="6:6" ht="12.75" customHeight="1">
      <c r="F4884" s="32"/>
    </row>
    <row r="4885" spans="6:6" ht="12.75" customHeight="1">
      <c r="F4885" s="32"/>
    </row>
    <row r="4886" spans="6:6" ht="12.75" customHeight="1">
      <c r="F4886" s="32"/>
    </row>
    <row r="4887" spans="6:6" ht="12.75" customHeight="1">
      <c r="F4887" s="32"/>
    </row>
    <row r="4888" spans="6:6" ht="12.75" customHeight="1">
      <c r="F4888" s="32"/>
    </row>
    <row r="4889" spans="6:6" ht="12.75" customHeight="1">
      <c r="F4889" s="32"/>
    </row>
    <row r="4890" spans="6:6" ht="12.75" customHeight="1">
      <c r="F4890" s="32"/>
    </row>
    <row r="4891" spans="6:6" ht="12.75" customHeight="1">
      <c r="F4891" s="32"/>
    </row>
    <row r="4892" spans="6:6" ht="12.75" customHeight="1">
      <c r="F4892" s="32"/>
    </row>
    <row r="4893" spans="6:6" ht="12.75" customHeight="1">
      <c r="F4893" s="32"/>
    </row>
    <row r="4894" spans="6:6" ht="12.75" customHeight="1">
      <c r="F4894" s="32"/>
    </row>
    <row r="4895" spans="6:6" ht="12.75" customHeight="1">
      <c r="F4895" s="32"/>
    </row>
    <row r="4896" spans="6:6" ht="12.75" customHeight="1">
      <c r="F4896" s="32"/>
    </row>
    <row r="4897" spans="6:6" ht="12.75" customHeight="1">
      <c r="F4897" s="32"/>
    </row>
    <row r="4898" spans="6:6" ht="12.75" customHeight="1">
      <c r="F4898" s="32"/>
    </row>
    <row r="4899" spans="6:6" ht="12.75" customHeight="1">
      <c r="F4899" s="32"/>
    </row>
    <row r="4900" spans="6:6" ht="12.75" customHeight="1">
      <c r="F4900" s="32"/>
    </row>
    <row r="4901" spans="6:6" ht="12.75" customHeight="1">
      <c r="F4901" s="32"/>
    </row>
    <row r="4902" spans="6:6" ht="12.75" customHeight="1">
      <c r="F4902" s="32"/>
    </row>
    <row r="4903" spans="6:6" ht="12.75" customHeight="1">
      <c r="F4903" s="32"/>
    </row>
    <row r="4904" spans="6:6" ht="12.75" customHeight="1">
      <c r="F4904" s="32"/>
    </row>
    <row r="4905" spans="6:6" ht="12.75" customHeight="1">
      <c r="F4905" s="32"/>
    </row>
    <row r="4906" spans="6:6" ht="12.75" customHeight="1">
      <c r="F4906" s="32"/>
    </row>
    <row r="4907" spans="6:6" ht="12.75" customHeight="1">
      <c r="F4907" s="32"/>
    </row>
    <row r="4908" spans="6:6" ht="12.75" customHeight="1">
      <c r="F4908" s="32"/>
    </row>
    <row r="4909" spans="6:6" ht="12.75" customHeight="1">
      <c r="F4909" s="32"/>
    </row>
    <row r="4910" spans="6:6" ht="12.75" customHeight="1">
      <c r="F4910" s="32"/>
    </row>
    <row r="4911" spans="6:6" ht="12.75" customHeight="1">
      <c r="F4911" s="32"/>
    </row>
    <row r="4912" spans="6:6" ht="12.75" customHeight="1">
      <c r="F4912" s="32"/>
    </row>
    <row r="4913" spans="6:6" ht="12.75" customHeight="1">
      <c r="F4913" s="32"/>
    </row>
    <row r="4914" spans="6:6" ht="12.75" customHeight="1">
      <c r="F4914" s="32"/>
    </row>
    <row r="4915" spans="6:6" ht="12.75" customHeight="1">
      <c r="F4915" s="32"/>
    </row>
    <row r="4916" spans="6:6" ht="12.75" customHeight="1">
      <c r="F4916" s="32"/>
    </row>
    <row r="4917" spans="6:6" ht="12.75" customHeight="1">
      <c r="F4917" s="32"/>
    </row>
    <row r="4918" spans="6:6" ht="12.75" customHeight="1">
      <c r="F4918" s="32"/>
    </row>
    <row r="4919" spans="6:6" ht="12.75" customHeight="1">
      <c r="F4919" s="32"/>
    </row>
    <row r="4920" spans="6:6" ht="12.75" customHeight="1">
      <c r="F4920" s="32"/>
    </row>
    <row r="4921" spans="6:6" ht="12.75" customHeight="1">
      <c r="F4921" s="32"/>
    </row>
    <row r="4922" spans="6:6" ht="12.75" customHeight="1">
      <c r="F4922" s="32"/>
    </row>
    <row r="4923" spans="6:6" ht="12.75" customHeight="1">
      <c r="F4923" s="32"/>
    </row>
    <row r="4924" spans="6:6" ht="12.75" customHeight="1">
      <c r="F4924" s="32"/>
    </row>
    <row r="4925" spans="6:6" ht="12.75" customHeight="1">
      <c r="F4925" s="32"/>
    </row>
    <row r="4926" spans="6:6" ht="12.75" customHeight="1">
      <c r="F4926" s="32"/>
    </row>
    <row r="4927" spans="6:6" ht="12.75" customHeight="1">
      <c r="F4927" s="32"/>
    </row>
    <row r="4928" spans="6:6" ht="12.75" customHeight="1">
      <c r="F4928" s="32"/>
    </row>
    <row r="4929" spans="6:6" ht="12.75" customHeight="1">
      <c r="F4929" s="32"/>
    </row>
    <row r="4930" spans="6:6" ht="12.75" customHeight="1">
      <c r="F4930" s="32"/>
    </row>
    <row r="4931" spans="6:6" ht="12.75" customHeight="1">
      <c r="F4931" s="32"/>
    </row>
    <row r="4932" spans="6:6" ht="12.75" customHeight="1">
      <c r="F4932" s="32"/>
    </row>
    <row r="4933" spans="6:6" ht="12.75" customHeight="1">
      <c r="F4933" s="32"/>
    </row>
    <row r="4934" spans="6:6" ht="12.75" customHeight="1">
      <c r="F4934" s="32"/>
    </row>
    <row r="4935" spans="6:6" ht="12.75" customHeight="1">
      <c r="F4935" s="32"/>
    </row>
    <row r="4936" spans="6:6" ht="12.75" customHeight="1">
      <c r="F4936" s="32"/>
    </row>
    <row r="4937" spans="6:6" ht="12.75" customHeight="1">
      <c r="F4937" s="32"/>
    </row>
    <row r="4938" spans="6:6" ht="12.75" customHeight="1">
      <c r="F4938" s="32"/>
    </row>
    <row r="4939" spans="6:6" ht="12.75" customHeight="1">
      <c r="F4939" s="32"/>
    </row>
    <row r="4940" spans="6:6" ht="12.75" customHeight="1">
      <c r="F4940" s="32"/>
    </row>
    <row r="4941" spans="6:6" ht="12.75" customHeight="1">
      <c r="F4941" s="32"/>
    </row>
    <row r="4942" spans="6:6" ht="12.75" customHeight="1">
      <c r="F4942" s="32"/>
    </row>
    <row r="4943" spans="6:6" ht="12.75" customHeight="1">
      <c r="F4943" s="32"/>
    </row>
    <row r="4944" spans="6:6" ht="12.75" customHeight="1">
      <c r="F4944" s="32"/>
    </row>
    <row r="4945" spans="6:6" ht="12.75" customHeight="1">
      <c r="F4945" s="32"/>
    </row>
    <row r="4946" spans="6:6" ht="12.75" customHeight="1">
      <c r="F4946" s="32"/>
    </row>
    <row r="4947" spans="6:6" ht="12.75" customHeight="1">
      <c r="F4947" s="32"/>
    </row>
    <row r="4948" spans="6:6" ht="12.75" customHeight="1">
      <c r="F4948" s="32"/>
    </row>
    <row r="4949" spans="6:6" ht="12.75" customHeight="1">
      <c r="F4949" s="32"/>
    </row>
    <row r="4950" spans="6:6" ht="12.75" customHeight="1">
      <c r="F4950" s="32"/>
    </row>
    <row r="4951" spans="6:6" ht="12.75" customHeight="1">
      <c r="F4951" s="32"/>
    </row>
    <row r="4952" spans="6:6" ht="12.75" customHeight="1">
      <c r="F4952" s="32"/>
    </row>
    <row r="4953" spans="6:6" ht="12.75" customHeight="1">
      <c r="F4953" s="32"/>
    </row>
    <row r="4954" spans="6:6" ht="12.75" customHeight="1">
      <c r="F4954" s="32"/>
    </row>
    <row r="4955" spans="6:6" ht="12.75" customHeight="1">
      <c r="F4955" s="32"/>
    </row>
    <row r="4956" spans="6:6" ht="12.75" customHeight="1">
      <c r="F4956" s="32"/>
    </row>
    <row r="4957" spans="6:6" ht="12.75" customHeight="1">
      <c r="F4957" s="32"/>
    </row>
    <row r="4958" spans="6:6" ht="12.75" customHeight="1">
      <c r="F4958" s="32"/>
    </row>
    <row r="4959" spans="6:6" ht="12.75" customHeight="1">
      <c r="F4959" s="32"/>
    </row>
    <row r="4960" spans="6:6" ht="12.75" customHeight="1">
      <c r="F4960" s="32"/>
    </row>
    <row r="4961" spans="6:6" ht="12.75" customHeight="1">
      <c r="F4961" s="32"/>
    </row>
    <row r="4962" spans="6:6" ht="12.75" customHeight="1">
      <c r="F4962" s="32"/>
    </row>
    <row r="4963" spans="6:6" ht="12.75" customHeight="1">
      <c r="F4963" s="32"/>
    </row>
    <row r="4964" spans="6:6" ht="12.75" customHeight="1">
      <c r="F4964" s="32"/>
    </row>
    <row r="4965" spans="6:6" ht="12.75" customHeight="1">
      <c r="F4965" s="32"/>
    </row>
    <row r="4966" spans="6:6" ht="12.75" customHeight="1">
      <c r="F4966" s="32"/>
    </row>
    <row r="4967" spans="6:6" ht="12.75" customHeight="1">
      <c r="F4967" s="32"/>
    </row>
    <row r="4968" spans="6:6" ht="12.75" customHeight="1">
      <c r="F4968" s="32"/>
    </row>
    <row r="4969" spans="6:6" ht="12.75" customHeight="1">
      <c r="F4969" s="32"/>
    </row>
    <row r="4970" spans="6:6" ht="12.75" customHeight="1">
      <c r="F4970" s="32"/>
    </row>
    <row r="4971" spans="6:6" ht="12.75" customHeight="1">
      <c r="F4971" s="32"/>
    </row>
    <row r="4972" spans="6:6" ht="12.75" customHeight="1">
      <c r="F4972" s="32"/>
    </row>
    <row r="4973" spans="6:6" ht="12.75" customHeight="1">
      <c r="F4973" s="32"/>
    </row>
    <row r="4974" spans="6:6" ht="12.75" customHeight="1">
      <c r="F4974" s="32"/>
    </row>
    <row r="4975" spans="6:6" ht="12.75" customHeight="1">
      <c r="F4975" s="32"/>
    </row>
    <row r="4976" spans="6:6" ht="12.75" customHeight="1">
      <c r="F4976" s="32"/>
    </row>
    <row r="4977" spans="6:6" ht="12.75" customHeight="1">
      <c r="F4977" s="32"/>
    </row>
    <row r="4978" spans="6:6" ht="12.75" customHeight="1">
      <c r="F4978" s="32"/>
    </row>
    <row r="4979" spans="6:6" ht="12.75" customHeight="1">
      <c r="F4979" s="32"/>
    </row>
    <row r="4980" spans="6:6" ht="12.75" customHeight="1">
      <c r="F4980" s="32"/>
    </row>
    <row r="4981" spans="6:6" ht="12.75" customHeight="1">
      <c r="F4981" s="32"/>
    </row>
    <row r="4982" spans="6:6" ht="12.75" customHeight="1">
      <c r="F4982" s="32"/>
    </row>
    <row r="4983" spans="6:6" ht="12.75" customHeight="1">
      <c r="F4983" s="32"/>
    </row>
    <row r="4984" spans="6:6" ht="12.75" customHeight="1">
      <c r="F4984" s="32"/>
    </row>
    <row r="4985" spans="6:6" ht="12.75" customHeight="1">
      <c r="F4985" s="32"/>
    </row>
    <row r="4986" spans="6:6" ht="12.75" customHeight="1">
      <c r="F4986" s="32"/>
    </row>
    <row r="4987" spans="6:6" ht="12.75" customHeight="1">
      <c r="F4987" s="32"/>
    </row>
    <row r="4988" spans="6:6" ht="12.75" customHeight="1">
      <c r="F4988" s="32"/>
    </row>
    <row r="4989" spans="6:6" ht="12.75" customHeight="1">
      <c r="F4989" s="32"/>
    </row>
    <row r="4990" spans="6:6" ht="12.75" customHeight="1">
      <c r="F4990" s="32"/>
    </row>
    <row r="4991" spans="6:6" ht="12.75" customHeight="1">
      <c r="F4991" s="32"/>
    </row>
    <row r="4992" spans="6:6" ht="12.75" customHeight="1">
      <c r="F4992" s="32"/>
    </row>
    <row r="4993" spans="6:6" ht="12.75" customHeight="1">
      <c r="F4993" s="32"/>
    </row>
    <row r="4994" spans="6:6" ht="12.75" customHeight="1">
      <c r="F4994" s="32"/>
    </row>
    <row r="4995" spans="6:6" ht="12.75" customHeight="1">
      <c r="F4995" s="32"/>
    </row>
    <row r="4996" spans="6:6" ht="12.75" customHeight="1">
      <c r="F4996" s="32"/>
    </row>
    <row r="4997" spans="6:6" ht="12.75" customHeight="1">
      <c r="F4997" s="32"/>
    </row>
    <row r="4998" spans="6:6" ht="12.75" customHeight="1">
      <c r="F4998" s="32"/>
    </row>
    <row r="4999" spans="6:6" ht="12.75" customHeight="1">
      <c r="F4999" s="32"/>
    </row>
    <row r="5000" spans="6:6" ht="12.75" customHeight="1">
      <c r="F5000" s="32"/>
    </row>
    <row r="5001" spans="6:6" ht="12.75" customHeight="1">
      <c r="F5001" s="32"/>
    </row>
    <row r="5002" spans="6:6" ht="12.75" customHeight="1">
      <c r="F5002" s="32"/>
    </row>
    <row r="5003" spans="6:6" ht="12.75" customHeight="1">
      <c r="F5003" s="32"/>
    </row>
    <row r="5004" spans="6:6" ht="12.75" customHeight="1">
      <c r="F5004" s="32"/>
    </row>
    <row r="5005" spans="6:6" ht="12.75" customHeight="1">
      <c r="F5005" s="32"/>
    </row>
    <row r="5006" spans="6:6" ht="12.75" customHeight="1">
      <c r="F5006" s="32"/>
    </row>
    <row r="5007" spans="6:6" ht="12.75" customHeight="1">
      <c r="F5007" s="32"/>
    </row>
    <row r="5008" spans="6:6" ht="12.75" customHeight="1">
      <c r="F5008" s="32"/>
    </row>
    <row r="5009" spans="6:6" ht="12.75" customHeight="1">
      <c r="F5009" s="32"/>
    </row>
    <row r="5010" spans="6:6" ht="12.75" customHeight="1">
      <c r="F5010" s="32"/>
    </row>
    <row r="5011" spans="6:6" ht="12.75" customHeight="1">
      <c r="F5011" s="32"/>
    </row>
    <row r="5012" spans="6:6" ht="12.75" customHeight="1">
      <c r="F5012" s="32"/>
    </row>
    <row r="5013" spans="6:6" ht="12.75" customHeight="1">
      <c r="F5013" s="32"/>
    </row>
    <row r="5014" spans="6:6" ht="12.75" customHeight="1">
      <c r="F5014" s="32"/>
    </row>
    <row r="5015" spans="6:6" ht="12.75" customHeight="1">
      <c r="F5015" s="32"/>
    </row>
    <row r="5016" spans="6:6" ht="12.75" customHeight="1">
      <c r="F5016" s="32"/>
    </row>
    <row r="5017" spans="6:6" ht="12.75" customHeight="1">
      <c r="F5017" s="32"/>
    </row>
    <row r="5018" spans="6:6" ht="12.75" customHeight="1">
      <c r="F5018" s="32"/>
    </row>
    <row r="5019" spans="6:6" ht="12.75" customHeight="1">
      <c r="F5019" s="32"/>
    </row>
    <row r="5020" spans="6:6" ht="12.75" customHeight="1">
      <c r="F5020" s="32"/>
    </row>
    <row r="5021" spans="6:6" ht="12.75" customHeight="1">
      <c r="F5021" s="32"/>
    </row>
    <row r="5022" spans="6:6" ht="12.75" customHeight="1">
      <c r="F5022" s="32"/>
    </row>
    <row r="5023" spans="6:6" ht="12.75" customHeight="1">
      <c r="F5023" s="32"/>
    </row>
    <row r="5024" spans="6:6" ht="12.75" customHeight="1">
      <c r="F5024" s="32"/>
    </row>
    <row r="5025" spans="6:6" ht="12.75" customHeight="1">
      <c r="F5025" s="32"/>
    </row>
    <row r="5026" spans="6:6" ht="12.75" customHeight="1">
      <c r="F5026" s="32"/>
    </row>
    <row r="5027" spans="6:6" ht="12.75" customHeight="1">
      <c r="F5027" s="32"/>
    </row>
    <row r="5028" spans="6:6" ht="12.75" customHeight="1">
      <c r="F5028" s="32"/>
    </row>
    <row r="5029" spans="6:6" ht="12.75" customHeight="1">
      <c r="F5029" s="32"/>
    </row>
    <row r="5030" spans="6:6" ht="12.75" customHeight="1">
      <c r="F5030" s="32"/>
    </row>
    <row r="5031" spans="6:6" ht="12.75" customHeight="1">
      <c r="F5031" s="32"/>
    </row>
    <row r="5032" spans="6:6" ht="12.75" customHeight="1">
      <c r="F5032" s="32"/>
    </row>
    <row r="5033" spans="6:6" ht="12.75" customHeight="1">
      <c r="F5033" s="32"/>
    </row>
    <row r="5034" spans="6:6" ht="12.75" customHeight="1">
      <c r="F5034" s="32"/>
    </row>
    <row r="5035" spans="6:6" ht="12.75" customHeight="1">
      <c r="F5035" s="32"/>
    </row>
    <row r="5036" spans="6:6" ht="12.75" customHeight="1">
      <c r="F5036" s="32"/>
    </row>
    <row r="5037" spans="6:6" ht="12.75" customHeight="1">
      <c r="F5037" s="32"/>
    </row>
    <row r="5038" spans="6:6" ht="12.75" customHeight="1">
      <c r="F5038" s="32"/>
    </row>
    <row r="5039" spans="6:6" ht="12.75" customHeight="1">
      <c r="F5039" s="32"/>
    </row>
    <row r="5040" spans="6:6" ht="12.75" customHeight="1">
      <c r="F5040" s="32"/>
    </row>
    <row r="5041" spans="6:6" ht="12.75" customHeight="1">
      <c r="F5041" s="32"/>
    </row>
    <row r="5042" spans="6:6" ht="12.75" customHeight="1">
      <c r="F5042" s="32"/>
    </row>
    <row r="5043" spans="6:6" ht="12.75" customHeight="1">
      <c r="F5043" s="32"/>
    </row>
    <row r="5044" spans="6:6" ht="12.75" customHeight="1">
      <c r="F5044" s="32"/>
    </row>
    <row r="5045" spans="6:6" ht="12.75" customHeight="1">
      <c r="F5045" s="32"/>
    </row>
    <row r="5046" spans="6:6" ht="12.75" customHeight="1">
      <c r="F5046" s="32"/>
    </row>
    <row r="5047" spans="6:6" ht="12.75" customHeight="1">
      <c r="F5047" s="32"/>
    </row>
    <row r="5048" spans="6:6" ht="12.75" customHeight="1">
      <c r="F5048" s="32"/>
    </row>
    <row r="5049" spans="6:6" ht="12.75" customHeight="1">
      <c r="F5049" s="32"/>
    </row>
    <row r="5050" spans="6:6" ht="12.75" customHeight="1">
      <c r="F5050" s="32"/>
    </row>
    <row r="5051" spans="6:6" ht="12.75" customHeight="1">
      <c r="F5051" s="32"/>
    </row>
    <row r="5052" spans="6:6" ht="12.75" customHeight="1">
      <c r="F5052" s="32"/>
    </row>
    <row r="5053" spans="6:6" ht="12.75" customHeight="1">
      <c r="F5053" s="32"/>
    </row>
    <row r="5054" spans="6:6" ht="12.75" customHeight="1">
      <c r="F5054" s="32"/>
    </row>
    <row r="5055" spans="6:6" ht="12.75" customHeight="1">
      <c r="F5055" s="32"/>
    </row>
    <row r="5056" spans="6:6" ht="12.75" customHeight="1">
      <c r="F5056" s="32"/>
    </row>
    <row r="5057" spans="6:6" ht="12.75" customHeight="1">
      <c r="F5057" s="32"/>
    </row>
    <row r="5058" spans="6:6" ht="12.75" customHeight="1">
      <c r="F5058" s="32"/>
    </row>
    <row r="5059" spans="6:6" ht="12.75" customHeight="1">
      <c r="F5059" s="32"/>
    </row>
    <row r="5060" spans="6:6" ht="12.75" customHeight="1">
      <c r="F5060" s="32"/>
    </row>
    <row r="5061" spans="6:6" ht="12.75" customHeight="1">
      <c r="F5061" s="32"/>
    </row>
    <row r="5062" spans="6:6" ht="12.75" customHeight="1">
      <c r="F5062" s="32"/>
    </row>
    <row r="5063" spans="6:6" ht="12.75" customHeight="1">
      <c r="F5063" s="32"/>
    </row>
    <row r="5064" spans="6:6" ht="12.75" customHeight="1">
      <c r="F5064" s="32"/>
    </row>
    <row r="5065" spans="6:6" ht="12.75" customHeight="1">
      <c r="F5065" s="32"/>
    </row>
    <row r="5066" spans="6:6" ht="12.75" customHeight="1">
      <c r="F5066" s="32"/>
    </row>
    <row r="5067" spans="6:6" ht="12.75" customHeight="1">
      <c r="F5067" s="32"/>
    </row>
    <row r="5068" spans="6:6" ht="12.75" customHeight="1">
      <c r="F5068" s="32"/>
    </row>
    <row r="5069" spans="6:6" ht="12.75" customHeight="1">
      <c r="F5069" s="32"/>
    </row>
    <row r="5070" spans="6:6" ht="12.75" customHeight="1">
      <c r="F5070" s="32"/>
    </row>
    <row r="5071" spans="6:6" ht="12.75" customHeight="1">
      <c r="F5071" s="32"/>
    </row>
    <row r="5072" spans="6:6" ht="12.75" customHeight="1">
      <c r="F5072" s="32"/>
    </row>
    <row r="5073" spans="6:6" ht="12.75" customHeight="1">
      <c r="F5073" s="32"/>
    </row>
    <row r="5074" spans="6:6" ht="12.75" customHeight="1">
      <c r="F5074" s="32"/>
    </row>
    <row r="5075" spans="6:6" ht="12.75" customHeight="1">
      <c r="F5075" s="32"/>
    </row>
    <row r="5076" spans="6:6" ht="12.75" customHeight="1">
      <c r="F5076" s="32"/>
    </row>
    <row r="5077" spans="6:6" ht="12.75" customHeight="1">
      <c r="F5077" s="32"/>
    </row>
    <row r="5078" spans="6:6" ht="12.75" customHeight="1">
      <c r="F5078" s="32"/>
    </row>
    <row r="5079" spans="6:6" ht="12.75" customHeight="1">
      <c r="F5079" s="32"/>
    </row>
    <row r="5080" spans="6:6" ht="12.75" customHeight="1">
      <c r="F5080" s="32"/>
    </row>
    <row r="5081" spans="6:6" ht="12.75" customHeight="1">
      <c r="F5081" s="32"/>
    </row>
    <row r="5082" spans="6:6" ht="12.75" customHeight="1">
      <c r="F5082" s="32"/>
    </row>
    <row r="5083" spans="6:6" ht="12.75" customHeight="1">
      <c r="F5083" s="32"/>
    </row>
    <row r="5084" spans="6:6" ht="12.75" customHeight="1">
      <c r="F5084" s="32"/>
    </row>
    <row r="5085" spans="6:6" ht="12.75" customHeight="1">
      <c r="F5085" s="32"/>
    </row>
    <row r="5086" spans="6:6" ht="12.75" customHeight="1">
      <c r="F5086" s="32"/>
    </row>
    <row r="5087" spans="6:6" ht="12.75" customHeight="1">
      <c r="F5087" s="32"/>
    </row>
    <row r="5088" spans="6:6" ht="12.75" customHeight="1">
      <c r="F5088" s="32"/>
    </row>
    <row r="5089" spans="6:6" ht="12.75" customHeight="1">
      <c r="F5089" s="32"/>
    </row>
    <row r="5090" spans="6:6" ht="12.75" customHeight="1">
      <c r="F5090" s="32"/>
    </row>
    <row r="5091" spans="6:6" ht="12.75" customHeight="1">
      <c r="F5091" s="32"/>
    </row>
    <row r="5092" spans="6:6" ht="12.75" customHeight="1">
      <c r="F5092" s="32"/>
    </row>
    <row r="5093" spans="6:6" ht="12.75" customHeight="1">
      <c r="F5093" s="32"/>
    </row>
    <row r="5094" spans="6:6" ht="12.75" customHeight="1">
      <c r="F5094" s="32"/>
    </row>
    <row r="5095" spans="6:6" ht="12.75" customHeight="1">
      <c r="F5095" s="32"/>
    </row>
    <row r="5096" spans="6:6" ht="12.75" customHeight="1">
      <c r="F5096" s="32"/>
    </row>
    <row r="5097" spans="6:6" ht="12.75" customHeight="1">
      <c r="F5097" s="32"/>
    </row>
    <row r="5098" spans="6:6" ht="12.75" customHeight="1">
      <c r="F5098" s="32"/>
    </row>
    <row r="5099" spans="6:6" ht="12.75" customHeight="1">
      <c r="F5099" s="32"/>
    </row>
    <row r="5100" spans="6:6" ht="12.75" customHeight="1">
      <c r="F5100" s="32"/>
    </row>
    <row r="5101" spans="6:6" ht="12.75" customHeight="1">
      <c r="F5101" s="32"/>
    </row>
    <row r="5102" spans="6:6" ht="12.75" customHeight="1">
      <c r="F5102" s="32"/>
    </row>
    <row r="5103" spans="6:6" ht="12.75" customHeight="1">
      <c r="F5103" s="32"/>
    </row>
    <row r="5104" spans="6:6" ht="12.75" customHeight="1">
      <c r="F5104" s="32"/>
    </row>
    <row r="5105" spans="6:6" ht="12.75" customHeight="1">
      <c r="F5105" s="32"/>
    </row>
    <row r="5106" spans="6:6" ht="12.75" customHeight="1">
      <c r="F5106" s="32"/>
    </row>
    <row r="5107" spans="6:6" ht="12.75" customHeight="1">
      <c r="F5107" s="32"/>
    </row>
    <row r="5108" spans="6:6" ht="12.75" customHeight="1">
      <c r="F5108" s="32"/>
    </row>
    <row r="5109" spans="6:6" ht="12.75" customHeight="1">
      <c r="F5109" s="32"/>
    </row>
    <row r="5110" spans="6:6" ht="12.75" customHeight="1">
      <c r="F5110" s="32"/>
    </row>
    <row r="5111" spans="6:6" ht="12.75" customHeight="1">
      <c r="F5111" s="32"/>
    </row>
    <row r="5112" spans="6:6" ht="12.75" customHeight="1">
      <c r="F5112" s="32"/>
    </row>
    <row r="5113" spans="6:6" ht="12.75" customHeight="1">
      <c r="F5113" s="32"/>
    </row>
    <row r="5114" spans="6:6" ht="12.75" customHeight="1">
      <c r="F5114" s="32"/>
    </row>
    <row r="5115" spans="6:6" ht="12.75" customHeight="1">
      <c r="F5115" s="32"/>
    </row>
    <row r="5116" spans="6:6" ht="12.75" customHeight="1">
      <c r="F5116" s="32"/>
    </row>
    <row r="5117" spans="6:6" ht="12.75" customHeight="1">
      <c r="F5117" s="32"/>
    </row>
    <row r="5118" spans="6:6" ht="12.75" customHeight="1">
      <c r="F5118" s="32"/>
    </row>
    <row r="5119" spans="6:6" ht="12.75" customHeight="1">
      <c r="F5119" s="32"/>
    </row>
    <row r="5120" spans="6:6" ht="12.75" customHeight="1">
      <c r="F5120" s="32"/>
    </row>
    <row r="5121" spans="6:6" ht="12.75" customHeight="1">
      <c r="F5121" s="32"/>
    </row>
    <row r="5122" spans="6:6" ht="12.75" customHeight="1">
      <c r="F5122" s="32"/>
    </row>
    <row r="5123" spans="6:6" ht="12.75" customHeight="1">
      <c r="F5123" s="32"/>
    </row>
    <row r="5124" spans="6:6" ht="12.75" customHeight="1">
      <c r="F5124" s="32"/>
    </row>
    <row r="5125" spans="6:6" ht="12.75" customHeight="1">
      <c r="F5125" s="32"/>
    </row>
    <row r="5126" spans="6:6" ht="12.75" customHeight="1">
      <c r="F5126" s="32"/>
    </row>
    <row r="5127" spans="6:6" ht="12.75" customHeight="1">
      <c r="F5127" s="32"/>
    </row>
    <row r="5128" spans="6:6" ht="12.75" customHeight="1">
      <c r="F5128" s="32"/>
    </row>
    <row r="5129" spans="6:6" ht="12.75" customHeight="1">
      <c r="F5129" s="32"/>
    </row>
    <row r="5130" spans="6:6" ht="12.75" customHeight="1">
      <c r="F5130" s="32"/>
    </row>
    <row r="5131" spans="6:6" ht="12.75" customHeight="1">
      <c r="F5131" s="32"/>
    </row>
    <row r="5132" spans="6:6" ht="12.75" customHeight="1">
      <c r="F5132" s="32"/>
    </row>
    <row r="5133" spans="6:6" ht="12.75" customHeight="1">
      <c r="F5133" s="32"/>
    </row>
    <row r="5134" spans="6:6" ht="12.75" customHeight="1">
      <c r="F5134" s="32"/>
    </row>
    <row r="5135" spans="6:6" ht="12.75" customHeight="1">
      <c r="F5135" s="32"/>
    </row>
    <row r="5136" spans="6:6" ht="12.75" customHeight="1">
      <c r="F5136" s="32"/>
    </row>
    <row r="5137" spans="6:6" ht="12.75" customHeight="1">
      <c r="F5137" s="32"/>
    </row>
    <row r="5138" spans="6:6" ht="12.75" customHeight="1">
      <c r="F5138" s="32"/>
    </row>
    <row r="5139" spans="6:6" ht="12.75" customHeight="1">
      <c r="F5139" s="32"/>
    </row>
    <row r="5140" spans="6:6" ht="12.75" customHeight="1">
      <c r="F5140" s="32"/>
    </row>
    <row r="5141" spans="6:6" ht="12.75" customHeight="1">
      <c r="F5141" s="32"/>
    </row>
    <row r="5142" spans="6:6" ht="12.75" customHeight="1">
      <c r="F5142" s="32"/>
    </row>
    <row r="5143" spans="6:6" ht="12.75" customHeight="1">
      <c r="F5143" s="32"/>
    </row>
    <row r="5144" spans="6:6" ht="12.75" customHeight="1">
      <c r="F5144" s="32"/>
    </row>
    <row r="5145" spans="6:6" ht="12.75" customHeight="1">
      <c r="F5145" s="32"/>
    </row>
    <row r="5146" spans="6:6" ht="12.75" customHeight="1">
      <c r="F5146" s="32"/>
    </row>
    <row r="5147" spans="6:6" ht="12.75" customHeight="1">
      <c r="F5147" s="32"/>
    </row>
    <row r="5148" spans="6:6" ht="12.75" customHeight="1">
      <c r="F5148" s="32"/>
    </row>
    <row r="5149" spans="6:6" ht="12.75" customHeight="1">
      <c r="F5149" s="32"/>
    </row>
    <row r="5150" spans="6:6" ht="12.75" customHeight="1">
      <c r="F5150" s="32"/>
    </row>
    <row r="5151" spans="6:6" ht="12.75" customHeight="1">
      <c r="F5151" s="32"/>
    </row>
    <row r="5152" spans="6:6" ht="12.75" customHeight="1">
      <c r="F5152" s="32"/>
    </row>
    <row r="5153" spans="6:6" ht="12.75" customHeight="1">
      <c r="F5153" s="32"/>
    </row>
    <row r="5154" spans="6:6" ht="12.75" customHeight="1">
      <c r="F5154" s="32"/>
    </row>
    <row r="5155" spans="6:6" ht="12.75" customHeight="1">
      <c r="F5155" s="32"/>
    </row>
    <row r="5156" spans="6:6" ht="12.75" customHeight="1">
      <c r="F5156" s="32"/>
    </row>
    <row r="5157" spans="6:6" ht="12.75" customHeight="1">
      <c r="F5157" s="32"/>
    </row>
    <row r="5158" spans="6:6" ht="12.75" customHeight="1">
      <c r="F5158" s="32"/>
    </row>
    <row r="5159" spans="6:6" ht="12.75" customHeight="1">
      <c r="F5159" s="32"/>
    </row>
    <row r="5160" spans="6:6" ht="12.75" customHeight="1">
      <c r="F5160" s="32"/>
    </row>
    <row r="5161" spans="6:6" ht="12.75" customHeight="1">
      <c r="F5161" s="32"/>
    </row>
    <row r="5162" spans="6:6" ht="12.75" customHeight="1">
      <c r="F5162" s="32"/>
    </row>
    <row r="5163" spans="6:6" ht="12.75" customHeight="1">
      <c r="F5163" s="32"/>
    </row>
    <row r="5164" spans="6:6" ht="12.75" customHeight="1">
      <c r="F5164" s="32"/>
    </row>
    <row r="5165" spans="6:6" ht="12.75" customHeight="1">
      <c r="F5165" s="32"/>
    </row>
    <row r="5166" spans="6:6" ht="12.75" customHeight="1">
      <c r="F5166" s="32"/>
    </row>
    <row r="5167" spans="6:6" ht="12.75" customHeight="1">
      <c r="F5167" s="32"/>
    </row>
    <row r="5168" spans="6:6" ht="12.75" customHeight="1">
      <c r="F5168" s="32"/>
    </row>
    <row r="5169" spans="6:6" ht="12.75" customHeight="1">
      <c r="F5169" s="32"/>
    </row>
    <row r="5170" spans="6:6" ht="12.75" customHeight="1">
      <c r="F5170" s="32"/>
    </row>
    <row r="5171" spans="6:6" ht="12.75" customHeight="1">
      <c r="F5171" s="32"/>
    </row>
    <row r="5172" spans="6:6" ht="12.75" customHeight="1">
      <c r="F5172" s="32"/>
    </row>
    <row r="5173" spans="6:6" ht="12.75" customHeight="1">
      <c r="F5173" s="32"/>
    </row>
    <row r="5174" spans="6:6" ht="12.75" customHeight="1">
      <c r="F5174" s="32"/>
    </row>
    <row r="5175" spans="6:6" ht="12.75" customHeight="1">
      <c r="F5175" s="32"/>
    </row>
    <row r="5176" spans="6:6" ht="12.75" customHeight="1">
      <c r="F5176" s="32"/>
    </row>
    <row r="5177" spans="6:6" ht="12.75" customHeight="1">
      <c r="F5177" s="32"/>
    </row>
    <row r="5178" spans="6:6" ht="12.75" customHeight="1">
      <c r="F5178" s="32"/>
    </row>
    <row r="5179" spans="6:6" ht="12.75" customHeight="1">
      <c r="F5179" s="32"/>
    </row>
    <row r="5180" spans="6:6" ht="12.75" customHeight="1">
      <c r="F5180" s="32"/>
    </row>
    <row r="5181" spans="6:6" ht="12.75" customHeight="1">
      <c r="F5181" s="32"/>
    </row>
    <row r="5182" spans="6:6" ht="12.75" customHeight="1">
      <c r="F5182" s="32"/>
    </row>
    <row r="5183" spans="6:6" ht="12.75" customHeight="1">
      <c r="F5183" s="32"/>
    </row>
    <row r="5184" spans="6:6" ht="12.75" customHeight="1">
      <c r="F5184" s="32"/>
    </row>
    <row r="5185" spans="6:6" ht="12.75" customHeight="1">
      <c r="F5185" s="32"/>
    </row>
    <row r="5186" spans="6:6" ht="12.75" customHeight="1">
      <c r="F5186" s="32"/>
    </row>
    <row r="5187" spans="6:6" ht="12.75" customHeight="1">
      <c r="F5187" s="32"/>
    </row>
    <row r="5188" spans="6:6" ht="12.75" customHeight="1">
      <c r="F5188" s="32"/>
    </row>
    <row r="5189" spans="6:6" ht="12.75" customHeight="1">
      <c r="F5189" s="32"/>
    </row>
    <row r="5190" spans="6:6" ht="12.75" customHeight="1">
      <c r="F5190" s="32"/>
    </row>
    <row r="5191" spans="6:6" ht="12.75" customHeight="1">
      <c r="F5191" s="32"/>
    </row>
    <row r="5192" spans="6:6" ht="12.75" customHeight="1">
      <c r="F5192" s="32"/>
    </row>
    <row r="5193" spans="6:6" ht="12.75" customHeight="1">
      <c r="F5193" s="32"/>
    </row>
    <row r="5194" spans="6:6" ht="12.75" customHeight="1">
      <c r="F5194" s="32"/>
    </row>
    <row r="5195" spans="6:6" ht="12.75" customHeight="1">
      <c r="F5195" s="32"/>
    </row>
    <row r="5196" spans="6:6" ht="12.75" customHeight="1">
      <c r="F5196" s="32"/>
    </row>
    <row r="5197" spans="6:6" ht="12.75" customHeight="1">
      <c r="F5197" s="32"/>
    </row>
    <row r="5198" spans="6:6" ht="12.75" customHeight="1">
      <c r="F5198" s="32"/>
    </row>
    <row r="5199" spans="6:6" ht="12.75" customHeight="1">
      <c r="F5199" s="32"/>
    </row>
    <row r="5200" spans="6:6" ht="12.75" customHeight="1">
      <c r="F5200" s="32"/>
    </row>
    <row r="5201" spans="6:6" ht="12.75" customHeight="1">
      <c r="F5201" s="32"/>
    </row>
    <row r="5202" spans="6:6" ht="12.75" customHeight="1">
      <c r="F5202" s="32"/>
    </row>
    <row r="5203" spans="6:6" ht="12.75" customHeight="1">
      <c r="F5203" s="32"/>
    </row>
    <row r="5204" spans="6:6" ht="12.75" customHeight="1">
      <c r="F5204" s="32"/>
    </row>
    <row r="5205" spans="6:6" ht="12.75" customHeight="1">
      <c r="F5205" s="32"/>
    </row>
    <row r="5206" spans="6:6" ht="12.75" customHeight="1">
      <c r="F5206" s="32"/>
    </row>
    <row r="5207" spans="6:6" ht="12.75" customHeight="1">
      <c r="F5207" s="32"/>
    </row>
    <row r="5208" spans="6:6" ht="12.75" customHeight="1">
      <c r="F5208" s="32"/>
    </row>
    <row r="5209" spans="6:6" ht="12.75" customHeight="1">
      <c r="F5209" s="32"/>
    </row>
    <row r="5210" spans="6:6" ht="12.75" customHeight="1">
      <c r="F5210" s="32"/>
    </row>
    <row r="5211" spans="6:6" ht="12.75" customHeight="1">
      <c r="F5211" s="32"/>
    </row>
    <row r="5212" spans="6:6" ht="12.75" customHeight="1">
      <c r="F5212" s="32"/>
    </row>
    <row r="5213" spans="6:6" ht="12.75" customHeight="1">
      <c r="F5213" s="32"/>
    </row>
    <row r="5214" spans="6:6" ht="12.75" customHeight="1">
      <c r="F5214" s="32"/>
    </row>
    <row r="5215" spans="6:6" ht="12.75" customHeight="1">
      <c r="F5215" s="32"/>
    </row>
    <row r="5216" spans="6:6" ht="12.75" customHeight="1">
      <c r="F5216" s="32"/>
    </row>
    <row r="5217" spans="6:6" ht="12.75" customHeight="1">
      <c r="F5217" s="32"/>
    </row>
    <row r="5218" spans="6:6" ht="12.75" customHeight="1">
      <c r="F5218" s="32"/>
    </row>
    <row r="5219" spans="6:6" ht="12.75" customHeight="1">
      <c r="F5219" s="32"/>
    </row>
    <row r="5220" spans="6:6" ht="12.75" customHeight="1">
      <c r="F5220" s="32"/>
    </row>
    <row r="5221" spans="6:6" ht="12.75" customHeight="1">
      <c r="F5221" s="32"/>
    </row>
    <row r="5222" spans="6:6" ht="12.75" customHeight="1">
      <c r="F5222" s="32"/>
    </row>
    <row r="5223" spans="6:6" ht="12.75" customHeight="1">
      <c r="F5223" s="32"/>
    </row>
    <row r="5224" spans="6:6" ht="12.75" customHeight="1">
      <c r="F5224" s="32"/>
    </row>
    <row r="5225" spans="6:6" ht="12.75" customHeight="1">
      <c r="F5225" s="32"/>
    </row>
    <row r="5226" spans="6:6" ht="12.75" customHeight="1">
      <c r="F5226" s="32"/>
    </row>
    <row r="5227" spans="6:6" ht="12.75" customHeight="1">
      <c r="F5227" s="32"/>
    </row>
    <row r="5228" spans="6:6" ht="12.75" customHeight="1">
      <c r="F5228" s="32"/>
    </row>
    <row r="5229" spans="6:6" ht="12.75" customHeight="1">
      <c r="F5229" s="32"/>
    </row>
    <row r="5230" spans="6:6" ht="12.75" customHeight="1">
      <c r="F5230" s="32"/>
    </row>
    <row r="5231" spans="6:6" ht="12.75" customHeight="1">
      <c r="F5231" s="32"/>
    </row>
    <row r="5232" spans="6:6" ht="12.75" customHeight="1">
      <c r="F5232" s="32"/>
    </row>
    <row r="5233" spans="6:6" ht="12.75" customHeight="1">
      <c r="F5233" s="32"/>
    </row>
    <row r="5234" spans="6:6" ht="12.75" customHeight="1">
      <c r="F5234" s="32"/>
    </row>
    <row r="5235" spans="6:6" ht="12.75" customHeight="1">
      <c r="F5235" s="32"/>
    </row>
    <row r="5236" spans="6:6" ht="12.75" customHeight="1">
      <c r="F5236" s="32"/>
    </row>
    <row r="5237" spans="6:6" ht="12.75" customHeight="1">
      <c r="F5237" s="32"/>
    </row>
    <row r="5238" spans="6:6" ht="12.75" customHeight="1">
      <c r="F5238" s="32"/>
    </row>
    <row r="5239" spans="6:6" ht="12.75" customHeight="1">
      <c r="F5239" s="32"/>
    </row>
    <row r="5240" spans="6:6" ht="12.75" customHeight="1">
      <c r="F5240" s="32"/>
    </row>
    <row r="5241" spans="6:6" ht="12.75" customHeight="1">
      <c r="F5241" s="32"/>
    </row>
    <row r="5242" spans="6:6" ht="12.75" customHeight="1">
      <c r="F5242" s="32"/>
    </row>
    <row r="5243" spans="6:6" ht="12.75" customHeight="1">
      <c r="F5243" s="32"/>
    </row>
    <row r="5244" spans="6:6" ht="12.75" customHeight="1">
      <c r="F5244" s="32"/>
    </row>
    <row r="5245" spans="6:6" ht="12.75" customHeight="1">
      <c r="F5245" s="32"/>
    </row>
    <row r="5246" spans="6:6" ht="12.75" customHeight="1">
      <c r="F5246" s="32"/>
    </row>
    <row r="5247" spans="6:6" ht="12.75" customHeight="1">
      <c r="F5247" s="32"/>
    </row>
    <row r="5248" spans="6:6" ht="12.75" customHeight="1">
      <c r="F5248" s="32"/>
    </row>
    <row r="5249" spans="6:6" ht="12.75" customHeight="1">
      <c r="F5249" s="32"/>
    </row>
    <row r="5250" spans="6:6" ht="12.75" customHeight="1">
      <c r="F5250" s="32"/>
    </row>
    <row r="5251" spans="6:6" ht="12.75" customHeight="1">
      <c r="F5251" s="32"/>
    </row>
    <row r="5252" spans="6:6" ht="12.75" customHeight="1">
      <c r="F5252" s="32"/>
    </row>
    <row r="5253" spans="6:6" ht="12.75" customHeight="1">
      <c r="F5253" s="32"/>
    </row>
    <row r="5254" spans="6:6" ht="12.75" customHeight="1">
      <c r="F5254" s="32"/>
    </row>
    <row r="5255" spans="6:6" ht="12.75" customHeight="1">
      <c r="F5255" s="32"/>
    </row>
    <row r="5256" spans="6:6" ht="12.75" customHeight="1">
      <c r="F5256" s="32"/>
    </row>
    <row r="5257" spans="6:6" ht="12.75" customHeight="1">
      <c r="F5257" s="32"/>
    </row>
    <row r="5258" spans="6:6" ht="12.75" customHeight="1">
      <c r="F5258" s="32"/>
    </row>
    <row r="5259" spans="6:6" ht="12.75" customHeight="1">
      <c r="F5259" s="32"/>
    </row>
    <row r="5260" spans="6:6" ht="12.75" customHeight="1">
      <c r="F5260" s="32"/>
    </row>
    <row r="5261" spans="6:6" ht="12.75" customHeight="1">
      <c r="F5261" s="32"/>
    </row>
    <row r="5262" spans="6:6" ht="12.75" customHeight="1">
      <c r="F5262" s="32"/>
    </row>
    <row r="5263" spans="6:6" ht="12.75" customHeight="1">
      <c r="F5263" s="32"/>
    </row>
    <row r="5264" spans="6:6" ht="12.75" customHeight="1">
      <c r="F5264" s="32"/>
    </row>
    <row r="5265" spans="6:6" ht="12.75" customHeight="1">
      <c r="F5265" s="32"/>
    </row>
    <row r="5266" spans="6:6" ht="12.75" customHeight="1">
      <c r="F5266" s="32"/>
    </row>
    <row r="5267" spans="6:6" ht="12.75" customHeight="1">
      <c r="F5267" s="32"/>
    </row>
    <row r="5268" spans="6:6" ht="12.75" customHeight="1">
      <c r="F5268" s="32"/>
    </row>
    <row r="5269" spans="6:6" ht="12.75" customHeight="1">
      <c r="F5269" s="32"/>
    </row>
    <row r="5270" spans="6:6" ht="12.75" customHeight="1">
      <c r="F5270" s="32"/>
    </row>
    <row r="5271" spans="6:6" ht="12.75" customHeight="1">
      <c r="F5271" s="32"/>
    </row>
    <row r="5272" spans="6:6" ht="12.75" customHeight="1">
      <c r="F5272" s="32"/>
    </row>
    <row r="5273" spans="6:6" ht="12.75" customHeight="1">
      <c r="F5273" s="32"/>
    </row>
    <row r="5274" spans="6:6" ht="12.75" customHeight="1">
      <c r="F5274" s="32"/>
    </row>
    <row r="5275" spans="6:6" ht="12.75" customHeight="1">
      <c r="F5275" s="32"/>
    </row>
    <row r="5276" spans="6:6" ht="12.75" customHeight="1">
      <c r="F5276" s="32"/>
    </row>
    <row r="5277" spans="6:6" ht="12.75" customHeight="1">
      <c r="F5277" s="32"/>
    </row>
    <row r="5278" spans="6:6" ht="12.75" customHeight="1">
      <c r="F5278" s="32"/>
    </row>
    <row r="5279" spans="6:6" ht="12.75" customHeight="1">
      <c r="F5279" s="32"/>
    </row>
    <row r="5280" spans="6:6" ht="12.75" customHeight="1">
      <c r="F5280" s="32"/>
    </row>
    <row r="5281" spans="6:6" ht="12.75" customHeight="1">
      <c r="F5281" s="32"/>
    </row>
    <row r="5282" spans="6:6" ht="12.75" customHeight="1">
      <c r="F5282" s="32"/>
    </row>
    <row r="5283" spans="6:6" ht="12.75" customHeight="1">
      <c r="F5283" s="32"/>
    </row>
    <row r="5284" spans="6:6" ht="12.75" customHeight="1">
      <c r="F5284" s="32"/>
    </row>
    <row r="5285" spans="6:6" ht="12.75" customHeight="1">
      <c r="F5285" s="32"/>
    </row>
    <row r="5286" spans="6:6" ht="12.75" customHeight="1">
      <c r="F5286" s="32"/>
    </row>
    <row r="5287" spans="6:6" ht="12.75" customHeight="1">
      <c r="F5287" s="32"/>
    </row>
    <row r="5288" spans="6:6" ht="12.75" customHeight="1">
      <c r="F5288" s="32"/>
    </row>
    <row r="5289" spans="6:6" ht="12.75" customHeight="1">
      <c r="F5289" s="32"/>
    </row>
    <row r="5290" spans="6:6" ht="12.75" customHeight="1">
      <c r="F5290" s="32"/>
    </row>
    <row r="5291" spans="6:6" ht="12.75" customHeight="1">
      <c r="F5291" s="32"/>
    </row>
    <row r="5292" spans="6:6" ht="12.75" customHeight="1">
      <c r="F5292" s="32"/>
    </row>
    <row r="5293" spans="6:6" ht="12.75" customHeight="1">
      <c r="F5293" s="32"/>
    </row>
    <row r="5294" spans="6:6" ht="12.75" customHeight="1">
      <c r="F5294" s="32"/>
    </row>
    <row r="5295" spans="6:6" ht="12.75" customHeight="1">
      <c r="F5295" s="32"/>
    </row>
    <row r="5296" spans="6:6" ht="12.75" customHeight="1">
      <c r="F5296" s="32"/>
    </row>
    <row r="5297" spans="6:6" ht="12.75" customHeight="1">
      <c r="F5297" s="32"/>
    </row>
    <row r="5298" spans="6:6" ht="12.75" customHeight="1">
      <c r="F5298" s="32"/>
    </row>
    <row r="5299" spans="6:6" ht="12.75" customHeight="1">
      <c r="F5299" s="32"/>
    </row>
    <row r="5300" spans="6:6" ht="12.75" customHeight="1">
      <c r="F5300" s="32"/>
    </row>
    <row r="5301" spans="6:6" ht="12.75" customHeight="1">
      <c r="F5301" s="32"/>
    </row>
    <row r="5302" spans="6:6" ht="12.75" customHeight="1">
      <c r="F5302" s="32"/>
    </row>
    <row r="5303" spans="6:6" ht="12.75" customHeight="1">
      <c r="F5303" s="32"/>
    </row>
    <row r="5304" spans="6:6" ht="12.75" customHeight="1">
      <c r="F5304" s="32"/>
    </row>
    <row r="5305" spans="6:6" ht="12.75" customHeight="1">
      <c r="F5305" s="32"/>
    </row>
    <row r="5306" spans="6:6" ht="12.75" customHeight="1">
      <c r="F5306" s="32"/>
    </row>
    <row r="5307" spans="6:6" ht="12.75" customHeight="1">
      <c r="F5307" s="32"/>
    </row>
    <row r="5308" spans="6:6" ht="12.75" customHeight="1">
      <c r="F5308" s="32"/>
    </row>
    <row r="5309" spans="6:6" ht="12.75" customHeight="1">
      <c r="F5309" s="32"/>
    </row>
    <row r="5310" spans="6:6" ht="12.75" customHeight="1">
      <c r="F5310" s="32"/>
    </row>
    <row r="5311" spans="6:6" ht="12.75" customHeight="1">
      <c r="F5311" s="32"/>
    </row>
    <row r="5312" spans="6:6" ht="12.75" customHeight="1">
      <c r="F5312" s="32"/>
    </row>
    <row r="5313" spans="6:6" ht="12.75" customHeight="1">
      <c r="F5313" s="32"/>
    </row>
    <row r="5314" spans="6:6" ht="12.75" customHeight="1">
      <c r="F5314" s="32"/>
    </row>
    <row r="5315" spans="6:6" ht="12.75" customHeight="1">
      <c r="F5315" s="32"/>
    </row>
    <row r="5316" spans="6:6" ht="12.75" customHeight="1">
      <c r="F5316" s="32"/>
    </row>
    <row r="5317" spans="6:6" ht="12.75" customHeight="1">
      <c r="F5317" s="32"/>
    </row>
    <row r="5318" spans="6:6" ht="12.75" customHeight="1">
      <c r="F5318" s="32"/>
    </row>
    <row r="5319" spans="6:6" ht="12.75" customHeight="1">
      <c r="F5319" s="32"/>
    </row>
    <row r="5320" spans="6:6" ht="12.75" customHeight="1">
      <c r="F5320" s="32"/>
    </row>
    <row r="5321" spans="6:6" ht="12.75" customHeight="1">
      <c r="F5321" s="32"/>
    </row>
    <row r="5322" spans="6:6" ht="12.75" customHeight="1">
      <c r="F5322" s="32"/>
    </row>
    <row r="5323" spans="6:6" ht="12.75" customHeight="1">
      <c r="F5323" s="32"/>
    </row>
    <row r="5324" spans="6:6" ht="12.75" customHeight="1">
      <c r="F5324" s="32"/>
    </row>
    <row r="5325" spans="6:6" ht="12.75" customHeight="1">
      <c r="F5325" s="32"/>
    </row>
    <row r="5326" spans="6:6" ht="12.75" customHeight="1">
      <c r="F5326" s="32"/>
    </row>
    <row r="5327" spans="6:6" ht="12.75" customHeight="1">
      <c r="F5327" s="32"/>
    </row>
    <row r="5328" spans="6:6" ht="12.75" customHeight="1">
      <c r="F5328" s="32"/>
    </row>
    <row r="5329" spans="6:6" ht="12.75" customHeight="1">
      <c r="F5329" s="32"/>
    </row>
    <row r="5330" spans="6:6" ht="12.75" customHeight="1">
      <c r="F5330" s="32"/>
    </row>
    <row r="5331" spans="6:6" ht="12.75" customHeight="1">
      <c r="F5331" s="32"/>
    </row>
    <row r="5332" spans="6:6" ht="12.75" customHeight="1">
      <c r="F5332" s="32"/>
    </row>
    <row r="5333" spans="6:6" ht="12.75" customHeight="1">
      <c r="F5333" s="32"/>
    </row>
    <row r="5334" spans="6:6" ht="12.75" customHeight="1">
      <c r="F5334" s="32"/>
    </row>
    <row r="5335" spans="6:6" ht="12.75" customHeight="1">
      <c r="F5335" s="32"/>
    </row>
    <row r="5336" spans="6:6" ht="12.75" customHeight="1">
      <c r="F5336" s="32"/>
    </row>
    <row r="5337" spans="6:6" ht="12.75" customHeight="1">
      <c r="F5337" s="32"/>
    </row>
    <row r="5338" spans="6:6" ht="12.75" customHeight="1">
      <c r="F5338" s="32"/>
    </row>
    <row r="5339" spans="6:6" ht="12.75" customHeight="1">
      <c r="F5339" s="32"/>
    </row>
    <row r="5340" spans="6:6" ht="12.75" customHeight="1">
      <c r="F5340" s="32"/>
    </row>
    <row r="5341" spans="6:6" ht="12.75" customHeight="1">
      <c r="F5341" s="32"/>
    </row>
    <row r="5342" spans="6:6" ht="12.75" customHeight="1">
      <c r="F5342" s="32"/>
    </row>
    <row r="5343" spans="6:6" ht="12.75" customHeight="1">
      <c r="F5343" s="32"/>
    </row>
    <row r="5344" spans="6:6" ht="12.75" customHeight="1">
      <c r="F5344" s="32"/>
    </row>
    <row r="5345" spans="6:6" ht="12.75" customHeight="1">
      <c r="F5345" s="32"/>
    </row>
    <row r="5346" spans="6:6" ht="12.75" customHeight="1">
      <c r="F5346" s="32"/>
    </row>
    <row r="5347" spans="6:6" ht="12.75" customHeight="1">
      <c r="F5347" s="32"/>
    </row>
    <row r="5348" spans="6:6" ht="12.75" customHeight="1">
      <c r="F5348" s="32"/>
    </row>
    <row r="5349" spans="6:6" ht="12.75" customHeight="1">
      <c r="F5349" s="32"/>
    </row>
    <row r="5350" spans="6:6" ht="12.75" customHeight="1">
      <c r="F5350" s="32"/>
    </row>
    <row r="5351" spans="6:6" ht="12.75" customHeight="1">
      <c r="F5351" s="32"/>
    </row>
    <row r="5352" spans="6:6" ht="12.75" customHeight="1">
      <c r="F5352" s="32"/>
    </row>
    <row r="5353" spans="6:6" ht="12.75" customHeight="1">
      <c r="F5353" s="32"/>
    </row>
    <row r="5354" spans="6:6" ht="12.75" customHeight="1">
      <c r="F5354" s="32"/>
    </row>
    <row r="5355" spans="6:6" ht="12.75" customHeight="1">
      <c r="F5355" s="32"/>
    </row>
    <row r="5356" spans="6:6" ht="12.75" customHeight="1">
      <c r="F5356" s="32"/>
    </row>
    <row r="5357" spans="6:6" ht="12.75" customHeight="1">
      <c r="F5357" s="32"/>
    </row>
    <row r="5358" spans="6:6" ht="12.75" customHeight="1">
      <c r="F5358" s="32"/>
    </row>
    <row r="5359" spans="6:6" ht="12.75" customHeight="1">
      <c r="F5359" s="32"/>
    </row>
    <row r="5360" spans="6:6" ht="12.75" customHeight="1">
      <c r="F5360" s="32"/>
    </row>
    <row r="5361" spans="6:6" ht="12.75" customHeight="1">
      <c r="F5361" s="32"/>
    </row>
    <row r="5362" spans="6:6" ht="12.75" customHeight="1">
      <c r="F5362" s="32"/>
    </row>
    <row r="5363" spans="6:6" ht="12.75" customHeight="1">
      <c r="F5363" s="32"/>
    </row>
    <row r="5364" spans="6:6" ht="12.75" customHeight="1">
      <c r="F5364" s="32"/>
    </row>
    <row r="5365" spans="6:6" ht="12.75" customHeight="1">
      <c r="F5365" s="32"/>
    </row>
    <row r="5366" spans="6:6" ht="12.75" customHeight="1">
      <c r="F5366" s="32"/>
    </row>
    <row r="5367" spans="6:6" ht="12.75" customHeight="1">
      <c r="F5367" s="32"/>
    </row>
    <row r="5368" spans="6:6" ht="12.75" customHeight="1">
      <c r="F5368" s="32"/>
    </row>
    <row r="5369" spans="6:6" ht="12.75" customHeight="1">
      <c r="F5369" s="32"/>
    </row>
    <row r="5370" spans="6:6" ht="12.75" customHeight="1">
      <c r="F5370" s="32"/>
    </row>
    <row r="5371" spans="6:6" ht="12.75" customHeight="1">
      <c r="F5371" s="32"/>
    </row>
    <row r="5372" spans="6:6" ht="12.75" customHeight="1">
      <c r="F5372" s="32"/>
    </row>
    <row r="5373" spans="6:6" ht="12.75" customHeight="1">
      <c r="F5373" s="32"/>
    </row>
    <row r="5374" spans="6:6" ht="12.75" customHeight="1">
      <c r="F5374" s="32"/>
    </row>
    <row r="5375" spans="6:6" ht="12.75" customHeight="1">
      <c r="F5375" s="32"/>
    </row>
    <row r="5376" spans="6:6" ht="12.75" customHeight="1">
      <c r="F5376" s="32"/>
    </row>
    <row r="5377" spans="6:6" ht="12.75" customHeight="1">
      <c r="F5377" s="32"/>
    </row>
    <row r="5378" spans="6:6" ht="12.75" customHeight="1">
      <c r="F5378" s="32"/>
    </row>
    <row r="5379" spans="6:6" ht="12.75" customHeight="1">
      <c r="F5379" s="32"/>
    </row>
    <row r="5380" spans="6:6" ht="12.75" customHeight="1">
      <c r="F5380" s="32"/>
    </row>
    <row r="5381" spans="6:6" ht="12.75" customHeight="1">
      <c r="F5381" s="32"/>
    </row>
    <row r="5382" spans="6:6" ht="12.75" customHeight="1">
      <c r="F5382" s="32"/>
    </row>
    <row r="5383" spans="6:6" ht="12.75" customHeight="1">
      <c r="F5383" s="32"/>
    </row>
    <row r="5384" spans="6:6" ht="12.75" customHeight="1">
      <c r="F5384" s="32"/>
    </row>
    <row r="5385" spans="6:6" ht="12.75" customHeight="1">
      <c r="F5385" s="32"/>
    </row>
    <row r="5386" spans="6:6" ht="12.75" customHeight="1">
      <c r="F5386" s="32"/>
    </row>
    <row r="5387" spans="6:6" ht="12.75" customHeight="1">
      <c r="F5387" s="32"/>
    </row>
    <row r="5388" spans="6:6" ht="12.75" customHeight="1">
      <c r="F5388" s="32"/>
    </row>
    <row r="5389" spans="6:6" ht="12.75" customHeight="1">
      <c r="F5389" s="32"/>
    </row>
    <row r="5390" spans="6:6" ht="12.75" customHeight="1">
      <c r="F5390" s="32"/>
    </row>
    <row r="5391" spans="6:6" ht="12.75" customHeight="1">
      <c r="F5391" s="32"/>
    </row>
    <row r="5392" spans="6:6" ht="12.75" customHeight="1">
      <c r="F5392" s="32"/>
    </row>
    <row r="5393" spans="6:6" ht="12.75" customHeight="1">
      <c r="F5393" s="32"/>
    </row>
    <row r="5394" spans="6:6" ht="12.75" customHeight="1">
      <c r="F5394" s="32"/>
    </row>
    <row r="5395" spans="6:6" ht="12.75" customHeight="1">
      <c r="F5395" s="32"/>
    </row>
    <row r="5396" spans="6:6" ht="12.75" customHeight="1">
      <c r="F5396" s="32"/>
    </row>
    <row r="5397" spans="6:6" ht="12.75" customHeight="1">
      <c r="F5397" s="32"/>
    </row>
    <row r="5398" spans="6:6" ht="12.75" customHeight="1">
      <c r="F5398" s="32"/>
    </row>
    <row r="5399" spans="6:6" ht="12.75" customHeight="1">
      <c r="F5399" s="32"/>
    </row>
    <row r="5400" spans="6:6" ht="12.75" customHeight="1">
      <c r="F5400" s="32"/>
    </row>
    <row r="5401" spans="6:6" ht="12.75" customHeight="1">
      <c r="F5401" s="32"/>
    </row>
    <row r="5402" spans="6:6" ht="12.75" customHeight="1">
      <c r="F5402" s="32"/>
    </row>
    <row r="5403" spans="6:6" ht="12.75" customHeight="1">
      <c r="F5403" s="32"/>
    </row>
    <row r="5404" spans="6:6" ht="12.75" customHeight="1">
      <c r="F5404" s="32"/>
    </row>
    <row r="5405" spans="6:6" ht="12.75" customHeight="1">
      <c r="F5405" s="32"/>
    </row>
    <row r="5406" spans="6:6" ht="12.75" customHeight="1">
      <c r="F5406" s="32"/>
    </row>
    <row r="5407" spans="6:6" ht="12.75" customHeight="1">
      <c r="F5407" s="32"/>
    </row>
    <row r="5408" spans="6:6" ht="12.75" customHeight="1">
      <c r="F5408" s="32"/>
    </row>
    <row r="5409" spans="6:6" ht="12.75" customHeight="1">
      <c r="F5409" s="32"/>
    </row>
    <row r="5410" spans="6:6" ht="12.75" customHeight="1">
      <c r="F5410" s="32"/>
    </row>
    <row r="5411" spans="6:6" ht="12.75" customHeight="1">
      <c r="F5411" s="32"/>
    </row>
    <row r="5412" spans="6:6" ht="12.75" customHeight="1">
      <c r="F5412" s="32"/>
    </row>
    <row r="5413" spans="6:6" ht="12.75" customHeight="1">
      <c r="F5413" s="32"/>
    </row>
    <row r="5414" spans="6:6" ht="12.75" customHeight="1">
      <c r="F5414" s="32"/>
    </row>
    <row r="5415" spans="6:6" ht="12.75" customHeight="1">
      <c r="F5415" s="32"/>
    </row>
    <row r="5416" spans="6:6" ht="12.75" customHeight="1">
      <c r="F5416" s="32"/>
    </row>
    <row r="5417" spans="6:6" ht="12.75" customHeight="1">
      <c r="F5417" s="32"/>
    </row>
    <row r="5418" spans="6:6" ht="12.75" customHeight="1">
      <c r="F5418" s="32"/>
    </row>
    <row r="5419" spans="6:6" ht="12.75" customHeight="1">
      <c r="F5419" s="32"/>
    </row>
    <row r="5420" spans="6:6" ht="12.75" customHeight="1">
      <c r="F5420" s="32"/>
    </row>
    <row r="5421" spans="6:6" ht="12.75" customHeight="1">
      <c r="F5421" s="32"/>
    </row>
    <row r="5422" spans="6:6" ht="12.75" customHeight="1">
      <c r="F5422" s="32"/>
    </row>
    <row r="5423" spans="6:6" ht="12.75" customHeight="1">
      <c r="F5423" s="32"/>
    </row>
    <row r="5424" spans="6:6" ht="12.75" customHeight="1">
      <c r="F5424" s="32"/>
    </row>
    <row r="5425" spans="6:6" ht="12.75" customHeight="1">
      <c r="F5425" s="32"/>
    </row>
    <row r="5426" spans="6:6" ht="12.75" customHeight="1">
      <c r="F5426" s="32"/>
    </row>
    <row r="5427" spans="6:6" ht="12.75" customHeight="1">
      <c r="F5427" s="32"/>
    </row>
    <row r="5428" spans="6:6" ht="12.75" customHeight="1">
      <c r="F5428" s="32"/>
    </row>
    <row r="5429" spans="6:6" ht="12.75" customHeight="1">
      <c r="F5429" s="32"/>
    </row>
    <row r="5430" spans="6:6" ht="12.75" customHeight="1">
      <c r="F5430" s="32"/>
    </row>
    <row r="5431" spans="6:6" ht="12.75" customHeight="1">
      <c r="F5431" s="32"/>
    </row>
    <row r="5432" spans="6:6" ht="12.75" customHeight="1">
      <c r="F5432" s="32"/>
    </row>
    <row r="5433" spans="6:6" ht="12.75" customHeight="1">
      <c r="F5433" s="32"/>
    </row>
    <row r="5434" spans="6:6" ht="12.75" customHeight="1">
      <c r="F5434" s="32"/>
    </row>
    <row r="5435" spans="6:6" ht="12.75" customHeight="1">
      <c r="F5435" s="32"/>
    </row>
    <row r="5436" spans="6:6" ht="12.75" customHeight="1">
      <c r="F5436" s="32"/>
    </row>
    <row r="5437" spans="6:6" ht="12.75" customHeight="1">
      <c r="F5437" s="32"/>
    </row>
    <row r="5438" spans="6:6" ht="12.75" customHeight="1">
      <c r="F5438" s="32"/>
    </row>
    <row r="5439" spans="6:6" ht="12.75" customHeight="1">
      <c r="F5439" s="32"/>
    </row>
    <row r="5440" spans="6:6" ht="12.75" customHeight="1">
      <c r="F5440" s="32"/>
    </row>
    <row r="5441" spans="6:6" ht="12.75" customHeight="1">
      <c r="F5441" s="32"/>
    </row>
    <row r="5442" spans="6:6" ht="12.75" customHeight="1">
      <c r="F5442" s="32"/>
    </row>
    <row r="5443" spans="6:6" ht="12.75" customHeight="1">
      <c r="F5443" s="32"/>
    </row>
    <row r="5444" spans="6:6" ht="12.75" customHeight="1">
      <c r="F5444" s="32"/>
    </row>
    <row r="5445" spans="6:6" ht="12.75" customHeight="1">
      <c r="F5445" s="32"/>
    </row>
    <row r="5446" spans="6:6" ht="12.75" customHeight="1">
      <c r="F5446" s="32"/>
    </row>
    <row r="5447" spans="6:6" ht="12.75" customHeight="1">
      <c r="F5447" s="32"/>
    </row>
    <row r="5448" spans="6:6" ht="12.75" customHeight="1">
      <c r="F5448" s="32"/>
    </row>
    <row r="5449" spans="6:6" ht="12.75" customHeight="1">
      <c r="F5449" s="32"/>
    </row>
    <row r="5450" spans="6:6" ht="12.75" customHeight="1">
      <c r="F5450" s="32"/>
    </row>
    <row r="5451" spans="6:6" ht="12.75" customHeight="1">
      <c r="F5451" s="32"/>
    </row>
    <row r="5452" spans="6:6" ht="12.75" customHeight="1">
      <c r="F5452" s="32"/>
    </row>
    <row r="5453" spans="6:6" ht="12.75" customHeight="1">
      <c r="F5453" s="32"/>
    </row>
    <row r="5454" spans="6:6" ht="12.75" customHeight="1">
      <c r="F5454" s="32"/>
    </row>
    <row r="5455" spans="6:6" ht="12.75" customHeight="1">
      <c r="F5455" s="32"/>
    </row>
    <row r="5456" spans="6:6" ht="12.75" customHeight="1">
      <c r="F5456" s="32"/>
    </row>
    <row r="5457" spans="6:6" ht="12.75" customHeight="1">
      <c r="F5457" s="32"/>
    </row>
    <row r="5458" spans="6:6" ht="12.75" customHeight="1">
      <c r="F5458" s="32"/>
    </row>
    <row r="5459" spans="6:6" ht="12.75" customHeight="1">
      <c r="F5459" s="32"/>
    </row>
    <row r="5460" spans="6:6" ht="12.75" customHeight="1">
      <c r="F5460" s="32"/>
    </row>
    <row r="5461" spans="6:6" ht="12.75" customHeight="1">
      <c r="F5461" s="32"/>
    </row>
    <row r="5462" spans="6:6" ht="12.75" customHeight="1">
      <c r="F5462" s="32"/>
    </row>
    <row r="5463" spans="6:6" ht="12.75" customHeight="1">
      <c r="F5463" s="32"/>
    </row>
    <row r="5464" spans="6:6" ht="12.75" customHeight="1">
      <c r="F5464" s="32"/>
    </row>
    <row r="5465" spans="6:6" ht="12.75" customHeight="1">
      <c r="F5465" s="32"/>
    </row>
    <row r="5466" spans="6:6" ht="12.75" customHeight="1">
      <c r="F5466" s="32"/>
    </row>
    <row r="5467" spans="6:6" ht="12.75" customHeight="1">
      <c r="F5467" s="32"/>
    </row>
    <row r="5468" spans="6:6" ht="12.75" customHeight="1">
      <c r="F5468" s="32"/>
    </row>
    <row r="5469" spans="6:6" ht="12.75" customHeight="1">
      <c r="F5469" s="32"/>
    </row>
    <row r="5470" spans="6:6" ht="12.75" customHeight="1">
      <c r="F5470" s="32"/>
    </row>
    <row r="5471" spans="6:6" ht="12.75" customHeight="1">
      <c r="F5471" s="32"/>
    </row>
    <row r="5472" spans="6:6" ht="12.75" customHeight="1">
      <c r="F5472" s="32"/>
    </row>
    <row r="5473" spans="6:6" ht="12.75" customHeight="1">
      <c r="F5473" s="32"/>
    </row>
    <row r="5474" spans="6:6" ht="12.75" customHeight="1">
      <c r="F5474" s="32"/>
    </row>
    <row r="5475" spans="6:6" ht="12.75" customHeight="1">
      <c r="F5475" s="32"/>
    </row>
    <row r="5476" spans="6:6" ht="12.75" customHeight="1">
      <c r="F5476" s="32"/>
    </row>
    <row r="5477" spans="6:6" ht="12.75" customHeight="1">
      <c r="F5477" s="32"/>
    </row>
    <row r="5478" spans="6:6" ht="12.75" customHeight="1">
      <c r="F5478" s="32"/>
    </row>
    <row r="5479" spans="6:6" ht="12.75" customHeight="1">
      <c r="F5479" s="32"/>
    </row>
    <row r="5480" spans="6:6" ht="12.75" customHeight="1">
      <c r="F5480" s="32"/>
    </row>
    <row r="5481" spans="6:6" ht="12.75" customHeight="1">
      <c r="F5481" s="32"/>
    </row>
    <row r="5482" spans="6:6" ht="12.75" customHeight="1">
      <c r="F5482" s="32"/>
    </row>
    <row r="5483" spans="6:6" ht="12.75" customHeight="1">
      <c r="F5483" s="32"/>
    </row>
    <row r="5484" spans="6:6" ht="12.75" customHeight="1">
      <c r="F5484" s="32"/>
    </row>
    <row r="5485" spans="6:6" ht="12.75" customHeight="1">
      <c r="F5485" s="32"/>
    </row>
    <row r="5486" spans="6:6" ht="12.75" customHeight="1">
      <c r="F5486" s="32"/>
    </row>
    <row r="5487" spans="6:6" ht="12.75" customHeight="1">
      <c r="F5487" s="32"/>
    </row>
    <row r="5488" spans="6:6" ht="12.75" customHeight="1">
      <c r="F5488" s="32"/>
    </row>
    <row r="5489" spans="6:6" ht="12.75" customHeight="1">
      <c r="F5489" s="32"/>
    </row>
    <row r="5490" spans="6:6" ht="12.75" customHeight="1">
      <c r="F5490" s="32"/>
    </row>
    <row r="5491" spans="6:6" ht="12.75" customHeight="1">
      <c r="F5491" s="32"/>
    </row>
    <row r="5492" spans="6:6" ht="12.75" customHeight="1">
      <c r="F5492" s="32"/>
    </row>
    <row r="5493" spans="6:6" ht="12.75" customHeight="1">
      <c r="F5493" s="32"/>
    </row>
    <row r="5494" spans="6:6" ht="12.75" customHeight="1">
      <c r="F5494" s="32"/>
    </row>
    <row r="5495" spans="6:6" ht="12.75" customHeight="1">
      <c r="F5495" s="32"/>
    </row>
    <row r="5496" spans="6:6" ht="12.75" customHeight="1">
      <c r="F5496" s="32"/>
    </row>
    <row r="5497" spans="6:6" ht="12.75" customHeight="1">
      <c r="F5497" s="32"/>
    </row>
    <row r="5498" spans="6:6" ht="12.75" customHeight="1">
      <c r="F5498" s="32"/>
    </row>
    <row r="5499" spans="6:6" ht="12.75" customHeight="1">
      <c r="F5499" s="32"/>
    </row>
    <row r="5500" spans="6:6" ht="12.75" customHeight="1">
      <c r="F5500" s="32"/>
    </row>
    <row r="5501" spans="6:6" ht="12.75" customHeight="1">
      <c r="F5501" s="32"/>
    </row>
    <row r="5502" spans="6:6" ht="12.75" customHeight="1">
      <c r="F5502" s="32"/>
    </row>
    <row r="5503" spans="6:6" ht="12.75" customHeight="1">
      <c r="F5503" s="32"/>
    </row>
    <row r="5504" spans="6:6" ht="12.75" customHeight="1">
      <c r="F5504" s="32"/>
    </row>
    <row r="5505" spans="6:6" ht="12.75" customHeight="1">
      <c r="F5505" s="32"/>
    </row>
    <row r="5506" spans="6:6" ht="12.75" customHeight="1">
      <c r="F5506" s="32"/>
    </row>
    <row r="5507" spans="6:6" ht="12.75" customHeight="1">
      <c r="F5507" s="32"/>
    </row>
    <row r="5508" spans="6:6" ht="12.75" customHeight="1">
      <c r="F5508" s="32"/>
    </row>
    <row r="5509" spans="6:6" ht="12.75" customHeight="1">
      <c r="F5509" s="32"/>
    </row>
    <row r="5510" spans="6:6" ht="12.75" customHeight="1">
      <c r="F5510" s="32"/>
    </row>
    <row r="5511" spans="6:6" ht="12.75" customHeight="1">
      <c r="F5511" s="32"/>
    </row>
    <row r="5512" spans="6:6" ht="12.75" customHeight="1">
      <c r="F5512" s="32"/>
    </row>
    <row r="5513" spans="6:6" ht="12.75" customHeight="1">
      <c r="F5513" s="32"/>
    </row>
    <row r="5514" spans="6:6" ht="12.75" customHeight="1">
      <c r="F5514" s="32"/>
    </row>
    <row r="5515" spans="6:6" ht="12.75" customHeight="1">
      <c r="F5515" s="32"/>
    </row>
    <row r="5516" spans="6:6" ht="12.75" customHeight="1">
      <c r="F5516" s="32"/>
    </row>
    <row r="5517" spans="6:6" ht="12.75" customHeight="1">
      <c r="F5517" s="32"/>
    </row>
    <row r="5518" spans="6:6" ht="12.75" customHeight="1">
      <c r="F5518" s="32"/>
    </row>
    <row r="5519" spans="6:6" ht="12.75" customHeight="1">
      <c r="F5519" s="32"/>
    </row>
    <row r="5520" spans="6:6" ht="12.75" customHeight="1">
      <c r="F5520" s="32"/>
    </row>
    <row r="5521" spans="6:6" ht="12.75" customHeight="1">
      <c r="F5521" s="32"/>
    </row>
    <row r="5522" spans="6:6" ht="12.75" customHeight="1">
      <c r="F5522" s="32"/>
    </row>
    <row r="5523" spans="6:6" ht="12.75" customHeight="1">
      <c r="F5523" s="32"/>
    </row>
    <row r="5524" spans="6:6" ht="12.75" customHeight="1">
      <c r="F5524" s="32"/>
    </row>
    <row r="5525" spans="6:6" ht="12.75" customHeight="1">
      <c r="F5525" s="32"/>
    </row>
    <row r="5526" spans="6:6" ht="12.75" customHeight="1">
      <c r="F5526" s="32"/>
    </row>
    <row r="5527" spans="6:6" ht="12.75" customHeight="1">
      <c r="F5527" s="32"/>
    </row>
    <row r="5528" spans="6:6" ht="12.75" customHeight="1">
      <c r="F5528" s="32"/>
    </row>
    <row r="5529" spans="6:6" ht="12.75" customHeight="1">
      <c r="F5529" s="32"/>
    </row>
    <row r="5530" spans="6:6" ht="12.75" customHeight="1">
      <c r="F5530" s="32"/>
    </row>
    <row r="5531" spans="6:6" ht="12.75" customHeight="1">
      <c r="F5531" s="32"/>
    </row>
    <row r="5532" spans="6:6" ht="12.75" customHeight="1">
      <c r="F5532" s="32"/>
    </row>
    <row r="5533" spans="6:6" ht="12.75" customHeight="1">
      <c r="F5533" s="32"/>
    </row>
    <row r="5534" spans="6:6" ht="12.75" customHeight="1">
      <c r="F5534" s="32"/>
    </row>
    <row r="5535" spans="6:6" ht="12.75" customHeight="1">
      <c r="F5535" s="32"/>
    </row>
    <row r="5536" spans="6:6" ht="12.75" customHeight="1">
      <c r="F5536" s="32"/>
    </row>
    <row r="5537" spans="6:6" ht="12.75" customHeight="1">
      <c r="F5537" s="32"/>
    </row>
    <row r="5538" spans="6:6" ht="12.75" customHeight="1">
      <c r="F5538" s="32"/>
    </row>
    <row r="5539" spans="6:6" ht="12.75" customHeight="1">
      <c r="F5539" s="32"/>
    </row>
    <row r="5540" spans="6:6" ht="12.75" customHeight="1">
      <c r="F5540" s="32"/>
    </row>
    <row r="5541" spans="6:6" ht="12.75" customHeight="1">
      <c r="F5541" s="32"/>
    </row>
    <row r="5542" spans="6:6" ht="12.75" customHeight="1">
      <c r="F5542" s="32"/>
    </row>
    <row r="5543" spans="6:6" ht="12.75" customHeight="1">
      <c r="F5543" s="32"/>
    </row>
    <row r="5544" spans="6:6" ht="12.75" customHeight="1">
      <c r="F5544" s="32"/>
    </row>
    <row r="5545" spans="6:6" ht="12.75" customHeight="1">
      <c r="F5545" s="32"/>
    </row>
    <row r="5546" spans="6:6" ht="12.75" customHeight="1">
      <c r="F5546" s="32"/>
    </row>
    <row r="5547" spans="6:6" ht="12.75" customHeight="1">
      <c r="F5547" s="32"/>
    </row>
    <row r="5548" spans="6:6" ht="12.75" customHeight="1">
      <c r="F5548" s="32"/>
    </row>
    <row r="5549" spans="6:6" ht="12.75" customHeight="1">
      <c r="F5549" s="32"/>
    </row>
    <row r="5550" spans="6:6" ht="12.75" customHeight="1">
      <c r="F5550" s="32"/>
    </row>
    <row r="5551" spans="6:6" ht="12.75" customHeight="1">
      <c r="F5551" s="32"/>
    </row>
    <row r="5552" spans="6:6" ht="12.75" customHeight="1">
      <c r="F5552" s="32"/>
    </row>
    <row r="5553" spans="6:6" ht="12.75" customHeight="1">
      <c r="F5553" s="32"/>
    </row>
    <row r="5554" spans="6:6" ht="12.75" customHeight="1">
      <c r="F5554" s="32"/>
    </row>
    <row r="5555" spans="6:6" ht="12.75" customHeight="1">
      <c r="F5555" s="32"/>
    </row>
    <row r="5556" spans="6:6" ht="12.75" customHeight="1">
      <c r="F5556" s="32"/>
    </row>
    <row r="5557" spans="6:6" ht="12.75" customHeight="1">
      <c r="F5557" s="32"/>
    </row>
    <row r="5558" spans="6:6" ht="12.75" customHeight="1">
      <c r="F5558" s="32"/>
    </row>
    <row r="5559" spans="6:6" ht="12.75" customHeight="1">
      <c r="F5559" s="32"/>
    </row>
    <row r="5560" spans="6:6" ht="12.75" customHeight="1">
      <c r="F5560" s="32"/>
    </row>
    <row r="5561" spans="6:6" ht="12.75" customHeight="1">
      <c r="F5561" s="32"/>
    </row>
    <row r="5562" spans="6:6" ht="12.75" customHeight="1">
      <c r="F5562" s="32"/>
    </row>
    <row r="5563" spans="6:6" ht="12.75" customHeight="1">
      <c r="F5563" s="32"/>
    </row>
    <row r="5564" spans="6:6" ht="12.75" customHeight="1">
      <c r="F5564" s="32"/>
    </row>
    <row r="5565" spans="6:6" ht="12.75" customHeight="1">
      <c r="F5565" s="32"/>
    </row>
    <row r="5566" spans="6:6" ht="12.75" customHeight="1">
      <c r="F5566" s="32"/>
    </row>
    <row r="5567" spans="6:6" ht="12.75" customHeight="1">
      <c r="F5567" s="32"/>
    </row>
    <row r="5568" spans="6:6" ht="12.75" customHeight="1">
      <c r="F5568" s="32"/>
    </row>
    <row r="5569" spans="6:6" ht="12.75" customHeight="1">
      <c r="F5569" s="32"/>
    </row>
    <row r="5570" spans="6:6" ht="12.75" customHeight="1">
      <c r="F5570" s="32"/>
    </row>
    <row r="5571" spans="6:6" ht="12.75" customHeight="1">
      <c r="F5571" s="32"/>
    </row>
    <row r="5572" spans="6:6" ht="12.75" customHeight="1">
      <c r="F5572" s="32"/>
    </row>
    <row r="5573" spans="6:6" ht="12.75" customHeight="1">
      <c r="F5573" s="32"/>
    </row>
    <row r="5574" spans="6:6" ht="12.75" customHeight="1">
      <c r="F5574" s="32"/>
    </row>
    <row r="5575" spans="6:6" ht="12.75" customHeight="1">
      <c r="F5575" s="32"/>
    </row>
    <row r="5576" spans="6:6" ht="12.75" customHeight="1">
      <c r="F5576" s="32"/>
    </row>
    <row r="5577" spans="6:6" ht="12.75" customHeight="1">
      <c r="F5577" s="32"/>
    </row>
    <row r="5578" spans="6:6" ht="12.75" customHeight="1">
      <c r="F5578" s="32"/>
    </row>
    <row r="5579" spans="6:6" ht="12.75" customHeight="1">
      <c r="F5579" s="32"/>
    </row>
    <row r="5580" spans="6:6" ht="12.75" customHeight="1">
      <c r="F5580" s="32"/>
    </row>
    <row r="5581" spans="6:6" ht="12.75" customHeight="1">
      <c r="F5581" s="32"/>
    </row>
    <row r="5582" spans="6:6" ht="12.75" customHeight="1">
      <c r="F5582" s="32"/>
    </row>
    <row r="5583" spans="6:6" ht="12.75" customHeight="1">
      <c r="F5583" s="32"/>
    </row>
    <row r="5584" spans="6:6" ht="12.75" customHeight="1">
      <c r="F5584" s="32"/>
    </row>
    <row r="5585" spans="6:6" ht="12.75" customHeight="1">
      <c r="F5585" s="32"/>
    </row>
    <row r="5586" spans="6:6" ht="12.75" customHeight="1">
      <c r="F5586" s="32"/>
    </row>
    <row r="5587" spans="6:6" ht="12.75" customHeight="1">
      <c r="F5587" s="32"/>
    </row>
    <row r="5588" spans="6:6" ht="12.75" customHeight="1">
      <c r="F5588" s="32"/>
    </row>
    <row r="5589" spans="6:6" ht="12.75" customHeight="1">
      <c r="F5589" s="32"/>
    </row>
    <row r="5590" spans="6:6" ht="12.75" customHeight="1">
      <c r="F5590" s="32"/>
    </row>
    <row r="5591" spans="6:6" ht="12.75" customHeight="1">
      <c r="F5591" s="32"/>
    </row>
    <row r="5592" spans="6:6" ht="12.75" customHeight="1">
      <c r="F5592" s="32"/>
    </row>
    <row r="5593" spans="6:6" ht="12.75" customHeight="1">
      <c r="F5593" s="32"/>
    </row>
    <row r="5594" spans="6:6" ht="12.75" customHeight="1">
      <c r="F5594" s="32"/>
    </row>
    <row r="5595" spans="6:6" ht="12.75" customHeight="1">
      <c r="F5595" s="32"/>
    </row>
    <row r="5596" spans="6:6" ht="12.75" customHeight="1">
      <c r="F5596" s="32"/>
    </row>
    <row r="5597" spans="6:6" ht="12.75" customHeight="1">
      <c r="F5597" s="32"/>
    </row>
    <row r="5598" spans="6:6" ht="12.75" customHeight="1">
      <c r="F5598" s="32"/>
    </row>
    <row r="5599" spans="6:6" ht="12.75" customHeight="1">
      <c r="F5599" s="32"/>
    </row>
    <row r="5600" spans="6:6" ht="12.75" customHeight="1">
      <c r="F5600" s="32"/>
    </row>
    <row r="5601" spans="6:6" ht="12.75" customHeight="1">
      <c r="F5601" s="32"/>
    </row>
    <row r="5602" spans="6:6" ht="12.75" customHeight="1">
      <c r="F5602" s="32"/>
    </row>
    <row r="5603" spans="6:6" ht="12.75" customHeight="1">
      <c r="F5603" s="32"/>
    </row>
    <row r="5604" spans="6:6" ht="12.75" customHeight="1">
      <c r="F5604" s="32"/>
    </row>
    <row r="5605" spans="6:6" ht="12.75" customHeight="1">
      <c r="F5605" s="32"/>
    </row>
    <row r="5606" spans="6:6" ht="12.75" customHeight="1">
      <c r="F5606" s="32"/>
    </row>
    <row r="5607" spans="6:6" ht="12.75" customHeight="1">
      <c r="F5607" s="32"/>
    </row>
    <row r="5608" spans="6:6" ht="12.75" customHeight="1">
      <c r="F5608" s="32"/>
    </row>
    <row r="5609" spans="6:6" ht="12.75" customHeight="1">
      <c r="F5609" s="32"/>
    </row>
    <row r="5610" spans="6:6" ht="12.75" customHeight="1">
      <c r="F5610" s="32"/>
    </row>
    <row r="5611" spans="6:6" ht="12.75" customHeight="1">
      <c r="F5611" s="32"/>
    </row>
    <row r="5612" spans="6:6" ht="12.75" customHeight="1">
      <c r="F5612" s="32"/>
    </row>
    <row r="5613" spans="6:6" ht="12.75" customHeight="1">
      <c r="F5613" s="32"/>
    </row>
    <row r="5614" spans="6:6" ht="12.75" customHeight="1">
      <c r="F5614" s="32"/>
    </row>
    <row r="5615" spans="6:6" ht="12.75" customHeight="1">
      <c r="F5615" s="32"/>
    </row>
    <row r="5616" spans="6:6" ht="12.75" customHeight="1">
      <c r="F5616" s="32"/>
    </row>
    <row r="5617" spans="6:6" ht="12.75" customHeight="1">
      <c r="F5617" s="32"/>
    </row>
    <row r="5618" spans="6:6" ht="12.75" customHeight="1">
      <c r="F5618" s="32"/>
    </row>
    <row r="5619" spans="6:6" ht="12.75" customHeight="1">
      <c r="F5619" s="32"/>
    </row>
    <row r="5620" spans="6:6" ht="12.75" customHeight="1">
      <c r="F5620" s="32"/>
    </row>
    <row r="5621" spans="6:6" ht="12.75" customHeight="1">
      <c r="F5621" s="32"/>
    </row>
    <row r="5622" spans="6:6" ht="12.75" customHeight="1">
      <c r="F5622" s="32"/>
    </row>
    <row r="5623" spans="6:6" ht="12.75" customHeight="1">
      <c r="F5623" s="32"/>
    </row>
    <row r="5624" spans="6:6" ht="12.75" customHeight="1">
      <c r="F5624" s="32"/>
    </row>
    <row r="5625" spans="6:6" ht="12.75" customHeight="1">
      <c r="F5625" s="32"/>
    </row>
    <row r="5626" spans="6:6" ht="12.75" customHeight="1">
      <c r="F5626" s="32"/>
    </row>
    <row r="5627" spans="6:6" ht="12.75" customHeight="1">
      <c r="F5627" s="32"/>
    </row>
    <row r="5628" spans="6:6" ht="12.75" customHeight="1">
      <c r="F5628" s="32"/>
    </row>
    <row r="5629" spans="6:6" ht="12.75" customHeight="1">
      <c r="F5629" s="32"/>
    </row>
    <row r="5630" spans="6:6" ht="12.75" customHeight="1">
      <c r="F5630" s="32"/>
    </row>
    <row r="5631" spans="6:6" ht="12.75" customHeight="1">
      <c r="F5631" s="32"/>
    </row>
    <row r="5632" spans="6:6" ht="12.75" customHeight="1">
      <c r="F5632" s="32"/>
    </row>
    <row r="5633" spans="6:6" ht="12.75" customHeight="1">
      <c r="F5633" s="32"/>
    </row>
    <row r="5634" spans="6:6" ht="12.75" customHeight="1">
      <c r="F5634" s="32"/>
    </row>
    <row r="5635" spans="6:6" ht="12.75" customHeight="1">
      <c r="F5635" s="32"/>
    </row>
    <row r="5636" spans="6:6" ht="12.75" customHeight="1">
      <c r="F5636" s="32"/>
    </row>
    <row r="5637" spans="6:6" ht="12.75" customHeight="1">
      <c r="F5637" s="32"/>
    </row>
    <row r="5638" spans="6:6" ht="12.75" customHeight="1">
      <c r="F5638" s="32"/>
    </row>
    <row r="5639" spans="6:6" ht="12.75" customHeight="1">
      <c r="F5639" s="32"/>
    </row>
    <row r="5640" spans="6:6" ht="12.75" customHeight="1">
      <c r="F5640" s="32"/>
    </row>
    <row r="5641" spans="6:6" ht="12.75" customHeight="1">
      <c r="F5641" s="32"/>
    </row>
    <row r="5642" spans="6:6" ht="12.75" customHeight="1">
      <c r="F5642" s="32"/>
    </row>
    <row r="5643" spans="6:6" ht="12.75" customHeight="1">
      <c r="F5643" s="32"/>
    </row>
    <row r="5644" spans="6:6" ht="12.75" customHeight="1">
      <c r="F5644" s="32"/>
    </row>
    <row r="5645" spans="6:6" ht="12.75" customHeight="1">
      <c r="F5645" s="32"/>
    </row>
    <row r="5646" spans="6:6" ht="12.75" customHeight="1">
      <c r="F5646" s="32"/>
    </row>
    <row r="5647" spans="6:6" ht="12.75" customHeight="1">
      <c r="F5647" s="32"/>
    </row>
    <row r="5648" spans="6:6" ht="12.75" customHeight="1">
      <c r="F5648" s="32"/>
    </row>
    <row r="5649" spans="6:6" ht="12.75" customHeight="1">
      <c r="F5649" s="32"/>
    </row>
    <row r="5650" spans="6:6" ht="12.75" customHeight="1">
      <c r="F5650" s="32"/>
    </row>
    <row r="5651" spans="6:6" ht="12.75" customHeight="1">
      <c r="F5651" s="32"/>
    </row>
    <row r="5652" spans="6:6" ht="12.75" customHeight="1">
      <c r="F5652" s="32"/>
    </row>
    <row r="5653" spans="6:6" ht="12.75" customHeight="1">
      <c r="F5653" s="32"/>
    </row>
    <row r="5654" spans="6:6" ht="12.75" customHeight="1">
      <c r="F5654" s="32"/>
    </row>
    <row r="5655" spans="6:6" ht="12.75" customHeight="1">
      <c r="F5655" s="32"/>
    </row>
    <row r="5656" spans="6:6" ht="12.75" customHeight="1">
      <c r="F5656" s="32"/>
    </row>
    <row r="5657" spans="6:6" ht="12.75" customHeight="1">
      <c r="F5657" s="32"/>
    </row>
    <row r="5658" spans="6:6" ht="12.75" customHeight="1">
      <c r="F5658" s="32"/>
    </row>
    <row r="5659" spans="6:6" ht="12.75" customHeight="1">
      <c r="F5659" s="32"/>
    </row>
    <row r="5660" spans="6:6" ht="12.75" customHeight="1">
      <c r="F5660" s="32"/>
    </row>
    <row r="5661" spans="6:6" ht="12.75" customHeight="1">
      <c r="F5661" s="32"/>
    </row>
    <row r="5662" spans="6:6" ht="12.75" customHeight="1">
      <c r="F5662" s="32"/>
    </row>
    <row r="5663" spans="6:6" ht="12.75" customHeight="1">
      <c r="F5663" s="32"/>
    </row>
    <row r="5664" spans="6:6" ht="12.75" customHeight="1">
      <c r="F5664" s="32"/>
    </row>
    <row r="5665" spans="6:6" ht="12.75" customHeight="1">
      <c r="F5665" s="32"/>
    </row>
    <row r="5666" spans="6:6" ht="12.75" customHeight="1">
      <c r="F5666" s="32"/>
    </row>
    <row r="5667" spans="6:6" ht="12.75" customHeight="1">
      <c r="F5667" s="32"/>
    </row>
    <row r="5668" spans="6:6" ht="12.75" customHeight="1">
      <c r="F5668" s="32"/>
    </row>
    <row r="5669" spans="6:6" ht="12.75" customHeight="1">
      <c r="F5669" s="32"/>
    </row>
    <row r="5670" spans="6:6" ht="12.75" customHeight="1">
      <c r="F5670" s="32"/>
    </row>
    <row r="5671" spans="6:6" ht="12.75" customHeight="1">
      <c r="F5671" s="32"/>
    </row>
    <row r="5672" spans="6:6" ht="12.75" customHeight="1">
      <c r="F5672" s="32"/>
    </row>
    <row r="5673" spans="6:6" ht="12.75" customHeight="1">
      <c r="F5673" s="32"/>
    </row>
    <row r="5674" spans="6:6" ht="12.75" customHeight="1">
      <c r="F5674" s="32"/>
    </row>
    <row r="5675" spans="6:6" ht="12.75" customHeight="1">
      <c r="F5675" s="32"/>
    </row>
    <row r="5676" spans="6:6" ht="12.75" customHeight="1">
      <c r="F5676" s="32"/>
    </row>
    <row r="5677" spans="6:6" ht="12.75" customHeight="1">
      <c r="F5677" s="32"/>
    </row>
    <row r="5678" spans="6:6" ht="12.75" customHeight="1">
      <c r="F5678" s="32"/>
    </row>
    <row r="5679" spans="6:6" ht="12.75" customHeight="1">
      <c r="F5679" s="32"/>
    </row>
    <row r="5680" spans="6:6" ht="12.75" customHeight="1">
      <c r="F5680" s="32"/>
    </row>
    <row r="5681" spans="6:6" ht="12.75" customHeight="1">
      <c r="F5681" s="32"/>
    </row>
    <row r="5682" spans="6:6" ht="12.75" customHeight="1">
      <c r="F5682" s="32"/>
    </row>
    <row r="5683" spans="6:6" ht="12.75" customHeight="1">
      <c r="F5683" s="32"/>
    </row>
    <row r="5684" spans="6:6" ht="12.75" customHeight="1">
      <c r="F5684" s="32"/>
    </row>
    <row r="5685" spans="6:6" ht="12.75" customHeight="1">
      <c r="F5685" s="32"/>
    </row>
    <row r="5686" spans="6:6" ht="12.75" customHeight="1">
      <c r="F5686" s="32"/>
    </row>
    <row r="5687" spans="6:6" ht="12.75" customHeight="1">
      <c r="F5687" s="32"/>
    </row>
    <row r="5688" spans="6:6" ht="12.75" customHeight="1">
      <c r="F5688" s="32"/>
    </row>
    <row r="5689" spans="6:6" ht="12.75" customHeight="1">
      <c r="F5689" s="32"/>
    </row>
    <row r="5690" spans="6:6" ht="12.75" customHeight="1">
      <c r="F5690" s="32"/>
    </row>
    <row r="5691" spans="6:6" ht="12.75" customHeight="1">
      <c r="F5691" s="32"/>
    </row>
    <row r="5692" spans="6:6" ht="12.75" customHeight="1">
      <c r="F5692" s="32"/>
    </row>
    <row r="5693" spans="6:6" ht="12.75" customHeight="1">
      <c r="F5693" s="32"/>
    </row>
    <row r="5694" spans="6:6" ht="12.75" customHeight="1">
      <c r="F5694" s="32"/>
    </row>
    <row r="5695" spans="6:6" ht="12.75" customHeight="1">
      <c r="F5695" s="32"/>
    </row>
    <row r="5696" spans="6:6" ht="12.75" customHeight="1">
      <c r="F5696" s="32"/>
    </row>
    <row r="5697" spans="6:6" ht="12.75" customHeight="1">
      <c r="F5697" s="32"/>
    </row>
    <row r="5698" spans="6:6" ht="12.75" customHeight="1">
      <c r="F5698" s="32"/>
    </row>
    <row r="5699" spans="6:6" ht="12.75" customHeight="1">
      <c r="F5699" s="32"/>
    </row>
    <row r="5700" spans="6:6" ht="12.75" customHeight="1">
      <c r="F5700" s="32"/>
    </row>
    <row r="5701" spans="6:6" ht="12.75" customHeight="1">
      <c r="F5701" s="32"/>
    </row>
    <row r="5702" spans="6:6" ht="12.75" customHeight="1">
      <c r="F5702" s="32"/>
    </row>
    <row r="5703" spans="6:6" ht="12.75" customHeight="1">
      <c r="F5703" s="32"/>
    </row>
    <row r="5704" spans="6:6" ht="12.75" customHeight="1">
      <c r="F5704" s="32"/>
    </row>
    <row r="5705" spans="6:6" ht="12.75" customHeight="1">
      <c r="F5705" s="32"/>
    </row>
    <row r="5706" spans="6:6" ht="12.75" customHeight="1">
      <c r="F5706" s="32"/>
    </row>
    <row r="5707" spans="6:6" ht="12.75" customHeight="1">
      <c r="F5707" s="32"/>
    </row>
    <row r="5708" spans="6:6" ht="12.75" customHeight="1">
      <c r="F5708" s="32"/>
    </row>
    <row r="5709" spans="6:6" ht="12.75" customHeight="1">
      <c r="F5709" s="32"/>
    </row>
    <row r="5710" spans="6:6" ht="12.75" customHeight="1">
      <c r="F5710" s="32"/>
    </row>
    <row r="5711" spans="6:6" ht="12.75" customHeight="1">
      <c r="F5711" s="32"/>
    </row>
    <row r="5712" spans="6:6" ht="12.75" customHeight="1">
      <c r="F5712" s="32"/>
    </row>
    <row r="5713" spans="6:6" ht="12.75" customHeight="1">
      <c r="F5713" s="32"/>
    </row>
    <row r="5714" spans="6:6" ht="12.75" customHeight="1">
      <c r="F5714" s="32"/>
    </row>
    <row r="5715" spans="6:6" ht="12.75" customHeight="1">
      <c r="F5715" s="32"/>
    </row>
    <row r="5716" spans="6:6" ht="12.75" customHeight="1">
      <c r="F5716" s="32"/>
    </row>
    <row r="5717" spans="6:6" ht="12.75" customHeight="1">
      <c r="F5717" s="32"/>
    </row>
    <row r="5718" spans="6:6" ht="12.75" customHeight="1">
      <c r="F5718" s="32"/>
    </row>
    <row r="5719" spans="6:6" ht="12.75" customHeight="1">
      <c r="F5719" s="32"/>
    </row>
    <row r="5720" spans="6:6" ht="12.75" customHeight="1">
      <c r="F5720" s="32"/>
    </row>
    <row r="5721" spans="6:6" ht="12.75" customHeight="1">
      <c r="F5721" s="32"/>
    </row>
    <row r="5722" spans="6:6" ht="12.75" customHeight="1">
      <c r="F5722" s="32"/>
    </row>
    <row r="5723" spans="6:6" ht="12.75" customHeight="1">
      <c r="F5723" s="32"/>
    </row>
    <row r="5724" spans="6:6" ht="12.75" customHeight="1">
      <c r="F5724" s="32"/>
    </row>
    <row r="5725" spans="6:6" ht="12.75" customHeight="1">
      <c r="F5725" s="32"/>
    </row>
    <row r="5726" spans="6:6" ht="12.75" customHeight="1">
      <c r="F5726" s="32"/>
    </row>
    <row r="5727" spans="6:6" ht="12.75" customHeight="1">
      <c r="F5727" s="32"/>
    </row>
    <row r="5728" spans="6:6" ht="12.75" customHeight="1">
      <c r="F5728" s="32"/>
    </row>
    <row r="5729" spans="6:6" ht="12.75" customHeight="1">
      <c r="F5729" s="32"/>
    </row>
    <row r="5730" spans="6:6" ht="12.75" customHeight="1">
      <c r="F5730" s="32"/>
    </row>
    <row r="5731" spans="6:6" ht="12.75" customHeight="1">
      <c r="F5731" s="32"/>
    </row>
    <row r="5732" spans="6:6" ht="12.75" customHeight="1">
      <c r="F5732" s="32"/>
    </row>
    <row r="5733" spans="6:6" ht="12.75" customHeight="1">
      <c r="F5733" s="32"/>
    </row>
    <row r="5734" spans="6:6" ht="12.75" customHeight="1">
      <c r="F5734" s="32"/>
    </row>
    <row r="5735" spans="6:6" ht="12.75" customHeight="1">
      <c r="F5735" s="32"/>
    </row>
    <row r="5736" spans="6:6" ht="12.75" customHeight="1">
      <c r="F5736" s="32"/>
    </row>
    <row r="5737" spans="6:6" ht="12.75" customHeight="1">
      <c r="F5737" s="32"/>
    </row>
    <row r="5738" spans="6:6" ht="12.75" customHeight="1">
      <c r="F5738" s="32"/>
    </row>
    <row r="5739" spans="6:6" ht="12.75" customHeight="1">
      <c r="F5739" s="32"/>
    </row>
    <row r="5740" spans="6:6" ht="12.75" customHeight="1">
      <c r="F5740" s="32"/>
    </row>
    <row r="5741" spans="6:6" ht="12.75" customHeight="1">
      <c r="F5741" s="32"/>
    </row>
    <row r="5742" spans="6:6" ht="12.75" customHeight="1">
      <c r="F5742" s="32"/>
    </row>
    <row r="5743" spans="6:6" ht="12.75" customHeight="1">
      <c r="F5743" s="32"/>
    </row>
    <row r="5744" spans="6:6" ht="12.75" customHeight="1">
      <c r="F5744" s="32"/>
    </row>
    <row r="5745" spans="6:6" ht="12.75" customHeight="1">
      <c r="F5745" s="32"/>
    </row>
    <row r="5746" spans="6:6" ht="12.75" customHeight="1">
      <c r="F5746" s="32"/>
    </row>
    <row r="5747" spans="6:6" ht="12.75" customHeight="1">
      <c r="F5747" s="32"/>
    </row>
    <row r="5748" spans="6:6" ht="12.75" customHeight="1">
      <c r="F5748" s="32"/>
    </row>
    <row r="5749" spans="6:6" ht="12.75" customHeight="1">
      <c r="F5749" s="32"/>
    </row>
    <row r="5750" spans="6:6" ht="12.75" customHeight="1">
      <c r="F5750" s="32"/>
    </row>
    <row r="5751" spans="6:6" ht="12.75" customHeight="1">
      <c r="F5751" s="32"/>
    </row>
    <row r="5752" spans="6:6" ht="12.75" customHeight="1">
      <c r="F5752" s="32"/>
    </row>
    <row r="5753" spans="6:6" ht="12.75" customHeight="1">
      <c r="F5753" s="32"/>
    </row>
    <row r="5754" spans="6:6" ht="12.75" customHeight="1">
      <c r="F5754" s="32"/>
    </row>
    <row r="5755" spans="6:6" ht="12.75" customHeight="1">
      <c r="F5755" s="32"/>
    </row>
    <row r="5756" spans="6:6" ht="12.75" customHeight="1">
      <c r="F5756" s="32"/>
    </row>
    <row r="5757" spans="6:6" ht="12.75" customHeight="1">
      <c r="F5757" s="32"/>
    </row>
    <row r="5758" spans="6:6" ht="12.75" customHeight="1">
      <c r="F5758" s="32"/>
    </row>
    <row r="5759" spans="6:6" ht="12.75" customHeight="1">
      <c r="F5759" s="32"/>
    </row>
    <row r="5760" spans="6:6" ht="12.75" customHeight="1">
      <c r="F5760" s="32"/>
    </row>
    <row r="5761" spans="6:6" ht="12.75" customHeight="1">
      <c r="F5761" s="32"/>
    </row>
    <row r="5762" spans="6:6" ht="12.75" customHeight="1">
      <c r="F5762" s="32"/>
    </row>
    <row r="5763" spans="6:6" ht="12.75" customHeight="1">
      <c r="F5763" s="32"/>
    </row>
    <row r="5764" spans="6:6" ht="12.75" customHeight="1">
      <c r="F5764" s="32"/>
    </row>
    <row r="5765" spans="6:6" ht="12.75" customHeight="1">
      <c r="F5765" s="32"/>
    </row>
    <row r="5766" spans="6:6" ht="12.75" customHeight="1">
      <c r="F5766" s="32"/>
    </row>
    <row r="5767" spans="6:6" ht="12.75" customHeight="1">
      <c r="F5767" s="32"/>
    </row>
    <row r="5768" spans="6:6" ht="12.75" customHeight="1">
      <c r="F5768" s="32"/>
    </row>
    <row r="5769" spans="6:6" ht="12.75" customHeight="1">
      <c r="F5769" s="32"/>
    </row>
    <row r="5770" spans="6:6" ht="12.75" customHeight="1">
      <c r="F5770" s="32"/>
    </row>
    <row r="5771" spans="6:6" ht="12.75" customHeight="1">
      <c r="F5771" s="32"/>
    </row>
    <row r="5772" spans="6:6" ht="12.75" customHeight="1">
      <c r="F5772" s="32"/>
    </row>
    <row r="5773" spans="6:6" ht="12.75" customHeight="1">
      <c r="F5773" s="32"/>
    </row>
    <row r="5774" spans="6:6" ht="12.75" customHeight="1">
      <c r="F5774" s="32"/>
    </row>
    <row r="5775" spans="6:6" ht="12.75" customHeight="1">
      <c r="F5775" s="32"/>
    </row>
    <row r="5776" spans="6:6" ht="12.75" customHeight="1">
      <c r="F5776" s="32"/>
    </row>
    <row r="5777" spans="6:6" ht="12.75" customHeight="1">
      <c r="F5777" s="32"/>
    </row>
    <row r="5778" spans="6:6" ht="12.75" customHeight="1">
      <c r="F5778" s="32"/>
    </row>
    <row r="5779" spans="6:6" ht="12.75" customHeight="1">
      <c r="F5779" s="32"/>
    </row>
    <row r="5780" spans="6:6" ht="12.75" customHeight="1">
      <c r="F5780" s="32"/>
    </row>
    <row r="5781" spans="6:6" ht="12.75" customHeight="1">
      <c r="F5781" s="32"/>
    </row>
    <row r="5782" spans="6:6" ht="12.75" customHeight="1">
      <c r="F5782" s="32"/>
    </row>
    <row r="5783" spans="6:6" ht="12.75" customHeight="1">
      <c r="F5783" s="32"/>
    </row>
    <row r="5784" spans="6:6" ht="12.75" customHeight="1">
      <c r="F5784" s="32"/>
    </row>
    <row r="5785" spans="6:6" ht="12.75" customHeight="1">
      <c r="F5785" s="32"/>
    </row>
    <row r="5786" spans="6:6" ht="12.75" customHeight="1">
      <c r="F5786" s="32"/>
    </row>
    <row r="5787" spans="6:6" ht="12.75" customHeight="1">
      <c r="F5787" s="32"/>
    </row>
    <row r="5788" spans="6:6" ht="12.75" customHeight="1">
      <c r="F5788" s="32"/>
    </row>
    <row r="5789" spans="6:6" ht="12.75" customHeight="1">
      <c r="F5789" s="32"/>
    </row>
    <row r="5790" spans="6:6" ht="12.75" customHeight="1">
      <c r="F5790" s="32"/>
    </row>
    <row r="5791" spans="6:6" ht="12.75" customHeight="1">
      <c r="F5791" s="32"/>
    </row>
    <row r="5792" spans="6:6" ht="12.75" customHeight="1">
      <c r="F5792" s="32"/>
    </row>
    <row r="5793" spans="6:6" ht="12.75" customHeight="1">
      <c r="F5793" s="32"/>
    </row>
    <row r="5794" spans="6:6" ht="12.75" customHeight="1">
      <c r="F5794" s="32"/>
    </row>
    <row r="5795" spans="6:6" ht="12.75" customHeight="1">
      <c r="F5795" s="32"/>
    </row>
    <row r="5796" spans="6:6" ht="12.75" customHeight="1">
      <c r="F5796" s="32"/>
    </row>
    <row r="5797" spans="6:6" ht="12.75" customHeight="1">
      <c r="F5797" s="32"/>
    </row>
    <row r="5798" spans="6:6" ht="12.75" customHeight="1">
      <c r="F5798" s="32"/>
    </row>
    <row r="5799" spans="6:6" ht="12.75" customHeight="1">
      <c r="F5799" s="32"/>
    </row>
    <row r="5800" spans="6:6" ht="12.75" customHeight="1">
      <c r="F5800" s="32"/>
    </row>
    <row r="5801" spans="6:6" ht="12.75" customHeight="1">
      <c r="F5801" s="32"/>
    </row>
    <row r="5802" spans="6:6" ht="12.75" customHeight="1">
      <c r="F5802" s="32"/>
    </row>
    <row r="5803" spans="6:6" ht="12.75" customHeight="1">
      <c r="F5803" s="32"/>
    </row>
    <row r="5804" spans="6:6" ht="12.75" customHeight="1">
      <c r="F5804" s="32"/>
    </row>
    <row r="5805" spans="6:6" ht="12.75" customHeight="1">
      <c r="F5805" s="32"/>
    </row>
    <row r="5806" spans="6:6" ht="12.75" customHeight="1">
      <c r="F5806" s="32"/>
    </row>
    <row r="5807" spans="6:6" ht="12.75" customHeight="1">
      <c r="F5807" s="32"/>
    </row>
    <row r="5808" spans="6:6" ht="12.75" customHeight="1">
      <c r="F5808" s="32"/>
    </row>
    <row r="5809" spans="6:6" ht="12.75" customHeight="1">
      <c r="F5809" s="32"/>
    </row>
    <row r="5810" spans="6:6" ht="12.75" customHeight="1">
      <c r="F5810" s="32"/>
    </row>
    <row r="5811" spans="6:6" ht="12.75" customHeight="1">
      <c r="F5811" s="32"/>
    </row>
    <row r="5812" spans="6:6" ht="12.75" customHeight="1">
      <c r="F5812" s="32"/>
    </row>
    <row r="5813" spans="6:6" ht="12.75" customHeight="1">
      <c r="F5813" s="32"/>
    </row>
    <row r="5814" spans="6:6" ht="12.75" customHeight="1">
      <c r="F5814" s="32"/>
    </row>
    <row r="5815" spans="6:6" ht="12.75" customHeight="1">
      <c r="F5815" s="32"/>
    </row>
    <row r="5816" spans="6:6" ht="12.75" customHeight="1">
      <c r="F5816" s="32"/>
    </row>
    <row r="5817" spans="6:6" ht="12.75" customHeight="1">
      <c r="F5817" s="32"/>
    </row>
    <row r="5818" spans="6:6" ht="12.75" customHeight="1">
      <c r="F5818" s="32"/>
    </row>
    <row r="5819" spans="6:6" ht="12.75" customHeight="1">
      <c r="F5819" s="32"/>
    </row>
    <row r="5820" spans="6:6" ht="12.75" customHeight="1">
      <c r="F5820" s="32"/>
    </row>
    <row r="5821" spans="6:6" ht="12.75" customHeight="1">
      <c r="F5821" s="32"/>
    </row>
    <row r="5822" spans="6:6" ht="12.75" customHeight="1">
      <c r="F5822" s="32"/>
    </row>
    <row r="5823" spans="6:6" ht="12.75" customHeight="1">
      <c r="F5823" s="32"/>
    </row>
    <row r="5824" spans="6:6" ht="12.75" customHeight="1">
      <c r="F5824" s="32"/>
    </row>
    <row r="5825" spans="6:6" ht="12.75" customHeight="1">
      <c r="F5825" s="32"/>
    </row>
    <row r="5826" spans="6:6" ht="12.75" customHeight="1">
      <c r="F5826" s="32"/>
    </row>
    <row r="5827" spans="6:6" ht="12.75" customHeight="1">
      <c r="F5827" s="32"/>
    </row>
    <row r="5828" spans="6:6" ht="12.75" customHeight="1">
      <c r="F5828" s="32"/>
    </row>
    <row r="5829" spans="6:6" ht="12.75" customHeight="1">
      <c r="F5829" s="32"/>
    </row>
    <row r="5830" spans="6:6" ht="12.75" customHeight="1">
      <c r="F5830" s="32"/>
    </row>
    <row r="5831" spans="6:6" ht="12.75" customHeight="1">
      <c r="F5831" s="32"/>
    </row>
    <row r="5832" spans="6:6" ht="12.75" customHeight="1">
      <c r="F5832" s="32"/>
    </row>
    <row r="5833" spans="6:6" ht="12.75" customHeight="1">
      <c r="F5833" s="32"/>
    </row>
    <row r="5834" spans="6:6" ht="12.75" customHeight="1">
      <c r="F5834" s="32"/>
    </row>
    <row r="5835" spans="6:6" ht="12.75" customHeight="1">
      <c r="F5835" s="32"/>
    </row>
    <row r="5836" spans="6:6" ht="12.75" customHeight="1">
      <c r="F5836" s="32"/>
    </row>
    <row r="5837" spans="6:6" ht="12.75" customHeight="1">
      <c r="F5837" s="32"/>
    </row>
    <row r="5838" spans="6:6" ht="12.75" customHeight="1">
      <c r="F5838" s="32"/>
    </row>
    <row r="5839" spans="6:6" ht="12.75" customHeight="1">
      <c r="F5839" s="32"/>
    </row>
    <row r="5840" spans="6:6" ht="12.75" customHeight="1">
      <c r="F5840" s="32"/>
    </row>
    <row r="5841" spans="6:6" ht="12.75" customHeight="1">
      <c r="F5841" s="32"/>
    </row>
    <row r="5842" spans="6:6" ht="12.75" customHeight="1">
      <c r="F5842" s="32"/>
    </row>
    <row r="5843" spans="6:6" ht="12.75" customHeight="1">
      <c r="F5843" s="32"/>
    </row>
    <row r="5844" spans="6:6" ht="12.75" customHeight="1">
      <c r="F5844" s="32"/>
    </row>
    <row r="5845" spans="6:6" ht="12.75" customHeight="1">
      <c r="F5845" s="32"/>
    </row>
    <row r="5846" spans="6:6" ht="12.75" customHeight="1">
      <c r="F5846" s="32"/>
    </row>
    <row r="5847" spans="6:6" ht="12.75" customHeight="1">
      <c r="F5847" s="32"/>
    </row>
    <row r="5848" spans="6:6" ht="12.75" customHeight="1">
      <c r="F5848" s="32"/>
    </row>
    <row r="5849" spans="6:6" ht="12.75" customHeight="1">
      <c r="F5849" s="32"/>
    </row>
    <row r="5850" spans="6:6" ht="12.75" customHeight="1">
      <c r="F5850" s="32"/>
    </row>
    <row r="5851" spans="6:6" ht="12.75" customHeight="1">
      <c r="F5851" s="32"/>
    </row>
    <row r="5852" spans="6:6" ht="12.75" customHeight="1">
      <c r="F5852" s="32"/>
    </row>
    <row r="5853" spans="6:6" ht="12.75" customHeight="1">
      <c r="F5853" s="32"/>
    </row>
    <row r="5854" spans="6:6" ht="12.75" customHeight="1">
      <c r="F5854" s="32"/>
    </row>
    <row r="5855" spans="6:6" ht="12.75" customHeight="1">
      <c r="F5855" s="32"/>
    </row>
    <row r="5856" spans="6:6" ht="12.75" customHeight="1">
      <c r="F5856" s="32"/>
    </row>
    <row r="5857" spans="6:6" ht="12.75" customHeight="1">
      <c r="F5857" s="32"/>
    </row>
    <row r="5858" spans="6:6" ht="12.75" customHeight="1">
      <c r="F5858" s="32"/>
    </row>
    <row r="5859" spans="6:6" ht="12.75" customHeight="1">
      <c r="F5859" s="32"/>
    </row>
    <row r="5860" spans="6:6" ht="12.75" customHeight="1">
      <c r="F5860" s="32"/>
    </row>
    <row r="5861" spans="6:6" ht="12.75" customHeight="1">
      <c r="F5861" s="32"/>
    </row>
    <row r="5862" spans="6:6" ht="12.75" customHeight="1">
      <c r="F5862" s="32"/>
    </row>
    <row r="5863" spans="6:6" ht="12.75" customHeight="1">
      <c r="F5863" s="32"/>
    </row>
    <row r="5864" spans="6:6" ht="12.75" customHeight="1">
      <c r="F5864" s="32"/>
    </row>
    <row r="5865" spans="6:6" ht="12.75" customHeight="1">
      <c r="F5865" s="32"/>
    </row>
    <row r="5866" spans="6:6" ht="12.75" customHeight="1">
      <c r="F5866" s="32"/>
    </row>
    <row r="5867" spans="6:6" ht="12.75" customHeight="1">
      <c r="F5867" s="32"/>
    </row>
    <row r="5868" spans="6:6" ht="12.75" customHeight="1">
      <c r="F5868" s="32"/>
    </row>
    <row r="5869" spans="6:6" ht="12.75" customHeight="1">
      <c r="F5869" s="32"/>
    </row>
    <row r="5870" spans="6:6" ht="12.75" customHeight="1">
      <c r="F5870" s="32"/>
    </row>
    <row r="5871" spans="6:6" ht="12.75" customHeight="1">
      <c r="F5871" s="32"/>
    </row>
    <row r="5872" spans="6:6" ht="12.75" customHeight="1">
      <c r="F5872" s="32"/>
    </row>
    <row r="5873" spans="6:6" ht="12.75" customHeight="1">
      <c r="F5873" s="32"/>
    </row>
    <row r="5874" spans="6:6" ht="12.75" customHeight="1">
      <c r="F5874" s="32"/>
    </row>
    <row r="5875" spans="6:6" ht="12.75" customHeight="1">
      <c r="F5875" s="32"/>
    </row>
    <row r="5876" spans="6:6" ht="12.75" customHeight="1">
      <c r="F5876" s="32"/>
    </row>
    <row r="5877" spans="6:6" ht="12.75" customHeight="1">
      <c r="F5877" s="32"/>
    </row>
    <row r="5878" spans="6:6" ht="12.75" customHeight="1">
      <c r="F5878" s="32"/>
    </row>
    <row r="5879" spans="6:6" ht="12.75" customHeight="1">
      <c r="F5879" s="32"/>
    </row>
    <row r="5880" spans="6:6" ht="12.75" customHeight="1">
      <c r="F5880" s="32"/>
    </row>
    <row r="5881" spans="6:6" ht="12.75" customHeight="1">
      <c r="F5881" s="32"/>
    </row>
    <row r="5882" spans="6:6" ht="12.75" customHeight="1">
      <c r="F5882" s="32"/>
    </row>
    <row r="5883" spans="6:6" ht="12.75" customHeight="1">
      <c r="F5883" s="32"/>
    </row>
    <row r="5884" spans="6:6" ht="12.75" customHeight="1">
      <c r="F5884" s="32"/>
    </row>
    <row r="5885" spans="6:6" ht="12.75" customHeight="1">
      <c r="F5885" s="32"/>
    </row>
    <row r="5886" spans="6:6" ht="12.75" customHeight="1">
      <c r="F5886" s="32"/>
    </row>
    <row r="5887" spans="6:6" ht="12.75" customHeight="1">
      <c r="F5887" s="32"/>
    </row>
    <row r="5888" spans="6:6" ht="12.75" customHeight="1">
      <c r="F5888" s="32"/>
    </row>
    <row r="5889" spans="6:6" ht="12.75" customHeight="1">
      <c r="F5889" s="32"/>
    </row>
    <row r="5890" spans="6:6" ht="12.75" customHeight="1">
      <c r="F5890" s="32"/>
    </row>
    <row r="5891" spans="6:6" ht="12.75" customHeight="1">
      <c r="F5891" s="32"/>
    </row>
    <row r="5892" spans="6:6" ht="12.75" customHeight="1">
      <c r="F5892" s="32"/>
    </row>
    <row r="5893" spans="6:6" ht="12.75" customHeight="1">
      <c r="F5893" s="32"/>
    </row>
    <row r="5894" spans="6:6" ht="12.75" customHeight="1">
      <c r="F5894" s="32"/>
    </row>
    <row r="5895" spans="6:6" ht="12.75" customHeight="1">
      <c r="F5895" s="32"/>
    </row>
    <row r="5896" spans="6:6" ht="12.75" customHeight="1">
      <c r="F5896" s="32"/>
    </row>
    <row r="5897" spans="6:6" ht="12.75" customHeight="1">
      <c r="F5897" s="32"/>
    </row>
    <row r="5898" spans="6:6" ht="12.75" customHeight="1">
      <c r="F5898" s="32"/>
    </row>
    <row r="5899" spans="6:6" ht="12.75" customHeight="1">
      <c r="F5899" s="32"/>
    </row>
    <row r="5900" spans="6:6" ht="12.75" customHeight="1">
      <c r="F5900" s="32"/>
    </row>
    <row r="5901" spans="6:6" ht="12.75" customHeight="1">
      <c r="F5901" s="32"/>
    </row>
    <row r="5902" spans="6:6" ht="12.75" customHeight="1">
      <c r="F5902" s="32"/>
    </row>
    <row r="5903" spans="6:6" ht="12.75" customHeight="1">
      <c r="F5903" s="32"/>
    </row>
    <row r="5904" spans="6:6" ht="12.75" customHeight="1">
      <c r="F5904" s="32"/>
    </row>
    <row r="5905" spans="6:6" ht="12.75" customHeight="1">
      <c r="F5905" s="32"/>
    </row>
    <row r="5906" spans="6:6" ht="12.75" customHeight="1">
      <c r="F5906" s="32"/>
    </row>
    <row r="5907" spans="6:6" ht="12.75" customHeight="1">
      <c r="F5907" s="32"/>
    </row>
    <row r="5908" spans="6:6" ht="12.75" customHeight="1">
      <c r="F5908" s="32"/>
    </row>
    <row r="5909" spans="6:6" ht="12.75" customHeight="1">
      <c r="F5909" s="32"/>
    </row>
    <row r="5910" spans="6:6" ht="12.75" customHeight="1">
      <c r="F5910" s="32"/>
    </row>
    <row r="5911" spans="6:6" ht="12.75" customHeight="1">
      <c r="F5911" s="32"/>
    </row>
    <row r="5912" spans="6:6" ht="12.75" customHeight="1">
      <c r="F5912" s="32"/>
    </row>
    <row r="5913" spans="6:6" ht="12.75" customHeight="1">
      <c r="F5913" s="32"/>
    </row>
    <row r="5914" spans="6:6" ht="12.75" customHeight="1">
      <c r="F5914" s="32"/>
    </row>
    <row r="5915" spans="6:6" ht="12.75" customHeight="1">
      <c r="F5915" s="32"/>
    </row>
    <row r="5916" spans="6:6" ht="12.75" customHeight="1">
      <c r="F5916" s="32"/>
    </row>
    <row r="5917" spans="6:6" ht="12.75" customHeight="1">
      <c r="F5917" s="32"/>
    </row>
    <row r="5918" spans="6:6" ht="12.75" customHeight="1">
      <c r="F5918" s="32"/>
    </row>
    <row r="5919" spans="6:6" ht="12.75" customHeight="1">
      <c r="F5919" s="32"/>
    </row>
    <row r="5920" spans="6:6" ht="12.75" customHeight="1">
      <c r="F5920" s="32"/>
    </row>
    <row r="5921" spans="6:6" ht="12.75" customHeight="1">
      <c r="F5921" s="32"/>
    </row>
    <row r="5922" spans="6:6" ht="12.75" customHeight="1">
      <c r="F5922" s="32"/>
    </row>
    <row r="5923" spans="6:6" ht="12.75" customHeight="1">
      <c r="F5923" s="32"/>
    </row>
    <row r="5924" spans="6:6" ht="12.75" customHeight="1">
      <c r="F5924" s="32"/>
    </row>
    <row r="5925" spans="6:6" ht="12.75" customHeight="1">
      <c r="F5925" s="32"/>
    </row>
    <row r="5926" spans="6:6" ht="12.75" customHeight="1">
      <c r="F5926" s="32"/>
    </row>
    <row r="5927" spans="6:6" ht="12.75" customHeight="1">
      <c r="F5927" s="32"/>
    </row>
    <row r="5928" spans="6:6" ht="12.75" customHeight="1">
      <c r="F5928" s="32"/>
    </row>
    <row r="5929" spans="6:6" ht="12.75" customHeight="1">
      <c r="F5929" s="32"/>
    </row>
    <row r="5930" spans="6:6" ht="12.75" customHeight="1">
      <c r="F5930" s="32"/>
    </row>
    <row r="5931" spans="6:6" ht="12.75" customHeight="1">
      <c r="F5931" s="32"/>
    </row>
    <row r="5932" spans="6:6" ht="12.75" customHeight="1">
      <c r="F5932" s="32"/>
    </row>
    <row r="5933" spans="6:6" ht="12.75" customHeight="1">
      <c r="F5933" s="32"/>
    </row>
    <row r="5934" spans="6:6" ht="12.75" customHeight="1">
      <c r="F5934" s="32"/>
    </row>
    <row r="5935" spans="6:6" ht="12.75" customHeight="1">
      <c r="F5935" s="32"/>
    </row>
    <row r="5936" spans="6:6" ht="12.75" customHeight="1">
      <c r="F5936" s="32"/>
    </row>
    <row r="5937" spans="6:6" ht="12.75" customHeight="1">
      <c r="F5937" s="32"/>
    </row>
    <row r="5938" spans="6:6" ht="12.75" customHeight="1">
      <c r="F5938" s="32"/>
    </row>
    <row r="5939" spans="6:6" ht="12.75" customHeight="1">
      <c r="F5939" s="32"/>
    </row>
    <row r="5940" spans="6:6" ht="12.75" customHeight="1">
      <c r="F5940" s="32"/>
    </row>
    <row r="5941" spans="6:6" ht="12.75" customHeight="1">
      <c r="F5941" s="32"/>
    </row>
    <row r="5942" spans="6:6" ht="12.75" customHeight="1">
      <c r="F5942" s="32"/>
    </row>
    <row r="5943" spans="6:6" ht="12.75" customHeight="1">
      <c r="F5943" s="32"/>
    </row>
    <row r="5944" spans="6:6" ht="12.75" customHeight="1">
      <c r="F5944" s="32"/>
    </row>
    <row r="5945" spans="6:6" ht="12.75" customHeight="1">
      <c r="F5945" s="32"/>
    </row>
    <row r="5946" spans="6:6" ht="12.75" customHeight="1">
      <c r="F5946" s="32"/>
    </row>
    <row r="5947" spans="6:6" ht="12.75" customHeight="1">
      <c r="F5947" s="32"/>
    </row>
    <row r="5948" spans="6:6" ht="12.75" customHeight="1">
      <c r="F5948" s="32"/>
    </row>
    <row r="5949" spans="6:6" ht="12.75" customHeight="1">
      <c r="F5949" s="32"/>
    </row>
    <row r="5950" spans="6:6" ht="12.75" customHeight="1">
      <c r="F5950" s="32"/>
    </row>
    <row r="5951" spans="6:6" ht="12.75" customHeight="1">
      <c r="F5951" s="32"/>
    </row>
    <row r="5952" spans="6:6" ht="12.75" customHeight="1">
      <c r="F5952" s="32"/>
    </row>
    <row r="5953" spans="6:6" ht="12.75" customHeight="1">
      <c r="F5953" s="32"/>
    </row>
    <row r="5954" spans="6:6" ht="12.75" customHeight="1">
      <c r="F5954" s="32"/>
    </row>
    <row r="5955" spans="6:6" ht="12.75" customHeight="1">
      <c r="F5955" s="32"/>
    </row>
    <row r="5956" spans="6:6" ht="12.75" customHeight="1">
      <c r="F5956" s="32"/>
    </row>
    <row r="5957" spans="6:6" ht="12.75" customHeight="1">
      <c r="F5957" s="32"/>
    </row>
    <row r="5958" spans="6:6" ht="12.75" customHeight="1">
      <c r="F5958" s="32"/>
    </row>
    <row r="5959" spans="6:6" ht="12.75" customHeight="1">
      <c r="F5959" s="32"/>
    </row>
    <row r="5960" spans="6:6" ht="12.75" customHeight="1">
      <c r="F5960" s="32"/>
    </row>
    <row r="5961" spans="6:6" ht="12.75" customHeight="1">
      <c r="F5961" s="32"/>
    </row>
    <row r="5962" spans="6:6" ht="12.75" customHeight="1">
      <c r="F5962" s="32"/>
    </row>
    <row r="5963" spans="6:6" ht="12.75" customHeight="1">
      <c r="F5963" s="32"/>
    </row>
    <row r="5964" spans="6:6" ht="12.75" customHeight="1">
      <c r="F5964" s="32"/>
    </row>
    <row r="5965" spans="6:6" ht="12.75" customHeight="1">
      <c r="F5965" s="32"/>
    </row>
    <row r="5966" spans="6:6" ht="12.75" customHeight="1">
      <c r="F5966" s="32"/>
    </row>
    <row r="5967" spans="6:6" ht="12.75" customHeight="1">
      <c r="F5967" s="32"/>
    </row>
    <row r="5968" spans="6:6" ht="12.75" customHeight="1">
      <c r="F5968" s="32"/>
    </row>
    <row r="5969" spans="6:6" ht="12.75" customHeight="1">
      <c r="F5969" s="32"/>
    </row>
    <row r="5970" spans="6:6" ht="12.75" customHeight="1">
      <c r="F5970" s="32"/>
    </row>
    <row r="5971" spans="6:6" ht="12.75" customHeight="1">
      <c r="F5971" s="32"/>
    </row>
    <row r="5972" spans="6:6" ht="12.75" customHeight="1">
      <c r="F5972" s="32"/>
    </row>
    <row r="5973" spans="6:6" ht="12.75" customHeight="1">
      <c r="F5973" s="32"/>
    </row>
    <row r="5974" spans="6:6" ht="12.75" customHeight="1">
      <c r="F5974" s="32"/>
    </row>
    <row r="5975" spans="6:6" ht="12.75" customHeight="1">
      <c r="F5975" s="32"/>
    </row>
    <row r="5976" spans="6:6" ht="12.75" customHeight="1">
      <c r="F5976" s="32"/>
    </row>
    <row r="5977" spans="6:6" ht="12.75" customHeight="1">
      <c r="F5977" s="32"/>
    </row>
    <row r="5978" spans="6:6" ht="12.75" customHeight="1">
      <c r="F5978" s="32"/>
    </row>
    <row r="5979" spans="6:6" ht="12.75" customHeight="1">
      <c r="F5979" s="32"/>
    </row>
    <row r="5980" spans="6:6" ht="12.75" customHeight="1">
      <c r="F5980" s="32"/>
    </row>
    <row r="5981" spans="6:6" ht="12.75" customHeight="1">
      <c r="F5981" s="32"/>
    </row>
    <row r="5982" spans="6:6" ht="12.75" customHeight="1">
      <c r="F5982" s="32"/>
    </row>
    <row r="5983" spans="6:6" ht="12.75" customHeight="1">
      <c r="F5983" s="32"/>
    </row>
    <row r="5984" spans="6:6" ht="12.75" customHeight="1">
      <c r="F5984" s="32"/>
    </row>
    <row r="5985" spans="6:6" ht="12.75" customHeight="1">
      <c r="F5985" s="32"/>
    </row>
    <row r="5986" spans="6:6" ht="12.75" customHeight="1">
      <c r="F5986" s="32"/>
    </row>
    <row r="5987" spans="6:6" ht="12.75" customHeight="1">
      <c r="F5987" s="32"/>
    </row>
    <row r="5988" spans="6:6" ht="12.75" customHeight="1">
      <c r="F5988" s="32"/>
    </row>
    <row r="5989" spans="6:6" ht="12.75" customHeight="1">
      <c r="F5989" s="32"/>
    </row>
    <row r="5990" spans="6:6" ht="12.75" customHeight="1">
      <c r="F5990" s="32"/>
    </row>
    <row r="5991" spans="6:6" ht="12.75" customHeight="1">
      <c r="F5991" s="32"/>
    </row>
    <row r="5992" spans="6:6" ht="12.75" customHeight="1">
      <c r="F5992" s="32"/>
    </row>
    <row r="5993" spans="6:6" ht="12.75" customHeight="1">
      <c r="F5993" s="32"/>
    </row>
    <row r="5994" spans="6:6" ht="12.75" customHeight="1">
      <c r="F5994" s="32"/>
    </row>
    <row r="5995" spans="6:6" ht="12.75" customHeight="1">
      <c r="F5995" s="32"/>
    </row>
    <row r="5996" spans="6:6" ht="12.75" customHeight="1">
      <c r="F5996" s="32"/>
    </row>
    <row r="5997" spans="6:6" ht="12.75" customHeight="1">
      <c r="F5997" s="32"/>
    </row>
    <row r="5998" spans="6:6" ht="12.75" customHeight="1">
      <c r="F5998" s="32"/>
    </row>
    <row r="5999" spans="6:6" ht="12.75" customHeight="1">
      <c r="F5999" s="32"/>
    </row>
    <row r="6000" spans="6:6" ht="12.75" customHeight="1">
      <c r="F6000" s="32"/>
    </row>
    <row r="6001" spans="6:6" ht="12.75" customHeight="1">
      <c r="F6001" s="32"/>
    </row>
    <row r="6002" spans="6:6" ht="12.75" customHeight="1">
      <c r="F6002" s="32"/>
    </row>
    <row r="6003" spans="6:6" ht="12.75" customHeight="1">
      <c r="F6003" s="32"/>
    </row>
    <row r="6004" spans="6:6" ht="12.75" customHeight="1">
      <c r="F6004" s="32"/>
    </row>
    <row r="6005" spans="6:6" ht="12.75" customHeight="1">
      <c r="F6005" s="32"/>
    </row>
    <row r="6006" spans="6:6" ht="12.75" customHeight="1">
      <c r="F6006" s="32"/>
    </row>
    <row r="6007" spans="6:6" ht="12.75" customHeight="1">
      <c r="F6007" s="32"/>
    </row>
    <row r="6008" spans="6:6" ht="12.75" customHeight="1">
      <c r="F6008" s="32"/>
    </row>
    <row r="6009" spans="6:6" ht="12.75" customHeight="1">
      <c r="F6009" s="32"/>
    </row>
    <row r="6010" spans="6:6" ht="12.75" customHeight="1">
      <c r="F6010" s="32"/>
    </row>
    <row r="6011" spans="6:6" ht="12.75" customHeight="1">
      <c r="F6011" s="32"/>
    </row>
    <row r="6012" spans="6:6" ht="12.75" customHeight="1">
      <c r="F6012" s="32"/>
    </row>
    <row r="6013" spans="6:6" ht="12.75" customHeight="1">
      <c r="F6013" s="32"/>
    </row>
    <row r="6014" spans="6:6" ht="12.75" customHeight="1">
      <c r="F6014" s="32"/>
    </row>
    <row r="6015" spans="6:6" ht="12.75" customHeight="1">
      <c r="F6015" s="32"/>
    </row>
    <row r="6016" spans="6:6" ht="12.75" customHeight="1">
      <c r="F6016" s="32"/>
    </row>
    <row r="6017" spans="6:6" ht="12.75" customHeight="1">
      <c r="F6017" s="32"/>
    </row>
    <row r="6018" spans="6:6" ht="12.75" customHeight="1">
      <c r="F6018" s="32"/>
    </row>
    <row r="6019" spans="6:6" ht="12.75" customHeight="1">
      <c r="F6019" s="32"/>
    </row>
    <row r="6020" spans="6:6" ht="12.75" customHeight="1">
      <c r="F6020" s="32"/>
    </row>
    <row r="6021" spans="6:6" ht="12.75" customHeight="1">
      <c r="F6021" s="32"/>
    </row>
    <row r="6022" spans="6:6" ht="12.75" customHeight="1">
      <c r="F6022" s="32"/>
    </row>
    <row r="6023" spans="6:6" ht="12.75" customHeight="1">
      <c r="F6023" s="32"/>
    </row>
    <row r="6024" spans="6:6" ht="12.75" customHeight="1">
      <c r="F6024" s="32"/>
    </row>
    <row r="6025" spans="6:6" ht="12.75" customHeight="1">
      <c r="F6025" s="32"/>
    </row>
    <row r="6026" spans="6:6" ht="12.75" customHeight="1">
      <c r="F6026" s="32"/>
    </row>
    <row r="6027" spans="6:6" ht="12.75" customHeight="1">
      <c r="F6027" s="32"/>
    </row>
    <row r="6028" spans="6:6" ht="12.75" customHeight="1">
      <c r="F6028" s="32"/>
    </row>
    <row r="6029" spans="6:6" ht="12.75" customHeight="1">
      <c r="F6029" s="32"/>
    </row>
    <row r="6030" spans="6:6" ht="12.75" customHeight="1">
      <c r="F6030" s="32"/>
    </row>
    <row r="6031" spans="6:6" ht="12.75" customHeight="1">
      <c r="F6031" s="32"/>
    </row>
    <row r="6032" spans="6:6" ht="12.75" customHeight="1">
      <c r="F6032" s="32"/>
    </row>
    <row r="6033" spans="6:6" ht="12.75" customHeight="1">
      <c r="F6033" s="32"/>
    </row>
    <row r="6034" spans="6:6" ht="12.75" customHeight="1">
      <c r="F6034" s="32"/>
    </row>
    <row r="6035" spans="6:6" ht="12.75" customHeight="1">
      <c r="F6035" s="32"/>
    </row>
    <row r="6036" spans="6:6" ht="12.75" customHeight="1">
      <c r="F6036" s="32"/>
    </row>
    <row r="6037" spans="6:6" ht="12.75" customHeight="1">
      <c r="F6037" s="32"/>
    </row>
    <row r="6038" spans="6:6" ht="12.75" customHeight="1">
      <c r="F6038" s="32"/>
    </row>
    <row r="6039" spans="6:6" ht="12.75" customHeight="1">
      <c r="F6039" s="32"/>
    </row>
    <row r="6040" spans="6:6" ht="12.75" customHeight="1">
      <c r="F6040" s="32"/>
    </row>
    <row r="6041" spans="6:6" ht="12.75" customHeight="1">
      <c r="F6041" s="32"/>
    </row>
    <row r="6042" spans="6:6" ht="12.75" customHeight="1">
      <c r="F6042" s="32"/>
    </row>
    <row r="6043" spans="6:6" ht="12.75" customHeight="1">
      <c r="F6043" s="32"/>
    </row>
    <row r="6044" spans="6:6" ht="12.75" customHeight="1">
      <c r="F6044" s="32"/>
    </row>
    <row r="6045" spans="6:6" ht="12.75" customHeight="1">
      <c r="F6045" s="32"/>
    </row>
    <row r="6046" spans="6:6" ht="12.75" customHeight="1">
      <c r="F6046" s="32"/>
    </row>
    <row r="6047" spans="6:6" ht="12.75" customHeight="1">
      <c r="F6047" s="32"/>
    </row>
    <row r="6048" spans="6:6" ht="12.75" customHeight="1">
      <c r="F6048" s="32"/>
    </row>
    <row r="6049" spans="6:6" ht="12.75" customHeight="1">
      <c r="F6049" s="32"/>
    </row>
    <row r="6050" spans="6:6" ht="12.75" customHeight="1">
      <c r="F6050" s="32"/>
    </row>
    <row r="6051" spans="6:6" ht="12.75" customHeight="1">
      <c r="F6051" s="32"/>
    </row>
    <row r="6052" spans="6:6" ht="12.75" customHeight="1">
      <c r="F6052" s="32"/>
    </row>
    <row r="6053" spans="6:6" ht="12.75" customHeight="1">
      <c r="F6053" s="32"/>
    </row>
    <row r="6054" spans="6:6" ht="12.75" customHeight="1">
      <c r="F6054" s="32"/>
    </row>
    <row r="6055" spans="6:6" ht="12.75" customHeight="1">
      <c r="F6055" s="32"/>
    </row>
    <row r="6056" spans="6:6" ht="12.75" customHeight="1">
      <c r="F6056" s="32"/>
    </row>
    <row r="6057" spans="6:6" ht="12.75" customHeight="1">
      <c r="F6057" s="32"/>
    </row>
    <row r="6058" spans="6:6" ht="12.75" customHeight="1">
      <c r="F6058" s="32"/>
    </row>
    <row r="6059" spans="6:6" ht="12.75" customHeight="1">
      <c r="F6059" s="32"/>
    </row>
    <row r="6060" spans="6:6" ht="12.75" customHeight="1">
      <c r="F6060" s="32"/>
    </row>
    <row r="6061" spans="6:6" ht="12.75" customHeight="1">
      <c r="F6061" s="32"/>
    </row>
    <row r="6062" spans="6:6" ht="12.75" customHeight="1">
      <c r="F6062" s="32"/>
    </row>
    <row r="6063" spans="6:6" ht="12.75" customHeight="1">
      <c r="F6063" s="32"/>
    </row>
    <row r="6064" spans="6:6" ht="12.75" customHeight="1">
      <c r="F6064" s="32"/>
    </row>
    <row r="6065" spans="6:6" ht="12.75" customHeight="1">
      <c r="F6065" s="32"/>
    </row>
    <row r="6066" spans="6:6" ht="12.75" customHeight="1">
      <c r="F6066" s="32"/>
    </row>
    <row r="6067" spans="6:6" ht="12.75" customHeight="1">
      <c r="F6067" s="32"/>
    </row>
    <row r="6068" spans="6:6" ht="12.75" customHeight="1">
      <c r="F6068" s="32"/>
    </row>
    <row r="6069" spans="6:6" ht="12.75" customHeight="1">
      <c r="F6069" s="32"/>
    </row>
    <row r="6070" spans="6:6" ht="12.75" customHeight="1">
      <c r="F6070" s="32"/>
    </row>
    <row r="6071" spans="6:6" ht="12.75" customHeight="1">
      <c r="F6071" s="32"/>
    </row>
    <row r="6072" spans="6:6" ht="12.75" customHeight="1">
      <c r="F6072" s="32"/>
    </row>
    <row r="6073" spans="6:6" ht="12.75" customHeight="1">
      <c r="F6073" s="32"/>
    </row>
    <row r="6074" spans="6:6" ht="12.75" customHeight="1">
      <c r="F6074" s="32"/>
    </row>
    <row r="6075" spans="6:6" ht="12.75" customHeight="1">
      <c r="F6075" s="32"/>
    </row>
    <row r="6076" spans="6:6" ht="12.75" customHeight="1">
      <c r="F6076" s="32"/>
    </row>
    <row r="6077" spans="6:6" ht="12.75" customHeight="1">
      <c r="F6077" s="32"/>
    </row>
    <row r="6078" spans="6:6" ht="12.75" customHeight="1">
      <c r="F6078" s="32"/>
    </row>
    <row r="6079" spans="6:6" ht="12.75" customHeight="1">
      <c r="F6079" s="32"/>
    </row>
    <row r="6080" spans="6:6" ht="12.75" customHeight="1">
      <c r="F6080" s="32"/>
    </row>
    <row r="6081" spans="6:6" ht="12.75" customHeight="1">
      <c r="F6081" s="32"/>
    </row>
    <row r="6082" spans="6:6" ht="12.75" customHeight="1">
      <c r="F6082" s="32"/>
    </row>
    <row r="6083" spans="6:6" ht="12.75" customHeight="1">
      <c r="F6083" s="32"/>
    </row>
    <row r="6084" spans="6:6" ht="12.75" customHeight="1">
      <c r="F6084" s="32"/>
    </row>
    <row r="6085" spans="6:6" ht="12.75" customHeight="1">
      <c r="F6085" s="32"/>
    </row>
    <row r="6086" spans="6:6" ht="12.75" customHeight="1">
      <c r="F6086" s="32"/>
    </row>
    <row r="6087" spans="6:6" ht="12.75" customHeight="1">
      <c r="F6087" s="32"/>
    </row>
    <row r="6088" spans="6:6" ht="12.75" customHeight="1">
      <c r="F6088" s="32"/>
    </row>
    <row r="6089" spans="6:6" ht="12.75" customHeight="1">
      <c r="F6089" s="32"/>
    </row>
    <row r="6090" spans="6:6" ht="12.75" customHeight="1">
      <c r="F6090" s="32"/>
    </row>
    <row r="6091" spans="6:6" ht="12.75" customHeight="1">
      <c r="F6091" s="32"/>
    </row>
    <row r="6092" spans="6:6" ht="12.75" customHeight="1">
      <c r="F6092" s="32"/>
    </row>
    <row r="6093" spans="6:6" ht="12.75" customHeight="1">
      <c r="F6093" s="32"/>
    </row>
    <row r="6094" spans="6:6" ht="12.75" customHeight="1">
      <c r="F6094" s="32"/>
    </row>
    <row r="6095" spans="6:6" ht="12.75" customHeight="1">
      <c r="F6095" s="32"/>
    </row>
    <row r="6096" spans="6:6" ht="12.75" customHeight="1">
      <c r="F6096" s="32"/>
    </row>
    <row r="6097" spans="6:6" ht="12.75" customHeight="1">
      <c r="F6097" s="32"/>
    </row>
    <row r="6098" spans="6:6" ht="12.75" customHeight="1">
      <c r="F6098" s="32"/>
    </row>
    <row r="6099" spans="6:6" ht="12.75" customHeight="1">
      <c r="F6099" s="32"/>
    </row>
    <row r="6100" spans="6:6" ht="12.75" customHeight="1">
      <c r="F6100" s="32"/>
    </row>
    <row r="6101" spans="6:6" ht="12.75" customHeight="1">
      <c r="F6101" s="32"/>
    </row>
    <row r="6102" spans="6:6" ht="12.75" customHeight="1">
      <c r="F6102" s="32"/>
    </row>
    <row r="6103" spans="6:6" ht="12.75" customHeight="1">
      <c r="F6103" s="32"/>
    </row>
    <row r="6104" spans="6:6" ht="12.75" customHeight="1">
      <c r="F6104" s="32"/>
    </row>
    <row r="6105" spans="6:6" ht="12.75" customHeight="1">
      <c r="F6105" s="32"/>
    </row>
    <row r="6106" spans="6:6" ht="12.75" customHeight="1">
      <c r="F6106" s="32"/>
    </row>
    <row r="6107" spans="6:6" ht="12.75" customHeight="1">
      <c r="F6107" s="32"/>
    </row>
    <row r="6108" spans="6:6" ht="12.75" customHeight="1">
      <c r="F6108" s="32"/>
    </row>
    <row r="6109" spans="6:6" ht="12.75" customHeight="1">
      <c r="F6109" s="32"/>
    </row>
    <row r="6110" spans="6:6" ht="12.75" customHeight="1">
      <c r="F6110" s="32"/>
    </row>
    <row r="6111" spans="6:6" ht="12.75" customHeight="1">
      <c r="F6111" s="32"/>
    </row>
    <row r="6112" spans="6:6" ht="12.75" customHeight="1">
      <c r="F6112" s="32"/>
    </row>
    <row r="6113" spans="6:6" ht="12.75" customHeight="1">
      <c r="F6113" s="32"/>
    </row>
    <row r="6114" spans="6:6" ht="12.75" customHeight="1">
      <c r="F6114" s="32"/>
    </row>
    <row r="6115" spans="6:6" ht="12.75" customHeight="1">
      <c r="F6115" s="32"/>
    </row>
    <row r="6116" spans="6:6" ht="12.75" customHeight="1">
      <c r="F6116" s="32"/>
    </row>
    <row r="6117" spans="6:6" ht="12.75" customHeight="1">
      <c r="F6117" s="32"/>
    </row>
    <row r="6118" spans="6:6" ht="12.75" customHeight="1">
      <c r="F6118" s="32"/>
    </row>
    <row r="6119" spans="6:6" ht="12.75" customHeight="1">
      <c r="F6119" s="32"/>
    </row>
    <row r="6120" spans="6:6" ht="12.75" customHeight="1">
      <c r="F6120" s="32"/>
    </row>
    <row r="6121" spans="6:6" ht="12.75" customHeight="1">
      <c r="F6121" s="32"/>
    </row>
    <row r="6122" spans="6:6" ht="12.75" customHeight="1">
      <c r="F6122" s="32"/>
    </row>
    <row r="6123" spans="6:6" ht="12.75" customHeight="1">
      <c r="F6123" s="32"/>
    </row>
    <row r="6124" spans="6:6" ht="12.75" customHeight="1">
      <c r="F6124" s="32"/>
    </row>
    <row r="6125" spans="6:6" ht="12.75" customHeight="1">
      <c r="F6125" s="32"/>
    </row>
    <row r="6126" spans="6:6" ht="12.75" customHeight="1">
      <c r="F6126" s="32"/>
    </row>
    <row r="6127" spans="6:6" ht="12.75" customHeight="1">
      <c r="F6127" s="32"/>
    </row>
    <row r="6128" spans="6:6" ht="12.75" customHeight="1">
      <c r="F6128" s="32"/>
    </row>
    <row r="6129" spans="6:6" ht="12.75" customHeight="1">
      <c r="F6129" s="32"/>
    </row>
    <row r="6130" spans="6:6" ht="12.75" customHeight="1">
      <c r="F6130" s="32"/>
    </row>
    <row r="6131" spans="6:6" ht="12.75" customHeight="1">
      <c r="F6131" s="32"/>
    </row>
    <row r="6132" spans="6:6" ht="12.75" customHeight="1">
      <c r="F6132" s="32"/>
    </row>
    <row r="6133" spans="6:6" ht="12.75" customHeight="1">
      <c r="F6133" s="32"/>
    </row>
    <row r="6134" spans="6:6" ht="12.75" customHeight="1">
      <c r="F6134" s="32"/>
    </row>
    <row r="6135" spans="6:6" ht="12.75" customHeight="1">
      <c r="F6135" s="32"/>
    </row>
    <row r="6136" spans="6:6" ht="12.75" customHeight="1">
      <c r="F6136" s="32"/>
    </row>
    <row r="6137" spans="6:6" ht="12.75" customHeight="1">
      <c r="F6137" s="32"/>
    </row>
    <row r="6138" spans="6:6" ht="12.75" customHeight="1">
      <c r="F6138" s="32"/>
    </row>
    <row r="6139" spans="6:6" ht="12.75" customHeight="1">
      <c r="F6139" s="32"/>
    </row>
    <row r="6140" spans="6:6" ht="12.75" customHeight="1">
      <c r="F6140" s="32"/>
    </row>
    <row r="6141" spans="6:6" ht="12.75" customHeight="1">
      <c r="F6141" s="32"/>
    </row>
    <row r="6142" spans="6:6" ht="12.75" customHeight="1">
      <c r="F6142" s="32"/>
    </row>
    <row r="6143" spans="6:6" ht="12.75" customHeight="1">
      <c r="F6143" s="32"/>
    </row>
    <row r="6144" spans="6:6" ht="12.75" customHeight="1">
      <c r="F6144" s="32"/>
    </row>
    <row r="6145" spans="6:6" ht="12.75" customHeight="1">
      <c r="F6145" s="32"/>
    </row>
    <row r="6146" spans="6:6" ht="12.75" customHeight="1">
      <c r="F6146" s="32"/>
    </row>
    <row r="6147" spans="6:6" ht="12.75" customHeight="1">
      <c r="F6147" s="32"/>
    </row>
    <row r="6148" spans="6:6" ht="12.75" customHeight="1">
      <c r="F6148" s="32"/>
    </row>
    <row r="6149" spans="6:6" ht="12.75" customHeight="1">
      <c r="F6149" s="32"/>
    </row>
    <row r="6150" spans="6:6" ht="12.75" customHeight="1">
      <c r="F6150" s="32"/>
    </row>
    <row r="6151" spans="6:6" ht="12.75" customHeight="1">
      <c r="F6151" s="32"/>
    </row>
    <row r="6152" spans="6:6" ht="12.75" customHeight="1">
      <c r="F6152" s="32"/>
    </row>
    <row r="6153" spans="6:6" ht="12.75" customHeight="1">
      <c r="F6153" s="32"/>
    </row>
    <row r="6154" spans="6:6" ht="12.75" customHeight="1">
      <c r="F6154" s="32"/>
    </row>
    <row r="6155" spans="6:6" ht="12.75" customHeight="1">
      <c r="F6155" s="32"/>
    </row>
    <row r="6156" spans="6:6" ht="12.75" customHeight="1">
      <c r="F6156" s="32"/>
    </row>
    <row r="6157" spans="6:6" ht="12.75" customHeight="1">
      <c r="F6157" s="32"/>
    </row>
    <row r="6158" spans="6:6" ht="12.75" customHeight="1">
      <c r="F6158" s="32"/>
    </row>
    <row r="6159" spans="6:6" ht="12.75" customHeight="1">
      <c r="F6159" s="32"/>
    </row>
    <row r="6160" spans="6:6" ht="12.75" customHeight="1">
      <c r="F6160" s="32"/>
    </row>
    <row r="6161" spans="6:6" ht="12.75" customHeight="1">
      <c r="F6161" s="32"/>
    </row>
    <row r="6162" spans="6:6" ht="12.75" customHeight="1">
      <c r="F6162" s="32"/>
    </row>
    <row r="6163" spans="6:6" ht="12.75" customHeight="1">
      <c r="F6163" s="32"/>
    </row>
    <row r="6164" spans="6:6" ht="12.75" customHeight="1">
      <c r="F6164" s="32"/>
    </row>
    <row r="6165" spans="6:6" ht="12.75" customHeight="1">
      <c r="F6165" s="32"/>
    </row>
    <row r="6166" spans="6:6" ht="12.75" customHeight="1">
      <c r="F6166" s="32"/>
    </row>
    <row r="6167" spans="6:6" ht="12.75" customHeight="1">
      <c r="F6167" s="32"/>
    </row>
    <row r="6168" spans="6:6" ht="12.75" customHeight="1">
      <c r="F6168" s="32"/>
    </row>
    <row r="6169" spans="6:6" ht="12.75" customHeight="1">
      <c r="F6169" s="32"/>
    </row>
    <row r="6170" spans="6:6" ht="12.75" customHeight="1">
      <c r="F6170" s="32"/>
    </row>
    <row r="6171" spans="6:6" ht="12.75" customHeight="1">
      <c r="F6171" s="32"/>
    </row>
    <row r="6172" spans="6:6" ht="12.75" customHeight="1">
      <c r="F6172" s="32"/>
    </row>
    <row r="6173" spans="6:6" ht="12.75" customHeight="1">
      <c r="F6173" s="32"/>
    </row>
    <row r="6174" spans="6:6" ht="12.75" customHeight="1">
      <c r="F6174" s="32"/>
    </row>
    <row r="6175" spans="6:6" ht="12.75" customHeight="1">
      <c r="F6175" s="32"/>
    </row>
    <row r="6176" spans="6:6" ht="12.75" customHeight="1">
      <c r="F6176" s="32"/>
    </row>
    <row r="6177" spans="6:6" ht="12.75" customHeight="1">
      <c r="F6177" s="32"/>
    </row>
    <row r="6178" spans="6:6" ht="12.75" customHeight="1">
      <c r="F6178" s="32"/>
    </row>
    <row r="6179" spans="6:6" ht="12.75" customHeight="1">
      <c r="F6179" s="32"/>
    </row>
    <row r="6180" spans="6:6" ht="12.75" customHeight="1">
      <c r="F6180" s="32"/>
    </row>
    <row r="6181" spans="6:6" ht="12.75" customHeight="1">
      <c r="F6181" s="32"/>
    </row>
    <row r="6182" spans="6:6" ht="12.75" customHeight="1">
      <c r="F6182" s="32"/>
    </row>
    <row r="6183" spans="6:6" ht="12.75" customHeight="1">
      <c r="F6183" s="32"/>
    </row>
    <row r="6184" spans="6:6" ht="12.75" customHeight="1">
      <c r="F6184" s="32"/>
    </row>
    <row r="6185" spans="6:6" ht="12.75" customHeight="1">
      <c r="F6185" s="32"/>
    </row>
    <row r="6186" spans="6:6" ht="12.75" customHeight="1">
      <c r="F6186" s="32"/>
    </row>
    <row r="6187" spans="6:6" ht="12.75" customHeight="1">
      <c r="F6187" s="32"/>
    </row>
    <row r="6188" spans="6:6" ht="12.75" customHeight="1">
      <c r="F6188" s="32"/>
    </row>
    <row r="6189" spans="6:6" ht="12.75" customHeight="1">
      <c r="F6189" s="32"/>
    </row>
    <row r="6190" spans="6:6" ht="12.75" customHeight="1">
      <c r="F6190" s="32"/>
    </row>
    <row r="6191" spans="6:6" ht="12.75" customHeight="1">
      <c r="F6191" s="32"/>
    </row>
    <row r="6192" spans="6:6" ht="12.75" customHeight="1">
      <c r="F6192" s="32"/>
    </row>
    <row r="6193" spans="6:6" ht="12.75" customHeight="1">
      <c r="F6193" s="32"/>
    </row>
    <row r="6194" spans="6:6" ht="12.75" customHeight="1">
      <c r="F6194" s="32"/>
    </row>
    <row r="6195" spans="6:6" ht="12.75" customHeight="1">
      <c r="F6195" s="32"/>
    </row>
    <row r="6196" spans="6:6" ht="12.75" customHeight="1">
      <c r="F6196" s="32"/>
    </row>
    <row r="6197" spans="6:6" ht="12.75" customHeight="1">
      <c r="F6197" s="32"/>
    </row>
    <row r="6198" spans="6:6" ht="12.75" customHeight="1">
      <c r="F6198" s="32"/>
    </row>
    <row r="6199" spans="6:6" ht="12.75" customHeight="1">
      <c r="F6199" s="32"/>
    </row>
    <row r="6200" spans="6:6" ht="12.75" customHeight="1">
      <c r="F6200" s="32"/>
    </row>
    <row r="6201" spans="6:6" ht="12.75" customHeight="1">
      <c r="F6201" s="32"/>
    </row>
    <row r="6202" spans="6:6" ht="12.75" customHeight="1">
      <c r="F6202" s="32"/>
    </row>
    <row r="6203" spans="6:6" ht="12.75" customHeight="1">
      <c r="F6203" s="32"/>
    </row>
    <row r="6204" spans="6:6" ht="12.75" customHeight="1">
      <c r="F6204" s="32"/>
    </row>
    <row r="6205" spans="6:6" ht="12.75" customHeight="1">
      <c r="F6205" s="32"/>
    </row>
    <row r="6206" spans="6:6" ht="12.75" customHeight="1">
      <c r="F6206" s="32"/>
    </row>
    <row r="6207" spans="6:6" ht="12.75" customHeight="1">
      <c r="F6207" s="32"/>
    </row>
    <row r="6208" spans="6:6" ht="12.75" customHeight="1">
      <c r="F6208" s="32"/>
    </row>
    <row r="6209" spans="6:6" ht="12.75" customHeight="1">
      <c r="F6209" s="32"/>
    </row>
    <row r="6210" spans="6:6" ht="12.75" customHeight="1">
      <c r="F6210" s="32"/>
    </row>
    <row r="6211" spans="6:6" ht="12.75" customHeight="1">
      <c r="F6211" s="32"/>
    </row>
    <row r="6212" spans="6:6" ht="12.75" customHeight="1">
      <c r="F6212" s="32"/>
    </row>
    <row r="6213" spans="6:6" ht="12.75" customHeight="1">
      <c r="F6213" s="32"/>
    </row>
    <row r="6214" spans="6:6" ht="12.75" customHeight="1">
      <c r="F6214" s="32"/>
    </row>
    <row r="6215" spans="6:6" ht="12.75" customHeight="1">
      <c r="F6215" s="32"/>
    </row>
    <row r="6216" spans="6:6" ht="12.75" customHeight="1">
      <c r="F6216" s="32"/>
    </row>
    <row r="6217" spans="6:6" ht="12.75" customHeight="1">
      <c r="F6217" s="32"/>
    </row>
    <row r="6218" spans="6:6" ht="12.75" customHeight="1">
      <c r="F6218" s="32"/>
    </row>
    <row r="6219" spans="6:6" ht="12.75" customHeight="1">
      <c r="F6219" s="32"/>
    </row>
    <row r="6220" spans="6:6" ht="12.75" customHeight="1">
      <c r="F6220" s="32"/>
    </row>
    <row r="6221" spans="6:6" ht="12.75" customHeight="1">
      <c r="F6221" s="32"/>
    </row>
    <row r="6222" spans="6:6" ht="12.75" customHeight="1">
      <c r="F6222" s="32"/>
    </row>
    <row r="6223" spans="6:6" ht="12.75" customHeight="1">
      <c r="F6223" s="32"/>
    </row>
    <row r="6224" spans="6:6" ht="12.75" customHeight="1">
      <c r="F6224" s="32"/>
    </row>
    <row r="6225" spans="6:6" ht="12.75" customHeight="1">
      <c r="F6225" s="32"/>
    </row>
    <row r="6226" spans="6:6" ht="12.75" customHeight="1">
      <c r="F6226" s="32"/>
    </row>
    <row r="6227" spans="6:6" ht="12.75" customHeight="1">
      <c r="F6227" s="32"/>
    </row>
    <row r="6228" spans="6:6" ht="12.75" customHeight="1">
      <c r="F6228" s="32"/>
    </row>
    <row r="6229" spans="6:6" ht="12.75" customHeight="1">
      <c r="F6229" s="32"/>
    </row>
    <row r="6230" spans="6:6" ht="12.75" customHeight="1">
      <c r="F6230" s="32"/>
    </row>
    <row r="6231" spans="6:6" ht="12.75" customHeight="1">
      <c r="F6231" s="32"/>
    </row>
    <row r="6232" spans="6:6" ht="12.75" customHeight="1">
      <c r="F6232" s="32"/>
    </row>
    <row r="6233" spans="6:6" ht="12.75" customHeight="1">
      <c r="F6233" s="32"/>
    </row>
    <row r="6234" spans="6:6" ht="12.75" customHeight="1">
      <c r="F6234" s="32"/>
    </row>
    <row r="6235" spans="6:6" ht="12.75" customHeight="1">
      <c r="F6235" s="32"/>
    </row>
    <row r="6236" spans="6:6" ht="12.75" customHeight="1">
      <c r="F6236" s="32"/>
    </row>
    <row r="6237" spans="6:6" ht="12.75" customHeight="1">
      <c r="F6237" s="32"/>
    </row>
    <row r="6238" spans="6:6" ht="12.75" customHeight="1">
      <c r="F6238" s="32"/>
    </row>
    <row r="6239" spans="6:6" ht="12.75" customHeight="1">
      <c r="F6239" s="32"/>
    </row>
    <row r="6240" spans="6:6" ht="12.75" customHeight="1">
      <c r="F6240" s="32"/>
    </row>
    <row r="6241" spans="6:6" ht="12.75" customHeight="1">
      <c r="F6241" s="32"/>
    </row>
    <row r="6242" spans="6:6" ht="12.75" customHeight="1">
      <c r="F6242" s="32"/>
    </row>
    <row r="6243" spans="6:6" ht="12.75" customHeight="1">
      <c r="F6243" s="32"/>
    </row>
    <row r="6244" spans="6:6" ht="12.75" customHeight="1">
      <c r="F6244" s="32"/>
    </row>
    <row r="6245" spans="6:6" ht="12.75" customHeight="1">
      <c r="F6245" s="32"/>
    </row>
    <row r="6246" spans="6:6" ht="12.75" customHeight="1">
      <c r="F6246" s="32"/>
    </row>
    <row r="6247" spans="6:6" ht="12.75" customHeight="1">
      <c r="F6247" s="32"/>
    </row>
    <row r="6248" spans="6:6" ht="12.75" customHeight="1">
      <c r="F6248" s="32"/>
    </row>
    <row r="6249" spans="6:6" ht="12.75" customHeight="1">
      <c r="F6249" s="32"/>
    </row>
    <row r="6250" spans="6:6" ht="12.75" customHeight="1">
      <c r="F6250" s="32"/>
    </row>
    <row r="6251" spans="6:6" ht="12.75" customHeight="1">
      <c r="F6251" s="32"/>
    </row>
    <row r="6252" spans="6:6" ht="12.75" customHeight="1">
      <c r="F6252" s="32"/>
    </row>
    <row r="6253" spans="6:6" ht="12.75" customHeight="1">
      <c r="F6253" s="32"/>
    </row>
    <row r="6254" spans="6:6" ht="12.75" customHeight="1">
      <c r="F6254" s="32"/>
    </row>
    <row r="6255" spans="6:6" ht="12.75" customHeight="1">
      <c r="F6255" s="32"/>
    </row>
    <row r="6256" spans="6:6" ht="12.75" customHeight="1">
      <c r="F6256" s="32"/>
    </row>
    <row r="6257" spans="6:6" ht="12.75" customHeight="1">
      <c r="F6257" s="32"/>
    </row>
    <row r="6258" spans="6:6" ht="12.75" customHeight="1">
      <c r="F6258" s="32"/>
    </row>
    <row r="6259" spans="6:6" ht="12.75" customHeight="1">
      <c r="F6259" s="32"/>
    </row>
    <row r="6260" spans="6:6" ht="12.75" customHeight="1">
      <c r="F6260" s="32"/>
    </row>
    <row r="6261" spans="6:6" ht="12.75" customHeight="1">
      <c r="F6261" s="32"/>
    </row>
    <row r="6262" spans="6:6" ht="12.75" customHeight="1">
      <c r="F6262" s="32"/>
    </row>
    <row r="6263" spans="6:6" ht="12.75" customHeight="1">
      <c r="F6263" s="32"/>
    </row>
    <row r="6264" spans="6:6" ht="12.75" customHeight="1">
      <c r="F6264" s="32"/>
    </row>
    <row r="6265" spans="6:6" ht="12.75" customHeight="1">
      <c r="F6265" s="32"/>
    </row>
    <row r="6266" spans="6:6" ht="12.75" customHeight="1">
      <c r="F6266" s="32"/>
    </row>
    <row r="6267" spans="6:6" ht="12.75" customHeight="1">
      <c r="F6267" s="32"/>
    </row>
    <row r="6268" spans="6:6" ht="12.75" customHeight="1">
      <c r="F6268" s="32"/>
    </row>
    <row r="6269" spans="6:6" ht="12.75" customHeight="1">
      <c r="F6269" s="32"/>
    </row>
    <row r="6270" spans="6:6" ht="12.75" customHeight="1">
      <c r="F6270" s="32"/>
    </row>
    <row r="6271" spans="6:6" ht="12.75" customHeight="1">
      <c r="F6271" s="32"/>
    </row>
    <row r="6272" spans="6:6" ht="12.75" customHeight="1">
      <c r="F6272" s="32"/>
    </row>
    <row r="6273" spans="6:6" ht="12.75" customHeight="1">
      <c r="F6273" s="32"/>
    </row>
    <row r="6274" spans="6:6" ht="12.75" customHeight="1">
      <c r="F6274" s="32"/>
    </row>
    <row r="6275" spans="6:6" ht="12.75" customHeight="1">
      <c r="F6275" s="32"/>
    </row>
    <row r="6276" spans="6:6" ht="12.75" customHeight="1">
      <c r="F6276" s="32"/>
    </row>
    <row r="6277" spans="6:6" ht="12.75" customHeight="1">
      <c r="F6277" s="32"/>
    </row>
    <row r="6278" spans="6:6" ht="12.75" customHeight="1">
      <c r="F6278" s="32"/>
    </row>
    <row r="6279" spans="6:6" ht="12.75" customHeight="1">
      <c r="F6279" s="32"/>
    </row>
    <row r="6280" spans="6:6" ht="12.75" customHeight="1">
      <c r="F6280" s="32"/>
    </row>
    <row r="6281" spans="6:6" ht="12.75" customHeight="1">
      <c r="F6281" s="32"/>
    </row>
    <row r="6282" spans="6:6" ht="12.75" customHeight="1">
      <c r="F6282" s="32"/>
    </row>
    <row r="6283" spans="6:6" ht="12.75" customHeight="1">
      <c r="F6283" s="32"/>
    </row>
    <row r="6284" spans="6:6" ht="12.75" customHeight="1">
      <c r="F6284" s="32"/>
    </row>
    <row r="6285" spans="6:6" ht="12.75" customHeight="1">
      <c r="F6285" s="32"/>
    </row>
    <row r="6286" spans="6:6" ht="12.75" customHeight="1">
      <c r="F6286" s="32"/>
    </row>
    <row r="6287" spans="6:6" ht="12.75" customHeight="1">
      <c r="F6287" s="32"/>
    </row>
    <row r="6288" spans="6:6" ht="12.75" customHeight="1">
      <c r="F6288" s="32"/>
    </row>
    <row r="6289" spans="6:6" ht="12.75" customHeight="1">
      <c r="F6289" s="32"/>
    </row>
    <row r="6290" spans="6:6" ht="12.75" customHeight="1">
      <c r="F6290" s="32"/>
    </row>
    <row r="6291" spans="6:6" ht="12.75" customHeight="1">
      <c r="F6291" s="32"/>
    </row>
    <row r="6292" spans="6:6" ht="12.75" customHeight="1">
      <c r="F6292" s="32"/>
    </row>
    <row r="6293" spans="6:6" ht="12.75" customHeight="1">
      <c r="F6293" s="32"/>
    </row>
    <row r="6294" spans="6:6" ht="12.75" customHeight="1">
      <c r="F6294" s="32"/>
    </row>
    <row r="6295" spans="6:6" ht="12.75" customHeight="1">
      <c r="F6295" s="32"/>
    </row>
    <row r="6296" spans="6:6" ht="12.75" customHeight="1">
      <c r="F6296" s="32"/>
    </row>
    <row r="6297" spans="6:6" ht="12.75" customHeight="1">
      <c r="F6297" s="32"/>
    </row>
    <row r="6298" spans="6:6" ht="12.75" customHeight="1">
      <c r="F6298" s="32"/>
    </row>
    <row r="6299" spans="6:6" ht="12.75" customHeight="1">
      <c r="F6299" s="32"/>
    </row>
    <row r="6300" spans="6:6" ht="12.75" customHeight="1">
      <c r="F6300" s="32"/>
    </row>
    <row r="6301" spans="6:6" ht="12.75" customHeight="1">
      <c r="F6301" s="32"/>
    </row>
    <row r="6302" spans="6:6" ht="12.75" customHeight="1">
      <c r="F6302" s="32"/>
    </row>
    <row r="6303" spans="6:6" ht="12.75" customHeight="1">
      <c r="F6303" s="32"/>
    </row>
    <row r="6304" spans="6:6" ht="12.75" customHeight="1">
      <c r="F6304" s="32"/>
    </row>
    <row r="6305" spans="6:6" ht="12.75" customHeight="1">
      <c r="F6305" s="32"/>
    </row>
    <row r="6306" spans="6:6" ht="12.75" customHeight="1">
      <c r="F6306" s="32"/>
    </row>
    <row r="6307" spans="6:6" ht="12.75" customHeight="1">
      <c r="F6307" s="32"/>
    </row>
    <row r="6308" spans="6:6" ht="12.75" customHeight="1">
      <c r="F6308" s="32"/>
    </row>
    <row r="6309" spans="6:6" ht="12.75" customHeight="1">
      <c r="F6309" s="32"/>
    </row>
    <row r="6310" spans="6:6" ht="12.75" customHeight="1">
      <c r="F6310" s="32"/>
    </row>
    <row r="6311" spans="6:6" ht="12.75" customHeight="1">
      <c r="F6311" s="32"/>
    </row>
    <row r="6312" spans="6:6" ht="12.75" customHeight="1">
      <c r="F6312" s="32"/>
    </row>
    <row r="6313" spans="6:6" ht="12.75" customHeight="1">
      <c r="F6313" s="32"/>
    </row>
    <row r="6314" spans="6:6" ht="12.75" customHeight="1">
      <c r="F6314" s="32"/>
    </row>
    <row r="6315" spans="6:6" ht="12.75" customHeight="1">
      <c r="F6315" s="32"/>
    </row>
    <row r="6316" spans="6:6" ht="12.75" customHeight="1">
      <c r="F6316" s="32"/>
    </row>
    <row r="6317" spans="6:6" ht="12.75" customHeight="1">
      <c r="F6317" s="32"/>
    </row>
    <row r="6318" spans="6:6" ht="12.75" customHeight="1">
      <c r="F6318" s="32"/>
    </row>
    <row r="6319" spans="6:6" ht="12.75" customHeight="1">
      <c r="F6319" s="32"/>
    </row>
    <row r="6320" spans="6:6" ht="12.75" customHeight="1">
      <c r="F6320" s="32"/>
    </row>
    <row r="6321" spans="6:6" ht="12.75" customHeight="1">
      <c r="F6321" s="32"/>
    </row>
    <row r="6322" spans="6:6" ht="12.75" customHeight="1">
      <c r="F6322" s="32"/>
    </row>
    <row r="6323" spans="6:6" ht="12.75" customHeight="1">
      <c r="F6323" s="32"/>
    </row>
    <row r="6324" spans="6:6" ht="12.75" customHeight="1">
      <c r="F6324" s="32"/>
    </row>
    <row r="6325" spans="6:6" ht="12.75" customHeight="1">
      <c r="F6325" s="32"/>
    </row>
    <row r="6326" spans="6:6" ht="12.75" customHeight="1">
      <c r="F6326" s="32"/>
    </row>
    <row r="6327" spans="6:6" ht="12.75" customHeight="1">
      <c r="F6327" s="32"/>
    </row>
    <row r="6328" spans="6:6" ht="12.75" customHeight="1">
      <c r="F6328" s="32"/>
    </row>
    <row r="6329" spans="6:6" ht="12.75" customHeight="1">
      <c r="F6329" s="32"/>
    </row>
    <row r="6330" spans="6:6" ht="12.75" customHeight="1">
      <c r="F6330" s="32"/>
    </row>
    <row r="6331" spans="6:6" ht="12.75" customHeight="1">
      <c r="F6331" s="32"/>
    </row>
    <row r="6332" spans="6:6" ht="12.75" customHeight="1">
      <c r="F6332" s="32"/>
    </row>
    <row r="6333" spans="6:6" ht="12.75" customHeight="1">
      <c r="F6333" s="32"/>
    </row>
    <row r="6334" spans="6:6" ht="12.75" customHeight="1">
      <c r="F6334" s="32"/>
    </row>
    <row r="6335" spans="6:6" ht="12.75" customHeight="1">
      <c r="F6335" s="32"/>
    </row>
    <row r="6336" spans="6:6" ht="12.75" customHeight="1">
      <c r="F6336" s="32"/>
    </row>
    <row r="6337" spans="6:6" ht="12.75" customHeight="1">
      <c r="F6337" s="32"/>
    </row>
    <row r="6338" spans="6:6" ht="12.75" customHeight="1">
      <c r="F6338" s="32"/>
    </row>
    <row r="6339" spans="6:6" ht="12.75" customHeight="1">
      <c r="F6339" s="32"/>
    </row>
    <row r="6340" spans="6:6" ht="12.75" customHeight="1">
      <c r="F6340" s="32"/>
    </row>
    <row r="6341" spans="6:6" ht="12.75" customHeight="1">
      <c r="F6341" s="32"/>
    </row>
    <row r="6342" spans="6:6" ht="12.75" customHeight="1">
      <c r="F6342" s="32"/>
    </row>
    <row r="6343" spans="6:6" ht="12.75" customHeight="1">
      <c r="F6343" s="32"/>
    </row>
    <row r="6344" spans="6:6" ht="12.75" customHeight="1">
      <c r="F6344" s="32"/>
    </row>
    <row r="6345" spans="6:6" ht="12.75" customHeight="1">
      <c r="F6345" s="32"/>
    </row>
    <row r="6346" spans="6:6" ht="12.75" customHeight="1">
      <c r="F6346" s="32"/>
    </row>
    <row r="6347" spans="6:6" ht="12.75" customHeight="1">
      <c r="F6347" s="32"/>
    </row>
    <row r="6348" spans="6:6" ht="12.75" customHeight="1">
      <c r="F6348" s="32"/>
    </row>
    <row r="6349" spans="6:6" ht="12.75" customHeight="1">
      <c r="F6349" s="32"/>
    </row>
    <row r="6350" spans="6:6" ht="12.75" customHeight="1">
      <c r="F6350" s="32"/>
    </row>
    <row r="6351" spans="6:6" ht="12.75" customHeight="1">
      <c r="F6351" s="32"/>
    </row>
    <row r="6352" spans="6:6" ht="12.75" customHeight="1">
      <c r="F6352" s="32"/>
    </row>
    <row r="6353" spans="6:6" ht="12.75" customHeight="1">
      <c r="F6353" s="32"/>
    </row>
    <row r="6354" spans="6:6" ht="12.75" customHeight="1">
      <c r="F6354" s="32"/>
    </row>
    <row r="6355" spans="6:6" ht="12.75" customHeight="1">
      <c r="F6355" s="32"/>
    </row>
    <row r="6356" spans="6:6" ht="12.75" customHeight="1">
      <c r="F6356" s="32"/>
    </row>
    <row r="6357" spans="6:6" ht="12.75" customHeight="1">
      <c r="F6357" s="32"/>
    </row>
    <row r="6358" spans="6:6" ht="12.75" customHeight="1">
      <c r="F6358" s="32"/>
    </row>
    <row r="6359" spans="6:6" ht="12.75" customHeight="1">
      <c r="F6359" s="32"/>
    </row>
    <row r="6360" spans="6:6" ht="12.75" customHeight="1">
      <c r="F6360" s="32"/>
    </row>
    <row r="6361" spans="6:6" ht="12.75" customHeight="1">
      <c r="F6361" s="32"/>
    </row>
    <row r="6362" spans="6:6" ht="12.75" customHeight="1">
      <c r="F6362" s="32"/>
    </row>
    <row r="6363" spans="6:6" ht="12.75" customHeight="1">
      <c r="F6363" s="32"/>
    </row>
    <row r="6364" spans="6:6" ht="12.75" customHeight="1">
      <c r="F6364" s="32"/>
    </row>
    <row r="6365" spans="6:6" ht="12.75" customHeight="1">
      <c r="F6365" s="32"/>
    </row>
    <row r="6366" spans="6:6" ht="12.75" customHeight="1">
      <c r="F6366" s="32"/>
    </row>
    <row r="6367" spans="6:6" ht="12.75" customHeight="1">
      <c r="F6367" s="32"/>
    </row>
    <row r="6368" spans="6:6" ht="12.75" customHeight="1">
      <c r="F6368" s="32"/>
    </row>
    <row r="6369" spans="6:6" ht="12.75" customHeight="1">
      <c r="F6369" s="32"/>
    </row>
    <row r="6370" spans="6:6" ht="12.75" customHeight="1">
      <c r="F6370" s="32"/>
    </row>
    <row r="6371" spans="6:6" ht="12.75" customHeight="1">
      <c r="F6371" s="32"/>
    </row>
    <row r="6372" spans="6:6" ht="12.75" customHeight="1">
      <c r="F6372" s="32"/>
    </row>
    <row r="6373" spans="6:6" ht="12.75" customHeight="1">
      <c r="F6373" s="32"/>
    </row>
    <row r="6374" spans="6:6" ht="12.75" customHeight="1">
      <c r="F6374" s="32"/>
    </row>
    <row r="6375" spans="6:6" ht="12.75" customHeight="1">
      <c r="F6375" s="32"/>
    </row>
    <row r="6376" spans="6:6" ht="12.75" customHeight="1">
      <c r="F6376" s="32"/>
    </row>
    <row r="6377" spans="6:6" ht="12.75" customHeight="1">
      <c r="F6377" s="32"/>
    </row>
    <row r="6378" spans="6:6" ht="12.75" customHeight="1">
      <c r="F6378" s="32"/>
    </row>
    <row r="6379" spans="6:6" ht="12.75" customHeight="1">
      <c r="F6379" s="32"/>
    </row>
    <row r="6380" spans="6:6" ht="12.75" customHeight="1">
      <c r="F6380" s="32"/>
    </row>
    <row r="6381" spans="6:6" ht="12.75" customHeight="1">
      <c r="F6381" s="32"/>
    </row>
    <row r="6382" spans="6:6" ht="12.75" customHeight="1">
      <c r="F6382" s="32"/>
    </row>
    <row r="6383" spans="6:6" ht="12.75" customHeight="1">
      <c r="F6383" s="32"/>
    </row>
    <row r="6384" spans="6:6" ht="12.75" customHeight="1">
      <c r="F6384" s="32"/>
    </row>
    <row r="6385" spans="6:6" ht="12.75" customHeight="1">
      <c r="F6385" s="32"/>
    </row>
    <row r="6386" spans="6:6" ht="12.75" customHeight="1">
      <c r="F6386" s="32"/>
    </row>
    <row r="6387" spans="6:6" ht="12.75" customHeight="1">
      <c r="F6387" s="32"/>
    </row>
    <row r="6388" spans="6:6" ht="12.75" customHeight="1">
      <c r="F6388" s="32"/>
    </row>
    <row r="6389" spans="6:6" ht="12.75" customHeight="1">
      <c r="F6389" s="32"/>
    </row>
    <row r="6390" spans="6:6" ht="12.75" customHeight="1">
      <c r="F6390" s="32"/>
    </row>
    <row r="6391" spans="6:6" ht="12.75" customHeight="1">
      <c r="F6391" s="32"/>
    </row>
    <row r="6392" spans="6:6" ht="12.75" customHeight="1">
      <c r="F6392" s="32"/>
    </row>
    <row r="6393" spans="6:6" ht="12.75" customHeight="1">
      <c r="F6393" s="32"/>
    </row>
    <row r="6394" spans="6:6" ht="12.75" customHeight="1">
      <c r="F6394" s="32"/>
    </row>
    <row r="6395" spans="6:6" ht="12.75" customHeight="1">
      <c r="F6395" s="32"/>
    </row>
    <row r="6396" spans="6:6" ht="12.75" customHeight="1">
      <c r="F6396" s="32"/>
    </row>
    <row r="6397" spans="6:6" ht="12.75" customHeight="1">
      <c r="F6397" s="32"/>
    </row>
    <row r="6398" spans="6:6" ht="12.75" customHeight="1">
      <c r="F6398" s="32"/>
    </row>
    <row r="6399" spans="6:6" ht="12.75" customHeight="1">
      <c r="F6399" s="32"/>
    </row>
    <row r="6400" spans="6:6" ht="12.75" customHeight="1">
      <c r="F6400" s="32"/>
    </row>
    <row r="6401" spans="6:6" ht="12.75" customHeight="1">
      <c r="F6401" s="32"/>
    </row>
    <row r="6402" spans="6:6" ht="12.75" customHeight="1">
      <c r="F6402" s="32"/>
    </row>
    <row r="6403" spans="6:6" ht="12.75" customHeight="1">
      <c r="F6403" s="32"/>
    </row>
    <row r="6404" spans="6:6" ht="12.75" customHeight="1">
      <c r="F6404" s="32"/>
    </row>
    <row r="6405" spans="6:6" ht="12.75" customHeight="1">
      <c r="F6405" s="32"/>
    </row>
    <row r="6406" spans="6:6" ht="12.75" customHeight="1">
      <c r="F6406" s="32"/>
    </row>
    <row r="6407" spans="6:6" ht="12.75" customHeight="1">
      <c r="F6407" s="32"/>
    </row>
    <row r="6408" spans="6:6" ht="12.75" customHeight="1">
      <c r="F6408" s="32"/>
    </row>
    <row r="6409" spans="6:6" ht="12.75" customHeight="1">
      <c r="F6409" s="32"/>
    </row>
    <row r="6410" spans="6:6" ht="12.75" customHeight="1">
      <c r="F6410" s="32"/>
    </row>
    <row r="6411" spans="6:6" ht="12.75" customHeight="1">
      <c r="F6411" s="32"/>
    </row>
    <row r="6412" spans="6:6" ht="12.75" customHeight="1">
      <c r="F6412" s="32"/>
    </row>
    <row r="6413" spans="6:6" ht="12.75" customHeight="1">
      <c r="F6413" s="32"/>
    </row>
    <row r="6414" spans="6:6" ht="12.75" customHeight="1">
      <c r="F6414" s="32"/>
    </row>
    <row r="6415" spans="6:6" ht="12.75" customHeight="1">
      <c r="F6415" s="32"/>
    </row>
    <row r="6416" spans="6:6" ht="12.75" customHeight="1">
      <c r="F6416" s="32"/>
    </row>
    <row r="6417" spans="6:6" ht="12.75" customHeight="1">
      <c r="F6417" s="32"/>
    </row>
    <row r="6418" spans="6:6" ht="12.75" customHeight="1">
      <c r="F6418" s="32"/>
    </row>
    <row r="6419" spans="6:6" ht="12.75" customHeight="1">
      <c r="F6419" s="32"/>
    </row>
    <row r="6420" spans="6:6" ht="12.75" customHeight="1">
      <c r="F6420" s="32"/>
    </row>
    <row r="6421" spans="6:6" ht="12.75" customHeight="1">
      <c r="F6421" s="32"/>
    </row>
    <row r="6422" spans="6:6" ht="12.75" customHeight="1">
      <c r="F6422" s="32"/>
    </row>
    <row r="6423" spans="6:6" ht="12.75" customHeight="1">
      <c r="F6423" s="32"/>
    </row>
    <row r="6424" spans="6:6" ht="12.75" customHeight="1">
      <c r="F6424" s="32"/>
    </row>
    <row r="6425" spans="6:6" ht="12.75" customHeight="1">
      <c r="F6425" s="32"/>
    </row>
    <row r="6426" spans="6:6" ht="12.75" customHeight="1">
      <c r="F6426" s="32"/>
    </row>
    <row r="6427" spans="6:6" ht="12.75" customHeight="1">
      <c r="F6427" s="32"/>
    </row>
    <row r="6428" spans="6:6" ht="12.75" customHeight="1">
      <c r="F6428" s="32"/>
    </row>
    <row r="6429" spans="6:6" ht="12.75" customHeight="1">
      <c r="F6429" s="32"/>
    </row>
    <row r="6430" spans="6:6" ht="12.75" customHeight="1">
      <c r="F6430" s="32"/>
    </row>
    <row r="6431" spans="6:6" ht="12.75" customHeight="1">
      <c r="F6431" s="32"/>
    </row>
    <row r="6432" spans="6:6" ht="12.75" customHeight="1">
      <c r="F6432" s="32"/>
    </row>
    <row r="6433" spans="6:6" ht="12.75" customHeight="1">
      <c r="F6433" s="32"/>
    </row>
    <row r="6434" spans="6:6" ht="12.75" customHeight="1">
      <c r="F6434" s="32"/>
    </row>
    <row r="6435" spans="6:6" ht="12.75" customHeight="1">
      <c r="F6435" s="32"/>
    </row>
    <row r="6436" spans="6:6" ht="12.75" customHeight="1">
      <c r="F6436" s="32"/>
    </row>
    <row r="6437" spans="6:6" ht="12.75" customHeight="1">
      <c r="F6437" s="32"/>
    </row>
    <row r="6438" spans="6:6" ht="12.75" customHeight="1">
      <c r="F6438" s="32"/>
    </row>
    <row r="6439" spans="6:6" ht="12.75" customHeight="1">
      <c r="F6439" s="32"/>
    </row>
    <row r="6440" spans="6:6" ht="12.75" customHeight="1">
      <c r="F6440" s="32"/>
    </row>
    <row r="6441" spans="6:6" ht="12.75" customHeight="1">
      <c r="F6441" s="32"/>
    </row>
    <row r="6442" spans="6:6" ht="12.75" customHeight="1">
      <c r="F6442" s="32"/>
    </row>
    <row r="6443" spans="6:6" ht="12.75" customHeight="1">
      <c r="F6443" s="32"/>
    </row>
    <row r="6444" spans="6:6" ht="12.75" customHeight="1">
      <c r="F6444" s="32"/>
    </row>
    <row r="6445" spans="6:6" ht="12.75" customHeight="1">
      <c r="F6445" s="32"/>
    </row>
    <row r="6446" spans="6:6" ht="12.75" customHeight="1">
      <c r="F6446" s="32"/>
    </row>
    <row r="6447" spans="6:6" ht="12.75" customHeight="1">
      <c r="F6447" s="32"/>
    </row>
    <row r="6448" spans="6:6" ht="12.75" customHeight="1">
      <c r="F6448" s="32"/>
    </row>
    <row r="6449" spans="6:6" ht="12.75" customHeight="1">
      <c r="F6449" s="32"/>
    </row>
    <row r="6450" spans="6:6" ht="12.75" customHeight="1">
      <c r="F6450" s="32"/>
    </row>
    <row r="6451" spans="6:6" ht="12.75" customHeight="1">
      <c r="F6451" s="32"/>
    </row>
    <row r="6452" spans="6:6" ht="12.75" customHeight="1">
      <c r="F6452" s="32"/>
    </row>
    <row r="6453" spans="6:6" ht="12.75" customHeight="1">
      <c r="F6453" s="32"/>
    </row>
    <row r="6454" spans="6:6" ht="12.75" customHeight="1">
      <c r="F6454" s="32"/>
    </row>
    <row r="6455" spans="6:6" ht="12.75" customHeight="1">
      <c r="F6455" s="32"/>
    </row>
    <row r="6456" spans="6:6" ht="12.75" customHeight="1">
      <c r="F6456" s="32"/>
    </row>
    <row r="6457" spans="6:6" ht="12.75" customHeight="1">
      <c r="F6457" s="32"/>
    </row>
    <row r="6458" spans="6:6" ht="12.75" customHeight="1">
      <c r="F6458" s="32"/>
    </row>
    <row r="6459" spans="6:6" ht="12.75" customHeight="1">
      <c r="F6459" s="32"/>
    </row>
    <row r="6460" spans="6:6" ht="12.75" customHeight="1">
      <c r="F6460" s="32"/>
    </row>
    <row r="6461" spans="6:6" ht="12.75" customHeight="1">
      <c r="F6461" s="32"/>
    </row>
    <row r="6462" spans="6:6" ht="12.75" customHeight="1">
      <c r="F6462" s="32"/>
    </row>
    <row r="6463" spans="6:6" ht="12.75" customHeight="1">
      <c r="F6463" s="32"/>
    </row>
    <row r="6464" spans="6:6" ht="12.75" customHeight="1">
      <c r="F6464" s="32"/>
    </row>
    <row r="6465" spans="6:6" ht="12.75" customHeight="1">
      <c r="F6465" s="32"/>
    </row>
    <row r="6466" spans="6:6" ht="12.75" customHeight="1">
      <c r="F6466" s="32"/>
    </row>
    <row r="6467" spans="6:6" ht="12.75" customHeight="1">
      <c r="F6467" s="32"/>
    </row>
    <row r="6468" spans="6:6" ht="12.75" customHeight="1">
      <c r="F6468" s="32"/>
    </row>
    <row r="6469" spans="6:6" ht="12.75" customHeight="1">
      <c r="F6469" s="32"/>
    </row>
    <row r="6470" spans="6:6" ht="12.75" customHeight="1">
      <c r="F6470" s="32"/>
    </row>
    <row r="6471" spans="6:6" ht="12.75" customHeight="1">
      <c r="F6471" s="32"/>
    </row>
    <row r="6472" spans="6:6" ht="12.75" customHeight="1">
      <c r="F6472" s="32"/>
    </row>
    <row r="6473" spans="6:6" ht="12.75" customHeight="1">
      <c r="F6473" s="32"/>
    </row>
    <row r="6474" spans="6:6" ht="12.75" customHeight="1">
      <c r="F6474" s="32"/>
    </row>
    <row r="6475" spans="6:6" ht="12.75" customHeight="1">
      <c r="F6475" s="32"/>
    </row>
    <row r="6476" spans="6:6" ht="12.75" customHeight="1">
      <c r="F6476" s="32"/>
    </row>
    <row r="6477" spans="6:6" ht="12.75" customHeight="1">
      <c r="F6477" s="32"/>
    </row>
    <row r="6478" spans="6:6" ht="12.75" customHeight="1">
      <c r="F6478" s="32"/>
    </row>
    <row r="6479" spans="6:6" ht="12.75" customHeight="1">
      <c r="F6479" s="32"/>
    </row>
    <row r="6480" spans="6:6" ht="12.75" customHeight="1">
      <c r="F6480" s="32"/>
    </row>
    <row r="6481" spans="6:6" ht="12.75" customHeight="1">
      <c r="F6481" s="32"/>
    </row>
    <row r="6482" spans="6:6" ht="12.75" customHeight="1">
      <c r="F6482" s="32"/>
    </row>
    <row r="6483" spans="6:6" ht="12.75" customHeight="1">
      <c r="F6483" s="32"/>
    </row>
    <row r="6484" spans="6:6" ht="12.75" customHeight="1">
      <c r="F6484" s="32"/>
    </row>
    <row r="6485" spans="6:6" ht="12.75" customHeight="1">
      <c r="F6485" s="32"/>
    </row>
    <row r="6486" spans="6:6" ht="12.75" customHeight="1">
      <c r="F6486" s="32"/>
    </row>
    <row r="6487" spans="6:6" ht="12.75" customHeight="1">
      <c r="F6487" s="32"/>
    </row>
    <row r="6488" spans="6:6" ht="12.75" customHeight="1">
      <c r="F6488" s="32"/>
    </row>
    <row r="6489" spans="6:6" ht="12.75" customHeight="1">
      <c r="F6489" s="32"/>
    </row>
    <row r="6490" spans="6:6" ht="12.75" customHeight="1">
      <c r="F6490" s="32"/>
    </row>
    <row r="6491" spans="6:6" ht="12.75" customHeight="1">
      <c r="F6491" s="32"/>
    </row>
    <row r="6492" spans="6:6" ht="12.75" customHeight="1">
      <c r="F6492" s="32"/>
    </row>
    <row r="6493" spans="6:6" ht="12.75" customHeight="1">
      <c r="F6493" s="32"/>
    </row>
    <row r="6494" spans="6:6" ht="12.75" customHeight="1">
      <c r="F6494" s="32"/>
    </row>
    <row r="6495" spans="6:6" ht="12.75" customHeight="1">
      <c r="F6495" s="32"/>
    </row>
    <row r="6496" spans="6:6" ht="12.75" customHeight="1">
      <c r="F6496" s="32"/>
    </row>
    <row r="6497" spans="6:6" ht="12.75" customHeight="1">
      <c r="F6497" s="32"/>
    </row>
    <row r="6498" spans="6:6" ht="12.75" customHeight="1">
      <c r="F6498" s="32"/>
    </row>
    <row r="6499" spans="6:6" ht="12.75" customHeight="1">
      <c r="F6499" s="32"/>
    </row>
    <row r="6500" spans="6:6" ht="12.75" customHeight="1">
      <c r="F6500" s="32"/>
    </row>
    <row r="6501" spans="6:6" ht="12.75" customHeight="1">
      <c r="F6501" s="32"/>
    </row>
    <row r="6502" spans="6:6" ht="12.75" customHeight="1">
      <c r="F6502" s="32"/>
    </row>
    <row r="6503" spans="6:6" ht="12.75" customHeight="1">
      <c r="F6503" s="32"/>
    </row>
    <row r="6504" spans="6:6" ht="12.75" customHeight="1">
      <c r="F6504" s="32"/>
    </row>
    <row r="6505" spans="6:6" ht="12.75" customHeight="1">
      <c r="F6505" s="32"/>
    </row>
    <row r="6506" spans="6:6" ht="12.75" customHeight="1">
      <c r="F6506" s="32"/>
    </row>
    <row r="6507" spans="6:6" ht="12.75" customHeight="1">
      <c r="F6507" s="32"/>
    </row>
    <row r="6508" spans="6:6" ht="12.75" customHeight="1">
      <c r="F6508" s="32"/>
    </row>
    <row r="6509" spans="6:6" ht="12.75" customHeight="1">
      <c r="F6509" s="32"/>
    </row>
    <row r="6510" spans="6:6" ht="12.75" customHeight="1">
      <c r="F6510" s="32"/>
    </row>
    <row r="6511" spans="6:6" ht="12.75" customHeight="1">
      <c r="F6511" s="32"/>
    </row>
    <row r="6512" spans="6:6" ht="12.75" customHeight="1">
      <c r="F6512" s="32"/>
    </row>
    <row r="6513" spans="6:6" ht="12.75" customHeight="1">
      <c r="F6513" s="32"/>
    </row>
    <row r="6514" spans="6:6" ht="12.75" customHeight="1">
      <c r="F6514" s="32"/>
    </row>
    <row r="6515" spans="6:6" ht="12.75" customHeight="1">
      <c r="F6515" s="32"/>
    </row>
    <row r="6516" spans="6:6" ht="12.75" customHeight="1">
      <c r="F6516" s="32"/>
    </row>
    <row r="6517" spans="6:6" ht="12.75" customHeight="1">
      <c r="F6517" s="32"/>
    </row>
    <row r="6518" spans="6:6" ht="12.75" customHeight="1">
      <c r="F6518" s="32"/>
    </row>
    <row r="6519" spans="6:6" ht="12.75" customHeight="1">
      <c r="F6519" s="32"/>
    </row>
    <row r="6520" spans="6:6" ht="12.75" customHeight="1">
      <c r="F6520" s="32"/>
    </row>
    <row r="6521" spans="6:6" ht="12.75" customHeight="1">
      <c r="F6521" s="32"/>
    </row>
    <row r="6522" spans="6:6" ht="12.75" customHeight="1">
      <c r="F6522" s="32"/>
    </row>
    <row r="6523" spans="6:6" ht="12.75" customHeight="1">
      <c r="F6523" s="32"/>
    </row>
    <row r="6524" spans="6:6" ht="12.75" customHeight="1">
      <c r="F6524" s="32"/>
    </row>
    <row r="6525" spans="6:6" ht="12.75" customHeight="1">
      <c r="F6525" s="32"/>
    </row>
    <row r="6526" spans="6:6" ht="12.75" customHeight="1">
      <c r="F6526" s="32"/>
    </row>
    <row r="6527" spans="6:6" ht="12.75" customHeight="1">
      <c r="F6527" s="32"/>
    </row>
    <row r="6528" spans="6:6" ht="12.75" customHeight="1">
      <c r="F6528" s="32"/>
    </row>
    <row r="6529" spans="6:6" ht="12.75" customHeight="1">
      <c r="F6529" s="32"/>
    </row>
    <row r="6530" spans="6:6" ht="12.75" customHeight="1">
      <c r="F6530" s="32"/>
    </row>
    <row r="6531" spans="6:6" ht="12.75" customHeight="1">
      <c r="F6531" s="32"/>
    </row>
    <row r="6532" spans="6:6" ht="12.75" customHeight="1">
      <c r="F6532" s="32"/>
    </row>
    <row r="6533" spans="6:6" ht="12.75" customHeight="1">
      <c r="F6533" s="32"/>
    </row>
    <row r="6534" spans="6:6" ht="12.75" customHeight="1">
      <c r="F6534" s="32"/>
    </row>
    <row r="6535" spans="6:6" ht="12.75" customHeight="1">
      <c r="F6535" s="32"/>
    </row>
    <row r="6536" spans="6:6" ht="12.75" customHeight="1">
      <c r="F6536" s="32"/>
    </row>
    <row r="6537" spans="6:6" ht="12.75" customHeight="1">
      <c r="F6537" s="32"/>
    </row>
    <row r="6538" spans="6:6" ht="12.75" customHeight="1">
      <c r="F6538" s="32"/>
    </row>
    <row r="6539" spans="6:6" ht="12.75" customHeight="1">
      <c r="F6539" s="32"/>
    </row>
    <row r="6540" spans="6:6" ht="12.75" customHeight="1">
      <c r="F6540" s="32"/>
    </row>
    <row r="6541" spans="6:6" ht="12.75" customHeight="1">
      <c r="F6541" s="32"/>
    </row>
    <row r="6542" spans="6:6" ht="12.75" customHeight="1">
      <c r="F6542" s="32"/>
    </row>
    <row r="6543" spans="6:6" ht="12.75" customHeight="1">
      <c r="F6543" s="32"/>
    </row>
    <row r="6544" spans="6:6" ht="12.75" customHeight="1">
      <c r="F6544" s="32"/>
    </row>
    <row r="6545" spans="6:6" ht="12.75" customHeight="1">
      <c r="F6545" s="32"/>
    </row>
    <row r="6546" spans="6:6" ht="12.75" customHeight="1">
      <c r="F6546" s="32"/>
    </row>
    <row r="6547" spans="6:6" ht="12.75" customHeight="1">
      <c r="F6547" s="32"/>
    </row>
    <row r="6548" spans="6:6" ht="12.75" customHeight="1">
      <c r="F6548" s="32"/>
    </row>
    <row r="6549" spans="6:6" ht="12.75" customHeight="1">
      <c r="F6549" s="32"/>
    </row>
    <row r="6550" spans="6:6" ht="12.75" customHeight="1">
      <c r="F6550" s="32"/>
    </row>
    <row r="6551" spans="6:6" ht="12.75" customHeight="1">
      <c r="F6551" s="32"/>
    </row>
    <row r="6552" spans="6:6" ht="12.75" customHeight="1">
      <c r="F6552" s="32"/>
    </row>
    <row r="6553" spans="6:6" ht="12.75" customHeight="1">
      <c r="F6553" s="32"/>
    </row>
    <row r="6554" spans="6:6" ht="12.75" customHeight="1">
      <c r="F6554" s="32"/>
    </row>
    <row r="6555" spans="6:6" ht="12.75" customHeight="1">
      <c r="F6555" s="32"/>
    </row>
    <row r="6556" spans="6:6" ht="12.75" customHeight="1">
      <c r="F6556" s="32"/>
    </row>
    <row r="6557" spans="6:6" ht="12.75" customHeight="1">
      <c r="F6557" s="32"/>
    </row>
    <row r="6558" spans="6:6" ht="12.75" customHeight="1">
      <c r="F6558" s="32"/>
    </row>
    <row r="6559" spans="6:6" ht="12.75" customHeight="1">
      <c r="F6559" s="32"/>
    </row>
    <row r="6560" spans="6:6" ht="12.75" customHeight="1">
      <c r="F6560" s="32"/>
    </row>
    <row r="6561" spans="6:6" ht="12.75" customHeight="1">
      <c r="F6561" s="32"/>
    </row>
    <row r="6562" spans="6:6" ht="12.75" customHeight="1">
      <c r="F6562" s="32"/>
    </row>
    <row r="6563" spans="6:6" ht="12.75" customHeight="1">
      <c r="F6563" s="32"/>
    </row>
    <row r="6564" spans="6:6" ht="12.75" customHeight="1">
      <c r="F6564" s="32"/>
    </row>
    <row r="6565" spans="6:6" ht="12.75" customHeight="1">
      <c r="F6565" s="32"/>
    </row>
    <row r="6566" spans="6:6" ht="12.75" customHeight="1">
      <c r="F6566" s="32"/>
    </row>
    <row r="6567" spans="6:6" ht="12.75" customHeight="1">
      <c r="F6567" s="32"/>
    </row>
    <row r="6568" spans="6:6" ht="12.75" customHeight="1">
      <c r="F6568" s="32"/>
    </row>
    <row r="6569" spans="6:6" ht="12.75" customHeight="1">
      <c r="F6569" s="32"/>
    </row>
    <row r="6570" spans="6:6" ht="12.75" customHeight="1">
      <c r="F6570" s="32"/>
    </row>
    <row r="6571" spans="6:6" ht="12.75" customHeight="1">
      <c r="F6571" s="32"/>
    </row>
    <row r="6572" spans="6:6" ht="12.75" customHeight="1">
      <c r="F6572" s="32"/>
    </row>
    <row r="6573" spans="6:6" ht="12.75" customHeight="1">
      <c r="F6573" s="32"/>
    </row>
    <row r="6574" spans="6:6" ht="12.75" customHeight="1">
      <c r="F6574" s="32"/>
    </row>
    <row r="6575" spans="6:6" ht="12.75" customHeight="1">
      <c r="F6575" s="32"/>
    </row>
    <row r="6576" spans="6:6" ht="12.75" customHeight="1">
      <c r="F6576" s="32"/>
    </row>
    <row r="6577" spans="6:6" ht="12.75" customHeight="1">
      <c r="F6577" s="32"/>
    </row>
    <row r="6578" spans="6:6" ht="12.75" customHeight="1">
      <c r="F6578" s="32"/>
    </row>
    <row r="6579" spans="6:6" ht="12.75" customHeight="1">
      <c r="F6579" s="32"/>
    </row>
    <row r="6580" spans="6:6" ht="12.75" customHeight="1">
      <c r="F6580" s="32"/>
    </row>
    <row r="6581" spans="6:6" ht="12.75" customHeight="1">
      <c r="F6581" s="32"/>
    </row>
    <row r="6582" spans="6:6" ht="12.75" customHeight="1">
      <c r="F6582" s="32"/>
    </row>
    <row r="6583" spans="6:6" ht="12.75" customHeight="1">
      <c r="F6583" s="32"/>
    </row>
    <row r="6584" spans="6:6" ht="12.75" customHeight="1">
      <c r="F6584" s="32"/>
    </row>
    <row r="6585" spans="6:6" ht="12.75" customHeight="1">
      <c r="F6585" s="32"/>
    </row>
    <row r="6586" spans="6:6" ht="12.75" customHeight="1">
      <c r="F6586" s="32"/>
    </row>
    <row r="6587" spans="6:6" ht="12.75" customHeight="1">
      <c r="F6587" s="32"/>
    </row>
    <row r="6588" spans="6:6" ht="12.75" customHeight="1">
      <c r="F6588" s="32"/>
    </row>
    <row r="6589" spans="6:6" ht="12.75" customHeight="1">
      <c r="F6589" s="32"/>
    </row>
    <row r="6590" spans="6:6" ht="12.75" customHeight="1">
      <c r="F6590" s="32"/>
    </row>
    <row r="6591" spans="6:6" ht="12.75" customHeight="1">
      <c r="F6591" s="32"/>
    </row>
    <row r="6592" spans="6:6" ht="12.75" customHeight="1">
      <c r="F6592" s="32"/>
    </row>
    <row r="6593" spans="6:6" ht="12.75" customHeight="1">
      <c r="F6593" s="32"/>
    </row>
    <row r="6594" spans="6:6" ht="12.75" customHeight="1">
      <c r="F6594" s="32"/>
    </row>
    <row r="6595" spans="6:6" ht="12.75" customHeight="1">
      <c r="F6595" s="32"/>
    </row>
    <row r="6596" spans="6:6" ht="12.75" customHeight="1">
      <c r="F6596" s="32"/>
    </row>
    <row r="6597" spans="6:6" ht="12.75" customHeight="1">
      <c r="F6597" s="32"/>
    </row>
    <row r="6598" spans="6:6" ht="12.75" customHeight="1">
      <c r="F6598" s="32"/>
    </row>
    <row r="6599" spans="6:6" ht="12.75" customHeight="1">
      <c r="F6599" s="32"/>
    </row>
    <row r="6600" spans="6:6" ht="12.75" customHeight="1">
      <c r="F6600" s="32"/>
    </row>
    <row r="6601" spans="6:6" ht="12.75" customHeight="1">
      <c r="F6601" s="32"/>
    </row>
    <row r="6602" spans="6:6" ht="12.75" customHeight="1">
      <c r="F6602" s="32"/>
    </row>
    <row r="6603" spans="6:6" ht="12.75" customHeight="1">
      <c r="F6603" s="32"/>
    </row>
    <row r="6604" spans="6:6" ht="12.75" customHeight="1">
      <c r="F6604" s="32"/>
    </row>
    <row r="6605" spans="6:6" ht="12.75" customHeight="1">
      <c r="F6605" s="32"/>
    </row>
    <row r="6606" spans="6:6" ht="12.75" customHeight="1">
      <c r="F6606" s="32"/>
    </row>
    <row r="6607" spans="6:6" ht="12.75" customHeight="1">
      <c r="F6607" s="32"/>
    </row>
    <row r="6608" spans="6:6" ht="12.75" customHeight="1">
      <c r="F6608" s="32"/>
    </row>
    <row r="6609" spans="6:6" ht="12.75" customHeight="1">
      <c r="F6609" s="32"/>
    </row>
    <row r="6610" spans="6:6" ht="12.75" customHeight="1">
      <c r="F6610" s="32"/>
    </row>
    <row r="6611" spans="6:6" ht="12.75" customHeight="1">
      <c r="F6611" s="32"/>
    </row>
    <row r="6612" spans="6:6" ht="12.75" customHeight="1">
      <c r="F6612" s="32"/>
    </row>
    <row r="6613" spans="6:6" ht="12.75" customHeight="1">
      <c r="F6613" s="32"/>
    </row>
    <row r="6614" spans="6:6" ht="12.75" customHeight="1">
      <c r="F6614" s="32"/>
    </row>
    <row r="6615" spans="6:6" ht="12.75" customHeight="1">
      <c r="F6615" s="32"/>
    </row>
    <row r="6616" spans="6:6" ht="12.75" customHeight="1">
      <c r="F6616" s="32"/>
    </row>
    <row r="6617" spans="6:6" ht="12.75" customHeight="1">
      <c r="F6617" s="32"/>
    </row>
    <row r="6618" spans="6:6" ht="12.75" customHeight="1">
      <c r="F6618" s="32"/>
    </row>
    <row r="6619" spans="6:6" ht="12.75" customHeight="1">
      <c r="F6619" s="32"/>
    </row>
    <row r="6620" spans="6:6" ht="12.75" customHeight="1">
      <c r="F6620" s="32"/>
    </row>
    <row r="6621" spans="6:6" ht="12.75" customHeight="1">
      <c r="F6621" s="32"/>
    </row>
    <row r="6622" spans="6:6" ht="12.75" customHeight="1">
      <c r="F6622" s="32"/>
    </row>
    <row r="6623" spans="6:6" ht="12.75" customHeight="1">
      <c r="F6623" s="32"/>
    </row>
    <row r="6624" spans="6:6" ht="12.75" customHeight="1">
      <c r="F6624" s="32"/>
    </row>
    <row r="6625" spans="6:6" ht="12.75" customHeight="1">
      <c r="F6625" s="32"/>
    </row>
    <row r="6626" spans="6:6" ht="12.75" customHeight="1">
      <c r="F6626" s="32"/>
    </row>
    <row r="6627" spans="6:6" ht="12.75" customHeight="1">
      <c r="F6627" s="32"/>
    </row>
    <row r="6628" spans="6:6" ht="12.75" customHeight="1">
      <c r="F6628" s="32"/>
    </row>
    <row r="6629" spans="6:6" ht="12.75" customHeight="1">
      <c r="F6629" s="32"/>
    </row>
    <row r="6630" spans="6:6" ht="12.75" customHeight="1">
      <c r="F6630" s="32"/>
    </row>
    <row r="6631" spans="6:6" ht="12.75" customHeight="1">
      <c r="F6631" s="32"/>
    </row>
    <row r="6632" spans="6:6" ht="12.75" customHeight="1">
      <c r="F6632" s="32"/>
    </row>
    <row r="6633" spans="6:6" ht="12.75" customHeight="1">
      <c r="F6633" s="32"/>
    </row>
    <row r="6634" spans="6:6" ht="12.75" customHeight="1">
      <c r="F6634" s="32"/>
    </row>
    <row r="6635" spans="6:6" ht="12.75" customHeight="1">
      <c r="F6635" s="32"/>
    </row>
    <row r="6636" spans="6:6" ht="12.75" customHeight="1">
      <c r="F6636" s="32"/>
    </row>
    <row r="6637" spans="6:6" ht="12.75" customHeight="1">
      <c r="F6637" s="32"/>
    </row>
    <row r="6638" spans="6:6" ht="12.75" customHeight="1">
      <c r="F6638" s="32"/>
    </row>
    <row r="6639" spans="6:6" ht="12.75" customHeight="1">
      <c r="F6639" s="32"/>
    </row>
    <row r="6640" spans="6:6" ht="12.75" customHeight="1">
      <c r="F6640" s="32"/>
    </row>
    <row r="6641" spans="6:6" ht="12.75" customHeight="1">
      <c r="F6641" s="32"/>
    </row>
    <row r="6642" spans="6:6" ht="12.75" customHeight="1">
      <c r="F6642" s="32"/>
    </row>
    <row r="6643" spans="6:6" ht="12.75" customHeight="1">
      <c r="F6643" s="32"/>
    </row>
    <row r="6644" spans="6:6" ht="12.75" customHeight="1">
      <c r="F6644" s="32"/>
    </row>
    <row r="6645" spans="6:6" ht="12.75" customHeight="1">
      <c r="F6645" s="32"/>
    </row>
    <row r="6646" spans="6:6" ht="12.75" customHeight="1">
      <c r="F6646" s="32"/>
    </row>
    <row r="6647" spans="6:6" ht="12.75" customHeight="1">
      <c r="F6647" s="32"/>
    </row>
    <row r="6648" spans="6:6" ht="12.75" customHeight="1">
      <c r="F6648" s="32"/>
    </row>
    <row r="6649" spans="6:6" ht="12.75" customHeight="1">
      <c r="F6649" s="32"/>
    </row>
    <row r="6650" spans="6:6" ht="12.75" customHeight="1">
      <c r="F6650" s="32"/>
    </row>
    <row r="6651" spans="6:6" ht="12.75" customHeight="1">
      <c r="F6651" s="32"/>
    </row>
    <row r="6652" spans="6:6" ht="12.75" customHeight="1">
      <c r="F6652" s="32"/>
    </row>
    <row r="6653" spans="6:6" ht="12.75" customHeight="1">
      <c r="F6653" s="32"/>
    </row>
    <row r="6654" spans="6:6" ht="12.75" customHeight="1">
      <c r="F6654" s="32"/>
    </row>
    <row r="6655" spans="6:6" ht="12.75" customHeight="1">
      <c r="F6655" s="32"/>
    </row>
    <row r="6656" spans="6:6" ht="12.75" customHeight="1">
      <c r="F6656" s="32"/>
    </row>
    <row r="6657" spans="6:6" ht="12.75" customHeight="1">
      <c r="F6657" s="32"/>
    </row>
    <row r="6658" spans="6:6" ht="12.75" customHeight="1">
      <c r="F6658" s="32"/>
    </row>
    <row r="6659" spans="6:6" ht="12.75" customHeight="1">
      <c r="F6659" s="32"/>
    </row>
    <row r="6660" spans="6:6" ht="12.75" customHeight="1">
      <c r="F6660" s="32"/>
    </row>
    <row r="6661" spans="6:6" ht="12.75" customHeight="1">
      <c r="F6661" s="32"/>
    </row>
    <row r="6662" spans="6:6" ht="12.75" customHeight="1">
      <c r="F6662" s="32"/>
    </row>
    <row r="6663" spans="6:6" ht="12.75" customHeight="1">
      <c r="F6663" s="32"/>
    </row>
    <row r="6664" spans="6:6" ht="12.75" customHeight="1">
      <c r="F6664" s="32"/>
    </row>
    <row r="6665" spans="6:6" ht="12.75" customHeight="1">
      <c r="F6665" s="32"/>
    </row>
    <row r="6666" spans="6:6" ht="12.75" customHeight="1">
      <c r="F6666" s="32"/>
    </row>
    <row r="6667" spans="6:6" ht="12.75" customHeight="1">
      <c r="F6667" s="32"/>
    </row>
    <row r="6668" spans="6:6" ht="12.75" customHeight="1">
      <c r="F6668" s="32"/>
    </row>
    <row r="6669" spans="6:6" ht="12.75" customHeight="1">
      <c r="F6669" s="32"/>
    </row>
    <row r="6670" spans="6:6" ht="12.75" customHeight="1">
      <c r="F6670" s="32"/>
    </row>
    <row r="6671" spans="6:6" ht="12.75" customHeight="1">
      <c r="F6671" s="32"/>
    </row>
    <row r="6672" spans="6:6" ht="12.75" customHeight="1">
      <c r="F6672" s="32"/>
    </row>
    <row r="6673" spans="6:6" ht="12.75" customHeight="1">
      <c r="F6673" s="32"/>
    </row>
    <row r="6674" spans="6:6" ht="12.75" customHeight="1">
      <c r="F6674" s="32"/>
    </row>
    <row r="6675" spans="6:6" ht="12.75" customHeight="1">
      <c r="F6675" s="32"/>
    </row>
    <row r="6676" spans="6:6" ht="12.75" customHeight="1">
      <c r="F6676" s="32"/>
    </row>
    <row r="6677" spans="6:6" ht="12.75" customHeight="1">
      <c r="F6677" s="32"/>
    </row>
    <row r="6678" spans="6:6" ht="12.75" customHeight="1">
      <c r="F6678" s="32"/>
    </row>
    <row r="6679" spans="6:6" ht="12.75" customHeight="1">
      <c r="F6679" s="32"/>
    </row>
    <row r="6680" spans="6:6" ht="12.75" customHeight="1">
      <c r="F6680" s="32"/>
    </row>
    <row r="6681" spans="6:6" ht="12.75" customHeight="1">
      <c r="F6681" s="32"/>
    </row>
    <row r="6682" spans="6:6" ht="12.75" customHeight="1">
      <c r="F6682" s="32"/>
    </row>
    <row r="6683" spans="6:6" ht="12.75" customHeight="1">
      <c r="F6683" s="32"/>
    </row>
    <row r="6684" spans="6:6" ht="12.75" customHeight="1">
      <c r="F6684" s="32"/>
    </row>
    <row r="6685" spans="6:6" ht="12.75" customHeight="1">
      <c r="F6685" s="32"/>
    </row>
    <row r="6686" spans="6:6" ht="12.75" customHeight="1">
      <c r="F6686" s="32"/>
    </row>
    <row r="6687" spans="6:6" ht="12.75" customHeight="1">
      <c r="F6687" s="32"/>
    </row>
    <row r="6688" spans="6:6" ht="12.75" customHeight="1">
      <c r="F6688" s="32"/>
    </row>
    <row r="6689" spans="6:6" ht="12.75" customHeight="1">
      <c r="F6689" s="32"/>
    </row>
    <row r="6690" spans="6:6" ht="12.75" customHeight="1">
      <c r="F6690" s="32"/>
    </row>
    <row r="6691" spans="6:6" ht="12.75" customHeight="1">
      <c r="F6691" s="32"/>
    </row>
    <row r="6692" spans="6:6" ht="12.75" customHeight="1">
      <c r="F6692" s="32"/>
    </row>
    <row r="6693" spans="6:6" ht="12.75" customHeight="1">
      <c r="F6693" s="32"/>
    </row>
    <row r="6694" spans="6:6" ht="12.75" customHeight="1">
      <c r="F6694" s="32"/>
    </row>
    <row r="6695" spans="6:6" ht="12.75" customHeight="1">
      <c r="F6695" s="32"/>
    </row>
    <row r="6696" spans="6:6" ht="12.75" customHeight="1">
      <c r="F6696" s="32"/>
    </row>
    <row r="6697" spans="6:6" ht="12.75" customHeight="1">
      <c r="F6697" s="32"/>
    </row>
    <row r="6698" spans="6:6" ht="12.75" customHeight="1">
      <c r="F6698" s="32"/>
    </row>
    <row r="6699" spans="6:6" ht="12.75" customHeight="1">
      <c r="F6699" s="32"/>
    </row>
    <row r="6700" spans="6:6" ht="12.75" customHeight="1">
      <c r="F6700" s="32"/>
    </row>
    <row r="6701" spans="6:6" ht="12.75" customHeight="1">
      <c r="F6701" s="32"/>
    </row>
    <row r="6702" spans="6:6" ht="12.75" customHeight="1">
      <c r="F6702" s="32"/>
    </row>
    <row r="6703" spans="6:6" ht="12.75" customHeight="1">
      <c r="F6703" s="32"/>
    </row>
    <row r="6704" spans="6:6" ht="12.75" customHeight="1">
      <c r="F6704" s="32"/>
    </row>
    <row r="6705" spans="6:6" ht="12.75" customHeight="1">
      <c r="F6705" s="32"/>
    </row>
    <row r="6706" spans="6:6" ht="12.75" customHeight="1">
      <c r="F6706" s="32"/>
    </row>
    <row r="6707" spans="6:6" ht="12.75" customHeight="1">
      <c r="F6707" s="32"/>
    </row>
    <row r="6708" spans="6:6" ht="12.75" customHeight="1">
      <c r="F6708" s="32"/>
    </row>
    <row r="6709" spans="6:6" ht="12.75" customHeight="1">
      <c r="F6709" s="32"/>
    </row>
    <row r="6710" spans="6:6" ht="12.75" customHeight="1">
      <c r="F6710" s="32"/>
    </row>
    <row r="6711" spans="6:6" ht="12.75" customHeight="1">
      <c r="F6711" s="32"/>
    </row>
    <row r="6712" spans="6:6" ht="12.75" customHeight="1">
      <c r="F6712" s="32"/>
    </row>
    <row r="6713" spans="6:6" ht="12.75" customHeight="1">
      <c r="F6713" s="32"/>
    </row>
    <row r="6714" spans="6:6" ht="12.75" customHeight="1">
      <c r="F6714" s="32"/>
    </row>
    <row r="6715" spans="6:6" ht="12.75" customHeight="1">
      <c r="F6715" s="32"/>
    </row>
    <row r="6716" spans="6:6" ht="12.75" customHeight="1">
      <c r="F6716" s="32"/>
    </row>
    <row r="6717" spans="6:6" ht="12.75" customHeight="1">
      <c r="F6717" s="32"/>
    </row>
    <row r="6718" spans="6:6" ht="12.75" customHeight="1">
      <c r="F6718" s="32"/>
    </row>
    <row r="6719" spans="6:6" ht="12.75" customHeight="1">
      <c r="F6719" s="32"/>
    </row>
    <row r="6720" spans="6:6" ht="12.75" customHeight="1">
      <c r="F6720" s="32"/>
    </row>
    <row r="6721" spans="6:6" ht="12.75" customHeight="1">
      <c r="F6721" s="32"/>
    </row>
    <row r="6722" spans="6:6" ht="12.75" customHeight="1">
      <c r="F6722" s="32"/>
    </row>
    <row r="6723" spans="6:6" ht="12.75" customHeight="1">
      <c r="F6723" s="32"/>
    </row>
    <row r="6724" spans="6:6" ht="12.75" customHeight="1">
      <c r="F6724" s="32"/>
    </row>
    <row r="6725" spans="6:6" ht="12.75" customHeight="1">
      <c r="F6725" s="32"/>
    </row>
    <row r="6726" spans="6:6" ht="12.75" customHeight="1">
      <c r="F6726" s="32"/>
    </row>
    <row r="6727" spans="6:6" ht="12.75" customHeight="1">
      <c r="F6727" s="32"/>
    </row>
    <row r="6728" spans="6:6" ht="12.75" customHeight="1">
      <c r="F6728" s="32"/>
    </row>
    <row r="6729" spans="6:6" ht="12.75" customHeight="1">
      <c r="F6729" s="32"/>
    </row>
    <row r="6730" spans="6:6" ht="12.75" customHeight="1">
      <c r="F6730" s="32"/>
    </row>
    <row r="6731" spans="6:6" ht="12.75" customHeight="1">
      <c r="F6731" s="32"/>
    </row>
    <row r="6732" spans="6:6" ht="12.75" customHeight="1">
      <c r="F6732" s="32"/>
    </row>
    <row r="6733" spans="6:6" ht="12.75" customHeight="1">
      <c r="F6733" s="32"/>
    </row>
    <row r="6734" spans="6:6" ht="12.75" customHeight="1">
      <c r="F6734" s="32"/>
    </row>
    <row r="6735" spans="6:6" ht="12.75" customHeight="1">
      <c r="F6735" s="32"/>
    </row>
    <row r="6736" spans="6:6" ht="12.75" customHeight="1">
      <c r="F6736" s="32"/>
    </row>
    <row r="6737" spans="6:6" ht="12.75" customHeight="1">
      <c r="F6737" s="32"/>
    </row>
    <row r="6738" spans="6:6" ht="12.75" customHeight="1">
      <c r="F6738" s="32"/>
    </row>
    <row r="6739" spans="6:6" ht="12.75" customHeight="1">
      <c r="F6739" s="32"/>
    </row>
    <row r="6740" spans="6:6" ht="12.75" customHeight="1">
      <c r="F6740" s="32"/>
    </row>
    <row r="6741" spans="6:6" ht="12.75" customHeight="1">
      <c r="F6741" s="32"/>
    </row>
    <row r="6742" spans="6:6" ht="12.75" customHeight="1">
      <c r="F6742" s="32"/>
    </row>
    <row r="6743" spans="6:6" ht="12.75" customHeight="1">
      <c r="F6743" s="32"/>
    </row>
    <row r="6744" spans="6:6" ht="12.75" customHeight="1">
      <c r="F6744" s="32"/>
    </row>
    <row r="6745" spans="6:6" ht="12.75" customHeight="1">
      <c r="F6745" s="32"/>
    </row>
    <row r="6746" spans="6:6" ht="12.75" customHeight="1">
      <c r="F6746" s="32"/>
    </row>
    <row r="6747" spans="6:6" ht="12.75" customHeight="1">
      <c r="F6747" s="32"/>
    </row>
    <row r="6748" spans="6:6" ht="12.75" customHeight="1">
      <c r="F6748" s="32"/>
    </row>
    <row r="6749" spans="6:6" ht="12.75" customHeight="1">
      <c r="F6749" s="32"/>
    </row>
    <row r="6750" spans="6:6" ht="12.75" customHeight="1">
      <c r="F6750" s="32"/>
    </row>
    <row r="6751" spans="6:6" ht="12.75" customHeight="1">
      <c r="F6751" s="32"/>
    </row>
    <row r="6752" spans="6:6" ht="12.75" customHeight="1">
      <c r="F6752" s="32"/>
    </row>
    <row r="6753" spans="6:6" ht="12.75" customHeight="1">
      <c r="F6753" s="32"/>
    </row>
    <row r="6754" spans="6:6" ht="12.75" customHeight="1">
      <c r="F6754" s="32"/>
    </row>
    <row r="6755" spans="6:6" ht="12.75" customHeight="1">
      <c r="F6755" s="32"/>
    </row>
    <row r="6756" spans="6:6" ht="12.75" customHeight="1">
      <c r="F6756" s="32"/>
    </row>
    <row r="6757" spans="6:6" ht="12.75" customHeight="1">
      <c r="F6757" s="32"/>
    </row>
    <row r="6758" spans="6:6" ht="12.75" customHeight="1">
      <c r="F6758" s="32"/>
    </row>
    <row r="6759" spans="6:6" ht="12.75" customHeight="1">
      <c r="F6759" s="32"/>
    </row>
    <row r="6760" spans="6:6" ht="12.75" customHeight="1">
      <c r="F6760" s="32"/>
    </row>
    <row r="6761" spans="6:6" ht="12.75" customHeight="1">
      <c r="F6761" s="32"/>
    </row>
    <row r="6762" spans="6:6" ht="12.75" customHeight="1">
      <c r="F6762" s="32"/>
    </row>
    <row r="6763" spans="6:6" ht="12.75" customHeight="1">
      <c r="F6763" s="32"/>
    </row>
    <row r="6764" spans="6:6" ht="12.75" customHeight="1">
      <c r="F6764" s="32"/>
    </row>
    <row r="6765" spans="6:6" ht="12.75" customHeight="1">
      <c r="F6765" s="32"/>
    </row>
    <row r="6766" spans="6:6" ht="12.75" customHeight="1">
      <c r="F6766" s="32"/>
    </row>
    <row r="6767" spans="6:6" ht="12.75" customHeight="1">
      <c r="F6767" s="32"/>
    </row>
    <row r="6768" spans="6:6" ht="12.75" customHeight="1">
      <c r="F6768" s="32"/>
    </row>
    <row r="6769" spans="6:6" ht="12.75" customHeight="1">
      <c r="F6769" s="32"/>
    </row>
    <row r="6770" spans="6:6" ht="12.75" customHeight="1">
      <c r="F6770" s="32"/>
    </row>
    <row r="6771" spans="6:6" ht="12.75" customHeight="1">
      <c r="F6771" s="32"/>
    </row>
    <row r="6772" spans="6:6" ht="12.75" customHeight="1">
      <c r="F6772" s="32"/>
    </row>
    <row r="6773" spans="6:6" ht="12.75" customHeight="1">
      <c r="F6773" s="32"/>
    </row>
    <row r="6774" spans="6:6" ht="12.75" customHeight="1">
      <c r="F6774" s="32"/>
    </row>
    <row r="6775" spans="6:6" ht="12.75" customHeight="1">
      <c r="F6775" s="32"/>
    </row>
    <row r="6776" spans="6:6" ht="12.75" customHeight="1">
      <c r="F6776" s="32"/>
    </row>
    <row r="6777" spans="6:6" ht="12.75" customHeight="1">
      <c r="F6777" s="32"/>
    </row>
    <row r="6778" spans="6:6" ht="12.75" customHeight="1">
      <c r="F6778" s="32"/>
    </row>
    <row r="6779" spans="6:6" ht="12.75" customHeight="1">
      <c r="F6779" s="32"/>
    </row>
    <row r="6780" spans="6:6" ht="12.75" customHeight="1">
      <c r="F6780" s="32"/>
    </row>
    <row r="6781" spans="6:6" ht="12.75" customHeight="1">
      <c r="F6781" s="32"/>
    </row>
    <row r="6782" spans="6:6" ht="12.75" customHeight="1">
      <c r="F6782" s="32"/>
    </row>
    <row r="6783" spans="6:6" ht="12.75" customHeight="1">
      <c r="F6783" s="32"/>
    </row>
    <row r="6784" spans="6:6" ht="12.75" customHeight="1">
      <c r="F6784" s="32"/>
    </row>
    <row r="6785" spans="6:6" ht="12.75" customHeight="1">
      <c r="F6785" s="32"/>
    </row>
    <row r="6786" spans="6:6" ht="12.75" customHeight="1">
      <c r="F6786" s="32"/>
    </row>
    <row r="6787" spans="6:6" ht="12.75" customHeight="1">
      <c r="F6787" s="32"/>
    </row>
    <row r="6788" spans="6:6" ht="12.75" customHeight="1">
      <c r="F6788" s="32"/>
    </row>
    <row r="6789" spans="6:6" ht="12.75" customHeight="1">
      <c r="F6789" s="32"/>
    </row>
    <row r="6790" spans="6:6" ht="12.75" customHeight="1">
      <c r="F6790" s="32"/>
    </row>
    <row r="6791" spans="6:6" ht="12.75" customHeight="1">
      <c r="F6791" s="32"/>
    </row>
    <row r="6792" spans="6:6" ht="12.75" customHeight="1">
      <c r="F6792" s="32"/>
    </row>
    <row r="6793" spans="6:6" ht="12.75" customHeight="1">
      <c r="F6793" s="32"/>
    </row>
    <row r="6794" spans="6:6" ht="12.75" customHeight="1">
      <c r="F6794" s="32"/>
    </row>
    <row r="6795" spans="6:6" ht="12.75" customHeight="1">
      <c r="F6795" s="32"/>
    </row>
    <row r="6796" spans="6:6" ht="12.75" customHeight="1">
      <c r="F6796" s="32"/>
    </row>
    <row r="6797" spans="6:6" ht="12.75" customHeight="1">
      <c r="F6797" s="32"/>
    </row>
    <row r="6798" spans="6:6" ht="12.75" customHeight="1">
      <c r="F6798" s="32"/>
    </row>
    <row r="6799" spans="6:6" ht="12.75" customHeight="1">
      <c r="F6799" s="32"/>
    </row>
    <row r="6800" spans="6:6" ht="12.75" customHeight="1">
      <c r="F6800" s="32"/>
    </row>
    <row r="6801" spans="6:6" ht="12.75" customHeight="1">
      <c r="F6801" s="32"/>
    </row>
    <row r="6802" spans="6:6" ht="12.75" customHeight="1">
      <c r="F6802" s="32"/>
    </row>
    <row r="6803" spans="6:6" ht="12.75" customHeight="1">
      <c r="F6803" s="32"/>
    </row>
    <row r="6804" spans="6:6" ht="12.75" customHeight="1">
      <c r="F6804" s="32"/>
    </row>
    <row r="6805" spans="6:6" ht="12.75" customHeight="1">
      <c r="F6805" s="32"/>
    </row>
    <row r="6806" spans="6:6" ht="12.75" customHeight="1">
      <c r="F6806" s="32"/>
    </row>
    <row r="6807" spans="6:6" ht="12.75" customHeight="1">
      <c r="F6807" s="32"/>
    </row>
    <row r="6808" spans="6:6" ht="12.75" customHeight="1">
      <c r="F6808" s="32"/>
    </row>
    <row r="6809" spans="6:6" ht="12.75" customHeight="1">
      <c r="F6809" s="32"/>
    </row>
    <row r="6810" spans="6:6" ht="12.75" customHeight="1">
      <c r="F6810" s="32"/>
    </row>
    <row r="6811" spans="6:6" ht="12.75" customHeight="1">
      <c r="F6811" s="32"/>
    </row>
    <row r="6812" spans="6:6" ht="12.75" customHeight="1">
      <c r="F6812" s="32"/>
    </row>
    <row r="6813" spans="6:6" ht="12.75" customHeight="1">
      <c r="F6813" s="32"/>
    </row>
    <row r="6814" spans="6:6" ht="12.75" customHeight="1">
      <c r="F6814" s="32"/>
    </row>
    <row r="6815" spans="6:6" ht="12.75" customHeight="1">
      <c r="F6815" s="32"/>
    </row>
    <row r="6816" spans="6:6" ht="12.75" customHeight="1">
      <c r="F6816" s="32"/>
    </row>
    <row r="6817" spans="6:6" ht="12.75" customHeight="1">
      <c r="F6817" s="32"/>
    </row>
    <row r="6818" spans="6:6" ht="12.75" customHeight="1">
      <c r="F6818" s="32"/>
    </row>
    <row r="6819" spans="6:6" ht="12.75" customHeight="1">
      <c r="F6819" s="32"/>
    </row>
    <row r="6820" spans="6:6" ht="12.75" customHeight="1">
      <c r="F6820" s="32"/>
    </row>
    <row r="6821" spans="6:6" ht="12.75" customHeight="1">
      <c r="F6821" s="32"/>
    </row>
    <row r="6822" spans="6:6" ht="12.75" customHeight="1">
      <c r="F6822" s="32"/>
    </row>
    <row r="6823" spans="6:6" ht="12.75" customHeight="1">
      <c r="F6823" s="32"/>
    </row>
    <row r="6824" spans="6:6" ht="12.75" customHeight="1">
      <c r="F6824" s="32"/>
    </row>
    <row r="6825" spans="6:6" ht="12.75" customHeight="1">
      <c r="F6825" s="32"/>
    </row>
    <row r="6826" spans="6:6" ht="12.75" customHeight="1">
      <c r="F6826" s="32"/>
    </row>
    <row r="6827" spans="6:6" ht="12.75" customHeight="1">
      <c r="F6827" s="32"/>
    </row>
    <row r="6828" spans="6:6" ht="12.75" customHeight="1">
      <c r="F6828" s="32"/>
    </row>
    <row r="6829" spans="6:6" ht="12.75" customHeight="1">
      <c r="F6829" s="32"/>
    </row>
    <row r="6830" spans="6:6" ht="12.75" customHeight="1">
      <c r="F6830" s="32"/>
    </row>
    <row r="6831" spans="6:6" ht="12.75" customHeight="1">
      <c r="F6831" s="32"/>
    </row>
    <row r="6832" spans="6:6" ht="12.75" customHeight="1">
      <c r="F6832" s="32"/>
    </row>
    <row r="6833" spans="6:6" ht="12.75" customHeight="1">
      <c r="F6833" s="32"/>
    </row>
    <row r="6834" spans="6:6" ht="12.75" customHeight="1">
      <c r="F6834" s="32"/>
    </row>
    <row r="6835" spans="6:6" ht="12.75" customHeight="1">
      <c r="F6835" s="32"/>
    </row>
    <row r="6836" spans="6:6" ht="12.75" customHeight="1">
      <c r="F6836" s="32"/>
    </row>
    <row r="6837" spans="6:6" ht="12.75" customHeight="1">
      <c r="F6837" s="32"/>
    </row>
    <row r="6838" spans="6:6" ht="12.75" customHeight="1">
      <c r="F6838" s="32"/>
    </row>
    <row r="6839" spans="6:6" ht="12.75" customHeight="1">
      <c r="F6839" s="32"/>
    </row>
    <row r="6840" spans="6:6" ht="12.75" customHeight="1">
      <c r="F6840" s="32"/>
    </row>
    <row r="6841" spans="6:6" ht="12.75" customHeight="1">
      <c r="F6841" s="32"/>
    </row>
    <row r="6842" spans="6:6" ht="12.75" customHeight="1">
      <c r="F6842" s="32"/>
    </row>
    <row r="6843" spans="6:6" ht="12.75" customHeight="1">
      <c r="F6843" s="32"/>
    </row>
    <row r="6844" spans="6:6" ht="12.75" customHeight="1">
      <c r="F6844" s="32"/>
    </row>
    <row r="6845" spans="6:6" ht="12.75" customHeight="1">
      <c r="F6845" s="32"/>
    </row>
    <row r="6846" spans="6:6" ht="12.75" customHeight="1">
      <c r="F6846" s="32"/>
    </row>
    <row r="6847" spans="6:6" ht="12.75" customHeight="1">
      <c r="F6847" s="32"/>
    </row>
    <row r="6848" spans="6:6" ht="12.75" customHeight="1">
      <c r="F6848" s="32"/>
    </row>
    <row r="6849" spans="6:6" ht="12.75" customHeight="1">
      <c r="F6849" s="32"/>
    </row>
    <row r="6850" spans="6:6" ht="12.75" customHeight="1">
      <c r="F6850" s="32"/>
    </row>
    <row r="6851" spans="6:6" ht="12.75" customHeight="1">
      <c r="F6851" s="32"/>
    </row>
    <row r="6852" spans="6:6" ht="12.75" customHeight="1">
      <c r="F6852" s="32"/>
    </row>
    <row r="6853" spans="6:6" ht="12.75" customHeight="1">
      <c r="F6853" s="32"/>
    </row>
    <row r="6854" spans="6:6" ht="12.75" customHeight="1">
      <c r="F6854" s="32"/>
    </row>
    <row r="6855" spans="6:6" ht="12.75" customHeight="1">
      <c r="F6855" s="32"/>
    </row>
    <row r="6856" spans="6:6" ht="12.75" customHeight="1">
      <c r="F6856" s="32"/>
    </row>
    <row r="6857" spans="6:6" ht="12.75" customHeight="1">
      <c r="F6857" s="32"/>
    </row>
    <row r="6858" spans="6:6" ht="12.75" customHeight="1">
      <c r="F6858" s="32"/>
    </row>
    <row r="6859" spans="6:6" ht="12.75" customHeight="1">
      <c r="F6859" s="32"/>
    </row>
    <row r="6860" spans="6:6" ht="12.75" customHeight="1">
      <c r="F6860" s="32"/>
    </row>
    <row r="6861" spans="6:6" ht="12.75" customHeight="1">
      <c r="F6861" s="32"/>
    </row>
    <row r="6862" spans="6:6" ht="12.75" customHeight="1">
      <c r="F6862" s="32"/>
    </row>
    <row r="6863" spans="6:6" ht="12.75" customHeight="1">
      <c r="F6863" s="32"/>
    </row>
    <row r="6864" spans="6:6" ht="12.75" customHeight="1">
      <c r="F6864" s="32"/>
    </row>
    <row r="6865" spans="6:6" ht="12.75" customHeight="1">
      <c r="F6865" s="32"/>
    </row>
    <row r="6866" spans="6:6" ht="12.75" customHeight="1">
      <c r="F6866" s="32"/>
    </row>
    <row r="6867" spans="6:6" ht="12.75" customHeight="1">
      <c r="F6867" s="32"/>
    </row>
    <row r="6868" spans="6:6" ht="12.75" customHeight="1">
      <c r="F6868" s="32"/>
    </row>
    <row r="6869" spans="6:6" ht="12.75" customHeight="1">
      <c r="F6869" s="32"/>
    </row>
    <row r="6870" spans="6:6" ht="12.75" customHeight="1">
      <c r="F6870" s="32"/>
    </row>
    <row r="6871" spans="6:6" ht="12.75" customHeight="1">
      <c r="F6871" s="32"/>
    </row>
    <row r="6872" spans="6:6" ht="12.75" customHeight="1">
      <c r="F6872" s="32"/>
    </row>
    <row r="6873" spans="6:6" ht="12.75" customHeight="1">
      <c r="F6873" s="32"/>
    </row>
    <row r="6874" spans="6:6" ht="12.75" customHeight="1">
      <c r="F6874" s="32"/>
    </row>
    <row r="6875" spans="6:6" ht="12.75" customHeight="1">
      <c r="F6875" s="32"/>
    </row>
    <row r="6876" spans="6:6" ht="12.75" customHeight="1">
      <c r="F6876" s="32"/>
    </row>
    <row r="6877" spans="6:6" ht="12.75" customHeight="1">
      <c r="F6877" s="32"/>
    </row>
    <row r="6878" spans="6:6" ht="12.75" customHeight="1">
      <c r="F6878" s="32"/>
    </row>
    <row r="6879" spans="6:6" ht="12.75" customHeight="1">
      <c r="F6879" s="32"/>
    </row>
    <row r="6880" spans="6:6" ht="12.75" customHeight="1">
      <c r="F6880" s="32"/>
    </row>
    <row r="6881" spans="6:6" ht="12.75" customHeight="1">
      <c r="F6881" s="32"/>
    </row>
    <row r="6882" spans="6:6" ht="12.75" customHeight="1">
      <c r="F6882" s="32"/>
    </row>
    <row r="6883" spans="6:6" ht="12.75" customHeight="1">
      <c r="F6883" s="32"/>
    </row>
    <row r="6884" spans="6:6" ht="12.75" customHeight="1">
      <c r="F6884" s="32"/>
    </row>
    <row r="6885" spans="6:6" ht="12.75" customHeight="1">
      <c r="F6885" s="32"/>
    </row>
    <row r="6886" spans="6:6" ht="12.75" customHeight="1">
      <c r="F6886" s="32"/>
    </row>
    <row r="6887" spans="6:6" ht="12.75" customHeight="1">
      <c r="F6887" s="32"/>
    </row>
    <row r="6888" spans="6:6" ht="12.75" customHeight="1">
      <c r="F6888" s="32"/>
    </row>
    <row r="6889" spans="6:6" ht="12.75" customHeight="1">
      <c r="F6889" s="32"/>
    </row>
    <row r="6890" spans="6:6" ht="12.75" customHeight="1">
      <c r="F6890" s="32"/>
    </row>
    <row r="6891" spans="6:6" ht="12.75" customHeight="1">
      <c r="F6891" s="32"/>
    </row>
    <row r="6892" spans="6:6" ht="12.75" customHeight="1">
      <c r="F6892" s="32"/>
    </row>
    <row r="6893" spans="6:6" ht="12.75" customHeight="1">
      <c r="F6893" s="32"/>
    </row>
    <row r="6894" spans="6:6" ht="12.75" customHeight="1">
      <c r="F6894" s="32"/>
    </row>
    <row r="6895" spans="6:6" ht="12.75" customHeight="1">
      <c r="F6895" s="32"/>
    </row>
    <row r="6896" spans="6:6" ht="12.75" customHeight="1">
      <c r="F6896" s="32"/>
    </row>
    <row r="6897" spans="6:6" ht="12.75" customHeight="1">
      <c r="F6897" s="32"/>
    </row>
    <row r="6898" spans="6:6" ht="12.75" customHeight="1">
      <c r="F6898" s="32"/>
    </row>
    <row r="6899" spans="6:6" ht="12.75" customHeight="1">
      <c r="F6899" s="32"/>
    </row>
    <row r="6900" spans="6:6" ht="12.75" customHeight="1">
      <c r="F6900" s="32"/>
    </row>
    <row r="6901" spans="6:6" ht="12.75" customHeight="1">
      <c r="F6901" s="32"/>
    </row>
    <row r="6902" spans="6:6" ht="12.75" customHeight="1">
      <c r="F6902" s="32"/>
    </row>
    <row r="6903" spans="6:6" ht="12.75" customHeight="1">
      <c r="F6903" s="32"/>
    </row>
    <row r="6904" spans="6:6" ht="12.75" customHeight="1">
      <c r="F6904" s="32"/>
    </row>
    <row r="6905" spans="6:6" ht="12.75" customHeight="1">
      <c r="F6905" s="32"/>
    </row>
    <row r="6906" spans="6:6" ht="12.75" customHeight="1">
      <c r="F6906" s="32"/>
    </row>
    <row r="6907" spans="6:6" ht="12.75" customHeight="1">
      <c r="F6907" s="32"/>
    </row>
    <row r="6908" spans="6:6" ht="12.75" customHeight="1">
      <c r="F6908" s="32"/>
    </row>
    <row r="6909" spans="6:6" ht="12.75" customHeight="1">
      <c r="F6909" s="32"/>
    </row>
    <row r="6910" spans="6:6" ht="12.75" customHeight="1">
      <c r="F6910" s="32"/>
    </row>
    <row r="6911" spans="6:6" ht="12.75" customHeight="1">
      <c r="F6911" s="32"/>
    </row>
    <row r="6912" spans="6:6" ht="12.75" customHeight="1">
      <c r="F6912" s="32"/>
    </row>
    <row r="6913" spans="6:6" ht="12.75" customHeight="1">
      <c r="F6913" s="32"/>
    </row>
    <row r="6914" spans="6:6" ht="12.75" customHeight="1">
      <c r="F6914" s="32"/>
    </row>
    <row r="6915" spans="6:6" ht="12.75" customHeight="1">
      <c r="F6915" s="32"/>
    </row>
    <row r="6916" spans="6:6" ht="12.75" customHeight="1">
      <c r="F6916" s="32"/>
    </row>
    <row r="6917" spans="6:6" ht="12.75" customHeight="1">
      <c r="F6917" s="32"/>
    </row>
    <row r="6918" spans="6:6" ht="12.75" customHeight="1">
      <c r="F6918" s="32"/>
    </row>
    <row r="6919" spans="6:6" ht="12.75" customHeight="1">
      <c r="F6919" s="32"/>
    </row>
    <row r="6920" spans="6:6" ht="12.75" customHeight="1">
      <c r="F6920" s="32"/>
    </row>
    <row r="6921" spans="6:6" ht="12.75" customHeight="1">
      <c r="F6921" s="32"/>
    </row>
    <row r="6922" spans="6:6" ht="12.75" customHeight="1">
      <c r="F6922" s="32"/>
    </row>
    <row r="6923" spans="6:6" ht="12.75" customHeight="1">
      <c r="F6923" s="32"/>
    </row>
    <row r="6924" spans="6:6" ht="12.75" customHeight="1">
      <c r="F6924" s="32"/>
    </row>
    <row r="6925" spans="6:6" ht="12.75" customHeight="1">
      <c r="F6925" s="32"/>
    </row>
    <row r="6926" spans="6:6" ht="12.75" customHeight="1">
      <c r="F6926" s="32"/>
    </row>
    <row r="6927" spans="6:6" ht="12.75" customHeight="1">
      <c r="F6927" s="32"/>
    </row>
    <row r="6928" spans="6:6" ht="12.75" customHeight="1">
      <c r="F6928" s="32"/>
    </row>
    <row r="6929" spans="6:6" ht="12.75" customHeight="1">
      <c r="F6929" s="32"/>
    </row>
    <row r="6930" spans="6:6" ht="12.75" customHeight="1">
      <c r="F6930" s="32"/>
    </row>
    <row r="6931" spans="6:6" ht="12.75" customHeight="1">
      <c r="F6931" s="32"/>
    </row>
    <row r="6932" spans="6:6" ht="12.75" customHeight="1">
      <c r="F6932" s="32"/>
    </row>
    <row r="6933" spans="6:6" ht="12.75" customHeight="1">
      <c r="F6933" s="32"/>
    </row>
    <row r="6934" spans="6:6" ht="12.75" customHeight="1">
      <c r="F6934" s="32"/>
    </row>
    <row r="6935" spans="6:6" ht="12.75" customHeight="1">
      <c r="F6935" s="32"/>
    </row>
    <row r="6936" spans="6:6" ht="12.75" customHeight="1">
      <c r="F6936" s="32"/>
    </row>
    <row r="6937" spans="6:6" ht="12.75" customHeight="1">
      <c r="F6937" s="32"/>
    </row>
    <row r="6938" spans="6:6" ht="12.75" customHeight="1">
      <c r="F6938" s="32"/>
    </row>
    <row r="6939" spans="6:6" ht="12.75" customHeight="1">
      <c r="F6939" s="32"/>
    </row>
    <row r="6940" spans="6:6" ht="12.75" customHeight="1">
      <c r="F6940" s="32"/>
    </row>
    <row r="6941" spans="6:6" ht="12.75" customHeight="1">
      <c r="F6941" s="32"/>
    </row>
    <row r="6942" spans="6:6" ht="12.75" customHeight="1">
      <c r="F6942" s="32"/>
    </row>
    <row r="6943" spans="6:6" ht="12.75" customHeight="1">
      <c r="F6943" s="32"/>
    </row>
    <row r="6944" spans="6:6" ht="12.75" customHeight="1">
      <c r="F6944" s="32"/>
    </row>
    <row r="6945" spans="6:6" ht="12.75" customHeight="1">
      <c r="F6945" s="32"/>
    </row>
    <row r="6946" spans="6:6" ht="12.75" customHeight="1">
      <c r="F6946" s="32"/>
    </row>
    <row r="6947" spans="6:6" ht="12.75" customHeight="1">
      <c r="F6947" s="32"/>
    </row>
    <row r="6948" spans="6:6" ht="12.75" customHeight="1">
      <c r="F6948" s="32"/>
    </row>
    <row r="6949" spans="6:6" ht="12.75" customHeight="1">
      <c r="F6949" s="32"/>
    </row>
    <row r="6950" spans="6:6" ht="12.75" customHeight="1">
      <c r="F6950" s="32"/>
    </row>
    <row r="6951" spans="6:6" ht="12.75" customHeight="1">
      <c r="F6951" s="32"/>
    </row>
    <row r="6952" spans="6:6" ht="12.75" customHeight="1">
      <c r="F6952" s="32"/>
    </row>
    <row r="6953" spans="6:6" ht="12.75" customHeight="1">
      <c r="F6953" s="32"/>
    </row>
    <row r="6954" spans="6:6" ht="12.75" customHeight="1">
      <c r="F6954" s="32"/>
    </row>
    <row r="6955" spans="6:6" ht="12.75" customHeight="1">
      <c r="F6955" s="32"/>
    </row>
    <row r="6956" spans="6:6" ht="12.75" customHeight="1">
      <c r="F6956" s="32"/>
    </row>
    <row r="6957" spans="6:6" ht="12.75" customHeight="1">
      <c r="F6957" s="32"/>
    </row>
    <row r="6958" spans="6:6" ht="12.75" customHeight="1">
      <c r="F6958" s="32"/>
    </row>
    <row r="6959" spans="6:6" ht="12.75" customHeight="1">
      <c r="F6959" s="32"/>
    </row>
    <row r="6960" spans="6:6" ht="12.75" customHeight="1">
      <c r="F6960" s="32"/>
    </row>
    <row r="6961" spans="6:6" ht="12.75" customHeight="1">
      <c r="F6961" s="32"/>
    </row>
    <row r="6962" spans="6:6" ht="12.75" customHeight="1">
      <c r="F6962" s="32"/>
    </row>
    <row r="6963" spans="6:6" ht="12.75" customHeight="1">
      <c r="F6963" s="32"/>
    </row>
    <row r="6964" spans="6:6" ht="12.75" customHeight="1">
      <c r="F6964" s="32"/>
    </row>
    <row r="6965" spans="6:6" ht="12.75" customHeight="1">
      <c r="F6965" s="32"/>
    </row>
    <row r="6966" spans="6:6" ht="12.75" customHeight="1">
      <c r="F6966" s="32"/>
    </row>
    <row r="6967" spans="6:6" ht="12.75" customHeight="1">
      <c r="F6967" s="32"/>
    </row>
    <row r="6968" spans="6:6" ht="12.75" customHeight="1">
      <c r="F6968" s="32"/>
    </row>
    <row r="6969" spans="6:6" ht="12.75" customHeight="1">
      <c r="F6969" s="32"/>
    </row>
    <row r="6970" spans="6:6" ht="12.75" customHeight="1">
      <c r="F6970" s="32"/>
    </row>
    <row r="6971" spans="6:6" ht="12.75" customHeight="1">
      <c r="F6971" s="32"/>
    </row>
    <row r="6972" spans="6:6" ht="12.75" customHeight="1">
      <c r="F6972" s="32"/>
    </row>
    <row r="6973" spans="6:6" ht="12.75" customHeight="1">
      <c r="F6973" s="32"/>
    </row>
    <row r="6974" spans="6:6" ht="12.75" customHeight="1">
      <c r="F6974" s="32"/>
    </row>
    <row r="6975" spans="6:6" ht="12.75" customHeight="1">
      <c r="F6975" s="32"/>
    </row>
    <row r="6976" spans="6:6" ht="12.75" customHeight="1">
      <c r="F6976" s="32"/>
    </row>
    <row r="6977" spans="6:6" ht="12.75" customHeight="1">
      <c r="F6977" s="32"/>
    </row>
    <row r="6978" spans="6:6" ht="12.75" customHeight="1">
      <c r="F6978" s="32"/>
    </row>
    <row r="6979" spans="6:6" ht="12.75" customHeight="1">
      <c r="F6979" s="32"/>
    </row>
    <row r="6980" spans="6:6" ht="12.75" customHeight="1">
      <c r="F6980" s="32"/>
    </row>
    <row r="6981" spans="6:6" ht="12.75" customHeight="1">
      <c r="F6981" s="32"/>
    </row>
    <row r="6982" spans="6:6" ht="12.75" customHeight="1">
      <c r="F6982" s="32"/>
    </row>
    <row r="6983" spans="6:6" ht="12.75" customHeight="1">
      <c r="F6983" s="32"/>
    </row>
    <row r="6984" spans="6:6" ht="12.75" customHeight="1">
      <c r="F6984" s="32"/>
    </row>
    <row r="6985" spans="6:6" ht="12.75" customHeight="1">
      <c r="F6985" s="32"/>
    </row>
    <row r="6986" spans="6:6" ht="12.75" customHeight="1">
      <c r="F6986" s="32"/>
    </row>
    <row r="6987" spans="6:6" ht="12.75" customHeight="1">
      <c r="F6987" s="32"/>
    </row>
    <row r="6988" spans="6:6" ht="12.75" customHeight="1">
      <c r="F6988" s="32"/>
    </row>
    <row r="6989" spans="6:6" ht="12.75" customHeight="1">
      <c r="F6989" s="32"/>
    </row>
    <row r="6990" spans="6:6" ht="12.75" customHeight="1">
      <c r="F6990" s="32"/>
    </row>
    <row r="6991" spans="6:6" ht="12.75" customHeight="1">
      <c r="F6991" s="32"/>
    </row>
    <row r="6992" spans="6:6" ht="12.75" customHeight="1">
      <c r="F6992" s="32"/>
    </row>
    <row r="6993" spans="6:6" ht="12.75" customHeight="1">
      <c r="F6993" s="32"/>
    </row>
    <row r="6994" spans="6:6" ht="12.75" customHeight="1">
      <c r="F6994" s="32"/>
    </row>
    <row r="6995" spans="6:6" ht="12.75" customHeight="1">
      <c r="F6995" s="32"/>
    </row>
    <row r="6996" spans="6:6" ht="12.75" customHeight="1">
      <c r="F6996" s="32"/>
    </row>
    <row r="6997" spans="6:6" ht="12.75" customHeight="1">
      <c r="F6997" s="32"/>
    </row>
    <row r="6998" spans="6:6" ht="12.75" customHeight="1">
      <c r="F6998" s="32"/>
    </row>
    <row r="6999" spans="6:6" ht="12.75" customHeight="1">
      <c r="F6999" s="32"/>
    </row>
    <row r="7000" spans="6:6" ht="12.75" customHeight="1">
      <c r="F7000" s="32"/>
    </row>
    <row r="7001" spans="6:6" ht="12.75" customHeight="1">
      <c r="F7001" s="32"/>
    </row>
    <row r="7002" spans="6:6" ht="12.75" customHeight="1">
      <c r="F7002" s="32"/>
    </row>
    <row r="7003" spans="6:6" ht="12.75" customHeight="1">
      <c r="F7003" s="32"/>
    </row>
    <row r="7004" spans="6:6" ht="12.75" customHeight="1">
      <c r="F7004" s="32"/>
    </row>
    <row r="7005" spans="6:6" ht="12.75" customHeight="1">
      <c r="F7005" s="32"/>
    </row>
    <row r="7006" spans="6:6" ht="12.75" customHeight="1">
      <c r="F7006" s="32"/>
    </row>
    <row r="7007" spans="6:6" ht="12.75" customHeight="1">
      <c r="F7007" s="32"/>
    </row>
    <row r="7008" spans="6:6" ht="12.75" customHeight="1">
      <c r="F7008" s="32"/>
    </row>
    <row r="7009" spans="6:6" ht="12.75" customHeight="1">
      <c r="F7009" s="32"/>
    </row>
    <row r="7010" spans="6:6" ht="12.75" customHeight="1">
      <c r="F7010" s="32"/>
    </row>
    <row r="7011" spans="6:6" ht="12.75" customHeight="1">
      <c r="F7011" s="32"/>
    </row>
    <row r="7012" spans="6:6" ht="12.75" customHeight="1">
      <c r="F7012" s="32"/>
    </row>
    <row r="7013" spans="6:6" ht="12.75" customHeight="1">
      <c r="F7013" s="32"/>
    </row>
    <row r="7014" spans="6:6" ht="12.75" customHeight="1">
      <c r="F7014" s="32"/>
    </row>
    <row r="7015" spans="6:6" ht="12.75" customHeight="1">
      <c r="F7015" s="32"/>
    </row>
    <row r="7016" spans="6:6" ht="12.75" customHeight="1">
      <c r="F7016" s="32"/>
    </row>
    <row r="7017" spans="6:6" ht="12.75" customHeight="1">
      <c r="F7017" s="32"/>
    </row>
    <row r="7018" spans="6:6" ht="12.75" customHeight="1">
      <c r="F7018" s="32"/>
    </row>
    <row r="7019" spans="6:6" ht="12.75" customHeight="1">
      <c r="F7019" s="32"/>
    </row>
    <row r="7020" spans="6:6" ht="12.75" customHeight="1">
      <c r="F7020" s="32"/>
    </row>
    <row r="7021" spans="6:6" ht="12.75" customHeight="1">
      <c r="F7021" s="32"/>
    </row>
    <row r="7022" spans="6:6" ht="12.75" customHeight="1">
      <c r="F7022" s="32"/>
    </row>
    <row r="7023" spans="6:6" ht="12.75" customHeight="1">
      <c r="F7023" s="32"/>
    </row>
    <row r="7024" spans="6:6" ht="12.75" customHeight="1">
      <c r="F7024" s="32"/>
    </row>
    <row r="7025" spans="6:6" ht="12.75" customHeight="1">
      <c r="F7025" s="32"/>
    </row>
    <row r="7026" spans="6:6" ht="12.75" customHeight="1">
      <c r="F7026" s="32"/>
    </row>
    <row r="7027" spans="6:6" ht="12.75" customHeight="1">
      <c r="F7027" s="32"/>
    </row>
    <row r="7028" spans="6:6" ht="12.75" customHeight="1">
      <c r="F7028" s="32"/>
    </row>
    <row r="7029" spans="6:6" ht="12.75" customHeight="1">
      <c r="F7029" s="32"/>
    </row>
    <row r="7030" spans="6:6" ht="12.75" customHeight="1">
      <c r="F7030" s="32"/>
    </row>
    <row r="7031" spans="6:6" ht="12.75" customHeight="1">
      <c r="F7031" s="32"/>
    </row>
    <row r="7032" spans="6:6" ht="12.75" customHeight="1">
      <c r="F7032" s="32"/>
    </row>
    <row r="7033" spans="6:6" ht="12.75" customHeight="1">
      <c r="F7033" s="32"/>
    </row>
    <row r="7034" spans="6:6" ht="12.75" customHeight="1">
      <c r="F7034" s="32"/>
    </row>
    <row r="7035" spans="6:6" ht="12.75" customHeight="1">
      <c r="F7035" s="32"/>
    </row>
    <row r="7036" spans="6:6" ht="12.75" customHeight="1">
      <c r="F7036" s="32"/>
    </row>
    <row r="7037" spans="6:6" ht="12.75" customHeight="1">
      <c r="F7037" s="32"/>
    </row>
    <row r="7038" spans="6:6" ht="12.75" customHeight="1">
      <c r="F7038" s="32"/>
    </row>
    <row r="7039" spans="6:6" ht="12.75" customHeight="1">
      <c r="F7039" s="32"/>
    </row>
    <row r="7040" spans="6:6" ht="12.75" customHeight="1">
      <c r="F7040" s="32"/>
    </row>
    <row r="7041" spans="6:6" ht="12.75" customHeight="1">
      <c r="F7041" s="32"/>
    </row>
    <row r="7042" spans="6:6" ht="12.75" customHeight="1">
      <c r="F7042" s="32"/>
    </row>
    <row r="7043" spans="6:6" ht="12.75" customHeight="1">
      <c r="F7043" s="32"/>
    </row>
    <row r="7044" spans="6:6" ht="12.75" customHeight="1">
      <c r="F7044" s="32"/>
    </row>
    <row r="7045" spans="6:6" ht="12.75" customHeight="1">
      <c r="F7045" s="32"/>
    </row>
    <row r="7046" spans="6:6" ht="12.75" customHeight="1">
      <c r="F7046" s="32"/>
    </row>
    <row r="7047" spans="6:6" ht="12.75" customHeight="1">
      <c r="F7047" s="32"/>
    </row>
    <row r="7048" spans="6:6" ht="12.75" customHeight="1">
      <c r="F7048" s="32"/>
    </row>
    <row r="7049" spans="6:6" ht="12.75" customHeight="1">
      <c r="F7049" s="32"/>
    </row>
    <row r="7050" spans="6:6" ht="12.75" customHeight="1">
      <c r="F7050" s="32"/>
    </row>
    <row r="7051" spans="6:6" ht="12.75" customHeight="1">
      <c r="F7051" s="32"/>
    </row>
    <row r="7052" spans="6:6" ht="12.75" customHeight="1">
      <c r="F7052" s="32"/>
    </row>
    <row r="7053" spans="6:6" ht="12.75" customHeight="1">
      <c r="F7053" s="32"/>
    </row>
    <row r="7054" spans="6:6" ht="12.75" customHeight="1">
      <c r="F7054" s="32"/>
    </row>
    <row r="7055" spans="6:6" ht="12.75" customHeight="1">
      <c r="F7055" s="32"/>
    </row>
    <row r="7056" spans="6:6" ht="12.75" customHeight="1">
      <c r="F7056" s="32"/>
    </row>
    <row r="7057" spans="6:6" ht="12.75" customHeight="1">
      <c r="F7057" s="32"/>
    </row>
    <row r="7058" spans="6:6" ht="12.75" customHeight="1">
      <c r="F7058" s="32"/>
    </row>
    <row r="7059" spans="6:6" ht="12.75" customHeight="1">
      <c r="F7059" s="32"/>
    </row>
    <row r="7060" spans="6:6" ht="12.75" customHeight="1">
      <c r="F7060" s="32"/>
    </row>
    <row r="7061" spans="6:6" ht="12.75" customHeight="1">
      <c r="F7061" s="32"/>
    </row>
    <row r="7062" spans="6:6" ht="12.75" customHeight="1">
      <c r="F7062" s="32"/>
    </row>
    <row r="7063" spans="6:6" ht="12.75" customHeight="1">
      <c r="F7063" s="32"/>
    </row>
    <row r="7064" spans="6:6" ht="12.75" customHeight="1">
      <c r="F7064" s="32"/>
    </row>
    <row r="7065" spans="6:6" ht="12.75" customHeight="1">
      <c r="F7065" s="32"/>
    </row>
    <row r="7066" spans="6:6" ht="12.75" customHeight="1">
      <c r="F7066" s="32"/>
    </row>
    <row r="7067" spans="6:6" ht="12.75" customHeight="1">
      <c r="F7067" s="32"/>
    </row>
    <row r="7068" spans="6:6" ht="12.75" customHeight="1">
      <c r="F7068" s="32"/>
    </row>
    <row r="7069" spans="6:6" ht="12.75" customHeight="1">
      <c r="F7069" s="32"/>
    </row>
    <row r="7070" spans="6:6" ht="12.75" customHeight="1">
      <c r="F7070" s="32"/>
    </row>
    <row r="7071" spans="6:6" ht="12.75" customHeight="1">
      <c r="F7071" s="32"/>
    </row>
    <row r="7072" spans="6:6" ht="12.75" customHeight="1">
      <c r="F7072" s="32"/>
    </row>
    <row r="7073" spans="6:6" ht="12.75" customHeight="1">
      <c r="F7073" s="32"/>
    </row>
    <row r="7074" spans="6:6" ht="12.75" customHeight="1">
      <c r="F7074" s="32"/>
    </row>
    <row r="7075" spans="6:6" ht="12.75" customHeight="1">
      <c r="F7075" s="32"/>
    </row>
    <row r="7076" spans="6:6" ht="12.75" customHeight="1">
      <c r="F7076" s="32"/>
    </row>
    <row r="7077" spans="6:6" ht="12.75" customHeight="1">
      <c r="F7077" s="32"/>
    </row>
    <row r="7078" spans="6:6" ht="12.75" customHeight="1">
      <c r="F7078" s="32"/>
    </row>
    <row r="7079" spans="6:6" ht="12.75" customHeight="1">
      <c r="F7079" s="32"/>
    </row>
    <row r="7080" spans="6:6" ht="12.75" customHeight="1">
      <c r="F7080" s="32"/>
    </row>
    <row r="7081" spans="6:6" ht="12.75" customHeight="1">
      <c r="F7081" s="32"/>
    </row>
    <row r="7082" spans="6:6" ht="12.75" customHeight="1">
      <c r="F7082" s="32"/>
    </row>
    <row r="7083" spans="6:6" ht="12.75" customHeight="1">
      <c r="F7083" s="32"/>
    </row>
    <row r="7084" spans="6:6" ht="12.75" customHeight="1">
      <c r="F7084" s="32"/>
    </row>
    <row r="7085" spans="6:6" ht="12.75" customHeight="1">
      <c r="F7085" s="32"/>
    </row>
    <row r="7086" spans="6:6" ht="12.75" customHeight="1">
      <c r="F7086" s="32"/>
    </row>
    <row r="7087" spans="6:6" ht="12.75" customHeight="1">
      <c r="F7087" s="32"/>
    </row>
    <row r="7088" spans="6:6" ht="12.75" customHeight="1">
      <c r="F7088" s="32"/>
    </row>
    <row r="7089" spans="6:6" ht="12.75" customHeight="1">
      <c r="F7089" s="32"/>
    </row>
    <row r="7090" spans="6:6" ht="12.75" customHeight="1">
      <c r="F7090" s="32"/>
    </row>
    <row r="7091" spans="6:6" ht="12.75" customHeight="1">
      <c r="F7091" s="32"/>
    </row>
    <row r="7092" spans="6:6" ht="12.75" customHeight="1">
      <c r="F7092" s="32"/>
    </row>
    <row r="7093" spans="6:6" ht="12.75" customHeight="1">
      <c r="F7093" s="32"/>
    </row>
    <row r="7094" spans="6:6" ht="12.75" customHeight="1">
      <c r="F7094" s="32"/>
    </row>
    <row r="7095" spans="6:6" ht="12.75" customHeight="1">
      <c r="F7095" s="32"/>
    </row>
    <row r="7096" spans="6:6" ht="12.75" customHeight="1">
      <c r="F7096" s="32"/>
    </row>
    <row r="7097" spans="6:6" ht="12.75" customHeight="1">
      <c r="F7097" s="32"/>
    </row>
    <row r="7098" spans="6:6" ht="12.75" customHeight="1">
      <c r="F7098" s="32"/>
    </row>
    <row r="7099" spans="6:6" ht="12.75" customHeight="1">
      <c r="F7099" s="32"/>
    </row>
    <row r="7100" spans="6:6" ht="12.75" customHeight="1">
      <c r="F7100" s="32"/>
    </row>
    <row r="7101" spans="6:6" ht="12.75" customHeight="1">
      <c r="F7101" s="32"/>
    </row>
    <row r="7102" spans="6:6" ht="12.75" customHeight="1">
      <c r="F7102" s="32"/>
    </row>
    <row r="7103" spans="6:6" ht="12.75" customHeight="1">
      <c r="F7103" s="32"/>
    </row>
    <row r="7104" spans="6:6" ht="12.75" customHeight="1">
      <c r="F7104" s="32"/>
    </row>
    <row r="7105" spans="6:6" ht="12.75" customHeight="1">
      <c r="F7105" s="32"/>
    </row>
    <row r="7106" spans="6:6" ht="12.75" customHeight="1">
      <c r="F7106" s="32"/>
    </row>
    <row r="7107" spans="6:6" ht="12.75" customHeight="1">
      <c r="F7107" s="32"/>
    </row>
    <row r="7108" spans="6:6" ht="12.75" customHeight="1">
      <c r="F7108" s="32"/>
    </row>
    <row r="7109" spans="6:6" ht="12.75" customHeight="1">
      <c r="F7109" s="32"/>
    </row>
    <row r="7110" spans="6:6" ht="12.75" customHeight="1">
      <c r="F7110" s="32"/>
    </row>
    <row r="7111" spans="6:6" ht="12.75" customHeight="1">
      <c r="F7111" s="32"/>
    </row>
    <row r="7112" spans="6:6" ht="12.75" customHeight="1">
      <c r="F7112" s="32"/>
    </row>
    <row r="7113" spans="6:6" ht="12.75" customHeight="1">
      <c r="F7113" s="32"/>
    </row>
    <row r="7114" spans="6:6" ht="12.75" customHeight="1">
      <c r="F7114" s="32"/>
    </row>
    <row r="7115" spans="6:6" ht="12.75" customHeight="1">
      <c r="F7115" s="32"/>
    </row>
    <row r="7116" spans="6:6" ht="12.75" customHeight="1">
      <c r="F7116" s="32"/>
    </row>
    <row r="7117" spans="6:6" ht="12.75" customHeight="1">
      <c r="F7117" s="32"/>
    </row>
    <row r="7118" spans="6:6" ht="12.75" customHeight="1">
      <c r="F7118" s="32"/>
    </row>
    <row r="7119" spans="6:6" ht="12.75" customHeight="1">
      <c r="F7119" s="32"/>
    </row>
    <row r="7120" spans="6:6" ht="12.75" customHeight="1">
      <c r="F7120" s="32"/>
    </row>
    <row r="7121" spans="6:6" ht="12.75" customHeight="1">
      <c r="F7121" s="32"/>
    </row>
    <row r="7122" spans="6:6" ht="12.75" customHeight="1">
      <c r="F7122" s="32"/>
    </row>
    <row r="7123" spans="6:6" ht="12.75" customHeight="1">
      <c r="F7123" s="32"/>
    </row>
    <row r="7124" spans="6:6" ht="12.75" customHeight="1">
      <c r="F7124" s="32"/>
    </row>
    <row r="7125" spans="6:6" ht="12.75" customHeight="1">
      <c r="F7125" s="32"/>
    </row>
    <row r="7126" spans="6:6" ht="12.75" customHeight="1">
      <c r="F7126" s="32"/>
    </row>
    <row r="7127" spans="6:6" ht="12.75" customHeight="1">
      <c r="F7127" s="32"/>
    </row>
    <row r="7128" spans="6:6" ht="12.75" customHeight="1">
      <c r="F7128" s="32"/>
    </row>
    <row r="7129" spans="6:6" ht="12.75" customHeight="1">
      <c r="F7129" s="32"/>
    </row>
    <row r="7130" spans="6:6" ht="12.75" customHeight="1">
      <c r="F7130" s="32"/>
    </row>
    <row r="7131" spans="6:6" ht="12.75" customHeight="1">
      <c r="F7131" s="32"/>
    </row>
    <row r="7132" spans="6:6" ht="12.75" customHeight="1">
      <c r="F7132" s="32"/>
    </row>
    <row r="7133" spans="6:6" ht="12.75" customHeight="1">
      <c r="F7133" s="32"/>
    </row>
    <row r="7134" spans="6:6" ht="12.75" customHeight="1">
      <c r="F7134" s="32"/>
    </row>
    <row r="7135" spans="6:6" ht="12.75" customHeight="1">
      <c r="F7135" s="32"/>
    </row>
    <row r="7136" spans="6:6" ht="12.75" customHeight="1">
      <c r="F7136" s="32"/>
    </row>
    <row r="7137" spans="6:6" ht="12.75" customHeight="1">
      <c r="F7137" s="32"/>
    </row>
    <row r="7138" spans="6:6" ht="12.75" customHeight="1">
      <c r="F7138" s="32"/>
    </row>
    <row r="7139" spans="6:6" ht="12.75" customHeight="1">
      <c r="F7139" s="32"/>
    </row>
    <row r="7140" spans="6:6" ht="12.75" customHeight="1">
      <c r="F7140" s="32"/>
    </row>
    <row r="7141" spans="6:6" ht="12.75" customHeight="1">
      <c r="F7141" s="32"/>
    </row>
    <row r="7142" spans="6:6" ht="12.75" customHeight="1">
      <c r="F7142" s="32"/>
    </row>
    <row r="7143" spans="6:6" ht="12.75" customHeight="1">
      <c r="F7143" s="32"/>
    </row>
    <row r="7144" spans="6:6" ht="12.75" customHeight="1">
      <c r="F7144" s="32"/>
    </row>
    <row r="7145" spans="6:6" ht="12.75" customHeight="1">
      <c r="F7145" s="32"/>
    </row>
    <row r="7146" spans="6:6" ht="12.75" customHeight="1">
      <c r="F7146" s="32"/>
    </row>
    <row r="7147" spans="6:6" ht="12.75" customHeight="1">
      <c r="F7147" s="32"/>
    </row>
    <row r="7148" spans="6:6" ht="12.75" customHeight="1">
      <c r="F7148" s="32"/>
    </row>
    <row r="7149" spans="6:6" ht="12.75" customHeight="1">
      <c r="F7149" s="32"/>
    </row>
    <row r="7150" spans="6:6" ht="12.75" customHeight="1">
      <c r="F7150" s="32"/>
    </row>
    <row r="7151" spans="6:6" ht="12.75" customHeight="1">
      <c r="F7151" s="32"/>
    </row>
    <row r="7152" spans="6:6" ht="12.75" customHeight="1">
      <c r="F7152" s="32"/>
    </row>
    <row r="7153" spans="6:6" ht="12.75" customHeight="1">
      <c r="F7153" s="32"/>
    </row>
    <row r="7154" spans="6:6" ht="12.75" customHeight="1">
      <c r="F7154" s="32"/>
    </row>
    <row r="7155" spans="6:6" ht="12.75" customHeight="1">
      <c r="F7155" s="32"/>
    </row>
    <row r="7156" spans="6:6" ht="12.75" customHeight="1">
      <c r="F7156" s="32"/>
    </row>
    <row r="7157" spans="6:6" ht="12.75" customHeight="1">
      <c r="F7157" s="32"/>
    </row>
    <row r="7158" spans="6:6" ht="12.75" customHeight="1">
      <c r="F7158" s="32"/>
    </row>
    <row r="7159" spans="6:6" ht="12.75" customHeight="1">
      <c r="F7159" s="32"/>
    </row>
    <row r="7160" spans="6:6" ht="12.75" customHeight="1">
      <c r="F7160" s="32"/>
    </row>
    <row r="7161" spans="6:6" ht="12.75" customHeight="1">
      <c r="F7161" s="32"/>
    </row>
    <row r="7162" spans="6:6" ht="12.75" customHeight="1">
      <c r="F7162" s="32"/>
    </row>
    <row r="7163" spans="6:6" ht="12.75" customHeight="1">
      <c r="F7163" s="32"/>
    </row>
    <row r="7164" spans="6:6" ht="12.75" customHeight="1">
      <c r="F7164" s="32"/>
    </row>
    <row r="7165" spans="6:6" ht="12.75" customHeight="1">
      <c r="F7165" s="32"/>
    </row>
    <row r="7166" spans="6:6" ht="12.75" customHeight="1">
      <c r="F7166" s="32"/>
    </row>
    <row r="7167" spans="6:6" ht="12.75" customHeight="1">
      <c r="F7167" s="32"/>
    </row>
    <row r="7168" spans="6:6" ht="12.75" customHeight="1">
      <c r="F7168" s="32"/>
    </row>
    <row r="7169" spans="6:6" ht="12.75" customHeight="1">
      <c r="F7169" s="32"/>
    </row>
    <row r="7170" spans="6:6" ht="12.75" customHeight="1">
      <c r="F7170" s="32"/>
    </row>
    <row r="7171" spans="6:6" ht="12.75" customHeight="1">
      <c r="F7171" s="32"/>
    </row>
    <row r="7172" spans="6:6" ht="12.75" customHeight="1">
      <c r="F7172" s="32"/>
    </row>
    <row r="7173" spans="6:6" ht="12.75" customHeight="1">
      <c r="F7173" s="32"/>
    </row>
    <row r="7174" spans="6:6" ht="12.75" customHeight="1">
      <c r="F7174" s="32"/>
    </row>
    <row r="7175" spans="6:6" ht="12.75" customHeight="1">
      <c r="F7175" s="32"/>
    </row>
    <row r="7176" spans="6:6" ht="12.75" customHeight="1">
      <c r="F7176" s="32"/>
    </row>
    <row r="7177" spans="6:6" ht="12.75" customHeight="1">
      <c r="F7177" s="32"/>
    </row>
    <row r="7178" spans="6:6" ht="12.75" customHeight="1">
      <c r="F7178" s="32"/>
    </row>
    <row r="7179" spans="6:6" ht="12.75" customHeight="1">
      <c r="F7179" s="32"/>
    </row>
    <row r="7180" spans="6:6" ht="12.75" customHeight="1">
      <c r="F7180" s="32"/>
    </row>
    <row r="7181" spans="6:6" ht="12.75" customHeight="1">
      <c r="F7181" s="32"/>
    </row>
    <row r="7182" spans="6:6" ht="12.75" customHeight="1">
      <c r="F7182" s="32"/>
    </row>
    <row r="7183" spans="6:6" ht="12.75" customHeight="1">
      <c r="F7183" s="32"/>
    </row>
    <row r="7184" spans="6:6" ht="12.75" customHeight="1">
      <c r="F7184" s="32"/>
    </row>
    <row r="7185" spans="6:6" ht="12.75" customHeight="1">
      <c r="F7185" s="32"/>
    </row>
    <row r="7186" spans="6:6" ht="12.75" customHeight="1">
      <c r="F7186" s="32"/>
    </row>
    <row r="7187" spans="6:6" ht="12.75" customHeight="1">
      <c r="F7187" s="32"/>
    </row>
    <row r="7188" spans="6:6" ht="12.75" customHeight="1">
      <c r="F7188" s="32"/>
    </row>
    <row r="7189" spans="6:6" ht="12.75" customHeight="1">
      <c r="F7189" s="32"/>
    </row>
    <row r="7190" spans="6:6" ht="12.75" customHeight="1">
      <c r="F7190" s="32"/>
    </row>
    <row r="7191" spans="6:6" ht="12.75" customHeight="1">
      <c r="F7191" s="32"/>
    </row>
    <row r="7192" spans="6:6" ht="12.75" customHeight="1">
      <c r="F7192" s="32"/>
    </row>
    <row r="7193" spans="6:6" ht="12.75" customHeight="1">
      <c r="F7193" s="32"/>
    </row>
    <row r="7194" spans="6:6" ht="12.75" customHeight="1">
      <c r="F7194" s="32"/>
    </row>
    <row r="7195" spans="6:6" ht="12.75" customHeight="1">
      <c r="F7195" s="32"/>
    </row>
    <row r="7196" spans="6:6" ht="12.75" customHeight="1">
      <c r="F7196" s="32"/>
    </row>
    <row r="7197" spans="6:6" ht="12.75" customHeight="1">
      <c r="F7197" s="32"/>
    </row>
    <row r="7198" spans="6:6" ht="12.75" customHeight="1">
      <c r="F7198" s="32"/>
    </row>
    <row r="7199" spans="6:6" ht="12.75" customHeight="1">
      <c r="F7199" s="32"/>
    </row>
    <row r="7200" spans="6:6" ht="12.75" customHeight="1">
      <c r="F7200" s="32"/>
    </row>
    <row r="7201" spans="6:6" ht="12.75" customHeight="1">
      <c r="F7201" s="32"/>
    </row>
    <row r="7202" spans="6:6" ht="12.75" customHeight="1">
      <c r="F7202" s="32"/>
    </row>
    <row r="7203" spans="6:6" ht="12.75" customHeight="1">
      <c r="F7203" s="32"/>
    </row>
    <row r="7204" spans="6:6" ht="12.75" customHeight="1">
      <c r="F7204" s="32"/>
    </row>
    <row r="7205" spans="6:6" ht="12.75" customHeight="1">
      <c r="F7205" s="32"/>
    </row>
    <row r="7206" spans="6:6" ht="12.75" customHeight="1">
      <c r="F7206" s="32"/>
    </row>
    <row r="7207" spans="6:6" ht="12.75" customHeight="1">
      <c r="F7207" s="32"/>
    </row>
    <row r="7208" spans="6:6" ht="12.75" customHeight="1">
      <c r="F7208" s="32"/>
    </row>
    <row r="7209" spans="6:6" ht="12.75" customHeight="1">
      <c r="F7209" s="32"/>
    </row>
    <row r="7210" spans="6:6" ht="12.75" customHeight="1">
      <c r="F7210" s="32"/>
    </row>
    <row r="7211" spans="6:6" ht="12.75" customHeight="1">
      <c r="F7211" s="32"/>
    </row>
    <row r="7212" spans="6:6" ht="12.75" customHeight="1">
      <c r="F7212" s="32"/>
    </row>
    <row r="7213" spans="6:6" ht="12.75" customHeight="1">
      <c r="F7213" s="32"/>
    </row>
    <row r="7214" spans="6:6" ht="12.75" customHeight="1">
      <c r="F7214" s="32"/>
    </row>
    <row r="7215" spans="6:6" ht="12.75" customHeight="1">
      <c r="F7215" s="32"/>
    </row>
    <row r="7216" spans="6:6" ht="12.75" customHeight="1">
      <c r="F7216" s="32"/>
    </row>
    <row r="7217" spans="6:6" ht="12.75" customHeight="1">
      <c r="F7217" s="32"/>
    </row>
    <row r="7218" spans="6:6" ht="12.75" customHeight="1">
      <c r="F7218" s="32"/>
    </row>
    <row r="7219" spans="6:6" ht="12.75" customHeight="1">
      <c r="F7219" s="32"/>
    </row>
    <row r="7220" spans="6:6" ht="12.75" customHeight="1">
      <c r="F7220" s="32"/>
    </row>
    <row r="7221" spans="6:6" ht="12.75" customHeight="1">
      <c r="F7221" s="32"/>
    </row>
    <row r="7222" spans="6:6" ht="12.75" customHeight="1">
      <c r="F7222" s="32"/>
    </row>
    <row r="7223" spans="6:6" ht="12.75" customHeight="1">
      <c r="F7223" s="32"/>
    </row>
    <row r="7224" spans="6:6" ht="12.75" customHeight="1">
      <c r="F7224" s="32"/>
    </row>
    <row r="7225" spans="6:6" ht="12.75" customHeight="1">
      <c r="F7225" s="32"/>
    </row>
    <row r="7226" spans="6:6" ht="12.75" customHeight="1">
      <c r="F7226" s="32"/>
    </row>
    <row r="7227" spans="6:6" ht="12.75" customHeight="1">
      <c r="F7227" s="32"/>
    </row>
    <row r="7228" spans="6:6" ht="12.75" customHeight="1">
      <c r="F7228" s="32"/>
    </row>
    <row r="7229" spans="6:6" ht="12.75" customHeight="1">
      <c r="F7229" s="32"/>
    </row>
    <row r="7230" spans="6:6" ht="12.75" customHeight="1">
      <c r="F7230" s="32"/>
    </row>
    <row r="7231" spans="6:6" ht="12.75" customHeight="1">
      <c r="F7231" s="32"/>
    </row>
    <row r="7232" spans="6:6" ht="12.75" customHeight="1">
      <c r="F7232" s="32"/>
    </row>
    <row r="7233" spans="6:6" ht="12.75" customHeight="1">
      <c r="F7233" s="32"/>
    </row>
    <row r="7234" spans="6:6" ht="12.75" customHeight="1">
      <c r="F7234" s="32"/>
    </row>
    <row r="7235" spans="6:6" ht="12.75" customHeight="1">
      <c r="F7235" s="32"/>
    </row>
    <row r="7236" spans="6:6" ht="12.75" customHeight="1">
      <c r="F7236" s="32"/>
    </row>
    <row r="7237" spans="6:6" ht="12.75" customHeight="1">
      <c r="F7237" s="32"/>
    </row>
    <row r="7238" spans="6:6" ht="12.75" customHeight="1">
      <c r="F7238" s="32"/>
    </row>
    <row r="7239" spans="6:6" ht="12.75" customHeight="1">
      <c r="F7239" s="32"/>
    </row>
    <row r="7240" spans="6:6" ht="12.75" customHeight="1">
      <c r="F7240" s="32"/>
    </row>
    <row r="7241" spans="6:6" ht="12.75" customHeight="1">
      <c r="F7241" s="32"/>
    </row>
    <row r="7242" spans="6:6" ht="12.75" customHeight="1">
      <c r="F7242" s="32"/>
    </row>
    <row r="7243" spans="6:6" ht="12.75" customHeight="1">
      <c r="F7243" s="32"/>
    </row>
    <row r="7244" spans="6:6" ht="12.75" customHeight="1">
      <c r="F7244" s="32"/>
    </row>
    <row r="7245" spans="6:6" ht="12.75" customHeight="1">
      <c r="F7245" s="32"/>
    </row>
    <row r="7246" spans="6:6" ht="12.75" customHeight="1">
      <c r="F7246" s="32"/>
    </row>
    <row r="7247" spans="6:6" ht="12.75" customHeight="1">
      <c r="F7247" s="32"/>
    </row>
    <row r="7248" spans="6:6" ht="12.75" customHeight="1">
      <c r="F7248" s="32"/>
    </row>
    <row r="7249" spans="6:6" ht="12.75" customHeight="1">
      <c r="F7249" s="32"/>
    </row>
    <row r="7250" spans="6:6" ht="12.75" customHeight="1">
      <c r="F7250" s="32"/>
    </row>
    <row r="7251" spans="6:6" ht="12.75" customHeight="1">
      <c r="F7251" s="32"/>
    </row>
    <row r="7252" spans="6:6" ht="12.75" customHeight="1">
      <c r="F7252" s="32"/>
    </row>
    <row r="7253" spans="6:6" ht="12.75" customHeight="1">
      <c r="F7253" s="32"/>
    </row>
    <row r="7254" spans="6:6" ht="12.75" customHeight="1">
      <c r="F7254" s="32"/>
    </row>
    <row r="7255" spans="6:6" ht="12.75" customHeight="1">
      <c r="F7255" s="32"/>
    </row>
    <row r="7256" spans="6:6" ht="12.75" customHeight="1">
      <c r="F7256" s="32"/>
    </row>
    <row r="7257" spans="6:6" ht="12.75" customHeight="1">
      <c r="F7257" s="32"/>
    </row>
    <row r="7258" spans="6:6" ht="12.75" customHeight="1">
      <c r="F7258" s="32"/>
    </row>
    <row r="7259" spans="6:6" ht="12.75" customHeight="1">
      <c r="F7259" s="32"/>
    </row>
    <row r="7260" spans="6:6" ht="12.75" customHeight="1">
      <c r="F7260" s="32"/>
    </row>
    <row r="7261" spans="6:6" ht="12.75" customHeight="1">
      <c r="F7261" s="32"/>
    </row>
    <row r="7262" spans="6:6" ht="12.75" customHeight="1">
      <c r="F7262" s="32"/>
    </row>
    <row r="7263" spans="6:6" ht="12.75" customHeight="1">
      <c r="F7263" s="32"/>
    </row>
    <row r="7264" spans="6:6" ht="12.75" customHeight="1">
      <c r="F7264" s="32"/>
    </row>
    <row r="7265" spans="6:6" ht="12.75" customHeight="1">
      <c r="F7265" s="32"/>
    </row>
    <row r="7266" spans="6:6" ht="12.75" customHeight="1">
      <c r="F7266" s="32"/>
    </row>
    <row r="7267" spans="6:6" ht="12.75" customHeight="1">
      <c r="F7267" s="32"/>
    </row>
    <row r="7268" spans="6:6" ht="12.75" customHeight="1">
      <c r="F7268" s="32"/>
    </row>
    <row r="7269" spans="6:6" ht="12.75" customHeight="1">
      <c r="F7269" s="32"/>
    </row>
    <row r="7270" spans="6:6" ht="12.75" customHeight="1">
      <c r="F7270" s="32"/>
    </row>
    <row r="7271" spans="6:6" ht="12.75" customHeight="1">
      <c r="F7271" s="32"/>
    </row>
    <row r="7272" spans="6:6" ht="12.75" customHeight="1">
      <c r="F7272" s="32"/>
    </row>
    <row r="7273" spans="6:6" ht="12.75" customHeight="1">
      <c r="F7273" s="32"/>
    </row>
    <row r="7274" spans="6:6" ht="12.75" customHeight="1">
      <c r="F7274" s="32"/>
    </row>
    <row r="7275" spans="6:6" ht="12.75" customHeight="1">
      <c r="F7275" s="32"/>
    </row>
    <row r="7276" spans="6:6" ht="12.75" customHeight="1">
      <c r="F7276" s="32"/>
    </row>
    <row r="7277" spans="6:6" ht="12.75" customHeight="1">
      <c r="F7277" s="32"/>
    </row>
    <row r="7278" spans="6:6" ht="12.75" customHeight="1">
      <c r="F7278" s="32"/>
    </row>
    <row r="7279" spans="6:6" ht="12.75" customHeight="1">
      <c r="F7279" s="32"/>
    </row>
    <row r="7280" spans="6:6" ht="12.75" customHeight="1">
      <c r="F7280" s="32"/>
    </row>
    <row r="7281" spans="6:6" ht="12.75" customHeight="1">
      <c r="F7281" s="32"/>
    </row>
    <row r="7282" spans="6:6" ht="12.75" customHeight="1">
      <c r="F7282" s="32"/>
    </row>
    <row r="7283" spans="6:6" ht="12.75" customHeight="1">
      <c r="F7283" s="32"/>
    </row>
    <row r="7284" spans="6:6" ht="12.75" customHeight="1">
      <c r="F7284" s="32"/>
    </row>
    <row r="7285" spans="6:6" ht="12.75" customHeight="1">
      <c r="F7285" s="32"/>
    </row>
    <row r="7286" spans="6:6" ht="12.75" customHeight="1">
      <c r="F7286" s="32"/>
    </row>
    <row r="7287" spans="6:6" ht="12.75" customHeight="1">
      <c r="F7287" s="32"/>
    </row>
    <row r="7288" spans="6:6" ht="12.75" customHeight="1">
      <c r="F7288" s="32"/>
    </row>
    <row r="7289" spans="6:6" ht="12.75" customHeight="1">
      <c r="F7289" s="32"/>
    </row>
    <row r="7290" spans="6:6" ht="12.75" customHeight="1">
      <c r="F7290" s="32"/>
    </row>
    <row r="7291" spans="6:6" ht="12.75" customHeight="1">
      <c r="F7291" s="32"/>
    </row>
    <row r="7292" spans="6:6" ht="12.75" customHeight="1">
      <c r="F7292" s="32"/>
    </row>
    <row r="7293" spans="6:6" ht="12.75" customHeight="1">
      <c r="F7293" s="32"/>
    </row>
    <row r="7294" spans="6:6" ht="12.75" customHeight="1">
      <c r="F7294" s="32"/>
    </row>
    <row r="7295" spans="6:6" ht="12.75" customHeight="1">
      <c r="F7295" s="32"/>
    </row>
    <row r="7296" spans="6:6" ht="12.75" customHeight="1">
      <c r="F7296" s="32"/>
    </row>
    <row r="7297" spans="6:6" ht="12.75" customHeight="1">
      <c r="F7297" s="32"/>
    </row>
    <row r="7298" spans="6:6" ht="12.75" customHeight="1">
      <c r="F7298" s="32"/>
    </row>
    <row r="7299" spans="6:6" ht="12.75" customHeight="1">
      <c r="F7299" s="32"/>
    </row>
    <row r="7300" spans="6:6" ht="12.75" customHeight="1">
      <c r="F7300" s="32"/>
    </row>
    <row r="7301" spans="6:6" ht="12.75" customHeight="1">
      <c r="F7301" s="32"/>
    </row>
    <row r="7302" spans="6:6" ht="12.75" customHeight="1">
      <c r="F7302" s="32"/>
    </row>
    <row r="7303" spans="6:6" ht="12.75" customHeight="1">
      <c r="F7303" s="32"/>
    </row>
    <row r="7304" spans="6:6" ht="12.75" customHeight="1">
      <c r="F7304" s="32"/>
    </row>
    <row r="7305" spans="6:6" ht="12.75" customHeight="1">
      <c r="F7305" s="32"/>
    </row>
    <row r="7306" spans="6:6" ht="12.75" customHeight="1">
      <c r="F7306" s="32"/>
    </row>
    <row r="7307" spans="6:6" ht="12.75" customHeight="1">
      <c r="F7307" s="32"/>
    </row>
    <row r="7308" spans="6:6" ht="12.75" customHeight="1">
      <c r="F7308" s="32"/>
    </row>
    <row r="7309" spans="6:6" ht="12.75" customHeight="1">
      <c r="F7309" s="32"/>
    </row>
    <row r="7310" spans="6:6" ht="12.75" customHeight="1">
      <c r="F7310" s="32"/>
    </row>
    <row r="7311" spans="6:6" ht="12.75" customHeight="1">
      <c r="F7311" s="32"/>
    </row>
    <row r="7312" spans="6:6" ht="12.75" customHeight="1">
      <c r="F7312" s="32"/>
    </row>
    <row r="7313" spans="6:6" ht="12.75" customHeight="1">
      <c r="F7313" s="32"/>
    </row>
    <row r="7314" spans="6:6" ht="12.75" customHeight="1">
      <c r="F7314" s="32"/>
    </row>
    <row r="7315" spans="6:6" ht="12.75" customHeight="1">
      <c r="F7315" s="32"/>
    </row>
    <row r="7316" spans="6:6" ht="12.75" customHeight="1">
      <c r="F7316" s="32"/>
    </row>
    <row r="7317" spans="6:6" ht="12.75" customHeight="1">
      <c r="F7317" s="32"/>
    </row>
    <row r="7318" spans="6:6" ht="12.75" customHeight="1">
      <c r="F7318" s="32"/>
    </row>
    <row r="7319" spans="6:6" ht="12.75" customHeight="1">
      <c r="F7319" s="32"/>
    </row>
    <row r="7320" spans="6:6" ht="12.75" customHeight="1">
      <c r="F7320" s="32"/>
    </row>
    <row r="7321" spans="6:6" ht="12.75" customHeight="1">
      <c r="F7321" s="32"/>
    </row>
    <row r="7322" spans="6:6" ht="12.75" customHeight="1">
      <c r="F7322" s="32"/>
    </row>
    <row r="7323" spans="6:6" ht="12.75" customHeight="1">
      <c r="F7323" s="32"/>
    </row>
    <row r="7324" spans="6:6" ht="12.75" customHeight="1">
      <c r="F7324" s="32"/>
    </row>
    <row r="7325" spans="6:6" ht="12.75" customHeight="1">
      <c r="F7325" s="32"/>
    </row>
    <row r="7326" spans="6:6" ht="12.75" customHeight="1">
      <c r="F7326" s="32"/>
    </row>
    <row r="7327" spans="6:6" ht="12.75" customHeight="1">
      <c r="F7327" s="32"/>
    </row>
    <row r="7328" spans="6:6" ht="12.75" customHeight="1">
      <c r="F7328" s="32"/>
    </row>
    <row r="7329" spans="6:6" ht="12.75" customHeight="1">
      <c r="F7329" s="32"/>
    </row>
    <row r="7330" spans="6:6" ht="12.75" customHeight="1">
      <c r="F7330" s="32"/>
    </row>
    <row r="7331" spans="6:6" ht="12.75" customHeight="1">
      <c r="F7331" s="32"/>
    </row>
    <row r="7332" spans="6:6" ht="12.75" customHeight="1">
      <c r="F7332" s="32"/>
    </row>
    <row r="7333" spans="6:6" ht="12.75" customHeight="1">
      <c r="F7333" s="32"/>
    </row>
    <row r="7334" spans="6:6" ht="12.75" customHeight="1">
      <c r="F7334" s="32"/>
    </row>
    <row r="7335" spans="6:6" ht="12.75" customHeight="1">
      <c r="F7335" s="32"/>
    </row>
    <row r="7336" spans="6:6" ht="12.75" customHeight="1">
      <c r="F7336" s="32"/>
    </row>
    <row r="7337" spans="6:6" ht="12.75" customHeight="1">
      <c r="F7337" s="32"/>
    </row>
    <row r="7338" spans="6:6" ht="12.75" customHeight="1">
      <c r="F7338" s="32"/>
    </row>
    <row r="7339" spans="6:6" ht="12.75" customHeight="1">
      <c r="F7339" s="32"/>
    </row>
    <row r="7340" spans="6:6" ht="12.75" customHeight="1">
      <c r="F7340" s="32"/>
    </row>
    <row r="7341" spans="6:6" ht="12.75" customHeight="1">
      <c r="F7341" s="32"/>
    </row>
    <row r="7342" spans="6:6" ht="12.75" customHeight="1">
      <c r="F7342" s="32"/>
    </row>
    <row r="7343" spans="6:6" ht="12.75" customHeight="1">
      <c r="F7343" s="32"/>
    </row>
    <row r="7344" spans="6:6" ht="12.75" customHeight="1">
      <c r="F7344" s="32"/>
    </row>
    <row r="7345" spans="6:6" ht="12.75" customHeight="1">
      <c r="F7345" s="32"/>
    </row>
    <row r="7346" spans="6:6" ht="12.75" customHeight="1">
      <c r="F7346" s="32"/>
    </row>
    <row r="7347" spans="6:6" ht="12.75" customHeight="1">
      <c r="F7347" s="32"/>
    </row>
    <row r="7348" spans="6:6" ht="12.75" customHeight="1">
      <c r="F7348" s="32"/>
    </row>
    <row r="7349" spans="6:6" ht="12.75" customHeight="1">
      <c r="F7349" s="32"/>
    </row>
    <row r="7350" spans="6:6" ht="12.75" customHeight="1">
      <c r="F7350" s="32"/>
    </row>
    <row r="7351" spans="6:6" ht="12.75" customHeight="1">
      <c r="F7351" s="32"/>
    </row>
    <row r="7352" spans="6:6" ht="12.75" customHeight="1">
      <c r="F7352" s="32"/>
    </row>
    <row r="7353" spans="6:6" ht="12.75" customHeight="1">
      <c r="F7353" s="32"/>
    </row>
    <row r="7354" spans="6:6" ht="12.75" customHeight="1">
      <c r="F7354" s="32"/>
    </row>
    <row r="7355" spans="6:6" ht="12.75" customHeight="1">
      <c r="F7355" s="32"/>
    </row>
    <row r="7356" spans="6:6" ht="12.75" customHeight="1">
      <c r="F7356" s="32"/>
    </row>
    <row r="7357" spans="6:6" ht="12.75" customHeight="1">
      <c r="F7357" s="32"/>
    </row>
    <row r="7358" spans="6:6" ht="12.75" customHeight="1">
      <c r="F7358" s="32"/>
    </row>
    <row r="7359" spans="6:6" ht="12.75" customHeight="1">
      <c r="F7359" s="32"/>
    </row>
    <row r="7360" spans="6:6" ht="12.75" customHeight="1">
      <c r="F7360" s="32"/>
    </row>
    <row r="7361" spans="6:6" ht="12.75" customHeight="1">
      <c r="F7361" s="32"/>
    </row>
    <row r="7362" spans="6:6" ht="12.75" customHeight="1">
      <c r="F7362" s="32"/>
    </row>
    <row r="7363" spans="6:6" ht="12.75" customHeight="1">
      <c r="F7363" s="32"/>
    </row>
    <row r="7364" spans="6:6" ht="12.75" customHeight="1">
      <c r="F7364" s="32"/>
    </row>
    <row r="7365" spans="6:6" ht="12.75" customHeight="1">
      <c r="F7365" s="32"/>
    </row>
    <row r="7366" spans="6:6" ht="12.75" customHeight="1">
      <c r="F7366" s="32"/>
    </row>
    <row r="7367" spans="6:6" ht="12.75" customHeight="1">
      <c r="F7367" s="32"/>
    </row>
    <row r="7368" spans="6:6" ht="12.75" customHeight="1">
      <c r="F7368" s="32"/>
    </row>
    <row r="7369" spans="6:6" ht="12.75" customHeight="1">
      <c r="F7369" s="32"/>
    </row>
    <row r="7370" spans="6:6" ht="12.75" customHeight="1">
      <c r="F7370" s="32"/>
    </row>
    <row r="7371" spans="6:6" ht="12.75" customHeight="1">
      <c r="F7371" s="32"/>
    </row>
    <row r="7372" spans="6:6" ht="12.75" customHeight="1">
      <c r="F7372" s="32"/>
    </row>
    <row r="7373" spans="6:6" ht="12.75" customHeight="1">
      <c r="F7373" s="32"/>
    </row>
    <row r="7374" spans="6:6" ht="12.75" customHeight="1">
      <c r="F7374" s="32"/>
    </row>
    <row r="7375" spans="6:6" ht="12.75" customHeight="1">
      <c r="F7375" s="32"/>
    </row>
    <row r="7376" spans="6:6" ht="12.75" customHeight="1">
      <c r="F7376" s="32"/>
    </row>
    <row r="7377" spans="6:6" ht="12.75" customHeight="1">
      <c r="F7377" s="32"/>
    </row>
    <row r="7378" spans="6:6" ht="12.75" customHeight="1">
      <c r="F7378" s="32"/>
    </row>
    <row r="7379" spans="6:6" ht="12.75" customHeight="1">
      <c r="F7379" s="32"/>
    </row>
    <row r="7380" spans="6:6" ht="12.75" customHeight="1">
      <c r="F7380" s="32"/>
    </row>
    <row r="7381" spans="6:6" ht="12.75" customHeight="1">
      <c r="F7381" s="32"/>
    </row>
    <row r="7382" spans="6:6" ht="12.75" customHeight="1">
      <c r="F7382" s="32"/>
    </row>
    <row r="7383" spans="6:6" ht="12.75" customHeight="1">
      <c r="F7383" s="32"/>
    </row>
    <row r="7384" spans="6:6" ht="12.75" customHeight="1">
      <c r="F7384" s="32"/>
    </row>
    <row r="7385" spans="6:6" ht="12.75" customHeight="1">
      <c r="F7385" s="32"/>
    </row>
    <row r="7386" spans="6:6" ht="12.75" customHeight="1">
      <c r="F7386" s="32"/>
    </row>
    <row r="7387" spans="6:6" ht="12.75" customHeight="1">
      <c r="F7387" s="32"/>
    </row>
    <row r="7388" spans="6:6" ht="12.75" customHeight="1">
      <c r="F7388" s="32"/>
    </row>
    <row r="7389" spans="6:6" ht="12.75" customHeight="1">
      <c r="F7389" s="32"/>
    </row>
    <row r="7390" spans="6:6" ht="12.75" customHeight="1">
      <c r="F7390" s="32"/>
    </row>
    <row r="7391" spans="6:6" ht="12.75" customHeight="1">
      <c r="F7391" s="32"/>
    </row>
    <row r="7392" spans="6:6" ht="12.75" customHeight="1">
      <c r="F7392" s="32"/>
    </row>
    <row r="7393" spans="6:6" ht="12.75" customHeight="1">
      <c r="F7393" s="32"/>
    </row>
    <row r="7394" spans="6:6" ht="12.75" customHeight="1">
      <c r="F7394" s="32"/>
    </row>
    <row r="7395" spans="6:6" ht="12.75" customHeight="1">
      <c r="F7395" s="32"/>
    </row>
    <row r="7396" spans="6:6" ht="12.75" customHeight="1">
      <c r="F7396" s="32"/>
    </row>
    <row r="7397" spans="6:6" ht="12.75" customHeight="1">
      <c r="F7397" s="32"/>
    </row>
    <row r="7398" spans="6:6" ht="12.75" customHeight="1">
      <c r="F7398" s="32"/>
    </row>
    <row r="7399" spans="6:6" ht="12.75" customHeight="1">
      <c r="F7399" s="32"/>
    </row>
    <row r="7400" spans="6:6" ht="12.75" customHeight="1">
      <c r="F7400" s="32"/>
    </row>
    <row r="7401" spans="6:6" ht="12.75" customHeight="1">
      <c r="F7401" s="32"/>
    </row>
    <row r="7402" spans="6:6" ht="12.75" customHeight="1">
      <c r="F7402" s="32"/>
    </row>
    <row r="7403" spans="6:6" ht="12.75" customHeight="1">
      <c r="F7403" s="32"/>
    </row>
    <row r="7404" spans="6:6" ht="12.75" customHeight="1">
      <c r="F7404" s="32"/>
    </row>
    <row r="7405" spans="6:6" ht="12.75" customHeight="1">
      <c r="F7405" s="32"/>
    </row>
    <row r="7406" spans="6:6" ht="12.75" customHeight="1">
      <c r="F7406" s="32"/>
    </row>
    <row r="7407" spans="6:6" ht="12.75" customHeight="1">
      <c r="F7407" s="32"/>
    </row>
    <row r="7408" spans="6:6" ht="12.75" customHeight="1">
      <c r="F7408" s="32"/>
    </row>
    <row r="7409" spans="6:6" ht="12.75" customHeight="1">
      <c r="F7409" s="32"/>
    </row>
    <row r="7410" spans="6:6" ht="12.75" customHeight="1">
      <c r="F7410" s="32"/>
    </row>
    <row r="7411" spans="6:6" ht="12.75" customHeight="1">
      <c r="F7411" s="32"/>
    </row>
    <row r="7412" spans="6:6" ht="12.75" customHeight="1">
      <c r="F7412" s="32"/>
    </row>
    <row r="7413" spans="6:6" ht="12.75" customHeight="1">
      <c r="F7413" s="32"/>
    </row>
    <row r="7414" spans="6:6" ht="12.75" customHeight="1">
      <c r="F7414" s="32"/>
    </row>
    <row r="7415" spans="6:6" ht="12.75" customHeight="1">
      <c r="F7415" s="32"/>
    </row>
    <row r="7416" spans="6:6" ht="12.75" customHeight="1">
      <c r="F7416" s="32"/>
    </row>
    <row r="7417" spans="6:6" ht="12.75" customHeight="1">
      <c r="F7417" s="32"/>
    </row>
    <row r="7418" spans="6:6" ht="12.75" customHeight="1">
      <c r="F7418" s="32"/>
    </row>
    <row r="7419" spans="6:6" ht="12.75" customHeight="1">
      <c r="F7419" s="32"/>
    </row>
    <row r="7420" spans="6:6" ht="12.75" customHeight="1">
      <c r="F7420" s="32"/>
    </row>
    <row r="7421" spans="6:6" ht="12.75" customHeight="1">
      <c r="F7421" s="32"/>
    </row>
    <row r="7422" spans="6:6" ht="12.75" customHeight="1">
      <c r="F7422" s="32"/>
    </row>
    <row r="7423" spans="6:6" ht="12.75" customHeight="1">
      <c r="F7423" s="32"/>
    </row>
    <row r="7424" spans="6:6" ht="12.75" customHeight="1">
      <c r="F7424" s="32"/>
    </row>
    <row r="7425" spans="6:6" ht="12.75" customHeight="1">
      <c r="F7425" s="32"/>
    </row>
    <row r="7426" spans="6:6" ht="12.75" customHeight="1">
      <c r="F7426" s="32"/>
    </row>
    <row r="7427" spans="6:6" ht="12.75" customHeight="1">
      <c r="F7427" s="32"/>
    </row>
    <row r="7428" spans="6:6" ht="12.75" customHeight="1">
      <c r="F7428" s="32"/>
    </row>
    <row r="7429" spans="6:6" ht="12.75" customHeight="1">
      <c r="F7429" s="32"/>
    </row>
    <row r="7430" spans="6:6" ht="12.75" customHeight="1">
      <c r="F7430" s="32"/>
    </row>
    <row r="7431" spans="6:6" ht="12.75" customHeight="1">
      <c r="F7431" s="32"/>
    </row>
    <row r="7432" spans="6:6" ht="12.75" customHeight="1">
      <c r="F7432" s="32"/>
    </row>
    <row r="7433" spans="6:6" ht="12.75" customHeight="1">
      <c r="F7433" s="32"/>
    </row>
    <row r="7434" spans="6:6" ht="12.75" customHeight="1">
      <c r="F7434" s="32"/>
    </row>
    <row r="7435" spans="6:6" ht="12.75" customHeight="1">
      <c r="F7435" s="32"/>
    </row>
    <row r="7436" spans="6:6" ht="12.75" customHeight="1">
      <c r="F7436" s="32"/>
    </row>
    <row r="7437" spans="6:6" ht="12.75" customHeight="1">
      <c r="F7437" s="32"/>
    </row>
    <row r="7438" spans="6:6" ht="12.75" customHeight="1">
      <c r="F7438" s="32"/>
    </row>
    <row r="7439" spans="6:6" ht="12.75" customHeight="1">
      <c r="F7439" s="32"/>
    </row>
    <row r="7440" spans="6:6" ht="12.75" customHeight="1">
      <c r="F7440" s="32"/>
    </row>
    <row r="7441" spans="6:6" ht="12.75" customHeight="1">
      <c r="F7441" s="32"/>
    </row>
    <row r="7442" spans="6:6" ht="12.75" customHeight="1">
      <c r="F7442" s="32"/>
    </row>
    <row r="7443" spans="6:6" ht="12.75" customHeight="1">
      <c r="F7443" s="32"/>
    </row>
    <row r="7444" spans="6:6" ht="12.75" customHeight="1">
      <c r="F7444" s="32"/>
    </row>
    <row r="7445" spans="6:6" ht="12.75" customHeight="1">
      <c r="F7445" s="32"/>
    </row>
    <row r="7446" spans="6:6" ht="12.75" customHeight="1">
      <c r="F7446" s="32"/>
    </row>
    <row r="7447" spans="6:6" ht="12.75" customHeight="1">
      <c r="F7447" s="32"/>
    </row>
    <row r="7448" spans="6:6" ht="12.75" customHeight="1">
      <c r="F7448" s="32"/>
    </row>
    <row r="7449" spans="6:6" ht="12.75" customHeight="1">
      <c r="F7449" s="32"/>
    </row>
    <row r="7450" spans="6:6" ht="12.75" customHeight="1">
      <c r="F7450" s="32"/>
    </row>
    <row r="7451" spans="6:6" ht="12.75" customHeight="1">
      <c r="F7451" s="32"/>
    </row>
    <row r="7452" spans="6:6" ht="12.75" customHeight="1">
      <c r="F7452" s="32"/>
    </row>
    <row r="7453" spans="6:6" ht="12.75" customHeight="1">
      <c r="F7453" s="32"/>
    </row>
    <row r="7454" spans="6:6" ht="12.75" customHeight="1">
      <c r="F7454" s="32"/>
    </row>
    <row r="7455" spans="6:6" ht="12.75" customHeight="1">
      <c r="F7455" s="32"/>
    </row>
    <row r="7456" spans="6:6" ht="12.75" customHeight="1">
      <c r="F7456" s="32"/>
    </row>
    <row r="7457" spans="6:6" ht="12.75" customHeight="1">
      <c r="F7457" s="32"/>
    </row>
    <row r="7458" spans="6:6" ht="12.75" customHeight="1">
      <c r="F7458" s="32"/>
    </row>
    <row r="7459" spans="6:6" ht="12.75" customHeight="1">
      <c r="F7459" s="32"/>
    </row>
    <row r="7460" spans="6:6" ht="12.75" customHeight="1">
      <c r="F7460" s="32"/>
    </row>
    <row r="7461" spans="6:6" ht="12.75" customHeight="1">
      <c r="F7461" s="32"/>
    </row>
    <row r="7462" spans="6:6" ht="12.75" customHeight="1">
      <c r="F7462" s="32"/>
    </row>
    <row r="7463" spans="6:6" ht="12.75" customHeight="1">
      <c r="F7463" s="32"/>
    </row>
    <row r="7464" spans="6:6" ht="12.75" customHeight="1">
      <c r="F7464" s="32"/>
    </row>
    <row r="7465" spans="6:6" ht="12.75" customHeight="1">
      <c r="F7465" s="32"/>
    </row>
    <row r="7466" spans="6:6" ht="12.75" customHeight="1">
      <c r="F7466" s="32"/>
    </row>
    <row r="7467" spans="6:6" ht="12.75" customHeight="1">
      <c r="F7467" s="32"/>
    </row>
    <row r="7468" spans="6:6" ht="12.75" customHeight="1">
      <c r="F7468" s="32"/>
    </row>
    <row r="7469" spans="6:6" ht="12.75" customHeight="1">
      <c r="F7469" s="32"/>
    </row>
    <row r="7470" spans="6:6" ht="12.75" customHeight="1">
      <c r="F7470" s="32"/>
    </row>
    <row r="7471" spans="6:6" ht="12.75" customHeight="1">
      <c r="F7471" s="32"/>
    </row>
    <row r="7472" spans="6:6" ht="12.75" customHeight="1">
      <c r="F7472" s="32"/>
    </row>
    <row r="7473" spans="6:6" ht="12.75" customHeight="1">
      <c r="F7473" s="32"/>
    </row>
    <row r="7474" spans="6:6" ht="12.75" customHeight="1">
      <c r="F7474" s="32"/>
    </row>
    <row r="7475" spans="6:6" ht="12.75" customHeight="1">
      <c r="F7475" s="32"/>
    </row>
    <row r="7476" spans="6:6" ht="12.75" customHeight="1">
      <c r="F7476" s="32"/>
    </row>
    <row r="7477" spans="6:6" ht="12.75" customHeight="1">
      <c r="F7477" s="32"/>
    </row>
    <row r="7478" spans="6:6" ht="12.75" customHeight="1">
      <c r="F7478" s="32"/>
    </row>
    <row r="7479" spans="6:6" ht="12.75" customHeight="1">
      <c r="F7479" s="32"/>
    </row>
    <row r="7480" spans="6:6" ht="12.75" customHeight="1">
      <c r="F7480" s="32"/>
    </row>
    <row r="7481" spans="6:6" ht="12.75" customHeight="1">
      <c r="F7481" s="32"/>
    </row>
    <row r="7482" spans="6:6" ht="12.75" customHeight="1">
      <c r="F7482" s="32"/>
    </row>
    <row r="7483" spans="6:6" ht="12.75" customHeight="1">
      <c r="F7483" s="32"/>
    </row>
    <row r="7484" spans="6:6" ht="12.75" customHeight="1">
      <c r="F7484" s="32"/>
    </row>
    <row r="7485" spans="6:6" ht="12.75" customHeight="1">
      <c r="F7485" s="32"/>
    </row>
    <row r="7486" spans="6:6" ht="12.75" customHeight="1">
      <c r="F7486" s="32"/>
    </row>
    <row r="7487" spans="6:6" ht="12.75" customHeight="1">
      <c r="F7487" s="32"/>
    </row>
    <row r="7488" spans="6:6" ht="12.75" customHeight="1">
      <c r="F7488" s="32"/>
    </row>
    <row r="7489" spans="6:6" ht="12.75" customHeight="1">
      <c r="F7489" s="32"/>
    </row>
    <row r="7490" spans="6:6" ht="12.75" customHeight="1">
      <c r="F7490" s="32"/>
    </row>
    <row r="7491" spans="6:6" ht="12.75" customHeight="1">
      <c r="F7491" s="32"/>
    </row>
    <row r="7492" spans="6:6" ht="12.75" customHeight="1">
      <c r="F7492" s="32"/>
    </row>
    <row r="7493" spans="6:6" ht="12.75" customHeight="1">
      <c r="F7493" s="32"/>
    </row>
    <row r="7494" spans="6:6" ht="12.75" customHeight="1">
      <c r="F7494" s="32"/>
    </row>
    <row r="7495" spans="6:6" ht="12.75" customHeight="1">
      <c r="F7495" s="32"/>
    </row>
    <row r="7496" spans="6:6" ht="12.75" customHeight="1">
      <c r="F7496" s="32"/>
    </row>
    <row r="7497" spans="6:6" ht="12.75" customHeight="1">
      <c r="F7497" s="32"/>
    </row>
    <row r="7498" spans="6:6" ht="12.75" customHeight="1">
      <c r="F7498" s="32"/>
    </row>
    <row r="7499" spans="6:6" ht="12.75" customHeight="1">
      <c r="F7499" s="32"/>
    </row>
    <row r="7500" spans="6:6" ht="12.75" customHeight="1">
      <c r="F7500" s="32"/>
    </row>
    <row r="7501" spans="6:6" ht="12.75" customHeight="1">
      <c r="F7501" s="32"/>
    </row>
    <row r="7502" spans="6:6" ht="12.75" customHeight="1">
      <c r="F7502" s="32"/>
    </row>
    <row r="7503" spans="6:6" ht="12.75" customHeight="1">
      <c r="F7503" s="32"/>
    </row>
    <row r="7504" spans="6:6" ht="12.75" customHeight="1">
      <c r="F7504" s="32"/>
    </row>
    <row r="7505" spans="6:6" ht="12.75" customHeight="1">
      <c r="F7505" s="32"/>
    </row>
    <row r="7506" spans="6:6" ht="12.75" customHeight="1">
      <c r="F7506" s="32"/>
    </row>
    <row r="7507" spans="6:6" ht="12.75" customHeight="1">
      <c r="F7507" s="32"/>
    </row>
    <row r="7508" spans="6:6" ht="12.75" customHeight="1">
      <c r="F7508" s="32"/>
    </row>
    <row r="7509" spans="6:6" ht="12.75" customHeight="1">
      <c r="F7509" s="32"/>
    </row>
    <row r="7510" spans="6:6" ht="12.75" customHeight="1">
      <c r="F7510" s="32"/>
    </row>
    <row r="7511" spans="6:6" ht="12.75" customHeight="1">
      <c r="F7511" s="32"/>
    </row>
    <row r="7512" spans="6:6" ht="12.75" customHeight="1">
      <c r="F7512" s="32"/>
    </row>
    <row r="7513" spans="6:6" ht="12.75" customHeight="1">
      <c r="F7513" s="32"/>
    </row>
    <row r="7514" spans="6:6" ht="12.75" customHeight="1">
      <c r="F7514" s="32"/>
    </row>
    <row r="7515" spans="6:6" ht="12.75" customHeight="1">
      <c r="F7515" s="32"/>
    </row>
    <row r="7516" spans="6:6" ht="12.75" customHeight="1">
      <c r="F7516" s="32"/>
    </row>
    <row r="7517" spans="6:6" ht="12.75" customHeight="1">
      <c r="F7517" s="32"/>
    </row>
    <row r="7518" spans="6:6" ht="12.75" customHeight="1">
      <c r="F7518" s="32"/>
    </row>
    <row r="7519" spans="6:6" ht="12.75" customHeight="1">
      <c r="F7519" s="32"/>
    </row>
    <row r="7520" spans="6:6" ht="12.75" customHeight="1">
      <c r="F7520" s="32"/>
    </row>
    <row r="7521" spans="6:6" ht="12.75" customHeight="1">
      <c r="F7521" s="32"/>
    </row>
    <row r="7522" spans="6:6" ht="12.75" customHeight="1">
      <c r="F7522" s="32"/>
    </row>
    <row r="7523" spans="6:6" ht="12.75" customHeight="1">
      <c r="F7523" s="32"/>
    </row>
    <row r="7524" spans="6:6" ht="12.75" customHeight="1">
      <c r="F7524" s="32"/>
    </row>
    <row r="7525" spans="6:6" ht="12.75" customHeight="1">
      <c r="F7525" s="32"/>
    </row>
    <row r="7526" spans="6:6" ht="12.75" customHeight="1">
      <c r="F7526" s="32"/>
    </row>
    <row r="7527" spans="6:6" ht="12.75" customHeight="1">
      <c r="F7527" s="32"/>
    </row>
    <row r="7528" spans="6:6" ht="12.75" customHeight="1">
      <c r="F7528" s="32"/>
    </row>
    <row r="7529" spans="6:6" ht="12.75" customHeight="1">
      <c r="F7529" s="32"/>
    </row>
    <row r="7530" spans="6:6" ht="12.75" customHeight="1">
      <c r="F7530" s="32"/>
    </row>
    <row r="7531" spans="6:6" ht="12.75" customHeight="1">
      <c r="F7531" s="32"/>
    </row>
    <row r="7532" spans="6:6" ht="12.75" customHeight="1">
      <c r="F7532" s="32"/>
    </row>
    <row r="7533" spans="6:6" ht="12.75" customHeight="1">
      <c r="F7533" s="32"/>
    </row>
    <row r="7534" spans="6:6" ht="12.75" customHeight="1">
      <c r="F7534" s="32"/>
    </row>
    <row r="7535" spans="6:6" ht="12.75" customHeight="1">
      <c r="F7535" s="32"/>
    </row>
    <row r="7536" spans="6:6" ht="12.75" customHeight="1">
      <c r="F7536" s="32"/>
    </row>
    <row r="7537" spans="6:6" ht="12.75" customHeight="1">
      <c r="F7537" s="32"/>
    </row>
    <row r="7538" spans="6:6" ht="12.75" customHeight="1">
      <c r="F7538" s="32"/>
    </row>
    <row r="7539" spans="6:6" ht="12.75" customHeight="1">
      <c r="F7539" s="32"/>
    </row>
    <row r="7540" spans="6:6" ht="12.75" customHeight="1">
      <c r="F7540" s="32"/>
    </row>
    <row r="7541" spans="6:6" ht="12.75" customHeight="1">
      <c r="F7541" s="32"/>
    </row>
    <row r="7542" spans="6:6" ht="12.75" customHeight="1">
      <c r="F7542" s="32"/>
    </row>
    <row r="7543" spans="6:6" ht="12.75" customHeight="1">
      <c r="F7543" s="32"/>
    </row>
    <row r="7544" spans="6:6" ht="12.75" customHeight="1">
      <c r="F7544" s="32"/>
    </row>
    <row r="7545" spans="6:6" ht="12.75" customHeight="1">
      <c r="F7545" s="32"/>
    </row>
    <row r="7546" spans="6:6" ht="12.75" customHeight="1">
      <c r="F7546" s="32"/>
    </row>
    <row r="7547" spans="6:6" ht="12.75" customHeight="1">
      <c r="F7547" s="32"/>
    </row>
    <row r="7548" spans="6:6" ht="12.75" customHeight="1">
      <c r="F7548" s="32"/>
    </row>
    <row r="7549" spans="6:6" ht="12.75" customHeight="1">
      <c r="F7549" s="32"/>
    </row>
    <row r="7550" spans="6:6" ht="12.75" customHeight="1">
      <c r="F7550" s="32"/>
    </row>
    <row r="7551" spans="6:6" ht="12.75" customHeight="1">
      <c r="F7551" s="32"/>
    </row>
    <row r="7552" spans="6:6" ht="12.75" customHeight="1">
      <c r="F7552" s="32"/>
    </row>
    <row r="7553" spans="6:6" ht="12.75" customHeight="1">
      <c r="F7553" s="32"/>
    </row>
    <row r="7554" spans="6:6" ht="12.75" customHeight="1">
      <c r="F7554" s="32"/>
    </row>
    <row r="7555" spans="6:6" ht="12.75" customHeight="1">
      <c r="F7555" s="32"/>
    </row>
    <row r="7556" spans="6:6" ht="12.75" customHeight="1">
      <c r="F7556" s="32"/>
    </row>
    <row r="7557" spans="6:6" ht="12.75" customHeight="1">
      <c r="F7557" s="32"/>
    </row>
    <row r="7558" spans="6:6" ht="12.75" customHeight="1">
      <c r="F7558" s="32"/>
    </row>
    <row r="7559" spans="6:6" ht="12.75" customHeight="1">
      <c r="F7559" s="32"/>
    </row>
    <row r="7560" spans="6:6" ht="12.75" customHeight="1">
      <c r="F7560" s="32"/>
    </row>
    <row r="7561" spans="6:6" ht="12.75" customHeight="1">
      <c r="F7561" s="32"/>
    </row>
    <row r="7562" spans="6:6" ht="12.75" customHeight="1">
      <c r="F7562" s="32"/>
    </row>
    <row r="7563" spans="6:6" ht="12.75" customHeight="1">
      <c r="F7563" s="32"/>
    </row>
    <row r="7564" spans="6:6" ht="12.75" customHeight="1">
      <c r="F7564" s="32"/>
    </row>
    <row r="7565" spans="6:6" ht="12.75" customHeight="1">
      <c r="F7565" s="32"/>
    </row>
    <row r="7566" spans="6:6" ht="12.75" customHeight="1">
      <c r="F7566" s="32"/>
    </row>
    <row r="7567" spans="6:6" ht="12.75" customHeight="1">
      <c r="F7567" s="32"/>
    </row>
    <row r="7568" spans="6:6" ht="12.75" customHeight="1">
      <c r="F7568" s="32"/>
    </row>
    <row r="7569" spans="6:6" ht="12.75" customHeight="1">
      <c r="F7569" s="32"/>
    </row>
    <row r="7570" spans="6:6" ht="12.75" customHeight="1">
      <c r="F7570" s="32"/>
    </row>
    <row r="7571" spans="6:6" ht="12.75" customHeight="1">
      <c r="F7571" s="32"/>
    </row>
    <row r="7572" spans="6:6" ht="12.75" customHeight="1">
      <c r="F7572" s="32"/>
    </row>
    <row r="7573" spans="6:6" ht="12.75" customHeight="1">
      <c r="F7573" s="32"/>
    </row>
    <row r="7574" spans="6:6" ht="12.75" customHeight="1">
      <c r="F7574" s="32"/>
    </row>
    <row r="7575" spans="6:6" ht="12.75" customHeight="1">
      <c r="F7575" s="32"/>
    </row>
    <row r="7576" spans="6:6" ht="12.75" customHeight="1">
      <c r="F7576" s="32"/>
    </row>
    <row r="7577" spans="6:6" ht="12.75" customHeight="1">
      <c r="F7577" s="32"/>
    </row>
    <row r="7578" spans="6:6" ht="12.75" customHeight="1">
      <c r="F7578" s="32"/>
    </row>
    <row r="7579" spans="6:6" ht="12.75" customHeight="1">
      <c r="F7579" s="32"/>
    </row>
    <row r="7580" spans="6:6" ht="12.75" customHeight="1">
      <c r="F7580" s="32"/>
    </row>
    <row r="7581" spans="6:6" ht="12.75" customHeight="1">
      <c r="F7581" s="32"/>
    </row>
    <row r="7582" spans="6:6" ht="12.75" customHeight="1">
      <c r="F7582" s="32"/>
    </row>
    <row r="7583" spans="6:6" ht="12.75" customHeight="1">
      <c r="F7583" s="32"/>
    </row>
    <row r="7584" spans="6:6" ht="12.75" customHeight="1">
      <c r="F7584" s="32"/>
    </row>
    <row r="7585" spans="6:6" ht="12.75" customHeight="1">
      <c r="F7585" s="32"/>
    </row>
    <row r="7586" spans="6:6" ht="12.75" customHeight="1">
      <c r="F7586" s="32"/>
    </row>
    <row r="7587" spans="6:6" ht="12.75" customHeight="1">
      <c r="F7587" s="32"/>
    </row>
    <row r="7588" spans="6:6" ht="12.75" customHeight="1">
      <c r="F7588" s="32"/>
    </row>
    <row r="7589" spans="6:6" ht="12.75" customHeight="1">
      <c r="F7589" s="32"/>
    </row>
    <row r="7590" spans="6:6" ht="12.75" customHeight="1">
      <c r="F7590" s="32"/>
    </row>
    <row r="7591" spans="6:6" ht="12.75" customHeight="1">
      <c r="F7591" s="32"/>
    </row>
    <row r="7592" spans="6:6" ht="12.75" customHeight="1">
      <c r="F7592" s="32"/>
    </row>
    <row r="7593" spans="6:6" ht="12.75" customHeight="1">
      <c r="F7593" s="32"/>
    </row>
    <row r="7594" spans="6:6" ht="12.75" customHeight="1">
      <c r="F7594" s="32"/>
    </row>
    <row r="7595" spans="6:6" ht="12.75" customHeight="1">
      <c r="F7595" s="32"/>
    </row>
    <row r="7596" spans="6:6" ht="12.75" customHeight="1">
      <c r="F7596" s="32"/>
    </row>
    <row r="7597" spans="6:6" ht="12.75" customHeight="1">
      <c r="F7597" s="32"/>
    </row>
    <row r="7598" spans="6:6" ht="12.75" customHeight="1">
      <c r="F7598" s="32"/>
    </row>
    <row r="7599" spans="6:6" ht="12.75" customHeight="1">
      <c r="F7599" s="32"/>
    </row>
    <row r="7600" spans="6:6" ht="12.75" customHeight="1">
      <c r="F7600" s="32"/>
    </row>
    <row r="7601" spans="6:6" ht="12.75" customHeight="1">
      <c r="F7601" s="32"/>
    </row>
    <row r="7602" spans="6:6" ht="12.75" customHeight="1">
      <c r="F7602" s="32"/>
    </row>
    <row r="7603" spans="6:6" ht="12.75" customHeight="1">
      <c r="F7603" s="32"/>
    </row>
    <row r="7604" spans="6:6" ht="12.75" customHeight="1">
      <c r="F7604" s="32"/>
    </row>
    <row r="7605" spans="6:6" ht="12.75" customHeight="1">
      <c r="F7605" s="32"/>
    </row>
    <row r="7606" spans="6:6" ht="12.75" customHeight="1">
      <c r="F7606" s="32"/>
    </row>
    <row r="7607" spans="6:6" ht="12.75" customHeight="1">
      <c r="F7607" s="32"/>
    </row>
    <row r="7608" spans="6:6" ht="12.75" customHeight="1">
      <c r="F7608" s="32"/>
    </row>
    <row r="7609" spans="6:6" ht="12.75" customHeight="1">
      <c r="F7609" s="32"/>
    </row>
    <row r="7610" spans="6:6" ht="12.75" customHeight="1">
      <c r="F7610" s="32"/>
    </row>
    <row r="7611" spans="6:6" ht="12.75" customHeight="1">
      <c r="F7611" s="32"/>
    </row>
    <row r="7612" spans="6:6" ht="12.75" customHeight="1">
      <c r="F7612" s="32"/>
    </row>
    <row r="7613" spans="6:6" ht="12.75" customHeight="1">
      <c r="F7613" s="32"/>
    </row>
    <row r="7614" spans="6:6" ht="12.75" customHeight="1">
      <c r="F7614" s="32"/>
    </row>
    <row r="7615" spans="6:6" ht="12.75" customHeight="1">
      <c r="F7615" s="32"/>
    </row>
    <row r="7616" spans="6:6" ht="12.75" customHeight="1">
      <c r="F7616" s="32"/>
    </row>
    <row r="7617" spans="6:6" ht="12.75" customHeight="1">
      <c r="F7617" s="32"/>
    </row>
    <row r="7618" spans="6:6" ht="12.75" customHeight="1">
      <c r="F7618" s="32"/>
    </row>
    <row r="7619" spans="6:6" ht="12.75" customHeight="1">
      <c r="F7619" s="32"/>
    </row>
    <row r="7620" spans="6:6" ht="12.75" customHeight="1">
      <c r="F7620" s="32"/>
    </row>
    <row r="7621" spans="6:6" ht="12.75" customHeight="1">
      <c r="F7621" s="32"/>
    </row>
    <row r="7622" spans="6:6" ht="12.75" customHeight="1">
      <c r="F7622" s="32"/>
    </row>
    <row r="7623" spans="6:6" ht="12.75" customHeight="1">
      <c r="F7623" s="32"/>
    </row>
    <row r="7624" spans="6:6" ht="12.75" customHeight="1">
      <c r="F7624" s="32"/>
    </row>
    <row r="7625" spans="6:6" ht="12.75" customHeight="1">
      <c r="F7625" s="32"/>
    </row>
    <row r="7626" spans="6:6" ht="12.75" customHeight="1">
      <c r="F7626" s="32"/>
    </row>
    <row r="7627" spans="6:6" ht="12.75" customHeight="1">
      <c r="F7627" s="32"/>
    </row>
    <row r="7628" spans="6:6" ht="12.75" customHeight="1">
      <c r="F7628" s="32"/>
    </row>
    <row r="7629" spans="6:6" ht="12.75" customHeight="1">
      <c r="F7629" s="32"/>
    </row>
    <row r="7630" spans="6:6" ht="12.75" customHeight="1">
      <c r="F7630" s="32"/>
    </row>
    <row r="7631" spans="6:6" ht="12.75" customHeight="1">
      <c r="F7631" s="32"/>
    </row>
    <row r="7632" spans="6:6" ht="12.75" customHeight="1">
      <c r="F7632" s="32"/>
    </row>
    <row r="7633" spans="6:6" ht="12.75" customHeight="1">
      <c r="F7633" s="32"/>
    </row>
    <row r="7634" spans="6:6" ht="12.75" customHeight="1">
      <c r="F7634" s="32"/>
    </row>
    <row r="7635" spans="6:6" ht="12.75" customHeight="1">
      <c r="F7635" s="32"/>
    </row>
    <row r="7636" spans="6:6" ht="12.75" customHeight="1">
      <c r="F7636" s="32"/>
    </row>
    <row r="7637" spans="6:6" ht="12.75" customHeight="1">
      <c r="F7637" s="32"/>
    </row>
    <row r="7638" spans="6:6" ht="12.75" customHeight="1">
      <c r="F7638" s="32"/>
    </row>
    <row r="7639" spans="6:6" ht="12.75" customHeight="1">
      <c r="F7639" s="32"/>
    </row>
    <row r="7640" spans="6:6" ht="12.75" customHeight="1">
      <c r="F7640" s="32"/>
    </row>
    <row r="7641" spans="6:6" ht="12.75" customHeight="1">
      <c r="F7641" s="32"/>
    </row>
    <row r="7642" spans="6:6" ht="12.75" customHeight="1">
      <c r="F7642" s="32"/>
    </row>
    <row r="7643" spans="6:6" ht="12.75" customHeight="1">
      <c r="F7643" s="32"/>
    </row>
    <row r="7644" spans="6:6" ht="12.75" customHeight="1">
      <c r="F7644" s="32"/>
    </row>
    <row r="7645" spans="6:6" ht="12.75" customHeight="1">
      <c r="F7645" s="32"/>
    </row>
    <row r="7646" spans="6:6" ht="12.75" customHeight="1">
      <c r="F7646" s="32"/>
    </row>
    <row r="7647" spans="6:6" ht="12.75" customHeight="1">
      <c r="F7647" s="32"/>
    </row>
    <row r="7648" spans="6:6" ht="12.75" customHeight="1">
      <c r="F7648" s="32"/>
    </row>
    <row r="7649" spans="6:6" ht="12.75" customHeight="1">
      <c r="F7649" s="32"/>
    </row>
    <row r="7650" spans="6:6" ht="12.75" customHeight="1">
      <c r="F7650" s="32"/>
    </row>
    <row r="7651" spans="6:6" ht="12.75" customHeight="1">
      <c r="F7651" s="32"/>
    </row>
    <row r="7652" spans="6:6" ht="12.75" customHeight="1">
      <c r="F7652" s="32"/>
    </row>
    <row r="7653" spans="6:6" ht="12.75" customHeight="1">
      <c r="F7653" s="32"/>
    </row>
    <row r="7654" spans="6:6" ht="12.75" customHeight="1">
      <c r="F7654" s="32"/>
    </row>
    <row r="7655" spans="6:6" ht="12.75" customHeight="1">
      <c r="F7655" s="32"/>
    </row>
    <row r="7656" spans="6:6" ht="12.75" customHeight="1">
      <c r="F7656" s="32"/>
    </row>
    <row r="7657" spans="6:6" ht="12.75" customHeight="1">
      <c r="F7657" s="32"/>
    </row>
    <row r="7658" spans="6:6" ht="12.75" customHeight="1">
      <c r="F7658" s="32"/>
    </row>
    <row r="7659" spans="6:6" ht="12.75" customHeight="1">
      <c r="F7659" s="32"/>
    </row>
    <row r="7660" spans="6:6" ht="12.75" customHeight="1">
      <c r="F7660" s="32"/>
    </row>
    <row r="7661" spans="6:6" ht="12.75" customHeight="1">
      <c r="F7661" s="32"/>
    </row>
    <row r="7662" spans="6:6" ht="12.75" customHeight="1">
      <c r="F7662" s="32"/>
    </row>
    <row r="7663" spans="6:6" ht="12.75" customHeight="1">
      <c r="F7663" s="32"/>
    </row>
    <row r="7664" spans="6:6" ht="12.75" customHeight="1">
      <c r="F7664" s="32"/>
    </row>
    <row r="7665" spans="6:6" ht="12.75" customHeight="1">
      <c r="F7665" s="32"/>
    </row>
    <row r="7666" spans="6:6" ht="12.75" customHeight="1">
      <c r="F7666" s="32"/>
    </row>
    <row r="7667" spans="6:6" ht="12.75" customHeight="1">
      <c r="F7667" s="32"/>
    </row>
    <row r="7668" spans="6:6" ht="12.75" customHeight="1">
      <c r="F7668" s="32"/>
    </row>
    <row r="7669" spans="6:6" ht="12.75" customHeight="1">
      <c r="F7669" s="32"/>
    </row>
    <row r="7670" spans="6:6" ht="12.75" customHeight="1">
      <c r="F7670" s="32"/>
    </row>
    <row r="7671" spans="6:6" ht="12.75" customHeight="1">
      <c r="F7671" s="32"/>
    </row>
    <row r="7672" spans="6:6" ht="12.75" customHeight="1">
      <c r="F7672" s="32"/>
    </row>
    <row r="7673" spans="6:6" ht="12.75" customHeight="1">
      <c r="F7673" s="32"/>
    </row>
    <row r="7674" spans="6:6" ht="12.75" customHeight="1">
      <c r="F7674" s="32"/>
    </row>
    <row r="7675" spans="6:6" ht="12.75" customHeight="1">
      <c r="F7675" s="32"/>
    </row>
    <row r="7676" spans="6:6" ht="12.75" customHeight="1">
      <c r="F7676" s="32"/>
    </row>
    <row r="7677" spans="6:6" ht="12.75" customHeight="1">
      <c r="F7677" s="32"/>
    </row>
    <row r="7678" spans="6:6" ht="12.75" customHeight="1">
      <c r="F7678" s="32"/>
    </row>
    <row r="7679" spans="6:6" ht="12.75" customHeight="1">
      <c r="F7679" s="32"/>
    </row>
    <row r="7680" spans="6:6" ht="12.75" customHeight="1">
      <c r="F7680" s="32"/>
    </row>
    <row r="7681" spans="6:6" ht="12.75" customHeight="1">
      <c r="F7681" s="32"/>
    </row>
    <row r="7682" spans="6:6" ht="12.75" customHeight="1">
      <c r="F7682" s="32"/>
    </row>
    <row r="7683" spans="6:6" ht="12.75" customHeight="1">
      <c r="F7683" s="32"/>
    </row>
    <row r="7684" spans="6:6" ht="12.75" customHeight="1">
      <c r="F7684" s="32"/>
    </row>
    <row r="7685" spans="6:6" ht="12.75" customHeight="1">
      <c r="F7685" s="32"/>
    </row>
    <row r="7686" spans="6:6" ht="12.75" customHeight="1">
      <c r="F7686" s="32"/>
    </row>
    <row r="7687" spans="6:6" ht="12.75" customHeight="1">
      <c r="F7687" s="32"/>
    </row>
    <row r="7688" spans="6:6" ht="12.75" customHeight="1">
      <c r="F7688" s="32"/>
    </row>
    <row r="7689" spans="6:6" ht="12.75" customHeight="1">
      <c r="F7689" s="32"/>
    </row>
    <row r="7690" spans="6:6" ht="12.75" customHeight="1">
      <c r="F7690" s="32"/>
    </row>
    <row r="7691" spans="6:6" ht="12.75" customHeight="1">
      <c r="F7691" s="32"/>
    </row>
    <row r="7692" spans="6:6" ht="12.75" customHeight="1">
      <c r="F7692" s="32"/>
    </row>
    <row r="7693" spans="6:6" ht="12.75" customHeight="1">
      <c r="F7693" s="32"/>
    </row>
    <row r="7694" spans="6:6" ht="12.75" customHeight="1">
      <c r="F7694" s="32"/>
    </row>
    <row r="7695" spans="6:6" ht="12.75" customHeight="1">
      <c r="F7695" s="32"/>
    </row>
    <row r="7696" spans="6:6" ht="12.75" customHeight="1">
      <c r="F7696" s="32"/>
    </row>
    <row r="7697" spans="6:6" ht="12.75" customHeight="1">
      <c r="F7697" s="32"/>
    </row>
    <row r="7698" spans="6:6" ht="12.75" customHeight="1">
      <c r="F7698" s="32"/>
    </row>
    <row r="7699" spans="6:6" ht="12.75" customHeight="1">
      <c r="F7699" s="32"/>
    </row>
    <row r="7700" spans="6:6" ht="12.75" customHeight="1">
      <c r="F7700" s="32"/>
    </row>
    <row r="7701" spans="6:6" ht="12.75" customHeight="1">
      <c r="F7701" s="32"/>
    </row>
    <row r="7702" spans="6:6" ht="12.75" customHeight="1">
      <c r="F7702" s="32"/>
    </row>
    <row r="7703" spans="6:6" ht="12.75" customHeight="1">
      <c r="F7703" s="32"/>
    </row>
    <row r="7704" spans="6:6" ht="12.75" customHeight="1">
      <c r="F7704" s="32"/>
    </row>
    <row r="7705" spans="6:6" ht="12.75" customHeight="1">
      <c r="F7705" s="32"/>
    </row>
    <row r="7706" spans="6:6" ht="12.75" customHeight="1">
      <c r="F7706" s="32"/>
    </row>
    <row r="7707" spans="6:6" ht="12.75" customHeight="1">
      <c r="F7707" s="32"/>
    </row>
    <row r="7708" spans="6:6" ht="12.75" customHeight="1">
      <c r="F7708" s="32"/>
    </row>
    <row r="7709" spans="6:6" ht="12.75" customHeight="1">
      <c r="F7709" s="32"/>
    </row>
    <row r="7710" spans="6:6" ht="12.75" customHeight="1">
      <c r="F7710" s="32"/>
    </row>
    <row r="7711" spans="6:6" ht="12.75" customHeight="1">
      <c r="F7711" s="32"/>
    </row>
    <row r="7712" spans="6:6" ht="12.75" customHeight="1">
      <c r="F7712" s="32"/>
    </row>
    <row r="7713" spans="6:6" ht="12.75" customHeight="1">
      <c r="F7713" s="32"/>
    </row>
    <row r="7714" spans="6:6" ht="12.75" customHeight="1">
      <c r="F7714" s="32"/>
    </row>
    <row r="7715" spans="6:6" ht="12.75" customHeight="1">
      <c r="F7715" s="32"/>
    </row>
    <row r="7716" spans="6:6" ht="12.75" customHeight="1">
      <c r="F7716" s="32"/>
    </row>
    <row r="7717" spans="6:6" ht="12.75" customHeight="1">
      <c r="F7717" s="32"/>
    </row>
    <row r="7718" spans="6:6" ht="12.75" customHeight="1">
      <c r="F7718" s="32"/>
    </row>
    <row r="7719" spans="6:6" ht="12.75" customHeight="1">
      <c r="F7719" s="32"/>
    </row>
    <row r="7720" spans="6:6" ht="12.75" customHeight="1">
      <c r="F7720" s="32"/>
    </row>
    <row r="7721" spans="6:6" ht="12.75" customHeight="1">
      <c r="F7721" s="32"/>
    </row>
    <row r="7722" spans="6:6" ht="12.75" customHeight="1">
      <c r="F7722" s="32"/>
    </row>
    <row r="7723" spans="6:6" ht="12.75" customHeight="1">
      <c r="F7723" s="32"/>
    </row>
    <row r="7724" spans="6:6" ht="12.75" customHeight="1">
      <c r="F7724" s="32"/>
    </row>
    <row r="7725" spans="6:6" ht="12.75" customHeight="1">
      <c r="F7725" s="32"/>
    </row>
    <row r="7726" spans="6:6" ht="12.75" customHeight="1">
      <c r="F7726" s="32"/>
    </row>
    <row r="7727" spans="6:6" ht="12.75" customHeight="1">
      <c r="F7727" s="32"/>
    </row>
    <row r="7728" spans="6:6" ht="12.75" customHeight="1">
      <c r="F7728" s="32"/>
    </row>
    <row r="7729" spans="6:6" ht="12.75" customHeight="1">
      <c r="F7729" s="32"/>
    </row>
    <row r="7730" spans="6:6" ht="12.75" customHeight="1">
      <c r="F7730" s="32"/>
    </row>
    <row r="7731" spans="6:6" ht="12.75" customHeight="1">
      <c r="F7731" s="32"/>
    </row>
    <row r="7732" spans="6:6" ht="12.75" customHeight="1">
      <c r="F7732" s="32"/>
    </row>
    <row r="7733" spans="6:6" ht="12.75" customHeight="1">
      <c r="F7733" s="32"/>
    </row>
    <row r="7734" spans="6:6" ht="12.75" customHeight="1">
      <c r="F7734" s="32"/>
    </row>
    <row r="7735" spans="6:6" ht="12.75" customHeight="1">
      <c r="F7735" s="32"/>
    </row>
    <row r="7736" spans="6:6" ht="12.75" customHeight="1">
      <c r="F7736" s="32"/>
    </row>
    <row r="7737" spans="6:6" ht="12.75" customHeight="1">
      <c r="F7737" s="32"/>
    </row>
    <row r="7738" spans="6:6" ht="12.75" customHeight="1">
      <c r="F7738" s="32"/>
    </row>
    <row r="7739" spans="6:6" ht="12.75" customHeight="1">
      <c r="F7739" s="32"/>
    </row>
    <row r="7740" spans="6:6" ht="12.75" customHeight="1">
      <c r="F7740" s="32"/>
    </row>
    <row r="7741" spans="6:6" ht="12.75" customHeight="1">
      <c r="F7741" s="32"/>
    </row>
    <row r="7742" spans="6:6" ht="12.75" customHeight="1">
      <c r="F7742" s="32"/>
    </row>
    <row r="7743" spans="6:6" ht="12.75" customHeight="1">
      <c r="F7743" s="32"/>
    </row>
    <row r="7744" spans="6:6" ht="12.75" customHeight="1">
      <c r="F7744" s="32"/>
    </row>
    <row r="7745" spans="6:6" ht="12.75" customHeight="1">
      <c r="F7745" s="32"/>
    </row>
    <row r="7746" spans="6:6" ht="12.75" customHeight="1">
      <c r="F7746" s="32"/>
    </row>
    <row r="7747" spans="6:6" ht="12.75" customHeight="1">
      <c r="F7747" s="32"/>
    </row>
    <row r="7748" spans="6:6" ht="12.75" customHeight="1">
      <c r="F7748" s="32"/>
    </row>
    <row r="7749" spans="6:6" ht="12.75" customHeight="1">
      <c r="F7749" s="32"/>
    </row>
    <row r="7750" spans="6:6" ht="12.75" customHeight="1">
      <c r="F7750" s="32"/>
    </row>
    <row r="7751" spans="6:6" ht="12.75" customHeight="1">
      <c r="F7751" s="32"/>
    </row>
    <row r="7752" spans="6:6" ht="12.75" customHeight="1">
      <c r="F7752" s="32"/>
    </row>
    <row r="7753" spans="6:6" ht="12.75" customHeight="1">
      <c r="F7753" s="32"/>
    </row>
    <row r="7754" spans="6:6" ht="12.75" customHeight="1">
      <c r="F7754" s="32"/>
    </row>
    <row r="7755" spans="6:6" ht="12.75" customHeight="1">
      <c r="F7755" s="32"/>
    </row>
    <row r="7756" spans="6:6" ht="12.75" customHeight="1">
      <c r="F7756" s="32"/>
    </row>
    <row r="7757" spans="6:6" ht="12.75" customHeight="1">
      <c r="F7757" s="32"/>
    </row>
    <row r="7758" spans="6:6" ht="12.75" customHeight="1">
      <c r="F7758" s="32"/>
    </row>
    <row r="7759" spans="6:6" ht="12.75" customHeight="1">
      <c r="F7759" s="32"/>
    </row>
    <row r="7760" spans="6:6" ht="12.75" customHeight="1">
      <c r="F7760" s="32"/>
    </row>
    <row r="7761" spans="6:6" ht="12.75" customHeight="1">
      <c r="F7761" s="32"/>
    </row>
    <row r="7762" spans="6:6" ht="12.75" customHeight="1">
      <c r="F7762" s="32"/>
    </row>
    <row r="7763" spans="6:6" ht="12.75" customHeight="1">
      <c r="F7763" s="32"/>
    </row>
    <row r="7764" spans="6:6" ht="12.75" customHeight="1">
      <c r="F7764" s="32"/>
    </row>
    <row r="7765" spans="6:6" ht="12.75" customHeight="1">
      <c r="F7765" s="32"/>
    </row>
    <row r="7766" spans="6:6" ht="12.75" customHeight="1">
      <c r="F7766" s="32"/>
    </row>
    <row r="7767" spans="6:6" ht="12.75" customHeight="1">
      <c r="F7767" s="32"/>
    </row>
    <row r="7768" spans="6:6" ht="12.75" customHeight="1">
      <c r="F7768" s="32"/>
    </row>
    <row r="7769" spans="6:6" ht="12.75" customHeight="1">
      <c r="F7769" s="32"/>
    </row>
    <row r="7770" spans="6:6" ht="12.75" customHeight="1">
      <c r="F7770" s="32"/>
    </row>
    <row r="7771" spans="6:6" ht="12.75" customHeight="1">
      <c r="F7771" s="32"/>
    </row>
    <row r="7772" spans="6:6" ht="12.75" customHeight="1">
      <c r="F7772" s="32"/>
    </row>
    <row r="7773" spans="6:6" ht="12.75" customHeight="1">
      <c r="F7773" s="32"/>
    </row>
    <row r="7774" spans="6:6" ht="12.75" customHeight="1">
      <c r="F7774" s="32"/>
    </row>
    <row r="7775" spans="6:6" ht="12.75" customHeight="1">
      <c r="F7775" s="32"/>
    </row>
    <row r="7776" spans="6:6" ht="12.75" customHeight="1">
      <c r="F7776" s="32"/>
    </row>
    <row r="7777" spans="6:6" ht="12.75" customHeight="1">
      <c r="F7777" s="32"/>
    </row>
    <row r="7778" spans="6:6" ht="12.75" customHeight="1">
      <c r="F7778" s="32"/>
    </row>
    <row r="7779" spans="6:6" ht="12.75" customHeight="1">
      <c r="F7779" s="32"/>
    </row>
    <row r="7780" spans="6:6" ht="12.75" customHeight="1">
      <c r="F7780" s="32"/>
    </row>
    <row r="7781" spans="6:6" ht="12.75" customHeight="1">
      <c r="F7781" s="32"/>
    </row>
    <row r="7782" spans="6:6" ht="12.75" customHeight="1">
      <c r="F7782" s="32"/>
    </row>
    <row r="7783" spans="6:6" ht="12.75" customHeight="1">
      <c r="F7783" s="32"/>
    </row>
    <row r="7784" spans="6:6" ht="12.75" customHeight="1">
      <c r="F7784" s="32"/>
    </row>
    <row r="7785" spans="6:6" ht="12.75" customHeight="1">
      <c r="F7785" s="32"/>
    </row>
    <row r="7786" spans="6:6" ht="12.75" customHeight="1">
      <c r="F7786" s="32"/>
    </row>
    <row r="7787" spans="6:6" ht="12.75" customHeight="1">
      <c r="F7787" s="32"/>
    </row>
    <row r="7788" spans="6:6" ht="12.75" customHeight="1">
      <c r="F7788" s="32"/>
    </row>
    <row r="7789" spans="6:6" ht="12.75" customHeight="1">
      <c r="F7789" s="32"/>
    </row>
    <row r="7790" spans="6:6" ht="12.75" customHeight="1">
      <c r="F7790" s="32"/>
    </row>
    <row r="7791" spans="6:6" ht="12.75" customHeight="1">
      <c r="F7791" s="32"/>
    </row>
    <row r="7792" spans="6:6" ht="12.75" customHeight="1">
      <c r="F7792" s="32"/>
    </row>
    <row r="7793" spans="6:6" ht="12.75" customHeight="1">
      <c r="F7793" s="32"/>
    </row>
    <row r="7794" spans="6:6" ht="12.75" customHeight="1">
      <c r="F7794" s="32"/>
    </row>
    <row r="7795" spans="6:6" ht="12.75" customHeight="1">
      <c r="F7795" s="32"/>
    </row>
    <row r="7796" spans="6:6" ht="12.75" customHeight="1">
      <c r="F7796" s="32"/>
    </row>
    <row r="7797" spans="6:6" ht="12.75" customHeight="1">
      <c r="F7797" s="32"/>
    </row>
    <row r="7798" spans="6:6" ht="12.75" customHeight="1">
      <c r="F7798" s="32"/>
    </row>
    <row r="7799" spans="6:6" ht="12.75" customHeight="1">
      <c r="F7799" s="32"/>
    </row>
    <row r="7800" spans="6:6" ht="12.75" customHeight="1">
      <c r="F7800" s="32"/>
    </row>
    <row r="7801" spans="6:6" ht="12.75" customHeight="1">
      <c r="F7801" s="32"/>
    </row>
    <row r="7802" spans="6:6" ht="12.75" customHeight="1">
      <c r="F7802" s="32"/>
    </row>
    <row r="7803" spans="6:6" ht="12.75" customHeight="1">
      <c r="F7803" s="32"/>
    </row>
    <row r="7804" spans="6:6" ht="12.75" customHeight="1">
      <c r="F7804" s="32"/>
    </row>
    <row r="7805" spans="6:6" ht="12.75" customHeight="1">
      <c r="F7805" s="32"/>
    </row>
    <row r="7806" spans="6:6" ht="12.75" customHeight="1">
      <c r="F7806" s="32"/>
    </row>
    <row r="7807" spans="6:6" ht="12.75" customHeight="1">
      <c r="F7807" s="32"/>
    </row>
    <row r="7808" spans="6:6" ht="12.75" customHeight="1">
      <c r="F7808" s="32"/>
    </row>
    <row r="7809" spans="6:6" ht="12.75" customHeight="1">
      <c r="F7809" s="32"/>
    </row>
    <row r="7810" spans="6:6" ht="12.75" customHeight="1">
      <c r="F7810" s="32"/>
    </row>
    <row r="7811" spans="6:6" ht="12.75" customHeight="1">
      <c r="F7811" s="32"/>
    </row>
    <row r="7812" spans="6:6" ht="12.75" customHeight="1">
      <c r="F7812" s="32"/>
    </row>
    <row r="7813" spans="6:6" ht="12.75" customHeight="1">
      <c r="F7813" s="32"/>
    </row>
    <row r="7814" spans="6:6" ht="12.75" customHeight="1">
      <c r="F7814" s="32"/>
    </row>
    <row r="7815" spans="6:6" ht="12.75" customHeight="1">
      <c r="F7815" s="32"/>
    </row>
    <row r="7816" spans="6:6" ht="12.75" customHeight="1">
      <c r="F7816" s="32"/>
    </row>
    <row r="7817" spans="6:6" ht="12.75" customHeight="1">
      <c r="F7817" s="32"/>
    </row>
    <row r="7818" spans="6:6" ht="12.75" customHeight="1">
      <c r="F7818" s="32"/>
    </row>
    <row r="7819" spans="6:6" ht="12.75" customHeight="1">
      <c r="F7819" s="32"/>
    </row>
    <row r="7820" spans="6:6" ht="12.75" customHeight="1">
      <c r="F7820" s="32"/>
    </row>
    <row r="7821" spans="6:6" ht="12.75" customHeight="1">
      <c r="F7821" s="32"/>
    </row>
    <row r="7822" spans="6:6" ht="12.75" customHeight="1">
      <c r="F7822" s="32"/>
    </row>
    <row r="7823" spans="6:6" ht="12.75" customHeight="1">
      <c r="F7823" s="32"/>
    </row>
    <row r="7824" spans="6:6" ht="12.75" customHeight="1">
      <c r="F7824" s="32"/>
    </row>
    <row r="7825" spans="6:6" ht="12.75" customHeight="1">
      <c r="F7825" s="32"/>
    </row>
    <row r="7826" spans="6:6" ht="12.75" customHeight="1">
      <c r="F7826" s="32"/>
    </row>
    <row r="7827" spans="6:6" ht="12.75" customHeight="1">
      <c r="F7827" s="32"/>
    </row>
    <row r="7828" spans="6:6" ht="12.75" customHeight="1">
      <c r="F7828" s="32"/>
    </row>
    <row r="7829" spans="6:6" ht="12.75" customHeight="1">
      <c r="F7829" s="32"/>
    </row>
    <row r="7830" spans="6:6" ht="12.75" customHeight="1">
      <c r="F7830" s="32"/>
    </row>
    <row r="7831" spans="6:6" ht="12.75" customHeight="1">
      <c r="F7831" s="32"/>
    </row>
    <row r="7832" spans="6:6" ht="12.75" customHeight="1">
      <c r="F7832" s="32"/>
    </row>
    <row r="7833" spans="6:6" ht="12.75" customHeight="1">
      <c r="F7833" s="32"/>
    </row>
    <row r="7834" spans="6:6" ht="12.75" customHeight="1">
      <c r="F7834" s="32"/>
    </row>
    <row r="7835" spans="6:6" ht="12.75" customHeight="1">
      <c r="F7835" s="32"/>
    </row>
    <row r="7836" spans="6:6" ht="12.75" customHeight="1">
      <c r="F7836" s="32"/>
    </row>
    <row r="7837" spans="6:6" ht="12.75" customHeight="1">
      <c r="F7837" s="32"/>
    </row>
    <row r="7838" spans="6:6" ht="12.75" customHeight="1">
      <c r="F7838" s="32"/>
    </row>
    <row r="7839" spans="6:6" ht="12.75" customHeight="1">
      <c r="F7839" s="32"/>
    </row>
    <row r="7840" spans="6:6" ht="12.75" customHeight="1">
      <c r="F7840" s="32"/>
    </row>
    <row r="7841" spans="6:6" ht="12.75" customHeight="1">
      <c r="F7841" s="32"/>
    </row>
    <row r="7842" spans="6:6" ht="12.75" customHeight="1">
      <c r="F7842" s="32"/>
    </row>
    <row r="7843" spans="6:6" ht="12.75" customHeight="1">
      <c r="F7843" s="32"/>
    </row>
    <row r="7844" spans="6:6" ht="12.75" customHeight="1">
      <c r="F7844" s="32"/>
    </row>
    <row r="7845" spans="6:6" ht="12.75" customHeight="1">
      <c r="F7845" s="32"/>
    </row>
    <row r="7846" spans="6:6" ht="12.75" customHeight="1">
      <c r="F7846" s="32"/>
    </row>
    <row r="7847" spans="6:6" ht="12.75" customHeight="1">
      <c r="F7847" s="32"/>
    </row>
    <row r="7848" spans="6:6" ht="12.75" customHeight="1">
      <c r="F7848" s="32"/>
    </row>
    <row r="7849" spans="6:6" ht="12.75" customHeight="1">
      <c r="F7849" s="32"/>
    </row>
    <row r="7850" spans="6:6" ht="12.75" customHeight="1">
      <c r="F7850" s="32"/>
    </row>
    <row r="7851" spans="6:6" ht="12.75" customHeight="1">
      <c r="F7851" s="32"/>
    </row>
    <row r="7852" spans="6:6" ht="12.75" customHeight="1">
      <c r="F7852" s="32"/>
    </row>
    <row r="7853" spans="6:6" ht="12.75" customHeight="1">
      <c r="F7853" s="32"/>
    </row>
    <row r="7854" spans="6:6" ht="12.75" customHeight="1">
      <c r="F7854" s="32"/>
    </row>
    <row r="7855" spans="6:6" ht="12.75" customHeight="1">
      <c r="F7855" s="32"/>
    </row>
    <row r="7856" spans="6:6" ht="12.75" customHeight="1">
      <c r="F7856" s="32"/>
    </row>
    <row r="7857" spans="6:6" ht="12.75" customHeight="1">
      <c r="F7857" s="32"/>
    </row>
    <row r="7858" spans="6:6" ht="12.75" customHeight="1">
      <c r="F7858" s="32"/>
    </row>
    <row r="7859" spans="6:6" ht="12.75" customHeight="1">
      <c r="F7859" s="32"/>
    </row>
    <row r="7860" spans="6:6" ht="12.75" customHeight="1">
      <c r="F7860" s="32"/>
    </row>
    <row r="7861" spans="6:6" ht="12.75" customHeight="1">
      <c r="F7861" s="32"/>
    </row>
    <row r="7862" spans="6:6" ht="12.75" customHeight="1">
      <c r="F7862" s="32"/>
    </row>
    <row r="7863" spans="6:6" ht="12.75" customHeight="1">
      <c r="F7863" s="32"/>
    </row>
    <row r="7864" spans="6:6" ht="12.75" customHeight="1">
      <c r="F7864" s="32"/>
    </row>
    <row r="7865" spans="6:6" ht="12.75" customHeight="1">
      <c r="F7865" s="32"/>
    </row>
    <row r="7866" spans="6:6" ht="12.75" customHeight="1">
      <c r="F7866" s="32"/>
    </row>
    <row r="7867" spans="6:6" ht="12.75" customHeight="1">
      <c r="F7867" s="32"/>
    </row>
    <row r="7868" spans="6:6" ht="12.75" customHeight="1">
      <c r="F7868" s="32"/>
    </row>
    <row r="7869" spans="6:6" ht="12.75" customHeight="1">
      <c r="F7869" s="32"/>
    </row>
    <row r="7870" spans="6:6" ht="12.75" customHeight="1">
      <c r="F7870" s="32"/>
    </row>
    <row r="7871" spans="6:6" ht="12.75" customHeight="1">
      <c r="F7871" s="32"/>
    </row>
    <row r="7872" spans="6:6" ht="12.75" customHeight="1">
      <c r="F7872" s="32"/>
    </row>
    <row r="7873" spans="6:6" ht="12.75" customHeight="1">
      <c r="F7873" s="32"/>
    </row>
    <row r="7874" spans="6:6" ht="12.75" customHeight="1">
      <c r="F7874" s="32"/>
    </row>
    <row r="7875" spans="6:6" ht="12.75" customHeight="1">
      <c r="F7875" s="32"/>
    </row>
    <row r="7876" spans="6:6" ht="12.75" customHeight="1">
      <c r="F7876" s="32"/>
    </row>
    <row r="7877" spans="6:6" ht="12.75" customHeight="1">
      <c r="F7877" s="32"/>
    </row>
    <row r="7878" spans="6:6" ht="12.75" customHeight="1">
      <c r="F7878" s="32"/>
    </row>
    <row r="7879" spans="6:6" ht="12.75" customHeight="1">
      <c r="F7879" s="32"/>
    </row>
    <row r="7880" spans="6:6" ht="12.75" customHeight="1">
      <c r="F7880" s="32"/>
    </row>
    <row r="7881" spans="6:6" ht="12.75" customHeight="1">
      <c r="F7881" s="32"/>
    </row>
    <row r="7882" spans="6:6" ht="12.75" customHeight="1">
      <c r="F7882" s="32"/>
    </row>
    <row r="7883" spans="6:6" ht="12.75" customHeight="1">
      <c r="F7883" s="32"/>
    </row>
    <row r="7884" spans="6:6" ht="12.75" customHeight="1">
      <c r="F7884" s="32"/>
    </row>
    <row r="7885" spans="6:6" ht="12.75" customHeight="1">
      <c r="F7885" s="32"/>
    </row>
    <row r="7886" spans="6:6" ht="12.75" customHeight="1">
      <c r="F7886" s="32"/>
    </row>
    <row r="7887" spans="6:6" ht="12.75" customHeight="1">
      <c r="F7887" s="32"/>
    </row>
    <row r="7888" spans="6:6" ht="12.75" customHeight="1">
      <c r="F7888" s="32"/>
    </row>
    <row r="7889" spans="6:6" ht="12.75" customHeight="1">
      <c r="F7889" s="32"/>
    </row>
    <row r="7890" spans="6:6" ht="12.75" customHeight="1">
      <c r="F7890" s="32"/>
    </row>
    <row r="7891" spans="6:6" ht="12.75" customHeight="1">
      <c r="F7891" s="32"/>
    </row>
    <row r="7892" spans="6:6" ht="12.75" customHeight="1">
      <c r="F7892" s="32"/>
    </row>
    <row r="7893" spans="6:6" ht="12.75" customHeight="1">
      <c r="F7893" s="32"/>
    </row>
    <row r="7894" spans="6:6" ht="12.75" customHeight="1">
      <c r="F7894" s="32"/>
    </row>
    <row r="7895" spans="6:6" ht="12.75" customHeight="1">
      <c r="F7895" s="32"/>
    </row>
    <row r="7896" spans="6:6" ht="12.75" customHeight="1">
      <c r="F7896" s="32"/>
    </row>
    <row r="7897" spans="6:6" ht="12.75" customHeight="1">
      <c r="F7897" s="32"/>
    </row>
    <row r="7898" spans="6:6" ht="12.75" customHeight="1">
      <c r="F7898" s="32"/>
    </row>
    <row r="7899" spans="6:6" ht="12.75" customHeight="1">
      <c r="F7899" s="32"/>
    </row>
    <row r="7900" spans="6:6" ht="12.75" customHeight="1">
      <c r="F7900" s="32"/>
    </row>
    <row r="7901" spans="6:6" ht="12.75" customHeight="1">
      <c r="F7901" s="32"/>
    </row>
    <row r="7902" spans="6:6" ht="12.75" customHeight="1">
      <c r="F7902" s="32"/>
    </row>
    <row r="7903" spans="6:6" ht="12.75" customHeight="1">
      <c r="F7903" s="32"/>
    </row>
    <row r="7904" spans="6:6" ht="12.75" customHeight="1">
      <c r="F7904" s="32"/>
    </row>
    <row r="7905" spans="6:6" ht="12.75" customHeight="1">
      <c r="F7905" s="32"/>
    </row>
    <row r="7906" spans="6:6" ht="12.75" customHeight="1">
      <c r="F7906" s="32"/>
    </row>
    <row r="7907" spans="6:6" ht="12.75" customHeight="1">
      <c r="F7907" s="32"/>
    </row>
    <row r="7908" spans="6:6" ht="12.75" customHeight="1">
      <c r="F7908" s="32"/>
    </row>
    <row r="7909" spans="6:6" ht="12.75" customHeight="1">
      <c r="F7909" s="32"/>
    </row>
    <row r="7910" spans="6:6" ht="12.75" customHeight="1">
      <c r="F7910" s="32"/>
    </row>
    <row r="7911" spans="6:6" ht="12.75" customHeight="1">
      <c r="F7911" s="32"/>
    </row>
    <row r="7912" spans="6:6" ht="12.75" customHeight="1">
      <c r="F7912" s="32"/>
    </row>
    <row r="7913" spans="6:6" ht="12.75" customHeight="1">
      <c r="F7913" s="32"/>
    </row>
    <row r="7914" spans="6:6" ht="12.75" customHeight="1">
      <c r="F7914" s="32"/>
    </row>
    <row r="7915" spans="6:6" ht="12.75" customHeight="1">
      <c r="F7915" s="32"/>
    </row>
    <row r="7916" spans="6:6" ht="12.75" customHeight="1">
      <c r="F7916" s="32"/>
    </row>
    <row r="7917" spans="6:6" ht="12.75" customHeight="1">
      <c r="F7917" s="32"/>
    </row>
    <row r="7918" spans="6:6" ht="12.75" customHeight="1">
      <c r="F7918" s="32"/>
    </row>
    <row r="7919" spans="6:6" ht="12.75" customHeight="1">
      <c r="F7919" s="32"/>
    </row>
    <row r="7920" spans="6:6" ht="12.75" customHeight="1">
      <c r="F7920" s="32"/>
    </row>
    <row r="7921" spans="6:6" ht="12.75" customHeight="1">
      <c r="F7921" s="32"/>
    </row>
    <row r="7922" spans="6:6" ht="12.75" customHeight="1">
      <c r="F7922" s="32"/>
    </row>
    <row r="7923" spans="6:6" ht="12.75" customHeight="1">
      <c r="F7923" s="32"/>
    </row>
    <row r="7924" spans="6:6" ht="12.75" customHeight="1">
      <c r="F7924" s="32"/>
    </row>
    <row r="7925" spans="6:6" ht="12.75" customHeight="1">
      <c r="F7925" s="32"/>
    </row>
    <row r="7926" spans="6:6" ht="12.75" customHeight="1">
      <c r="F7926" s="32"/>
    </row>
    <row r="7927" spans="6:6" ht="12.75" customHeight="1">
      <c r="F7927" s="32"/>
    </row>
    <row r="7928" spans="6:6" ht="12.75" customHeight="1">
      <c r="F7928" s="32"/>
    </row>
    <row r="7929" spans="6:6" ht="12.75" customHeight="1">
      <c r="F7929" s="32"/>
    </row>
    <row r="7930" spans="6:6" ht="12.75" customHeight="1">
      <c r="F7930" s="32"/>
    </row>
    <row r="7931" spans="6:6" ht="12.75" customHeight="1">
      <c r="F7931" s="32"/>
    </row>
    <row r="7932" spans="6:6" ht="12.75" customHeight="1">
      <c r="F7932" s="32"/>
    </row>
    <row r="7933" spans="6:6" ht="12.75" customHeight="1">
      <c r="F7933" s="32"/>
    </row>
    <row r="7934" spans="6:6" ht="12.75" customHeight="1">
      <c r="F7934" s="32"/>
    </row>
    <row r="7935" spans="6:6" ht="12.75" customHeight="1">
      <c r="F7935" s="32"/>
    </row>
    <row r="7936" spans="6:6" ht="12.75" customHeight="1">
      <c r="F7936" s="32"/>
    </row>
    <row r="7937" spans="6:6" ht="12.75" customHeight="1">
      <c r="F7937" s="32"/>
    </row>
    <row r="7938" spans="6:6" ht="12.75" customHeight="1">
      <c r="F7938" s="32"/>
    </row>
    <row r="7939" spans="6:6" ht="12.75" customHeight="1">
      <c r="F7939" s="32"/>
    </row>
    <row r="7940" spans="6:6" ht="12.75" customHeight="1">
      <c r="F7940" s="32"/>
    </row>
    <row r="7941" spans="6:6" ht="12.75" customHeight="1">
      <c r="F7941" s="32"/>
    </row>
    <row r="7942" spans="6:6" ht="12.75" customHeight="1">
      <c r="F7942" s="32"/>
    </row>
    <row r="7943" spans="6:6" ht="12.75" customHeight="1">
      <c r="F7943" s="32"/>
    </row>
    <row r="7944" spans="6:6" ht="12.75" customHeight="1">
      <c r="F7944" s="32"/>
    </row>
    <row r="7945" spans="6:6" ht="12.75" customHeight="1">
      <c r="F7945" s="32"/>
    </row>
    <row r="7946" spans="6:6" ht="12.75" customHeight="1">
      <c r="F7946" s="32"/>
    </row>
    <row r="7947" spans="6:6" ht="12.75" customHeight="1">
      <c r="F7947" s="32"/>
    </row>
    <row r="7948" spans="6:6" ht="12.75" customHeight="1">
      <c r="F7948" s="32"/>
    </row>
    <row r="7949" spans="6:6" ht="12.75" customHeight="1">
      <c r="F7949" s="32"/>
    </row>
    <row r="7950" spans="6:6" ht="12.75" customHeight="1">
      <c r="F7950" s="32"/>
    </row>
    <row r="7951" spans="6:6" ht="12.75" customHeight="1">
      <c r="F7951" s="32"/>
    </row>
    <row r="7952" spans="6:6" ht="12.75" customHeight="1">
      <c r="F7952" s="32"/>
    </row>
    <row r="7953" spans="6:6" ht="12.75" customHeight="1">
      <c r="F7953" s="32"/>
    </row>
    <row r="7954" spans="6:6" ht="12.75" customHeight="1">
      <c r="F7954" s="32"/>
    </row>
    <row r="7955" spans="6:6" ht="12.75" customHeight="1">
      <c r="F7955" s="32"/>
    </row>
    <row r="7956" spans="6:6" ht="12.75" customHeight="1">
      <c r="F7956" s="32"/>
    </row>
    <row r="7957" spans="6:6" ht="12.75" customHeight="1">
      <c r="F7957" s="32"/>
    </row>
    <row r="7958" spans="6:6" ht="12.75" customHeight="1">
      <c r="F7958" s="32"/>
    </row>
    <row r="7959" spans="6:6" ht="12.75" customHeight="1">
      <c r="F7959" s="32"/>
    </row>
    <row r="7960" spans="6:6" ht="12.75" customHeight="1">
      <c r="F7960" s="32"/>
    </row>
    <row r="7961" spans="6:6" ht="12.75" customHeight="1">
      <c r="F7961" s="32"/>
    </row>
    <row r="7962" spans="6:6" ht="12.75" customHeight="1">
      <c r="F7962" s="32"/>
    </row>
    <row r="7963" spans="6:6" ht="12.75" customHeight="1">
      <c r="F7963" s="32"/>
    </row>
    <row r="7964" spans="6:6" ht="12.75" customHeight="1">
      <c r="F7964" s="32"/>
    </row>
    <row r="7965" spans="6:6" ht="12.75" customHeight="1">
      <c r="F7965" s="32"/>
    </row>
    <row r="7966" spans="6:6" ht="12.75" customHeight="1">
      <c r="F7966" s="32"/>
    </row>
    <row r="7967" spans="6:6" ht="12.75" customHeight="1">
      <c r="F7967" s="32"/>
    </row>
    <row r="7968" spans="6:6" ht="12.75" customHeight="1">
      <c r="F7968" s="32"/>
    </row>
    <row r="7969" spans="6:6" ht="12.75" customHeight="1">
      <c r="F7969" s="32"/>
    </row>
    <row r="7970" spans="6:6" ht="12.75" customHeight="1">
      <c r="F7970" s="32"/>
    </row>
    <row r="7971" spans="6:6" ht="12.75" customHeight="1">
      <c r="F7971" s="32"/>
    </row>
    <row r="7972" spans="6:6" ht="12.75" customHeight="1">
      <c r="F7972" s="32"/>
    </row>
    <row r="7973" spans="6:6" ht="12.75" customHeight="1">
      <c r="F7973" s="32"/>
    </row>
    <row r="7974" spans="6:6" ht="12.75" customHeight="1">
      <c r="F7974" s="32"/>
    </row>
    <row r="7975" spans="6:6" ht="12.75" customHeight="1">
      <c r="F7975" s="32"/>
    </row>
    <row r="7976" spans="6:6" ht="12.75" customHeight="1">
      <c r="F7976" s="32"/>
    </row>
    <row r="7977" spans="6:6" ht="12.75" customHeight="1">
      <c r="F7977" s="32"/>
    </row>
    <row r="7978" spans="6:6" ht="12.75" customHeight="1">
      <c r="F7978" s="32"/>
    </row>
    <row r="7979" spans="6:6" ht="12.75" customHeight="1">
      <c r="F7979" s="32"/>
    </row>
    <row r="7980" spans="6:6" ht="12.75" customHeight="1">
      <c r="F7980" s="32"/>
    </row>
    <row r="7981" spans="6:6" ht="12.75" customHeight="1">
      <c r="F7981" s="32"/>
    </row>
    <row r="7982" spans="6:6" ht="12.75" customHeight="1">
      <c r="F7982" s="32"/>
    </row>
    <row r="7983" spans="6:6" ht="12.75" customHeight="1">
      <c r="F7983" s="32"/>
    </row>
    <row r="7984" spans="6:6" ht="12.75" customHeight="1">
      <c r="F7984" s="32"/>
    </row>
    <row r="7985" spans="6:6" ht="12.75" customHeight="1">
      <c r="F7985" s="32"/>
    </row>
    <row r="7986" spans="6:6" ht="12.75" customHeight="1">
      <c r="F7986" s="32"/>
    </row>
    <row r="7987" spans="6:6" ht="12.75" customHeight="1">
      <c r="F7987" s="32"/>
    </row>
    <row r="7988" spans="6:6" ht="12.75" customHeight="1">
      <c r="F7988" s="32"/>
    </row>
    <row r="7989" spans="6:6" ht="12.75" customHeight="1">
      <c r="F7989" s="32"/>
    </row>
    <row r="7990" spans="6:6" ht="12.75" customHeight="1">
      <c r="F7990" s="32"/>
    </row>
    <row r="7991" spans="6:6" ht="12.75" customHeight="1">
      <c r="F7991" s="32"/>
    </row>
    <row r="7992" spans="6:6" ht="12.75" customHeight="1">
      <c r="F7992" s="32"/>
    </row>
    <row r="7993" spans="6:6" ht="12.75" customHeight="1">
      <c r="F7993" s="32"/>
    </row>
    <row r="7994" spans="6:6" ht="12.75" customHeight="1">
      <c r="F7994" s="32"/>
    </row>
    <row r="7995" spans="6:6" ht="12.75" customHeight="1">
      <c r="F7995" s="32"/>
    </row>
    <row r="7996" spans="6:6" ht="12.75" customHeight="1">
      <c r="F7996" s="32"/>
    </row>
    <row r="7997" spans="6:6" ht="12.75" customHeight="1">
      <c r="F7997" s="32"/>
    </row>
    <row r="7998" spans="6:6" ht="12.75" customHeight="1">
      <c r="F7998" s="32"/>
    </row>
    <row r="7999" spans="6:6" ht="12.75" customHeight="1">
      <c r="F7999" s="32"/>
    </row>
    <row r="8000" spans="6:6" ht="12.75" customHeight="1">
      <c r="F8000" s="32"/>
    </row>
    <row r="8001" spans="6:6" ht="12.75" customHeight="1">
      <c r="F8001" s="32"/>
    </row>
    <row r="8002" spans="6:6" ht="12.75" customHeight="1">
      <c r="F8002" s="32"/>
    </row>
    <row r="8003" spans="6:6" ht="12.75" customHeight="1">
      <c r="F8003" s="32"/>
    </row>
    <row r="8004" spans="6:6" ht="12.75" customHeight="1">
      <c r="F8004" s="32"/>
    </row>
    <row r="8005" spans="6:6" ht="12.75" customHeight="1">
      <c r="F8005" s="32"/>
    </row>
    <row r="8006" spans="6:6" ht="12.75" customHeight="1">
      <c r="F8006" s="32"/>
    </row>
    <row r="8007" spans="6:6" ht="12.75" customHeight="1">
      <c r="F8007" s="32"/>
    </row>
    <row r="8008" spans="6:6" ht="12.75" customHeight="1">
      <c r="F8008" s="32"/>
    </row>
    <row r="8009" spans="6:6" ht="12.75" customHeight="1">
      <c r="F8009" s="32"/>
    </row>
    <row r="8010" spans="6:6" ht="12.75" customHeight="1">
      <c r="F8010" s="32"/>
    </row>
    <row r="8011" spans="6:6" ht="12.75" customHeight="1">
      <c r="F8011" s="32"/>
    </row>
    <row r="8012" spans="6:6" ht="12.75" customHeight="1">
      <c r="F8012" s="32"/>
    </row>
    <row r="8013" spans="6:6" ht="12.75" customHeight="1">
      <c r="F8013" s="32"/>
    </row>
    <row r="8014" spans="6:6" ht="12.75" customHeight="1">
      <c r="F8014" s="32"/>
    </row>
    <row r="8015" spans="6:6" ht="12.75" customHeight="1">
      <c r="F8015" s="32"/>
    </row>
    <row r="8016" spans="6:6" ht="12.75" customHeight="1">
      <c r="F8016" s="32"/>
    </row>
    <row r="8017" spans="6:6" ht="12.75" customHeight="1">
      <c r="F8017" s="32"/>
    </row>
    <row r="8018" spans="6:6" ht="12.75" customHeight="1">
      <c r="F8018" s="32"/>
    </row>
    <row r="8019" spans="6:6" ht="12.75" customHeight="1">
      <c r="F8019" s="32"/>
    </row>
    <row r="8020" spans="6:6" ht="12.75" customHeight="1">
      <c r="F8020" s="32"/>
    </row>
    <row r="8021" spans="6:6" ht="12.75" customHeight="1">
      <c r="F8021" s="32"/>
    </row>
    <row r="8022" spans="6:6" ht="12.75" customHeight="1">
      <c r="F8022" s="32"/>
    </row>
    <row r="8023" spans="6:6" ht="12.75" customHeight="1">
      <c r="F8023" s="32"/>
    </row>
    <row r="8024" spans="6:6" ht="12.75" customHeight="1">
      <c r="F8024" s="32"/>
    </row>
    <row r="8025" spans="6:6" ht="12.75" customHeight="1">
      <c r="F8025" s="32"/>
    </row>
    <row r="8026" spans="6:6" ht="12.75" customHeight="1">
      <c r="F8026" s="32"/>
    </row>
    <row r="8027" spans="6:6" ht="12.75" customHeight="1">
      <c r="F8027" s="32"/>
    </row>
    <row r="8028" spans="6:6" ht="12.75" customHeight="1">
      <c r="F8028" s="32"/>
    </row>
    <row r="8029" spans="6:6" ht="12.75" customHeight="1">
      <c r="F8029" s="32"/>
    </row>
    <row r="8030" spans="6:6" ht="12.75" customHeight="1">
      <c r="F8030" s="32"/>
    </row>
    <row r="8031" spans="6:6" ht="12.75" customHeight="1">
      <c r="F8031" s="32"/>
    </row>
    <row r="8032" spans="6:6" ht="12.75" customHeight="1">
      <c r="F8032" s="32"/>
    </row>
    <row r="8033" spans="6:6" ht="12.75" customHeight="1">
      <c r="F8033" s="32"/>
    </row>
    <row r="8034" spans="6:6" ht="12.75" customHeight="1">
      <c r="F8034" s="32"/>
    </row>
    <row r="8035" spans="6:6" ht="12.75" customHeight="1">
      <c r="F8035" s="32"/>
    </row>
    <row r="8036" spans="6:6" ht="12.75" customHeight="1">
      <c r="F8036" s="32"/>
    </row>
    <row r="8037" spans="6:6" ht="12.75" customHeight="1">
      <c r="F8037" s="32"/>
    </row>
    <row r="8038" spans="6:6" ht="12.75" customHeight="1">
      <c r="F8038" s="32"/>
    </row>
    <row r="8039" spans="6:6" ht="12.75" customHeight="1">
      <c r="F8039" s="32"/>
    </row>
    <row r="8040" spans="6:6" ht="12.75" customHeight="1">
      <c r="F8040" s="32"/>
    </row>
    <row r="8041" spans="6:6" ht="12.75" customHeight="1">
      <c r="F8041" s="32"/>
    </row>
    <row r="8042" spans="6:6" ht="12.75" customHeight="1">
      <c r="F8042" s="32"/>
    </row>
    <row r="8043" spans="6:6" ht="12.75" customHeight="1">
      <c r="F8043" s="32"/>
    </row>
    <row r="8044" spans="6:6" ht="12.75" customHeight="1">
      <c r="F8044" s="32"/>
    </row>
    <row r="8045" spans="6:6" ht="12.75" customHeight="1">
      <c r="F8045" s="32"/>
    </row>
    <row r="8046" spans="6:6" ht="12.75" customHeight="1">
      <c r="F8046" s="32"/>
    </row>
    <row r="8047" spans="6:6" ht="12.75" customHeight="1">
      <c r="F8047" s="32"/>
    </row>
    <row r="8048" spans="6:6" ht="12.75" customHeight="1">
      <c r="F8048" s="32"/>
    </row>
    <row r="8049" spans="6:6" ht="12.75" customHeight="1">
      <c r="F8049" s="32"/>
    </row>
    <row r="8050" spans="6:6" ht="12.75" customHeight="1">
      <c r="F8050" s="32"/>
    </row>
    <row r="8051" spans="6:6" ht="12.75" customHeight="1">
      <c r="F8051" s="32"/>
    </row>
    <row r="8052" spans="6:6" ht="12.75" customHeight="1">
      <c r="F8052" s="32"/>
    </row>
    <row r="8053" spans="6:6" ht="12.75" customHeight="1">
      <c r="F8053" s="32"/>
    </row>
    <row r="8054" spans="6:6" ht="12.75" customHeight="1">
      <c r="F8054" s="32"/>
    </row>
    <row r="8055" spans="6:6" ht="12.75" customHeight="1">
      <c r="F8055" s="32"/>
    </row>
    <row r="8056" spans="6:6" ht="12.75" customHeight="1">
      <c r="F8056" s="32"/>
    </row>
    <row r="8057" spans="6:6" ht="12.75" customHeight="1">
      <c r="F8057" s="32"/>
    </row>
    <row r="8058" spans="6:6" ht="12.75" customHeight="1">
      <c r="F8058" s="32"/>
    </row>
    <row r="8059" spans="6:6" ht="12.75" customHeight="1">
      <c r="F8059" s="32"/>
    </row>
    <row r="8060" spans="6:6" ht="12.75" customHeight="1">
      <c r="F8060" s="32"/>
    </row>
    <row r="8061" spans="6:6" ht="12.75" customHeight="1">
      <c r="F8061" s="32"/>
    </row>
    <row r="8062" spans="6:6" ht="12.75" customHeight="1">
      <c r="F8062" s="32"/>
    </row>
    <row r="8063" spans="6:6" ht="12.75" customHeight="1">
      <c r="F8063" s="32"/>
    </row>
    <row r="8064" spans="6:6" ht="12.75" customHeight="1">
      <c r="F8064" s="32"/>
    </row>
    <row r="8065" spans="6:6" ht="12.75" customHeight="1">
      <c r="F8065" s="32"/>
    </row>
    <row r="8066" spans="6:6" ht="12.75" customHeight="1">
      <c r="F8066" s="32"/>
    </row>
    <row r="8067" spans="6:6" ht="12.75" customHeight="1">
      <c r="F8067" s="32"/>
    </row>
    <row r="8068" spans="6:6" ht="12.75" customHeight="1">
      <c r="F8068" s="32"/>
    </row>
    <row r="8069" spans="6:6" ht="12.75" customHeight="1">
      <c r="F8069" s="32"/>
    </row>
    <row r="8070" spans="6:6" ht="12.75" customHeight="1">
      <c r="F8070" s="32"/>
    </row>
    <row r="8071" spans="6:6" ht="12.75" customHeight="1">
      <c r="F8071" s="32"/>
    </row>
    <row r="8072" spans="6:6" ht="12.75" customHeight="1">
      <c r="F8072" s="32"/>
    </row>
    <row r="8073" spans="6:6" ht="12.75" customHeight="1">
      <c r="F8073" s="32"/>
    </row>
    <row r="8074" spans="6:6" ht="12.75" customHeight="1">
      <c r="F8074" s="32"/>
    </row>
    <row r="8075" spans="6:6" ht="12.75" customHeight="1">
      <c r="F8075" s="32"/>
    </row>
    <row r="8076" spans="6:6" ht="12.75" customHeight="1">
      <c r="F8076" s="32"/>
    </row>
    <row r="8077" spans="6:6" ht="12.75" customHeight="1">
      <c r="F8077" s="32"/>
    </row>
    <row r="8078" spans="6:6" ht="12.75" customHeight="1">
      <c r="F8078" s="32"/>
    </row>
    <row r="8079" spans="6:6" ht="12.75" customHeight="1">
      <c r="F8079" s="32"/>
    </row>
    <row r="8080" spans="6:6" ht="12.75" customHeight="1">
      <c r="F8080" s="32"/>
    </row>
    <row r="8081" spans="6:6" ht="12.75" customHeight="1">
      <c r="F8081" s="32"/>
    </row>
    <row r="8082" spans="6:6" ht="12.75" customHeight="1">
      <c r="F8082" s="32"/>
    </row>
    <row r="8083" spans="6:6" ht="12.75" customHeight="1">
      <c r="F8083" s="32"/>
    </row>
    <row r="8084" spans="6:6" ht="12.75" customHeight="1">
      <c r="F8084" s="32"/>
    </row>
    <row r="8085" spans="6:6" ht="12.75" customHeight="1">
      <c r="F8085" s="32"/>
    </row>
    <row r="8086" spans="6:6" ht="12.75" customHeight="1">
      <c r="F8086" s="32"/>
    </row>
    <row r="8087" spans="6:6" ht="12.75" customHeight="1">
      <c r="F8087" s="32"/>
    </row>
    <row r="8088" spans="6:6" ht="12.75" customHeight="1">
      <c r="F8088" s="32"/>
    </row>
    <row r="8089" spans="6:6" ht="12.75" customHeight="1">
      <c r="F8089" s="32"/>
    </row>
    <row r="8090" spans="6:6" ht="12.75" customHeight="1">
      <c r="F8090" s="32"/>
    </row>
    <row r="8091" spans="6:6" ht="12.75" customHeight="1">
      <c r="F8091" s="32"/>
    </row>
    <row r="8092" spans="6:6" ht="12.75" customHeight="1">
      <c r="F8092" s="32"/>
    </row>
    <row r="8093" spans="6:6" ht="12.75" customHeight="1">
      <c r="F8093" s="32"/>
    </row>
    <row r="8094" spans="6:6" ht="12.75" customHeight="1">
      <c r="F8094" s="32"/>
    </row>
    <row r="8095" spans="6:6" ht="12.75" customHeight="1">
      <c r="F8095" s="32"/>
    </row>
    <row r="8096" spans="6:6" ht="12.75" customHeight="1">
      <c r="F8096" s="32"/>
    </row>
    <row r="8097" spans="6:6" ht="12.75" customHeight="1">
      <c r="F8097" s="32"/>
    </row>
    <row r="8098" spans="6:6" ht="12.75" customHeight="1">
      <c r="F8098" s="32"/>
    </row>
    <row r="8099" spans="6:6" ht="12.75" customHeight="1">
      <c r="F8099" s="32"/>
    </row>
    <row r="8100" spans="6:6" ht="12.75" customHeight="1">
      <c r="F8100" s="32"/>
    </row>
    <row r="8101" spans="6:6" ht="12.75" customHeight="1">
      <c r="F8101" s="32"/>
    </row>
    <row r="8102" spans="6:6" ht="12.75" customHeight="1">
      <c r="F8102" s="32"/>
    </row>
    <row r="8103" spans="6:6" ht="12.75" customHeight="1">
      <c r="F8103" s="32"/>
    </row>
    <row r="8104" spans="6:6" ht="12.75" customHeight="1">
      <c r="F8104" s="32"/>
    </row>
    <row r="8105" spans="6:6" ht="12.75" customHeight="1">
      <c r="F8105" s="32"/>
    </row>
    <row r="8106" spans="6:6" ht="12.75" customHeight="1">
      <c r="F8106" s="32"/>
    </row>
    <row r="8107" spans="6:6" ht="12.75" customHeight="1">
      <c r="F8107" s="32"/>
    </row>
    <row r="8108" spans="6:6" ht="12.75" customHeight="1">
      <c r="F8108" s="32"/>
    </row>
    <row r="8109" spans="6:6" ht="12.75" customHeight="1">
      <c r="F8109" s="32"/>
    </row>
    <row r="8110" spans="6:6" ht="12.75" customHeight="1">
      <c r="F8110" s="32"/>
    </row>
    <row r="8111" spans="6:6" ht="12.75" customHeight="1">
      <c r="F8111" s="32"/>
    </row>
    <row r="8112" spans="6:6" ht="12.75" customHeight="1">
      <c r="F8112" s="32"/>
    </row>
    <row r="8113" spans="6:6" ht="12.75" customHeight="1">
      <c r="F8113" s="32"/>
    </row>
    <row r="8114" spans="6:6" ht="12.75" customHeight="1">
      <c r="F8114" s="32"/>
    </row>
    <row r="8115" spans="6:6" ht="12.75" customHeight="1">
      <c r="F8115" s="32"/>
    </row>
    <row r="8116" spans="6:6" ht="12.75" customHeight="1">
      <c r="F8116" s="32"/>
    </row>
    <row r="8117" spans="6:6" ht="12.75" customHeight="1">
      <c r="F8117" s="32"/>
    </row>
    <row r="8118" spans="6:6" ht="12.75" customHeight="1">
      <c r="F8118" s="32"/>
    </row>
    <row r="8119" spans="6:6" ht="12.75" customHeight="1">
      <c r="F8119" s="32"/>
    </row>
    <row r="8120" spans="6:6" ht="12.75" customHeight="1">
      <c r="F8120" s="32"/>
    </row>
    <row r="8121" spans="6:6" ht="12.75" customHeight="1">
      <c r="F8121" s="32"/>
    </row>
    <row r="8122" spans="6:6" ht="12.75" customHeight="1">
      <c r="F8122" s="32"/>
    </row>
    <row r="8123" spans="6:6" ht="12.75" customHeight="1">
      <c r="F8123" s="32"/>
    </row>
    <row r="8124" spans="6:6" ht="12.75" customHeight="1">
      <c r="F8124" s="32"/>
    </row>
    <row r="8125" spans="6:6" ht="12.75" customHeight="1">
      <c r="F8125" s="32"/>
    </row>
    <row r="8126" spans="6:6" ht="12.75" customHeight="1">
      <c r="F8126" s="32"/>
    </row>
    <row r="8127" spans="6:6" ht="12.75" customHeight="1">
      <c r="F8127" s="32"/>
    </row>
    <row r="8128" spans="6:6" ht="12.75" customHeight="1">
      <c r="F8128" s="32"/>
    </row>
    <row r="8129" spans="6:6" ht="12.75" customHeight="1">
      <c r="F8129" s="32"/>
    </row>
    <row r="8130" spans="6:6" ht="12.75" customHeight="1">
      <c r="F8130" s="32"/>
    </row>
    <row r="8131" spans="6:6" ht="12.75" customHeight="1">
      <c r="F8131" s="32"/>
    </row>
    <row r="8132" spans="6:6" ht="12.75" customHeight="1">
      <c r="F8132" s="32"/>
    </row>
    <row r="8133" spans="6:6" ht="12.75" customHeight="1">
      <c r="F8133" s="32"/>
    </row>
    <row r="8134" spans="6:6" ht="12.75" customHeight="1">
      <c r="F8134" s="32"/>
    </row>
    <row r="8135" spans="6:6" ht="12.75" customHeight="1">
      <c r="F8135" s="32"/>
    </row>
    <row r="8136" spans="6:6" ht="12.75" customHeight="1">
      <c r="F8136" s="32"/>
    </row>
    <row r="8137" spans="6:6" ht="12.75" customHeight="1">
      <c r="F8137" s="32"/>
    </row>
    <row r="8138" spans="6:6" ht="12.75" customHeight="1">
      <c r="F8138" s="32"/>
    </row>
    <row r="8139" spans="6:6" ht="12.75" customHeight="1">
      <c r="F8139" s="32"/>
    </row>
    <row r="8140" spans="6:6" ht="12.75" customHeight="1">
      <c r="F8140" s="32"/>
    </row>
    <row r="8141" spans="6:6" ht="12.75" customHeight="1">
      <c r="F8141" s="32"/>
    </row>
    <row r="8142" spans="6:6" ht="12.75" customHeight="1">
      <c r="F8142" s="32"/>
    </row>
    <row r="8143" spans="6:6" ht="12.75" customHeight="1">
      <c r="F8143" s="32"/>
    </row>
    <row r="8144" spans="6:6" ht="12.75" customHeight="1">
      <c r="F8144" s="32"/>
    </row>
    <row r="8145" spans="6:6" ht="12.75" customHeight="1">
      <c r="F8145" s="32"/>
    </row>
    <row r="8146" spans="6:6" ht="12.75" customHeight="1">
      <c r="F8146" s="32"/>
    </row>
    <row r="8147" spans="6:6" ht="12.75" customHeight="1">
      <c r="F8147" s="32"/>
    </row>
    <row r="8148" spans="6:6" ht="12.75" customHeight="1">
      <c r="F8148" s="32"/>
    </row>
    <row r="8149" spans="6:6" ht="12.75" customHeight="1">
      <c r="F8149" s="32"/>
    </row>
    <row r="8150" spans="6:6" ht="12.75" customHeight="1">
      <c r="F8150" s="32"/>
    </row>
    <row r="8151" spans="6:6" ht="12.75" customHeight="1">
      <c r="F8151" s="32"/>
    </row>
    <row r="8152" spans="6:6" ht="12.75" customHeight="1">
      <c r="F8152" s="32"/>
    </row>
    <row r="8153" spans="6:6" ht="12.75" customHeight="1">
      <c r="F8153" s="32"/>
    </row>
    <row r="8154" spans="6:6" ht="12.75" customHeight="1">
      <c r="F8154" s="32"/>
    </row>
    <row r="8155" spans="6:6" ht="12.75" customHeight="1">
      <c r="F8155" s="32"/>
    </row>
    <row r="8156" spans="6:6" ht="12.75" customHeight="1">
      <c r="F8156" s="32"/>
    </row>
    <row r="8157" spans="6:6" ht="12.75" customHeight="1">
      <c r="F8157" s="32"/>
    </row>
    <row r="8158" spans="6:6" ht="12.75" customHeight="1">
      <c r="F8158" s="32"/>
    </row>
    <row r="8159" spans="6:6" ht="12.75" customHeight="1">
      <c r="F8159" s="32"/>
    </row>
    <row r="8160" spans="6:6" ht="12.75" customHeight="1">
      <c r="F8160" s="32"/>
    </row>
    <row r="8161" spans="6:6" ht="12.75" customHeight="1">
      <c r="F8161" s="32"/>
    </row>
    <row r="8162" spans="6:6" ht="12.75" customHeight="1">
      <c r="F8162" s="32"/>
    </row>
    <row r="8163" spans="6:6" ht="12.75" customHeight="1">
      <c r="F8163" s="32"/>
    </row>
    <row r="8164" spans="6:6" ht="12.75" customHeight="1">
      <c r="F8164" s="32"/>
    </row>
    <row r="8165" spans="6:6" ht="12.75" customHeight="1">
      <c r="F8165" s="32"/>
    </row>
    <row r="8166" spans="6:6" ht="12.75" customHeight="1">
      <c r="F8166" s="32"/>
    </row>
    <row r="8167" spans="6:6" ht="12.75" customHeight="1">
      <c r="F8167" s="32"/>
    </row>
    <row r="8168" spans="6:6" ht="12.75" customHeight="1">
      <c r="F8168" s="32"/>
    </row>
    <row r="8169" spans="6:6" ht="12.75" customHeight="1">
      <c r="F8169" s="32"/>
    </row>
    <row r="8170" spans="6:6" ht="12.75" customHeight="1">
      <c r="F8170" s="32"/>
    </row>
    <row r="8171" spans="6:6" ht="12.75" customHeight="1">
      <c r="F8171" s="32"/>
    </row>
    <row r="8172" spans="6:6" ht="12.75" customHeight="1">
      <c r="F8172" s="32"/>
    </row>
    <row r="8173" spans="6:6" ht="12.75" customHeight="1">
      <c r="F8173" s="32"/>
    </row>
    <row r="8174" spans="6:6" ht="12.75" customHeight="1">
      <c r="F8174" s="32"/>
    </row>
    <row r="8175" spans="6:6" ht="12.75" customHeight="1">
      <c r="F8175" s="32"/>
    </row>
    <row r="8176" spans="6:6" ht="12.75" customHeight="1">
      <c r="F8176" s="32"/>
    </row>
    <row r="8177" spans="6:6" ht="12.75" customHeight="1">
      <c r="F8177" s="32"/>
    </row>
    <row r="8178" spans="6:6" ht="12.75" customHeight="1">
      <c r="F8178" s="32"/>
    </row>
    <row r="8179" spans="6:6" ht="12.75" customHeight="1">
      <c r="F8179" s="32"/>
    </row>
    <row r="8180" spans="6:6" ht="12.75" customHeight="1">
      <c r="F8180" s="32"/>
    </row>
    <row r="8181" spans="6:6" ht="12.75" customHeight="1">
      <c r="F8181" s="32"/>
    </row>
    <row r="8182" spans="6:6" ht="12.75" customHeight="1">
      <c r="F8182" s="32"/>
    </row>
    <row r="8183" spans="6:6" ht="12.75" customHeight="1">
      <c r="F8183" s="32"/>
    </row>
    <row r="8184" spans="6:6" ht="12.75" customHeight="1">
      <c r="F8184" s="32"/>
    </row>
    <row r="8185" spans="6:6" ht="12.75" customHeight="1">
      <c r="F8185" s="32"/>
    </row>
    <row r="8186" spans="6:6" ht="12.75" customHeight="1">
      <c r="F8186" s="32"/>
    </row>
    <row r="8187" spans="6:6" ht="12.75" customHeight="1">
      <c r="F8187" s="32"/>
    </row>
    <row r="8188" spans="6:6" ht="12.75" customHeight="1">
      <c r="F8188" s="32"/>
    </row>
    <row r="8189" spans="6:6" ht="12.75" customHeight="1">
      <c r="F8189" s="32"/>
    </row>
    <row r="8190" spans="6:6" ht="12.75" customHeight="1">
      <c r="F8190" s="32"/>
    </row>
    <row r="8191" spans="6:6" ht="12.75" customHeight="1">
      <c r="F8191" s="32"/>
    </row>
    <row r="8192" spans="6:6" ht="12.75" customHeight="1">
      <c r="F8192" s="32"/>
    </row>
    <row r="8193" spans="6:6" ht="12.75" customHeight="1">
      <c r="F8193" s="32"/>
    </row>
    <row r="8194" spans="6:6" ht="12.75" customHeight="1">
      <c r="F8194" s="32"/>
    </row>
    <row r="8195" spans="6:6" ht="12.75" customHeight="1">
      <c r="F8195" s="32"/>
    </row>
    <row r="8196" spans="6:6" ht="12.75" customHeight="1">
      <c r="F8196" s="32"/>
    </row>
    <row r="8197" spans="6:6" ht="12.75" customHeight="1">
      <c r="F8197" s="32"/>
    </row>
    <row r="8198" spans="6:6" ht="12.75" customHeight="1">
      <c r="F8198" s="32"/>
    </row>
    <row r="8199" spans="6:6" ht="12.75" customHeight="1">
      <c r="F8199" s="32"/>
    </row>
    <row r="8200" spans="6:6" ht="12.75" customHeight="1">
      <c r="F8200" s="32"/>
    </row>
    <row r="8201" spans="6:6" ht="12.75" customHeight="1">
      <c r="F8201" s="32"/>
    </row>
    <row r="8202" spans="6:6" ht="12.75" customHeight="1">
      <c r="F8202" s="32"/>
    </row>
    <row r="8203" spans="6:6" ht="12.75" customHeight="1">
      <c r="F8203" s="32"/>
    </row>
    <row r="8204" spans="6:6" ht="12.75" customHeight="1">
      <c r="F8204" s="32"/>
    </row>
    <row r="8205" spans="6:6" ht="12.75" customHeight="1">
      <c r="F8205" s="32"/>
    </row>
    <row r="8206" spans="6:6" ht="12.75" customHeight="1">
      <c r="F8206" s="32"/>
    </row>
    <row r="8207" spans="6:6" ht="12.75" customHeight="1">
      <c r="F8207" s="32"/>
    </row>
    <row r="8208" spans="6:6" ht="12.75" customHeight="1">
      <c r="F8208" s="32"/>
    </row>
    <row r="8209" spans="6:6" ht="12.75" customHeight="1">
      <c r="F8209" s="32"/>
    </row>
    <row r="8210" spans="6:6" ht="12.75" customHeight="1">
      <c r="F8210" s="32"/>
    </row>
    <row r="8211" spans="6:6" ht="12.75" customHeight="1">
      <c r="F8211" s="32"/>
    </row>
    <row r="8212" spans="6:6" ht="12.75" customHeight="1">
      <c r="F8212" s="32"/>
    </row>
    <row r="8213" spans="6:6" ht="12.75" customHeight="1">
      <c r="F8213" s="32"/>
    </row>
    <row r="8214" spans="6:6" ht="12.75" customHeight="1">
      <c r="F8214" s="32"/>
    </row>
    <row r="8215" spans="6:6" ht="12.75" customHeight="1">
      <c r="F8215" s="32"/>
    </row>
    <row r="8216" spans="6:6" ht="12.75" customHeight="1">
      <c r="F8216" s="32"/>
    </row>
    <row r="8217" spans="6:6" ht="12.75" customHeight="1">
      <c r="F8217" s="32"/>
    </row>
    <row r="8218" spans="6:6" ht="12.75" customHeight="1">
      <c r="F8218" s="32"/>
    </row>
    <row r="8219" spans="6:6" ht="12.75" customHeight="1">
      <c r="F8219" s="32"/>
    </row>
    <row r="8220" spans="6:6" ht="12.75" customHeight="1">
      <c r="F8220" s="32"/>
    </row>
    <row r="8221" spans="6:6" ht="12.75" customHeight="1">
      <c r="F8221" s="32"/>
    </row>
    <row r="8222" spans="6:6" ht="12.75" customHeight="1">
      <c r="F8222" s="32"/>
    </row>
    <row r="8223" spans="6:6" ht="12.75" customHeight="1">
      <c r="F8223" s="32"/>
    </row>
    <row r="8224" spans="6:6" ht="12.75" customHeight="1">
      <c r="F8224" s="32"/>
    </row>
    <row r="8225" spans="6:6" ht="12.75" customHeight="1">
      <c r="F8225" s="32"/>
    </row>
    <row r="8226" spans="6:6" ht="12.75" customHeight="1">
      <c r="F8226" s="32"/>
    </row>
    <row r="8227" spans="6:6" ht="12.75" customHeight="1">
      <c r="F8227" s="32"/>
    </row>
    <row r="8228" spans="6:6" ht="12.75" customHeight="1">
      <c r="F8228" s="32"/>
    </row>
    <row r="8229" spans="6:6" ht="12.75" customHeight="1">
      <c r="F8229" s="32"/>
    </row>
    <row r="8230" spans="6:6" ht="12.75" customHeight="1">
      <c r="F8230" s="32"/>
    </row>
    <row r="8231" spans="6:6" ht="12.75" customHeight="1">
      <c r="F8231" s="32"/>
    </row>
    <row r="8232" spans="6:6" ht="12.75" customHeight="1">
      <c r="F8232" s="32"/>
    </row>
    <row r="8233" spans="6:6" ht="12.75" customHeight="1">
      <c r="F8233" s="32"/>
    </row>
    <row r="8234" spans="6:6" ht="12.75" customHeight="1">
      <c r="F8234" s="32"/>
    </row>
    <row r="8235" spans="6:6" ht="12.75" customHeight="1">
      <c r="F8235" s="32"/>
    </row>
    <row r="8236" spans="6:6" ht="12.75" customHeight="1">
      <c r="F8236" s="32"/>
    </row>
    <row r="8237" spans="6:6" ht="12.75" customHeight="1">
      <c r="F8237" s="32"/>
    </row>
    <row r="8238" spans="6:6" ht="12.75" customHeight="1">
      <c r="F8238" s="32"/>
    </row>
    <row r="8239" spans="6:6" ht="12.75" customHeight="1">
      <c r="F8239" s="32"/>
    </row>
    <row r="8240" spans="6:6" ht="12.75" customHeight="1">
      <c r="F8240" s="32"/>
    </row>
    <row r="8241" spans="6:6" ht="12.75" customHeight="1">
      <c r="F8241" s="32"/>
    </row>
    <row r="8242" spans="6:6" ht="12.75" customHeight="1">
      <c r="F8242" s="32"/>
    </row>
    <row r="8243" spans="6:6" ht="12.75" customHeight="1">
      <c r="F8243" s="32"/>
    </row>
    <row r="8244" spans="6:6" ht="12.75" customHeight="1">
      <c r="F8244" s="32"/>
    </row>
    <row r="8245" spans="6:6" ht="12.75" customHeight="1">
      <c r="F8245" s="32"/>
    </row>
    <row r="8246" spans="6:6" ht="12.75" customHeight="1">
      <c r="F8246" s="32"/>
    </row>
    <row r="8247" spans="6:6" ht="12.75" customHeight="1">
      <c r="F8247" s="32"/>
    </row>
    <row r="8248" spans="6:6" ht="12.75" customHeight="1">
      <c r="F8248" s="32"/>
    </row>
    <row r="8249" spans="6:6" ht="12.75" customHeight="1">
      <c r="F8249" s="32"/>
    </row>
    <row r="8250" spans="6:6" ht="12.75" customHeight="1">
      <c r="F8250" s="32"/>
    </row>
    <row r="8251" spans="6:6" ht="12.75" customHeight="1">
      <c r="F8251" s="32"/>
    </row>
    <row r="8252" spans="6:6" ht="12.75" customHeight="1">
      <c r="F8252" s="32"/>
    </row>
    <row r="8253" spans="6:6" ht="12.75" customHeight="1">
      <c r="F8253" s="32"/>
    </row>
    <row r="8254" spans="6:6" ht="12.75" customHeight="1">
      <c r="F8254" s="32"/>
    </row>
    <row r="8255" spans="6:6" ht="12.75" customHeight="1">
      <c r="F8255" s="32"/>
    </row>
    <row r="8256" spans="6:6" ht="12.75" customHeight="1">
      <c r="F8256" s="32"/>
    </row>
    <row r="8257" spans="6:6" ht="12.75" customHeight="1">
      <c r="F8257" s="32"/>
    </row>
    <row r="8258" spans="6:6" ht="12.75" customHeight="1">
      <c r="F8258" s="32"/>
    </row>
    <row r="8259" spans="6:6" ht="12.75" customHeight="1">
      <c r="F8259" s="32"/>
    </row>
    <row r="8260" spans="6:6" ht="12.75" customHeight="1">
      <c r="F8260" s="32"/>
    </row>
    <row r="8261" spans="6:6" ht="12.75" customHeight="1">
      <c r="F8261" s="32"/>
    </row>
    <row r="8262" spans="6:6" ht="12.75" customHeight="1">
      <c r="F8262" s="32"/>
    </row>
    <row r="8263" spans="6:6" ht="12.75" customHeight="1">
      <c r="F8263" s="32"/>
    </row>
    <row r="8264" spans="6:6" ht="12.75" customHeight="1">
      <c r="F8264" s="32"/>
    </row>
    <row r="8265" spans="6:6" ht="12.75" customHeight="1">
      <c r="F8265" s="32"/>
    </row>
    <row r="8266" spans="6:6" ht="12.75" customHeight="1">
      <c r="F8266" s="32"/>
    </row>
    <row r="8267" spans="6:6" ht="12.75" customHeight="1">
      <c r="F8267" s="32"/>
    </row>
    <row r="8268" spans="6:6" ht="12.75" customHeight="1">
      <c r="F8268" s="32"/>
    </row>
    <row r="8269" spans="6:6" ht="12.75" customHeight="1">
      <c r="F8269" s="32"/>
    </row>
    <row r="8270" spans="6:6" ht="12.75" customHeight="1">
      <c r="F8270" s="32"/>
    </row>
    <row r="8271" spans="6:6" ht="12.75" customHeight="1">
      <c r="F8271" s="32"/>
    </row>
    <row r="8272" spans="6:6" ht="12.75" customHeight="1">
      <c r="F8272" s="32"/>
    </row>
    <row r="8273" spans="6:6" ht="12.75" customHeight="1">
      <c r="F8273" s="32"/>
    </row>
    <row r="8274" spans="6:6" ht="12.75" customHeight="1">
      <c r="F8274" s="32"/>
    </row>
    <row r="8275" spans="6:6" ht="12.75" customHeight="1">
      <c r="F8275" s="32"/>
    </row>
    <row r="8276" spans="6:6" ht="12.75" customHeight="1">
      <c r="F8276" s="32"/>
    </row>
    <row r="8277" spans="6:6" ht="12.75" customHeight="1">
      <c r="F8277" s="32"/>
    </row>
    <row r="8278" spans="6:6" ht="12.75" customHeight="1">
      <c r="F8278" s="32"/>
    </row>
    <row r="8279" spans="6:6" ht="12.75" customHeight="1">
      <c r="F8279" s="32"/>
    </row>
    <row r="8280" spans="6:6" ht="12.75" customHeight="1">
      <c r="F8280" s="32"/>
    </row>
    <row r="8281" spans="6:6" ht="12.75" customHeight="1">
      <c r="F8281" s="32"/>
    </row>
    <row r="8282" spans="6:6" ht="12.75" customHeight="1">
      <c r="F8282" s="32"/>
    </row>
    <row r="8283" spans="6:6" ht="12.75" customHeight="1">
      <c r="F8283" s="32"/>
    </row>
    <row r="8284" spans="6:6" ht="12.75" customHeight="1">
      <c r="F8284" s="32"/>
    </row>
    <row r="8285" spans="6:6" ht="12.75" customHeight="1">
      <c r="F8285" s="32"/>
    </row>
    <row r="8286" spans="6:6" ht="12.75" customHeight="1">
      <c r="F8286" s="32"/>
    </row>
    <row r="8287" spans="6:6" ht="12.75" customHeight="1">
      <c r="F8287" s="32"/>
    </row>
    <row r="8288" spans="6:6" ht="12.75" customHeight="1">
      <c r="F8288" s="32"/>
    </row>
    <row r="8289" spans="6:6" ht="12.75" customHeight="1">
      <c r="F8289" s="32"/>
    </row>
    <row r="8290" spans="6:6" ht="12.75" customHeight="1">
      <c r="F8290" s="32"/>
    </row>
    <row r="8291" spans="6:6" ht="12.75" customHeight="1">
      <c r="F8291" s="32"/>
    </row>
    <row r="8292" spans="6:6" ht="12.75" customHeight="1">
      <c r="F8292" s="32"/>
    </row>
    <row r="8293" spans="6:6" ht="12.75" customHeight="1">
      <c r="F8293" s="32"/>
    </row>
    <row r="8294" spans="6:6" ht="12.75" customHeight="1">
      <c r="F8294" s="32"/>
    </row>
    <row r="8295" spans="6:6" ht="12.75" customHeight="1">
      <c r="F8295" s="32"/>
    </row>
    <row r="8296" spans="6:6" ht="12.75" customHeight="1">
      <c r="F8296" s="32"/>
    </row>
    <row r="8297" spans="6:6" ht="12.75" customHeight="1">
      <c r="F8297" s="32"/>
    </row>
    <row r="8298" spans="6:6" ht="12.75" customHeight="1">
      <c r="F8298" s="32"/>
    </row>
    <row r="8299" spans="6:6" ht="12.75" customHeight="1">
      <c r="F8299" s="32"/>
    </row>
    <row r="8300" spans="6:6" ht="12.75" customHeight="1">
      <c r="F8300" s="32"/>
    </row>
    <row r="8301" spans="6:6" ht="12.75" customHeight="1">
      <c r="F8301" s="32"/>
    </row>
    <row r="8302" spans="6:6" ht="12.75" customHeight="1">
      <c r="F8302" s="32"/>
    </row>
    <row r="8303" spans="6:6" ht="12.75" customHeight="1">
      <c r="F8303" s="32"/>
    </row>
    <row r="8304" spans="6:6" ht="12.75" customHeight="1">
      <c r="F8304" s="32"/>
    </row>
    <row r="8305" spans="6:6" ht="12.75" customHeight="1">
      <c r="F8305" s="32"/>
    </row>
    <row r="8306" spans="6:6" ht="12.75" customHeight="1">
      <c r="F8306" s="32"/>
    </row>
    <row r="8307" spans="6:6" ht="12.75" customHeight="1">
      <c r="F8307" s="32"/>
    </row>
    <row r="8308" spans="6:6" ht="12.75" customHeight="1">
      <c r="F8308" s="32"/>
    </row>
    <row r="8309" spans="6:6" ht="12.75" customHeight="1">
      <c r="F8309" s="32"/>
    </row>
    <row r="8310" spans="6:6" ht="12.75" customHeight="1">
      <c r="F8310" s="32"/>
    </row>
    <row r="8311" spans="6:6" ht="12.75" customHeight="1">
      <c r="F8311" s="32"/>
    </row>
    <row r="8312" spans="6:6" ht="12.75" customHeight="1">
      <c r="F8312" s="32"/>
    </row>
    <row r="8313" spans="6:6" ht="12.75" customHeight="1">
      <c r="F8313" s="32"/>
    </row>
    <row r="8314" spans="6:6" ht="12.75" customHeight="1">
      <c r="F8314" s="32"/>
    </row>
    <row r="8315" spans="6:6" ht="12.75" customHeight="1">
      <c r="F8315" s="32"/>
    </row>
    <row r="8316" spans="6:6" ht="12.75" customHeight="1">
      <c r="F8316" s="32"/>
    </row>
    <row r="8317" spans="6:6" ht="12.75" customHeight="1">
      <c r="F8317" s="32"/>
    </row>
    <row r="8318" spans="6:6" ht="12.75" customHeight="1">
      <c r="F8318" s="32"/>
    </row>
    <row r="8319" spans="6:6" ht="12.75" customHeight="1">
      <c r="F8319" s="32"/>
    </row>
    <row r="8320" spans="6:6" ht="12.75" customHeight="1">
      <c r="F8320" s="32"/>
    </row>
    <row r="8321" spans="6:6" ht="12.75" customHeight="1">
      <c r="F8321" s="32"/>
    </row>
    <row r="8322" spans="6:6" ht="12.75" customHeight="1">
      <c r="F8322" s="32"/>
    </row>
    <row r="8323" spans="6:6" ht="12.75" customHeight="1">
      <c r="F8323" s="32"/>
    </row>
    <row r="8324" spans="6:6" ht="12.75" customHeight="1">
      <c r="F8324" s="32"/>
    </row>
    <row r="8325" spans="6:6" ht="12.75" customHeight="1">
      <c r="F8325" s="32"/>
    </row>
    <row r="8326" spans="6:6" ht="12.75" customHeight="1">
      <c r="F8326" s="32"/>
    </row>
    <row r="8327" spans="6:6" ht="12.75" customHeight="1">
      <c r="F8327" s="32"/>
    </row>
    <row r="8328" spans="6:6" ht="12.75" customHeight="1">
      <c r="F8328" s="32"/>
    </row>
    <row r="8329" spans="6:6" ht="12.75" customHeight="1">
      <c r="F8329" s="32"/>
    </row>
    <row r="8330" spans="6:6" ht="12.75" customHeight="1">
      <c r="F8330" s="32"/>
    </row>
    <row r="8331" spans="6:6" ht="12.75" customHeight="1">
      <c r="F8331" s="32"/>
    </row>
    <row r="8332" spans="6:6" ht="12.75" customHeight="1">
      <c r="F8332" s="32"/>
    </row>
    <row r="8333" spans="6:6" ht="12.75" customHeight="1">
      <c r="F8333" s="32"/>
    </row>
    <row r="8334" spans="6:6" ht="12.75" customHeight="1">
      <c r="F8334" s="32"/>
    </row>
    <row r="8335" spans="6:6" ht="12.75" customHeight="1">
      <c r="F8335" s="32"/>
    </row>
    <row r="8336" spans="6:6" ht="12.75" customHeight="1">
      <c r="F8336" s="32"/>
    </row>
    <row r="8337" spans="6:6" ht="12.75" customHeight="1">
      <c r="F8337" s="32"/>
    </row>
    <row r="8338" spans="6:6" ht="12.75" customHeight="1">
      <c r="F8338" s="32"/>
    </row>
    <row r="8339" spans="6:6" ht="12.75" customHeight="1">
      <c r="F8339" s="32"/>
    </row>
    <row r="8340" spans="6:6" ht="12.75" customHeight="1">
      <c r="F8340" s="32"/>
    </row>
    <row r="8341" spans="6:6" ht="12.75" customHeight="1">
      <c r="F8341" s="32"/>
    </row>
    <row r="8342" spans="6:6" ht="12.75" customHeight="1">
      <c r="F8342" s="32"/>
    </row>
    <row r="8343" spans="6:6" ht="12.75" customHeight="1">
      <c r="F8343" s="32"/>
    </row>
    <row r="8344" spans="6:6" ht="12.75" customHeight="1">
      <c r="F8344" s="32"/>
    </row>
    <row r="8345" spans="6:6" ht="12.75" customHeight="1">
      <c r="F8345" s="32"/>
    </row>
    <row r="8346" spans="6:6" ht="12.75" customHeight="1">
      <c r="F8346" s="32"/>
    </row>
    <row r="8347" spans="6:6" ht="12.75" customHeight="1">
      <c r="F8347" s="32"/>
    </row>
    <row r="8348" spans="6:6" ht="12.75" customHeight="1">
      <c r="F8348" s="32"/>
    </row>
    <row r="8349" spans="6:6" ht="12.75" customHeight="1">
      <c r="F8349" s="32"/>
    </row>
    <row r="8350" spans="6:6" ht="12.75" customHeight="1">
      <c r="F8350" s="32"/>
    </row>
    <row r="8351" spans="6:6" ht="12.75" customHeight="1">
      <c r="F8351" s="32"/>
    </row>
    <row r="8352" spans="6:6" ht="12.75" customHeight="1">
      <c r="F8352" s="32"/>
    </row>
    <row r="8353" spans="6:6" ht="12.75" customHeight="1">
      <c r="F8353" s="32"/>
    </row>
    <row r="8354" spans="6:6" ht="12.75" customHeight="1">
      <c r="F8354" s="32"/>
    </row>
    <row r="8355" spans="6:6" ht="12.75" customHeight="1">
      <c r="F8355" s="32"/>
    </row>
    <row r="8356" spans="6:6" ht="12.75" customHeight="1">
      <c r="F8356" s="32"/>
    </row>
    <row r="8357" spans="6:6" ht="12.75" customHeight="1">
      <c r="F8357" s="32"/>
    </row>
    <row r="8358" spans="6:6" ht="12.75" customHeight="1">
      <c r="F8358" s="32"/>
    </row>
    <row r="8359" spans="6:6" ht="12.75" customHeight="1">
      <c r="F8359" s="32"/>
    </row>
    <row r="8360" spans="6:6" ht="12.75" customHeight="1">
      <c r="F8360" s="32"/>
    </row>
    <row r="8361" spans="6:6" ht="12.75" customHeight="1">
      <c r="F8361" s="32"/>
    </row>
    <row r="8362" spans="6:6" ht="12.75" customHeight="1">
      <c r="F8362" s="32"/>
    </row>
    <row r="8363" spans="6:6" ht="12.75" customHeight="1">
      <c r="F8363" s="32"/>
    </row>
    <row r="8364" spans="6:6" ht="12.75" customHeight="1">
      <c r="F8364" s="32"/>
    </row>
    <row r="8365" spans="6:6" ht="12.75" customHeight="1">
      <c r="F8365" s="32"/>
    </row>
    <row r="8366" spans="6:6" ht="12.75" customHeight="1">
      <c r="F8366" s="32"/>
    </row>
    <row r="8367" spans="6:6" ht="12.75" customHeight="1">
      <c r="F8367" s="32"/>
    </row>
    <row r="8368" spans="6:6" ht="12.75" customHeight="1">
      <c r="F8368" s="32"/>
    </row>
    <row r="8369" spans="6:6" ht="12.75" customHeight="1">
      <c r="F8369" s="32"/>
    </row>
    <row r="8370" spans="6:6" ht="12.75" customHeight="1">
      <c r="F8370" s="32"/>
    </row>
    <row r="8371" spans="6:6" ht="12.75" customHeight="1">
      <c r="F8371" s="32"/>
    </row>
    <row r="8372" spans="6:6" ht="12.75" customHeight="1">
      <c r="F8372" s="32"/>
    </row>
    <row r="8373" spans="6:6" ht="12.75" customHeight="1">
      <c r="F8373" s="32"/>
    </row>
    <row r="8374" spans="6:6" ht="12.75" customHeight="1">
      <c r="F8374" s="32"/>
    </row>
    <row r="8375" spans="6:6" ht="12.75" customHeight="1">
      <c r="F8375" s="32"/>
    </row>
    <row r="8376" spans="6:6" ht="12.75" customHeight="1">
      <c r="F8376" s="32"/>
    </row>
    <row r="8377" spans="6:6" ht="12.75" customHeight="1">
      <c r="F8377" s="32"/>
    </row>
    <row r="8378" spans="6:6" ht="12.75" customHeight="1">
      <c r="F8378" s="32"/>
    </row>
    <row r="8379" spans="6:6" ht="12.75" customHeight="1">
      <c r="F8379" s="32"/>
    </row>
    <row r="8380" spans="6:6" ht="12.75" customHeight="1">
      <c r="F8380" s="32"/>
    </row>
    <row r="8381" spans="6:6" ht="12.75" customHeight="1">
      <c r="F8381" s="32"/>
    </row>
    <row r="8382" spans="6:6" ht="12.75" customHeight="1">
      <c r="F8382" s="32"/>
    </row>
    <row r="8383" spans="6:6" ht="12.75" customHeight="1">
      <c r="F8383" s="32"/>
    </row>
    <row r="8384" spans="6:6" ht="12.75" customHeight="1">
      <c r="F8384" s="32"/>
    </row>
    <row r="8385" spans="6:6" ht="12.75" customHeight="1">
      <c r="F8385" s="32"/>
    </row>
    <row r="8386" spans="6:6" ht="12.75" customHeight="1">
      <c r="F8386" s="32"/>
    </row>
    <row r="8387" spans="6:6" ht="12.75" customHeight="1">
      <c r="F8387" s="32"/>
    </row>
    <row r="8388" spans="6:6" ht="12.75" customHeight="1">
      <c r="F8388" s="32"/>
    </row>
    <row r="8389" spans="6:6" ht="12.75" customHeight="1">
      <c r="F8389" s="32"/>
    </row>
    <row r="8390" spans="6:6" ht="12.75" customHeight="1">
      <c r="F8390" s="32"/>
    </row>
    <row r="8391" spans="6:6" ht="12.75" customHeight="1">
      <c r="F8391" s="32"/>
    </row>
    <row r="8392" spans="6:6" ht="12.75" customHeight="1">
      <c r="F8392" s="32"/>
    </row>
    <row r="8393" spans="6:6" ht="12.75" customHeight="1">
      <c r="F8393" s="32"/>
    </row>
    <row r="8394" spans="6:6" ht="12.75" customHeight="1">
      <c r="F8394" s="32"/>
    </row>
    <row r="8395" spans="6:6" ht="12.75" customHeight="1">
      <c r="F8395" s="32"/>
    </row>
    <row r="8396" spans="6:6" ht="12.75" customHeight="1">
      <c r="F8396" s="32"/>
    </row>
    <row r="8397" spans="6:6" ht="12.75" customHeight="1">
      <c r="F8397" s="32"/>
    </row>
    <row r="8398" spans="6:6" ht="12.75" customHeight="1">
      <c r="F8398" s="32"/>
    </row>
    <row r="8399" spans="6:6" ht="12.75" customHeight="1">
      <c r="F8399" s="32"/>
    </row>
    <row r="8400" spans="6:6" ht="12.75" customHeight="1">
      <c r="F8400" s="32"/>
    </row>
    <row r="8401" spans="6:6" ht="12.75" customHeight="1">
      <c r="F8401" s="32"/>
    </row>
    <row r="8402" spans="6:6" ht="12.75" customHeight="1">
      <c r="F8402" s="32"/>
    </row>
    <row r="8403" spans="6:6" ht="12.75" customHeight="1">
      <c r="F8403" s="32"/>
    </row>
    <row r="8404" spans="6:6" ht="12.75" customHeight="1">
      <c r="F8404" s="32"/>
    </row>
    <row r="8405" spans="6:6" ht="12.75" customHeight="1">
      <c r="F8405" s="32"/>
    </row>
    <row r="8406" spans="6:6" ht="12.75" customHeight="1">
      <c r="F8406" s="32"/>
    </row>
    <row r="8407" spans="6:6" ht="12.75" customHeight="1">
      <c r="F8407" s="32"/>
    </row>
    <row r="8408" spans="6:6" ht="12.75" customHeight="1">
      <c r="F8408" s="32"/>
    </row>
    <row r="8409" spans="6:6" ht="12.75" customHeight="1">
      <c r="F8409" s="32"/>
    </row>
    <row r="8410" spans="6:6" ht="12.75" customHeight="1">
      <c r="F8410" s="32"/>
    </row>
    <row r="8411" spans="6:6" ht="12.75" customHeight="1">
      <c r="F8411" s="32"/>
    </row>
    <row r="8412" spans="6:6" ht="12.75" customHeight="1">
      <c r="F8412" s="32"/>
    </row>
    <row r="8413" spans="6:6" ht="12.75" customHeight="1">
      <c r="F8413" s="32"/>
    </row>
    <row r="8414" spans="6:6" ht="12.75" customHeight="1">
      <c r="F8414" s="32"/>
    </row>
    <row r="8415" spans="6:6" ht="12.75" customHeight="1">
      <c r="F8415" s="32"/>
    </row>
    <row r="8416" spans="6:6" ht="12.75" customHeight="1">
      <c r="F8416" s="32"/>
    </row>
    <row r="8417" spans="6:6" ht="12.75" customHeight="1">
      <c r="F8417" s="32"/>
    </row>
    <row r="8418" spans="6:6" ht="12.75" customHeight="1">
      <c r="F8418" s="32"/>
    </row>
    <row r="8419" spans="6:6" ht="12.75" customHeight="1">
      <c r="F8419" s="32"/>
    </row>
    <row r="8420" spans="6:6" ht="12.75" customHeight="1">
      <c r="F8420" s="32"/>
    </row>
    <row r="8421" spans="6:6" ht="12.75" customHeight="1">
      <c r="F8421" s="32"/>
    </row>
    <row r="8422" spans="6:6" ht="12.75" customHeight="1">
      <c r="F8422" s="32"/>
    </row>
    <row r="8423" spans="6:6" ht="12.75" customHeight="1">
      <c r="F8423" s="32"/>
    </row>
    <row r="8424" spans="6:6" ht="12.75" customHeight="1">
      <c r="F8424" s="32"/>
    </row>
    <row r="8425" spans="6:6" ht="12.75" customHeight="1">
      <c r="F8425" s="32"/>
    </row>
    <row r="8426" spans="6:6" ht="12.75" customHeight="1">
      <c r="F8426" s="32"/>
    </row>
    <row r="8427" spans="6:6" ht="12.75" customHeight="1">
      <c r="F8427" s="32"/>
    </row>
    <row r="8428" spans="6:6" ht="12.75" customHeight="1">
      <c r="F8428" s="32"/>
    </row>
    <row r="8429" spans="6:6" ht="12.75" customHeight="1">
      <c r="F8429" s="32"/>
    </row>
    <row r="8430" spans="6:6" ht="12.75" customHeight="1">
      <c r="F8430" s="32"/>
    </row>
    <row r="8431" spans="6:6" ht="12.75" customHeight="1">
      <c r="F8431" s="32"/>
    </row>
    <row r="8432" spans="6:6" ht="12.75" customHeight="1">
      <c r="F8432" s="32"/>
    </row>
    <row r="8433" spans="6:6" ht="12.75" customHeight="1">
      <c r="F8433" s="32"/>
    </row>
    <row r="8434" spans="6:6" ht="12.75" customHeight="1">
      <c r="F8434" s="32"/>
    </row>
    <row r="8435" spans="6:6" ht="12.75" customHeight="1">
      <c r="F8435" s="32"/>
    </row>
    <row r="8436" spans="6:6" ht="12.75" customHeight="1">
      <c r="F8436" s="32"/>
    </row>
    <row r="8437" spans="6:6" ht="12.75" customHeight="1">
      <c r="F8437" s="32"/>
    </row>
    <row r="8438" spans="6:6" ht="12.75" customHeight="1">
      <c r="F8438" s="32"/>
    </row>
    <row r="8439" spans="6:6" ht="12.75" customHeight="1">
      <c r="F8439" s="32"/>
    </row>
    <row r="8440" spans="6:6" ht="12.75" customHeight="1">
      <c r="F8440" s="32"/>
    </row>
    <row r="8441" spans="6:6" ht="12.75" customHeight="1">
      <c r="F8441" s="32"/>
    </row>
    <row r="8442" spans="6:6" ht="12.75" customHeight="1">
      <c r="F8442" s="32"/>
    </row>
    <row r="8443" spans="6:6" ht="12.75" customHeight="1">
      <c r="F8443" s="32"/>
    </row>
    <row r="8444" spans="6:6" ht="12.75" customHeight="1">
      <c r="F8444" s="32"/>
    </row>
    <row r="8445" spans="6:6" ht="12.75" customHeight="1">
      <c r="F8445" s="32"/>
    </row>
    <row r="8446" spans="6:6" ht="12.75" customHeight="1">
      <c r="F8446" s="32"/>
    </row>
    <row r="8447" spans="6:6" ht="12.75" customHeight="1">
      <c r="F8447" s="32"/>
    </row>
    <row r="8448" spans="6:6" ht="12.75" customHeight="1">
      <c r="F8448" s="32"/>
    </row>
    <row r="8449" spans="6:6" ht="12.75" customHeight="1">
      <c r="F8449" s="32"/>
    </row>
    <row r="8450" spans="6:6" ht="12.75" customHeight="1">
      <c r="F8450" s="32"/>
    </row>
    <row r="8451" spans="6:6" ht="12.75" customHeight="1">
      <c r="F8451" s="32"/>
    </row>
    <row r="8452" spans="6:6" ht="12.75" customHeight="1">
      <c r="F8452" s="32"/>
    </row>
    <row r="8453" spans="6:6" ht="12.75" customHeight="1">
      <c r="F8453" s="32"/>
    </row>
    <row r="8454" spans="6:6" ht="12.75" customHeight="1">
      <c r="F8454" s="32"/>
    </row>
    <row r="8455" spans="6:6" ht="12.75" customHeight="1">
      <c r="F8455" s="32"/>
    </row>
    <row r="8456" spans="6:6" ht="12.75" customHeight="1">
      <c r="F8456" s="32"/>
    </row>
    <row r="8457" spans="6:6" ht="12.75" customHeight="1">
      <c r="F8457" s="32"/>
    </row>
    <row r="8458" spans="6:6" ht="12.75" customHeight="1">
      <c r="F8458" s="32"/>
    </row>
    <row r="8459" spans="6:6" ht="12.75" customHeight="1">
      <c r="F8459" s="32"/>
    </row>
    <row r="8460" spans="6:6" ht="12.75" customHeight="1">
      <c r="F8460" s="32"/>
    </row>
    <row r="8461" spans="6:6" ht="12.75" customHeight="1">
      <c r="F8461" s="32"/>
    </row>
    <row r="8462" spans="6:6" ht="12.75" customHeight="1">
      <c r="F8462" s="32"/>
    </row>
    <row r="8463" spans="6:6" ht="12.75" customHeight="1">
      <c r="F8463" s="32"/>
    </row>
    <row r="8464" spans="6:6" ht="12.75" customHeight="1">
      <c r="F8464" s="32"/>
    </row>
    <row r="8465" spans="6:6" ht="12.75" customHeight="1">
      <c r="F8465" s="32"/>
    </row>
    <row r="8466" spans="6:6" ht="12.75" customHeight="1">
      <c r="F8466" s="32"/>
    </row>
    <row r="8467" spans="6:6" ht="12.75" customHeight="1">
      <c r="F8467" s="32"/>
    </row>
    <row r="8468" spans="6:6" ht="12.75" customHeight="1">
      <c r="F8468" s="32"/>
    </row>
    <row r="8469" spans="6:6" ht="12.75" customHeight="1">
      <c r="F8469" s="32"/>
    </row>
    <row r="8470" spans="6:6" ht="12.75" customHeight="1">
      <c r="F8470" s="32"/>
    </row>
    <row r="8471" spans="6:6" ht="12.75" customHeight="1">
      <c r="F8471" s="32"/>
    </row>
    <row r="8472" spans="6:6" ht="12.75" customHeight="1">
      <c r="F8472" s="32"/>
    </row>
    <row r="8473" spans="6:6" ht="12.75" customHeight="1">
      <c r="F8473" s="32"/>
    </row>
    <row r="8474" spans="6:6" ht="12.75" customHeight="1">
      <c r="F8474" s="32"/>
    </row>
    <row r="8475" spans="6:6" ht="12.75" customHeight="1">
      <c r="F8475" s="32"/>
    </row>
    <row r="8476" spans="6:6" ht="12.75" customHeight="1">
      <c r="F8476" s="32"/>
    </row>
    <row r="8477" spans="6:6" ht="12.75" customHeight="1">
      <c r="F8477" s="32"/>
    </row>
    <row r="8478" spans="6:6" ht="12.75" customHeight="1">
      <c r="F8478" s="32"/>
    </row>
    <row r="8479" spans="6:6" ht="12.75" customHeight="1">
      <c r="F8479" s="32"/>
    </row>
    <row r="8480" spans="6:6" ht="12.75" customHeight="1">
      <c r="F8480" s="32"/>
    </row>
    <row r="8481" spans="6:6" ht="12.75" customHeight="1">
      <c r="F8481" s="32"/>
    </row>
    <row r="8482" spans="6:6" ht="12.75" customHeight="1">
      <c r="F8482" s="32"/>
    </row>
    <row r="8483" spans="6:6" ht="12.75" customHeight="1">
      <c r="F8483" s="32"/>
    </row>
    <row r="8484" spans="6:6" ht="12.75" customHeight="1">
      <c r="F8484" s="32"/>
    </row>
    <row r="8485" spans="6:6" ht="12.75" customHeight="1">
      <c r="F8485" s="32"/>
    </row>
    <row r="8486" spans="6:6" ht="12.75" customHeight="1">
      <c r="F8486" s="32"/>
    </row>
    <row r="8487" spans="6:6" ht="12.75" customHeight="1">
      <c r="F8487" s="32"/>
    </row>
    <row r="8488" spans="6:6" ht="12.75" customHeight="1">
      <c r="F8488" s="32"/>
    </row>
    <row r="8489" spans="6:6" ht="12.75" customHeight="1">
      <c r="F8489" s="32"/>
    </row>
    <row r="8490" spans="6:6" ht="12.75" customHeight="1">
      <c r="F8490" s="32"/>
    </row>
    <row r="8491" spans="6:6" ht="12.75" customHeight="1">
      <c r="F8491" s="32"/>
    </row>
    <row r="8492" spans="6:6" ht="12.75" customHeight="1">
      <c r="F8492" s="32"/>
    </row>
    <row r="8493" spans="6:6" ht="12.75" customHeight="1">
      <c r="F8493" s="32"/>
    </row>
    <row r="8494" spans="6:6" ht="12.75" customHeight="1">
      <c r="F8494" s="32"/>
    </row>
    <row r="8495" spans="6:6" ht="12.75" customHeight="1">
      <c r="F8495" s="32"/>
    </row>
    <row r="8496" spans="6:6" ht="12.75" customHeight="1">
      <c r="F8496" s="32"/>
    </row>
    <row r="8497" spans="6:6" ht="12.75" customHeight="1">
      <c r="F8497" s="32"/>
    </row>
    <row r="8498" spans="6:6" ht="12.75" customHeight="1">
      <c r="F8498" s="32"/>
    </row>
    <row r="8499" spans="6:6" ht="12.75" customHeight="1">
      <c r="F8499" s="32"/>
    </row>
    <row r="8500" spans="6:6" ht="12.75" customHeight="1">
      <c r="F8500" s="32"/>
    </row>
    <row r="8501" spans="6:6" ht="12.75" customHeight="1">
      <c r="F8501" s="32"/>
    </row>
    <row r="8502" spans="6:6" ht="12.75" customHeight="1">
      <c r="F8502" s="32"/>
    </row>
    <row r="8503" spans="6:6" ht="12.75" customHeight="1">
      <c r="F8503" s="32"/>
    </row>
    <row r="8504" spans="6:6" ht="12.75" customHeight="1">
      <c r="F8504" s="32"/>
    </row>
    <row r="8505" spans="6:6" ht="12.75" customHeight="1">
      <c r="F8505" s="32"/>
    </row>
    <row r="8506" spans="6:6" ht="12.75" customHeight="1">
      <c r="F8506" s="32"/>
    </row>
    <row r="8507" spans="6:6" ht="12.75" customHeight="1">
      <c r="F8507" s="32"/>
    </row>
    <row r="8508" spans="6:6" ht="12.75" customHeight="1">
      <c r="F8508" s="32"/>
    </row>
    <row r="8509" spans="6:6" ht="12.75" customHeight="1">
      <c r="F8509" s="32"/>
    </row>
    <row r="8510" spans="6:6" ht="12.75" customHeight="1">
      <c r="F8510" s="32"/>
    </row>
    <row r="8511" spans="6:6" ht="12.75" customHeight="1">
      <c r="F8511" s="32"/>
    </row>
    <row r="8512" spans="6:6" ht="12.75" customHeight="1">
      <c r="F8512" s="32"/>
    </row>
    <row r="8513" spans="6:6" ht="12.75" customHeight="1">
      <c r="F8513" s="32"/>
    </row>
    <row r="8514" spans="6:6" ht="12.75" customHeight="1">
      <c r="F8514" s="32"/>
    </row>
    <row r="8515" spans="6:6" ht="12.75" customHeight="1">
      <c r="F8515" s="32"/>
    </row>
    <row r="8516" spans="6:6" ht="12.75" customHeight="1">
      <c r="F8516" s="32"/>
    </row>
    <row r="8517" spans="6:6" ht="12.75" customHeight="1">
      <c r="F8517" s="32"/>
    </row>
    <row r="8518" spans="6:6" ht="12.75" customHeight="1">
      <c r="F8518" s="32"/>
    </row>
    <row r="8519" spans="6:6" ht="12.75" customHeight="1">
      <c r="F8519" s="32"/>
    </row>
    <row r="8520" spans="6:6" ht="12.75" customHeight="1">
      <c r="F8520" s="32"/>
    </row>
    <row r="8521" spans="6:6" ht="12.75" customHeight="1">
      <c r="F8521" s="32"/>
    </row>
    <row r="8522" spans="6:6" ht="12.75" customHeight="1">
      <c r="F8522" s="32"/>
    </row>
    <row r="8523" spans="6:6" ht="12.75" customHeight="1">
      <c r="F8523" s="32"/>
    </row>
    <row r="8524" spans="6:6" ht="12.75" customHeight="1">
      <c r="F8524" s="32"/>
    </row>
    <row r="8525" spans="6:6" ht="12.75" customHeight="1">
      <c r="F8525" s="32"/>
    </row>
    <row r="8526" spans="6:6" ht="12.75" customHeight="1">
      <c r="F8526" s="32"/>
    </row>
    <row r="8527" spans="6:6" ht="12.75" customHeight="1">
      <c r="F8527" s="32"/>
    </row>
    <row r="8528" spans="6:6" ht="12.75" customHeight="1">
      <c r="F8528" s="32"/>
    </row>
    <row r="8529" spans="6:6" ht="12.75" customHeight="1">
      <c r="F8529" s="32"/>
    </row>
    <row r="8530" spans="6:6" ht="12.75" customHeight="1">
      <c r="F8530" s="32"/>
    </row>
    <row r="8531" spans="6:6" ht="12.75" customHeight="1">
      <c r="F8531" s="32"/>
    </row>
    <row r="8532" spans="6:6" ht="12.75" customHeight="1">
      <c r="F8532" s="32"/>
    </row>
    <row r="8533" spans="6:6" ht="12.75" customHeight="1">
      <c r="F8533" s="32"/>
    </row>
    <row r="8534" spans="6:6" ht="12.75" customHeight="1">
      <c r="F8534" s="32"/>
    </row>
    <row r="8535" spans="6:6" ht="12.75" customHeight="1">
      <c r="F8535" s="32"/>
    </row>
    <row r="8536" spans="6:6" ht="12.75" customHeight="1">
      <c r="F8536" s="32"/>
    </row>
    <row r="8537" spans="6:6" ht="12.75" customHeight="1">
      <c r="F8537" s="32"/>
    </row>
    <row r="8538" spans="6:6" ht="12.75" customHeight="1">
      <c r="F8538" s="32"/>
    </row>
    <row r="8539" spans="6:6" ht="12.75" customHeight="1">
      <c r="F8539" s="32"/>
    </row>
    <row r="8540" spans="6:6" ht="12.75" customHeight="1">
      <c r="F8540" s="32"/>
    </row>
    <row r="8541" spans="6:6" ht="12.75" customHeight="1">
      <c r="F8541" s="32"/>
    </row>
    <row r="8542" spans="6:6" ht="12.75" customHeight="1">
      <c r="F8542" s="32"/>
    </row>
    <row r="8543" spans="6:6" ht="12.75" customHeight="1">
      <c r="F8543" s="32"/>
    </row>
    <row r="8544" spans="6:6" ht="12.75" customHeight="1">
      <c r="F8544" s="32"/>
    </row>
    <row r="8545" spans="6:6" ht="12.75" customHeight="1">
      <c r="F8545" s="32"/>
    </row>
    <row r="8546" spans="6:6" ht="12.75" customHeight="1">
      <c r="F8546" s="32"/>
    </row>
    <row r="8547" spans="6:6" ht="12.75" customHeight="1">
      <c r="F8547" s="32"/>
    </row>
    <row r="8548" spans="6:6" ht="12.75" customHeight="1">
      <c r="F8548" s="32"/>
    </row>
    <row r="8549" spans="6:6" ht="12.75" customHeight="1">
      <c r="F8549" s="32"/>
    </row>
    <row r="8550" spans="6:6" ht="12.75" customHeight="1">
      <c r="F8550" s="32"/>
    </row>
    <row r="8551" spans="6:6" ht="12.75" customHeight="1">
      <c r="F8551" s="32"/>
    </row>
    <row r="8552" spans="6:6" ht="12.75" customHeight="1">
      <c r="F8552" s="32"/>
    </row>
    <row r="8553" spans="6:6" ht="12.75" customHeight="1">
      <c r="F8553" s="32"/>
    </row>
    <row r="8554" spans="6:6" ht="12.75" customHeight="1">
      <c r="F8554" s="32"/>
    </row>
    <row r="8555" spans="6:6" ht="12.75" customHeight="1">
      <c r="F8555" s="32"/>
    </row>
    <row r="8556" spans="6:6" ht="12.75" customHeight="1">
      <c r="F8556" s="32"/>
    </row>
    <row r="8557" spans="6:6" ht="12.75" customHeight="1">
      <c r="F8557" s="32"/>
    </row>
    <row r="8558" spans="6:6" ht="12.75" customHeight="1">
      <c r="F8558" s="32"/>
    </row>
    <row r="8559" spans="6:6" ht="12.75" customHeight="1">
      <c r="F8559" s="32"/>
    </row>
    <row r="8560" spans="6:6" ht="12.75" customHeight="1">
      <c r="F8560" s="32"/>
    </row>
    <row r="8561" spans="6:6" ht="12.75" customHeight="1">
      <c r="F8561" s="32"/>
    </row>
    <row r="8562" spans="6:6" ht="12.75" customHeight="1">
      <c r="F8562" s="32"/>
    </row>
    <row r="8563" spans="6:6" ht="12.75" customHeight="1">
      <c r="F8563" s="32"/>
    </row>
    <row r="8564" spans="6:6" ht="12.75" customHeight="1">
      <c r="F8564" s="32"/>
    </row>
    <row r="8565" spans="6:6" ht="12.75" customHeight="1">
      <c r="F8565" s="32"/>
    </row>
    <row r="8566" spans="6:6" ht="12.75" customHeight="1">
      <c r="F8566" s="32"/>
    </row>
    <row r="8567" spans="6:6" ht="12.75" customHeight="1">
      <c r="F8567" s="32"/>
    </row>
    <row r="8568" spans="6:6" ht="12.75" customHeight="1">
      <c r="F8568" s="32"/>
    </row>
    <row r="8569" spans="6:6" ht="12.75" customHeight="1">
      <c r="F8569" s="32"/>
    </row>
    <row r="8570" spans="6:6" ht="12.75" customHeight="1">
      <c r="F8570" s="32"/>
    </row>
    <row r="8571" spans="6:6" ht="12.75" customHeight="1">
      <c r="F8571" s="32"/>
    </row>
    <row r="8572" spans="6:6" ht="12.75" customHeight="1">
      <c r="F8572" s="32"/>
    </row>
    <row r="8573" spans="6:6" ht="12.75" customHeight="1">
      <c r="F8573" s="32"/>
    </row>
    <row r="8574" spans="6:6" ht="12.75" customHeight="1">
      <c r="F8574" s="32"/>
    </row>
    <row r="8575" spans="6:6" ht="12.75" customHeight="1">
      <c r="F8575" s="32"/>
    </row>
    <row r="8576" spans="6:6" ht="12.75" customHeight="1">
      <c r="F8576" s="32"/>
    </row>
    <row r="8577" spans="6:6" ht="12.75" customHeight="1">
      <c r="F8577" s="32"/>
    </row>
    <row r="8578" spans="6:6" ht="12.75" customHeight="1">
      <c r="F8578" s="32"/>
    </row>
    <row r="8579" spans="6:6" ht="12.75" customHeight="1">
      <c r="F8579" s="32"/>
    </row>
    <row r="8580" spans="6:6" ht="12.75" customHeight="1">
      <c r="F8580" s="32"/>
    </row>
    <row r="8581" spans="6:6" ht="12.75" customHeight="1">
      <c r="F8581" s="32"/>
    </row>
    <row r="8582" spans="6:6" ht="12.75" customHeight="1">
      <c r="F8582" s="32"/>
    </row>
    <row r="8583" spans="6:6" ht="12.75" customHeight="1">
      <c r="F8583" s="32"/>
    </row>
    <row r="8584" spans="6:6" ht="12.75" customHeight="1">
      <c r="F8584" s="32"/>
    </row>
    <row r="8585" spans="6:6" ht="12.75" customHeight="1">
      <c r="F8585" s="32"/>
    </row>
    <row r="8586" spans="6:6" ht="12.75" customHeight="1">
      <c r="F8586" s="32"/>
    </row>
    <row r="8587" spans="6:6" ht="12.75" customHeight="1">
      <c r="F8587" s="32"/>
    </row>
    <row r="8588" spans="6:6" ht="12.75" customHeight="1">
      <c r="F8588" s="32"/>
    </row>
    <row r="8589" spans="6:6" ht="12.75" customHeight="1">
      <c r="F8589" s="32"/>
    </row>
    <row r="8590" spans="6:6" ht="12.75" customHeight="1">
      <c r="F8590" s="32"/>
    </row>
    <row r="8591" spans="6:6" ht="12.75" customHeight="1">
      <c r="F8591" s="32"/>
    </row>
    <row r="8592" spans="6:6" ht="12.75" customHeight="1">
      <c r="F8592" s="32"/>
    </row>
    <row r="8593" spans="6:6" ht="12.75" customHeight="1">
      <c r="F8593" s="32"/>
    </row>
    <row r="8594" spans="6:6" ht="12.75" customHeight="1">
      <c r="F8594" s="32"/>
    </row>
    <row r="8595" spans="6:6" ht="12.75" customHeight="1">
      <c r="F8595" s="32"/>
    </row>
    <row r="8596" spans="6:6" ht="12.75" customHeight="1">
      <c r="F8596" s="32"/>
    </row>
    <row r="8597" spans="6:6" ht="12.75" customHeight="1">
      <c r="F8597" s="32"/>
    </row>
    <row r="8598" spans="6:6" ht="12.75" customHeight="1">
      <c r="F8598" s="32"/>
    </row>
    <row r="8599" spans="6:6" ht="12.75" customHeight="1">
      <c r="F8599" s="32"/>
    </row>
    <row r="8600" spans="6:6" ht="12.75" customHeight="1">
      <c r="F8600" s="32"/>
    </row>
    <row r="8601" spans="6:6" ht="12.75" customHeight="1">
      <c r="F8601" s="32"/>
    </row>
    <row r="8602" spans="6:6" ht="12.75" customHeight="1">
      <c r="F8602" s="32"/>
    </row>
    <row r="8603" spans="6:6" ht="12.75" customHeight="1">
      <c r="F8603" s="32"/>
    </row>
    <row r="8604" spans="6:6" ht="12.75" customHeight="1">
      <c r="F8604" s="32"/>
    </row>
    <row r="8605" spans="6:6" ht="12.75" customHeight="1">
      <c r="F8605" s="32"/>
    </row>
    <row r="8606" spans="6:6" ht="12.75" customHeight="1">
      <c r="F8606" s="32"/>
    </row>
    <row r="8607" spans="6:6" ht="12.75" customHeight="1">
      <c r="F8607" s="32"/>
    </row>
    <row r="8608" spans="6:6" ht="12.75" customHeight="1">
      <c r="F8608" s="32"/>
    </row>
    <row r="8609" spans="6:6" ht="12.75" customHeight="1">
      <c r="F8609" s="32"/>
    </row>
    <row r="8610" spans="6:6" ht="12.75" customHeight="1">
      <c r="F8610" s="32"/>
    </row>
    <row r="8611" spans="6:6" ht="12.75" customHeight="1">
      <c r="F8611" s="32"/>
    </row>
    <row r="8612" spans="6:6" ht="12.75" customHeight="1">
      <c r="F8612" s="32"/>
    </row>
    <row r="8613" spans="6:6" ht="12.75" customHeight="1">
      <c r="F8613" s="32"/>
    </row>
    <row r="8614" spans="6:6" ht="12.75" customHeight="1">
      <c r="F8614" s="32"/>
    </row>
    <row r="8615" spans="6:6" ht="12.75" customHeight="1">
      <c r="F8615" s="32"/>
    </row>
    <row r="8616" spans="6:6" ht="12.75" customHeight="1">
      <c r="F8616" s="32"/>
    </row>
    <row r="8617" spans="6:6" ht="12.75" customHeight="1">
      <c r="F8617" s="32"/>
    </row>
    <row r="8618" spans="6:6" ht="12.75" customHeight="1">
      <c r="F8618" s="32"/>
    </row>
    <row r="8619" spans="6:6" ht="12.75" customHeight="1">
      <c r="F8619" s="32"/>
    </row>
    <row r="8620" spans="6:6" ht="12.75" customHeight="1">
      <c r="F8620" s="32"/>
    </row>
    <row r="8621" spans="6:6" ht="12.75" customHeight="1">
      <c r="F8621" s="32"/>
    </row>
    <row r="8622" spans="6:6" ht="12.75" customHeight="1">
      <c r="F8622" s="32"/>
    </row>
    <row r="8623" spans="6:6" ht="12.75" customHeight="1">
      <c r="F8623" s="32"/>
    </row>
    <row r="8624" spans="6:6" ht="12.75" customHeight="1">
      <c r="F8624" s="32"/>
    </row>
    <row r="8625" spans="6:6" ht="12.75" customHeight="1">
      <c r="F8625" s="32"/>
    </row>
    <row r="8626" spans="6:6" ht="12.75" customHeight="1">
      <c r="F8626" s="32"/>
    </row>
    <row r="8627" spans="6:6" ht="12.75" customHeight="1">
      <c r="F8627" s="32"/>
    </row>
    <row r="8628" spans="6:6" ht="12.75" customHeight="1">
      <c r="F8628" s="32"/>
    </row>
    <row r="8629" spans="6:6" ht="12.75" customHeight="1">
      <c r="F8629" s="32"/>
    </row>
    <row r="8630" spans="6:6" ht="12.75" customHeight="1">
      <c r="F8630" s="32"/>
    </row>
    <row r="8631" spans="6:6" ht="12.75" customHeight="1">
      <c r="F8631" s="32"/>
    </row>
    <row r="8632" spans="6:6" ht="12.75" customHeight="1">
      <c r="F8632" s="32"/>
    </row>
    <row r="8633" spans="6:6" ht="12.75" customHeight="1">
      <c r="F8633" s="32"/>
    </row>
    <row r="8634" spans="6:6" ht="12.75" customHeight="1">
      <c r="F8634" s="32"/>
    </row>
    <row r="8635" spans="6:6" ht="12.75" customHeight="1">
      <c r="F8635" s="32"/>
    </row>
    <row r="8636" spans="6:6" ht="12.75" customHeight="1">
      <c r="F8636" s="32"/>
    </row>
    <row r="8637" spans="6:6" ht="12.75" customHeight="1">
      <c r="F8637" s="32"/>
    </row>
    <row r="8638" spans="6:6" ht="12.75" customHeight="1">
      <c r="F8638" s="32"/>
    </row>
    <row r="8639" spans="6:6" ht="12.75" customHeight="1">
      <c r="F8639" s="32"/>
    </row>
    <row r="8640" spans="6:6" ht="12.75" customHeight="1">
      <c r="F8640" s="32"/>
    </row>
    <row r="8641" spans="6:6" ht="12.75" customHeight="1">
      <c r="F8641" s="32"/>
    </row>
    <row r="8642" spans="6:6" ht="12.75" customHeight="1">
      <c r="F8642" s="32"/>
    </row>
    <row r="8643" spans="6:6" ht="12.75" customHeight="1">
      <c r="F8643" s="32"/>
    </row>
    <row r="8644" spans="6:6" ht="12.75" customHeight="1">
      <c r="F8644" s="32"/>
    </row>
    <row r="8645" spans="6:6" ht="12.75" customHeight="1">
      <c r="F8645" s="32"/>
    </row>
    <row r="8646" spans="6:6" ht="12.75" customHeight="1">
      <c r="F8646" s="32"/>
    </row>
    <row r="8647" spans="6:6" ht="12.75" customHeight="1">
      <c r="F8647" s="32"/>
    </row>
    <row r="8648" spans="6:6" ht="12.75" customHeight="1">
      <c r="F8648" s="32"/>
    </row>
    <row r="8649" spans="6:6" ht="12.75" customHeight="1">
      <c r="F8649" s="32"/>
    </row>
    <row r="8650" spans="6:6" ht="12.75" customHeight="1">
      <c r="F8650" s="32"/>
    </row>
    <row r="8651" spans="6:6" ht="12.75" customHeight="1">
      <c r="F8651" s="32"/>
    </row>
    <row r="8652" spans="6:6" ht="12.75" customHeight="1">
      <c r="F8652" s="32"/>
    </row>
    <row r="8653" spans="6:6" ht="12.75" customHeight="1">
      <c r="F8653" s="32"/>
    </row>
    <row r="8654" spans="6:6" ht="12.75" customHeight="1">
      <c r="F8654" s="32"/>
    </row>
    <row r="8655" spans="6:6" ht="12.75" customHeight="1">
      <c r="F8655" s="32"/>
    </row>
    <row r="8656" spans="6:6" ht="12.75" customHeight="1">
      <c r="F8656" s="32"/>
    </row>
    <row r="8657" spans="6:6" ht="12.75" customHeight="1">
      <c r="F8657" s="32"/>
    </row>
    <row r="8658" spans="6:6" ht="12.75" customHeight="1">
      <c r="F8658" s="32"/>
    </row>
    <row r="8659" spans="6:6" ht="12.75" customHeight="1">
      <c r="F8659" s="32"/>
    </row>
    <row r="8660" spans="6:6" ht="12.75" customHeight="1">
      <c r="F8660" s="32"/>
    </row>
    <row r="8661" spans="6:6" ht="12.75" customHeight="1">
      <c r="F8661" s="32"/>
    </row>
    <row r="8662" spans="6:6" ht="12.75" customHeight="1">
      <c r="F8662" s="32"/>
    </row>
    <row r="8663" spans="6:6" ht="12.75" customHeight="1">
      <c r="F8663" s="32"/>
    </row>
    <row r="8664" spans="6:6" ht="12.75" customHeight="1">
      <c r="F8664" s="32"/>
    </row>
    <row r="8665" spans="6:6" ht="12.75" customHeight="1">
      <c r="F8665" s="32"/>
    </row>
    <row r="8666" spans="6:6" ht="12.75" customHeight="1">
      <c r="F8666" s="32"/>
    </row>
    <row r="8667" spans="6:6" ht="12.75" customHeight="1">
      <c r="F8667" s="32"/>
    </row>
    <row r="8668" spans="6:6" ht="12.75" customHeight="1">
      <c r="F8668" s="32"/>
    </row>
    <row r="8669" spans="6:6" ht="12.75" customHeight="1">
      <c r="F8669" s="32"/>
    </row>
    <row r="8670" spans="6:6" ht="12.75" customHeight="1">
      <c r="F8670" s="32"/>
    </row>
    <row r="8671" spans="6:6" ht="12.75" customHeight="1">
      <c r="F8671" s="32"/>
    </row>
    <row r="8672" spans="6:6" ht="12.75" customHeight="1">
      <c r="F8672" s="32"/>
    </row>
    <row r="8673" spans="6:6" ht="12.75" customHeight="1">
      <c r="F8673" s="32"/>
    </row>
    <row r="8674" spans="6:6" ht="12.75" customHeight="1">
      <c r="F8674" s="32"/>
    </row>
    <row r="8675" spans="6:6" ht="12.75" customHeight="1">
      <c r="F8675" s="32"/>
    </row>
    <row r="8676" spans="6:6" ht="12.75" customHeight="1">
      <c r="F8676" s="32"/>
    </row>
    <row r="8677" spans="6:6" ht="12.75" customHeight="1">
      <c r="F8677" s="32"/>
    </row>
    <row r="8678" spans="6:6" ht="12.75" customHeight="1">
      <c r="F8678" s="32"/>
    </row>
    <row r="8679" spans="6:6" ht="12.75" customHeight="1">
      <c r="F8679" s="32"/>
    </row>
    <row r="8680" spans="6:6" ht="12.75" customHeight="1">
      <c r="F8680" s="32"/>
    </row>
    <row r="8681" spans="6:6" ht="12.75" customHeight="1">
      <c r="F8681" s="32"/>
    </row>
    <row r="8682" spans="6:6" ht="12.75" customHeight="1">
      <c r="F8682" s="32"/>
    </row>
    <row r="8683" spans="6:6" ht="12.75" customHeight="1">
      <c r="F8683" s="32"/>
    </row>
    <row r="8684" spans="6:6" ht="12.75" customHeight="1">
      <c r="F8684" s="32"/>
    </row>
    <row r="8685" spans="6:6" ht="12.75" customHeight="1">
      <c r="F8685" s="32"/>
    </row>
    <row r="8686" spans="6:6" ht="12.75" customHeight="1">
      <c r="F8686" s="32"/>
    </row>
    <row r="8687" spans="6:6" ht="12.75" customHeight="1">
      <c r="F8687" s="32"/>
    </row>
    <row r="8688" spans="6:6" ht="12.75" customHeight="1">
      <c r="F8688" s="32"/>
    </row>
    <row r="8689" spans="6:6" ht="12.75" customHeight="1">
      <c r="F8689" s="32"/>
    </row>
    <row r="8690" spans="6:6" ht="12.75" customHeight="1">
      <c r="F8690" s="32"/>
    </row>
    <row r="8691" spans="6:6" ht="12.75" customHeight="1">
      <c r="F8691" s="32"/>
    </row>
    <row r="8692" spans="6:6" ht="12.75" customHeight="1">
      <c r="F8692" s="32"/>
    </row>
    <row r="8693" spans="6:6" ht="12.75" customHeight="1">
      <c r="F8693" s="32"/>
    </row>
    <row r="8694" spans="6:6" ht="12.75" customHeight="1">
      <c r="F8694" s="32"/>
    </row>
    <row r="8695" spans="6:6" ht="12.75" customHeight="1">
      <c r="F8695" s="32"/>
    </row>
    <row r="8696" spans="6:6" ht="12.75" customHeight="1">
      <c r="F8696" s="32"/>
    </row>
    <row r="8697" spans="6:6" ht="12.75" customHeight="1">
      <c r="F8697" s="32"/>
    </row>
    <row r="8698" spans="6:6" ht="12.75" customHeight="1">
      <c r="F8698" s="32"/>
    </row>
    <row r="8699" spans="6:6" ht="12.75" customHeight="1">
      <c r="F8699" s="32"/>
    </row>
    <row r="8700" spans="6:6" ht="12.75" customHeight="1">
      <c r="F8700" s="32"/>
    </row>
    <row r="8701" spans="6:6" ht="12.75" customHeight="1">
      <c r="F8701" s="32"/>
    </row>
    <row r="8702" spans="6:6" ht="12.75" customHeight="1">
      <c r="F8702" s="32"/>
    </row>
    <row r="8703" spans="6:6" ht="12.75" customHeight="1">
      <c r="F8703" s="32"/>
    </row>
    <row r="8704" spans="6:6" ht="12.75" customHeight="1">
      <c r="F8704" s="32"/>
    </row>
    <row r="8705" spans="6:6" ht="12.75" customHeight="1">
      <c r="F8705" s="32"/>
    </row>
    <row r="8706" spans="6:6" ht="12.75" customHeight="1">
      <c r="F8706" s="32"/>
    </row>
    <row r="8707" spans="6:6" ht="12.75" customHeight="1">
      <c r="F8707" s="32"/>
    </row>
    <row r="8708" spans="6:6" ht="12.75" customHeight="1">
      <c r="F8708" s="32"/>
    </row>
    <row r="8709" spans="6:6" ht="12.75" customHeight="1">
      <c r="F8709" s="32"/>
    </row>
    <row r="8710" spans="6:6" ht="12.75" customHeight="1">
      <c r="F8710" s="32"/>
    </row>
    <row r="8711" spans="6:6" ht="12.75" customHeight="1">
      <c r="F8711" s="32"/>
    </row>
    <row r="8712" spans="6:6" ht="12.75" customHeight="1">
      <c r="F8712" s="32"/>
    </row>
    <row r="8713" spans="6:6" ht="12.75" customHeight="1">
      <c r="F8713" s="32"/>
    </row>
    <row r="8714" spans="6:6" ht="12.75" customHeight="1">
      <c r="F8714" s="32"/>
    </row>
    <row r="8715" spans="6:6" ht="12.75" customHeight="1">
      <c r="F8715" s="32"/>
    </row>
    <row r="8716" spans="6:6" ht="12.75" customHeight="1">
      <c r="F8716" s="32"/>
    </row>
    <row r="8717" spans="6:6" ht="12.75" customHeight="1">
      <c r="F8717" s="32"/>
    </row>
    <row r="8718" spans="6:6" ht="12.75" customHeight="1">
      <c r="F8718" s="32"/>
    </row>
    <row r="8719" spans="6:6" ht="12.75" customHeight="1">
      <c r="F8719" s="32"/>
    </row>
    <row r="8720" spans="6:6" ht="12.75" customHeight="1">
      <c r="F8720" s="32"/>
    </row>
    <row r="8721" spans="6:6" ht="12.75" customHeight="1">
      <c r="F8721" s="32"/>
    </row>
    <row r="8722" spans="6:6" ht="12.75" customHeight="1">
      <c r="F8722" s="32"/>
    </row>
    <row r="8723" spans="6:6" ht="12.75" customHeight="1">
      <c r="F8723" s="32"/>
    </row>
    <row r="8724" spans="6:6" ht="12.75" customHeight="1">
      <c r="F8724" s="32"/>
    </row>
    <row r="8725" spans="6:6" ht="12.75" customHeight="1">
      <c r="F8725" s="32"/>
    </row>
    <row r="8726" spans="6:6" ht="12.75" customHeight="1">
      <c r="F8726" s="32"/>
    </row>
    <row r="8727" spans="6:6" ht="12.75" customHeight="1">
      <c r="F8727" s="32"/>
    </row>
    <row r="8728" spans="6:6" ht="12.75" customHeight="1">
      <c r="F8728" s="32"/>
    </row>
    <row r="8729" spans="6:6" ht="12.75" customHeight="1">
      <c r="F8729" s="32"/>
    </row>
    <row r="8730" spans="6:6" ht="12.75" customHeight="1">
      <c r="F8730" s="32"/>
    </row>
    <row r="8731" spans="6:6" ht="12.75" customHeight="1">
      <c r="F8731" s="32"/>
    </row>
    <row r="8732" spans="6:6" ht="12.75" customHeight="1">
      <c r="F8732" s="32"/>
    </row>
    <row r="8733" spans="6:6" ht="12.75" customHeight="1">
      <c r="F8733" s="32"/>
    </row>
    <row r="8734" spans="6:6" ht="12.75" customHeight="1">
      <c r="F8734" s="32"/>
    </row>
    <row r="8735" spans="6:6" ht="12.75" customHeight="1">
      <c r="F8735" s="32"/>
    </row>
    <row r="8736" spans="6:6" ht="12.75" customHeight="1">
      <c r="F8736" s="32"/>
    </row>
    <row r="8737" spans="6:6" ht="12.75" customHeight="1">
      <c r="F8737" s="32"/>
    </row>
    <row r="8738" spans="6:6" ht="12.75" customHeight="1">
      <c r="F8738" s="32"/>
    </row>
    <row r="8739" spans="6:6" ht="12.75" customHeight="1">
      <c r="F8739" s="32"/>
    </row>
    <row r="8740" spans="6:6" ht="12.75" customHeight="1">
      <c r="F8740" s="32"/>
    </row>
    <row r="8741" spans="6:6" ht="12.75" customHeight="1">
      <c r="F8741" s="32"/>
    </row>
    <row r="8742" spans="6:6" ht="12.75" customHeight="1">
      <c r="F8742" s="32"/>
    </row>
    <row r="8743" spans="6:6" ht="12.75" customHeight="1">
      <c r="F8743" s="32"/>
    </row>
    <row r="8744" spans="6:6" ht="12.75" customHeight="1">
      <c r="F8744" s="32"/>
    </row>
    <row r="8745" spans="6:6" ht="12.75" customHeight="1">
      <c r="F8745" s="32"/>
    </row>
    <row r="8746" spans="6:6" ht="12.75" customHeight="1">
      <c r="F8746" s="32"/>
    </row>
    <row r="8747" spans="6:6" ht="12.75" customHeight="1">
      <c r="F8747" s="32"/>
    </row>
    <row r="8748" spans="6:6" ht="12.75" customHeight="1">
      <c r="F8748" s="32"/>
    </row>
    <row r="8749" spans="6:6" ht="12.75" customHeight="1">
      <c r="F8749" s="32"/>
    </row>
    <row r="8750" spans="6:6" ht="12.75" customHeight="1">
      <c r="F8750" s="32"/>
    </row>
    <row r="8751" spans="6:6" ht="12.75" customHeight="1">
      <c r="F8751" s="32"/>
    </row>
    <row r="8752" spans="6:6" ht="12.75" customHeight="1">
      <c r="F8752" s="32"/>
    </row>
    <row r="8753" spans="6:6" ht="12.75" customHeight="1">
      <c r="F8753" s="32"/>
    </row>
    <row r="8754" spans="6:6" ht="12.75" customHeight="1">
      <c r="F8754" s="32"/>
    </row>
    <row r="8755" spans="6:6" ht="12.75" customHeight="1">
      <c r="F8755" s="32"/>
    </row>
    <row r="8756" spans="6:6" ht="12.75" customHeight="1">
      <c r="F8756" s="32"/>
    </row>
    <row r="8757" spans="6:6" ht="12.75" customHeight="1">
      <c r="F8757" s="32"/>
    </row>
    <row r="8758" spans="6:6" ht="12.75" customHeight="1">
      <c r="F8758" s="32"/>
    </row>
    <row r="8759" spans="6:6" ht="12.75" customHeight="1">
      <c r="F8759" s="32"/>
    </row>
    <row r="8760" spans="6:6" ht="12.75" customHeight="1">
      <c r="F8760" s="32"/>
    </row>
    <row r="8761" spans="6:6" ht="12.75" customHeight="1">
      <c r="F8761" s="32"/>
    </row>
    <row r="8762" spans="6:6" ht="12.75" customHeight="1">
      <c r="F8762" s="32"/>
    </row>
    <row r="8763" spans="6:6" ht="12.75" customHeight="1">
      <c r="F8763" s="32"/>
    </row>
    <row r="8764" spans="6:6" ht="12.75" customHeight="1">
      <c r="F8764" s="32"/>
    </row>
    <row r="8765" spans="6:6" ht="12.75" customHeight="1">
      <c r="F8765" s="32"/>
    </row>
    <row r="8766" spans="6:6" ht="12.75" customHeight="1">
      <c r="F8766" s="32"/>
    </row>
    <row r="8767" spans="6:6" ht="12.75" customHeight="1">
      <c r="F8767" s="32"/>
    </row>
    <row r="8768" spans="6:6" ht="12.75" customHeight="1">
      <c r="F8768" s="32"/>
    </row>
    <row r="8769" spans="6:6" ht="12.75" customHeight="1">
      <c r="F8769" s="32"/>
    </row>
    <row r="8770" spans="6:6" ht="12.75" customHeight="1">
      <c r="F8770" s="32"/>
    </row>
    <row r="8771" spans="6:6" ht="12.75" customHeight="1">
      <c r="F8771" s="32"/>
    </row>
    <row r="8772" spans="6:6" ht="12.75" customHeight="1">
      <c r="F8772" s="32"/>
    </row>
    <row r="8773" spans="6:6" ht="12.75" customHeight="1">
      <c r="F8773" s="32"/>
    </row>
    <row r="8774" spans="6:6" ht="12.75" customHeight="1">
      <c r="F8774" s="32"/>
    </row>
    <row r="8775" spans="6:6" ht="12.75" customHeight="1">
      <c r="F8775" s="32"/>
    </row>
    <row r="8776" spans="6:6" ht="12.75" customHeight="1">
      <c r="F8776" s="32"/>
    </row>
    <row r="8777" spans="6:6" ht="12.75" customHeight="1">
      <c r="F8777" s="32"/>
    </row>
    <row r="8778" spans="6:6" ht="12.75" customHeight="1">
      <c r="F8778" s="32"/>
    </row>
    <row r="8779" spans="6:6" ht="12.75" customHeight="1">
      <c r="F8779" s="32"/>
    </row>
    <row r="8780" spans="6:6" ht="12.75" customHeight="1">
      <c r="F8780" s="32"/>
    </row>
    <row r="8781" spans="6:6" ht="12.75" customHeight="1">
      <c r="F8781" s="32"/>
    </row>
    <row r="8782" spans="6:6" ht="12.75" customHeight="1">
      <c r="F8782" s="32"/>
    </row>
    <row r="8783" spans="6:6" ht="12.75" customHeight="1">
      <c r="F8783" s="32"/>
    </row>
    <row r="8784" spans="6:6" ht="12.75" customHeight="1">
      <c r="F8784" s="32"/>
    </row>
    <row r="8785" spans="6:6" ht="12.75" customHeight="1">
      <c r="F8785" s="32"/>
    </row>
    <row r="8786" spans="6:6" ht="12.75" customHeight="1">
      <c r="F8786" s="32"/>
    </row>
    <row r="8787" spans="6:6" ht="12.75" customHeight="1">
      <c r="F8787" s="32"/>
    </row>
    <row r="8788" spans="6:6" ht="12.75" customHeight="1">
      <c r="F8788" s="32"/>
    </row>
    <row r="8789" spans="6:6" ht="12.75" customHeight="1">
      <c r="F8789" s="32"/>
    </row>
    <row r="8790" spans="6:6" ht="12.75" customHeight="1">
      <c r="F8790" s="32"/>
    </row>
    <row r="8791" spans="6:6" ht="12.75" customHeight="1">
      <c r="F8791" s="32"/>
    </row>
    <row r="8792" spans="6:6" ht="12.75" customHeight="1">
      <c r="F8792" s="32"/>
    </row>
    <row r="8793" spans="6:6" ht="12.75" customHeight="1">
      <c r="F8793" s="32"/>
    </row>
    <row r="8794" spans="6:6" ht="12.75" customHeight="1">
      <c r="F8794" s="32"/>
    </row>
    <row r="8795" spans="6:6" ht="12.75" customHeight="1">
      <c r="F8795" s="32"/>
    </row>
    <row r="8796" spans="6:6" ht="12.75" customHeight="1">
      <c r="F8796" s="32"/>
    </row>
    <row r="8797" spans="6:6" ht="12.75" customHeight="1">
      <c r="F8797" s="32"/>
    </row>
    <row r="8798" spans="6:6" ht="12.75" customHeight="1">
      <c r="F8798" s="32"/>
    </row>
    <row r="8799" spans="6:6" ht="12.75" customHeight="1">
      <c r="F8799" s="32"/>
    </row>
    <row r="8800" spans="6:6" ht="12.75" customHeight="1">
      <c r="F8800" s="32"/>
    </row>
    <row r="8801" spans="6:6" ht="12.75" customHeight="1">
      <c r="F8801" s="32"/>
    </row>
    <row r="8802" spans="6:6" ht="12.75" customHeight="1">
      <c r="F8802" s="32"/>
    </row>
    <row r="8803" spans="6:6" ht="12.75" customHeight="1">
      <c r="F8803" s="32"/>
    </row>
    <row r="8804" spans="6:6" ht="12.75" customHeight="1">
      <c r="F8804" s="32"/>
    </row>
    <row r="8805" spans="6:6" ht="12.75" customHeight="1">
      <c r="F8805" s="32"/>
    </row>
    <row r="8806" spans="6:6" ht="12.75" customHeight="1">
      <c r="F8806" s="32"/>
    </row>
    <row r="8807" spans="6:6" ht="12.75" customHeight="1">
      <c r="F8807" s="32"/>
    </row>
    <row r="8808" spans="6:6" ht="12.75" customHeight="1">
      <c r="F8808" s="32"/>
    </row>
    <row r="8809" spans="6:6" ht="12.75" customHeight="1">
      <c r="F8809" s="32"/>
    </row>
    <row r="8810" spans="6:6" ht="12.75" customHeight="1">
      <c r="F8810" s="32"/>
    </row>
    <row r="8811" spans="6:6" ht="12.75" customHeight="1">
      <c r="F8811" s="32"/>
    </row>
    <row r="8812" spans="6:6" ht="12.75" customHeight="1">
      <c r="F8812" s="32"/>
    </row>
    <row r="8813" spans="6:6" ht="12.75" customHeight="1">
      <c r="F8813" s="32"/>
    </row>
    <row r="8814" spans="6:6" ht="12.75" customHeight="1">
      <c r="F8814" s="32"/>
    </row>
    <row r="8815" spans="6:6" ht="12.75" customHeight="1">
      <c r="F8815" s="32"/>
    </row>
    <row r="8816" spans="6:6" ht="12.75" customHeight="1">
      <c r="F8816" s="32"/>
    </row>
    <row r="8817" spans="6:6" ht="12.75" customHeight="1">
      <c r="F8817" s="32"/>
    </row>
    <row r="8818" spans="6:6" ht="12.75" customHeight="1">
      <c r="F8818" s="32"/>
    </row>
    <row r="8819" spans="6:6" ht="12.75" customHeight="1">
      <c r="F8819" s="32"/>
    </row>
    <row r="8820" spans="6:6" ht="12.75" customHeight="1">
      <c r="F8820" s="32"/>
    </row>
    <row r="8821" spans="6:6" ht="12.75" customHeight="1">
      <c r="F8821" s="32"/>
    </row>
    <row r="8822" spans="6:6" ht="12.75" customHeight="1">
      <c r="F8822" s="32"/>
    </row>
    <row r="8823" spans="6:6" ht="12.75" customHeight="1">
      <c r="F8823" s="32"/>
    </row>
    <row r="8824" spans="6:6" ht="12.75" customHeight="1">
      <c r="F8824" s="32"/>
    </row>
    <row r="8825" spans="6:6" ht="12.75" customHeight="1">
      <c r="F8825" s="32"/>
    </row>
    <row r="8826" spans="6:6" ht="12.75" customHeight="1">
      <c r="F8826" s="32"/>
    </row>
    <row r="8827" spans="6:6" ht="12.75" customHeight="1">
      <c r="F8827" s="32"/>
    </row>
    <row r="8828" spans="6:6" ht="12.75" customHeight="1">
      <c r="F8828" s="32"/>
    </row>
    <row r="8829" spans="6:6" ht="12.75" customHeight="1">
      <c r="F8829" s="32"/>
    </row>
    <row r="8830" spans="6:6" ht="12.75" customHeight="1">
      <c r="F8830" s="32"/>
    </row>
    <row r="8831" spans="6:6" ht="12.75" customHeight="1">
      <c r="F8831" s="32"/>
    </row>
    <row r="8832" spans="6:6" ht="12.75" customHeight="1">
      <c r="F8832" s="32"/>
    </row>
    <row r="8833" spans="6:6" ht="12.75" customHeight="1">
      <c r="F8833" s="32"/>
    </row>
    <row r="8834" spans="6:6" ht="12.75" customHeight="1">
      <c r="F8834" s="32"/>
    </row>
    <row r="8835" spans="6:6" ht="12.75" customHeight="1">
      <c r="F8835" s="32"/>
    </row>
    <row r="8836" spans="6:6" ht="12.75" customHeight="1">
      <c r="F8836" s="32"/>
    </row>
    <row r="8837" spans="6:6" ht="12.75" customHeight="1">
      <c r="F8837" s="32"/>
    </row>
    <row r="8838" spans="6:6" ht="12.75" customHeight="1">
      <c r="F8838" s="32"/>
    </row>
    <row r="8839" spans="6:6" ht="12.75" customHeight="1">
      <c r="F8839" s="32"/>
    </row>
    <row r="8840" spans="6:6" ht="12.75" customHeight="1">
      <c r="F8840" s="32"/>
    </row>
    <row r="8841" spans="6:6" ht="12.75" customHeight="1">
      <c r="F8841" s="32"/>
    </row>
    <row r="8842" spans="6:6" ht="12.75" customHeight="1">
      <c r="F8842" s="32"/>
    </row>
    <row r="8843" spans="6:6" ht="12.75" customHeight="1">
      <c r="F8843" s="32"/>
    </row>
    <row r="8844" spans="6:6" ht="12.75" customHeight="1">
      <c r="F8844" s="32"/>
    </row>
    <row r="8845" spans="6:6" ht="12.75" customHeight="1">
      <c r="F8845" s="32"/>
    </row>
    <row r="8846" spans="6:6" ht="12.75" customHeight="1">
      <c r="F8846" s="32"/>
    </row>
    <row r="8847" spans="6:6" ht="12.75" customHeight="1">
      <c r="F8847" s="32"/>
    </row>
    <row r="8848" spans="6:6" ht="12.75" customHeight="1">
      <c r="F8848" s="32"/>
    </row>
    <row r="8849" spans="6:6" ht="12.75" customHeight="1">
      <c r="F8849" s="32"/>
    </row>
    <row r="8850" spans="6:6" ht="12.75" customHeight="1">
      <c r="F8850" s="32"/>
    </row>
    <row r="8851" spans="6:6" ht="12.75" customHeight="1">
      <c r="F8851" s="32"/>
    </row>
    <row r="8852" spans="6:6" ht="12.75" customHeight="1">
      <c r="F8852" s="32"/>
    </row>
    <row r="8853" spans="6:6" ht="12.75" customHeight="1">
      <c r="F8853" s="32"/>
    </row>
    <row r="8854" spans="6:6" ht="12.75" customHeight="1">
      <c r="F8854" s="32"/>
    </row>
    <row r="8855" spans="6:6" ht="12.75" customHeight="1">
      <c r="F8855" s="32"/>
    </row>
    <row r="8856" spans="6:6" ht="12.75" customHeight="1">
      <c r="F8856" s="32"/>
    </row>
    <row r="8857" spans="6:6" ht="12.75" customHeight="1">
      <c r="F8857" s="32"/>
    </row>
    <row r="8858" spans="6:6" ht="12.75" customHeight="1">
      <c r="F8858" s="32"/>
    </row>
    <row r="8859" spans="6:6" ht="12.75" customHeight="1">
      <c r="F8859" s="32"/>
    </row>
    <row r="8860" spans="6:6" ht="12.75" customHeight="1">
      <c r="F8860" s="32"/>
    </row>
    <row r="8861" spans="6:6" ht="12.75" customHeight="1">
      <c r="F8861" s="32"/>
    </row>
    <row r="8862" spans="6:6" ht="12.75" customHeight="1">
      <c r="F8862" s="32"/>
    </row>
    <row r="8863" spans="6:6" ht="12.75" customHeight="1">
      <c r="F8863" s="32"/>
    </row>
    <row r="8864" spans="6:6" ht="12.75" customHeight="1">
      <c r="F8864" s="32"/>
    </row>
    <row r="8865" spans="6:6" ht="12.75" customHeight="1">
      <c r="F8865" s="32"/>
    </row>
    <row r="8866" spans="6:6" ht="12.75" customHeight="1">
      <c r="F8866" s="32"/>
    </row>
    <row r="8867" spans="6:6" ht="12.75" customHeight="1">
      <c r="F8867" s="32"/>
    </row>
    <row r="8868" spans="6:6" ht="12.75" customHeight="1">
      <c r="F8868" s="32"/>
    </row>
    <row r="8869" spans="6:6" ht="12.75" customHeight="1">
      <c r="F8869" s="32"/>
    </row>
    <row r="8870" spans="6:6" ht="12.75" customHeight="1">
      <c r="F8870" s="32"/>
    </row>
    <row r="8871" spans="6:6" ht="12.75" customHeight="1">
      <c r="F8871" s="32"/>
    </row>
    <row r="8872" spans="6:6" ht="12.75" customHeight="1">
      <c r="F8872" s="32"/>
    </row>
    <row r="8873" spans="6:6" ht="12.75" customHeight="1">
      <c r="F8873" s="32"/>
    </row>
    <row r="8874" spans="6:6" ht="12.75" customHeight="1">
      <c r="F8874" s="32"/>
    </row>
    <row r="8875" spans="6:6" ht="12.75" customHeight="1">
      <c r="F8875" s="32"/>
    </row>
    <row r="8876" spans="6:6" ht="12.75" customHeight="1">
      <c r="F8876" s="32"/>
    </row>
    <row r="8877" spans="6:6" ht="12.75" customHeight="1">
      <c r="F8877" s="32"/>
    </row>
    <row r="8878" spans="6:6" ht="12.75" customHeight="1">
      <c r="F8878" s="32"/>
    </row>
    <row r="8879" spans="6:6" ht="12.75" customHeight="1">
      <c r="F8879" s="32"/>
    </row>
    <row r="8880" spans="6:6" ht="12.75" customHeight="1">
      <c r="F8880" s="32"/>
    </row>
    <row r="8881" spans="6:6" ht="12.75" customHeight="1">
      <c r="F8881" s="32"/>
    </row>
    <row r="8882" spans="6:6" ht="12.75" customHeight="1">
      <c r="F8882" s="32"/>
    </row>
    <row r="8883" spans="6:6" ht="12.75" customHeight="1">
      <c r="F8883" s="32"/>
    </row>
    <row r="8884" spans="6:6" ht="12.75" customHeight="1">
      <c r="F8884" s="32"/>
    </row>
    <row r="8885" spans="6:6" ht="12.75" customHeight="1">
      <c r="F8885" s="32"/>
    </row>
    <row r="8886" spans="6:6" ht="12.75" customHeight="1">
      <c r="F8886" s="32"/>
    </row>
    <row r="8887" spans="6:6" ht="12.75" customHeight="1">
      <c r="F8887" s="32"/>
    </row>
    <row r="8888" spans="6:6" ht="12.75" customHeight="1">
      <c r="F8888" s="32"/>
    </row>
    <row r="8889" spans="6:6" ht="12.75" customHeight="1">
      <c r="F8889" s="32"/>
    </row>
    <row r="8890" spans="6:6" ht="12.75" customHeight="1">
      <c r="F8890" s="32"/>
    </row>
    <row r="8891" spans="6:6" ht="12.75" customHeight="1">
      <c r="F8891" s="32"/>
    </row>
    <row r="8892" spans="6:6" ht="12.75" customHeight="1">
      <c r="F8892" s="32"/>
    </row>
    <row r="8893" spans="6:6" ht="12.75" customHeight="1">
      <c r="F8893" s="32"/>
    </row>
    <row r="8894" spans="6:6" ht="12.75" customHeight="1">
      <c r="F8894" s="32"/>
    </row>
    <row r="8895" spans="6:6" ht="12.75" customHeight="1">
      <c r="F8895" s="32"/>
    </row>
    <row r="8896" spans="6:6" ht="12.75" customHeight="1">
      <c r="F8896" s="32"/>
    </row>
    <row r="8897" spans="6:6" ht="12.75" customHeight="1">
      <c r="F8897" s="32"/>
    </row>
    <row r="8898" spans="6:6" ht="12.75" customHeight="1">
      <c r="F8898" s="32"/>
    </row>
    <row r="8899" spans="6:6" ht="12.75" customHeight="1">
      <c r="F8899" s="32"/>
    </row>
    <row r="8900" spans="6:6" ht="12.75" customHeight="1">
      <c r="F8900" s="32"/>
    </row>
    <row r="8901" spans="6:6" ht="12.75" customHeight="1">
      <c r="F8901" s="32"/>
    </row>
    <row r="8902" spans="6:6" ht="12.75" customHeight="1">
      <c r="F8902" s="32"/>
    </row>
    <row r="8903" spans="6:6" ht="12.75" customHeight="1">
      <c r="F8903" s="32"/>
    </row>
    <row r="8904" spans="6:6" ht="12.75" customHeight="1">
      <c r="F8904" s="32"/>
    </row>
    <row r="8905" spans="6:6" ht="12.75" customHeight="1">
      <c r="F8905" s="32"/>
    </row>
    <row r="8906" spans="6:6" ht="12.75" customHeight="1">
      <c r="F8906" s="32"/>
    </row>
    <row r="8907" spans="6:6" ht="12.75" customHeight="1">
      <c r="F8907" s="32"/>
    </row>
    <row r="8908" spans="6:6" ht="12.75" customHeight="1">
      <c r="F8908" s="32"/>
    </row>
    <row r="8909" spans="6:6" ht="12.75" customHeight="1">
      <c r="F8909" s="32"/>
    </row>
    <row r="8910" spans="6:6" ht="12.75" customHeight="1">
      <c r="F8910" s="32"/>
    </row>
    <row r="8911" spans="6:6" ht="12.75" customHeight="1">
      <c r="F8911" s="32"/>
    </row>
    <row r="8912" spans="6:6" ht="12.75" customHeight="1">
      <c r="F8912" s="32"/>
    </row>
    <row r="8913" spans="6:6" ht="12.75" customHeight="1">
      <c r="F8913" s="32"/>
    </row>
    <row r="8914" spans="6:6" ht="12.75" customHeight="1">
      <c r="F8914" s="32"/>
    </row>
    <row r="8915" spans="6:6" ht="12.75" customHeight="1">
      <c r="F8915" s="32"/>
    </row>
    <row r="8916" spans="6:6" ht="12.75" customHeight="1">
      <c r="F8916" s="32"/>
    </row>
    <row r="8917" spans="6:6" ht="12.75" customHeight="1">
      <c r="F8917" s="32"/>
    </row>
    <row r="8918" spans="6:6" ht="12.75" customHeight="1">
      <c r="F8918" s="32"/>
    </row>
    <row r="8919" spans="6:6" ht="12.75" customHeight="1">
      <c r="F8919" s="32"/>
    </row>
    <row r="8920" spans="6:6" ht="12.75" customHeight="1">
      <c r="F8920" s="32"/>
    </row>
    <row r="8921" spans="6:6" ht="12.75" customHeight="1">
      <c r="F8921" s="32"/>
    </row>
    <row r="8922" spans="6:6" ht="12.75" customHeight="1">
      <c r="F8922" s="32"/>
    </row>
    <row r="8923" spans="6:6" ht="12.75" customHeight="1">
      <c r="F8923" s="32"/>
    </row>
    <row r="8924" spans="6:6" ht="12.75" customHeight="1">
      <c r="F8924" s="32"/>
    </row>
    <row r="8925" spans="6:6" ht="12.75" customHeight="1">
      <c r="F8925" s="32"/>
    </row>
    <row r="8926" spans="6:6" ht="12.75" customHeight="1">
      <c r="F8926" s="32"/>
    </row>
    <row r="8927" spans="6:6" ht="12.75" customHeight="1">
      <c r="F8927" s="32"/>
    </row>
    <row r="8928" spans="6:6" ht="12.75" customHeight="1">
      <c r="F8928" s="32"/>
    </row>
    <row r="8929" spans="6:6" ht="12.75" customHeight="1">
      <c r="F8929" s="32"/>
    </row>
    <row r="8930" spans="6:6" ht="12.75" customHeight="1">
      <c r="F8930" s="32"/>
    </row>
    <row r="8931" spans="6:6" ht="12.75" customHeight="1">
      <c r="F8931" s="32"/>
    </row>
    <row r="8932" spans="6:6" ht="12.75" customHeight="1">
      <c r="F8932" s="32"/>
    </row>
    <row r="8933" spans="6:6" ht="12.75" customHeight="1">
      <c r="F8933" s="32"/>
    </row>
    <row r="8934" spans="6:6" ht="12.75" customHeight="1">
      <c r="F8934" s="32"/>
    </row>
    <row r="8935" spans="6:6" ht="12.75" customHeight="1">
      <c r="F8935" s="32"/>
    </row>
    <row r="8936" spans="6:6" ht="12.75" customHeight="1">
      <c r="F8936" s="32"/>
    </row>
    <row r="8937" spans="6:6" ht="12.75" customHeight="1">
      <c r="F8937" s="32"/>
    </row>
    <row r="8938" spans="6:6" ht="12.75" customHeight="1">
      <c r="F8938" s="32"/>
    </row>
    <row r="8939" spans="6:6" ht="12.75" customHeight="1">
      <c r="F8939" s="32"/>
    </row>
    <row r="8940" spans="6:6" ht="12.75" customHeight="1">
      <c r="F8940" s="32"/>
    </row>
    <row r="8941" spans="6:6" ht="12.75" customHeight="1">
      <c r="F8941" s="32"/>
    </row>
    <row r="8942" spans="6:6" ht="12.75" customHeight="1">
      <c r="F8942" s="32"/>
    </row>
    <row r="8943" spans="6:6" ht="12.75" customHeight="1">
      <c r="F8943" s="32"/>
    </row>
    <row r="8944" spans="6:6" ht="12.75" customHeight="1">
      <c r="F8944" s="32"/>
    </row>
    <row r="8945" spans="6:6" ht="12.75" customHeight="1">
      <c r="F8945" s="32"/>
    </row>
    <row r="8946" spans="6:6" ht="12.75" customHeight="1">
      <c r="F8946" s="32"/>
    </row>
    <row r="8947" spans="6:6" ht="12.75" customHeight="1">
      <c r="F8947" s="32"/>
    </row>
    <row r="8948" spans="6:6" ht="12.75" customHeight="1">
      <c r="F8948" s="32"/>
    </row>
    <row r="8949" spans="6:6" ht="12.75" customHeight="1">
      <c r="F8949" s="32"/>
    </row>
    <row r="8950" spans="6:6" ht="12.75" customHeight="1">
      <c r="F8950" s="32"/>
    </row>
    <row r="8951" spans="6:6" ht="12.75" customHeight="1">
      <c r="F8951" s="32"/>
    </row>
    <row r="8952" spans="6:6" ht="12.75" customHeight="1">
      <c r="F8952" s="32"/>
    </row>
    <row r="8953" spans="6:6" ht="12.75" customHeight="1">
      <c r="F8953" s="32"/>
    </row>
    <row r="8954" spans="6:6" ht="12.75" customHeight="1">
      <c r="F8954" s="32"/>
    </row>
    <row r="8955" spans="6:6" ht="12.75" customHeight="1">
      <c r="F8955" s="32"/>
    </row>
    <row r="8956" spans="6:6" ht="12.75" customHeight="1">
      <c r="F8956" s="32"/>
    </row>
    <row r="8957" spans="6:6" ht="12.75" customHeight="1">
      <c r="F8957" s="32"/>
    </row>
    <row r="8958" spans="6:6" ht="12.75" customHeight="1">
      <c r="F8958" s="32"/>
    </row>
    <row r="8959" spans="6:6" ht="12.75" customHeight="1">
      <c r="F8959" s="32"/>
    </row>
    <row r="8960" spans="6:6" ht="12.75" customHeight="1">
      <c r="F8960" s="32"/>
    </row>
    <row r="8961" spans="6:6" ht="12.75" customHeight="1">
      <c r="F8961" s="32"/>
    </row>
    <row r="8962" spans="6:6" ht="12.75" customHeight="1">
      <c r="F8962" s="32"/>
    </row>
    <row r="8963" spans="6:6" ht="12.75" customHeight="1">
      <c r="F8963" s="32"/>
    </row>
    <row r="8964" spans="6:6" ht="12.75" customHeight="1">
      <c r="F8964" s="32"/>
    </row>
    <row r="8965" spans="6:6" ht="12.75" customHeight="1">
      <c r="F8965" s="32"/>
    </row>
    <row r="8966" spans="6:6" ht="12.75" customHeight="1">
      <c r="F8966" s="32"/>
    </row>
    <row r="8967" spans="6:6" ht="12.75" customHeight="1">
      <c r="F8967" s="32"/>
    </row>
    <row r="8968" spans="6:6" ht="12.75" customHeight="1">
      <c r="F8968" s="32"/>
    </row>
    <row r="8969" spans="6:6" ht="12.75" customHeight="1">
      <c r="F8969" s="32"/>
    </row>
    <row r="8970" spans="6:6" ht="12.75" customHeight="1">
      <c r="F8970" s="32"/>
    </row>
    <row r="8971" spans="6:6" ht="12.75" customHeight="1">
      <c r="F8971" s="32"/>
    </row>
    <row r="8972" spans="6:6" ht="12.75" customHeight="1">
      <c r="F8972" s="32"/>
    </row>
    <row r="8973" spans="6:6" ht="12.75" customHeight="1">
      <c r="F8973" s="32"/>
    </row>
    <row r="8974" spans="6:6" ht="12.75" customHeight="1">
      <c r="F8974" s="32"/>
    </row>
    <row r="8975" spans="6:6" ht="12.75" customHeight="1">
      <c r="F8975" s="32"/>
    </row>
    <row r="8976" spans="6:6" ht="12.75" customHeight="1">
      <c r="F8976" s="32"/>
    </row>
    <row r="8977" spans="6:6" ht="12.75" customHeight="1">
      <c r="F8977" s="32"/>
    </row>
    <row r="8978" spans="6:6" ht="12.75" customHeight="1">
      <c r="F8978" s="32"/>
    </row>
    <row r="8979" spans="6:6" ht="12.75" customHeight="1">
      <c r="F8979" s="32"/>
    </row>
    <row r="8980" spans="6:6" ht="12.75" customHeight="1">
      <c r="F8980" s="32"/>
    </row>
    <row r="8981" spans="6:6" ht="12.75" customHeight="1">
      <c r="F8981" s="32"/>
    </row>
    <row r="8982" spans="6:6" ht="12.75" customHeight="1">
      <c r="F8982" s="32"/>
    </row>
    <row r="8983" spans="6:6" ht="12.75" customHeight="1">
      <c r="F8983" s="32"/>
    </row>
    <row r="8984" spans="6:6" ht="12.75" customHeight="1">
      <c r="F8984" s="32"/>
    </row>
    <row r="8985" spans="6:6" ht="12.75" customHeight="1">
      <c r="F8985" s="32"/>
    </row>
    <row r="8986" spans="6:6" ht="12.75" customHeight="1">
      <c r="F8986" s="32"/>
    </row>
    <row r="8987" spans="6:6" ht="12.75" customHeight="1">
      <c r="F8987" s="32"/>
    </row>
    <row r="8988" spans="6:6" ht="12.75" customHeight="1">
      <c r="F8988" s="32"/>
    </row>
    <row r="8989" spans="6:6" ht="12.75" customHeight="1">
      <c r="F8989" s="32"/>
    </row>
    <row r="8990" spans="6:6" ht="12.75" customHeight="1">
      <c r="F8990" s="32"/>
    </row>
    <row r="8991" spans="6:6" ht="12.75" customHeight="1">
      <c r="F8991" s="32"/>
    </row>
    <row r="8992" spans="6:6" ht="12.75" customHeight="1">
      <c r="F8992" s="32"/>
    </row>
    <row r="8993" spans="6:6" ht="12.75" customHeight="1">
      <c r="F8993" s="32"/>
    </row>
    <row r="8994" spans="6:6" ht="12.75" customHeight="1">
      <c r="F8994" s="32"/>
    </row>
    <row r="8995" spans="6:6" ht="12.75" customHeight="1">
      <c r="F8995" s="32"/>
    </row>
    <row r="8996" spans="6:6" ht="12.75" customHeight="1">
      <c r="F8996" s="32"/>
    </row>
    <row r="8997" spans="6:6" ht="12.75" customHeight="1">
      <c r="F8997" s="32"/>
    </row>
    <row r="8998" spans="6:6" ht="12.75" customHeight="1">
      <c r="F8998" s="32"/>
    </row>
    <row r="8999" spans="6:6" ht="12.75" customHeight="1">
      <c r="F8999" s="32"/>
    </row>
    <row r="9000" spans="6:6" ht="12.75" customHeight="1">
      <c r="F9000" s="32"/>
    </row>
    <row r="9001" spans="6:6" ht="12.75" customHeight="1">
      <c r="F9001" s="32"/>
    </row>
    <row r="9002" spans="6:6" ht="12.75" customHeight="1">
      <c r="F9002" s="32"/>
    </row>
    <row r="9003" spans="6:6" ht="12.75" customHeight="1">
      <c r="F9003" s="32"/>
    </row>
    <row r="9004" spans="6:6" ht="12.75" customHeight="1">
      <c r="F9004" s="32"/>
    </row>
    <row r="9005" spans="6:6" ht="12.75" customHeight="1">
      <c r="F9005" s="32"/>
    </row>
    <row r="9006" spans="6:6" ht="12.75" customHeight="1">
      <c r="F9006" s="32"/>
    </row>
    <row r="9007" spans="6:6" ht="12.75" customHeight="1">
      <c r="F9007" s="32"/>
    </row>
    <row r="9008" spans="6:6" ht="12.75" customHeight="1">
      <c r="F9008" s="32"/>
    </row>
    <row r="9009" spans="6:6" ht="12.75" customHeight="1">
      <c r="F9009" s="32"/>
    </row>
    <row r="9010" spans="6:6" ht="12.75" customHeight="1">
      <c r="F9010" s="32"/>
    </row>
    <row r="9011" spans="6:6" ht="12.75" customHeight="1">
      <c r="F9011" s="32"/>
    </row>
    <row r="9012" spans="6:6" ht="12.75" customHeight="1">
      <c r="F9012" s="32"/>
    </row>
    <row r="9013" spans="6:6" ht="12.75" customHeight="1">
      <c r="F9013" s="32"/>
    </row>
    <row r="9014" spans="6:6" ht="12.75" customHeight="1">
      <c r="F9014" s="32"/>
    </row>
    <row r="9015" spans="6:6" ht="12.75" customHeight="1">
      <c r="F9015" s="32"/>
    </row>
    <row r="9016" spans="6:6" ht="12.75" customHeight="1">
      <c r="F9016" s="32"/>
    </row>
    <row r="9017" spans="6:6" ht="12.75" customHeight="1">
      <c r="F9017" s="32"/>
    </row>
    <row r="9018" spans="6:6" ht="12.75" customHeight="1">
      <c r="F9018" s="32"/>
    </row>
    <row r="9019" spans="6:6" ht="12.75" customHeight="1">
      <c r="F9019" s="32"/>
    </row>
    <row r="9020" spans="6:6" ht="12.75" customHeight="1">
      <c r="F9020" s="32"/>
    </row>
    <row r="9021" spans="6:6" ht="12.75" customHeight="1">
      <c r="F9021" s="32"/>
    </row>
    <row r="9022" spans="6:6" ht="12.75" customHeight="1">
      <c r="F9022" s="32"/>
    </row>
    <row r="9023" spans="6:6" ht="12.75" customHeight="1">
      <c r="F9023" s="32"/>
    </row>
    <row r="9024" spans="6:6" ht="12.75" customHeight="1">
      <c r="F9024" s="32"/>
    </row>
    <row r="9025" spans="6:6" ht="12.75" customHeight="1">
      <c r="F9025" s="32"/>
    </row>
    <row r="9026" spans="6:6" ht="12.75" customHeight="1">
      <c r="F9026" s="32"/>
    </row>
    <row r="9027" spans="6:6" ht="12.75" customHeight="1">
      <c r="F9027" s="32"/>
    </row>
    <row r="9028" spans="6:6" ht="12.75" customHeight="1">
      <c r="F9028" s="32"/>
    </row>
    <row r="9029" spans="6:6" ht="12.75" customHeight="1">
      <c r="F9029" s="32"/>
    </row>
    <row r="9030" spans="6:6" ht="12.75" customHeight="1">
      <c r="F9030" s="32"/>
    </row>
    <row r="9031" spans="6:6" ht="12.75" customHeight="1">
      <c r="F9031" s="32"/>
    </row>
    <row r="9032" spans="6:6" ht="12.75" customHeight="1">
      <c r="F9032" s="32"/>
    </row>
    <row r="9033" spans="6:6" ht="12.75" customHeight="1">
      <c r="F9033" s="32"/>
    </row>
    <row r="9034" spans="6:6" ht="12.75" customHeight="1">
      <c r="F9034" s="32"/>
    </row>
    <row r="9035" spans="6:6" ht="12.75" customHeight="1">
      <c r="F9035" s="32"/>
    </row>
    <row r="9036" spans="6:6" ht="12.75" customHeight="1">
      <c r="F9036" s="32"/>
    </row>
    <row r="9037" spans="6:6" ht="12.75" customHeight="1">
      <c r="F9037" s="32"/>
    </row>
    <row r="9038" spans="6:6" ht="12.75" customHeight="1">
      <c r="F9038" s="32"/>
    </row>
    <row r="9039" spans="6:6" ht="12.75" customHeight="1">
      <c r="F9039" s="32"/>
    </row>
    <row r="9040" spans="6:6" ht="12.75" customHeight="1">
      <c r="F9040" s="32"/>
    </row>
    <row r="9041" spans="6:6" ht="12.75" customHeight="1">
      <c r="F9041" s="32"/>
    </row>
    <row r="9042" spans="6:6" ht="12.75" customHeight="1">
      <c r="F9042" s="32"/>
    </row>
    <row r="9043" spans="6:6" ht="12.75" customHeight="1">
      <c r="F9043" s="32"/>
    </row>
    <row r="9044" spans="6:6" ht="12.75" customHeight="1">
      <c r="F9044" s="32"/>
    </row>
    <row r="9045" spans="6:6" ht="12.75" customHeight="1">
      <c r="F9045" s="32"/>
    </row>
    <row r="9046" spans="6:6" ht="12.75" customHeight="1">
      <c r="F9046" s="32"/>
    </row>
    <row r="9047" spans="6:6" ht="12.75" customHeight="1">
      <c r="F9047" s="32"/>
    </row>
    <row r="9048" spans="6:6" ht="12.75" customHeight="1">
      <c r="F9048" s="32"/>
    </row>
    <row r="9049" spans="6:6" ht="12.75" customHeight="1">
      <c r="F9049" s="32"/>
    </row>
    <row r="9050" spans="6:6" ht="12.75" customHeight="1">
      <c r="F9050" s="32"/>
    </row>
    <row r="9051" spans="6:6" ht="12.75" customHeight="1">
      <c r="F9051" s="32"/>
    </row>
    <row r="9052" spans="6:6" ht="12.75" customHeight="1">
      <c r="F9052" s="32"/>
    </row>
    <row r="9053" spans="6:6" ht="12.75" customHeight="1">
      <c r="F9053" s="32"/>
    </row>
    <row r="9054" spans="6:6" ht="12.75" customHeight="1">
      <c r="F9054" s="32"/>
    </row>
    <row r="9055" spans="6:6" ht="12.75" customHeight="1">
      <c r="F9055" s="32"/>
    </row>
    <row r="9056" spans="6:6" ht="12.75" customHeight="1">
      <c r="F9056" s="32"/>
    </row>
    <row r="9057" spans="6:6" ht="12.75" customHeight="1">
      <c r="F9057" s="32"/>
    </row>
    <row r="9058" spans="6:6" ht="12.75" customHeight="1">
      <c r="F9058" s="32"/>
    </row>
    <row r="9059" spans="6:6" ht="12.75" customHeight="1">
      <c r="F9059" s="32"/>
    </row>
    <row r="9060" spans="6:6" ht="12.75" customHeight="1">
      <c r="F9060" s="32"/>
    </row>
    <row r="9061" spans="6:6" ht="12.75" customHeight="1">
      <c r="F9061" s="32"/>
    </row>
    <row r="9062" spans="6:6" ht="12.75" customHeight="1">
      <c r="F9062" s="32"/>
    </row>
    <row r="9063" spans="6:6" ht="12.75" customHeight="1">
      <c r="F9063" s="32"/>
    </row>
    <row r="9064" spans="6:6" ht="12.75" customHeight="1">
      <c r="F9064" s="32"/>
    </row>
    <row r="9065" spans="6:6" ht="12.75" customHeight="1">
      <c r="F9065" s="32"/>
    </row>
    <row r="9066" spans="6:6" ht="12.75" customHeight="1">
      <c r="F9066" s="32"/>
    </row>
    <row r="9067" spans="6:6" ht="12.75" customHeight="1">
      <c r="F9067" s="32"/>
    </row>
    <row r="9068" spans="6:6" ht="12.75" customHeight="1">
      <c r="F9068" s="32"/>
    </row>
    <row r="9069" spans="6:6" ht="12.75" customHeight="1">
      <c r="F9069" s="32"/>
    </row>
    <row r="9070" spans="6:6" ht="12.75" customHeight="1">
      <c r="F9070" s="32"/>
    </row>
    <row r="9071" spans="6:6" ht="12.75" customHeight="1">
      <c r="F9071" s="32"/>
    </row>
    <row r="9072" spans="6:6" ht="12.75" customHeight="1">
      <c r="F9072" s="32"/>
    </row>
    <row r="9073" spans="6:6" ht="12.75" customHeight="1">
      <c r="F9073" s="32"/>
    </row>
    <row r="9074" spans="6:6" ht="12.75" customHeight="1">
      <c r="F9074" s="32"/>
    </row>
    <row r="9075" spans="6:6" ht="12.75" customHeight="1">
      <c r="F9075" s="32"/>
    </row>
    <row r="9076" spans="6:6" ht="12.75" customHeight="1">
      <c r="F9076" s="32"/>
    </row>
    <row r="9077" spans="6:6" ht="12.75" customHeight="1">
      <c r="F9077" s="32"/>
    </row>
    <row r="9078" spans="6:6" ht="12.75" customHeight="1">
      <c r="F9078" s="32"/>
    </row>
    <row r="9079" spans="6:6" ht="12.75" customHeight="1">
      <c r="F9079" s="32"/>
    </row>
    <row r="9080" spans="6:6" ht="12.75" customHeight="1">
      <c r="F9080" s="32"/>
    </row>
    <row r="9081" spans="6:6" ht="12.75" customHeight="1">
      <c r="F9081" s="32"/>
    </row>
    <row r="9082" spans="6:6" ht="12.75" customHeight="1">
      <c r="F9082" s="32"/>
    </row>
    <row r="9083" spans="6:6" ht="12.75" customHeight="1">
      <c r="F9083" s="32"/>
    </row>
    <row r="9084" spans="6:6" ht="12.75" customHeight="1">
      <c r="F9084" s="32"/>
    </row>
    <row r="9085" spans="6:6" ht="12.75" customHeight="1">
      <c r="F9085" s="32"/>
    </row>
    <row r="9086" spans="6:6" ht="12.75" customHeight="1">
      <c r="F9086" s="32"/>
    </row>
    <row r="9087" spans="6:6" ht="12.75" customHeight="1">
      <c r="F9087" s="32"/>
    </row>
    <row r="9088" spans="6:6" ht="12.75" customHeight="1">
      <c r="F9088" s="32"/>
    </row>
    <row r="9089" spans="6:6" ht="12.75" customHeight="1">
      <c r="F9089" s="32"/>
    </row>
    <row r="9090" spans="6:6" ht="12.75" customHeight="1">
      <c r="F9090" s="32"/>
    </row>
    <row r="9091" spans="6:6" ht="12.75" customHeight="1">
      <c r="F9091" s="32"/>
    </row>
    <row r="9092" spans="6:6" ht="12.75" customHeight="1">
      <c r="F9092" s="32"/>
    </row>
    <row r="9093" spans="6:6" ht="12.75" customHeight="1">
      <c r="F9093" s="32"/>
    </row>
    <row r="9094" spans="6:6" ht="12.75" customHeight="1">
      <c r="F9094" s="32"/>
    </row>
    <row r="9095" spans="6:6" ht="12.75" customHeight="1">
      <c r="F9095" s="32"/>
    </row>
    <row r="9096" spans="6:6" ht="12.75" customHeight="1">
      <c r="F9096" s="32"/>
    </row>
    <row r="9097" spans="6:6" ht="12.75" customHeight="1">
      <c r="F9097" s="32"/>
    </row>
    <row r="9098" spans="6:6" ht="12.75" customHeight="1">
      <c r="F9098" s="32"/>
    </row>
    <row r="9099" spans="6:6" ht="12.75" customHeight="1">
      <c r="F9099" s="32"/>
    </row>
    <row r="9100" spans="6:6" ht="12.75" customHeight="1">
      <c r="F9100" s="32"/>
    </row>
    <row r="9101" spans="6:6" ht="12.75" customHeight="1">
      <c r="F9101" s="32"/>
    </row>
    <row r="9102" spans="6:6" ht="12.75" customHeight="1">
      <c r="F9102" s="32"/>
    </row>
    <row r="9103" spans="6:6" ht="12.75" customHeight="1">
      <c r="F9103" s="32"/>
    </row>
    <row r="9104" spans="6:6" ht="12.75" customHeight="1">
      <c r="F9104" s="32"/>
    </row>
    <row r="9105" spans="6:6" ht="12.75" customHeight="1">
      <c r="F9105" s="32"/>
    </row>
    <row r="9106" spans="6:6" ht="12.75" customHeight="1">
      <c r="F9106" s="32"/>
    </row>
    <row r="9107" spans="6:6" ht="12.75" customHeight="1">
      <c r="F9107" s="32"/>
    </row>
    <row r="9108" spans="6:6" ht="12.75" customHeight="1">
      <c r="F9108" s="32"/>
    </row>
    <row r="9109" spans="6:6" ht="12.75" customHeight="1">
      <c r="F9109" s="32"/>
    </row>
    <row r="9110" spans="6:6" ht="12.75" customHeight="1">
      <c r="F9110" s="32"/>
    </row>
    <row r="9111" spans="6:6" ht="12.75" customHeight="1">
      <c r="F9111" s="32"/>
    </row>
    <row r="9112" spans="6:6" ht="12.75" customHeight="1">
      <c r="F9112" s="32"/>
    </row>
    <row r="9113" spans="6:6" ht="12.75" customHeight="1">
      <c r="F9113" s="32"/>
    </row>
    <row r="9114" spans="6:6" ht="12.75" customHeight="1">
      <c r="F9114" s="32"/>
    </row>
    <row r="9115" spans="6:6" ht="12.75" customHeight="1">
      <c r="F9115" s="32"/>
    </row>
    <row r="9116" spans="6:6" ht="12.75" customHeight="1">
      <c r="F9116" s="32"/>
    </row>
    <row r="9117" spans="6:6" ht="12.75" customHeight="1">
      <c r="F9117" s="32"/>
    </row>
    <row r="9118" spans="6:6" ht="12.75" customHeight="1">
      <c r="F9118" s="32"/>
    </row>
    <row r="9119" spans="6:6" ht="12.75" customHeight="1">
      <c r="F9119" s="32"/>
    </row>
    <row r="9120" spans="6:6" ht="12.75" customHeight="1">
      <c r="F9120" s="32"/>
    </row>
    <row r="9121" spans="6:6" ht="12.75" customHeight="1">
      <c r="F9121" s="32"/>
    </row>
    <row r="9122" spans="6:6" ht="12.75" customHeight="1">
      <c r="F9122" s="32"/>
    </row>
    <row r="9123" spans="6:6" ht="12.75" customHeight="1">
      <c r="F9123" s="32"/>
    </row>
    <row r="9124" spans="6:6" ht="12.75" customHeight="1">
      <c r="F9124" s="32"/>
    </row>
    <row r="9125" spans="6:6" ht="12.75" customHeight="1">
      <c r="F9125" s="32"/>
    </row>
    <row r="9126" spans="6:6" ht="12.75" customHeight="1">
      <c r="F9126" s="32"/>
    </row>
    <row r="9127" spans="6:6" ht="12.75" customHeight="1">
      <c r="F9127" s="32"/>
    </row>
    <row r="9128" spans="6:6" ht="12.75" customHeight="1">
      <c r="F9128" s="32"/>
    </row>
    <row r="9129" spans="6:6" ht="12.75" customHeight="1">
      <c r="F9129" s="32"/>
    </row>
    <row r="9130" spans="6:6" ht="12.75" customHeight="1">
      <c r="F9130" s="32"/>
    </row>
    <row r="9131" spans="6:6" ht="12.75" customHeight="1">
      <c r="F9131" s="32"/>
    </row>
    <row r="9132" spans="6:6" ht="12.75" customHeight="1">
      <c r="F9132" s="32"/>
    </row>
    <row r="9133" spans="6:6" ht="12.75" customHeight="1">
      <c r="F9133" s="32"/>
    </row>
    <row r="9134" spans="6:6" ht="12.75" customHeight="1">
      <c r="F9134" s="32"/>
    </row>
    <row r="9135" spans="6:6" ht="12.75" customHeight="1">
      <c r="F9135" s="32"/>
    </row>
    <row r="9136" spans="6:6" ht="12.75" customHeight="1">
      <c r="F9136" s="32"/>
    </row>
    <row r="9137" spans="6:6" ht="12.75" customHeight="1">
      <c r="F9137" s="32"/>
    </row>
    <row r="9138" spans="6:6" ht="12.75" customHeight="1">
      <c r="F9138" s="32"/>
    </row>
    <row r="9139" spans="6:6" ht="12.75" customHeight="1">
      <c r="F9139" s="32"/>
    </row>
    <row r="9140" spans="6:6" ht="12.75" customHeight="1">
      <c r="F9140" s="32"/>
    </row>
    <row r="9141" spans="6:6" ht="12.75" customHeight="1">
      <c r="F9141" s="32"/>
    </row>
    <row r="9142" spans="6:6" ht="12.75" customHeight="1">
      <c r="F9142" s="32"/>
    </row>
    <row r="9143" spans="6:6" ht="12.75" customHeight="1">
      <c r="F9143" s="32"/>
    </row>
    <row r="9144" spans="6:6" ht="12.75" customHeight="1">
      <c r="F9144" s="32"/>
    </row>
    <row r="9145" spans="6:6" ht="12.75" customHeight="1">
      <c r="F9145" s="32"/>
    </row>
    <row r="9146" spans="6:6" ht="12.75" customHeight="1">
      <c r="F9146" s="32"/>
    </row>
    <row r="9147" spans="6:6" ht="12.75" customHeight="1">
      <c r="F9147" s="32"/>
    </row>
    <row r="9148" spans="6:6" ht="12.75" customHeight="1">
      <c r="F9148" s="32"/>
    </row>
    <row r="9149" spans="6:6" ht="12.75" customHeight="1">
      <c r="F9149" s="32"/>
    </row>
    <row r="9150" spans="6:6" ht="12.75" customHeight="1">
      <c r="F9150" s="32"/>
    </row>
    <row r="9151" spans="6:6" ht="12.75" customHeight="1">
      <c r="F9151" s="32"/>
    </row>
    <row r="9152" spans="6:6" ht="12.75" customHeight="1">
      <c r="F9152" s="32"/>
    </row>
    <row r="9153" spans="6:6" ht="12.75" customHeight="1">
      <c r="F9153" s="32"/>
    </row>
    <row r="9154" spans="6:6" ht="12.75" customHeight="1">
      <c r="F9154" s="32"/>
    </row>
    <row r="9155" spans="6:6" ht="12.75" customHeight="1">
      <c r="F9155" s="32"/>
    </row>
    <row r="9156" spans="6:6" ht="12.75" customHeight="1">
      <c r="F9156" s="32"/>
    </row>
    <row r="9157" spans="6:6" ht="12.75" customHeight="1">
      <c r="F9157" s="32"/>
    </row>
    <row r="9158" spans="6:6" ht="12.75" customHeight="1">
      <c r="F9158" s="32"/>
    </row>
    <row r="9159" spans="6:6" ht="12.75" customHeight="1">
      <c r="F9159" s="32"/>
    </row>
    <row r="9160" spans="6:6" ht="12.75" customHeight="1">
      <c r="F9160" s="32"/>
    </row>
    <row r="9161" spans="6:6" ht="12.75" customHeight="1">
      <c r="F9161" s="32"/>
    </row>
    <row r="9162" spans="6:6" ht="12.75" customHeight="1">
      <c r="F9162" s="32"/>
    </row>
    <row r="9163" spans="6:6" ht="12.75" customHeight="1">
      <c r="F9163" s="32"/>
    </row>
    <row r="9164" spans="6:6" ht="12.75" customHeight="1">
      <c r="F9164" s="32"/>
    </row>
    <row r="9165" spans="6:6" ht="12.75" customHeight="1">
      <c r="F9165" s="32"/>
    </row>
    <row r="9166" spans="6:6" ht="12.75" customHeight="1">
      <c r="F9166" s="32"/>
    </row>
    <row r="9167" spans="6:6" ht="12.75" customHeight="1">
      <c r="F9167" s="32"/>
    </row>
    <row r="9168" spans="6:6" ht="12.75" customHeight="1">
      <c r="F9168" s="32"/>
    </row>
    <row r="9169" spans="6:6" ht="12.75" customHeight="1">
      <c r="F9169" s="32"/>
    </row>
    <row r="9170" spans="6:6" ht="12.75" customHeight="1">
      <c r="F9170" s="32"/>
    </row>
    <row r="9171" spans="6:6" ht="12.75" customHeight="1">
      <c r="F9171" s="32"/>
    </row>
    <row r="9172" spans="6:6" ht="12.75" customHeight="1">
      <c r="F9172" s="32"/>
    </row>
    <row r="9173" spans="6:6" ht="12.75" customHeight="1">
      <c r="F9173" s="32"/>
    </row>
    <row r="9174" spans="6:6" ht="12.75" customHeight="1">
      <c r="F9174" s="32"/>
    </row>
    <row r="9175" spans="6:6" ht="12.75" customHeight="1">
      <c r="F9175" s="32"/>
    </row>
    <row r="9176" spans="6:6" ht="12.75" customHeight="1">
      <c r="F9176" s="32"/>
    </row>
    <row r="9177" spans="6:6" ht="12.75" customHeight="1">
      <c r="F9177" s="32"/>
    </row>
    <row r="9178" spans="6:6" ht="12.75" customHeight="1">
      <c r="F9178" s="32"/>
    </row>
    <row r="9179" spans="6:6" ht="12.75" customHeight="1">
      <c r="F9179" s="32"/>
    </row>
    <row r="9180" spans="6:6" ht="12.75" customHeight="1">
      <c r="F9180" s="32"/>
    </row>
    <row r="9181" spans="6:6" ht="12.75" customHeight="1">
      <c r="F9181" s="32"/>
    </row>
    <row r="9182" spans="6:6" ht="12.75" customHeight="1">
      <c r="F9182" s="32"/>
    </row>
    <row r="9183" spans="6:6" ht="12.75" customHeight="1">
      <c r="F9183" s="32"/>
    </row>
    <row r="9184" spans="6:6" ht="12.75" customHeight="1">
      <c r="F9184" s="32"/>
    </row>
    <row r="9185" spans="6:6" ht="12.75" customHeight="1">
      <c r="F9185" s="32"/>
    </row>
    <row r="9186" spans="6:6" ht="12.75" customHeight="1">
      <c r="F9186" s="32"/>
    </row>
    <row r="9187" spans="6:6" ht="12.75" customHeight="1">
      <c r="F9187" s="32"/>
    </row>
    <row r="9188" spans="6:6" ht="12.75" customHeight="1">
      <c r="F9188" s="32"/>
    </row>
    <row r="9189" spans="6:6" ht="12.75" customHeight="1">
      <c r="F9189" s="32"/>
    </row>
    <row r="9190" spans="6:6" ht="12.75" customHeight="1">
      <c r="F9190" s="32"/>
    </row>
    <row r="9191" spans="6:6" ht="12.75" customHeight="1">
      <c r="F9191" s="32"/>
    </row>
    <row r="9192" spans="6:6" ht="12.75" customHeight="1">
      <c r="F9192" s="32"/>
    </row>
    <row r="9193" spans="6:6" ht="12.75" customHeight="1">
      <c r="F9193" s="32"/>
    </row>
    <row r="9194" spans="6:6" ht="12.75" customHeight="1">
      <c r="F9194" s="32"/>
    </row>
    <row r="9195" spans="6:6" ht="12.75" customHeight="1">
      <c r="F9195" s="32"/>
    </row>
    <row r="9196" spans="6:6" ht="12.75" customHeight="1">
      <c r="F9196" s="32"/>
    </row>
    <row r="9197" spans="6:6" ht="12.75" customHeight="1">
      <c r="F9197" s="32"/>
    </row>
    <row r="9198" spans="6:6" ht="12.75" customHeight="1">
      <c r="F9198" s="32"/>
    </row>
    <row r="9199" spans="6:6" ht="12.75" customHeight="1">
      <c r="F9199" s="32"/>
    </row>
    <row r="9200" spans="6:6" ht="12.75" customHeight="1">
      <c r="F9200" s="32"/>
    </row>
    <row r="9201" spans="6:6" ht="12.75" customHeight="1">
      <c r="F9201" s="32"/>
    </row>
    <row r="9202" spans="6:6" ht="12.75" customHeight="1">
      <c r="F9202" s="32"/>
    </row>
    <row r="9203" spans="6:6" ht="12.75" customHeight="1">
      <c r="F9203" s="32"/>
    </row>
    <row r="9204" spans="6:6" ht="12.75" customHeight="1">
      <c r="F9204" s="32"/>
    </row>
    <row r="9205" spans="6:6" ht="12.75" customHeight="1">
      <c r="F9205" s="32"/>
    </row>
    <row r="9206" spans="6:6" ht="12.75" customHeight="1">
      <c r="F9206" s="32"/>
    </row>
    <row r="9207" spans="6:6" ht="12.75" customHeight="1">
      <c r="F9207" s="32"/>
    </row>
    <row r="9208" spans="6:6" ht="12.75" customHeight="1">
      <c r="F9208" s="32"/>
    </row>
    <row r="9209" spans="6:6" ht="12.75" customHeight="1">
      <c r="F9209" s="32"/>
    </row>
    <row r="9210" spans="6:6" ht="12.75" customHeight="1">
      <c r="F9210" s="32"/>
    </row>
    <row r="9211" spans="6:6" ht="12.75" customHeight="1">
      <c r="F9211" s="32"/>
    </row>
    <row r="9212" spans="6:6" ht="12.75" customHeight="1">
      <c r="F9212" s="32"/>
    </row>
    <row r="9213" spans="6:6" ht="12.75" customHeight="1">
      <c r="F9213" s="32"/>
    </row>
    <row r="9214" spans="6:6" ht="12.75" customHeight="1">
      <c r="F9214" s="32"/>
    </row>
    <row r="9215" spans="6:6" ht="12.75" customHeight="1">
      <c r="F9215" s="32"/>
    </row>
    <row r="9216" spans="6:6" ht="12.75" customHeight="1">
      <c r="F9216" s="32"/>
    </row>
    <row r="9217" spans="6:6" ht="12.75" customHeight="1">
      <c r="F9217" s="32"/>
    </row>
    <row r="9218" spans="6:6" ht="12.75" customHeight="1">
      <c r="F9218" s="32"/>
    </row>
    <row r="9219" spans="6:6" ht="12.75" customHeight="1">
      <c r="F9219" s="32"/>
    </row>
    <row r="9220" spans="6:6" ht="12.75" customHeight="1">
      <c r="F9220" s="32"/>
    </row>
    <row r="9221" spans="6:6" ht="12.75" customHeight="1">
      <c r="F9221" s="32"/>
    </row>
    <row r="9222" spans="6:6" ht="12.75" customHeight="1">
      <c r="F9222" s="32"/>
    </row>
    <row r="9223" spans="6:6" ht="12.75" customHeight="1">
      <c r="F9223" s="32"/>
    </row>
    <row r="9224" spans="6:6" ht="12.75" customHeight="1">
      <c r="F9224" s="32"/>
    </row>
    <row r="9225" spans="6:6" ht="12.75" customHeight="1">
      <c r="F9225" s="32"/>
    </row>
    <row r="9226" spans="6:6" ht="12.75" customHeight="1">
      <c r="F9226" s="32"/>
    </row>
    <row r="9227" spans="6:6" ht="12.75" customHeight="1">
      <c r="F9227" s="32"/>
    </row>
    <row r="9228" spans="6:6" ht="12.75" customHeight="1">
      <c r="F9228" s="32"/>
    </row>
    <row r="9229" spans="6:6" ht="12.75" customHeight="1">
      <c r="F9229" s="32"/>
    </row>
    <row r="9230" spans="6:6" ht="12.75" customHeight="1">
      <c r="F9230" s="32"/>
    </row>
    <row r="9231" spans="6:6" ht="12.75" customHeight="1">
      <c r="F9231" s="32"/>
    </row>
    <row r="9232" spans="6:6" ht="12.75" customHeight="1">
      <c r="F9232" s="32"/>
    </row>
    <row r="9233" spans="6:6" ht="12.75" customHeight="1">
      <c r="F9233" s="32"/>
    </row>
    <row r="9234" spans="6:6" ht="12.75" customHeight="1">
      <c r="F9234" s="32"/>
    </row>
    <row r="9235" spans="6:6" ht="12.75" customHeight="1">
      <c r="F9235" s="32"/>
    </row>
    <row r="9236" spans="6:6" ht="12.75" customHeight="1">
      <c r="F9236" s="32"/>
    </row>
    <row r="9237" spans="6:6" ht="12.75" customHeight="1">
      <c r="F9237" s="32"/>
    </row>
    <row r="9238" spans="6:6" ht="12.75" customHeight="1">
      <c r="F9238" s="32"/>
    </row>
    <row r="9239" spans="6:6" ht="12.75" customHeight="1">
      <c r="F9239" s="32"/>
    </row>
    <row r="9240" spans="6:6" ht="12.75" customHeight="1">
      <c r="F9240" s="32"/>
    </row>
    <row r="9241" spans="6:6" ht="12.75" customHeight="1">
      <c r="F9241" s="32"/>
    </row>
    <row r="9242" spans="6:6" ht="12.75" customHeight="1">
      <c r="F9242" s="32"/>
    </row>
    <row r="9243" spans="6:6" ht="12.75" customHeight="1">
      <c r="F9243" s="32"/>
    </row>
    <row r="9244" spans="6:6" ht="12.75" customHeight="1">
      <c r="F9244" s="32"/>
    </row>
    <row r="9245" spans="6:6" ht="12.75" customHeight="1">
      <c r="F9245" s="32"/>
    </row>
    <row r="9246" spans="6:6" ht="12.75" customHeight="1">
      <c r="F9246" s="32"/>
    </row>
    <row r="9247" spans="6:6" ht="12.75" customHeight="1">
      <c r="F9247" s="32"/>
    </row>
    <row r="9248" spans="6:6" ht="12.75" customHeight="1">
      <c r="F9248" s="32"/>
    </row>
    <row r="9249" spans="6:6" ht="12.75" customHeight="1">
      <c r="F9249" s="32"/>
    </row>
    <row r="9250" spans="6:6" ht="12.75" customHeight="1">
      <c r="F9250" s="32"/>
    </row>
    <row r="9251" spans="6:6" ht="12.75" customHeight="1">
      <c r="F9251" s="32"/>
    </row>
    <row r="9252" spans="6:6" ht="12.75" customHeight="1">
      <c r="F9252" s="32"/>
    </row>
    <row r="9253" spans="6:6" ht="12.75" customHeight="1">
      <c r="F9253" s="32"/>
    </row>
    <row r="9254" spans="6:6" ht="12.75" customHeight="1">
      <c r="F9254" s="32"/>
    </row>
    <row r="9255" spans="6:6" ht="12.75" customHeight="1">
      <c r="F9255" s="32"/>
    </row>
    <row r="9256" spans="6:6" ht="12.75" customHeight="1">
      <c r="F9256" s="32"/>
    </row>
    <row r="9257" spans="6:6" ht="12.75" customHeight="1">
      <c r="F9257" s="32"/>
    </row>
    <row r="9258" spans="6:6" ht="12.75" customHeight="1">
      <c r="F9258" s="32"/>
    </row>
    <row r="9259" spans="6:6" ht="12.75" customHeight="1">
      <c r="F9259" s="32"/>
    </row>
    <row r="9260" spans="6:6" ht="12.75" customHeight="1">
      <c r="F9260" s="32"/>
    </row>
    <row r="9261" spans="6:6" ht="12.75" customHeight="1">
      <c r="F9261" s="32"/>
    </row>
    <row r="9262" spans="6:6" ht="12.75" customHeight="1">
      <c r="F9262" s="32"/>
    </row>
    <row r="9263" spans="6:6" ht="12.75" customHeight="1">
      <c r="F9263" s="32"/>
    </row>
    <row r="9264" spans="6:6" ht="12.75" customHeight="1">
      <c r="F9264" s="32"/>
    </row>
    <row r="9265" spans="6:6" ht="12.75" customHeight="1">
      <c r="F9265" s="32"/>
    </row>
    <row r="9266" spans="6:6" ht="12.75" customHeight="1">
      <c r="F9266" s="32"/>
    </row>
    <row r="9267" spans="6:6" ht="12.75" customHeight="1">
      <c r="F9267" s="32"/>
    </row>
    <row r="9268" spans="6:6" ht="12.75" customHeight="1">
      <c r="F9268" s="32"/>
    </row>
    <row r="9269" spans="6:6" ht="12.75" customHeight="1">
      <c r="F9269" s="32"/>
    </row>
    <row r="9270" spans="6:6" ht="12.75" customHeight="1">
      <c r="F9270" s="32"/>
    </row>
    <row r="9271" spans="6:6" ht="12.75" customHeight="1">
      <c r="F9271" s="32"/>
    </row>
    <row r="9272" spans="6:6" ht="12.75" customHeight="1">
      <c r="F9272" s="32"/>
    </row>
    <row r="9273" spans="6:6" ht="12.75" customHeight="1">
      <c r="F9273" s="32"/>
    </row>
    <row r="9274" spans="6:6" ht="12.75" customHeight="1">
      <c r="F9274" s="32"/>
    </row>
    <row r="9275" spans="6:6" ht="12.75" customHeight="1">
      <c r="F9275" s="32"/>
    </row>
    <row r="9276" spans="6:6" ht="12.75" customHeight="1">
      <c r="F9276" s="32"/>
    </row>
    <row r="9277" spans="6:6" ht="12.75" customHeight="1">
      <c r="F9277" s="32"/>
    </row>
    <row r="9278" spans="6:6" ht="12.75" customHeight="1">
      <c r="F9278" s="32"/>
    </row>
    <row r="9279" spans="6:6" ht="12.75" customHeight="1">
      <c r="F9279" s="32"/>
    </row>
    <row r="9280" spans="6:6" ht="12.75" customHeight="1">
      <c r="F9280" s="32"/>
    </row>
    <row r="9281" spans="6:6" ht="12.75" customHeight="1">
      <c r="F9281" s="32"/>
    </row>
    <row r="9282" spans="6:6" ht="12.75" customHeight="1">
      <c r="F9282" s="32"/>
    </row>
    <row r="9283" spans="6:6" ht="12.75" customHeight="1">
      <c r="F9283" s="32"/>
    </row>
    <row r="9284" spans="6:6" ht="12.75" customHeight="1">
      <c r="F9284" s="32"/>
    </row>
    <row r="9285" spans="6:6" ht="12.75" customHeight="1">
      <c r="F9285" s="32"/>
    </row>
    <row r="9286" spans="6:6" ht="12.75" customHeight="1">
      <c r="F9286" s="32"/>
    </row>
    <row r="9287" spans="6:6" ht="12.75" customHeight="1">
      <c r="F9287" s="32"/>
    </row>
    <row r="9288" spans="6:6" ht="12.75" customHeight="1">
      <c r="F9288" s="32"/>
    </row>
    <row r="9289" spans="6:6" ht="12.75" customHeight="1">
      <c r="F9289" s="32"/>
    </row>
    <row r="9290" spans="6:6" ht="12.75" customHeight="1">
      <c r="F9290" s="32"/>
    </row>
    <row r="9291" spans="6:6" ht="12.75" customHeight="1">
      <c r="F9291" s="32"/>
    </row>
    <row r="9292" spans="6:6" ht="12.75" customHeight="1">
      <c r="F9292" s="32"/>
    </row>
    <row r="9293" spans="6:6" ht="12.75" customHeight="1">
      <c r="F9293" s="32"/>
    </row>
    <row r="9294" spans="6:6" ht="12.75" customHeight="1">
      <c r="F9294" s="32"/>
    </row>
    <row r="9295" spans="6:6" ht="12.75" customHeight="1">
      <c r="F9295" s="32"/>
    </row>
    <row r="9296" spans="6:6" ht="12.75" customHeight="1">
      <c r="F9296" s="32"/>
    </row>
    <row r="9297" spans="6:6" ht="12.75" customHeight="1">
      <c r="F9297" s="32"/>
    </row>
    <row r="9298" spans="6:6" ht="12.75" customHeight="1">
      <c r="F9298" s="32"/>
    </row>
    <row r="9299" spans="6:6" ht="12.75" customHeight="1">
      <c r="F9299" s="32"/>
    </row>
    <row r="9300" spans="6:6" ht="12.75" customHeight="1">
      <c r="F9300" s="32"/>
    </row>
    <row r="9301" spans="6:6" ht="12.75" customHeight="1">
      <c r="F9301" s="32"/>
    </row>
    <row r="9302" spans="6:6" ht="12.75" customHeight="1">
      <c r="F9302" s="32"/>
    </row>
    <row r="9303" spans="6:6" ht="12.75" customHeight="1">
      <c r="F9303" s="32"/>
    </row>
    <row r="9304" spans="6:6" ht="12.75" customHeight="1">
      <c r="F9304" s="32"/>
    </row>
    <row r="9305" spans="6:6" ht="12.75" customHeight="1">
      <c r="F9305" s="32"/>
    </row>
    <row r="9306" spans="6:6" ht="12.75" customHeight="1">
      <c r="F9306" s="32"/>
    </row>
    <row r="9307" spans="6:6" ht="12.75" customHeight="1">
      <c r="F9307" s="32"/>
    </row>
    <row r="9308" spans="6:6" ht="12.75" customHeight="1">
      <c r="F9308" s="32"/>
    </row>
    <row r="9309" spans="6:6" ht="12.75" customHeight="1">
      <c r="F9309" s="32"/>
    </row>
    <row r="9310" spans="6:6" ht="12.75" customHeight="1">
      <c r="F9310" s="32"/>
    </row>
    <row r="9311" spans="6:6" ht="12.75" customHeight="1">
      <c r="F9311" s="32"/>
    </row>
    <row r="9312" spans="6:6" ht="12.75" customHeight="1">
      <c r="F9312" s="32"/>
    </row>
    <row r="9313" spans="6:6" ht="12.75" customHeight="1">
      <c r="F9313" s="32"/>
    </row>
    <row r="9314" spans="6:6" ht="12.75" customHeight="1">
      <c r="F9314" s="32"/>
    </row>
    <row r="9315" spans="6:6" ht="12.75" customHeight="1">
      <c r="F9315" s="32"/>
    </row>
    <row r="9316" spans="6:6" ht="12.75" customHeight="1">
      <c r="F9316" s="32"/>
    </row>
    <row r="9317" spans="6:6" ht="12.75" customHeight="1">
      <c r="F9317" s="32"/>
    </row>
    <row r="9318" spans="6:6" ht="12.75" customHeight="1">
      <c r="F9318" s="32"/>
    </row>
    <row r="9319" spans="6:6" ht="12.75" customHeight="1">
      <c r="F9319" s="32"/>
    </row>
    <row r="9320" spans="6:6" ht="12.75" customHeight="1">
      <c r="F9320" s="32"/>
    </row>
    <row r="9321" spans="6:6" ht="12.75" customHeight="1">
      <c r="F9321" s="32"/>
    </row>
    <row r="9322" spans="6:6" ht="12.75" customHeight="1">
      <c r="F9322" s="32"/>
    </row>
    <row r="9323" spans="6:6" ht="12.75" customHeight="1">
      <c r="F9323" s="32"/>
    </row>
    <row r="9324" spans="6:6" ht="12.75" customHeight="1">
      <c r="F9324" s="32"/>
    </row>
    <row r="9325" spans="6:6" ht="12.75" customHeight="1">
      <c r="F9325" s="32"/>
    </row>
    <row r="9326" spans="6:6" ht="12.75" customHeight="1">
      <c r="F9326" s="32"/>
    </row>
    <row r="9327" spans="6:6" ht="12.75" customHeight="1">
      <c r="F9327" s="32"/>
    </row>
    <row r="9328" spans="6:6" ht="12.75" customHeight="1">
      <c r="F9328" s="32"/>
    </row>
    <row r="9329" spans="6:6" ht="12.75" customHeight="1">
      <c r="F9329" s="32"/>
    </row>
    <row r="9330" spans="6:6" ht="12.75" customHeight="1">
      <c r="F9330" s="32"/>
    </row>
    <row r="9331" spans="6:6" ht="12.75" customHeight="1">
      <c r="F9331" s="32"/>
    </row>
    <row r="9332" spans="6:6" ht="12.75" customHeight="1">
      <c r="F9332" s="32"/>
    </row>
    <row r="9333" spans="6:6" ht="12.75" customHeight="1">
      <c r="F9333" s="32"/>
    </row>
    <row r="9334" spans="6:6" ht="12.75" customHeight="1">
      <c r="F9334" s="32"/>
    </row>
    <row r="9335" spans="6:6" ht="12.75" customHeight="1">
      <c r="F9335" s="32"/>
    </row>
    <row r="9336" spans="6:6" ht="12.75" customHeight="1">
      <c r="F9336" s="32"/>
    </row>
    <row r="9337" spans="6:6" ht="12.75" customHeight="1">
      <c r="F9337" s="32"/>
    </row>
    <row r="9338" spans="6:6" ht="12.75" customHeight="1">
      <c r="F9338" s="32"/>
    </row>
    <row r="9339" spans="6:6" ht="12.75" customHeight="1">
      <c r="F9339" s="32"/>
    </row>
    <row r="9340" spans="6:6" ht="12.75" customHeight="1">
      <c r="F9340" s="32"/>
    </row>
    <row r="9341" spans="6:6" ht="12.75" customHeight="1">
      <c r="F9341" s="32"/>
    </row>
    <row r="9342" spans="6:6" ht="12.75" customHeight="1">
      <c r="F9342" s="32"/>
    </row>
    <row r="9343" spans="6:6" ht="12.75" customHeight="1">
      <c r="F9343" s="32"/>
    </row>
    <row r="9344" spans="6:6" ht="12.75" customHeight="1">
      <c r="F9344" s="32"/>
    </row>
    <row r="9345" spans="6:6" ht="12.75" customHeight="1">
      <c r="F9345" s="32"/>
    </row>
    <row r="9346" spans="6:6" ht="12.75" customHeight="1">
      <c r="F9346" s="32"/>
    </row>
    <row r="9347" spans="6:6" ht="12.75" customHeight="1">
      <c r="F9347" s="32"/>
    </row>
    <row r="9348" spans="6:6" ht="12.75" customHeight="1">
      <c r="F9348" s="32"/>
    </row>
    <row r="9349" spans="6:6" ht="12.75" customHeight="1">
      <c r="F9349" s="32"/>
    </row>
    <row r="9350" spans="6:6" ht="12.75" customHeight="1">
      <c r="F9350" s="32"/>
    </row>
    <row r="9351" spans="6:6" ht="12.75" customHeight="1">
      <c r="F9351" s="32"/>
    </row>
    <row r="9352" spans="6:6" ht="12.75" customHeight="1">
      <c r="F9352" s="32"/>
    </row>
    <row r="9353" spans="6:6" ht="12.75" customHeight="1">
      <c r="F9353" s="32"/>
    </row>
    <row r="9354" spans="6:6" ht="12.75" customHeight="1">
      <c r="F9354" s="32"/>
    </row>
    <row r="9355" spans="6:6" ht="12.75" customHeight="1">
      <c r="F9355" s="32"/>
    </row>
    <row r="9356" spans="6:6" ht="12.75" customHeight="1">
      <c r="F9356" s="32"/>
    </row>
    <row r="9357" spans="6:6" ht="12.75" customHeight="1">
      <c r="F9357" s="32"/>
    </row>
    <row r="9358" spans="6:6" ht="12.75" customHeight="1">
      <c r="F9358" s="32"/>
    </row>
    <row r="9359" spans="6:6" ht="12.75" customHeight="1">
      <c r="F9359" s="32"/>
    </row>
    <row r="9360" spans="6:6" ht="12.75" customHeight="1">
      <c r="F9360" s="32"/>
    </row>
    <row r="9361" spans="6:6" ht="12.75" customHeight="1">
      <c r="F9361" s="32"/>
    </row>
    <row r="9362" spans="6:6" ht="12.75" customHeight="1">
      <c r="F9362" s="32"/>
    </row>
    <row r="9363" spans="6:6" ht="12.75" customHeight="1">
      <c r="F9363" s="32"/>
    </row>
    <row r="9364" spans="6:6" ht="12.75" customHeight="1">
      <c r="F9364" s="32"/>
    </row>
    <row r="9365" spans="6:6" ht="12.75" customHeight="1">
      <c r="F9365" s="32"/>
    </row>
    <row r="9366" spans="6:6" ht="12.75" customHeight="1">
      <c r="F9366" s="32"/>
    </row>
    <row r="9367" spans="6:6" ht="12.75" customHeight="1">
      <c r="F9367" s="32"/>
    </row>
    <row r="9368" spans="6:6" ht="12.75" customHeight="1">
      <c r="F9368" s="32"/>
    </row>
    <row r="9369" spans="6:6" ht="12.75" customHeight="1">
      <c r="F9369" s="32"/>
    </row>
    <row r="9370" spans="6:6" ht="12.75" customHeight="1">
      <c r="F9370" s="32"/>
    </row>
    <row r="9371" spans="6:6" ht="12.75" customHeight="1">
      <c r="F9371" s="32"/>
    </row>
    <row r="9372" spans="6:6" ht="12.75" customHeight="1">
      <c r="F9372" s="32"/>
    </row>
    <row r="9373" spans="6:6" ht="12.75" customHeight="1">
      <c r="F9373" s="32"/>
    </row>
    <row r="9374" spans="6:6" ht="12.75" customHeight="1">
      <c r="F9374" s="32"/>
    </row>
    <row r="9375" spans="6:6" ht="12.75" customHeight="1">
      <c r="F9375" s="32"/>
    </row>
    <row r="9376" spans="6:6" ht="12.75" customHeight="1">
      <c r="F9376" s="32"/>
    </row>
    <row r="9377" spans="6:6" ht="12.75" customHeight="1">
      <c r="F9377" s="32"/>
    </row>
    <row r="9378" spans="6:6" ht="12.75" customHeight="1">
      <c r="F9378" s="32"/>
    </row>
    <row r="9379" spans="6:6" ht="12.75" customHeight="1">
      <c r="F9379" s="32"/>
    </row>
    <row r="9380" spans="6:6" ht="12.75" customHeight="1">
      <c r="F9380" s="32"/>
    </row>
    <row r="9381" spans="6:6" ht="12.75" customHeight="1">
      <c r="F9381" s="32"/>
    </row>
    <row r="9382" spans="6:6" ht="12.75" customHeight="1">
      <c r="F9382" s="32"/>
    </row>
    <row r="9383" spans="6:6" ht="12.75" customHeight="1">
      <c r="F9383" s="32"/>
    </row>
    <row r="9384" spans="6:6" ht="12.75" customHeight="1">
      <c r="F9384" s="32"/>
    </row>
    <row r="9385" spans="6:6" ht="12.75" customHeight="1">
      <c r="F9385" s="32"/>
    </row>
    <row r="9386" spans="6:6" ht="12.75" customHeight="1">
      <c r="F9386" s="32"/>
    </row>
    <row r="9387" spans="6:6" ht="12.75" customHeight="1">
      <c r="F9387" s="32"/>
    </row>
    <row r="9388" spans="6:6" ht="12.75" customHeight="1">
      <c r="F9388" s="32"/>
    </row>
    <row r="9389" spans="6:6" ht="12.75" customHeight="1">
      <c r="F9389" s="32"/>
    </row>
    <row r="9390" spans="6:6" ht="12.75" customHeight="1">
      <c r="F9390" s="32"/>
    </row>
    <row r="9391" spans="6:6" ht="12.75" customHeight="1">
      <c r="F9391" s="32"/>
    </row>
    <row r="9392" spans="6:6" ht="12.75" customHeight="1">
      <c r="F9392" s="32"/>
    </row>
    <row r="9393" spans="6:6" ht="12.75" customHeight="1">
      <c r="F9393" s="32"/>
    </row>
    <row r="9394" spans="6:6" ht="12.75" customHeight="1">
      <c r="F9394" s="32"/>
    </row>
    <row r="9395" spans="6:6" ht="12.75" customHeight="1">
      <c r="F9395" s="32"/>
    </row>
    <row r="9396" spans="6:6" ht="12.75" customHeight="1">
      <c r="F9396" s="32"/>
    </row>
    <row r="9397" spans="6:6" ht="12.75" customHeight="1">
      <c r="F9397" s="32"/>
    </row>
    <row r="9398" spans="6:6" ht="12.75" customHeight="1">
      <c r="F9398" s="32"/>
    </row>
    <row r="9399" spans="6:6" ht="12.75" customHeight="1">
      <c r="F9399" s="32"/>
    </row>
    <row r="9400" spans="6:6" ht="12.75" customHeight="1">
      <c r="F9400" s="32"/>
    </row>
    <row r="9401" spans="6:6" ht="12.75" customHeight="1">
      <c r="F9401" s="32"/>
    </row>
    <row r="9402" spans="6:6" ht="12.75" customHeight="1">
      <c r="F9402" s="32"/>
    </row>
    <row r="9403" spans="6:6" ht="12.75" customHeight="1">
      <c r="F9403" s="32"/>
    </row>
    <row r="9404" spans="6:6" ht="12.75" customHeight="1">
      <c r="F9404" s="32"/>
    </row>
    <row r="9405" spans="6:6" ht="12.75" customHeight="1">
      <c r="F9405" s="32"/>
    </row>
    <row r="9406" spans="6:6" ht="12.75" customHeight="1">
      <c r="F9406" s="32"/>
    </row>
    <row r="9407" spans="6:6" ht="12.75" customHeight="1">
      <c r="F9407" s="32"/>
    </row>
    <row r="9408" spans="6:6" ht="12.75" customHeight="1">
      <c r="F9408" s="32"/>
    </row>
    <row r="9409" spans="6:6" ht="12.75" customHeight="1">
      <c r="F9409" s="32"/>
    </row>
    <row r="9410" spans="6:6" ht="12.75" customHeight="1">
      <c r="F9410" s="32"/>
    </row>
    <row r="9411" spans="6:6" ht="12.75" customHeight="1">
      <c r="F9411" s="32"/>
    </row>
    <row r="9412" spans="6:6" ht="12.75" customHeight="1">
      <c r="F9412" s="32"/>
    </row>
    <row r="9413" spans="6:6" ht="12.75" customHeight="1">
      <c r="F9413" s="32"/>
    </row>
    <row r="9414" spans="6:6" ht="12.75" customHeight="1">
      <c r="F9414" s="32"/>
    </row>
    <row r="9415" spans="6:6" ht="12.75" customHeight="1">
      <c r="F9415" s="32"/>
    </row>
    <row r="9416" spans="6:6" ht="12.75" customHeight="1">
      <c r="F9416" s="32"/>
    </row>
    <row r="9417" spans="6:6" ht="12.75" customHeight="1">
      <c r="F9417" s="32"/>
    </row>
    <row r="9418" spans="6:6" ht="12.75" customHeight="1">
      <c r="F9418" s="32"/>
    </row>
    <row r="9419" spans="6:6" ht="12.75" customHeight="1">
      <c r="F9419" s="32"/>
    </row>
    <row r="9420" spans="6:6" ht="12.75" customHeight="1">
      <c r="F9420" s="32"/>
    </row>
    <row r="9421" spans="6:6" ht="12.75" customHeight="1">
      <c r="F9421" s="32"/>
    </row>
    <row r="9422" spans="6:6" ht="12.75" customHeight="1">
      <c r="F9422" s="32"/>
    </row>
    <row r="9423" spans="6:6" ht="12.75" customHeight="1">
      <c r="F9423" s="32"/>
    </row>
    <row r="9424" spans="6:6" ht="12.75" customHeight="1">
      <c r="F9424" s="32"/>
    </row>
    <row r="9425" spans="6:6" ht="12.75" customHeight="1">
      <c r="F9425" s="32"/>
    </row>
    <row r="9426" spans="6:6" ht="12.75" customHeight="1">
      <c r="F9426" s="32"/>
    </row>
    <row r="9427" spans="6:6" ht="12.75" customHeight="1">
      <c r="F9427" s="32"/>
    </row>
    <row r="9428" spans="6:6" ht="12.75" customHeight="1">
      <c r="F9428" s="32"/>
    </row>
    <row r="9429" spans="6:6" ht="12.75" customHeight="1">
      <c r="F9429" s="32"/>
    </row>
    <row r="9430" spans="6:6" ht="12.75" customHeight="1">
      <c r="F9430" s="32"/>
    </row>
    <row r="9431" spans="6:6" ht="12.75" customHeight="1">
      <c r="F9431" s="32"/>
    </row>
    <row r="9432" spans="6:6" ht="12.75" customHeight="1">
      <c r="F9432" s="32"/>
    </row>
    <row r="9433" spans="6:6" ht="12.75" customHeight="1">
      <c r="F9433" s="32"/>
    </row>
    <row r="9434" spans="6:6" ht="12.75" customHeight="1">
      <c r="F9434" s="32"/>
    </row>
    <row r="9435" spans="6:6" ht="12.75" customHeight="1">
      <c r="F9435" s="32"/>
    </row>
    <row r="9436" spans="6:6" ht="12.75" customHeight="1">
      <c r="F9436" s="32"/>
    </row>
    <row r="9437" spans="6:6" ht="12.75" customHeight="1">
      <c r="F9437" s="32"/>
    </row>
    <row r="9438" spans="6:6" ht="12.75" customHeight="1">
      <c r="F9438" s="32"/>
    </row>
    <row r="9439" spans="6:6" ht="12.75" customHeight="1">
      <c r="F9439" s="32"/>
    </row>
    <row r="9440" spans="6:6" ht="12.75" customHeight="1">
      <c r="F9440" s="32"/>
    </row>
    <row r="9441" spans="6:6" ht="12.75" customHeight="1">
      <c r="F9441" s="32"/>
    </row>
    <row r="9442" spans="6:6" ht="12.75" customHeight="1">
      <c r="F9442" s="32"/>
    </row>
    <row r="9443" spans="6:6" ht="12.75" customHeight="1">
      <c r="F9443" s="32"/>
    </row>
    <row r="9444" spans="6:6" ht="12.75" customHeight="1">
      <c r="F9444" s="32"/>
    </row>
    <row r="9445" spans="6:6" ht="12.75" customHeight="1">
      <c r="F9445" s="32"/>
    </row>
    <row r="9446" spans="6:6" ht="12.75" customHeight="1">
      <c r="F9446" s="32"/>
    </row>
    <row r="9447" spans="6:6" ht="12.75" customHeight="1">
      <c r="F9447" s="32"/>
    </row>
    <row r="9448" spans="6:6" ht="12.75" customHeight="1">
      <c r="F9448" s="32"/>
    </row>
    <row r="9449" spans="6:6" ht="12.75" customHeight="1">
      <c r="F9449" s="32"/>
    </row>
    <row r="9450" spans="6:6" ht="12.75" customHeight="1">
      <c r="F9450" s="32"/>
    </row>
    <row r="9451" spans="6:6" ht="12.75" customHeight="1">
      <c r="F9451" s="32"/>
    </row>
    <row r="9452" spans="6:6" ht="12.75" customHeight="1">
      <c r="F9452" s="32"/>
    </row>
    <row r="9453" spans="6:6" ht="12.75" customHeight="1">
      <c r="F9453" s="32"/>
    </row>
    <row r="9454" spans="6:6" ht="12.75" customHeight="1">
      <c r="F9454" s="32"/>
    </row>
    <row r="9455" spans="6:6" ht="12.75" customHeight="1">
      <c r="F9455" s="32"/>
    </row>
    <row r="9456" spans="6:6" ht="12.75" customHeight="1">
      <c r="F9456" s="32"/>
    </row>
    <row r="9457" spans="6:6" ht="12.75" customHeight="1">
      <c r="F9457" s="32"/>
    </row>
    <row r="9458" spans="6:6" ht="12.75" customHeight="1">
      <c r="F9458" s="32"/>
    </row>
    <row r="9459" spans="6:6" ht="12.75" customHeight="1">
      <c r="F9459" s="32"/>
    </row>
    <row r="9460" spans="6:6" ht="12.75" customHeight="1">
      <c r="F9460" s="32"/>
    </row>
    <row r="9461" spans="6:6" ht="12.75" customHeight="1">
      <c r="F9461" s="32"/>
    </row>
    <row r="9462" spans="6:6" ht="12.75" customHeight="1">
      <c r="F9462" s="32"/>
    </row>
    <row r="9463" spans="6:6" ht="12.75" customHeight="1">
      <c r="F9463" s="32"/>
    </row>
    <row r="9464" spans="6:6" ht="12.75" customHeight="1">
      <c r="F9464" s="32"/>
    </row>
    <row r="9465" spans="6:6" ht="12.75" customHeight="1">
      <c r="F9465" s="32"/>
    </row>
    <row r="9466" spans="6:6" ht="12.75" customHeight="1">
      <c r="F9466" s="32"/>
    </row>
    <row r="9467" spans="6:6" ht="12.75" customHeight="1">
      <c r="F9467" s="32"/>
    </row>
    <row r="9468" spans="6:6" ht="12.75" customHeight="1">
      <c r="F9468" s="32"/>
    </row>
    <row r="9469" spans="6:6" ht="12.75" customHeight="1">
      <c r="F9469" s="32"/>
    </row>
    <row r="9470" spans="6:6" ht="12.75" customHeight="1">
      <c r="F9470" s="32"/>
    </row>
    <row r="9471" spans="6:6" ht="12.75" customHeight="1">
      <c r="F9471" s="32"/>
    </row>
    <row r="9472" spans="6:6" ht="12.75" customHeight="1">
      <c r="F9472" s="32"/>
    </row>
    <row r="9473" spans="6:6" ht="12.75" customHeight="1">
      <c r="F9473" s="32"/>
    </row>
    <row r="9474" spans="6:6" ht="12.75" customHeight="1">
      <c r="F9474" s="32"/>
    </row>
    <row r="9475" spans="6:6" ht="12.75" customHeight="1">
      <c r="F9475" s="32"/>
    </row>
    <row r="9476" spans="6:6" ht="12.75" customHeight="1">
      <c r="F9476" s="32"/>
    </row>
    <row r="9477" spans="6:6" ht="12.75" customHeight="1">
      <c r="F9477" s="32"/>
    </row>
    <row r="9478" spans="6:6" ht="12.75" customHeight="1">
      <c r="F9478" s="32"/>
    </row>
    <row r="9479" spans="6:6" ht="12.75" customHeight="1">
      <c r="F9479" s="32"/>
    </row>
    <row r="9480" spans="6:6" ht="12.75" customHeight="1">
      <c r="F9480" s="32"/>
    </row>
    <row r="9481" spans="6:6" ht="12.75" customHeight="1">
      <c r="F9481" s="32"/>
    </row>
    <row r="9482" spans="6:6" ht="12.75" customHeight="1">
      <c r="F9482" s="32"/>
    </row>
    <row r="9483" spans="6:6" ht="12.75" customHeight="1">
      <c r="F9483" s="32"/>
    </row>
    <row r="9484" spans="6:6" ht="12.75" customHeight="1">
      <c r="F9484" s="32"/>
    </row>
    <row r="9485" spans="6:6" ht="12.75" customHeight="1">
      <c r="F9485" s="32"/>
    </row>
    <row r="9486" spans="6:6" ht="12.75" customHeight="1">
      <c r="F9486" s="32"/>
    </row>
    <row r="9487" spans="6:6" ht="12.75" customHeight="1">
      <c r="F9487" s="32"/>
    </row>
    <row r="9488" spans="6:6" ht="12.75" customHeight="1">
      <c r="F9488" s="32"/>
    </row>
    <row r="9489" spans="6:6" ht="12.75" customHeight="1">
      <c r="F9489" s="32"/>
    </row>
    <row r="9490" spans="6:6" ht="12.75" customHeight="1">
      <c r="F9490" s="32"/>
    </row>
    <row r="9491" spans="6:6" ht="12.75" customHeight="1">
      <c r="F9491" s="32"/>
    </row>
    <row r="9492" spans="6:6" ht="12.75" customHeight="1">
      <c r="F9492" s="32"/>
    </row>
    <row r="9493" spans="6:6" ht="12.75" customHeight="1">
      <c r="F9493" s="32"/>
    </row>
    <row r="9494" spans="6:6" ht="12.75" customHeight="1">
      <c r="F9494" s="32"/>
    </row>
    <row r="9495" spans="6:6" ht="12.75" customHeight="1">
      <c r="F9495" s="32"/>
    </row>
    <row r="9496" spans="6:6" ht="12.75" customHeight="1">
      <c r="F9496" s="32"/>
    </row>
    <row r="9497" spans="6:6" ht="12.75" customHeight="1">
      <c r="F9497" s="32"/>
    </row>
    <row r="9498" spans="6:6" ht="12.75" customHeight="1">
      <c r="F9498" s="32"/>
    </row>
    <row r="9499" spans="6:6" ht="12.75" customHeight="1">
      <c r="F9499" s="32"/>
    </row>
    <row r="9500" spans="6:6" ht="12.75" customHeight="1">
      <c r="F9500" s="32"/>
    </row>
    <row r="9501" spans="6:6" ht="12.75" customHeight="1">
      <c r="F9501" s="32"/>
    </row>
    <row r="9502" spans="6:6" ht="12.75" customHeight="1">
      <c r="F9502" s="32"/>
    </row>
    <row r="9503" spans="6:6" ht="12.75" customHeight="1">
      <c r="F9503" s="32"/>
    </row>
    <row r="9504" spans="6:6" ht="12.75" customHeight="1">
      <c r="F9504" s="32"/>
    </row>
    <row r="9505" spans="6:6" ht="12.75" customHeight="1">
      <c r="F9505" s="32"/>
    </row>
    <row r="9506" spans="6:6" ht="12.75" customHeight="1">
      <c r="F9506" s="32"/>
    </row>
    <row r="9507" spans="6:6" ht="12.75" customHeight="1">
      <c r="F9507" s="32"/>
    </row>
    <row r="9508" spans="6:6" ht="12.75" customHeight="1">
      <c r="F9508" s="32"/>
    </row>
    <row r="9509" spans="6:6" ht="12.75" customHeight="1">
      <c r="F9509" s="32"/>
    </row>
    <row r="9510" spans="6:6" ht="12.75" customHeight="1">
      <c r="F9510" s="32"/>
    </row>
    <row r="9511" spans="6:6" ht="12.75" customHeight="1">
      <c r="F9511" s="32"/>
    </row>
    <row r="9512" spans="6:6" ht="12.75" customHeight="1">
      <c r="F9512" s="32"/>
    </row>
    <row r="9513" spans="6:6" ht="12.75" customHeight="1">
      <c r="F9513" s="32"/>
    </row>
    <row r="9514" spans="6:6" ht="12.75" customHeight="1">
      <c r="F9514" s="32"/>
    </row>
    <row r="9515" spans="6:6" ht="12.75" customHeight="1">
      <c r="F9515" s="32"/>
    </row>
    <row r="9516" spans="6:6" ht="12.75" customHeight="1">
      <c r="F9516" s="32"/>
    </row>
    <row r="9517" spans="6:6" ht="12.75" customHeight="1">
      <c r="F9517" s="32"/>
    </row>
    <row r="9518" spans="6:6" ht="12.75" customHeight="1">
      <c r="F9518" s="32"/>
    </row>
    <row r="9519" spans="6:6" ht="12.75" customHeight="1">
      <c r="F9519" s="32"/>
    </row>
    <row r="9520" spans="6:6" ht="12.75" customHeight="1">
      <c r="F9520" s="32"/>
    </row>
    <row r="9521" spans="6:6" ht="12.75" customHeight="1">
      <c r="F9521" s="32"/>
    </row>
    <row r="9522" spans="6:6" ht="12.75" customHeight="1">
      <c r="F9522" s="32"/>
    </row>
    <row r="9523" spans="6:6" ht="12.75" customHeight="1">
      <c r="F9523" s="32"/>
    </row>
    <row r="9524" spans="6:6" ht="12.75" customHeight="1">
      <c r="F9524" s="32"/>
    </row>
    <row r="9525" spans="6:6" ht="12.75" customHeight="1">
      <c r="F9525" s="32"/>
    </row>
    <row r="9526" spans="6:6" ht="12.75" customHeight="1">
      <c r="F9526" s="32"/>
    </row>
    <row r="9527" spans="6:6" ht="12.75" customHeight="1">
      <c r="F9527" s="32"/>
    </row>
    <row r="9528" spans="6:6" ht="12.75" customHeight="1">
      <c r="F9528" s="32"/>
    </row>
    <row r="9529" spans="6:6" ht="12.75" customHeight="1">
      <c r="F9529" s="32"/>
    </row>
    <row r="9530" spans="6:6" ht="12.75" customHeight="1">
      <c r="F9530" s="32"/>
    </row>
    <row r="9531" spans="6:6" ht="12.75" customHeight="1">
      <c r="F9531" s="32"/>
    </row>
    <row r="9532" spans="6:6" ht="12.75" customHeight="1">
      <c r="F9532" s="32"/>
    </row>
    <row r="9533" spans="6:6" ht="12.75" customHeight="1">
      <c r="F9533" s="32"/>
    </row>
    <row r="9534" spans="6:6" ht="12.75" customHeight="1">
      <c r="F9534" s="32"/>
    </row>
    <row r="9535" spans="6:6" ht="12.75" customHeight="1">
      <c r="F9535" s="32"/>
    </row>
    <row r="9536" spans="6:6" ht="12.75" customHeight="1">
      <c r="F9536" s="32"/>
    </row>
    <row r="9537" spans="6:6" ht="12.75" customHeight="1">
      <c r="F9537" s="32"/>
    </row>
    <row r="9538" spans="6:6" ht="12.75" customHeight="1">
      <c r="F9538" s="32"/>
    </row>
    <row r="9539" spans="6:6" ht="12.75" customHeight="1">
      <c r="F9539" s="32"/>
    </row>
    <row r="9540" spans="6:6" ht="12.75" customHeight="1">
      <c r="F9540" s="32"/>
    </row>
    <row r="9541" spans="6:6" ht="12.75" customHeight="1">
      <c r="F9541" s="32"/>
    </row>
    <row r="9542" spans="6:6" ht="12.75" customHeight="1">
      <c r="F9542" s="32"/>
    </row>
    <row r="9543" spans="6:6" ht="12.75" customHeight="1">
      <c r="F9543" s="32"/>
    </row>
    <row r="9544" spans="6:6" ht="12.75" customHeight="1">
      <c r="F9544" s="32"/>
    </row>
    <row r="9545" spans="6:6" ht="12.75" customHeight="1">
      <c r="F9545" s="32"/>
    </row>
    <row r="9546" spans="6:6" ht="12.75" customHeight="1">
      <c r="F9546" s="32"/>
    </row>
    <row r="9547" spans="6:6" ht="12.75" customHeight="1">
      <c r="F9547" s="32"/>
    </row>
    <row r="9548" spans="6:6" ht="12.75" customHeight="1">
      <c r="F9548" s="32"/>
    </row>
    <row r="9549" spans="6:6" ht="12.75" customHeight="1">
      <c r="F9549" s="32"/>
    </row>
    <row r="9550" spans="6:6" ht="12.75" customHeight="1">
      <c r="F9550" s="32"/>
    </row>
    <row r="9551" spans="6:6" ht="12.75" customHeight="1">
      <c r="F9551" s="32"/>
    </row>
    <row r="9552" spans="6:6" ht="12.75" customHeight="1">
      <c r="F9552" s="32"/>
    </row>
    <row r="9553" spans="6:6" ht="12.75" customHeight="1">
      <c r="F9553" s="32"/>
    </row>
    <row r="9554" spans="6:6" ht="12.75" customHeight="1">
      <c r="F9554" s="32"/>
    </row>
    <row r="9555" spans="6:6" ht="12.75" customHeight="1">
      <c r="F9555" s="32"/>
    </row>
    <row r="9556" spans="6:6" ht="12.75" customHeight="1">
      <c r="F9556" s="32"/>
    </row>
    <row r="9557" spans="6:6" ht="12.75" customHeight="1">
      <c r="F9557" s="32"/>
    </row>
    <row r="9558" spans="6:6" ht="12.75" customHeight="1">
      <c r="F9558" s="32"/>
    </row>
    <row r="9559" spans="6:6" ht="12.75" customHeight="1">
      <c r="F9559" s="32"/>
    </row>
    <row r="9560" spans="6:6" ht="12.75" customHeight="1">
      <c r="F9560" s="32"/>
    </row>
    <row r="9561" spans="6:6" ht="12.75" customHeight="1">
      <c r="F9561" s="32"/>
    </row>
    <row r="9562" spans="6:6" ht="12.75" customHeight="1">
      <c r="F9562" s="32"/>
    </row>
    <row r="9563" spans="6:6" ht="12.75" customHeight="1">
      <c r="F9563" s="32"/>
    </row>
    <row r="9564" spans="6:6" ht="12.75" customHeight="1">
      <c r="F9564" s="32"/>
    </row>
    <row r="9565" spans="6:6" ht="12.75" customHeight="1">
      <c r="F9565" s="32"/>
    </row>
    <row r="9566" spans="6:6" ht="12.75" customHeight="1">
      <c r="F9566" s="32"/>
    </row>
    <row r="9567" spans="6:6" ht="12.75" customHeight="1">
      <c r="F9567" s="32"/>
    </row>
    <row r="9568" spans="6:6" ht="12.75" customHeight="1">
      <c r="F9568" s="32"/>
    </row>
    <row r="9569" spans="6:6" ht="12.75" customHeight="1">
      <c r="F9569" s="32"/>
    </row>
    <row r="9570" spans="6:6" ht="12.75" customHeight="1">
      <c r="F9570" s="32"/>
    </row>
    <row r="9571" spans="6:6" ht="12.75" customHeight="1">
      <c r="F9571" s="32"/>
    </row>
    <row r="9572" spans="6:6" ht="12.75" customHeight="1">
      <c r="F9572" s="32"/>
    </row>
    <row r="9573" spans="6:6" ht="12.75" customHeight="1">
      <c r="F9573" s="32"/>
    </row>
    <row r="9574" spans="6:6" ht="12.75" customHeight="1">
      <c r="F9574" s="32"/>
    </row>
    <row r="9575" spans="6:6" ht="12.75" customHeight="1">
      <c r="F9575" s="32"/>
    </row>
    <row r="9576" spans="6:6" ht="12.75" customHeight="1">
      <c r="F9576" s="32"/>
    </row>
    <row r="9577" spans="6:6" ht="12.75" customHeight="1">
      <c r="F9577" s="32"/>
    </row>
    <row r="9578" spans="6:6" ht="12.75" customHeight="1">
      <c r="F9578" s="32"/>
    </row>
    <row r="9579" spans="6:6" ht="12.75" customHeight="1">
      <c r="F9579" s="32"/>
    </row>
    <row r="9580" spans="6:6" ht="12.75" customHeight="1">
      <c r="F9580" s="32"/>
    </row>
    <row r="9581" spans="6:6" ht="12.75" customHeight="1">
      <c r="F9581" s="32"/>
    </row>
    <row r="9582" spans="6:6" ht="12.75" customHeight="1">
      <c r="F9582" s="32"/>
    </row>
    <row r="9583" spans="6:6" ht="12.75" customHeight="1">
      <c r="F9583" s="32"/>
    </row>
    <row r="9584" spans="6:6" ht="12.75" customHeight="1">
      <c r="F9584" s="32"/>
    </row>
    <row r="9585" spans="6:6" ht="12.75" customHeight="1">
      <c r="F9585" s="32"/>
    </row>
    <row r="9586" spans="6:6" ht="12.75" customHeight="1">
      <c r="F9586" s="32"/>
    </row>
    <row r="9587" spans="6:6" ht="12.75" customHeight="1">
      <c r="F9587" s="32"/>
    </row>
    <row r="9588" spans="6:6" ht="12.75" customHeight="1">
      <c r="F9588" s="32"/>
    </row>
    <row r="9589" spans="6:6" ht="12.75" customHeight="1">
      <c r="F9589" s="32"/>
    </row>
    <row r="9590" spans="6:6" ht="12.75" customHeight="1">
      <c r="F9590" s="32"/>
    </row>
    <row r="9591" spans="6:6" ht="12.75" customHeight="1">
      <c r="F9591" s="32"/>
    </row>
    <row r="9592" spans="6:6" ht="12.75" customHeight="1">
      <c r="F9592" s="32"/>
    </row>
    <row r="9593" spans="6:6" ht="12.75" customHeight="1">
      <c r="F9593" s="32"/>
    </row>
    <row r="9594" spans="6:6" ht="12.75" customHeight="1">
      <c r="F9594" s="32"/>
    </row>
    <row r="9595" spans="6:6" ht="12.75" customHeight="1">
      <c r="F9595" s="32"/>
    </row>
    <row r="9596" spans="6:6" ht="12.75" customHeight="1">
      <c r="F9596" s="32"/>
    </row>
    <row r="9597" spans="6:6" ht="12.75" customHeight="1">
      <c r="F9597" s="32"/>
    </row>
    <row r="9598" spans="6:6" ht="12.75" customHeight="1">
      <c r="F9598" s="32"/>
    </row>
    <row r="9599" spans="6:6" ht="12.75" customHeight="1">
      <c r="F9599" s="32"/>
    </row>
    <row r="9600" spans="6:6" ht="12.75" customHeight="1">
      <c r="F9600" s="32"/>
    </row>
    <row r="9601" spans="6:6" ht="12.75" customHeight="1">
      <c r="F9601" s="32"/>
    </row>
    <row r="9602" spans="6:6" ht="12.75" customHeight="1">
      <c r="F9602" s="32"/>
    </row>
    <row r="9603" spans="6:6" ht="12.75" customHeight="1">
      <c r="F9603" s="32"/>
    </row>
    <row r="9604" spans="6:6" ht="12.75" customHeight="1">
      <c r="F9604" s="32"/>
    </row>
    <row r="9605" spans="6:6" ht="12.75" customHeight="1">
      <c r="F9605" s="32"/>
    </row>
    <row r="9606" spans="6:6" ht="12.75" customHeight="1">
      <c r="F9606" s="32"/>
    </row>
    <row r="9607" spans="6:6" ht="12.75" customHeight="1">
      <c r="F9607" s="32"/>
    </row>
    <row r="9608" spans="6:6" ht="12.75" customHeight="1">
      <c r="F9608" s="32"/>
    </row>
    <row r="9609" spans="6:6" ht="12.75" customHeight="1">
      <c r="F9609" s="32"/>
    </row>
    <row r="9610" spans="6:6" ht="12.75" customHeight="1">
      <c r="F9610" s="32"/>
    </row>
    <row r="9611" spans="6:6" ht="12.75" customHeight="1">
      <c r="F9611" s="32"/>
    </row>
    <row r="9612" spans="6:6" ht="12.75" customHeight="1">
      <c r="F9612" s="32"/>
    </row>
    <row r="9613" spans="6:6" ht="12.75" customHeight="1">
      <c r="F9613" s="32"/>
    </row>
    <row r="9614" spans="6:6" ht="12.75" customHeight="1">
      <c r="F9614" s="32"/>
    </row>
    <row r="9615" spans="6:6" ht="12.75" customHeight="1">
      <c r="F9615" s="32"/>
    </row>
    <row r="9616" spans="6:6" ht="12.75" customHeight="1">
      <c r="F9616" s="32"/>
    </row>
    <row r="9617" spans="6:6" ht="12.75" customHeight="1">
      <c r="F9617" s="32"/>
    </row>
    <row r="9618" spans="6:6" ht="12.75" customHeight="1">
      <c r="F9618" s="32"/>
    </row>
    <row r="9619" spans="6:6" ht="12.75" customHeight="1">
      <c r="F9619" s="32"/>
    </row>
    <row r="9620" spans="6:6" ht="12.75" customHeight="1">
      <c r="F9620" s="32"/>
    </row>
    <row r="9621" spans="6:6" ht="12.75" customHeight="1">
      <c r="F9621" s="32"/>
    </row>
    <row r="9622" spans="6:6" ht="12.75" customHeight="1">
      <c r="F9622" s="32"/>
    </row>
    <row r="9623" spans="6:6" ht="12.75" customHeight="1">
      <c r="F9623" s="32"/>
    </row>
    <row r="9624" spans="6:6" ht="12.75" customHeight="1">
      <c r="F9624" s="32"/>
    </row>
    <row r="9625" spans="6:6" ht="12.75" customHeight="1">
      <c r="F9625" s="32"/>
    </row>
    <row r="9626" spans="6:6" ht="12.75" customHeight="1">
      <c r="F9626" s="32"/>
    </row>
    <row r="9627" spans="6:6" ht="12.75" customHeight="1">
      <c r="F9627" s="32"/>
    </row>
    <row r="9628" spans="6:6" ht="12.75" customHeight="1">
      <c r="F9628" s="32"/>
    </row>
    <row r="9629" spans="6:6" ht="12.75" customHeight="1">
      <c r="F9629" s="32"/>
    </row>
    <row r="9630" spans="6:6" ht="12.75" customHeight="1">
      <c r="F9630" s="32"/>
    </row>
    <row r="9631" spans="6:6" ht="12.75" customHeight="1">
      <c r="F9631" s="32"/>
    </row>
    <row r="9632" spans="6:6" ht="12.75" customHeight="1">
      <c r="F9632" s="32"/>
    </row>
    <row r="9633" spans="6:6" ht="12.75" customHeight="1">
      <c r="F9633" s="32"/>
    </row>
    <row r="9634" spans="6:6" ht="12.75" customHeight="1">
      <c r="F9634" s="32"/>
    </row>
    <row r="9635" spans="6:6" ht="12.75" customHeight="1">
      <c r="F9635" s="32"/>
    </row>
    <row r="9636" spans="6:6" ht="12.75" customHeight="1">
      <c r="F9636" s="32"/>
    </row>
    <row r="9637" spans="6:6" ht="12.75" customHeight="1">
      <c r="F9637" s="32"/>
    </row>
    <row r="9638" spans="6:6" ht="12.75" customHeight="1">
      <c r="F9638" s="32"/>
    </row>
    <row r="9639" spans="6:6" ht="12.75" customHeight="1">
      <c r="F9639" s="32"/>
    </row>
    <row r="9640" spans="6:6" ht="12.75" customHeight="1">
      <c r="F9640" s="32"/>
    </row>
    <row r="9641" spans="6:6" ht="12.75" customHeight="1">
      <c r="F9641" s="32"/>
    </row>
    <row r="9642" spans="6:6" ht="12.75" customHeight="1">
      <c r="F9642" s="32"/>
    </row>
    <row r="9643" spans="6:6" ht="12.75" customHeight="1">
      <c r="F9643" s="32"/>
    </row>
    <row r="9644" spans="6:6" ht="12.75" customHeight="1">
      <c r="F9644" s="32"/>
    </row>
    <row r="9645" spans="6:6" ht="12.75" customHeight="1">
      <c r="F9645" s="32"/>
    </row>
    <row r="9646" spans="6:6" ht="12.75" customHeight="1">
      <c r="F9646" s="32"/>
    </row>
    <row r="9647" spans="6:6" ht="12.75" customHeight="1">
      <c r="F9647" s="32"/>
    </row>
    <row r="9648" spans="6:6" ht="12.75" customHeight="1">
      <c r="F9648" s="32"/>
    </row>
    <row r="9649" spans="6:6" ht="12.75" customHeight="1">
      <c r="F9649" s="32"/>
    </row>
    <row r="9650" spans="6:6" ht="12.75" customHeight="1">
      <c r="F9650" s="32"/>
    </row>
    <row r="9651" spans="6:6" ht="12.75" customHeight="1">
      <c r="F9651" s="32"/>
    </row>
    <row r="9652" spans="6:6" ht="12.75" customHeight="1">
      <c r="F9652" s="32"/>
    </row>
    <row r="9653" spans="6:6" ht="12.75" customHeight="1">
      <c r="F9653" s="32"/>
    </row>
    <row r="9654" spans="6:6" ht="12.75" customHeight="1">
      <c r="F9654" s="32"/>
    </row>
    <row r="9655" spans="6:6" ht="12.75" customHeight="1">
      <c r="F9655" s="32"/>
    </row>
    <row r="9656" spans="6:6" ht="12.75" customHeight="1">
      <c r="F9656" s="32"/>
    </row>
    <row r="9657" spans="6:6" ht="12.75" customHeight="1">
      <c r="F9657" s="32"/>
    </row>
    <row r="9658" spans="6:6" ht="12.75" customHeight="1">
      <c r="F9658" s="32"/>
    </row>
    <row r="9659" spans="6:6" ht="12.75" customHeight="1">
      <c r="F9659" s="32"/>
    </row>
    <row r="9660" spans="6:6" ht="12.75" customHeight="1">
      <c r="F9660" s="32"/>
    </row>
    <row r="9661" spans="6:6" ht="12.75" customHeight="1">
      <c r="F9661" s="32"/>
    </row>
    <row r="9662" spans="6:6" ht="12.75" customHeight="1">
      <c r="F9662" s="32"/>
    </row>
    <row r="9663" spans="6:6" ht="12.75" customHeight="1">
      <c r="F9663" s="32"/>
    </row>
    <row r="9664" spans="6:6" ht="12.75" customHeight="1">
      <c r="F9664" s="32"/>
    </row>
    <row r="9665" spans="6:6" ht="12.75" customHeight="1">
      <c r="F9665" s="32"/>
    </row>
    <row r="9666" spans="6:6" ht="12.75" customHeight="1">
      <c r="F9666" s="32"/>
    </row>
    <row r="9667" spans="6:6" ht="12.75" customHeight="1">
      <c r="F9667" s="32"/>
    </row>
    <row r="9668" spans="6:6" ht="12.75" customHeight="1">
      <c r="F9668" s="32"/>
    </row>
    <row r="9669" spans="6:6" ht="12.75" customHeight="1">
      <c r="F9669" s="32"/>
    </row>
    <row r="9670" spans="6:6" ht="12.75" customHeight="1">
      <c r="F9670" s="32"/>
    </row>
    <row r="9671" spans="6:6" ht="12.75" customHeight="1">
      <c r="F9671" s="32"/>
    </row>
    <row r="9672" spans="6:6" ht="12.75" customHeight="1">
      <c r="F9672" s="32"/>
    </row>
    <row r="9673" spans="6:6" ht="12.75" customHeight="1">
      <c r="F9673" s="32"/>
    </row>
    <row r="9674" spans="6:6" ht="12.75" customHeight="1">
      <c r="F9674" s="32"/>
    </row>
    <row r="9675" spans="6:6" ht="12.75" customHeight="1">
      <c r="F9675" s="32"/>
    </row>
    <row r="9676" spans="6:6" ht="12.75" customHeight="1">
      <c r="F9676" s="32"/>
    </row>
    <row r="9677" spans="6:6" ht="12.75" customHeight="1">
      <c r="F9677" s="32"/>
    </row>
    <row r="9678" spans="6:6" ht="12.75" customHeight="1">
      <c r="F9678" s="32"/>
    </row>
    <row r="9679" spans="6:6" ht="12.75" customHeight="1">
      <c r="F9679" s="32"/>
    </row>
    <row r="9680" spans="6:6" ht="12.75" customHeight="1">
      <c r="F9680" s="32"/>
    </row>
    <row r="9681" spans="6:6" ht="12.75" customHeight="1">
      <c r="F9681" s="32"/>
    </row>
    <row r="9682" spans="6:6" ht="12.75" customHeight="1">
      <c r="F9682" s="32"/>
    </row>
    <row r="9683" spans="6:6" ht="12.75" customHeight="1">
      <c r="F9683" s="32"/>
    </row>
    <row r="9684" spans="6:6" ht="12.75" customHeight="1">
      <c r="F9684" s="32"/>
    </row>
    <row r="9685" spans="6:6" ht="12.75" customHeight="1">
      <c r="F9685" s="32"/>
    </row>
    <row r="9686" spans="6:6" ht="12.75" customHeight="1">
      <c r="F9686" s="32"/>
    </row>
    <row r="9687" spans="6:6" ht="12.75" customHeight="1">
      <c r="F9687" s="32"/>
    </row>
    <row r="9688" spans="6:6" ht="12.75" customHeight="1">
      <c r="F9688" s="32"/>
    </row>
    <row r="9689" spans="6:6" ht="12.75" customHeight="1">
      <c r="F9689" s="32"/>
    </row>
    <row r="9690" spans="6:6" ht="12.75" customHeight="1">
      <c r="F9690" s="32"/>
    </row>
    <row r="9691" spans="6:6" ht="12.75" customHeight="1">
      <c r="F9691" s="32"/>
    </row>
    <row r="9692" spans="6:6" ht="12.75" customHeight="1">
      <c r="F9692" s="32"/>
    </row>
    <row r="9693" spans="6:6" ht="12.75" customHeight="1">
      <c r="F9693" s="32"/>
    </row>
    <row r="9694" spans="6:6" ht="12.75" customHeight="1">
      <c r="F9694" s="32"/>
    </row>
    <row r="9695" spans="6:6" ht="12.75" customHeight="1">
      <c r="F9695" s="32"/>
    </row>
    <row r="9696" spans="6:6" ht="12.75" customHeight="1">
      <c r="F9696" s="32"/>
    </row>
    <row r="9697" spans="6:6" ht="12.75" customHeight="1">
      <c r="F9697" s="32"/>
    </row>
    <row r="9698" spans="6:6" ht="12.75" customHeight="1">
      <c r="F9698" s="32"/>
    </row>
    <row r="9699" spans="6:6" ht="12.75" customHeight="1">
      <c r="F9699" s="32"/>
    </row>
    <row r="9700" spans="6:6" ht="12.75" customHeight="1">
      <c r="F9700" s="32"/>
    </row>
    <row r="9701" spans="6:6" ht="12.75" customHeight="1">
      <c r="F9701" s="32"/>
    </row>
    <row r="9702" spans="6:6" ht="12.75" customHeight="1">
      <c r="F9702" s="32"/>
    </row>
    <row r="9703" spans="6:6" ht="12.75" customHeight="1">
      <c r="F9703" s="32"/>
    </row>
    <row r="9704" spans="6:6" ht="12.75" customHeight="1">
      <c r="F9704" s="32"/>
    </row>
    <row r="9705" spans="6:6" ht="12.75" customHeight="1">
      <c r="F9705" s="32"/>
    </row>
    <row r="9706" spans="6:6" ht="12.75" customHeight="1">
      <c r="F9706" s="32"/>
    </row>
    <row r="9707" spans="6:6" ht="12.75" customHeight="1">
      <c r="F9707" s="32"/>
    </row>
    <row r="9708" spans="6:6" ht="12.75" customHeight="1">
      <c r="F9708" s="32"/>
    </row>
    <row r="9709" spans="6:6" ht="12.75" customHeight="1">
      <c r="F9709" s="32"/>
    </row>
    <row r="9710" spans="6:6" ht="12.75" customHeight="1">
      <c r="F9710" s="32"/>
    </row>
    <row r="9711" spans="6:6" ht="12.75" customHeight="1">
      <c r="F9711" s="32"/>
    </row>
    <row r="9712" spans="6:6" ht="12.75" customHeight="1">
      <c r="F9712" s="32"/>
    </row>
    <row r="9713" spans="6:6" ht="12.75" customHeight="1">
      <c r="F9713" s="32"/>
    </row>
    <row r="9714" spans="6:6" ht="12.75" customHeight="1">
      <c r="F9714" s="32"/>
    </row>
    <row r="9715" spans="6:6" ht="12.75" customHeight="1">
      <c r="F9715" s="32"/>
    </row>
    <row r="9716" spans="6:6" ht="12.75" customHeight="1">
      <c r="F9716" s="32"/>
    </row>
    <row r="9717" spans="6:6" ht="12.75" customHeight="1">
      <c r="F9717" s="32"/>
    </row>
    <row r="9718" spans="6:6" ht="12.75" customHeight="1">
      <c r="F9718" s="32"/>
    </row>
    <row r="9719" spans="6:6" ht="12.75" customHeight="1">
      <c r="F9719" s="32"/>
    </row>
    <row r="9720" spans="6:6" ht="12.75" customHeight="1">
      <c r="F9720" s="32"/>
    </row>
    <row r="9721" spans="6:6" ht="12.75" customHeight="1">
      <c r="F9721" s="32"/>
    </row>
    <row r="9722" spans="6:6" ht="12.75" customHeight="1">
      <c r="F9722" s="32"/>
    </row>
    <row r="9723" spans="6:6" ht="12.75" customHeight="1">
      <c r="F9723" s="32"/>
    </row>
    <row r="9724" spans="6:6" ht="12.75" customHeight="1">
      <c r="F9724" s="32"/>
    </row>
    <row r="9725" spans="6:6" ht="12.75" customHeight="1">
      <c r="F9725" s="32"/>
    </row>
    <row r="9726" spans="6:6" ht="12.75" customHeight="1">
      <c r="F9726" s="32"/>
    </row>
    <row r="9727" spans="6:6" ht="12.75" customHeight="1">
      <c r="F9727" s="32"/>
    </row>
    <row r="9728" spans="6:6" ht="12.75" customHeight="1">
      <c r="F9728" s="32"/>
    </row>
    <row r="9729" spans="6:6" ht="12.75" customHeight="1">
      <c r="F9729" s="32"/>
    </row>
    <row r="9730" spans="6:6" ht="12.75" customHeight="1">
      <c r="F9730" s="32"/>
    </row>
    <row r="9731" spans="6:6" ht="12.75" customHeight="1">
      <c r="F9731" s="32"/>
    </row>
    <row r="9732" spans="6:6" ht="12.75" customHeight="1">
      <c r="F9732" s="32"/>
    </row>
    <row r="9733" spans="6:6" ht="12.75" customHeight="1">
      <c r="F9733" s="32"/>
    </row>
    <row r="9734" spans="6:6" ht="12.75" customHeight="1">
      <c r="F9734" s="32"/>
    </row>
    <row r="9735" spans="6:6" ht="12.75" customHeight="1">
      <c r="F9735" s="32"/>
    </row>
    <row r="9736" spans="6:6" ht="12.75" customHeight="1">
      <c r="F9736" s="32"/>
    </row>
    <row r="9737" spans="6:6" ht="12.75" customHeight="1">
      <c r="F9737" s="32"/>
    </row>
    <row r="9738" spans="6:6" ht="12.75" customHeight="1">
      <c r="F9738" s="32"/>
    </row>
    <row r="9739" spans="6:6" ht="12.75" customHeight="1">
      <c r="F9739" s="32"/>
    </row>
    <row r="9740" spans="6:6" ht="12.75" customHeight="1">
      <c r="F9740" s="32"/>
    </row>
    <row r="9741" spans="6:6" ht="12.75" customHeight="1">
      <c r="F9741" s="32"/>
    </row>
    <row r="9742" spans="6:6" ht="12.75" customHeight="1">
      <c r="F9742" s="32"/>
    </row>
    <row r="9743" spans="6:6" ht="12.75" customHeight="1">
      <c r="F9743" s="32"/>
    </row>
    <row r="9744" spans="6:6" ht="12.75" customHeight="1">
      <c r="F9744" s="32"/>
    </row>
    <row r="9745" spans="6:6" ht="12.75" customHeight="1">
      <c r="F9745" s="32"/>
    </row>
    <row r="9746" spans="6:6" ht="12.75" customHeight="1">
      <c r="F9746" s="32"/>
    </row>
    <row r="9747" spans="6:6" ht="12.75" customHeight="1">
      <c r="F9747" s="32"/>
    </row>
    <row r="9748" spans="6:6" ht="12.75" customHeight="1">
      <c r="F9748" s="32"/>
    </row>
    <row r="9749" spans="6:6" ht="12.75" customHeight="1">
      <c r="F9749" s="32"/>
    </row>
    <row r="9750" spans="6:6" ht="12.75" customHeight="1">
      <c r="F9750" s="32"/>
    </row>
    <row r="9751" spans="6:6" ht="12.75" customHeight="1">
      <c r="F9751" s="32"/>
    </row>
    <row r="9752" spans="6:6" ht="12.75" customHeight="1">
      <c r="F9752" s="32"/>
    </row>
    <row r="9753" spans="6:6" ht="12.75" customHeight="1">
      <c r="F9753" s="32"/>
    </row>
    <row r="9754" spans="6:6" ht="12.75" customHeight="1">
      <c r="F9754" s="32"/>
    </row>
    <row r="9755" spans="6:6" ht="12.75" customHeight="1">
      <c r="F9755" s="32"/>
    </row>
    <row r="9756" spans="6:6" ht="12.75" customHeight="1">
      <c r="F9756" s="32"/>
    </row>
    <row r="9757" spans="6:6" ht="12.75" customHeight="1">
      <c r="F9757" s="32"/>
    </row>
    <row r="9758" spans="6:6" ht="12.75" customHeight="1">
      <c r="F9758" s="32"/>
    </row>
    <row r="9759" spans="6:6" ht="12.75" customHeight="1">
      <c r="F9759" s="32"/>
    </row>
    <row r="9760" spans="6:6" ht="12.75" customHeight="1">
      <c r="F9760" s="32"/>
    </row>
    <row r="9761" spans="6:6" ht="12.75" customHeight="1">
      <c r="F9761" s="32"/>
    </row>
    <row r="9762" spans="6:6" ht="12.75" customHeight="1">
      <c r="F9762" s="32"/>
    </row>
    <row r="9763" spans="6:6" ht="12.75" customHeight="1">
      <c r="F9763" s="32"/>
    </row>
    <row r="9764" spans="6:6" ht="12.75" customHeight="1">
      <c r="F9764" s="32"/>
    </row>
    <row r="9765" spans="6:6" ht="12.75" customHeight="1">
      <c r="F9765" s="32"/>
    </row>
    <row r="9766" spans="6:6" ht="12.75" customHeight="1">
      <c r="F9766" s="32"/>
    </row>
    <row r="9767" spans="6:6" ht="12.75" customHeight="1">
      <c r="F9767" s="32"/>
    </row>
    <row r="9768" spans="6:6" ht="12.75" customHeight="1">
      <c r="F9768" s="32"/>
    </row>
    <row r="9769" spans="6:6" ht="12.75" customHeight="1">
      <c r="F9769" s="32"/>
    </row>
    <row r="9770" spans="6:6" ht="12.75" customHeight="1">
      <c r="F9770" s="32"/>
    </row>
    <row r="9771" spans="6:6" ht="12.75" customHeight="1">
      <c r="F9771" s="32"/>
    </row>
    <row r="9772" spans="6:6" ht="12.75" customHeight="1">
      <c r="F9772" s="32"/>
    </row>
    <row r="9773" spans="6:6" ht="12.75" customHeight="1">
      <c r="F9773" s="32"/>
    </row>
    <row r="9774" spans="6:6" ht="12.75" customHeight="1">
      <c r="F9774" s="32"/>
    </row>
    <row r="9775" spans="6:6" ht="12.75" customHeight="1">
      <c r="F9775" s="32"/>
    </row>
    <row r="9776" spans="6:6" ht="12.75" customHeight="1">
      <c r="F9776" s="32"/>
    </row>
    <row r="9777" spans="6:6" ht="12.75" customHeight="1">
      <c r="F9777" s="32"/>
    </row>
    <row r="9778" spans="6:6" ht="12.75" customHeight="1">
      <c r="F9778" s="32"/>
    </row>
    <row r="9779" spans="6:6" ht="12.75" customHeight="1">
      <c r="F9779" s="32"/>
    </row>
    <row r="9780" spans="6:6" ht="12.75" customHeight="1">
      <c r="F9780" s="32"/>
    </row>
    <row r="9781" spans="6:6" ht="12.75" customHeight="1">
      <c r="F9781" s="32"/>
    </row>
    <row r="9782" spans="6:6" ht="12.75" customHeight="1">
      <c r="F9782" s="32"/>
    </row>
    <row r="9783" spans="6:6" ht="12.75" customHeight="1">
      <c r="F9783" s="32"/>
    </row>
    <row r="9784" spans="6:6" ht="12.75" customHeight="1">
      <c r="F9784" s="32"/>
    </row>
    <row r="9785" spans="6:6" ht="12.75" customHeight="1">
      <c r="F9785" s="32"/>
    </row>
    <row r="9786" spans="6:6" ht="12.75" customHeight="1">
      <c r="F9786" s="32"/>
    </row>
    <row r="9787" spans="6:6" ht="12.75" customHeight="1">
      <c r="F9787" s="32"/>
    </row>
    <row r="9788" spans="6:6" ht="12.75" customHeight="1">
      <c r="F9788" s="32"/>
    </row>
    <row r="9789" spans="6:6" ht="12.75" customHeight="1">
      <c r="F9789" s="32"/>
    </row>
    <row r="9790" spans="6:6" ht="12.75" customHeight="1">
      <c r="F9790" s="32"/>
    </row>
    <row r="9791" spans="6:6" ht="12.75" customHeight="1">
      <c r="F9791" s="32"/>
    </row>
    <row r="9792" spans="6:6" ht="12.75" customHeight="1">
      <c r="F9792" s="32"/>
    </row>
    <row r="9793" spans="6:6" ht="12.75" customHeight="1">
      <c r="F9793" s="32"/>
    </row>
    <row r="9794" spans="6:6" ht="12.75" customHeight="1">
      <c r="F9794" s="32"/>
    </row>
    <row r="9795" spans="6:6" ht="12.75" customHeight="1">
      <c r="F9795" s="32"/>
    </row>
    <row r="9796" spans="6:6" ht="12.75" customHeight="1">
      <c r="F9796" s="32"/>
    </row>
    <row r="9797" spans="6:6" ht="12.75" customHeight="1">
      <c r="F9797" s="32"/>
    </row>
    <row r="9798" spans="6:6" ht="12.75" customHeight="1">
      <c r="F9798" s="32"/>
    </row>
    <row r="9799" spans="6:6" ht="12.75" customHeight="1">
      <c r="F9799" s="32"/>
    </row>
    <row r="9800" spans="6:6" ht="12.75" customHeight="1">
      <c r="F9800" s="32"/>
    </row>
    <row r="9801" spans="6:6" ht="12.75" customHeight="1">
      <c r="F9801" s="32"/>
    </row>
    <row r="9802" spans="6:6" ht="12.75" customHeight="1">
      <c r="F9802" s="32"/>
    </row>
    <row r="9803" spans="6:6" ht="12.75" customHeight="1">
      <c r="F9803" s="32"/>
    </row>
    <row r="9804" spans="6:6" ht="12.75" customHeight="1">
      <c r="F9804" s="32"/>
    </row>
    <row r="9805" spans="6:6" ht="12.75" customHeight="1">
      <c r="F9805" s="32"/>
    </row>
    <row r="9806" spans="6:6" ht="12.75" customHeight="1">
      <c r="F9806" s="32"/>
    </row>
    <row r="9807" spans="6:6" ht="12.75" customHeight="1">
      <c r="F9807" s="32"/>
    </row>
    <row r="9808" spans="6:6" ht="12.75" customHeight="1">
      <c r="F9808" s="32"/>
    </row>
    <row r="9809" spans="6:6" ht="12.75" customHeight="1">
      <c r="F9809" s="32"/>
    </row>
    <row r="9810" spans="6:6" ht="12.75" customHeight="1">
      <c r="F9810" s="32"/>
    </row>
    <row r="9811" spans="6:6" ht="12.75" customHeight="1">
      <c r="F9811" s="32"/>
    </row>
    <row r="9812" spans="6:6" ht="12.75" customHeight="1">
      <c r="F9812" s="32"/>
    </row>
    <row r="9813" spans="6:6" ht="12.75" customHeight="1">
      <c r="F9813" s="32"/>
    </row>
    <row r="9814" spans="6:6" ht="12.75" customHeight="1">
      <c r="F9814" s="32"/>
    </row>
    <row r="9815" spans="6:6" ht="12.75" customHeight="1">
      <c r="F9815" s="32"/>
    </row>
    <row r="9816" spans="6:6" ht="12.75" customHeight="1">
      <c r="F9816" s="32"/>
    </row>
    <row r="9817" spans="6:6" ht="12.75" customHeight="1">
      <c r="F9817" s="32"/>
    </row>
    <row r="9818" spans="6:6" ht="12.75" customHeight="1">
      <c r="F9818" s="32"/>
    </row>
    <row r="9819" spans="6:6" ht="12.75" customHeight="1">
      <c r="F9819" s="32"/>
    </row>
    <row r="9820" spans="6:6" ht="12.75" customHeight="1">
      <c r="F9820" s="32"/>
    </row>
    <row r="9821" spans="6:6" ht="12.75" customHeight="1">
      <c r="F9821" s="32"/>
    </row>
    <row r="9822" spans="6:6" ht="12.75" customHeight="1">
      <c r="F9822" s="32"/>
    </row>
    <row r="9823" spans="6:6" ht="12.75" customHeight="1">
      <c r="F9823" s="32"/>
    </row>
    <row r="9824" spans="6:6" ht="12.75" customHeight="1">
      <c r="F9824" s="32"/>
    </row>
    <row r="9825" spans="6:6" ht="12.75" customHeight="1">
      <c r="F9825" s="32"/>
    </row>
    <row r="9826" spans="6:6" ht="12.75" customHeight="1">
      <c r="F9826" s="32"/>
    </row>
    <row r="9827" spans="6:6" ht="12.75" customHeight="1">
      <c r="F9827" s="32"/>
    </row>
    <row r="9828" spans="6:6" ht="12.75" customHeight="1">
      <c r="F9828" s="32"/>
    </row>
    <row r="9829" spans="6:6" ht="12.75" customHeight="1">
      <c r="F9829" s="32"/>
    </row>
    <row r="9830" spans="6:6" ht="12.75" customHeight="1">
      <c r="F9830" s="32"/>
    </row>
    <row r="9831" spans="6:6" ht="12.75" customHeight="1">
      <c r="F9831" s="32"/>
    </row>
    <row r="9832" spans="6:6" ht="12.75" customHeight="1">
      <c r="F9832" s="32"/>
    </row>
    <row r="9833" spans="6:6" ht="12.75" customHeight="1">
      <c r="F9833" s="32"/>
    </row>
    <row r="9834" spans="6:6" ht="12.75" customHeight="1">
      <c r="F9834" s="32"/>
    </row>
    <row r="9835" spans="6:6" ht="12.75" customHeight="1">
      <c r="F9835" s="32"/>
    </row>
    <row r="9836" spans="6:6" ht="12.75" customHeight="1">
      <c r="F9836" s="32"/>
    </row>
    <row r="9837" spans="6:6" ht="12.75" customHeight="1">
      <c r="F9837" s="32"/>
    </row>
    <row r="9838" spans="6:6" ht="12.75" customHeight="1">
      <c r="F9838" s="32"/>
    </row>
    <row r="9839" spans="6:6" ht="12.75" customHeight="1">
      <c r="F9839" s="32"/>
    </row>
    <row r="9840" spans="6:6" ht="12.75" customHeight="1">
      <c r="F9840" s="32"/>
    </row>
    <row r="9841" spans="6:6" ht="12.75" customHeight="1">
      <c r="F9841" s="32"/>
    </row>
    <row r="9842" spans="6:6" ht="12.75" customHeight="1">
      <c r="F9842" s="32"/>
    </row>
    <row r="9843" spans="6:6" ht="12.75" customHeight="1">
      <c r="F9843" s="32"/>
    </row>
    <row r="9844" spans="6:6" ht="12.75" customHeight="1">
      <c r="F9844" s="32"/>
    </row>
    <row r="9845" spans="6:6" ht="12.75" customHeight="1">
      <c r="F9845" s="32"/>
    </row>
    <row r="9846" spans="6:6" ht="12.75" customHeight="1">
      <c r="F9846" s="32"/>
    </row>
    <row r="9847" spans="6:6" ht="12.75" customHeight="1">
      <c r="F9847" s="32"/>
    </row>
    <row r="9848" spans="6:6" ht="12.75" customHeight="1">
      <c r="F9848" s="32"/>
    </row>
    <row r="9849" spans="6:6" ht="12.75" customHeight="1">
      <c r="F9849" s="32"/>
    </row>
    <row r="9850" spans="6:6" ht="12.75" customHeight="1">
      <c r="F9850" s="32"/>
    </row>
    <row r="9851" spans="6:6" ht="12.75" customHeight="1">
      <c r="F9851" s="32"/>
    </row>
    <row r="9852" spans="6:6" ht="12.75" customHeight="1">
      <c r="F9852" s="32"/>
    </row>
    <row r="9853" spans="6:6" ht="12.75" customHeight="1">
      <c r="F9853" s="32"/>
    </row>
    <row r="9854" spans="6:6" ht="12.75" customHeight="1">
      <c r="F9854" s="32"/>
    </row>
    <row r="9855" spans="6:6" ht="12.75" customHeight="1">
      <c r="F9855" s="32"/>
    </row>
    <row r="9856" spans="6:6" ht="12.75" customHeight="1">
      <c r="F9856" s="32"/>
    </row>
    <row r="9857" spans="6:6" ht="12.75" customHeight="1">
      <c r="F9857" s="32"/>
    </row>
    <row r="9858" spans="6:6" ht="12.75" customHeight="1">
      <c r="F9858" s="32"/>
    </row>
    <row r="9859" spans="6:6" ht="12.75" customHeight="1">
      <c r="F9859" s="32"/>
    </row>
    <row r="9860" spans="6:6" ht="12.75" customHeight="1">
      <c r="F9860" s="32"/>
    </row>
    <row r="9861" spans="6:6" ht="12.75" customHeight="1">
      <c r="F9861" s="32"/>
    </row>
    <row r="9862" spans="6:6" ht="12.75" customHeight="1">
      <c r="F9862" s="32"/>
    </row>
    <row r="9863" spans="6:6" ht="12.75" customHeight="1">
      <c r="F9863" s="32"/>
    </row>
    <row r="9864" spans="6:6" ht="12.75" customHeight="1">
      <c r="F9864" s="32"/>
    </row>
    <row r="9865" spans="6:6" ht="12.75" customHeight="1">
      <c r="F9865" s="32"/>
    </row>
    <row r="9866" spans="6:6" ht="12.75" customHeight="1">
      <c r="F9866" s="32"/>
    </row>
    <row r="9867" spans="6:6" ht="12.75" customHeight="1">
      <c r="F9867" s="32"/>
    </row>
    <row r="9868" spans="6:6" ht="12.75" customHeight="1">
      <c r="F9868" s="32"/>
    </row>
    <row r="9869" spans="6:6" ht="12.75" customHeight="1">
      <c r="F9869" s="32"/>
    </row>
    <row r="9870" spans="6:6" ht="12.75" customHeight="1">
      <c r="F9870" s="32"/>
    </row>
    <row r="9871" spans="6:6" ht="12.75" customHeight="1">
      <c r="F9871" s="32"/>
    </row>
    <row r="9872" spans="6:6" ht="12.75" customHeight="1">
      <c r="F9872" s="32"/>
    </row>
    <row r="9873" spans="6:6" ht="12.75" customHeight="1">
      <c r="F9873" s="32"/>
    </row>
    <row r="9874" spans="6:6" ht="12.75" customHeight="1">
      <c r="F9874" s="32"/>
    </row>
    <row r="9875" spans="6:6" ht="12.75" customHeight="1">
      <c r="F9875" s="32"/>
    </row>
    <row r="9876" spans="6:6" ht="12.75" customHeight="1">
      <c r="F9876" s="32"/>
    </row>
    <row r="9877" spans="6:6" ht="12.75" customHeight="1">
      <c r="F9877" s="32"/>
    </row>
    <row r="9878" spans="6:6" ht="12.75" customHeight="1">
      <c r="F9878" s="32"/>
    </row>
    <row r="9879" spans="6:6" ht="12.75" customHeight="1">
      <c r="F9879" s="32"/>
    </row>
    <row r="9880" spans="6:6" ht="12.75" customHeight="1">
      <c r="F9880" s="32"/>
    </row>
    <row r="9881" spans="6:6" ht="12.75" customHeight="1">
      <c r="F9881" s="32"/>
    </row>
    <row r="9882" spans="6:6" ht="12.75" customHeight="1">
      <c r="F9882" s="32"/>
    </row>
    <row r="9883" spans="6:6" ht="12.75" customHeight="1">
      <c r="F9883" s="32"/>
    </row>
    <row r="9884" spans="6:6" ht="12.75" customHeight="1">
      <c r="F9884" s="32"/>
    </row>
    <row r="9885" spans="6:6" ht="12.75" customHeight="1">
      <c r="F9885" s="32"/>
    </row>
    <row r="9886" spans="6:6" ht="12.75" customHeight="1">
      <c r="F9886" s="32"/>
    </row>
    <row r="9887" spans="6:6" ht="12.75" customHeight="1">
      <c r="F9887" s="32"/>
    </row>
    <row r="9888" spans="6:6" ht="12.75" customHeight="1">
      <c r="F9888" s="32"/>
    </row>
    <row r="9889" spans="6:6" ht="12.75" customHeight="1">
      <c r="F9889" s="32"/>
    </row>
    <row r="9890" spans="6:6" ht="12.75" customHeight="1">
      <c r="F9890" s="32"/>
    </row>
    <row r="9891" spans="6:6" ht="12.75" customHeight="1">
      <c r="F9891" s="32"/>
    </row>
    <row r="9892" spans="6:6" ht="12.75" customHeight="1">
      <c r="F9892" s="32"/>
    </row>
    <row r="9893" spans="6:6" ht="12.75" customHeight="1">
      <c r="F9893" s="32"/>
    </row>
    <row r="9894" spans="6:6" ht="12.75" customHeight="1">
      <c r="F9894" s="32"/>
    </row>
    <row r="9895" spans="6:6" ht="12.75" customHeight="1">
      <c r="F9895" s="32"/>
    </row>
    <row r="9896" spans="6:6" ht="12.75" customHeight="1">
      <c r="F9896" s="32"/>
    </row>
    <row r="9897" spans="6:6" ht="12.75" customHeight="1">
      <c r="F9897" s="32"/>
    </row>
    <row r="9898" spans="6:6" ht="12.75" customHeight="1">
      <c r="F9898" s="32"/>
    </row>
    <row r="9899" spans="6:6" ht="12.75" customHeight="1">
      <c r="F9899" s="32"/>
    </row>
    <row r="9900" spans="6:6" ht="12.75" customHeight="1">
      <c r="F9900" s="32"/>
    </row>
    <row r="9901" spans="6:6" ht="12.75" customHeight="1">
      <c r="F9901" s="32"/>
    </row>
    <row r="9902" spans="6:6" ht="12.75" customHeight="1">
      <c r="F9902" s="32"/>
    </row>
    <row r="9903" spans="6:6" ht="12.75" customHeight="1">
      <c r="F9903" s="32"/>
    </row>
    <row r="9904" spans="6:6" ht="12.75" customHeight="1">
      <c r="F9904" s="32"/>
    </row>
    <row r="9905" spans="6:6" ht="12.75" customHeight="1">
      <c r="F9905" s="32"/>
    </row>
    <row r="9906" spans="6:6" ht="12.75" customHeight="1">
      <c r="F9906" s="32"/>
    </row>
    <row r="9907" spans="6:6" ht="12.75" customHeight="1">
      <c r="F9907" s="32"/>
    </row>
    <row r="9908" spans="6:6" ht="12.75" customHeight="1">
      <c r="F9908" s="32"/>
    </row>
    <row r="9909" spans="6:6" ht="12.75" customHeight="1">
      <c r="F9909" s="32"/>
    </row>
    <row r="9910" spans="6:6" ht="12.75" customHeight="1">
      <c r="F9910" s="32"/>
    </row>
    <row r="9911" spans="6:6" ht="12.75" customHeight="1">
      <c r="F9911" s="32"/>
    </row>
    <row r="9912" spans="6:6" ht="12.75" customHeight="1">
      <c r="F9912" s="32"/>
    </row>
    <row r="9913" spans="6:6" ht="12.75" customHeight="1">
      <c r="F9913" s="32"/>
    </row>
    <row r="9914" spans="6:6" ht="12.75" customHeight="1">
      <c r="F9914" s="32"/>
    </row>
    <row r="9915" spans="6:6" ht="12.75" customHeight="1">
      <c r="F9915" s="32"/>
    </row>
    <row r="9916" spans="6:6" ht="12.75" customHeight="1">
      <c r="F9916" s="32"/>
    </row>
    <row r="9917" spans="6:6" ht="12.75" customHeight="1">
      <c r="F9917" s="32"/>
    </row>
    <row r="9918" spans="6:6" ht="12.75" customHeight="1">
      <c r="F9918" s="32"/>
    </row>
    <row r="9919" spans="6:6" ht="12.75" customHeight="1">
      <c r="F9919" s="32"/>
    </row>
    <row r="9920" spans="6:6" ht="12.75" customHeight="1">
      <c r="F9920" s="32"/>
    </row>
    <row r="9921" spans="6:6" ht="12.75" customHeight="1">
      <c r="F9921" s="32"/>
    </row>
    <row r="9922" spans="6:6" ht="12.75" customHeight="1">
      <c r="F9922" s="32"/>
    </row>
    <row r="9923" spans="6:6" ht="12.75" customHeight="1">
      <c r="F9923" s="32"/>
    </row>
    <row r="9924" spans="6:6" ht="12.75" customHeight="1">
      <c r="F9924" s="32"/>
    </row>
    <row r="9925" spans="6:6" ht="12.75" customHeight="1">
      <c r="F9925" s="32"/>
    </row>
    <row r="9926" spans="6:6" ht="12.75" customHeight="1">
      <c r="F9926" s="32"/>
    </row>
    <row r="9927" spans="6:6" ht="12.75" customHeight="1">
      <c r="F9927" s="32"/>
    </row>
    <row r="9928" spans="6:6" ht="12.75" customHeight="1">
      <c r="F9928" s="32"/>
    </row>
    <row r="9929" spans="6:6" ht="12.75" customHeight="1">
      <c r="F9929" s="32"/>
    </row>
    <row r="9930" spans="6:6" ht="12.75" customHeight="1">
      <c r="F9930" s="32"/>
    </row>
    <row r="9931" spans="6:6" ht="12.75" customHeight="1">
      <c r="F9931" s="32"/>
    </row>
    <row r="9932" spans="6:6" ht="12.75" customHeight="1">
      <c r="F9932" s="32"/>
    </row>
    <row r="9933" spans="6:6" ht="12.75" customHeight="1">
      <c r="F9933" s="32"/>
    </row>
    <row r="9934" spans="6:6" ht="12.75" customHeight="1">
      <c r="F9934" s="32"/>
    </row>
    <row r="9935" spans="6:6" ht="12.75" customHeight="1">
      <c r="F9935" s="32"/>
    </row>
    <row r="9936" spans="6:6" ht="12.75" customHeight="1">
      <c r="F9936" s="32"/>
    </row>
    <row r="9937" spans="6:6" ht="12.75" customHeight="1">
      <c r="F9937" s="32"/>
    </row>
    <row r="9938" spans="6:6" ht="12.75" customHeight="1">
      <c r="F9938" s="32"/>
    </row>
    <row r="9939" spans="6:6" ht="12.75" customHeight="1">
      <c r="F9939" s="32"/>
    </row>
    <row r="9940" spans="6:6" ht="12.75" customHeight="1">
      <c r="F9940" s="32"/>
    </row>
    <row r="9941" spans="6:6" ht="12.75" customHeight="1">
      <c r="F9941" s="32"/>
    </row>
    <row r="9942" spans="6:6" ht="12.75" customHeight="1">
      <c r="F9942" s="32"/>
    </row>
    <row r="9943" spans="6:6" ht="12.75" customHeight="1">
      <c r="F9943" s="32"/>
    </row>
    <row r="9944" spans="6:6" ht="12.75" customHeight="1">
      <c r="F9944" s="32"/>
    </row>
    <row r="9945" spans="6:6" ht="12.75" customHeight="1">
      <c r="F9945" s="32"/>
    </row>
    <row r="9946" spans="6:6" ht="12.75" customHeight="1">
      <c r="F9946" s="32"/>
    </row>
    <row r="9947" spans="6:6" ht="12.75" customHeight="1">
      <c r="F9947" s="32"/>
    </row>
    <row r="9948" spans="6:6" ht="12.75" customHeight="1">
      <c r="F9948" s="32"/>
    </row>
    <row r="9949" spans="6:6" ht="12.75" customHeight="1">
      <c r="F9949" s="32"/>
    </row>
    <row r="9950" spans="6:6" ht="12.75" customHeight="1">
      <c r="F9950" s="32"/>
    </row>
    <row r="9951" spans="6:6" ht="12.75" customHeight="1">
      <c r="F9951" s="32"/>
    </row>
    <row r="9952" spans="6:6" ht="12.75" customHeight="1">
      <c r="F9952" s="32"/>
    </row>
    <row r="9953" spans="6:6" ht="12.75" customHeight="1">
      <c r="F9953" s="32"/>
    </row>
    <row r="9954" spans="6:6" ht="12.75" customHeight="1">
      <c r="F9954" s="32"/>
    </row>
    <row r="9955" spans="6:6" ht="12.75" customHeight="1">
      <c r="F9955" s="32"/>
    </row>
    <row r="9956" spans="6:6" ht="12.75" customHeight="1">
      <c r="F9956" s="32"/>
    </row>
    <row r="9957" spans="6:6" ht="12.75" customHeight="1">
      <c r="F9957" s="32"/>
    </row>
    <row r="9958" spans="6:6" ht="12.75" customHeight="1">
      <c r="F9958" s="32"/>
    </row>
    <row r="9959" spans="6:6" ht="12.75" customHeight="1">
      <c r="F9959" s="32"/>
    </row>
    <row r="9960" spans="6:6" ht="12.75" customHeight="1">
      <c r="F9960" s="32"/>
    </row>
    <row r="9961" spans="6:6" ht="12.75" customHeight="1">
      <c r="F9961" s="32"/>
    </row>
    <row r="9962" spans="6:6" ht="12.75" customHeight="1">
      <c r="F9962" s="32"/>
    </row>
    <row r="9963" spans="6:6" ht="12.75" customHeight="1">
      <c r="F9963" s="32"/>
    </row>
    <row r="9964" spans="6:6" ht="12.75" customHeight="1">
      <c r="F9964" s="32"/>
    </row>
    <row r="9965" spans="6:6" ht="12.75" customHeight="1">
      <c r="F9965" s="32"/>
    </row>
    <row r="9966" spans="6:6" ht="12.75" customHeight="1">
      <c r="F9966" s="32"/>
    </row>
    <row r="9967" spans="6:6" ht="12.75" customHeight="1">
      <c r="F9967" s="32"/>
    </row>
    <row r="9968" spans="6:6" ht="12.75" customHeight="1">
      <c r="F9968" s="32"/>
    </row>
    <row r="9969" spans="6:6" ht="12.75" customHeight="1">
      <c r="F9969" s="32"/>
    </row>
    <row r="9970" spans="6:6" ht="12.75" customHeight="1">
      <c r="F9970" s="32"/>
    </row>
    <row r="9971" spans="6:6" ht="12.75" customHeight="1">
      <c r="F9971" s="32"/>
    </row>
    <row r="9972" spans="6:6" ht="12.75" customHeight="1">
      <c r="F9972" s="32"/>
    </row>
    <row r="9973" spans="6:6" ht="12.75" customHeight="1">
      <c r="F9973" s="32"/>
    </row>
    <row r="9974" spans="6:6" ht="12.75" customHeight="1">
      <c r="F9974" s="32"/>
    </row>
    <row r="9975" spans="6:6" ht="12.75" customHeight="1">
      <c r="F9975" s="32"/>
    </row>
    <row r="9976" spans="6:6" ht="12.75" customHeight="1">
      <c r="F9976" s="32"/>
    </row>
    <row r="9977" spans="6:6" ht="12.75" customHeight="1">
      <c r="F9977" s="32"/>
    </row>
    <row r="9978" spans="6:6" ht="12.75" customHeight="1">
      <c r="F9978" s="32"/>
    </row>
    <row r="9979" spans="6:6" ht="12.75" customHeight="1">
      <c r="F9979" s="32"/>
    </row>
    <row r="9980" spans="6:6" ht="12.75" customHeight="1">
      <c r="F9980" s="32"/>
    </row>
    <row r="9981" spans="6:6" ht="12.75" customHeight="1">
      <c r="F9981" s="32"/>
    </row>
    <row r="9982" spans="6:6" ht="12.75" customHeight="1">
      <c r="F9982" s="32"/>
    </row>
    <row r="9983" spans="6:6" ht="12.75" customHeight="1">
      <c r="F9983" s="32"/>
    </row>
    <row r="9984" spans="6:6" ht="12.75" customHeight="1">
      <c r="F9984" s="32"/>
    </row>
    <row r="9985" spans="6:6" ht="12.75" customHeight="1">
      <c r="F9985" s="32"/>
    </row>
    <row r="9986" spans="6:6" ht="12.75" customHeight="1">
      <c r="F9986" s="32"/>
    </row>
    <row r="9987" spans="6:6" ht="12.75" customHeight="1">
      <c r="F9987" s="32"/>
    </row>
    <row r="9988" spans="6:6" ht="12.75" customHeight="1">
      <c r="F9988" s="32"/>
    </row>
    <row r="9989" spans="6:6" ht="12.75" customHeight="1">
      <c r="F9989" s="32"/>
    </row>
    <row r="9990" spans="6:6" ht="12.75" customHeight="1">
      <c r="F9990" s="32"/>
    </row>
    <row r="9991" spans="6:6" ht="12.75" customHeight="1">
      <c r="F9991" s="32"/>
    </row>
    <row r="9992" spans="6:6" ht="12.75" customHeight="1">
      <c r="F9992" s="32"/>
    </row>
    <row r="9993" spans="6:6" ht="12.75" customHeight="1">
      <c r="F9993" s="32"/>
    </row>
    <row r="9994" spans="6:6" ht="12.75" customHeight="1">
      <c r="F9994" s="32"/>
    </row>
    <row r="9995" spans="6:6" ht="12.75" customHeight="1">
      <c r="F9995" s="32"/>
    </row>
    <row r="9996" spans="6:6" ht="12.75" customHeight="1">
      <c r="F9996" s="32"/>
    </row>
    <row r="9997" spans="6:6" ht="12.75" customHeight="1">
      <c r="F9997" s="32"/>
    </row>
    <row r="9998" spans="6:6" ht="12.75" customHeight="1">
      <c r="F9998" s="32"/>
    </row>
    <row r="9999" spans="6:6" ht="12.75" customHeight="1">
      <c r="F9999" s="32"/>
    </row>
    <row r="10000" spans="6:6" ht="12.75" customHeight="1">
      <c r="F10000" s="32"/>
    </row>
    <row r="10001" spans="6:6" ht="12.75" customHeight="1">
      <c r="F10001" s="32"/>
    </row>
    <row r="10002" spans="6:6" ht="12.75" customHeight="1">
      <c r="F10002" s="32"/>
    </row>
    <row r="10003" spans="6:6" ht="12.75" customHeight="1">
      <c r="F10003" s="32"/>
    </row>
    <row r="10004" spans="6:6" ht="12.75" customHeight="1">
      <c r="F10004" s="32"/>
    </row>
    <row r="10005" spans="6:6" ht="12.75" customHeight="1">
      <c r="F10005" s="32"/>
    </row>
    <row r="10006" spans="6:6" ht="12.75" customHeight="1">
      <c r="F10006" s="32"/>
    </row>
    <row r="10007" spans="6:6" ht="12.75" customHeight="1">
      <c r="F10007" s="32"/>
    </row>
    <row r="10008" spans="6:6" ht="12.75" customHeight="1">
      <c r="F10008" s="32"/>
    </row>
    <row r="10009" spans="6:6" ht="12.75" customHeight="1">
      <c r="F10009" s="32"/>
    </row>
    <row r="10010" spans="6:6" ht="12.75" customHeight="1">
      <c r="F10010" s="32"/>
    </row>
    <row r="10011" spans="6:6" ht="12.75" customHeight="1">
      <c r="F10011" s="32"/>
    </row>
    <row r="10012" spans="6:6" ht="12.75" customHeight="1">
      <c r="F10012" s="32"/>
    </row>
    <row r="10013" spans="6:6" ht="12.75" customHeight="1">
      <c r="F10013" s="32"/>
    </row>
    <row r="10014" spans="6:6" ht="12.75" customHeight="1">
      <c r="F10014" s="32"/>
    </row>
    <row r="10015" spans="6:6" ht="12.75" customHeight="1">
      <c r="F10015" s="32"/>
    </row>
    <row r="10016" spans="6:6" ht="12.75" customHeight="1">
      <c r="F10016" s="32"/>
    </row>
    <row r="10017" spans="6:6" ht="12.75" customHeight="1">
      <c r="F10017" s="32"/>
    </row>
    <row r="10018" spans="6:6" ht="12.75" customHeight="1">
      <c r="F10018" s="32"/>
    </row>
    <row r="10019" spans="6:6" ht="12.75" customHeight="1">
      <c r="F10019" s="32"/>
    </row>
    <row r="10020" spans="6:6" ht="12.75" customHeight="1">
      <c r="F10020" s="32"/>
    </row>
    <row r="10021" spans="6:6" ht="12.75" customHeight="1">
      <c r="F10021" s="32"/>
    </row>
    <row r="10022" spans="6:6" ht="12.75" customHeight="1">
      <c r="F10022" s="32"/>
    </row>
    <row r="10023" spans="6:6" ht="12.75" customHeight="1">
      <c r="F10023" s="32"/>
    </row>
    <row r="10024" spans="6:6" ht="12.75" customHeight="1">
      <c r="F10024" s="32"/>
    </row>
    <row r="10025" spans="6:6" ht="12.75" customHeight="1">
      <c r="F10025" s="32"/>
    </row>
    <row r="10026" spans="6:6" ht="12.75" customHeight="1">
      <c r="F10026" s="32"/>
    </row>
    <row r="10027" spans="6:6" ht="12.75" customHeight="1">
      <c r="F10027" s="32"/>
    </row>
    <row r="10028" spans="6:6" ht="12.75" customHeight="1">
      <c r="F10028" s="32"/>
    </row>
    <row r="10029" spans="6:6" ht="12.75" customHeight="1">
      <c r="F10029" s="32"/>
    </row>
    <row r="10030" spans="6:6" ht="12.75" customHeight="1">
      <c r="F10030" s="32"/>
    </row>
    <row r="10031" spans="6:6" ht="12.75" customHeight="1">
      <c r="F10031" s="32"/>
    </row>
    <row r="10032" spans="6:6" ht="12.75" customHeight="1">
      <c r="F10032" s="32"/>
    </row>
    <row r="10033" spans="6:6" ht="12.75" customHeight="1">
      <c r="F10033" s="32"/>
    </row>
    <row r="10034" spans="6:6" ht="12.75" customHeight="1">
      <c r="F10034" s="32"/>
    </row>
    <row r="10035" spans="6:6" ht="12.75" customHeight="1">
      <c r="F10035" s="32"/>
    </row>
    <row r="10036" spans="6:6" ht="12.75" customHeight="1">
      <c r="F10036" s="32"/>
    </row>
    <row r="10037" spans="6:6" ht="12.75" customHeight="1">
      <c r="F10037" s="32"/>
    </row>
    <row r="10038" spans="6:6" ht="12.75" customHeight="1">
      <c r="F10038" s="32"/>
    </row>
    <row r="10039" spans="6:6" ht="12.75" customHeight="1">
      <c r="F10039" s="32"/>
    </row>
    <row r="10040" spans="6:6" ht="12.75" customHeight="1">
      <c r="F10040" s="32"/>
    </row>
    <row r="10041" spans="6:6" ht="12.75" customHeight="1">
      <c r="F10041" s="32"/>
    </row>
    <row r="10042" spans="6:6" ht="12.75" customHeight="1">
      <c r="F10042" s="32"/>
    </row>
    <row r="10043" spans="6:6" ht="12.75" customHeight="1">
      <c r="F10043" s="32"/>
    </row>
    <row r="10044" spans="6:6" ht="12.75" customHeight="1">
      <c r="F10044" s="32"/>
    </row>
    <row r="10045" spans="6:6" ht="12.75" customHeight="1">
      <c r="F10045" s="32"/>
    </row>
    <row r="10046" spans="6:6" ht="12.75" customHeight="1">
      <c r="F10046" s="32"/>
    </row>
    <row r="10047" spans="6:6" ht="12.75" customHeight="1">
      <c r="F10047" s="32"/>
    </row>
    <row r="10048" spans="6:6" ht="12.75" customHeight="1">
      <c r="F10048" s="32"/>
    </row>
    <row r="10049" spans="6:6" ht="12.75" customHeight="1">
      <c r="F10049" s="32"/>
    </row>
    <row r="10050" spans="6:6" ht="12.75" customHeight="1">
      <c r="F10050" s="32"/>
    </row>
    <row r="10051" spans="6:6" ht="12.75" customHeight="1">
      <c r="F10051" s="32"/>
    </row>
    <row r="10052" spans="6:6" ht="12.75" customHeight="1">
      <c r="F10052" s="32"/>
    </row>
    <row r="10053" spans="6:6" ht="12.75" customHeight="1">
      <c r="F10053" s="32"/>
    </row>
    <row r="10054" spans="6:6" ht="12.75" customHeight="1">
      <c r="F10054" s="32"/>
    </row>
    <row r="10055" spans="6:6" ht="12.75" customHeight="1">
      <c r="F10055" s="32"/>
    </row>
    <row r="10056" spans="6:6" ht="12.75" customHeight="1">
      <c r="F10056" s="32"/>
    </row>
    <row r="10057" spans="6:6" ht="12.75" customHeight="1">
      <c r="F10057" s="32"/>
    </row>
    <row r="10058" spans="6:6" ht="12.75" customHeight="1">
      <c r="F10058" s="32"/>
    </row>
    <row r="10059" spans="6:6" ht="12.75" customHeight="1">
      <c r="F10059" s="32"/>
    </row>
    <row r="10060" spans="6:6" ht="12.75" customHeight="1">
      <c r="F10060" s="32"/>
    </row>
    <row r="10061" spans="6:6" ht="12.75" customHeight="1">
      <c r="F10061" s="32"/>
    </row>
    <row r="10062" spans="6:6" ht="12.75" customHeight="1">
      <c r="F10062" s="32"/>
    </row>
    <row r="10063" spans="6:6" ht="12.75" customHeight="1">
      <c r="F10063" s="32"/>
    </row>
    <row r="10064" spans="6:6" ht="12.75" customHeight="1">
      <c r="F10064" s="32"/>
    </row>
    <row r="10065" spans="6:6" ht="12.75" customHeight="1">
      <c r="F10065" s="32"/>
    </row>
    <row r="10066" spans="6:6" ht="12.75" customHeight="1">
      <c r="F10066" s="32"/>
    </row>
    <row r="10067" spans="6:6" ht="12.75" customHeight="1">
      <c r="F10067" s="32"/>
    </row>
    <row r="10068" spans="6:6" ht="12.75" customHeight="1">
      <c r="F10068" s="32"/>
    </row>
    <row r="10069" spans="6:6" ht="12.75" customHeight="1">
      <c r="F10069" s="32"/>
    </row>
    <row r="10070" spans="6:6" ht="12.75" customHeight="1">
      <c r="F10070" s="32"/>
    </row>
    <row r="10071" spans="6:6" ht="12.75" customHeight="1">
      <c r="F10071" s="32"/>
    </row>
    <row r="10072" spans="6:6" ht="12.75" customHeight="1">
      <c r="F10072" s="32"/>
    </row>
    <row r="10073" spans="6:6" ht="12.75" customHeight="1">
      <c r="F10073" s="32"/>
    </row>
    <row r="10074" spans="6:6" ht="12.75" customHeight="1">
      <c r="F10074" s="32"/>
    </row>
    <row r="10075" spans="6:6" ht="12.75" customHeight="1">
      <c r="F10075" s="32"/>
    </row>
    <row r="10076" spans="6:6" ht="12.75" customHeight="1">
      <c r="F10076" s="32"/>
    </row>
    <row r="10077" spans="6:6" ht="12.75" customHeight="1">
      <c r="F10077" s="32"/>
    </row>
    <row r="10078" spans="6:6" ht="12.75" customHeight="1">
      <c r="F10078" s="32"/>
    </row>
    <row r="10079" spans="6:6" ht="12.75" customHeight="1">
      <c r="F10079" s="32"/>
    </row>
    <row r="10080" spans="6:6" ht="12.75" customHeight="1">
      <c r="F10080" s="32"/>
    </row>
    <row r="10081" spans="6:6" ht="12.75" customHeight="1">
      <c r="F10081" s="32"/>
    </row>
    <row r="10082" spans="6:6" ht="12.75" customHeight="1">
      <c r="F10082" s="32"/>
    </row>
    <row r="10083" spans="6:6" ht="12.75" customHeight="1">
      <c r="F10083" s="32"/>
    </row>
    <row r="10084" spans="6:6" ht="12.75" customHeight="1">
      <c r="F10084" s="32"/>
    </row>
    <row r="10085" spans="6:6" ht="12.75" customHeight="1">
      <c r="F10085" s="32"/>
    </row>
    <row r="10086" spans="6:6" ht="12.75" customHeight="1">
      <c r="F10086" s="32"/>
    </row>
    <row r="10087" spans="6:6" ht="12.75" customHeight="1">
      <c r="F10087" s="32"/>
    </row>
    <row r="10088" spans="6:6" ht="12.75" customHeight="1">
      <c r="F10088" s="32"/>
    </row>
    <row r="10089" spans="6:6" ht="12.75" customHeight="1">
      <c r="F10089" s="32"/>
    </row>
    <row r="10090" spans="6:6" ht="12.75" customHeight="1">
      <c r="F10090" s="32"/>
    </row>
    <row r="10091" spans="6:6" ht="12.75" customHeight="1">
      <c r="F10091" s="32"/>
    </row>
    <row r="10092" spans="6:6" ht="12.75" customHeight="1">
      <c r="F10092" s="32"/>
    </row>
    <row r="10093" spans="6:6" ht="12.75" customHeight="1">
      <c r="F10093" s="32"/>
    </row>
    <row r="10094" spans="6:6" ht="12.75" customHeight="1">
      <c r="F10094" s="32"/>
    </row>
    <row r="10095" spans="6:6" ht="12.75" customHeight="1">
      <c r="F10095" s="32"/>
    </row>
    <row r="10096" spans="6:6" ht="12.75" customHeight="1">
      <c r="F10096" s="32"/>
    </row>
    <row r="10097" spans="6:6" ht="12.75" customHeight="1">
      <c r="F10097" s="32"/>
    </row>
    <row r="10098" spans="6:6" ht="12.75" customHeight="1">
      <c r="F10098" s="32"/>
    </row>
    <row r="10099" spans="6:6" ht="12.75" customHeight="1">
      <c r="F10099" s="32"/>
    </row>
    <row r="10100" spans="6:6" ht="12.75" customHeight="1">
      <c r="F10100" s="32"/>
    </row>
    <row r="10101" spans="6:6" ht="12.75" customHeight="1">
      <c r="F10101" s="32"/>
    </row>
    <row r="10102" spans="6:6" ht="12.75" customHeight="1">
      <c r="F10102" s="32"/>
    </row>
    <row r="10103" spans="6:6" ht="12.75" customHeight="1">
      <c r="F10103" s="32"/>
    </row>
    <row r="10104" spans="6:6" ht="12.75" customHeight="1">
      <c r="F10104" s="32"/>
    </row>
    <row r="10105" spans="6:6" ht="12.75" customHeight="1">
      <c r="F10105" s="32"/>
    </row>
    <row r="10106" spans="6:6" ht="12.75" customHeight="1">
      <c r="F10106" s="32"/>
    </row>
    <row r="10107" spans="6:6" ht="12.75" customHeight="1">
      <c r="F10107" s="32"/>
    </row>
    <row r="10108" spans="6:6" ht="12.75" customHeight="1">
      <c r="F10108" s="32"/>
    </row>
    <row r="10109" spans="6:6" ht="12.75" customHeight="1">
      <c r="F10109" s="32"/>
    </row>
    <row r="10110" spans="6:6" ht="12.75" customHeight="1">
      <c r="F10110" s="32"/>
    </row>
    <row r="10111" spans="6:6" ht="12.75" customHeight="1">
      <c r="F10111" s="32"/>
    </row>
    <row r="10112" spans="6:6" ht="12.75" customHeight="1">
      <c r="F10112" s="32"/>
    </row>
    <row r="10113" spans="6:6" ht="12.75" customHeight="1">
      <c r="F10113" s="32"/>
    </row>
    <row r="10114" spans="6:6" ht="12.75" customHeight="1">
      <c r="F10114" s="32"/>
    </row>
    <row r="10115" spans="6:6" ht="12.75" customHeight="1">
      <c r="F10115" s="32"/>
    </row>
    <row r="10116" spans="6:6" ht="12.75" customHeight="1">
      <c r="F10116" s="32"/>
    </row>
    <row r="10117" spans="6:6" ht="12.75" customHeight="1">
      <c r="F10117" s="32"/>
    </row>
    <row r="10118" spans="6:6" ht="12.75" customHeight="1">
      <c r="F10118" s="32"/>
    </row>
    <row r="10119" spans="6:6" ht="12.75" customHeight="1">
      <c r="F10119" s="32"/>
    </row>
    <row r="10120" spans="6:6" ht="12.75" customHeight="1">
      <c r="F10120" s="32"/>
    </row>
    <row r="10121" spans="6:6" ht="12.75" customHeight="1">
      <c r="F10121" s="32"/>
    </row>
    <row r="10122" spans="6:6" ht="12.75" customHeight="1">
      <c r="F10122" s="32"/>
    </row>
    <row r="10123" spans="6:6" ht="12.75" customHeight="1">
      <c r="F10123" s="32"/>
    </row>
    <row r="10124" spans="6:6" ht="12.75" customHeight="1">
      <c r="F10124" s="32"/>
    </row>
    <row r="10125" spans="6:6" ht="12.75" customHeight="1">
      <c r="F10125" s="32"/>
    </row>
    <row r="10126" spans="6:6" ht="12.75" customHeight="1">
      <c r="F10126" s="32"/>
    </row>
    <row r="10127" spans="6:6" ht="12.75" customHeight="1">
      <c r="F10127" s="32"/>
    </row>
    <row r="10128" spans="6:6" ht="12.75" customHeight="1">
      <c r="F10128" s="32"/>
    </row>
    <row r="10129" spans="6:6" ht="12.75" customHeight="1">
      <c r="F10129" s="32"/>
    </row>
    <row r="10130" spans="6:6" ht="12.75" customHeight="1">
      <c r="F10130" s="32"/>
    </row>
    <row r="10131" spans="6:6" ht="12.75" customHeight="1">
      <c r="F10131" s="32"/>
    </row>
    <row r="10132" spans="6:6" ht="12.75" customHeight="1">
      <c r="F10132" s="32"/>
    </row>
    <row r="10133" spans="6:6" ht="12.75" customHeight="1">
      <c r="F10133" s="32"/>
    </row>
    <row r="10134" spans="6:6" ht="12.75" customHeight="1">
      <c r="F10134" s="32"/>
    </row>
    <row r="10135" spans="6:6" ht="12.75" customHeight="1">
      <c r="F10135" s="32"/>
    </row>
    <row r="10136" spans="6:6" ht="12.75" customHeight="1">
      <c r="F10136" s="32"/>
    </row>
    <row r="10137" spans="6:6" ht="12.75" customHeight="1">
      <c r="F10137" s="32"/>
    </row>
    <row r="10138" spans="6:6" ht="12.75" customHeight="1">
      <c r="F10138" s="32"/>
    </row>
    <row r="10139" spans="6:6" ht="12.75" customHeight="1">
      <c r="F10139" s="32"/>
    </row>
    <row r="10140" spans="6:6" ht="12.75" customHeight="1">
      <c r="F10140" s="32"/>
    </row>
    <row r="10141" spans="6:6" ht="12.75" customHeight="1">
      <c r="F10141" s="32"/>
    </row>
    <row r="10142" spans="6:6" ht="12.75" customHeight="1">
      <c r="F10142" s="32"/>
    </row>
    <row r="10143" spans="6:6" ht="12.75" customHeight="1">
      <c r="F10143" s="32"/>
    </row>
    <row r="10144" spans="6:6" ht="12.75" customHeight="1">
      <c r="F10144" s="32"/>
    </row>
    <row r="10145" spans="6:6" ht="12.75" customHeight="1">
      <c r="F10145" s="32"/>
    </row>
    <row r="10146" spans="6:6" ht="12.75" customHeight="1">
      <c r="F10146" s="32"/>
    </row>
    <row r="10147" spans="6:6" ht="12.75" customHeight="1">
      <c r="F10147" s="32"/>
    </row>
    <row r="10148" spans="6:6" ht="12.75" customHeight="1">
      <c r="F10148" s="32"/>
    </row>
    <row r="10149" spans="6:6" ht="12.75" customHeight="1">
      <c r="F10149" s="32"/>
    </row>
    <row r="10150" spans="6:6" ht="12.75" customHeight="1">
      <c r="F10150" s="32"/>
    </row>
    <row r="10151" spans="6:6" ht="12.75" customHeight="1">
      <c r="F10151" s="32"/>
    </row>
    <row r="10152" spans="6:6" ht="12.75" customHeight="1">
      <c r="F10152" s="32"/>
    </row>
    <row r="10153" spans="6:6" ht="12.75" customHeight="1">
      <c r="F10153" s="32"/>
    </row>
    <row r="10154" spans="6:6" ht="12.75" customHeight="1">
      <c r="F10154" s="32"/>
    </row>
    <row r="10155" spans="6:6" ht="12.75" customHeight="1">
      <c r="F10155" s="32"/>
    </row>
    <row r="10156" spans="6:6" ht="12.75" customHeight="1">
      <c r="F10156" s="32"/>
    </row>
    <row r="10157" spans="6:6" ht="12.75" customHeight="1">
      <c r="F10157" s="32"/>
    </row>
    <row r="10158" spans="6:6" ht="12.75" customHeight="1">
      <c r="F10158" s="32"/>
    </row>
    <row r="10159" spans="6:6" ht="12.75" customHeight="1">
      <c r="F10159" s="32"/>
    </row>
    <row r="10160" spans="6:6" ht="12.75" customHeight="1">
      <c r="F10160" s="32"/>
    </row>
    <row r="10161" spans="6:6" ht="12.75" customHeight="1">
      <c r="F10161" s="32"/>
    </row>
    <row r="10162" spans="6:6" ht="12.75" customHeight="1">
      <c r="F10162" s="32"/>
    </row>
    <row r="10163" spans="6:6" ht="12.75" customHeight="1">
      <c r="F10163" s="32"/>
    </row>
    <row r="10164" spans="6:6" ht="12.75" customHeight="1">
      <c r="F10164" s="32"/>
    </row>
    <row r="10165" spans="6:6" ht="12.75" customHeight="1">
      <c r="F10165" s="32"/>
    </row>
    <row r="10166" spans="6:6" ht="12.75" customHeight="1">
      <c r="F10166" s="32"/>
    </row>
    <row r="10167" spans="6:6" ht="12.75" customHeight="1">
      <c r="F10167" s="32"/>
    </row>
    <row r="10168" spans="6:6" ht="12.75" customHeight="1">
      <c r="F10168" s="32"/>
    </row>
    <row r="10169" spans="6:6" ht="12.75" customHeight="1">
      <c r="F10169" s="32"/>
    </row>
    <row r="10170" spans="6:6" ht="12.75" customHeight="1">
      <c r="F10170" s="32"/>
    </row>
    <row r="10171" spans="6:6" ht="12.75" customHeight="1">
      <c r="F10171" s="32"/>
    </row>
    <row r="10172" spans="6:6" ht="12.75" customHeight="1">
      <c r="F10172" s="32"/>
    </row>
    <row r="10173" spans="6:6" ht="12.75" customHeight="1">
      <c r="F10173" s="32"/>
    </row>
    <row r="10174" spans="6:6" ht="12.75" customHeight="1">
      <c r="F10174" s="32"/>
    </row>
    <row r="10175" spans="6:6" ht="12.75" customHeight="1">
      <c r="F10175" s="32"/>
    </row>
    <row r="10176" spans="6:6" ht="12.75" customHeight="1">
      <c r="F10176" s="32"/>
    </row>
    <row r="10177" spans="6:6" ht="12.75" customHeight="1">
      <c r="F10177" s="32"/>
    </row>
    <row r="10178" spans="6:6" ht="12.75" customHeight="1">
      <c r="F10178" s="32"/>
    </row>
    <row r="10179" spans="6:6" ht="12.75" customHeight="1">
      <c r="F10179" s="32"/>
    </row>
    <row r="10180" spans="6:6" ht="12.75" customHeight="1">
      <c r="F10180" s="32"/>
    </row>
    <row r="10181" spans="6:6" ht="12.75" customHeight="1">
      <c r="F10181" s="32"/>
    </row>
    <row r="10182" spans="6:6" ht="12.75" customHeight="1">
      <c r="F10182" s="32"/>
    </row>
    <row r="10183" spans="6:6" ht="12.75" customHeight="1">
      <c r="F10183" s="32"/>
    </row>
    <row r="10184" spans="6:6" ht="12.75" customHeight="1">
      <c r="F10184" s="32"/>
    </row>
    <row r="10185" spans="6:6" ht="12.75" customHeight="1">
      <c r="F10185" s="32"/>
    </row>
    <row r="10186" spans="6:6" ht="12.75" customHeight="1">
      <c r="F10186" s="32"/>
    </row>
    <row r="10187" spans="6:6" ht="12.75" customHeight="1">
      <c r="F10187" s="32"/>
    </row>
    <row r="10188" spans="6:6" ht="12.75" customHeight="1">
      <c r="F10188" s="32"/>
    </row>
    <row r="10189" spans="6:6" ht="12.75" customHeight="1">
      <c r="F10189" s="32"/>
    </row>
    <row r="10190" spans="6:6" ht="12.75" customHeight="1">
      <c r="F10190" s="32"/>
    </row>
    <row r="10191" spans="6:6" ht="12.75" customHeight="1">
      <c r="F10191" s="32"/>
    </row>
    <row r="10192" spans="6:6" ht="12.75" customHeight="1">
      <c r="F10192" s="32"/>
    </row>
    <row r="10193" spans="6:6" ht="12.75" customHeight="1">
      <c r="F10193" s="32"/>
    </row>
    <row r="10194" spans="6:6" ht="12.75" customHeight="1">
      <c r="F10194" s="32"/>
    </row>
    <row r="10195" spans="6:6" ht="12.75" customHeight="1">
      <c r="F10195" s="32"/>
    </row>
    <row r="10196" spans="6:6" ht="12.75" customHeight="1">
      <c r="F10196" s="32"/>
    </row>
    <row r="10197" spans="6:6" ht="12.75" customHeight="1">
      <c r="F10197" s="32"/>
    </row>
    <row r="10198" spans="6:6" ht="12.75" customHeight="1">
      <c r="F10198" s="32"/>
    </row>
    <row r="10199" spans="6:6" ht="12.75" customHeight="1">
      <c r="F10199" s="32"/>
    </row>
    <row r="10200" spans="6:6" ht="12.75" customHeight="1">
      <c r="F10200" s="32"/>
    </row>
    <row r="10201" spans="6:6" ht="12.75" customHeight="1">
      <c r="F10201" s="32"/>
    </row>
    <row r="10202" spans="6:6" ht="12.75" customHeight="1">
      <c r="F10202" s="32"/>
    </row>
    <row r="10203" spans="6:6" ht="12.75" customHeight="1">
      <c r="F10203" s="32"/>
    </row>
    <row r="10204" spans="6:6" ht="12.75" customHeight="1">
      <c r="F10204" s="32"/>
    </row>
    <row r="10205" spans="6:6" ht="12.75" customHeight="1">
      <c r="F10205" s="32"/>
    </row>
    <row r="10206" spans="6:6" ht="12.75" customHeight="1">
      <c r="F10206" s="32"/>
    </row>
    <row r="10207" spans="6:6" ht="12.75" customHeight="1">
      <c r="F10207" s="32"/>
    </row>
    <row r="10208" spans="6:6" ht="12.75" customHeight="1">
      <c r="F10208" s="32"/>
    </row>
    <row r="10209" spans="6:6" ht="12.75" customHeight="1">
      <c r="F10209" s="32"/>
    </row>
    <row r="10210" spans="6:6" ht="12.75" customHeight="1">
      <c r="F10210" s="32"/>
    </row>
    <row r="10211" spans="6:6" ht="12.75" customHeight="1">
      <c r="F10211" s="32"/>
    </row>
    <row r="10212" spans="6:6" ht="12.75" customHeight="1">
      <c r="F10212" s="32"/>
    </row>
    <row r="10213" spans="6:6" ht="12.75" customHeight="1">
      <c r="F10213" s="32"/>
    </row>
    <row r="10214" spans="6:6" ht="12.75" customHeight="1">
      <c r="F10214" s="32"/>
    </row>
    <row r="10215" spans="6:6" ht="12.75" customHeight="1">
      <c r="F10215" s="32"/>
    </row>
    <row r="10216" spans="6:6" ht="12.75" customHeight="1">
      <c r="F10216" s="32"/>
    </row>
    <row r="10217" spans="6:6" ht="12.75" customHeight="1">
      <c r="F10217" s="32"/>
    </row>
    <row r="10218" spans="6:6" ht="12.75" customHeight="1">
      <c r="F10218" s="32"/>
    </row>
    <row r="10219" spans="6:6" ht="12.75" customHeight="1">
      <c r="F10219" s="32"/>
    </row>
    <row r="10220" spans="6:6" ht="12.75" customHeight="1">
      <c r="F10220" s="32"/>
    </row>
    <row r="10221" spans="6:6" ht="12.75" customHeight="1">
      <c r="F10221" s="32"/>
    </row>
    <row r="10222" spans="6:6" ht="12.75" customHeight="1">
      <c r="F10222" s="32"/>
    </row>
    <row r="10223" spans="6:6" ht="12.75" customHeight="1">
      <c r="F10223" s="32"/>
    </row>
    <row r="10224" spans="6:6" ht="12.75" customHeight="1">
      <c r="F10224" s="32"/>
    </row>
    <row r="10225" spans="6:6" ht="12.75" customHeight="1">
      <c r="F10225" s="32"/>
    </row>
    <row r="10226" spans="6:6" ht="12.75" customHeight="1">
      <c r="F10226" s="32"/>
    </row>
    <row r="10227" spans="6:6" ht="12.75" customHeight="1">
      <c r="F10227" s="32"/>
    </row>
    <row r="10228" spans="6:6" ht="12.75" customHeight="1">
      <c r="F10228" s="32"/>
    </row>
    <row r="10229" spans="6:6" ht="12.75" customHeight="1">
      <c r="F10229" s="32"/>
    </row>
    <row r="10230" spans="6:6" ht="12.75" customHeight="1">
      <c r="F10230" s="32"/>
    </row>
    <row r="10231" spans="6:6" ht="12.75" customHeight="1">
      <c r="F10231" s="32"/>
    </row>
    <row r="10232" spans="6:6" ht="12.75" customHeight="1">
      <c r="F10232" s="32"/>
    </row>
    <row r="10233" spans="6:6" ht="12.75" customHeight="1">
      <c r="F10233" s="32"/>
    </row>
    <row r="10234" spans="6:6" ht="12.75" customHeight="1">
      <c r="F10234" s="32"/>
    </row>
    <row r="10235" spans="6:6" ht="12.75" customHeight="1">
      <c r="F10235" s="32"/>
    </row>
    <row r="10236" spans="6:6" ht="12.75" customHeight="1">
      <c r="F10236" s="32"/>
    </row>
    <row r="10237" spans="6:6" ht="12.75" customHeight="1">
      <c r="F10237" s="32"/>
    </row>
    <row r="10238" spans="6:6" ht="12.75" customHeight="1">
      <c r="F10238" s="32"/>
    </row>
    <row r="10239" spans="6:6" ht="12.75" customHeight="1">
      <c r="F10239" s="32"/>
    </row>
    <row r="10240" spans="6:6" ht="12.75" customHeight="1">
      <c r="F10240" s="32"/>
    </row>
    <row r="10241" spans="6:6" ht="12.75" customHeight="1">
      <c r="F10241" s="32"/>
    </row>
    <row r="10242" spans="6:6" ht="12.75" customHeight="1">
      <c r="F10242" s="32"/>
    </row>
    <row r="10243" spans="6:6" ht="12.75" customHeight="1">
      <c r="F10243" s="32"/>
    </row>
    <row r="10244" spans="6:6" ht="12.75" customHeight="1">
      <c r="F10244" s="32"/>
    </row>
    <row r="10245" spans="6:6" ht="12.75" customHeight="1">
      <c r="F10245" s="32"/>
    </row>
    <row r="10246" spans="6:6" ht="12.75" customHeight="1">
      <c r="F10246" s="32"/>
    </row>
    <row r="10247" spans="6:6" ht="12.75" customHeight="1">
      <c r="F10247" s="32"/>
    </row>
    <row r="10248" spans="6:6" ht="12.75" customHeight="1">
      <c r="F10248" s="32"/>
    </row>
    <row r="10249" spans="6:6" ht="12.75" customHeight="1">
      <c r="F10249" s="32"/>
    </row>
    <row r="10250" spans="6:6" ht="12.75" customHeight="1">
      <c r="F10250" s="32"/>
    </row>
    <row r="10251" spans="6:6" ht="12.75" customHeight="1">
      <c r="F10251" s="32"/>
    </row>
    <row r="10252" spans="6:6" ht="12.75" customHeight="1">
      <c r="F10252" s="32"/>
    </row>
    <row r="10253" spans="6:6" ht="12.75" customHeight="1">
      <c r="F10253" s="32"/>
    </row>
    <row r="10254" spans="6:6" ht="12.75" customHeight="1">
      <c r="F10254" s="32"/>
    </row>
    <row r="10255" spans="6:6" ht="12.75" customHeight="1">
      <c r="F10255" s="32"/>
    </row>
    <row r="10256" spans="6:6" ht="12.75" customHeight="1">
      <c r="F10256" s="32"/>
    </row>
    <row r="10257" spans="6:6" ht="12.75" customHeight="1">
      <c r="F10257" s="32"/>
    </row>
    <row r="10258" spans="6:6" ht="12.75" customHeight="1">
      <c r="F10258" s="32"/>
    </row>
    <row r="10259" spans="6:6" ht="12.75" customHeight="1">
      <c r="F10259" s="32"/>
    </row>
    <row r="10260" spans="6:6" ht="12.75" customHeight="1">
      <c r="F10260" s="32"/>
    </row>
    <row r="10261" spans="6:6" ht="12.75" customHeight="1">
      <c r="F10261" s="32"/>
    </row>
    <row r="10262" spans="6:6" ht="12.75" customHeight="1">
      <c r="F10262" s="32"/>
    </row>
    <row r="10263" spans="6:6" ht="12.75" customHeight="1">
      <c r="F10263" s="32"/>
    </row>
    <row r="10264" spans="6:6" ht="12.75" customHeight="1">
      <c r="F10264" s="32"/>
    </row>
    <row r="10265" spans="6:6" ht="12.75" customHeight="1">
      <c r="F10265" s="32"/>
    </row>
    <row r="10266" spans="6:6" ht="12.75" customHeight="1">
      <c r="F10266" s="32"/>
    </row>
    <row r="10267" spans="6:6" ht="12.75" customHeight="1">
      <c r="F10267" s="32"/>
    </row>
    <row r="10268" spans="6:6" ht="12.75" customHeight="1">
      <c r="F10268" s="32"/>
    </row>
    <row r="10269" spans="6:6" ht="12.75" customHeight="1">
      <c r="F10269" s="32"/>
    </row>
    <row r="10270" spans="6:6" ht="12.75" customHeight="1">
      <c r="F10270" s="32"/>
    </row>
    <row r="10271" spans="6:6" ht="12.75" customHeight="1">
      <c r="F10271" s="32"/>
    </row>
    <row r="10272" spans="6:6" ht="12.75" customHeight="1">
      <c r="F10272" s="32"/>
    </row>
    <row r="10273" spans="6:6" ht="12.75" customHeight="1">
      <c r="F10273" s="32"/>
    </row>
    <row r="10274" spans="6:6" ht="12.75" customHeight="1">
      <c r="F10274" s="32"/>
    </row>
    <row r="10275" spans="6:6" ht="12.75" customHeight="1">
      <c r="F10275" s="32"/>
    </row>
    <row r="10276" spans="6:6" ht="12.75" customHeight="1">
      <c r="F10276" s="32"/>
    </row>
    <row r="10277" spans="6:6" ht="12.75" customHeight="1">
      <c r="F10277" s="32"/>
    </row>
    <row r="10278" spans="6:6" ht="12.75" customHeight="1">
      <c r="F10278" s="32"/>
    </row>
    <row r="10279" spans="6:6" ht="12.75" customHeight="1">
      <c r="F10279" s="32"/>
    </row>
    <row r="10280" spans="6:6" ht="12.75" customHeight="1">
      <c r="F10280" s="32"/>
    </row>
    <row r="10281" spans="6:6" ht="12.75" customHeight="1">
      <c r="F10281" s="32"/>
    </row>
    <row r="10282" spans="6:6" ht="12.75" customHeight="1">
      <c r="F10282" s="32"/>
    </row>
    <row r="10283" spans="6:6" ht="12.75" customHeight="1">
      <c r="F10283" s="32"/>
    </row>
    <row r="10284" spans="6:6" ht="12.75" customHeight="1">
      <c r="F10284" s="32"/>
    </row>
    <row r="10285" spans="6:6" ht="12.75" customHeight="1">
      <c r="F10285" s="32"/>
    </row>
    <row r="10286" spans="6:6" ht="12.75" customHeight="1">
      <c r="F10286" s="32"/>
    </row>
    <row r="10287" spans="6:6" ht="12.75" customHeight="1">
      <c r="F10287" s="32"/>
    </row>
    <row r="10288" spans="6:6" ht="12.75" customHeight="1">
      <c r="F10288" s="32"/>
    </row>
    <row r="10289" spans="6:6" ht="12.75" customHeight="1">
      <c r="F10289" s="32"/>
    </row>
    <row r="10290" spans="6:6" ht="12.75" customHeight="1">
      <c r="F10290" s="32"/>
    </row>
    <row r="10291" spans="6:6" ht="12.75" customHeight="1">
      <c r="F10291" s="32"/>
    </row>
    <row r="10292" spans="6:6" ht="12.75" customHeight="1">
      <c r="F10292" s="32"/>
    </row>
    <row r="10293" spans="6:6" ht="12.75" customHeight="1">
      <c r="F10293" s="32"/>
    </row>
    <row r="10294" spans="6:6" ht="12.75" customHeight="1">
      <c r="F10294" s="32"/>
    </row>
    <row r="10295" spans="6:6" ht="12.75" customHeight="1">
      <c r="F10295" s="32"/>
    </row>
    <row r="10296" spans="6:6" ht="12.75" customHeight="1">
      <c r="F10296" s="32"/>
    </row>
    <row r="10297" spans="6:6" ht="12.75" customHeight="1">
      <c r="F10297" s="32"/>
    </row>
    <row r="10298" spans="6:6" ht="12.75" customHeight="1">
      <c r="F10298" s="32"/>
    </row>
    <row r="10299" spans="6:6" ht="12.75" customHeight="1">
      <c r="F10299" s="32"/>
    </row>
    <row r="10300" spans="6:6" ht="12.75" customHeight="1">
      <c r="F10300" s="32"/>
    </row>
    <row r="10301" spans="6:6" ht="12.75" customHeight="1">
      <c r="F10301" s="32"/>
    </row>
    <row r="10302" spans="6:6" ht="12.75" customHeight="1">
      <c r="F10302" s="32"/>
    </row>
    <row r="10303" spans="6:6" ht="12.75" customHeight="1">
      <c r="F10303" s="32"/>
    </row>
    <row r="10304" spans="6:6" ht="12.75" customHeight="1">
      <c r="F10304" s="32"/>
    </row>
    <row r="10305" spans="6:6" ht="12.75" customHeight="1">
      <c r="F10305" s="32"/>
    </row>
    <row r="10306" spans="6:6" ht="12.75" customHeight="1">
      <c r="F10306" s="32"/>
    </row>
    <row r="10307" spans="6:6" ht="12.75" customHeight="1">
      <c r="F10307" s="32"/>
    </row>
    <row r="10308" spans="6:6" ht="12.75" customHeight="1">
      <c r="F10308" s="32"/>
    </row>
    <row r="10309" spans="6:6" ht="12.75" customHeight="1">
      <c r="F10309" s="32"/>
    </row>
    <row r="10310" spans="6:6" ht="12.75" customHeight="1">
      <c r="F10310" s="32"/>
    </row>
    <row r="10311" spans="6:6" ht="12.75" customHeight="1">
      <c r="F10311" s="32"/>
    </row>
    <row r="10312" spans="6:6" ht="12.75" customHeight="1">
      <c r="F10312" s="32"/>
    </row>
    <row r="10313" spans="6:6" ht="12.75" customHeight="1">
      <c r="F10313" s="32"/>
    </row>
    <row r="10314" spans="6:6" ht="12.75" customHeight="1">
      <c r="F10314" s="32"/>
    </row>
    <row r="10315" spans="6:6" ht="12.75" customHeight="1">
      <c r="F10315" s="32"/>
    </row>
    <row r="10316" spans="6:6" ht="12.75" customHeight="1">
      <c r="F10316" s="32"/>
    </row>
    <row r="10317" spans="6:6" ht="12.75" customHeight="1">
      <c r="F10317" s="32"/>
    </row>
    <row r="10318" spans="6:6" ht="12.75" customHeight="1">
      <c r="F10318" s="32"/>
    </row>
    <row r="10319" spans="6:6" ht="12.75" customHeight="1">
      <c r="F10319" s="32"/>
    </row>
    <row r="10320" spans="6:6" ht="12.75" customHeight="1">
      <c r="F10320" s="32"/>
    </row>
    <row r="10321" spans="6:6" ht="12.75" customHeight="1">
      <c r="F10321" s="32"/>
    </row>
    <row r="10322" spans="6:6" ht="12.75" customHeight="1">
      <c r="F10322" s="32"/>
    </row>
    <row r="10323" spans="6:6" ht="12.75" customHeight="1">
      <c r="F10323" s="32"/>
    </row>
    <row r="10324" spans="6:6" ht="12.75" customHeight="1">
      <c r="F10324" s="32"/>
    </row>
    <row r="10325" spans="6:6" ht="12.75" customHeight="1">
      <c r="F10325" s="32"/>
    </row>
    <row r="10326" spans="6:6" ht="12.75" customHeight="1">
      <c r="F10326" s="32"/>
    </row>
    <row r="10327" spans="6:6" ht="12.75" customHeight="1">
      <c r="F10327" s="32"/>
    </row>
    <row r="10328" spans="6:6" ht="12.75" customHeight="1">
      <c r="F10328" s="32"/>
    </row>
    <row r="10329" spans="6:6" ht="12.75" customHeight="1">
      <c r="F10329" s="32"/>
    </row>
    <row r="10330" spans="6:6" ht="12.75" customHeight="1">
      <c r="F10330" s="32"/>
    </row>
    <row r="10331" spans="6:6" ht="12.75" customHeight="1">
      <c r="F10331" s="32"/>
    </row>
    <row r="10332" spans="6:6" ht="12.75" customHeight="1">
      <c r="F10332" s="32"/>
    </row>
    <row r="10333" spans="6:6" ht="12.75" customHeight="1">
      <c r="F10333" s="32"/>
    </row>
    <row r="10334" spans="6:6" ht="12.75" customHeight="1">
      <c r="F10334" s="32"/>
    </row>
    <row r="10335" spans="6:6" ht="12.75" customHeight="1">
      <c r="F10335" s="32"/>
    </row>
    <row r="10336" spans="6:6" ht="12.75" customHeight="1">
      <c r="F10336" s="32"/>
    </row>
    <row r="10337" spans="6:6" ht="12.75" customHeight="1">
      <c r="F10337" s="32"/>
    </row>
    <row r="10338" spans="6:6" ht="12.75" customHeight="1">
      <c r="F10338" s="32"/>
    </row>
    <row r="10339" spans="6:6" ht="12.75" customHeight="1">
      <c r="F10339" s="32"/>
    </row>
    <row r="10340" spans="6:6" ht="12.75" customHeight="1">
      <c r="F10340" s="32"/>
    </row>
    <row r="10341" spans="6:6" ht="12.75" customHeight="1">
      <c r="F10341" s="32"/>
    </row>
    <row r="10342" spans="6:6" ht="12.75" customHeight="1">
      <c r="F10342" s="32"/>
    </row>
    <row r="10343" spans="6:6" ht="12.75" customHeight="1">
      <c r="F10343" s="32"/>
    </row>
    <row r="10344" spans="6:6" ht="12.75" customHeight="1">
      <c r="F10344" s="32"/>
    </row>
    <row r="10345" spans="6:6" ht="12.75" customHeight="1">
      <c r="F10345" s="32"/>
    </row>
    <row r="10346" spans="6:6" ht="12.75" customHeight="1">
      <c r="F10346" s="32"/>
    </row>
    <row r="10347" spans="6:6" ht="12.75" customHeight="1">
      <c r="F10347" s="32"/>
    </row>
    <row r="10348" spans="6:6" ht="12.75" customHeight="1">
      <c r="F10348" s="32"/>
    </row>
    <row r="10349" spans="6:6" ht="12.75" customHeight="1">
      <c r="F10349" s="32"/>
    </row>
    <row r="10350" spans="6:6" ht="12.75" customHeight="1">
      <c r="F10350" s="32"/>
    </row>
    <row r="10351" spans="6:6" ht="12.75" customHeight="1">
      <c r="F10351" s="32"/>
    </row>
    <row r="10352" spans="6:6" ht="12.75" customHeight="1">
      <c r="F10352" s="32"/>
    </row>
    <row r="10353" spans="6:6" ht="12.75" customHeight="1">
      <c r="F10353" s="32"/>
    </row>
    <row r="10354" spans="6:6" ht="12.75" customHeight="1">
      <c r="F10354" s="32"/>
    </row>
    <row r="10355" spans="6:6" ht="12.75" customHeight="1">
      <c r="F10355" s="32"/>
    </row>
    <row r="10356" spans="6:6" ht="12.75" customHeight="1">
      <c r="F10356" s="32"/>
    </row>
    <row r="10357" spans="6:6" ht="12.75" customHeight="1">
      <c r="F10357" s="32"/>
    </row>
    <row r="10358" spans="6:6" ht="12.75" customHeight="1">
      <c r="F10358" s="32"/>
    </row>
    <row r="10359" spans="6:6" ht="12.75" customHeight="1">
      <c r="F10359" s="32"/>
    </row>
    <row r="10360" spans="6:6" ht="12.75" customHeight="1">
      <c r="F10360" s="32"/>
    </row>
    <row r="10361" spans="6:6" ht="12.75" customHeight="1">
      <c r="F10361" s="32"/>
    </row>
    <row r="10362" spans="6:6" ht="12.75" customHeight="1">
      <c r="F10362" s="32"/>
    </row>
    <row r="10363" spans="6:6" ht="12.75" customHeight="1">
      <c r="F10363" s="32"/>
    </row>
    <row r="10364" spans="6:6" ht="12.75" customHeight="1">
      <c r="F10364" s="32"/>
    </row>
    <row r="10365" spans="6:6" ht="12.75" customHeight="1">
      <c r="F10365" s="32"/>
    </row>
    <row r="10366" spans="6:6" ht="12.75" customHeight="1">
      <c r="F10366" s="32"/>
    </row>
    <row r="10367" spans="6:6" ht="12.75" customHeight="1">
      <c r="F10367" s="32"/>
    </row>
    <row r="10368" spans="6:6" ht="12.75" customHeight="1">
      <c r="F10368" s="32"/>
    </row>
    <row r="10369" spans="6:6" ht="12.75" customHeight="1">
      <c r="F10369" s="32"/>
    </row>
    <row r="10370" spans="6:6" ht="12.75" customHeight="1">
      <c r="F10370" s="32"/>
    </row>
    <row r="10371" spans="6:6" ht="12.75" customHeight="1">
      <c r="F10371" s="32"/>
    </row>
    <row r="10372" spans="6:6" ht="12.75" customHeight="1">
      <c r="F10372" s="32"/>
    </row>
    <row r="10373" spans="6:6" ht="12.75" customHeight="1">
      <c r="F10373" s="32"/>
    </row>
    <row r="10374" spans="6:6" ht="12.75" customHeight="1">
      <c r="F10374" s="32"/>
    </row>
    <row r="10375" spans="6:6" ht="12.75" customHeight="1">
      <c r="F10375" s="32"/>
    </row>
    <row r="10376" spans="6:6" ht="12.75" customHeight="1">
      <c r="F10376" s="32"/>
    </row>
    <row r="10377" spans="6:6" ht="12.75" customHeight="1">
      <c r="F10377" s="32"/>
    </row>
    <row r="10378" spans="6:6" ht="12.75" customHeight="1">
      <c r="F10378" s="32"/>
    </row>
    <row r="10379" spans="6:6" ht="12.75" customHeight="1">
      <c r="F10379" s="32"/>
    </row>
    <row r="10380" spans="6:6" ht="12.75" customHeight="1">
      <c r="F10380" s="32"/>
    </row>
    <row r="10381" spans="6:6" ht="12.75" customHeight="1">
      <c r="F10381" s="32"/>
    </row>
    <row r="10382" spans="6:6" ht="12.75" customHeight="1">
      <c r="F10382" s="32"/>
    </row>
    <row r="10383" spans="6:6" ht="12.75" customHeight="1">
      <c r="F10383" s="32"/>
    </row>
    <row r="10384" spans="6:6" ht="12.75" customHeight="1">
      <c r="F10384" s="32"/>
    </row>
    <row r="10385" spans="6:6" ht="12.75" customHeight="1">
      <c r="F10385" s="32"/>
    </row>
    <row r="10386" spans="6:6" ht="12.75" customHeight="1">
      <c r="F10386" s="32"/>
    </row>
    <row r="10387" spans="6:6" ht="12.75" customHeight="1">
      <c r="F10387" s="32"/>
    </row>
    <row r="10388" spans="6:6" ht="12.75" customHeight="1">
      <c r="F10388" s="32"/>
    </row>
    <row r="10389" spans="6:6" ht="12.75" customHeight="1">
      <c r="F10389" s="32"/>
    </row>
    <row r="10390" spans="6:6" ht="12.75" customHeight="1">
      <c r="F10390" s="32"/>
    </row>
    <row r="10391" spans="6:6" ht="12.75" customHeight="1">
      <c r="F10391" s="32"/>
    </row>
    <row r="10392" spans="6:6" ht="12.75" customHeight="1">
      <c r="F10392" s="32"/>
    </row>
    <row r="10393" spans="6:6" ht="12.75" customHeight="1">
      <c r="F10393" s="32"/>
    </row>
    <row r="10394" spans="6:6" ht="12.75" customHeight="1">
      <c r="F10394" s="32"/>
    </row>
    <row r="10395" spans="6:6" ht="12.75" customHeight="1">
      <c r="F10395" s="32"/>
    </row>
    <row r="10396" spans="6:6" ht="12.75" customHeight="1">
      <c r="F10396" s="32"/>
    </row>
    <row r="10397" spans="6:6" ht="12.75" customHeight="1">
      <c r="F10397" s="32"/>
    </row>
    <row r="10398" spans="6:6" ht="12.75" customHeight="1">
      <c r="F10398" s="32"/>
    </row>
    <row r="10399" spans="6:6" ht="12.75" customHeight="1">
      <c r="F10399" s="32"/>
    </row>
    <row r="10400" spans="6:6" ht="12.75" customHeight="1">
      <c r="F10400" s="32"/>
    </row>
    <row r="10401" spans="6:6" ht="12.75" customHeight="1">
      <c r="F10401" s="32"/>
    </row>
    <row r="10402" spans="6:6" ht="12.75" customHeight="1">
      <c r="F10402" s="32"/>
    </row>
    <row r="10403" spans="6:6" ht="12.75" customHeight="1">
      <c r="F10403" s="32"/>
    </row>
    <row r="10404" spans="6:6" ht="12.75" customHeight="1">
      <c r="F10404" s="32"/>
    </row>
    <row r="10405" spans="6:6" ht="12.75" customHeight="1">
      <c r="F10405" s="32"/>
    </row>
    <row r="10406" spans="6:6" ht="12.75" customHeight="1">
      <c r="F10406" s="32"/>
    </row>
    <row r="10407" spans="6:6" ht="12.75" customHeight="1">
      <c r="F10407" s="32"/>
    </row>
    <row r="10408" spans="6:6" ht="12.75" customHeight="1">
      <c r="F10408" s="32"/>
    </row>
    <row r="10409" spans="6:6" ht="12.75" customHeight="1">
      <c r="F10409" s="32"/>
    </row>
    <row r="10410" spans="6:6" ht="12.75" customHeight="1">
      <c r="F10410" s="32"/>
    </row>
    <row r="10411" spans="6:6" ht="12.75" customHeight="1">
      <c r="F10411" s="32"/>
    </row>
    <row r="10412" spans="6:6" ht="12.75" customHeight="1">
      <c r="F10412" s="32"/>
    </row>
    <row r="10413" spans="6:6" ht="12.75" customHeight="1">
      <c r="F10413" s="32"/>
    </row>
    <row r="10414" spans="6:6" ht="12.75" customHeight="1">
      <c r="F10414" s="32"/>
    </row>
    <row r="10415" spans="6:6" ht="12.75" customHeight="1">
      <c r="F10415" s="32"/>
    </row>
    <row r="10416" spans="6:6" ht="12.75" customHeight="1">
      <c r="F10416" s="32"/>
    </row>
    <row r="10417" spans="6:6" ht="12.75" customHeight="1">
      <c r="F10417" s="32"/>
    </row>
    <row r="10418" spans="6:6" ht="12.75" customHeight="1">
      <c r="F10418" s="32"/>
    </row>
    <row r="10419" spans="6:6" ht="12.75" customHeight="1">
      <c r="F10419" s="32"/>
    </row>
    <row r="10420" spans="6:6" ht="12.75" customHeight="1">
      <c r="F10420" s="32"/>
    </row>
    <row r="10421" spans="6:6" ht="12.75" customHeight="1">
      <c r="F10421" s="32"/>
    </row>
    <row r="10422" spans="6:6" ht="12.75" customHeight="1">
      <c r="F10422" s="32"/>
    </row>
    <row r="10423" spans="6:6" ht="12.75" customHeight="1">
      <c r="F10423" s="32"/>
    </row>
    <row r="10424" spans="6:6" ht="12.75" customHeight="1">
      <c r="F10424" s="32"/>
    </row>
    <row r="10425" spans="6:6" ht="12.75" customHeight="1">
      <c r="F10425" s="32"/>
    </row>
    <row r="10426" spans="6:6" ht="12.75" customHeight="1">
      <c r="F10426" s="32"/>
    </row>
    <row r="10427" spans="6:6" ht="12.75" customHeight="1">
      <c r="F10427" s="32"/>
    </row>
    <row r="10428" spans="6:6" ht="12.75" customHeight="1">
      <c r="F10428" s="32"/>
    </row>
    <row r="10429" spans="6:6" ht="12.75" customHeight="1">
      <c r="F10429" s="32"/>
    </row>
    <row r="10430" spans="6:6" ht="12.75" customHeight="1">
      <c r="F10430" s="32"/>
    </row>
    <row r="10431" spans="6:6" ht="12.75" customHeight="1">
      <c r="F10431" s="32"/>
    </row>
    <row r="10432" spans="6:6" ht="12.75" customHeight="1">
      <c r="F10432" s="32"/>
    </row>
    <row r="10433" spans="6:6" ht="12.75" customHeight="1">
      <c r="F10433" s="32"/>
    </row>
    <row r="10434" spans="6:6" ht="12.75" customHeight="1">
      <c r="F10434" s="32"/>
    </row>
    <row r="10435" spans="6:6" ht="12.75" customHeight="1">
      <c r="F10435" s="32"/>
    </row>
    <row r="10436" spans="6:6" ht="12.75" customHeight="1">
      <c r="F10436" s="32"/>
    </row>
    <row r="10437" spans="6:6" ht="12.75" customHeight="1">
      <c r="F10437" s="32"/>
    </row>
    <row r="10438" spans="6:6" ht="12.75" customHeight="1">
      <c r="F10438" s="32"/>
    </row>
    <row r="10439" spans="6:6" ht="12.75" customHeight="1">
      <c r="F10439" s="32"/>
    </row>
    <row r="10440" spans="6:6" ht="12.75" customHeight="1">
      <c r="F10440" s="32"/>
    </row>
    <row r="10441" spans="6:6" ht="12.75" customHeight="1">
      <c r="F10441" s="32"/>
    </row>
    <row r="10442" spans="6:6" ht="12.75" customHeight="1">
      <c r="F10442" s="32"/>
    </row>
    <row r="10443" spans="6:6" ht="12.75" customHeight="1">
      <c r="F10443" s="32"/>
    </row>
    <row r="10444" spans="6:6" ht="12.75" customHeight="1">
      <c r="F10444" s="32"/>
    </row>
    <row r="10445" spans="6:6" ht="12.75" customHeight="1">
      <c r="F10445" s="32"/>
    </row>
    <row r="10446" spans="6:6" ht="12.75" customHeight="1">
      <c r="F10446" s="32"/>
    </row>
    <row r="10447" spans="6:6" ht="12.75" customHeight="1">
      <c r="F10447" s="32"/>
    </row>
    <row r="10448" spans="6:6" ht="12.75" customHeight="1">
      <c r="F10448" s="32"/>
    </row>
    <row r="10449" spans="6:6" ht="12.75" customHeight="1">
      <c r="F10449" s="32"/>
    </row>
    <row r="10450" spans="6:6" ht="12.75" customHeight="1">
      <c r="F10450" s="32"/>
    </row>
    <row r="10451" spans="6:6" ht="12.75" customHeight="1">
      <c r="F10451" s="32"/>
    </row>
    <row r="10452" spans="6:6" ht="12.75" customHeight="1">
      <c r="F10452" s="32"/>
    </row>
    <row r="10453" spans="6:6" ht="12.75" customHeight="1">
      <c r="F10453" s="32"/>
    </row>
    <row r="10454" spans="6:6" ht="12.75" customHeight="1">
      <c r="F10454" s="32"/>
    </row>
    <row r="10455" spans="6:6" ht="12.75" customHeight="1">
      <c r="F10455" s="32"/>
    </row>
    <row r="10456" spans="6:6" ht="12.75" customHeight="1">
      <c r="F10456" s="32"/>
    </row>
    <row r="10457" spans="6:6" ht="12.75" customHeight="1">
      <c r="F10457" s="32"/>
    </row>
    <row r="10458" spans="6:6" ht="12.75" customHeight="1">
      <c r="F10458" s="32"/>
    </row>
    <row r="10459" spans="6:6" ht="12.75" customHeight="1">
      <c r="F10459" s="32"/>
    </row>
    <row r="10460" spans="6:6" ht="12.75" customHeight="1">
      <c r="F10460" s="32"/>
    </row>
    <row r="10461" spans="6:6" ht="12.75" customHeight="1">
      <c r="F10461" s="32"/>
    </row>
    <row r="10462" spans="6:6" ht="12.75" customHeight="1">
      <c r="F10462" s="32"/>
    </row>
    <row r="10463" spans="6:6" ht="12.75" customHeight="1">
      <c r="F10463" s="32"/>
    </row>
    <row r="10464" spans="6:6" ht="12.75" customHeight="1">
      <c r="F10464" s="32"/>
    </row>
    <row r="10465" spans="6:6" ht="12.75" customHeight="1">
      <c r="F10465" s="32"/>
    </row>
    <row r="10466" spans="6:6" ht="12.75" customHeight="1">
      <c r="F10466" s="32"/>
    </row>
    <row r="10467" spans="6:6" ht="12.75" customHeight="1">
      <c r="F10467" s="32"/>
    </row>
    <row r="10468" spans="6:6" ht="12.75" customHeight="1">
      <c r="F10468" s="32"/>
    </row>
    <row r="10469" spans="6:6" ht="12.75" customHeight="1">
      <c r="F10469" s="32"/>
    </row>
    <row r="10470" spans="6:6" ht="12.75" customHeight="1">
      <c r="F10470" s="32"/>
    </row>
    <row r="10471" spans="6:6" ht="12.75" customHeight="1">
      <c r="F10471" s="32"/>
    </row>
    <row r="10472" spans="6:6" ht="12.75" customHeight="1">
      <c r="F10472" s="32"/>
    </row>
    <row r="10473" spans="6:6" ht="12.75" customHeight="1">
      <c r="F10473" s="32"/>
    </row>
    <row r="10474" spans="6:6" ht="12.75" customHeight="1">
      <c r="F10474" s="32"/>
    </row>
    <row r="10475" spans="6:6" ht="12.75" customHeight="1">
      <c r="F10475" s="32"/>
    </row>
    <row r="10476" spans="6:6" ht="12.75" customHeight="1">
      <c r="F10476" s="32"/>
    </row>
    <row r="10477" spans="6:6" ht="12.75" customHeight="1">
      <c r="F10477" s="32"/>
    </row>
    <row r="10478" spans="6:6" ht="12.75" customHeight="1">
      <c r="F10478" s="32"/>
    </row>
    <row r="10479" spans="6:6" ht="12.75" customHeight="1">
      <c r="F10479" s="32"/>
    </row>
    <row r="10480" spans="6:6" ht="12.75" customHeight="1">
      <c r="F10480" s="32"/>
    </row>
    <row r="10481" spans="6:6" ht="12.75" customHeight="1">
      <c r="F10481" s="32"/>
    </row>
    <row r="10482" spans="6:6" ht="12.75" customHeight="1">
      <c r="F10482" s="32"/>
    </row>
    <row r="10483" spans="6:6" ht="12.75" customHeight="1">
      <c r="F10483" s="32"/>
    </row>
    <row r="10484" spans="6:6" ht="12.75" customHeight="1">
      <c r="F10484" s="32"/>
    </row>
    <row r="10485" spans="6:6" ht="12.75" customHeight="1">
      <c r="F10485" s="32"/>
    </row>
    <row r="10486" spans="6:6" ht="12.75" customHeight="1">
      <c r="F10486" s="32"/>
    </row>
    <row r="10487" spans="6:6" ht="12.75" customHeight="1">
      <c r="F10487" s="32"/>
    </row>
    <row r="10488" spans="6:6" ht="12.75" customHeight="1">
      <c r="F10488" s="32"/>
    </row>
    <row r="10489" spans="6:6" ht="12.75" customHeight="1">
      <c r="F10489" s="32"/>
    </row>
    <row r="10490" spans="6:6" ht="12.75" customHeight="1">
      <c r="F10490" s="32"/>
    </row>
    <row r="10491" spans="6:6" ht="12.75" customHeight="1">
      <c r="F10491" s="32"/>
    </row>
    <row r="10492" spans="6:6" ht="12.75" customHeight="1">
      <c r="F10492" s="32"/>
    </row>
    <row r="10493" spans="6:6" ht="12.75" customHeight="1">
      <c r="F10493" s="32"/>
    </row>
    <row r="10494" spans="6:6" ht="12.75" customHeight="1">
      <c r="F10494" s="32"/>
    </row>
    <row r="10495" spans="6:6" ht="12.75" customHeight="1">
      <c r="F10495" s="32"/>
    </row>
    <row r="10496" spans="6:6" ht="12.75" customHeight="1">
      <c r="F10496" s="32"/>
    </row>
    <row r="10497" spans="6:6" ht="12.75" customHeight="1">
      <c r="F10497" s="32"/>
    </row>
    <row r="10498" spans="6:6" ht="12.75" customHeight="1">
      <c r="F10498" s="32"/>
    </row>
    <row r="10499" spans="6:6" ht="12.75" customHeight="1">
      <c r="F10499" s="32"/>
    </row>
    <row r="10500" spans="6:6" ht="12.75" customHeight="1">
      <c r="F10500" s="32"/>
    </row>
    <row r="10501" spans="6:6" ht="12.75" customHeight="1">
      <c r="F10501" s="32"/>
    </row>
    <row r="10502" spans="6:6" ht="12.75" customHeight="1">
      <c r="F10502" s="32"/>
    </row>
    <row r="10503" spans="6:6" ht="12.75" customHeight="1">
      <c r="F10503" s="32"/>
    </row>
    <row r="10504" spans="6:6" ht="12.75" customHeight="1">
      <c r="F10504" s="32"/>
    </row>
    <row r="10505" spans="6:6" ht="12.75" customHeight="1">
      <c r="F10505" s="32"/>
    </row>
    <row r="10506" spans="6:6" ht="12.75" customHeight="1">
      <c r="F10506" s="32"/>
    </row>
    <row r="10507" spans="6:6" ht="12.75" customHeight="1">
      <c r="F10507" s="32"/>
    </row>
    <row r="10508" spans="6:6" ht="12.75" customHeight="1">
      <c r="F10508" s="32"/>
    </row>
    <row r="10509" spans="6:6" ht="12.75" customHeight="1">
      <c r="F10509" s="32"/>
    </row>
    <row r="10510" spans="6:6" ht="12.75" customHeight="1">
      <c r="F10510" s="32"/>
    </row>
    <row r="10511" spans="6:6" ht="12.75" customHeight="1">
      <c r="F10511" s="32"/>
    </row>
    <row r="10512" spans="6:6" ht="12.75" customHeight="1">
      <c r="F10512" s="32"/>
    </row>
    <row r="10513" spans="6:6" ht="12.75" customHeight="1">
      <c r="F10513" s="32"/>
    </row>
    <row r="10514" spans="6:6" ht="12.75" customHeight="1">
      <c r="F10514" s="32"/>
    </row>
    <row r="10515" spans="6:6" ht="12.75" customHeight="1">
      <c r="F10515" s="32"/>
    </row>
    <row r="10516" spans="6:6" ht="12.75" customHeight="1">
      <c r="F10516" s="32"/>
    </row>
    <row r="10517" spans="6:6" ht="12.75" customHeight="1">
      <c r="F10517" s="32"/>
    </row>
    <row r="10518" spans="6:6" ht="12.75" customHeight="1">
      <c r="F10518" s="32"/>
    </row>
    <row r="10519" spans="6:6" ht="12.75" customHeight="1">
      <c r="F10519" s="32"/>
    </row>
    <row r="10520" spans="6:6" ht="12.75" customHeight="1">
      <c r="F10520" s="32"/>
    </row>
    <row r="10521" spans="6:6" ht="12.75" customHeight="1">
      <c r="F10521" s="32"/>
    </row>
    <row r="10522" spans="6:6" ht="12.75" customHeight="1">
      <c r="F10522" s="32"/>
    </row>
    <row r="10523" spans="6:6" ht="12.75" customHeight="1">
      <c r="F10523" s="32"/>
    </row>
    <row r="10524" spans="6:6" ht="12.75" customHeight="1">
      <c r="F10524" s="32"/>
    </row>
    <row r="10525" spans="6:6" ht="12.75" customHeight="1">
      <c r="F10525" s="32"/>
    </row>
    <row r="10526" spans="6:6" ht="12.75" customHeight="1">
      <c r="F10526" s="32"/>
    </row>
    <row r="10527" spans="6:6" ht="12.75" customHeight="1">
      <c r="F10527" s="32"/>
    </row>
    <row r="10528" spans="6:6" ht="12.75" customHeight="1">
      <c r="F10528" s="32"/>
    </row>
    <row r="10529" spans="6:6" ht="12.75" customHeight="1">
      <c r="F10529" s="32"/>
    </row>
    <row r="10530" spans="6:6" ht="12.75" customHeight="1">
      <c r="F10530" s="32"/>
    </row>
    <row r="10531" spans="6:6" ht="12.75" customHeight="1">
      <c r="F10531" s="32"/>
    </row>
    <row r="10532" spans="6:6" ht="12.75" customHeight="1">
      <c r="F10532" s="32"/>
    </row>
    <row r="10533" spans="6:6" ht="12.75" customHeight="1">
      <c r="F10533" s="32"/>
    </row>
    <row r="10534" spans="6:6" ht="12.75" customHeight="1">
      <c r="F10534" s="32"/>
    </row>
    <row r="10535" spans="6:6" ht="12.75" customHeight="1">
      <c r="F10535" s="32"/>
    </row>
    <row r="10536" spans="6:6" ht="12.75" customHeight="1">
      <c r="F10536" s="32"/>
    </row>
    <row r="10537" spans="6:6" ht="12.75" customHeight="1">
      <c r="F10537" s="32"/>
    </row>
    <row r="10538" spans="6:6" ht="12.75" customHeight="1">
      <c r="F10538" s="32"/>
    </row>
    <row r="10539" spans="6:6" ht="12.75" customHeight="1">
      <c r="F10539" s="32"/>
    </row>
    <row r="10540" spans="6:6" ht="12.75" customHeight="1">
      <c r="F10540" s="32"/>
    </row>
    <row r="10541" spans="6:6" ht="12.75" customHeight="1">
      <c r="F10541" s="32"/>
    </row>
    <row r="10542" spans="6:6" ht="12.75" customHeight="1">
      <c r="F10542" s="32"/>
    </row>
    <row r="10543" spans="6:6" ht="12.75" customHeight="1">
      <c r="F10543" s="32"/>
    </row>
    <row r="10544" spans="6:6" ht="12.75" customHeight="1">
      <c r="F10544" s="32"/>
    </row>
    <row r="10545" spans="6:6" ht="12.75" customHeight="1">
      <c r="F10545" s="32"/>
    </row>
    <row r="10546" spans="6:6" ht="12.75" customHeight="1">
      <c r="F10546" s="32"/>
    </row>
    <row r="10547" spans="6:6" ht="12.75" customHeight="1">
      <c r="F10547" s="32"/>
    </row>
    <row r="10548" spans="6:6" ht="12.75" customHeight="1">
      <c r="F10548" s="32"/>
    </row>
    <row r="10549" spans="6:6" ht="12.75" customHeight="1">
      <c r="F10549" s="32"/>
    </row>
    <row r="10550" spans="6:6" ht="12.75" customHeight="1">
      <c r="F10550" s="32"/>
    </row>
    <row r="10551" spans="6:6" ht="12.75" customHeight="1">
      <c r="F10551" s="32"/>
    </row>
    <row r="10552" spans="6:6" ht="12.75" customHeight="1">
      <c r="F10552" s="32"/>
    </row>
    <row r="10553" spans="6:6" ht="12.75" customHeight="1">
      <c r="F10553" s="32"/>
    </row>
    <row r="10554" spans="6:6" ht="12.75" customHeight="1">
      <c r="F10554" s="32"/>
    </row>
    <row r="10555" spans="6:6" ht="12.75" customHeight="1">
      <c r="F10555" s="32"/>
    </row>
    <row r="10556" spans="6:6" ht="12.75" customHeight="1">
      <c r="F10556" s="32"/>
    </row>
    <row r="10557" spans="6:6" ht="12.75" customHeight="1">
      <c r="F10557" s="32"/>
    </row>
    <row r="10558" spans="6:6" ht="12.75" customHeight="1">
      <c r="F10558" s="32"/>
    </row>
    <row r="10559" spans="6:6" ht="12.75" customHeight="1">
      <c r="F10559" s="32"/>
    </row>
    <row r="10560" spans="6:6" ht="12.75" customHeight="1">
      <c r="F10560" s="32"/>
    </row>
    <row r="10561" spans="6:6" ht="12.75" customHeight="1">
      <c r="F10561" s="32"/>
    </row>
    <row r="10562" spans="6:6" ht="12.75" customHeight="1">
      <c r="F10562" s="32"/>
    </row>
    <row r="10563" spans="6:6" ht="12.75" customHeight="1">
      <c r="F10563" s="32"/>
    </row>
    <row r="10564" spans="6:6" ht="12.75" customHeight="1">
      <c r="F10564" s="32"/>
    </row>
    <row r="10565" spans="6:6" ht="12.75" customHeight="1">
      <c r="F10565" s="32"/>
    </row>
    <row r="10566" spans="6:6" ht="12.75" customHeight="1">
      <c r="F10566" s="32"/>
    </row>
    <row r="10567" spans="6:6" ht="12.75" customHeight="1">
      <c r="F10567" s="32"/>
    </row>
    <row r="10568" spans="6:6" ht="12.75" customHeight="1">
      <c r="F10568" s="32"/>
    </row>
    <row r="10569" spans="6:6" ht="12.75" customHeight="1">
      <c r="F10569" s="32"/>
    </row>
    <row r="10570" spans="6:6" ht="12.75" customHeight="1">
      <c r="F10570" s="32"/>
    </row>
    <row r="10571" spans="6:6" ht="12.75" customHeight="1">
      <c r="F10571" s="32"/>
    </row>
    <row r="10572" spans="6:6" ht="12.75" customHeight="1">
      <c r="F10572" s="32"/>
    </row>
    <row r="10573" spans="6:6" ht="12.75" customHeight="1">
      <c r="F10573" s="32"/>
    </row>
    <row r="10574" spans="6:6" ht="12.75" customHeight="1">
      <c r="F10574" s="32"/>
    </row>
    <row r="10575" spans="6:6" ht="12.75" customHeight="1">
      <c r="F10575" s="32"/>
    </row>
    <row r="10576" spans="6:6" ht="12.75" customHeight="1">
      <c r="F10576" s="32"/>
    </row>
    <row r="10577" spans="6:6" ht="12.75" customHeight="1">
      <c r="F10577" s="32"/>
    </row>
    <row r="10578" spans="6:6" ht="12.75" customHeight="1">
      <c r="F10578" s="32"/>
    </row>
    <row r="10579" spans="6:6" ht="12.75" customHeight="1">
      <c r="F10579" s="32"/>
    </row>
    <row r="10580" spans="6:6" ht="12.75" customHeight="1">
      <c r="F10580" s="32"/>
    </row>
    <row r="10581" spans="6:6" ht="12.75" customHeight="1">
      <c r="F10581" s="32"/>
    </row>
    <row r="10582" spans="6:6" ht="12.75" customHeight="1">
      <c r="F10582" s="32"/>
    </row>
    <row r="10583" spans="6:6" ht="12.75" customHeight="1">
      <c r="F10583" s="32"/>
    </row>
    <row r="10584" spans="6:6" ht="12.75" customHeight="1">
      <c r="F10584" s="32"/>
    </row>
    <row r="10585" spans="6:6" ht="12.75" customHeight="1">
      <c r="F10585" s="32"/>
    </row>
    <row r="10586" spans="6:6" ht="12.75" customHeight="1">
      <c r="F10586" s="32"/>
    </row>
    <row r="10587" spans="6:6" ht="12.75" customHeight="1">
      <c r="F10587" s="32"/>
    </row>
    <row r="10588" spans="6:6" ht="12.75" customHeight="1">
      <c r="F10588" s="32"/>
    </row>
    <row r="10589" spans="6:6" ht="12.75" customHeight="1">
      <c r="F10589" s="32"/>
    </row>
    <row r="10590" spans="6:6" ht="12.75" customHeight="1">
      <c r="F10590" s="32"/>
    </row>
    <row r="10591" spans="6:6" ht="12.75" customHeight="1">
      <c r="F10591" s="32"/>
    </row>
    <row r="10592" spans="6:6" ht="12.75" customHeight="1">
      <c r="F10592" s="32"/>
    </row>
    <row r="10593" spans="6:6" ht="12.75" customHeight="1">
      <c r="F10593" s="32"/>
    </row>
    <row r="10594" spans="6:6" ht="12.75" customHeight="1">
      <c r="F10594" s="32"/>
    </row>
    <row r="10595" spans="6:6" ht="12.75" customHeight="1">
      <c r="F10595" s="32"/>
    </row>
    <row r="10596" spans="6:6" ht="12.75" customHeight="1">
      <c r="F10596" s="32"/>
    </row>
    <row r="10597" spans="6:6" ht="12.75" customHeight="1">
      <c r="F10597" s="32"/>
    </row>
    <row r="10598" spans="6:6" ht="12.75" customHeight="1">
      <c r="F10598" s="32"/>
    </row>
    <row r="10599" spans="6:6" ht="12.75" customHeight="1">
      <c r="F10599" s="32"/>
    </row>
    <row r="10600" spans="6:6" ht="12.75" customHeight="1">
      <c r="F10600" s="32"/>
    </row>
    <row r="10601" spans="6:6" ht="12.75" customHeight="1">
      <c r="F10601" s="32"/>
    </row>
    <row r="10602" spans="6:6" ht="12.75" customHeight="1">
      <c r="F10602" s="32"/>
    </row>
    <row r="10603" spans="6:6" ht="12.75" customHeight="1">
      <c r="F10603" s="32"/>
    </row>
    <row r="10604" spans="6:6" ht="12.75" customHeight="1">
      <c r="F10604" s="32"/>
    </row>
    <row r="10605" spans="6:6" ht="12.75" customHeight="1">
      <c r="F10605" s="32"/>
    </row>
    <row r="10606" spans="6:6" ht="12.75" customHeight="1">
      <c r="F10606" s="32"/>
    </row>
    <row r="10607" spans="6:6" ht="12.75" customHeight="1">
      <c r="F10607" s="32"/>
    </row>
    <row r="10608" spans="6:6" ht="12.75" customHeight="1">
      <c r="F10608" s="32"/>
    </row>
    <row r="10609" spans="6:6" ht="12.75" customHeight="1">
      <c r="F10609" s="32"/>
    </row>
    <row r="10610" spans="6:6" ht="12.75" customHeight="1">
      <c r="F10610" s="32"/>
    </row>
    <row r="10611" spans="6:6" ht="12.75" customHeight="1">
      <c r="F10611" s="32"/>
    </row>
    <row r="10612" spans="6:6" ht="12.75" customHeight="1">
      <c r="F10612" s="32"/>
    </row>
    <row r="10613" spans="6:6" ht="12.75" customHeight="1">
      <c r="F10613" s="32"/>
    </row>
    <row r="10614" spans="6:6" ht="12.75" customHeight="1">
      <c r="F10614" s="32"/>
    </row>
    <row r="10615" spans="6:6" ht="12.75" customHeight="1">
      <c r="F10615" s="32"/>
    </row>
    <row r="10616" spans="6:6" ht="12.75" customHeight="1">
      <c r="F10616" s="32"/>
    </row>
    <row r="10617" spans="6:6" ht="12.75" customHeight="1">
      <c r="F10617" s="32"/>
    </row>
    <row r="10618" spans="6:6" ht="12.75" customHeight="1">
      <c r="F10618" s="32"/>
    </row>
    <row r="10619" spans="6:6" ht="12.75" customHeight="1">
      <c r="F10619" s="32"/>
    </row>
    <row r="10620" spans="6:6" ht="12.75" customHeight="1">
      <c r="F10620" s="32"/>
    </row>
    <row r="10621" spans="6:6" ht="12.75" customHeight="1">
      <c r="F10621" s="32"/>
    </row>
    <row r="10622" spans="6:6" ht="12.75" customHeight="1">
      <c r="F10622" s="32"/>
    </row>
    <row r="10623" spans="6:6" ht="12.75" customHeight="1">
      <c r="F10623" s="32"/>
    </row>
    <row r="10624" spans="6:6" ht="12.75" customHeight="1">
      <c r="F10624" s="32"/>
    </row>
    <row r="10625" spans="6:6" ht="12.75" customHeight="1">
      <c r="F10625" s="32"/>
    </row>
    <row r="10626" spans="6:6" ht="12.75" customHeight="1">
      <c r="F10626" s="32"/>
    </row>
    <row r="10627" spans="6:6" ht="12.75" customHeight="1">
      <c r="F10627" s="32"/>
    </row>
    <row r="10628" spans="6:6" ht="12.75" customHeight="1">
      <c r="F10628" s="32"/>
    </row>
    <row r="10629" spans="6:6" ht="12.75" customHeight="1">
      <c r="F10629" s="32"/>
    </row>
    <row r="10630" spans="6:6" ht="12.75" customHeight="1">
      <c r="F10630" s="32"/>
    </row>
    <row r="10631" spans="6:6" ht="12.75" customHeight="1">
      <c r="F10631" s="32"/>
    </row>
    <row r="10632" spans="6:6" ht="12.75" customHeight="1">
      <c r="F10632" s="32"/>
    </row>
    <row r="10633" spans="6:6" ht="12.75" customHeight="1">
      <c r="F10633" s="32"/>
    </row>
    <row r="10634" spans="6:6" ht="12.75" customHeight="1">
      <c r="F10634" s="32"/>
    </row>
    <row r="10635" spans="6:6" ht="12.75" customHeight="1">
      <c r="F10635" s="32"/>
    </row>
    <row r="10636" spans="6:6" ht="12.75" customHeight="1">
      <c r="F10636" s="32"/>
    </row>
    <row r="10637" spans="6:6" ht="12.75" customHeight="1">
      <c r="F10637" s="32"/>
    </row>
    <row r="10638" spans="6:6" ht="12.75" customHeight="1">
      <c r="F10638" s="32"/>
    </row>
    <row r="10639" spans="6:6" ht="12.75" customHeight="1">
      <c r="F10639" s="32"/>
    </row>
    <row r="10640" spans="6:6" ht="12.75" customHeight="1">
      <c r="F10640" s="32"/>
    </row>
    <row r="10641" spans="6:6" ht="12.75" customHeight="1">
      <c r="F10641" s="32"/>
    </row>
    <row r="10642" spans="6:6" ht="12.75" customHeight="1">
      <c r="F10642" s="32"/>
    </row>
    <row r="10643" spans="6:6" ht="12.75" customHeight="1">
      <c r="F10643" s="32"/>
    </row>
    <row r="10644" spans="6:6" ht="12.75" customHeight="1">
      <c r="F10644" s="32"/>
    </row>
    <row r="10645" spans="6:6" ht="12.75" customHeight="1">
      <c r="F10645" s="32"/>
    </row>
    <row r="10646" spans="6:6" ht="12.75" customHeight="1">
      <c r="F10646" s="32"/>
    </row>
    <row r="10647" spans="6:6" ht="12.75" customHeight="1">
      <c r="F10647" s="32"/>
    </row>
    <row r="10648" spans="6:6" ht="12.75" customHeight="1">
      <c r="F10648" s="32"/>
    </row>
    <row r="10649" spans="6:6" ht="12.75" customHeight="1">
      <c r="F10649" s="32"/>
    </row>
    <row r="10650" spans="6:6" ht="12.75" customHeight="1">
      <c r="F10650" s="32"/>
    </row>
    <row r="10651" spans="6:6" ht="12.75" customHeight="1">
      <c r="F10651" s="32"/>
    </row>
    <row r="10652" spans="6:6" ht="12.75" customHeight="1">
      <c r="F10652" s="32"/>
    </row>
    <row r="10653" spans="6:6" ht="12.75" customHeight="1">
      <c r="F10653" s="32"/>
    </row>
    <row r="10654" spans="6:6" ht="12.75" customHeight="1">
      <c r="F10654" s="32"/>
    </row>
    <row r="10655" spans="6:6" ht="12.75" customHeight="1">
      <c r="F10655" s="32"/>
    </row>
    <row r="10656" spans="6:6" ht="12.75" customHeight="1">
      <c r="F10656" s="32"/>
    </row>
    <row r="10657" spans="6:6" ht="12.75" customHeight="1">
      <c r="F10657" s="32"/>
    </row>
    <row r="10658" spans="6:6" ht="12.75" customHeight="1">
      <c r="F10658" s="32"/>
    </row>
    <row r="10659" spans="6:6" ht="12.75" customHeight="1">
      <c r="F10659" s="32"/>
    </row>
    <row r="10660" spans="6:6" ht="12.75" customHeight="1">
      <c r="F10660" s="32"/>
    </row>
    <row r="10661" spans="6:6" ht="12.75" customHeight="1">
      <c r="F10661" s="32"/>
    </row>
    <row r="10662" spans="6:6" ht="12.75" customHeight="1">
      <c r="F10662" s="32"/>
    </row>
    <row r="10663" spans="6:6" ht="12.75" customHeight="1">
      <c r="F10663" s="32"/>
    </row>
    <row r="10664" spans="6:6" ht="12.75" customHeight="1">
      <c r="F10664" s="32"/>
    </row>
    <row r="10665" spans="6:6" ht="12.75" customHeight="1">
      <c r="F10665" s="32"/>
    </row>
    <row r="10666" spans="6:6" ht="12.75" customHeight="1">
      <c r="F10666" s="32"/>
    </row>
    <row r="10667" spans="6:6" ht="12.75" customHeight="1">
      <c r="F10667" s="32"/>
    </row>
    <row r="10668" spans="6:6" ht="12.75" customHeight="1">
      <c r="F10668" s="32"/>
    </row>
    <row r="10669" spans="6:6" ht="12.75" customHeight="1">
      <c r="F10669" s="32"/>
    </row>
    <row r="10670" spans="6:6" ht="12.75" customHeight="1">
      <c r="F10670" s="32"/>
    </row>
    <row r="10671" spans="6:6" ht="12.75" customHeight="1">
      <c r="F10671" s="32"/>
    </row>
    <row r="10672" spans="6:6" ht="12.75" customHeight="1">
      <c r="F10672" s="32"/>
    </row>
    <row r="10673" spans="6:6" ht="12.75" customHeight="1">
      <c r="F10673" s="32"/>
    </row>
    <row r="10674" spans="6:6" ht="12.75" customHeight="1">
      <c r="F10674" s="32"/>
    </row>
    <row r="10675" spans="6:6" ht="12.75" customHeight="1">
      <c r="F10675" s="32"/>
    </row>
    <row r="10676" spans="6:6" ht="12.75" customHeight="1">
      <c r="F10676" s="32"/>
    </row>
    <row r="10677" spans="6:6" ht="12.75" customHeight="1">
      <c r="F10677" s="32"/>
    </row>
    <row r="10678" spans="6:6" ht="12.75" customHeight="1">
      <c r="F10678" s="32"/>
    </row>
    <row r="10679" spans="6:6" ht="12.75" customHeight="1">
      <c r="F10679" s="32"/>
    </row>
    <row r="10680" spans="6:6" ht="12.75" customHeight="1">
      <c r="F10680" s="32"/>
    </row>
    <row r="10681" spans="6:6" ht="12.75" customHeight="1">
      <c r="F10681" s="32"/>
    </row>
    <row r="10682" spans="6:6" ht="12.75" customHeight="1">
      <c r="F10682" s="32"/>
    </row>
    <row r="10683" spans="6:6" ht="12.75" customHeight="1">
      <c r="F10683" s="32"/>
    </row>
    <row r="10684" spans="6:6" ht="12.75" customHeight="1">
      <c r="F10684" s="32"/>
    </row>
    <row r="10685" spans="6:6" ht="12.75" customHeight="1">
      <c r="F10685" s="32"/>
    </row>
    <row r="10686" spans="6:6" ht="12.75" customHeight="1">
      <c r="F10686" s="32"/>
    </row>
    <row r="10687" spans="6:6" ht="12.75" customHeight="1">
      <c r="F10687" s="32"/>
    </row>
    <row r="10688" spans="6:6" ht="12.75" customHeight="1">
      <c r="F10688" s="32"/>
    </row>
    <row r="10689" spans="6:6" ht="12.75" customHeight="1">
      <c r="F10689" s="32"/>
    </row>
    <row r="10690" spans="6:6" ht="12.75" customHeight="1">
      <c r="F10690" s="32"/>
    </row>
    <row r="10691" spans="6:6" ht="12.75" customHeight="1">
      <c r="F10691" s="32"/>
    </row>
    <row r="10692" spans="6:6" ht="12.75" customHeight="1">
      <c r="F10692" s="32"/>
    </row>
    <row r="10693" spans="6:6" ht="12.75" customHeight="1">
      <c r="F10693" s="32"/>
    </row>
    <row r="10694" spans="6:6" ht="12.75" customHeight="1">
      <c r="F10694" s="32"/>
    </row>
    <row r="10695" spans="6:6" ht="12.75" customHeight="1">
      <c r="F10695" s="32"/>
    </row>
    <row r="10696" spans="6:6" ht="12.75" customHeight="1">
      <c r="F10696" s="32"/>
    </row>
    <row r="10697" spans="6:6" ht="12.75" customHeight="1">
      <c r="F10697" s="32"/>
    </row>
    <row r="10698" spans="6:6" ht="12.75" customHeight="1">
      <c r="F10698" s="32"/>
    </row>
    <row r="10699" spans="6:6" ht="12.75" customHeight="1">
      <c r="F10699" s="32"/>
    </row>
    <row r="10700" spans="6:6" ht="12.75" customHeight="1">
      <c r="F10700" s="32"/>
    </row>
    <row r="10701" spans="6:6" ht="12.75" customHeight="1">
      <c r="F10701" s="32"/>
    </row>
    <row r="10702" spans="6:6" ht="12.75" customHeight="1">
      <c r="F10702" s="32"/>
    </row>
    <row r="10703" spans="6:6" ht="12.75" customHeight="1">
      <c r="F10703" s="32"/>
    </row>
    <row r="10704" spans="6:6" ht="12.75" customHeight="1">
      <c r="F10704" s="32"/>
    </row>
    <row r="10705" spans="6:6" ht="12.75" customHeight="1">
      <c r="F10705" s="32"/>
    </row>
    <row r="10706" spans="6:6" ht="12.75" customHeight="1">
      <c r="F10706" s="32"/>
    </row>
    <row r="10707" spans="6:6" ht="12.75" customHeight="1">
      <c r="F10707" s="32"/>
    </row>
    <row r="10708" spans="6:6" ht="12.75" customHeight="1">
      <c r="F10708" s="32"/>
    </row>
    <row r="10709" spans="6:6" ht="12.75" customHeight="1">
      <c r="F10709" s="32"/>
    </row>
    <row r="10710" spans="6:6" ht="12.75" customHeight="1">
      <c r="F10710" s="32"/>
    </row>
    <row r="10711" spans="6:6" ht="12.75" customHeight="1">
      <c r="F10711" s="32"/>
    </row>
    <row r="10712" spans="6:6" ht="12.75" customHeight="1">
      <c r="F10712" s="32"/>
    </row>
    <row r="10713" spans="6:6" ht="12.75" customHeight="1">
      <c r="F10713" s="32"/>
    </row>
    <row r="10714" spans="6:6" ht="12.75" customHeight="1">
      <c r="F10714" s="32"/>
    </row>
    <row r="10715" spans="6:6" ht="12.75" customHeight="1">
      <c r="F10715" s="32"/>
    </row>
    <row r="10716" spans="6:6" ht="12.75" customHeight="1">
      <c r="F10716" s="32"/>
    </row>
    <row r="10717" spans="6:6" ht="12.75" customHeight="1">
      <c r="F10717" s="32"/>
    </row>
    <row r="10718" spans="6:6" ht="12.75" customHeight="1">
      <c r="F10718" s="32"/>
    </row>
    <row r="10719" spans="6:6" ht="12.75" customHeight="1">
      <c r="F10719" s="32"/>
    </row>
    <row r="10720" spans="6:6" ht="12.75" customHeight="1">
      <c r="F10720" s="32"/>
    </row>
    <row r="10721" spans="6:6" ht="12.75" customHeight="1">
      <c r="F10721" s="32"/>
    </row>
    <row r="10722" spans="6:6" ht="12.75" customHeight="1">
      <c r="F10722" s="32"/>
    </row>
    <row r="10723" spans="6:6" ht="12.75" customHeight="1">
      <c r="F10723" s="32"/>
    </row>
    <row r="10724" spans="6:6" ht="12.75" customHeight="1">
      <c r="F10724" s="32"/>
    </row>
    <row r="10725" spans="6:6" ht="12.75" customHeight="1">
      <c r="F10725" s="32"/>
    </row>
    <row r="10726" spans="6:6" ht="12.75" customHeight="1">
      <c r="F10726" s="32"/>
    </row>
    <row r="10727" spans="6:6" ht="12.75" customHeight="1">
      <c r="F10727" s="32"/>
    </row>
    <row r="10728" spans="6:6" ht="12.75" customHeight="1">
      <c r="F10728" s="32"/>
    </row>
    <row r="10729" spans="6:6" ht="12.75" customHeight="1">
      <c r="F10729" s="32"/>
    </row>
    <row r="10730" spans="6:6" ht="12.75" customHeight="1">
      <c r="F10730" s="32"/>
    </row>
    <row r="10731" spans="6:6" ht="12.75" customHeight="1">
      <c r="F10731" s="32"/>
    </row>
    <row r="10732" spans="6:6" ht="12.75" customHeight="1">
      <c r="F10732" s="32"/>
    </row>
    <row r="10733" spans="6:6" ht="12.75" customHeight="1">
      <c r="F10733" s="32"/>
    </row>
    <row r="10734" spans="6:6" ht="12.75" customHeight="1">
      <c r="F10734" s="32"/>
    </row>
    <row r="10735" spans="6:6" ht="12.75" customHeight="1">
      <c r="F10735" s="32"/>
    </row>
    <row r="10736" spans="6:6" ht="12.75" customHeight="1">
      <c r="F10736" s="32"/>
    </row>
    <row r="10737" spans="6:6" ht="12.75" customHeight="1">
      <c r="F10737" s="32"/>
    </row>
    <row r="10738" spans="6:6" ht="12.75" customHeight="1">
      <c r="F10738" s="32"/>
    </row>
    <row r="10739" spans="6:6" ht="12.75" customHeight="1">
      <c r="F10739" s="32"/>
    </row>
    <row r="10740" spans="6:6" ht="12.75" customHeight="1">
      <c r="F10740" s="32"/>
    </row>
    <row r="10741" spans="6:6" ht="12.75" customHeight="1">
      <c r="F10741" s="32"/>
    </row>
    <row r="10742" spans="6:6" ht="12.75" customHeight="1">
      <c r="F10742" s="32"/>
    </row>
    <row r="10743" spans="6:6" ht="12.75" customHeight="1">
      <c r="F10743" s="32"/>
    </row>
    <row r="10744" spans="6:6" ht="12.75" customHeight="1">
      <c r="F10744" s="32"/>
    </row>
    <row r="10745" spans="6:6" ht="12.75" customHeight="1">
      <c r="F10745" s="32"/>
    </row>
    <row r="10746" spans="6:6" ht="12.75" customHeight="1">
      <c r="F10746" s="32"/>
    </row>
    <row r="10747" spans="6:6" ht="12.75" customHeight="1">
      <c r="F10747" s="32"/>
    </row>
    <row r="10748" spans="6:6" ht="12.75" customHeight="1">
      <c r="F10748" s="32"/>
    </row>
    <row r="10749" spans="6:6" ht="12.75" customHeight="1">
      <c r="F10749" s="32"/>
    </row>
    <row r="10750" spans="6:6" ht="12.75" customHeight="1">
      <c r="F10750" s="32"/>
    </row>
    <row r="10751" spans="6:6" ht="12.75" customHeight="1">
      <c r="F10751" s="32"/>
    </row>
    <row r="10752" spans="6:6" ht="12.75" customHeight="1">
      <c r="F10752" s="32"/>
    </row>
    <row r="10753" spans="6:6" ht="12.75" customHeight="1">
      <c r="F10753" s="32"/>
    </row>
    <row r="10754" spans="6:6" ht="12.75" customHeight="1">
      <c r="F10754" s="32"/>
    </row>
    <row r="10755" spans="6:6" ht="12.75" customHeight="1">
      <c r="F10755" s="32"/>
    </row>
    <row r="10756" spans="6:6" ht="12.75" customHeight="1">
      <c r="F10756" s="32"/>
    </row>
    <row r="10757" spans="6:6" ht="12.75" customHeight="1">
      <c r="F10757" s="32"/>
    </row>
    <row r="10758" spans="6:6" ht="12.75" customHeight="1">
      <c r="F10758" s="32"/>
    </row>
    <row r="10759" spans="6:6" ht="12.75" customHeight="1">
      <c r="F10759" s="32"/>
    </row>
    <row r="10760" spans="6:6" ht="12.75" customHeight="1">
      <c r="F10760" s="32"/>
    </row>
    <row r="10761" spans="6:6" ht="12.75" customHeight="1">
      <c r="F10761" s="32"/>
    </row>
    <row r="10762" spans="6:6" ht="12.75" customHeight="1">
      <c r="F10762" s="32"/>
    </row>
    <row r="10763" spans="6:6" ht="12.75" customHeight="1">
      <c r="F10763" s="32"/>
    </row>
    <row r="10764" spans="6:6" ht="12.75" customHeight="1">
      <c r="F10764" s="32"/>
    </row>
    <row r="10765" spans="6:6" ht="12.75" customHeight="1">
      <c r="F10765" s="32"/>
    </row>
    <row r="10766" spans="6:6" ht="12.75" customHeight="1">
      <c r="F10766" s="32"/>
    </row>
    <row r="10767" spans="6:6" ht="12.75" customHeight="1">
      <c r="F10767" s="32"/>
    </row>
    <row r="10768" spans="6:6" ht="12.75" customHeight="1">
      <c r="F10768" s="32"/>
    </row>
    <row r="10769" spans="6:6" ht="12.75" customHeight="1">
      <c r="F10769" s="32"/>
    </row>
    <row r="10770" spans="6:6" ht="12.75" customHeight="1">
      <c r="F10770" s="32"/>
    </row>
    <row r="10771" spans="6:6" ht="12.75" customHeight="1">
      <c r="F10771" s="32"/>
    </row>
    <row r="10772" spans="6:6" ht="12.75" customHeight="1">
      <c r="F10772" s="32"/>
    </row>
    <row r="10773" spans="6:6" ht="12.75" customHeight="1">
      <c r="F10773" s="32"/>
    </row>
    <row r="10774" spans="6:6" ht="12.75" customHeight="1">
      <c r="F10774" s="32"/>
    </row>
    <row r="10775" spans="6:6" ht="12.75" customHeight="1">
      <c r="F10775" s="32"/>
    </row>
    <row r="10776" spans="6:6" ht="12.75" customHeight="1">
      <c r="F10776" s="32"/>
    </row>
    <row r="10777" spans="6:6" ht="12.75" customHeight="1">
      <c r="F10777" s="32"/>
    </row>
    <row r="10778" spans="6:6" ht="12.75" customHeight="1">
      <c r="F10778" s="32"/>
    </row>
    <row r="10779" spans="6:6" ht="12.75" customHeight="1">
      <c r="F10779" s="32"/>
    </row>
    <row r="10780" spans="6:6" ht="12.75" customHeight="1">
      <c r="F10780" s="32"/>
    </row>
    <row r="10781" spans="6:6" ht="12.75" customHeight="1">
      <c r="F10781" s="32"/>
    </row>
    <row r="10782" spans="6:6" ht="12.75" customHeight="1">
      <c r="F10782" s="32"/>
    </row>
    <row r="10783" spans="6:6" ht="12.75" customHeight="1">
      <c r="F10783" s="32"/>
    </row>
    <row r="10784" spans="6:6" ht="12.75" customHeight="1">
      <c r="F10784" s="32"/>
    </row>
    <row r="10785" spans="6:6" ht="12.75" customHeight="1">
      <c r="F10785" s="32"/>
    </row>
    <row r="10786" spans="6:6" ht="12.75" customHeight="1">
      <c r="F10786" s="32"/>
    </row>
    <row r="10787" spans="6:6" ht="12.75" customHeight="1">
      <c r="F10787" s="32"/>
    </row>
    <row r="10788" spans="6:6" ht="12.75" customHeight="1">
      <c r="F10788" s="32"/>
    </row>
    <row r="10789" spans="6:6" ht="12.75" customHeight="1">
      <c r="F10789" s="32"/>
    </row>
    <row r="10790" spans="6:6" ht="12.75" customHeight="1">
      <c r="F10790" s="32"/>
    </row>
    <row r="10791" spans="6:6" ht="12.75" customHeight="1">
      <c r="F10791" s="32"/>
    </row>
    <row r="10792" spans="6:6" ht="12.75" customHeight="1">
      <c r="F10792" s="32"/>
    </row>
    <row r="10793" spans="6:6" ht="12.75" customHeight="1">
      <c r="F10793" s="32"/>
    </row>
    <row r="10794" spans="6:6" ht="12.75" customHeight="1">
      <c r="F10794" s="32"/>
    </row>
    <row r="10795" spans="6:6" ht="12.75" customHeight="1">
      <c r="F10795" s="32"/>
    </row>
    <row r="10796" spans="6:6" ht="12.75" customHeight="1">
      <c r="F10796" s="32"/>
    </row>
    <row r="10797" spans="6:6" ht="12.75" customHeight="1">
      <c r="F10797" s="32"/>
    </row>
    <row r="10798" spans="6:6" ht="12.75" customHeight="1">
      <c r="F10798" s="32"/>
    </row>
    <row r="10799" spans="6:6" ht="12.75" customHeight="1">
      <c r="F10799" s="32"/>
    </row>
    <row r="10800" spans="6:6" ht="12.75" customHeight="1">
      <c r="F10800" s="32"/>
    </row>
    <row r="10801" spans="6:6" ht="12.75" customHeight="1">
      <c r="F10801" s="32"/>
    </row>
    <row r="10802" spans="6:6" ht="12.75" customHeight="1">
      <c r="F10802" s="32"/>
    </row>
    <row r="10803" spans="6:6" ht="12.75" customHeight="1">
      <c r="F10803" s="32"/>
    </row>
    <row r="10804" spans="6:6" ht="12.75" customHeight="1">
      <c r="F10804" s="32"/>
    </row>
    <row r="10805" spans="6:6" ht="12.75" customHeight="1">
      <c r="F10805" s="32"/>
    </row>
    <row r="10806" spans="6:6" ht="12.75" customHeight="1">
      <c r="F10806" s="32"/>
    </row>
    <row r="10807" spans="6:6" ht="12.75" customHeight="1">
      <c r="F10807" s="32"/>
    </row>
    <row r="10808" spans="6:6" ht="12.75" customHeight="1">
      <c r="F10808" s="32"/>
    </row>
    <row r="10809" spans="6:6" ht="12.75" customHeight="1">
      <c r="F10809" s="32"/>
    </row>
    <row r="10810" spans="6:6" ht="12.75" customHeight="1">
      <c r="F10810" s="32"/>
    </row>
    <row r="10811" spans="6:6" ht="12.75" customHeight="1">
      <c r="F10811" s="32"/>
    </row>
    <row r="10812" spans="6:6" ht="12.75" customHeight="1">
      <c r="F10812" s="32"/>
    </row>
    <row r="10813" spans="6:6" ht="12.75" customHeight="1">
      <c r="F10813" s="32"/>
    </row>
    <row r="10814" spans="6:6" ht="12.75" customHeight="1">
      <c r="F10814" s="32"/>
    </row>
    <row r="10815" spans="6:6" ht="12.75" customHeight="1">
      <c r="F10815" s="32"/>
    </row>
    <row r="10816" spans="6:6" ht="12.75" customHeight="1">
      <c r="F10816" s="32"/>
    </row>
    <row r="10817" spans="6:6" ht="12.75" customHeight="1">
      <c r="F10817" s="32"/>
    </row>
    <row r="10818" spans="6:6" ht="12.75" customHeight="1">
      <c r="F10818" s="32"/>
    </row>
    <row r="10819" spans="6:6" ht="12.75" customHeight="1">
      <c r="F10819" s="32"/>
    </row>
    <row r="10820" spans="6:6" ht="12.75" customHeight="1">
      <c r="F10820" s="32"/>
    </row>
    <row r="10821" spans="6:6" ht="12.75" customHeight="1">
      <c r="F10821" s="32"/>
    </row>
    <row r="10822" spans="6:6" ht="12.75" customHeight="1">
      <c r="F10822" s="32"/>
    </row>
    <row r="10823" spans="6:6" ht="12.75" customHeight="1">
      <c r="F10823" s="32"/>
    </row>
    <row r="10824" spans="6:6" ht="12.75" customHeight="1">
      <c r="F10824" s="32"/>
    </row>
    <row r="10825" spans="6:6" ht="12.75" customHeight="1">
      <c r="F10825" s="32"/>
    </row>
    <row r="10826" spans="6:6" ht="12.75" customHeight="1">
      <c r="F10826" s="32"/>
    </row>
    <row r="10827" spans="6:6" ht="12.75" customHeight="1">
      <c r="F10827" s="32"/>
    </row>
    <row r="10828" spans="6:6" ht="12.75" customHeight="1">
      <c r="F10828" s="32"/>
    </row>
    <row r="10829" spans="6:6" ht="12.75" customHeight="1">
      <c r="F10829" s="32"/>
    </row>
    <row r="10830" spans="6:6" ht="12.75" customHeight="1">
      <c r="F10830" s="32"/>
    </row>
    <row r="10831" spans="6:6" ht="12.75" customHeight="1">
      <c r="F10831" s="32"/>
    </row>
    <row r="10832" spans="6:6" ht="12.75" customHeight="1">
      <c r="F10832" s="32"/>
    </row>
    <row r="10833" spans="6:6" ht="12.75" customHeight="1">
      <c r="F10833" s="32"/>
    </row>
    <row r="10834" spans="6:6" ht="12.75" customHeight="1">
      <c r="F10834" s="32"/>
    </row>
    <row r="10835" spans="6:6" ht="12.75" customHeight="1">
      <c r="F10835" s="32"/>
    </row>
    <row r="10836" spans="6:6" ht="12.75" customHeight="1">
      <c r="F10836" s="32"/>
    </row>
    <row r="10837" spans="6:6" ht="12.75" customHeight="1">
      <c r="F10837" s="32"/>
    </row>
    <row r="10838" spans="6:6" ht="12.75" customHeight="1">
      <c r="F10838" s="32"/>
    </row>
    <row r="10839" spans="6:6" ht="12.75" customHeight="1">
      <c r="F10839" s="32"/>
    </row>
    <row r="10840" spans="6:6" ht="12.75" customHeight="1">
      <c r="F10840" s="32"/>
    </row>
    <row r="10841" spans="6:6" ht="12.75" customHeight="1">
      <c r="F10841" s="32"/>
    </row>
    <row r="10842" spans="6:6" ht="12.75" customHeight="1">
      <c r="F10842" s="32"/>
    </row>
    <row r="10843" spans="6:6" ht="12.75" customHeight="1">
      <c r="F10843" s="32"/>
    </row>
    <row r="10844" spans="6:6" ht="12.75" customHeight="1">
      <c r="F10844" s="32"/>
    </row>
    <row r="10845" spans="6:6" ht="12.75" customHeight="1">
      <c r="F10845" s="32"/>
    </row>
    <row r="10846" spans="6:6" ht="12.75" customHeight="1">
      <c r="F10846" s="32"/>
    </row>
    <row r="10847" spans="6:6" ht="12.75" customHeight="1">
      <c r="F10847" s="32"/>
    </row>
    <row r="10848" spans="6:6" ht="12.75" customHeight="1">
      <c r="F10848" s="32"/>
    </row>
    <row r="10849" spans="6:6" ht="12.75" customHeight="1">
      <c r="F10849" s="32"/>
    </row>
    <row r="10850" spans="6:6" ht="12.75" customHeight="1">
      <c r="F10850" s="32"/>
    </row>
    <row r="10851" spans="6:6" ht="12.75" customHeight="1">
      <c r="F10851" s="32"/>
    </row>
    <row r="10852" spans="6:6" ht="12.75" customHeight="1">
      <c r="F10852" s="32"/>
    </row>
    <row r="10853" spans="6:6" ht="12.75" customHeight="1">
      <c r="F10853" s="32"/>
    </row>
    <row r="10854" spans="6:6" ht="12.75" customHeight="1">
      <c r="F10854" s="32"/>
    </row>
    <row r="10855" spans="6:6" ht="12.75" customHeight="1">
      <c r="F10855" s="32"/>
    </row>
    <row r="10856" spans="6:6" ht="12.75" customHeight="1">
      <c r="F10856" s="32"/>
    </row>
    <row r="10857" spans="6:6" ht="12.75" customHeight="1">
      <c r="F10857" s="32"/>
    </row>
    <row r="10858" spans="6:6" ht="12.75" customHeight="1">
      <c r="F10858" s="32"/>
    </row>
    <row r="10859" spans="6:6" ht="12.75" customHeight="1">
      <c r="F10859" s="32"/>
    </row>
    <row r="10860" spans="6:6" ht="12.75" customHeight="1">
      <c r="F10860" s="32"/>
    </row>
    <row r="10861" spans="6:6" ht="12.75" customHeight="1">
      <c r="F10861" s="32"/>
    </row>
    <row r="10862" spans="6:6" ht="12.75" customHeight="1">
      <c r="F10862" s="32"/>
    </row>
    <row r="10863" spans="6:6" ht="12.75" customHeight="1">
      <c r="F10863" s="32"/>
    </row>
    <row r="10864" spans="6:6" ht="12.75" customHeight="1">
      <c r="F10864" s="32"/>
    </row>
    <row r="10865" spans="6:6" ht="12.75" customHeight="1">
      <c r="F10865" s="32"/>
    </row>
    <row r="10866" spans="6:6" ht="12.75" customHeight="1">
      <c r="F10866" s="32"/>
    </row>
    <row r="10867" spans="6:6" ht="12.75" customHeight="1">
      <c r="F10867" s="32"/>
    </row>
    <row r="10868" spans="6:6" ht="12.75" customHeight="1">
      <c r="F10868" s="32"/>
    </row>
    <row r="10869" spans="6:6" ht="12.75" customHeight="1">
      <c r="F10869" s="32"/>
    </row>
    <row r="10870" spans="6:6" ht="12.75" customHeight="1">
      <c r="F10870" s="32"/>
    </row>
    <row r="10871" spans="6:6" ht="12.75" customHeight="1">
      <c r="F10871" s="32"/>
    </row>
    <row r="10872" spans="6:6" ht="12.75" customHeight="1">
      <c r="F10872" s="32"/>
    </row>
    <row r="10873" spans="6:6" ht="12.75" customHeight="1">
      <c r="F10873" s="32"/>
    </row>
    <row r="10874" spans="6:6" ht="12.75" customHeight="1">
      <c r="F10874" s="32"/>
    </row>
    <row r="10875" spans="6:6" ht="12.75" customHeight="1">
      <c r="F10875" s="32"/>
    </row>
    <row r="10876" spans="6:6" ht="12.75" customHeight="1">
      <c r="F10876" s="32"/>
    </row>
    <row r="10877" spans="6:6" ht="12.75" customHeight="1">
      <c r="F10877" s="32"/>
    </row>
    <row r="10878" spans="6:6" ht="12.75" customHeight="1">
      <c r="F10878" s="32"/>
    </row>
    <row r="10879" spans="6:6" ht="12.75" customHeight="1">
      <c r="F10879" s="32"/>
    </row>
    <row r="10880" spans="6:6" ht="12.75" customHeight="1">
      <c r="F10880" s="32"/>
    </row>
    <row r="10881" spans="6:6" ht="12.75" customHeight="1">
      <c r="F10881" s="32"/>
    </row>
    <row r="10882" spans="6:6" ht="12.75" customHeight="1">
      <c r="F10882" s="32"/>
    </row>
    <row r="10883" spans="6:6" ht="12.75" customHeight="1">
      <c r="F10883" s="32"/>
    </row>
    <row r="10884" spans="6:6" ht="12.75" customHeight="1">
      <c r="F10884" s="32"/>
    </row>
    <row r="10885" spans="6:6" ht="12.75" customHeight="1">
      <c r="F10885" s="32"/>
    </row>
    <row r="10886" spans="6:6" ht="12.75" customHeight="1">
      <c r="F10886" s="32"/>
    </row>
    <row r="10887" spans="6:6" ht="12.75" customHeight="1">
      <c r="F10887" s="32"/>
    </row>
    <row r="10888" spans="6:6" ht="12.75" customHeight="1">
      <c r="F10888" s="32"/>
    </row>
    <row r="10889" spans="6:6" ht="12.75" customHeight="1">
      <c r="F10889" s="32"/>
    </row>
    <row r="10890" spans="6:6" ht="12.75" customHeight="1">
      <c r="F10890" s="32"/>
    </row>
    <row r="10891" spans="6:6" ht="12.75" customHeight="1">
      <c r="F10891" s="32"/>
    </row>
    <row r="10892" spans="6:6" ht="12.75" customHeight="1">
      <c r="F10892" s="32"/>
    </row>
    <row r="10893" spans="6:6" ht="12.75" customHeight="1">
      <c r="F10893" s="32"/>
    </row>
    <row r="10894" spans="6:6" ht="12.75" customHeight="1">
      <c r="F10894" s="32"/>
    </row>
    <row r="10895" spans="6:6" ht="12.75" customHeight="1">
      <c r="F10895" s="32"/>
    </row>
    <row r="10896" spans="6:6" ht="12.75" customHeight="1">
      <c r="F10896" s="32"/>
    </row>
    <row r="10897" spans="6:6" ht="12.75" customHeight="1">
      <c r="F10897" s="32"/>
    </row>
    <row r="10898" spans="6:6" ht="12.75" customHeight="1">
      <c r="F10898" s="32"/>
    </row>
    <row r="10899" spans="6:6" ht="12.75" customHeight="1">
      <c r="F10899" s="32"/>
    </row>
    <row r="10900" spans="6:6" ht="12.75" customHeight="1">
      <c r="F10900" s="32"/>
    </row>
    <row r="10901" spans="6:6" ht="12.75" customHeight="1">
      <c r="F10901" s="32"/>
    </row>
    <row r="10902" spans="6:6" ht="12.75" customHeight="1">
      <c r="F10902" s="32"/>
    </row>
    <row r="10903" spans="6:6" ht="12.75" customHeight="1">
      <c r="F10903" s="32"/>
    </row>
    <row r="10904" spans="6:6" ht="12.75" customHeight="1">
      <c r="F10904" s="32"/>
    </row>
    <row r="10905" spans="6:6" ht="12.75" customHeight="1">
      <c r="F10905" s="32"/>
    </row>
    <row r="10906" spans="6:6" ht="12.75" customHeight="1">
      <c r="F10906" s="32"/>
    </row>
    <row r="10907" spans="6:6" ht="12.75" customHeight="1">
      <c r="F10907" s="32"/>
    </row>
    <row r="10908" spans="6:6" ht="12.75" customHeight="1">
      <c r="F10908" s="32"/>
    </row>
    <row r="10909" spans="6:6" ht="12.75" customHeight="1">
      <c r="F10909" s="32"/>
    </row>
    <row r="10910" spans="6:6" ht="12.75" customHeight="1">
      <c r="F10910" s="32"/>
    </row>
    <row r="10911" spans="6:6" ht="12.75" customHeight="1">
      <c r="F10911" s="32"/>
    </row>
    <row r="10912" spans="6:6" ht="12.75" customHeight="1">
      <c r="F10912" s="32"/>
    </row>
    <row r="10913" spans="6:6" ht="12.75" customHeight="1">
      <c r="F10913" s="32"/>
    </row>
    <row r="10914" spans="6:6" ht="12.75" customHeight="1">
      <c r="F10914" s="32"/>
    </row>
    <row r="10915" spans="6:6" ht="12.75" customHeight="1">
      <c r="F10915" s="32"/>
    </row>
    <row r="10916" spans="6:6" ht="12.75" customHeight="1">
      <c r="F10916" s="32"/>
    </row>
    <row r="10917" spans="6:6" ht="12.75" customHeight="1">
      <c r="F10917" s="32"/>
    </row>
    <row r="10918" spans="6:6" ht="12.75" customHeight="1">
      <c r="F10918" s="32"/>
    </row>
    <row r="10919" spans="6:6" ht="12.75" customHeight="1">
      <c r="F10919" s="32"/>
    </row>
    <row r="10920" spans="6:6" ht="12.75" customHeight="1">
      <c r="F10920" s="32"/>
    </row>
    <row r="10921" spans="6:6" ht="12.75" customHeight="1">
      <c r="F10921" s="32"/>
    </row>
    <row r="10922" spans="6:6" ht="12.75" customHeight="1">
      <c r="F10922" s="32"/>
    </row>
    <row r="10923" spans="6:6" ht="12.75" customHeight="1">
      <c r="F10923" s="32"/>
    </row>
    <row r="10924" spans="6:6" ht="12.75" customHeight="1">
      <c r="F10924" s="32"/>
    </row>
    <row r="10925" spans="6:6" ht="12.75" customHeight="1">
      <c r="F10925" s="32"/>
    </row>
    <row r="10926" spans="6:6" ht="12.75" customHeight="1">
      <c r="F10926" s="32"/>
    </row>
    <row r="10927" spans="6:6" ht="12.75" customHeight="1">
      <c r="F10927" s="32"/>
    </row>
    <row r="10928" spans="6:6" ht="12.75" customHeight="1">
      <c r="F10928" s="32"/>
    </row>
    <row r="10929" spans="6:6" ht="12.75" customHeight="1">
      <c r="F10929" s="32"/>
    </row>
    <row r="10930" spans="6:6" ht="12.75" customHeight="1">
      <c r="F10930" s="32"/>
    </row>
    <row r="10931" spans="6:6" ht="12.75" customHeight="1">
      <c r="F10931" s="32"/>
    </row>
    <row r="10932" spans="6:6" ht="12.75" customHeight="1">
      <c r="F10932" s="32"/>
    </row>
    <row r="10933" spans="6:6" ht="12.75" customHeight="1">
      <c r="F10933" s="32"/>
    </row>
    <row r="10934" spans="6:6" ht="12.75" customHeight="1">
      <c r="F10934" s="32"/>
    </row>
    <row r="10935" spans="6:6" ht="12.75" customHeight="1">
      <c r="F10935" s="32"/>
    </row>
    <row r="10936" spans="6:6" ht="12.75" customHeight="1">
      <c r="F10936" s="32"/>
    </row>
    <row r="10937" spans="6:6" ht="12.75" customHeight="1">
      <c r="F10937" s="32"/>
    </row>
    <row r="10938" spans="6:6" ht="12.75" customHeight="1">
      <c r="F10938" s="32"/>
    </row>
    <row r="10939" spans="6:6" ht="12.75" customHeight="1">
      <c r="F10939" s="32"/>
    </row>
    <row r="10940" spans="6:6" ht="12.75" customHeight="1">
      <c r="F10940" s="32"/>
    </row>
    <row r="10941" spans="6:6" ht="12.75" customHeight="1">
      <c r="F10941" s="32"/>
    </row>
    <row r="10942" spans="6:6" ht="12.75" customHeight="1">
      <c r="F10942" s="32"/>
    </row>
    <row r="10943" spans="6:6" ht="12.75" customHeight="1">
      <c r="F10943" s="32"/>
    </row>
    <row r="10944" spans="6:6" ht="12.75" customHeight="1">
      <c r="F10944" s="32"/>
    </row>
    <row r="10945" spans="6:6" ht="12.75" customHeight="1">
      <c r="F10945" s="32"/>
    </row>
    <row r="10946" spans="6:6" ht="12.75" customHeight="1">
      <c r="F10946" s="32"/>
    </row>
    <row r="10947" spans="6:6" ht="12.75" customHeight="1">
      <c r="F10947" s="32"/>
    </row>
    <row r="10948" spans="6:6" ht="12.75" customHeight="1">
      <c r="F10948" s="32"/>
    </row>
    <row r="10949" spans="6:6" ht="12.75" customHeight="1">
      <c r="F10949" s="32"/>
    </row>
    <row r="10950" spans="6:6" ht="12.75" customHeight="1">
      <c r="F10950" s="32"/>
    </row>
    <row r="10951" spans="6:6" ht="12.75" customHeight="1">
      <c r="F10951" s="32"/>
    </row>
    <row r="10952" spans="6:6" ht="12.75" customHeight="1">
      <c r="F10952" s="32"/>
    </row>
    <row r="10953" spans="6:6" ht="12.75" customHeight="1">
      <c r="F10953" s="32"/>
    </row>
    <row r="10954" spans="6:6" ht="12.75" customHeight="1">
      <c r="F10954" s="32"/>
    </row>
    <row r="10955" spans="6:6" ht="12.75" customHeight="1">
      <c r="F10955" s="32"/>
    </row>
    <row r="10956" spans="6:6" ht="12.75" customHeight="1">
      <c r="F10956" s="32"/>
    </row>
    <row r="10957" spans="6:6" ht="12.75" customHeight="1">
      <c r="F10957" s="32"/>
    </row>
    <row r="10958" spans="6:6" ht="12.75" customHeight="1">
      <c r="F10958" s="32"/>
    </row>
    <row r="10959" spans="6:6" ht="12.75" customHeight="1">
      <c r="F10959" s="32"/>
    </row>
    <row r="10960" spans="6:6" ht="12.75" customHeight="1">
      <c r="F10960" s="32"/>
    </row>
    <row r="10961" spans="6:6" ht="12.75" customHeight="1">
      <c r="F10961" s="32"/>
    </row>
    <row r="10962" spans="6:6" ht="12.75" customHeight="1">
      <c r="F10962" s="32"/>
    </row>
    <row r="10963" spans="6:6" ht="12.75" customHeight="1">
      <c r="F10963" s="32"/>
    </row>
    <row r="10964" spans="6:6" ht="12.75" customHeight="1">
      <c r="F10964" s="32"/>
    </row>
    <row r="10965" spans="6:6" ht="12.75" customHeight="1">
      <c r="F10965" s="32"/>
    </row>
    <row r="10966" spans="6:6" ht="12.75" customHeight="1">
      <c r="F10966" s="32"/>
    </row>
    <row r="10967" spans="6:6" ht="12.75" customHeight="1">
      <c r="F10967" s="32"/>
    </row>
    <row r="10968" spans="6:6" ht="12.75" customHeight="1">
      <c r="F10968" s="32"/>
    </row>
    <row r="10969" spans="6:6" ht="12.75" customHeight="1">
      <c r="F10969" s="32"/>
    </row>
    <row r="10970" spans="6:6" ht="12.75" customHeight="1">
      <c r="F10970" s="32"/>
    </row>
    <row r="10971" spans="6:6" ht="12.75" customHeight="1">
      <c r="F10971" s="32"/>
    </row>
    <row r="10972" spans="6:6" ht="12.75" customHeight="1">
      <c r="F10972" s="32"/>
    </row>
    <row r="10973" spans="6:6" ht="12.75" customHeight="1">
      <c r="F10973" s="32"/>
    </row>
    <row r="10974" spans="6:6" ht="12.75" customHeight="1">
      <c r="F10974" s="32"/>
    </row>
    <row r="10975" spans="6:6" ht="12.75" customHeight="1">
      <c r="F10975" s="32"/>
    </row>
    <row r="10976" spans="6:6" ht="12.75" customHeight="1">
      <c r="F10976" s="32"/>
    </row>
    <row r="10977" spans="6:6" ht="12.75" customHeight="1">
      <c r="F10977" s="32"/>
    </row>
    <row r="10978" spans="6:6" ht="12.75" customHeight="1">
      <c r="F10978" s="32"/>
    </row>
    <row r="10979" spans="6:6" ht="12.75" customHeight="1">
      <c r="F10979" s="32"/>
    </row>
    <row r="10980" spans="6:6" ht="12.75" customHeight="1">
      <c r="F10980" s="32"/>
    </row>
    <row r="10981" spans="6:6" ht="12.75" customHeight="1">
      <c r="F10981" s="32"/>
    </row>
    <row r="10982" spans="6:6" ht="12.75" customHeight="1">
      <c r="F10982" s="32"/>
    </row>
    <row r="10983" spans="6:6" ht="12.75" customHeight="1">
      <c r="F10983" s="32"/>
    </row>
    <row r="10984" spans="6:6" ht="12.75" customHeight="1">
      <c r="F10984" s="32"/>
    </row>
    <row r="10985" spans="6:6" ht="12.75" customHeight="1">
      <c r="F10985" s="32"/>
    </row>
    <row r="10986" spans="6:6" ht="12.75" customHeight="1">
      <c r="F10986" s="32"/>
    </row>
    <row r="10987" spans="6:6" ht="12.75" customHeight="1">
      <c r="F10987" s="32"/>
    </row>
    <row r="10988" spans="6:6" ht="12.75" customHeight="1">
      <c r="F10988" s="32"/>
    </row>
    <row r="10989" spans="6:6" ht="12.75" customHeight="1">
      <c r="F10989" s="32"/>
    </row>
    <row r="10990" spans="6:6" ht="12.75" customHeight="1">
      <c r="F10990" s="32"/>
    </row>
    <row r="10991" spans="6:6" ht="12.75" customHeight="1">
      <c r="F10991" s="32"/>
    </row>
    <row r="10992" spans="6:6" ht="12.75" customHeight="1">
      <c r="F10992" s="32"/>
    </row>
    <row r="10993" spans="6:6" ht="12.75" customHeight="1">
      <c r="F10993" s="32"/>
    </row>
    <row r="10994" spans="6:6" ht="12.75" customHeight="1">
      <c r="F10994" s="32"/>
    </row>
    <row r="10995" spans="6:6" ht="12.75" customHeight="1">
      <c r="F10995" s="32"/>
    </row>
    <row r="10996" spans="6:6" ht="12.75" customHeight="1">
      <c r="F10996" s="32"/>
    </row>
    <row r="10997" spans="6:6" ht="12.75" customHeight="1">
      <c r="F10997" s="32"/>
    </row>
    <row r="10998" spans="6:6" ht="12.75" customHeight="1">
      <c r="F10998" s="32"/>
    </row>
    <row r="10999" spans="6:6" ht="12.75" customHeight="1">
      <c r="F10999" s="32"/>
    </row>
    <row r="11000" spans="6:6" ht="12.75" customHeight="1">
      <c r="F11000" s="32"/>
    </row>
    <row r="11001" spans="6:6" ht="12.75" customHeight="1">
      <c r="F11001" s="32"/>
    </row>
    <row r="11002" spans="6:6" ht="12.75" customHeight="1">
      <c r="F11002" s="32"/>
    </row>
    <row r="11003" spans="6:6" ht="12.75" customHeight="1">
      <c r="F11003" s="32"/>
    </row>
    <row r="11004" spans="6:6" ht="12.75" customHeight="1">
      <c r="F11004" s="32"/>
    </row>
    <row r="11005" spans="6:6" ht="12.75" customHeight="1">
      <c r="F11005" s="32"/>
    </row>
    <row r="11006" spans="6:6" ht="12.75" customHeight="1">
      <c r="F11006" s="32"/>
    </row>
    <row r="11007" spans="6:6" ht="12.75" customHeight="1">
      <c r="F11007" s="32"/>
    </row>
    <row r="11008" spans="6:6" ht="12.75" customHeight="1">
      <c r="F11008" s="32"/>
    </row>
    <row r="11009" spans="6:6" ht="12.75" customHeight="1">
      <c r="F11009" s="32"/>
    </row>
    <row r="11010" spans="6:6" ht="12.75" customHeight="1">
      <c r="F11010" s="32"/>
    </row>
    <row r="11011" spans="6:6" ht="12.75" customHeight="1">
      <c r="F11011" s="32"/>
    </row>
    <row r="11012" spans="6:6" ht="12.75" customHeight="1">
      <c r="F11012" s="32"/>
    </row>
    <row r="11013" spans="6:6" ht="12.75" customHeight="1">
      <c r="F11013" s="32"/>
    </row>
    <row r="11014" spans="6:6" ht="12.75" customHeight="1">
      <c r="F11014" s="32"/>
    </row>
    <row r="11015" spans="6:6" ht="12.75" customHeight="1">
      <c r="F11015" s="32"/>
    </row>
    <row r="11016" spans="6:6" ht="12.75" customHeight="1">
      <c r="F11016" s="32"/>
    </row>
    <row r="11017" spans="6:6" ht="12.75" customHeight="1">
      <c r="F11017" s="32"/>
    </row>
    <row r="11018" spans="6:6" ht="12.75" customHeight="1">
      <c r="F11018" s="32"/>
    </row>
    <row r="11019" spans="6:6" ht="12.75" customHeight="1">
      <c r="F11019" s="32"/>
    </row>
    <row r="11020" spans="6:6" ht="12.75" customHeight="1">
      <c r="F11020" s="32"/>
    </row>
    <row r="11021" spans="6:6" ht="12.75" customHeight="1">
      <c r="F11021" s="32"/>
    </row>
    <row r="11022" spans="6:6" ht="12.75" customHeight="1">
      <c r="F11022" s="32"/>
    </row>
    <row r="11023" spans="6:6" ht="12.75" customHeight="1">
      <c r="F11023" s="32"/>
    </row>
    <row r="11024" spans="6:6" ht="12.75" customHeight="1">
      <c r="F11024" s="32"/>
    </row>
    <row r="11025" spans="6:6" ht="12.75" customHeight="1">
      <c r="F11025" s="32"/>
    </row>
    <row r="11026" spans="6:6" ht="12.75" customHeight="1">
      <c r="F11026" s="32"/>
    </row>
    <row r="11027" spans="6:6" ht="12.75" customHeight="1">
      <c r="F11027" s="32"/>
    </row>
    <row r="11028" spans="6:6" ht="12.75" customHeight="1">
      <c r="F11028" s="32"/>
    </row>
    <row r="11029" spans="6:6" ht="12.75" customHeight="1">
      <c r="F11029" s="32"/>
    </row>
    <row r="11030" spans="6:6" ht="12.75" customHeight="1">
      <c r="F11030" s="32"/>
    </row>
    <row r="11031" spans="6:6" ht="12.75" customHeight="1">
      <c r="F11031" s="32"/>
    </row>
    <row r="11032" spans="6:6" ht="12.75" customHeight="1">
      <c r="F11032" s="32"/>
    </row>
    <row r="11033" spans="6:6" ht="12.75" customHeight="1">
      <c r="F11033" s="32"/>
    </row>
    <row r="11034" spans="6:6" ht="12.75" customHeight="1">
      <c r="F11034" s="32"/>
    </row>
    <row r="11035" spans="6:6" ht="12.75" customHeight="1">
      <c r="F11035" s="32"/>
    </row>
    <row r="11036" spans="6:6" ht="12.75" customHeight="1">
      <c r="F11036" s="32"/>
    </row>
    <row r="11037" spans="6:6" ht="12.75" customHeight="1">
      <c r="F11037" s="32"/>
    </row>
    <row r="11038" spans="6:6" ht="12.75" customHeight="1">
      <c r="F11038" s="32"/>
    </row>
    <row r="11039" spans="6:6" ht="12.75" customHeight="1">
      <c r="F11039" s="32"/>
    </row>
    <row r="11040" spans="6:6" ht="12.75" customHeight="1">
      <c r="F11040" s="32"/>
    </row>
    <row r="11041" spans="6:6" ht="12.75" customHeight="1">
      <c r="F11041" s="32"/>
    </row>
    <row r="11042" spans="6:6" ht="12.75" customHeight="1">
      <c r="F11042" s="32"/>
    </row>
    <row r="11043" spans="6:6" ht="12.75" customHeight="1">
      <c r="F11043" s="32"/>
    </row>
    <row r="11044" spans="6:6" ht="12.75" customHeight="1">
      <c r="F11044" s="32"/>
    </row>
    <row r="11045" spans="6:6" ht="12.75" customHeight="1">
      <c r="F11045" s="32"/>
    </row>
    <row r="11046" spans="6:6" ht="12.75" customHeight="1">
      <c r="F11046" s="32"/>
    </row>
    <row r="11047" spans="6:6" ht="12.75" customHeight="1">
      <c r="F11047" s="32"/>
    </row>
    <row r="11048" spans="6:6" ht="12.75" customHeight="1">
      <c r="F11048" s="32"/>
    </row>
    <row r="11049" spans="6:6" ht="12.75" customHeight="1">
      <c r="F11049" s="32"/>
    </row>
    <row r="11050" spans="6:6" ht="12.75" customHeight="1">
      <c r="F11050" s="32"/>
    </row>
    <row r="11051" spans="6:6" ht="12.75" customHeight="1">
      <c r="F11051" s="32"/>
    </row>
    <row r="11052" spans="6:6" ht="12.75" customHeight="1">
      <c r="F11052" s="32"/>
    </row>
    <row r="11053" spans="6:6" ht="12.75" customHeight="1">
      <c r="F11053" s="32"/>
    </row>
    <row r="11054" spans="6:6" ht="12.75" customHeight="1">
      <c r="F11054" s="32"/>
    </row>
    <row r="11055" spans="6:6" ht="12.75" customHeight="1">
      <c r="F11055" s="32"/>
    </row>
    <row r="11056" spans="6:6" ht="12.75" customHeight="1">
      <c r="F11056" s="32"/>
    </row>
    <row r="11057" spans="6:6" ht="12.75" customHeight="1">
      <c r="F11057" s="32"/>
    </row>
    <row r="11058" spans="6:6" ht="12.75" customHeight="1">
      <c r="F11058" s="32"/>
    </row>
    <row r="11059" spans="6:6" ht="12.75" customHeight="1">
      <c r="F11059" s="32"/>
    </row>
    <row r="11060" spans="6:6" ht="12.75" customHeight="1">
      <c r="F11060" s="32"/>
    </row>
    <row r="11061" spans="6:6" ht="12.75" customHeight="1">
      <c r="F11061" s="32"/>
    </row>
    <row r="11062" spans="6:6" ht="12.75" customHeight="1">
      <c r="F11062" s="32"/>
    </row>
    <row r="11063" spans="6:6" ht="12.75" customHeight="1">
      <c r="F11063" s="32"/>
    </row>
    <row r="11064" spans="6:6" ht="12.75" customHeight="1">
      <c r="F11064" s="32"/>
    </row>
    <row r="11065" spans="6:6" ht="12.75" customHeight="1">
      <c r="F11065" s="32"/>
    </row>
    <row r="11066" spans="6:6" ht="12.75" customHeight="1">
      <c r="F11066" s="32"/>
    </row>
    <row r="11067" spans="6:6" ht="12.75" customHeight="1">
      <c r="F11067" s="32"/>
    </row>
    <row r="11068" spans="6:6" ht="12.75" customHeight="1">
      <c r="F11068" s="32"/>
    </row>
    <row r="11069" spans="6:6" ht="12.75" customHeight="1">
      <c r="F11069" s="32"/>
    </row>
    <row r="11070" spans="6:6" ht="12.75" customHeight="1">
      <c r="F11070" s="32"/>
    </row>
    <row r="11071" spans="6:6" ht="12.75" customHeight="1">
      <c r="F11071" s="32"/>
    </row>
    <row r="11072" spans="6:6" ht="12.75" customHeight="1">
      <c r="F11072" s="32"/>
    </row>
    <row r="11073" spans="6:6" ht="12.75" customHeight="1">
      <c r="F11073" s="32"/>
    </row>
    <row r="11074" spans="6:6" ht="12.75" customHeight="1">
      <c r="F11074" s="32"/>
    </row>
    <row r="11075" spans="6:6" ht="12.75" customHeight="1">
      <c r="F11075" s="32"/>
    </row>
    <row r="11076" spans="6:6" ht="12.75" customHeight="1">
      <c r="F11076" s="32"/>
    </row>
    <row r="11077" spans="6:6" ht="12.75" customHeight="1">
      <c r="F11077" s="32"/>
    </row>
    <row r="11078" spans="6:6" ht="12.75" customHeight="1">
      <c r="F11078" s="32"/>
    </row>
    <row r="11079" spans="6:6" ht="12.75" customHeight="1">
      <c r="F11079" s="32"/>
    </row>
    <row r="11080" spans="6:6" ht="12.75" customHeight="1">
      <c r="F11080" s="32"/>
    </row>
    <row r="11081" spans="6:6" ht="12.75" customHeight="1">
      <c r="F11081" s="32"/>
    </row>
    <row r="11082" spans="6:6" ht="12.75" customHeight="1">
      <c r="F11082" s="32"/>
    </row>
    <row r="11083" spans="6:6" ht="12.75" customHeight="1">
      <c r="F11083" s="32"/>
    </row>
    <row r="11084" spans="6:6" ht="12.75" customHeight="1">
      <c r="F11084" s="32"/>
    </row>
    <row r="11085" spans="6:6" ht="12.75" customHeight="1">
      <c r="F11085" s="32"/>
    </row>
    <row r="11086" spans="6:6" ht="12.75" customHeight="1">
      <c r="F11086" s="32"/>
    </row>
    <row r="11087" spans="6:6" ht="12.75" customHeight="1">
      <c r="F11087" s="32"/>
    </row>
    <row r="11088" spans="6:6" ht="12.75" customHeight="1">
      <c r="F11088" s="32"/>
    </row>
    <row r="11089" spans="6:6" ht="12.75" customHeight="1">
      <c r="F11089" s="32"/>
    </row>
    <row r="11090" spans="6:6" ht="12.75" customHeight="1">
      <c r="F11090" s="32"/>
    </row>
    <row r="11091" spans="6:6" ht="12.75" customHeight="1">
      <c r="F11091" s="32"/>
    </row>
    <row r="11092" spans="6:6" ht="12.75" customHeight="1">
      <c r="F11092" s="32"/>
    </row>
    <row r="11093" spans="6:6" ht="12.75" customHeight="1">
      <c r="F11093" s="32"/>
    </row>
    <row r="11094" spans="6:6" ht="12.75" customHeight="1">
      <c r="F11094" s="32"/>
    </row>
    <row r="11095" spans="6:6" ht="12.75" customHeight="1">
      <c r="F11095" s="32"/>
    </row>
    <row r="11096" spans="6:6" ht="12.75" customHeight="1">
      <c r="F11096" s="32"/>
    </row>
    <row r="11097" spans="6:6" ht="12.75" customHeight="1">
      <c r="F11097" s="32"/>
    </row>
    <row r="11098" spans="6:6" ht="12.75" customHeight="1">
      <c r="F11098" s="32"/>
    </row>
    <row r="11099" spans="6:6" ht="12.75" customHeight="1">
      <c r="F11099" s="32"/>
    </row>
    <row r="11100" spans="6:6" ht="12.75" customHeight="1">
      <c r="F11100" s="32"/>
    </row>
    <row r="11101" spans="6:6" ht="12.75" customHeight="1">
      <c r="F11101" s="32"/>
    </row>
    <row r="11102" spans="6:6" ht="12.75" customHeight="1">
      <c r="F11102" s="32"/>
    </row>
    <row r="11103" spans="6:6" ht="12.75" customHeight="1">
      <c r="F11103" s="32"/>
    </row>
    <row r="11104" spans="6:6" ht="12.75" customHeight="1">
      <c r="F11104" s="32"/>
    </row>
    <row r="11105" spans="6:6" ht="12.75" customHeight="1">
      <c r="F11105" s="32"/>
    </row>
    <row r="11106" spans="6:6" ht="12.75" customHeight="1">
      <c r="F11106" s="32"/>
    </row>
    <row r="11107" spans="6:6" ht="12.75" customHeight="1">
      <c r="F11107" s="32"/>
    </row>
    <row r="11108" spans="6:6" ht="12.75" customHeight="1">
      <c r="F11108" s="32"/>
    </row>
    <row r="11109" spans="6:6" ht="12.75" customHeight="1">
      <c r="F11109" s="32"/>
    </row>
    <row r="11110" spans="6:6" ht="12.75" customHeight="1">
      <c r="F11110" s="32"/>
    </row>
    <row r="11111" spans="6:6" ht="12.75" customHeight="1">
      <c r="F11111" s="32"/>
    </row>
    <row r="11112" spans="6:6" ht="12.75" customHeight="1">
      <c r="F11112" s="32"/>
    </row>
    <row r="11113" spans="6:6" ht="12.75" customHeight="1">
      <c r="F11113" s="32"/>
    </row>
    <row r="11114" spans="6:6" ht="12.75" customHeight="1">
      <c r="F11114" s="32"/>
    </row>
    <row r="11115" spans="6:6" ht="12.75" customHeight="1">
      <c r="F11115" s="32"/>
    </row>
    <row r="11116" spans="6:6" ht="12.75" customHeight="1">
      <c r="F11116" s="32"/>
    </row>
    <row r="11117" spans="6:6" ht="12.75" customHeight="1">
      <c r="F11117" s="32"/>
    </row>
    <row r="11118" spans="6:6" ht="12.75" customHeight="1">
      <c r="F11118" s="32"/>
    </row>
    <row r="11119" spans="6:6" ht="12.75" customHeight="1">
      <c r="F11119" s="32"/>
    </row>
    <row r="11120" spans="6:6" ht="12.75" customHeight="1">
      <c r="F11120" s="32"/>
    </row>
    <row r="11121" spans="6:6" ht="12.75" customHeight="1">
      <c r="F11121" s="32"/>
    </row>
    <row r="11122" spans="6:6" ht="12.75" customHeight="1">
      <c r="F11122" s="32"/>
    </row>
    <row r="11123" spans="6:6" ht="12.75" customHeight="1">
      <c r="F11123" s="32"/>
    </row>
    <row r="11124" spans="6:6" ht="12.75" customHeight="1">
      <c r="F11124" s="32"/>
    </row>
    <row r="11125" spans="6:6" ht="12.75" customHeight="1">
      <c r="F11125" s="32"/>
    </row>
    <row r="11126" spans="6:6" ht="12.75" customHeight="1">
      <c r="F11126" s="32"/>
    </row>
    <row r="11127" spans="6:6" ht="12.75" customHeight="1">
      <c r="F11127" s="32"/>
    </row>
    <row r="11128" spans="6:6" ht="12.75" customHeight="1">
      <c r="F11128" s="32"/>
    </row>
    <row r="11129" spans="6:6" ht="12.75" customHeight="1">
      <c r="F11129" s="32"/>
    </row>
    <row r="11130" spans="6:6" ht="12.75" customHeight="1">
      <c r="F11130" s="32"/>
    </row>
    <row r="11131" spans="6:6" ht="12.75" customHeight="1">
      <c r="F11131" s="32"/>
    </row>
    <row r="11132" spans="6:6" ht="12.75" customHeight="1">
      <c r="F11132" s="32"/>
    </row>
    <row r="11133" spans="6:6" ht="12.75" customHeight="1">
      <c r="F11133" s="32"/>
    </row>
    <row r="11134" spans="6:6" ht="12.75" customHeight="1">
      <c r="F11134" s="32"/>
    </row>
    <row r="11135" spans="6:6" ht="12.75" customHeight="1">
      <c r="F11135" s="32"/>
    </row>
    <row r="11136" spans="6:6" ht="12.75" customHeight="1">
      <c r="F11136" s="32"/>
    </row>
    <row r="11137" spans="6:6" ht="12.75" customHeight="1">
      <c r="F11137" s="32"/>
    </row>
    <row r="11138" spans="6:6" ht="12.75" customHeight="1">
      <c r="F11138" s="32"/>
    </row>
    <row r="11139" spans="6:6" ht="12.75" customHeight="1">
      <c r="F11139" s="32"/>
    </row>
    <row r="11140" spans="6:6" ht="12.75" customHeight="1">
      <c r="F11140" s="32"/>
    </row>
    <row r="11141" spans="6:6" ht="12.75" customHeight="1">
      <c r="F11141" s="32"/>
    </row>
    <row r="11142" spans="6:6" ht="12.75" customHeight="1">
      <c r="F11142" s="32"/>
    </row>
    <row r="11143" spans="6:6" ht="12.75" customHeight="1">
      <c r="F11143" s="32"/>
    </row>
    <row r="11144" spans="6:6" ht="12.75" customHeight="1">
      <c r="F11144" s="32"/>
    </row>
    <row r="11145" spans="6:6" ht="12.75" customHeight="1">
      <c r="F11145" s="32"/>
    </row>
    <row r="11146" spans="6:6" ht="12.75" customHeight="1">
      <c r="F11146" s="32"/>
    </row>
    <row r="11147" spans="6:6" ht="12.75" customHeight="1">
      <c r="F11147" s="32"/>
    </row>
    <row r="11148" spans="6:6" ht="12.75" customHeight="1">
      <c r="F11148" s="32"/>
    </row>
    <row r="11149" spans="6:6" ht="12.75" customHeight="1">
      <c r="F11149" s="32"/>
    </row>
    <row r="11150" spans="6:6" ht="12.75" customHeight="1">
      <c r="F11150" s="32"/>
    </row>
    <row r="11151" spans="6:6" ht="12.75" customHeight="1">
      <c r="F11151" s="32"/>
    </row>
    <row r="11152" spans="6:6" ht="12.75" customHeight="1">
      <c r="F11152" s="32"/>
    </row>
    <row r="11153" spans="6:6" ht="12.75" customHeight="1">
      <c r="F11153" s="32"/>
    </row>
    <row r="11154" spans="6:6" ht="12.75" customHeight="1">
      <c r="F11154" s="32"/>
    </row>
    <row r="11155" spans="6:6" ht="12.75" customHeight="1">
      <c r="F11155" s="32"/>
    </row>
    <row r="11156" spans="6:6" ht="12.75" customHeight="1">
      <c r="F11156" s="32"/>
    </row>
    <row r="11157" spans="6:6" ht="12.75" customHeight="1">
      <c r="F11157" s="32"/>
    </row>
    <row r="11158" spans="6:6" ht="12.75" customHeight="1">
      <c r="F11158" s="32"/>
    </row>
    <row r="11159" spans="6:6" ht="12.75" customHeight="1">
      <c r="F11159" s="32"/>
    </row>
    <row r="11160" spans="6:6" ht="12.75" customHeight="1">
      <c r="F11160" s="32"/>
    </row>
    <row r="11161" spans="6:6" ht="12.75" customHeight="1">
      <c r="F11161" s="32"/>
    </row>
    <row r="11162" spans="6:6" ht="12.75" customHeight="1">
      <c r="F11162" s="32"/>
    </row>
    <row r="11163" spans="6:6" ht="12.75" customHeight="1">
      <c r="F11163" s="32"/>
    </row>
    <row r="11164" spans="6:6" ht="12.75" customHeight="1">
      <c r="F11164" s="32"/>
    </row>
    <row r="11165" spans="6:6" ht="12.75" customHeight="1">
      <c r="F11165" s="32"/>
    </row>
    <row r="11166" spans="6:6" ht="12.75" customHeight="1">
      <c r="F11166" s="32"/>
    </row>
    <row r="11167" spans="6:6" ht="12.75" customHeight="1">
      <c r="F11167" s="32"/>
    </row>
    <row r="11168" spans="6:6" ht="12.75" customHeight="1">
      <c r="F11168" s="32"/>
    </row>
    <row r="11169" spans="6:6" ht="12.75" customHeight="1">
      <c r="F11169" s="32"/>
    </row>
    <row r="11170" spans="6:6" ht="12.75" customHeight="1">
      <c r="F11170" s="32"/>
    </row>
    <row r="11171" spans="6:6" ht="12.75" customHeight="1">
      <c r="F11171" s="32"/>
    </row>
    <row r="11172" spans="6:6" ht="12.75" customHeight="1">
      <c r="F11172" s="32"/>
    </row>
    <row r="11173" spans="6:6" ht="12.75" customHeight="1">
      <c r="F11173" s="32"/>
    </row>
    <row r="11174" spans="6:6" ht="12.75" customHeight="1">
      <c r="F11174" s="32"/>
    </row>
    <row r="11175" spans="6:6" ht="12.75" customHeight="1">
      <c r="F11175" s="32"/>
    </row>
    <row r="11176" spans="6:6" ht="12.75" customHeight="1">
      <c r="F11176" s="32"/>
    </row>
    <row r="11177" spans="6:6" ht="12.75" customHeight="1">
      <c r="F11177" s="32"/>
    </row>
    <row r="11178" spans="6:6" ht="12.75" customHeight="1">
      <c r="F11178" s="32"/>
    </row>
    <row r="11179" spans="6:6" ht="12.75" customHeight="1">
      <c r="F11179" s="32"/>
    </row>
    <row r="11180" spans="6:6" ht="12.75" customHeight="1">
      <c r="F11180" s="32"/>
    </row>
    <row r="11181" spans="6:6" ht="12.75" customHeight="1">
      <c r="F11181" s="32"/>
    </row>
    <row r="11182" spans="6:6" ht="12.75" customHeight="1">
      <c r="F11182" s="32"/>
    </row>
    <row r="11183" spans="6:6" ht="12.75" customHeight="1">
      <c r="F11183" s="32"/>
    </row>
    <row r="11184" spans="6:6" ht="12.75" customHeight="1">
      <c r="F11184" s="32"/>
    </row>
    <row r="11185" spans="6:6" ht="12.75" customHeight="1">
      <c r="F11185" s="32"/>
    </row>
    <row r="11186" spans="6:6" ht="12.75" customHeight="1">
      <c r="F11186" s="32"/>
    </row>
    <row r="11187" spans="6:6" ht="12.75" customHeight="1">
      <c r="F11187" s="32"/>
    </row>
    <row r="11188" spans="6:6" ht="12.75" customHeight="1">
      <c r="F11188" s="32"/>
    </row>
    <row r="11189" spans="6:6" ht="12.75" customHeight="1">
      <c r="F11189" s="32"/>
    </row>
    <row r="11190" spans="6:6" ht="12.75" customHeight="1">
      <c r="F11190" s="32"/>
    </row>
    <row r="11191" spans="6:6" ht="12.75" customHeight="1">
      <c r="F11191" s="32"/>
    </row>
    <row r="11192" spans="6:6" ht="12.75" customHeight="1">
      <c r="F11192" s="32"/>
    </row>
    <row r="11193" spans="6:6" ht="12.75" customHeight="1">
      <c r="F11193" s="32"/>
    </row>
    <row r="11194" spans="6:6" ht="12.75" customHeight="1">
      <c r="F11194" s="32"/>
    </row>
    <row r="11195" spans="6:6" ht="12.75" customHeight="1">
      <c r="F11195" s="32"/>
    </row>
    <row r="11196" spans="6:6" ht="12.75" customHeight="1">
      <c r="F11196" s="32"/>
    </row>
    <row r="11197" spans="6:6" ht="12.75" customHeight="1">
      <c r="F11197" s="32"/>
    </row>
    <row r="11198" spans="6:6" ht="12.75" customHeight="1">
      <c r="F11198" s="32"/>
    </row>
    <row r="11199" spans="6:6" ht="12.75" customHeight="1">
      <c r="F11199" s="32"/>
    </row>
    <row r="11200" spans="6:6" ht="12.75" customHeight="1">
      <c r="F11200" s="32"/>
    </row>
    <row r="11201" spans="6:6" ht="12.75" customHeight="1">
      <c r="F11201" s="32"/>
    </row>
    <row r="11202" spans="6:6" ht="12.75" customHeight="1">
      <c r="F11202" s="32"/>
    </row>
    <row r="11203" spans="6:6" ht="12.75" customHeight="1">
      <c r="F11203" s="32"/>
    </row>
    <row r="11204" spans="6:6" ht="12.75" customHeight="1">
      <c r="F11204" s="32"/>
    </row>
    <row r="11205" spans="6:6" ht="12.75" customHeight="1">
      <c r="F11205" s="32"/>
    </row>
    <row r="11206" spans="6:6" ht="12.75" customHeight="1">
      <c r="F11206" s="32"/>
    </row>
    <row r="11207" spans="6:6" ht="12.75" customHeight="1">
      <c r="F11207" s="32"/>
    </row>
    <row r="11208" spans="6:6" ht="12.75" customHeight="1">
      <c r="F11208" s="32"/>
    </row>
    <row r="11209" spans="6:6" ht="12.75" customHeight="1">
      <c r="F11209" s="32"/>
    </row>
    <row r="11210" spans="6:6" ht="12.75" customHeight="1">
      <c r="F11210" s="32"/>
    </row>
    <row r="11211" spans="6:6" ht="12.75" customHeight="1">
      <c r="F11211" s="32"/>
    </row>
    <row r="11212" spans="6:6" ht="12.75" customHeight="1">
      <c r="F11212" s="32"/>
    </row>
    <row r="11213" spans="6:6" ht="12.75" customHeight="1">
      <c r="F11213" s="32"/>
    </row>
    <row r="11214" spans="6:6" ht="12.75" customHeight="1">
      <c r="F11214" s="32"/>
    </row>
    <row r="11215" spans="6:6" ht="12.75" customHeight="1">
      <c r="F11215" s="32"/>
    </row>
    <row r="11216" spans="6:6" ht="12.75" customHeight="1">
      <c r="F11216" s="32"/>
    </row>
    <row r="11217" spans="6:6" ht="12.75" customHeight="1">
      <c r="F11217" s="32"/>
    </row>
    <row r="11218" spans="6:6" ht="12.75" customHeight="1">
      <c r="F11218" s="32"/>
    </row>
    <row r="11219" spans="6:6" ht="12.75" customHeight="1">
      <c r="F11219" s="32"/>
    </row>
    <row r="11220" spans="6:6" ht="12.75" customHeight="1">
      <c r="F11220" s="32"/>
    </row>
    <row r="11221" spans="6:6" ht="12.75" customHeight="1">
      <c r="F11221" s="32"/>
    </row>
    <row r="11222" spans="6:6" ht="12.75" customHeight="1">
      <c r="F11222" s="32"/>
    </row>
    <row r="11223" spans="6:6" ht="12.75" customHeight="1">
      <c r="F11223" s="32"/>
    </row>
    <row r="11224" spans="6:6" ht="12.75" customHeight="1">
      <c r="F11224" s="32"/>
    </row>
    <row r="11225" spans="6:6" ht="12.75" customHeight="1">
      <c r="F11225" s="32"/>
    </row>
    <row r="11226" spans="6:6" ht="12.75" customHeight="1">
      <c r="F11226" s="32"/>
    </row>
    <row r="11227" spans="6:6" ht="12.75" customHeight="1">
      <c r="F11227" s="32"/>
    </row>
    <row r="11228" spans="6:6" ht="12.75" customHeight="1">
      <c r="F11228" s="32"/>
    </row>
    <row r="11229" spans="6:6" ht="12.75" customHeight="1">
      <c r="F11229" s="32"/>
    </row>
    <row r="11230" spans="6:6" ht="12.75" customHeight="1">
      <c r="F11230" s="32"/>
    </row>
    <row r="11231" spans="6:6" ht="12.75" customHeight="1">
      <c r="F11231" s="32"/>
    </row>
    <row r="11232" spans="6:6" ht="12.75" customHeight="1">
      <c r="F11232" s="32"/>
    </row>
    <row r="11233" spans="6:6" ht="12.75" customHeight="1">
      <c r="F11233" s="32"/>
    </row>
    <row r="11234" spans="6:6" ht="12.75" customHeight="1">
      <c r="F11234" s="32"/>
    </row>
    <row r="11235" spans="6:6" ht="12.75" customHeight="1">
      <c r="F11235" s="32"/>
    </row>
    <row r="11236" spans="6:6" ht="12.75" customHeight="1">
      <c r="F11236" s="32"/>
    </row>
    <row r="11237" spans="6:6" ht="12.75" customHeight="1">
      <c r="F11237" s="32"/>
    </row>
    <row r="11238" spans="6:6" ht="12.75" customHeight="1">
      <c r="F11238" s="32"/>
    </row>
    <row r="11239" spans="6:6" ht="12.75" customHeight="1">
      <c r="F11239" s="32"/>
    </row>
    <row r="11240" spans="6:6" ht="12.75" customHeight="1">
      <c r="F11240" s="32"/>
    </row>
    <row r="11241" spans="6:6" ht="12.75" customHeight="1">
      <c r="F11241" s="32"/>
    </row>
    <row r="11242" spans="6:6" ht="12.75" customHeight="1">
      <c r="F11242" s="32"/>
    </row>
    <row r="11243" spans="6:6" ht="12.75" customHeight="1">
      <c r="F11243" s="32"/>
    </row>
    <row r="11244" spans="6:6" ht="12.75" customHeight="1">
      <c r="F11244" s="32"/>
    </row>
    <row r="11245" spans="6:6" ht="12.75" customHeight="1">
      <c r="F11245" s="32"/>
    </row>
    <row r="11246" spans="6:6" ht="12.75" customHeight="1">
      <c r="F11246" s="32"/>
    </row>
    <row r="11247" spans="6:6" ht="12.75" customHeight="1">
      <c r="F11247" s="32"/>
    </row>
    <row r="11248" spans="6:6" ht="12.75" customHeight="1">
      <c r="F11248" s="32"/>
    </row>
    <row r="11249" spans="6:6" ht="12.75" customHeight="1">
      <c r="F11249" s="32"/>
    </row>
    <row r="11250" spans="6:6" ht="12.75" customHeight="1">
      <c r="F11250" s="32"/>
    </row>
    <row r="11251" spans="6:6" ht="12.75" customHeight="1">
      <c r="F11251" s="32"/>
    </row>
    <row r="11252" spans="6:6" ht="12.75" customHeight="1">
      <c r="F11252" s="32"/>
    </row>
    <row r="11253" spans="6:6" ht="12.75" customHeight="1">
      <c r="F11253" s="32"/>
    </row>
    <row r="11254" spans="6:6" ht="12.75" customHeight="1">
      <c r="F11254" s="32"/>
    </row>
    <row r="11255" spans="6:6" ht="12.75" customHeight="1">
      <c r="F11255" s="32"/>
    </row>
    <row r="11256" spans="6:6" ht="12.75" customHeight="1">
      <c r="F11256" s="32"/>
    </row>
    <row r="11257" spans="6:6" ht="12.75" customHeight="1">
      <c r="F11257" s="32"/>
    </row>
    <row r="11258" spans="6:6" ht="12.75" customHeight="1">
      <c r="F11258" s="32"/>
    </row>
    <row r="11259" spans="6:6" ht="12.75" customHeight="1">
      <c r="F11259" s="32"/>
    </row>
    <row r="11260" spans="6:6" ht="12.75" customHeight="1">
      <c r="F11260" s="32"/>
    </row>
    <row r="11261" spans="6:6" ht="12.75" customHeight="1">
      <c r="F11261" s="32"/>
    </row>
    <row r="11262" spans="6:6" ht="12.75" customHeight="1">
      <c r="F11262" s="32"/>
    </row>
    <row r="11263" spans="6:6" ht="12.75" customHeight="1">
      <c r="F11263" s="32"/>
    </row>
    <row r="11264" spans="6:6" ht="12.75" customHeight="1">
      <c r="F11264" s="32"/>
    </row>
    <row r="11265" spans="6:6" ht="12.75" customHeight="1">
      <c r="F11265" s="32"/>
    </row>
    <row r="11266" spans="6:6" ht="12.75" customHeight="1">
      <c r="F11266" s="32"/>
    </row>
    <row r="11267" spans="6:6" ht="12.75" customHeight="1">
      <c r="F11267" s="32"/>
    </row>
    <row r="11268" spans="6:6" ht="12.75" customHeight="1">
      <c r="F11268" s="32"/>
    </row>
    <row r="11269" spans="6:6" ht="12.75" customHeight="1">
      <c r="F11269" s="32"/>
    </row>
    <row r="11270" spans="6:6" ht="12.75" customHeight="1">
      <c r="F11270" s="32"/>
    </row>
    <row r="11271" spans="6:6" ht="12.75" customHeight="1">
      <c r="F11271" s="32"/>
    </row>
    <row r="11272" spans="6:6" ht="12.75" customHeight="1">
      <c r="F11272" s="32"/>
    </row>
    <row r="11273" spans="6:6" ht="12.75" customHeight="1">
      <c r="F11273" s="32"/>
    </row>
    <row r="11274" spans="6:6" ht="12.75" customHeight="1">
      <c r="F11274" s="32"/>
    </row>
    <row r="11275" spans="6:6" ht="12.75" customHeight="1">
      <c r="F11275" s="32"/>
    </row>
    <row r="11276" spans="6:6" ht="12.75" customHeight="1">
      <c r="F11276" s="32"/>
    </row>
    <row r="11277" spans="6:6" ht="12.75" customHeight="1">
      <c r="F11277" s="32"/>
    </row>
    <row r="11278" spans="6:6" ht="12.75" customHeight="1">
      <c r="F11278" s="32"/>
    </row>
    <row r="11279" spans="6:6" ht="12.75" customHeight="1">
      <c r="F11279" s="32"/>
    </row>
    <row r="11280" spans="6:6" ht="12.75" customHeight="1">
      <c r="F11280" s="32"/>
    </row>
    <row r="11281" spans="6:6" ht="12.75" customHeight="1">
      <c r="F11281" s="32"/>
    </row>
    <row r="11282" spans="6:6" ht="12.75" customHeight="1">
      <c r="F11282" s="32"/>
    </row>
    <row r="11283" spans="6:6" ht="12.75" customHeight="1">
      <c r="F11283" s="32"/>
    </row>
    <row r="11284" spans="6:6" ht="12.75" customHeight="1">
      <c r="F11284" s="32"/>
    </row>
    <row r="11285" spans="6:6" ht="12.75" customHeight="1">
      <c r="F11285" s="32"/>
    </row>
    <row r="11286" spans="6:6" ht="12.75" customHeight="1">
      <c r="F11286" s="32"/>
    </row>
    <row r="11287" spans="6:6" ht="12.75" customHeight="1">
      <c r="F11287" s="32"/>
    </row>
    <row r="11288" spans="6:6" ht="12.75" customHeight="1">
      <c r="F11288" s="32"/>
    </row>
    <row r="11289" spans="6:6" ht="12.75" customHeight="1">
      <c r="F11289" s="32"/>
    </row>
    <row r="11290" spans="6:6" ht="12.75" customHeight="1">
      <c r="F11290" s="32"/>
    </row>
    <row r="11291" spans="6:6" ht="12.75" customHeight="1">
      <c r="F11291" s="32"/>
    </row>
    <row r="11292" spans="6:6" ht="12.75" customHeight="1">
      <c r="F11292" s="32"/>
    </row>
    <row r="11293" spans="6:6" ht="12.75" customHeight="1">
      <c r="F11293" s="32"/>
    </row>
    <row r="11294" spans="6:6" ht="12.75" customHeight="1">
      <c r="F11294" s="32"/>
    </row>
    <row r="11295" spans="6:6" ht="12.75" customHeight="1">
      <c r="F11295" s="32"/>
    </row>
    <row r="11296" spans="6:6" ht="12.75" customHeight="1">
      <c r="F11296" s="32"/>
    </row>
    <row r="11297" spans="6:6" ht="12.75" customHeight="1">
      <c r="F11297" s="32"/>
    </row>
    <row r="11298" spans="6:6" ht="12.75" customHeight="1">
      <c r="F11298" s="32"/>
    </row>
    <row r="11299" spans="6:6" ht="12.75" customHeight="1">
      <c r="F11299" s="32"/>
    </row>
    <row r="11300" spans="6:6" ht="12.75" customHeight="1">
      <c r="F11300" s="32"/>
    </row>
    <row r="11301" spans="6:6" ht="12.75" customHeight="1">
      <c r="F11301" s="32"/>
    </row>
    <row r="11302" spans="6:6" ht="12.75" customHeight="1">
      <c r="F11302" s="32"/>
    </row>
    <row r="11303" spans="6:6" ht="12.75" customHeight="1">
      <c r="F11303" s="32"/>
    </row>
    <row r="11304" spans="6:6" ht="12.75" customHeight="1">
      <c r="F11304" s="32"/>
    </row>
    <row r="11305" spans="6:6" ht="12.75" customHeight="1">
      <c r="F11305" s="32"/>
    </row>
    <row r="11306" spans="6:6" ht="12.75" customHeight="1">
      <c r="F11306" s="32"/>
    </row>
    <row r="11307" spans="6:6" ht="12.75" customHeight="1">
      <c r="F11307" s="32"/>
    </row>
    <row r="11308" spans="6:6" ht="12.75" customHeight="1">
      <c r="F11308" s="32"/>
    </row>
    <row r="11309" spans="6:6" ht="12.75" customHeight="1">
      <c r="F11309" s="32"/>
    </row>
    <row r="11310" spans="6:6" ht="12.75" customHeight="1">
      <c r="F11310" s="32"/>
    </row>
    <row r="11311" spans="6:6" ht="12.75" customHeight="1">
      <c r="F11311" s="32"/>
    </row>
    <row r="11312" spans="6:6" ht="12.75" customHeight="1">
      <c r="F11312" s="32"/>
    </row>
    <row r="11313" spans="6:6" ht="12.75" customHeight="1">
      <c r="F11313" s="32"/>
    </row>
    <row r="11314" spans="6:6" ht="12.75" customHeight="1">
      <c r="F11314" s="32"/>
    </row>
    <row r="11315" spans="6:6" ht="12.75" customHeight="1">
      <c r="F11315" s="32"/>
    </row>
    <row r="11316" spans="6:6" ht="12.75" customHeight="1">
      <c r="F11316" s="32"/>
    </row>
    <row r="11317" spans="6:6" ht="12.75" customHeight="1">
      <c r="F11317" s="32"/>
    </row>
    <row r="11318" spans="6:6" ht="12.75" customHeight="1">
      <c r="F11318" s="32"/>
    </row>
    <row r="11319" spans="6:6" ht="12.75" customHeight="1">
      <c r="F11319" s="32"/>
    </row>
    <row r="11320" spans="6:6" ht="12.75" customHeight="1">
      <c r="F11320" s="32"/>
    </row>
    <row r="11321" spans="6:6" ht="12.75" customHeight="1">
      <c r="F11321" s="32"/>
    </row>
    <row r="11322" spans="6:6" ht="12.75" customHeight="1">
      <c r="F11322" s="32"/>
    </row>
    <row r="11323" spans="6:6" ht="12.75" customHeight="1">
      <c r="F11323" s="32"/>
    </row>
    <row r="11324" spans="6:6" ht="12.75" customHeight="1">
      <c r="F11324" s="32"/>
    </row>
    <row r="11325" spans="6:6" ht="12.75" customHeight="1">
      <c r="F11325" s="32"/>
    </row>
    <row r="11326" spans="6:6" ht="12.75" customHeight="1">
      <c r="F11326" s="32"/>
    </row>
    <row r="11327" spans="6:6" ht="12.75" customHeight="1">
      <c r="F11327" s="32"/>
    </row>
    <row r="11328" spans="6:6" ht="12.75" customHeight="1">
      <c r="F11328" s="32"/>
    </row>
    <row r="11329" spans="6:6" ht="12.75" customHeight="1">
      <c r="F11329" s="32"/>
    </row>
    <row r="11330" spans="6:6" ht="12.75" customHeight="1">
      <c r="F11330" s="32"/>
    </row>
    <row r="11331" spans="6:6" ht="12.75" customHeight="1">
      <c r="F11331" s="32"/>
    </row>
    <row r="11332" spans="6:6" ht="12.75" customHeight="1">
      <c r="F11332" s="32"/>
    </row>
    <row r="11333" spans="6:6" ht="12.75" customHeight="1">
      <c r="F11333" s="32"/>
    </row>
    <row r="11334" spans="6:6" ht="12.75" customHeight="1">
      <c r="F11334" s="32"/>
    </row>
    <row r="11335" spans="6:6" ht="12.75" customHeight="1">
      <c r="F11335" s="32"/>
    </row>
    <row r="11336" spans="6:6" ht="12.75" customHeight="1">
      <c r="F11336" s="32"/>
    </row>
    <row r="11337" spans="6:6" ht="12.75" customHeight="1">
      <c r="F11337" s="32"/>
    </row>
    <row r="11338" spans="6:6" ht="12.75" customHeight="1">
      <c r="F11338" s="32"/>
    </row>
    <row r="11339" spans="6:6" ht="12.75" customHeight="1">
      <c r="F11339" s="32"/>
    </row>
    <row r="11340" spans="6:6" ht="12.75" customHeight="1">
      <c r="F11340" s="32"/>
    </row>
    <row r="11341" spans="6:6" ht="12.75" customHeight="1">
      <c r="F11341" s="32"/>
    </row>
    <row r="11342" spans="6:6" ht="12.75" customHeight="1">
      <c r="F11342" s="32"/>
    </row>
    <row r="11343" spans="6:6" ht="12.75" customHeight="1">
      <c r="F11343" s="32"/>
    </row>
    <row r="11344" spans="6:6" ht="12.75" customHeight="1">
      <c r="F11344" s="32"/>
    </row>
    <row r="11345" spans="6:6" ht="12.75" customHeight="1">
      <c r="F11345" s="32"/>
    </row>
    <row r="11346" spans="6:6" ht="12.75" customHeight="1">
      <c r="F11346" s="32"/>
    </row>
    <row r="11347" spans="6:6" ht="12.75" customHeight="1">
      <c r="F11347" s="32"/>
    </row>
    <row r="11348" spans="6:6" ht="12.75" customHeight="1">
      <c r="F11348" s="32"/>
    </row>
    <row r="11349" spans="6:6" ht="12.75" customHeight="1">
      <c r="F11349" s="32"/>
    </row>
    <row r="11350" spans="6:6" ht="12.75" customHeight="1">
      <c r="F11350" s="32"/>
    </row>
    <row r="11351" spans="6:6" ht="12.75" customHeight="1">
      <c r="F11351" s="32"/>
    </row>
    <row r="11352" spans="6:6" ht="12.75" customHeight="1">
      <c r="F11352" s="32"/>
    </row>
    <row r="11353" spans="6:6" ht="12.75" customHeight="1">
      <c r="F11353" s="32"/>
    </row>
    <row r="11354" spans="6:6" ht="12.75" customHeight="1">
      <c r="F11354" s="32"/>
    </row>
    <row r="11355" spans="6:6" ht="12.75" customHeight="1">
      <c r="F11355" s="32"/>
    </row>
    <row r="11356" spans="6:6" ht="12.75" customHeight="1">
      <c r="F11356" s="32"/>
    </row>
    <row r="11357" spans="6:6" ht="12.75" customHeight="1">
      <c r="F11357" s="32"/>
    </row>
    <row r="11358" spans="6:6" ht="12.75" customHeight="1">
      <c r="F11358" s="32"/>
    </row>
    <row r="11359" spans="6:6" ht="12.75" customHeight="1">
      <c r="F11359" s="32"/>
    </row>
    <row r="11360" spans="6:6" ht="12.75" customHeight="1">
      <c r="F11360" s="32"/>
    </row>
    <row r="11361" spans="6:6" ht="12.75" customHeight="1">
      <c r="F11361" s="32"/>
    </row>
    <row r="11362" spans="6:6" ht="12.75" customHeight="1">
      <c r="F11362" s="32"/>
    </row>
    <row r="11363" spans="6:6" ht="12.75" customHeight="1">
      <c r="F11363" s="32"/>
    </row>
    <row r="11364" spans="6:6" ht="12.75" customHeight="1">
      <c r="F11364" s="32"/>
    </row>
    <row r="11365" spans="6:6" ht="12.75" customHeight="1">
      <c r="F11365" s="32"/>
    </row>
    <row r="11366" spans="6:6" ht="12.75" customHeight="1">
      <c r="F11366" s="32"/>
    </row>
    <row r="11367" spans="6:6" ht="12.75" customHeight="1">
      <c r="F11367" s="32"/>
    </row>
    <row r="11368" spans="6:6" ht="12.75" customHeight="1">
      <c r="F11368" s="32"/>
    </row>
    <row r="11369" spans="6:6" ht="12.75" customHeight="1">
      <c r="F11369" s="32"/>
    </row>
    <row r="11370" spans="6:6" ht="12.75" customHeight="1">
      <c r="F11370" s="32"/>
    </row>
    <row r="11371" spans="6:6" ht="12.75" customHeight="1">
      <c r="F11371" s="32"/>
    </row>
    <row r="11372" spans="6:6" ht="12.75" customHeight="1">
      <c r="F11372" s="32"/>
    </row>
    <row r="11373" spans="6:6" ht="12.75" customHeight="1">
      <c r="F11373" s="32"/>
    </row>
    <row r="11374" spans="6:6" ht="12.75" customHeight="1">
      <c r="F11374" s="32"/>
    </row>
    <row r="11375" spans="6:6" ht="12.75" customHeight="1">
      <c r="F11375" s="32"/>
    </row>
    <row r="11376" spans="6:6" ht="12.75" customHeight="1">
      <c r="F11376" s="32"/>
    </row>
    <row r="11377" spans="6:6" ht="12.75" customHeight="1">
      <c r="F11377" s="32"/>
    </row>
    <row r="11378" spans="6:6" ht="12.75" customHeight="1">
      <c r="F11378" s="32"/>
    </row>
    <row r="11379" spans="6:6" ht="12.75" customHeight="1">
      <c r="F11379" s="32"/>
    </row>
    <row r="11380" spans="6:6" ht="12.75" customHeight="1">
      <c r="F11380" s="32"/>
    </row>
    <row r="11381" spans="6:6" ht="12.75" customHeight="1">
      <c r="F11381" s="32"/>
    </row>
    <row r="11382" spans="6:6" ht="12.75" customHeight="1">
      <c r="F11382" s="32"/>
    </row>
    <row r="11383" spans="6:6" ht="12.75" customHeight="1">
      <c r="F11383" s="32"/>
    </row>
    <row r="11384" spans="6:6" ht="12.75" customHeight="1">
      <c r="F11384" s="32"/>
    </row>
    <row r="11385" spans="6:6" ht="12.75" customHeight="1">
      <c r="F11385" s="32"/>
    </row>
    <row r="11386" spans="6:6" ht="12.75" customHeight="1">
      <c r="F11386" s="32"/>
    </row>
    <row r="11387" spans="6:6" ht="12.75" customHeight="1">
      <c r="F11387" s="32"/>
    </row>
    <row r="11388" spans="6:6" ht="12.75" customHeight="1">
      <c r="F11388" s="32"/>
    </row>
    <row r="11389" spans="6:6" ht="12.75" customHeight="1">
      <c r="F11389" s="32"/>
    </row>
    <row r="11390" spans="6:6" ht="12.75" customHeight="1">
      <c r="F11390" s="32"/>
    </row>
    <row r="11391" spans="6:6" ht="12.75" customHeight="1">
      <c r="F11391" s="32"/>
    </row>
    <row r="11392" spans="6:6" ht="12.75" customHeight="1">
      <c r="F11392" s="32"/>
    </row>
    <row r="11393" spans="6:6" ht="12.75" customHeight="1">
      <c r="F11393" s="32"/>
    </row>
    <row r="11394" spans="6:6" ht="12.75" customHeight="1">
      <c r="F11394" s="32"/>
    </row>
    <row r="11395" spans="6:6" ht="12.75" customHeight="1">
      <c r="F11395" s="32"/>
    </row>
    <row r="11396" spans="6:6" ht="12.75" customHeight="1">
      <c r="F11396" s="32"/>
    </row>
    <row r="11397" spans="6:6" ht="12.75" customHeight="1">
      <c r="F11397" s="32"/>
    </row>
    <row r="11398" spans="6:6" ht="12.75" customHeight="1">
      <c r="F11398" s="32"/>
    </row>
    <row r="11399" spans="6:6" ht="12.75" customHeight="1">
      <c r="F11399" s="32"/>
    </row>
    <row r="11400" spans="6:6" ht="12.75" customHeight="1">
      <c r="F11400" s="32"/>
    </row>
    <row r="11401" spans="6:6" ht="12.75" customHeight="1">
      <c r="F11401" s="32"/>
    </row>
    <row r="11402" spans="6:6" ht="12.75" customHeight="1">
      <c r="F11402" s="32"/>
    </row>
    <row r="11403" spans="6:6" ht="12.75" customHeight="1">
      <c r="F11403" s="32"/>
    </row>
    <row r="11404" spans="6:6" ht="12.75" customHeight="1">
      <c r="F11404" s="32"/>
    </row>
    <row r="11405" spans="6:6" ht="12.75" customHeight="1">
      <c r="F11405" s="32"/>
    </row>
    <row r="11406" spans="6:6" ht="12.75" customHeight="1">
      <c r="F11406" s="32"/>
    </row>
    <row r="11407" spans="6:6" ht="12.75" customHeight="1">
      <c r="F11407" s="32"/>
    </row>
    <row r="11408" spans="6:6" ht="12.75" customHeight="1">
      <c r="F11408" s="32"/>
    </row>
    <row r="11409" spans="6:6" ht="12.75" customHeight="1">
      <c r="F11409" s="32"/>
    </row>
    <row r="11410" spans="6:6" ht="12.75" customHeight="1">
      <c r="F11410" s="32"/>
    </row>
    <row r="11411" spans="6:6" ht="12.75" customHeight="1">
      <c r="F11411" s="32"/>
    </row>
    <row r="11412" spans="6:6" ht="12.75" customHeight="1">
      <c r="F11412" s="32"/>
    </row>
    <row r="11413" spans="6:6" ht="12.75" customHeight="1">
      <c r="F11413" s="32"/>
    </row>
    <row r="11414" spans="6:6" ht="12.75" customHeight="1">
      <c r="F11414" s="32"/>
    </row>
    <row r="11415" spans="6:6" ht="12.75" customHeight="1">
      <c r="F11415" s="32"/>
    </row>
    <row r="11416" spans="6:6" ht="12.75" customHeight="1">
      <c r="F11416" s="32"/>
    </row>
    <row r="11417" spans="6:6" ht="12.75" customHeight="1">
      <c r="F11417" s="32"/>
    </row>
    <row r="11418" spans="6:6" ht="12.75" customHeight="1">
      <c r="F11418" s="32"/>
    </row>
    <row r="11419" spans="6:6" ht="12.75" customHeight="1">
      <c r="F11419" s="32"/>
    </row>
    <row r="11420" spans="6:6" ht="12.75" customHeight="1">
      <c r="F11420" s="32"/>
    </row>
    <row r="11421" spans="6:6" ht="12.75" customHeight="1">
      <c r="F11421" s="32"/>
    </row>
    <row r="11422" spans="6:6" ht="12.75" customHeight="1">
      <c r="F11422" s="32"/>
    </row>
    <row r="11423" spans="6:6" ht="12.75" customHeight="1">
      <c r="F11423" s="32"/>
    </row>
    <row r="11424" spans="6:6" ht="12.75" customHeight="1">
      <c r="F11424" s="32"/>
    </row>
    <row r="11425" spans="6:6" ht="12.75" customHeight="1">
      <c r="F11425" s="32"/>
    </row>
    <row r="11426" spans="6:6" ht="12.75" customHeight="1">
      <c r="F11426" s="32"/>
    </row>
    <row r="11427" spans="6:6" ht="12.75" customHeight="1">
      <c r="F11427" s="32"/>
    </row>
    <row r="11428" spans="6:6" ht="12.75" customHeight="1">
      <c r="F11428" s="32"/>
    </row>
    <row r="11429" spans="6:6" ht="12.75" customHeight="1">
      <c r="F11429" s="32"/>
    </row>
    <row r="11430" spans="6:6" ht="12.75" customHeight="1">
      <c r="F11430" s="32"/>
    </row>
    <row r="11431" spans="6:6" ht="12.75" customHeight="1">
      <c r="F11431" s="32"/>
    </row>
    <row r="11432" spans="6:6" ht="12.75" customHeight="1">
      <c r="F11432" s="32"/>
    </row>
    <row r="11433" spans="6:6" ht="12.75" customHeight="1">
      <c r="F11433" s="32"/>
    </row>
    <row r="11434" spans="6:6" ht="12.75" customHeight="1">
      <c r="F11434" s="32"/>
    </row>
    <row r="11435" spans="6:6" ht="12.75" customHeight="1">
      <c r="F11435" s="32"/>
    </row>
    <row r="11436" spans="6:6" ht="12.75" customHeight="1">
      <c r="F11436" s="32"/>
    </row>
    <row r="11437" spans="6:6" ht="12.75" customHeight="1">
      <c r="F11437" s="32"/>
    </row>
    <row r="11438" spans="6:6" ht="12.75" customHeight="1">
      <c r="F11438" s="32"/>
    </row>
    <row r="11439" spans="6:6" ht="12.75" customHeight="1">
      <c r="F11439" s="32"/>
    </row>
    <row r="11440" spans="6:6" ht="12.75" customHeight="1">
      <c r="F11440" s="32"/>
    </row>
    <row r="11441" spans="6:6" ht="12.75" customHeight="1">
      <c r="F11441" s="32"/>
    </row>
    <row r="11442" spans="6:6" ht="12.75" customHeight="1">
      <c r="F11442" s="32"/>
    </row>
    <row r="11443" spans="6:6" ht="12.75" customHeight="1">
      <c r="F11443" s="32"/>
    </row>
    <row r="11444" spans="6:6" ht="12.75" customHeight="1">
      <c r="F11444" s="32"/>
    </row>
    <row r="11445" spans="6:6" ht="12.75" customHeight="1">
      <c r="F11445" s="32"/>
    </row>
    <row r="11446" spans="6:6" ht="12.75" customHeight="1">
      <c r="F11446" s="32"/>
    </row>
    <row r="11447" spans="6:6" ht="12.75" customHeight="1">
      <c r="F11447" s="32"/>
    </row>
    <row r="11448" spans="6:6" ht="12.75" customHeight="1">
      <c r="F11448" s="32"/>
    </row>
    <row r="11449" spans="6:6" ht="12.75" customHeight="1">
      <c r="F11449" s="32"/>
    </row>
    <row r="11450" spans="6:6" ht="12.75" customHeight="1">
      <c r="F11450" s="32"/>
    </row>
    <row r="11451" spans="6:6" ht="12.75" customHeight="1">
      <c r="F11451" s="32"/>
    </row>
    <row r="11452" spans="6:6" ht="12.75" customHeight="1">
      <c r="F11452" s="32"/>
    </row>
    <row r="11453" spans="6:6" ht="12.75" customHeight="1">
      <c r="F11453" s="32"/>
    </row>
    <row r="11454" spans="6:6" ht="12.75" customHeight="1">
      <c r="F11454" s="32"/>
    </row>
    <row r="11455" spans="6:6" ht="12.75" customHeight="1">
      <c r="F11455" s="32"/>
    </row>
    <row r="11456" spans="6:6" ht="12.75" customHeight="1">
      <c r="F11456" s="32"/>
    </row>
    <row r="11457" spans="6:6" ht="12.75" customHeight="1">
      <c r="F11457" s="32"/>
    </row>
    <row r="11458" spans="6:6" ht="12.75" customHeight="1">
      <c r="F11458" s="32"/>
    </row>
    <row r="11459" spans="6:6" ht="12.75" customHeight="1">
      <c r="F11459" s="32"/>
    </row>
    <row r="11460" spans="6:6" ht="12.75" customHeight="1">
      <c r="F11460" s="32"/>
    </row>
    <row r="11461" spans="6:6" ht="12.75" customHeight="1">
      <c r="F11461" s="32"/>
    </row>
    <row r="11462" spans="6:6" ht="12.75" customHeight="1">
      <c r="F11462" s="32"/>
    </row>
    <row r="11463" spans="6:6" ht="12.75" customHeight="1">
      <c r="F11463" s="32"/>
    </row>
    <row r="11464" spans="6:6" ht="12.75" customHeight="1">
      <c r="F11464" s="32"/>
    </row>
    <row r="11465" spans="6:6" ht="12.75" customHeight="1">
      <c r="F11465" s="32"/>
    </row>
    <row r="11466" spans="6:6" ht="12.75" customHeight="1">
      <c r="F11466" s="32"/>
    </row>
    <row r="11467" spans="6:6" ht="12.75" customHeight="1">
      <c r="F11467" s="32"/>
    </row>
    <row r="11468" spans="6:6" ht="12.75" customHeight="1">
      <c r="F11468" s="32"/>
    </row>
    <row r="11469" spans="6:6" ht="12.75" customHeight="1">
      <c r="F11469" s="32"/>
    </row>
    <row r="11470" spans="6:6" ht="12.75" customHeight="1">
      <c r="F11470" s="32"/>
    </row>
    <row r="11471" spans="6:6" ht="12.75" customHeight="1">
      <c r="F11471" s="32"/>
    </row>
    <row r="11472" spans="6:6" ht="12.75" customHeight="1">
      <c r="F11472" s="32"/>
    </row>
    <row r="11473" spans="6:6" ht="12.75" customHeight="1">
      <c r="F11473" s="32"/>
    </row>
    <row r="11474" spans="6:6" ht="12.75" customHeight="1">
      <c r="F11474" s="32"/>
    </row>
    <row r="11475" spans="6:6" ht="12.75" customHeight="1">
      <c r="F11475" s="32"/>
    </row>
    <row r="11476" spans="6:6" ht="12.75" customHeight="1">
      <c r="F11476" s="32"/>
    </row>
    <row r="11477" spans="6:6" ht="12.75" customHeight="1">
      <c r="F11477" s="32"/>
    </row>
    <row r="11478" spans="6:6" ht="12.75" customHeight="1">
      <c r="F11478" s="32"/>
    </row>
    <row r="11479" spans="6:6" ht="12.75" customHeight="1">
      <c r="F11479" s="32"/>
    </row>
    <row r="11480" spans="6:6" ht="12.75" customHeight="1">
      <c r="F11480" s="32"/>
    </row>
    <row r="11481" spans="6:6" ht="12.75" customHeight="1">
      <c r="F11481" s="32"/>
    </row>
    <row r="11482" spans="6:6" ht="12.75" customHeight="1">
      <c r="F11482" s="32"/>
    </row>
    <row r="11483" spans="6:6" ht="12.75" customHeight="1">
      <c r="F11483" s="32"/>
    </row>
    <row r="11484" spans="6:6" ht="12.75" customHeight="1">
      <c r="F11484" s="32"/>
    </row>
    <row r="11485" spans="6:6" ht="12.75" customHeight="1">
      <c r="F11485" s="32"/>
    </row>
    <row r="11486" spans="6:6" ht="12.75" customHeight="1">
      <c r="F11486" s="32"/>
    </row>
    <row r="11487" spans="6:6" ht="12.75" customHeight="1">
      <c r="F11487" s="32"/>
    </row>
    <row r="11488" spans="6:6" ht="12.75" customHeight="1">
      <c r="F11488" s="32"/>
    </row>
    <row r="11489" spans="6:6" ht="12.75" customHeight="1">
      <c r="F11489" s="32"/>
    </row>
    <row r="11490" spans="6:6" ht="12.75" customHeight="1">
      <c r="F11490" s="32"/>
    </row>
    <row r="11491" spans="6:6" ht="12.75" customHeight="1">
      <c r="F11491" s="32"/>
    </row>
    <row r="11492" spans="6:6" ht="12.75" customHeight="1">
      <c r="F11492" s="32"/>
    </row>
    <row r="11493" spans="6:6" ht="12.75" customHeight="1">
      <c r="F11493" s="32"/>
    </row>
    <row r="11494" spans="6:6" ht="12.75" customHeight="1">
      <c r="F11494" s="32"/>
    </row>
    <row r="11495" spans="6:6" ht="12.75" customHeight="1">
      <c r="F11495" s="32"/>
    </row>
    <row r="11496" spans="6:6" ht="12.75" customHeight="1">
      <c r="F11496" s="32"/>
    </row>
    <row r="11497" spans="6:6" ht="12.75" customHeight="1">
      <c r="F11497" s="32"/>
    </row>
    <row r="11498" spans="6:6" ht="12.75" customHeight="1">
      <c r="F11498" s="32"/>
    </row>
    <row r="11499" spans="6:6" ht="12.75" customHeight="1">
      <c r="F11499" s="32"/>
    </row>
    <row r="11500" spans="6:6" ht="12.75" customHeight="1">
      <c r="F11500" s="32"/>
    </row>
    <row r="11501" spans="6:6" ht="12.75" customHeight="1">
      <c r="F11501" s="32"/>
    </row>
    <row r="11502" spans="6:6" ht="12.75" customHeight="1">
      <c r="F11502" s="32"/>
    </row>
    <row r="11503" spans="6:6" ht="12.75" customHeight="1">
      <c r="F11503" s="32"/>
    </row>
    <row r="11504" spans="6:6" ht="12.75" customHeight="1">
      <c r="F11504" s="32"/>
    </row>
    <row r="11505" spans="6:6" ht="12.75" customHeight="1">
      <c r="F11505" s="32"/>
    </row>
    <row r="11506" spans="6:6" ht="12.75" customHeight="1">
      <c r="F11506" s="32"/>
    </row>
    <row r="11507" spans="6:6" ht="12.75" customHeight="1">
      <c r="F11507" s="32"/>
    </row>
    <row r="11508" spans="6:6" ht="12.75" customHeight="1">
      <c r="F11508" s="32"/>
    </row>
    <row r="11509" spans="6:6" ht="12.75" customHeight="1">
      <c r="F11509" s="32"/>
    </row>
    <row r="11510" spans="6:6" ht="12.75" customHeight="1">
      <c r="F11510" s="32"/>
    </row>
    <row r="11511" spans="6:6" ht="12.75" customHeight="1">
      <c r="F11511" s="32"/>
    </row>
    <row r="11512" spans="6:6" ht="12.75" customHeight="1">
      <c r="F11512" s="32"/>
    </row>
    <row r="11513" spans="6:6" ht="12.75" customHeight="1">
      <c r="F11513" s="32"/>
    </row>
    <row r="11514" spans="6:6" ht="12.75" customHeight="1">
      <c r="F11514" s="32"/>
    </row>
    <row r="11515" spans="6:6" ht="12.75" customHeight="1">
      <c r="F11515" s="32"/>
    </row>
    <row r="11516" spans="6:6" ht="12.75" customHeight="1">
      <c r="F11516" s="32"/>
    </row>
    <row r="11517" spans="6:6" ht="12.75" customHeight="1">
      <c r="F11517" s="32"/>
    </row>
    <row r="11518" spans="6:6" ht="12.75" customHeight="1">
      <c r="F11518" s="32"/>
    </row>
    <row r="11519" spans="6:6" ht="12.75" customHeight="1">
      <c r="F11519" s="32"/>
    </row>
    <row r="11520" spans="6:6" ht="12.75" customHeight="1">
      <c r="F11520" s="32"/>
    </row>
    <row r="11521" spans="6:6" ht="12.75" customHeight="1">
      <c r="F11521" s="32"/>
    </row>
    <row r="11522" spans="6:6" ht="12.75" customHeight="1">
      <c r="F11522" s="32"/>
    </row>
    <row r="11523" spans="6:6" ht="12.75" customHeight="1">
      <c r="F11523" s="32"/>
    </row>
    <row r="11524" spans="6:6" ht="12.75" customHeight="1">
      <c r="F11524" s="32"/>
    </row>
    <row r="11525" spans="6:6" ht="12.75" customHeight="1">
      <c r="F11525" s="32"/>
    </row>
    <row r="11526" spans="6:6" ht="12.75" customHeight="1">
      <c r="F11526" s="32"/>
    </row>
    <row r="11527" spans="6:6" ht="12.75" customHeight="1">
      <c r="F11527" s="32"/>
    </row>
    <row r="11528" spans="6:6" ht="12.75" customHeight="1">
      <c r="F11528" s="32"/>
    </row>
    <row r="11529" spans="6:6" ht="12.75" customHeight="1">
      <c r="F11529" s="32"/>
    </row>
    <row r="11530" spans="6:6" ht="12.75" customHeight="1">
      <c r="F11530" s="32"/>
    </row>
    <row r="11531" spans="6:6" ht="12.75" customHeight="1">
      <c r="F11531" s="32"/>
    </row>
    <row r="11532" spans="6:6" ht="12.75" customHeight="1">
      <c r="F11532" s="32"/>
    </row>
    <row r="11533" spans="6:6" ht="12.75" customHeight="1">
      <c r="F11533" s="32"/>
    </row>
    <row r="11534" spans="6:6" ht="12.75" customHeight="1">
      <c r="F11534" s="32"/>
    </row>
    <row r="11535" spans="6:6" ht="12.75" customHeight="1">
      <c r="F11535" s="32"/>
    </row>
    <row r="11536" spans="6:6" ht="12.75" customHeight="1">
      <c r="F11536" s="32"/>
    </row>
    <row r="11537" spans="6:6" ht="12.75" customHeight="1">
      <c r="F11537" s="32"/>
    </row>
    <row r="11538" spans="6:6" ht="12.75" customHeight="1">
      <c r="F11538" s="32"/>
    </row>
    <row r="11539" spans="6:6" ht="12.75" customHeight="1">
      <c r="F11539" s="32"/>
    </row>
    <row r="11540" spans="6:6" ht="12.75" customHeight="1">
      <c r="F11540" s="32"/>
    </row>
    <row r="11541" spans="6:6" ht="12.75" customHeight="1">
      <c r="F11541" s="32"/>
    </row>
    <row r="11542" spans="6:6" ht="12.75" customHeight="1">
      <c r="F11542" s="32"/>
    </row>
    <row r="11543" spans="6:6" ht="12.75" customHeight="1">
      <c r="F11543" s="32"/>
    </row>
    <row r="11544" spans="6:6" ht="12.75" customHeight="1">
      <c r="F11544" s="32"/>
    </row>
    <row r="11545" spans="6:6" ht="12.75" customHeight="1">
      <c r="F11545" s="32"/>
    </row>
    <row r="11546" spans="6:6" ht="12.75" customHeight="1">
      <c r="F11546" s="32"/>
    </row>
    <row r="11547" spans="6:6" ht="12.75" customHeight="1">
      <c r="F11547" s="32"/>
    </row>
    <row r="11548" spans="6:6" ht="12.75" customHeight="1">
      <c r="F11548" s="32"/>
    </row>
    <row r="11549" spans="6:6" ht="12.75" customHeight="1">
      <c r="F11549" s="32"/>
    </row>
    <row r="11550" spans="6:6" ht="12.75" customHeight="1">
      <c r="F11550" s="32"/>
    </row>
    <row r="11551" spans="6:6" ht="12.75" customHeight="1">
      <c r="F11551" s="32"/>
    </row>
    <row r="11552" spans="6:6" ht="12.75" customHeight="1">
      <c r="F11552" s="32"/>
    </row>
    <row r="11553" spans="6:6" ht="12.75" customHeight="1">
      <c r="F11553" s="32"/>
    </row>
    <row r="11554" spans="6:6" ht="12.75" customHeight="1">
      <c r="F11554" s="32"/>
    </row>
    <row r="11555" spans="6:6" ht="12.75" customHeight="1">
      <c r="F11555" s="32"/>
    </row>
    <row r="11556" spans="6:6" ht="12.75" customHeight="1">
      <c r="F11556" s="32"/>
    </row>
    <row r="11557" spans="6:6" ht="12.75" customHeight="1">
      <c r="F11557" s="32"/>
    </row>
    <row r="11558" spans="6:6" ht="12.75" customHeight="1">
      <c r="F11558" s="32"/>
    </row>
    <row r="11559" spans="6:6" ht="12.75" customHeight="1">
      <c r="F11559" s="32"/>
    </row>
    <row r="11560" spans="6:6" ht="12.75" customHeight="1">
      <c r="F11560" s="32"/>
    </row>
    <row r="11561" spans="6:6" ht="12.75" customHeight="1">
      <c r="F11561" s="32"/>
    </row>
    <row r="11562" spans="6:6" ht="12.75" customHeight="1">
      <c r="F11562" s="32"/>
    </row>
    <row r="11563" spans="6:6" ht="12.75" customHeight="1">
      <c r="F11563" s="32"/>
    </row>
    <row r="11564" spans="6:6" ht="12.75" customHeight="1">
      <c r="F11564" s="32"/>
    </row>
    <row r="11565" spans="6:6" ht="12.75" customHeight="1">
      <c r="F11565" s="32"/>
    </row>
    <row r="11566" spans="6:6" ht="12.75" customHeight="1">
      <c r="F11566" s="32"/>
    </row>
    <row r="11567" spans="6:6" ht="12.75" customHeight="1">
      <c r="F11567" s="32"/>
    </row>
    <row r="11568" spans="6:6" ht="12.75" customHeight="1">
      <c r="F11568" s="32"/>
    </row>
    <row r="11569" spans="6:6" ht="12.75" customHeight="1">
      <c r="F11569" s="32"/>
    </row>
    <row r="11570" spans="6:6" ht="12.75" customHeight="1">
      <c r="F11570" s="32"/>
    </row>
    <row r="11571" spans="6:6" ht="12.75" customHeight="1">
      <c r="F11571" s="32"/>
    </row>
    <row r="11572" spans="6:6" ht="12.75" customHeight="1">
      <c r="F11572" s="32"/>
    </row>
    <row r="11573" spans="6:6" ht="12.75" customHeight="1">
      <c r="F11573" s="32"/>
    </row>
    <row r="11574" spans="6:6" ht="12.75" customHeight="1">
      <c r="F11574" s="32"/>
    </row>
    <row r="11575" spans="6:6" ht="12.75" customHeight="1">
      <c r="F11575" s="32"/>
    </row>
    <row r="11576" spans="6:6" ht="12.75" customHeight="1">
      <c r="F11576" s="32"/>
    </row>
    <row r="11577" spans="6:6" ht="12.75" customHeight="1">
      <c r="F11577" s="32"/>
    </row>
    <row r="11578" spans="6:6" ht="12.75" customHeight="1">
      <c r="F11578" s="32"/>
    </row>
    <row r="11579" spans="6:6" ht="12.75" customHeight="1">
      <c r="F11579" s="32"/>
    </row>
    <row r="11580" spans="6:6" ht="12.75" customHeight="1">
      <c r="F11580" s="32"/>
    </row>
    <row r="11581" spans="6:6" ht="12.75" customHeight="1">
      <c r="F11581" s="32"/>
    </row>
    <row r="11582" spans="6:6" ht="12.75" customHeight="1">
      <c r="F11582" s="32"/>
    </row>
    <row r="11583" spans="6:6" ht="12.75" customHeight="1">
      <c r="F11583" s="32"/>
    </row>
    <row r="11584" spans="6:6" ht="12.75" customHeight="1">
      <c r="F11584" s="32"/>
    </row>
    <row r="11585" spans="6:6" ht="12.75" customHeight="1">
      <c r="F11585" s="32"/>
    </row>
    <row r="11586" spans="6:6" ht="12.75" customHeight="1">
      <c r="F11586" s="32"/>
    </row>
    <row r="11587" spans="6:6" ht="12.75" customHeight="1">
      <c r="F11587" s="32"/>
    </row>
    <row r="11588" spans="6:6" ht="12.75" customHeight="1">
      <c r="F11588" s="32"/>
    </row>
    <row r="11589" spans="6:6" ht="12.75" customHeight="1">
      <c r="F11589" s="32"/>
    </row>
    <row r="11590" spans="6:6" ht="12.75" customHeight="1">
      <c r="F11590" s="32"/>
    </row>
    <row r="11591" spans="6:6" ht="12.75" customHeight="1">
      <c r="F11591" s="32"/>
    </row>
    <row r="11592" spans="6:6" ht="12.75" customHeight="1">
      <c r="F11592" s="32"/>
    </row>
    <row r="11593" spans="6:6" ht="12.75" customHeight="1">
      <c r="F11593" s="32"/>
    </row>
    <row r="11594" spans="6:6" ht="12.75" customHeight="1">
      <c r="F11594" s="32"/>
    </row>
    <row r="11595" spans="6:6" ht="12.75" customHeight="1">
      <c r="F11595" s="32"/>
    </row>
    <row r="11596" spans="6:6" ht="12.75" customHeight="1">
      <c r="F11596" s="32"/>
    </row>
    <row r="11597" spans="6:6" ht="12.75" customHeight="1">
      <c r="F11597" s="32"/>
    </row>
    <row r="11598" spans="6:6" ht="12.75" customHeight="1">
      <c r="F11598" s="32"/>
    </row>
    <row r="11599" spans="6:6" ht="12.75" customHeight="1">
      <c r="F11599" s="32"/>
    </row>
    <row r="11600" spans="6:6" ht="12.75" customHeight="1">
      <c r="F11600" s="32"/>
    </row>
    <row r="11601" spans="6:6" ht="12.75" customHeight="1">
      <c r="F11601" s="32"/>
    </row>
    <row r="11602" spans="6:6" ht="12.75" customHeight="1">
      <c r="F11602" s="32"/>
    </row>
    <row r="11603" spans="6:6" ht="12.75" customHeight="1">
      <c r="F11603" s="32"/>
    </row>
    <row r="11604" spans="6:6" ht="12.75" customHeight="1">
      <c r="F11604" s="32"/>
    </row>
    <row r="11605" spans="6:6" ht="12.75" customHeight="1">
      <c r="F11605" s="32"/>
    </row>
    <row r="11606" spans="6:6" ht="12.75" customHeight="1">
      <c r="F11606" s="32"/>
    </row>
    <row r="11607" spans="6:6" ht="12.75" customHeight="1">
      <c r="F11607" s="32"/>
    </row>
    <row r="11608" spans="6:6" ht="12.75" customHeight="1">
      <c r="F11608" s="32"/>
    </row>
    <row r="11609" spans="6:6" ht="12.75" customHeight="1">
      <c r="F11609" s="32"/>
    </row>
    <row r="11610" spans="6:6" ht="12.75" customHeight="1">
      <c r="F11610" s="32"/>
    </row>
    <row r="11611" spans="6:6" ht="12.75" customHeight="1">
      <c r="F11611" s="32"/>
    </row>
    <row r="11612" spans="6:6" ht="12.75" customHeight="1">
      <c r="F11612" s="32"/>
    </row>
    <row r="11613" spans="6:6" ht="12.75" customHeight="1">
      <c r="F11613" s="32"/>
    </row>
    <row r="11614" spans="6:6" ht="12.75" customHeight="1">
      <c r="F11614" s="32"/>
    </row>
    <row r="11615" spans="6:6" ht="12.75" customHeight="1">
      <c r="F11615" s="32"/>
    </row>
    <row r="11616" spans="6:6" ht="12.75" customHeight="1">
      <c r="F11616" s="32"/>
    </row>
    <row r="11617" spans="6:6" ht="12.75" customHeight="1">
      <c r="F11617" s="32"/>
    </row>
    <row r="11618" spans="6:6" ht="12.75" customHeight="1">
      <c r="F11618" s="32"/>
    </row>
    <row r="11619" spans="6:6" ht="12.75" customHeight="1">
      <c r="F11619" s="32"/>
    </row>
    <row r="11620" spans="6:6" ht="12.75" customHeight="1">
      <c r="F11620" s="32"/>
    </row>
    <row r="11621" spans="6:6" ht="12.75" customHeight="1">
      <c r="F11621" s="32"/>
    </row>
    <row r="11622" spans="6:6" ht="12.75" customHeight="1">
      <c r="F11622" s="32"/>
    </row>
    <row r="11623" spans="6:6" ht="12.75" customHeight="1">
      <c r="F11623" s="32"/>
    </row>
    <row r="11624" spans="6:6" ht="12.75" customHeight="1">
      <c r="F11624" s="32"/>
    </row>
    <row r="11625" spans="6:6" ht="12.75" customHeight="1">
      <c r="F11625" s="32"/>
    </row>
    <row r="11626" spans="6:6" ht="12.75" customHeight="1">
      <c r="F11626" s="32"/>
    </row>
    <row r="11627" spans="6:6" ht="12.75" customHeight="1">
      <c r="F11627" s="32"/>
    </row>
    <row r="11628" spans="6:6" ht="12.75" customHeight="1">
      <c r="F11628" s="32"/>
    </row>
    <row r="11629" spans="6:6" ht="12.75" customHeight="1">
      <c r="F11629" s="32"/>
    </row>
    <row r="11630" spans="6:6" ht="12.75" customHeight="1">
      <c r="F11630" s="32"/>
    </row>
    <row r="11631" spans="6:6" ht="12.75" customHeight="1">
      <c r="F11631" s="32"/>
    </row>
    <row r="11632" spans="6:6" ht="12.75" customHeight="1">
      <c r="F11632" s="32"/>
    </row>
    <row r="11633" spans="6:6" ht="12.75" customHeight="1">
      <c r="F11633" s="32"/>
    </row>
    <row r="11634" spans="6:6" ht="12.75" customHeight="1">
      <c r="F11634" s="32"/>
    </row>
    <row r="11635" spans="6:6" ht="12.75" customHeight="1">
      <c r="F11635" s="32"/>
    </row>
    <row r="11636" spans="6:6" ht="12.75" customHeight="1">
      <c r="F11636" s="32"/>
    </row>
    <row r="11637" spans="6:6" ht="12.75" customHeight="1">
      <c r="F11637" s="32"/>
    </row>
    <row r="11638" spans="6:6" ht="12.75" customHeight="1">
      <c r="F11638" s="32"/>
    </row>
    <row r="11639" spans="6:6" ht="12.75" customHeight="1">
      <c r="F11639" s="32"/>
    </row>
    <row r="11640" spans="6:6" ht="12.75" customHeight="1">
      <c r="F11640" s="32"/>
    </row>
    <row r="11641" spans="6:6" ht="12.75" customHeight="1">
      <c r="F11641" s="32"/>
    </row>
    <row r="11642" spans="6:6" ht="12.75" customHeight="1">
      <c r="F11642" s="32"/>
    </row>
    <row r="11643" spans="6:6" ht="12.75" customHeight="1">
      <c r="F11643" s="32"/>
    </row>
    <row r="11644" spans="6:6" ht="12.75" customHeight="1">
      <c r="F11644" s="32"/>
    </row>
    <row r="11645" spans="6:6" ht="12.75" customHeight="1">
      <c r="F11645" s="32"/>
    </row>
    <row r="11646" spans="6:6" ht="12.75" customHeight="1">
      <c r="F11646" s="32"/>
    </row>
    <row r="11647" spans="6:6" ht="12.75" customHeight="1">
      <c r="F11647" s="32"/>
    </row>
    <row r="11648" spans="6:6" ht="12.75" customHeight="1">
      <c r="F11648" s="32"/>
    </row>
    <row r="11649" spans="6:6" ht="12.75" customHeight="1">
      <c r="F11649" s="32"/>
    </row>
    <row r="11650" spans="6:6" ht="12.75" customHeight="1">
      <c r="F11650" s="32"/>
    </row>
    <row r="11651" spans="6:6" ht="12.75" customHeight="1">
      <c r="F11651" s="32"/>
    </row>
    <row r="11652" spans="6:6" ht="12.75" customHeight="1">
      <c r="F11652" s="32"/>
    </row>
    <row r="11653" spans="6:6" ht="12.75" customHeight="1">
      <c r="F11653" s="32"/>
    </row>
    <row r="11654" spans="6:6" ht="12.75" customHeight="1">
      <c r="F11654" s="32"/>
    </row>
    <row r="11655" spans="6:6" ht="12.75" customHeight="1">
      <c r="F11655" s="32"/>
    </row>
    <row r="11656" spans="6:6" ht="12.75" customHeight="1">
      <c r="F11656" s="32"/>
    </row>
    <row r="11657" spans="6:6" ht="12.75" customHeight="1">
      <c r="F11657" s="32"/>
    </row>
    <row r="11658" spans="6:6" ht="12.75" customHeight="1">
      <c r="F11658" s="32"/>
    </row>
    <row r="11659" spans="6:6" ht="12.75" customHeight="1">
      <c r="F11659" s="32"/>
    </row>
    <row r="11660" spans="6:6" ht="12.75" customHeight="1">
      <c r="F11660" s="32"/>
    </row>
    <row r="11661" spans="6:6" ht="12.75" customHeight="1">
      <c r="F11661" s="32"/>
    </row>
    <row r="11662" spans="6:6" ht="12.75" customHeight="1">
      <c r="F11662" s="32"/>
    </row>
    <row r="11663" spans="6:6" ht="12.75" customHeight="1">
      <c r="F11663" s="32"/>
    </row>
    <row r="11664" spans="6:6" ht="12.75" customHeight="1">
      <c r="F11664" s="32"/>
    </row>
    <row r="11665" spans="6:6" ht="12.75" customHeight="1">
      <c r="F11665" s="32"/>
    </row>
    <row r="11666" spans="6:6" ht="12.75" customHeight="1">
      <c r="F11666" s="32"/>
    </row>
    <row r="11667" spans="6:6" ht="12.75" customHeight="1">
      <c r="F11667" s="32"/>
    </row>
    <row r="11668" spans="6:6" ht="12.75" customHeight="1">
      <c r="F11668" s="32"/>
    </row>
    <row r="11669" spans="6:6" ht="12.75" customHeight="1">
      <c r="F11669" s="32"/>
    </row>
    <row r="11670" spans="6:6" ht="12.75" customHeight="1">
      <c r="F11670" s="32"/>
    </row>
    <row r="11671" spans="6:6" ht="12.75" customHeight="1">
      <c r="F11671" s="32"/>
    </row>
    <row r="11672" spans="6:6" ht="12.75" customHeight="1">
      <c r="F11672" s="32"/>
    </row>
    <row r="11673" spans="6:6" ht="12.75" customHeight="1">
      <c r="F11673" s="32"/>
    </row>
    <row r="11674" spans="6:6" ht="12.75" customHeight="1">
      <c r="F11674" s="32"/>
    </row>
    <row r="11675" spans="6:6" ht="12.75" customHeight="1">
      <c r="F11675" s="32"/>
    </row>
    <row r="11676" spans="6:6" ht="12.75" customHeight="1">
      <c r="F11676" s="32"/>
    </row>
    <row r="11677" spans="6:6" ht="12.75" customHeight="1">
      <c r="F11677" s="32"/>
    </row>
    <row r="11678" spans="6:6" ht="12.75" customHeight="1">
      <c r="F11678" s="32"/>
    </row>
    <row r="11679" spans="6:6" ht="12.75" customHeight="1">
      <c r="F11679" s="32"/>
    </row>
    <row r="11680" spans="6:6" ht="12.75" customHeight="1">
      <c r="F11680" s="32"/>
    </row>
    <row r="11681" spans="6:6" ht="12.75" customHeight="1">
      <c r="F11681" s="32"/>
    </row>
    <row r="11682" spans="6:6" ht="12.75" customHeight="1">
      <c r="F11682" s="32"/>
    </row>
    <row r="11683" spans="6:6" ht="12.75" customHeight="1">
      <c r="F11683" s="32"/>
    </row>
    <row r="11684" spans="6:6" ht="12.75" customHeight="1">
      <c r="F11684" s="32"/>
    </row>
    <row r="11685" spans="6:6" ht="12.75" customHeight="1">
      <c r="F11685" s="32"/>
    </row>
    <row r="11686" spans="6:6" ht="12.75" customHeight="1">
      <c r="F11686" s="32"/>
    </row>
    <row r="11687" spans="6:6" ht="12.75" customHeight="1">
      <c r="F11687" s="32"/>
    </row>
    <row r="11688" spans="6:6" ht="12.75" customHeight="1">
      <c r="F11688" s="32"/>
    </row>
    <row r="11689" spans="6:6" ht="12.75" customHeight="1">
      <c r="F11689" s="32"/>
    </row>
    <row r="11690" spans="6:6" ht="12.75" customHeight="1">
      <c r="F11690" s="32"/>
    </row>
    <row r="11691" spans="6:6" ht="12.75" customHeight="1">
      <c r="F11691" s="32"/>
    </row>
    <row r="11692" spans="6:6" ht="12.75" customHeight="1">
      <c r="F11692" s="32"/>
    </row>
    <row r="11693" spans="6:6" ht="12.75" customHeight="1">
      <c r="F11693" s="32"/>
    </row>
    <row r="11694" spans="6:6" ht="12.75" customHeight="1">
      <c r="F11694" s="32"/>
    </row>
    <row r="11695" spans="6:6" ht="12.75" customHeight="1">
      <c r="F11695" s="32"/>
    </row>
    <row r="11696" spans="6:6" ht="12.75" customHeight="1">
      <c r="F11696" s="32"/>
    </row>
    <row r="11697" spans="6:6" ht="12.75" customHeight="1">
      <c r="F11697" s="32"/>
    </row>
    <row r="11698" spans="6:6" ht="12.75" customHeight="1">
      <c r="F11698" s="32"/>
    </row>
    <row r="11699" spans="6:6" ht="12.75" customHeight="1">
      <c r="F11699" s="32"/>
    </row>
    <row r="11700" spans="6:6" ht="12.75" customHeight="1">
      <c r="F11700" s="32"/>
    </row>
    <row r="11701" spans="6:6" ht="12.75" customHeight="1">
      <c r="F11701" s="32"/>
    </row>
    <row r="11702" spans="6:6" ht="12.75" customHeight="1">
      <c r="F11702" s="32"/>
    </row>
    <row r="11703" spans="6:6" ht="12.75" customHeight="1">
      <c r="F11703" s="32"/>
    </row>
    <row r="11704" spans="6:6" ht="12.75" customHeight="1">
      <c r="F11704" s="32"/>
    </row>
    <row r="11705" spans="6:6" ht="12.75" customHeight="1">
      <c r="F11705" s="32"/>
    </row>
    <row r="11706" spans="6:6" ht="12.75" customHeight="1">
      <c r="F11706" s="32"/>
    </row>
    <row r="11707" spans="6:6" ht="12.75" customHeight="1">
      <c r="F11707" s="32"/>
    </row>
    <row r="11708" spans="6:6" ht="12.75" customHeight="1">
      <c r="F11708" s="32"/>
    </row>
    <row r="11709" spans="6:6" ht="12.75" customHeight="1">
      <c r="F11709" s="32"/>
    </row>
    <row r="11710" spans="6:6" ht="12.75" customHeight="1">
      <c r="F11710" s="32"/>
    </row>
    <row r="11711" spans="6:6" ht="12.75" customHeight="1">
      <c r="F11711" s="32"/>
    </row>
    <row r="11712" spans="6:6" ht="12.75" customHeight="1">
      <c r="F11712" s="32"/>
    </row>
    <row r="11713" spans="6:6" ht="12.75" customHeight="1">
      <c r="F11713" s="32"/>
    </row>
    <row r="11714" spans="6:6" ht="12.75" customHeight="1">
      <c r="F11714" s="32"/>
    </row>
    <row r="11715" spans="6:6" ht="12.75" customHeight="1">
      <c r="F11715" s="32"/>
    </row>
    <row r="11716" spans="6:6" ht="12.75" customHeight="1">
      <c r="F11716" s="32"/>
    </row>
    <row r="11717" spans="6:6" ht="12.75" customHeight="1">
      <c r="F11717" s="32"/>
    </row>
    <row r="11718" spans="6:6" ht="12.75" customHeight="1">
      <c r="F11718" s="32"/>
    </row>
    <row r="11719" spans="6:6" ht="12.75" customHeight="1">
      <c r="F11719" s="32"/>
    </row>
    <row r="11720" spans="6:6" ht="12.75" customHeight="1">
      <c r="F11720" s="32"/>
    </row>
    <row r="11721" spans="6:6" ht="12.75" customHeight="1">
      <c r="F11721" s="32"/>
    </row>
    <row r="11722" spans="6:6" ht="12.75" customHeight="1">
      <c r="F11722" s="32"/>
    </row>
    <row r="11723" spans="6:6" ht="12.75" customHeight="1">
      <c r="F11723" s="32"/>
    </row>
    <row r="11724" spans="6:6" ht="12.75" customHeight="1">
      <c r="F11724" s="32"/>
    </row>
    <row r="11725" spans="6:6" ht="12.75" customHeight="1">
      <c r="F11725" s="32"/>
    </row>
    <row r="11726" spans="6:6" ht="12.75" customHeight="1">
      <c r="F11726" s="32"/>
    </row>
    <row r="11727" spans="6:6" ht="12.75" customHeight="1">
      <c r="F11727" s="32"/>
    </row>
    <row r="11728" spans="6:6" ht="12.75" customHeight="1">
      <c r="F11728" s="32"/>
    </row>
    <row r="11729" spans="6:6" ht="12.75" customHeight="1">
      <c r="F11729" s="32"/>
    </row>
    <row r="11730" spans="6:6" ht="12.75" customHeight="1">
      <c r="F11730" s="32"/>
    </row>
    <row r="11731" spans="6:6" ht="12.75" customHeight="1">
      <c r="F11731" s="32"/>
    </row>
    <row r="11732" spans="6:6" ht="12.75" customHeight="1">
      <c r="F11732" s="32"/>
    </row>
    <row r="11733" spans="6:6" ht="12.75" customHeight="1">
      <c r="F11733" s="32"/>
    </row>
    <row r="11734" spans="6:6" ht="12.75" customHeight="1">
      <c r="F11734" s="32"/>
    </row>
    <row r="11735" spans="6:6" ht="12.75" customHeight="1">
      <c r="F11735" s="32"/>
    </row>
    <row r="11736" spans="6:6" ht="12.75" customHeight="1">
      <c r="F11736" s="32"/>
    </row>
    <row r="11737" spans="6:6" ht="12.75" customHeight="1">
      <c r="F11737" s="32"/>
    </row>
    <row r="11738" spans="6:6" ht="12.75" customHeight="1">
      <c r="F11738" s="32"/>
    </row>
    <row r="11739" spans="6:6" ht="12.75" customHeight="1">
      <c r="F11739" s="32"/>
    </row>
    <row r="11740" spans="6:6" ht="12.75" customHeight="1">
      <c r="F11740" s="32"/>
    </row>
    <row r="11741" spans="6:6" ht="12.75" customHeight="1">
      <c r="F11741" s="32"/>
    </row>
    <row r="11742" spans="6:6" ht="12.75" customHeight="1">
      <c r="F11742" s="32"/>
    </row>
    <row r="11743" spans="6:6" ht="12.75" customHeight="1">
      <c r="F11743" s="32"/>
    </row>
    <row r="11744" spans="6:6" ht="12.75" customHeight="1">
      <c r="F11744" s="32"/>
    </row>
    <row r="11745" spans="6:6" ht="12.75" customHeight="1">
      <c r="F11745" s="32"/>
    </row>
    <row r="11746" spans="6:6" ht="12.75" customHeight="1">
      <c r="F11746" s="32"/>
    </row>
    <row r="11747" spans="6:6" ht="12.75" customHeight="1">
      <c r="F11747" s="32"/>
    </row>
    <row r="11748" spans="6:6" ht="12.75" customHeight="1">
      <c r="F11748" s="32"/>
    </row>
    <row r="11749" spans="6:6" ht="12.75" customHeight="1">
      <c r="F11749" s="32"/>
    </row>
    <row r="11750" spans="6:6" ht="12.75" customHeight="1">
      <c r="F11750" s="32"/>
    </row>
    <row r="11751" spans="6:6" ht="12.75" customHeight="1">
      <c r="F11751" s="32"/>
    </row>
    <row r="11752" spans="6:6" ht="12.75" customHeight="1">
      <c r="F11752" s="32"/>
    </row>
    <row r="11753" spans="6:6" ht="12.75" customHeight="1">
      <c r="F11753" s="32"/>
    </row>
    <row r="11754" spans="6:6" ht="12.75" customHeight="1">
      <c r="F11754" s="32"/>
    </row>
    <row r="11755" spans="6:6" ht="12.75" customHeight="1">
      <c r="F11755" s="32"/>
    </row>
    <row r="11756" spans="6:6" ht="12.75" customHeight="1">
      <c r="F11756" s="32"/>
    </row>
    <row r="11757" spans="6:6" ht="12.75" customHeight="1">
      <c r="F11757" s="32"/>
    </row>
    <row r="11758" spans="6:6" ht="12.75" customHeight="1">
      <c r="F11758" s="32"/>
    </row>
    <row r="11759" spans="6:6" ht="12.75" customHeight="1">
      <c r="F11759" s="32"/>
    </row>
    <row r="11760" spans="6:6" ht="12.75" customHeight="1">
      <c r="F11760" s="32"/>
    </row>
    <row r="11761" spans="6:6" ht="12.75" customHeight="1">
      <c r="F11761" s="32"/>
    </row>
    <row r="11762" spans="6:6" ht="12.75" customHeight="1">
      <c r="F11762" s="32"/>
    </row>
    <row r="11763" spans="6:6" ht="12.75" customHeight="1">
      <c r="F11763" s="32"/>
    </row>
    <row r="11764" spans="6:6" ht="12.75" customHeight="1">
      <c r="F11764" s="32"/>
    </row>
    <row r="11765" spans="6:6" ht="12.75" customHeight="1">
      <c r="F11765" s="32"/>
    </row>
    <row r="11766" spans="6:6" ht="12.75" customHeight="1">
      <c r="F11766" s="32"/>
    </row>
    <row r="11767" spans="6:6" ht="12.75" customHeight="1">
      <c r="F11767" s="32"/>
    </row>
    <row r="11768" spans="6:6" ht="12.75" customHeight="1">
      <c r="F11768" s="32"/>
    </row>
    <row r="11769" spans="6:6" ht="12.75" customHeight="1">
      <c r="F11769" s="32"/>
    </row>
    <row r="11770" spans="6:6" ht="12.75" customHeight="1">
      <c r="F11770" s="32"/>
    </row>
    <row r="11771" spans="6:6" ht="12.75" customHeight="1">
      <c r="F11771" s="32"/>
    </row>
    <row r="11772" spans="6:6" ht="12.75" customHeight="1">
      <c r="F11772" s="32"/>
    </row>
    <row r="11773" spans="6:6" ht="12.75" customHeight="1">
      <c r="F11773" s="32"/>
    </row>
    <row r="11774" spans="6:6" ht="12.75" customHeight="1">
      <c r="F11774" s="32"/>
    </row>
    <row r="11775" spans="6:6" ht="12.75" customHeight="1">
      <c r="F11775" s="32"/>
    </row>
    <row r="11776" spans="6:6" ht="12.75" customHeight="1">
      <c r="F11776" s="32"/>
    </row>
    <row r="11777" spans="6:6" ht="12.75" customHeight="1">
      <c r="F11777" s="32"/>
    </row>
    <row r="11778" spans="6:6" ht="12.75" customHeight="1">
      <c r="F11778" s="32"/>
    </row>
    <row r="11779" spans="6:6" ht="12.75" customHeight="1">
      <c r="F11779" s="32"/>
    </row>
    <row r="11780" spans="6:6" ht="12.75" customHeight="1">
      <c r="F11780" s="32"/>
    </row>
    <row r="11781" spans="6:6" ht="12.75" customHeight="1">
      <c r="F11781" s="32"/>
    </row>
    <row r="11782" spans="6:6" ht="12.75" customHeight="1">
      <c r="F11782" s="32"/>
    </row>
    <row r="11783" spans="6:6" ht="12.75" customHeight="1">
      <c r="F11783" s="32"/>
    </row>
    <row r="11784" spans="6:6" ht="12.75" customHeight="1">
      <c r="F11784" s="32"/>
    </row>
    <row r="11785" spans="6:6" ht="12.75" customHeight="1">
      <c r="F11785" s="32"/>
    </row>
    <row r="11786" spans="6:6" ht="12.75" customHeight="1">
      <c r="F11786" s="32"/>
    </row>
    <row r="11787" spans="6:6" ht="12.75" customHeight="1">
      <c r="F11787" s="32"/>
    </row>
    <row r="11788" spans="6:6" ht="12.75" customHeight="1">
      <c r="F11788" s="32"/>
    </row>
    <row r="11789" spans="6:6" ht="12.75" customHeight="1">
      <c r="F11789" s="32"/>
    </row>
    <row r="11790" spans="6:6" ht="12.75" customHeight="1">
      <c r="F11790" s="32"/>
    </row>
    <row r="11791" spans="6:6" ht="12.75" customHeight="1">
      <c r="F11791" s="32"/>
    </row>
    <row r="11792" spans="6:6" ht="12.75" customHeight="1">
      <c r="F11792" s="32"/>
    </row>
    <row r="11793" spans="6:6" ht="12.75" customHeight="1">
      <c r="F11793" s="32"/>
    </row>
    <row r="11794" spans="6:6" ht="12.75" customHeight="1">
      <c r="F11794" s="32"/>
    </row>
    <row r="11795" spans="6:6" ht="12.75" customHeight="1">
      <c r="F11795" s="32"/>
    </row>
    <row r="11796" spans="6:6" ht="12.75" customHeight="1">
      <c r="F11796" s="32"/>
    </row>
    <row r="11797" spans="6:6" ht="12.75" customHeight="1">
      <c r="F11797" s="32"/>
    </row>
    <row r="11798" spans="6:6" ht="12.75" customHeight="1">
      <c r="F11798" s="32"/>
    </row>
    <row r="11799" spans="6:6" ht="12.75" customHeight="1">
      <c r="F11799" s="32"/>
    </row>
    <row r="11800" spans="6:6" ht="12.75" customHeight="1">
      <c r="F11800" s="32"/>
    </row>
    <row r="11801" spans="6:6" ht="12.75" customHeight="1">
      <c r="F11801" s="32"/>
    </row>
    <row r="11802" spans="6:6" ht="12.75" customHeight="1">
      <c r="F11802" s="32"/>
    </row>
    <row r="11803" spans="6:6" ht="12.75" customHeight="1">
      <c r="F11803" s="32"/>
    </row>
    <row r="11804" spans="6:6" ht="12.75" customHeight="1">
      <c r="F11804" s="32"/>
    </row>
    <row r="11805" spans="6:6" ht="12.75" customHeight="1">
      <c r="F11805" s="32"/>
    </row>
    <row r="11806" spans="6:6" ht="12.75" customHeight="1">
      <c r="F11806" s="32"/>
    </row>
    <row r="11807" spans="6:6" ht="12.75" customHeight="1">
      <c r="F11807" s="32"/>
    </row>
    <row r="11808" spans="6:6" ht="12.75" customHeight="1">
      <c r="F11808" s="32"/>
    </row>
    <row r="11809" spans="6:6" ht="12.75" customHeight="1">
      <c r="F11809" s="32"/>
    </row>
    <row r="11810" spans="6:6" ht="12.75" customHeight="1">
      <c r="F11810" s="32"/>
    </row>
    <row r="11811" spans="6:6" ht="12.75" customHeight="1">
      <c r="F11811" s="32"/>
    </row>
    <row r="11812" spans="6:6" ht="12.75" customHeight="1">
      <c r="F11812" s="32"/>
    </row>
    <row r="11813" spans="6:6" ht="12.75" customHeight="1">
      <c r="F11813" s="32"/>
    </row>
    <row r="11814" spans="6:6" ht="12.75" customHeight="1">
      <c r="F11814" s="32"/>
    </row>
    <row r="11815" spans="6:6" ht="12.75" customHeight="1">
      <c r="F11815" s="32"/>
    </row>
    <row r="11816" spans="6:6" ht="12.75" customHeight="1">
      <c r="F11816" s="32"/>
    </row>
    <row r="11817" spans="6:6" ht="12.75" customHeight="1">
      <c r="F11817" s="32"/>
    </row>
    <row r="11818" spans="6:6" ht="12.75" customHeight="1">
      <c r="F11818" s="32"/>
    </row>
    <row r="11819" spans="6:6" ht="12.75" customHeight="1">
      <c r="F11819" s="32"/>
    </row>
    <row r="11820" spans="6:6" ht="12.75" customHeight="1">
      <c r="F11820" s="32"/>
    </row>
    <row r="11821" spans="6:6" ht="12.75" customHeight="1">
      <c r="F11821" s="32"/>
    </row>
    <row r="11822" spans="6:6" ht="12.75" customHeight="1">
      <c r="F11822" s="32"/>
    </row>
    <row r="11823" spans="6:6" ht="12.75" customHeight="1">
      <c r="F11823" s="32"/>
    </row>
    <row r="11824" spans="6:6" ht="12.75" customHeight="1">
      <c r="F11824" s="32"/>
    </row>
    <row r="11825" spans="6:6" ht="12.75" customHeight="1">
      <c r="F11825" s="32"/>
    </row>
    <row r="11826" spans="6:6" ht="12.75" customHeight="1">
      <c r="F11826" s="32"/>
    </row>
    <row r="11827" spans="6:6" ht="12.75" customHeight="1">
      <c r="F11827" s="32"/>
    </row>
    <row r="11828" spans="6:6" ht="12.75" customHeight="1">
      <c r="F11828" s="32"/>
    </row>
    <row r="11829" spans="6:6" ht="12.75" customHeight="1">
      <c r="F11829" s="32"/>
    </row>
    <row r="11830" spans="6:6" ht="12.75" customHeight="1">
      <c r="F11830" s="32"/>
    </row>
    <row r="11831" spans="6:6" ht="12.75" customHeight="1">
      <c r="F11831" s="32"/>
    </row>
    <row r="11832" spans="6:6" ht="12.75" customHeight="1">
      <c r="F11832" s="32"/>
    </row>
    <row r="11833" spans="6:6" ht="12.75" customHeight="1">
      <c r="F11833" s="32"/>
    </row>
    <row r="11834" spans="6:6" ht="12.75" customHeight="1">
      <c r="F11834" s="32"/>
    </row>
    <row r="11835" spans="6:6" ht="12.75" customHeight="1">
      <c r="F11835" s="32"/>
    </row>
    <row r="11836" spans="6:6" ht="12.75" customHeight="1">
      <c r="F11836" s="32"/>
    </row>
    <row r="11837" spans="6:6" ht="12.75" customHeight="1">
      <c r="F11837" s="32"/>
    </row>
    <row r="11838" spans="6:6" ht="12.75" customHeight="1">
      <c r="F11838" s="32"/>
    </row>
    <row r="11839" spans="6:6" ht="12.75" customHeight="1">
      <c r="F11839" s="32"/>
    </row>
    <row r="11840" spans="6:6" ht="12.75" customHeight="1">
      <c r="F11840" s="32"/>
    </row>
    <row r="11841" spans="6:6" ht="12.75" customHeight="1">
      <c r="F11841" s="32"/>
    </row>
    <row r="11842" spans="6:6" ht="12.75" customHeight="1">
      <c r="F11842" s="32"/>
    </row>
    <row r="11843" spans="6:6" ht="12.75" customHeight="1">
      <c r="F11843" s="32"/>
    </row>
    <row r="11844" spans="6:6" ht="12.75" customHeight="1">
      <c r="F11844" s="32"/>
    </row>
    <row r="11845" spans="6:6" ht="12.75" customHeight="1">
      <c r="F11845" s="32"/>
    </row>
    <row r="11846" spans="6:6" ht="12.75" customHeight="1">
      <c r="F11846" s="32"/>
    </row>
    <row r="11847" spans="6:6" ht="12.75" customHeight="1">
      <c r="F11847" s="32"/>
    </row>
    <row r="11848" spans="6:6" ht="12.75" customHeight="1">
      <c r="F11848" s="32"/>
    </row>
    <row r="11849" spans="6:6" ht="12.75" customHeight="1">
      <c r="F11849" s="32"/>
    </row>
    <row r="11850" spans="6:6" ht="12.75" customHeight="1">
      <c r="F11850" s="32"/>
    </row>
    <row r="11851" spans="6:6" ht="12.75" customHeight="1">
      <c r="F11851" s="32"/>
    </row>
    <row r="11852" spans="6:6" ht="12.75" customHeight="1">
      <c r="F11852" s="32"/>
    </row>
    <row r="11853" spans="6:6" ht="12.75" customHeight="1">
      <c r="F11853" s="32"/>
    </row>
    <row r="11854" spans="6:6" ht="12.75" customHeight="1">
      <c r="F11854" s="32"/>
    </row>
    <row r="11855" spans="6:6" ht="12.75" customHeight="1">
      <c r="F11855" s="32"/>
    </row>
    <row r="11856" spans="6:6" ht="12.75" customHeight="1">
      <c r="F11856" s="32"/>
    </row>
    <row r="11857" spans="6:6" ht="12.75" customHeight="1">
      <c r="F11857" s="32"/>
    </row>
    <row r="11858" spans="6:6" ht="12.75" customHeight="1">
      <c r="F11858" s="32"/>
    </row>
    <row r="11859" spans="6:6" ht="12.75" customHeight="1">
      <c r="F11859" s="32"/>
    </row>
    <row r="11860" spans="6:6" ht="12.75" customHeight="1">
      <c r="F11860" s="32"/>
    </row>
    <row r="11861" spans="6:6" ht="12.75" customHeight="1">
      <c r="F11861" s="32"/>
    </row>
    <row r="11862" spans="6:6" ht="12.75" customHeight="1">
      <c r="F11862" s="32"/>
    </row>
    <row r="11863" spans="6:6" ht="12.75" customHeight="1">
      <c r="F11863" s="32"/>
    </row>
    <row r="11864" spans="6:6" ht="12.75" customHeight="1">
      <c r="F11864" s="32"/>
    </row>
    <row r="11865" spans="6:6" ht="12.75" customHeight="1">
      <c r="F11865" s="32"/>
    </row>
    <row r="11866" spans="6:6" ht="12.75" customHeight="1">
      <c r="F11866" s="32"/>
    </row>
    <row r="11867" spans="6:6" ht="12.75" customHeight="1">
      <c r="F11867" s="32"/>
    </row>
    <row r="11868" spans="6:6" ht="12.75" customHeight="1">
      <c r="F11868" s="32"/>
    </row>
    <row r="11869" spans="6:6" ht="12.75" customHeight="1">
      <c r="F11869" s="32"/>
    </row>
    <row r="11870" spans="6:6" ht="12.75" customHeight="1">
      <c r="F11870" s="32"/>
    </row>
    <row r="11871" spans="6:6" ht="12.75" customHeight="1">
      <c r="F11871" s="32"/>
    </row>
    <row r="11872" spans="6:6" ht="12.75" customHeight="1">
      <c r="F11872" s="32"/>
    </row>
    <row r="11873" spans="6:6" ht="12.75" customHeight="1">
      <c r="F11873" s="32"/>
    </row>
    <row r="11874" spans="6:6" ht="12.75" customHeight="1">
      <c r="F11874" s="32"/>
    </row>
    <row r="11875" spans="6:6" ht="12.75" customHeight="1">
      <c r="F11875" s="32"/>
    </row>
    <row r="11876" spans="6:6" ht="12.75" customHeight="1">
      <c r="F11876" s="32"/>
    </row>
    <row r="11877" spans="6:6" ht="12.75" customHeight="1">
      <c r="F11877" s="32"/>
    </row>
    <row r="11878" spans="6:6" ht="12.75" customHeight="1">
      <c r="F11878" s="32"/>
    </row>
    <row r="11879" spans="6:6" ht="12.75" customHeight="1">
      <c r="F11879" s="32"/>
    </row>
    <row r="11880" spans="6:6" ht="12.75" customHeight="1">
      <c r="F11880" s="32"/>
    </row>
    <row r="11881" spans="6:6" ht="12.75" customHeight="1">
      <c r="F11881" s="32"/>
    </row>
    <row r="11882" spans="6:6" ht="12.75" customHeight="1">
      <c r="F11882" s="32"/>
    </row>
    <row r="11883" spans="6:6" ht="12.75" customHeight="1">
      <c r="F11883" s="32"/>
    </row>
    <row r="11884" spans="6:6" ht="12.75" customHeight="1">
      <c r="F11884" s="32"/>
    </row>
    <row r="11885" spans="6:6" ht="12.75" customHeight="1">
      <c r="F11885" s="32"/>
    </row>
    <row r="11886" spans="6:6" ht="12.75" customHeight="1">
      <c r="F11886" s="32"/>
    </row>
    <row r="11887" spans="6:6" ht="12.75" customHeight="1">
      <c r="F11887" s="32"/>
    </row>
    <row r="11888" spans="6:6" ht="12.75" customHeight="1">
      <c r="F11888" s="32"/>
    </row>
    <row r="11889" spans="6:6" ht="12.75" customHeight="1">
      <c r="F11889" s="32"/>
    </row>
    <row r="11890" spans="6:6" ht="12.75" customHeight="1">
      <c r="F11890" s="32"/>
    </row>
    <row r="11891" spans="6:6" ht="12.75" customHeight="1">
      <c r="F11891" s="32"/>
    </row>
    <row r="11892" spans="6:6" ht="12.75" customHeight="1">
      <c r="F11892" s="32"/>
    </row>
    <row r="11893" spans="6:6" ht="12.75" customHeight="1">
      <c r="F11893" s="32"/>
    </row>
    <row r="11894" spans="6:6" ht="12.75" customHeight="1">
      <c r="F11894" s="32"/>
    </row>
    <row r="11895" spans="6:6" ht="12.75" customHeight="1">
      <c r="F11895" s="32"/>
    </row>
    <row r="11896" spans="6:6" ht="12.75" customHeight="1">
      <c r="F11896" s="32"/>
    </row>
    <row r="11897" spans="6:6" ht="12.75" customHeight="1">
      <c r="F11897" s="32"/>
    </row>
    <row r="11898" spans="6:6" ht="12.75" customHeight="1">
      <c r="F11898" s="32"/>
    </row>
    <row r="11899" spans="6:6" ht="12.75" customHeight="1">
      <c r="F11899" s="32"/>
    </row>
    <row r="11900" spans="6:6" ht="12.75" customHeight="1">
      <c r="F11900" s="32"/>
    </row>
    <row r="11901" spans="6:6" ht="12.75" customHeight="1">
      <c r="F11901" s="32"/>
    </row>
    <row r="11902" spans="6:6" ht="12.75" customHeight="1">
      <c r="F11902" s="32"/>
    </row>
    <row r="11903" spans="6:6" ht="12.75" customHeight="1">
      <c r="F11903" s="32"/>
    </row>
    <row r="11904" spans="6:6" ht="12.75" customHeight="1">
      <c r="F11904" s="32"/>
    </row>
    <row r="11905" spans="6:6" ht="12.75" customHeight="1">
      <c r="F11905" s="32"/>
    </row>
    <row r="11906" spans="6:6" ht="12.75" customHeight="1">
      <c r="F11906" s="32"/>
    </row>
    <row r="11907" spans="6:6" ht="12.75" customHeight="1">
      <c r="F11907" s="32"/>
    </row>
    <row r="11908" spans="6:6" ht="12.75" customHeight="1">
      <c r="F11908" s="32"/>
    </row>
    <row r="11909" spans="6:6" ht="12.75" customHeight="1">
      <c r="F11909" s="32"/>
    </row>
    <row r="11910" spans="6:6" ht="12.75" customHeight="1">
      <c r="F11910" s="32"/>
    </row>
    <row r="11911" spans="6:6" ht="12.75" customHeight="1">
      <c r="F11911" s="32"/>
    </row>
    <row r="11912" spans="6:6" ht="12.75" customHeight="1">
      <c r="F11912" s="32"/>
    </row>
    <row r="11913" spans="6:6" ht="12.75" customHeight="1">
      <c r="F11913" s="32"/>
    </row>
    <row r="11914" spans="6:6" ht="12.75" customHeight="1">
      <c r="F11914" s="32"/>
    </row>
    <row r="11915" spans="6:6" ht="12.75" customHeight="1">
      <c r="F11915" s="32"/>
    </row>
    <row r="11916" spans="6:6" ht="12.75" customHeight="1">
      <c r="F11916" s="32"/>
    </row>
    <row r="11917" spans="6:6" ht="12.75" customHeight="1">
      <c r="F11917" s="32"/>
    </row>
    <row r="11918" spans="6:6" ht="12.75" customHeight="1">
      <c r="F11918" s="32"/>
    </row>
    <row r="11919" spans="6:6" ht="12.75" customHeight="1">
      <c r="F11919" s="32"/>
    </row>
    <row r="11920" spans="6:6" ht="12.75" customHeight="1">
      <c r="F11920" s="32"/>
    </row>
    <row r="11921" spans="6:6" ht="12.75" customHeight="1">
      <c r="F11921" s="32"/>
    </row>
    <row r="11922" spans="6:6" ht="12.75" customHeight="1">
      <c r="F11922" s="32"/>
    </row>
    <row r="11923" spans="6:6" ht="12.75" customHeight="1">
      <c r="F11923" s="32"/>
    </row>
    <row r="11924" spans="6:6" ht="12.75" customHeight="1">
      <c r="F11924" s="32"/>
    </row>
    <row r="11925" spans="6:6" ht="12.75" customHeight="1">
      <c r="F11925" s="32"/>
    </row>
    <row r="11926" spans="6:6" ht="12.75" customHeight="1">
      <c r="F11926" s="32"/>
    </row>
    <row r="11927" spans="6:6" ht="12.75" customHeight="1">
      <c r="F11927" s="32"/>
    </row>
    <row r="11928" spans="6:6" ht="12.75" customHeight="1">
      <c r="F11928" s="32"/>
    </row>
    <row r="11929" spans="6:6" ht="12.75" customHeight="1">
      <c r="F11929" s="32"/>
    </row>
    <row r="11930" spans="6:6" ht="12.75" customHeight="1">
      <c r="F11930" s="32"/>
    </row>
    <row r="11931" spans="6:6" ht="12.75" customHeight="1">
      <c r="F11931" s="32"/>
    </row>
    <row r="11932" spans="6:6" ht="12.75" customHeight="1">
      <c r="F11932" s="32"/>
    </row>
    <row r="11933" spans="6:6" ht="12.75" customHeight="1">
      <c r="F11933" s="32"/>
    </row>
    <row r="11934" spans="6:6" ht="12.75" customHeight="1">
      <c r="F11934" s="32"/>
    </row>
    <row r="11935" spans="6:6" ht="12.75" customHeight="1">
      <c r="F11935" s="32"/>
    </row>
    <row r="11936" spans="6:6" ht="12.75" customHeight="1">
      <c r="F11936" s="32"/>
    </row>
    <row r="11937" spans="6:6" ht="12.75" customHeight="1">
      <c r="F11937" s="32"/>
    </row>
    <row r="11938" spans="6:6" ht="12.75" customHeight="1">
      <c r="F11938" s="32"/>
    </row>
    <row r="11939" spans="6:6" ht="12.75" customHeight="1">
      <c r="F11939" s="32"/>
    </row>
    <row r="11940" spans="6:6" ht="12.75" customHeight="1">
      <c r="F11940" s="32"/>
    </row>
    <row r="11941" spans="6:6" ht="12.75" customHeight="1">
      <c r="F11941" s="32"/>
    </row>
    <row r="11942" spans="6:6" ht="12.75" customHeight="1">
      <c r="F11942" s="32"/>
    </row>
    <row r="11943" spans="6:6" ht="12.75" customHeight="1">
      <c r="F11943" s="32"/>
    </row>
    <row r="11944" spans="6:6" ht="12.75" customHeight="1">
      <c r="F11944" s="32"/>
    </row>
    <row r="11945" spans="6:6" ht="12.75" customHeight="1">
      <c r="F11945" s="32"/>
    </row>
    <row r="11946" spans="6:6" ht="12.75" customHeight="1">
      <c r="F11946" s="32"/>
    </row>
    <row r="11947" spans="6:6" ht="12.75" customHeight="1">
      <c r="F11947" s="32"/>
    </row>
    <row r="11948" spans="6:6" ht="12.75" customHeight="1">
      <c r="F11948" s="32"/>
    </row>
    <row r="11949" spans="6:6" ht="12.75" customHeight="1">
      <c r="F11949" s="32"/>
    </row>
    <row r="11950" spans="6:6" ht="12.75" customHeight="1">
      <c r="F11950" s="32"/>
    </row>
    <row r="11951" spans="6:6" ht="12.75" customHeight="1">
      <c r="F11951" s="32"/>
    </row>
    <row r="11952" spans="6:6" ht="12.75" customHeight="1">
      <c r="F11952" s="32"/>
    </row>
    <row r="11953" spans="6:6" ht="12.75" customHeight="1">
      <c r="F11953" s="32"/>
    </row>
    <row r="11954" spans="6:6" ht="12.75" customHeight="1">
      <c r="F11954" s="32"/>
    </row>
    <row r="11955" spans="6:6" ht="12.75" customHeight="1">
      <c r="F11955" s="32"/>
    </row>
    <row r="11956" spans="6:6" ht="12.75" customHeight="1">
      <c r="F11956" s="32"/>
    </row>
    <row r="11957" spans="6:6" ht="12.75" customHeight="1">
      <c r="F11957" s="32"/>
    </row>
    <row r="11958" spans="6:6" ht="12.75" customHeight="1">
      <c r="F11958" s="32"/>
    </row>
    <row r="11959" spans="6:6" ht="12.75" customHeight="1">
      <c r="F11959" s="32"/>
    </row>
    <row r="11960" spans="6:6" ht="12.75" customHeight="1">
      <c r="F11960" s="32"/>
    </row>
    <row r="11961" spans="6:6" ht="12.75" customHeight="1">
      <c r="F11961" s="32"/>
    </row>
    <row r="11962" spans="6:6" ht="12.75" customHeight="1">
      <c r="F11962" s="32"/>
    </row>
    <row r="11963" spans="6:6" ht="12.75" customHeight="1">
      <c r="F11963" s="32"/>
    </row>
    <row r="11964" spans="6:6" ht="12.75" customHeight="1">
      <c r="F11964" s="32"/>
    </row>
    <row r="11965" spans="6:6" ht="12.75" customHeight="1">
      <c r="F11965" s="32"/>
    </row>
    <row r="11966" spans="6:6" ht="12.75" customHeight="1">
      <c r="F11966" s="32"/>
    </row>
    <row r="11967" spans="6:6" ht="12.75" customHeight="1">
      <c r="F11967" s="32"/>
    </row>
    <row r="11968" spans="6:6" ht="12.75" customHeight="1">
      <c r="F11968" s="32"/>
    </row>
    <row r="11969" spans="6:6" ht="12.75" customHeight="1">
      <c r="F11969" s="32"/>
    </row>
    <row r="11970" spans="6:6" ht="12.75" customHeight="1">
      <c r="F11970" s="32"/>
    </row>
    <row r="11971" spans="6:6" ht="12.75" customHeight="1">
      <c r="F11971" s="32"/>
    </row>
    <row r="11972" spans="6:6" ht="12.75" customHeight="1">
      <c r="F11972" s="32"/>
    </row>
    <row r="11973" spans="6:6" ht="12.75" customHeight="1">
      <c r="F11973" s="32"/>
    </row>
    <row r="11974" spans="6:6" ht="12.75" customHeight="1">
      <c r="F11974" s="32"/>
    </row>
    <row r="11975" spans="6:6" ht="12.75" customHeight="1">
      <c r="F11975" s="32"/>
    </row>
    <row r="11976" spans="6:6" ht="12.75" customHeight="1">
      <c r="F11976" s="32"/>
    </row>
    <row r="11977" spans="6:6" ht="12.75" customHeight="1">
      <c r="F11977" s="32"/>
    </row>
    <row r="11978" spans="6:6" ht="12.75" customHeight="1">
      <c r="F11978" s="32"/>
    </row>
    <row r="11979" spans="6:6" ht="12.75" customHeight="1">
      <c r="F11979" s="32"/>
    </row>
    <row r="11980" spans="6:6" ht="12.75" customHeight="1">
      <c r="F11980" s="32"/>
    </row>
    <row r="11981" spans="6:6" ht="12.75" customHeight="1">
      <c r="F11981" s="32"/>
    </row>
    <row r="11982" spans="6:6" ht="12.75" customHeight="1">
      <c r="F11982" s="32"/>
    </row>
    <row r="11983" spans="6:6" ht="12.75" customHeight="1">
      <c r="F11983" s="32"/>
    </row>
    <row r="11984" spans="6:6" ht="12.75" customHeight="1">
      <c r="F11984" s="32"/>
    </row>
    <row r="11985" spans="6:6" ht="12.75" customHeight="1">
      <c r="F11985" s="32"/>
    </row>
    <row r="11986" spans="6:6" ht="12.75" customHeight="1">
      <c r="F11986" s="32"/>
    </row>
    <row r="11987" spans="6:6" ht="12.75" customHeight="1">
      <c r="F11987" s="32"/>
    </row>
    <row r="11988" spans="6:6" ht="12.75" customHeight="1">
      <c r="F11988" s="32"/>
    </row>
    <row r="11989" spans="6:6" ht="12.75" customHeight="1">
      <c r="F11989" s="32"/>
    </row>
    <row r="11990" spans="6:6" ht="12.75" customHeight="1">
      <c r="F11990" s="32"/>
    </row>
    <row r="11991" spans="6:6" ht="12.75" customHeight="1">
      <c r="F11991" s="32"/>
    </row>
    <row r="11992" spans="6:6" ht="12.75" customHeight="1">
      <c r="F11992" s="32"/>
    </row>
    <row r="11993" spans="6:6" ht="12.75" customHeight="1">
      <c r="F11993" s="32"/>
    </row>
    <row r="11994" spans="6:6" ht="12.75" customHeight="1">
      <c r="F11994" s="32"/>
    </row>
    <row r="11995" spans="6:6" ht="12.75" customHeight="1">
      <c r="F11995" s="32"/>
    </row>
    <row r="11996" spans="6:6" ht="12.75" customHeight="1">
      <c r="F11996" s="32"/>
    </row>
    <row r="11997" spans="6:6" ht="12.75" customHeight="1">
      <c r="F11997" s="32"/>
    </row>
    <row r="11998" spans="6:6" ht="12.75" customHeight="1">
      <c r="F11998" s="32"/>
    </row>
    <row r="11999" spans="6:6" ht="12.75" customHeight="1">
      <c r="F11999" s="32"/>
    </row>
    <row r="12000" spans="6:6" ht="12.75" customHeight="1">
      <c r="F12000" s="32"/>
    </row>
    <row r="12001" spans="6:6" ht="12.75" customHeight="1">
      <c r="F12001" s="32"/>
    </row>
    <row r="12002" spans="6:6" ht="12.75" customHeight="1">
      <c r="F12002" s="32"/>
    </row>
    <row r="12003" spans="6:6" ht="12.75" customHeight="1">
      <c r="F12003" s="32"/>
    </row>
    <row r="12004" spans="6:6" ht="12.75" customHeight="1">
      <c r="F12004" s="32"/>
    </row>
    <row r="12005" spans="6:6" ht="12.75" customHeight="1">
      <c r="F12005" s="32"/>
    </row>
    <row r="12006" spans="6:6" ht="12.75" customHeight="1">
      <c r="F12006" s="32"/>
    </row>
    <row r="12007" spans="6:6" ht="12.75" customHeight="1">
      <c r="F12007" s="32"/>
    </row>
    <row r="12008" spans="6:6" ht="12.75" customHeight="1">
      <c r="F12008" s="32"/>
    </row>
    <row r="12009" spans="6:6" ht="12.75" customHeight="1">
      <c r="F12009" s="32"/>
    </row>
    <row r="12010" spans="6:6" ht="12.75" customHeight="1">
      <c r="F12010" s="32"/>
    </row>
    <row r="12011" spans="6:6" ht="12.75" customHeight="1">
      <c r="F12011" s="32"/>
    </row>
    <row r="12012" spans="6:6" ht="12.75" customHeight="1">
      <c r="F12012" s="32"/>
    </row>
    <row r="12013" spans="6:6" ht="12.75" customHeight="1">
      <c r="F12013" s="32"/>
    </row>
    <row r="12014" spans="6:6" ht="12.75" customHeight="1">
      <c r="F12014" s="32"/>
    </row>
    <row r="12015" spans="6:6" ht="12.75" customHeight="1">
      <c r="F12015" s="32"/>
    </row>
    <row r="12016" spans="6:6" ht="12.75" customHeight="1">
      <c r="F12016" s="32"/>
    </row>
    <row r="12017" spans="6:6" ht="12.75" customHeight="1">
      <c r="F12017" s="32"/>
    </row>
    <row r="12018" spans="6:6" ht="12.75" customHeight="1">
      <c r="F12018" s="32"/>
    </row>
    <row r="12019" spans="6:6" ht="12.75" customHeight="1">
      <c r="F12019" s="32"/>
    </row>
    <row r="12020" spans="6:6" ht="12.75" customHeight="1">
      <c r="F12020" s="32"/>
    </row>
    <row r="12021" spans="6:6" ht="12.75" customHeight="1">
      <c r="F12021" s="32"/>
    </row>
    <row r="12022" spans="6:6" ht="12.75" customHeight="1">
      <c r="F12022" s="32"/>
    </row>
    <row r="12023" spans="6:6" ht="12.75" customHeight="1">
      <c r="F12023" s="32"/>
    </row>
    <row r="12024" spans="6:6" ht="12.75" customHeight="1">
      <c r="F12024" s="32"/>
    </row>
    <row r="12025" spans="6:6" ht="12.75" customHeight="1">
      <c r="F12025" s="32"/>
    </row>
    <row r="12026" spans="6:6" ht="12.75" customHeight="1">
      <c r="F12026" s="32"/>
    </row>
    <row r="12027" spans="6:6" ht="12.75" customHeight="1">
      <c r="F12027" s="32"/>
    </row>
    <row r="12028" spans="6:6" ht="12.75" customHeight="1">
      <c r="F12028" s="32"/>
    </row>
    <row r="12029" spans="6:6" ht="12.75" customHeight="1">
      <c r="F12029" s="32"/>
    </row>
    <row r="12030" spans="6:6" ht="12.75" customHeight="1">
      <c r="F12030" s="32"/>
    </row>
    <row r="12031" spans="6:6" ht="12.75" customHeight="1">
      <c r="F12031" s="32"/>
    </row>
    <row r="12032" spans="6:6" ht="12.75" customHeight="1">
      <c r="F12032" s="32"/>
    </row>
    <row r="12033" spans="6:6" ht="12.75" customHeight="1">
      <c r="F12033" s="32"/>
    </row>
    <row r="12034" spans="6:6" ht="12.75" customHeight="1">
      <c r="F12034" s="32"/>
    </row>
    <row r="12035" spans="6:6" ht="12.75" customHeight="1">
      <c r="F12035" s="32"/>
    </row>
    <row r="12036" spans="6:6" ht="12.75" customHeight="1">
      <c r="F12036" s="32"/>
    </row>
    <row r="12037" spans="6:6" ht="12.75" customHeight="1">
      <c r="F12037" s="32"/>
    </row>
    <row r="12038" spans="6:6" ht="12.75" customHeight="1">
      <c r="F12038" s="32"/>
    </row>
    <row r="12039" spans="6:6" ht="12.75" customHeight="1">
      <c r="F12039" s="32"/>
    </row>
    <row r="12040" spans="6:6" ht="12.75" customHeight="1">
      <c r="F12040" s="32"/>
    </row>
    <row r="12041" spans="6:6" ht="12.75" customHeight="1">
      <c r="F12041" s="32"/>
    </row>
    <row r="12042" spans="6:6" ht="12.75" customHeight="1">
      <c r="F12042" s="32"/>
    </row>
    <row r="12043" spans="6:6" ht="12.75" customHeight="1">
      <c r="F12043" s="32"/>
    </row>
    <row r="12044" spans="6:6" ht="12.75" customHeight="1">
      <c r="F12044" s="32"/>
    </row>
    <row r="12045" spans="6:6" ht="12.75" customHeight="1">
      <c r="F12045" s="32"/>
    </row>
    <row r="12046" spans="6:6" ht="12.75" customHeight="1">
      <c r="F12046" s="32"/>
    </row>
    <row r="12047" spans="6:6" ht="12.75" customHeight="1">
      <c r="F12047" s="32"/>
    </row>
    <row r="12048" spans="6:6" ht="12.75" customHeight="1">
      <c r="F12048" s="32"/>
    </row>
    <row r="12049" spans="6:6" ht="12.75" customHeight="1">
      <c r="F12049" s="32"/>
    </row>
    <row r="12050" spans="6:6" ht="12.75" customHeight="1">
      <c r="F12050" s="32"/>
    </row>
    <row r="12051" spans="6:6" ht="12.75" customHeight="1">
      <c r="F12051" s="32"/>
    </row>
    <row r="12052" spans="6:6" ht="12.75" customHeight="1">
      <c r="F12052" s="32"/>
    </row>
    <row r="12053" spans="6:6" ht="12.75" customHeight="1">
      <c r="F12053" s="32"/>
    </row>
    <row r="12054" spans="6:6" ht="12.75" customHeight="1">
      <c r="F12054" s="32"/>
    </row>
    <row r="12055" spans="6:6" ht="12.75" customHeight="1">
      <c r="F12055" s="32"/>
    </row>
    <row r="12056" spans="6:6" ht="12.75" customHeight="1">
      <c r="F12056" s="32"/>
    </row>
    <row r="12057" spans="6:6" ht="12.75" customHeight="1">
      <c r="F12057" s="32"/>
    </row>
    <row r="12058" spans="6:6" ht="12.75" customHeight="1">
      <c r="F12058" s="32"/>
    </row>
    <row r="12059" spans="6:6" ht="12.75" customHeight="1">
      <c r="F12059" s="32"/>
    </row>
    <row r="12060" spans="6:6" ht="12.75" customHeight="1">
      <c r="F12060" s="32"/>
    </row>
    <row r="12061" spans="6:6" ht="12.75" customHeight="1">
      <c r="F12061" s="32"/>
    </row>
    <row r="12062" spans="6:6" ht="12.75" customHeight="1">
      <c r="F12062" s="32"/>
    </row>
    <row r="12063" spans="6:6" ht="12.75" customHeight="1">
      <c r="F12063" s="32"/>
    </row>
    <row r="12064" spans="6:6" ht="12.75" customHeight="1">
      <c r="F12064" s="32"/>
    </row>
    <row r="12065" spans="6:6" ht="12.75" customHeight="1">
      <c r="F12065" s="32"/>
    </row>
    <row r="12066" spans="6:6" ht="12.75" customHeight="1">
      <c r="F12066" s="32"/>
    </row>
    <row r="12067" spans="6:6" ht="12.75" customHeight="1">
      <c r="F12067" s="32"/>
    </row>
    <row r="12068" spans="6:6" ht="12.75" customHeight="1">
      <c r="F12068" s="32"/>
    </row>
    <row r="12069" spans="6:6" ht="12.75" customHeight="1">
      <c r="F12069" s="32"/>
    </row>
    <row r="12070" spans="6:6" ht="12.75" customHeight="1">
      <c r="F12070" s="32"/>
    </row>
    <row r="12071" spans="6:6" ht="12.75" customHeight="1">
      <c r="F12071" s="32"/>
    </row>
    <row r="12072" spans="6:6" ht="12.75" customHeight="1">
      <c r="F12072" s="32"/>
    </row>
    <row r="12073" spans="6:6" ht="12.75" customHeight="1">
      <c r="F12073" s="32"/>
    </row>
    <row r="12074" spans="6:6" ht="12.75" customHeight="1">
      <c r="F12074" s="32"/>
    </row>
    <row r="12075" spans="6:6" ht="12.75" customHeight="1">
      <c r="F12075" s="32"/>
    </row>
    <row r="12076" spans="6:6" ht="12.75" customHeight="1">
      <c r="F12076" s="32"/>
    </row>
    <row r="12077" spans="6:6" ht="12.75" customHeight="1">
      <c r="F12077" s="32"/>
    </row>
    <row r="12078" spans="6:6" ht="12.75" customHeight="1">
      <c r="F12078" s="32"/>
    </row>
    <row r="12079" spans="6:6" ht="12.75" customHeight="1">
      <c r="F12079" s="32"/>
    </row>
    <row r="12080" spans="6:6" ht="12.75" customHeight="1">
      <c r="F12080" s="32"/>
    </row>
    <row r="12081" spans="6:6" ht="12.75" customHeight="1">
      <c r="F12081" s="32"/>
    </row>
    <row r="12082" spans="6:6" ht="12.75" customHeight="1">
      <c r="F12082" s="32"/>
    </row>
    <row r="12083" spans="6:6" ht="12.75" customHeight="1">
      <c r="F12083" s="32"/>
    </row>
    <row r="12084" spans="6:6" ht="12.75" customHeight="1">
      <c r="F12084" s="32"/>
    </row>
    <row r="12085" spans="6:6" ht="12.75" customHeight="1">
      <c r="F12085" s="32"/>
    </row>
    <row r="12086" spans="6:6" ht="12.75" customHeight="1">
      <c r="F12086" s="32"/>
    </row>
    <row r="12087" spans="6:6" ht="12.75" customHeight="1">
      <c r="F12087" s="32"/>
    </row>
    <row r="12088" spans="6:6" ht="12.75" customHeight="1">
      <c r="F12088" s="32"/>
    </row>
    <row r="12089" spans="6:6" ht="12.75" customHeight="1">
      <c r="F12089" s="32"/>
    </row>
    <row r="12090" spans="6:6" ht="12.75" customHeight="1">
      <c r="F12090" s="32"/>
    </row>
    <row r="12091" spans="6:6" ht="12.75" customHeight="1">
      <c r="F12091" s="32"/>
    </row>
    <row r="12092" spans="6:6" ht="12.75" customHeight="1">
      <c r="F12092" s="32"/>
    </row>
    <row r="12093" spans="6:6" ht="12.75" customHeight="1">
      <c r="F12093" s="32"/>
    </row>
    <row r="12094" spans="6:6" ht="12.75" customHeight="1">
      <c r="F12094" s="32"/>
    </row>
    <row r="12095" spans="6:6" ht="12.75" customHeight="1">
      <c r="F12095" s="32"/>
    </row>
    <row r="12096" spans="6:6" ht="12.75" customHeight="1">
      <c r="F12096" s="32"/>
    </row>
    <row r="12097" spans="6:6" ht="12.75" customHeight="1">
      <c r="F12097" s="32"/>
    </row>
    <row r="12098" spans="6:6" ht="12.75" customHeight="1">
      <c r="F12098" s="32"/>
    </row>
    <row r="12099" spans="6:6" ht="12.75" customHeight="1">
      <c r="F12099" s="32"/>
    </row>
    <row r="12100" spans="6:6" ht="12.75" customHeight="1">
      <c r="F12100" s="32"/>
    </row>
    <row r="12101" spans="6:6" ht="12.75" customHeight="1">
      <c r="F12101" s="32"/>
    </row>
    <row r="12102" spans="6:6" ht="12.75" customHeight="1">
      <c r="F12102" s="32"/>
    </row>
    <row r="12103" spans="6:6" ht="12.75" customHeight="1">
      <c r="F12103" s="32"/>
    </row>
    <row r="12104" spans="6:6" ht="12.75" customHeight="1">
      <c r="F12104" s="32"/>
    </row>
    <row r="12105" spans="6:6" ht="12.75" customHeight="1">
      <c r="F12105" s="32"/>
    </row>
    <row r="12106" spans="6:6" ht="12.75" customHeight="1">
      <c r="F12106" s="32"/>
    </row>
    <row r="12107" spans="6:6" ht="12.75" customHeight="1">
      <c r="F12107" s="32"/>
    </row>
    <row r="12108" spans="6:6" ht="12.75" customHeight="1">
      <c r="F12108" s="32"/>
    </row>
    <row r="12109" spans="6:6" ht="12.75" customHeight="1">
      <c r="F12109" s="32"/>
    </row>
    <row r="12110" spans="6:6" ht="12.75" customHeight="1">
      <c r="F12110" s="32"/>
    </row>
    <row r="12111" spans="6:6" ht="12.75" customHeight="1">
      <c r="F12111" s="32"/>
    </row>
    <row r="12112" spans="6:6" ht="12.75" customHeight="1">
      <c r="F12112" s="32"/>
    </row>
    <row r="12113" spans="6:6" ht="12.75" customHeight="1">
      <c r="F12113" s="32"/>
    </row>
    <row r="12114" spans="6:6" ht="12.75" customHeight="1">
      <c r="F12114" s="32"/>
    </row>
    <row r="12115" spans="6:6" ht="12.75" customHeight="1">
      <c r="F12115" s="32"/>
    </row>
    <row r="12116" spans="6:6" ht="12.75" customHeight="1">
      <c r="F12116" s="32"/>
    </row>
    <row r="12117" spans="6:6" ht="12.75" customHeight="1">
      <c r="F12117" s="32"/>
    </row>
    <row r="12118" spans="6:6" ht="12.75" customHeight="1">
      <c r="F12118" s="32"/>
    </row>
    <row r="12119" spans="6:6" ht="12.75" customHeight="1">
      <c r="F12119" s="32"/>
    </row>
    <row r="12120" spans="6:6" ht="12.75" customHeight="1">
      <c r="F12120" s="32"/>
    </row>
    <row r="12121" spans="6:6" ht="12.75" customHeight="1">
      <c r="F12121" s="32"/>
    </row>
    <row r="12122" spans="6:6" ht="12.75" customHeight="1">
      <c r="F12122" s="32"/>
    </row>
    <row r="12123" spans="6:6" ht="12.75" customHeight="1">
      <c r="F12123" s="32"/>
    </row>
    <row r="12124" spans="6:6" ht="12.75" customHeight="1">
      <c r="F12124" s="32"/>
    </row>
    <row r="12125" spans="6:6" ht="12.75" customHeight="1">
      <c r="F12125" s="32"/>
    </row>
    <row r="12126" spans="6:6" ht="12.75" customHeight="1">
      <c r="F12126" s="32"/>
    </row>
    <row r="12127" spans="6:6" ht="12.75" customHeight="1">
      <c r="F12127" s="32"/>
    </row>
    <row r="12128" spans="6:6" ht="12.75" customHeight="1">
      <c r="F12128" s="32"/>
    </row>
    <row r="12129" spans="6:6" ht="12.75" customHeight="1">
      <c r="F12129" s="32"/>
    </row>
    <row r="12130" spans="6:6" ht="12.75" customHeight="1">
      <c r="F12130" s="32"/>
    </row>
    <row r="12131" spans="6:6" ht="12.75" customHeight="1">
      <c r="F12131" s="32"/>
    </row>
    <row r="12132" spans="6:6" ht="12.75" customHeight="1">
      <c r="F12132" s="32"/>
    </row>
    <row r="12133" spans="6:6" ht="12.75" customHeight="1">
      <c r="F12133" s="32"/>
    </row>
    <row r="12134" spans="6:6" ht="12.75" customHeight="1">
      <c r="F12134" s="32"/>
    </row>
    <row r="12135" spans="6:6" ht="12.75" customHeight="1">
      <c r="F12135" s="32"/>
    </row>
    <row r="12136" spans="6:6" ht="12.75" customHeight="1">
      <c r="F12136" s="32"/>
    </row>
    <row r="12137" spans="6:6" ht="12.75" customHeight="1">
      <c r="F12137" s="32"/>
    </row>
    <row r="12138" spans="6:6" ht="12.75" customHeight="1">
      <c r="F12138" s="32"/>
    </row>
    <row r="12139" spans="6:6" ht="12.75" customHeight="1">
      <c r="F12139" s="32"/>
    </row>
    <row r="12140" spans="6:6" ht="12.75" customHeight="1">
      <c r="F12140" s="32"/>
    </row>
    <row r="12141" spans="6:6" ht="12.75" customHeight="1">
      <c r="F12141" s="32"/>
    </row>
    <row r="12142" spans="6:6" ht="12.75" customHeight="1">
      <c r="F12142" s="32"/>
    </row>
    <row r="12143" spans="6:6" ht="12.75" customHeight="1">
      <c r="F12143" s="32"/>
    </row>
    <row r="12144" spans="6:6" ht="12.75" customHeight="1">
      <c r="F12144" s="32"/>
    </row>
    <row r="12145" spans="6:6" ht="12.75" customHeight="1">
      <c r="F12145" s="32"/>
    </row>
    <row r="12146" spans="6:6" ht="12.75" customHeight="1">
      <c r="F12146" s="32"/>
    </row>
    <row r="12147" spans="6:6" ht="12.75" customHeight="1">
      <c r="F12147" s="32"/>
    </row>
    <row r="12148" spans="6:6" ht="12.75" customHeight="1">
      <c r="F12148" s="32"/>
    </row>
    <row r="12149" spans="6:6" ht="12.75" customHeight="1">
      <c r="F12149" s="32"/>
    </row>
    <row r="12150" spans="6:6" ht="12.75" customHeight="1">
      <c r="F12150" s="32"/>
    </row>
    <row r="12151" spans="6:6" ht="12.75" customHeight="1">
      <c r="F12151" s="32"/>
    </row>
    <row r="12152" spans="6:6" ht="12.75" customHeight="1">
      <c r="F12152" s="32"/>
    </row>
    <row r="12153" spans="6:6" ht="12.75" customHeight="1">
      <c r="F12153" s="32"/>
    </row>
    <row r="12154" spans="6:6" ht="12.75" customHeight="1">
      <c r="F12154" s="32"/>
    </row>
    <row r="12155" spans="6:6" ht="12.75" customHeight="1">
      <c r="F12155" s="32"/>
    </row>
    <row r="12156" spans="6:6" ht="12.75" customHeight="1">
      <c r="F12156" s="32"/>
    </row>
    <row r="12157" spans="6:6" ht="12.75" customHeight="1">
      <c r="F12157" s="32"/>
    </row>
    <row r="12158" spans="6:6" ht="12.75" customHeight="1">
      <c r="F12158" s="32"/>
    </row>
    <row r="12159" spans="6:6" ht="12.75" customHeight="1">
      <c r="F12159" s="32"/>
    </row>
    <row r="12160" spans="6:6" ht="12.75" customHeight="1">
      <c r="F12160" s="32"/>
    </row>
    <row r="12161" spans="6:6" ht="12.75" customHeight="1">
      <c r="F12161" s="32"/>
    </row>
    <row r="12162" spans="6:6" ht="12.75" customHeight="1">
      <c r="F12162" s="32"/>
    </row>
    <row r="12163" spans="6:6" ht="12.75" customHeight="1">
      <c r="F12163" s="32"/>
    </row>
    <row r="12164" spans="6:6" ht="12.75" customHeight="1">
      <c r="F12164" s="32"/>
    </row>
    <row r="12165" spans="6:6" ht="12.75" customHeight="1">
      <c r="F12165" s="32"/>
    </row>
    <row r="12166" spans="6:6" ht="12.75" customHeight="1">
      <c r="F12166" s="32"/>
    </row>
    <row r="12167" spans="6:6" ht="12.75" customHeight="1">
      <c r="F12167" s="32"/>
    </row>
    <row r="12168" spans="6:6" ht="12.75" customHeight="1">
      <c r="F12168" s="32"/>
    </row>
    <row r="12169" spans="6:6" ht="12.75" customHeight="1">
      <c r="F12169" s="32"/>
    </row>
    <row r="12170" spans="6:6" ht="12.75" customHeight="1">
      <c r="F12170" s="32"/>
    </row>
    <row r="12171" spans="6:6" ht="12.75" customHeight="1">
      <c r="F12171" s="32"/>
    </row>
    <row r="12172" spans="6:6" ht="12.75" customHeight="1">
      <c r="F12172" s="32"/>
    </row>
    <row r="12173" spans="6:6" ht="12.75" customHeight="1">
      <c r="F12173" s="32"/>
    </row>
    <row r="12174" spans="6:6" ht="12.75" customHeight="1">
      <c r="F12174" s="32"/>
    </row>
    <row r="12175" spans="6:6" ht="12.75" customHeight="1">
      <c r="F12175" s="32"/>
    </row>
    <row r="12176" spans="6:6" ht="12.75" customHeight="1">
      <c r="F12176" s="32"/>
    </row>
    <row r="12177" spans="6:6" ht="12.75" customHeight="1">
      <c r="F12177" s="32"/>
    </row>
    <row r="12178" spans="6:6" ht="12.75" customHeight="1">
      <c r="F12178" s="32"/>
    </row>
    <row r="12179" spans="6:6" ht="12.75" customHeight="1">
      <c r="F12179" s="32"/>
    </row>
    <row r="12180" spans="6:6" ht="12.75" customHeight="1">
      <c r="F12180" s="32"/>
    </row>
    <row r="12181" spans="6:6" ht="12.75" customHeight="1">
      <c r="F12181" s="32"/>
    </row>
    <row r="12182" spans="6:6" ht="12.75" customHeight="1">
      <c r="F12182" s="32"/>
    </row>
    <row r="12183" spans="6:6" ht="12.75" customHeight="1">
      <c r="F12183" s="32"/>
    </row>
    <row r="12184" spans="6:6" ht="12.75" customHeight="1">
      <c r="F12184" s="32"/>
    </row>
    <row r="12185" spans="6:6" ht="12.75" customHeight="1">
      <c r="F12185" s="32"/>
    </row>
    <row r="12186" spans="6:6" ht="12.75" customHeight="1">
      <c r="F12186" s="32"/>
    </row>
    <row r="12187" spans="6:6" ht="12.75" customHeight="1">
      <c r="F12187" s="32"/>
    </row>
    <row r="12188" spans="6:6" ht="12.75" customHeight="1">
      <c r="F12188" s="32"/>
    </row>
    <row r="12189" spans="6:6" ht="12.75" customHeight="1">
      <c r="F12189" s="32"/>
    </row>
    <row r="12190" spans="6:6" ht="12.75" customHeight="1">
      <c r="F12190" s="32"/>
    </row>
    <row r="12191" spans="6:6" ht="12.75" customHeight="1">
      <c r="F12191" s="32"/>
    </row>
    <row r="12192" spans="6:6" ht="12.75" customHeight="1">
      <c r="F12192" s="32"/>
    </row>
    <row r="12193" spans="6:6" ht="12.75" customHeight="1">
      <c r="F12193" s="32"/>
    </row>
    <row r="12194" spans="6:6" ht="12.75" customHeight="1">
      <c r="F12194" s="32"/>
    </row>
    <row r="12195" spans="6:6" ht="12.75" customHeight="1">
      <c r="F12195" s="32"/>
    </row>
    <row r="12196" spans="6:6" ht="12.75" customHeight="1">
      <c r="F12196" s="32"/>
    </row>
    <row r="12197" spans="6:6" ht="12.75" customHeight="1">
      <c r="F12197" s="32"/>
    </row>
    <row r="12198" spans="6:6" ht="12.75" customHeight="1">
      <c r="F12198" s="32"/>
    </row>
    <row r="12199" spans="6:6" ht="12.75" customHeight="1">
      <c r="F12199" s="32"/>
    </row>
    <row r="12200" spans="6:6" ht="12.75" customHeight="1">
      <c r="F12200" s="32"/>
    </row>
    <row r="12201" spans="6:6" ht="12.75" customHeight="1">
      <c r="F12201" s="32"/>
    </row>
    <row r="12202" spans="6:6" ht="12.75" customHeight="1">
      <c r="F12202" s="32"/>
    </row>
    <row r="12203" spans="6:6" ht="12.75" customHeight="1">
      <c r="F12203" s="32"/>
    </row>
    <row r="12204" spans="6:6" ht="12.75" customHeight="1">
      <c r="F12204" s="32"/>
    </row>
    <row r="12205" spans="6:6" ht="12.75" customHeight="1">
      <c r="F12205" s="32"/>
    </row>
    <row r="12206" spans="6:6" ht="12.75" customHeight="1">
      <c r="F12206" s="32"/>
    </row>
    <row r="12207" spans="6:6" ht="12.75" customHeight="1">
      <c r="F12207" s="32"/>
    </row>
    <row r="12208" spans="6:6" ht="12.75" customHeight="1">
      <c r="F12208" s="32"/>
    </row>
    <row r="12209" spans="6:6" ht="12.75" customHeight="1">
      <c r="F12209" s="32"/>
    </row>
    <row r="12210" spans="6:6" ht="12.75" customHeight="1">
      <c r="F12210" s="32"/>
    </row>
    <row r="12211" spans="6:6" ht="12.75" customHeight="1">
      <c r="F12211" s="32"/>
    </row>
    <row r="12212" spans="6:6" ht="12.75" customHeight="1">
      <c r="F12212" s="32"/>
    </row>
    <row r="12213" spans="6:6" ht="12.75" customHeight="1">
      <c r="F12213" s="32"/>
    </row>
    <row r="12214" spans="6:6" ht="12.75" customHeight="1">
      <c r="F12214" s="32"/>
    </row>
    <row r="12215" spans="6:6" ht="12.75" customHeight="1">
      <c r="F12215" s="32"/>
    </row>
    <row r="12216" spans="6:6" ht="12.75" customHeight="1">
      <c r="F12216" s="32"/>
    </row>
    <row r="12217" spans="6:6" ht="12.75" customHeight="1">
      <c r="F12217" s="32"/>
    </row>
    <row r="12218" spans="6:6" ht="12.75" customHeight="1">
      <c r="F12218" s="32"/>
    </row>
    <row r="12219" spans="6:6" ht="12.75" customHeight="1">
      <c r="F12219" s="32"/>
    </row>
    <row r="12220" spans="6:6" ht="12.75" customHeight="1">
      <c r="F12220" s="32"/>
    </row>
    <row r="12221" spans="6:6" ht="12.75" customHeight="1">
      <c r="F12221" s="32"/>
    </row>
    <row r="12222" spans="6:6" ht="12.75" customHeight="1">
      <c r="F12222" s="32"/>
    </row>
    <row r="12223" spans="6:6" ht="12.75" customHeight="1">
      <c r="F12223" s="32"/>
    </row>
    <row r="12224" spans="6:6" ht="12.75" customHeight="1">
      <c r="F12224" s="32"/>
    </row>
    <row r="12225" spans="6:6" ht="12.75" customHeight="1">
      <c r="F12225" s="32"/>
    </row>
    <row r="12226" spans="6:6" ht="12.75" customHeight="1">
      <c r="F12226" s="32"/>
    </row>
    <row r="12227" spans="6:6" ht="12.75" customHeight="1">
      <c r="F12227" s="32"/>
    </row>
    <row r="12228" spans="6:6" ht="12.75" customHeight="1">
      <c r="F12228" s="32"/>
    </row>
    <row r="12229" spans="6:6" ht="12.75" customHeight="1">
      <c r="F12229" s="32"/>
    </row>
    <row r="12230" spans="6:6" ht="12.75" customHeight="1">
      <c r="F12230" s="32"/>
    </row>
    <row r="12231" spans="6:6" ht="12.75" customHeight="1">
      <c r="F12231" s="32"/>
    </row>
    <row r="12232" spans="6:6" ht="12.75" customHeight="1">
      <c r="F12232" s="32"/>
    </row>
    <row r="12233" spans="6:6" ht="12.75" customHeight="1">
      <c r="F12233" s="32"/>
    </row>
    <row r="12234" spans="6:6" ht="12.75" customHeight="1">
      <c r="F12234" s="32"/>
    </row>
    <row r="12235" spans="6:6" ht="12.75" customHeight="1">
      <c r="F12235" s="32"/>
    </row>
    <row r="12236" spans="6:6" ht="12.75" customHeight="1">
      <c r="F12236" s="32"/>
    </row>
    <row r="12237" spans="6:6" ht="12.75" customHeight="1">
      <c r="F12237" s="32"/>
    </row>
    <row r="12238" spans="6:6" ht="12.75" customHeight="1">
      <c r="F12238" s="32"/>
    </row>
    <row r="12239" spans="6:6" ht="12.75" customHeight="1">
      <c r="F12239" s="32"/>
    </row>
    <row r="12240" spans="6:6" ht="12.75" customHeight="1">
      <c r="F12240" s="32"/>
    </row>
    <row r="12241" spans="6:6" ht="12.75" customHeight="1">
      <c r="F12241" s="32"/>
    </row>
    <row r="12242" spans="6:6" ht="12.75" customHeight="1">
      <c r="F12242" s="32"/>
    </row>
    <row r="12243" spans="6:6" ht="12.75" customHeight="1">
      <c r="F12243" s="32"/>
    </row>
    <row r="12244" spans="6:6" ht="12.75" customHeight="1">
      <c r="F12244" s="32"/>
    </row>
    <row r="12245" spans="6:6" ht="12.75" customHeight="1">
      <c r="F12245" s="32"/>
    </row>
    <row r="12246" spans="6:6" ht="12.75" customHeight="1">
      <c r="F12246" s="32"/>
    </row>
    <row r="12247" spans="6:6" ht="12.75" customHeight="1">
      <c r="F12247" s="32"/>
    </row>
    <row r="12248" spans="6:6" ht="12.75" customHeight="1">
      <c r="F12248" s="32"/>
    </row>
    <row r="12249" spans="6:6" ht="12.75" customHeight="1">
      <c r="F12249" s="32"/>
    </row>
    <row r="12250" spans="6:6" ht="12.75" customHeight="1">
      <c r="F12250" s="32"/>
    </row>
    <row r="12251" spans="6:6" ht="12.75" customHeight="1">
      <c r="F12251" s="32"/>
    </row>
    <row r="12252" spans="6:6" ht="12.75" customHeight="1">
      <c r="F12252" s="32"/>
    </row>
    <row r="12253" spans="6:6" ht="12.75" customHeight="1">
      <c r="F12253" s="32"/>
    </row>
    <row r="12254" spans="6:6" ht="12.75" customHeight="1">
      <c r="F12254" s="32"/>
    </row>
    <row r="12255" spans="6:6" ht="12.75" customHeight="1">
      <c r="F12255" s="32"/>
    </row>
    <row r="12256" spans="6:6" ht="12.75" customHeight="1">
      <c r="F12256" s="32"/>
    </row>
    <row r="12257" spans="6:6" ht="12.75" customHeight="1">
      <c r="F12257" s="32"/>
    </row>
    <row r="12258" spans="6:6" ht="12.75" customHeight="1">
      <c r="F12258" s="32"/>
    </row>
    <row r="12259" spans="6:6" ht="12.75" customHeight="1">
      <c r="F12259" s="32"/>
    </row>
    <row r="12260" spans="6:6" ht="12.75" customHeight="1">
      <c r="F12260" s="32"/>
    </row>
    <row r="12261" spans="6:6" ht="12.75" customHeight="1">
      <c r="F12261" s="32"/>
    </row>
    <row r="12262" spans="6:6" ht="12.75" customHeight="1">
      <c r="F12262" s="32"/>
    </row>
    <row r="12263" spans="6:6" ht="12.75" customHeight="1">
      <c r="F12263" s="32"/>
    </row>
    <row r="12264" spans="6:6" ht="12.75" customHeight="1">
      <c r="F12264" s="32"/>
    </row>
    <row r="12265" spans="6:6" ht="12.75" customHeight="1">
      <c r="F12265" s="32"/>
    </row>
    <row r="12266" spans="6:6" ht="12.75" customHeight="1">
      <c r="F12266" s="32"/>
    </row>
    <row r="12267" spans="6:6" ht="12.75" customHeight="1">
      <c r="F12267" s="32"/>
    </row>
    <row r="12268" spans="6:6" ht="12.75" customHeight="1">
      <c r="F12268" s="32"/>
    </row>
    <row r="12269" spans="6:6" ht="12.75" customHeight="1">
      <c r="F12269" s="32"/>
    </row>
    <row r="12270" spans="6:6" ht="12.75" customHeight="1">
      <c r="F12270" s="32"/>
    </row>
    <row r="12271" spans="6:6" ht="12.75" customHeight="1">
      <c r="F12271" s="32"/>
    </row>
    <row r="12272" spans="6:6" ht="12.75" customHeight="1">
      <c r="F12272" s="32"/>
    </row>
    <row r="12273" spans="6:6" ht="12.75" customHeight="1">
      <c r="F12273" s="32"/>
    </row>
    <row r="12274" spans="6:6" ht="12.75" customHeight="1">
      <c r="F12274" s="32"/>
    </row>
    <row r="12275" spans="6:6" ht="12.75" customHeight="1">
      <c r="F12275" s="32"/>
    </row>
    <row r="12276" spans="6:6" ht="12.75" customHeight="1">
      <c r="F12276" s="32"/>
    </row>
    <row r="12277" spans="6:6" ht="12.75" customHeight="1">
      <c r="F12277" s="32"/>
    </row>
    <row r="12278" spans="6:6" ht="12.75" customHeight="1">
      <c r="F12278" s="32"/>
    </row>
    <row r="12279" spans="6:6" ht="12.75" customHeight="1">
      <c r="F12279" s="32"/>
    </row>
    <row r="12280" spans="6:6" ht="12.75" customHeight="1">
      <c r="F12280" s="32"/>
    </row>
    <row r="12281" spans="6:6" ht="12.75" customHeight="1">
      <c r="F12281" s="32"/>
    </row>
    <row r="12282" spans="6:6" ht="12.75" customHeight="1">
      <c r="F12282" s="32"/>
    </row>
    <row r="12283" spans="6:6" ht="12.75" customHeight="1">
      <c r="F12283" s="32"/>
    </row>
    <row r="12284" spans="6:6" ht="12.75" customHeight="1">
      <c r="F12284" s="32"/>
    </row>
    <row r="12285" spans="6:6" ht="12.75" customHeight="1">
      <c r="F12285" s="32"/>
    </row>
    <row r="12286" spans="6:6" ht="12.75" customHeight="1">
      <c r="F12286" s="32"/>
    </row>
    <row r="12287" spans="6:6" ht="12.75" customHeight="1">
      <c r="F12287" s="32"/>
    </row>
    <row r="12288" spans="6:6" ht="12.75" customHeight="1">
      <c r="F12288" s="32"/>
    </row>
    <row r="12289" spans="6:6" ht="12.75" customHeight="1">
      <c r="F12289" s="32"/>
    </row>
    <row r="12290" spans="6:6" ht="12.75" customHeight="1">
      <c r="F12290" s="32"/>
    </row>
    <row r="12291" spans="6:6" ht="12.75" customHeight="1">
      <c r="F12291" s="32"/>
    </row>
    <row r="12292" spans="6:6" ht="12.75" customHeight="1">
      <c r="F12292" s="32"/>
    </row>
    <row r="12293" spans="6:6" ht="12.75" customHeight="1">
      <c r="F12293" s="32"/>
    </row>
    <row r="12294" spans="6:6" ht="12.75" customHeight="1">
      <c r="F12294" s="32"/>
    </row>
    <row r="12295" spans="6:6" ht="12.75" customHeight="1">
      <c r="F12295" s="32"/>
    </row>
    <row r="12296" spans="6:6" ht="12.75" customHeight="1">
      <c r="F12296" s="32"/>
    </row>
    <row r="12297" spans="6:6" ht="12.75" customHeight="1">
      <c r="F12297" s="32"/>
    </row>
    <row r="12298" spans="6:6" ht="12.75" customHeight="1">
      <c r="F12298" s="32"/>
    </row>
    <row r="12299" spans="6:6" ht="12.75" customHeight="1">
      <c r="F12299" s="32"/>
    </row>
    <row r="12300" spans="6:6" ht="12.75" customHeight="1">
      <c r="F12300" s="32"/>
    </row>
    <row r="12301" spans="6:6" ht="12.75" customHeight="1">
      <c r="F12301" s="32"/>
    </row>
    <row r="12302" spans="6:6" ht="12.75" customHeight="1">
      <c r="F12302" s="32"/>
    </row>
    <row r="12303" spans="6:6" ht="12.75" customHeight="1">
      <c r="F12303" s="32"/>
    </row>
    <row r="12304" spans="6:6" ht="12.75" customHeight="1">
      <c r="F12304" s="32"/>
    </row>
    <row r="12305" spans="6:6" ht="12.75" customHeight="1">
      <c r="F12305" s="32"/>
    </row>
    <row r="12306" spans="6:6" ht="12.75" customHeight="1">
      <c r="F12306" s="32"/>
    </row>
    <row r="12307" spans="6:6" ht="12.75" customHeight="1">
      <c r="F12307" s="32"/>
    </row>
    <row r="12308" spans="6:6" ht="12.75" customHeight="1">
      <c r="F12308" s="32"/>
    </row>
    <row r="12309" spans="6:6" ht="12.75" customHeight="1">
      <c r="F12309" s="32"/>
    </row>
    <row r="12310" spans="6:6" ht="12.75" customHeight="1">
      <c r="F12310" s="32"/>
    </row>
    <row r="12311" spans="6:6" ht="12.75" customHeight="1">
      <c r="F12311" s="32"/>
    </row>
    <row r="12312" spans="6:6" ht="12.75" customHeight="1">
      <c r="F12312" s="32"/>
    </row>
    <row r="12313" spans="6:6" ht="12.75" customHeight="1">
      <c r="F12313" s="32"/>
    </row>
    <row r="12314" spans="6:6" ht="12.75" customHeight="1">
      <c r="F12314" s="32"/>
    </row>
    <row r="12315" spans="6:6" ht="12.75" customHeight="1">
      <c r="F12315" s="32"/>
    </row>
    <row r="12316" spans="6:6" ht="12.75" customHeight="1">
      <c r="F12316" s="32"/>
    </row>
    <row r="12317" spans="6:6" ht="12.75" customHeight="1">
      <c r="F12317" s="32"/>
    </row>
    <row r="12318" spans="6:6" ht="12.75" customHeight="1">
      <c r="F12318" s="32"/>
    </row>
    <row r="12319" spans="6:6" ht="12.75" customHeight="1">
      <c r="F12319" s="32"/>
    </row>
    <row r="12320" spans="6:6" ht="12.75" customHeight="1">
      <c r="F12320" s="32"/>
    </row>
    <row r="12321" spans="6:6" ht="12.75" customHeight="1">
      <c r="F12321" s="32"/>
    </row>
    <row r="12322" spans="6:6" ht="12.75" customHeight="1">
      <c r="F12322" s="32"/>
    </row>
    <row r="12323" spans="6:6" ht="12.75" customHeight="1">
      <c r="F12323" s="32"/>
    </row>
    <row r="12324" spans="6:6" ht="12.75" customHeight="1">
      <c r="F12324" s="32"/>
    </row>
    <row r="12325" spans="6:6" ht="12.75" customHeight="1">
      <c r="F12325" s="32"/>
    </row>
    <row r="12326" spans="6:6" ht="12.75" customHeight="1">
      <c r="F12326" s="32"/>
    </row>
    <row r="12327" spans="6:6" ht="12.75" customHeight="1">
      <c r="F12327" s="32"/>
    </row>
    <row r="12328" spans="6:6" ht="12.75" customHeight="1">
      <c r="F12328" s="32"/>
    </row>
    <row r="12329" spans="6:6" ht="12.75" customHeight="1">
      <c r="F12329" s="32"/>
    </row>
    <row r="12330" spans="6:6" ht="12.75" customHeight="1">
      <c r="F12330" s="32"/>
    </row>
    <row r="12331" spans="6:6" ht="12.75" customHeight="1">
      <c r="F12331" s="32"/>
    </row>
    <row r="12332" spans="6:6" ht="12.75" customHeight="1">
      <c r="F12332" s="32"/>
    </row>
    <row r="12333" spans="6:6" ht="12.75" customHeight="1">
      <c r="F12333" s="32"/>
    </row>
    <row r="12334" spans="6:6" ht="12.75" customHeight="1">
      <c r="F12334" s="32"/>
    </row>
    <row r="12335" spans="6:6" ht="12.75" customHeight="1">
      <c r="F12335" s="32"/>
    </row>
    <row r="12336" spans="6:6" ht="12.75" customHeight="1">
      <c r="F12336" s="32"/>
    </row>
    <row r="12337" spans="6:6" ht="12.75" customHeight="1">
      <c r="F12337" s="32"/>
    </row>
    <row r="12338" spans="6:6" ht="12.75" customHeight="1">
      <c r="F12338" s="32"/>
    </row>
    <row r="12339" spans="6:6" ht="12.75" customHeight="1">
      <c r="F12339" s="32"/>
    </row>
    <row r="12340" spans="6:6" ht="12.75" customHeight="1">
      <c r="F12340" s="32"/>
    </row>
    <row r="12341" spans="6:6" ht="12.75" customHeight="1">
      <c r="F12341" s="32"/>
    </row>
    <row r="12342" spans="6:6" ht="12.75" customHeight="1">
      <c r="F12342" s="32"/>
    </row>
    <row r="12343" spans="6:6" ht="12.75" customHeight="1">
      <c r="F12343" s="32"/>
    </row>
    <row r="12344" spans="6:6" ht="12.75" customHeight="1">
      <c r="F12344" s="32"/>
    </row>
    <row r="12345" spans="6:6" ht="12.75" customHeight="1">
      <c r="F12345" s="32"/>
    </row>
    <row r="12346" spans="6:6" ht="12.75" customHeight="1">
      <c r="F12346" s="32"/>
    </row>
    <row r="12347" spans="6:6" ht="12.75" customHeight="1">
      <c r="F12347" s="32"/>
    </row>
    <row r="12348" spans="6:6" ht="12.75" customHeight="1">
      <c r="F12348" s="32"/>
    </row>
    <row r="12349" spans="6:6" ht="12.75" customHeight="1">
      <c r="F12349" s="32"/>
    </row>
    <row r="12350" spans="6:6" ht="12.75" customHeight="1">
      <c r="F12350" s="32"/>
    </row>
    <row r="12351" spans="6:6" ht="12.75" customHeight="1">
      <c r="F12351" s="32"/>
    </row>
    <row r="12352" spans="6:6" ht="12.75" customHeight="1">
      <c r="F12352" s="32"/>
    </row>
    <row r="12353" spans="6:6" ht="12.75" customHeight="1">
      <c r="F12353" s="32"/>
    </row>
    <row r="12354" spans="6:6" ht="12.75" customHeight="1">
      <c r="F12354" s="32"/>
    </row>
    <row r="12355" spans="6:6" ht="12.75" customHeight="1">
      <c r="F12355" s="32"/>
    </row>
    <row r="12356" spans="6:6" ht="12.75" customHeight="1">
      <c r="F12356" s="32"/>
    </row>
    <row r="12357" spans="6:6" ht="12.75" customHeight="1">
      <c r="F12357" s="32"/>
    </row>
    <row r="12358" spans="6:6" ht="12.75" customHeight="1">
      <c r="F12358" s="32"/>
    </row>
    <row r="12359" spans="6:6" ht="12.75" customHeight="1">
      <c r="F12359" s="32"/>
    </row>
    <row r="12360" spans="6:6" ht="12.75" customHeight="1">
      <c r="F12360" s="32"/>
    </row>
    <row r="12361" spans="6:6" ht="12.75" customHeight="1">
      <c r="F12361" s="32"/>
    </row>
    <row r="12362" spans="6:6" ht="12.75" customHeight="1">
      <c r="F12362" s="32"/>
    </row>
    <row r="12363" spans="6:6" ht="12.75" customHeight="1">
      <c r="F12363" s="32"/>
    </row>
    <row r="12364" spans="6:6" ht="12.75" customHeight="1">
      <c r="F12364" s="32"/>
    </row>
    <row r="12365" spans="6:6" ht="12.75" customHeight="1">
      <c r="F12365" s="32"/>
    </row>
    <row r="12366" spans="6:6" ht="12.75" customHeight="1">
      <c r="F12366" s="32"/>
    </row>
    <row r="12367" spans="6:6" ht="12.75" customHeight="1">
      <c r="F12367" s="32"/>
    </row>
    <row r="12368" spans="6:6" ht="12.75" customHeight="1">
      <c r="F12368" s="32"/>
    </row>
    <row r="12369" spans="6:6" ht="12.75" customHeight="1">
      <c r="F12369" s="32"/>
    </row>
    <row r="12370" spans="6:6" ht="12.75" customHeight="1">
      <c r="F12370" s="32"/>
    </row>
    <row r="12371" spans="6:6" ht="12.75" customHeight="1">
      <c r="F12371" s="32"/>
    </row>
    <row r="12372" spans="6:6" ht="12.75" customHeight="1">
      <c r="F12372" s="32"/>
    </row>
    <row r="12373" spans="6:6" ht="12.75" customHeight="1">
      <c r="F12373" s="32"/>
    </row>
    <row r="12374" spans="6:6" ht="12.75" customHeight="1">
      <c r="F12374" s="32"/>
    </row>
    <row r="12375" spans="6:6" ht="12.75" customHeight="1">
      <c r="F12375" s="32"/>
    </row>
    <row r="12376" spans="6:6" ht="12.75" customHeight="1">
      <c r="F12376" s="32"/>
    </row>
    <row r="12377" spans="6:6" ht="12.75" customHeight="1">
      <c r="F12377" s="32"/>
    </row>
    <row r="12378" spans="6:6" ht="12.75" customHeight="1">
      <c r="F12378" s="32"/>
    </row>
    <row r="12379" spans="6:6" ht="12.75" customHeight="1">
      <c r="F12379" s="32"/>
    </row>
    <row r="12380" spans="6:6" ht="12.75" customHeight="1">
      <c r="F12380" s="32"/>
    </row>
    <row r="12381" spans="6:6" ht="12.75" customHeight="1">
      <c r="F12381" s="32"/>
    </row>
    <row r="12382" spans="6:6" ht="12.75" customHeight="1">
      <c r="F12382" s="32"/>
    </row>
    <row r="12383" spans="6:6" ht="12.75" customHeight="1">
      <c r="F12383" s="32"/>
    </row>
    <row r="12384" spans="6:6" ht="12.75" customHeight="1">
      <c r="F12384" s="32"/>
    </row>
    <row r="12385" spans="6:6" ht="12.75" customHeight="1">
      <c r="F12385" s="32"/>
    </row>
    <row r="12386" spans="6:6" ht="12.75" customHeight="1">
      <c r="F12386" s="32"/>
    </row>
    <row r="12387" spans="6:6" ht="12.75" customHeight="1">
      <c r="F12387" s="32"/>
    </row>
    <row r="12388" spans="6:6" ht="12.75" customHeight="1">
      <c r="F12388" s="32"/>
    </row>
    <row r="12389" spans="6:6" ht="12.75" customHeight="1">
      <c r="F12389" s="32"/>
    </row>
    <row r="12390" spans="6:6" ht="12.75" customHeight="1">
      <c r="F12390" s="32"/>
    </row>
    <row r="12391" spans="6:6" ht="12.75" customHeight="1">
      <c r="F12391" s="32"/>
    </row>
    <row r="12392" spans="6:6" ht="12.75" customHeight="1">
      <c r="F12392" s="32"/>
    </row>
    <row r="12393" spans="6:6" ht="12.75" customHeight="1">
      <c r="F12393" s="32"/>
    </row>
    <row r="12394" spans="6:6" ht="12.75" customHeight="1">
      <c r="F12394" s="32"/>
    </row>
    <row r="12395" spans="6:6" ht="12.75" customHeight="1">
      <c r="F12395" s="32"/>
    </row>
    <row r="12396" spans="6:6" ht="12.75" customHeight="1">
      <c r="F12396" s="32"/>
    </row>
    <row r="12397" spans="6:6" ht="12.75" customHeight="1">
      <c r="F12397" s="32"/>
    </row>
    <row r="12398" spans="6:6" ht="12.75" customHeight="1">
      <c r="F12398" s="32"/>
    </row>
    <row r="12399" spans="6:6" ht="12.75" customHeight="1">
      <c r="F12399" s="32"/>
    </row>
    <row r="12400" spans="6:6" ht="12.75" customHeight="1">
      <c r="F12400" s="32"/>
    </row>
    <row r="12401" spans="6:6" ht="12.75" customHeight="1">
      <c r="F12401" s="32"/>
    </row>
    <row r="12402" spans="6:6" ht="12.75" customHeight="1">
      <c r="F12402" s="32"/>
    </row>
    <row r="12403" spans="6:6" ht="12.75" customHeight="1">
      <c r="F12403" s="32"/>
    </row>
    <row r="12404" spans="6:6" ht="12.75" customHeight="1">
      <c r="F12404" s="32"/>
    </row>
    <row r="12405" spans="6:6" ht="12.75" customHeight="1">
      <c r="F12405" s="32"/>
    </row>
    <row r="12406" spans="6:6" ht="12.75" customHeight="1">
      <c r="F12406" s="32"/>
    </row>
    <row r="12407" spans="6:6" ht="12.75" customHeight="1">
      <c r="F12407" s="32"/>
    </row>
    <row r="12408" spans="6:6" ht="12.75" customHeight="1">
      <c r="F12408" s="32"/>
    </row>
    <row r="12409" spans="6:6" ht="12.75" customHeight="1">
      <c r="F12409" s="32"/>
    </row>
    <row r="12410" spans="6:6" ht="12.75" customHeight="1">
      <c r="F12410" s="32"/>
    </row>
    <row r="12411" spans="6:6" ht="12.75" customHeight="1">
      <c r="F12411" s="32"/>
    </row>
    <row r="12412" spans="6:6" ht="12.75" customHeight="1">
      <c r="F12412" s="32"/>
    </row>
    <row r="12413" spans="6:6" ht="12.75" customHeight="1">
      <c r="F12413" s="32"/>
    </row>
    <row r="12414" spans="6:6" ht="12.75" customHeight="1">
      <c r="F12414" s="32"/>
    </row>
    <row r="12415" spans="6:6" ht="12.75" customHeight="1">
      <c r="F12415" s="32"/>
    </row>
    <row r="12416" spans="6:6" ht="12.75" customHeight="1">
      <c r="F12416" s="32"/>
    </row>
    <row r="12417" spans="6:6" ht="12.75" customHeight="1">
      <c r="F12417" s="32"/>
    </row>
    <row r="12418" spans="6:6" ht="12.75" customHeight="1">
      <c r="F12418" s="32"/>
    </row>
    <row r="12419" spans="6:6" ht="12.75" customHeight="1">
      <c r="F12419" s="32"/>
    </row>
    <row r="12420" spans="6:6" ht="12.75" customHeight="1">
      <c r="F12420" s="32"/>
    </row>
    <row r="12421" spans="6:6" ht="12.75" customHeight="1">
      <c r="F12421" s="32"/>
    </row>
    <row r="12422" spans="6:6" ht="12.75" customHeight="1">
      <c r="F12422" s="32"/>
    </row>
    <row r="12423" spans="6:6" ht="12.75" customHeight="1">
      <c r="F12423" s="32"/>
    </row>
    <row r="12424" spans="6:6" ht="12.75" customHeight="1">
      <c r="F12424" s="32"/>
    </row>
    <row r="12425" spans="6:6" ht="12.75" customHeight="1">
      <c r="F12425" s="32"/>
    </row>
    <row r="12426" spans="6:6" ht="12.75" customHeight="1">
      <c r="F12426" s="32"/>
    </row>
    <row r="12427" spans="6:6" ht="12.75" customHeight="1">
      <c r="F12427" s="32"/>
    </row>
    <row r="12428" spans="6:6" ht="12.75" customHeight="1">
      <c r="F12428" s="32"/>
    </row>
    <row r="12429" spans="6:6" ht="12.75" customHeight="1">
      <c r="F12429" s="32"/>
    </row>
    <row r="12430" spans="6:6" ht="12.75" customHeight="1">
      <c r="F12430" s="32"/>
    </row>
    <row r="12431" spans="6:6" ht="12.75" customHeight="1">
      <c r="F12431" s="32"/>
    </row>
    <row r="12432" spans="6:6" ht="12.75" customHeight="1">
      <c r="F12432" s="32"/>
    </row>
    <row r="12433" spans="6:6" ht="12.75" customHeight="1">
      <c r="F12433" s="32"/>
    </row>
    <row r="12434" spans="6:6" ht="12.75" customHeight="1">
      <c r="F12434" s="32"/>
    </row>
    <row r="12435" spans="6:6" ht="12.75" customHeight="1">
      <c r="F12435" s="32"/>
    </row>
    <row r="12436" spans="6:6" ht="12.75" customHeight="1">
      <c r="F12436" s="32"/>
    </row>
    <row r="12437" spans="6:6" ht="12.75" customHeight="1">
      <c r="F12437" s="32"/>
    </row>
    <row r="12438" spans="6:6" ht="12.75" customHeight="1">
      <c r="F12438" s="32"/>
    </row>
    <row r="12439" spans="6:6" ht="12.75" customHeight="1">
      <c r="F12439" s="32"/>
    </row>
    <row r="12440" spans="6:6" ht="12.75" customHeight="1">
      <c r="F12440" s="32"/>
    </row>
    <row r="12441" spans="6:6" ht="12.75" customHeight="1">
      <c r="F12441" s="32"/>
    </row>
    <row r="12442" spans="6:6" ht="12.75" customHeight="1">
      <c r="F12442" s="32"/>
    </row>
    <row r="12443" spans="6:6" ht="12.75" customHeight="1">
      <c r="F12443" s="32"/>
    </row>
    <row r="12444" spans="6:6" ht="12.75" customHeight="1">
      <c r="F12444" s="32"/>
    </row>
    <row r="12445" spans="6:6" ht="12.75" customHeight="1">
      <c r="F12445" s="32"/>
    </row>
    <row r="12446" spans="6:6" ht="12.75" customHeight="1">
      <c r="F12446" s="32"/>
    </row>
    <row r="12447" spans="6:6" ht="12.75" customHeight="1">
      <c r="F12447" s="32"/>
    </row>
    <row r="12448" spans="6:6" ht="12.75" customHeight="1">
      <c r="F12448" s="32"/>
    </row>
    <row r="12449" spans="6:6" ht="12.75" customHeight="1">
      <c r="F12449" s="32"/>
    </row>
    <row r="12450" spans="6:6" ht="12.75" customHeight="1">
      <c r="F12450" s="32"/>
    </row>
    <row r="12451" spans="6:6" ht="12.75" customHeight="1">
      <c r="F12451" s="32"/>
    </row>
    <row r="12452" spans="6:6" ht="12.75" customHeight="1">
      <c r="F12452" s="32"/>
    </row>
    <row r="12453" spans="6:6" ht="12.75" customHeight="1">
      <c r="F12453" s="32"/>
    </row>
    <row r="12454" spans="6:6" ht="12.75" customHeight="1">
      <c r="F12454" s="32"/>
    </row>
    <row r="12455" spans="6:6" ht="12.75" customHeight="1">
      <c r="F12455" s="32"/>
    </row>
    <row r="12456" spans="6:6" ht="12.75" customHeight="1">
      <c r="F12456" s="32"/>
    </row>
    <row r="12457" spans="6:6" ht="12.75" customHeight="1">
      <c r="F12457" s="32"/>
    </row>
    <row r="12458" spans="6:6" ht="12.75" customHeight="1">
      <c r="F12458" s="32"/>
    </row>
    <row r="12459" spans="6:6" ht="12.75" customHeight="1">
      <c r="F12459" s="32"/>
    </row>
    <row r="12460" spans="6:6" ht="12.75" customHeight="1">
      <c r="F12460" s="32"/>
    </row>
    <row r="12461" spans="6:6" ht="12.75" customHeight="1">
      <c r="F12461" s="32"/>
    </row>
    <row r="12462" spans="6:6" ht="12.75" customHeight="1">
      <c r="F12462" s="32"/>
    </row>
    <row r="12463" spans="6:6" ht="12.75" customHeight="1">
      <c r="F12463" s="32"/>
    </row>
    <row r="12464" spans="6:6" ht="12.75" customHeight="1">
      <c r="F12464" s="32"/>
    </row>
    <row r="12465" spans="6:6" ht="12.75" customHeight="1">
      <c r="F12465" s="32"/>
    </row>
    <row r="12466" spans="6:6" ht="12.75" customHeight="1">
      <c r="F12466" s="32"/>
    </row>
    <row r="12467" spans="6:6" ht="12.75" customHeight="1">
      <c r="F12467" s="32"/>
    </row>
    <row r="12468" spans="6:6" ht="12.75" customHeight="1">
      <c r="F12468" s="32"/>
    </row>
    <row r="12469" spans="6:6" ht="12.75" customHeight="1">
      <c r="F12469" s="32"/>
    </row>
    <row r="12470" spans="6:6" ht="12.75" customHeight="1">
      <c r="F12470" s="32"/>
    </row>
    <row r="12471" spans="6:6" ht="12.75" customHeight="1">
      <c r="F12471" s="32"/>
    </row>
    <row r="12472" spans="6:6" ht="12.75" customHeight="1">
      <c r="F12472" s="32"/>
    </row>
    <row r="12473" spans="6:6" ht="12.75" customHeight="1">
      <c r="F12473" s="32"/>
    </row>
    <row r="12474" spans="6:6" ht="12.75" customHeight="1">
      <c r="F12474" s="32"/>
    </row>
    <row r="12475" spans="6:6" ht="12.75" customHeight="1">
      <c r="F12475" s="32"/>
    </row>
    <row r="12476" spans="6:6" ht="12.75" customHeight="1">
      <c r="F12476" s="32"/>
    </row>
    <row r="12477" spans="6:6" ht="12.75" customHeight="1">
      <c r="F12477" s="32"/>
    </row>
    <row r="12478" spans="6:6" ht="12.75" customHeight="1">
      <c r="F12478" s="32"/>
    </row>
    <row r="12479" spans="6:6" ht="12.75" customHeight="1">
      <c r="F12479" s="32"/>
    </row>
    <row r="12480" spans="6:6" ht="12.75" customHeight="1">
      <c r="F12480" s="32"/>
    </row>
    <row r="12481" spans="6:6" ht="12.75" customHeight="1">
      <c r="F12481" s="32"/>
    </row>
    <row r="12482" spans="6:6" ht="12.75" customHeight="1">
      <c r="F12482" s="32"/>
    </row>
    <row r="12483" spans="6:6" ht="12.75" customHeight="1">
      <c r="F12483" s="32"/>
    </row>
    <row r="12484" spans="6:6" ht="12.75" customHeight="1">
      <c r="F12484" s="32"/>
    </row>
    <row r="12485" spans="6:6" ht="12.75" customHeight="1">
      <c r="F12485" s="32"/>
    </row>
    <row r="12486" spans="6:6" ht="12.75" customHeight="1">
      <c r="F12486" s="32"/>
    </row>
    <row r="12487" spans="6:6" ht="12.75" customHeight="1">
      <c r="F12487" s="32"/>
    </row>
    <row r="12488" spans="6:6" ht="12.75" customHeight="1">
      <c r="F12488" s="32"/>
    </row>
    <row r="12489" spans="6:6" ht="12.75" customHeight="1">
      <c r="F12489" s="32"/>
    </row>
    <row r="12490" spans="6:6" ht="12.75" customHeight="1">
      <c r="F12490" s="32"/>
    </row>
    <row r="12491" spans="6:6" ht="12.75" customHeight="1">
      <c r="F12491" s="32"/>
    </row>
    <row r="12492" spans="6:6" ht="12.75" customHeight="1">
      <c r="F12492" s="32"/>
    </row>
    <row r="12493" spans="6:6" ht="12.75" customHeight="1">
      <c r="F12493" s="32"/>
    </row>
    <row r="12494" spans="6:6" ht="12.75" customHeight="1">
      <c r="F12494" s="32"/>
    </row>
    <row r="12495" spans="6:6" ht="12.75" customHeight="1">
      <c r="F12495" s="32"/>
    </row>
    <row r="12496" spans="6:6" ht="12.75" customHeight="1">
      <c r="F12496" s="32"/>
    </row>
    <row r="12497" spans="6:6" ht="12.75" customHeight="1">
      <c r="F12497" s="32"/>
    </row>
    <row r="12498" spans="6:6" ht="12.75" customHeight="1">
      <c r="F12498" s="32"/>
    </row>
    <row r="12499" spans="6:6" ht="12.75" customHeight="1">
      <c r="F12499" s="32"/>
    </row>
    <row r="12500" spans="6:6" ht="12.75" customHeight="1">
      <c r="F12500" s="32"/>
    </row>
    <row r="12501" spans="6:6" ht="12.75" customHeight="1">
      <c r="F12501" s="32"/>
    </row>
    <row r="12502" spans="6:6" ht="12.75" customHeight="1">
      <c r="F12502" s="32"/>
    </row>
    <row r="12503" spans="6:6" ht="12.75" customHeight="1">
      <c r="F12503" s="32"/>
    </row>
    <row r="12504" spans="6:6" ht="12.75" customHeight="1">
      <c r="F12504" s="32"/>
    </row>
    <row r="12505" spans="6:6" ht="12.75" customHeight="1">
      <c r="F12505" s="32"/>
    </row>
    <row r="12506" spans="6:6" ht="12.75" customHeight="1">
      <c r="F12506" s="32"/>
    </row>
    <row r="12507" spans="6:6" ht="12.75" customHeight="1">
      <c r="F12507" s="32"/>
    </row>
    <row r="12508" spans="6:6" ht="12.75" customHeight="1">
      <c r="F12508" s="32"/>
    </row>
    <row r="12509" spans="6:6" ht="12.75" customHeight="1">
      <c r="F12509" s="32"/>
    </row>
    <row r="12510" spans="6:6" ht="12.75" customHeight="1">
      <c r="F12510" s="32"/>
    </row>
    <row r="12511" spans="6:6" ht="12.75" customHeight="1">
      <c r="F12511" s="32"/>
    </row>
    <row r="12512" spans="6:6" ht="12.75" customHeight="1">
      <c r="F12512" s="32"/>
    </row>
    <row r="12513" spans="6:6" ht="12.75" customHeight="1">
      <c r="F12513" s="32"/>
    </row>
    <row r="12514" spans="6:6" ht="12.75" customHeight="1">
      <c r="F12514" s="32"/>
    </row>
    <row r="12515" spans="6:6" ht="12.75" customHeight="1">
      <c r="F12515" s="32"/>
    </row>
    <row r="12516" spans="6:6" ht="12.75" customHeight="1">
      <c r="F12516" s="32"/>
    </row>
    <row r="12517" spans="6:6" ht="12.75" customHeight="1">
      <c r="F12517" s="32"/>
    </row>
    <row r="12518" spans="6:6" ht="12.75" customHeight="1">
      <c r="F12518" s="32"/>
    </row>
    <row r="12519" spans="6:6" ht="12.75" customHeight="1">
      <c r="F12519" s="32"/>
    </row>
    <row r="12520" spans="6:6" ht="12.75" customHeight="1">
      <c r="F12520" s="32"/>
    </row>
    <row r="12521" spans="6:6" ht="12.75" customHeight="1">
      <c r="F12521" s="32"/>
    </row>
    <row r="12522" spans="6:6" ht="12.75" customHeight="1">
      <c r="F12522" s="32"/>
    </row>
    <row r="12523" spans="6:6" ht="12.75" customHeight="1">
      <c r="F12523" s="32"/>
    </row>
    <row r="12524" spans="6:6" ht="12.75" customHeight="1">
      <c r="F12524" s="32"/>
    </row>
    <row r="12525" spans="6:6" ht="12.75" customHeight="1">
      <c r="F12525" s="32"/>
    </row>
    <row r="12526" spans="6:6" ht="12.75" customHeight="1">
      <c r="F12526" s="32"/>
    </row>
    <row r="12527" spans="6:6" ht="12.75" customHeight="1">
      <c r="F12527" s="32"/>
    </row>
    <row r="12528" spans="6:6" ht="12.75" customHeight="1">
      <c r="F12528" s="32"/>
    </row>
    <row r="12529" spans="6:6" ht="12.75" customHeight="1">
      <c r="F12529" s="32"/>
    </row>
    <row r="12530" spans="6:6" ht="12.75" customHeight="1">
      <c r="F12530" s="32"/>
    </row>
    <row r="12531" spans="6:6" ht="12.75" customHeight="1">
      <c r="F12531" s="32"/>
    </row>
    <row r="12532" spans="6:6" ht="12.75" customHeight="1">
      <c r="F12532" s="32"/>
    </row>
    <row r="12533" spans="6:6" ht="12.75" customHeight="1">
      <c r="F12533" s="32"/>
    </row>
    <row r="12534" spans="6:6" ht="12.75" customHeight="1">
      <c r="F12534" s="32"/>
    </row>
    <row r="12535" spans="6:6" ht="12.75" customHeight="1">
      <c r="F12535" s="32"/>
    </row>
    <row r="12536" spans="6:6" ht="12.75" customHeight="1">
      <c r="F12536" s="32"/>
    </row>
    <row r="12537" spans="6:6" ht="12.75" customHeight="1">
      <c r="F12537" s="32"/>
    </row>
    <row r="12538" spans="6:6" ht="12.75" customHeight="1">
      <c r="F12538" s="32"/>
    </row>
    <row r="12539" spans="6:6" ht="12.75" customHeight="1">
      <c r="F12539" s="32"/>
    </row>
    <row r="12540" spans="6:6" ht="12.75" customHeight="1">
      <c r="F12540" s="32"/>
    </row>
    <row r="12541" spans="6:6" ht="12.75" customHeight="1">
      <c r="F12541" s="32"/>
    </row>
    <row r="12542" spans="6:6" ht="12.75" customHeight="1">
      <c r="F12542" s="32"/>
    </row>
    <row r="12543" spans="6:6" ht="12.75" customHeight="1">
      <c r="F12543" s="32"/>
    </row>
    <row r="12544" spans="6:6" ht="12.75" customHeight="1">
      <c r="F12544" s="32"/>
    </row>
    <row r="12545" spans="6:6" ht="12.75" customHeight="1">
      <c r="F12545" s="32"/>
    </row>
    <row r="12546" spans="6:6" ht="12.75" customHeight="1">
      <c r="F12546" s="32"/>
    </row>
    <row r="12547" spans="6:6" ht="12.75" customHeight="1">
      <c r="F12547" s="32"/>
    </row>
    <row r="12548" spans="6:6" ht="12.75" customHeight="1">
      <c r="F12548" s="32"/>
    </row>
    <row r="12549" spans="6:6" ht="12.75" customHeight="1">
      <c r="F12549" s="32"/>
    </row>
    <row r="12550" spans="6:6" ht="12.75" customHeight="1">
      <c r="F12550" s="32"/>
    </row>
    <row r="12551" spans="6:6" ht="12.75" customHeight="1">
      <c r="F12551" s="32"/>
    </row>
    <row r="12552" spans="6:6" ht="12.75" customHeight="1">
      <c r="F12552" s="32"/>
    </row>
    <row r="12553" spans="6:6" ht="12.75" customHeight="1">
      <c r="F12553" s="32"/>
    </row>
    <row r="12554" spans="6:6" ht="12.75" customHeight="1">
      <c r="F12554" s="32"/>
    </row>
    <row r="12555" spans="6:6" ht="12.75" customHeight="1">
      <c r="F12555" s="32"/>
    </row>
    <row r="12556" spans="6:6" ht="12.75" customHeight="1">
      <c r="F12556" s="32"/>
    </row>
    <row r="12557" spans="6:6" ht="12.75" customHeight="1">
      <c r="F12557" s="32"/>
    </row>
    <row r="12558" spans="6:6" ht="12.75" customHeight="1">
      <c r="F12558" s="32"/>
    </row>
    <row r="12559" spans="6:6" ht="12.75" customHeight="1">
      <c r="F12559" s="32"/>
    </row>
    <row r="12560" spans="6:6" ht="12.75" customHeight="1">
      <c r="F12560" s="32"/>
    </row>
    <row r="12561" spans="6:6" ht="12.75" customHeight="1">
      <c r="F12561" s="32"/>
    </row>
    <row r="12562" spans="6:6" ht="12.75" customHeight="1">
      <c r="F12562" s="32"/>
    </row>
    <row r="12563" spans="6:6" ht="12.75" customHeight="1">
      <c r="F12563" s="32"/>
    </row>
    <row r="12564" spans="6:6" ht="12.75" customHeight="1">
      <c r="F12564" s="32"/>
    </row>
    <row r="12565" spans="6:6" ht="12.75" customHeight="1">
      <c r="F12565" s="32"/>
    </row>
    <row r="12566" spans="6:6" ht="12.75" customHeight="1">
      <c r="F12566" s="32"/>
    </row>
    <row r="12567" spans="6:6" ht="12.75" customHeight="1">
      <c r="F12567" s="32"/>
    </row>
    <row r="12568" spans="6:6" ht="12.75" customHeight="1">
      <c r="F12568" s="32"/>
    </row>
    <row r="12569" spans="6:6" ht="12.75" customHeight="1">
      <c r="F12569" s="32"/>
    </row>
    <row r="12570" spans="6:6" ht="12.75" customHeight="1">
      <c r="F12570" s="32"/>
    </row>
    <row r="12571" spans="6:6" ht="12.75" customHeight="1">
      <c r="F12571" s="32"/>
    </row>
    <row r="12572" spans="6:6" ht="12.75" customHeight="1">
      <c r="F12572" s="32"/>
    </row>
    <row r="12573" spans="6:6" ht="12.75" customHeight="1">
      <c r="F12573" s="32"/>
    </row>
    <row r="12574" spans="6:6" ht="12.75" customHeight="1">
      <c r="F12574" s="32"/>
    </row>
    <row r="12575" spans="6:6" ht="12.75" customHeight="1">
      <c r="F12575" s="32"/>
    </row>
    <row r="12576" spans="6:6" ht="12.75" customHeight="1">
      <c r="F12576" s="32"/>
    </row>
    <row r="12577" spans="6:6" ht="12.75" customHeight="1">
      <c r="F12577" s="32"/>
    </row>
    <row r="12578" spans="6:6" ht="12.75" customHeight="1">
      <c r="F12578" s="32"/>
    </row>
    <row r="12579" spans="6:6" ht="12.75" customHeight="1">
      <c r="F12579" s="32"/>
    </row>
    <row r="12580" spans="6:6" ht="12.75" customHeight="1">
      <c r="F12580" s="32"/>
    </row>
    <row r="12581" spans="6:6" ht="12.75" customHeight="1">
      <c r="F12581" s="32"/>
    </row>
    <row r="12582" spans="6:6" ht="12.75" customHeight="1">
      <c r="F12582" s="32"/>
    </row>
    <row r="12583" spans="6:6" ht="12.75" customHeight="1">
      <c r="F12583" s="32"/>
    </row>
    <row r="12584" spans="6:6" ht="12.75" customHeight="1">
      <c r="F12584" s="32"/>
    </row>
    <row r="12585" spans="6:6" ht="12.75" customHeight="1">
      <c r="F12585" s="32"/>
    </row>
    <row r="12586" spans="6:6" ht="12.75" customHeight="1">
      <c r="F12586" s="32"/>
    </row>
    <row r="12587" spans="6:6" ht="12.75" customHeight="1">
      <c r="F12587" s="32"/>
    </row>
    <row r="12588" spans="6:6" ht="12.75" customHeight="1">
      <c r="F12588" s="32"/>
    </row>
    <row r="12589" spans="6:6" ht="12.75" customHeight="1">
      <c r="F12589" s="32"/>
    </row>
    <row r="12590" spans="6:6" ht="12.75" customHeight="1">
      <c r="F12590" s="32"/>
    </row>
    <row r="12591" spans="6:6" ht="12.75" customHeight="1">
      <c r="F12591" s="32"/>
    </row>
    <row r="12592" spans="6:6" ht="12.75" customHeight="1">
      <c r="F12592" s="32"/>
    </row>
    <row r="12593" spans="6:6" ht="12.75" customHeight="1">
      <c r="F12593" s="32"/>
    </row>
    <row r="12594" spans="6:6" ht="12.75" customHeight="1">
      <c r="F12594" s="32"/>
    </row>
    <row r="12595" spans="6:6" ht="12.75" customHeight="1">
      <c r="F12595" s="32"/>
    </row>
    <row r="12596" spans="6:6" ht="12.75" customHeight="1">
      <c r="F12596" s="32"/>
    </row>
    <row r="12597" spans="6:6" ht="12.75" customHeight="1">
      <c r="F12597" s="32"/>
    </row>
    <row r="12598" spans="6:6" ht="12.75" customHeight="1">
      <c r="F12598" s="32"/>
    </row>
    <row r="12599" spans="6:6" ht="12.75" customHeight="1">
      <c r="F12599" s="32"/>
    </row>
    <row r="12600" spans="6:6" ht="12.75" customHeight="1">
      <c r="F12600" s="32"/>
    </row>
    <row r="12601" spans="6:6" ht="12.75" customHeight="1">
      <c r="F12601" s="32"/>
    </row>
    <row r="12602" spans="6:6" ht="12.75" customHeight="1">
      <c r="F12602" s="32"/>
    </row>
    <row r="12603" spans="6:6" ht="12.75" customHeight="1">
      <c r="F12603" s="32"/>
    </row>
    <row r="12604" spans="6:6" ht="12.75" customHeight="1">
      <c r="F12604" s="32"/>
    </row>
    <row r="12605" spans="6:6" ht="12.75" customHeight="1">
      <c r="F12605" s="32"/>
    </row>
    <row r="12606" spans="6:6" ht="12.75" customHeight="1">
      <c r="F12606" s="32"/>
    </row>
    <row r="12607" spans="6:6" ht="12.75" customHeight="1">
      <c r="F12607" s="32"/>
    </row>
    <row r="12608" spans="6:6" ht="12.75" customHeight="1">
      <c r="F12608" s="32"/>
    </row>
    <row r="12609" spans="6:6" ht="12.75" customHeight="1">
      <c r="F12609" s="32"/>
    </row>
    <row r="12610" spans="6:6" ht="12.75" customHeight="1">
      <c r="F12610" s="32"/>
    </row>
    <row r="12611" spans="6:6" ht="12.75" customHeight="1">
      <c r="F12611" s="32"/>
    </row>
    <row r="12612" spans="6:6" ht="12.75" customHeight="1">
      <c r="F12612" s="32"/>
    </row>
    <row r="12613" spans="6:6" ht="12.75" customHeight="1">
      <c r="F12613" s="32"/>
    </row>
    <row r="12614" spans="6:6" ht="12.75" customHeight="1">
      <c r="F12614" s="32"/>
    </row>
    <row r="12615" spans="6:6" ht="12.75" customHeight="1">
      <c r="F12615" s="32"/>
    </row>
    <row r="12616" spans="6:6" ht="12.75" customHeight="1">
      <c r="F12616" s="32"/>
    </row>
    <row r="12617" spans="6:6" ht="12.75" customHeight="1">
      <c r="F12617" s="32"/>
    </row>
    <row r="12618" spans="6:6" ht="12.75" customHeight="1">
      <c r="F12618" s="32"/>
    </row>
    <row r="12619" spans="6:6" ht="12.75" customHeight="1">
      <c r="F12619" s="32"/>
    </row>
    <row r="12620" spans="6:6" ht="12.75" customHeight="1">
      <c r="F12620" s="32"/>
    </row>
    <row r="12621" spans="6:6" ht="12.75" customHeight="1">
      <c r="F12621" s="32"/>
    </row>
    <row r="12622" spans="6:6" ht="12.75" customHeight="1">
      <c r="F12622" s="32"/>
    </row>
    <row r="12623" spans="6:6" ht="12.75" customHeight="1">
      <c r="F12623" s="32"/>
    </row>
    <row r="12624" spans="6:6" ht="12.75" customHeight="1">
      <c r="F12624" s="32"/>
    </row>
    <row r="12625" spans="6:6" ht="12.75" customHeight="1">
      <c r="F12625" s="32"/>
    </row>
    <row r="12626" spans="6:6" ht="12.75" customHeight="1">
      <c r="F12626" s="32"/>
    </row>
    <row r="12627" spans="6:6" ht="12.75" customHeight="1">
      <c r="F12627" s="32"/>
    </row>
    <row r="12628" spans="6:6" ht="12.75" customHeight="1">
      <c r="F12628" s="32"/>
    </row>
    <row r="12629" spans="6:6" ht="12.75" customHeight="1">
      <c r="F12629" s="32"/>
    </row>
    <row r="12630" spans="6:6" ht="12.75" customHeight="1">
      <c r="F12630" s="32"/>
    </row>
    <row r="12631" spans="6:6" ht="12.75" customHeight="1">
      <c r="F12631" s="32"/>
    </row>
    <row r="12632" spans="6:6" ht="12.75" customHeight="1">
      <c r="F12632" s="32"/>
    </row>
    <row r="12633" spans="6:6" ht="12.75" customHeight="1">
      <c r="F12633" s="32"/>
    </row>
    <row r="12634" spans="6:6" ht="12.75" customHeight="1">
      <c r="F12634" s="32"/>
    </row>
    <row r="12635" spans="6:6" ht="12.75" customHeight="1">
      <c r="F12635" s="32"/>
    </row>
    <row r="12636" spans="6:6" ht="12.75" customHeight="1">
      <c r="F12636" s="32"/>
    </row>
    <row r="12637" spans="6:6" ht="12.75" customHeight="1">
      <c r="F12637" s="32"/>
    </row>
    <row r="12638" spans="6:6" ht="12.75" customHeight="1">
      <c r="F12638" s="32"/>
    </row>
    <row r="12639" spans="6:6" ht="12.75" customHeight="1">
      <c r="F12639" s="32"/>
    </row>
    <row r="12640" spans="6:6" ht="12.75" customHeight="1">
      <c r="F12640" s="32"/>
    </row>
    <row r="12641" spans="6:6" ht="12.75" customHeight="1">
      <c r="F12641" s="32"/>
    </row>
    <row r="12642" spans="6:6" ht="12.75" customHeight="1">
      <c r="F12642" s="32"/>
    </row>
    <row r="12643" spans="6:6" ht="12.75" customHeight="1">
      <c r="F12643" s="32"/>
    </row>
    <row r="12644" spans="6:6" ht="12.75" customHeight="1">
      <c r="F12644" s="32"/>
    </row>
    <row r="12645" spans="6:6" ht="12.75" customHeight="1">
      <c r="F12645" s="32"/>
    </row>
    <row r="12646" spans="6:6" ht="12.75" customHeight="1">
      <c r="F12646" s="32"/>
    </row>
    <row r="12647" spans="6:6" ht="12.75" customHeight="1">
      <c r="F12647" s="32"/>
    </row>
    <row r="12648" spans="6:6" ht="12.75" customHeight="1">
      <c r="F12648" s="32"/>
    </row>
    <row r="12649" spans="6:6" ht="12.75" customHeight="1">
      <c r="F12649" s="32"/>
    </row>
    <row r="12650" spans="6:6" ht="12.75" customHeight="1">
      <c r="F12650" s="32"/>
    </row>
    <row r="12651" spans="6:6" ht="12.75" customHeight="1">
      <c r="F12651" s="32"/>
    </row>
    <row r="12652" spans="6:6" ht="12.75" customHeight="1">
      <c r="F12652" s="32"/>
    </row>
    <row r="12653" spans="6:6" ht="12.75" customHeight="1">
      <c r="F12653" s="32"/>
    </row>
    <row r="12654" spans="6:6" ht="12.75" customHeight="1">
      <c r="F12654" s="32"/>
    </row>
    <row r="12655" spans="6:6" ht="12.75" customHeight="1">
      <c r="F12655" s="32"/>
    </row>
    <row r="12656" spans="6:6" ht="12.75" customHeight="1">
      <c r="F12656" s="32"/>
    </row>
    <row r="12657" spans="6:6" ht="12.75" customHeight="1">
      <c r="F12657" s="32"/>
    </row>
    <row r="12658" spans="6:6" ht="12.75" customHeight="1">
      <c r="F12658" s="32"/>
    </row>
    <row r="12659" spans="6:6" ht="12.75" customHeight="1">
      <c r="F12659" s="32"/>
    </row>
    <row r="12660" spans="6:6" ht="12.75" customHeight="1">
      <c r="F12660" s="32"/>
    </row>
    <row r="12661" spans="6:6" ht="12.75" customHeight="1">
      <c r="F12661" s="32"/>
    </row>
    <row r="12662" spans="6:6" ht="12.75" customHeight="1">
      <c r="F12662" s="32"/>
    </row>
    <row r="12663" spans="6:6" ht="12.75" customHeight="1">
      <c r="F12663" s="32"/>
    </row>
    <row r="12664" spans="6:6" ht="12.75" customHeight="1">
      <c r="F12664" s="32"/>
    </row>
    <row r="12665" spans="6:6" ht="12.75" customHeight="1">
      <c r="F12665" s="32"/>
    </row>
    <row r="12666" spans="6:6" ht="12.75" customHeight="1">
      <c r="F12666" s="32"/>
    </row>
    <row r="12667" spans="6:6" ht="12.75" customHeight="1">
      <c r="F12667" s="32"/>
    </row>
    <row r="12668" spans="6:6" ht="12.75" customHeight="1">
      <c r="F12668" s="32"/>
    </row>
    <row r="12669" spans="6:6" ht="12.75" customHeight="1">
      <c r="F12669" s="32"/>
    </row>
    <row r="12670" spans="6:6" ht="12.75" customHeight="1">
      <c r="F12670" s="32"/>
    </row>
    <row r="12671" spans="6:6" ht="12.75" customHeight="1">
      <c r="F12671" s="32"/>
    </row>
    <row r="12672" spans="6:6" ht="12.75" customHeight="1">
      <c r="F12672" s="32"/>
    </row>
    <row r="12673" spans="6:6" ht="12.75" customHeight="1">
      <c r="F12673" s="32"/>
    </row>
    <row r="12674" spans="6:6" ht="12.75" customHeight="1">
      <c r="F12674" s="32"/>
    </row>
    <row r="12675" spans="6:6" ht="12.75" customHeight="1">
      <c r="F12675" s="32"/>
    </row>
    <row r="12676" spans="6:6" ht="12.75" customHeight="1">
      <c r="F12676" s="32"/>
    </row>
    <row r="12677" spans="6:6" ht="12.75" customHeight="1">
      <c r="F12677" s="32"/>
    </row>
    <row r="12678" spans="6:6" ht="12.75" customHeight="1">
      <c r="F12678" s="32"/>
    </row>
    <row r="12679" spans="6:6" ht="12.75" customHeight="1">
      <c r="F12679" s="32"/>
    </row>
    <row r="12680" spans="6:6" ht="12.75" customHeight="1">
      <c r="F12680" s="32"/>
    </row>
    <row r="12681" spans="6:6" ht="12.75" customHeight="1">
      <c r="F12681" s="32"/>
    </row>
    <row r="12682" spans="6:6" ht="12.75" customHeight="1">
      <c r="F12682" s="32"/>
    </row>
    <row r="12683" spans="6:6" ht="12.75" customHeight="1">
      <c r="F12683" s="32"/>
    </row>
    <row r="12684" spans="6:6" ht="12.75" customHeight="1">
      <c r="F12684" s="32"/>
    </row>
    <row r="12685" spans="6:6" ht="12.75" customHeight="1">
      <c r="F12685" s="32"/>
    </row>
    <row r="12686" spans="6:6" ht="12.75" customHeight="1">
      <c r="F12686" s="32"/>
    </row>
    <row r="12687" spans="6:6" ht="12.75" customHeight="1">
      <c r="F12687" s="32"/>
    </row>
    <row r="12688" spans="6:6" ht="12.75" customHeight="1">
      <c r="F12688" s="32"/>
    </row>
    <row r="12689" spans="6:6" ht="12.75" customHeight="1">
      <c r="F12689" s="32"/>
    </row>
    <row r="12690" spans="6:6" ht="12.75" customHeight="1">
      <c r="F12690" s="32"/>
    </row>
    <row r="12691" spans="6:6" ht="12.75" customHeight="1">
      <c r="F12691" s="32"/>
    </row>
    <row r="12692" spans="6:6" ht="12.75" customHeight="1">
      <c r="F12692" s="32"/>
    </row>
    <row r="12693" spans="6:6" ht="12.75" customHeight="1">
      <c r="F12693" s="32"/>
    </row>
    <row r="12694" spans="6:6" ht="12.75" customHeight="1">
      <c r="F12694" s="32"/>
    </row>
    <row r="12695" spans="6:6" ht="12.75" customHeight="1">
      <c r="F12695" s="32"/>
    </row>
    <row r="12696" spans="6:6" ht="12.75" customHeight="1">
      <c r="F12696" s="32"/>
    </row>
    <row r="12697" spans="6:6" ht="12.75" customHeight="1">
      <c r="F12697" s="32"/>
    </row>
    <row r="12698" spans="6:6" ht="12.75" customHeight="1">
      <c r="F12698" s="32"/>
    </row>
    <row r="12699" spans="6:6" ht="12.75" customHeight="1">
      <c r="F12699" s="32"/>
    </row>
    <row r="12700" spans="6:6" ht="12.75" customHeight="1">
      <c r="F12700" s="32"/>
    </row>
    <row r="12701" spans="6:6" ht="12.75" customHeight="1">
      <c r="F12701" s="32"/>
    </row>
    <row r="12702" spans="6:6" ht="12.75" customHeight="1">
      <c r="F12702" s="32"/>
    </row>
    <row r="12703" spans="6:6" ht="12.75" customHeight="1">
      <c r="F12703" s="32"/>
    </row>
    <row r="12704" spans="6:6" ht="12.75" customHeight="1">
      <c r="F12704" s="32"/>
    </row>
    <row r="12705" spans="6:6" ht="12.75" customHeight="1">
      <c r="F12705" s="32"/>
    </row>
    <row r="12706" spans="6:6" ht="12.75" customHeight="1">
      <c r="F12706" s="32"/>
    </row>
    <row r="12707" spans="6:6" ht="12.75" customHeight="1">
      <c r="F12707" s="32"/>
    </row>
    <row r="12708" spans="6:6" ht="12.75" customHeight="1">
      <c r="F12708" s="32"/>
    </row>
    <row r="12709" spans="6:6" ht="12.75" customHeight="1">
      <c r="F12709" s="32"/>
    </row>
    <row r="12710" spans="6:6" ht="12.75" customHeight="1">
      <c r="F12710" s="32"/>
    </row>
    <row r="12711" spans="6:6" ht="12.75" customHeight="1">
      <c r="F12711" s="32"/>
    </row>
    <row r="12712" spans="6:6" ht="12.75" customHeight="1">
      <c r="F12712" s="32"/>
    </row>
    <row r="12713" spans="6:6" ht="12.75" customHeight="1">
      <c r="F12713" s="32"/>
    </row>
    <row r="12714" spans="6:6" ht="12.75" customHeight="1">
      <c r="F12714" s="32"/>
    </row>
    <row r="12715" spans="6:6" ht="12.75" customHeight="1">
      <c r="F12715" s="32"/>
    </row>
    <row r="12716" spans="6:6" ht="12.75" customHeight="1">
      <c r="F12716" s="32"/>
    </row>
    <row r="12717" spans="6:6" ht="12.75" customHeight="1">
      <c r="F12717" s="32"/>
    </row>
    <row r="12718" spans="6:6" ht="12.75" customHeight="1">
      <c r="F12718" s="32"/>
    </row>
    <row r="12719" spans="6:6" ht="12.75" customHeight="1">
      <c r="F12719" s="32"/>
    </row>
    <row r="12720" spans="6:6" ht="12.75" customHeight="1">
      <c r="F12720" s="32"/>
    </row>
    <row r="12721" spans="6:6" ht="12.75" customHeight="1">
      <c r="F12721" s="32"/>
    </row>
    <row r="12722" spans="6:6" ht="12.75" customHeight="1">
      <c r="F12722" s="32"/>
    </row>
    <row r="12723" spans="6:6" ht="12.75" customHeight="1">
      <c r="F12723" s="32"/>
    </row>
    <row r="12724" spans="6:6" ht="12.75" customHeight="1">
      <c r="F12724" s="32"/>
    </row>
    <row r="12725" spans="6:6" ht="12.75" customHeight="1">
      <c r="F12725" s="32"/>
    </row>
    <row r="12726" spans="6:6" ht="12.75" customHeight="1">
      <c r="F12726" s="32"/>
    </row>
    <row r="12727" spans="6:6" ht="12.75" customHeight="1">
      <c r="F12727" s="32"/>
    </row>
    <row r="12728" spans="6:6" ht="12.75" customHeight="1">
      <c r="F12728" s="32"/>
    </row>
    <row r="12729" spans="6:6" ht="12.75" customHeight="1">
      <c r="F12729" s="32"/>
    </row>
    <row r="12730" spans="6:6" ht="12.75" customHeight="1">
      <c r="F12730" s="32"/>
    </row>
    <row r="12731" spans="6:6" ht="12.75" customHeight="1">
      <c r="F12731" s="32"/>
    </row>
    <row r="12732" spans="6:6" ht="12.75" customHeight="1">
      <c r="F12732" s="32"/>
    </row>
    <row r="12733" spans="6:6" ht="12.75" customHeight="1">
      <c r="F12733" s="32"/>
    </row>
    <row r="12734" spans="6:6" ht="12.75" customHeight="1">
      <c r="F12734" s="32"/>
    </row>
    <row r="12735" spans="6:6" ht="12.75" customHeight="1">
      <c r="F12735" s="32"/>
    </row>
    <row r="12736" spans="6:6" ht="12.75" customHeight="1">
      <c r="F12736" s="32"/>
    </row>
    <row r="12737" spans="6:6" ht="12.75" customHeight="1">
      <c r="F12737" s="32"/>
    </row>
    <row r="12738" spans="6:6" ht="12.75" customHeight="1">
      <c r="F12738" s="32"/>
    </row>
    <row r="12739" spans="6:6" ht="12.75" customHeight="1">
      <c r="F12739" s="32"/>
    </row>
    <row r="12740" spans="6:6" ht="12.75" customHeight="1">
      <c r="F12740" s="32"/>
    </row>
    <row r="12741" spans="6:6" ht="12.75" customHeight="1">
      <c r="F12741" s="32"/>
    </row>
    <row r="12742" spans="6:6" ht="12.75" customHeight="1">
      <c r="F12742" s="32"/>
    </row>
    <row r="12743" spans="6:6" ht="12.75" customHeight="1">
      <c r="F12743" s="32"/>
    </row>
    <row r="12744" spans="6:6" ht="12.75" customHeight="1">
      <c r="F12744" s="32"/>
    </row>
    <row r="12745" spans="6:6" ht="12.75" customHeight="1">
      <c r="F12745" s="32"/>
    </row>
    <row r="12746" spans="6:6" ht="12.75" customHeight="1">
      <c r="F12746" s="32"/>
    </row>
    <row r="12747" spans="6:6" ht="12.75" customHeight="1">
      <c r="F12747" s="32"/>
    </row>
    <row r="12748" spans="6:6" ht="12.75" customHeight="1">
      <c r="F12748" s="32"/>
    </row>
    <row r="12749" spans="6:6" ht="12.75" customHeight="1">
      <c r="F12749" s="32"/>
    </row>
    <row r="12750" spans="6:6" ht="12.75" customHeight="1">
      <c r="F12750" s="32"/>
    </row>
    <row r="12751" spans="6:6" ht="12.75" customHeight="1">
      <c r="F12751" s="32"/>
    </row>
    <row r="12752" spans="6:6" ht="12.75" customHeight="1">
      <c r="F12752" s="32"/>
    </row>
    <row r="12753" spans="6:6" ht="12.75" customHeight="1">
      <c r="F12753" s="32"/>
    </row>
    <row r="12754" spans="6:6" ht="12.75" customHeight="1">
      <c r="F12754" s="32"/>
    </row>
    <row r="12755" spans="6:6" ht="12.75" customHeight="1">
      <c r="F12755" s="32"/>
    </row>
    <row r="12756" spans="6:6" ht="12.75" customHeight="1">
      <c r="F12756" s="32"/>
    </row>
    <row r="12757" spans="6:6" ht="12.75" customHeight="1">
      <c r="F12757" s="32"/>
    </row>
    <row r="12758" spans="6:6" ht="12.75" customHeight="1">
      <c r="F12758" s="32"/>
    </row>
    <row r="12759" spans="6:6" ht="12.75" customHeight="1">
      <c r="F12759" s="32"/>
    </row>
    <row r="12760" spans="6:6" ht="12.75" customHeight="1">
      <c r="F12760" s="32"/>
    </row>
    <row r="12761" spans="6:6" ht="12.75" customHeight="1">
      <c r="F12761" s="32"/>
    </row>
    <row r="12762" spans="6:6" ht="12.75" customHeight="1">
      <c r="F12762" s="32"/>
    </row>
    <row r="12763" spans="6:6" ht="12.75" customHeight="1">
      <c r="F12763" s="32"/>
    </row>
    <row r="12764" spans="6:6" ht="12.75" customHeight="1">
      <c r="F12764" s="32"/>
    </row>
    <row r="12765" spans="6:6" ht="12.75" customHeight="1">
      <c r="F12765" s="32"/>
    </row>
    <row r="12766" spans="6:6" ht="12.75" customHeight="1">
      <c r="F12766" s="32"/>
    </row>
    <row r="12767" spans="6:6" ht="12.75" customHeight="1">
      <c r="F12767" s="32"/>
    </row>
    <row r="12768" spans="6:6" ht="12.75" customHeight="1">
      <c r="F12768" s="32"/>
    </row>
    <row r="12769" spans="6:6" ht="12.75" customHeight="1">
      <c r="F12769" s="32"/>
    </row>
    <row r="12770" spans="6:6" ht="12.75" customHeight="1">
      <c r="F12770" s="32"/>
    </row>
    <row r="12771" spans="6:6" ht="12.75" customHeight="1">
      <c r="F12771" s="32"/>
    </row>
    <row r="12772" spans="6:6" ht="12.75" customHeight="1">
      <c r="F12772" s="32"/>
    </row>
    <row r="12773" spans="6:6" ht="12.75" customHeight="1">
      <c r="F12773" s="32"/>
    </row>
    <row r="12774" spans="6:6" ht="12.75" customHeight="1">
      <c r="F12774" s="32"/>
    </row>
    <row r="12775" spans="6:6" ht="12.75" customHeight="1">
      <c r="F12775" s="32"/>
    </row>
    <row r="12776" spans="6:6" ht="12.75" customHeight="1">
      <c r="F12776" s="32"/>
    </row>
    <row r="12777" spans="6:6" ht="12.75" customHeight="1">
      <c r="F12777" s="32"/>
    </row>
    <row r="12778" spans="6:6" ht="12.75" customHeight="1">
      <c r="F12778" s="32"/>
    </row>
    <row r="12779" spans="6:6" ht="12.75" customHeight="1">
      <c r="F12779" s="32"/>
    </row>
    <row r="12780" spans="6:6" ht="12.75" customHeight="1">
      <c r="F12780" s="32"/>
    </row>
    <row r="12781" spans="6:6" ht="12.75" customHeight="1">
      <c r="F12781" s="32"/>
    </row>
    <row r="12782" spans="6:6" ht="12.75" customHeight="1">
      <c r="F12782" s="32"/>
    </row>
    <row r="12783" spans="6:6" ht="12.75" customHeight="1">
      <c r="F12783" s="32"/>
    </row>
    <row r="12784" spans="6:6" ht="12.75" customHeight="1">
      <c r="F12784" s="32"/>
    </row>
    <row r="12785" spans="6:6" ht="12.75" customHeight="1">
      <c r="F12785" s="32"/>
    </row>
    <row r="12786" spans="6:6" ht="12.75" customHeight="1">
      <c r="F12786" s="32"/>
    </row>
    <row r="12787" spans="6:6" ht="12.75" customHeight="1">
      <c r="F12787" s="32"/>
    </row>
    <row r="12788" spans="6:6" ht="12.75" customHeight="1">
      <c r="F12788" s="32"/>
    </row>
    <row r="12789" spans="6:6" ht="12.75" customHeight="1">
      <c r="F12789" s="32"/>
    </row>
    <row r="12790" spans="6:6" ht="12.75" customHeight="1">
      <c r="F12790" s="32"/>
    </row>
    <row r="12791" spans="6:6" ht="12.75" customHeight="1">
      <c r="F12791" s="32"/>
    </row>
    <row r="12792" spans="6:6" ht="12.75" customHeight="1">
      <c r="F12792" s="32"/>
    </row>
    <row r="12793" spans="6:6" ht="12.75" customHeight="1">
      <c r="F12793" s="32"/>
    </row>
    <row r="12794" spans="6:6" ht="12.75" customHeight="1">
      <c r="F12794" s="32"/>
    </row>
    <row r="12795" spans="6:6" ht="12.75" customHeight="1">
      <c r="F12795" s="32"/>
    </row>
    <row r="12796" spans="6:6" ht="12.75" customHeight="1">
      <c r="F12796" s="32"/>
    </row>
    <row r="12797" spans="6:6" ht="12.75" customHeight="1">
      <c r="F12797" s="32"/>
    </row>
    <row r="12798" spans="6:6" ht="12.75" customHeight="1">
      <c r="F12798" s="32"/>
    </row>
    <row r="12799" spans="6:6" ht="12.75" customHeight="1">
      <c r="F12799" s="32"/>
    </row>
    <row r="12800" spans="6:6" ht="12.75" customHeight="1">
      <c r="F12800" s="32"/>
    </row>
    <row r="12801" spans="6:6" ht="12.75" customHeight="1">
      <c r="F12801" s="32"/>
    </row>
    <row r="12802" spans="6:6" ht="12.75" customHeight="1">
      <c r="F12802" s="32"/>
    </row>
    <row r="12803" spans="6:6" ht="12.75" customHeight="1">
      <c r="F12803" s="32"/>
    </row>
    <row r="12804" spans="6:6" ht="12.75" customHeight="1">
      <c r="F12804" s="32"/>
    </row>
    <row r="12805" spans="6:6" ht="12.75" customHeight="1">
      <c r="F12805" s="32"/>
    </row>
    <row r="12806" spans="6:6" ht="12.75" customHeight="1">
      <c r="F12806" s="32"/>
    </row>
    <row r="12807" spans="6:6" ht="12.75" customHeight="1">
      <c r="F12807" s="32"/>
    </row>
    <row r="12808" spans="6:6" ht="12.75" customHeight="1">
      <c r="F12808" s="32"/>
    </row>
    <row r="12809" spans="6:6" ht="12.75" customHeight="1">
      <c r="F12809" s="32"/>
    </row>
    <row r="12810" spans="6:6" ht="12.75" customHeight="1">
      <c r="F12810" s="32"/>
    </row>
    <row r="12811" spans="6:6" ht="12.75" customHeight="1">
      <c r="F12811" s="32"/>
    </row>
    <row r="12812" spans="6:6" ht="12.75" customHeight="1">
      <c r="F12812" s="32"/>
    </row>
    <row r="12813" spans="6:6" ht="12.75" customHeight="1">
      <c r="F12813" s="32"/>
    </row>
    <row r="12814" spans="6:6" ht="12.75" customHeight="1">
      <c r="F12814" s="32"/>
    </row>
    <row r="12815" spans="6:6" ht="12.75" customHeight="1">
      <c r="F12815" s="32"/>
    </row>
    <row r="12816" spans="6:6" ht="12.75" customHeight="1">
      <c r="F12816" s="32"/>
    </row>
    <row r="12817" spans="6:6" ht="12.75" customHeight="1">
      <c r="F12817" s="32"/>
    </row>
    <row r="12818" spans="6:6" ht="12.75" customHeight="1">
      <c r="F12818" s="32"/>
    </row>
    <row r="12819" spans="6:6" ht="12.75" customHeight="1">
      <c r="F12819" s="32"/>
    </row>
    <row r="12820" spans="6:6" ht="12.75" customHeight="1">
      <c r="F12820" s="32"/>
    </row>
    <row r="12821" spans="6:6" ht="12.75" customHeight="1">
      <c r="F12821" s="32"/>
    </row>
    <row r="12822" spans="6:6" ht="12.75" customHeight="1">
      <c r="F12822" s="32"/>
    </row>
    <row r="12823" spans="6:6" ht="12.75" customHeight="1">
      <c r="F12823" s="32"/>
    </row>
    <row r="12824" spans="6:6" ht="12.75" customHeight="1">
      <c r="F12824" s="32"/>
    </row>
    <row r="12825" spans="6:6" ht="12.75" customHeight="1">
      <c r="F12825" s="32"/>
    </row>
    <row r="12826" spans="6:6" ht="12.75" customHeight="1">
      <c r="F12826" s="32"/>
    </row>
    <row r="12827" spans="6:6" ht="12.75" customHeight="1">
      <c r="F12827" s="32"/>
    </row>
    <row r="12828" spans="6:6" ht="12.75" customHeight="1">
      <c r="F12828" s="32"/>
    </row>
    <row r="12829" spans="6:6" ht="12.75" customHeight="1">
      <c r="F12829" s="32"/>
    </row>
    <row r="12830" spans="6:6" ht="12.75" customHeight="1">
      <c r="F12830" s="32"/>
    </row>
    <row r="12831" spans="6:6" ht="12.75" customHeight="1">
      <c r="F12831" s="32"/>
    </row>
    <row r="12832" spans="6:6" ht="12.75" customHeight="1">
      <c r="F12832" s="32"/>
    </row>
    <row r="12833" spans="6:6" ht="12.75" customHeight="1">
      <c r="F12833" s="32"/>
    </row>
    <row r="12834" spans="6:6" ht="12.75" customHeight="1">
      <c r="F12834" s="32"/>
    </row>
    <row r="12835" spans="6:6" ht="12.75" customHeight="1">
      <c r="F12835" s="32"/>
    </row>
    <row r="12836" spans="6:6" ht="12.75" customHeight="1">
      <c r="F12836" s="32"/>
    </row>
    <row r="12837" spans="6:6" ht="12.75" customHeight="1">
      <c r="F12837" s="32"/>
    </row>
    <row r="12838" spans="6:6" ht="12.75" customHeight="1">
      <c r="F12838" s="32"/>
    </row>
    <row r="12839" spans="6:6" ht="12.75" customHeight="1">
      <c r="F12839" s="32"/>
    </row>
    <row r="12840" spans="6:6" ht="12.75" customHeight="1">
      <c r="F12840" s="32"/>
    </row>
    <row r="12841" spans="6:6" ht="12.75" customHeight="1">
      <c r="F12841" s="32"/>
    </row>
    <row r="12842" spans="6:6" ht="12.75" customHeight="1">
      <c r="F12842" s="32"/>
    </row>
    <row r="12843" spans="6:6" ht="12.75" customHeight="1">
      <c r="F12843" s="32"/>
    </row>
    <row r="12844" spans="6:6" ht="12.75" customHeight="1">
      <c r="F12844" s="32"/>
    </row>
    <row r="12845" spans="6:6" ht="12.75" customHeight="1">
      <c r="F12845" s="32"/>
    </row>
    <row r="12846" spans="6:6" ht="12.75" customHeight="1">
      <c r="F12846" s="32"/>
    </row>
    <row r="12847" spans="6:6" ht="12.75" customHeight="1">
      <c r="F12847" s="32"/>
    </row>
    <row r="12848" spans="6:6" ht="12.75" customHeight="1">
      <c r="F12848" s="32"/>
    </row>
    <row r="12849" spans="6:6" ht="12.75" customHeight="1">
      <c r="F12849" s="32"/>
    </row>
    <row r="12850" spans="6:6" ht="12.75" customHeight="1">
      <c r="F12850" s="32"/>
    </row>
    <row r="12851" spans="6:6" ht="12.75" customHeight="1">
      <c r="F12851" s="32"/>
    </row>
    <row r="12852" spans="6:6" ht="12.75" customHeight="1">
      <c r="F12852" s="32"/>
    </row>
    <row r="12853" spans="6:6" ht="12.75" customHeight="1">
      <c r="F12853" s="32"/>
    </row>
    <row r="12854" spans="6:6" ht="12.75" customHeight="1">
      <c r="F12854" s="32"/>
    </row>
    <row r="12855" spans="6:6" ht="12.75" customHeight="1">
      <c r="F12855" s="32"/>
    </row>
    <row r="12856" spans="6:6" ht="12.75" customHeight="1">
      <c r="F12856" s="32"/>
    </row>
    <row r="12857" spans="6:6" ht="12.75" customHeight="1">
      <c r="F12857" s="32"/>
    </row>
    <row r="12858" spans="6:6" ht="12.75" customHeight="1">
      <c r="F12858" s="32"/>
    </row>
    <row r="12859" spans="6:6" ht="12.75" customHeight="1">
      <c r="F12859" s="32"/>
    </row>
    <row r="12860" spans="6:6" ht="12.75" customHeight="1">
      <c r="F12860" s="32"/>
    </row>
    <row r="12861" spans="6:6" ht="12.75" customHeight="1">
      <c r="F12861" s="32"/>
    </row>
    <row r="12862" spans="6:6" ht="12.75" customHeight="1">
      <c r="F12862" s="32"/>
    </row>
    <row r="12863" spans="6:6" ht="12.75" customHeight="1">
      <c r="F12863" s="32"/>
    </row>
    <row r="12864" spans="6:6" ht="12.75" customHeight="1">
      <c r="F12864" s="32"/>
    </row>
    <row r="12865" spans="6:6" ht="12.75" customHeight="1">
      <c r="F12865" s="32"/>
    </row>
    <row r="12866" spans="6:6" ht="12.75" customHeight="1">
      <c r="F12866" s="32"/>
    </row>
    <row r="12867" spans="6:6" ht="12.75" customHeight="1">
      <c r="F12867" s="32"/>
    </row>
    <row r="12868" spans="6:6" ht="12.75" customHeight="1">
      <c r="F12868" s="32"/>
    </row>
    <row r="12869" spans="6:6" ht="12.75" customHeight="1">
      <c r="F12869" s="32"/>
    </row>
    <row r="12870" spans="6:6" ht="12.75" customHeight="1">
      <c r="F12870" s="32"/>
    </row>
    <row r="12871" spans="6:6" ht="12.75" customHeight="1">
      <c r="F12871" s="32"/>
    </row>
    <row r="12872" spans="6:6" ht="12.75" customHeight="1">
      <c r="F12872" s="32"/>
    </row>
    <row r="12873" spans="6:6" ht="12.75" customHeight="1">
      <c r="F12873" s="32"/>
    </row>
    <row r="12874" spans="6:6" ht="12.75" customHeight="1">
      <c r="F12874" s="32"/>
    </row>
    <row r="12875" spans="6:6" ht="12.75" customHeight="1">
      <c r="F12875" s="32"/>
    </row>
    <row r="12876" spans="6:6" ht="12.75" customHeight="1">
      <c r="F12876" s="32"/>
    </row>
    <row r="12877" spans="6:6" ht="12.75" customHeight="1">
      <c r="F12877" s="32"/>
    </row>
    <row r="12878" spans="6:6" ht="12.75" customHeight="1">
      <c r="F12878" s="32"/>
    </row>
    <row r="12879" spans="6:6" ht="12.75" customHeight="1">
      <c r="F12879" s="32"/>
    </row>
    <row r="12880" spans="6:6" ht="12.75" customHeight="1">
      <c r="F12880" s="32"/>
    </row>
    <row r="12881" spans="6:6" ht="12.75" customHeight="1">
      <c r="F12881" s="32"/>
    </row>
    <row r="12882" spans="6:6" ht="12.75" customHeight="1">
      <c r="F12882" s="32"/>
    </row>
    <row r="12883" spans="6:6" ht="12.75" customHeight="1">
      <c r="F12883" s="32"/>
    </row>
    <row r="12884" spans="6:6" ht="12.75" customHeight="1">
      <c r="F12884" s="32"/>
    </row>
    <row r="12885" spans="6:6" ht="12.75" customHeight="1">
      <c r="F12885" s="32"/>
    </row>
    <row r="12886" spans="6:6" ht="12.75" customHeight="1">
      <c r="F12886" s="32"/>
    </row>
    <row r="12887" spans="6:6" ht="12.75" customHeight="1">
      <c r="F12887" s="32"/>
    </row>
    <row r="12888" spans="6:6" ht="12.75" customHeight="1">
      <c r="F12888" s="32"/>
    </row>
    <row r="12889" spans="6:6" ht="12.75" customHeight="1">
      <c r="F12889" s="32"/>
    </row>
    <row r="12890" spans="6:6" ht="12.75" customHeight="1">
      <c r="F12890" s="32"/>
    </row>
    <row r="12891" spans="6:6" ht="12.75" customHeight="1">
      <c r="F12891" s="32"/>
    </row>
    <row r="12892" spans="6:6" ht="12.75" customHeight="1">
      <c r="F12892" s="32"/>
    </row>
    <row r="12893" spans="6:6" ht="12.75" customHeight="1">
      <c r="F12893" s="32"/>
    </row>
    <row r="12894" spans="6:6" ht="12.75" customHeight="1">
      <c r="F12894" s="32"/>
    </row>
    <row r="12895" spans="6:6" ht="12.75" customHeight="1">
      <c r="F12895" s="32"/>
    </row>
    <row r="12896" spans="6:6" ht="12.75" customHeight="1">
      <c r="F12896" s="32"/>
    </row>
    <row r="12897" spans="6:6" ht="12.75" customHeight="1">
      <c r="F12897" s="32"/>
    </row>
    <row r="12898" spans="6:6" ht="12.75" customHeight="1">
      <c r="F12898" s="32"/>
    </row>
    <row r="12899" spans="6:6" ht="12.75" customHeight="1">
      <c r="F12899" s="32"/>
    </row>
    <row r="12900" spans="6:6" ht="12.75" customHeight="1">
      <c r="F12900" s="32"/>
    </row>
    <row r="12901" spans="6:6" ht="12.75" customHeight="1">
      <c r="F12901" s="32"/>
    </row>
    <row r="12902" spans="6:6" ht="12.75" customHeight="1">
      <c r="F12902" s="32"/>
    </row>
    <row r="12903" spans="6:6" ht="12.75" customHeight="1">
      <c r="F12903" s="32"/>
    </row>
    <row r="12904" spans="6:6" ht="12.75" customHeight="1">
      <c r="F12904" s="32"/>
    </row>
    <row r="12905" spans="6:6" ht="12.75" customHeight="1">
      <c r="F12905" s="32"/>
    </row>
    <row r="12906" spans="6:6" ht="12.75" customHeight="1">
      <c r="F12906" s="32"/>
    </row>
    <row r="12907" spans="6:6" ht="12.75" customHeight="1">
      <c r="F12907" s="32"/>
    </row>
    <row r="12908" spans="6:6" ht="12.75" customHeight="1">
      <c r="F12908" s="32"/>
    </row>
    <row r="12909" spans="6:6" ht="12.75" customHeight="1">
      <c r="F12909" s="32"/>
    </row>
    <row r="12910" spans="6:6" ht="12.75" customHeight="1">
      <c r="F12910" s="32"/>
    </row>
    <row r="12911" spans="6:6" ht="12.75" customHeight="1">
      <c r="F12911" s="32"/>
    </row>
    <row r="12912" spans="6:6" ht="12.75" customHeight="1">
      <c r="F12912" s="32"/>
    </row>
    <row r="12913" spans="6:6" ht="12.75" customHeight="1">
      <c r="F12913" s="32"/>
    </row>
    <row r="12914" spans="6:6" ht="12.75" customHeight="1">
      <c r="F12914" s="32"/>
    </row>
    <row r="12915" spans="6:6" ht="12.75" customHeight="1">
      <c r="F12915" s="32"/>
    </row>
    <row r="12916" spans="6:6" ht="12.75" customHeight="1">
      <c r="F12916" s="32"/>
    </row>
    <row r="12917" spans="6:6" ht="12.75" customHeight="1">
      <c r="F12917" s="32"/>
    </row>
    <row r="12918" spans="6:6" ht="12.75" customHeight="1">
      <c r="F12918" s="32"/>
    </row>
    <row r="12919" spans="6:6" ht="12.75" customHeight="1">
      <c r="F12919" s="32"/>
    </row>
    <row r="12920" spans="6:6" ht="12.75" customHeight="1">
      <c r="F12920" s="32"/>
    </row>
    <row r="12921" spans="6:6" ht="12.75" customHeight="1">
      <c r="F12921" s="32"/>
    </row>
    <row r="12922" spans="6:6" ht="12.75" customHeight="1">
      <c r="F12922" s="32"/>
    </row>
    <row r="12923" spans="6:6" ht="12.75" customHeight="1">
      <c r="F12923" s="32"/>
    </row>
    <row r="12924" spans="6:6" ht="12.75" customHeight="1">
      <c r="F12924" s="32"/>
    </row>
    <row r="12925" spans="6:6" ht="12.75" customHeight="1">
      <c r="F12925" s="32"/>
    </row>
    <row r="12926" spans="6:6" ht="12.75" customHeight="1">
      <c r="F12926" s="32"/>
    </row>
    <row r="12927" spans="6:6" ht="12.75" customHeight="1">
      <c r="F12927" s="32"/>
    </row>
    <row r="12928" spans="6:6" ht="12.75" customHeight="1">
      <c r="F12928" s="32"/>
    </row>
    <row r="12929" spans="6:6" ht="12.75" customHeight="1">
      <c r="F12929" s="32"/>
    </row>
    <row r="12930" spans="6:6" ht="12.75" customHeight="1">
      <c r="F12930" s="32"/>
    </row>
    <row r="12931" spans="6:6" ht="12.75" customHeight="1">
      <c r="F12931" s="32"/>
    </row>
    <row r="12932" spans="6:6" ht="12.75" customHeight="1">
      <c r="F12932" s="32"/>
    </row>
    <row r="12933" spans="6:6" ht="12.75" customHeight="1">
      <c r="F12933" s="32"/>
    </row>
    <row r="12934" spans="6:6" ht="12.75" customHeight="1">
      <c r="F12934" s="32"/>
    </row>
    <row r="12935" spans="6:6" ht="12.75" customHeight="1">
      <c r="F12935" s="32"/>
    </row>
    <row r="12936" spans="6:6" ht="12.75" customHeight="1">
      <c r="F12936" s="32"/>
    </row>
    <row r="12937" spans="6:6" ht="12.75" customHeight="1">
      <c r="F12937" s="32"/>
    </row>
    <row r="12938" spans="6:6" ht="12.75" customHeight="1">
      <c r="F12938" s="32"/>
    </row>
    <row r="12939" spans="6:6" ht="12.75" customHeight="1">
      <c r="F12939" s="32"/>
    </row>
    <row r="12940" spans="6:6" ht="12.75" customHeight="1">
      <c r="F12940" s="32"/>
    </row>
    <row r="12941" spans="6:6" ht="12.75" customHeight="1">
      <c r="F12941" s="32"/>
    </row>
    <row r="12942" spans="6:6" ht="12.75" customHeight="1">
      <c r="F12942" s="32"/>
    </row>
    <row r="12943" spans="6:6" ht="12.75" customHeight="1">
      <c r="F12943" s="32"/>
    </row>
    <row r="12944" spans="6:6" ht="12.75" customHeight="1">
      <c r="F12944" s="32"/>
    </row>
    <row r="12945" spans="6:6" ht="12.75" customHeight="1">
      <c r="F12945" s="32"/>
    </row>
    <row r="12946" spans="6:6" ht="12.75" customHeight="1">
      <c r="F12946" s="32"/>
    </row>
    <row r="12947" spans="6:6" ht="12.75" customHeight="1">
      <c r="F12947" s="32"/>
    </row>
    <row r="12948" spans="6:6" ht="12.75" customHeight="1">
      <c r="F12948" s="32"/>
    </row>
    <row r="12949" spans="6:6" ht="12.75" customHeight="1">
      <c r="F12949" s="32"/>
    </row>
    <row r="12950" spans="6:6" ht="12.75" customHeight="1">
      <c r="F12950" s="32"/>
    </row>
    <row r="12951" spans="6:6" ht="12.75" customHeight="1">
      <c r="F12951" s="32"/>
    </row>
    <row r="12952" spans="6:6" ht="12.75" customHeight="1">
      <c r="F12952" s="32"/>
    </row>
    <row r="12953" spans="6:6" ht="12.75" customHeight="1">
      <c r="F12953" s="32"/>
    </row>
    <row r="12954" spans="6:6" ht="12.75" customHeight="1">
      <c r="F12954" s="32"/>
    </row>
    <row r="12955" spans="6:6" ht="12.75" customHeight="1">
      <c r="F12955" s="32"/>
    </row>
    <row r="12956" spans="6:6" ht="12.75" customHeight="1">
      <c r="F12956" s="32"/>
    </row>
    <row r="12957" spans="6:6" ht="12.75" customHeight="1">
      <c r="F12957" s="32"/>
    </row>
    <row r="12958" spans="6:6" ht="12.75" customHeight="1">
      <c r="F12958" s="32"/>
    </row>
    <row r="12959" spans="6:6" ht="12.75" customHeight="1">
      <c r="F12959" s="32"/>
    </row>
    <row r="12960" spans="6:6" ht="12.75" customHeight="1">
      <c r="F12960" s="32"/>
    </row>
    <row r="12961" spans="6:6" ht="12.75" customHeight="1">
      <c r="F12961" s="32"/>
    </row>
    <row r="12962" spans="6:6" ht="12.75" customHeight="1">
      <c r="F12962" s="32"/>
    </row>
    <row r="12963" spans="6:6" ht="12.75" customHeight="1">
      <c r="F12963" s="32"/>
    </row>
    <row r="12964" spans="6:6" ht="12.75" customHeight="1">
      <c r="F12964" s="32"/>
    </row>
    <row r="12965" spans="6:6" ht="12.75" customHeight="1">
      <c r="F12965" s="32"/>
    </row>
    <row r="12966" spans="6:6" ht="12.75" customHeight="1">
      <c r="F12966" s="32"/>
    </row>
    <row r="12967" spans="6:6" ht="12.75" customHeight="1">
      <c r="F12967" s="32"/>
    </row>
    <row r="12968" spans="6:6" ht="12.75" customHeight="1">
      <c r="F12968" s="32"/>
    </row>
    <row r="12969" spans="6:6" ht="12.75" customHeight="1">
      <c r="F12969" s="32"/>
    </row>
    <row r="12970" spans="6:6" ht="12.75" customHeight="1">
      <c r="F12970" s="32"/>
    </row>
    <row r="12971" spans="6:6" ht="12.75" customHeight="1">
      <c r="F12971" s="32"/>
    </row>
    <row r="12972" spans="6:6" ht="12.75" customHeight="1">
      <c r="F12972" s="32"/>
    </row>
    <row r="12973" spans="6:6" ht="12.75" customHeight="1">
      <c r="F12973" s="32"/>
    </row>
    <row r="12974" spans="6:6" ht="12.75" customHeight="1">
      <c r="F12974" s="32"/>
    </row>
    <row r="12975" spans="6:6" ht="12.75" customHeight="1">
      <c r="F12975" s="32"/>
    </row>
    <row r="12976" spans="6:6" ht="12.75" customHeight="1">
      <c r="F12976" s="32"/>
    </row>
    <row r="12977" spans="6:6" ht="12.75" customHeight="1">
      <c r="F12977" s="32"/>
    </row>
    <row r="12978" spans="6:6" ht="12.75" customHeight="1">
      <c r="F12978" s="32"/>
    </row>
    <row r="12979" spans="6:6" ht="12.75" customHeight="1">
      <c r="F12979" s="32"/>
    </row>
    <row r="12980" spans="6:6" ht="12.75" customHeight="1">
      <c r="F12980" s="32"/>
    </row>
    <row r="12981" spans="6:6" ht="12.75" customHeight="1">
      <c r="F12981" s="32"/>
    </row>
    <row r="12982" spans="6:6" ht="12.75" customHeight="1">
      <c r="F12982" s="32"/>
    </row>
    <row r="12983" spans="6:6" ht="12.75" customHeight="1">
      <c r="F12983" s="32"/>
    </row>
    <row r="12984" spans="6:6" ht="12.75" customHeight="1">
      <c r="F12984" s="32"/>
    </row>
    <row r="12985" spans="6:6" ht="12.75" customHeight="1">
      <c r="F12985" s="32"/>
    </row>
    <row r="12986" spans="6:6" ht="12.75" customHeight="1">
      <c r="F12986" s="32"/>
    </row>
    <row r="12987" spans="6:6" ht="12.75" customHeight="1">
      <c r="F12987" s="32"/>
    </row>
    <row r="12988" spans="6:6" ht="12.75" customHeight="1">
      <c r="F12988" s="32"/>
    </row>
    <row r="12989" spans="6:6" ht="12.75" customHeight="1">
      <c r="F12989" s="32"/>
    </row>
    <row r="12990" spans="6:6" ht="12.75" customHeight="1">
      <c r="F12990" s="32"/>
    </row>
    <row r="12991" spans="6:6" ht="12.75" customHeight="1">
      <c r="F12991" s="32"/>
    </row>
    <row r="12992" spans="6:6" ht="12.75" customHeight="1">
      <c r="F12992" s="32"/>
    </row>
    <row r="12993" spans="6:6" ht="12.75" customHeight="1">
      <c r="F12993" s="32"/>
    </row>
    <row r="12994" spans="6:6" ht="12.75" customHeight="1">
      <c r="F12994" s="32"/>
    </row>
    <row r="12995" spans="6:6" ht="12.75" customHeight="1">
      <c r="F12995" s="32"/>
    </row>
    <row r="12996" spans="6:6" ht="12.75" customHeight="1">
      <c r="F12996" s="32"/>
    </row>
    <row r="12997" spans="6:6" ht="12.75" customHeight="1">
      <c r="F12997" s="32"/>
    </row>
    <row r="12998" spans="6:6" ht="12.75" customHeight="1">
      <c r="F12998" s="32"/>
    </row>
    <row r="12999" spans="6:6" ht="12.75" customHeight="1">
      <c r="F12999" s="32"/>
    </row>
    <row r="13000" spans="6:6" ht="12.75" customHeight="1">
      <c r="F13000" s="32"/>
    </row>
    <row r="13001" spans="6:6" ht="12.75" customHeight="1">
      <c r="F13001" s="32"/>
    </row>
    <row r="13002" spans="6:6" ht="12.75" customHeight="1">
      <c r="F13002" s="32"/>
    </row>
    <row r="13003" spans="6:6" ht="12.75" customHeight="1">
      <c r="F13003" s="32"/>
    </row>
    <row r="13004" spans="6:6" ht="12.75" customHeight="1">
      <c r="F13004" s="32"/>
    </row>
    <row r="13005" spans="6:6" ht="12.75" customHeight="1">
      <c r="F13005" s="32"/>
    </row>
    <row r="13006" spans="6:6" ht="12.75" customHeight="1">
      <c r="F13006" s="32"/>
    </row>
    <row r="13007" spans="6:6" ht="12.75" customHeight="1">
      <c r="F13007" s="32"/>
    </row>
    <row r="13008" spans="6:6" ht="12.75" customHeight="1">
      <c r="F13008" s="32"/>
    </row>
    <row r="13009" spans="6:6" ht="12.75" customHeight="1">
      <c r="F13009" s="32"/>
    </row>
    <row r="13010" spans="6:6" ht="12.75" customHeight="1">
      <c r="F13010" s="32"/>
    </row>
    <row r="13011" spans="6:6" ht="12.75" customHeight="1">
      <c r="F13011" s="32"/>
    </row>
    <row r="13012" spans="6:6" ht="12.75" customHeight="1">
      <c r="F13012" s="32"/>
    </row>
    <row r="13013" spans="6:6" ht="12.75" customHeight="1">
      <c r="F13013" s="32"/>
    </row>
    <row r="13014" spans="6:6" ht="12.75" customHeight="1">
      <c r="F13014" s="32"/>
    </row>
    <row r="13015" spans="6:6" ht="12.75" customHeight="1">
      <c r="F13015" s="32"/>
    </row>
    <row r="13016" spans="6:6" ht="12.75" customHeight="1">
      <c r="F13016" s="32"/>
    </row>
    <row r="13017" spans="6:6" ht="12.75" customHeight="1">
      <c r="F13017" s="32"/>
    </row>
    <row r="13018" spans="6:6" ht="12.75" customHeight="1">
      <c r="F13018" s="32"/>
    </row>
    <row r="13019" spans="6:6" ht="12.75" customHeight="1">
      <c r="F13019" s="32"/>
    </row>
    <row r="13020" spans="6:6" ht="12.75" customHeight="1">
      <c r="F13020" s="32"/>
    </row>
    <row r="13021" spans="6:6" ht="12.75" customHeight="1">
      <c r="F13021" s="32"/>
    </row>
    <row r="13022" spans="6:6" ht="12.75" customHeight="1">
      <c r="F13022" s="32"/>
    </row>
    <row r="13023" spans="6:6" ht="12.75" customHeight="1">
      <c r="F13023" s="32"/>
    </row>
    <row r="13024" spans="6:6" ht="12.75" customHeight="1">
      <c r="F13024" s="32"/>
    </row>
    <row r="13025" spans="6:6" ht="12.75" customHeight="1">
      <c r="F13025" s="32"/>
    </row>
    <row r="13026" spans="6:6" ht="12.75" customHeight="1">
      <c r="F13026" s="32"/>
    </row>
    <row r="13027" spans="6:6" ht="12.75" customHeight="1">
      <c r="F13027" s="32"/>
    </row>
    <row r="13028" spans="6:6" ht="12.75" customHeight="1">
      <c r="F13028" s="32"/>
    </row>
    <row r="13029" spans="6:6" ht="12.75" customHeight="1">
      <c r="F13029" s="32"/>
    </row>
    <row r="13030" spans="6:6" ht="12.75" customHeight="1">
      <c r="F13030" s="32"/>
    </row>
    <row r="13031" spans="6:6" ht="12.75" customHeight="1">
      <c r="F13031" s="32"/>
    </row>
    <row r="13032" spans="6:6" ht="12.75" customHeight="1">
      <c r="F13032" s="32"/>
    </row>
    <row r="13033" spans="6:6" ht="12.75" customHeight="1">
      <c r="F13033" s="32"/>
    </row>
    <row r="13034" spans="6:6" ht="12.75" customHeight="1">
      <c r="F13034" s="32"/>
    </row>
    <row r="13035" spans="6:6" ht="12.75" customHeight="1">
      <c r="F13035" s="32"/>
    </row>
    <row r="13036" spans="6:6" ht="12.75" customHeight="1">
      <c r="F13036" s="32"/>
    </row>
    <row r="13037" spans="6:6" ht="12.75" customHeight="1">
      <c r="F13037" s="32"/>
    </row>
    <row r="13038" spans="6:6" ht="12.75" customHeight="1">
      <c r="F13038" s="32"/>
    </row>
    <row r="13039" spans="6:6" ht="12.75" customHeight="1">
      <c r="F13039" s="32"/>
    </row>
    <row r="13040" spans="6:6" ht="12.75" customHeight="1">
      <c r="F13040" s="32"/>
    </row>
    <row r="13041" spans="6:6" ht="12.75" customHeight="1">
      <c r="F13041" s="32"/>
    </row>
    <row r="13042" spans="6:6" ht="12.75" customHeight="1">
      <c r="F13042" s="32"/>
    </row>
    <row r="13043" spans="6:6" ht="12.75" customHeight="1">
      <c r="F13043" s="32"/>
    </row>
    <row r="13044" spans="6:6" ht="12.75" customHeight="1">
      <c r="F13044" s="32"/>
    </row>
    <row r="13045" spans="6:6" ht="12.75" customHeight="1">
      <c r="F13045" s="32"/>
    </row>
    <row r="13046" spans="6:6" ht="12.75" customHeight="1">
      <c r="F13046" s="32"/>
    </row>
    <row r="13047" spans="6:6" ht="12.75" customHeight="1">
      <c r="F13047" s="32"/>
    </row>
    <row r="13048" spans="6:6" ht="12.75" customHeight="1">
      <c r="F13048" s="32"/>
    </row>
    <row r="13049" spans="6:6" ht="12.75" customHeight="1">
      <c r="F13049" s="32"/>
    </row>
    <row r="13050" spans="6:6" ht="12.75" customHeight="1">
      <c r="F13050" s="32"/>
    </row>
    <row r="13051" spans="6:6" ht="12.75" customHeight="1">
      <c r="F13051" s="32"/>
    </row>
    <row r="13052" spans="6:6" ht="12.75" customHeight="1">
      <c r="F13052" s="32"/>
    </row>
    <row r="13053" spans="6:6" ht="12.75" customHeight="1">
      <c r="F13053" s="32"/>
    </row>
    <row r="13054" spans="6:6" ht="12.75" customHeight="1">
      <c r="F13054" s="32"/>
    </row>
    <row r="13055" spans="6:6" ht="12.75" customHeight="1">
      <c r="F13055" s="32"/>
    </row>
    <row r="13056" spans="6:6" ht="12.75" customHeight="1">
      <c r="F13056" s="32"/>
    </row>
    <row r="13057" spans="6:6" ht="12.75" customHeight="1">
      <c r="F13057" s="32"/>
    </row>
    <row r="13058" spans="6:6" ht="12.75" customHeight="1">
      <c r="F13058" s="32"/>
    </row>
    <row r="13059" spans="6:6" ht="12.75" customHeight="1">
      <c r="F13059" s="32"/>
    </row>
    <row r="13060" spans="6:6" ht="12.75" customHeight="1">
      <c r="F13060" s="32"/>
    </row>
    <row r="13061" spans="6:6" ht="12.75" customHeight="1">
      <c r="F13061" s="32"/>
    </row>
    <row r="13062" spans="6:6" ht="12.75" customHeight="1">
      <c r="F13062" s="32"/>
    </row>
    <row r="13063" spans="6:6" ht="12.75" customHeight="1">
      <c r="F13063" s="32"/>
    </row>
    <row r="13064" spans="6:6" ht="12.75" customHeight="1">
      <c r="F13064" s="32"/>
    </row>
    <row r="13065" spans="6:6" ht="12.75" customHeight="1">
      <c r="F13065" s="32"/>
    </row>
    <row r="13066" spans="6:6" ht="12.75" customHeight="1">
      <c r="F13066" s="32"/>
    </row>
    <row r="13067" spans="6:6" ht="12.75" customHeight="1">
      <c r="F13067" s="32"/>
    </row>
    <row r="13068" spans="6:6" ht="12.75" customHeight="1">
      <c r="F13068" s="32"/>
    </row>
    <row r="13069" spans="6:6" ht="12.75" customHeight="1">
      <c r="F13069" s="32"/>
    </row>
    <row r="13070" spans="6:6" ht="12.75" customHeight="1">
      <c r="F13070" s="32"/>
    </row>
    <row r="13071" spans="6:6" ht="12.75" customHeight="1">
      <c r="F13071" s="32"/>
    </row>
    <row r="13072" spans="6:6" ht="12.75" customHeight="1">
      <c r="F13072" s="32"/>
    </row>
    <row r="13073" spans="6:6" ht="12.75" customHeight="1">
      <c r="F13073" s="32"/>
    </row>
    <row r="13074" spans="6:6" ht="12.75" customHeight="1">
      <c r="F13074" s="32"/>
    </row>
    <row r="13075" spans="6:6" ht="12.75" customHeight="1">
      <c r="F13075" s="32"/>
    </row>
    <row r="13076" spans="6:6" ht="12.75" customHeight="1">
      <c r="F13076" s="32"/>
    </row>
    <row r="13077" spans="6:6" ht="12.75" customHeight="1">
      <c r="F13077" s="32"/>
    </row>
    <row r="13078" spans="6:6" ht="12.75" customHeight="1">
      <c r="F13078" s="32"/>
    </row>
    <row r="13079" spans="6:6" ht="12.75" customHeight="1">
      <c r="F13079" s="32"/>
    </row>
    <row r="13080" spans="6:6" ht="12.75" customHeight="1">
      <c r="F13080" s="32"/>
    </row>
    <row r="13081" spans="6:6" ht="12.75" customHeight="1">
      <c r="F13081" s="32"/>
    </row>
    <row r="13082" spans="6:6" ht="12.75" customHeight="1">
      <c r="F13082" s="32"/>
    </row>
    <row r="13083" spans="6:6" ht="12.75" customHeight="1">
      <c r="F13083" s="32"/>
    </row>
    <row r="13084" spans="6:6" ht="12.75" customHeight="1">
      <c r="F13084" s="32"/>
    </row>
    <row r="13085" spans="6:6" ht="12.75" customHeight="1">
      <c r="F13085" s="32"/>
    </row>
    <row r="13086" spans="6:6" ht="12.75" customHeight="1">
      <c r="F13086" s="32"/>
    </row>
    <row r="13087" spans="6:6" ht="12.75" customHeight="1">
      <c r="F13087" s="32"/>
    </row>
    <row r="13088" spans="6:6" ht="12.75" customHeight="1">
      <c r="F13088" s="32"/>
    </row>
    <row r="13089" spans="6:6" ht="12.75" customHeight="1">
      <c r="F13089" s="32"/>
    </row>
    <row r="13090" spans="6:6" ht="12.75" customHeight="1">
      <c r="F13090" s="32"/>
    </row>
    <row r="13091" spans="6:6" ht="12.75" customHeight="1">
      <c r="F13091" s="32"/>
    </row>
    <row r="13092" spans="6:6" ht="12.75" customHeight="1">
      <c r="F13092" s="32"/>
    </row>
    <row r="13093" spans="6:6" ht="12.75" customHeight="1">
      <c r="F13093" s="32"/>
    </row>
    <row r="13094" spans="6:6" ht="12.75" customHeight="1">
      <c r="F13094" s="32"/>
    </row>
    <row r="13095" spans="6:6" ht="12.75" customHeight="1">
      <c r="F13095" s="32"/>
    </row>
    <row r="13096" spans="6:6" ht="12.75" customHeight="1">
      <c r="F13096" s="32"/>
    </row>
    <row r="13097" spans="6:6" ht="12.75" customHeight="1">
      <c r="F13097" s="32"/>
    </row>
    <row r="13098" spans="6:6" ht="12.75" customHeight="1">
      <c r="F13098" s="32"/>
    </row>
    <row r="13099" spans="6:6" ht="12.75" customHeight="1">
      <c r="F13099" s="32"/>
    </row>
    <row r="13100" spans="6:6" ht="12.75" customHeight="1">
      <c r="F13100" s="32"/>
    </row>
    <row r="13101" spans="6:6" ht="12.75" customHeight="1">
      <c r="F13101" s="32"/>
    </row>
    <row r="13102" spans="6:6" ht="12.75" customHeight="1">
      <c r="F13102" s="32"/>
    </row>
    <row r="13103" spans="6:6" ht="12.75" customHeight="1">
      <c r="F13103" s="32"/>
    </row>
    <row r="13104" spans="6:6" ht="12.75" customHeight="1">
      <c r="F13104" s="32"/>
    </row>
    <row r="13105" spans="6:6" ht="12.75" customHeight="1">
      <c r="F13105" s="32"/>
    </row>
    <row r="13106" spans="6:6" ht="12.75" customHeight="1">
      <c r="F13106" s="32"/>
    </row>
    <row r="13107" spans="6:6" ht="12.75" customHeight="1">
      <c r="F13107" s="32"/>
    </row>
    <row r="13108" spans="6:6" ht="12.75" customHeight="1">
      <c r="F13108" s="32"/>
    </row>
    <row r="13109" spans="6:6" ht="12.75" customHeight="1">
      <c r="F13109" s="32"/>
    </row>
    <row r="13110" spans="6:6" ht="12.75" customHeight="1">
      <c r="F13110" s="32"/>
    </row>
    <row r="13111" spans="6:6" ht="12.75" customHeight="1">
      <c r="F13111" s="32"/>
    </row>
    <row r="13112" spans="6:6" ht="12.75" customHeight="1">
      <c r="F13112" s="32"/>
    </row>
    <row r="13113" spans="6:6" ht="12.75" customHeight="1">
      <c r="F13113" s="32"/>
    </row>
    <row r="13114" spans="6:6" ht="12.75" customHeight="1">
      <c r="F13114" s="32"/>
    </row>
    <row r="13115" spans="6:6" ht="12.75" customHeight="1">
      <c r="F13115" s="32"/>
    </row>
    <row r="13116" spans="6:6" ht="12.75" customHeight="1">
      <c r="F13116" s="32"/>
    </row>
    <row r="13117" spans="6:6" ht="12.75" customHeight="1">
      <c r="F13117" s="32"/>
    </row>
    <row r="13118" spans="6:6" ht="12.75" customHeight="1">
      <c r="F13118" s="32"/>
    </row>
    <row r="13119" spans="6:6" ht="12.75" customHeight="1">
      <c r="F13119" s="32"/>
    </row>
    <row r="13120" spans="6:6" ht="12.75" customHeight="1">
      <c r="F13120" s="32"/>
    </row>
    <row r="13121" spans="6:6" ht="12.75" customHeight="1">
      <c r="F13121" s="32"/>
    </row>
    <row r="13122" spans="6:6" ht="12.75" customHeight="1">
      <c r="F13122" s="32"/>
    </row>
    <row r="13123" spans="6:6" ht="12.75" customHeight="1">
      <c r="F13123" s="32"/>
    </row>
    <row r="13124" spans="6:6" ht="12.75" customHeight="1">
      <c r="F13124" s="32"/>
    </row>
    <row r="13125" spans="6:6" ht="12.75" customHeight="1">
      <c r="F13125" s="32"/>
    </row>
    <row r="13126" spans="6:6" ht="12.75" customHeight="1">
      <c r="F13126" s="32"/>
    </row>
    <row r="13127" spans="6:6" ht="12.75" customHeight="1">
      <c r="F13127" s="32"/>
    </row>
    <row r="13128" spans="6:6" ht="12.75" customHeight="1">
      <c r="F13128" s="32"/>
    </row>
    <row r="13129" spans="6:6" ht="12.75" customHeight="1">
      <c r="F13129" s="32"/>
    </row>
    <row r="13130" spans="6:6" ht="12.75" customHeight="1">
      <c r="F13130" s="32"/>
    </row>
    <row r="13131" spans="6:6" ht="12.75" customHeight="1">
      <c r="F13131" s="32"/>
    </row>
    <row r="13132" spans="6:6" ht="12.75" customHeight="1">
      <c r="F13132" s="32"/>
    </row>
    <row r="13133" spans="6:6" ht="12.75" customHeight="1">
      <c r="F13133" s="32"/>
    </row>
    <row r="13134" spans="6:6" ht="12.75" customHeight="1">
      <c r="F13134" s="32"/>
    </row>
    <row r="13135" spans="6:6" ht="12.75" customHeight="1">
      <c r="F13135" s="32"/>
    </row>
    <row r="13136" spans="6:6" ht="12.75" customHeight="1">
      <c r="F13136" s="32"/>
    </row>
    <row r="13137" spans="6:6" ht="12.75" customHeight="1">
      <c r="F13137" s="32"/>
    </row>
    <row r="13138" spans="6:6" ht="12.75" customHeight="1">
      <c r="F13138" s="32"/>
    </row>
    <row r="13139" spans="6:6" ht="12.75" customHeight="1">
      <c r="F13139" s="32"/>
    </row>
    <row r="13140" spans="6:6" ht="12.75" customHeight="1">
      <c r="F13140" s="32"/>
    </row>
    <row r="13141" spans="6:6" ht="12.75" customHeight="1">
      <c r="F13141" s="32"/>
    </row>
    <row r="13142" spans="6:6" ht="12.75" customHeight="1">
      <c r="F13142" s="32"/>
    </row>
    <row r="13143" spans="6:6" ht="12.75" customHeight="1">
      <c r="F13143" s="32"/>
    </row>
    <row r="13144" spans="6:6" ht="12.75" customHeight="1">
      <c r="F13144" s="32"/>
    </row>
    <row r="13145" spans="6:6" ht="12.75" customHeight="1">
      <c r="F13145" s="32"/>
    </row>
    <row r="13146" spans="6:6" ht="12.75" customHeight="1">
      <c r="F13146" s="32"/>
    </row>
    <row r="13147" spans="6:6" ht="12.75" customHeight="1">
      <c r="F13147" s="32"/>
    </row>
    <row r="13148" spans="6:6" ht="12.75" customHeight="1">
      <c r="F13148" s="32"/>
    </row>
    <row r="13149" spans="6:6" ht="12.75" customHeight="1">
      <c r="F13149" s="32"/>
    </row>
    <row r="13150" spans="6:6" ht="12.75" customHeight="1">
      <c r="F13150" s="32"/>
    </row>
    <row r="13151" spans="6:6" ht="12.75" customHeight="1">
      <c r="F13151" s="32"/>
    </row>
    <row r="13152" spans="6:6" ht="12.75" customHeight="1">
      <c r="F13152" s="32"/>
    </row>
    <row r="13153" spans="6:6" ht="12.75" customHeight="1">
      <c r="F13153" s="32"/>
    </row>
    <row r="13154" spans="6:6" ht="12.75" customHeight="1">
      <c r="F13154" s="32"/>
    </row>
    <row r="13155" spans="6:6" ht="12.75" customHeight="1">
      <c r="F13155" s="32"/>
    </row>
    <row r="13156" spans="6:6" ht="12.75" customHeight="1">
      <c r="F13156" s="32"/>
    </row>
    <row r="13157" spans="6:6" ht="12.75" customHeight="1">
      <c r="F13157" s="32"/>
    </row>
    <row r="13158" spans="6:6" ht="12.75" customHeight="1">
      <c r="F13158" s="32"/>
    </row>
    <row r="13159" spans="6:6" ht="12.75" customHeight="1">
      <c r="F13159" s="32"/>
    </row>
    <row r="13160" spans="6:6" ht="12.75" customHeight="1">
      <c r="F13160" s="32"/>
    </row>
    <row r="13161" spans="6:6" ht="12.75" customHeight="1">
      <c r="F13161" s="32"/>
    </row>
    <row r="13162" spans="6:6" ht="12.75" customHeight="1">
      <c r="F13162" s="32"/>
    </row>
    <row r="13163" spans="6:6" ht="12.75" customHeight="1">
      <c r="F13163" s="32"/>
    </row>
    <row r="13164" spans="6:6" ht="12.75" customHeight="1">
      <c r="F13164" s="32"/>
    </row>
    <row r="13165" spans="6:6" ht="12.75" customHeight="1">
      <c r="F13165" s="32"/>
    </row>
    <row r="13166" spans="6:6" ht="12.75" customHeight="1">
      <c r="F13166" s="32"/>
    </row>
    <row r="13167" spans="6:6" ht="12.75" customHeight="1">
      <c r="F13167" s="32"/>
    </row>
    <row r="13168" spans="6:6" ht="12.75" customHeight="1">
      <c r="F13168" s="32"/>
    </row>
    <row r="13169" spans="6:6" ht="12.75" customHeight="1">
      <c r="F13169" s="32"/>
    </row>
    <row r="13170" spans="6:6" ht="12.75" customHeight="1">
      <c r="F13170" s="32"/>
    </row>
    <row r="13171" spans="6:6" ht="12.75" customHeight="1">
      <c r="F13171" s="32"/>
    </row>
    <row r="13172" spans="6:6" ht="12.75" customHeight="1">
      <c r="F13172" s="32"/>
    </row>
    <row r="13173" spans="6:6" ht="12.75" customHeight="1">
      <c r="F13173" s="32"/>
    </row>
    <row r="13174" spans="6:6" ht="12.75" customHeight="1">
      <c r="F13174" s="32"/>
    </row>
    <row r="13175" spans="6:6" ht="12.75" customHeight="1">
      <c r="F13175" s="32"/>
    </row>
    <row r="13176" spans="6:6" ht="12.75" customHeight="1">
      <c r="F13176" s="32"/>
    </row>
    <row r="13177" spans="6:6" ht="12.75" customHeight="1">
      <c r="F13177" s="32"/>
    </row>
    <row r="13178" spans="6:6" ht="12.75" customHeight="1">
      <c r="F13178" s="32"/>
    </row>
    <row r="13179" spans="6:6" ht="12.75" customHeight="1">
      <c r="F13179" s="32"/>
    </row>
    <row r="13180" spans="6:6" ht="12.75" customHeight="1">
      <c r="F13180" s="32"/>
    </row>
    <row r="13181" spans="6:6" ht="12.75" customHeight="1">
      <c r="F13181" s="32"/>
    </row>
    <row r="13182" spans="6:6" ht="12.75" customHeight="1">
      <c r="F13182" s="32"/>
    </row>
    <row r="13183" spans="6:6" ht="12.75" customHeight="1">
      <c r="F13183" s="32"/>
    </row>
    <row r="13184" spans="6:6" ht="12.75" customHeight="1">
      <c r="F13184" s="32"/>
    </row>
    <row r="13185" spans="6:6" ht="12.75" customHeight="1">
      <c r="F13185" s="32"/>
    </row>
    <row r="13186" spans="6:6" ht="12.75" customHeight="1">
      <c r="F13186" s="32"/>
    </row>
    <row r="13187" spans="6:6" ht="12.75" customHeight="1">
      <c r="F13187" s="32"/>
    </row>
    <row r="13188" spans="6:6" ht="12.75" customHeight="1">
      <c r="F13188" s="32"/>
    </row>
    <row r="13189" spans="6:6" ht="12.75" customHeight="1">
      <c r="F13189" s="32"/>
    </row>
    <row r="13190" spans="6:6" ht="12.75" customHeight="1">
      <c r="F13190" s="32"/>
    </row>
    <row r="13191" spans="6:6" ht="12.75" customHeight="1">
      <c r="F13191" s="32"/>
    </row>
    <row r="13192" spans="6:6" ht="12.75" customHeight="1">
      <c r="F13192" s="32"/>
    </row>
    <row r="13193" spans="6:6" ht="12.75" customHeight="1">
      <c r="F13193" s="32"/>
    </row>
    <row r="13194" spans="6:6" ht="12.75" customHeight="1">
      <c r="F13194" s="32"/>
    </row>
    <row r="13195" spans="6:6" ht="12.75" customHeight="1">
      <c r="F13195" s="32"/>
    </row>
    <row r="13196" spans="6:6" ht="12.75" customHeight="1">
      <c r="F13196" s="32"/>
    </row>
    <row r="13197" spans="6:6" ht="12.75" customHeight="1">
      <c r="F13197" s="32"/>
    </row>
    <row r="13198" spans="6:6" ht="12.75" customHeight="1">
      <c r="F13198" s="32"/>
    </row>
    <row r="13199" spans="6:6" ht="12.75" customHeight="1">
      <c r="F13199" s="32"/>
    </row>
    <row r="13200" spans="6:6" ht="12.75" customHeight="1">
      <c r="F13200" s="32"/>
    </row>
    <row r="13201" spans="6:6" ht="12.75" customHeight="1">
      <c r="F13201" s="32"/>
    </row>
    <row r="13202" spans="6:6" ht="12.75" customHeight="1">
      <c r="F13202" s="32"/>
    </row>
    <row r="13203" spans="6:6" ht="12.75" customHeight="1">
      <c r="F13203" s="32"/>
    </row>
    <row r="13204" spans="6:6" ht="12.75" customHeight="1">
      <c r="F13204" s="32"/>
    </row>
    <row r="13205" spans="6:6" ht="12.75" customHeight="1">
      <c r="F13205" s="32"/>
    </row>
    <row r="13206" spans="6:6" ht="12.75" customHeight="1">
      <c r="F13206" s="32"/>
    </row>
    <row r="13207" spans="6:6" ht="12.75" customHeight="1">
      <c r="F13207" s="32"/>
    </row>
    <row r="13208" spans="6:6" ht="12.75" customHeight="1">
      <c r="F13208" s="32"/>
    </row>
    <row r="13209" spans="6:6" ht="12.75" customHeight="1">
      <c r="F13209" s="32"/>
    </row>
    <row r="13210" spans="6:6" ht="12.75" customHeight="1">
      <c r="F13210" s="32"/>
    </row>
    <row r="13211" spans="6:6" ht="12.75" customHeight="1">
      <c r="F13211" s="32"/>
    </row>
    <row r="13212" spans="6:6" ht="12.75" customHeight="1">
      <c r="F13212" s="32"/>
    </row>
    <row r="13213" spans="6:6" ht="12.75" customHeight="1">
      <c r="F13213" s="32"/>
    </row>
    <row r="13214" spans="6:6" ht="12.75" customHeight="1">
      <c r="F13214" s="32"/>
    </row>
    <row r="13215" spans="6:6" ht="12.75" customHeight="1">
      <c r="F13215" s="32"/>
    </row>
    <row r="13216" spans="6:6" ht="12.75" customHeight="1">
      <c r="F13216" s="32"/>
    </row>
    <row r="13217" spans="6:6" ht="12.75" customHeight="1">
      <c r="F13217" s="32"/>
    </row>
    <row r="13218" spans="6:6" ht="12.75" customHeight="1">
      <c r="F13218" s="32"/>
    </row>
    <row r="13219" spans="6:6" ht="12.75" customHeight="1">
      <c r="F13219" s="32"/>
    </row>
    <row r="13220" spans="6:6" ht="12.75" customHeight="1">
      <c r="F13220" s="32"/>
    </row>
    <row r="13221" spans="6:6" ht="12.75" customHeight="1">
      <c r="F13221" s="32"/>
    </row>
    <row r="13222" spans="6:6" ht="12.75" customHeight="1">
      <c r="F13222" s="32"/>
    </row>
    <row r="13223" spans="6:6" ht="12.75" customHeight="1">
      <c r="F13223" s="32"/>
    </row>
    <row r="13224" spans="6:6" ht="12.75" customHeight="1">
      <c r="F13224" s="32"/>
    </row>
    <row r="13225" spans="6:6" ht="12.75" customHeight="1">
      <c r="F13225" s="32"/>
    </row>
    <row r="13226" spans="6:6" ht="12.75" customHeight="1">
      <c r="F13226" s="32"/>
    </row>
    <row r="13227" spans="6:6" ht="12.75" customHeight="1">
      <c r="F13227" s="32"/>
    </row>
    <row r="13228" spans="6:6" ht="12.75" customHeight="1">
      <c r="F13228" s="32"/>
    </row>
    <row r="13229" spans="6:6" ht="12.75" customHeight="1">
      <c r="F13229" s="32"/>
    </row>
    <row r="13230" spans="6:6" ht="12.75" customHeight="1">
      <c r="F13230" s="32"/>
    </row>
    <row r="13231" spans="6:6" ht="12.75" customHeight="1">
      <c r="F13231" s="32"/>
    </row>
    <row r="13232" spans="6:6" ht="12.75" customHeight="1">
      <c r="F13232" s="32"/>
    </row>
    <row r="13233" spans="6:6" ht="12.75" customHeight="1">
      <c r="F13233" s="32"/>
    </row>
    <row r="13234" spans="6:6" ht="12.75" customHeight="1">
      <c r="F13234" s="32"/>
    </row>
    <row r="13235" spans="6:6" ht="12.75" customHeight="1">
      <c r="F13235" s="32"/>
    </row>
    <row r="13236" spans="6:6" ht="12.75" customHeight="1">
      <c r="F13236" s="32"/>
    </row>
    <row r="13237" spans="6:6" ht="12.75" customHeight="1">
      <c r="F13237" s="32"/>
    </row>
    <row r="13238" spans="6:6" ht="12.75" customHeight="1">
      <c r="F13238" s="32"/>
    </row>
    <row r="13239" spans="6:6" ht="12.75" customHeight="1">
      <c r="F13239" s="32"/>
    </row>
    <row r="13240" spans="6:6" ht="12.75" customHeight="1">
      <c r="F13240" s="32"/>
    </row>
    <row r="13241" spans="6:6" ht="12.75" customHeight="1">
      <c r="F13241" s="32"/>
    </row>
    <row r="13242" spans="6:6" ht="12.75" customHeight="1">
      <c r="F13242" s="32"/>
    </row>
    <row r="13243" spans="6:6" ht="12.75" customHeight="1">
      <c r="F13243" s="32"/>
    </row>
    <row r="13244" spans="6:6" ht="12.75" customHeight="1">
      <c r="F13244" s="32"/>
    </row>
    <row r="13245" spans="6:6" ht="12.75" customHeight="1">
      <c r="F13245" s="32"/>
    </row>
    <row r="13246" spans="6:6" ht="12.75" customHeight="1">
      <c r="F13246" s="32"/>
    </row>
    <row r="13247" spans="6:6" ht="12.75" customHeight="1">
      <c r="F13247" s="32"/>
    </row>
    <row r="13248" spans="6:6" ht="12.75" customHeight="1">
      <c r="F13248" s="32"/>
    </row>
    <row r="13249" spans="6:6" ht="12.75" customHeight="1">
      <c r="F13249" s="32"/>
    </row>
    <row r="13250" spans="6:6" ht="12.75" customHeight="1">
      <c r="F13250" s="32"/>
    </row>
    <row r="13251" spans="6:6" ht="12.75" customHeight="1">
      <c r="F13251" s="32"/>
    </row>
    <row r="13252" spans="6:6" ht="12.75" customHeight="1">
      <c r="F13252" s="32"/>
    </row>
    <row r="13253" spans="6:6" ht="12.75" customHeight="1">
      <c r="F13253" s="32"/>
    </row>
    <row r="13254" spans="6:6" ht="12.75" customHeight="1">
      <c r="F13254" s="32"/>
    </row>
    <row r="13255" spans="6:6" ht="12.75" customHeight="1">
      <c r="F13255" s="32"/>
    </row>
    <row r="13256" spans="6:6" ht="12.75" customHeight="1">
      <c r="F13256" s="32"/>
    </row>
    <row r="13257" spans="6:6" ht="12.75" customHeight="1">
      <c r="F13257" s="32"/>
    </row>
    <row r="13258" spans="6:6" ht="12.75" customHeight="1">
      <c r="F13258" s="32"/>
    </row>
    <row r="13259" spans="6:6" ht="12.75" customHeight="1">
      <c r="F13259" s="32"/>
    </row>
    <row r="13260" spans="6:6" ht="12.75" customHeight="1">
      <c r="F13260" s="32"/>
    </row>
    <row r="13261" spans="6:6" ht="12.75" customHeight="1">
      <c r="F13261" s="32"/>
    </row>
    <row r="13262" spans="6:6" ht="12.75" customHeight="1">
      <c r="F13262" s="32"/>
    </row>
    <row r="13263" spans="6:6" ht="12.75" customHeight="1">
      <c r="F13263" s="32"/>
    </row>
    <row r="13264" spans="6:6" ht="12.75" customHeight="1">
      <c r="F13264" s="32"/>
    </row>
    <row r="13265" spans="6:6" ht="12.75" customHeight="1">
      <c r="F13265" s="32"/>
    </row>
    <row r="13266" spans="6:6" ht="12.75" customHeight="1">
      <c r="F13266" s="32"/>
    </row>
    <row r="13267" spans="6:6" ht="12.75" customHeight="1">
      <c r="F13267" s="32"/>
    </row>
    <row r="13268" spans="6:6" ht="12.75" customHeight="1">
      <c r="F13268" s="32"/>
    </row>
    <row r="13269" spans="6:6" ht="12.75" customHeight="1">
      <c r="F13269" s="32"/>
    </row>
    <row r="13270" spans="6:6" ht="12.75" customHeight="1">
      <c r="F13270" s="32"/>
    </row>
    <row r="13271" spans="6:6" ht="12.75" customHeight="1">
      <c r="F13271" s="32"/>
    </row>
    <row r="13272" spans="6:6" ht="12.75" customHeight="1">
      <c r="F13272" s="32"/>
    </row>
    <row r="13273" spans="6:6" ht="12.75" customHeight="1">
      <c r="F13273" s="32"/>
    </row>
    <row r="13274" spans="6:6" ht="12.75" customHeight="1">
      <c r="F13274" s="32"/>
    </row>
    <row r="13275" spans="6:6" ht="12.75" customHeight="1">
      <c r="F13275" s="32"/>
    </row>
    <row r="13276" spans="6:6" ht="12.75" customHeight="1">
      <c r="F13276" s="32"/>
    </row>
    <row r="13277" spans="6:6" ht="12.75" customHeight="1">
      <c r="F13277" s="32"/>
    </row>
    <row r="13278" spans="6:6" ht="12.75" customHeight="1">
      <c r="F13278" s="32"/>
    </row>
    <row r="13279" spans="6:6" ht="12.75" customHeight="1">
      <c r="F13279" s="32"/>
    </row>
    <row r="13280" spans="6:6" ht="12.75" customHeight="1">
      <c r="F13280" s="32"/>
    </row>
    <row r="13281" spans="6:6" ht="12.75" customHeight="1">
      <c r="F13281" s="32"/>
    </row>
    <row r="13282" spans="6:6" ht="12.75" customHeight="1">
      <c r="F13282" s="32"/>
    </row>
    <row r="13283" spans="6:6" ht="12.75" customHeight="1">
      <c r="F13283" s="32"/>
    </row>
    <row r="13284" spans="6:6" ht="12.75" customHeight="1">
      <c r="F13284" s="32"/>
    </row>
    <row r="13285" spans="6:6" ht="12.75" customHeight="1">
      <c r="F13285" s="32"/>
    </row>
    <row r="13286" spans="6:6" ht="12.75" customHeight="1">
      <c r="F13286" s="32"/>
    </row>
    <row r="13287" spans="6:6" ht="12.75" customHeight="1">
      <c r="F13287" s="32"/>
    </row>
    <row r="13288" spans="6:6" ht="12.75" customHeight="1">
      <c r="F13288" s="32"/>
    </row>
    <row r="13289" spans="6:6" ht="12.75" customHeight="1">
      <c r="F13289" s="32"/>
    </row>
    <row r="13290" spans="6:6" ht="12.75" customHeight="1">
      <c r="F13290" s="32"/>
    </row>
    <row r="13291" spans="6:6" ht="12.75" customHeight="1">
      <c r="F13291" s="32"/>
    </row>
    <row r="13292" spans="6:6" ht="12.75" customHeight="1">
      <c r="F13292" s="32"/>
    </row>
    <row r="13293" spans="6:6" ht="12.75" customHeight="1">
      <c r="F13293" s="32"/>
    </row>
    <row r="13294" spans="6:6" ht="12.75" customHeight="1">
      <c r="F13294" s="32"/>
    </row>
    <row r="13295" spans="6:6" ht="12.75" customHeight="1">
      <c r="F13295" s="32"/>
    </row>
    <row r="13296" spans="6:6" ht="12.75" customHeight="1">
      <c r="F13296" s="32"/>
    </row>
    <row r="13297" spans="6:6" ht="12.75" customHeight="1">
      <c r="F13297" s="32"/>
    </row>
    <row r="13298" spans="6:6" ht="12.75" customHeight="1">
      <c r="F13298" s="32"/>
    </row>
    <row r="13299" spans="6:6" ht="12.75" customHeight="1">
      <c r="F13299" s="32"/>
    </row>
    <row r="13300" spans="6:6" ht="12.75" customHeight="1">
      <c r="F13300" s="32"/>
    </row>
    <row r="13301" spans="6:6" ht="12.75" customHeight="1">
      <c r="F13301" s="32"/>
    </row>
    <row r="13302" spans="6:6" ht="12.75" customHeight="1">
      <c r="F13302" s="32"/>
    </row>
    <row r="13303" spans="6:6" ht="12.75" customHeight="1">
      <c r="F13303" s="32"/>
    </row>
    <row r="13304" spans="6:6" ht="12.75" customHeight="1">
      <c r="F13304" s="32"/>
    </row>
    <row r="13305" spans="6:6" ht="12.75" customHeight="1">
      <c r="F13305" s="32"/>
    </row>
    <row r="13306" spans="6:6" ht="12.75" customHeight="1">
      <c r="F13306" s="32"/>
    </row>
    <row r="13307" spans="6:6" ht="12.75" customHeight="1">
      <c r="F13307" s="32"/>
    </row>
    <row r="13308" spans="6:6" ht="12.75" customHeight="1">
      <c r="F13308" s="32"/>
    </row>
    <row r="13309" spans="6:6" ht="12.75" customHeight="1">
      <c r="F13309" s="32"/>
    </row>
    <row r="13310" spans="6:6" ht="12.75" customHeight="1">
      <c r="F13310" s="32"/>
    </row>
    <row r="13311" spans="6:6" ht="12.75" customHeight="1">
      <c r="F13311" s="32"/>
    </row>
    <row r="13312" spans="6:6" ht="12.75" customHeight="1">
      <c r="F13312" s="32"/>
    </row>
    <row r="13313" spans="6:6" ht="12.75" customHeight="1">
      <c r="F13313" s="32"/>
    </row>
    <row r="13314" spans="6:6" ht="12.75" customHeight="1">
      <c r="F13314" s="32"/>
    </row>
    <row r="13315" spans="6:6" ht="12.75" customHeight="1">
      <c r="F13315" s="32"/>
    </row>
    <row r="13316" spans="6:6" ht="12.75" customHeight="1">
      <c r="F13316" s="32"/>
    </row>
    <row r="13317" spans="6:6" ht="12.75" customHeight="1">
      <c r="F13317" s="32"/>
    </row>
    <row r="13318" spans="6:6" ht="12.75" customHeight="1">
      <c r="F13318" s="32"/>
    </row>
    <row r="13319" spans="6:6" ht="12.75" customHeight="1">
      <c r="F13319" s="32"/>
    </row>
    <row r="13320" spans="6:6" ht="12.75" customHeight="1">
      <c r="F13320" s="32"/>
    </row>
    <row r="13321" spans="6:6" ht="12.75" customHeight="1">
      <c r="F13321" s="32"/>
    </row>
    <row r="13322" spans="6:6" ht="12.75" customHeight="1">
      <c r="F13322" s="32"/>
    </row>
    <row r="13323" spans="6:6" ht="12.75" customHeight="1">
      <c r="F13323" s="32"/>
    </row>
    <row r="13324" spans="6:6" ht="12.75" customHeight="1">
      <c r="F13324" s="32"/>
    </row>
    <row r="13325" spans="6:6" ht="12.75" customHeight="1">
      <c r="F13325" s="32"/>
    </row>
    <row r="13326" spans="6:6" ht="12.75" customHeight="1">
      <c r="F13326" s="32"/>
    </row>
    <row r="13327" spans="6:6" ht="12.75" customHeight="1">
      <c r="F13327" s="32"/>
    </row>
    <row r="13328" spans="6:6" ht="12.75" customHeight="1">
      <c r="F13328" s="32"/>
    </row>
    <row r="13329" spans="6:6" ht="12.75" customHeight="1">
      <c r="F13329" s="32"/>
    </row>
    <row r="13330" spans="6:6" ht="12.75" customHeight="1">
      <c r="F13330" s="32"/>
    </row>
    <row r="13331" spans="6:6" ht="12.75" customHeight="1">
      <c r="F13331" s="32"/>
    </row>
    <row r="13332" spans="6:6" ht="12.75" customHeight="1">
      <c r="F13332" s="32"/>
    </row>
    <row r="13333" spans="6:6" ht="12.75" customHeight="1">
      <c r="F13333" s="32"/>
    </row>
    <row r="13334" spans="6:6" ht="12.75" customHeight="1">
      <c r="F13334" s="32"/>
    </row>
    <row r="13335" spans="6:6" ht="12.75" customHeight="1">
      <c r="F13335" s="32"/>
    </row>
    <row r="13336" spans="6:6" ht="12.75" customHeight="1">
      <c r="F13336" s="32"/>
    </row>
    <row r="13337" spans="6:6" ht="12.75" customHeight="1">
      <c r="F13337" s="32"/>
    </row>
    <row r="13338" spans="6:6" ht="12.75" customHeight="1">
      <c r="F13338" s="32"/>
    </row>
    <row r="13339" spans="6:6" ht="12.75" customHeight="1">
      <c r="F13339" s="32"/>
    </row>
    <row r="13340" spans="6:6" ht="12.75" customHeight="1">
      <c r="F13340" s="32"/>
    </row>
    <row r="13341" spans="6:6" ht="12.75" customHeight="1">
      <c r="F13341" s="32"/>
    </row>
    <row r="13342" spans="6:6" ht="12.75" customHeight="1">
      <c r="F13342" s="32"/>
    </row>
    <row r="13343" spans="6:6" ht="12.75" customHeight="1">
      <c r="F13343" s="32"/>
    </row>
    <row r="13344" spans="6:6" ht="12.75" customHeight="1">
      <c r="F13344" s="32"/>
    </row>
    <row r="13345" spans="6:6" ht="12.75" customHeight="1">
      <c r="F13345" s="32"/>
    </row>
    <row r="13346" spans="6:6" ht="12.75" customHeight="1">
      <c r="F13346" s="32"/>
    </row>
    <row r="13347" spans="6:6" ht="12.75" customHeight="1">
      <c r="F13347" s="32"/>
    </row>
    <row r="13348" spans="6:6" ht="12.75" customHeight="1">
      <c r="F13348" s="32"/>
    </row>
    <row r="13349" spans="6:6" ht="12.75" customHeight="1">
      <c r="F13349" s="32"/>
    </row>
    <row r="13350" spans="6:6" ht="12.75" customHeight="1">
      <c r="F13350" s="32"/>
    </row>
    <row r="13351" spans="6:6" ht="12.75" customHeight="1">
      <c r="F13351" s="32"/>
    </row>
    <row r="13352" spans="6:6" ht="12.75" customHeight="1">
      <c r="F13352" s="32"/>
    </row>
    <row r="13353" spans="6:6" ht="12.75" customHeight="1">
      <c r="F13353" s="32"/>
    </row>
    <row r="13354" spans="6:6" ht="12.75" customHeight="1">
      <c r="F13354" s="32"/>
    </row>
    <row r="13355" spans="6:6" ht="12.75" customHeight="1">
      <c r="F13355" s="32"/>
    </row>
    <row r="13356" spans="6:6" ht="12.75" customHeight="1">
      <c r="F13356" s="32"/>
    </row>
    <row r="13357" spans="6:6" ht="12.75" customHeight="1">
      <c r="F13357" s="32"/>
    </row>
    <row r="13358" spans="6:6" ht="12.75" customHeight="1">
      <c r="F13358" s="32"/>
    </row>
    <row r="13359" spans="6:6" ht="12.75" customHeight="1">
      <c r="F13359" s="32"/>
    </row>
    <row r="13360" spans="6:6" ht="12.75" customHeight="1">
      <c r="F13360" s="32"/>
    </row>
    <row r="13361" spans="6:6" ht="12.75" customHeight="1">
      <c r="F13361" s="32"/>
    </row>
    <row r="13362" spans="6:6" ht="12.75" customHeight="1">
      <c r="F13362" s="32"/>
    </row>
    <row r="13363" spans="6:6" ht="12.75" customHeight="1">
      <c r="F13363" s="32"/>
    </row>
    <row r="13364" spans="6:6" ht="12.75" customHeight="1">
      <c r="F13364" s="32"/>
    </row>
    <row r="13365" spans="6:6" ht="12.75" customHeight="1">
      <c r="F13365" s="32"/>
    </row>
    <row r="13366" spans="6:6" ht="12.75" customHeight="1">
      <c r="F13366" s="32"/>
    </row>
    <row r="13367" spans="6:6" ht="12.75" customHeight="1">
      <c r="F13367" s="32"/>
    </row>
    <row r="13368" spans="6:6" ht="12.75" customHeight="1">
      <c r="F13368" s="32"/>
    </row>
    <row r="13369" spans="6:6" ht="12.75" customHeight="1">
      <c r="F13369" s="32"/>
    </row>
    <row r="13370" spans="6:6" ht="12.75" customHeight="1">
      <c r="F13370" s="32"/>
    </row>
    <row r="13371" spans="6:6" ht="12.75" customHeight="1">
      <c r="F13371" s="32"/>
    </row>
    <row r="13372" spans="6:6" ht="12.75" customHeight="1">
      <c r="F13372" s="32"/>
    </row>
    <row r="13373" spans="6:6" ht="12.75" customHeight="1">
      <c r="F13373" s="32"/>
    </row>
    <row r="13374" spans="6:6" ht="12.75" customHeight="1">
      <c r="F13374" s="32"/>
    </row>
    <row r="13375" spans="6:6" ht="12.75" customHeight="1">
      <c r="F13375" s="32"/>
    </row>
    <row r="13376" spans="6:6" ht="12.75" customHeight="1">
      <c r="F13376" s="32"/>
    </row>
    <row r="13377" spans="6:6" ht="12.75" customHeight="1">
      <c r="F13377" s="32"/>
    </row>
    <row r="13378" spans="6:6" ht="12.75" customHeight="1">
      <c r="F13378" s="32"/>
    </row>
    <row r="13379" spans="6:6" ht="12.75" customHeight="1">
      <c r="F13379" s="32"/>
    </row>
    <row r="13380" spans="6:6" ht="12.75" customHeight="1">
      <c r="F13380" s="32"/>
    </row>
    <row r="13381" spans="6:6" ht="12.75" customHeight="1">
      <c r="F13381" s="32"/>
    </row>
    <row r="13382" spans="6:6" ht="12.75" customHeight="1">
      <c r="F13382" s="32"/>
    </row>
    <row r="13383" spans="6:6" ht="12.75" customHeight="1">
      <c r="F13383" s="32"/>
    </row>
    <row r="13384" spans="6:6" ht="12.75" customHeight="1">
      <c r="F13384" s="32"/>
    </row>
    <row r="13385" spans="6:6" ht="12.75" customHeight="1">
      <c r="F13385" s="32"/>
    </row>
    <row r="13386" spans="6:6" ht="12.75" customHeight="1">
      <c r="F13386" s="32"/>
    </row>
    <row r="13387" spans="6:6" ht="12.75" customHeight="1">
      <c r="F13387" s="32"/>
    </row>
    <row r="13388" spans="6:6" ht="12.75" customHeight="1">
      <c r="F13388" s="32"/>
    </row>
    <row r="13389" spans="6:6" ht="12.75" customHeight="1">
      <c r="F13389" s="32"/>
    </row>
    <row r="13390" spans="6:6" ht="12.75" customHeight="1">
      <c r="F13390" s="32"/>
    </row>
    <row r="13391" spans="6:6" ht="12.75" customHeight="1">
      <c r="F13391" s="32"/>
    </row>
    <row r="13392" spans="6:6" ht="12.75" customHeight="1">
      <c r="F13392" s="32"/>
    </row>
    <row r="13393" spans="6:6" ht="12.75" customHeight="1">
      <c r="F13393" s="32"/>
    </row>
    <row r="13394" spans="6:6" ht="12.75" customHeight="1">
      <c r="F13394" s="32"/>
    </row>
    <row r="13395" spans="6:6" ht="12.75" customHeight="1">
      <c r="F13395" s="32"/>
    </row>
    <row r="13396" spans="6:6" ht="12.75" customHeight="1">
      <c r="F13396" s="32"/>
    </row>
    <row r="13397" spans="6:6" ht="12.75" customHeight="1">
      <c r="F13397" s="32"/>
    </row>
    <row r="13398" spans="6:6" ht="12.75" customHeight="1">
      <c r="F13398" s="32"/>
    </row>
    <row r="13399" spans="6:6" ht="12.75" customHeight="1">
      <c r="F13399" s="32"/>
    </row>
    <row r="13400" spans="6:6" ht="12.75" customHeight="1">
      <c r="F13400" s="32"/>
    </row>
    <row r="13401" spans="6:6" ht="12.75" customHeight="1">
      <c r="F13401" s="32"/>
    </row>
    <row r="13402" spans="6:6" ht="12.75" customHeight="1">
      <c r="F13402" s="32"/>
    </row>
    <row r="13403" spans="6:6" ht="12.75" customHeight="1">
      <c r="F13403" s="32"/>
    </row>
    <row r="13404" spans="6:6" ht="12.75" customHeight="1">
      <c r="F13404" s="32"/>
    </row>
    <row r="13405" spans="6:6" ht="12.75" customHeight="1">
      <c r="F13405" s="32"/>
    </row>
    <row r="13406" spans="6:6" ht="12.75" customHeight="1">
      <c r="F13406" s="32"/>
    </row>
    <row r="13407" spans="6:6" ht="12.75" customHeight="1">
      <c r="F13407" s="32"/>
    </row>
    <row r="13408" spans="6:6" ht="12.75" customHeight="1">
      <c r="F13408" s="32"/>
    </row>
    <row r="13409" spans="6:6" ht="12.75" customHeight="1">
      <c r="F13409" s="32"/>
    </row>
    <row r="13410" spans="6:6" ht="12.75" customHeight="1">
      <c r="F13410" s="32"/>
    </row>
    <row r="13411" spans="6:6" ht="12.75" customHeight="1">
      <c r="F13411" s="32"/>
    </row>
    <row r="13412" spans="6:6" ht="12.75" customHeight="1">
      <c r="F13412" s="32"/>
    </row>
    <row r="13413" spans="6:6" ht="12.75" customHeight="1">
      <c r="F13413" s="32"/>
    </row>
    <row r="13414" spans="6:6" ht="12.75" customHeight="1">
      <c r="F13414" s="32"/>
    </row>
    <row r="13415" spans="6:6" ht="12.75" customHeight="1">
      <c r="F13415" s="32"/>
    </row>
    <row r="13416" spans="6:6" ht="12.75" customHeight="1">
      <c r="F13416" s="32"/>
    </row>
    <row r="13417" spans="6:6" ht="12.75" customHeight="1">
      <c r="F13417" s="32"/>
    </row>
    <row r="13418" spans="6:6" ht="12.75" customHeight="1">
      <c r="F13418" s="32"/>
    </row>
    <row r="13419" spans="6:6" ht="12.75" customHeight="1">
      <c r="F13419" s="32"/>
    </row>
    <row r="13420" spans="6:6" ht="12.75" customHeight="1">
      <c r="F13420" s="32"/>
    </row>
    <row r="13421" spans="6:6" ht="12.75" customHeight="1">
      <c r="F13421" s="32"/>
    </row>
    <row r="13422" spans="6:6" ht="12.75" customHeight="1">
      <c r="F13422" s="32"/>
    </row>
    <row r="13423" spans="6:6" ht="12.75" customHeight="1">
      <c r="F13423" s="32"/>
    </row>
    <row r="13424" spans="6:6" ht="12.75" customHeight="1">
      <c r="F13424" s="32"/>
    </row>
    <row r="13425" spans="6:6" ht="12.75" customHeight="1">
      <c r="F13425" s="32"/>
    </row>
    <row r="13426" spans="6:6" ht="12.75" customHeight="1">
      <c r="F13426" s="32"/>
    </row>
    <row r="13427" spans="6:6" ht="12.75" customHeight="1">
      <c r="F13427" s="32"/>
    </row>
    <row r="13428" spans="6:6" ht="12.75" customHeight="1">
      <c r="F13428" s="32"/>
    </row>
    <row r="13429" spans="6:6" ht="12.75" customHeight="1">
      <c r="F13429" s="32"/>
    </row>
    <row r="13430" spans="6:6" ht="12.75" customHeight="1">
      <c r="F13430" s="32"/>
    </row>
    <row r="13431" spans="6:6" ht="12.75" customHeight="1">
      <c r="F13431" s="32"/>
    </row>
    <row r="13432" spans="6:6" ht="12.75" customHeight="1">
      <c r="F13432" s="32"/>
    </row>
    <row r="13433" spans="6:6" ht="12.75" customHeight="1">
      <c r="F13433" s="32"/>
    </row>
    <row r="13434" spans="6:6" ht="12.75" customHeight="1">
      <c r="F13434" s="32"/>
    </row>
    <row r="13435" spans="6:6" ht="12.75" customHeight="1">
      <c r="F13435" s="32"/>
    </row>
    <row r="13436" spans="6:6" ht="12.75" customHeight="1">
      <c r="F13436" s="32"/>
    </row>
    <row r="13437" spans="6:6" ht="12.75" customHeight="1">
      <c r="F13437" s="32"/>
    </row>
    <row r="13438" spans="6:6" ht="12.75" customHeight="1">
      <c r="F13438" s="32"/>
    </row>
    <row r="13439" spans="6:6" ht="12.75" customHeight="1">
      <c r="F13439" s="32"/>
    </row>
    <row r="13440" spans="6:6" ht="12.75" customHeight="1">
      <c r="F13440" s="32"/>
    </row>
    <row r="13441" spans="6:6" ht="12.75" customHeight="1">
      <c r="F13441" s="32"/>
    </row>
    <row r="13442" spans="6:6" ht="12.75" customHeight="1">
      <c r="F13442" s="32"/>
    </row>
    <row r="13443" spans="6:6" ht="12.75" customHeight="1">
      <c r="F13443" s="32"/>
    </row>
    <row r="13444" spans="6:6" ht="12.75" customHeight="1">
      <c r="F13444" s="32"/>
    </row>
    <row r="13445" spans="6:6" ht="12.75" customHeight="1">
      <c r="F13445" s="32"/>
    </row>
    <row r="13446" spans="6:6" ht="12.75" customHeight="1">
      <c r="F13446" s="32"/>
    </row>
    <row r="13447" spans="6:6" ht="12.75" customHeight="1">
      <c r="F13447" s="32"/>
    </row>
    <row r="13448" spans="6:6" ht="12.75" customHeight="1">
      <c r="F13448" s="32"/>
    </row>
    <row r="13449" spans="6:6" ht="12.75" customHeight="1">
      <c r="F13449" s="32"/>
    </row>
    <row r="13450" spans="6:6" ht="12.75" customHeight="1">
      <c r="F13450" s="32"/>
    </row>
    <row r="13451" spans="6:6" ht="12.75" customHeight="1">
      <c r="F13451" s="32"/>
    </row>
    <row r="13452" spans="6:6" ht="12.75" customHeight="1">
      <c r="F13452" s="32"/>
    </row>
    <row r="13453" spans="6:6" ht="12.75" customHeight="1">
      <c r="F13453" s="32"/>
    </row>
    <row r="13454" spans="6:6" ht="12.75" customHeight="1">
      <c r="F13454" s="32"/>
    </row>
    <row r="13455" spans="6:6" ht="12.75" customHeight="1">
      <c r="F13455" s="32"/>
    </row>
    <row r="13456" spans="6:6" ht="12.75" customHeight="1">
      <c r="F13456" s="32"/>
    </row>
    <row r="13457" spans="6:6" ht="12.75" customHeight="1">
      <c r="F13457" s="32"/>
    </row>
    <row r="13458" spans="6:6" ht="12.75" customHeight="1">
      <c r="F13458" s="32"/>
    </row>
    <row r="13459" spans="6:6" ht="12.75" customHeight="1">
      <c r="F13459" s="32"/>
    </row>
    <row r="13460" spans="6:6" ht="12.75" customHeight="1">
      <c r="F13460" s="32"/>
    </row>
    <row r="13461" spans="6:6" ht="12.75" customHeight="1">
      <c r="F13461" s="32"/>
    </row>
    <row r="13462" spans="6:6" ht="12.75" customHeight="1">
      <c r="F13462" s="32"/>
    </row>
    <row r="13463" spans="6:6" ht="12.75" customHeight="1">
      <c r="F13463" s="32"/>
    </row>
    <row r="13464" spans="6:6" ht="12.75" customHeight="1">
      <c r="F13464" s="32"/>
    </row>
    <row r="13465" spans="6:6" ht="12.75" customHeight="1">
      <c r="F13465" s="32"/>
    </row>
    <row r="13466" spans="6:6" ht="12.75" customHeight="1">
      <c r="F13466" s="32"/>
    </row>
    <row r="13467" spans="6:6" ht="12.75" customHeight="1">
      <c r="F13467" s="32"/>
    </row>
    <row r="13468" spans="6:6" ht="12.75" customHeight="1">
      <c r="F13468" s="32"/>
    </row>
    <row r="13469" spans="6:6" ht="12.75" customHeight="1">
      <c r="F13469" s="32"/>
    </row>
    <row r="13470" spans="6:6" ht="12.75" customHeight="1">
      <c r="F13470" s="32"/>
    </row>
    <row r="13471" spans="6:6" ht="12.75" customHeight="1">
      <c r="F13471" s="32"/>
    </row>
    <row r="13472" spans="6:6" ht="12.75" customHeight="1">
      <c r="F13472" s="32"/>
    </row>
    <row r="13473" spans="6:6" ht="12.75" customHeight="1">
      <c r="F13473" s="32"/>
    </row>
    <row r="13474" spans="6:6" ht="12.75" customHeight="1">
      <c r="F13474" s="32"/>
    </row>
    <row r="13475" spans="6:6" ht="12.75" customHeight="1">
      <c r="F13475" s="32"/>
    </row>
    <row r="13476" spans="6:6" ht="12.75" customHeight="1">
      <c r="F13476" s="32"/>
    </row>
    <row r="13477" spans="6:6" ht="12.75" customHeight="1">
      <c r="F13477" s="32"/>
    </row>
    <row r="13478" spans="6:6" ht="12.75" customHeight="1">
      <c r="F13478" s="32"/>
    </row>
    <row r="13479" spans="6:6" ht="12.75" customHeight="1">
      <c r="F13479" s="32"/>
    </row>
    <row r="13480" spans="6:6" ht="12.75" customHeight="1">
      <c r="F13480" s="32"/>
    </row>
    <row r="13481" spans="6:6" ht="12.75" customHeight="1">
      <c r="F13481" s="32"/>
    </row>
    <row r="13482" spans="6:6" ht="12.75" customHeight="1">
      <c r="F13482" s="32"/>
    </row>
    <row r="13483" spans="6:6" ht="12.75" customHeight="1">
      <c r="F13483" s="32"/>
    </row>
    <row r="13484" spans="6:6" ht="12.75" customHeight="1">
      <c r="F13484" s="32"/>
    </row>
    <row r="13485" spans="6:6" ht="12.75" customHeight="1">
      <c r="F13485" s="32"/>
    </row>
    <row r="13486" spans="6:6" ht="12.75" customHeight="1">
      <c r="F13486" s="32"/>
    </row>
    <row r="13487" spans="6:6" ht="12.75" customHeight="1">
      <c r="F13487" s="32"/>
    </row>
    <row r="13488" spans="6:6" ht="12.75" customHeight="1">
      <c r="F13488" s="32"/>
    </row>
    <row r="13489" spans="6:6" ht="12.75" customHeight="1">
      <c r="F13489" s="32"/>
    </row>
    <row r="13490" spans="6:6" ht="12.75" customHeight="1">
      <c r="F13490" s="32"/>
    </row>
    <row r="13491" spans="6:6" ht="12.75" customHeight="1">
      <c r="F13491" s="32"/>
    </row>
    <row r="13492" spans="6:6" ht="12.75" customHeight="1">
      <c r="F13492" s="32"/>
    </row>
    <row r="13493" spans="6:6" ht="12.75" customHeight="1">
      <c r="F13493" s="32"/>
    </row>
    <row r="13494" spans="6:6" ht="12.75" customHeight="1">
      <c r="F13494" s="32"/>
    </row>
    <row r="13495" spans="6:6" ht="12.75" customHeight="1">
      <c r="F13495" s="32"/>
    </row>
    <row r="13496" spans="6:6" ht="12.75" customHeight="1">
      <c r="F13496" s="32"/>
    </row>
    <row r="13497" spans="6:6" ht="12.75" customHeight="1">
      <c r="F13497" s="32"/>
    </row>
    <row r="13498" spans="6:6" ht="12.75" customHeight="1">
      <c r="F13498" s="32"/>
    </row>
    <row r="13499" spans="6:6" ht="12.75" customHeight="1">
      <c r="F13499" s="32"/>
    </row>
    <row r="13500" spans="6:6" ht="12.75" customHeight="1">
      <c r="F13500" s="32"/>
    </row>
    <row r="13501" spans="6:6" ht="12.75" customHeight="1">
      <c r="F13501" s="32"/>
    </row>
    <row r="13502" spans="6:6" ht="12.75" customHeight="1">
      <c r="F13502" s="32"/>
    </row>
    <row r="13503" spans="6:6" ht="12.75" customHeight="1">
      <c r="F13503" s="32"/>
    </row>
    <row r="13504" spans="6:6" ht="12.75" customHeight="1">
      <c r="F13504" s="32"/>
    </row>
    <row r="13505" spans="6:6" ht="12.75" customHeight="1">
      <c r="F13505" s="32"/>
    </row>
    <row r="13506" spans="6:6" ht="12.75" customHeight="1">
      <c r="F13506" s="32"/>
    </row>
    <row r="13507" spans="6:6" ht="12.75" customHeight="1">
      <c r="F13507" s="32"/>
    </row>
    <row r="13508" spans="6:6" ht="12.75" customHeight="1">
      <c r="F13508" s="32"/>
    </row>
    <row r="13509" spans="6:6" ht="12.75" customHeight="1">
      <c r="F13509" s="32"/>
    </row>
    <row r="13510" spans="6:6" ht="12.75" customHeight="1">
      <c r="F13510" s="32"/>
    </row>
    <row r="13511" spans="6:6" ht="12.75" customHeight="1">
      <c r="F13511" s="32"/>
    </row>
    <row r="13512" spans="6:6" ht="12.75" customHeight="1">
      <c r="F13512" s="32"/>
    </row>
    <row r="13513" spans="6:6" ht="12.75" customHeight="1">
      <c r="F13513" s="32"/>
    </row>
    <row r="13514" spans="6:6" ht="12.75" customHeight="1">
      <c r="F13514" s="32"/>
    </row>
    <row r="13515" spans="6:6" ht="12.75" customHeight="1">
      <c r="F13515" s="32"/>
    </row>
    <row r="13516" spans="6:6" ht="12.75" customHeight="1">
      <c r="F13516" s="32"/>
    </row>
    <row r="13517" spans="6:6" ht="12.75" customHeight="1">
      <c r="F13517" s="32"/>
    </row>
    <row r="13518" spans="6:6" ht="12.75" customHeight="1">
      <c r="F13518" s="32"/>
    </row>
    <row r="13519" spans="6:6" ht="12.75" customHeight="1">
      <c r="F13519" s="32"/>
    </row>
    <row r="13520" spans="6:6" ht="12.75" customHeight="1">
      <c r="F13520" s="32"/>
    </row>
    <row r="13521" spans="6:6" ht="12.75" customHeight="1">
      <c r="F13521" s="32"/>
    </row>
    <row r="13522" spans="6:6" ht="12.75" customHeight="1">
      <c r="F13522" s="32"/>
    </row>
    <row r="13523" spans="6:6" ht="12.75" customHeight="1">
      <c r="F13523" s="32"/>
    </row>
    <row r="13524" spans="6:6" ht="12.75" customHeight="1">
      <c r="F13524" s="32"/>
    </row>
    <row r="13525" spans="6:6" ht="12.75" customHeight="1">
      <c r="F13525" s="32"/>
    </row>
    <row r="13526" spans="6:6" ht="12.75" customHeight="1">
      <c r="F13526" s="32"/>
    </row>
    <row r="13527" spans="6:6" ht="12.75" customHeight="1">
      <c r="F13527" s="32"/>
    </row>
    <row r="13528" spans="6:6" ht="12.75" customHeight="1">
      <c r="F13528" s="32"/>
    </row>
    <row r="13529" spans="6:6" ht="12.75" customHeight="1">
      <c r="F13529" s="32"/>
    </row>
    <row r="13530" spans="6:6" ht="12.75" customHeight="1">
      <c r="F13530" s="32"/>
    </row>
    <row r="13531" spans="6:6" ht="12.75" customHeight="1">
      <c r="F13531" s="32"/>
    </row>
    <row r="13532" spans="6:6" ht="12.75" customHeight="1">
      <c r="F13532" s="32"/>
    </row>
    <row r="13533" spans="6:6" ht="12.75" customHeight="1">
      <c r="F13533" s="32"/>
    </row>
    <row r="13534" spans="6:6" ht="12.75" customHeight="1">
      <c r="F13534" s="32"/>
    </row>
    <row r="13535" spans="6:6" ht="12.75" customHeight="1">
      <c r="F13535" s="32"/>
    </row>
    <row r="13536" spans="6:6" ht="12.75" customHeight="1">
      <c r="F13536" s="32"/>
    </row>
    <row r="13537" spans="6:6" ht="12.75" customHeight="1">
      <c r="F13537" s="32"/>
    </row>
    <row r="13538" spans="6:6" ht="12.75" customHeight="1">
      <c r="F13538" s="32"/>
    </row>
    <row r="13539" spans="6:6" ht="12.75" customHeight="1">
      <c r="F13539" s="32"/>
    </row>
    <row r="13540" spans="6:6" ht="12.75" customHeight="1">
      <c r="F13540" s="32"/>
    </row>
    <row r="13541" spans="6:6" ht="12.75" customHeight="1">
      <c r="F13541" s="32"/>
    </row>
    <row r="13542" spans="6:6" ht="12.75" customHeight="1">
      <c r="F13542" s="32"/>
    </row>
    <row r="13543" spans="6:6" ht="12.75" customHeight="1">
      <c r="F13543" s="32"/>
    </row>
    <row r="13544" spans="6:6" ht="12.75" customHeight="1">
      <c r="F13544" s="32"/>
    </row>
    <row r="13545" spans="6:6" ht="12.75" customHeight="1">
      <c r="F13545" s="32"/>
    </row>
    <row r="13546" spans="6:6" ht="12.75" customHeight="1">
      <c r="F13546" s="32"/>
    </row>
    <row r="13547" spans="6:6" ht="12.75" customHeight="1">
      <c r="F13547" s="32"/>
    </row>
    <row r="13548" spans="6:6" ht="12.75" customHeight="1">
      <c r="F13548" s="32"/>
    </row>
    <row r="13549" spans="6:6" ht="12.75" customHeight="1">
      <c r="F13549" s="32"/>
    </row>
    <row r="13550" spans="6:6" ht="12.75" customHeight="1">
      <c r="F13550" s="32"/>
    </row>
    <row r="13551" spans="6:6" ht="12.75" customHeight="1">
      <c r="F13551" s="32"/>
    </row>
    <row r="13552" spans="6:6" ht="12.75" customHeight="1">
      <c r="F13552" s="32"/>
    </row>
    <row r="13553" spans="6:6" ht="12.75" customHeight="1">
      <c r="F13553" s="32"/>
    </row>
    <row r="13554" spans="6:6" ht="12.75" customHeight="1">
      <c r="F13554" s="32"/>
    </row>
    <row r="13555" spans="6:6" ht="12.75" customHeight="1">
      <c r="F13555" s="32"/>
    </row>
    <row r="13556" spans="6:6" ht="12.75" customHeight="1">
      <c r="F13556" s="32"/>
    </row>
    <row r="13557" spans="6:6" ht="12.75" customHeight="1">
      <c r="F13557" s="32"/>
    </row>
    <row r="13558" spans="6:6" ht="12.75" customHeight="1">
      <c r="F13558" s="32"/>
    </row>
    <row r="13559" spans="6:6" ht="12.75" customHeight="1">
      <c r="F13559" s="32"/>
    </row>
    <row r="13560" spans="6:6" ht="12.75" customHeight="1">
      <c r="F13560" s="32"/>
    </row>
    <row r="13561" spans="6:6" ht="12.75" customHeight="1">
      <c r="F13561" s="32"/>
    </row>
    <row r="13562" spans="6:6" ht="12.75" customHeight="1">
      <c r="F13562" s="32"/>
    </row>
    <row r="13563" spans="6:6" ht="12.75" customHeight="1">
      <c r="F13563" s="32"/>
    </row>
    <row r="13564" spans="6:6" ht="12.75" customHeight="1">
      <c r="F13564" s="32"/>
    </row>
    <row r="13565" spans="6:6" ht="12.75" customHeight="1">
      <c r="F13565" s="32"/>
    </row>
    <row r="13566" spans="6:6" ht="12.75" customHeight="1">
      <c r="F13566" s="32"/>
    </row>
    <row r="13567" spans="6:6" ht="12.75" customHeight="1">
      <c r="F13567" s="32"/>
    </row>
    <row r="13568" spans="6:6" ht="12.75" customHeight="1">
      <c r="F13568" s="32"/>
    </row>
    <row r="13569" spans="6:6" ht="12.75" customHeight="1">
      <c r="F13569" s="32"/>
    </row>
    <row r="13570" spans="6:6" ht="12.75" customHeight="1">
      <c r="F13570" s="32"/>
    </row>
    <row r="13571" spans="6:6" ht="12.75" customHeight="1">
      <c r="F13571" s="32"/>
    </row>
    <row r="13572" spans="6:6" ht="12.75" customHeight="1">
      <c r="F13572" s="32"/>
    </row>
    <row r="13573" spans="6:6" ht="12.75" customHeight="1">
      <c r="F13573" s="32"/>
    </row>
    <row r="13574" spans="6:6" ht="12.75" customHeight="1">
      <c r="F13574" s="32"/>
    </row>
    <row r="13575" spans="6:6" ht="12.75" customHeight="1">
      <c r="F13575" s="32"/>
    </row>
    <row r="13576" spans="6:6" ht="12.75" customHeight="1">
      <c r="F13576" s="32"/>
    </row>
    <row r="13577" spans="6:6" ht="12.75" customHeight="1">
      <c r="F13577" s="32"/>
    </row>
    <row r="13578" spans="6:6" ht="12.75" customHeight="1">
      <c r="F13578" s="32"/>
    </row>
    <row r="13579" spans="6:6" ht="12.75" customHeight="1">
      <c r="F13579" s="32"/>
    </row>
    <row r="13580" spans="6:6" ht="12.75" customHeight="1">
      <c r="F13580" s="32"/>
    </row>
    <row r="13581" spans="6:6" ht="12.75" customHeight="1">
      <c r="F13581" s="32"/>
    </row>
    <row r="13582" spans="6:6" ht="12.75" customHeight="1">
      <c r="F13582" s="32"/>
    </row>
    <row r="13583" spans="6:6" ht="12.75" customHeight="1">
      <c r="F13583" s="32"/>
    </row>
    <row r="13584" spans="6:6" ht="12.75" customHeight="1">
      <c r="F13584" s="32"/>
    </row>
    <row r="13585" spans="6:6" ht="12.75" customHeight="1">
      <c r="F13585" s="32"/>
    </row>
    <row r="13586" spans="6:6" ht="12.75" customHeight="1">
      <c r="F13586" s="32"/>
    </row>
    <row r="13587" spans="6:6" ht="12.75" customHeight="1">
      <c r="F13587" s="32"/>
    </row>
    <row r="13588" spans="6:6" ht="12.75" customHeight="1">
      <c r="F13588" s="32"/>
    </row>
    <row r="13589" spans="6:6" ht="12.75" customHeight="1">
      <c r="F13589" s="32"/>
    </row>
    <row r="13590" spans="6:6" ht="12.75" customHeight="1">
      <c r="F13590" s="32"/>
    </row>
    <row r="13591" spans="6:6" ht="12.75" customHeight="1">
      <c r="F13591" s="32"/>
    </row>
    <row r="13592" spans="6:6" ht="12.75" customHeight="1">
      <c r="F13592" s="32"/>
    </row>
    <row r="13593" spans="6:6" ht="12.75" customHeight="1">
      <c r="F13593" s="32"/>
    </row>
    <row r="13594" spans="6:6" ht="12.75" customHeight="1">
      <c r="F13594" s="32"/>
    </row>
    <row r="13595" spans="6:6" ht="12.75" customHeight="1">
      <c r="F13595" s="32"/>
    </row>
    <row r="13596" spans="6:6" ht="12.75" customHeight="1">
      <c r="F13596" s="32"/>
    </row>
    <row r="13597" spans="6:6" ht="12.75" customHeight="1">
      <c r="F13597" s="32"/>
    </row>
    <row r="13598" spans="6:6" ht="12.75" customHeight="1">
      <c r="F13598" s="32"/>
    </row>
    <row r="13599" spans="6:6" ht="12.75" customHeight="1">
      <c r="F13599" s="32"/>
    </row>
    <row r="13600" spans="6:6" ht="12.75" customHeight="1">
      <c r="F13600" s="32"/>
    </row>
    <row r="13601" spans="6:6" ht="12.75" customHeight="1">
      <c r="F13601" s="32"/>
    </row>
    <row r="13602" spans="6:6" ht="12.75" customHeight="1">
      <c r="F13602" s="32"/>
    </row>
    <row r="13603" spans="6:6" ht="12.75" customHeight="1">
      <c r="F13603" s="32"/>
    </row>
    <row r="13604" spans="6:6" ht="12.75" customHeight="1">
      <c r="F13604" s="32"/>
    </row>
    <row r="13605" spans="6:6" ht="12.75" customHeight="1">
      <c r="F13605" s="32"/>
    </row>
    <row r="13606" spans="6:6" ht="12.75" customHeight="1">
      <c r="F13606" s="32"/>
    </row>
    <row r="13607" spans="6:6" ht="12.75" customHeight="1">
      <c r="F13607" s="32"/>
    </row>
    <row r="13608" spans="6:6" ht="12.75" customHeight="1">
      <c r="F13608" s="32"/>
    </row>
    <row r="13609" spans="6:6" ht="12.75" customHeight="1">
      <c r="F13609" s="32"/>
    </row>
    <row r="13610" spans="6:6" ht="12.75" customHeight="1">
      <c r="F13610" s="32"/>
    </row>
    <row r="13611" spans="6:6" ht="12.75" customHeight="1">
      <c r="F13611" s="32"/>
    </row>
    <row r="13612" spans="6:6" ht="12.75" customHeight="1">
      <c r="F13612" s="32"/>
    </row>
    <row r="13613" spans="6:6" ht="12.75" customHeight="1">
      <c r="F13613" s="32"/>
    </row>
    <row r="13614" spans="6:6" ht="12.75" customHeight="1">
      <c r="F13614" s="32"/>
    </row>
    <row r="13615" spans="6:6" ht="12.75" customHeight="1">
      <c r="F13615" s="32"/>
    </row>
    <row r="13616" spans="6:6" ht="12.75" customHeight="1">
      <c r="F13616" s="32"/>
    </row>
    <row r="13617" spans="6:6" ht="12.75" customHeight="1">
      <c r="F13617" s="32"/>
    </row>
    <row r="13618" spans="6:6" ht="12.75" customHeight="1">
      <c r="F13618" s="32"/>
    </row>
    <row r="13619" spans="6:6" ht="12.75" customHeight="1">
      <c r="F13619" s="32"/>
    </row>
    <row r="13620" spans="6:6" ht="12.75" customHeight="1">
      <c r="F13620" s="32"/>
    </row>
    <row r="13621" spans="6:6" ht="12.75" customHeight="1">
      <c r="F13621" s="32"/>
    </row>
    <row r="13622" spans="6:6" ht="12.75" customHeight="1">
      <c r="F13622" s="32"/>
    </row>
    <row r="13623" spans="6:6" ht="12.75" customHeight="1">
      <c r="F13623" s="32"/>
    </row>
    <row r="13624" spans="6:6" ht="12.75" customHeight="1">
      <c r="F13624" s="32"/>
    </row>
    <row r="13625" spans="6:6" ht="12.75" customHeight="1">
      <c r="F13625" s="32"/>
    </row>
    <row r="13626" spans="6:6" ht="12.75" customHeight="1">
      <c r="F13626" s="32"/>
    </row>
    <row r="13627" spans="6:6" ht="12.75" customHeight="1">
      <c r="F13627" s="32"/>
    </row>
    <row r="13628" spans="6:6" ht="12.75" customHeight="1">
      <c r="F13628" s="32"/>
    </row>
    <row r="13629" spans="6:6" ht="12.75" customHeight="1">
      <c r="F13629" s="32"/>
    </row>
    <row r="13630" spans="6:6" ht="12.75" customHeight="1">
      <c r="F13630" s="32"/>
    </row>
    <row r="13631" spans="6:6" ht="12.75" customHeight="1">
      <c r="F13631" s="32"/>
    </row>
    <row r="13632" spans="6:6" ht="12.75" customHeight="1">
      <c r="F13632" s="32"/>
    </row>
    <row r="13633" spans="6:6" ht="12.75" customHeight="1">
      <c r="F13633" s="32"/>
    </row>
    <row r="13634" spans="6:6" ht="12.75" customHeight="1">
      <c r="F13634" s="32"/>
    </row>
    <row r="13635" spans="6:6" ht="12.75" customHeight="1">
      <c r="F13635" s="32"/>
    </row>
    <row r="13636" spans="6:6" ht="12.75" customHeight="1">
      <c r="F13636" s="32"/>
    </row>
    <row r="13637" spans="6:6" ht="12.75" customHeight="1">
      <c r="F13637" s="32"/>
    </row>
    <row r="13638" spans="6:6" ht="12.75" customHeight="1">
      <c r="F13638" s="32"/>
    </row>
    <row r="13639" spans="6:6" ht="12.75" customHeight="1">
      <c r="F13639" s="32"/>
    </row>
    <row r="13640" spans="6:6" ht="12.75" customHeight="1">
      <c r="F13640" s="32"/>
    </row>
    <row r="13641" spans="6:6" ht="12.75" customHeight="1">
      <c r="F13641" s="32"/>
    </row>
    <row r="13642" spans="6:6" ht="12.75" customHeight="1">
      <c r="F13642" s="32"/>
    </row>
    <row r="13643" spans="6:6" ht="12.75" customHeight="1">
      <c r="F13643" s="32"/>
    </row>
    <row r="13644" spans="6:6" ht="12.75" customHeight="1">
      <c r="F13644" s="32"/>
    </row>
    <row r="13645" spans="6:6" ht="12.75" customHeight="1">
      <c r="F13645" s="32"/>
    </row>
    <row r="13646" spans="6:6" ht="12.75" customHeight="1">
      <c r="F13646" s="32"/>
    </row>
    <row r="13647" spans="6:6" ht="12.75" customHeight="1">
      <c r="F13647" s="32"/>
    </row>
    <row r="13648" spans="6:6" ht="12.75" customHeight="1">
      <c r="F13648" s="32"/>
    </row>
    <row r="13649" spans="6:6" ht="12.75" customHeight="1">
      <c r="F13649" s="32"/>
    </row>
    <row r="13650" spans="6:6" ht="12.75" customHeight="1">
      <c r="F13650" s="32"/>
    </row>
    <row r="13651" spans="6:6" ht="12.75" customHeight="1">
      <c r="F13651" s="32"/>
    </row>
    <row r="13652" spans="6:6" ht="12.75" customHeight="1">
      <c r="F13652" s="32"/>
    </row>
    <row r="13653" spans="6:6" ht="12.75" customHeight="1">
      <c r="F13653" s="32"/>
    </row>
    <row r="13654" spans="6:6" ht="12.75" customHeight="1">
      <c r="F13654" s="32"/>
    </row>
    <row r="13655" spans="6:6" ht="12.75" customHeight="1">
      <c r="F13655" s="32"/>
    </row>
    <row r="13656" spans="6:6" ht="12.75" customHeight="1">
      <c r="F13656" s="32"/>
    </row>
    <row r="13657" spans="6:6" ht="12.75" customHeight="1">
      <c r="F13657" s="32"/>
    </row>
    <row r="13658" spans="6:6" ht="12.75" customHeight="1">
      <c r="F13658" s="32"/>
    </row>
    <row r="13659" spans="6:6" ht="12.75" customHeight="1">
      <c r="F13659" s="32"/>
    </row>
    <row r="13660" spans="6:6" ht="12.75" customHeight="1">
      <c r="F13660" s="32"/>
    </row>
    <row r="13661" spans="6:6" ht="12.75" customHeight="1">
      <c r="F13661" s="32"/>
    </row>
    <row r="13662" spans="6:6" ht="12.75" customHeight="1">
      <c r="F13662" s="32"/>
    </row>
    <row r="13663" spans="6:6" ht="12.75" customHeight="1">
      <c r="F13663" s="32"/>
    </row>
    <row r="13664" spans="6:6" ht="12.75" customHeight="1">
      <c r="F13664" s="32"/>
    </row>
    <row r="13665" spans="6:6" ht="12.75" customHeight="1">
      <c r="F13665" s="32"/>
    </row>
    <row r="13666" spans="6:6" ht="12.75" customHeight="1">
      <c r="F13666" s="32"/>
    </row>
    <row r="13667" spans="6:6" ht="12.75" customHeight="1">
      <c r="F13667" s="32"/>
    </row>
    <row r="13668" spans="6:6" ht="12.75" customHeight="1">
      <c r="F13668" s="32"/>
    </row>
    <row r="13669" spans="6:6" ht="12.75" customHeight="1">
      <c r="F13669" s="32"/>
    </row>
    <row r="13670" spans="6:6" ht="12.75" customHeight="1">
      <c r="F13670" s="32"/>
    </row>
    <row r="13671" spans="6:6" ht="12.75" customHeight="1">
      <c r="F13671" s="32"/>
    </row>
    <row r="13672" spans="6:6" ht="12.75" customHeight="1">
      <c r="F13672" s="32"/>
    </row>
    <row r="13673" spans="6:6" ht="12.75" customHeight="1">
      <c r="F13673" s="32"/>
    </row>
    <row r="13674" spans="6:6" ht="12.75" customHeight="1">
      <c r="F13674" s="32"/>
    </row>
    <row r="13675" spans="6:6" ht="12.75" customHeight="1">
      <c r="F13675" s="32"/>
    </row>
    <row r="13676" spans="6:6" ht="12.75" customHeight="1">
      <c r="F13676" s="32"/>
    </row>
    <row r="13677" spans="6:6" ht="12.75" customHeight="1">
      <c r="F13677" s="32"/>
    </row>
    <row r="13678" spans="6:6" ht="12.75" customHeight="1">
      <c r="F13678" s="32"/>
    </row>
    <row r="13679" spans="6:6" ht="12.75" customHeight="1">
      <c r="F13679" s="32"/>
    </row>
    <row r="13680" spans="6:6" ht="12.75" customHeight="1">
      <c r="F13680" s="32"/>
    </row>
    <row r="13681" spans="6:6" ht="12.75" customHeight="1">
      <c r="F13681" s="32"/>
    </row>
    <row r="13682" spans="6:6" ht="12.75" customHeight="1">
      <c r="F13682" s="32"/>
    </row>
    <row r="13683" spans="6:6" ht="12.75" customHeight="1">
      <c r="F13683" s="32"/>
    </row>
    <row r="13684" spans="6:6" ht="12.75" customHeight="1">
      <c r="F13684" s="32"/>
    </row>
    <row r="13685" spans="6:6" ht="12.75" customHeight="1">
      <c r="F13685" s="32"/>
    </row>
    <row r="13686" spans="6:6" ht="12.75" customHeight="1">
      <c r="F13686" s="32"/>
    </row>
    <row r="13687" spans="6:6" ht="12.75" customHeight="1">
      <c r="F13687" s="32"/>
    </row>
    <row r="13688" spans="6:6" ht="12.75" customHeight="1">
      <c r="F13688" s="32"/>
    </row>
    <row r="13689" spans="6:6" ht="12.75" customHeight="1">
      <c r="F13689" s="32"/>
    </row>
    <row r="13690" spans="6:6" ht="12.75" customHeight="1">
      <c r="F13690" s="32"/>
    </row>
    <row r="13691" spans="6:6" ht="12.75" customHeight="1">
      <c r="F13691" s="32"/>
    </row>
    <row r="13692" spans="6:6" ht="12.75" customHeight="1">
      <c r="F13692" s="32"/>
    </row>
    <row r="13693" spans="6:6" ht="12.75" customHeight="1">
      <c r="F13693" s="32"/>
    </row>
    <row r="13694" spans="6:6" ht="12.75" customHeight="1">
      <c r="F13694" s="32"/>
    </row>
    <row r="13695" spans="6:6" ht="12.75" customHeight="1">
      <c r="F13695" s="32"/>
    </row>
    <row r="13696" spans="6:6" ht="12.75" customHeight="1">
      <c r="F13696" s="32"/>
    </row>
    <row r="13697" spans="6:6" ht="12.75" customHeight="1">
      <c r="F13697" s="32"/>
    </row>
    <row r="13698" spans="6:6" ht="12.75" customHeight="1">
      <c r="F13698" s="32"/>
    </row>
    <row r="13699" spans="6:6" ht="12.75" customHeight="1">
      <c r="F13699" s="32"/>
    </row>
    <row r="13700" spans="6:6" ht="12.75" customHeight="1">
      <c r="F13700" s="32"/>
    </row>
    <row r="13701" spans="6:6" ht="12.75" customHeight="1">
      <c r="F13701" s="32"/>
    </row>
    <row r="13702" spans="6:6" ht="12.75" customHeight="1">
      <c r="F13702" s="32"/>
    </row>
    <row r="13703" spans="6:6" ht="12.75" customHeight="1">
      <c r="F13703" s="32"/>
    </row>
    <row r="13704" spans="6:6" ht="12.75" customHeight="1">
      <c r="F13704" s="32"/>
    </row>
    <row r="13705" spans="6:6" ht="12.75" customHeight="1">
      <c r="F13705" s="32"/>
    </row>
    <row r="13706" spans="6:6" ht="12.75" customHeight="1">
      <c r="F13706" s="32"/>
    </row>
    <row r="13707" spans="6:6" ht="12.75" customHeight="1">
      <c r="F13707" s="32"/>
    </row>
    <row r="13708" spans="6:6" ht="12.75" customHeight="1">
      <c r="F13708" s="32"/>
    </row>
    <row r="13709" spans="6:6" ht="12.75" customHeight="1">
      <c r="F13709" s="32"/>
    </row>
    <row r="13710" spans="6:6" ht="12.75" customHeight="1">
      <c r="F13710" s="32"/>
    </row>
    <row r="13711" spans="6:6" ht="12.75" customHeight="1">
      <c r="F13711" s="32"/>
    </row>
    <row r="13712" spans="6:6" ht="12.75" customHeight="1">
      <c r="F13712" s="32"/>
    </row>
    <row r="13713" spans="6:6" ht="12.75" customHeight="1">
      <c r="F13713" s="32"/>
    </row>
    <row r="13714" spans="6:6" ht="12.75" customHeight="1">
      <c r="F13714" s="32"/>
    </row>
    <row r="13715" spans="6:6" ht="12.75" customHeight="1">
      <c r="F13715" s="32"/>
    </row>
    <row r="13716" spans="6:6" ht="12.75" customHeight="1">
      <c r="F13716" s="32"/>
    </row>
    <row r="13717" spans="6:6" ht="12.75" customHeight="1">
      <c r="F13717" s="32"/>
    </row>
    <row r="13718" spans="6:6" ht="12.75" customHeight="1">
      <c r="F13718" s="32"/>
    </row>
    <row r="13719" spans="6:6" ht="12.75" customHeight="1">
      <c r="F13719" s="32"/>
    </row>
    <row r="13720" spans="6:6" ht="12.75" customHeight="1">
      <c r="F13720" s="32"/>
    </row>
    <row r="13721" spans="6:6" ht="12.75" customHeight="1">
      <c r="F13721" s="32"/>
    </row>
    <row r="13722" spans="6:6" ht="12.75" customHeight="1">
      <c r="F13722" s="32"/>
    </row>
    <row r="13723" spans="6:6" ht="12.75" customHeight="1">
      <c r="F13723" s="32"/>
    </row>
    <row r="13724" spans="6:6" ht="12.75" customHeight="1">
      <c r="F13724" s="32"/>
    </row>
    <row r="13725" spans="6:6" ht="12.75" customHeight="1">
      <c r="F13725" s="32"/>
    </row>
    <row r="13726" spans="6:6" ht="12.75" customHeight="1">
      <c r="F13726" s="32"/>
    </row>
    <row r="13727" spans="6:6" ht="12.75" customHeight="1">
      <c r="F13727" s="32"/>
    </row>
    <row r="13728" spans="6:6" ht="12.75" customHeight="1">
      <c r="F13728" s="32"/>
    </row>
    <row r="13729" spans="6:6" ht="12.75" customHeight="1">
      <c r="F13729" s="32"/>
    </row>
    <row r="13730" spans="6:6" ht="12.75" customHeight="1">
      <c r="F13730" s="32"/>
    </row>
    <row r="13731" spans="6:6" ht="12.75" customHeight="1">
      <c r="F13731" s="32"/>
    </row>
    <row r="13732" spans="6:6" ht="12.75" customHeight="1">
      <c r="F13732" s="32"/>
    </row>
    <row r="13733" spans="6:6" ht="12.75" customHeight="1">
      <c r="F13733" s="32"/>
    </row>
    <row r="13734" spans="6:6" ht="12.75" customHeight="1">
      <c r="F13734" s="32"/>
    </row>
    <row r="13735" spans="6:6" ht="12.75" customHeight="1">
      <c r="F13735" s="32"/>
    </row>
    <row r="13736" spans="6:6" ht="12.75" customHeight="1">
      <c r="F13736" s="32"/>
    </row>
    <row r="13737" spans="6:6" ht="12.75" customHeight="1">
      <c r="F13737" s="32"/>
    </row>
    <row r="13738" spans="6:6" ht="12.75" customHeight="1">
      <c r="F13738" s="32"/>
    </row>
    <row r="13739" spans="6:6" ht="12.75" customHeight="1">
      <c r="F13739" s="32"/>
    </row>
    <row r="13740" spans="6:6" ht="12.75" customHeight="1">
      <c r="F13740" s="32"/>
    </row>
    <row r="13741" spans="6:6" ht="12.75" customHeight="1">
      <c r="F13741" s="32"/>
    </row>
    <row r="13742" spans="6:6" ht="12.75" customHeight="1">
      <c r="F13742" s="32"/>
    </row>
    <row r="13743" spans="6:6" ht="12.75" customHeight="1">
      <c r="F13743" s="32"/>
    </row>
    <row r="13744" spans="6:6" ht="12.75" customHeight="1">
      <c r="F13744" s="32"/>
    </row>
    <row r="13745" spans="6:6" ht="12.75" customHeight="1">
      <c r="F13745" s="32"/>
    </row>
    <row r="13746" spans="6:6" ht="12.75" customHeight="1">
      <c r="F13746" s="32"/>
    </row>
    <row r="13747" spans="6:6" ht="12.75" customHeight="1">
      <c r="F13747" s="32"/>
    </row>
    <row r="13748" spans="6:6" ht="12.75" customHeight="1">
      <c r="F13748" s="32"/>
    </row>
    <row r="13749" spans="6:6" ht="12.75" customHeight="1">
      <c r="F13749" s="32"/>
    </row>
    <row r="13750" spans="6:6" ht="12.75" customHeight="1">
      <c r="F13750" s="32"/>
    </row>
    <row r="13751" spans="6:6" ht="12.75" customHeight="1">
      <c r="F13751" s="32"/>
    </row>
    <row r="13752" spans="6:6" ht="12.75" customHeight="1">
      <c r="F13752" s="32"/>
    </row>
    <row r="13753" spans="6:6" ht="12.75" customHeight="1">
      <c r="F13753" s="32"/>
    </row>
    <row r="13754" spans="6:6" ht="12.75" customHeight="1">
      <c r="F13754" s="32"/>
    </row>
    <row r="13755" spans="6:6" ht="12.75" customHeight="1">
      <c r="F13755" s="32"/>
    </row>
    <row r="13756" spans="6:6" ht="12.75" customHeight="1">
      <c r="F13756" s="32"/>
    </row>
    <row r="13757" spans="6:6" ht="12.75" customHeight="1">
      <c r="F13757" s="32"/>
    </row>
    <row r="13758" spans="6:6" ht="12.75" customHeight="1">
      <c r="F13758" s="32"/>
    </row>
    <row r="13759" spans="6:6" ht="12.75" customHeight="1">
      <c r="F13759" s="32"/>
    </row>
    <row r="13760" spans="6:6" ht="12.75" customHeight="1">
      <c r="F13760" s="32"/>
    </row>
    <row r="13761" spans="6:6" ht="12.75" customHeight="1">
      <c r="F13761" s="32"/>
    </row>
    <row r="13762" spans="6:6" ht="12.75" customHeight="1">
      <c r="F13762" s="32"/>
    </row>
    <row r="13763" spans="6:6" ht="12.75" customHeight="1">
      <c r="F13763" s="32"/>
    </row>
    <row r="13764" spans="6:6" ht="12.75" customHeight="1">
      <c r="F13764" s="32"/>
    </row>
    <row r="13765" spans="6:6" ht="12.75" customHeight="1">
      <c r="F13765" s="32"/>
    </row>
    <row r="13766" spans="6:6" ht="12.75" customHeight="1">
      <c r="F13766" s="32"/>
    </row>
    <row r="13767" spans="6:6" ht="12.75" customHeight="1">
      <c r="F13767" s="32"/>
    </row>
    <row r="13768" spans="6:6" ht="12.75" customHeight="1">
      <c r="F13768" s="32"/>
    </row>
    <row r="13769" spans="6:6" ht="12.75" customHeight="1">
      <c r="F13769" s="32"/>
    </row>
    <row r="13770" spans="6:6" ht="12.75" customHeight="1">
      <c r="F13770" s="32"/>
    </row>
    <row r="13771" spans="6:6" ht="12.75" customHeight="1">
      <c r="F13771" s="32"/>
    </row>
    <row r="13772" spans="6:6" ht="12.75" customHeight="1">
      <c r="F13772" s="32"/>
    </row>
    <row r="13773" spans="6:6" ht="12.75" customHeight="1">
      <c r="F13773" s="32"/>
    </row>
    <row r="13774" spans="6:6" ht="12.75" customHeight="1">
      <c r="F13774" s="32"/>
    </row>
    <row r="13775" spans="6:6" ht="12.75" customHeight="1">
      <c r="F13775" s="32"/>
    </row>
    <row r="13776" spans="6:6" ht="12.75" customHeight="1">
      <c r="F13776" s="32"/>
    </row>
    <row r="13777" spans="6:6" ht="12.75" customHeight="1">
      <c r="F13777" s="32"/>
    </row>
    <row r="13778" spans="6:6" ht="12.75" customHeight="1">
      <c r="F13778" s="32"/>
    </row>
    <row r="13779" spans="6:6" ht="12.75" customHeight="1">
      <c r="F13779" s="32"/>
    </row>
    <row r="13780" spans="6:6" ht="12.75" customHeight="1">
      <c r="F13780" s="32"/>
    </row>
    <row r="13781" spans="6:6" ht="12.75" customHeight="1">
      <c r="F13781" s="32"/>
    </row>
    <row r="13782" spans="6:6" ht="12.75" customHeight="1">
      <c r="F13782" s="32"/>
    </row>
    <row r="13783" spans="6:6" ht="12.75" customHeight="1">
      <c r="F13783" s="32"/>
    </row>
    <row r="13784" spans="6:6" ht="12.75" customHeight="1">
      <c r="F13784" s="32"/>
    </row>
    <row r="13785" spans="6:6" ht="12.75" customHeight="1">
      <c r="F13785" s="32"/>
    </row>
    <row r="13786" spans="6:6" ht="12.75" customHeight="1">
      <c r="F13786" s="32"/>
    </row>
    <row r="13787" spans="6:6" ht="12.75" customHeight="1">
      <c r="F13787" s="32"/>
    </row>
    <row r="13788" spans="6:6" ht="12.75" customHeight="1">
      <c r="F13788" s="32"/>
    </row>
    <row r="13789" spans="6:6" ht="12.75" customHeight="1">
      <c r="F13789" s="32"/>
    </row>
    <row r="13790" spans="6:6" ht="12.75" customHeight="1">
      <c r="F13790" s="32"/>
    </row>
    <row r="13791" spans="6:6" ht="12.75" customHeight="1">
      <c r="F13791" s="32"/>
    </row>
    <row r="13792" spans="6:6" ht="12.75" customHeight="1">
      <c r="F13792" s="32"/>
    </row>
    <row r="13793" spans="6:6" ht="12.75" customHeight="1">
      <c r="F13793" s="32"/>
    </row>
    <row r="13794" spans="6:6" ht="12.75" customHeight="1">
      <c r="F13794" s="32"/>
    </row>
    <row r="13795" spans="6:6" ht="12.75" customHeight="1">
      <c r="F13795" s="32"/>
    </row>
    <row r="13796" spans="6:6" ht="12.75" customHeight="1">
      <c r="F13796" s="32"/>
    </row>
    <row r="13797" spans="6:6" ht="12.75" customHeight="1">
      <c r="F13797" s="32"/>
    </row>
    <row r="13798" spans="6:6" ht="12.75" customHeight="1">
      <c r="F13798" s="32"/>
    </row>
    <row r="13799" spans="6:6" ht="12.75" customHeight="1">
      <c r="F13799" s="32"/>
    </row>
    <row r="13800" spans="6:6" ht="12.75" customHeight="1">
      <c r="F13800" s="32"/>
    </row>
    <row r="13801" spans="6:6" ht="12.75" customHeight="1">
      <c r="F13801" s="32"/>
    </row>
    <row r="13802" spans="6:6" ht="12.75" customHeight="1">
      <c r="F13802" s="32"/>
    </row>
    <row r="13803" spans="6:6" ht="12.75" customHeight="1">
      <c r="F13803" s="32"/>
    </row>
    <row r="13804" spans="6:6" ht="12.75" customHeight="1">
      <c r="F13804" s="32"/>
    </row>
    <row r="13805" spans="6:6" ht="12.75" customHeight="1">
      <c r="F13805" s="32"/>
    </row>
    <row r="13806" spans="6:6" ht="12.75" customHeight="1">
      <c r="F13806" s="32"/>
    </row>
    <row r="13807" spans="6:6" ht="12.75" customHeight="1">
      <c r="F13807" s="32"/>
    </row>
    <row r="13808" spans="6:6" ht="12.75" customHeight="1">
      <c r="F13808" s="32"/>
    </row>
    <row r="13809" spans="6:6" ht="12.75" customHeight="1">
      <c r="F13809" s="32"/>
    </row>
    <row r="13810" spans="6:6" ht="12.75" customHeight="1">
      <c r="F13810" s="32"/>
    </row>
    <row r="13811" spans="6:6" ht="12.75" customHeight="1">
      <c r="F13811" s="32"/>
    </row>
    <row r="13812" spans="6:6" ht="12.75" customHeight="1">
      <c r="F13812" s="32"/>
    </row>
    <row r="13813" spans="6:6" ht="12.75" customHeight="1">
      <c r="F13813" s="32"/>
    </row>
    <row r="13814" spans="6:6" ht="12.75" customHeight="1">
      <c r="F13814" s="32"/>
    </row>
    <row r="13815" spans="6:6" ht="12.75" customHeight="1">
      <c r="F13815" s="32"/>
    </row>
    <row r="13816" spans="6:6" ht="12.75" customHeight="1">
      <c r="F13816" s="32"/>
    </row>
    <row r="13817" spans="6:6" ht="12.75" customHeight="1">
      <c r="F13817" s="32"/>
    </row>
    <row r="13818" spans="6:6" ht="12.75" customHeight="1">
      <c r="F13818" s="32"/>
    </row>
    <row r="13819" spans="6:6" ht="12.75" customHeight="1">
      <c r="F13819" s="32"/>
    </row>
    <row r="13820" spans="6:6" ht="12.75" customHeight="1">
      <c r="F13820" s="32"/>
    </row>
    <row r="13821" spans="6:6" ht="12.75" customHeight="1">
      <c r="F13821" s="32"/>
    </row>
    <row r="13822" spans="6:6" ht="12.75" customHeight="1">
      <c r="F13822" s="32"/>
    </row>
    <row r="13823" spans="6:6" ht="12.75" customHeight="1">
      <c r="F13823" s="32"/>
    </row>
    <row r="13824" spans="6:6" ht="12.75" customHeight="1">
      <c r="F13824" s="32"/>
    </row>
    <row r="13825" spans="6:6" ht="12.75" customHeight="1">
      <c r="F13825" s="32"/>
    </row>
    <row r="13826" spans="6:6" ht="12.75" customHeight="1">
      <c r="F13826" s="32"/>
    </row>
    <row r="13827" spans="6:6" ht="12.75" customHeight="1">
      <c r="F13827" s="32"/>
    </row>
    <row r="13828" spans="6:6" ht="12.75" customHeight="1">
      <c r="F13828" s="32"/>
    </row>
    <row r="13829" spans="6:6" ht="12.75" customHeight="1">
      <c r="F13829" s="32"/>
    </row>
    <row r="13830" spans="6:6" ht="12.75" customHeight="1">
      <c r="F13830" s="32"/>
    </row>
    <row r="13831" spans="6:6" ht="12.75" customHeight="1">
      <c r="F13831" s="32"/>
    </row>
    <row r="13832" spans="6:6" ht="12.75" customHeight="1">
      <c r="F13832" s="32"/>
    </row>
    <row r="13833" spans="6:6" ht="12.75" customHeight="1">
      <c r="F13833" s="32"/>
    </row>
    <row r="13834" spans="6:6" ht="12.75" customHeight="1">
      <c r="F13834" s="32"/>
    </row>
    <row r="13835" spans="6:6" ht="12.75" customHeight="1">
      <c r="F13835" s="32"/>
    </row>
    <row r="13836" spans="6:6" ht="12.75" customHeight="1">
      <c r="F13836" s="32"/>
    </row>
    <row r="13837" spans="6:6" ht="12.75" customHeight="1">
      <c r="F13837" s="32"/>
    </row>
    <row r="13838" spans="6:6" ht="12.75" customHeight="1">
      <c r="F13838" s="32"/>
    </row>
    <row r="13839" spans="6:6" ht="12.75" customHeight="1">
      <c r="F13839" s="32"/>
    </row>
    <row r="13840" spans="6:6" ht="12.75" customHeight="1">
      <c r="F13840" s="32"/>
    </row>
    <row r="13841" spans="6:6" ht="12.75" customHeight="1">
      <c r="F13841" s="32"/>
    </row>
    <row r="13842" spans="6:6" ht="12.75" customHeight="1">
      <c r="F13842" s="32"/>
    </row>
    <row r="13843" spans="6:6" ht="12.75" customHeight="1">
      <c r="F13843" s="32"/>
    </row>
    <row r="13844" spans="6:6" ht="12.75" customHeight="1">
      <c r="F13844" s="32"/>
    </row>
    <row r="13845" spans="6:6" ht="12.75" customHeight="1">
      <c r="F13845" s="32"/>
    </row>
    <row r="13846" spans="6:6" ht="12.75" customHeight="1">
      <c r="F13846" s="32"/>
    </row>
    <row r="13847" spans="6:6" ht="12.75" customHeight="1">
      <c r="F13847" s="32"/>
    </row>
    <row r="13848" spans="6:6" ht="12.75" customHeight="1">
      <c r="F13848" s="32"/>
    </row>
    <row r="13849" spans="6:6" ht="12.75" customHeight="1">
      <c r="F13849" s="32"/>
    </row>
    <row r="13850" spans="6:6" ht="12.75" customHeight="1">
      <c r="F13850" s="32"/>
    </row>
    <row r="13851" spans="6:6" ht="12.75" customHeight="1">
      <c r="F13851" s="32"/>
    </row>
    <row r="13852" spans="6:6" ht="12.75" customHeight="1">
      <c r="F13852" s="32"/>
    </row>
    <row r="13853" spans="6:6" ht="12.75" customHeight="1">
      <c r="F13853" s="32"/>
    </row>
    <row r="13854" spans="6:6" ht="12.75" customHeight="1">
      <c r="F13854" s="32"/>
    </row>
    <row r="13855" spans="6:6" ht="12.75" customHeight="1">
      <c r="F13855" s="32"/>
    </row>
    <row r="13856" spans="6:6" ht="12.75" customHeight="1">
      <c r="F13856" s="32"/>
    </row>
    <row r="13857" spans="6:6" ht="12.75" customHeight="1">
      <c r="F13857" s="32"/>
    </row>
    <row r="13858" spans="6:6" ht="12.75" customHeight="1">
      <c r="F13858" s="32"/>
    </row>
    <row r="13859" spans="6:6" ht="12.75" customHeight="1">
      <c r="F13859" s="32"/>
    </row>
    <row r="13860" spans="6:6" ht="12.75" customHeight="1">
      <c r="F13860" s="32"/>
    </row>
    <row r="13861" spans="6:6" ht="12.75" customHeight="1">
      <c r="F13861" s="32"/>
    </row>
    <row r="13862" spans="6:6" ht="12.75" customHeight="1">
      <c r="F13862" s="32"/>
    </row>
    <row r="13863" spans="6:6" ht="12.75" customHeight="1">
      <c r="F13863" s="32"/>
    </row>
    <row r="13864" spans="6:6" ht="12.75" customHeight="1">
      <c r="F13864" s="32"/>
    </row>
    <row r="13865" spans="6:6" ht="12.75" customHeight="1">
      <c r="F13865" s="32"/>
    </row>
    <row r="13866" spans="6:6" ht="12.75" customHeight="1">
      <c r="F13866" s="32"/>
    </row>
    <row r="13867" spans="6:6" ht="12.75" customHeight="1">
      <c r="F13867" s="32"/>
    </row>
    <row r="13868" spans="6:6" ht="12.75" customHeight="1">
      <c r="F13868" s="32"/>
    </row>
    <row r="13869" spans="6:6" ht="12.75" customHeight="1">
      <c r="F13869" s="32"/>
    </row>
    <row r="13870" spans="6:6" ht="12.75" customHeight="1">
      <c r="F13870" s="32"/>
    </row>
    <row r="13871" spans="6:6" ht="12.75" customHeight="1">
      <c r="F13871" s="32"/>
    </row>
    <row r="13872" spans="6:6" ht="12.75" customHeight="1">
      <c r="F13872" s="32"/>
    </row>
    <row r="13873" spans="6:6" ht="12.75" customHeight="1">
      <c r="F13873" s="32"/>
    </row>
    <row r="13874" spans="6:6" ht="12.75" customHeight="1">
      <c r="F13874" s="32"/>
    </row>
    <row r="13875" spans="6:6" ht="12.75" customHeight="1">
      <c r="F13875" s="32"/>
    </row>
    <row r="13876" spans="6:6" ht="12.75" customHeight="1">
      <c r="F13876" s="32"/>
    </row>
    <row r="13877" spans="6:6" ht="12.75" customHeight="1">
      <c r="F13877" s="32"/>
    </row>
    <row r="13878" spans="6:6" ht="12.75" customHeight="1">
      <c r="F13878" s="32"/>
    </row>
    <row r="13879" spans="6:6" ht="12.75" customHeight="1">
      <c r="F13879" s="32"/>
    </row>
    <row r="13880" spans="6:6" ht="12.75" customHeight="1">
      <c r="F13880" s="32"/>
    </row>
    <row r="13881" spans="6:6" ht="12.75" customHeight="1">
      <c r="F13881" s="32"/>
    </row>
    <row r="13882" spans="6:6" ht="12.75" customHeight="1">
      <c r="F13882" s="32"/>
    </row>
    <row r="13883" spans="6:6" ht="12.75" customHeight="1">
      <c r="F13883" s="32"/>
    </row>
    <row r="13884" spans="6:6" ht="12.75" customHeight="1">
      <c r="F13884" s="32"/>
    </row>
    <row r="13885" spans="6:6" ht="12.75" customHeight="1">
      <c r="F13885" s="32"/>
    </row>
    <row r="13886" spans="6:6" ht="12.75" customHeight="1">
      <c r="F13886" s="32"/>
    </row>
    <row r="13887" spans="6:6" ht="12.75" customHeight="1">
      <c r="F13887" s="32"/>
    </row>
    <row r="13888" spans="6:6" ht="12.75" customHeight="1">
      <c r="F13888" s="32"/>
    </row>
    <row r="13889" spans="6:6" ht="12.75" customHeight="1">
      <c r="F13889" s="32"/>
    </row>
    <row r="13890" spans="6:6" ht="12.75" customHeight="1">
      <c r="F13890" s="32"/>
    </row>
    <row r="13891" spans="6:6" ht="12.75" customHeight="1">
      <c r="F13891" s="32"/>
    </row>
    <row r="13892" spans="6:6" ht="12.75" customHeight="1">
      <c r="F13892" s="32"/>
    </row>
    <row r="13893" spans="6:6" ht="12.75" customHeight="1">
      <c r="F13893" s="32"/>
    </row>
    <row r="13894" spans="6:6" ht="12.75" customHeight="1">
      <c r="F13894" s="32"/>
    </row>
    <row r="13895" spans="6:6" ht="12.75" customHeight="1">
      <c r="F13895" s="32"/>
    </row>
    <row r="13896" spans="6:6" ht="12.75" customHeight="1">
      <c r="F13896" s="32"/>
    </row>
    <row r="13897" spans="6:6" ht="12.75" customHeight="1">
      <c r="F13897" s="32"/>
    </row>
    <row r="13898" spans="6:6" ht="12.75" customHeight="1">
      <c r="F13898" s="32"/>
    </row>
    <row r="13899" spans="6:6" ht="12.75" customHeight="1">
      <c r="F13899" s="32"/>
    </row>
    <row r="13900" spans="6:6" ht="12.75" customHeight="1">
      <c r="F13900" s="32"/>
    </row>
    <row r="13901" spans="6:6" ht="12.75" customHeight="1">
      <c r="F13901" s="32"/>
    </row>
    <row r="13902" spans="6:6" ht="12.75" customHeight="1">
      <c r="F13902" s="32"/>
    </row>
    <row r="13903" spans="6:6" ht="12.75" customHeight="1">
      <c r="F13903" s="32"/>
    </row>
    <row r="13904" spans="6:6" ht="12.75" customHeight="1">
      <c r="F13904" s="32"/>
    </row>
    <row r="13905" spans="6:6" ht="12.75" customHeight="1">
      <c r="F13905" s="32"/>
    </row>
    <row r="13906" spans="6:6" ht="12.75" customHeight="1">
      <c r="F13906" s="32"/>
    </row>
    <row r="13907" spans="6:6" ht="12.75" customHeight="1">
      <c r="F13907" s="32"/>
    </row>
    <row r="13908" spans="6:6" ht="12.75" customHeight="1">
      <c r="F13908" s="32"/>
    </row>
    <row r="13909" spans="6:6" ht="12.75" customHeight="1">
      <c r="F13909" s="32"/>
    </row>
    <row r="13910" spans="6:6" ht="12.75" customHeight="1">
      <c r="F13910" s="32"/>
    </row>
    <row r="13911" spans="6:6" ht="12.75" customHeight="1">
      <c r="F13911" s="32"/>
    </row>
    <row r="13912" spans="6:6" ht="12.75" customHeight="1">
      <c r="F13912" s="32"/>
    </row>
    <row r="13913" spans="6:6" ht="12.75" customHeight="1">
      <c r="F13913" s="32"/>
    </row>
    <row r="13914" spans="6:6" ht="12.75" customHeight="1">
      <c r="F13914" s="32"/>
    </row>
    <row r="13915" spans="6:6" ht="12.75" customHeight="1">
      <c r="F13915" s="32"/>
    </row>
    <row r="13916" spans="6:6" ht="12.75" customHeight="1">
      <c r="F13916" s="32"/>
    </row>
    <row r="13917" spans="6:6" ht="12.75" customHeight="1">
      <c r="F13917" s="32"/>
    </row>
    <row r="13918" spans="6:6" ht="12.75" customHeight="1">
      <c r="F13918" s="32"/>
    </row>
    <row r="13919" spans="6:6" ht="12.75" customHeight="1">
      <c r="F13919" s="32"/>
    </row>
    <row r="13920" spans="6:6" ht="12.75" customHeight="1">
      <c r="F13920" s="32"/>
    </row>
    <row r="13921" spans="6:6" ht="12.75" customHeight="1">
      <c r="F13921" s="32"/>
    </row>
    <row r="13922" spans="6:6" ht="12.75" customHeight="1">
      <c r="F13922" s="32"/>
    </row>
    <row r="13923" spans="6:6" ht="12.75" customHeight="1">
      <c r="F13923" s="32"/>
    </row>
    <row r="13924" spans="6:6" ht="12.75" customHeight="1">
      <c r="F13924" s="32"/>
    </row>
    <row r="13925" spans="6:6" ht="12.75" customHeight="1">
      <c r="F13925" s="32"/>
    </row>
    <row r="13926" spans="6:6" ht="12.75" customHeight="1">
      <c r="F13926" s="32"/>
    </row>
    <row r="13927" spans="6:6" ht="12.75" customHeight="1">
      <c r="F13927" s="32"/>
    </row>
    <row r="13928" spans="6:6" ht="12.75" customHeight="1">
      <c r="F13928" s="32"/>
    </row>
    <row r="13929" spans="6:6" ht="12.75" customHeight="1">
      <c r="F13929" s="32"/>
    </row>
    <row r="13930" spans="6:6" ht="12.75" customHeight="1">
      <c r="F13930" s="32"/>
    </row>
    <row r="13931" spans="6:6" ht="12.75" customHeight="1">
      <c r="F13931" s="32"/>
    </row>
    <row r="13932" spans="6:6" ht="12.75" customHeight="1">
      <c r="F13932" s="32"/>
    </row>
    <row r="13933" spans="6:6" ht="12.75" customHeight="1">
      <c r="F13933" s="32"/>
    </row>
    <row r="13934" spans="6:6" ht="12.75" customHeight="1">
      <c r="F13934" s="32"/>
    </row>
    <row r="13935" spans="6:6" ht="12.75" customHeight="1">
      <c r="F13935" s="32"/>
    </row>
    <row r="13936" spans="6:6" ht="12.75" customHeight="1">
      <c r="F13936" s="32"/>
    </row>
    <row r="13937" spans="6:6" ht="12.75" customHeight="1">
      <c r="F13937" s="32"/>
    </row>
    <row r="13938" spans="6:6" ht="12.75" customHeight="1">
      <c r="F13938" s="32"/>
    </row>
    <row r="13939" spans="6:6" ht="12.75" customHeight="1">
      <c r="F13939" s="32"/>
    </row>
    <row r="13940" spans="6:6" ht="12.75" customHeight="1">
      <c r="F13940" s="32"/>
    </row>
    <row r="13941" spans="6:6" ht="12.75" customHeight="1">
      <c r="F13941" s="32"/>
    </row>
    <row r="13942" spans="6:6" ht="12.75" customHeight="1">
      <c r="F13942" s="32"/>
    </row>
    <row r="13943" spans="6:6" ht="12.75" customHeight="1">
      <c r="F13943" s="32"/>
    </row>
    <row r="13944" spans="6:6" ht="12.75" customHeight="1">
      <c r="F13944" s="32"/>
    </row>
    <row r="13945" spans="6:6" ht="12.75" customHeight="1">
      <c r="F13945" s="32"/>
    </row>
    <row r="13946" spans="6:6" ht="12.75" customHeight="1">
      <c r="F13946" s="32"/>
    </row>
    <row r="13947" spans="6:6" ht="12.75" customHeight="1">
      <c r="F13947" s="32"/>
    </row>
    <row r="13948" spans="6:6" ht="12.75" customHeight="1">
      <c r="F13948" s="32"/>
    </row>
    <row r="13949" spans="6:6" ht="12.75" customHeight="1">
      <c r="F13949" s="32"/>
    </row>
    <row r="13950" spans="6:6" ht="12.75" customHeight="1">
      <c r="F13950" s="32"/>
    </row>
    <row r="13951" spans="6:6" ht="12.75" customHeight="1">
      <c r="F13951" s="32"/>
    </row>
    <row r="13952" spans="6:6" ht="12.75" customHeight="1">
      <c r="F13952" s="32"/>
    </row>
    <row r="13953" spans="6:6" ht="12.75" customHeight="1">
      <c r="F13953" s="32"/>
    </row>
    <row r="13954" spans="6:6" ht="12.75" customHeight="1">
      <c r="F13954" s="32"/>
    </row>
    <row r="13955" spans="6:6" ht="12.75" customHeight="1">
      <c r="F13955" s="32"/>
    </row>
    <row r="13956" spans="6:6" ht="12.75" customHeight="1">
      <c r="F13956" s="32"/>
    </row>
    <row r="13957" spans="6:6" ht="12.75" customHeight="1">
      <c r="F13957" s="32"/>
    </row>
    <row r="13958" spans="6:6" ht="12.75" customHeight="1">
      <c r="F13958" s="32"/>
    </row>
    <row r="13959" spans="6:6" ht="12.75" customHeight="1">
      <c r="F13959" s="32"/>
    </row>
    <row r="13960" spans="6:6" ht="12.75" customHeight="1">
      <c r="F13960" s="32"/>
    </row>
    <row r="13961" spans="6:6" ht="12.75" customHeight="1">
      <c r="F13961" s="32"/>
    </row>
    <row r="13962" spans="6:6" ht="12.75" customHeight="1">
      <c r="F13962" s="32"/>
    </row>
    <row r="13963" spans="6:6" ht="12.75" customHeight="1">
      <c r="F13963" s="32"/>
    </row>
    <row r="13964" spans="6:6" ht="12.75" customHeight="1">
      <c r="F13964" s="32"/>
    </row>
    <row r="13965" spans="6:6" ht="12.75" customHeight="1">
      <c r="F13965" s="32"/>
    </row>
    <row r="13966" spans="6:6" ht="12.75" customHeight="1">
      <c r="F13966" s="32"/>
    </row>
    <row r="13967" spans="6:6" ht="12.75" customHeight="1">
      <c r="F13967" s="32"/>
    </row>
    <row r="13968" spans="6:6" ht="12.75" customHeight="1">
      <c r="F13968" s="32"/>
    </row>
    <row r="13969" spans="6:6" ht="12.75" customHeight="1">
      <c r="F13969" s="32"/>
    </row>
    <row r="13970" spans="6:6" ht="12.75" customHeight="1">
      <c r="F13970" s="32"/>
    </row>
    <row r="13971" spans="6:6" ht="12.75" customHeight="1">
      <c r="F13971" s="32"/>
    </row>
    <row r="13972" spans="6:6" ht="12.75" customHeight="1">
      <c r="F13972" s="32"/>
    </row>
    <row r="13973" spans="6:6" ht="12.75" customHeight="1">
      <c r="F13973" s="32"/>
    </row>
    <row r="13974" spans="6:6" ht="12.75" customHeight="1">
      <c r="F13974" s="32"/>
    </row>
    <row r="13975" spans="6:6" ht="12.75" customHeight="1">
      <c r="F13975" s="32"/>
    </row>
    <row r="13976" spans="6:6" ht="12.75" customHeight="1">
      <c r="F13976" s="32"/>
    </row>
    <row r="13977" spans="6:6" ht="12.75" customHeight="1">
      <c r="F13977" s="32"/>
    </row>
    <row r="13978" spans="6:6" ht="12.75" customHeight="1">
      <c r="F13978" s="32"/>
    </row>
    <row r="13979" spans="6:6" ht="12.75" customHeight="1">
      <c r="F13979" s="32"/>
    </row>
    <row r="13980" spans="6:6" ht="12.75" customHeight="1">
      <c r="F13980" s="32"/>
    </row>
    <row r="13981" spans="6:6" ht="12.75" customHeight="1">
      <c r="F13981" s="32"/>
    </row>
    <row r="13982" spans="6:6" ht="12.75" customHeight="1">
      <c r="F13982" s="32"/>
    </row>
    <row r="13983" spans="6:6" ht="12.75" customHeight="1">
      <c r="F13983" s="32"/>
    </row>
    <row r="13984" spans="6:6" ht="12.75" customHeight="1">
      <c r="F13984" s="32"/>
    </row>
    <row r="13985" spans="6:6" ht="12.75" customHeight="1">
      <c r="F13985" s="32"/>
    </row>
    <row r="13986" spans="6:6" ht="12.75" customHeight="1">
      <c r="F13986" s="32"/>
    </row>
    <row r="13987" spans="6:6" ht="12.75" customHeight="1">
      <c r="F13987" s="32"/>
    </row>
    <row r="13988" spans="6:6" ht="12.75" customHeight="1">
      <c r="F13988" s="32"/>
    </row>
    <row r="13989" spans="6:6" ht="12.75" customHeight="1">
      <c r="F13989" s="32"/>
    </row>
    <row r="13990" spans="6:6" ht="12.75" customHeight="1">
      <c r="F13990" s="32"/>
    </row>
    <row r="13991" spans="6:6" ht="12.75" customHeight="1">
      <c r="F13991" s="32"/>
    </row>
    <row r="13992" spans="6:6" ht="12.75" customHeight="1">
      <c r="F13992" s="32"/>
    </row>
    <row r="13993" spans="6:6" ht="12.75" customHeight="1">
      <c r="F13993" s="32"/>
    </row>
    <row r="13994" spans="6:6" ht="12.75" customHeight="1">
      <c r="F13994" s="32"/>
    </row>
    <row r="13995" spans="6:6" ht="12.75" customHeight="1">
      <c r="F13995" s="32"/>
    </row>
    <row r="13996" spans="6:6" ht="12.75" customHeight="1">
      <c r="F13996" s="32"/>
    </row>
    <row r="13997" spans="6:6" ht="12.75" customHeight="1">
      <c r="F13997" s="32"/>
    </row>
    <row r="13998" spans="6:6" ht="12.75" customHeight="1">
      <c r="F13998" s="32"/>
    </row>
    <row r="13999" spans="6:6" ht="12.75" customHeight="1">
      <c r="F13999" s="32"/>
    </row>
    <row r="14000" spans="6:6" ht="12.75" customHeight="1">
      <c r="F14000" s="32"/>
    </row>
    <row r="14001" spans="6:6" ht="12.75" customHeight="1">
      <c r="F14001" s="32"/>
    </row>
    <row r="14002" spans="6:6" ht="12.75" customHeight="1">
      <c r="F14002" s="32"/>
    </row>
    <row r="14003" spans="6:6" ht="12.75" customHeight="1">
      <c r="F14003" s="32"/>
    </row>
    <row r="14004" spans="6:6" ht="12.75" customHeight="1">
      <c r="F14004" s="32"/>
    </row>
    <row r="14005" spans="6:6" ht="12.75" customHeight="1">
      <c r="F14005" s="32"/>
    </row>
    <row r="14006" spans="6:6" ht="12.75" customHeight="1">
      <c r="F14006" s="32"/>
    </row>
    <row r="14007" spans="6:6" ht="12.75" customHeight="1">
      <c r="F14007" s="32"/>
    </row>
    <row r="14008" spans="6:6" ht="12.75" customHeight="1">
      <c r="F14008" s="32"/>
    </row>
    <row r="14009" spans="6:6" ht="12.75" customHeight="1">
      <c r="F14009" s="32"/>
    </row>
    <row r="14010" spans="6:6" ht="12.75" customHeight="1">
      <c r="F14010" s="32"/>
    </row>
    <row r="14011" spans="6:6" ht="12.75" customHeight="1">
      <c r="F14011" s="32"/>
    </row>
    <row r="14012" spans="6:6" ht="12.75" customHeight="1">
      <c r="F14012" s="32"/>
    </row>
    <row r="14013" spans="6:6" ht="12.75" customHeight="1">
      <c r="F14013" s="32"/>
    </row>
    <row r="14014" spans="6:6" ht="12.75" customHeight="1">
      <c r="F14014" s="32"/>
    </row>
    <row r="14015" spans="6:6" ht="12.75" customHeight="1">
      <c r="F14015" s="32"/>
    </row>
    <row r="14016" spans="6:6" ht="12.75" customHeight="1">
      <c r="F14016" s="32"/>
    </row>
    <row r="14017" spans="6:6" ht="12.75" customHeight="1">
      <c r="F14017" s="32"/>
    </row>
    <row r="14018" spans="6:6" ht="12.75" customHeight="1">
      <c r="F14018" s="32"/>
    </row>
    <row r="14019" spans="6:6" ht="12.75" customHeight="1">
      <c r="F14019" s="32"/>
    </row>
    <row r="14020" spans="6:6" ht="12.75" customHeight="1">
      <c r="F14020" s="32"/>
    </row>
    <row r="14021" spans="6:6" ht="12.75" customHeight="1">
      <c r="F14021" s="32"/>
    </row>
    <row r="14022" spans="6:6" ht="12.75" customHeight="1">
      <c r="F14022" s="32"/>
    </row>
    <row r="14023" spans="6:6" ht="12.75" customHeight="1">
      <c r="F14023" s="32"/>
    </row>
    <row r="14024" spans="6:6" ht="12.75" customHeight="1">
      <c r="F14024" s="32"/>
    </row>
    <row r="14025" spans="6:6" ht="12.75" customHeight="1">
      <c r="F14025" s="32"/>
    </row>
    <row r="14026" spans="6:6" ht="12.75" customHeight="1">
      <c r="F14026" s="32"/>
    </row>
    <row r="14027" spans="6:6" ht="12.75" customHeight="1">
      <c r="F14027" s="32"/>
    </row>
    <row r="14028" spans="6:6" ht="12.75" customHeight="1">
      <c r="F14028" s="32"/>
    </row>
    <row r="14029" spans="6:6" ht="12.75" customHeight="1">
      <c r="F14029" s="32"/>
    </row>
    <row r="14030" spans="6:6" ht="12.75" customHeight="1">
      <c r="F14030" s="32"/>
    </row>
    <row r="14031" spans="6:6" ht="12.75" customHeight="1">
      <c r="F14031" s="32"/>
    </row>
    <row r="14032" spans="6:6" ht="12.75" customHeight="1">
      <c r="F14032" s="32"/>
    </row>
    <row r="14033" spans="6:6" ht="12.75" customHeight="1">
      <c r="F14033" s="32"/>
    </row>
    <row r="14034" spans="6:6" ht="12.75" customHeight="1">
      <c r="F14034" s="32"/>
    </row>
    <row r="14035" spans="6:6" ht="12.75" customHeight="1">
      <c r="F14035" s="32"/>
    </row>
    <row r="14036" spans="6:6" ht="12.75" customHeight="1">
      <c r="F14036" s="32"/>
    </row>
    <row r="14037" spans="6:6" ht="12.75" customHeight="1">
      <c r="F14037" s="32"/>
    </row>
    <row r="14038" spans="6:6" ht="12.75" customHeight="1">
      <c r="F14038" s="32"/>
    </row>
    <row r="14039" spans="6:6" ht="12.75" customHeight="1">
      <c r="F14039" s="32"/>
    </row>
    <row r="14040" spans="6:6" ht="12.75" customHeight="1">
      <c r="F14040" s="32"/>
    </row>
    <row r="14041" spans="6:6" ht="12.75" customHeight="1">
      <c r="F14041" s="32"/>
    </row>
    <row r="14042" spans="6:6" ht="12.75" customHeight="1">
      <c r="F14042" s="32"/>
    </row>
    <row r="14043" spans="6:6" ht="12.75" customHeight="1">
      <c r="F14043" s="32"/>
    </row>
    <row r="14044" spans="6:6" ht="12.75" customHeight="1">
      <c r="F14044" s="32"/>
    </row>
    <row r="14045" spans="6:6" ht="12.75" customHeight="1">
      <c r="F14045" s="32"/>
    </row>
    <row r="14046" spans="6:6" ht="12.75" customHeight="1">
      <c r="F14046" s="32"/>
    </row>
    <row r="14047" spans="6:6" ht="12.75" customHeight="1">
      <c r="F14047" s="32"/>
    </row>
    <row r="14048" spans="6:6" ht="12.75" customHeight="1">
      <c r="F14048" s="32"/>
    </row>
    <row r="14049" spans="6:6" ht="12.75" customHeight="1">
      <c r="F14049" s="32"/>
    </row>
    <row r="14050" spans="6:6" ht="12.75" customHeight="1">
      <c r="F14050" s="32"/>
    </row>
    <row r="14051" spans="6:6" ht="12.75" customHeight="1">
      <c r="F14051" s="32"/>
    </row>
    <row r="14052" spans="6:6" ht="12.75" customHeight="1">
      <c r="F14052" s="32"/>
    </row>
    <row r="14053" spans="6:6" ht="12.75" customHeight="1">
      <c r="F14053" s="32"/>
    </row>
    <row r="14054" spans="6:6" ht="12.75" customHeight="1">
      <c r="F14054" s="32"/>
    </row>
    <row r="14055" spans="6:6" ht="12.75" customHeight="1">
      <c r="F14055" s="32"/>
    </row>
    <row r="14056" spans="6:6" ht="12.75" customHeight="1">
      <c r="F14056" s="32"/>
    </row>
    <row r="14057" spans="6:6" ht="12.75" customHeight="1">
      <c r="F14057" s="32"/>
    </row>
    <row r="14058" spans="6:6" ht="12.75" customHeight="1">
      <c r="F14058" s="32"/>
    </row>
    <row r="14059" spans="6:6" ht="12.75" customHeight="1">
      <c r="F14059" s="32"/>
    </row>
    <row r="14060" spans="6:6" ht="12.75" customHeight="1">
      <c r="F14060" s="32"/>
    </row>
    <row r="14061" spans="6:6" ht="12.75" customHeight="1">
      <c r="F14061" s="32"/>
    </row>
    <row r="14062" spans="6:6" ht="12.75" customHeight="1">
      <c r="F14062" s="32"/>
    </row>
    <row r="14063" spans="6:6" ht="12.75" customHeight="1">
      <c r="F14063" s="32"/>
    </row>
    <row r="14064" spans="6:6" ht="12.75" customHeight="1">
      <c r="F14064" s="32"/>
    </row>
    <row r="14065" spans="6:6" ht="12.75" customHeight="1">
      <c r="F14065" s="32"/>
    </row>
    <row r="14066" spans="6:6" ht="12.75" customHeight="1">
      <c r="F14066" s="32"/>
    </row>
    <row r="14067" spans="6:6" ht="12.75" customHeight="1">
      <c r="F14067" s="32"/>
    </row>
    <row r="14068" spans="6:6" ht="12.75" customHeight="1">
      <c r="F14068" s="32"/>
    </row>
    <row r="14069" spans="6:6" ht="12.75" customHeight="1">
      <c r="F14069" s="32"/>
    </row>
    <row r="14070" spans="6:6" ht="12.75" customHeight="1">
      <c r="F14070" s="32"/>
    </row>
    <row r="14071" spans="6:6" ht="12.75" customHeight="1">
      <c r="F14071" s="32"/>
    </row>
    <row r="14072" spans="6:6" ht="12.75" customHeight="1">
      <c r="F14072" s="32"/>
    </row>
    <row r="14073" spans="6:6" ht="12.75" customHeight="1">
      <c r="F14073" s="32"/>
    </row>
    <row r="14074" spans="6:6" ht="12.75" customHeight="1">
      <c r="F14074" s="32"/>
    </row>
    <row r="14075" spans="6:6" ht="12.75" customHeight="1">
      <c r="F14075" s="32"/>
    </row>
    <row r="14076" spans="6:6" ht="12.75" customHeight="1">
      <c r="F14076" s="32"/>
    </row>
    <row r="14077" spans="6:6" ht="12.75" customHeight="1">
      <c r="F14077" s="32"/>
    </row>
    <row r="14078" spans="6:6" ht="12.75" customHeight="1">
      <c r="F14078" s="32"/>
    </row>
    <row r="14079" spans="6:6" ht="12.75" customHeight="1">
      <c r="F14079" s="32"/>
    </row>
    <row r="14080" spans="6:6" ht="12.75" customHeight="1">
      <c r="F14080" s="32"/>
    </row>
    <row r="14081" spans="6:6" ht="12.75" customHeight="1">
      <c r="F14081" s="32"/>
    </row>
    <row r="14082" spans="6:6" ht="12.75" customHeight="1">
      <c r="F14082" s="32"/>
    </row>
    <row r="14083" spans="6:6" ht="12.75" customHeight="1">
      <c r="F14083" s="32"/>
    </row>
    <row r="14084" spans="6:6" ht="12.75" customHeight="1">
      <c r="F14084" s="32"/>
    </row>
    <row r="14085" spans="6:6" ht="12.75" customHeight="1">
      <c r="F14085" s="32"/>
    </row>
    <row r="14086" spans="6:6" ht="12.75" customHeight="1">
      <c r="F14086" s="32"/>
    </row>
    <row r="14087" spans="6:6" ht="12.75" customHeight="1">
      <c r="F14087" s="32"/>
    </row>
    <row r="14088" spans="6:6" ht="12.75" customHeight="1">
      <c r="F14088" s="32"/>
    </row>
    <row r="14089" spans="6:6" ht="12.75" customHeight="1">
      <c r="F14089" s="32"/>
    </row>
    <row r="14090" spans="6:6" ht="12.75" customHeight="1">
      <c r="F14090" s="32"/>
    </row>
    <row r="14091" spans="6:6" ht="12.75" customHeight="1">
      <c r="F14091" s="32"/>
    </row>
    <row r="14092" spans="6:6" ht="12.75" customHeight="1">
      <c r="F14092" s="32"/>
    </row>
    <row r="14093" spans="6:6" ht="12.75" customHeight="1">
      <c r="F14093" s="32"/>
    </row>
    <row r="14094" spans="6:6" ht="12.75" customHeight="1">
      <c r="F14094" s="32"/>
    </row>
    <row r="14095" spans="6:6" ht="12.75" customHeight="1">
      <c r="F14095" s="32"/>
    </row>
    <row r="14096" spans="6:6" ht="12.75" customHeight="1">
      <c r="F14096" s="32"/>
    </row>
    <row r="14097" spans="6:6" ht="12.75" customHeight="1">
      <c r="F14097" s="32"/>
    </row>
    <row r="14098" spans="6:6" ht="12.75" customHeight="1">
      <c r="F14098" s="32"/>
    </row>
    <row r="14099" spans="6:6" ht="12.75" customHeight="1">
      <c r="F14099" s="32"/>
    </row>
  </sheetData>
  <autoFilter ref="A1:E1738" xr:uid="{00000000-0009-0000-0000-000003000000}"/>
  <dataConsolidate/>
  <customSheetViews>
    <customSheetView guid="{CFC4CAFC-BC4C-4F46-9B82-13449557B064}" showGridLines="0" outlineSymbols="0" showAutoFilter="1">
      <selection activeCell="D2" sqref="D2"/>
      <pageMargins left="0.2361111111111111" right="0.19722222222222222" top="0.19722222222222222" bottom="0.19722222222222222" header="0" footer="0"/>
      <pageSetup paperSize="9" fitToWidth="0" fitToHeight="0" orientation="portrait" r:id="rId1"/>
      <headerFooter alignWithMargins="0"/>
      <autoFilter ref="A1:L3339" xr:uid="{00000000-0000-0000-0000-000000000000}"/>
    </customSheetView>
    <customSheetView guid="{0DCF9168-36D2-4781-A6C3-DB2E129ADDEB}" showGridLines="0" outlineSymbols="0" filter="1" showAutoFilter="1" showRuler="0">
      <selection activeCell="G1643" sqref="G1643"/>
      <pageMargins left="0.2361111111111111" right="0.19722222222222222" top="0.19722222222222222" bottom="0.19722222222222222" header="0" footer="0"/>
      <pageSetup paperSize="9" fitToWidth="0" fitToHeight="0" orientation="portrait" r:id="rId2"/>
      <headerFooter alignWithMargins="0"/>
      <autoFilter ref="B1:K1" xr:uid="{00000000-0000-0000-0000-000000000000}">
        <filterColumn colId="4">
          <filters>
            <filter val="GRL2"/>
          </filters>
        </filterColumn>
      </autoFilter>
    </customSheetView>
    <customSheetView guid="{8159545F-1D15-48BC-B10A-2F5C280D069A}" showGridLines="0" outlineSymbols="0" showAutoFilter="1">
      <selection activeCell="D2" sqref="D2"/>
      <pageMargins left="0.2361111111111111" right="0.19722222222222222" top="0.19722222222222222" bottom="0.19722222222222222" header="0" footer="0"/>
      <pageSetup paperSize="9" fitToWidth="0" fitToHeight="0" orientation="portrait" r:id="rId3"/>
      <headerFooter alignWithMargins="0"/>
      <autoFilter ref="A1:L3339" xr:uid="{00000000-0000-0000-0000-000000000000}"/>
    </customSheetView>
  </customSheetViews>
  <phoneticPr fontId="8" type="noConversion"/>
  <pageMargins left="0.2361111111111111" right="0.19722222222222222" top="0.19722222222222222" bottom="0.19722222222222222" header="0" footer="0"/>
  <pageSetup paperSize="9" fitToWidth="0" fitToHeight="0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6"/>
  <dimension ref="A1:J433"/>
  <sheetViews>
    <sheetView topLeftCell="A119" workbookViewId="0">
      <selection activeCell="B161" sqref="B161"/>
    </sheetView>
  </sheetViews>
  <sheetFormatPr defaultRowHeight="13.2"/>
  <cols>
    <col min="2" max="2" width="47.109375" bestFit="1" customWidth="1"/>
    <col min="3" max="3" width="16.44140625" customWidth="1"/>
    <col min="5" max="5" width="10.44140625" customWidth="1"/>
    <col min="8" max="8" width="12.44140625" customWidth="1"/>
    <col min="11" max="11" width="13.88671875" customWidth="1"/>
  </cols>
  <sheetData>
    <row r="1" spans="1:3">
      <c r="A1" s="10" t="s">
        <v>1257</v>
      </c>
      <c r="B1" s="10" t="s">
        <v>929</v>
      </c>
    </row>
    <row r="2" spans="1:3">
      <c r="A2" s="11">
        <v>1</v>
      </c>
      <c r="B2" s="16" t="s">
        <v>1637</v>
      </c>
      <c r="C2" s="16" t="s">
        <v>1637</v>
      </c>
    </row>
    <row r="3" spans="1:3">
      <c r="A3" s="11">
        <v>2</v>
      </c>
      <c r="B3" s="16" t="s">
        <v>1637</v>
      </c>
      <c r="C3" s="16" t="s">
        <v>1637</v>
      </c>
    </row>
    <row r="4" spans="1:3">
      <c r="A4" s="11">
        <v>3</v>
      </c>
      <c r="B4" s="15" t="s">
        <v>1860</v>
      </c>
      <c r="C4" s="16" t="s">
        <v>739</v>
      </c>
    </row>
    <row r="5" spans="1:3">
      <c r="A5" s="11">
        <v>4</v>
      </c>
      <c r="B5" s="15" t="s">
        <v>1860</v>
      </c>
      <c r="C5" s="16" t="s">
        <v>739</v>
      </c>
    </row>
    <row r="6" spans="1:3">
      <c r="A6" s="11" t="s">
        <v>655</v>
      </c>
      <c r="B6" s="12" t="s">
        <v>1638</v>
      </c>
      <c r="C6" s="12" t="s">
        <v>2015</v>
      </c>
    </row>
    <row r="7" spans="1:3">
      <c r="A7" s="11" t="s">
        <v>809</v>
      </c>
      <c r="B7" s="12" t="s">
        <v>1639</v>
      </c>
      <c r="C7" s="12" t="s">
        <v>2015</v>
      </c>
    </row>
    <row r="8" spans="1:3">
      <c r="A8" s="11" t="s">
        <v>1367</v>
      </c>
      <c r="B8" s="12" t="s">
        <v>1640</v>
      </c>
      <c r="C8" s="12" t="s">
        <v>2015</v>
      </c>
    </row>
    <row r="9" spans="1:3">
      <c r="A9" s="13" t="s">
        <v>1190</v>
      </c>
      <c r="B9" s="14" t="s">
        <v>1847</v>
      </c>
      <c r="C9" s="14" t="s">
        <v>1594</v>
      </c>
    </row>
    <row r="10" spans="1:3">
      <c r="A10" s="13" t="s">
        <v>1191</v>
      </c>
      <c r="B10" s="14" t="s">
        <v>1847</v>
      </c>
      <c r="C10" s="14" t="s">
        <v>1594</v>
      </c>
    </row>
    <row r="11" spans="1:3" ht="20.25" customHeight="1">
      <c r="A11" s="13" t="s">
        <v>1189</v>
      </c>
      <c r="B11" s="14" t="s">
        <v>1847</v>
      </c>
      <c r="C11" s="14" t="s">
        <v>1594</v>
      </c>
    </row>
    <row r="12" spans="1:3">
      <c r="A12" s="13" t="s">
        <v>1596</v>
      </c>
      <c r="B12" s="14"/>
      <c r="C12" s="16" t="s">
        <v>1594</v>
      </c>
    </row>
    <row r="13" spans="1:3">
      <c r="A13" s="13" t="s">
        <v>1866</v>
      </c>
      <c r="B13" s="14"/>
      <c r="C13" s="16" t="s">
        <v>1594</v>
      </c>
    </row>
    <row r="14" spans="1:3">
      <c r="A14" s="13" t="s">
        <v>1867</v>
      </c>
      <c r="B14" s="14"/>
      <c r="C14" s="16" t="s">
        <v>1594</v>
      </c>
    </row>
    <row r="15" spans="1:3">
      <c r="A15" s="13" t="s">
        <v>1597</v>
      </c>
      <c r="B15" s="14"/>
      <c r="C15" s="16" t="s">
        <v>1594</v>
      </c>
    </row>
    <row r="16" spans="1:3">
      <c r="A16" s="13" t="s">
        <v>1868</v>
      </c>
      <c r="B16" s="14"/>
      <c r="C16" s="16" t="s">
        <v>1594</v>
      </c>
    </row>
    <row r="17" spans="1:3">
      <c r="A17" s="13" t="s">
        <v>1595</v>
      </c>
      <c r="B17" s="14"/>
      <c r="C17" s="16" t="s">
        <v>1594</v>
      </c>
    </row>
    <row r="18" spans="1:3">
      <c r="A18" s="13" t="s">
        <v>1612</v>
      </c>
      <c r="B18" s="14"/>
      <c r="C18" s="16" t="s">
        <v>1594</v>
      </c>
    </row>
    <row r="19" spans="1:3">
      <c r="A19" s="13" t="s">
        <v>1869</v>
      </c>
      <c r="B19" s="16" t="s">
        <v>1998</v>
      </c>
      <c r="C19" s="16" t="s">
        <v>1998</v>
      </c>
    </row>
    <row r="20" spans="1:3">
      <c r="A20" s="13" t="s">
        <v>1870</v>
      </c>
      <c r="B20" s="14" t="s">
        <v>1997</v>
      </c>
      <c r="C20" s="16" t="s">
        <v>1997</v>
      </c>
    </row>
    <row r="21" spans="1:3">
      <c r="A21" s="13" t="s">
        <v>1621</v>
      </c>
      <c r="B21" s="14" t="s">
        <v>1846</v>
      </c>
      <c r="C21" s="14" t="s">
        <v>1594</v>
      </c>
    </row>
    <row r="22" spans="1:3">
      <c r="A22" s="11" t="s">
        <v>1437</v>
      </c>
      <c r="B22" s="12" t="s">
        <v>1641</v>
      </c>
      <c r="C22" s="12" t="s">
        <v>2015</v>
      </c>
    </row>
    <row r="23" spans="1:3">
      <c r="A23" s="11" t="s">
        <v>1263</v>
      </c>
      <c r="B23" s="12" t="s">
        <v>1642</v>
      </c>
      <c r="C23" s="12" t="s">
        <v>2015</v>
      </c>
    </row>
    <row r="24" spans="1:3">
      <c r="A24" s="11" t="s">
        <v>808</v>
      </c>
      <c r="B24" s="12" t="s">
        <v>1643</v>
      </c>
      <c r="C24" s="12" t="s">
        <v>2015</v>
      </c>
    </row>
    <row r="25" spans="1:3">
      <c r="A25" s="11" t="s">
        <v>1453</v>
      </c>
      <c r="B25" s="12" t="s">
        <v>1644</v>
      </c>
      <c r="C25" s="12" t="s">
        <v>2015</v>
      </c>
    </row>
    <row r="26" spans="1:3">
      <c r="A26" s="11" t="s">
        <v>810</v>
      </c>
      <c r="B26" s="12" t="s">
        <v>1645</v>
      </c>
      <c r="C26" s="12" t="s">
        <v>2015</v>
      </c>
    </row>
    <row r="27" spans="1:3">
      <c r="A27" s="11" t="s">
        <v>969</v>
      </c>
      <c r="B27" s="12" t="s">
        <v>1646</v>
      </c>
      <c r="C27" s="12" t="s">
        <v>2015</v>
      </c>
    </row>
    <row r="28" spans="1:3">
      <c r="A28" s="11" t="s">
        <v>1319</v>
      </c>
      <c r="B28" s="12" t="s">
        <v>1647</v>
      </c>
      <c r="C28" s="12" t="s">
        <v>2015</v>
      </c>
    </row>
    <row r="29" spans="1:3">
      <c r="A29" s="11" t="s">
        <v>1613</v>
      </c>
      <c r="B29" s="12" t="s">
        <v>1648</v>
      </c>
      <c r="C29" s="12" t="s">
        <v>2015</v>
      </c>
    </row>
    <row r="30" spans="1:3">
      <c r="A30" s="11" t="s">
        <v>1181</v>
      </c>
      <c r="B30" s="12" t="s">
        <v>1649</v>
      </c>
      <c r="C30" s="12" t="s">
        <v>2015</v>
      </c>
    </row>
    <row r="31" spans="1:3">
      <c r="A31" s="11" t="s">
        <v>1180</v>
      </c>
      <c r="B31" s="12" t="s">
        <v>1650</v>
      </c>
      <c r="C31" s="12" t="s">
        <v>2015</v>
      </c>
    </row>
    <row r="32" spans="1:3">
      <c r="A32" s="11" t="s">
        <v>146</v>
      </c>
      <c r="B32" s="12" t="s">
        <v>1651</v>
      </c>
      <c r="C32" s="12" t="s">
        <v>2015</v>
      </c>
    </row>
    <row r="33" spans="1:3">
      <c r="A33" s="11" t="s">
        <v>1614</v>
      </c>
      <c r="B33" s="12" t="s">
        <v>1652</v>
      </c>
      <c r="C33" s="12" t="s">
        <v>2015</v>
      </c>
    </row>
    <row r="34" spans="1:3">
      <c r="A34" s="11" t="s">
        <v>1615</v>
      </c>
      <c r="B34" s="12" t="s">
        <v>1653</v>
      </c>
      <c r="C34" s="12" t="s">
        <v>2015</v>
      </c>
    </row>
    <row r="35" spans="1:3">
      <c r="A35" s="11" t="s">
        <v>413</v>
      </c>
      <c r="B35" s="12" t="s">
        <v>1654</v>
      </c>
      <c r="C35" s="12" t="s">
        <v>2015</v>
      </c>
    </row>
    <row r="36" spans="1:3">
      <c r="A36" s="11" t="s">
        <v>882</v>
      </c>
      <c r="B36" s="12" t="s">
        <v>1655</v>
      </c>
      <c r="C36" s="12" t="s">
        <v>742</v>
      </c>
    </row>
    <row r="37" spans="1:3">
      <c r="A37" s="13" t="s">
        <v>1609</v>
      </c>
      <c r="B37" s="14" t="s">
        <v>1627</v>
      </c>
      <c r="C37" s="14" t="s">
        <v>450</v>
      </c>
    </row>
    <row r="38" spans="1:3">
      <c r="A38" s="13" t="s">
        <v>1200</v>
      </c>
      <c r="B38" s="14" t="s">
        <v>1636</v>
      </c>
      <c r="C38" s="16" t="s">
        <v>450</v>
      </c>
    </row>
    <row r="39" spans="1:3">
      <c r="A39" s="11" t="s">
        <v>890</v>
      </c>
      <c r="B39" s="12" t="s">
        <v>1616</v>
      </c>
      <c r="C39" s="12" t="s">
        <v>2015</v>
      </c>
    </row>
    <row r="40" spans="1:3">
      <c r="A40" s="11" t="s">
        <v>881</v>
      </c>
      <c r="B40" s="12" t="s">
        <v>1656</v>
      </c>
      <c r="C40" s="12" t="s">
        <v>742</v>
      </c>
    </row>
    <row r="41" spans="1:3">
      <c r="A41" s="11" t="s">
        <v>507</v>
      </c>
      <c r="B41" s="12" t="s">
        <v>1657</v>
      </c>
      <c r="C41" s="12" t="s">
        <v>742</v>
      </c>
    </row>
    <row r="42" spans="1:3">
      <c r="A42" s="11" t="s">
        <v>234</v>
      </c>
      <c r="B42" s="12" t="s">
        <v>1658</v>
      </c>
      <c r="C42" s="12" t="s">
        <v>742</v>
      </c>
    </row>
    <row r="43" spans="1:3">
      <c r="A43" s="11" t="s">
        <v>1039</v>
      </c>
      <c r="B43" s="12" t="s">
        <v>1659</v>
      </c>
      <c r="C43" s="12" t="s">
        <v>742</v>
      </c>
    </row>
    <row r="44" spans="1:3">
      <c r="A44" s="11" t="s">
        <v>1062</v>
      </c>
      <c r="B44" s="12" t="s">
        <v>1660</v>
      </c>
      <c r="C44" s="12" t="s">
        <v>742</v>
      </c>
    </row>
    <row r="45" spans="1:3">
      <c r="A45" s="11" t="s">
        <v>1063</v>
      </c>
      <c r="B45" s="12" t="s">
        <v>1661</v>
      </c>
      <c r="C45" s="12" t="s">
        <v>742</v>
      </c>
    </row>
    <row r="46" spans="1:3">
      <c r="A46" s="11" t="s">
        <v>604</v>
      </c>
      <c r="B46" s="12" t="s">
        <v>1617</v>
      </c>
      <c r="C46" s="12" t="s">
        <v>732</v>
      </c>
    </row>
    <row r="47" spans="1:3">
      <c r="A47" s="11" t="s">
        <v>142</v>
      </c>
      <c r="B47" s="12" t="s">
        <v>1618</v>
      </c>
      <c r="C47" s="12" t="s">
        <v>732</v>
      </c>
    </row>
    <row r="48" spans="1:3">
      <c r="A48" s="11" t="s">
        <v>207</v>
      </c>
      <c r="B48" s="12" t="s">
        <v>1671</v>
      </c>
      <c r="C48" s="12" t="s">
        <v>450</v>
      </c>
    </row>
    <row r="49" spans="1:3">
      <c r="A49" s="11" t="s">
        <v>1352</v>
      </c>
      <c r="B49" s="12" t="s">
        <v>1672</v>
      </c>
      <c r="C49" s="12" t="s">
        <v>450</v>
      </c>
    </row>
    <row r="50" spans="1:3">
      <c r="A50" s="11" t="s">
        <v>933</v>
      </c>
      <c r="B50" s="12" t="s">
        <v>1673</v>
      </c>
      <c r="C50" s="12" t="s">
        <v>450</v>
      </c>
    </row>
    <row r="51" spans="1:3">
      <c r="A51" s="11" t="s">
        <v>1368</v>
      </c>
      <c r="B51" s="12" t="s">
        <v>1674</v>
      </c>
      <c r="C51" s="12" t="s">
        <v>2015</v>
      </c>
    </row>
    <row r="52" spans="1:3">
      <c r="A52" s="11" t="s">
        <v>511</v>
      </c>
      <c r="B52" s="12" t="s">
        <v>1662</v>
      </c>
      <c r="C52" s="12" t="s">
        <v>450</v>
      </c>
    </row>
    <row r="53" spans="1:3">
      <c r="A53" s="11" t="s">
        <v>512</v>
      </c>
      <c r="B53" s="12" t="s">
        <v>1663</v>
      </c>
      <c r="C53" s="12" t="s">
        <v>450</v>
      </c>
    </row>
    <row r="54" spans="1:3">
      <c r="A54" s="11" t="s">
        <v>513</v>
      </c>
      <c r="B54" s="12" t="s">
        <v>1664</v>
      </c>
      <c r="C54" s="12" t="s">
        <v>450</v>
      </c>
    </row>
    <row r="55" spans="1:3">
      <c r="A55" s="11" t="s">
        <v>514</v>
      </c>
      <c r="B55" s="12" t="s">
        <v>1665</v>
      </c>
      <c r="C55" s="12" t="s">
        <v>450</v>
      </c>
    </row>
    <row r="56" spans="1:3">
      <c r="A56" s="11" t="s">
        <v>515</v>
      </c>
      <c r="B56" s="12" t="s">
        <v>1666</v>
      </c>
      <c r="C56" s="12" t="s">
        <v>450</v>
      </c>
    </row>
    <row r="57" spans="1:3">
      <c r="A57" s="11" t="s">
        <v>516</v>
      </c>
      <c r="B57" s="12" t="s">
        <v>1667</v>
      </c>
      <c r="C57" s="12" t="s">
        <v>450</v>
      </c>
    </row>
    <row r="58" spans="1:3">
      <c r="A58" s="11" t="s">
        <v>517</v>
      </c>
      <c r="B58" s="12" t="s">
        <v>1668</v>
      </c>
      <c r="C58" s="12" t="s">
        <v>450</v>
      </c>
    </row>
    <row r="59" spans="1:3">
      <c r="A59" s="11" t="s">
        <v>518</v>
      </c>
      <c r="B59" s="12" t="s">
        <v>1669</v>
      </c>
      <c r="C59" s="12" t="s">
        <v>450</v>
      </c>
    </row>
    <row r="60" spans="1:3">
      <c r="A60" s="11" t="s">
        <v>1603</v>
      </c>
      <c r="B60" s="12" t="s">
        <v>1670</v>
      </c>
      <c r="C60" s="12" t="s">
        <v>450</v>
      </c>
    </row>
    <row r="61" spans="1:3">
      <c r="A61" s="11" t="s">
        <v>2087</v>
      </c>
      <c r="B61" s="12" t="s">
        <v>2088</v>
      </c>
      <c r="C61" s="12" t="s">
        <v>450</v>
      </c>
    </row>
    <row r="62" spans="1:3">
      <c r="A62" s="13" t="s">
        <v>1199</v>
      </c>
      <c r="B62" s="14" t="s">
        <v>1853</v>
      </c>
      <c r="C62" s="14" t="s">
        <v>450</v>
      </c>
    </row>
    <row r="63" spans="1:3">
      <c r="A63" s="13" t="s">
        <v>2025</v>
      </c>
      <c r="B63" s="14" t="s">
        <v>2026</v>
      </c>
      <c r="C63" s="14" t="s">
        <v>2027</v>
      </c>
    </row>
    <row r="64" spans="1:3">
      <c r="A64" s="13" t="s">
        <v>2012</v>
      </c>
      <c r="B64" s="14" t="s">
        <v>2013</v>
      </c>
      <c r="C64" s="14" t="s">
        <v>450</v>
      </c>
    </row>
    <row r="65" spans="1:3">
      <c r="A65" s="13" t="s">
        <v>2402</v>
      </c>
      <c r="B65" s="14" t="s">
        <v>2575</v>
      </c>
      <c r="C65" s="14" t="s">
        <v>450</v>
      </c>
    </row>
    <row r="66" spans="1:3">
      <c r="A66" s="13" t="s">
        <v>2573</v>
      </c>
      <c r="B66" s="14" t="s">
        <v>2576</v>
      </c>
      <c r="C66" s="14" t="s">
        <v>450</v>
      </c>
    </row>
    <row r="67" spans="1:3">
      <c r="A67" s="13" t="s">
        <v>2574</v>
      </c>
      <c r="B67" s="14" t="s">
        <v>2577</v>
      </c>
      <c r="C67" s="14" t="s">
        <v>450</v>
      </c>
    </row>
    <row r="68" spans="1:3">
      <c r="A68" s="13" t="s">
        <v>1608</v>
      </c>
      <c r="B68" s="14" t="s">
        <v>1854</v>
      </c>
      <c r="C68" s="14" t="s">
        <v>450</v>
      </c>
    </row>
    <row r="69" spans="1:3">
      <c r="A69" s="11" t="s">
        <v>1619</v>
      </c>
      <c r="B69" s="12" t="s">
        <v>1675</v>
      </c>
      <c r="C69" s="12" t="s">
        <v>2015</v>
      </c>
    </row>
    <row r="70" spans="1:3">
      <c r="A70" s="11" t="s">
        <v>219</v>
      </c>
      <c r="B70" s="12" t="s">
        <v>1676</v>
      </c>
      <c r="C70" s="12" t="s">
        <v>2015</v>
      </c>
    </row>
    <row r="71" spans="1:3">
      <c r="A71" s="11" t="s">
        <v>880</v>
      </c>
      <c r="B71" s="12" t="s">
        <v>1677</v>
      </c>
      <c r="C71" s="12" t="s">
        <v>2015</v>
      </c>
    </row>
    <row r="72" spans="1:3">
      <c r="A72" s="11" t="s">
        <v>681</v>
      </c>
      <c r="B72" s="12" t="s">
        <v>1678</v>
      </c>
      <c r="C72" s="12" t="s">
        <v>2015</v>
      </c>
    </row>
    <row r="73" spans="1:3">
      <c r="A73" s="11" t="s">
        <v>682</v>
      </c>
      <c r="B73" s="12" t="s">
        <v>1679</v>
      </c>
      <c r="C73" s="12" t="s">
        <v>2015</v>
      </c>
    </row>
    <row r="74" spans="1:3">
      <c r="A74" s="11" t="s">
        <v>2580</v>
      </c>
      <c r="B74" s="12" t="s">
        <v>2582</v>
      </c>
      <c r="C74" s="12" t="s">
        <v>2015</v>
      </c>
    </row>
    <row r="75" spans="1:3">
      <c r="A75" s="11" t="s">
        <v>2059</v>
      </c>
      <c r="B75" s="12" t="s">
        <v>2060</v>
      </c>
      <c r="C75" s="12" t="s">
        <v>2015</v>
      </c>
    </row>
    <row r="76" spans="1:3">
      <c r="A76" s="11" t="s">
        <v>2061</v>
      </c>
      <c r="B76" s="12" t="s">
        <v>2062</v>
      </c>
      <c r="C76" s="12" t="s">
        <v>2015</v>
      </c>
    </row>
    <row r="77" spans="1:3">
      <c r="A77" s="11" t="s">
        <v>2058</v>
      </c>
      <c r="B77" s="12" t="s">
        <v>2063</v>
      </c>
      <c r="C77" s="12" t="s">
        <v>2015</v>
      </c>
    </row>
    <row r="78" spans="1:3">
      <c r="A78" s="11" t="s">
        <v>2130</v>
      </c>
      <c r="B78" s="12" t="s">
        <v>2131</v>
      </c>
      <c r="C78" s="12" t="s">
        <v>2015</v>
      </c>
    </row>
    <row r="79" spans="1:3">
      <c r="A79" s="11" t="s">
        <v>2091</v>
      </c>
      <c r="B79" s="12" t="s">
        <v>2092</v>
      </c>
      <c r="C79" s="12" t="s">
        <v>1435</v>
      </c>
    </row>
    <row r="80" spans="1:3">
      <c r="A80" s="11" t="s">
        <v>2152</v>
      </c>
      <c r="B80" s="12" t="s">
        <v>2092</v>
      </c>
      <c r="C80" s="12" t="s">
        <v>1435</v>
      </c>
    </row>
    <row r="81" spans="1:3">
      <c r="A81" s="11" t="s">
        <v>2436</v>
      </c>
      <c r="B81" s="12" t="s">
        <v>2092</v>
      </c>
      <c r="C81" s="12" t="s">
        <v>1435</v>
      </c>
    </row>
    <row r="82" spans="1:3">
      <c r="A82" s="11" t="s">
        <v>1484</v>
      </c>
      <c r="B82" s="12" t="s">
        <v>1680</v>
      </c>
      <c r="C82" s="12" t="s">
        <v>2015</v>
      </c>
    </row>
    <row r="83" spans="1:3">
      <c r="A83" s="11" t="s">
        <v>1288</v>
      </c>
      <c r="B83" s="12" t="s">
        <v>1681</v>
      </c>
      <c r="C83" s="12" t="s">
        <v>1435</v>
      </c>
    </row>
    <row r="84" spans="1:3">
      <c r="A84" s="11" t="s">
        <v>449</v>
      </c>
      <c r="B84" s="12" t="s">
        <v>1682</v>
      </c>
      <c r="C84" s="12" t="s">
        <v>1435</v>
      </c>
    </row>
    <row r="85" spans="1:3">
      <c r="A85" s="11" t="s">
        <v>974</v>
      </c>
      <c r="B85" s="12" t="s">
        <v>1683</v>
      </c>
      <c r="C85" s="12" t="s">
        <v>1435</v>
      </c>
    </row>
    <row r="86" spans="1:3">
      <c r="A86" s="11" t="s">
        <v>180</v>
      </c>
      <c r="B86" s="12" t="s">
        <v>1684</v>
      </c>
      <c r="C86" s="12" t="s">
        <v>1435</v>
      </c>
    </row>
    <row r="87" spans="1:3">
      <c r="A87" s="13" t="s">
        <v>211</v>
      </c>
      <c r="B87" s="14" t="s">
        <v>1628</v>
      </c>
      <c r="C87" s="14" t="s">
        <v>1435</v>
      </c>
    </row>
    <row r="88" spans="1:3">
      <c r="A88" s="13" t="s">
        <v>2055</v>
      </c>
      <c r="B88" s="14" t="s">
        <v>2056</v>
      </c>
      <c r="C88" s="14" t="s">
        <v>1435</v>
      </c>
    </row>
    <row r="89" spans="1:3">
      <c r="A89" s="11" t="s">
        <v>1201</v>
      </c>
      <c r="B89" s="12" t="s">
        <v>1685</v>
      </c>
      <c r="C89" s="12" t="s">
        <v>1435</v>
      </c>
    </row>
    <row r="90" spans="1:3">
      <c r="A90" s="11" t="s">
        <v>448</v>
      </c>
      <c r="B90" s="12" t="s">
        <v>1686</v>
      </c>
      <c r="C90" s="12" t="s">
        <v>1435</v>
      </c>
    </row>
    <row r="91" spans="1:3">
      <c r="A91" s="11" t="s">
        <v>945</v>
      </c>
      <c r="B91" s="12" t="s">
        <v>1687</v>
      </c>
      <c r="C91" s="12" t="s">
        <v>1435</v>
      </c>
    </row>
    <row r="92" spans="1:3">
      <c r="A92" s="11" t="s">
        <v>2331</v>
      </c>
      <c r="B92" s="12" t="s">
        <v>2286</v>
      </c>
      <c r="C92" s="12" t="s">
        <v>1435</v>
      </c>
    </row>
    <row r="93" spans="1:3">
      <c r="A93" s="11" t="s">
        <v>1289</v>
      </c>
      <c r="B93" s="12" t="s">
        <v>1688</v>
      </c>
      <c r="C93" s="12" t="s">
        <v>1435</v>
      </c>
    </row>
    <row r="94" spans="1:3">
      <c r="A94" s="11" t="s">
        <v>632</v>
      </c>
      <c r="B94" s="12" t="s">
        <v>1689</v>
      </c>
      <c r="C94" s="12" t="s">
        <v>1435</v>
      </c>
    </row>
    <row r="95" spans="1:3">
      <c r="A95" s="11" t="s">
        <v>1258</v>
      </c>
      <c r="B95" s="12" t="s">
        <v>1690</v>
      </c>
      <c r="C95" s="12" t="s">
        <v>1435</v>
      </c>
    </row>
    <row r="96" spans="1:3">
      <c r="A96" s="11" t="s">
        <v>1269</v>
      </c>
      <c r="B96" s="12" t="s">
        <v>1691</v>
      </c>
      <c r="C96" s="12" t="s">
        <v>1435</v>
      </c>
    </row>
    <row r="97" spans="1:3">
      <c r="A97" s="11" t="s">
        <v>975</v>
      </c>
      <c r="B97" s="12" t="s">
        <v>1692</v>
      </c>
      <c r="C97" s="12" t="s">
        <v>1435</v>
      </c>
    </row>
    <row r="98" spans="1:3">
      <c r="A98" s="11" t="s">
        <v>268</v>
      </c>
      <c r="B98" s="12" t="s">
        <v>1693</v>
      </c>
      <c r="C98" s="12" t="s">
        <v>1435</v>
      </c>
    </row>
    <row r="99" spans="1:3">
      <c r="A99" s="11" t="s">
        <v>453</v>
      </c>
      <c r="B99" s="12" t="s">
        <v>1694</v>
      </c>
      <c r="C99" s="12" t="s">
        <v>1435</v>
      </c>
    </row>
    <row r="100" spans="1:3">
      <c r="A100" s="11" t="s">
        <v>593</v>
      </c>
      <c r="B100" s="12" t="s">
        <v>1695</v>
      </c>
      <c r="C100" s="12" t="s">
        <v>1435</v>
      </c>
    </row>
    <row r="101" spans="1:3">
      <c r="A101" s="11" t="s">
        <v>1620</v>
      </c>
      <c r="B101" s="12" t="s">
        <v>1696</v>
      </c>
      <c r="C101" s="12" t="s">
        <v>1435</v>
      </c>
    </row>
    <row r="102" spans="1:3">
      <c r="A102" s="11" t="s">
        <v>2160</v>
      </c>
      <c r="B102" s="12" t="s">
        <v>2284</v>
      </c>
      <c r="C102" s="12" t="s">
        <v>1435</v>
      </c>
    </row>
    <row r="103" spans="1:3">
      <c r="A103" s="11" t="s">
        <v>2161</v>
      </c>
      <c r="B103" s="12" t="s">
        <v>2285</v>
      </c>
      <c r="C103" s="12" t="s">
        <v>1435</v>
      </c>
    </row>
    <row r="104" spans="1:3">
      <c r="A104" s="11" t="s">
        <v>1349</v>
      </c>
      <c r="B104" s="12" t="s">
        <v>1697</v>
      </c>
      <c r="C104" s="12" t="s">
        <v>2015</v>
      </c>
    </row>
    <row r="105" spans="1:3">
      <c r="A105" s="11" t="s">
        <v>1348</v>
      </c>
      <c r="B105" s="12" t="s">
        <v>1698</v>
      </c>
      <c r="C105" s="12" t="s">
        <v>2015</v>
      </c>
    </row>
    <row r="106" spans="1:3">
      <c r="A106" s="11" t="s">
        <v>2020</v>
      </c>
      <c r="B106" s="12" t="s">
        <v>2021</v>
      </c>
      <c r="C106" s="12" t="s">
        <v>2022</v>
      </c>
    </row>
    <row r="107" spans="1:3">
      <c r="A107" s="11" t="s">
        <v>2023</v>
      </c>
      <c r="B107" s="12" t="s">
        <v>2024</v>
      </c>
      <c r="C107" s="12" t="s">
        <v>2022</v>
      </c>
    </row>
    <row r="108" spans="1:3">
      <c r="A108" s="13" t="s">
        <v>439</v>
      </c>
      <c r="B108" s="14" t="s">
        <v>1855</v>
      </c>
      <c r="C108" s="14" t="s">
        <v>1435</v>
      </c>
    </row>
    <row r="109" spans="1:3">
      <c r="A109" s="13" t="s">
        <v>440</v>
      </c>
      <c r="B109" s="14" t="s">
        <v>1856</v>
      </c>
      <c r="C109" s="14" t="s">
        <v>1435</v>
      </c>
    </row>
    <row r="110" spans="1:3">
      <c r="A110" s="13" t="s">
        <v>2066</v>
      </c>
      <c r="B110" s="14" t="s">
        <v>2068</v>
      </c>
      <c r="C110" s="12" t="s">
        <v>2015</v>
      </c>
    </row>
    <row r="111" spans="1:3">
      <c r="A111" s="13" t="s">
        <v>2319</v>
      </c>
      <c r="B111" s="14" t="s">
        <v>2321</v>
      </c>
      <c r="C111" s="14" t="s">
        <v>2322</v>
      </c>
    </row>
    <row r="112" spans="1:3">
      <c r="A112" s="13" t="s">
        <v>2069</v>
      </c>
      <c r="B112" s="14" t="s">
        <v>2076</v>
      </c>
      <c r="C112" s="14" t="s">
        <v>2428</v>
      </c>
    </row>
    <row r="113" spans="1:10">
      <c r="A113" s="13" t="s">
        <v>2072</v>
      </c>
      <c r="B113" s="14" t="s">
        <v>2075</v>
      </c>
      <c r="C113" s="14" t="s">
        <v>2428</v>
      </c>
    </row>
    <row r="114" spans="1:10">
      <c r="A114" s="13" t="s">
        <v>2073</v>
      </c>
      <c r="B114" s="14" t="s">
        <v>2074</v>
      </c>
      <c r="C114" s="14" t="s">
        <v>2428</v>
      </c>
    </row>
    <row r="115" spans="1:10">
      <c r="A115" s="13" t="s">
        <v>2086</v>
      </c>
      <c r="B115" s="14" t="s">
        <v>2077</v>
      </c>
      <c r="C115" s="14" t="s">
        <v>2428</v>
      </c>
    </row>
    <row r="116" spans="1:10">
      <c r="A116" s="13" t="s">
        <v>2133</v>
      </c>
      <c r="B116" s="14" t="s">
        <v>2134</v>
      </c>
      <c r="C116" s="14" t="s">
        <v>2560</v>
      </c>
    </row>
    <row r="117" spans="1:10">
      <c r="A117" s="13" t="s">
        <v>2094</v>
      </c>
      <c r="B117" s="14" t="s">
        <v>2104</v>
      </c>
      <c r="C117" s="14" t="s">
        <v>739</v>
      </c>
    </row>
    <row r="118" spans="1:10">
      <c r="A118" s="13" t="s">
        <v>594</v>
      </c>
      <c r="B118" s="14" t="s">
        <v>2430</v>
      </c>
      <c r="C118" s="14" t="s">
        <v>2429</v>
      </c>
    </row>
    <row r="119" spans="1:10">
      <c r="A119" s="13"/>
      <c r="B119" s="14" t="s">
        <v>2430</v>
      </c>
      <c r="C119" s="14" t="s">
        <v>2429</v>
      </c>
    </row>
    <row r="120" spans="1:10">
      <c r="A120" s="13" t="s">
        <v>2073</v>
      </c>
      <c r="B120" s="14"/>
      <c r="C120" s="14" t="s">
        <v>2428</v>
      </c>
    </row>
    <row r="121" spans="1:10">
      <c r="A121" s="13" t="s">
        <v>2323</v>
      </c>
      <c r="B121" s="14"/>
      <c r="C121" s="14" t="s">
        <v>2428</v>
      </c>
    </row>
    <row r="122" spans="1:10" ht="14.4">
      <c r="A122" s="13" t="s">
        <v>2448</v>
      </c>
      <c r="B122" s="14"/>
      <c r="C122" s="14" t="s">
        <v>2428</v>
      </c>
      <c r="H122" s="68" t="s">
        <v>2066</v>
      </c>
      <c r="I122" s="68" t="s">
        <v>2636</v>
      </c>
      <c r="J122" s="69" t="s">
        <v>2015</v>
      </c>
    </row>
    <row r="123" spans="1:10" ht="14.4">
      <c r="A123" s="13" t="s">
        <v>2072</v>
      </c>
      <c r="B123" s="14"/>
      <c r="C123" s="14" t="s">
        <v>2428</v>
      </c>
      <c r="H123" s="68" t="s">
        <v>2319</v>
      </c>
      <c r="I123" s="68" t="s">
        <v>2283</v>
      </c>
      <c r="J123" s="68" t="s">
        <v>2322</v>
      </c>
    </row>
    <row r="124" spans="1:10" ht="14.4">
      <c r="A124" s="13" t="s">
        <v>2324</v>
      </c>
      <c r="B124" s="14"/>
      <c r="C124" s="14" t="s">
        <v>2428</v>
      </c>
      <c r="H124" s="68" t="s">
        <v>2069</v>
      </c>
      <c r="I124" s="68" t="s">
        <v>2283</v>
      </c>
      <c r="J124" s="68" t="s">
        <v>2428</v>
      </c>
    </row>
    <row r="125" spans="1:10" ht="14.4">
      <c r="A125" s="13" t="s">
        <v>2449</v>
      </c>
      <c r="B125" s="14"/>
      <c r="C125" s="14" t="s">
        <v>2428</v>
      </c>
      <c r="H125" s="68" t="s">
        <v>2072</v>
      </c>
      <c r="I125" s="68" t="s">
        <v>2283</v>
      </c>
      <c r="J125" s="68" t="s">
        <v>2428</v>
      </c>
    </row>
    <row r="126" spans="1:10" ht="14.4">
      <c r="A126" s="13" t="s">
        <v>2069</v>
      </c>
      <c r="B126" s="14"/>
      <c r="C126" s="14" t="s">
        <v>2428</v>
      </c>
      <c r="H126" s="68" t="s">
        <v>2073</v>
      </c>
      <c r="I126" s="68" t="s">
        <v>2283</v>
      </c>
      <c r="J126" s="68" t="s">
        <v>2428</v>
      </c>
    </row>
    <row r="127" spans="1:10" ht="14.4">
      <c r="A127" s="13" t="s">
        <v>2325</v>
      </c>
      <c r="B127" s="14"/>
      <c r="C127" s="14" t="s">
        <v>2428</v>
      </c>
      <c r="H127" s="68" t="s">
        <v>2086</v>
      </c>
      <c r="I127" s="68" t="s">
        <v>3079</v>
      </c>
      <c r="J127" s="68" t="s">
        <v>2428</v>
      </c>
    </row>
    <row r="128" spans="1:10" ht="14.4">
      <c r="A128" s="13" t="s">
        <v>2450</v>
      </c>
      <c r="B128" s="14"/>
      <c r="C128" s="14" t="s">
        <v>2428</v>
      </c>
      <c r="H128" s="68" t="s">
        <v>2133</v>
      </c>
      <c r="I128" s="68" t="s">
        <v>2283</v>
      </c>
      <c r="J128" s="68" t="s">
        <v>2560</v>
      </c>
    </row>
    <row r="129" spans="1:10" ht="14.4">
      <c r="A129" s="13" t="s">
        <v>2377</v>
      </c>
      <c r="B129" s="14"/>
      <c r="C129" s="14" t="s">
        <v>2428</v>
      </c>
      <c r="H129" s="68" t="s">
        <v>2094</v>
      </c>
      <c r="I129" s="68" t="s">
        <v>2640</v>
      </c>
      <c r="J129" s="68" t="s">
        <v>739</v>
      </c>
    </row>
    <row r="130" spans="1:10" ht="14.4">
      <c r="A130" s="13" t="s">
        <v>2337</v>
      </c>
      <c r="B130" s="14"/>
      <c r="C130" s="14" t="s">
        <v>2428</v>
      </c>
      <c r="H130" s="68" t="s">
        <v>594</v>
      </c>
      <c r="I130" s="68" t="s">
        <v>2430</v>
      </c>
      <c r="J130" s="68" t="s">
        <v>2429</v>
      </c>
    </row>
    <row r="131" spans="1:10" ht="14.4">
      <c r="A131" s="13" t="s">
        <v>2378</v>
      </c>
      <c r="B131" s="14"/>
      <c r="C131" s="14" t="s">
        <v>2428</v>
      </c>
      <c r="H131" s="68" t="s">
        <v>2073</v>
      </c>
      <c r="I131" s="68" t="s">
        <v>2283</v>
      </c>
      <c r="J131" s="68" t="s">
        <v>2428</v>
      </c>
    </row>
    <row r="132" spans="1:10" ht="14.4">
      <c r="A132" s="13" t="s">
        <v>2473</v>
      </c>
      <c r="B132" s="14"/>
      <c r="C132" s="14" t="s">
        <v>450</v>
      </c>
      <c r="H132" s="68" t="s">
        <v>2323</v>
      </c>
      <c r="I132" s="68" t="s">
        <v>2283</v>
      </c>
      <c r="J132" s="68" t="s">
        <v>2428</v>
      </c>
    </row>
    <row r="133" spans="1:10" ht="14.4">
      <c r="A133" s="13" t="s">
        <v>2329</v>
      </c>
      <c r="B133" s="14"/>
      <c r="C133" s="14" t="s">
        <v>450</v>
      </c>
      <c r="H133" s="68" t="s">
        <v>2448</v>
      </c>
      <c r="I133" s="68" t="s">
        <v>2283</v>
      </c>
      <c r="J133" s="68" t="s">
        <v>2428</v>
      </c>
    </row>
    <row r="134" spans="1:10" ht="14.4">
      <c r="A134" s="13" t="s">
        <v>5063</v>
      </c>
      <c r="B134" s="14" t="s">
        <v>2322</v>
      </c>
      <c r="C134" s="14" t="s">
        <v>2322</v>
      </c>
      <c r="H134" s="68" t="s">
        <v>2072</v>
      </c>
      <c r="I134" s="68" t="s">
        <v>2283</v>
      </c>
      <c r="J134" s="68" t="s">
        <v>2428</v>
      </c>
    </row>
    <row r="135" spans="1:10" ht="14.4">
      <c r="A135" s="13" t="s">
        <v>5064</v>
      </c>
      <c r="B135" s="14" t="s">
        <v>5065</v>
      </c>
      <c r="C135" s="14" t="s">
        <v>5065</v>
      </c>
      <c r="H135" s="68" t="s">
        <v>2324</v>
      </c>
      <c r="I135" s="68" t="s">
        <v>2283</v>
      </c>
      <c r="J135" s="68" t="s">
        <v>2428</v>
      </c>
    </row>
    <row r="136" spans="1:10" ht="14.4">
      <c r="A136" s="68" t="s">
        <v>2066</v>
      </c>
      <c r="B136" s="68" t="s">
        <v>2636</v>
      </c>
      <c r="C136" s="69" t="s">
        <v>2015</v>
      </c>
      <c r="H136" s="68" t="s">
        <v>2449</v>
      </c>
      <c r="I136" s="68" t="s">
        <v>2283</v>
      </c>
      <c r="J136" s="68" t="s">
        <v>2428</v>
      </c>
    </row>
    <row r="137" spans="1:10" ht="14.4">
      <c r="A137" s="68" t="s">
        <v>2319</v>
      </c>
      <c r="B137" s="68" t="s">
        <v>2283</v>
      </c>
      <c r="C137" s="68" t="s">
        <v>2322</v>
      </c>
      <c r="H137" s="68" t="s">
        <v>2069</v>
      </c>
      <c r="I137" s="68" t="s">
        <v>2283</v>
      </c>
      <c r="J137" s="68" t="s">
        <v>2428</v>
      </c>
    </row>
    <row r="138" spans="1:10" ht="14.4">
      <c r="A138" s="68" t="s">
        <v>2069</v>
      </c>
      <c r="B138" s="68" t="s">
        <v>2283</v>
      </c>
      <c r="C138" s="68" t="s">
        <v>2428</v>
      </c>
      <c r="H138" s="68" t="s">
        <v>2325</v>
      </c>
      <c r="I138" s="68" t="s">
        <v>2283</v>
      </c>
      <c r="J138" s="68" t="s">
        <v>2428</v>
      </c>
    </row>
    <row r="139" spans="1:10" ht="14.4">
      <c r="A139" s="68" t="s">
        <v>2072</v>
      </c>
      <c r="B139" s="68" t="s">
        <v>2283</v>
      </c>
      <c r="C139" s="68" t="s">
        <v>2428</v>
      </c>
      <c r="H139" s="68" t="s">
        <v>2450</v>
      </c>
      <c r="I139" s="68" t="s">
        <v>2283</v>
      </c>
      <c r="J139" s="68" t="s">
        <v>2428</v>
      </c>
    </row>
    <row r="140" spans="1:10" ht="14.4">
      <c r="A140" s="68" t="s">
        <v>2073</v>
      </c>
      <c r="B140" s="68" t="s">
        <v>2283</v>
      </c>
      <c r="C140" s="68" t="s">
        <v>2428</v>
      </c>
      <c r="H140" s="68" t="s">
        <v>2797</v>
      </c>
      <c r="I140" s="68" t="s">
        <v>2283</v>
      </c>
      <c r="J140" s="68" t="s">
        <v>2428</v>
      </c>
    </row>
    <row r="141" spans="1:10" ht="14.4">
      <c r="A141" s="68" t="s">
        <v>2086</v>
      </c>
      <c r="B141" s="68" t="s">
        <v>3079</v>
      </c>
      <c r="C141" s="68" t="s">
        <v>2428</v>
      </c>
      <c r="H141" s="68" t="s">
        <v>2377</v>
      </c>
      <c r="I141" s="68" t="s">
        <v>3079</v>
      </c>
      <c r="J141" s="68" t="s">
        <v>2428</v>
      </c>
    </row>
    <row r="142" spans="1:10" ht="14.4">
      <c r="A142" s="68" t="s">
        <v>2133</v>
      </c>
      <c r="B142" s="68" t="s">
        <v>2283</v>
      </c>
      <c r="C142" s="68" t="s">
        <v>2560</v>
      </c>
      <c r="H142" s="68" t="s">
        <v>2798</v>
      </c>
      <c r="I142" s="68" t="s">
        <v>3079</v>
      </c>
      <c r="J142" s="68" t="s">
        <v>2428</v>
      </c>
    </row>
    <row r="143" spans="1:10" ht="14.4">
      <c r="A143" s="68" t="s">
        <v>2094</v>
      </c>
      <c r="B143" s="68" t="s">
        <v>2640</v>
      </c>
      <c r="C143" s="68" t="s">
        <v>739</v>
      </c>
      <c r="H143" s="68" t="s">
        <v>2337</v>
      </c>
      <c r="I143" s="68" t="s">
        <v>3079</v>
      </c>
      <c r="J143" s="68" t="s">
        <v>2428</v>
      </c>
    </row>
    <row r="144" spans="1:10" ht="14.4">
      <c r="A144" s="68" t="s">
        <v>594</v>
      </c>
      <c r="B144" s="68" t="s">
        <v>2430</v>
      </c>
      <c r="C144" s="68" t="s">
        <v>2429</v>
      </c>
      <c r="H144" s="68" t="s">
        <v>3083</v>
      </c>
      <c r="I144" s="68" t="s">
        <v>3079</v>
      </c>
      <c r="J144" s="68" t="s">
        <v>2428</v>
      </c>
    </row>
    <row r="145" spans="1:10" ht="14.4">
      <c r="A145" s="68" t="s">
        <v>2073</v>
      </c>
      <c r="B145" s="68" t="s">
        <v>2283</v>
      </c>
      <c r="C145" s="68" t="s">
        <v>2428</v>
      </c>
      <c r="H145" s="68" t="s">
        <v>2378</v>
      </c>
      <c r="I145" s="68" t="s">
        <v>3079</v>
      </c>
      <c r="J145" s="68" t="s">
        <v>2428</v>
      </c>
    </row>
    <row r="146" spans="1:10" ht="14.4">
      <c r="A146" s="68" t="s">
        <v>2323</v>
      </c>
      <c r="B146" s="68" t="s">
        <v>2283</v>
      </c>
      <c r="C146" s="68" t="s">
        <v>2428</v>
      </c>
      <c r="H146" s="68" t="s">
        <v>3084</v>
      </c>
      <c r="I146" s="68" t="s">
        <v>3079</v>
      </c>
      <c r="J146" s="68" t="s">
        <v>2428</v>
      </c>
    </row>
    <row r="147" spans="1:10" ht="14.4">
      <c r="A147" s="68" t="s">
        <v>2448</v>
      </c>
      <c r="B147" s="68" t="s">
        <v>2283</v>
      </c>
      <c r="C147" s="68" t="s">
        <v>2428</v>
      </c>
    </row>
    <row r="148" spans="1:10" ht="14.4">
      <c r="A148" s="68" t="s">
        <v>2072</v>
      </c>
      <c r="B148" s="68" t="s">
        <v>2283</v>
      </c>
      <c r="C148" s="68" t="s">
        <v>2428</v>
      </c>
    </row>
    <row r="149" spans="1:10" ht="14.4">
      <c r="A149" s="68" t="s">
        <v>2324</v>
      </c>
      <c r="B149" s="68" t="s">
        <v>2283</v>
      </c>
      <c r="C149" s="68" t="s">
        <v>2428</v>
      </c>
    </row>
    <row r="150" spans="1:10" ht="14.4">
      <c r="A150" s="68" t="s">
        <v>2449</v>
      </c>
      <c r="B150" s="68" t="s">
        <v>2283</v>
      </c>
      <c r="C150" s="68" t="s">
        <v>2428</v>
      </c>
    </row>
    <row r="151" spans="1:10" ht="14.4">
      <c r="A151" s="68" t="s">
        <v>2069</v>
      </c>
      <c r="B151" s="68" t="s">
        <v>2283</v>
      </c>
      <c r="C151" s="68" t="s">
        <v>2428</v>
      </c>
    </row>
    <row r="152" spans="1:10" ht="14.4">
      <c r="A152" s="68" t="s">
        <v>2325</v>
      </c>
      <c r="B152" s="68" t="s">
        <v>2283</v>
      </c>
      <c r="C152" s="68" t="s">
        <v>2428</v>
      </c>
    </row>
    <row r="153" spans="1:10" ht="14.4">
      <c r="A153" s="68" t="s">
        <v>2450</v>
      </c>
      <c r="B153" s="68" t="s">
        <v>2283</v>
      </c>
      <c r="C153" s="68" t="s">
        <v>2428</v>
      </c>
    </row>
    <row r="154" spans="1:10" ht="14.4">
      <c r="A154" s="68" t="s">
        <v>2797</v>
      </c>
      <c r="B154" s="68" t="s">
        <v>2283</v>
      </c>
      <c r="C154" s="68" t="s">
        <v>2428</v>
      </c>
    </row>
    <row r="155" spans="1:10" ht="14.4">
      <c r="A155" s="68" t="s">
        <v>2377</v>
      </c>
      <c r="B155" s="68" t="s">
        <v>3079</v>
      </c>
      <c r="C155" s="68" t="s">
        <v>2428</v>
      </c>
    </row>
    <row r="156" spans="1:10" ht="14.4">
      <c r="A156" s="68" t="s">
        <v>2798</v>
      </c>
      <c r="B156" s="68" t="s">
        <v>3079</v>
      </c>
      <c r="C156" s="68" t="s">
        <v>2428</v>
      </c>
    </row>
    <row r="157" spans="1:10" ht="14.4">
      <c r="A157" s="68" t="s">
        <v>2337</v>
      </c>
      <c r="B157" s="68" t="s">
        <v>3079</v>
      </c>
      <c r="C157" s="68" t="s">
        <v>2428</v>
      </c>
    </row>
    <row r="158" spans="1:10" ht="14.4">
      <c r="A158" s="68" t="s">
        <v>3083</v>
      </c>
      <c r="B158" s="68" t="s">
        <v>3079</v>
      </c>
      <c r="C158" s="68" t="s">
        <v>2428</v>
      </c>
    </row>
    <row r="159" spans="1:10" ht="14.4">
      <c r="A159" s="68" t="s">
        <v>2378</v>
      </c>
      <c r="B159" s="68" t="s">
        <v>3079</v>
      </c>
      <c r="C159" s="68" t="s">
        <v>2428</v>
      </c>
    </row>
    <row r="160" spans="1:10" ht="14.4">
      <c r="A160" s="68" t="s">
        <v>3084</v>
      </c>
      <c r="B160" s="68" t="s">
        <v>3079</v>
      </c>
      <c r="C160" s="68" t="s">
        <v>2428</v>
      </c>
    </row>
    <row r="161" spans="1:3">
      <c r="A161" s="13" t="s">
        <v>2675</v>
      </c>
      <c r="B161" s="14"/>
      <c r="C161" s="14"/>
    </row>
    <row r="162" spans="1:3">
      <c r="A162" s="13"/>
      <c r="B162" s="14"/>
      <c r="C162" s="14"/>
    </row>
    <row r="163" spans="1:3">
      <c r="A163" s="13"/>
      <c r="B163" s="14"/>
      <c r="C163" s="14"/>
    </row>
    <row r="164" spans="1:3">
      <c r="A164" s="13"/>
      <c r="B164" s="14"/>
      <c r="C164" s="14"/>
    </row>
    <row r="165" spans="1:3">
      <c r="A165" s="13"/>
      <c r="B165" s="14"/>
      <c r="C165" s="14"/>
    </row>
    <row r="166" spans="1:3">
      <c r="A166" s="13"/>
      <c r="B166" s="14"/>
      <c r="C166" s="14"/>
    </row>
    <row r="167" spans="1:3">
      <c r="A167" s="13"/>
      <c r="B167" s="14"/>
      <c r="C167" s="14"/>
    </row>
    <row r="168" spans="1:3">
      <c r="A168" s="13"/>
      <c r="B168" s="14"/>
      <c r="C168" s="14"/>
    </row>
    <row r="169" spans="1:3">
      <c r="A169" s="13"/>
      <c r="B169" s="14"/>
      <c r="C169" s="14"/>
    </row>
    <row r="170" spans="1:3">
      <c r="A170" s="13"/>
      <c r="B170" s="14"/>
      <c r="C170" s="14"/>
    </row>
    <row r="171" spans="1:3">
      <c r="A171" s="13"/>
      <c r="B171" s="14"/>
      <c r="C171" s="14"/>
    </row>
    <row r="172" spans="1:3">
      <c r="A172" s="13"/>
      <c r="B172" s="14"/>
      <c r="C172" s="14"/>
    </row>
    <row r="173" spans="1:3">
      <c r="A173" s="13"/>
      <c r="B173" s="14"/>
      <c r="C173" s="14"/>
    </row>
    <row r="174" spans="1:3">
      <c r="A174" s="13"/>
      <c r="B174" s="14"/>
      <c r="C174" s="14"/>
    </row>
    <row r="175" spans="1:3">
      <c r="A175" s="13"/>
      <c r="B175" s="14"/>
      <c r="C175" s="14"/>
    </row>
    <row r="176" spans="1:3">
      <c r="A176" s="13"/>
      <c r="B176" s="14"/>
      <c r="C176" s="14"/>
    </row>
    <row r="177" spans="1:3">
      <c r="A177" s="13"/>
      <c r="B177" s="14"/>
      <c r="C177" s="14"/>
    </row>
    <row r="178" spans="1:3">
      <c r="A178" s="13"/>
      <c r="B178" s="14"/>
      <c r="C178" s="14"/>
    </row>
    <row r="179" spans="1:3">
      <c r="A179" s="13"/>
      <c r="B179" s="14"/>
      <c r="C179" s="14"/>
    </row>
    <row r="180" spans="1:3">
      <c r="A180" s="13"/>
      <c r="B180" s="14"/>
      <c r="C180" s="14"/>
    </row>
    <row r="181" spans="1:3">
      <c r="A181" s="13"/>
      <c r="B181" s="14"/>
      <c r="C181" s="14"/>
    </row>
    <row r="182" spans="1:3">
      <c r="A182" s="13"/>
      <c r="B182" s="14"/>
      <c r="C182" s="14"/>
    </row>
    <row r="183" spans="1:3">
      <c r="A183" s="13"/>
      <c r="B183" s="14"/>
      <c r="C183" s="14"/>
    </row>
    <row r="184" spans="1:3">
      <c r="A184" s="13"/>
      <c r="B184" s="14"/>
      <c r="C184" s="14"/>
    </row>
    <row r="185" spans="1:3">
      <c r="A185" s="13"/>
      <c r="B185" s="14"/>
      <c r="C185" s="14"/>
    </row>
    <row r="186" spans="1:3">
      <c r="A186" s="13"/>
      <c r="B186" s="14"/>
      <c r="C186" s="14"/>
    </row>
    <row r="187" spans="1:3">
      <c r="A187" s="13"/>
      <c r="B187" s="14"/>
      <c r="C187" s="14"/>
    </row>
    <row r="188" spans="1:3">
      <c r="A188" s="13"/>
      <c r="B188" s="14"/>
      <c r="C188" s="14"/>
    </row>
    <row r="189" spans="1:3">
      <c r="A189" s="13"/>
      <c r="B189" s="14"/>
      <c r="C189" s="14"/>
    </row>
    <row r="190" spans="1:3">
      <c r="A190" s="13"/>
      <c r="B190" s="14"/>
      <c r="C190" s="14"/>
    </row>
    <row r="191" spans="1:3">
      <c r="A191" s="13"/>
      <c r="B191" s="14"/>
      <c r="C191" s="14"/>
    </row>
    <row r="192" spans="1:3">
      <c r="A192" s="13"/>
      <c r="B192" s="14"/>
      <c r="C192" s="14"/>
    </row>
    <row r="193" spans="1:3">
      <c r="A193" s="13"/>
      <c r="B193" s="14"/>
      <c r="C193" s="14"/>
    </row>
    <row r="194" spans="1:3">
      <c r="A194" s="13"/>
      <c r="B194" s="14"/>
      <c r="C194" s="14"/>
    </row>
    <row r="195" spans="1:3">
      <c r="A195" s="13"/>
      <c r="B195" s="14"/>
      <c r="C195" s="14"/>
    </row>
    <row r="196" spans="1:3">
      <c r="A196" s="13"/>
      <c r="B196" s="14"/>
      <c r="C196" s="14"/>
    </row>
    <row r="197" spans="1:3">
      <c r="A197" s="13"/>
      <c r="B197" s="14"/>
      <c r="C197" s="14"/>
    </row>
    <row r="198" spans="1:3">
      <c r="A198" s="13"/>
      <c r="B198" s="14"/>
      <c r="C198" s="14"/>
    </row>
    <row r="199" spans="1:3">
      <c r="A199" s="13"/>
      <c r="B199" s="14"/>
      <c r="C199" s="14"/>
    </row>
    <row r="200" spans="1:3">
      <c r="A200" s="13"/>
      <c r="B200" s="14"/>
      <c r="C200" s="14"/>
    </row>
    <row r="201" spans="1:3">
      <c r="A201" s="13"/>
      <c r="B201" s="14"/>
      <c r="C201" s="14"/>
    </row>
    <row r="202" spans="1:3">
      <c r="A202" s="13"/>
      <c r="B202" s="14"/>
      <c r="C202" s="14"/>
    </row>
    <row r="203" spans="1:3">
      <c r="A203" s="13"/>
      <c r="B203" s="14"/>
      <c r="C203" s="14"/>
    </row>
    <row r="204" spans="1:3">
      <c r="A204" s="13"/>
      <c r="B204" s="14"/>
      <c r="C204" s="14"/>
    </row>
    <row r="205" spans="1:3">
      <c r="A205" s="13"/>
      <c r="B205" s="14"/>
      <c r="C205" s="14"/>
    </row>
    <row r="206" spans="1:3">
      <c r="A206" s="13"/>
      <c r="B206" s="14"/>
      <c r="C206" s="14"/>
    </row>
    <row r="207" spans="1:3">
      <c r="A207" s="13"/>
      <c r="B207" s="14"/>
      <c r="C207" s="14"/>
    </row>
    <row r="208" spans="1:3">
      <c r="A208" s="13"/>
      <c r="B208" s="14"/>
      <c r="C208" s="14"/>
    </row>
    <row r="209" spans="1:3">
      <c r="A209" s="13"/>
      <c r="B209" s="14"/>
      <c r="C209" s="14"/>
    </row>
    <row r="210" spans="1:3">
      <c r="A210" s="13"/>
      <c r="B210" s="14"/>
      <c r="C210" s="14"/>
    </row>
    <row r="211" spans="1:3">
      <c r="A211" s="13"/>
      <c r="B211" s="14"/>
      <c r="C211" s="14"/>
    </row>
    <row r="212" spans="1:3">
      <c r="A212" s="13"/>
      <c r="B212" s="14"/>
      <c r="C212" s="14"/>
    </row>
    <row r="213" spans="1:3">
      <c r="A213" s="13"/>
      <c r="B213" s="14"/>
      <c r="C213" s="14"/>
    </row>
    <row r="214" spans="1:3">
      <c r="A214" s="13"/>
      <c r="B214" s="14"/>
      <c r="C214" s="14"/>
    </row>
    <row r="215" spans="1:3">
      <c r="A215" s="13"/>
      <c r="B215" s="14"/>
      <c r="C215" s="14"/>
    </row>
    <row r="216" spans="1:3">
      <c r="A216" s="13"/>
      <c r="B216" s="14"/>
      <c r="C216" s="14"/>
    </row>
    <row r="217" spans="1:3">
      <c r="A217" s="13"/>
      <c r="B217" s="14"/>
      <c r="C217" s="14"/>
    </row>
    <row r="218" spans="1:3">
      <c r="A218" s="11" t="s">
        <v>432</v>
      </c>
      <c r="B218" s="12" t="s">
        <v>1699</v>
      </c>
      <c r="C218" s="12" t="s">
        <v>1260</v>
      </c>
    </row>
    <row r="219" spans="1:3">
      <c r="A219" s="11" t="s">
        <v>1080</v>
      </c>
      <c r="B219" s="12" t="s">
        <v>1700</v>
      </c>
      <c r="C219" s="12" t="s">
        <v>1260</v>
      </c>
    </row>
    <row r="220" spans="1:3">
      <c r="A220" s="11" t="s">
        <v>206</v>
      </c>
      <c r="B220" s="12" t="s">
        <v>1701</v>
      </c>
      <c r="C220" s="12" t="s">
        <v>1260</v>
      </c>
    </row>
    <row r="221" spans="1:3">
      <c r="A221" s="11" t="s">
        <v>1337</v>
      </c>
      <c r="B221" s="12" t="s">
        <v>1702</v>
      </c>
      <c r="C221" s="12" t="s">
        <v>1260</v>
      </c>
    </row>
    <row r="222" spans="1:3">
      <c r="A222" s="11" t="s">
        <v>1455</v>
      </c>
      <c r="B222" s="12" t="s">
        <v>1703</v>
      </c>
      <c r="C222" s="12" t="s">
        <v>501</v>
      </c>
    </row>
    <row r="223" spans="1:3">
      <c r="A223" s="11" t="s">
        <v>932</v>
      </c>
      <c r="B223" s="12" t="s">
        <v>1704</v>
      </c>
      <c r="C223" s="12" t="s">
        <v>501</v>
      </c>
    </row>
    <row r="224" spans="1:3">
      <c r="A224" s="11" t="s">
        <v>502</v>
      </c>
      <c r="B224" s="12" t="s">
        <v>1705</v>
      </c>
      <c r="C224" s="12" t="s">
        <v>501</v>
      </c>
    </row>
    <row r="225" spans="1:3">
      <c r="A225" s="11" t="s">
        <v>509</v>
      </c>
      <c r="B225" s="12" t="s">
        <v>1706</v>
      </c>
      <c r="C225" s="12" t="s">
        <v>501</v>
      </c>
    </row>
    <row r="226" spans="1:3">
      <c r="A226" s="13" t="s">
        <v>606</v>
      </c>
      <c r="B226" s="14" t="s">
        <v>1623</v>
      </c>
      <c r="C226" s="12" t="s">
        <v>501</v>
      </c>
    </row>
    <row r="227" spans="1:3">
      <c r="A227" s="11" t="s">
        <v>1350</v>
      </c>
      <c r="B227" s="12" t="s">
        <v>1707</v>
      </c>
      <c r="C227" s="12" t="s">
        <v>501</v>
      </c>
    </row>
    <row r="228" spans="1:3">
      <c r="A228" s="11" t="s">
        <v>1335</v>
      </c>
      <c r="B228" s="12" t="s">
        <v>1708</v>
      </c>
      <c r="C228" s="12" t="s">
        <v>501</v>
      </c>
    </row>
    <row r="229" spans="1:3">
      <c r="A229" s="11" t="s">
        <v>474</v>
      </c>
      <c r="B229" s="12" t="s">
        <v>1709</v>
      </c>
      <c r="C229" s="12" t="s">
        <v>501</v>
      </c>
    </row>
    <row r="230" spans="1:3">
      <c r="A230" s="13" t="s">
        <v>601</v>
      </c>
      <c r="B230" s="14" t="s">
        <v>1632</v>
      </c>
      <c r="C230" s="12" t="s">
        <v>501</v>
      </c>
    </row>
    <row r="231" spans="1:3">
      <c r="A231" s="11" t="s">
        <v>1214</v>
      </c>
      <c r="B231" s="12" t="s">
        <v>1710</v>
      </c>
      <c r="C231" s="12" t="s">
        <v>501</v>
      </c>
    </row>
    <row r="232" spans="1:3">
      <c r="A232" s="11" t="s">
        <v>457</v>
      </c>
      <c r="B232" s="12" t="s">
        <v>1711</v>
      </c>
      <c r="C232" s="12" t="s">
        <v>501</v>
      </c>
    </row>
    <row r="233" spans="1:3">
      <c r="A233" s="11" t="s">
        <v>1213</v>
      </c>
      <c r="B233" s="12" t="s">
        <v>1712</v>
      </c>
      <c r="C233" s="12" t="s">
        <v>501</v>
      </c>
    </row>
    <row r="234" spans="1:3">
      <c r="A234" s="11" t="s">
        <v>1227</v>
      </c>
      <c r="B234" s="12" t="s">
        <v>1713</v>
      </c>
      <c r="C234" s="12" t="s">
        <v>501</v>
      </c>
    </row>
    <row r="235" spans="1:3">
      <c r="A235" s="11" t="s">
        <v>1336</v>
      </c>
      <c r="B235" s="12" t="s">
        <v>1714</v>
      </c>
      <c r="C235" s="12" t="s">
        <v>501</v>
      </c>
    </row>
    <row r="236" spans="1:3">
      <c r="A236" s="11" t="s">
        <v>508</v>
      </c>
      <c r="B236" s="12" t="s">
        <v>1715</v>
      </c>
      <c r="C236" s="12" t="s">
        <v>501</v>
      </c>
    </row>
    <row r="237" spans="1:3">
      <c r="A237" s="11" t="s">
        <v>214</v>
      </c>
      <c r="B237" s="12" t="s">
        <v>1716</v>
      </c>
      <c r="C237" s="12" t="s">
        <v>501</v>
      </c>
    </row>
    <row r="238" spans="1:3">
      <c r="A238" s="11" t="s">
        <v>215</v>
      </c>
      <c r="B238" s="12" t="s">
        <v>1717</v>
      </c>
      <c r="C238" s="12" t="s">
        <v>501</v>
      </c>
    </row>
    <row r="239" spans="1:3">
      <c r="A239" s="11" t="s">
        <v>431</v>
      </c>
      <c r="B239" s="12" t="s">
        <v>1718</v>
      </c>
      <c r="C239" s="12" t="s">
        <v>501</v>
      </c>
    </row>
    <row r="240" spans="1:3">
      <c r="A240" s="11" t="s">
        <v>473</v>
      </c>
      <c r="B240" s="12" t="s">
        <v>1719</v>
      </c>
      <c r="C240" s="12" t="s">
        <v>501</v>
      </c>
    </row>
    <row r="241" spans="1:3">
      <c r="A241" s="11" t="s">
        <v>1242</v>
      </c>
      <c r="B241" s="12" t="s">
        <v>1720</v>
      </c>
      <c r="C241" s="12" t="s">
        <v>501</v>
      </c>
    </row>
    <row r="242" spans="1:3">
      <c r="A242" s="11" t="s">
        <v>1434</v>
      </c>
      <c r="B242" s="12" t="s">
        <v>1721</v>
      </c>
      <c r="C242" s="12" t="s">
        <v>501</v>
      </c>
    </row>
    <row r="243" spans="1:3">
      <c r="A243" s="11" t="s">
        <v>771</v>
      </c>
      <c r="B243" s="12" t="s">
        <v>1722</v>
      </c>
      <c r="C243" s="12" t="s">
        <v>501</v>
      </c>
    </row>
    <row r="244" spans="1:3">
      <c r="A244" s="11" t="s">
        <v>1223</v>
      </c>
      <c r="B244" s="12" t="s">
        <v>1723</v>
      </c>
      <c r="C244" s="12" t="s">
        <v>501</v>
      </c>
    </row>
    <row r="245" spans="1:3">
      <c r="A245" s="11" t="s">
        <v>609</v>
      </c>
      <c r="B245" s="12" t="s">
        <v>1724</v>
      </c>
      <c r="C245" s="12" t="s">
        <v>501</v>
      </c>
    </row>
    <row r="246" spans="1:3">
      <c r="A246" s="11" t="s">
        <v>179</v>
      </c>
      <c r="B246" s="12" t="s">
        <v>1725</v>
      </c>
      <c r="C246" s="12" t="s">
        <v>501</v>
      </c>
    </row>
    <row r="247" spans="1:3">
      <c r="A247" s="11" t="s">
        <v>845</v>
      </c>
      <c r="B247" s="12" t="s">
        <v>1726</v>
      </c>
      <c r="C247" s="12" t="s">
        <v>501</v>
      </c>
    </row>
    <row r="248" spans="1:3">
      <c r="A248" s="11" t="s">
        <v>846</v>
      </c>
      <c r="B248" s="12" t="s">
        <v>1727</v>
      </c>
      <c r="C248" s="12" t="s">
        <v>501</v>
      </c>
    </row>
    <row r="249" spans="1:3">
      <c r="A249" s="11" t="s">
        <v>177</v>
      </c>
      <c r="B249" s="12" t="s">
        <v>1728</v>
      </c>
      <c r="C249" s="12" t="s">
        <v>501</v>
      </c>
    </row>
    <row r="250" spans="1:3">
      <c r="A250" s="11" t="s">
        <v>847</v>
      </c>
      <c r="B250" s="12" t="s">
        <v>1729</v>
      </c>
      <c r="C250" s="12" t="s">
        <v>501</v>
      </c>
    </row>
    <row r="251" spans="1:3">
      <c r="A251" s="11" t="s">
        <v>848</v>
      </c>
      <c r="B251" s="12" t="s">
        <v>1730</v>
      </c>
      <c r="C251" s="12" t="s">
        <v>501</v>
      </c>
    </row>
    <row r="252" spans="1:3">
      <c r="A252" s="11" t="s">
        <v>1226</v>
      </c>
      <c r="B252" s="12" t="s">
        <v>1731</v>
      </c>
      <c r="C252" s="12" t="s">
        <v>501</v>
      </c>
    </row>
    <row r="253" spans="1:3">
      <c r="A253" s="11" t="s">
        <v>849</v>
      </c>
      <c r="B253" s="12" t="s">
        <v>1732</v>
      </c>
      <c r="C253" s="12" t="s">
        <v>501</v>
      </c>
    </row>
    <row r="254" spans="1:3">
      <c r="A254" s="11" t="s">
        <v>225</v>
      </c>
      <c r="B254" s="12" t="s">
        <v>1733</v>
      </c>
      <c r="C254" s="12" t="s">
        <v>501</v>
      </c>
    </row>
    <row r="255" spans="1:3">
      <c r="A255" s="11" t="s">
        <v>1006</v>
      </c>
      <c r="B255" s="12" t="s">
        <v>1734</v>
      </c>
      <c r="C255" s="12" t="s">
        <v>1260</v>
      </c>
    </row>
    <row r="256" spans="1:3">
      <c r="A256" s="11" t="s">
        <v>607</v>
      </c>
      <c r="B256" s="12" t="s">
        <v>1735</v>
      </c>
      <c r="C256" s="12" t="s">
        <v>1260</v>
      </c>
    </row>
    <row r="257" spans="1:3">
      <c r="A257" s="11" t="s">
        <v>1090</v>
      </c>
      <c r="B257" s="12" t="s">
        <v>1736</v>
      </c>
      <c r="C257" s="12" t="s">
        <v>1260</v>
      </c>
    </row>
    <row r="258" spans="1:3">
      <c r="A258" s="11" t="s">
        <v>503</v>
      </c>
      <c r="B258" s="12" t="s">
        <v>1737</v>
      </c>
      <c r="C258" s="12" t="s">
        <v>1260</v>
      </c>
    </row>
    <row r="259" spans="1:3">
      <c r="A259" s="11" t="s">
        <v>484</v>
      </c>
      <c r="B259" s="12" t="s">
        <v>1738</v>
      </c>
      <c r="C259" s="12" t="s">
        <v>1260</v>
      </c>
    </row>
    <row r="260" spans="1:3">
      <c r="A260" s="13" t="s">
        <v>237</v>
      </c>
      <c r="B260" s="14" t="s">
        <v>1625</v>
      </c>
      <c r="C260" s="14" t="s">
        <v>1260</v>
      </c>
    </row>
    <row r="261" spans="1:3">
      <c r="A261" s="11" t="s">
        <v>1270</v>
      </c>
      <c r="B261" s="12" t="s">
        <v>1739</v>
      </c>
      <c r="C261" s="12" t="s">
        <v>1260</v>
      </c>
    </row>
    <row r="262" spans="1:3">
      <c r="A262" s="11" t="s">
        <v>435</v>
      </c>
      <c r="B262" s="12" t="s">
        <v>1740</v>
      </c>
      <c r="C262" s="12" t="s">
        <v>1260</v>
      </c>
    </row>
    <row r="263" spans="1:3">
      <c r="A263" s="11" t="s">
        <v>456</v>
      </c>
      <c r="B263" s="12" t="s">
        <v>1741</v>
      </c>
      <c r="C263" s="12" t="s">
        <v>1260</v>
      </c>
    </row>
    <row r="264" spans="1:3">
      <c r="A264" s="13" t="s">
        <v>220</v>
      </c>
      <c r="B264" s="14" t="s">
        <v>1634</v>
      </c>
      <c r="C264" s="16" t="s">
        <v>1260</v>
      </c>
    </row>
    <row r="265" spans="1:3">
      <c r="A265" s="11" t="s">
        <v>452</v>
      </c>
      <c r="B265" s="12" t="s">
        <v>1742</v>
      </c>
      <c r="C265" s="12" t="s">
        <v>1260</v>
      </c>
    </row>
    <row r="266" spans="1:3">
      <c r="A266" s="11" t="s">
        <v>504</v>
      </c>
      <c r="B266" s="12" t="s">
        <v>1743</v>
      </c>
      <c r="C266" s="12" t="s">
        <v>1260</v>
      </c>
    </row>
    <row r="267" spans="1:3">
      <c r="A267" s="11" t="s">
        <v>240</v>
      </c>
      <c r="B267" s="12" t="s">
        <v>1744</v>
      </c>
      <c r="C267" s="12" t="s">
        <v>1260</v>
      </c>
    </row>
    <row r="268" spans="1:3">
      <c r="A268" s="11" t="s">
        <v>208</v>
      </c>
      <c r="B268" s="12" t="s">
        <v>1745</v>
      </c>
      <c r="C268" s="12" t="s">
        <v>1260</v>
      </c>
    </row>
    <row r="269" spans="1:3">
      <c r="A269" s="11" t="s">
        <v>454</v>
      </c>
      <c r="B269" s="12" t="s">
        <v>1746</v>
      </c>
      <c r="C269" s="12" t="s">
        <v>1260</v>
      </c>
    </row>
    <row r="270" spans="1:3">
      <c r="A270" s="11" t="s">
        <v>486</v>
      </c>
      <c r="B270" s="12" t="s">
        <v>1747</v>
      </c>
      <c r="C270" s="12" t="s">
        <v>1260</v>
      </c>
    </row>
    <row r="271" spans="1:3">
      <c r="A271" s="11" t="s">
        <v>1452</v>
      </c>
      <c r="B271" s="12" t="s">
        <v>1748</v>
      </c>
      <c r="C271" s="12" t="s">
        <v>1260</v>
      </c>
    </row>
    <row r="272" spans="1:3">
      <c r="A272" s="11" t="s">
        <v>1262</v>
      </c>
      <c r="B272" s="12" t="s">
        <v>1749</v>
      </c>
      <c r="C272" s="12" t="s">
        <v>1260</v>
      </c>
    </row>
    <row r="273" spans="1:3">
      <c r="A273" s="11" t="s">
        <v>485</v>
      </c>
      <c r="B273" s="12" t="s">
        <v>1750</v>
      </c>
      <c r="C273" s="12" t="s">
        <v>1260</v>
      </c>
    </row>
    <row r="274" spans="1:3">
      <c r="A274" s="11" t="s">
        <v>843</v>
      </c>
      <c r="B274" s="12" t="s">
        <v>1454</v>
      </c>
      <c r="C274" s="12" t="s">
        <v>213</v>
      </c>
    </row>
    <row r="275" spans="1:3">
      <c r="A275" s="11" t="s">
        <v>683</v>
      </c>
      <c r="B275" s="12" t="s">
        <v>1751</v>
      </c>
      <c r="C275" s="12" t="s">
        <v>213</v>
      </c>
    </row>
    <row r="276" spans="1:3">
      <c r="A276" s="11" t="s">
        <v>685</v>
      </c>
      <c r="B276" s="12" t="s">
        <v>1752</v>
      </c>
      <c r="C276" s="12" t="s">
        <v>213</v>
      </c>
    </row>
    <row r="277" spans="1:3">
      <c r="A277" s="11" t="s">
        <v>684</v>
      </c>
      <c r="B277" s="12" t="s">
        <v>1753</v>
      </c>
      <c r="C277" s="12" t="s">
        <v>213</v>
      </c>
    </row>
    <row r="278" spans="1:3">
      <c r="A278" s="13" t="s">
        <v>605</v>
      </c>
      <c r="B278" s="14" t="s">
        <v>1622</v>
      </c>
      <c r="C278" s="14" t="s">
        <v>213</v>
      </c>
    </row>
    <row r="279" spans="1:3">
      <c r="A279" s="11" t="s">
        <v>475</v>
      </c>
      <c r="B279" s="12" t="s">
        <v>1754</v>
      </c>
      <c r="C279" s="12" t="s">
        <v>213</v>
      </c>
    </row>
    <row r="280" spans="1:3">
      <c r="A280" s="11" t="s">
        <v>395</v>
      </c>
      <c r="B280" s="12" t="s">
        <v>1755</v>
      </c>
      <c r="C280" s="12" t="s">
        <v>213</v>
      </c>
    </row>
    <row r="281" spans="1:3">
      <c r="A281" s="11" t="s">
        <v>1038</v>
      </c>
      <c r="B281" s="12" t="s">
        <v>1756</v>
      </c>
      <c r="C281" s="12" t="s">
        <v>213</v>
      </c>
    </row>
    <row r="282" spans="1:3">
      <c r="A282" s="13" t="s">
        <v>1598</v>
      </c>
      <c r="B282" s="14" t="s">
        <v>1631</v>
      </c>
      <c r="C282" s="16" t="s">
        <v>213</v>
      </c>
    </row>
    <row r="283" spans="1:3">
      <c r="A283" s="11" t="s">
        <v>691</v>
      </c>
      <c r="B283" s="12" t="s">
        <v>1757</v>
      </c>
      <c r="C283" s="12" t="s">
        <v>213</v>
      </c>
    </row>
    <row r="284" spans="1:3">
      <c r="A284" s="11" t="s">
        <v>690</v>
      </c>
      <c r="B284" s="12" t="s">
        <v>1758</v>
      </c>
      <c r="C284" s="12" t="s">
        <v>213</v>
      </c>
    </row>
    <row r="285" spans="1:3">
      <c r="A285" s="11" t="s">
        <v>711</v>
      </c>
      <c r="B285" s="12" t="s">
        <v>1759</v>
      </c>
      <c r="C285" s="12" t="s">
        <v>213</v>
      </c>
    </row>
    <row r="286" spans="1:3">
      <c r="A286" s="11" t="s">
        <v>2469</v>
      </c>
      <c r="B286" s="12" t="s">
        <v>1972</v>
      </c>
      <c r="C286" s="12" t="s">
        <v>1972</v>
      </c>
    </row>
    <row r="287" spans="1:3">
      <c r="A287" s="11" t="s">
        <v>2435</v>
      </c>
      <c r="B287" s="12" t="s">
        <v>1972</v>
      </c>
      <c r="C287" s="12" t="s">
        <v>1972</v>
      </c>
    </row>
    <row r="288" spans="1:3">
      <c r="A288" s="11" t="s">
        <v>2483</v>
      </c>
      <c r="B288" s="12" t="s">
        <v>1972</v>
      </c>
      <c r="C288" s="12" t="s">
        <v>1972</v>
      </c>
    </row>
    <row r="289" spans="1:3">
      <c r="A289" s="11" t="s">
        <v>2032</v>
      </c>
      <c r="B289" s="12" t="s">
        <v>2033</v>
      </c>
      <c r="C289" s="12" t="s">
        <v>213</v>
      </c>
    </row>
    <row r="290" spans="1:3">
      <c r="A290" s="13" t="s">
        <v>689</v>
      </c>
      <c r="B290" s="14" t="s">
        <v>1852</v>
      </c>
      <c r="C290" s="14" t="s">
        <v>213</v>
      </c>
    </row>
    <row r="291" spans="1:3">
      <c r="A291" s="11" t="s">
        <v>850</v>
      </c>
      <c r="B291" s="12" t="s">
        <v>1044</v>
      </c>
      <c r="C291" s="12" t="s">
        <v>1315</v>
      </c>
    </row>
    <row r="292" spans="1:3">
      <c r="A292" s="11" t="s">
        <v>608</v>
      </c>
      <c r="B292" s="12" t="s">
        <v>1760</v>
      </c>
      <c r="C292" s="12" t="s">
        <v>1315</v>
      </c>
    </row>
    <row r="293" spans="1:3">
      <c r="A293" s="13" t="s">
        <v>1179</v>
      </c>
      <c r="B293" s="14" t="s">
        <v>1624</v>
      </c>
      <c r="C293" s="14" t="s">
        <v>1315</v>
      </c>
    </row>
    <row r="294" spans="1:3">
      <c r="A294" s="13" t="s">
        <v>238</v>
      </c>
      <c r="B294" s="14" t="s">
        <v>1633</v>
      </c>
      <c r="C294" s="16" t="s">
        <v>1315</v>
      </c>
    </row>
    <row r="295" spans="1:3">
      <c r="A295" s="11" t="s">
        <v>318</v>
      </c>
      <c r="B295" s="12" t="s">
        <v>1761</v>
      </c>
      <c r="C295" s="12" t="s">
        <v>1315</v>
      </c>
    </row>
    <row r="296" spans="1:3">
      <c r="A296" s="11" t="s">
        <v>602</v>
      </c>
      <c r="B296" s="12" t="s">
        <v>1762</v>
      </c>
      <c r="C296" s="12" t="s">
        <v>1315</v>
      </c>
    </row>
    <row r="297" spans="1:3">
      <c r="A297" s="11" t="s">
        <v>317</v>
      </c>
      <c r="B297" s="12" t="s">
        <v>1763</v>
      </c>
      <c r="C297" s="12" t="s">
        <v>1315</v>
      </c>
    </row>
    <row r="298" spans="1:3">
      <c r="A298" s="11" t="s">
        <v>772</v>
      </c>
      <c r="B298" s="12" t="s">
        <v>1764</v>
      </c>
      <c r="C298" s="12" t="s">
        <v>1315</v>
      </c>
    </row>
    <row r="299" spans="1:3">
      <c r="A299" s="11" t="s">
        <v>597</v>
      </c>
      <c r="B299" s="12" t="s">
        <v>1765</v>
      </c>
      <c r="C299" s="12" t="s">
        <v>1315</v>
      </c>
    </row>
    <row r="300" spans="1:3">
      <c r="A300" s="11" t="s">
        <v>393</v>
      </c>
      <c r="B300" s="12" t="s">
        <v>1766</v>
      </c>
      <c r="C300" s="12" t="s">
        <v>1315</v>
      </c>
    </row>
    <row r="301" spans="1:3">
      <c r="A301" s="11" t="s">
        <v>1081</v>
      </c>
      <c r="B301" s="12" t="s">
        <v>1767</v>
      </c>
      <c r="C301" s="12" t="s">
        <v>1315</v>
      </c>
    </row>
    <row r="302" spans="1:3">
      <c r="A302" s="11" t="s">
        <v>1483</v>
      </c>
      <c r="B302" s="12" t="s">
        <v>1768</v>
      </c>
      <c r="C302" s="12" t="s">
        <v>1315</v>
      </c>
    </row>
    <row r="303" spans="1:3">
      <c r="A303" s="11" t="s">
        <v>394</v>
      </c>
      <c r="B303" s="12" t="s">
        <v>1769</v>
      </c>
      <c r="C303" s="12" t="s">
        <v>1315</v>
      </c>
    </row>
    <row r="304" spans="1:3">
      <c r="A304" s="11" t="s">
        <v>1264</v>
      </c>
      <c r="B304" s="12" t="s">
        <v>1770</v>
      </c>
      <c r="C304" s="12" t="s">
        <v>1315</v>
      </c>
    </row>
    <row r="305" spans="1:3">
      <c r="A305" s="11" t="s">
        <v>595</v>
      </c>
      <c r="B305" s="12" t="s">
        <v>1771</v>
      </c>
      <c r="C305" s="12" t="s">
        <v>1315</v>
      </c>
    </row>
    <row r="306" spans="1:3">
      <c r="A306" s="11" t="s">
        <v>1202</v>
      </c>
      <c r="B306" s="12" t="s">
        <v>1772</v>
      </c>
      <c r="C306" s="12" t="s">
        <v>1315</v>
      </c>
    </row>
    <row r="307" spans="1:3">
      <c r="A307" s="11" t="s">
        <v>596</v>
      </c>
      <c r="B307" s="12" t="s">
        <v>1773</v>
      </c>
      <c r="C307" s="12" t="s">
        <v>1315</v>
      </c>
    </row>
    <row r="308" spans="1:3">
      <c r="A308" s="11" t="s">
        <v>178</v>
      </c>
      <c r="B308" s="12" t="s">
        <v>1774</v>
      </c>
      <c r="C308" s="12" t="s">
        <v>1315</v>
      </c>
    </row>
    <row r="309" spans="1:3">
      <c r="A309" s="11" t="s">
        <v>1182</v>
      </c>
      <c r="B309" s="12" t="s">
        <v>1775</v>
      </c>
      <c r="C309" s="12" t="s">
        <v>1315</v>
      </c>
    </row>
    <row r="310" spans="1:3">
      <c r="A310" s="13" t="s">
        <v>438</v>
      </c>
      <c r="B310" s="14" t="s">
        <v>1849</v>
      </c>
      <c r="C310" s="14" t="s">
        <v>1315</v>
      </c>
    </row>
    <row r="311" spans="1:3">
      <c r="A311" s="13" t="s">
        <v>437</v>
      </c>
      <c r="B311" s="14" t="s">
        <v>1850</v>
      </c>
      <c r="C311" s="14" t="s">
        <v>1315</v>
      </c>
    </row>
    <row r="312" spans="1:3">
      <c r="A312" s="13" t="s">
        <v>1607</v>
      </c>
      <c r="B312" s="14" t="s">
        <v>1851</v>
      </c>
      <c r="C312" s="14" t="s">
        <v>1315</v>
      </c>
    </row>
    <row r="313" spans="1:3">
      <c r="A313" s="13" t="s">
        <v>1999</v>
      </c>
      <c r="B313" s="14" t="s">
        <v>2000</v>
      </c>
      <c r="C313" s="14" t="s">
        <v>1315</v>
      </c>
    </row>
    <row r="314" spans="1:3">
      <c r="A314" s="13" t="s">
        <v>436</v>
      </c>
      <c r="B314" s="14" t="s">
        <v>1848</v>
      </c>
      <c r="C314" s="14" t="s">
        <v>1315</v>
      </c>
    </row>
    <row r="315" spans="1:3">
      <c r="A315" s="11" t="s">
        <v>396</v>
      </c>
      <c r="B315" s="12" t="s">
        <v>1776</v>
      </c>
      <c r="C315" s="12" t="s">
        <v>739</v>
      </c>
    </row>
    <row r="316" spans="1:3">
      <c r="A316" s="11" t="s">
        <v>968</v>
      </c>
      <c r="B316" s="12" t="s">
        <v>1777</v>
      </c>
      <c r="C316" s="12" t="s">
        <v>739</v>
      </c>
    </row>
    <row r="317" spans="1:3">
      <c r="A317" s="11" t="s">
        <v>1971</v>
      </c>
      <c r="B317" s="12" t="s">
        <v>2011</v>
      </c>
      <c r="C317" s="12" t="s">
        <v>739</v>
      </c>
    </row>
    <row r="318" spans="1:3">
      <c r="A318" s="11" t="s">
        <v>2016</v>
      </c>
      <c r="B318" s="12" t="s">
        <v>2018</v>
      </c>
      <c r="C318" s="12" t="s">
        <v>739</v>
      </c>
    </row>
    <row r="319" spans="1:3">
      <c r="A319" s="11" t="s">
        <v>2017</v>
      </c>
      <c r="B319" s="12" t="s">
        <v>2019</v>
      </c>
      <c r="C319" s="12" t="s">
        <v>739</v>
      </c>
    </row>
    <row r="320" spans="1:3">
      <c r="A320" s="11" t="s">
        <v>481</v>
      </c>
      <c r="B320" s="12" t="s">
        <v>1778</v>
      </c>
      <c r="C320" s="12" t="s">
        <v>739</v>
      </c>
    </row>
    <row r="321" spans="1:3">
      <c r="A321" s="11" t="s">
        <v>740</v>
      </c>
      <c r="B321" s="12" t="s">
        <v>1779</v>
      </c>
      <c r="C321" s="12" t="s">
        <v>739</v>
      </c>
    </row>
    <row r="322" spans="1:3">
      <c r="A322" s="11" t="s">
        <v>741</v>
      </c>
      <c r="B322" s="12" t="s">
        <v>1780</v>
      </c>
      <c r="C322" s="12" t="s">
        <v>739</v>
      </c>
    </row>
    <row r="323" spans="1:3">
      <c r="A323" s="11" t="s">
        <v>480</v>
      </c>
      <c r="B323" s="12" t="s">
        <v>1781</v>
      </c>
      <c r="C323" s="12" t="s">
        <v>739</v>
      </c>
    </row>
    <row r="324" spans="1:3">
      <c r="A324" s="11" t="s">
        <v>217</v>
      </c>
      <c r="B324" s="12" t="s">
        <v>1782</v>
      </c>
      <c r="C324" s="12" t="s">
        <v>739</v>
      </c>
    </row>
    <row r="325" spans="1:3">
      <c r="A325" s="11" t="s">
        <v>218</v>
      </c>
      <c r="B325" s="12" t="s">
        <v>1783</v>
      </c>
      <c r="C325" s="12" t="s">
        <v>739</v>
      </c>
    </row>
    <row r="326" spans="1:3">
      <c r="A326" s="11" t="s">
        <v>216</v>
      </c>
      <c r="B326" s="12" t="s">
        <v>1784</v>
      </c>
      <c r="C326" s="12" t="s">
        <v>739</v>
      </c>
    </row>
    <row r="327" spans="1:3">
      <c r="A327" s="11" t="s">
        <v>455</v>
      </c>
      <c r="B327" s="12" t="s">
        <v>1785</v>
      </c>
      <c r="C327" s="12" t="s">
        <v>739</v>
      </c>
    </row>
    <row r="328" spans="1:3">
      <c r="A328" s="11" t="s">
        <v>186</v>
      </c>
      <c r="B328" s="12" t="s">
        <v>1786</v>
      </c>
      <c r="C328" s="12" t="s">
        <v>739</v>
      </c>
    </row>
    <row r="329" spans="1:3">
      <c r="A329" s="11" t="s">
        <v>603</v>
      </c>
      <c r="B329" s="12" t="s">
        <v>1787</v>
      </c>
      <c r="C329" s="12" t="s">
        <v>739</v>
      </c>
    </row>
    <row r="330" spans="1:3">
      <c r="A330" s="11" t="s">
        <v>185</v>
      </c>
      <c r="B330" s="12" t="s">
        <v>1788</v>
      </c>
      <c r="C330" s="12" t="s">
        <v>739</v>
      </c>
    </row>
    <row r="331" spans="1:3">
      <c r="A331" s="11" t="s">
        <v>1604</v>
      </c>
      <c r="B331" s="12" t="s">
        <v>1789</v>
      </c>
      <c r="C331" s="12" t="s">
        <v>739</v>
      </c>
    </row>
    <row r="332" spans="1:3">
      <c r="A332" s="11" t="s">
        <v>271</v>
      </c>
      <c r="B332" s="12" t="s">
        <v>1790</v>
      </c>
      <c r="C332" s="12" t="s">
        <v>739</v>
      </c>
    </row>
    <row r="333" spans="1:3">
      <c r="A333" s="11" t="s">
        <v>235</v>
      </c>
      <c r="B333" s="12" t="s">
        <v>1791</v>
      </c>
      <c r="C333" s="12" t="s">
        <v>739</v>
      </c>
    </row>
    <row r="334" spans="1:3">
      <c r="A334" s="11" t="s">
        <v>272</v>
      </c>
      <c r="B334" s="12" t="s">
        <v>1792</v>
      </c>
      <c r="C334" s="12" t="s">
        <v>739</v>
      </c>
    </row>
    <row r="335" spans="1:3">
      <c r="A335" s="11" t="s">
        <v>1605</v>
      </c>
      <c r="B335" s="12" t="s">
        <v>1793</v>
      </c>
      <c r="C335" s="12" t="s">
        <v>739</v>
      </c>
    </row>
    <row r="336" spans="1:3">
      <c r="A336" s="11" t="s">
        <v>1318</v>
      </c>
      <c r="B336" s="12" t="s">
        <v>1794</v>
      </c>
      <c r="C336" s="12" t="s">
        <v>739</v>
      </c>
    </row>
    <row r="337" spans="1:3">
      <c r="A337" s="11" t="s">
        <v>803</v>
      </c>
      <c r="B337" s="12" t="s">
        <v>1795</v>
      </c>
      <c r="C337" s="12" t="s">
        <v>739</v>
      </c>
    </row>
    <row r="338" spans="1:3">
      <c r="A338" s="11" t="s">
        <v>1323</v>
      </c>
      <c r="B338" s="12" t="s">
        <v>1796</v>
      </c>
      <c r="C338" s="12" t="s">
        <v>739</v>
      </c>
    </row>
    <row r="339" spans="1:3">
      <c r="A339" s="11" t="s">
        <v>1606</v>
      </c>
      <c r="B339" s="12" t="s">
        <v>1797</v>
      </c>
      <c r="C339" s="12" t="s">
        <v>739</v>
      </c>
    </row>
    <row r="340" spans="1:3">
      <c r="A340" s="13" t="s">
        <v>172</v>
      </c>
      <c r="B340" s="14" t="s">
        <v>1858</v>
      </c>
      <c r="C340" s="14" t="s">
        <v>739</v>
      </c>
    </row>
    <row r="341" spans="1:3">
      <c r="A341" s="13" t="s">
        <v>247</v>
      </c>
      <c r="B341" s="14" t="s">
        <v>1858</v>
      </c>
      <c r="C341" s="14" t="s">
        <v>739</v>
      </c>
    </row>
    <row r="342" spans="1:3">
      <c r="A342" s="13" t="s">
        <v>1089</v>
      </c>
      <c r="B342" s="14" t="s">
        <v>1857</v>
      </c>
      <c r="C342" s="14" t="s">
        <v>739</v>
      </c>
    </row>
    <row r="343" spans="1:3">
      <c r="A343" s="13" t="s">
        <v>2029</v>
      </c>
      <c r="B343" s="14" t="s">
        <v>2030</v>
      </c>
      <c r="C343" s="14" t="s">
        <v>2031</v>
      </c>
    </row>
    <row r="344" spans="1:3">
      <c r="A344" s="11" t="s">
        <v>1610</v>
      </c>
      <c r="B344" s="15" t="s">
        <v>1861</v>
      </c>
      <c r="C344" s="16" t="s">
        <v>739</v>
      </c>
    </row>
    <row r="345" spans="1:3">
      <c r="A345" s="11" t="s">
        <v>1611</v>
      </c>
      <c r="B345" s="15" t="s">
        <v>1861</v>
      </c>
      <c r="C345" s="16" t="s">
        <v>739</v>
      </c>
    </row>
    <row r="346" spans="1:3">
      <c r="A346" s="11" t="s">
        <v>1317</v>
      </c>
      <c r="B346" s="12" t="s">
        <v>1798</v>
      </c>
      <c r="C346" s="12" t="s">
        <v>739</v>
      </c>
    </row>
    <row r="347" spans="1:3">
      <c r="A347" s="11" t="s">
        <v>1316</v>
      </c>
      <c r="B347" s="12" t="s">
        <v>1799</v>
      </c>
      <c r="C347" s="12" t="s">
        <v>739</v>
      </c>
    </row>
    <row r="348" spans="1:3">
      <c r="A348" s="11" t="s">
        <v>433</v>
      </c>
      <c r="B348" s="12" t="s">
        <v>1800</v>
      </c>
      <c r="C348" s="12" t="s">
        <v>739</v>
      </c>
    </row>
    <row r="349" spans="1:3">
      <c r="A349" s="11" t="s">
        <v>434</v>
      </c>
      <c r="B349" s="12" t="s">
        <v>1801</v>
      </c>
      <c r="C349" s="12" t="s">
        <v>739</v>
      </c>
    </row>
    <row r="350" spans="1:3">
      <c r="A350" s="11" t="s">
        <v>1480</v>
      </c>
      <c r="B350" s="12" t="s">
        <v>1802</v>
      </c>
      <c r="C350" s="12" t="s">
        <v>739</v>
      </c>
    </row>
    <row r="351" spans="1:3">
      <c r="A351" s="11" t="s">
        <v>600</v>
      </c>
      <c r="B351" s="12" t="s">
        <v>1803</v>
      </c>
      <c r="C351" s="12" t="s">
        <v>739</v>
      </c>
    </row>
    <row r="352" spans="1:3">
      <c r="A352" s="11" t="s">
        <v>1481</v>
      </c>
      <c r="B352" s="12" t="s">
        <v>1804</v>
      </c>
      <c r="C352" s="12" t="s">
        <v>739</v>
      </c>
    </row>
    <row r="353" spans="1:3">
      <c r="A353" s="11" t="s">
        <v>1482</v>
      </c>
      <c r="B353" s="12" t="s">
        <v>1805</v>
      </c>
      <c r="C353" s="12" t="s">
        <v>739</v>
      </c>
    </row>
    <row r="354" spans="1:3">
      <c r="A354" s="11" t="s">
        <v>171</v>
      </c>
      <c r="B354" s="12" t="s">
        <v>1806</v>
      </c>
      <c r="C354" s="12" t="s">
        <v>739</v>
      </c>
    </row>
    <row r="355" spans="1:3">
      <c r="A355" s="11" t="s">
        <v>1338</v>
      </c>
      <c r="B355" s="12" t="s">
        <v>1807</v>
      </c>
      <c r="C355" s="12" t="s">
        <v>739</v>
      </c>
    </row>
    <row r="356" spans="1:3">
      <c r="A356" s="11" t="s">
        <v>269</v>
      </c>
      <c r="B356" s="12" t="s">
        <v>1808</v>
      </c>
      <c r="C356" s="12" t="s">
        <v>739</v>
      </c>
    </row>
    <row r="357" spans="1:3">
      <c r="A357" s="11" t="s">
        <v>267</v>
      </c>
      <c r="B357" s="12" t="s">
        <v>1809</v>
      </c>
      <c r="C357" s="12" t="s">
        <v>739</v>
      </c>
    </row>
    <row r="358" spans="1:3">
      <c r="A358" s="11" t="s">
        <v>2316</v>
      </c>
      <c r="B358" s="12" t="s">
        <v>2563</v>
      </c>
      <c r="C358" s="12" t="s">
        <v>739</v>
      </c>
    </row>
    <row r="359" spans="1:3">
      <c r="A359" s="11" t="s">
        <v>2314</v>
      </c>
      <c r="B359" s="12" t="s">
        <v>2564</v>
      </c>
      <c r="C359" s="12" t="s">
        <v>739</v>
      </c>
    </row>
    <row r="360" spans="1:3">
      <c r="A360" s="11" t="s">
        <v>2315</v>
      </c>
      <c r="B360" s="12" t="s">
        <v>2565</v>
      </c>
      <c r="C360" s="12" t="s">
        <v>739</v>
      </c>
    </row>
    <row r="361" spans="1:3">
      <c r="A361" s="11" t="s">
        <v>2317</v>
      </c>
      <c r="B361" s="12" t="s">
        <v>2566</v>
      </c>
      <c r="C361" s="12" t="s">
        <v>739</v>
      </c>
    </row>
    <row r="362" spans="1:3">
      <c r="A362" s="11" t="s">
        <v>328</v>
      </c>
      <c r="B362" s="12" t="s">
        <v>1810</v>
      </c>
      <c r="C362" s="12" t="s">
        <v>1433</v>
      </c>
    </row>
    <row r="363" spans="1:3">
      <c r="A363" s="11" t="s">
        <v>1351</v>
      </c>
      <c r="B363" s="12" t="s">
        <v>1811</v>
      </c>
      <c r="C363" s="12" t="s">
        <v>1433</v>
      </c>
    </row>
    <row r="364" spans="1:3">
      <c r="A364" s="11" t="s">
        <v>1325</v>
      </c>
      <c r="B364" s="12" t="s">
        <v>1812</v>
      </c>
      <c r="C364" s="12" t="s">
        <v>1433</v>
      </c>
    </row>
    <row r="365" spans="1:3">
      <c r="A365" s="11" t="s">
        <v>6</v>
      </c>
      <c r="B365" s="12" t="s">
        <v>1813</v>
      </c>
      <c r="C365" s="12" t="s">
        <v>1433</v>
      </c>
    </row>
    <row r="366" spans="1:3">
      <c r="A366" s="11" t="s">
        <v>1599</v>
      </c>
      <c r="B366" s="12" t="s">
        <v>1814</v>
      </c>
      <c r="C366" s="12" t="s">
        <v>1433</v>
      </c>
    </row>
    <row r="367" spans="1:3">
      <c r="A367" s="13" t="s">
        <v>236</v>
      </c>
      <c r="B367" s="14" t="s">
        <v>1626</v>
      </c>
      <c r="C367" s="14" t="s">
        <v>1433</v>
      </c>
    </row>
    <row r="368" spans="1:3">
      <c r="A368" s="11" t="s">
        <v>570</v>
      </c>
      <c r="B368" s="12" t="s">
        <v>1815</v>
      </c>
      <c r="C368" s="12" t="s">
        <v>1433</v>
      </c>
    </row>
    <row r="369" spans="1:3">
      <c r="A369" s="11" t="s">
        <v>592</v>
      </c>
      <c r="B369" s="12" t="s">
        <v>1816</v>
      </c>
      <c r="C369" s="12" t="s">
        <v>1433</v>
      </c>
    </row>
    <row r="370" spans="1:3">
      <c r="A370" s="11" t="s">
        <v>1037</v>
      </c>
      <c r="B370" s="12" t="s">
        <v>1817</v>
      </c>
      <c r="C370" s="12" t="s">
        <v>1433</v>
      </c>
    </row>
    <row r="371" spans="1:3">
      <c r="A371" s="13" t="s">
        <v>549</v>
      </c>
      <c r="B371" s="14" t="s">
        <v>1635</v>
      </c>
      <c r="C371" s="16" t="s">
        <v>1433</v>
      </c>
    </row>
    <row r="372" spans="1:3">
      <c r="A372" s="11" t="s">
        <v>1045</v>
      </c>
      <c r="B372" s="12" t="s">
        <v>1818</v>
      </c>
      <c r="C372" s="12" t="s">
        <v>1433</v>
      </c>
    </row>
    <row r="373" spans="1:3">
      <c r="A373" s="11" t="s">
        <v>483</v>
      </c>
      <c r="B373" s="12" t="s">
        <v>1819</v>
      </c>
      <c r="C373" s="12" t="s">
        <v>1433</v>
      </c>
    </row>
    <row r="374" spans="1:3">
      <c r="A374" s="11" t="s">
        <v>1600</v>
      </c>
      <c r="B374" s="12" t="s">
        <v>1820</v>
      </c>
      <c r="C374" s="12" t="s">
        <v>1433</v>
      </c>
    </row>
    <row r="375" spans="1:3">
      <c r="A375" s="11" t="s">
        <v>844</v>
      </c>
      <c r="B375" s="12" t="s">
        <v>1821</v>
      </c>
      <c r="C375" s="12" t="s">
        <v>1433</v>
      </c>
    </row>
    <row r="376" spans="1:3">
      <c r="A376" s="11" t="s">
        <v>879</v>
      </c>
      <c r="B376" s="12" t="s">
        <v>1822</v>
      </c>
      <c r="C376" s="12" t="s">
        <v>1433</v>
      </c>
    </row>
    <row r="377" spans="1:3">
      <c r="A377" s="11" t="s">
        <v>1601</v>
      </c>
      <c r="B377" s="12" t="s">
        <v>1823</v>
      </c>
      <c r="C377" s="12" t="s">
        <v>1433</v>
      </c>
    </row>
    <row r="378" spans="1:3">
      <c r="A378" s="11" t="s">
        <v>224</v>
      </c>
      <c r="B378" s="12" t="s">
        <v>1824</v>
      </c>
      <c r="C378" s="12" t="s">
        <v>1433</v>
      </c>
    </row>
    <row r="379" spans="1:3">
      <c r="A379" s="11" t="s">
        <v>1261</v>
      </c>
      <c r="B379" s="12" t="s">
        <v>1825</v>
      </c>
      <c r="C379" s="12" t="s">
        <v>1433</v>
      </c>
    </row>
    <row r="380" spans="1:3">
      <c r="A380" s="11" t="s">
        <v>1602</v>
      </c>
      <c r="B380" s="12" t="s">
        <v>1826</v>
      </c>
      <c r="C380" s="12" t="s">
        <v>1433</v>
      </c>
    </row>
    <row r="381" spans="1:3">
      <c r="A381" s="11" t="s">
        <v>2009</v>
      </c>
      <c r="B381" s="12" t="s">
        <v>2010</v>
      </c>
      <c r="C381" s="12" t="s">
        <v>1433</v>
      </c>
    </row>
    <row r="382" spans="1:3">
      <c r="A382" s="11" t="s">
        <v>1969</v>
      </c>
      <c r="B382" s="12" t="s">
        <v>2028</v>
      </c>
      <c r="C382" s="12" t="s">
        <v>1433</v>
      </c>
    </row>
    <row r="383" spans="1:3">
      <c r="A383" s="11" t="s">
        <v>1259</v>
      </c>
      <c r="B383" s="12" t="s">
        <v>1827</v>
      </c>
      <c r="C383" s="12" t="s">
        <v>1259</v>
      </c>
    </row>
    <row r="384" spans="1:3">
      <c r="A384" s="11" t="s">
        <v>2274</v>
      </c>
      <c r="B384" s="12" t="s">
        <v>2275</v>
      </c>
      <c r="C384" s="12" t="s">
        <v>2015</v>
      </c>
    </row>
    <row r="385" spans="1:3">
      <c r="A385" s="11" t="s">
        <v>688</v>
      </c>
      <c r="B385" s="12" t="s">
        <v>1830</v>
      </c>
      <c r="C385" s="12" t="s">
        <v>2015</v>
      </c>
    </row>
    <row r="386" spans="1:3">
      <c r="A386" s="11" t="s">
        <v>144</v>
      </c>
      <c r="B386" s="12" t="s">
        <v>1831</v>
      </c>
      <c r="C386" s="12" t="s">
        <v>2015</v>
      </c>
    </row>
    <row r="387" spans="1:3">
      <c r="A387" s="11" t="s">
        <v>351</v>
      </c>
      <c r="B387" s="12" t="s">
        <v>1832</v>
      </c>
      <c r="C387" s="12" t="s">
        <v>2015</v>
      </c>
    </row>
    <row r="388" spans="1:3">
      <c r="A388" s="11" t="s">
        <v>1450</v>
      </c>
      <c r="B388" s="12" t="s">
        <v>1833</v>
      </c>
      <c r="C388" s="12" t="s">
        <v>2015</v>
      </c>
    </row>
    <row r="389" spans="1:3">
      <c r="A389" s="11" t="s">
        <v>1451</v>
      </c>
      <c r="B389" s="12" t="s">
        <v>1834</v>
      </c>
      <c r="C389" s="12" t="s">
        <v>2015</v>
      </c>
    </row>
    <row r="390" spans="1:3">
      <c r="A390" s="11" t="s">
        <v>2182</v>
      </c>
      <c r="B390" s="12" t="s">
        <v>1836</v>
      </c>
      <c r="C390" s="12" t="s">
        <v>2015</v>
      </c>
    </row>
    <row r="391" spans="1:3">
      <c r="A391" s="11" t="s">
        <v>1123</v>
      </c>
      <c r="B391" s="12" t="s">
        <v>1835</v>
      </c>
      <c r="C391" s="12" t="s">
        <v>2015</v>
      </c>
    </row>
    <row r="392" spans="1:3">
      <c r="A392" s="11" t="s">
        <v>2007</v>
      </c>
      <c r="B392" s="12" t="s">
        <v>1830</v>
      </c>
      <c r="C392" s="12" t="s">
        <v>2015</v>
      </c>
    </row>
    <row r="393" spans="1:3">
      <c r="A393" s="11" t="s">
        <v>687</v>
      </c>
      <c r="B393" s="12" t="s">
        <v>1836</v>
      </c>
      <c r="C393" s="12" t="s">
        <v>2015</v>
      </c>
    </row>
    <row r="394" spans="1:3">
      <c r="A394" s="11" t="s">
        <v>598</v>
      </c>
      <c r="B394" s="12" t="s">
        <v>1838</v>
      </c>
      <c r="C394" s="12" t="s">
        <v>2015</v>
      </c>
    </row>
    <row r="395" spans="1:3">
      <c r="A395" s="17" t="s">
        <v>599</v>
      </c>
      <c r="B395" s="12" t="s">
        <v>1839</v>
      </c>
      <c r="C395" s="12" t="s">
        <v>2015</v>
      </c>
    </row>
    <row r="396" spans="1:3">
      <c r="A396" s="17" t="s">
        <v>1</v>
      </c>
      <c r="B396" s="12" t="s">
        <v>1840</v>
      </c>
      <c r="C396" s="12" t="s">
        <v>2015</v>
      </c>
    </row>
    <row r="397" spans="1:3">
      <c r="A397" s="17" t="s">
        <v>2</v>
      </c>
      <c r="B397" s="12" t="s">
        <v>1841</v>
      </c>
      <c r="C397" s="12" t="s">
        <v>2015</v>
      </c>
    </row>
    <row r="398" spans="1:3">
      <c r="A398" s="17" t="s">
        <v>3</v>
      </c>
      <c r="B398" s="12" t="s">
        <v>1842</v>
      </c>
      <c r="C398" s="12" t="s">
        <v>2015</v>
      </c>
    </row>
    <row r="399" spans="1:3">
      <c r="A399" s="17" t="s">
        <v>1124</v>
      </c>
      <c r="B399" s="12" t="s">
        <v>1837</v>
      </c>
      <c r="C399" s="12" t="s">
        <v>2015</v>
      </c>
    </row>
    <row r="400" spans="1:3">
      <c r="A400" s="17" t="s">
        <v>2106</v>
      </c>
      <c r="B400" s="12" t="s">
        <v>2145</v>
      </c>
      <c r="C400" s="12" t="s">
        <v>2015</v>
      </c>
    </row>
    <row r="401" spans="1:3">
      <c r="A401" s="17" t="s">
        <v>2004</v>
      </c>
      <c r="B401" s="12" t="s">
        <v>2005</v>
      </c>
      <c r="C401" s="12" t="s">
        <v>2015</v>
      </c>
    </row>
    <row r="402" spans="1:3">
      <c r="A402" s="17" t="s">
        <v>2108</v>
      </c>
      <c r="B402" s="12" t="s">
        <v>2005</v>
      </c>
      <c r="C402" s="12" t="s">
        <v>2015</v>
      </c>
    </row>
    <row r="403" spans="1:3">
      <c r="A403" s="17" t="s">
        <v>2006</v>
      </c>
      <c r="B403" s="12" t="s">
        <v>2005</v>
      </c>
      <c r="C403" s="12" t="s">
        <v>2015</v>
      </c>
    </row>
    <row r="404" spans="1:3">
      <c r="A404" s="17" t="s">
        <v>270</v>
      </c>
      <c r="B404" s="12" t="s">
        <v>1843</v>
      </c>
      <c r="C404" s="12" t="s">
        <v>2015</v>
      </c>
    </row>
    <row r="405" spans="1:3">
      <c r="A405" s="17" t="s">
        <v>4</v>
      </c>
      <c r="B405" s="12" t="s">
        <v>1844</v>
      </c>
      <c r="C405" s="12" t="s">
        <v>2015</v>
      </c>
    </row>
    <row r="406" spans="1:3">
      <c r="A406" s="17" t="s">
        <v>5</v>
      </c>
      <c r="B406" s="12" t="s">
        <v>1845</v>
      </c>
      <c r="C406" s="12" t="s">
        <v>2015</v>
      </c>
    </row>
    <row r="407" spans="1:3">
      <c r="A407" s="17" t="s">
        <v>233</v>
      </c>
      <c r="B407" s="12" t="s">
        <v>1829</v>
      </c>
      <c r="C407" s="12" t="s">
        <v>2561</v>
      </c>
    </row>
    <row r="408" spans="1:3">
      <c r="A408" s="17" t="s">
        <v>1198</v>
      </c>
      <c r="B408" s="12" t="s">
        <v>1859</v>
      </c>
      <c r="C408" s="12" t="s">
        <v>2561</v>
      </c>
    </row>
    <row r="409" spans="1:3">
      <c r="A409" s="17" t="s">
        <v>1991</v>
      </c>
      <c r="B409" s="12" t="s">
        <v>2008</v>
      </c>
      <c r="C409" s="12" t="s">
        <v>2561</v>
      </c>
    </row>
    <row r="410" spans="1:3">
      <c r="A410" s="17" t="s">
        <v>1967</v>
      </c>
      <c r="B410" s="12" t="s">
        <v>1968</v>
      </c>
      <c r="C410" s="12" t="s">
        <v>501</v>
      </c>
    </row>
    <row r="411" spans="1:3">
      <c r="A411" s="17" t="s">
        <v>1969</v>
      </c>
      <c r="B411" s="12" t="s">
        <v>1968</v>
      </c>
      <c r="C411" s="12" t="s">
        <v>1433</v>
      </c>
    </row>
    <row r="412" spans="1:3">
      <c r="A412" s="17" t="s">
        <v>2552</v>
      </c>
      <c r="B412" s="12" t="s">
        <v>2562</v>
      </c>
      <c r="C412" s="12" t="s">
        <v>2151</v>
      </c>
    </row>
    <row r="413" spans="1:3">
      <c r="A413" s="17" t="s">
        <v>569</v>
      </c>
      <c r="B413" s="12" t="s">
        <v>1828</v>
      </c>
      <c r="C413" s="12" t="s">
        <v>1222</v>
      </c>
    </row>
    <row r="414" spans="1:3">
      <c r="A414" s="17" t="s">
        <v>934</v>
      </c>
      <c r="B414" s="12" t="s">
        <v>1629</v>
      </c>
      <c r="C414" s="12" t="s">
        <v>1222</v>
      </c>
    </row>
    <row r="415" spans="1:3">
      <c r="A415" s="17" t="s">
        <v>935</v>
      </c>
      <c r="B415" s="12" t="s">
        <v>1630</v>
      </c>
      <c r="C415" s="12" t="s">
        <v>1222</v>
      </c>
    </row>
    <row r="416" spans="1:3">
      <c r="A416" s="17" t="s">
        <v>1960</v>
      </c>
      <c r="B416" s="12" t="s">
        <v>1963</v>
      </c>
      <c r="C416" s="12" t="s">
        <v>1972</v>
      </c>
    </row>
    <row r="417" spans="1:3">
      <c r="A417" s="17" t="s">
        <v>1961</v>
      </c>
      <c r="B417" s="12" t="s">
        <v>1963</v>
      </c>
      <c r="C417" s="12" t="s">
        <v>1972</v>
      </c>
    </row>
    <row r="418" spans="1:3">
      <c r="A418" s="17" t="s">
        <v>1962</v>
      </c>
      <c r="B418" s="12" t="s">
        <v>1963</v>
      </c>
      <c r="C418" s="12" t="s">
        <v>1972</v>
      </c>
    </row>
    <row r="419" spans="1:3">
      <c r="A419" s="17" t="s">
        <v>1974</v>
      </c>
      <c r="B419" s="12" t="s">
        <v>1975</v>
      </c>
      <c r="C419" s="12" t="s">
        <v>1975</v>
      </c>
    </row>
    <row r="420" spans="1:3">
      <c r="A420" s="17" t="s">
        <v>1976</v>
      </c>
      <c r="B420" s="12" t="s">
        <v>1982</v>
      </c>
      <c r="C420" s="12" t="s">
        <v>1982</v>
      </c>
    </row>
    <row r="421" spans="1:3">
      <c r="A421" s="17" t="s">
        <v>1977</v>
      </c>
      <c r="B421" s="12" t="s">
        <v>1983</v>
      </c>
      <c r="C421" s="12" t="s">
        <v>1988</v>
      </c>
    </row>
    <row r="422" spans="1:3">
      <c r="A422" s="17" t="s">
        <v>1978</v>
      </c>
      <c r="B422" s="12" t="s">
        <v>1984</v>
      </c>
      <c r="C422" s="12" t="s">
        <v>1984</v>
      </c>
    </row>
    <row r="423" spans="1:3">
      <c r="A423" s="17" t="s">
        <v>1979</v>
      </c>
      <c r="B423" s="12" t="s">
        <v>1985</v>
      </c>
      <c r="C423" s="12" t="s">
        <v>1989</v>
      </c>
    </row>
    <row r="424" spans="1:3">
      <c r="A424" s="17" t="s">
        <v>1980</v>
      </c>
      <c r="B424" s="12" t="s">
        <v>1986</v>
      </c>
      <c r="C424" s="12" t="s">
        <v>1986</v>
      </c>
    </row>
    <row r="425" spans="1:3">
      <c r="A425" s="17" t="s">
        <v>1981</v>
      </c>
      <c r="B425" s="12" t="s">
        <v>1987</v>
      </c>
      <c r="C425" s="12" t="s">
        <v>1987</v>
      </c>
    </row>
    <row r="426" spans="1:3">
      <c r="A426" s="17" t="s">
        <v>1871</v>
      </c>
      <c r="B426" s="12" t="s">
        <v>1972</v>
      </c>
      <c r="C426" s="12" t="s">
        <v>1972</v>
      </c>
    </row>
    <row r="427" spans="1:3">
      <c r="A427" s="17" t="s">
        <v>1872</v>
      </c>
      <c r="B427" s="12" t="s">
        <v>1972</v>
      </c>
      <c r="C427" s="12" t="s">
        <v>1972</v>
      </c>
    </row>
    <row r="428" spans="1:3">
      <c r="A428" s="17" t="s">
        <v>2149</v>
      </c>
      <c r="B428" s="12" t="s">
        <v>2151</v>
      </c>
      <c r="C428" s="12" t="s">
        <v>2151</v>
      </c>
    </row>
    <row r="429" spans="1:3">
      <c r="A429" s="17" t="s">
        <v>2150</v>
      </c>
      <c r="B429" s="12" t="s">
        <v>2151</v>
      </c>
      <c r="C429" s="12" t="s">
        <v>2151</v>
      </c>
    </row>
    <row r="430" spans="1:3">
      <c r="A430" s="17" t="s">
        <v>2148</v>
      </c>
      <c r="B430" s="12" t="s">
        <v>2151</v>
      </c>
      <c r="C430" s="12" t="s">
        <v>2151</v>
      </c>
    </row>
    <row r="431" spans="1:3">
      <c r="A431" s="17" t="s">
        <v>1873</v>
      </c>
      <c r="B431" s="12" t="s">
        <v>1972</v>
      </c>
      <c r="C431" s="12" t="s">
        <v>2151</v>
      </c>
    </row>
    <row r="432" spans="1:3">
      <c r="A432" s="17" t="s">
        <v>1874</v>
      </c>
      <c r="B432" s="12" t="s">
        <v>1972</v>
      </c>
      <c r="C432" s="12" t="s">
        <v>2151</v>
      </c>
    </row>
    <row r="433" spans="1:3">
      <c r="A433" s="17" t="s">
        <v>1875</v>
      </c>
      <c r="B433" s="12" t="s">
        <v>1972</v>
      </c>
      <c r="C433" s="12" t="s">
        <v>2151</v>
      </c>
    </row>
  </sheetData>
  <autoFilter ref="A1:C415" xr:uid="{00000000-0009-0000-0000-000004000000}"/>
  <customSheetViews>
    <customSheetView guid="{CFC4CAFC-BC4C-4F46-9B82-13449557B064}" showAutoFilter="1" topLeftCell="A154">
      <selection activeCell="H24" sqref="H24:H25"/>
      <pageMargins left="0.7" right="0.7" top="0.75" bottom="0.75" header="0.3" footer="0.3"/>
      <pageSetup paperSize="9" orientation="portrait" r:id="rId1"/>
      <autoFilter ref="A1:C261" xr:uid="{00000000-0000-0000-0000-000000000000}">
        <sortState xmlns:xlrd2="http://schemas.microsoft.com/office/spreadsheetml/2017/richdata2" ref="A2:C261">
          <sortCondition ref="A1:A252"/>
        </sortState>
      </autoFilter>
    </customSheetView>
    <customSheetView guid="{8159545F-1D15-48BC-B10A-2F5C280D069A}" showAutoFilter="1" topLeftCell="A154">
      <selection activeCell="H24" sqref="H24:H25"/>
      <pageMargins left="0.7" right="0.7" top="0.75" bottom="0.75" header="0.3" footer="0.3"/>
      <pageSetup paperSize="9" orientation="portrait" r:id="rId2"/>
      <autoFilter ref="A1:C252" xr:uid="{00000000-0000-0000-0000-000000000000}">
        <sortState xmlns:xlrd2="http://schemas.microsoft.com/office/spreadsheetml/2017/richdata2" ref="A2:C261">
          <sortCondition ref="A1:A252"/>
        </sortState>
      </autoFilter>
    </customSheetView>
  </customSheetView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26">
    <tabColor rgb="FFFF0000"/>
  </sheetPr>
  <dimension ref="A1:C404"/>
  <sheetViews>
    <sheetView tabSelected="1" workbookViewId="0">
      <selection activeCell="C2" sqref="C2"/>
    </sheetView>
  </sheetViews>
  <sheetFormatPr defaultRowHeight="13.2"/>
  <cols>
    <col min="1" max="1" width="8.6640625" customWidth="1"/>
    <col min="2" max="2" width="47.109375" bestFit="1" customWidth="1"/>
    <col min="3" max="3" width="16.44140625" customWidth="1"/>
    <col min="6" max="6" width="12.44140625" customWidth="1"/>
    <col min="9" max="9" width="13.88671875" customWidth="1"/>
  </cols>
  <sheetData>
    <row r="1" spans="1:3">
      <c r="A1" s="109" t="s">
        <v>1257</v>
      </c>
      <c r="B1" s="109" t="s">
        <v>929</v>
      </c>
      <c r="C1" s="110" t="s">
        <v>5077</v>
      </c>
    </row>
    <row r="2" spans="1:3" ht="14.4">
      <c r="A2" s="111">
        <v>3</v>
      </c>
      <c r="B2" s="70" t="s">
        <v>1860</v>
      </c>
      <c r="C2" s="70" t="s">
        <v>739</v>
      </c>
    </row>
    <row r="3" spans="1:3" ht="14.4">
      <c r="A3" s="111">
        <v>4</v>
      </c>
      <c r="B3" s="70" t="s">
        <v>1860</v>
      </c>
      <c r="C3" s="70" t="s">
        <v>739</v>
      </c>
    </row>
    <row r="4" spans="1:3" ht="14.4">
      <c r="A4" s="69" t="s">
        <v>655</v>
      </c>
      <c r="B4" s="69" t="s">
        <v>1640</v>
      </c>
      <c r="C4" s="69" t="s">
        <v>2015</v>
      </c>
    </row>
    <row r="5" spans="1:3" ht="14.4">
      <c r="A5" s="69" t="s">
        <v>809</v>
      </c>
      <c r="B5" s="69" t="s">
        <v>2631</v>
      </c>
      <c r="C5" s="69" t="s">
        <v>2015</v>
      </c>
    </row>
    <row r="6" spans="1:3" ht="14.4">
      <c r="A6" s="69" t="s">
        <v>2426</v>
      </c>
      <c r="B6" s="69" t="s">
        <v>1640</v>
      </c>
      <c r="C6" s="69" t="s">
        <v>2015</v>
      </c>
    </row>
    <row r="7" spans="1:3" ht="14.4">
      <c r="A7" s="69" t="s">
        <v>1367</v>
      </c>
      <c r="B7" s="69" t="s">
        <v>1640</v>
      </c>
      <c r="C7" s="69" t="s">
        <v>2015</v>
      </c>
    </row>
    <row r="8" spans="1:3" ht="14.4">
      <c r="A8" s="68" t="s">
        <v>1190</v>
      </c>
      <c r="B8" s="68" t="s">
        <v>1594</v>
      </c>
      <c r="C8" s="68" t="s">
        <v>1594</v>
      </c>
    </row>
    <row r="9" spans="1:3" ht="14.4">
      <c r="A9" s="68" t="s">
        <v>1191</v>
      </c>
      <c r="B9" s="68" t="s">
        <v>1594</v>
      </c>
      <c r="C9" s="68" t="s">
        <v>1594</v>
      </c>
    </row>
    <row r="10" spans="1:3" ht="20.25" customHeight="1">
      <c r="A10" s="68" t="s">
        <v>1189</v>
      </c>
      <c r="B10" s="68" t="s">
        <v>1594</v>
      </c>
      <c r="C10" s="68" t="s">
        <v>1594</v>
      </c>
    </row>
    <row r="11" spans="1:3" ht="14.4">
      <c r="A11" s="68" t="s">
        <v>1596</v>
      </c>
      <c r="B11" s="68" t="s">
        <v>1594</v>
      </c>
      <c r="C11" s="68" t="s">
        <v>1594</v>
      </c>
    </row>
    <row r="12" spans="1:3" ht="14.4">
      <c r="A12" s="68" t="s">
        <v>1866</v>
      </c>
      <c r="B12" s="68" t="s">
        <v>1594</v>
      </c>
      <c r="C12" s="68" t="s">
        <v>1594</v>
      </c>
    </row>
    <row r="13" spans="1:3" ht="14.4">
      <c r="A13" s="68" t="s">
        <v>1867</v>
      </c>
      <c r="B13" s="68" t="s">
        <v>1594</v>
      </c>
      <c r="C13" s="68" t="s">
        <v>1594</v>
      </c>
    </row>
    <row r="14" spans="1:3" ht="14.4">
      <c r="A14" s="68" t="s">
        <v>1597</v>
      </c>
      <c r="B14" s="68" t="s">
        <v>1594</v>
      </c>
      <c r="C14" s="68" t="s">
        <v>1594</v>
      </c>
    </row>
    <row r="15" spans="1:3" ht="14.4">
      <c r="A15" s="68" t="s">
        <v>1868</v>
      </c>
      <c r="B15" s="68" t="s">
        <v>1594</v>
      </c>
      <c r="C15" s="68" t="s">
        <v>1594</v>
      </c>
    </row>
    <row r="16" spans="1:3" ht="14.4">
      <c r="A16" s="68" t="s">
        <v>1595</v>
      </c>
      <c r="B16" s="68" t="s">
        <v>1594</v>
      </c>
      <c r="C16" s="68" t="s">
        <v>1594</v>
      </c>
    </row>
    <row r="17" spans="1:3" ht="14.4">
      <c r="A17" s="68" t="s">
        <v>1612</v>
      </c>
      <c r="B17" s="68" t="s">
        <v>1594</v>
      </c>
      <c r="C17" s="68" t="s">
        <v>1594</v>
      </c>
    </row>
    <row r="18" spans="1:3" ht="14.4">
      <c r="A18" s="68" t="s">
        <v>1869</v>
      </c>
      <c r="B18" s="68" t="s">
        <v>1594</v>
      </c>
      <c r="C18" s="68" t="s">
        <v>1998</v>
      </c>
    </row>
    <row r="19" spans="1:3" ht="14.4">
      <c r="A19" s="68" t="s">
        <v>1870</v>
      </c>
      <c r="B19" s="68" t="s">
        <v>1594</v>
      </c>
      <c r="C19" s="68" t="s">
        <v>1997</v>
      </c>
    </row>
    <row r="20" spans="1:3" ht="14.4">
      <c r="A20" s="68" t="s">
        <v>1621</v>
      </c>
      <c r="B20" s="68" t="s">
        <v>1594</v>
      </c>
      <c r="C20" s="68" t="s">
        <v>1594</v>
      </c>
    </row>
    <row r="21" spans="1:3" ht="14.4">
      <c r="A21" s="69" t="s">
        <v>1437</v>
      </c>
      <c r="B21" s="69" t="s">
        <v>510</v>
      </c>
      <c r="C21" s="69" t="s">
        <v>2015</v>
      </c>
    </row>
    <row r="22" spans="1:3" ht="14.4">
      <c r="A22" s="69" t="s">
        <v>1263</v>
      </c>
      <c r="B22" s="69" t="s">
        <v>510</v>
      </c>
      <c r="C22" s="69" t="s">
        <v>2015</v>
      </c>
    </row>
    <row r="23" spans="1:3" ht="14.4">
      <c r="A23" s="69" t="s">
        <v>808</v>
      </c>
      <c r="B23" s="69" t="s">
        <v>510</v>
      </c>
      <c r="C23" s="69" t="s">
        <v>2015</v>
      </c>
    </row>
    <row r="24" spans="1:3" ht="14.4">
      <c r="A24" s="69" t="s">
        <v>1453</v>
      </c>
      <c r="B24" s="69" t="s">
        <v>510</v>
      </c>
      <c r="C24" s="69" t="s">
        <v>2015</v>
      </c>
    </row>
    <row r="25" spans="1:3" ht="14.4">
      <c r="A25" s="69" t="s">
        <v>810</v>
      </c>
      <c r="B25" s="69" t="s">
        <v>510</v>
      </c>
      <c r="C25" s="69" t="s">
        <v>2015</v>
      </c>
    </row>
    <row r="26" spans="1:3" ht="14.4">
      <c r="A26" s="69" t="s">
        <v>969</v>
      </c>
      <c r="B26" s="69" t="s">
        <v>510</v>
      </c>
      <c r="C26" s="69" t="s">
        <v>2015</v>
      </c>
    </row>
    <row r="27" spans="1:3" ht="14.4">
      <c r="A27" s="69" t="s">
        <v>1319</v>
      </c>
      <c r="B27" s="69" t="s">
        <v>1647</v>
      </c>
      <c r="C27" s="69" t="s">
        <v>2015</v>
      </c>
    </row>
    <row r="28" spans="1:3" ht="14.4">
      <c r="A28" s="69" t="s">
        <v>1613</v>
      </c>
      <c r="B28" s="69" t="s">
        <v>2632</v>
      </c>
      <c r="C28" s="69" t="s">
        <v>2015</v>
      </c>
    </row>
    <row r="29" spans="1:3" ht="14.4">
      <c r="A29" s="69" t="s">
        <v>1181</v>
      </c>
      <c r="B29" s="69" t="s">
        <v>2632</v>
      </c>
      <c r="C29" s="69" t="s">
        <v>2015</v>
      </c>
    </row>
    <row r="30" spans="1:3" ht="14.4">
      <c r="A30" s="69" t="s">
        <v>1180</v>
      </c>
      <c r="B30" s="69" t="s">
        <v>2632</v>
      </c>
      <c r="C30" s="69" t="s">
        <v>2015</v>
      </c>
    </row>
    <row r="31" spans="1:3" ht="14.4">
      <c r="A31" s="69" t="s">
        <v>146</v>
      </c>
      <c r="B31" s="69" t="s">
        <v>2632</v>
      </c>
      <c r="C31" s="69" t="s">
        <v>2015</v>
      </c>
    </row>
    <row r="32" spans="1:3" ht="14.4">
      <c r="A32" s="69" t="s">
        <v>1614</v>
      </c>
      <c r="B32" s="69" t="s">
        <v>1862</v>
      </c>
      <c r="C32" s="69" t="s">
        <v>2015</v>
      </c>
    </row>
    <row r="33" spans="1:3" ht="14.4">
      <c r="A33" s="69" t="s">
        <v>1615</v>
      </c>
      <c r="B33" s="69" t="s">
        <v>1862</v>
      </c>
      <c r="C33" s="69" t="s">
        <v>2015</v>
      </c>
    </row>
    <row r="34" spans="1:3" ht="14.4">
      <c r="A34" s="69" t="s">
        <v>413</v>
      </c>
      <c r="B34" s="69" t="s">
        <v>2631</v>
      </c>
      <c r="C34" s="69" t="s">
        <v>2015</v>
      </c>
    </row>
    <row r="35" spans="1:3" ht="14.4">
      <c r="A35" s="69" t="s">
        <v>882</v>
      </c>
      <c r="B35" s="69" t="s">
        <v>450</v>
      </c>
      <c r="C35" s="69" t="s">
        <v>742</v>
      </c>
    </row>
    <row r="36" spans="1:3" ht="14.4">
      <c r="A36" s="68" t="s">
        <v>1609</v>
      </c>
      <c r="B36" s="69" t="s">
        <v>450</v>
      </c>
      <c r="C36" s="68" t="s">
        <v>450</v>
      </c>
    </row>
    <row r="37" spans="1:3" ht="14.4">
      <c r="A37" s="68" t="s">
        <v>1200</v>
      </c>
      <c r="B37" s="69" t="s">
        <v>450</v>
      </c>
      <c r="C37" s="68" t="s">
        <v>450</v>
      </c>
    </row>
    <row r="38" spans="1:3" ht="14.4">
      <c r="A38" s="69" t="s">
        <v>890</v>
      </c>
      <c r="B38" s="69" t="s">
        <v>2631</v>
      </c>
      <c r="C38" s="69" t="s">
        <v>2015</v>
      </c>
    </row>
    <row r="39" spans="1:3" ht="14.4">
      <c r="A39" s="69" t="s">
        <v>881</v>
      </c>
      <c r="B39" s="69" t="s">
        <v>450</v>
      </c>
      <c r="C39" s="69" t="s">
        <v>742</v>
      </c>
    </row>
    <row r="40" spans="1:3" ht="14.4">
      <c r="A40" s="69" t="s">
        <v>507</v>
      </c>
      <c r="B40" s="69" t="s">
        <v>450</v>
      </c>
      <c r="C40" s="69" t="s">
        <v>742</v>
      </c>
    </row>
    <row r="41" spans="1:3" ht="14.4">
      <c r="A41" s="69" t="s">
        <v>234</v>
      </c>
      <c r="B41" s="69" t="s">
        <v>450</v>
      </c>
      <c r="C41" s="69" t="s">
        <v>742</v>
      </c>
    </row>
    <row r="42" spans="1:3" ht="14.4">
      <c r="A42" s="69" t="s">
        <v>1039</v>
      </c>
      <c r="B42" s="69" t="s">
        <v>450</v>
      </c>
      <c r="C42" s="69" t="s">
        <v>742</v>
      </c>
    </row>
    <row r="43" spans="1:3" ht="14.4">
      <c r="A43" s="69" t="s">
        <v>1062</v>
      </c>
      <c r="B43" s="69" t="s">
        <v>450</v>
      </c>
      <c r="C43" s="69" t="s">
        <v>742</v>
      </c>
    </row>
    <row r="44" spans="1:3" ht="14.4">
      <c r="A44" s="69" t="s">
        <v>1063</v>
      </c>
      <c r="B44" s="69" t="s">
        <v>450</v>
      </c>
      <c r="C44" s="69" t="s">
        <v>742</v>
      </c>
    </row>
    <row r="45" spans="1:3" ht="14.4">
      <c r="A45" s="69" t="s">
        <v>604</v>
      </c>
      <c r="B45" s="69" t="s">
        <v>2631</v>
      </c>
      <c r="C45" s="69" t="s">
        <v>732</v>
      </c>
    </row>
    <row r="46" spans="1:3" ht="14.4">
      <c r="A46" s="69" t="s">
        <v>142</v>
      </c>
      <c r="B46" s="69" t="s">
        <v>2631</v>
      </c>
      <c r="C46" s="69" t="s">
        <v>732</v>
      </c>
    </row>
    <row r="47" spans="1:3" ht="14.4">
      <c r="A47" s="69" t="s">
        <v>207</v>
      </c>
      <c r="B47" s="69" t="s">
        <v>2631</v>
      </c>
      <c r="C47" s="69" t="s">
        <v>450</v>
      </c>
    </row>
    <row r="48" spans="1:3" ht="14.4">
      <c r="A48" s="69" t="s">
        <v>1352</v>
      </c>
      <c r="B48" s="69" t="s">
        <v>2631</v>
      </c>
      <c r="C48" s="69" t="s">
        <v>450</v>
      </c>
    </row>
    <row r="49" spans="1:3" ht="14.4">
      <c r="A49" s="69" t="s">
        <v>933</v>
      </c>
      <c r="B49" s="69" t="s">
        <v>2631</v>
      </c>
      <c r="C49" s="69" t="s">
        <v>450</v>
      </c>
    </row>
    <row r="50" spans="1:3" ht="14.4">
      <c r="A50" s="69" t="s">
        <v>1368</v>
      </c>
      <c r="B50" s="69" t="s">
        <v>2633</v>
      </c>
      <c r="C50" s="69" t="s">
        <v>2015</v>
      </c>
    </row>
    <row r="51" spans="1:3" ht="14.4">
      <c r="A51" s="69" t="s">
        <v>511</v>
      </c>
      <c r="B51" s="69" t="s">
        <v>450</v>
      </c>
      <c r="C51" s="69" t="s">
        <v>450</v>
      </c>
    </row>
    <row r="52" spans="1:3" ht="14.4">
      <c r="A52" s="69" t="s">
        <v>512</v>
      </c>
      <c r="B52" s="69" t="s">
        <v>450</v>
      </c>
      <c r="C52" s="69" t="s">
        <v>450</v>
      </c>
    </row>
    <row r="53" spans="1:3" ht="14.4">
      <c r="A53" s="69" t="s">
        <v>513</v>
      </c>
      <c r="B53" s="69" t="s">
        <v>450</v>
      </c>
      <c r="C53" s="69" t="s">
        <v>450</v>
      </c>
    </row>
    <row r="54" spans="1:3" ht="14.4">
      <c r="A54" s="69" t="s">
        <v>514</v>
      </c>
      <c r="B54" s="69" t="s">
        <v>450</v>
      </c>
      <c r="C54" s="69" t="s">
        <v>450</v>
      </c>
    </row>
    <row r="55" spans="1:3" ht="14.4">
      <c r="A55" s="69" t="s">
        <v>515</v>
      </c>
      <c r="B55" s="69" t="s">
        <v>450</v>
      </c>
      <c r="C55" s="69" t="s">
        <v>450</v>
      </c>
    </row>
    <row r="56" spans="1:3" ht="14.4">
      <c r="A56" s="69" t="s">
        <v>516</v>
      </c>
      <c r="B56" s="69" t="s">
        <v>450</v>
      </c>
      <c r="C56" s="69" t="s">
        <v>450</v>
      </c>
    </row>
    <row r="57" spans="1:3" ht="14.4">
      <c r="A57" s="69" t="s">
        <v>517</v>
      </c>
      <c r="B57" s="69" t="s">
        <v>450</v>
      </c>
      <c r="C57" s="69" t="s">
        <v>450</v>
      </c>
    </row>
    <row r="58" spans="1:3" ht="14.4">
      <c r="A58" s="69" t="s">
        <v>518</v>
      </c>
      <c r="B58" s="69" t="s">
        <v>450</v>
      </c>
      <c r="C58" s="69" t="s">
        <v>450</v>
      </c>
    </row>
    <row r="59" spans="1:3" ht="14.4">
      <c r="A59" s="69" t="s">
        <v>1603</v>
      </c>
      <c r="B59" s="69" t="s">
        <v>450</v>
      </c>
      <c r="C59" s="69" t="s">
        <v>450</v>
      </c>
    </row>
    <row r="60" spans="1:3" ht="14.4">
      <c r="A60" s="69" t="s">
        <v>2087</v>
      </c>
      <c r="B60" s="69" t="s">
        <v>450</v>
      </c>
      <c r="C60" s="69" t="s">
        <v>450</v>
      </c>
    </row>
    <row r="61" spans="1:3" ht="14.4">
      <c r="A61" s="68" t="s">
        <v>1199</v>
      </c>
      <c r="B61" s="69" t="s">
        <v>450</v>
      </c>
      <c r="C61" s="68" t="s">
        <v>450</v>
      </c>
    </row>
    <row r="62" spans="1:3" ht="14.4">
      <c r="A62" s="68" t="s">
        <v>2025</v>
      </c>
      <c r="B62" s="69" t="s">
        <v>450</v>
      </c>
      <c r="C62" s="68" t="s">
        <v>2027</v>
      </c>
    </row>
    <row r="63" spans="1:3" ht="14.4">
      <c r="A63" s="68" t="s">
        <v>2012</v>
      </c>
      <c r="B63" s="69" t="s">
        <v>450</v>
      </c>
      <c r="C63" s="68" t="s">
        <v>450</v>
      </c>
    </row>
    <row r="64" spans="1:3" ht="14.4">
      <c r="A64" s="68" t="s">
        <v>2402</v>
      </c>
      <c r="B64" s="69" t="s">
        <v>450</v>
      </c>
      <c r="C64" s="68" t="s">
        <v>450</v>
      </c>
    </row>
    <row r="65" spans="1:3" ht="14.4">
      <c r="A65" s="68" t="s">
        <v>2573</v>
      </c>
      <c r="B65" s="69" t="s">
        <v>450</v>
      </c>
      <c r="C65" s="68" t="s">
        <v>450</v>
      </c>
    </row>
    <row r="66" spans="1:3" ht="14.4">
      <c r="A66" s="68" t="s">
        <v>2574</v>
      </c>
      <c r="B66" s="69" t="s">
        <v>450</v>
      </c>
      <c r="C66" s="68" t="s">
        <v>450</v>
      </c>
    </row>
    <row r="67" spans="1:3" ht="14.4">
      <c r="A67" s="68" t="s">
        <v>1608</v>
      </c>
      <c r="B67" s="69" t="s">
        <v>450</v>
      </c>
      <c r="C67" s="68" t="s">
        <v>450</v>
      </c>
    </row>
    <row r="68" spans="1:3" ht="14.4">
      <c r="A68" s="69" t="s">
        <v>1619</v>
      </c>
      <c r="B68" s="69" t="s">
        <v>2634</v>
      </c>
      <c r="C68" s="69" t="s">
        <v>2015</v>
      </c>
    </row>
    <row r="69" spans="1:3" ht="14.4">
      <c r="A69" s="69" t="s">
        <v>219</v>
      </c>
      <c r="B69" s="69" t="s">
        <v>173</v>
      </c>
      <c r="C69" s="69" t="s">
        <v>2015</v>
      </c>
    </row>
    <row r="70" spans="1:3" ht="14.4">
      <c r="A70" s="69" t="s">
        <v>880</v>
      </c>
      <c r="B70" s="69" t="s">
        <v>173</v>
      </c>
      <c r="C70" s="69" t="s">
        <v>2015</v>
      </c>
    </row>
    <row r="71" spans="1:3" ht="14.4">
      <c r="A71" s="69" t="s">
        <v>681</v>
      </c>
      <c r="B71" s="69" t="s">
        <v>173</v>
      </c>
      <c r="C71" s="69" t="s">
        <v>2015</v>
      </c>
    </row>
    <row r="72" spans="1:3" ht="14.4">
      <c r="A72" s="69" t="s">
        <v>682</v>
      </c>
      <c r="B72" s="69" t="s">
        <v>173</v>
      </c>
      <c r="C72" s="69" t="s">
        <v>2015</v>
      </c>
    </row>
    <row r="73" spans="1:3" ht="14.4">
      <c r="A73" s="69" t="s">
        <v>2580</v>
      </c>
      <c r="B73" s="69" t="s">
        <v>173</v>
      </c>
      <c r="C73" s="69" t="s">
        <v>2015</v>
      </c>
    </row>
    <row r="74" spans="1:3" ht="14.4">
      <c r="A74" s="69" t="s">
        <v>2059</v>
      </c>
      <c r="B74" s="69" t="s">
        <v>173</v>
      </c>
      <c r="C74" s="69" t="s">
        <v>2015</v>
      </c>
    </row>
    <row r="75" spans="1:3" ht="14.4">
      <c r="A75" s="69" t="s">
        <v>2061</v>
      </c>
      <c r="B75" s="69" t="s">
        <v>173</v>
      </c>
      <c r="C75" s="69" t="s">
        <v>2015</v>
      </c>
    </row>
    <row r="76" spans="1:3" ht="14.4">
      <c r="A76" s="69" t="s">
        <v>2058</v>
      </c>
      <c r="B76" s="69" t="s">
        <v>173</v>
      </c>
      <c r="C76" s="69" t="s">
        <v>2015</v>
      </c>
    </row>
    <row r="77" spans="1:3" ht="14.4">
      <c r="A77" s="69" t="s">
        <v>2130</v>
      </c>
      <c r="B77" s="69" t="s">
        <v>173</v>
      </c>
      <c r="C77" s="69" t="s">
        <v>2015</v>
      </c>
    </row>
    <row r="78" spans="1:3" ht="14.4">
      <c r="A78" s="69" t="s">
        <v>2091</v>
      </c>
      <c r="B78" s="69" t="s">
        <v>1435</v>
      </c>
      <c r="C78" s="69" t="s">
        <v>1435</v>
      </c>
    </row>
    <row r="79" spans="1:3" ht="14.4">
      <c r="A79" s="69" t="s">
        <v>2152</v>
      </c>
      <c r="B79" s="69" t="s">
        <v>1435</v>
      </c>
      <c r="C79" s="69" t="s">
        <v>1435</v>
      </c>
    </row>
    <row r="80" spans="1:3" ht="14.4">
      <c r="A80" s="69" t="s">
        <v>2436</v>
      </c>
      <c r="B80" s="69" t="s">
        <v>1435</v>
      </c>
      <c r="C80" s="69" t="s">
        <v>1435</v>
      </c>
    </row>
    <row r="81" spans="1:3" ht="14.4">
      <c r="A81" s="69" t="s">
        <v>1484</v>
      </c>
      <c r="B81" s="69" t="s">
        <v>2635</v>
      </c>
      <c r="C81" s="69" t="s">
        <v>2015</v>
      </c>
    </row>
    <row r="82" spans="1:3" ht="14.4">
      <c r="A82" s="69" t="s">
        <v>1288</v>
      </c>
      <c r="B82" s="69" t="s">
        <v>1435</v>
      </c>
      <c r="C82" s="69" t="s">
        <v>1435</v>
      </c>
    </row>
    <row r="83" spans="1:3" ht="14.4">
      <c r="A83" s="69" t="s">
        <v>449</v>
      </c>
      <c r="B83" s="69" t="s">
        <v>1435</v>
      </c>
      <c r="C83" s="69" t="s">
        <v>1435</v>
      </c>
    </row>
    <row r="84" spans="1:3" ht="14.4">
      <c r="A84" s="69" t="s">
        <v>974</v>
      </c>
      <c r="B84" s="69" t="s">
        <v>1435</v>
      </c>
      <c r="C84" s="69" t="s">
        <v>1435</v>
      </c>
    </row>
    <row r="85" spans="1:3" ht="14.4">
      <c r="A85" s="69" t="s">
        <v>180</v>
      </c>
      <c r="B85" s="69" t="s">
        <v>1435</v>
      </c>
      <c r="C85" s="69" t="s">
        <v>1435</v>
      </c>
    </row>
    <row r="86" spans="1:3" ht="14.4">
      <c r="A86" s="68" t="s">
        <v>211</v>
      </c>
      <c r="B86" s="69" t="s">
        <v>1435</v>
      </c>
      <c r="C86" s="68" t="s">
        <v>1435</v>
      </c>
    </row>
    <row r="87" spans="1:3" ht="14.4">
      <c r="A87" s="68" t="s">
        <v>2055</v>
      </c>
      <c r="B87" s="69" t="s">
        <v>1435</v>
      </c>
      <c r="C87" s="68" t="s">
        <v>1435</v>
      </c>
    </row>
    <row r="88" spans="1:3" ht="14.4">
      <c r="A88" s="69" t="s">
        <v>1201</v>
      </c>
      <c r="B88" s="69" t="s">
        <v>1435</v>
      </c>
      <c r="C88" s="69" t="s">
        <v>1435</v>
      </c>
    </row>
    <row r="89" spans="1:3" ht="14.4">
      <c r="A89" s="69" t="s">
        <v>448</v>
      </c>
      <c r="B89" s="69" t="s">
        <v>1435</v>
      </c>
      <c r="C89" s="69" t="s">
        <v>1435</v>
      </c>
    </row>
    <row r="90" spans="1:3" ht="14.4">
      <c r="A90" s="69" t="s">
        <v>945</v>
      </c>
      <c r="B90" s="69" t="s">
        <v>1435</v>
      </c>
      <c r="C90" s="69" t="s">
        <v>1435</v>
      </c>
    </row>
    <row r="91" spans="1:3" ht="14.4">
      <c r="A91" s="69" t="s">
        <v>2331</v>
      </c>
      <c r="B91" s="69" t="s">
        <v>1435</v>
      </c>
      <c r="C91" s="69" t="s">
        <v>1435</v>
      </c>
    </row>
    <row r="92" spans="1:3" ht="14.4">
      <c r="A92" s="69" t="s">
        <v>1289</v>
      </c>
      <c r="B92" s="69" t="s">
        <v>1435</v>
      </c>
      <c r="C92" s="69" t="s">
        <v>1435</v>
      </c>
    </row>
    <row r="93" spans="1:3" ht="14.4">
      <c r="A93" s="69" t="s">
        <v>632</v>
      </c>
      <c r="B93" s="69" t="s">
        <v>1435</v>
      </c>
      <c r="C93" s="69" t="s">
        <v>1435</v>
      </c>
    </row>
    <row r="94" spans="1:3" ht="14.4">
      <c r="A94" s="69" t="s">
        <v>1258</v>
      </c>
      <c r="B94" s="69" t="s">
        <v>1435</v>
      </c>
      <c r="C94" s="69" t="s">
        <v>1435</v>
      </c>
    </row>
    <row r="95" spans="1:3" ht="14.4">
      <c r="A95" s="69" t="s">
        <v>1269</v>
      </c>
      <c r="B95" s="69" t="s">
        <v>1435</v>
      </c>
      <c r="C95" s="69" t="s">
        <v>1435</v>
      </c>
    </row>
    <row r="96" spans="1:3" ht="14.4">
      <c r="A96" s="69" t="s">
        <v>975</v>
      </c>
      <c r="B96" s="69" t="s">
        <v>1435</v>
      </c>
      <c r="C96" s="69" t="s">
        <v>1435</v>
      </c>
    </row>
    <row r="97" spans="1:3" ht="14.4">
      <c r="A97" s="69" t="s">
        <v>268</v>
      </c>
      <c r="B97" s="69" t="s">
        <v>1435</v>
      </c>
      <c r="C97" s="69" t="s">
        <v>1435</v>
      </c>
    </row>
    <row r="98" spans="1:3" ht="14.4">
      <c r="A98" s="69" t="s">
        <v>453</v>
      </c>
      <c r="B98" s="69" t="s">
        <v>1435</v>
      </c>
      <c r="C98" s="69" t="s">
        <v>1435</v>
      </c>
    </row>
    <row r="99" spans="1:3" ht="14.4">
      <c r="A99" s="69" t="s">
        <v>593</v>
      </c>
      <c r="B99" s="69" t="s">
        <v>1435</v>
      </c>
      <c r="C99" s="69" t="s">
        <v>1435</v>
      </c>
    </row>
    <row r="100" spans="1:3" ht="14.4">
      <c r="A100" s="69" t="s">
        <v>1620</v>
      </c>
      <c r="B100" s="69" t="s">
        <v>1435</v>
      </c>
      <c r="C100" s="69" t="s">
        <v>1435</v>
      </c>
    </row>
    <row r="101" spans="1:3" ht="14.4">
      <c r="A101" s="69" t="s">
        <v>2160</v>
      </c>
      <c r="B101" s="69" t="s">
        <v>1435</v>
      </c>
      <c r="C101" s="69" t="s">
        <v>1435</v>
      </c>
    </row>
    <row r="102" spans="1:3" ht="14.4">
      <c r="A102" s="69" t="s">
        <v>2161</v>
      </c>
      <c r="B102" s="69" t="s">
        <v>1435</v>
      </c>
      <c r="C102" s="69" t="s">
        <v>1435</v>
      </c>
    </row>
    <row r="103" spans="1:3" ht="14.4">
      <c r="A103" s="69" t="s">
        <v>1349</v>
      </c>
      <c r="B103" s="69" t="s">
        <v>1435</v>
      </c>
      <c r="C103" s="69" t="s">
        <v>2015</v>
      </c>
    </row>
    <row r="104" spans="1:3" ht="14.4">
      <c r="A104" s="69" t="s">
        <v>1348</v>
      </c>
      <c r="B104" s="69" t="s">
        <v>1435</v>
      </c>
      <c r="C104" s="69" t="s">
        <v>2015</v>
      </c>
    </row>
    <row r="105" spans="1:3" ht="14.4">
      <c r="A105" s="69" t="s">
        <v>2020</v>
      </c>
      <c r="B105" s="69" t="s">
        <v>1435</v>
      </c>
      <c r="C105" s="69" t="s">
        <v>2022</v>
      </c>
    </row>
    <row r="106" spans="1:3" ht="14.4">
      <c r="A106" s="69" t="s">
        <v>2023</v>
      </c>
      <c r="B106" s="69" t="s">
        <v>1435</v>
      </c>
      <c r="C106" s="69" t="s">
        <v>2022</v>
      </c>
    </row>
    <row r="107" spans="1:3" ht="14.4">
      <c r="A107" s="68" t="s">
        <v>439</v>
      </c>
      <c r="B107" s="69" t="s">
        <v>1435</v>
      </c>
      <c r="C107" s="68" t="s">
        <v>1435</v>
      </c>
    </row>
    <row r="108" spans="1:3" ht="14.4">
      <c r="A108" s="68" t="s">
        <v>440</v>
      </c>
      <c r="B108" s="69" t="s">
        <v>1435</v>
      </c>
      <c r="C108" s="68" t="s">
        <v>1435</v>
      </c>
    </row>
    <row r="109" spans="1:3" ht="14.4">
      <c r="A109" s="68" t="s">
        <v>2066</v>
      </c>
      <c r="B109" s="68" t="s">
        <v>2636</v>
      </c>
      <c r="C109" s="69" t="s">
        <v>2015</v>
      </c>
    </row>
    <row r="110" spans="1:3" ht="14.4">
      <c r="A110" s="68" t="s">
        <v>2319</v>
      </c>
      <c r="B110" s="68" t="s">
        <v>2283</v>
      </c>
      <c r="C110" s="68" t="s">
        <v>2322</v>
      </c>
    </row>
    <row r="111" spans="1:3" ht="14.4">
      <c r="A111" s="68" t="s">
        <v>2069</v>
      </c>
      <c r="B111" s="68" t="s">
        <v>2283</v>
      </c>
      <c r="C111" s="68" t="s">
        <v>2428</v>
      </c>
    </row>
    <row r="112" spans="1:3" ht="14.4">
      <c r="A112" s="68" t="s">
        <v>2072</v>
      </c>
      <c r="B112" s="68" t="s">
        <v>2283</v>
      </c>
      <c r="C112" s="68" t="s">
        <v>2428</v>
      </c>
    </row>
    <row r="113" spans="1:3" ht="14.4">
      <c r="A113" s="68" t="s">
        <v>2073</v>
      </c>
      <c r="B113" s="68" t="s">
        <v>2283</v>
      </c>
      <c r="C113" s="68" t="s">
        <v>2428</v>
      </c>
    </row>
    <row r="114" spans="1:3" ht="14.4">
      <c r="A114" s="68" t="s">
        <v>2086</v>
      </c>
      <c r="B114" s="68" t="s">
        <v>3079</v>
      </c>
      <c r="C114" s="68" t="s">
        <v>2428</v>
      </c>
    </row>
    <row r="115" spans="1:3" ht="14.4">
      <c r="A115" s="68" t="s">
        <v>2133</v>
      </c>
      <c r="B115" s="68" t="s">
        <v>2283</v>
      </c>
      <c r="C115" s="68" t="s">
        <v>2560</v>
      </c>
    </row>
    <row r="116" spans="1:3" ht="14.4">
      <c r="A116" s="68" t="s">
        <v>2094</v>
      </c>
      <c r="B116" s="68" t="s">
        <v>2640</v>
      </c>
      <c r="C116" s="68" t="s">
        <v>739</v>
      </c>
    </row>
    <row r="117" spans="1:3" ht="14.4">
      <c r="A117" s="68" t="s">
        <v>594</v>
      </c>
      <c r="B117" s="68" t="s">
        <v>2430</v>
      </c>
      <c r="C117" s="68" t="s">
        <v>2429</v>
      </c>
    </row>
    <row r="118" spans="1:3" ht="14.4">
      <c r="A118" s="68" t="s">
        <v>2073</v>
      </c>
      <c r="B118" s="68" t="s">
        <v>2283</v>
      </c>
      <c r="C118" s="68" t="s">
        <v>2428</v>
      </c>
    </row>
    <row r="119" spans="1:3" ht="14.4">
      <c r="A119" s="68" t="s">
        <v>2323</v>
      </c>
      <c r="B119" s="68" t="s">
        <v>2283</v>
      </c>
      <c r="C119" s="68" t="s">
        <v>2428</v>
      </c>
    </row>
    <row r="120" spans="1:3" ht="14.4">
      <c r="A120" s="68" t="s">
        <v>2448</v>
      </c>
      <c r="B120" s="68" t="s">
        <v>2283</v>
      </c>
      <c r="C120" s="68" t="s">
        <v>2428</v>
      </c>
    </row>
    <row r="121" spans="1:3" ht="14.4">
      <c r="A121" s="68" t="s">
        <v>2072</v>
      </c>
      <c r="B121" s="68" t="s">
        <v>2283</v>
      </c>
      <c r="C121" s="68" t="s">
        <v>2428</v>
      </c>
    </row>
    <row r="122" spans="1:3" ht="14.4">
      <c r="A122" s="68" t="s">
        <v>2324</v>
      </c>
      <c r="B122" s="68" t="s">
        <v>2283</v>
      </c>
      <c r="C122" s="68" t="s">
        <v>2428</v>
      </c>
    </row>
    <row r="123" spans="1:3" ht="14.4">
      <c r="A123" s="68" t="s">
        <v>2449</v>
      </c>
      <c r="B123" s="68" t="s">
        <v>2283</v>
      </c>
      <c r="C123" s="68" t="s">
        <v>2428</v>
      </c>
    </row>
    <row r="124" spans="1:3" ht="14.4">
      <c r="A124" s="68" t="s">
        <v>2069</v>
      </c>
      <c r="B124" s="68" t="s">
        <v>2283</v>
      </c>
      <c r="C124" s="68" t="s">
        <v>2428</v>
      </c>
    </row>
    <row r="125" spans="1:3" ht="14.4">
      <c r="A125" s="68" t="s">
        <v>2325</v>
      </c>
      <c r="B125" s="68" t="s">
        <v>2283</v>
      </c>
      <c r="C125" s="68" t="s">
        <v>2428</v>
      </c>
    </row>
    <row r="126" spans="1:3" ht="14.4">
      <c r="A126" s="68" t="s">
        <v>2450</v>
      </c>
      <c r="B126" s="68" t="s">
        <v>2283</v>
      </c>
      <c r="C126" s="68" t="s">
        <v>2428</v>
      </c>
    </row>
    <row r="127" spans="1:3" ht="14.4">
      <c r="A127" s="68" t="s">
        <v>2797</v>
      </c>
      <c r="B127" s="68" t="s">
        <v>2283</v>
      </c>
      <c r="C127" s="68" t="s">
        <v>2428</v>
      </c>
    </row>
    <row r="128" spans="1:3" ht="14.4">
      <c r="A128" s="68" t="s">
        <v>2377</v>
      </c>
      <c r="B128" s="68" t="s">
        <v>3079</v>
      </c>
      <c r="C128" s="68" t="s">
        <v>2428</v>
      </c>
    </row>
    <row r="129" spans="1:3" ht="14.4">
      <c r="A129" s="68" t="s">
        <v>2798</v>
      </c>
      <c r="B129" s="68" t="s">
        <v>3079</v>
      </c>
      <c r="C129" s="68" t="s">
        <v>2428</v>
      </c>
    </row>
    <row r="130" spans="1:3" ht="14.4">
      <c r="A130" s="68" t="s">
        <v>2337</v>
      </c>
      <c r="B130" s="68" t="s">
        <v>3079</v>
      </c>
      <c r="C130" s="68" t="s">
        <v>2428</v>
      </c>
    </row>
    <row r="131" spans="1:3" ht="14.4">
      <c r="A131" s="68" t="s">
        <v>3083</v>
      </c>
      <c r="B131" s="68" t="s">
        <v>3079</v>
      </c>
      <c r="C131" s="68" t="s">
        <v>2428</v>
      </c>
    </row>
    <row r="132" spans="1:3" ht="14.4">
      <c r="A132" s="68" t="s">
        <v>2378</v>
      </c>
      <c r="B132" s="68" t="s">
        <v>3079</v>
      </c>
      <c r="C132" s="68" t="s">
        <v>2428</v>
      </c>
    </row>
    <row r="133" spans="1:3" ht="14.4">
      <c r="A133" s="68" t="s">
        <v>3084</v>
      </c>
      <c r="B133" s="68" t="s">
        <v>3079</v>
      </c>
      <c r="C133" s="68" t="s">
        <v>2428</v>
      </c>
    </row>
    <row r="134" spans="1:3" ht="14.4">
      <c r="A134" s="68" t="s">
        <v>2473</v>
      </c>
      <c r="B134" s="69" t="s">
        <v>450</v>
      </c>
      <c r="C134" s="68" t="s">
        <v>450</v>
      </c>
    </row>
    <row r="135" spans="1:3" ht="14.4">
      <c r="A135" s="68" t="s">
        <v>2329</v>
      </c>
      <c r="B135" s="69" t="s">
        <v>450</v>
      </c>
      <c r="C135" s="68" t="s">
        <v>450</v>
      </c>
    </row>
    <row r="136" spans="1:3" ht="14.4">
      <c r="A136" s="69" t="s">
        <v>432</v>
      </c>
      <c r="B136" s="69" t="s">
        <v>2014</v>
      </c>
      <c r="C136" s="69" t="s">
        <v>1260</v>
      </c>
    </row>
    <row r="137" spans="1:3" ht="14.4">
      <c r="A137" s="69" t="s">
        <v>1080</v>
      </c>
      <c r="B137" s="69" t="s">
        <v>2014</v>
      </c>
      <c r="C137" s="69" t="s">
        <v>1260</v>
      </c>
    </row>
    <row r="138" spans="1:3" ht="14.4">
      <c r="A138" s="69" t="s">
        <v>206</v>
      </c>
      <c r="B138" s="69" t="s">
        <v>2014</v>
      </c>
      <c r="C138" s="69" t="s">
        <v>1260</v>
      </c>
    </row>
    <row r="139" spans="1:3" ht="14.4">
      <c r="A139" s="69" t="s">
        <v>1337</v>
      </c>
      <c r="B139" s="69" t="s">
        <v>2014</v>
      </c>
      <c r="C139" s="69" t="s">
        <v>1260</v>
      </c>
    </row>
    <row r="140" spans="1:3" ht="14.4">
      <c r="A140" s="69" t="s">
        <v>1455</v>
      </c>
      <c r="B140" s="69" t="s">
        <v>2628</v>
      </c>
      <c r="C140" s="69" t="s">
        <v>501</v>
      </c>
    </row>
    <row r="141" spans="1:3" ht="14.4">
      <c r="A141" s="69" t="s">
        <v>932</v>
      </c>
      <c r="B141" s="69" t="s">
        <v>1324</v>
      </c>
      <c r="C141" s="69" t="s">
        <v>501</v>
      </c>
    </row>
    <row r="142" spans="1:3" ht="14.4">
      <c r="A142" s="69" t="s">
        <v>502</v>
      </c>
      <c r="B142" s="69" t="s">
        <v>1324</v>
      </c>
      <c r="C142" s="69" t="s">
        <v>501</v>
      </c>
    </row>
    <row r="143" spans="1:3" ht="14.4">
      <c r="A143" s="69" t="s">
        <v>509</v>
      </c>
      <c r="B143" s="69" t="s">
        <v>1324</v>
      </c>
      <c r="C143" s="69" t="s">
        <v>501</v>
      </c>
    </row>
    <row r="144" spans="1:3" ht="14.4">
      <c r="A144" s="68" t="s">
        <v>606</v>
      </c>
      <c r="B144" s="69" t="s">
        <v>1324</v>
      </c>
      <c r="C144" s="69" t="s">
        <v>501</v>
      </c>
    </row>
    <row r="145" spans="1:3" ht="14.4">
      <c r="A145" s="69" t="s">
        <v>1350</v>
      </c>
      <c r="B145" s="69" t="s">
        <v>1324</v>
      </c>
      <c r="C145" s="69" t="s">
        <v>501</v>
      </c>
    </row>
    <row r="146" spans="1:3" ht="14.4">
      <c r="A146" s="69" t="s">
        <v>1335</v>
      </c>
      <c r="B146" s="69" t="s">
        <v>1324</v>
      </c>
      <c r="C146" s="69" t="s">
        <v>501</v>
      </c>
    </row>
    <row r="147" spans="1:3" ht="14.4">
      <c r="A147" s="69" t="s">
        <v>474</v>
      </c>
      <c r="B147" s="69" t="s">
        <v>1324</v>
      </c>
      <c r="C147" s="69" t="s">
        <v>501</v>
      </c>
    </row>
    <row r="148" spans="1:3" ht="14.4">
      <c r="A148" s="68" t="s">
        <v>601</v>
      </c>
      <c r="B148" s="69" t="s">
        <v>1324</v>
      </c>
      <c r="C148" s="69" t="s">
        <v>501</v>
      </c>
    </row>
    <row r="149" spans="1:3" ht="14.4">
      <c r="A149" s="69" t="s">
        <v>1214</v>
      </c>
      <c r="B149" s="69" t="s">
        <v>1324</v>
      </c>
      <c r="C149" s="69" t="s">
        <v>501</v>
      </c>
    </row>
    <row r="150" spans="1:3" ht="14.4">
      <c r="A150" s="69" t="s">
        <v>457</v>
      </c>
      <c r="B150" s="69" t="s">
        <v>1324</v>
      </c>
      <c r="C150" s="69" t="s">
        <v>501</v>
      </c>
    </row>
    <row r="151" spans="1:3" ht="14.4">
      <c r="A151" s="69" t="s">
        <v>1213</v>
      </c>
      <c r="B151" s="69" t="s">
        <v>1324</v>
      </c>
      <c r="C151" s="69" t="s">
        <v>501</v>
      </c>
    </row>
    <row r="152" spans="1:3" ht="14.4">
      <c r="A152" s="69" t="s">
        <v>1227</v>
      </c>
      <c r="B152" s="69" t="s">
        <v>1324</v>
      </c>
      <c r="C152" s="69" t="s">
        <v>501</v>
      </c>
    </row>
    <row r="153" spans="1:3" ht="14.4">
      <c r="A153" s="69" t="s">
        <v>1336</v>
      </c>
      <c r="B153" s="69" t="s">
        <v>1324</v>
      </c>
      <c r="C153" s="69" t="s">
        <v>501</v>
      </c>
    </row>
    <row r="154" spans="1:3" ht="14.4">
      <c r="A154" s="69" t="s">
        <v>508</v>
      </c>
      <c r="B154" s="69" t="s">
        <v>1324</v>
      </c>
      <c r="C154" s="69" t="s">
        <v>501</v>
      </c>
    </row>
    <row r="155" spans="1:3" ht="14.4">
      <c r="A155" s="69" t="s">
        <v>214</v>
      </c>
      <c r="B155" s="69" t="s">
        <v>1324</v>
      </c>
      <c r="C155" s="69" t="s">
        <v>501</v>
      </c>
    </row>
    <row r="156" spans="1:3" ht="14.4">
      <c r="A156" s="69" t="s">
        <v>215</v>
      </c>
      <c r="B156" s="69" t="s">
        <v>1324</v>
      </c>
      <c r="C156" s="69" t="s">
        <v>501</v>
      </c>
    </row>
    <row r="157" spans="1:3" ht="14.4">
      <c r="A157" s="69" t="s">
        <v>431</v>
      </c>
      <c r="B157" s="69" t="s">
        <v>1324</v>
      </c>
      <c r="C157" s="69" t="s">
        <v>501</v>
      </c>
    </row>
    <row r="158" spans="1:3" ht="14.4">
      <c r="A158" s="69" t="s">
        <v>473</v>
      </c>
      <c r="B158" s="69" t="s">
        <v>1324</v>
      </c>
      <c r="C158" s="69" t="s">
        <v>501</v>
      </c>
    </row>
    <row r="159" spans="1:3" ht="14.4">
      <c r="A159" s="69" t="s">
        <v>1242</v>
      </c>
      <c r="B159" s="69" t="s">
        <v>1324</v>
      </c>
      <c r="C159" s="69" t="s">
        <v>501</v>
      </c>
    </row>
    <row r="160" spans="1:3" ht="14.4">
      <c r="A160" s="69" t="s">
        <v>1434</v>
      </c>
      <c r="B160" s="69" t="s">
        <v>1324</v>
      </c>
      <c r="C160" s="69" t="s">
        <v>501</v>
      </c>
    </row>
    <row r="161" spans="1:3" ht="14.4">
      <c r="A161" s="69" t="s">
        <v>771</v>
      </c>
      <c r="B161" s="69" t="s">
        <v>1324</v>
      </c>
      <c r="C161" s="69" t="s">
        <v>501</v>
      </c>
    </row>
    <row r="162" spans="1:3" ht="14.4">
      <c r="A162" s="69" t="s">
        <v>1223</v>
      </c>
      <c r="B162" s="69" t="s">
        <v>1324</v>
      </c>
      <c r="C162" s="69" t="s">
        <v>501</v>
      </c>
    </row>
    <row r="163" spans="1:3" ht="14.4">
      <c r="A163" s="69" t="s">
        <v>609</v>
      </c>
      <c r="B163" s="69" t="s">
        <v>1324</v>
      </c>
      <c r="C163" s="69" t="s">
        <v>501</v>
      </c>
    </row>
    <row r="164" spans="1:3" ht="14.4">
      <c r="A164" s="69" t="s">
        <v>179</v>
      </c>
      <c r="B164" s="69" t="s">
        <v>1324</v>
      </c>
      <c r="C164" s="69" t="s">
        <v>501</v>
      </c>
    </row>
    <row r="165" spans="1:3" ht="14.4">
      <c r="A165" s="69" t="s">
        <v>845</v>
      </c>
      <c r="B165" s="69" t="s">
        <v>1324</v>
      </c>
      <c r="C165" s="69" t="s">
        <v>501</v>
      </c>
    </row>
    <row r="166" spans="1:3" ht="14.4">
      <c r="A166" s="69" t="s">
        <v>846</v>
      </c>
      <c r="B166" s="69" t="s">
        <v>1324</v>
      </c>
      <c r="C166" s="69" t="s">
        <v>501</v>
      </c>
    </row>
    <row r="167" spans="1:3" ht="14.4">
      <c r="A167" s="69" t="s">
        <v>177</v>
      </c>
      <c r="B167" s="69" t="s">
        <v>1324</v>
      </c>
      <c r="C167" s="69" t="s">
        <v>501</v>
      </c>
    </row>
    <row r="168" spans="1:3" ht="14.4">
      <c r="A168" s="69" t="s">
        <v>847</v>
      </c>
      <c r="B168" s="69" t="s">
        <v>1324</v>
      </c>
      <c r="C168" s="69" t="s">
        <v>501</v>
      </c>
    </row>
    <row r="169" spans="1:3" ht="14.4">
      <c r="A169" s="69" t="s">
        <v>848</v>
      </c>
      <c r="B169" s="69" t="s">
        <v>1324</v>
      </c>
      <c r="C169" s="69" t="s">
        <v>501</v>
      </c>
    </row>
    <row r="170" spans="1:3" ht="14.4">
      <c r="A170" s="69" t="s">
        <v>1226</v>
      </c>
      <c r="B170" s="69" t="s">
        <v>1324</v>
      </c>
      <c r="C170" s="69" t="s">
        <v>501</v>
      </c>
    </row>
    <row r="171" spans="1:3" ht="14.4">
      <c r="A171" s="69" t="s">
        <v>849</v>
      </c>
      <c r="B171" s="69" t="s">
        <v>1324</v>
      </c>
      <c r="C171" s="69" t="s">
        <v>501</v>
      </c>
    </row>
    <row r="172" spans="1:3" ht="14.4">
      <c r="A172" s="69" t="s">
        <v>225</v>
      </c>
      <c r="B172" s="69" t="s">
        <v>1324</v>
      </c>
      <c r="C172" s="69" t="s">
        <v>501</v>
      </c>
    </row>
    <row r="173" spans="1:3" ht="14.4">
      <c r="A173" s="69" t="s">
        <v>1006</v>
      </c>
      <c r="B173" s="69" t="s">
        <v>2629</v>
      </c>
      <c r="C173" s="69" t="s">
        <v>1260</v>
      </c>
    </row>
    <row r="174" spans="1:3" ht="14.4">
      <c r="A174" s="69" t="s">
        <v>607</v>
      </c>
      <c r="B174" s="69" t="s">
        <v>2014</v>
      </c>
      <c r="C174" s="69" t="s">
        <v>1260</v>
      </c>
    </row>
    <row r="175" spans="1:3" ht="14.4">
      <c r="A175" s="69" t="s">
        <v>1090</v>
      </c>
      <c r="B175" s="69" t="s">
        <v>2014</v>
      </c>
      <c r="C175" s="69" t="s">
        <v>1260</v>
      </c>
    </row>
    <row r="176" spans="1:3" ht="14.4">
      <c r="A176" s="69" t="s">
        <v>503</v>
      </c>
      <c r="B176" s="69" t="s">
        <v>2014</v>
      </c>
      <c r="C176" s="69" t="s">
        <v>1260</v>
      </c>
    </row>
    <row r="177" spans="1:3" ht="14.4">
      <c r="A177" s="69" t="s">
        <v>484</v>
      </c>
      <c r="B177" s="69" t="s">
        <v>2014</v>
      </c>
      <c r="C177" s="69" t="s">
        <v>1260</v>
      </c>
    </row>
    <row r="178" spans="1:3" ht="14.4">
      <c r="A178" s="68" t="s">
        <v>237</v>
      </c>
      <c r="B178" s="69" t="s">
        <v>2014</v>
      </c>
      <c r="C178" s="68" t="s">
        <v>1260</v>
      </c>
    </row>
    <row r="179" spans="1:3" ht="14.4">
      <c r="A179" s="69" t="s">
        <v>1270</v>
      </c>
      <c r="B179" s="69" t="s">
        <v>2014</v>
      </c>
      <c r="C179" s="69" t="s">
        <v>1260</v>
      </c>
    </row>
    <row r="180" spans="1:3" ht="14.4">
      <c r="A180" s="69" t="s">
        <v>435</v>
      </c>
      <c r="B180" s="69" t="s">
        <v>2014</v>
      </c>
      <c r="C180" s="69" t="s">
        <v>1260</v>
      </c>
    </row>
    <row r="181" spans="1:3" ht="14.4">
      <c r="A181" s="69" t="s">
        <v>456</v>
      </c>
      <c r="B181" s="69" t="s">
        <v>2014</v>
      </c>
      <c r="C181" s="69" t="s">
        <v>1260</v>
      </c>
    </row>
    <row r="182" spans="1:3" ht="14.4">
      <c r="A182" s="68" t="s">
        <v>220</v>
      </c>
      <c r="B182" s="69" t="s">
        <v>2014</v>
      </c>
      <c r="C182" s="68" t="s">
        <v>1260</v>
      </c>
    </row>
    <row r="183" spans="1:3" ht="14.4">
      <c r="A183" s="69" t="s">
        <v>452</v>
      </c>
      <c r="B183" s="69" t="s">
        <v>2014</v>
      </c>
      <c r="C183" s="69" t="s">
        <v>1260</v>
      </c>
    </row>
    <row r="184" spans="1:3" ht="14.4">
      <c r="A184" s="69" t="s">
        <v>504</v>
      </c>
      <c r="B184" s="69" t="s">
        <v>2014</v>
      </c>
      <c r="C184" s="69" t="s">
        <v>1260</v>
      </c>
    </row>
    <row r="185" spans="1:3" ht="14.4">
      <c r="A185" s="69" t="s">
        <v>240</v>
      </c>
      <c r="B185" s="69" t="s">
        <v>2014</v>
      </c>
      <c r="C185" s="69" t="s">
        <v>1260</v>
      </c>
    </row>
    <row r="186" spans="1:3" ht="14.4">
      <c r="A186" s="69" t="s">
        <v>208</v>
      </c>
      <c r="B186" s="69" t="s">
        <v>2014</v>
      </c>
      <c r="C186" s="69" t="s">
        <v>1260</v>
      </c>
    </row>
    <row r="187" spans="1:3" ht="14.4">
      <c r="A187" s="69" t="s">
        <v>454</v>
      </c>
      <c r="B187" s="69" t="s">
        <v>2014</v>
      </c>
      <c r="C187" s="69" t="s">
        <v>1260</v>
      </c>
    </row>
    <row r="188" spans="1:3" ht="14.4">
      <c r="A188" s="69" t="s">
        <v>486</v>
      </c>
      <c r="B188" s="69" t="s">
        <v>2014</v>
      </c>
      <c r="C188" s="69" t="s">
        <v>1260</v>
      </c>
    </row>
    <row r="189" spans="1:3" ht="14.4">
      <c r="A189" s="69" t="s">
        <v>1452</v>
      </c>
      <c r="B189" s="69" t="s">
        <v>2014</v>
      </c>
      <c r="C189" s="69" t="s">
        <v>1260</v>
      </c>
    </row>
    <row r="190" spans="1:3" ht="14.4">
      <c r="A190" s="69" t="s">
        <v>1262</v>
      </c>
      <c r="B190" s="69" t="s">
        <v>2014</v>
      </c>
      <c r="C190" s="69" t="s">
        <v>1260</v>
      </c>
    </row>
    <row r="191" spans="1:3" ht="14.4">
      <c r="A191" s="69" t="s">
        <v>485</v>
      </c>
      <c r="B191" s="69" t="s">
        <v>2014</v>
      </c>
      <c r="C191" s="69" t="s">
        <v>1260</v>
      </c>
    </row>
    <row r="192" spans="1:3" ht="14.4">
      <c r="A192" s="69" t="s">
        <v>843</v>
      </c>
      <c r="B192" s="69" t="s">
        <v>2625</v>
      </c>
      <c r="C192" s="69" t="s">
        <v>213</v>
      </c>
    </row>
    <row r="193" spans="1:3" ht="14.4">
      <c r="A193" s="69" t="s">
        <v>683</v>
      </c>
      <c r="B193" s="69" t="s">
        <v>1454</v>
      </c>
      <c r="C193" s="69" t="s">
        <v>213</v>
      </c>
    </row>
    <row r="194" spans="1:3" ht="14.4">
      <c r="A194" s="69" t="s">
        <v>685</v>
      </c>
      <c r="B194" s="69" t="s">
        <v>1454</v>
      </c>
      <c r="C194" s="69" t="s">
        <v>213</v>
      </c>
    </row>
    <row r="195" spans="1:3" ht="14.4">
      <c r="A195" s="69" t="s">
        <v>684</v>
      </c>
      <c r="B195" s="69" t="s">
        <v>1454</v>
      </c>
      <c r="C195" s="69" t="s">
        <v>213</v>
      </c>
    </row>
    <row r="196" spans="1:3" ht="14.4">
      <c r="A196" s="68" t="s">
        <v>605</v>
      </c>
      <c r="B196" s="69" t="s">
        <v>1454</v>
      </c>
      <c r="C196" s="68" t="s">
        <v>213</v>
      </c>
    </row>
    <row r="197" spans="1:3" ht="14.4">
      <c r="A197" s="69" t="s">
        <v>475</v>
      </c>
      <c r="B197" s="69" t="s">
        <v>1454</v>
      </c>
      <c r="C197" s="69" t="s">
        <v>213</v>
      </c>
    </row>
    <row r="198" spans="1:3" ht="14.4">
      <c r="A198" s="69" t="s">
        <v>395</v>
      </c>
      <c r="B198" s="69" t="s">
        <v>1454</v>
      </c>
      <c r="C198" s="69" t="s">
        <v>213</v>
      </c>
    </row>
    <row r="199" spans="1:3" ht="14.4">
      <c r="A199" s="69" t="s">
        <v>1038</v>
      </c>
      <c r="B199" s="69" t="s">
        <v>1454</v>
      </c>
      <c r="C199" s="69" t="s">
        <v>213</v>
      </c>
    </row>
    <row r="200" spans="1:3" ht="14.4">
      <c r="A200" s="68" t="s">
        <v>1598</v>
      </c>
      <c r="B200" s="69" t="s">
        <v>1454</v>
      </c>
      <c r="C200" s="68" t="s">
        <v>213</v>
      </c>
    </row>
    <row r="201" spans="1:3" ht="14.4">
      <c r="A201" s="69" t="s">
        <v>691</v>
      </c>
      <c r="B201" s="69" t="s">
        <v>1454</v>
      </c>
      <c r="C201" s="69" t="s">
        <v>213</v>
      </c>
    </row>
    <row r="202" spans="1:3" ht="14.4">
      <c r="A202" s="69" t="s">
        <v>690</v>
      </c>
      <c r="B202" s="69" t="s">
        <v>1454</v>
      </c>
      <c r="C202" s="69" t="s">
        <v>213</v>
      </c>
    </row>
    <row r="203" spans="1:3" ht="14.4">
      <c r="A203" s="69" t="s">
        <v>711</v>
      </c>
      <c r="B203" s="69" t="s">
        <v>1454</v>
      </c>
      <c r="C203" s="69" t="s">
        <v>213</v>
      </c>
    </row>
    <row r="204" spans="1:3" ht="14.4">
      <c r="A204" s="69" t="s">
        <v>2469</v>
      </c>
      <c r="B204" s="69" t="s">
        <v>1454</v>
      </c>
      <c r="C204" s="69" t="s">
        <v>1972</v>
      </c>
    </row>
    <row r="205" spans="1:3" ht="14.4">
      <c r="A205" s="69" t="s">
        <v>2435</v>
      </c>
      <c r="B205" s="69" t="s">
        <v>1454</v>
      </c>
      <c r="C205" s="69" t="s">
        <v>1972</v>
      </c>
    </row>
    <row r="206" spans="1:3" ht="14.4">
      <c r="A206" s="69" t="s">
        <v>2483</v>
      </c>
      <c r="B206" s="69" t="s">
        <v>1454</v>
      </c>
      <c r="C206" s="69" t="s">
        <v>1972</v>
      </c>
    </row>
    <row r="207" spans="1:3" ht="14.4">
      <c r="A207" s="69" t="s">
        <v>2032</v>
      </c>
      <c r="B207" s="69" t="s">
        <v>1454</v>
      </c>
      <c r="C207" s="69" t="s">
        <v>213</v>
      </c>
    </row>
    <row r="208" spans="1:3" ht="14.4">
      <c r="A208" s="68" t="s">
        <v>689</v>
      </c>
      <c r="B208" s="69" t="s">
        <v>1454</v>
      </c>
      <c r="C208" s="68" t="s">
        <v>213</v>
      </c>
    </row>
    <row r="209" spans="1:3" ht="14.4">
      <c r="A209" s="69" t="s">
        <v>850</v>
      </c>
      <c r="B209" s="69" t="s">
        <v>2627</v>
      </c>
      <c r="C209" s="69" t="s">
        <v>1315</v>
      </c>
    </row>
    <row r="210" spans="1:3" ht="14.4">
      <c r="A210" s="69" t="s">
        <v>608</v>
      </c>
      <c r="B210" s="69" t="s">
        <v>1044</v>
      </c>
      <c r="C210" s="69" t="s">
        <v>1315</v>
      </c>
    </row>
    <row r="211" spans="1:3" ht="14.4">
      <c r="A211" s="68" t="s">
        <v>1179</v>
      </c>
      <c r="B211" s="69" t="s">
        <v>1044</v>
      </c>
      <c r="C211" s="68" t="s">
        <v>1315</v>
      </c>
    </row>
    <row r="212" spans="1:3" ht="14.4">
      <c r="A212" s="68" t="s">
        <v>238</v>
      </c>
      <c r="B212" s="69" t="s">
        <v>1044</v>
      </c>
      <c r="C212" s="68" t="s">
        <v>1315</v>
      </c>
    </row>
    <row r="213" spans="1:3" ht="14.4">
      <c r="A213" s="69" t="s">
        <v>318</v>
      </c>
      <c r="B213" s="69" t="s">
        <v>1044</v>
      </c>
      <c r="C213" s="69" t="s">
        <v>1315</v>
      </c>
    </row>
    <row r="214" spans="1:3" ht="14.4">
      <c r="A214" s="69" t="s">
        <v>602</v>
      </c>
      <c r="B214" s="69" t="s">
        <v>1044</v>
      </c>
      <c r="C214" s="69" t="s">
        <v>1315</v>
      </c>
    </row>
    <row r="215" spans="1:3" ht="14.4">
      <c r="A215" s="69" t="s">
        <v>317</v>
      </c>
      <c r="B215" s="69" t="s">
        <v>1044</v>
      </c>
      <c r="C215" s="69" t="s">
        <v>1315</v>
      </c>
    </row>
    <row r="216" spans="1:3" ht="14.4">
      <c r="A216" s="69" t="s">
        <v>772</v>
      </c>
      <c r="B216" s="69" t="s">
        <v>1044</v>
      </c>
      <c r="C216" s="69" t="s">
        <v>1315</v>
      </c>
    </row>
    <row r="217" spans="1:3" ht="14.4">
      <c r="A217" s="69" t="s">
        <v>597</v>
      </c>
      <c r="B217" s="69" t="s">
        <v>1044</v>
      </c>
      <c r="C217" s="69" t="s">
        <v>1315</v>
      </c>
    </row>
    <row r="218" spans="1:3" ht="14.4">
      <c r="A218" s="69" t="s">
        <v>393</v>
      </c>
      <c r="B218" s="69" t="s">
        <v>1044</v>
      </c>
      <c r="C218" s="69" t="s">
        <v>1315</v>
      </c>
    </row>
    <row r="219" spans="1:3" ht="14.4">
      <c r="A219" s="69" t="s">
        <v>1081</v>
      </c>
      <c r="B219" s="69" t="s">
        <v>1044</v>
      </c>
      <c r="C219" s="69" t="s">
        <v>1315</v>
      </c>
    </row>
    <row r="220" spans="1:3" ht="14.4">
      <c r="A220" s="69" t="s">
        <v>1483</v>
      </c>
      <c r="B220" s="69" t="s">
        <v>1044</v>
      </c>
      <c r="C220" s="69" t="s">
        <v>1315</v>
      </c>
    </row>
    <row r="221" spans="1:3" ht="14.4">
      <c r="A221" s="69" t="s">
        <v>394</v>
      </c>
      <c r="B221" s="69" t="s">
        <v>1044</v>
      </c>
      <c r="C221" s="69" t="s">
        <v>1315</v>
      </c>
    </row>
    <row r="222" spans="1:3" ht="14.4">
      <c r="A222" s="69" t="s">
        <v>1264</v>
      </c>
      <c r="B222" s="69" t="s">
        <v>1044</v>
      </c>
      <c r="C222" s="69" t="s">
        <v>1315</v>
      </c>
    </row>
    <row r="223" spans="1:3" ht="14.4">
      <c r="A223" s="69" t="s">
        <v>595</v>
      </c>
      <c r="B223" s="69" t="s">
        <v>1044</v>
      </c>
      <c r="C223" s="69" t="s">
        <v>1315</v>
      </c>
    </row>
    <row r="224" spans="1:3" ht="14.4">
      <c r="A224" s="69" t="s">
        <v>1202</v>
      </c>
      <c r="B224" s="69" t="s">
        <v>1044</v>
      </c>
      <c r="C224" s="69" t="s">
        <v>1315</v>
      </c>
    </row>
    <row r="225" spans="1:3" ht="14.4">
      <c r="A225" s="69" t="s">
        <v>596</v>
      </c>
      <c r="B225" s="69" t="s">
        <v>1044</v>
      </c>
      <c r="C225" s="69" t="s">
        <v>1315</v>
      </c>
    </row>
    <row r="226" spans="1:3" ht="14.4">
      <c r="A226" s="69" t="s">
        <v>178</v>
      </c>
      <c r="B226" s="69" t="s">
        <v>1044</v>
      </c>
      <c r="C226" s="69" t="s">
        <v>1315</v>
      </c>
    </row>
    <row r="227" spans="1:3" ht="14.4">
      <c r="A227" s="69" t="s">
        <v>1182</v>
      </c>
      <c r="B227" s="69" t="s">
        <v>1044</v>
      </c>
      <c r="C227" s="69" t="s">
        <v>1315</v>
      </c>
    </row>
    <row r="228" spans="1:3" ht="14.4">
      <c r="A228" s="68" t="s">
        <v>438</v>
      </c>
      <c r="B228" s="69" t="s">
        <v>1044</v>
      </c>
      <c r="C228" s="68" t="s">
        <v>1315</v>
      </c>
    </row>
    <row r="229" spans="1:3" ht="14.4">
      <c r="A229" s="68" t="s">
        <v>437</v>
      </c>
      <c r="B229" s="69" t="s">
        <v>1044</v>
      </c>
      <c r="C229" s="68" t="s">
        <v>1315</v>
      </c>
    </row>
    <row r="230" spans="1:3" ht="14.4">
      <c r="A230" s="68" t="s">
        <v>1607</v>
      </c>
      <c r="B230" s="69" t="s">
        <v>1044</v>
      </c>
      <c r="C230" s="68" t="s">
        <v>1315</v>
      </c>
    </row>
    <row r="231" spans="1:3" ht="14.4">
      <c r="A231" s="68" t="s">
        <v>1999</v>
      </c>
      <c r="B231" s="69" t="s">
        <v>1044</v>
      </c>
      <c r="C231" s="68" t="s">
        <v>1315</v>
      </c>
    </row>
    <row r="232" spans="1:3" ht="14.4">
      <c r="A232" s="68" t="s">
        <v>436</v>
      </c>
      <c r="B232" s="69" t="s">
        <v>1044</v>
      </c>
      <c r="C232" s="68" t="s">
        <v>1315</v>
      </c>
    </row>
    <row r="233" spans="1:3" ht="14.4">
      <c r="A233" s="69" t="s">
        <v>396</v>
      </c>
      <c r="B233" s="69" t="s">
        <v>2637</v>
      </c>
      <c r="C233" s="69" t="s">
        <v>739</v>
      </c>
    </row>
    <row r="234" spans="1:3" ht="14.4">
      <c r="A234" s="69" t="s">
        <v>968</v>
      </c>
      <c r="B234" s="69" t="s">
        <v>739</v>
      </c>
      <c r="C234" s="69" t="s">
        <v>739</v>
      </c>
    </row>
    <row r="235" spans="1:3" ht="14.4">
      <c r="A235" s="69" t="s">
        <v>1971</v>
      </c>
      <c r="B235" s="69" t="s">
        <v>2639</v>
      </c>
      <c r="C235" s="69" t="s">
        <v>739</v>
      </c>
    </row>
    <row r="236" spans="1:3" ht="15.75" customHeight="1">
      <c r="A236" s="69" t="s">
        <v>2016</v>
      </c>
      <c r="B236" s="69" t="s">
        <v>739</v>
      </c>
      <c r="C236" s="69" t="s">
        <v>739</v>
      </c>
    </row>
    <row r="237" spans="1:3" ht="15.75" customHeight="1">
      <c r="A237" s="69" t="s">
        <v>2017</v>
      </c>
      <c r="B237" s="69" t="s">
        <v>739</v>
      </c>
      <c r="C237" s="69" t="s">
        <v>739</v>
      </c>
    </row>
    <row r="238" spans="1:3" ht="14.4">
      <c r="A238" s="69" t="s">
        <v>481</v>
      </c>
      <c r="B238" s="69" t="s">
        <v>2640</v>
      </c>
      <c r="C238" s="69" t="s">
        <v>739</v>
      </c>
    </row>
    <row r="239" spans="1:3" ht="14.4">
      <c r="A239" s="69" t="s">
        <v>740</v>
      </c>
      <c r="B239" s="69" t="s">
        <v>2640</v>
      </c>
      <c r="C239" s="69" t="s">
        <v>739</v>
      </c>
    </row>
    <row r="240" spans="1:3" ht="14.4">
      <c r="A240" s="69" t="s">
        <v>741</v>
      </c>
      <c r="B240" s="69" t="s">
        <v>2640</v>
      </c>
      <c r="C240" s="69" t="s">
        <v>739</v>
      </c>
    </row>
    <row r="241" spans="1:3" ht="14.4">
      <c r="A241" s="69" t="s">
        <v>480</v>
      </c>
      <c r="B241" s="69" t="s">
        <v>2640</v>
      </c>
      <c r="C241" s="69" t="s">
        <v>739</v>
      </c>
    </row>
    <row r="242" spans="1:3" ht="14.4">
      <c r="A242" s="69" t="s">
        <v>217</v>
      </c>
      <c r="B242" s="69" t="s">
        <v>3081</v>
      </c>
      <c r="C242" s="69" t="s">
        <v>739</v>
      </c>
    </row>
    <row r="243" spans="1:3" ht="14.4">
      <c r="A243" s="69" t="s">
        <v>218</v>
      </c>
      <c r="B243" s="69" t="s">
        <v>3081</v>
      </c>
      <c r="C243" s="69" t="s">
        <v>739</v>
      </c>
    </row>
    <row r="244" spans="1:3" ht="14.4">
      <c r="A244" s="69" t="s">
        <v>216</v>
      </c>
      <c r="B244" s="69" t="s">
        <v>3081</v>
      </c>
      <c r="C244" s="69" t="s">
        <v>739</v>
      </c>
    </row>
    <row r="245" spans="1:3" ht="14.4">
      <c r="A245" s="69" t="s">
        <v>455</v>
      </c>
      <c r="B245" s="69" t="s">
        <v>3081</v>
      </c>
      <c r="C245" s="69" t="s">
        <v>739</v>
      </c>
    </row>
    <row r="246" spans="1:3" ht="14.4">
      <c r="A246" s="69" t="s">
        <v>186</v>
      </c>
      <c r="B246" s="69" t="s">
        <v>2640</v>
      </c>
      <c r="C246" s="69" t="s">
        <v>739</v>
      </c>
    </row>
    <row r="247" spans="1:3" ht="14.4">
      <c r="A247" s="69" t="s">
        <v>603</v>
      </c>
      <c r="B247" s="69" t="s">
        <v>2640</v>
      </c>
      <c r="C247" s="69" t="s">
        <v>739</v>
      </c>
    </row>
    <row r="248" spans="1:3" ht="14.4">
      <c r="A248" s="69" t="s">
        <v>185</v>
      </c>
      <c r="B248" s="69" t="s">
        <v>2640</v>
      </c>
      <c r="C248" s="69" t="s">
        <v>739</v>
      </c>
    </row>
    <row r="249" spans="1:3" ht="14.4">
      <c r="A249" s="69" t="s">
        <v>1604</v>
      </c>
      <c r="B249" s="69" t="s">
        <v>2640</v>
      </c>
      <c r="C249" s="69" t="s">
        <v>739</v>
      </c>
    </row>
    <row r="250" spans="1:3" ht="14.4">
      <c r="A250" s="69" t="s">
        <v>271</v>
      </c>
      <c r="B250" s="69" t="s">
        <v>2638</v>
      </c>
      <c r="C250" s="69" t="s">
        <v>739</v>
      </c>
    </row>
    <row r="251" spans="1:3" ht="14.4">
      <c r="A251" s="69" t="s">
        <v>235</v>
      </c>
      <c r="B251" s="69" t="s">
        <v>2638</v>
      </c>
      <c r="C251" s="69" t="s">
        <v>739</v>
      </c>
    </row>
    <row r="252" spans="1:3" ht="14.4">
      <c r="A252" s="69" t="s">
        <v>272</v>
      </c>
      <c r="B252" s="69" t="s">
        <v>2638</v>
      </c>
      <c r="C252" s="69" t="s">
        <v>739</v>
      </c>
    </row>
    <row r="253" spans="1:3" ht="14.4">
      <c r="A253" s="69" t="s">
        <v>1605</v>
      </c>
      <c r="B253" s="69" t="s">
        <v>2638</v>
      </c>
      <c r="C253" s="69" t="s">
        <v>739</v>
      </c>
    </row>
    <row r="254" spans="1:3" ht="14.4">
      <c r="A254" s="69" t="s">
        <v>1318</v>
      </c>
      <c r="B254" s="69" t="s">
        <v>2640</v>
      </c>
      <c r="C254" s="69" t="s">
        <v>739</v>
      </c>
    </row>
    <row r="255" spans="1:3" ht="14.4">
      <c r="A255" s="69" t="s">
        <v>803</v>
      </c>
      <c r="B255" s="69" t="s">
        <v>2640</v>
      </c>
      <c r="C255" s="69" t="s">
        <v>739</v>
      </c>
    </row>
    <row r="256" spans="1:3" ht="14.4">
      <c r="A256" s="69" t="s">
        <v>1323</v>
      </c>
      <c r="B256" s="69" t="s">
        <v>2640</v>
      </c>
      <c r="C256" s="69" t="s">
        <v>739</v>
      </c>
    </row>
    <row r="257" spans="1:3" ht="14.4">
      <c r="A257" s="69" t="s">
        <v>1606</v>
      </c>
      <c r="B257" s="69" t="s">
        <v>2640</v>
      </c>
      <c r="C257" s="69" t="s">
        <v>739</v>
      </c>
    </row>
    <row r="258" spans="1:3" ht="14.4">
      <c r="A258" s="68" t="s">
        <v>172</v>
      </c>
      <c r="B258" s="69" t="s">
        <v>739</v>
      </c>
      <c r="C258" s="68" t="s">
        <v>739</v>
      </c>
    </row>
    <row r="259" spans="1:3" ht="14.4">
      <c r="A259" s="68" t="s">
        <v>247</v>
      </c>
      <c r="B259" s="69" t="s">
        <v>739</v>
      </c>
      <c r="C259" s="68" t="s">
        <v>739</v>
      </c>
    </row>
    <row r="260" spans="1:3" ht="14.4">
      <c r="A260" s="68" t="s">
        <v>1089</v>
      </c>
      <c r="B260" s="69" t="s">
        <v>739</v>
      </c>
      <c r="C260" s="68" t="s">
        <v>739</v>
      </c>
    </row>
    <row r="261" spans="1:3" ht="14.4">
      <c r="A261" s="68" t="s">
        <v>2029</v>
      </c>
      <c r="B261" s="68" t="s">
        <v>3082</v>
      </c>
      <c r="C261" s="68" t="s">
        <v>739</v>
      </c>
    </row>
    <row r="262" spans="1:3" ht="14.4">
      <c r="A262" s="69" t="s">
        <v>1610</v>
      </c>
      <c r="B262" s="68" t="s">
        <v>2638</v>
      </c>
      <c r="C262" s="68" t="s">
        <v>739</v>
      </c>
    </row>
    <row r="263" spans="1:3" ht="14.4">
      <c r="A263" s="69" t="s">
        <v>1611</v>
      </c>
      <c r="B263" s="68" t="s">
        <v>2638</v>
      </c>
      <c r="C263" s="68" t="s">
        <v>739</v>
      </c>
    </row>
    <row r="264" spans="1:3" ht="14.4">
      <c r="A264" s="69" t="s">
        <v>1317</v>
      </c>
      <c r="B264" s="69" t="s">
        <v>3081</v>
      </c>
      <c r="C264" s="69" t="s">
        <v>739</v>
      </c>
    </row>
    <row r="265" spans="1:3" ht="14.4">
      <c r="A265" s="69" t="s">
        <v>1316</v>
      </c>
      <c r="B265" s="69" t="s">
        <v>3081</v>
      </c>
      <c r="C265" s="69" t="s">
        <v>739</v>
      </c>
    </row>
    <row r="266" spans="1:3" ht="14.4">
      <c r="A266" s="69" t="s">
        <v>433</v>
      </c>
      <c r="B266" s="69" t="s">
        <v>3081</v>
      </c>
      <c r="C266" s="69" t="s">
        <v>739</v>
      </c>
    </row>
    <row r="267" spans="1:3" ht="14.4">
      <c r="A267" s="69" t="s">
        <v>434</v>
      </c>
      <c r="B267" s="69" t="s">
        <v>3081</v>
      </c>
      <c r="C267" s="69" t="s">
        <v>739</v>
      </c>
    </row>
    <row r="268" spans="1:3" ht="14.4">
      <c r="A268" s="69" t="s">
        <v>1480</v>
      </c>
      <c r="B268" s="69" t="s">
        <v>2639</v>
      </c>
      <c r="C268" s="69" t="s">
        <v>739</v>
      </c>
    </row>
    <row r="269" spans="1:3" ht="14.4">
      <c r="A269" s="69" t="s">
        <v>600</v>
      </c>
      <c r="B269" s="69" t="s">
        <v>2639</v>
      </c>
      <c r="C269" s="69" t="s">
        <v>739</v>
      </c>
    </row>
    <row r="270" spans="1:3" ht="14.4">
      <c r="A270" s="69" t="s">
        <v>1481</v>
      </c>
      <c r="B270" s="69" t="s">
        <v>2639</v>
      </c>
      <c r="C270" s="69" t="s">
        <v>739</v>
      </c>
    </row>
    <row r="271" spans="1:3" ht="14.4">
      <c r="A271" s="69" t="s">
        <v>1482</v>
      </c>
      <c r="B271" s="69" t="s">
        <v>2639</v>
      </c>
      <c r="C271" s="69" t="s">
        <v>739</v>
      </c>
    </row>
    <row r="272" spans="1:3" ht="14.4">
      <c r="A272" s="69" t="s">
        <v>171</v>
      </c>
      <c r="B272" s="69" t="s">
        <v>2639</v>
      </c>
      <c r="C272" s="69" t="s">
        <v>739</v>
      </c>
    </row>
    <row r="273" spans="1:3" ht="14.4">
      <c r="A273" s="69" t="s">
        <v>1338</v>
      </c>
      <c r="B273" s="69" t="s">
        <v>2639</v>
      </c>
      <c r="C273" s="69" t="s">
        <v>739</v>
      </c>
    </row>
    <row r="274" spans="1:3" ht="14.4">
      <c r="A274" s="69" t="s">
        <v>269</v>
      </c>
      <c r="B274" s="69" t="s">
        <v>2639</v>
      </c>
      <c r="C274" s="69" t="s">
        <v>739</v>
      </c>
    </row>
    <row r="275" spans="1:3" ht="14.4">
      <c r="A275" s="69" t="s">
        <v>267</v>
      </c>
      <c r="B275" s="69" t="s">
        <v>2639</v>
      </c>
      <c r="C275" s="69" t="s">
        <v>739</v>
      </c>
    </row>
    <row r="276" spans="1:3" ht="14.4">
      <c r="A276" s="69" t="s">
        <v>2316</v>
      </c>
      <c r="B276" s="69" t="s">
        <v>2640</v>
      </c>
      <c r="C276" s="69" t="s">
        <v>739</v>
      </c>
    </row>
    <row r="277" spans="1:3" ht="14.4">
      <c r="A277" s="69" t="s">
        <v>2314</v>
      </c>
      <c r="B277" s="69" t="s">
        <v>2640</v>
      </c>
      <c r="C277" s="69" t="s">
        <v>739</v>
      </c>
    </row>
    <row r="278" spans="1:3" ht="14.4">
      <c r="A278" s="69" t="s">
        <v>2315</v>
      </c>
      <c r="B278" s="69" t="s">
        <v>2640</v>
      </c>
      <c r="C278" s="69" t="s">
        <v>739</v>
      </c>
    </row>
    <row r="279" spans="1:3" ht="14.4">
      <c r="A279" s="69" t="s">
        <v>2317</v>
      </c>
      <c r="B279" s="69" t="s">
        <v>2640</v>
      </c>
      <c r="C279" s="69" t="s">
        <v>739</v>
      </c>
    </row>
    <row r="280" spans="1:3" ht="14.4">
      <c r="A280" s="69" t="s">
        <v>328</v>
      </c>
      <c r="B280" s="69" t="s">
        <v>2626</v>
      </c>
      <c r="C280" s="69" t="s">
        <v>1433</v>
      </c>
    </row>
    <row r="281" spans="1:3" ht="14.4">
      <c r="A281" s="69" t="s">
        <v>1351</v>
      </c>
      <c r="B281" s="69" t="s">
        <v>1433</v>
      </c>
      <c r="C281" s="69" t="s">
        <v>1433</v>
      </c>
    </row>
    <row r="282" spans="1:3" ht="14.4">
      <c r="A282" s="69" t="s">
        <v>1325</v>
      </c>
      <c r="B282" s="69" t="s">
        <v>1433</v>
      </c>
      <c r="C282" s="69" t="s">
        <v>1433</v>
      </c>
    </row>
    <row r="283" spans="1:3" ht="14.4">
      <c r="A283" s="69" t="s">
        <v>6</v>
      </c>
      <c r="B283" s="69" t="s">
        <v>1433</v>
      </c>
      <c r="C283" s="69" t="s">
        <v>1433</v>
      </c>
    </row>
    <row r="284" spans="1:3" ht="14.4">
      <c r="A284" s="69" t="s">
        <v>1599</v>
      </c>
      <c r="B284" s="69" t="s">
        <v>1433</v>
      </c>
      <c r="C284" s="69" t="s">
        <v>1433</v>
      </c>
    </row>
    <row r="285" spans="1:3" ht="14.4">
      <c r="A285" s="68" t="s">
        <v>236</v>
      </c>
      <c r="B285" s="69" t="s">
        <v>1433</v>
      </c>
      <c r="C285" s="68" t="s">
        <v>1433</v>
      </c>
    </row>
    <row r="286" spans="1:3" ht="14.4">
      <c r="A286" s="69" t="s">
        <v>570</v>
      </c>
      <c r="B286" s="69" t="s">
        <v>1433</v>
      </c>
      <c r="C286" s="69" t="s">
        <v>1433</v>
      </c>
    </row>
    <row r="287" spans="1:3" ht="14.4">
      <c r="A287" s="69" t="s">
        <v>592</v>
      </c>
      <c r="B287" s="69" t="s">
        <v>1433</v>
      </c>
      <c r="C287" s="69" t="s">
        <v>1433</v>
      </c>
    </row>
    <row r="288" spans="1:3" ht="14.4">
      <c r="A288" s="69" t="s">
        <v>1037</v>
      </c>
      <c r="B288" s="69" t="s">
        <v>1433</v>
      </c>
      <c r="C288" s="69" t="s">
        <v>1433</v>
      </c>
    </row>
    <row r="289" spans="1:3" ht="14.4">
      <c r="A289" s="68" t="s">
        <v>549</v>
      </c>
      <c r="B289" s="69" t="s">
        <v>1433</v>
      </c>
      <c r="C289" s="68" t="s">
        <v>1433</v>
      </c>
    </row>
    <row r="290" spans="1:3" ht="14.4">
      <c r="A290" s="69" t="s">
        <v>1045</v>
      </c>
      <c r="B290" s="69" t="s">
        <v>1433</v>
      </c>
      <c r="C290" s="69" t="s">
        <v>1433</v>
      </c>
    </row>
    <row r="291" spans="1:3" ht="14.4">
      <c r="A291" s="69" t="s">
        <v>483</v>
      </c>
      <c r="B291" s="69" t="s">
        <v>1433</v>
      </c>
      <c r="C291" s="69" t="s">
        <v>1433</v>
      </c>
    </row>
    <row r="292" spans="1:3" ht="14.4">
      <c r="A292" s="69" t="s">
        <v>1600</v>
      </c>
      <c r="B292" s="69" t="s">
        <v>1433</v>
      </c>
      <c r="C292" s="69" t="s">
        <v>1433</v>
      </c>
    </row>
    <row r="293" spans="1:3" ht="14.4">
      <c r="A293" s="69" t="s">
        <v>844</v>
      </c>
      <c r="B293" s="69" t="s">
        <v>1433</v>
      </c>
      <c r="C293" s="69" t="s">
        <v>1433</v>
      </c>
    </row>
    <row r="294" spans="1:3" ht="14.4">
      <c r="A294" s="69" t="s">
        <v>879</v>
      </c>
      <c r="B294" s="69" t="s">
        <v>1433</v>
      </c>
      <c r="C294" s="69" t="s">
        <v>1433</v>
      </c>
    </row>
    <row r="295" spans="1:3" ht="14.4">
      <c r="A295" s="69" t="s">
        <v>1601</v>
      </c>
      <c r="B295" s="69" t="s">
        <v>1433</v>
      </c>
      <c r="C295" s="69" t="s">
        <v>1433</v>
      </c>
    </row>
    <row r="296" spans="1:3" ht="14.4">
      <c r="A296" s="69" t="s">
        <v>224</v>
      </c>
      <c r="B296" s="69" t="s">
        <v>1433</v>
      </c>
      <c r="C296" s="69" t="s">
        <v>1433</v>
      </c>
    </row>
    <row r="297" spans="1:3" ht="14.4">
      <c r="A297" s="69" t="s">
        <v>1261</v>
      </c>
      <c r="B297" s="69" t="s">
        <v>1433</v>
      </c>
      <c r="C297" s="69" t="s">
        <v>1433</v>
      </c>
    </row>
    <row r="298" spans="1:3" ht="14.4">
      <c r="A298" s="69" t="s">
        <v>1602</v>
      </c>
      <c r="B298" s="69" t="s">
        <v>1433</v>
      </c>
      <c r="C298" s="69" t="s">
        <v>1433</v>
      </c>
    </row>
    <row r="299" spans="1:3" ht="14.4">
      <c r="A299" s="69" t="s">
        <v>2009</v>
      </c>
      <c r="B299" s="69" t="s">
        <v>1433</v>
      </c>
      <c r="C299" s="69" t="s">
        <v>1433</v>
      </c>
    </row>
    <row r="300" spans="1:3" ht="14.4">
      <c r="A300" s="69" t="s">
        <v>1969</v>
      </c>
      <c r="B300" s="69" t="s">
        <v>1433</v>
      </c>
      <c r="C300" s="69" t="s">
        <v>1433</v>
      </c>
    </row>
    <row r="301" spans="1:3" ht="14.4">
      <c r="A301" s="69" t="s">
        <v>1259</v>
      </c>
      <c r="B301" s="69" t="s">
        <v>1827</v>
      </c>
      <c r="C301" s="69" t="s">
        <v>1259</v>
      </c>
    </row>
    <row r="302" spans="1:3" ht="14.4">
      <c r="A302" s="69" t="s">
        <v>2274</v>
      </c>
      <c r="B302" s="69" t="s">
        <v>2641</v>
      </c>
      <c r="C302" s="69" t="s">
        <v>2015</v>
      </c>
    </row>
    <row r="303" spans="1:3" ht="14.4">
      <c r="A303" s="69" t="s">
        <v>688</v>
      </c>
      <c r="B303" s="69" t="s">
        <v>2641</v>
      </c>
      <c r="C303" s="69" t="s">
        <v>2015</v>
      </c>
    </row>
    <row r="304" spans="1:3" ht="14.4">
      <c r="A304" s="69" t="s">
        <v>144</v>
      </c>
      <c r="B304" s="69" t="s">
        <v>2641</v>
      </c>
      <c r="C304" s="69" t="s">
        <v>2015</v>
      </c>
    </row>
    <row r="305" spans="1:3" ht="14.4">
      <c r="A305" s="69" t="s">
        <v>351</v>
      </c>
      <c r="B305" s="69" t="s">
        <v>2641</v>
      </c>
      <c r="C305" s="69" t="s">
        <v>2015</v>
      </c>
    </row>
    <row r="306" spans="1:3" ht="14.4">
      <c r="A306" s="69" t="s">
        <v>1450</v>
      </c>
      <c r="B306" s="69" t="s">
        <v>2641</v>
      </c>
      <c r="C306" s="69" t="s">
        <v>2015</v>
      </c>
    </row>
    <row r="307" spans="1:3" ht="14.4">
      <c r="A307" s="69" t="s">
        <v>1451</v>
      </c>
      <c r="B307" s="69" t="s">
        <v>2641</v>
      </c>
      <c r="C307" s="69" t="s">
        <v>2015</v>
      </c>
    </row>
    <row r="308" spans="1:3" ht="14.4">
      <c r="A308" s="69" t="s">
        <v>2182</v>
      </c>
      <c r="B308" s="69" t="s">
        <v>2641</v>
      </c>
      <c r="C308" s="69" t="s">
        <v>2015</v>
      </c>
    </row>
    <row r="309" spans="1:3" ht="14.4">
      <c r="A309" s="69" t="s">
        <v>1123</v>
      </c>
      <c r="B309" s="69" t="s">
        <v>2641</v>
      </c>
      <c r="C309" s="69" t="s">
        <v>2015</v>
      </c>
    </row>
    <row r="310" spans="1:3" ht="14.4">
      <c r="A310" s="69" t="s">
        <v>2007</v>
      </c>
      <c r="B310" s="69" t="s">
        <v>3078</v>
      </c>
      <c r="C310" s="69" t="s">
        <v>2015</v>
      </c>
    </row>
    <row r="311" spans="1:3" ht="14.4">
      <c r="A311" s="69" t="s">
        <v>687</v>
      </c>
      <c r="B311" s="69" t="s">
        <v>2641</v>
      </c>
      <c r="C311" s="69" t="s">
        <v>2015</v>
      </c>
    </row>
    <row r="312" spans="1:3" ht="14.4">
      <c r="A312" s="69" t="s">
        <v>598</v>
      </c>
      <c r="B312" s="69" t="s">
        <v>2641</v>
      </c>
      <c r="C312" s="69" t="s">
        <v>2015</v>
      </c>
    </row>
    <row r="313" spans="1:3" ht="14.4">
      <c r="A313" s="69" t="s">
        <v>599</v>
      </c>
      <c r="B313" s="69" t="s">
        <v>2641</v>
      </c>
      <c r="C313" s="69" t="s">
        <v>2015</v>
      </c>
    </row>
    <row r="314" spans="1:3" ht="14.4">
      <c r="A314" s="69" t="s">
        <v>1</v>
      </c>
      <c r="B314" s="69" t="s">
        <v>2641</v>
      </c>
      <c r="C314" s="69" t="s">
        <v>2015</v>
      </c>
    </row>
    <row r="315" spans="1:3" ht="14.4">
      <c r="A315" s="69" t="s">
        <v>2</v>
      </c>
      <c r="B315" s="69" t="s">
        <v>2641</v>
      </c>
      <c r="C315" s="69" t="s">
        <v>2015</v>
      </c>
    </row>
    <row r="316" spans="1:3" ht="14.4">
      <c r="A316" s="69" t="s">
        <v>3</v>
      </c>
      <c r="B316" s="69" t="s">
        <v>2641</v>
      </c>
      <c r="C316" s="69" t="s">
        <v>2015</v>
      </c>
    </row>
    <row r="317" spans="1:3" ht="14.4">
      <c r="A317" s="69" t="s">
        <v>1124</v>
      </c>
      <c r="B317" s="69" t="s">
        <v>2641</v>
      </c>
      <c r="C317" s="69" t="s">
        <v>2015</v>
      </c>
    </row>
    <row r="318" spans="1:3" ht="14.4">
      <c r="A318" s="69" t="s">
        <v>2106</v>
      </c>
      <c r="B318" s="69" t="s">
        <v>2641</v>
      </c>
      <c r="C318" s="69" t="s">
        <v>2015</v>
      </c>
    </row>
    <row r="319" spans="1:3" ht="14.4">
      <c r="A319" s="69" t="s">
        <v>2004</v>
      </c>
      <c r="B319" s="69" t="s">
        <v>2641</v>
      </c>
      <c r="C319" s="69" t="s">
        <v>2015</v>
      </c>
    </row>
    <row r="320" spans="1:3" ht="14.4">
      <c r="A320" s="69" t="s">
        <v>2108</v>
      </c>
      <c r="B320" s="69" t="s">
        <v>2641</v>
      </c>
      <c r="C320" s="69" t="s">
        <v>2015</v>
      </c>
    </row>
    <row r="321" spans="1:3" ht="14.4">
      <c r="A321" s="69" t="s">
        <v>2006</v>
      </c>
      <c r="B321" s="69" t="s">
        <v>2641</v>
      </c>
      <c r="C321" s="69" t="s">
        <v>2015</v>
      </c>
    </row>
    <row r="322" spans="1:3" ht="14.4">
      <c r="A322" s="69" t="s">
        <v>270</v>
      </c>
      <c r="B322" s="69" t="s">
        <v>1845</v>
      </c>
      <c r="C322" s="69" t="s">
        <v>2015</v>
      </c>
    </row>
    <row r="323" spans="1:3" ht="14.4">
      <c r="A323" s="69" t="s">
        <v>4</v>
      </c>
      <c r="B323" s="69" t="s">
        <v>1845</v>
      </c>
      <c r="C323" s="69" t="s">
        <v>2015</v>
      </c>
    </row>
    <row r="324" spans="1:3" ht="14.4">
      <c r="A324" s="69" t="s">
        <v>5</v>
      </c>
      <c r="B324" s="69" t="s">
        <v>1845</v>
      </c>
      <c r="C324" s="69" t="s">
        <v>2015</v>
      </c>
    </row>
    <row r="325" spans="1:3" ht="14.4">
      <c r="A325" s="69" t="s">
        <v>233</v>
      </c>
      <c r="B325" s="69" t="s">
        <v>1829</v>
      </c>
      <c r="C325" s="69" t="s">
        <v>2561</v>
      </c>
    </row>
    <row r="326" spans="1:3" ht="14.4">
      <c r="A326" s="69" t="s">
        <v>1198</v>
      </c>
      <c r="B326" s="69" t="s">
        <v>1859</v>
      </c>
      <c r="C326" s="69" t="s">
        <v>2561</v>
      </c>
    </row>
    <row r="327" spans="1:3" ht="14.4">
      <c r="A327" s="69" t="s">
        <v>1991</v>
      </c>
      <c r="B327" s="69" t="s">
        <v>2008</v>
      </c>
      <c r="C327" s="69" t="s">
        <v>2561</v>
      </c>
    </row>
    <row r="328" spans="1:3" ht="14.4">
      <c r="A328" s="69" t="s">
        <v>1967</v>
      </c>
      <c r="B328" s="69" t="s">
        <v>3079</v>
      </c>
      <c r="C328" s="69" t="s">
        <v>501</v>
      </c>
    </row>
    <row r="329" spans="1:3" ht="14.4">
      <c r="A329" s="69" t="s">
        <v>1969</v>
      </c>
      <c r="B329" s="69" t="s">
        <v>1433</v>
      </c>
      <c r="C329" s="69" t="s">
        <v>1433</v>
      </c>
    </row>
    <row r="330" spans="1:3" ht="14.4">
      <c r="A330" s="69" t="s">
        <v>2552</v>
      </c>
      <c r="B330" s="69" t="s">
        <v>1454</v>
      </c>
      <c r="C330" s="69" t="s">
        <v>2151</v>
      </c>
    </row>
    <row r="331" spans="1:3" ht="14.4">
      <c r="A331" s="69" t="s">
        <v>569</v>
      </c>
      <c r="B331" s="69" t="s">
        <v>2630</v>
      </c>
      <c r="C331" s="69" t="s">
        <v>1222</v>
      </c>
    </row>
    <row r="332" spans="1:3" ht="14.4">
      <c r="A332" s="69" t="s">
        <v>934</v>
      </c>
      <c r="B332" s="69" t="s">
        <v>1629</v>
      </c>
      <c r="C332" s="69" t="s">
        <v>1222</v>
      </c>
    </row>
    <row r="333" spans="1:3" ht="14.4">
      <c r="A333" s="69" t="s">
        <v>935</v>
      </c>
      <c r="B333" s="69" t="s">
        <v>1630</v>
      </c>
      <c r="C333" s="69" t="s">
        <v>1222</v>
      </c>
    </row>
    <row r="334" spans="1:3" ht="14.4">
      <c r="A334" s="69" t="s">
        <v>1960</v>
      </c>
      <c r="B334" s="69" t="s">
        <v>1454</v>
      </c>
      <c r="C334" s="69" t="s">
        <v>1972</v>
      </c>
    </row>
    <row r="335" spans="1:3" ht="14.4">
      <c r="A335" s="69" t="s">
        <v>1961</v>
      </c>
      <c r="B335" s="69" t="s">
        <v>1454</v>
      </c>
      <c r="C335" s="69" t="s">
        <v>1972</v>
      </c>
    </row>
    <row r="336" spans="1:3" ht="14.4">
      <c r="A336" s="69" t="s">
        <v>1962</v>
      </c>
      <c r="B336" s="69" t="s">
        <v>1454</v>
      </c>
      <c r="C336" s="69" t="s">
        <v>1972</v>
      </c>
    </row>
    <row r="337" spans="1:3" ht="14.4">
      <c r="A337" s="69" t="s">
        <v>1974</v>
      </c>
      <c r="B337" s="69" t="s">
        <v>1975</v>
      </c>
      <c r="C337" s="69" t="s">
        <v>1975</v>
      </c>
    </row>
    <row r="338" spans="1:3" ht="14.4">
      <c r="A338" s="69" t="s">
        <v>1976</v>
      </c>
      <c r="B338" s="69" t="s">
        <v>1982</v>
      </c>
      <c r="C338" s="69" t="s">
        <v>1982</v>
      </c>
    </row>
    <row r="339" spans="1:3" ht="14.4">
      <c r="A339" s="69" t="s">
        <v>1977</v>
      </c>
      <c r="B339" s="69" t="s">
        <v>1983</v>
      </c>
      <c r="C339" s="69" t="s">
        <v>1988</v>
      </c>
    </row>
    <row r="340" spans="1:3" ht="14.4">
      <c r="A340" s="69" t="s">
        <v>1978</v>
      </c>
      <c r="B340" s="69" t="s">
        <v>1984</v>
      </c>
      <c r="C340" s="69" t="s">
        <v>1984</v>
      </c>
    </row>
    <row r="341" spans="1:3" ht="14.4">
      <c r="A341" s="69" t="s">
        <v>1979</v>
      </c>
      <c r="B341" s="69" t="s">
        <v>1985</v>
      </c>
      <c r="C341" s="69" t="s">
        <v>1989</v>
      </c>
    </row>
    <row r="342" spans="1:3" ht="14.4">
      <c r="A342" s="69" t="s">
        <v>1980</v>
      </c>
      <c r="B342" s="69" t="s">
        <v>1986</v>
      </c>
      <c r="C342" s="69" t="s">
        <v>1986</v>
      </c>
    </row>
    <row r="343" spans="1:3" ht="14.4">
      <c r="A343" s="257" t="s">
        <v>1981</v>
      </c>
      <c r="B343" s="257" t="s">
        <v>1987</v>
      </c>
      <c r="C343" s="257" t="s">
        <v>1987</v>
      </c>
    </row>
    <row r="344" spans="1:3" s="259" customFormat="1" ht="14.4">
      <c r="A344" s="256" t="s">
        <v>5063</v>
      </c>
      <c r="B344" s="256" t="s">
        <v>2322</v>
      </c>
      <c r="C344" s="256" t="s">
        <v>2322</v>
      </c>
    </row>
    <row r="345" spans="1:3" s="259" customFormat="1" ht="14.4">
      <c r="A345" s="256" t="s">
        <v>5064</v>
      </c>
      <c r="B345" s="256" t="s">
        <v>5065</v>
      </c>
      <c r="C345" s="256" t="s">
        <v>5065</v>
      </c>
    </row>
    <row r="346" spans="1:3" s="259" customFormat="1" ht="14.4">
      <c r="A346" s="256"/>
      <c r="B346" s="256"/>
      <c r="C346" s="256"/>
    </row>
    <row r="347" spans="1:3" ht="14.4">
      <c r="A347" s="258" t="s">
        <v>1871</v>
      </c>
      <c r="B347" s="258" t="s">
        <v>1454</v>
      </c>
      <c r="C347" s="258" t="s">
        <v>1972</v>
      </c>
    </row>
    <row r="348" spans="1:3" ht="14.4">
      <c r="A348" s="69" t="s">
        <v>1872</v>
      </c>
      <c r="B348" s="69" t="s">
        <v>1454</v>
      </c>
      <c r="C348" s="69" t="s">
        <v>1972</v>
      </c>
    </row>
    <row r="349" spans="1:3" ht="14.4">
      <c r="A349" s="69" t="s">
        <v>2149</v>
      </c>
      <c r="B349" s="69" t="s">
        <v>1454</v>
      </c>
      <c r="C349" s="69" t="s">
        <v>2151</v>
      </c>
    </row>
    <row r="350" spans="1:3" ht="14.4">
      <c r="A350" s="69" t="s">
        <v>2150</v>
      </c>
      <c r="B350" s="69" t="s">
        <v>1454</v>
      </c>
      <c r="C350" s="69" t="s">
        <v>2151</v>
      </c>
    </row>
    <row r="351" spans="1:3" ht="14.4">
      <c r="A351" s="69" t="s">
        <v>2148</v>
      </c>
      <c r="B351" s="69" t="s">
        <v>1454</v>
      </c>
      <c r="C351" s="69" t="s">
        <v>2151</v>
      </c>
    </row>
    <row r="352" spans="1:3" ht="14.4">
      <c r="A352" s="69" t="s">
        <v>1873</v>
      </c>
      <c r="B352" s="69" t="s">
        <v>1454</v>
      </c>
      <c r="C352" s="69" t="s">
        <v>2151</v>
      </c>
    </row>
    <row r="353" spans="1:3" ht="14.4">
      <c r="A353" s="69" t="s">
        <v>1874</v>
      </c>
      <c r="B353" s="69" t="s">
        <v>1454</v>
      </c>
      <c r="C353" s="69" t="s">
        <v>2151</v>
      </c>
    </row>
    <row r="354" spans="1:3" ht="14.4">
      <c r="A354" s="69" t="s">
        <v>1875</v>
      </c>
      <c r="B354" s="69" t="s">
        <v>1454</v>
      </c>
      <c r="C354" s="69" t="s">
        <v>2151</v>
      </c>
    </row>
    <row r="355" spans="1:3" ht="14.4">
      <c r="A355" s="6" t="s">
        <v>2397</v>
      </c>
      <c r="B355" s="69" t="s">
        <v>2430</v>
      </c>
      <c r="C355" s="69"/>
    </row>
    <row r="356" spans="1:3" ht="14.4">
      <c r="A356" s="6" t="s">
        <v>2398</v>
      </c>
      <c r="B356" s="69" t="s">
        <v>2430</v>
      </c>
      <c r="C356" s="69"/>
    </row>
    <row r="357" spans="1:3" ht="14.4">
      <c r="A357" s="6" t="s">
        <v>2393</v>
      </c>
      <c r="B357" s="69" t="s">
        <v>2640</v>
      </c>
      <c r="C357" s="69"/>
    </row>
    <row r="358" spans="1:3" ht="14.4">
      <c r="A358" s="6" t="s">
        <v>2405</v>
      </c>
      <c r="B358" s="69" t="s">
        <v>1435</v>
      </c>
      <c r="C358" s="69"/>
    </row>
    <row r="359" spans="1:3" ht="14.4">
      <c r="A359" s="6" t="s">
        <v>2443</v>
      </c>
      <c r="B359" s="69" t="s">
        <v>1044</v>
      </c>
      <c r="C359" s="69"/>
    </row>
    <row r="360" spans="1:3" ht="14.4">
      <c r="A360" s="6" t="s">
        <v>2276</v>
      </c>
      <c r="B360" s="69" t="s">
        <v>1435</v>
      </c>
      <c r="C360" s="69"/>
    </row>
    <row r="361" spans="1:3" ht="14.4">
      <c r="A361" s="6" t="s">
        <v>2521</v>
      </c>
      <c r="B361" s="69" t="s">
        <v>450</v>
      </c>
      <c r="C361" s="69"/>
    </row>
    <row r="362" spans="1:3" ht="14.4">
      <c r="A362" s="6" t="s">
        <v>2588</v>
      </c>
      <c r="B362" s="69" t="s">
        <v>2588</v>
      </c>
      <c r="C362" s="69"/>
    </row>
    <row r="363" spans="1:3" ht="14.4">
      <c r="A363" s="110" t="s">
        <v>2003</v>
      </c>
      <c r="B363" s="69" t="s">
        <v>1640</v>
      </c>
      <c r="C363" s="69" t="s">
        <v>2015</v>
      </c>
    </row>
    <row r="364" spans="1:3">
      <c r="A364" s="110" t="s">
        <v>2945</v>
      </c>
      <c r="B364" s="110" t="s">
        <v>3080</v>
      </c>
      <c r="C364" s="110"/>
    </row>
    <row r="365" spans="1:3">
      <c r="A365" s="110" t="s">
        <v>2784</v>
      </c>
      <c r="B365" s="110"/>
      <c r="C365" s="110"/>
    </row>
    <row r="366" spans="1:3">
      <c r="A366" s="110" t="s">
        <v>2770</v>
      </c>
      <c r="B366" s="110"/>
      <c r="C366" s="110"/>
    </row>
    <row r="367" spans="1:3">
      <c r="A367" s="110" t="s">
        <v>2979</v>
      </c>
      <c r="B367" s="110" t="s">
        <v>450</v>
      </c>
      <c r="C367" s="110"/>
    </row>
    <row r="368" spans="1:3">
      <c r="A368" s="110" t="s">
        <v>2703</v>
      </c>
      <c r="B368" s="110" t="s">
        <v>173</v>
      </c>
      <c r="C368" s="110"/>
    </row>
    <row r="369" spans="1:3">
      <c r="A369" s="110" t="s">
        <v>2729</v>
      </c>
      <c r="B369" s="110" t="s">
        <v>1435</v>
      </c>
      <c r="C369" s="110"/>
    </row>
    <row r="370" spans="1:3">
      <c r="A370" s="110" t="s">
        <v>2728</v>
      </c>
      <c r="B370" s="110" t="s">
        <v>1435</v>
      </c>
      <c r="C370" s="110"/>
    </row>
    <row r="371" spans="1:3">
      <c r="A371" s="110" t="s">
        <v>2738</v>
      </c>
      <c r="B371" s="110" t="s">
        <v>1435</v>
      </c>
      <c r="C371" s="110"/>
    </row>
    <row r="372" spans="1:3">
      <c r="A372" s="110" t="s">
        <v>2767</v>
      </c>
      <c r="B372" s="110"/>
      <c r="C372" s="110"/>
    </row>
    <row r="373" spans="1:3">
      <c r="A373" s="110" t="s">
        <v>2759</v>
      </c>
      <c r="B373" s="110" t="s">
        <v>2640</v>
      </c>
      <c r="C373" s="110"/>
    </row>
    <row r="374" spans="1:3">
      <c r="A374" s="110" t="s">
        <v>2668</v>
      </c>
      <c r="B374" s="110" t="s">
        <v>2639</v>
      </c>
      <c r="C374" s="110"/>
    </row>
    <row r="375" spans="1:3" ht="14.4">
      <c r="A375" s="110" t="s">
        <v>143</v>
      </c>
      <c r="B375" s="69" t="s">
        <v>2641</v>
      </c>
      <c r="C375" s="69" t="s">
        <v>2015</v>
      </c>
    </row>
    <row r="376" spans="1:3" ht="14.4">
      <c r="A376" s="110" t="s">
        <v>2672</v>
      </c>
      <c r="B376" s="69" t="s">
        <v>2641</v>
      </c>
      <c r="C376" s="69" t="s">
        <v>2015</v>
      </c>
    </row>
    <row r="377" spans="1:3" ht="14.4">
      <c r="A377" s="110" t="s">
        <v>2737</v>
      </c>
      <c r="B377" s="69" t="s">
        <v>2641</v>
      </c>
      <c r="C377" s="69" t="s">
        <v>2015</v>
      </c>
    </row>
    <row r="378" spans="1:3" ht="14.4">
      <c r="A378" s="110" t="s">
        <v>2779</v>
      </c>
      <c r="B378" s="69" t="s">
        <v>2641</v>
      </c>
      <c r="C378" s="69" t="s">
        <v>2015</v>
      </c>
    </row>
    <row r="379" spans="1:3" ht="14.4">
      <c r="A379" s="110" t="s">
        <v>2783</v>
      </c>
      <c r="B379" s="69" t="s">
        <v>2641</v>
      </c>
      <c r="C379" s="69" t="s">
        <v>2015</v>
      </c>
    </row>
    <row r="380" spans="1:3" ht="14.4">
      <c r="A380" s="110" t="s">
        <v>3028</v>
      </c>
      <c r="B380" s="69" t="s">
        <v>2641</v>
      </c>
      <c r="C380" s="69" t="s">
        <v>2015</v>
      </c>
    </row>
    <row r="381" spans="1:3" ht="14.4">
      <c r="A381" s="110" t="s">
        <v>2786</v>
      </c>
      <c r="B381" s="69" t="s">
        <v>2641</v>
      </c>
      <c r="C381" s="69" t="s">
        <v>2015</v>
      </c>
    </row>
    <row r="382" spans="1:3" ht="14.4">
      <c r="A382" s="110" t="s">
        <v>2694</v>
      </c>
      <c r="B382" s="69" t="s">
        <v>2588</v>
      </c>
      <c r="C382" s="110"/>
    </row>
    <row r="383" spans="1:3" ht="14.4">
      <c r="A383" s="110" t="s">
        <v>2765</v>
      </c>
      <c r="B383" s="69" t="s">
        <v>2588</v>
      </c>
      <c r="C383" s="110"/>
    </row>
    <row r="384" spans="1:3" ht="14.4">
      <c r="A384" s="110" t="s">
        <v>2796</v>
      </c>
      <c r="B384" s="69" t="s">
        <v>2588</v>
      </c>
      <c r="C384" s="110"/>
    </row>
    <row r="385" spans="1:3" ht="14.4">
      <c r="A385" s="110" t="s">
        <v>2787</v>
      </c>
      <c r="B385" s="69" t="s">
        <v>2588</v>
      </c>
      <c r="C385" s="110"/>
    </row>
    <row r="386" spans="1:3" ht="14.4">
      <c r="A386" s="110" t="s">
        <v>2944</v>
      </c>
      <c r="B386" s="69" t="s">
        <v>2588</v>
      </c>
      <c r="C386" s="110"/>
    </row>
    <row r="387" spans="1:3" ht="14.4">
      <c r="A387" s="110" t="s">
        <v>2824</v>
      </c>
      <c r="B387" s="69" t="s">
        <v>2588</v>
      </c>
      <c r="C387" s="110"/>
    </row>
    <row r="388" spans="1:3" ht="14.4">
      <c r="A388" s="110" t="s">
        <v>2795</v>
      </c>
      <c r="B388" s="69" t="s">
        <v>2588</v>
      </c>
      <c r="C388" s="110"/>
    </row>
    <row r="389" spans="1:3" ht="14.4">
      <c r="A389" s="110" t="s">
        <v>2707</v>
      </c>
      <c r="B389" s="69" t="s">
        <v>2588</v>
      </c>
      <c r="C389" s="110"/>
    </row>
    <row r="390" spans="1:3" ht="14.4">
      <c r="A390" s="110" t="s">
        <v>2809</v>
      </c>
      <c r="B390" s="69" t="s">
        <v>2588</v>
      </c>
      <c r="C390" s="110"/>
    </row>
    <row r="391" spans="1:3" ht="14.4">
      <c r="A391" s="110" t="s">
        <v>2772</v>
      </c>
      <c r="B391" s="69" t="s">
        <v>2588</v>
      </c>
      <c r="C391" s="110"/>
    </row>
    <row r="392" spans="1:3" ht="14.4">
      <c r="A392" s="110" t="s">
        <v>2943</v>
      </c>
      <c r="B392" s="69" t="s">
        <v>2588</v>
      </c>
      <c r="C392" s="110"/>
    </row>
    <row r="393" spans="1:3" ht="14.4">
      <c r="A393" s="110" t="s">
        <v>2327</v>
      </c>
      <c r="B393" s="68" t="s">
        <v>2283</v>
      </c>
      <c r="C393" s="68" t="s">
        <v>2428</v>
      </c>
    </row>
    <row r="394" spans="1:3" ht="14.4">
      <c r="A394" s="110" t="s">
        <v>3002</v>
      </c>
      <c r="B394" s="68" t="s">
        <v>2283</v>
      </c>
      <c r="C394" s="68" t="s">
        <v>2428</v>
      </c>
    </row>
    <row r="395" spans="1:3" ht="14.4">
      <c r="A395" s="110" t="s">
        <v>5063</v>
      </c>
      <c r="B395" s="68" t="s">
        <v>2283</v>
      </c>
      <c r="C395" s="68" t="s">
        <v>2428</v>
      </c>
    </row>
    <row r="396" spans="1:3" ht="14.4">
      <c r="A396" s="68" t="s">
        <v>2675</v>
      </c>
      <c r="B396" s="68" t="s">
        <v>3079</v>
      </c>
      <c r="C396" s="68" t="s">
        <v>2428</v>
      </c>
    </row>
    <row r="397" spans="1:3" ht="14.4">
      <c r="A397" s="68" t="s">
        <v>2735</v>
      </c>
      <c r="B397" s="68" t="s">
        <v>3079</v>
      </c>
      <c r="C397" s="68" t="s">
        <v>2428</v>
      </c>
    </row>
    <row r="398" spans="1:3" ht="14.4">
      <c r="A398" s="68" t="s">
        <v>2686</v>
      </c>
      <c r="B398" s="68" t="s">
        <v>3079</v>
      </c>
      <c r="C398" s="68" t="s">
        <v>2428</v>
      </c>
    </row>
    <row r="399" spans="1:3" ht="14.4">
      <c r="A399" s="68" t="s">
        <v>2758</v>
      </c>
      <c r="B399" s="68" t="s">
        <v>3079</v>
      </c>
      <c r="C399" s="68" t="s">
        <v>2428</v>
      </c>
    </row>
    <row r="400" spans="1:3" ht="14.4">
      <c r="A400" s="68" t="s">
        <v>2731</v>
      </c>
      <c r="B400" s="68" t="s">
        <v>3079</v>
      </c>
      <c r="C400" s="68" t="s">
        <v>2428</v>
      </c>
    </row>
    <row r="401" spans="1:3" ht="14.4">
      <c r="A401" s="110" t="s">
        <v>2802</v>
      </c>
      <c r="B401" s="68" t="s">
        <v>173</v>
      </c>
      <c r="C401" s="110"/>
    </row>
    <row r="402" spans="1:3" ht="14.4">
      <c r="A402" s="110" t="s">
        <v>2666</v>
      </c>
      <c r="B402" s="68" t="s">
        <v>2640</v>
      </c>
      <c r="C402" s="110"/>
    </row>
    <row r="403" spans="1:3" ht="14.4">
      <c r="A403" s="110" t="s">
        <v>2687</v>
      </c>
      <c r="B403" s="68" t="s">
        <v>450</v>
      </c>
      <c r="C403" s="110"/>
    </row>
    <row r="404" spans="1:3" ht="14.4">
      <c r="A404" s="110" t="s">
        <v>2278</v>
      </c>
      <c r="B404" s="68" t="s">
        <v>1435</v>
      </c>
      <c r="C404" s="110"/>
    </row>
  </sheetData>
  <autoFilter ref="A1:C404" xr:uid="{00000000-0009-0000-0000-000005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EBE86-0788-4AC1-8C0E-F7BCE0F14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</vt:i4>
      </vt:variant>
    </vt:vector>
  </HeadingPairs>
  <TitlesOfParts>
    <vt:vector size="7" baseType="lpstr">
      <vt:lpstr>TRANSFERY od 01.2019</vt:lpstr>
      <vt:lpstr>TRANSFERY od 01.2020</vt:lpstr>
      <vt:lpstr>LISTA 12</vt:lpstr>
      <vt:lpstr>lista 1</vt:lpstr>
      <vt:lpstr>lista 3</vt:lpstr>
      <vt:lpstr>lista obszary</vt:lpstr>
      <vt:lpstr>'TRANSFERY od 01.2020'!Obszar_wydruku</vt:lpstr>
    </vt:vector>
  </TitlesOfParts>
  <Company>TMEM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Siedlecka</dc:creator>
  <cp:lastModifiedBy>Szymon Biliński</cp:lastModifiedBy>
  <cp:lastPrinted>2020-10-26T15:12:26Z</cp:lastPrinted>
  <dcterms:created xsi:type="dcterms:W3CDTF">2005-09-27T09:43:11Z</dcterms:created>
  <dcterms:modified xsi:type="dcterms:W3CDTF">2021-04-14T16:19:53Z</dcterms:modified>
  <cp:category>Not Protected</cp:category>
</cp:coreProperties>
</file>